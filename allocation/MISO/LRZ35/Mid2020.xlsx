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>
    <mc:Choice Requires="x15">
      <x15ac:absPath xmlns:x15ac="http://schemas.microsoft.com/office/spreadsheetml/2010/11/ac" url="W:\Regulated Pricing\Rates and Riders\Iowa\IA TCA\TCA annual reconciliation &amp; new factor calc\2019\02.13.20 Filing\New Factor Filing\"/>
    </mc:Choice>
  </mc:AlternateContent>
  <bookViews>
    <workbookView xWindow="-15" yWindow="2025" windowWidth="19215" windowHeight="1800" tabRatio="781"/>
  </bookViews>
  <sheets>
    <sheet name="Sales" sheetId="14" r:id="rId1"/>
    <sheet name="A&amp;G Credit" sheetId="9" r:id="rId2"/>
    <sheet name="Forecast Costs &amp; Credits" sheetId="1" r:id="rId3"/>
    <sheet name="Net Forecast Costs" sheetId="6" r:id="rId4"/>
    <sheet name="Actual O-U by Rev Class" sheetId="10" r:id="rId5"/>
    <sheet name="Rev Difference by Rev Class" sheetId="12" r:id="rId6"/>
    <sheet name="TCA factor calc" sheetId="11" r:id="rId7"/>
  </sheets>
  <externalReferences>
    <externalReference r:id="rId8"/>
    <externalReference r:id="rId9"/>
    <externalReference r:id="rId10"/>
  </externalReferences>
  <definedNames>
    <definedName name="AlocList" localSheetId="6">'[1]Functional Alloc'!$A$4:$A$35</definedName>
    <definedName name="AlocList">'[2]Functional Alloc'!$A$4:$A$35</definedName>
    <definedName name="AlocTable" localSheetId="6">'[1]Functional Alloc'!$A$4:$K$35</definedName>
    <definedName name="AlocTable">'[2]Functional Alloc'!$A$4:$K$35</definedName>
    <definedName name="Recover" localSheetId="6">[3]Macro1!$A$1734</definedName>
    <definedName name="Recover">[3]Macro1!$A$1734</definedName>
    <definedName name="TableName">"Dummy"</definedName>
  </definedNames>
  <calcPr calcId="152511"/>
</workbook>
</file>

<file path=xl/calcChain.xml><?xml version="1.0" encoding="utf-8"?>
<calcChain xmlns="http://schemas.openxmlformats.org/spreadsheetml/2006/main">
  <c r="D14" i="14" l="1"/>
  <c r="P13" i="14"/>
  <c r="P20" i="14"/>
  <c r="R20" i="14"/>
  <c r="R22" i="14"/>
  <c r="R21" i="14"/>
  <c r="H29" i="14"/>
  <c r="K14" i="14" s="1"/>
  <c r="Q13" i="14" s="1"/>
  <c r="C22" i="12" s="1"/>
  <c r="D23" i="12" s="1"/>
  <c r="P15" i="14"/>
  <c r="O15" i="1"/>
  <c r="D19" i="11"/>
  <c r="K15" i="14"/>
  <c r="C27" i="12" s="1"/>
  <c r="D28" i="12" s="1"/>
  <c r="C17" i="9"/>
  <c r="C29" i="1"/>
  <c r="C21" i="1"/>
  <c r="C14" i="6" s="1"/>
  <c r="C23" i="6" s="1"/>
  <c r="D29" i="1"/>
  <c r="D21" i="1"/>
  <c r="D14" i="6" s="1"/>
  <c r="D23" i="6" s="1"/>
  <c r="E29" i="1"/>
  <c r="E21" i="1"/>
  <c r="F29" i="1"/>
  <c r="F21" i="1"/>
  <c r="F14" i="6"/>
  <c r="F23" i="6" s="1"/>
  <c r="G29" i="1"/>
  <c r="G21" i="1"/>
  <c r="G14" i="6" s="1"/>
  <c r="G23" i="6" s="1"/>
  <c r="H29" i="1"/>
  <c r="H21" i="1"/>
  <c r="H14" i="6" s="1"/>
  <c r="H23" i="6" s="1"/>
  <c r="I29" i="1"/>
  <c r="I21" i="1"/>
  <c r="I14" i="6" s="1"/>
  <c r="I23" i="6" s="1"/>
  <c r="J29" i="1"/>
  <c r="J21" i="1"/>
  <c r="J14" i="6" s="1"/>
  <c r="J23" i="6" s="1"/>
  <c r="K29" i="1"/>
  <c r="K21" i="1"/>
  <c r="K14" i="6" s="1"/>
  <c r="K23" i="6" s="1"/>
  <c r="L29" i="1"/>
  <c r="L21" i="1"/>
  <c r="L14" i="6" s="1"/>
  <c r="L23" i="6" s="1"/>
  <c r="M29" i="1"/>
  <c r="M21" i="1"/>
  <c r="M14" i="6" s="1"/>
  <c r="M23" i="6" s="1"/>
  <c r="N29" i="1"/>
  <c r="N21" i="1"/>
  <c r="N14" i="6" s="1"/>
  <c r="N23" i="6" s="1"/>
  <c r="H31" i="14"/>
  <c r="L15" i="14"/>
  <c r="G19" i="11"/>
  <c r="A4" i="6"/>
  <c r="Q10" i="14"/>
  <c r="P22" i="14"/>
  <c r="P21" i="14"/>
  <c r="D29" i="6"/>
  <c r="C29" i="6"/>
  <c r="C20" i="6"/>
  <c r="D20" i="6"/>
  <c r="P56" i="10"/>
  <c r="P51" i="10"/>
  <c r="P46" i="10"/>
  <c r="P41" i="10"/>
  <c r="P36" i="10"/>
  <c r="P31" i="10"/>
  <c r="P26" i="10"/>
  <c r="P21" i="10"/>
  <c r="P16" i="10"/>
  <c r="O19" i="1"/>
  <c r="A4" i="11"/>
  <c r="A4" i="12"/>
  <c r="A4" i="10"/>
  <c r="A4" i="1"/>
  <c r="A4" i="9"/>
  <c r="P17" i="10"/>
  <c r="P22" i="10"/>
  <c r="P27" i="10"/>
  <c r="P32" i="10"/>
  <c r="P37" i="10"/>
  <c r="P42" i="10"/>
  <c r="P47" i="10"/>
  <c r="P52" i="10"/>
  <c r="P15" i="10"/>
  <c r="P20" i="10"/>
  <c r="P25" i="10"/>
  <c r="P30" i="10"/>
  <c r="P35" i="10"/>
  <c r="P40" i="10"/>
  <c r="P45" i="10"/>
  <c r="P50" i="10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R10" i="14"/>
  <c r="A21" i="12"/>
  <c r="P14" i="14"/>
  <c r="P58" i="10"/>
  <c r="O20" i="1"/>
  <c r="O18" i="1"/>
  <c r="O17" i="1"/>
  <c r="O16" i="1"/>
  <c r="A44" i="6"/>
  <c r="A45" i="6"/>
  <c r="A46" i="6"/>
  <c r="A47" i="6"/>
  <c r="A48" i="6"/>
  <c r="A49" i="6"/>
  <c r="A50" i="6"/>
  <c r="A51" i="6"/>
  <c r="A17" i="12"/>
  <c r="A18" i="12"/>
  <c r="A22" i="12"/>
  <c r="A23" i="12"/>
  <c r="A24" i="12"/>
  <c r="A26" i="12"/>
  <c r="A27" i="12"/>
  <c r="A28" i="12"/>
  <c r="A29" i="12"/>
  <c r="A31" i="12"/>
  <c r="A32" i="12"/>
  <c r="A33" i="12"/>
  <c r="A34" i="12"/>
  <c r="A36" i="12"/>
  <c r="A37" i="12"/>
  <c r="A38" i="12"/>
  <c r="A39" i="12"/>
  <c r="A41" i="12"/>
  <c r="A42" i="12"/>
  <c r="A43" i="12"/>
  <c r="A44" i="12"/>
  <c r="A46" i="12"/>
  <c r="A47" i="12"/>
  <c r="A48" i="12"/>
  <c r="A49" i="12"/>
  <c r="A51" i="12"/>
  <c r="A52" i="12"/>
  <c r="A53" i="12"/>
  <c r="A54" i="12"/>
  <c r="A56" i="12"/>
  <c r="N14" i="14"/>
  <c r="N15" i="14"/>
  <c r="N20" i="14"/>
  <c r="N21" i="14"/>
  <c r="N22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9" i="14"/>
  <c r="F31" i="14"/>
  <c r="A14" i="14"/>
  <c r="A15" i="14"/>
  <c r="A16" i="14"/>
  <c r="A17" i="14"/>
  <c r="A18" i="14"/>
  <c r="A19" i="14"/>
  <c r="A20" i="14"/>
  <c r="A21" i="14"/>
  <c r="P18" i="10"/>
  <c r="D17" i="11"/>
  <c r="C21" i="14"/>
  <c r="D13" i="14"/>
  <c r="A18" i="11"/>
  <c r="A19" i="11"/>
  <c r="A20" i="11"/>
  <c r="A21" i="11"/>
  <c r="A22" i="11"/>
  <c r="A23" i="11"/>
  <c r="A24" i="11"/>
  <c r="A25" i="11"/>
  <c r="P53" i="10"/>
  <c r="D24" i="11"/>
  <c r="P33" i="10"/>
  <c r="D20" i="11"/>
  <c r="P28" i="10"/>
  <c r="P48" i="10"/>
  <c r="D23" i="11"/>
  <c r="P43" i="10"/>
  <c r="D22" i="11"/>
  <c r="P38" i="10"/>
  <c r="D21" i="11"/>
  <c r="P23" i="10"/>
  <c r="D18" i="11"/>
  <c r="A16" i="1"/>
  <c r="A17" i="1" s="1"/>
  <c r="A18" i="1" s="1"/>
  <c r="A19" i="1" s="1"/>
  <c r="A20" i="1" s="1"/>
  <c r="A21" i="1" s="1"/>
  <c r="A29" i="1" s="1"/>
  <c r="A34" i="1" s="1"/>
  <c r="I22" i="6"/>
  <c r="E22" i="6"/>
  <c r="F22" i="6"/>
  <c r="G22" i="6"/>
  <c r="H22" i="6"/>
  <c r="J22" i="6"/>
  <c r="K22" i="6"/>
  <c r="L22" i="6"/>
  <c r="M22" i="6"/>
  <c r="N22" i="6"/>
  <c r="D22" i="6"/>
  <c r="C52" i="6"/>
  <c r="O29" i="1"/>
  <c r="D25" i="11"/>
  <c r="P55" i="10"/>
  <c r="P57" i="10"/>
  <c r="D20" i="14"/>
  <c r="D15" i="14"/>
  <c r="L14" i="14"/>
  <c r="R13" i="14"/>
  <c r="H18" i="11"/>
  <c r="D17" i="14"/>
  <c r="L17" i="14"/>
  <c r="R15" i="14"/>
  <c r="H21" i="11"/>
  <c r="D18" i="14"/>
  <c r="L18" i="14"/>
  <c r="G22" i="11"/>
  <c r="D19" i="14"/>
  <c r="L19" i="14"/>
  <c r="G23" i="11"/>
  <c r="D16" i="14"/>
  <c r="L16" i="14"/>
  <c r="R14" i="14"/>
  <c r="H20" i="11"/>
  <c r="L13" i="14"/>
  <c r="G17" i="11"/>
  <c r="K13" i="14"/>
  <c r="K20" i="14"/>
  <c r="C52" i="12" s="1"/>
  <c r="D53" i="12" s="1"/>
  <c r="K18" i="14"/>
  <c r="C42" i="12"/>
  <c r="D43" i="12" s="1"/>
  <c r="L20" i="14"/>
  <c r="G24" i="11"/>
  <c r="K19" i="14"/>
  <c r="C47" i="12" s="1"/>
  <c r="D48" i="12" s="1"/>
  <c r="D21" i="14"/>
  <c r="K16" i="14"/>
  <c r="Q14" i="14"/>
  <c r="C32" i="12" s="1"/>
  <c r="D33" i="12" s="1"/>
  <c r="C17" i="12"/>
  <c r="D18" i="12" s="1"/>
  <c r="L21" i="14"/>
  <c r="K17" i="14" l="1"/>
  <c r="Q15" i="14" s="1"/>
  <c r="C37" i="12" s="1"/>
  <c r="D38" i="12" s="1"/>
  <c r="O21" i="1"/>
  <c r="E14" i="6"/>
  <c r="E23" i="6" s="1"/>
  <c r="O23" i="6" s="1"/>
  <c r="N37" i="6"/>
  <c r="N32" i="6"/>
  <c r="N33" i="6"/>
  <c r="N36" i="6"/>
  <c r="N34" i="6"/>
  <c r="N31" i="6"/>
  <c r="N35" i="6"/>
  <c r="N38" i="6"/>
  <c r="G34" i="6"/>
  <c r="G35" i="6"/>
  <c r="G36" i="6"/>
  <c r="G38" i="6"/>
  <c r="G31" i="6"/>
  <c r="G33" i="6"/>
  <c r="G37" i="6"/>
  <c r="G32" i="6"/>
  <c r="L32" i="6"/>
  <c r="L38" i="6"/>
  <c r="L37" i="6"/>
  <c r="L34" i="6"/>
  <c r="L36" i="6"/>
  <c r="L35" i="6"/>
  <c r="L31" i="6"/>
  <c r="L33" i="6"/>
  <c r="J35" i="6"/>
  <c r="J33" i="6"/>
  <c r="J32" i="6"/>
  <c r="J34" i="6"/>
  <c r="J31" i="6"/>
  <c r="J37" i="6"/>
  <c r="J36" i="6"/>
  <c r="J38" i="6"/>
  <c r="C35" i="6"/>
  <c r="C32" i="6"/>
  <c r="C34" i="6"/>
  <c r="C33" i="6"/>
  <c r="C36" i="6"/>
  <c r="C38" i="6"/>
  <c r="C37" i="6"/>
  <c r="C31" i="6"/>
  <c r="H36" i="6"/>
  <c r="H37" i="6"/>
  <c r="H32" i="6"/>
  <c r="H33" i="6"/>
  <c r="H38" i="6"/>
  <c r="H34" i="6"/>
  <c r="H35" i="6"/>
  <c r="H31" i="6"/>
  <c r="F31" i="6"/>
  <c r="F36" i="6"/>
  <c r="F34" i="6"/>
  <c r="F33" i="6"/>
  <c r="F37" i="6"/>
  <c r="F32" i="6"/>
  <c r="F38" i="6"/>
  <c r="F35" i="6"/>
  <c r="E34" i="6"/>
  <c r="E32" i="6"/>
  <c r="I33" i="6"/>
  <c r="I38" i="6"/>
  <c r="I34" i="6"/>
  <c r="I35" i="6"/>
  <c r="I32" i="6"/>
  <c r="I36" i="6"/>
  <c r="I37" i="6"/>
  <c r="I31" i="6"/>
  <c r="M33" i="6"/>
  <c r="M36" i="6"/>
  <c r="M38" i="6"/>
  <c r="M32" i="6"/>
  <c r="M37" i="6"/>
  <c r="M31" i="6"/>
  <c r="M34" i="6"/>
  <c r="M35" i="6"/>
  <c r="K32" i="6"/>
  <c r="K36" i="6"/>
  <c r="K31" i="6"/>
  <c r="K35" i="6"/>
  <c r="K37" i="6"/>
  <c r="K33" i="6"/>
  <c r="K34" i="6"/>
  <c r="K38" i="6"/>
  <c r="D35" i="6"/>
  <c r="D38" i="6"/>
  <c r="D32" i="6"/>
  <c r="D34" i="6"/>
  <c r="D33" i="6"/>
  <c r="D37" i="6"/>
  <c r="D31" i="6"/>
  <c r="D39" i="6" s="1"/>
  <c r="D36" i="6"/>
  <c r="O14" i="6"/>
  <c r="K21" i="14" l="1"/>
  <c r="K39" i="6"/>
  <c r="E38" i="6"/>
  <c r="E35" i="6"/>
  <c r="E36" i="6"/>
  <c r="E37" i="6"/>
  <c r="E46" i="12" s="1"/>
  <c r="E47" i="12" s="1"/>
  <c r="E48" i="12" s="1"/>
  <c r="F49" i="12" s="1"/>
  <c r="E23" i="11" s="1"/>
  <c r="E33" i="6"/>
  <c r="E31" i="6"/>
  <c r="E16" i="12" s="1"/>
  <c r="E17" i="12" s="1"/>
  <c r="E18" i="12" s="1"/>
  <c r="F19" i="12" s="1"/>
  <c r="M39" i="6"/>
  <c r="E31" i="12"/>
  <c r="E32" i="12" s="1"/>
  <c r="E33" i="12" s="1"/>
  <c r="F34" i="12" s="1"/>
  <c r="E20" i="11" s="1"/>
  <c r="O34" i="6"/>
  <c r="C20" i="11" s="1"/>
  <c r="L39" i="6"/>
  <c r="F39" i="6"/>
  <c r="E51" i="12"/>
  <c r="E52" i="12" s="1"/>
  <c r="E53" i="12" s="1"/>
  <c r="F54" i="12" s="1"/>
  <c r="E24" i="11" s="1"/>
  <c r="O38" i="6"/>
  <c r="C24" i="11" s="1"/>
  <c r="E21" i="12"/>
  <c r="E22" i="12" s="1"/>
  <c r="E23" i="12" s="1"/>
  <c r="F24" i="12" s="1"/>
  <c r="E18" i="11" s="1"/>
  <c r="O32" i="6"/>
  <c r="C18" i="11" s="1"/>
  <c r="N39" i="6"/>
  <c r="E26" i="12"/>
  <c r="E27" i="12" s="1"/>
  <c r="E28" i="12" s="1"/>
  <c r="F29" i="12" s="1"/>
  <c r="E19" i="11" s="1"/>
  <c r="O33" i="6"/>
  <c r="C19" i="11" s="1"/>
  <c r="I39" i="6"/>
  <c r="H39" i="6"/>
  <c r="O31" i="6"/>
  <c r="C17" i="11" s="1"/>
  <c r="C39" i="6"/>
  <c r="O36" i="6"/>
  <c r="C22" i="11" s="1"/>
  <c r="E41" i="12"/>
  <c r="E42" i="12" s="1"/>
  <c r="E43" i="12" s="1"/>
  <c r="F44" i="12" s="1"/>
  <c r="E22" i="11" s="1"/>
  <c r="O35" i="6"/>
  <c r="C21" i="11" s="1"/>
  <c r="E36" i="12"/>
  <c r="E37" i="12" s="1"/>
  <c r="E38" i="12" s="1"/>
  <c r="F39" i="12" s="1"/>
  <c r="E21" i="11" s="1"/>
  <c r="J39" i="6"/>
  <c r="G39" i="6"/>
  <c r="F24" i="11" l="1"/>
  <c r="I24" i="11" s="1"/>
  <c r="F20" i="11"/>
  <c r="J20" i="11" s="1"/>
  <c r="O37" i="6"/>
  <c r="C23" i="11" s="1"/>
  <c r="F23" i="11" s="1"/>
  <c r="I23" i="11" s="1"/>
  <c r="F18" i="11"/>
  <c r="J18" i="11" s="1"/>
  <c r="E39" i="6"/>
  <c r="O39" i="6" s="1"/>
  <c r="F21" i="11"/>
  <c r="J21" i="11" s="1"/>
  <c r="F56" i="12"/>
  <c r="E17" i="11"/>
  <c r="E25" i="11" s="1"/>
  <c r="F19" i="11"/>
  <c r="I19" i="11" s="1"/>
  <c r="F22" i="11"/>
  <c r="I22" i="11" s="1"/>
  <c r="C25" i="11" l="1"/>
  <c r="F17" i="11"/>
  <c r="F25" i="11" l="1"/>
  <c r="I17" i="11"/>
</calcChain>
</file>

<file path=xl/comments1.xml><?xml version="1.0" encoding="utf-8"?>
<comments xmlns="http://schemas.openxmlformats.org/spreadsheetml/2006/main">
  <authors>
    <author>Early, Megan M</author>
  </authors>
  <commentList>
    <comment ref="Q19" authorId="0" shapeId="0">
      <text>
        <r>
          <rPr>
            <sz val="9"/>
            <color indexed="81"/>
            <rFont val="Tahoma"/>
            <family val="2"/>
          </rPr>
          <t>Request annual billed demand by rate code from Martha and then do lookup to get to TCA classes</t>
        </r>
      </text>
    </comment>
  </commentList>
</comments>
</file>

<file path=xl/sharedStrings.xml><?xml version="1.0" encoding="utf-8"?>
<sst xmlns="http://schemas.openxmlformats.org/spreadsheetml/2006/main" count="386" uniqueCount="180">
  <si>
    <t>Total Company Electric Operations</t>
  </si>
  <si>
    <t>Schedule 10 Charge (MISO Adder)</t>
  </si>
  <si>
    <t>Schedule 10-FERC Charge</t>
  </si>
  <si>
    <t>Schedule 26 Charge</t>
  </si>
  <si>
    <t>Schedule 26-A Charge</t>
  </si>
  <si>
    <t>Description</t>
  </si>
  <si>
    <t>TOTAL</t>
  </si>
  <si>
    <t>Line No.</t>
  </si>
  <si>
    <t>Schedule 9 Charge</t>
  </si>
  <si>
    <t>NET MISO COSTS</t>
  </si>
  <si>
    <t>Source:</t>
  </si>
  <si>
    <t>Residential</t>
  </si>
  <si>
    <t>Small General Service Energy</t>
  </si>
  <si>
    <t>Small General Service Demand</t>
  </si>
  <si>
    <t>Individual Contract Rates</t>
  </si>
  <si>
    <t>Water Pumping Service</t>
  </si>
  <si>
    <t>Lighting</t>
  </si>
  <si>
    <t>IA ALLOCATION OF NET MISO COSTS</t>
  </si>
  <si>
    <t>IA ALLOCATION</t>
  </si>
  <si>
    <t>Large General Service &amp; Substation</t>
  </si>
  <si>
    <t>Traffic Control Service</t>
  </si>
  <si>
    <t>Residential - COSTS</t>
  </si>
  <si>
    <t>SGS Demand - COSTS</t>
  </si>
  <si>
    <t>Residential - REVENUE</t>
  </si>
  <si>
    <t>SGS Demand - REVENUE</t>
  </si>
  <si>
    <t>SGS Energy - COSTS</t>
  </si>
  <si>
    <t>SGS Energy - REVENUE</t>
  </si>
  <si>
    <t>LGS &amp; SS - COSTS</t>
  </si>
  <si>
    <t>ICR - COSTS</t>
  </si>
  <si>
    <t>ICR - REVENUE</t>
  </si>
  <si>
    <t>LGS &amp; SS - REVENUE</t>
  </si>
  <si>
    <t>Traffic Control - COSTS</t>
  </si>
  <si>
    <t>Traffic Control - REVENUE</t>
  </si>
  <si>
    <t>Water Pumping - COSTS</t>
  </si>
  <si>
    <t>Water Pumping - REVENUE</t>
  </si>
  <si>
    <t>Lighting - COSTS</t>
  </si>
  <si>
    <t>Lighting - REVENUE</t>
  </si>
  <si>
    <t>TOTAL - COSTS</t>
  </si>
  <si>
    <t>TOTAL - REVENUE</t>
  </si>
  <si>
    <t>TOTAL (Under-)/Over-collection</t>
  </si>
  <si>
    <t>(Under-)/Over-collection</t>
  </si>
  <si>
    <t>Value</t>
  </si>
  <si>
    <t>Rate Template Attachment MM Annual Allocation Factor for Other Expense</t>
  </si>
  <si>
    <t>MidAmerican Energy Ratio as a Percentage of Total MISO Energy</t>
  </si>
  <si>
    <t>Allocation of Other Expenses to MidAmerican</t>
  </si>
  <si>
    <t>12-CP ALLOCATORS:</t>
  </si>
  <si>
    <t>MidAmerican TCA Transmission Charges</t>
  </si>
  <si>
    <t xml:space="preserve">Line No. </t>
  </si>
  <si>
    <t>(a)</t>
  </si>
  <si>
    <t>(b)</t>
  </si>
  <si>
    <t>(c)</t>
  </si>
  <si>
    <t>(d)</t>
  </si>
  <si>
    <t>(e)</t>
  </si>
  <si>
    <t>(f)</t>
  </si>
  <si>
    <t>(g)</t>
  </si>
  <si>
    <t>Total</t>
  </si>
  <si>
    <t>Forecasted A&amp;G in MISO rates (CREDIT)</t>
  </si>
  <si>
    <t>Sources:</t>
  </si>
  <si>
    <t>SGS Energy - KWH SALES</t>
  </si>
  <si>
    <t>FORECAST KWH SALES</t>
  </si>
  <si>
    <t>Grand Total</t>
  </si>
  <si>
    <t>kWh</t>
  </si>
  <si>
    <t>%</t>
  </si>
  <si>
    <t xml:space="preserve">Residential </t>
  </si>
  <si>
    <t xml:space="preserve">Lighting </t>
  </si>
  <si>
    <t>ACTUAL KWH SALES</t>
  </si>
  <si>
    <t>Residential - KWH SALES</t>
  </si>
  <si>
    <t>SGS Demand - KW SALES</t>
  </si>
  <si>
    <t>LGS &amp; SS - KW SALES</t>
  </si>
  <si>
    <t>ICR - KW SALES</t>
  </si>
  <si>
    <t>Traffic Control - KWH SALES</t>
  </si>
  <si>
    <t>Water Pumping - KWH SALES</t>
  </si>
  <si>
    <t>Lighting - KWH SALES</t>
  </si>
  <si>
    <t>IOWA ONLY</t>
  </si>
  <si>
    <t>IOWA ONLY by Revenue Class</t>
  </si>
  <si>
    <t>TCA COSTS AND REVENUE</t>
  </si>
  <si>
    <t>TCA FACTOR CALCULATION</t>
  </si>
  <si>
    <t>(h)</t>
  </si>
  <si>
    <t>FORECAST KW SALES</t>
  </si>
  <si>
    <t>Hours</t>
  </si>
  <si>
    <t>kW</t>
  </si>
  <si>
    <t>SGSD</t>
  </si>
  <si>
    <t>SGSE</t>
  </si>
  <si>
    <t>LGS &amp; SS</t>
  </si>
  <si>
    <t>ICR</t>
  </si>
  <si>
    <t>Traffic Controls</t>
  </si>
  <si>
    <t>Water Pumping</t>
  </si>
  <si>
    <t>Allocator for forecasts</t>
  </si>
  <si>
    <t>(i)</t>
  </si>
  <si>
    <t>(j)</t>
  </si>
  <si>
    <t>(k)</t>
  </si>
  <si>
    <t>(l)</t>
  </si>
  <si>
    <t>(m)</t>
  </si>
  <si>
    <t>MULTI-VALUE PROJECT A&amp;G CREDIT</t>
  </si>
  <si>
    <t>MIDAMERCIAN ENERGY COMPANY</t>
  </si>
  <si>
    <t>Page 1 of 7</t>
  </si>
  <si>
    <t>Page 2 of 7</t>
  </si>
  <si>
    <t>Page 7 of 7</t>
  </si>
  <si>
    <t>Page 6 of 7</t>
  </si>
  <si>
    <t>Page 5 of 7</t>
  </si>
  <si>
    <t>Page 4 of 7</t>
  </si>
  <si>
    <t>Page 3 of 7</t>
  </si>
  <si>
    <t>Columns (d) and (e) are the allocation of total forecast sales for the period to revenue class.</t>
  </si>
  <si>
    <t>Columns (a) and (c) from Company books/forecasts.</t>
  </si>
  <si>
    <t>Line 1 * Line 2</t>
  </si>
  <si>
    <t>Company A&amp;E allocator for IA</t>
  </si>
  <si>
    <t>4-11</t>
  </si>
  <si>
    <t>Line 3 * revenue class 12-CP allocator</t>
  </si>
  <si>
    <t>Columns (g) and (h), Lines 1-3 are the forecast demand sales for the period * hours.</t>
  </si>
  <si>
    <t>KWH SALES lines are from Page 1, Column (d)</t>
  </si>
  <si>
    <t>KW SALES lines are from Page 1, Column (g)</t>
  </si>
  <si>
    <t>COSTS lines are the sum of Page 4, Columns (a) - (c) for each revenue class - Lines 4-11</t>
  </si>
  <si>
    <t>Column (a) is from Page 4, Column (m), Lines 4-11</t>
  </si>
  <si>
    <t>MISO COSTS</t>
  </si>
  <si>
    <t>Forecast</t>
  </si>
  <si>
    <t>MISO CREDITS</t>
  </si>
  <si>
    <t>Line 1 x Line 2</t>
  </si>
  <si>
    <t>(n)</t>
  </si>
  <si>
    <t>Over/Under</t>
  </si>
  <si>
    <t>Balance at</t>
  </si>
  <si>
    <t>Column (g) Lines 4-6 from Company books.</t>
  </si>
  <si>
    <t>Current TCA</t>
  </si>
  <si>
    <t>Factor</t>
  </si>
  <si>
    <t>Line</t>
  </si>
  <si>
    <t>No.</t>
  </si>
  <si>
    <t>Transmission</t>
  </si>
  <si>
    <t>Expense</t>
  </si>
  <si>
    <t>Over/(Under)</t>
  </si>
  <si>
    <t>Jan-Mar</t>
  </si>
  <si>
    <t>Recoverable</t>
  </si>
  <si>
    <t>Forecasted</t>
  </si>
  <si>
    <t>Demand (kW)</t>
  </si>
  <si>
    <t>Sales (kWh)</t>
  </si>
  <si>
    <t>Cumulative</t>
  </si>
  <si>
    <t>Balance</t>
  </si>
  <si>
    <t>Column (b) is from Page 5, Column (n), "(Under-)/Over-collection" lines</t>
  </si>
  <si>
    <t>$ per kWh</t>
  </si>
  <si>
    <t>TCA Rate</t>
  </si>
  <si>
    <t>$ per kW</t>
  </si>
  <si>
    <t>Columns (a) - (b) are ACTUAL, columns (c) - (l) are FORECAST</t>
  </si>
  <si>
    <t>Revenue</t>
  </si>
  <si>
    <t>Difference</t>
  </si>
  <si>
    <t>Sales</t>
  </si>
  <si>
    <t>(a) - (b) - (c)</t>
  </si>
  <si>
    <t>REVENUE lines, Column (b) are the SALES in Column (a) * factor in Column (b)</t>
  </si>
  <si>
    <t>REVENUE lines, Column (c) are the SALES in Column (a) * factor in Column (c)</t>
  </si>
  <si>
    <t>Column (c) is from Page 6, Column (d), "(Under-)/Over-collection" lines</t>
  </si>
  <si>
    <t>Column (e) is from Page 1, Column (e)</t>
  </si>
  <si>
    <t>Column (f) is from Page 1, Column (h)</t>
  </si>
  <si>
    <t>(d) / (e)</t>
  </si>
  <si>
    <t>(d) / (f)</t>
  </si>
  <si>
    <t>Hypothetical TCA</t>
  </si>
  <si>
    <t>JANUARY THROUGH MARCH REVENUE DIFFERENCE</t>
  </si>
  <si>
    <t>IOWA ONLY Electric Operations by REVENUE CLASS</t>
  </si>
  <si>
    <t>Each month is 1/12 of Page 2, Column (a), Line 3.</t>
  </si>
  <si>
    <t>MISO MVP Distributions</t>
  </si>
  <si>
    <t>Page 3, Line 7 less Line 8.</t>
  </si>
  <si>
    <t>Interest Expense related to the ROE refund is not factored into Over/Under calculations.  Interest is expense to MidAmerican Energy Company.</t>
  </si>
  <si>
    <t>MISO ROE Refund - INTEREST</t>
  </si>
  <si>
    <t>Actual</t>
  </si>
  <si>
    <t>12/31/18</t>
  </si>
  <si>
    <t>2020 &amp; 2021 Forecast</t>
  </si>
  <si>
    <t>12/31/19</t>
  </si>
  <si>
    <t>Mar-21</t>
  </si>
  <si>
    <t>2020 TOTAL</t>
  </si>
  <si>
    <t>January is an actual, the remaining months are an average of the previous two years.</t>
  </si>
  <si>
    <t>2019 TCA RECONCILIATION and 2020 NEW FACTOR CALCULATION</t>
  </si>
  <si>
    <t>Jan-20 through Mar-20</t>
  </si>
  <si>
    <t>Apr-20 through Mar-21</t>
  </si>
  <si>
    <t>2019 kWh</t>
  </si>
  <si>
    <t>2019 kW</t>
  </si>
  <si>
    <t>January 2020 through March 2020</t>
  </si>
  <si>
    <t>April 2020 through March 2021</t>
  </si>
  <si>
    <t>Year Ending December 31, 2020</t>
  </si>
  <si>
    <t>MidAmerican's 2020 Attachment MM Rate Template</t>
  </si>
  <si>
    <t xml:space="preserve">Calculation of MidAmerican's 2020 energy forecast divided by total MISO energy </t>
  </si>
  <si>
    <t>This is the "O-U by Rev Class" tab from the monthly TCA report. Docket No. EAC-2019-0156</t>
  </si>
  <si>
    <t>2020 Forecasted</t>
  </si>
  <si>
    <t>2020 Forecast</t>
  </si>
  <si>
    <t>Apr-20 through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</si>
</sst>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[$-409]mmm\-yy;@"/>
    <numFmt numFmtId="165" formatCode="_(* #,##0_);_(* \(#,##0\);_(* &quot;-&quot;??_);_(@_)"/>
    <numFmt numFmtId="166" formatCode="_(&quot;$&quot;* #,##0_);_(&quot;$&quot;* \(#,##0\);_(&quot;$&quot;* &quot;-&quot;??_);_(@_)"/>
    <numFmt numFmtId="167" formatCode="_(* #,##0.0000_);_(* \(#,##0.0000\);_(* &quot;-&quot;??_);_(@_)"/>
    <numFmt numFmtId="168" formatCode="_(* #,##0.00000_);_(* \(#,##0.00000\);_(* &quot;-&quot;??_);_(@_)"/>
    <numFmt numFmtId="169" formatCode="0.000000"/>
    <numFmt numFmtId="170" formatCode="&quot;$&quot;#,##0.0000_);\(&quot;$&quot;#,##0.0000\)"/>
    <numFmt numFmtId="171" formatCode="0.0000000"/>
    <numFmt numFmtId="172" formatCode="0.00000"/>
    <numFmt numFmtId="173" formatCode="_(&quot;$&quot;* #,##0.00000_);_(&quot;$&quot;* \(#,##0.00000\);_(&quot;$&quot;* &quot;-&quot;??_);_(@_)"/>
    <numFmt numFmtId="174" formatCode="0.00000%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b/>
      <sz val="10"/>
      <color rgb="FFFF0000"/>
      <name val="Calibri"/>
      <family val="2"/>
      <scheme val="minor"/>
    </font>
    <font>
      <b/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49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180">
    <xf numFmtId="0" fontId="0" fillId="0" borderId="0" xfId="0"/>
    <xf numFmtId="0" fontId="4" fillId="0" borderId="0" xfId="1" applyFont="1" applyFill="1"/>
    <xf numFmtId="0" fontId="4" fillId="0" borderId="0" xfId="1" applyFont="1" applyFill="1" applyAlignment="1">
      <alignment horizontal="center"/>
    </xf>
    <xf numFmtId="0" fontId="4" fillId="0" borderId="0" xfId="1" applyFont="1" applyFill="1" applyAlignment="1"/>
    <xf numFmtId="164" fontId="7" fillId="0" borderId="0" xfId="1" applyNumberFormat="1" applyFont="1" applyFill="1" applyAlignment="1">
      <alignment horizontal="center"/>
    </xf>
    <xf numFmtId="164" fontId="4" fillId="0" borderId="0" xfId="1" applyNumberFormat="1" applyFont="1" applyFill="1" applyAlignment="1">
      <alignment horizontal="center"/>
    </xf>
    <xf numFmtId="165" fontId="4" fillId="0" borderId="0" xfId="3" applyNumberFormat="1" applyFont="1" applyFill="1"/>
    <xf numFmtId="0" fontId="7" fillId="0" borderId="0" xfId="1" applyFont="1" applyFill="1"/>
    <xf numFmtId="1" fontId="4" fillId="0" borderId="0" xfId="1" applyNumberFormat="1" applyFont="1" applyFill="1"/>
    <xf numFmtId="43" fontId="4" fillId="0" borderId="0" xfId="1" applyNumberFormat="1" applyFont="1" applyFill="1"/>
    <xf numFmtId="0" fontId="4" fillId="0" borderId="0" xfId="1" applyFont="1" applyFill="1" applyAlignment="1">
      <alignment horizontal="left"/>
    </xf>
    <xf numFmtId="0" fontId="4" fillId="0" borderId="0" xfId="1" applyFont="1" applyFill="1" applyAlignment="1">
      <alignment horizontal="center"/>
    </xf>
    <xf numFmtId="0" fontId="4" fillId="0" borderId="0" xfId="1" applyFont="1" applyFill="1" applyAlignment="1">
      <alignment horizontal="center"/>
    </xf>
    <xf numFmtId="0" fontId="7" fillId="0" borderId="0" xfId="1" applyFont="1" applyFill="1" applyAlignment="1">
      <alignment horizontal="center"/>
    </xf>
    <xf numFmtId="165" fontId="4" fillId="0" borderId="0" xfId="1" applyNumberFormat="1" applyFont="1" applyFill="1"/>
    <xf numFmtId="0" fontId="4" fillId="0" borderId="0" xfId="1" applyFont="1" applyFill="1" applyAlignment="1">
      <alignment horizontal="left" indent="2"/>
    </xf>
    <xf numFmtId="0" fontId="7" fillId="0" borderId="0" xfId="1" applyFont="1" applyFill="1" applyBorder="1" applyAlignment="1">
      <alignment horizontal="center"/>
    </xf>
    <xf numFmtId="0" fontId="5" fillId="0" borderId="0" xfId="1" applyFont="1" applyFill="1" applyAlignment="1">
      <alignment horizontal="center"/>
    </xf>
    <xf numFmtId="166" fontId="4" fillId="0" borderId="1" xfId="24" applyNumberFormat="1" applyFont="1" applyFill="1" applyBorder="1"/>
    <xf numFmtId="166" fontId="4" fillId="0" borderId="0" xfId="24" applyNumberFormat="1" applyFont="1" applyFill="1"/>
    <xf numFmtId="166" fontId="4" fillId="0" borderId="2" xfId="24" applyNumberFormat="1" applyFont="1" applyFill="1" applyBorder="1"/>
    <xf numFmtId="0" fontId="4" fillId="0" borderId="2" xfId="1" applyFont="1" applyFill="1" applyBorder="1" applyAlignment="1">
      <alignment horizontal="left" indent="3"/>
    </xf>
    <xf numFmtId="166" fontId="4" fillId="0" borderId="0" xfId="1" applyNumberFormat="1" applyFont="1" applyFill="1" applyBorder="1"/>
    <xf numFmtId="0" fontId="4" fillId="0" borderId="0" xfId="1" applyFont="1" applyFill="1" applyBorder="1" applyAlignment="1">
      <alignment horizontal="left" indent="3"/>
    </xf>
    <xf numFmtId="0" fontId="4" fillId="0" borderId="0" xfId="1" applyFont="1" applyFill="1" applyAlignment="1">
      <alignment horizontal="left" wrapText="1"/>
    </xf>
    <xf numFmtId="0" fontId="4" fillId="0" borderId="0" xfId="1" applyFont="1"/>
    <xf numFmtId="164" fontId="7" fillId="0" borderId="0" xfId="1" quotePrefix="1" applyNumberFormat="1" applyFont="1" applyFill="1" applyAlignment="1">
      <alignment horizontal="center"/>
    </xf>
    <xf numFmtId="170" fontId="4" fillId="0" borderId="0" xfId="3" applyNumberFormat="1" applyFont="1" applyFill="1"/>
    <xf numFmtId="0" fontId="4" fillId="0" borderId="0" xfId="1" applyFont="1" applyFill="1" applyBorder="1" applyAlignment="1">
      <alignment horizontal="left"/>
    </xf>
    <xf numFmtId="0" fontId="7" fillId="0" borderId="0" xfId="1" applyFont="1" applyFill="1" applyBorder="1"/>
    <xf numFmtId="166" fontId="4" fillId="0" borderId="1" xfId="4" applyNumberFormat="1" applyFont="1" applyFill="1" applyBorder="1" applyAlignment="1">
      <alignment horizontal="right"/>
    </xf>
    <xf numFmtId="44" fontId="4" fillId="0" borderId="0" xfId="1" applyNumberFormat="1" applyFont="1" applyFill="1"/>
    <xf numFmtId="166" fontId="4" fillId="0" borderId="0" xfId="1" applyNumberFormat="1" applyFont="1" applyFill="1"/>
    <xf numFmtId="16" fontId="4" fillId="0" borderId="0" xfId="1" quotePrefix="1" applyNumberFormat="1" applyFont="1" applyFill="1" applyAlignment="1">
      <alignment horizontal="center"/>
    </xf>
    <xf numFmtId="168" fontId="4" fillId="0" borderId="0" xfId="1" applyNumberFormat="1" applyFont="1" applyFill="1"/>
    <xf numFmtId="0" fontId="4" fillId="0" borderId="0" xfId="1" applyFont="1" applyFill="1" applyAlignment="1">
      <alignment horizontal="left" indent="3"/>
    </xf>
    <xf numFmtId="166" fontId="4" fillId="0" borderId="0" xfId="1" applyNumberFormat="1" applyFont="1" applyFill="1" applyAlignment="1">
      <alignment horizontal="center"/>
    </xf>
    <xf numFmtId="171" fontId="4" fillId="0" borderId="0" xfId="25" applyNumberFormat="1" applyFont="1" applyFill="1"/>
    <xf numFmtId="0" fontId="4" fillId="0" borderId="0" xfId="2" applyFont="1" applyAlignment="1">
      <alignment horizontal="center"/>
    </xf>
    <xf numFmtId="0" fontId="4" fillId="0" borderId="0" xfId="2" applyFont="1"/>
    <xf numFmtId="0" fontId="4" fillId="0" borderId="0" xfId="2" applyFont="1" applyFill="1" applyAlignment="1">
      <alignment horizontal="right"/>
    </xf>
    <xf numFmtId="0" fontId="4" fillId="0" borderId="0" xfId="2" applyFont="1" applyFill="1" applyAlignment="1">
      <alignment horizontal="center"/>
    </xf>
    <xf numFmtId="0" fontId="4" fillId="0" borderId="3" xfId="2" applyFont="1" applyFill="1" applyBorder="1" applyAlignment="1">
      <alignment horizontal="center" wrapText="1"/>
    </xf>
    <xf numFmtId="164" fontId="4" fillId="0" borderId="0" xfId="2" applyNumberFormat="1" applyFont="1" applyFill="1" applyAlignment="1">
      <alignment horizontal="center"/>
    </xf>
    <xf numFmtId="0" fontId="4" fillId="0" borderId="0" xfId="2" applyFont="1" applyFill="1"/>
    <xf numFmtId="164" fontId="4" fillId="0" borderId="0" xfId="2" applyNumberFormat="1" applyFont="1" applyFill="1" applyAlignment="1">
      <alignment horizontal="left" indent="2"/>
    </xf>
    <xf numFmtId="0" fontId="4" fillId="0" borderId="0" xfId="1" applyFont="1" applyFill="1" applyBorder="1" applyAlignment="1"/>
    <xf numFmtId="0" fontId="7" fillId="0" borderId="0" xfId="2" applyFont="1" applyFill="1"/>
    <xf numFmtId="10" fontId="4" fillId="0" borderId="0" xfId="25" applyNumberFormat="1" applyFont="1" applyFill="1" applyAlignment="1">
      <alignment horizontal="center"/>
    </xf>
    <xf numFmtId="165" fontId="4" fillId="0" borderId="0" xfId="27" applyNumberFormat="1" applyFont="1" applyFill="1"/>
    <xf numFmtId="44" fontId="4" fillId="0" borderId="0" xfId="24" applyFont="1" applyFill="1" applyAlignment="1"/>
    <xf numFmtId="44" fontId="4" fillId="0" borderId="0" xfId="24" applyFont="1" applyFill="1"/>
    <xf numFmtId="0" fontId="4" fillId="0" borderId="0" xfId="0" applyFont="1"/>
    <xf numFmtId="0" fontId="4" fillId="0" borderId="0" xfId="48" applyFont="1" applyFill="1" applyBorder="1" applyAlignment="1">
      <alignment wrapText="1"/>
    </xf>
    <xf numFmtId="0" fontId="4" fillId="0" borderId="0" xfId="0" applyFont="1" applyAlignment="1">
      <alignment horizontal="center"/>
    </xf>
    <xf numFmtId="165" fontId="4" fillId="0" borderId="0" xfId="48" applyNumberFormat="1" applyFont="1" applyFill="1" applyBorder="1" applyAlignment="1">
      <alignment wrapText="1"/>
    </xf>
    <xf numFmtId="0" fontId="4" fillId="0" borderId="0" xfId="48" applyFont="1" applyFill="1" applyBorder="1" applyAlignment="1">
      <alignment horizontal="center" wrapText="1"/>
    </xf>
    <xf numFmtId="0" fontId="0" fillId="0" borderId="0" xfId="0" applyFill="1"/>
    <xf numFmtId="0" fontId="5" fillId="0" borderId="0" xfId="2" applyFont="1" applyAlignment="1">
      <alignment horizontal="left"/>
    </xf>
    <xf numFmtId="0" fontId="5" fillId="0" borderId="0" xfId="1" applyFont="1" applyFill="1" applyAlignment="1">
      <alignment horizontal="left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1" applyFont="1" applyFill="1" applyBorder="1" applyAlignment="1">
      <alignment horizontal="left" indent="2"/>
    </xf>
    <xf numFmtId="0" fontId="4" fillId="0" borderId="0" xfId="2" applyFont="1" applyFill="1" applyAlignment="1">
      <alignment horizontal="left" indent="2"/>
    </xf>
    <xf numFmtId="0" fontId="7" fillId="0" borderId="0" xfId="1" applyFont="1" applyFill="1" applyAlignment="1">
      <alignment horizontal="center" wrapText="1"/>
    </xf>
    <xf numFmtId="0" fontId="6" fillId="0" borderId="0" xfId="1" applyFont="1" applyFill="1" applyAlignment="1">
      <alignment horizontal="center"/>
    </xf>
    <xf numFmtId="165" fontId="5" fillId="0" borderId="0" xfId="27" applyNumberFormat="1" applyFont="1" applyAlignment="1">
      <alignment horizontal="center"/>
    </xf>
    <xf numFmtId="165" fontId="4" fillId="0" borderId="0" xfId="27" applyNumberFormat="1" applyFont="1" applyAlignment="1">
      <alignment horizontal="right"/>
    </xf>
    <xf numFmtId="165" fontId="4" fillId="0" borderId="0" xfId="27" applyNumberFormat="1" applyFont="1" applyAlignment="1">
      <alignment horizontal="center"/>
    </xf>
    <xf numFmtId="165" fontId="4" fillId="0" borderId="0" xfId="27" applyNumberFormat="1" applyFont="1" applyFill="1" applyAlignment="1">
      <alignment horizontal="right"/>
    </xf>
    <xf numFmtId="165" fontId="5" fillId="0" borderId="0" xfId="27" applyNumberFormat="1" applyFont="1" applyFill="1" applyAlignment="1">
      <alignment horizontal="center"/>
    </xf>
    <xf numFmtId="165" fontId="4" fillId="0" borderId="0" xfId="27" applyNumberFormat="1" applyFont="1" applyFill="1" applyAlignment="1">
      <alignment horizontal="center"/>
    </xf>
    <xf numFmtId="165" fontId="6" fillId="0" borderId="0" xfId="27" applyNumberFormat="1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4" fillId="0" borderId="0" xfId="0" applyFont="1" applyFill="1"/>
    <xf numFmtId="0" fontId="4" fillId="0" borderId="0" xfId="0" applyFont="1" applyFill="1" applyAlignment="1">
      <alignment horizontal="center"/>
    </xf>
    <xf numFmtId="0" fontId="5" fillId="0" borderId="0" xfId="0" applyFont="1" applyFill="1"/>
    <xf numFmtId="0" fontId="5" fillId="0" borderId="0" xfId="0" applyFont="1" applyFill="1" applyAlignment="1">
      <alignment horizontal="center" wrapText="1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 wrapText="1"/>
    </xf>
    <xf numFmtId="172" fontId="4" fillId="0" borderId="0" xfId="25" applyNumberFormat="1" applyFont="1" applyFill="1" applyAlignment="1">
      <alignment horizontal="center"/>
    </xf>
    <xf numFmtId="165" fontId="4" fillId="0" borderId="0" xfId="0" applyNumberFormat="1" applyFont="1" applyFill="1"/>
    <xf numFmtId="1" fontId="4" fillId="0" borderId="0" xfId="0" applyNumberFormat="1" applyFont="1" applyFill="1" applyAlignment="1">
      <alignment horizontal="center"/>
    </xf>
    <xf numFmtId="165" fontId="4" fillId="0" borderId="1" xfId="0" applyNumberFormat="1" applyFont="1" applyFill="1" applyBorder="1"/>
    <xf numFmtId="172" fontId="4" fillId="0" borderId="1" xfId="25" applyNumberFormat="1" applyFont="1" applyFill="1" applyBorder="1" applyAlignment="1">
      <alignment horizontal="center"/>
    </xf>
    <xf numFmtId="0" fontId="4" fillId="0" borderId="0" xfId="0" applyFont="1" applyFill="1" applyAlignment="1">
      <alignment horizontal="left" wrapText="1"/>
    </xf>
    <xf numFmtId="165" fontId="4" fillId="0" borderId="1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left"/>
    </xf>
    <xf numFmtId="0" fontId="7" fillId="0" borderId="0" xfId="0" applyFont="1" applyFill="1"/>
    <xf numFmtId="0" fontId="4" fillId="0" borderId="0" xfId="0" applyFont="1" applyFill="1" applyAlignment="1">
      <alignment horizontal="left" indent="2"/>
    </xf>
    <xf numFmtId="0" fontId="4" fillId="0" borderId="3" xfId="2" applyFont="1" applyFill="1" applyBorder="1"/>
    <xf numFmtId="165" fontId="4" fillId="0" borderId="0" xfId="27" applyNumberFormat="1" applyFont="1" applyFill="1" applyBorder="1" applyAlignment="1">
      <alignment horizontal="center" wrapText="1"/>
    </xf>
    <xf numFmtId="0" fontId="4" fillId="0" borderId="0" xfId="2" applyFont="1" applyFill="1" applyAlignment="1">
      <alignment horizontal="center" wrapText="1"/>
    </xf>
    <xf numFmtId="0" fontId="4" fillId="0" borderId="0" xfId="2" applyFont="1" applyFill="1" applyBorder="1" applyAlignment="1">
      <alignment horizontal="center"/>
    </xf>
    <xf numFmtId="166" fontId="4" fillId="0" borderId="0" xfId="2" applyNumberFormat="1" applyFont="1" applyFill="1" applyBorder="1" applyAlignment="1">
      <alignment horizontal="center"/>
    </xf>
    <xf numFmtId="173" fontId="6" fillId="0" borderId="0" xfId="4" applyNumberFormat="1" applyFont="1" applyFill="1" applyBorder="1" applyAlignment="1">
      <alignment horizontal="center"/>
    </xf>
    <xf numFmtId="172" fontId="4" fillId="0" borderId="0" xfId="2" applyNumberFormat="1" applyFont="1" applyFill="1" applyBorder="1" applyAlignment="1">
      <alignment horizontal="center"/>
    </xf>
    <xf numFmtId="165" fontId="4" fillId="0" borderId="0" xfId="27" applyNumberFormat="1" applyFont="1" applyFill="1" applyBorder="1" applyAlignment="1">
      <alignment horizontal="center"/>
    </xf>
    <xf numFmtId="165" fontId="6" fillId="0" borderId="0" xfId="27" applyNumberFormat="1" applyFont="1" applyFill="1" applyBorder="1" applyAlignment="1">
      <alignment horizontal="center"/>
    </xf>
    <xf numFmtId="165" fontId="4" fillId="0" borderId="0" xfId="27" applyNumberFormat="1" applyFont="1" applyFill="1" applyBorder="1"/>
    <xf numFmtId="44" fontId="6" fillId="0" borderId="0" xfId="24" applyNumberFormat="1" applyFont="1" applyFill="1" applyBorder="1" applyAlignment="1">
      <alignment horizontal="center"/>
    </xf>
    <xf numFmtId="165" fontId="4" fillId="0" borderId="0" xfId="2" applyNumberFormat="1" applyFont="1" applyFill="1"/>
    <xf numFmtId="44" fontId="6" fillId="0" borderId="0" xfId="4" applyNumberFormat="1" applyFont="1" applyFill="1" applyBorder="1" applyAlignment="1">
      <alignment horizontal="center"/>
    </xf>
    <xf numFmtId="44" fontId="6" fillId="0" borderId="0" xfId="24" applyFont="1" applyFill="1" applyBorder="1" applyAlignment="1">
      <alignment horizontal="center"/>
    </xf>
    <xf numFmtId="0" fontId="6" fillId="0" borderId="0" xfId="2" applyFont="1" applyFill="1" applyBorder="1" applyAlignment="1">
      <alignment horizontal="left"/>
    </xf>
    <xf numFmtId="166" fontId="4" fillId="0" borderId="1" xfId="2" applyNumberFormat="1" applyFont="1" applyFill="1" applyBorder="1"/>
    <xf numFmtId="0" fontId="4" fillId="0" borderId="0" xfId="2" applyFont="1" applyFill="1" applyBorder="1"/>
    <xf numFmtId="43" fontId="4" fillId="0" borderId="0" xfId="27" applyNumberFormat="1" applyFont="1" applyFill="1" applyAlignment="1">
      <alignment horizontal="center"/>
    </xf>
    <xf numFmtId="167" fontId="4" fillId="0" borderId="0" xfId="3" applyNumberFormat="1" applyFont="1" applyFill="1"/>
    <xf numFmtId="0" fontId="6" fillId="0" borderId="0" xfId="0" applyFont="1" applyFill="1"/>
    <xf numFmtId="0" fontId="9" fillId="0" borderId="0" xfId="0" applyFont="1" applyFill="1"/>
    <xf numFmtId="0" fontId="9" fillId="0" borderId="0" xfId="0" applyFont="1" applyFill="1" applyAlignment="1">
      <alignment horizontal="center"/>
    </xf>
    <xf numFmtId="165" fontId="4" fillId="0" borderId="0" xfId="3" applyNumberFormat="1" applyFont="1" applyFill="1" applyBorder="1" applyAlignment="1">
      <alignment horizontal="center"/>
    </xf>
    <xf numFmtId="0" fontId="6" fillId="0" borderId="0" xfId="1" applyFont="1" applyFill="1" applyAlignment="1">
      <alignment horizontal="left" indent="2"/>
    </xf>
    <xf numFmtId="0" fontId="6" fillId="0" borderId="0" xfId="1" applyFont="1" applyFill="1"/>
    <xf numFmtId="0" fontId="5" fillId="0" borderId="0" xfId="1" applyFont="1" applyFill="1" applyAlignment="1">
      <alignment horizontal="center"/>
    </xf>
    <xf numFmtId="0" fontId="6" fillId="0" borderId="0" xfId="1" applyFont="1" applyFill="1" applyAlignment="1">
      <alignment horizontal="center"/>
    </xf>
    <xf numFmtId="0" fontId="5" fillId="0" borderId="0" xfId="2" applyFont="1" applyFill="1" applyAlignment="1">
      <alignment horizontal="center"/>
    </xf>
    <xf numFmtId="0" fontId="5" fillId="0" borderId="0" xfId="2" applyFont="1" applyAlignment="1">
      <alignment horizontal="center"/>
    </xf>
    <xf numFmtId="164" fontId="7" fillId="0" borderId="0" xfId="2" applyNumberFormat="1" applyFont="1" applyFill="1" applyAlignment="1">
      <alignment horizontal="center"/>
    </xf>
    <xf numFmtId="16" fontId="7" fillId="0" borderId="0" xfId="0" quotePrefix="1" applyNumberFormat="1" applyFont="1" applyFill="1" applyAlignment="1">
      <alignment horizontal="center" wrapText="1"/>
    </xf>
    <xf numFmtId="17" fontId="4" fillId="0" borderId="3" xfId="2" quotePrefix="1" applyNumberFormat="1" applyFont="1" applyFill="1" applyBorder="1" applyAlignment="1">
      <alignment horizontal="center" wrapText="1"/>
    </xf>
    <xf numFmtId="164" fontId="4" fillId="0" borderId="0" xfId="1" quotePrefix="1" applyNumberFormat="1" applyFont="1" applyFill="1" applyAlignment="1">
      <alignment horizontal="center"/>
    </xf>
    <xf numFmtId="0" fontId="4" fillId="0" borderId="0" xfId="2" quotePrefix="1" applyFont="1" applyFill="1" applyAlignment="1">
      <alignment horizontal="center"/>
    </xf>
    <xf numFmtId="0" fontId="12" fillId="0" borderId="0" xfId="1" applyFont="1" applyFill="1"/>
    <xf numFmtId="0" fontId="12" fillId="0" borderId="0" xfId="1" applyFont="1" applyFill="1" applyAlignment="1">
      <alignment horizontal="left"/>
    </xf>
    <xf numFmtId="0" fontId="12" fillId="0" borderId="0" xfId="2" applyFont="1" applyFill="1"/>
    <xf numFmtId="0" fontId="6" fillId="0" borderId="0" xfId="1" applyFont="1" applyFill="1" applyAlignment="1">
      <alignment horizontal="center"/>
    </xf>
    <xf numFmtId="173" fontId="4" fillId="0" borderId="0" xfId="24" applyNumberFormat="1" applyFont="1" applyFill="1" applyAlignment="1"/>
    <xf numFmtId="166" fontId="4" fillId="0" borderId="0" xfId="24" applyNumberFormat="1" applyFont="1" applyFill="1" applyBorder="1"/>
    <xf numFmtId="44" fontId="4" fillId="0" borderId="0" xfId="24" applyFont="1" applyFill="1" applyBorder="1" applyAlignment="1">
      <alignment horizontal="left" indent="3"/>
    </xf>
    <xf numFmtId="44" fontId="4" fillId="0" borderId="0" xfId="24" applyNumberFormat="1" applyFont="1" applyFill="1" applyAlignment="1"/>
    <xf numFmtId="166" fontId="4" fillId="0" borderId="3" xfId="24" applyNumberFormat="1" applyFont="1" applyFill="1" applyBorder="1"/>
    <xf numFmtId="0" fontId="4" fillId="0" borderId="3" xfId="1" applyFont="1" applyFill="1" applyBorder="1" applyAlignment="1"/>
    <xf numFmtId="0" fontId="4" fillId="0" borderId="4" xfId="1" applyFont="1" applyFill="1" applyBorder="1" applyAlignment="1">
      <alignment horizontal="left" indent="3"/>
    </xf>
    <xf numFmtId="166" fontId="4" fillId="0" borderId="4" xfId="24" applyNumberFormat="1" applyFont="1" applyFill="1" applyBorder="1"/>
    <xf numFmtId="44" fontId="4" fillId="0" borderId="4" xfId="24" applyFont="1" applyFill="1" applyBorder="1" applyAlignment="1">
      <alignment horizontal="left" indent="3"/>
    </xf>
    <xf numFmtId="44" fontId="4" fillId="0" borderId="0" xfId="24" applyFont="1" applyFill="1" applyBorder="1" applyAlignment="1"/>
    <xf numFmtId="0" fontId="4" fillId="0" borderId="0" xfId="1" applyFont="1" applyFill="1" applyBorder="1"/>
    <xf numFmtId="44" fontId="4" fillId="0" borderId="0" xfId="24" applyFont="1" applyFill="1" applyBorder="1"/>
    <xf numFmtId="166" fontId="4" fillId="0" borderId="5" xfId="24" applyNumberFormat="1" applyFont="1" applyFill="1" applyBorder="1"/>
    <xf numFmtId="0" fontId="8" fillId="0" borderId="0" xfId="0" applyFont="1" applyFill="1"/>
    <xf numFmtId="0" fontId="8" fillId="0" borderId="0" xfId="1" applyFont="1"/>
    <xf numFmtId="0" fontId="8" fillId="0" borderId="0" xfId="1" applyFont="1" applyFill="1" applyAlignment="1">
      <alignment horizontal="left"/>
    </xf>
    <xf numFmtId="0" fontId="8" fillId="0" borderId="0" xfId="2" applyFont="1" applyAlignment="1">
      <alignment horizontal="left"/>
    </xf>
    <xf numFmtId="171" fontId="4" fillId="0" borderId="0" xfId="25" applyNumberFormat="1" applyFont="1" applyFill="1" applyBorder="1"/>
    <xf numFmtId="0" fontId="13" fillId="0" borderId="0" xfId="1" applyFont="1" applyFill="1"/>
    <xf numFmtId="44" fontId="4" fillId="0" borderId="0" xfId="24" applyNumberFormat="1" applyFont="1" applyFill="1"/>
    <xf numFmtId="44" fontId="4" fillId="0" borderId="2" xfId="24" applyNumberFormat="1" applyFont="1" applyFill="1" applyBorder="1"/>
    <xf numFmtId="44" fontId="4" fillId="0" borderId="0" xfId="1" applyNumberFormat="1" applyFont="1" applyFill="1" applyBorder="1"/>
    <xf numFmtId="44" fontId="4" fillId="0" borderId="1" xfId="1" applyNumberFormat="1" applyFont="1" applyFill="1" applyBorder="1"/>
    <xf numFmtId="174" fontId="4" fillId="0" borderId="0" xfId="25" applyNumberFormat="1" applyFont="1" applyFill="1"/>
    <xf numFmtId="0" fontId="6" fillId="0" borderId="0" xfId="2" applyFont="1" applyFill="1"/>
    <xf numFmtId="43" fontId="6" fillId="0" borderId="0" xfId="2" applyNumberFormat="1" applyFont="1" applyFill="1" applyAlignment="1">
      <alignment horizontal="center"/>
    </xf>
    <xf numFmtId="43" fontId="4" fillId="0" borderId="0" xfId="27" applyNumberFormat="1" applyFont="1" applyFill="1"/>
    <xf numFmtId="0" fontId="5" fillId="0" borderId="0" xfId="0" applyFont="1" applyAlignment="1">
      <alignment horizontal="center"/>
    </xf>
    <xf numFmtId="0" fontId="7" fillId="0" borderId="0" xfId="1" applyFont="1" applyFill="1" applyAlignment="1">
      <alignment horizontal="center" wrapText="1"/>
    </xf>
    <xf numFmtId="0" fontId="5" fillId="0" borderId="0" xfId="1" applyFont="1" applyFill="1" applyAlignment="1">
      <alignment horizontal="center"/>
    </xf>
    <xf numFmtId="0" fontId="6" fillId="0" borderId="0" xfId="1" applyFont="1" applyFill="1" applyAlignment="1">
      <alignment horizontal="center"/>
    </xf>
    <xf numFmtId="0" fontId="5" fillId="0" borderId="0" xfId="2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1" applyFont="1" applyFill="1" applyAlignment="1">
      <alignment horizontal="center" wrapText="1"/>
    </xf>
    <xf numFmtId="0" fontId="5" fillId="0" borderId="0" xfId="1" applyFont="1" applyAlignment="1">
      <alignment horizontal="center"/>
    </xf>
    <xf numFmtId="0" fontId="5" fillId="0" borderId="0" xfId="1" applyFont="1" applyFill="1" applyAlignment="1">
      <alignment horizontal="center"/>
    </xf>
    <xf numFmtId="0" fontId="6" fillId="0" borderId="0" xfId="1" applyFont="1" applyFill="1" applyAlignment="1">
      <alignment horizontal="center"/>
    </xf>
    <xf numFmtId="164" fontId="4" fillId="0" borderId="3" xfId="2" applyNumberFormat="1" applyFont="1" applyFill="1" applyBorder="1" applyAlignment="1">
      <alignment horizontal="center"/>
    </xf>
    <xf numFmtId="0" fontId="12" fillId="0" borderId="0" xfId="1" applyFont="1" applyFill="1" applyAlignment="1">
      <alignment horizontal="center"/>
    </xf>
    <xf numFmtId="0" fontId="5" fillId="0" borderId="0" xfId="2" applyFont="1" applyFill="1" applyAlignment="1">
      <alignment horizontal="center"/>
    </xf>
    <xf numFmtId="0" fontId="5" fillId="0" borderId="0" xfId="2" applyFont="1" applyAlignment="1">
      <alignment horizontal="center"/>
    </xf>
    <xf numFmtId="0" fontId="4" fillId="0" borderId="0" xfId="0" applyFont="1" applyAlignment="1">
      <alignment horizontal="left"/>
    </xf>
    <xf numFmtId="0" fontId="6" fillId="0" borderId="0" xfId="0" applyFont="1" applyFill="1" applyAlignment="1">
      <alignment horizontal="left"/>
    </xf>
    <xf numFmtId="17" fontId="4" fillId="0" borderId="0" xfId="0" applyNumberFormat="1" applyFont="1" applyFill="1" applyAlignment="1">
      <alignment horizontal="center"/>
    </xf>
    <xf numFmtId="166" fontId="4" fillId="0" borderId="0" xfId="4" applyNumberFormat="1" applyFont="1" applyFill="1" applyAlignment="1">
      <alignment horizontal="left" indent="1"/>
    </xf>
    <xf numFmtId="169" fontId="4" fillId="0" borderId="0" xfId="0" applyNumberFormat="1" applyFont="1" applyFill="1" applyAlignment="1">
      <alignment horizontal="right"/>
    </xf>
    <xf numFmtId="10" fontId="4" fillId="0" borderId="0" xfId="25" applyNumberFormat="1" applyFont="1" applyFill="1" applyAlignment="1">
      <alignment horizontal="right"/>
    </xf>
    <xf numFmtId="43" fontId="4" fillId="0" borderId="0" xfId="27" applyFont="1" applyFill="1"/>
    <xf numFmtId="43" fontId="4" fillId="0" borderId="2" xfId="27" applyFont="1" applyFill="1" applyBorder="1"/>
    <xf numFmtId="0" fontId="4" fillId="0" borderId="3" xfId="2" quotePrefix="1" applyFont="1" applyFill="1" applyBorder="1" applyAlignment="1">
      <alignment horizontal="center" wrapText="1"/>
    </xf>
  </cellXfs>
  <cellStyles count="49">
    <cellStyle name="Comma" xfId="27" builtinId="3"/>
    <cellStyle name="Comma 2" xfId="3"/>
    <cellStyle name="Comma 2 2" xfId="6"/>
    <cellStyle name="Comma 3" xfId="7"/>
    <cellStyle name="Comma 4" xfId="8"/>
    <cellStyle name="Comma 5" xfId="9"/>
    <cellStyle name="Comma 6" xfId="10"/>
    <cellStyle name="Comma 7" xfId="11"/>
    <cellStyle name="Comma 7 2" xfId="28"/>
    <cellStyle name="Comma 7 2 2" xfId="29"/>
    <cellStyle name="Currency" xfId="24" builtinId="4"/>
    <cellStyle name="Currency 2" xfId="4"/>
    <cellStyle name="Currency 3" xfId="12"/>
    <cellStyle name="Currency 4" xfId="30"/>
    <cellStyle name="Currency 5" xfId="31"/>
    <cellStyle name="Currency 6" xfId="32"/>
    <cellStyle name="Normal" xfId="0" builtinId="0"/>
    <cellStyle name="Normal 10" xfId="33"/>
    <cellStyle name="Normal 10 2" xfId="34"/>
    <cellStyle name="Normal 10 2 2" xfId="35"/>
    <cellStyle name="Normal 11" xfId="36"/>
    <cellStyle name="Normal 12" xfId="37"/>
    <cellStyle name="Normal 2" xfId="1"/>
    <cellStyle name="Normal 2 2" xfId="13"/>
    <cellStyle name="Normal 2 3" xfId="14"/>
    <cellStyle name="Normal 3" xfId="2"/>
    <cellStyle name="Normal 3 2" xfId="38"/>
    <cellStyle name="Normal 4" xfId="15"/>
    <cellStyle name="Normal 4 2" xfId="39"/>
    <cellStyle name="Normal 4 2 2" xfId="40"/>
    <cellStyle name="Normal 4 2 2 2" xfId="41"/>
    <cellStyle name="Normal 4 4" xfId="26"/>
    <cellStyle name="Normal 5" xfId="16"/>
    <cellStyle name="Normal 6" xfId="17"/>
    <cellStyle name="Normal 7" xfId="18"/>
    <cellStyle name="Normal 8" xfId="19"/>
    <cellStyle name="Normal 9" xfId="42"/>
    <cellStyle name="Normal_2014" xfId="48"/>
    <cellStyle name="Percent" xfId="25" builtinId="5"/>
    <cellStyle name="Percent 2" xfId="5"/>
    <cellStyle name="Percent 3" xfId="20"/>
    <cellStyle name="Percent 4" xfId="21"/>
    <cellStyle name="Percent 5" xfId="22"/>
    <cellStyle name="Percent 6" xfId="23"/>
    <cellStyle name="Percent 7" xfId="43"/>
    <cellStyle name="Percent 7 2" xfId="44"/>
    <cellStyle name="Percent 7 2 2" xfId="45"/>
    <cellStyle name="Percent 8" xfId="46"/>
    <cellStyle name="Percent 9" xfId="47"/>
  </cellStyles>
  <dxfs count="0"/>
  <tableStyles count="0" defaultTableStyle="TableStyleMedium2" defaultPivotStyle="PivotStyleLight16"/>
  <colors>
    <mruColors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3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14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externalLinks/externalLink1.xml" Type="http://schemas.openxmlformats.org/officeDocument/2006/relationships/externalLink"/><Relationship Id="rId9" Target="externalLinks/externalLink2.xml" Type="http://schemas.openxmlformats.org/officeDocument/2006/relationships/externalLink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3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4.png" Type="http://schemas.openxmlformats.org/officeDocument/2006/relationships/image"/></Relationships>
</file>

<file path=xl/drawings/_rels/drawing5.xml.rels><?xml version="1.0" encoding="UTF-8" standalone="no"?><Relationships xmlns="http://schemas.openxmlformats.org/package/2006/relationships"><Relationship Id="rId1" Target="../media/image5.png" Type="http://schemas.openxmlformats.org/officeDocument/2006/relationships/image"/></Relationships>
</file>

<file path=xl/drawings/_rels/drawing6.xml.rels><?xml version="1.0" encoding="UTF-8" standalone="no"?><Relationships xmlns="http://schemas.openxmlformats.org/package/2006/relationships"><Relationship Id="rId1" Target="../media/image6.png" Type="http://schemas.openxmlformats.org/officeDocument/2006/relationships/image"/></Relationships>
</file>

<file path=xl/drawings/_rels/drawing7.xml.rels><?xml version="1.0" encoding="UTF-8" standalone="no"?><Relationships xmlns="http://schemas.openxmlformats.org/package/2006/relationships"><Relationship Id="rId1" Target="../media/image7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6</xdr:col>
      <xdr:colOff>218819</xdr:colOff>
      <xdr:row>0</xdr:row>
      <xdr:rowOff>142875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181475" cy="142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3752932</xdr:colOff>
      <xdr:row>0</xdr:row>
      <xdr:rowOff>142875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181475" cy="1428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227937</xdr:colOff>
      <xdr:row>0</xdr:row>
      <xdr:rowOff>142875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181475" cy="1428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504080</xdr:colOff>
      <xdr:row>0</xdr:row>
      <xdr:rowOff>142875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181475" cy="1428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351941</xdr:colOff>
      <xdr:row>0</xdr:row>
      <xdr:rowOff>142875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181475" cy="1428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714054</xdr:colOff>
      <xdr:row>0</xdr:row>
      <xdr:rowOff>142875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181475" cy="1428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494702</xdr:colOff>
      <xdr:row>0</xdr:row>
      <xdr:rowOff>142875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181475" cy="1428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no"?><Relationships xmlns="http://schemas.openxmlformats.org/package/2006/relationships"><Relationship Id="rId1" Target="file:///R:/Regulated%20Pricing/COSS%20IA%20Elec%202010%20test%20year/COSS%20IA%20Elec%202010%20test%20year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http://corp-portal/Regulated%20Pricing/COSS%20IA%20Elec%202010%20test%20year/COSS%20IA%20Elec%202010%20test%20year.xlsx" TargetMode="External" Type="http://schemas.openxmlformats.org/officeDocument/2006/relationships/externalLinkPath"/></Relationships>
</file>

<file path=xl/externalLinks/_rels/externalLink3.xml.rels><?xml version="1.0" encoding="UTF-8" standalone="no"?><Relationships xmlns="http://schemas.openxmlformats.org/package/2006/relationships"><Relationship Id="rId1" Target="file://///MEC/Network/Regulated%20Pricing/Rider%20Proposal%202011/Reconciliation%20Information/Demand%20Adder%20Summary%20POR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Unbundled COS"/>
      <sheetName val="Functional Alloc"/>
      <sheetName val="Functional PY Alloc"/>
      <sheetName val="Class COS"/>
      <sheetName val="Gen&amp;Intang"/>
      <sheetName val="Other Revenue"/>
      <sheetName val="Pro Formas"/>
      <sheetName val="Lighting"/>
      <sheetName val="LR class &amp; rates to end classes"/>
      <sheetName val="LGS detail"/>
    </sheetNames>
    <sheetDataSet>
      <sheetData sheetId="0"/>
      <sheetData sheetId="1"/>
      <sheetData sheetId="2">
        <row r="4">
          <cell r="A4">
            <v>1.1000000000000001</v>
          </cell>
          <cell r="B4" t="str">
            <v>Generation</v>
          </cell>
          <cell r="C4">
            <v>1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A5">
            <v>1.2</v>
          </cell>
          <cell r="B5" t="str">
            <v>Transmission</v>
          </cell>
          <cell r="C5">
            <v>0</v>
          </cell>
          <cell r="D5">
            <v>1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</row>
        <row r="6">
          <cell r="A6">
            <v>1.3</v>
          </cell>
          <cell r="B6" t="str">
            <v>Substations</v>
          </cell>
          <cell r="C6">
            <v>0</v>
          </cell>
          <cell r="D6">
            <v>0</v>
          </cell>
          <cell r="E6">
            <v>1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A7">
            <v>1.4</v>
          </cell>
          <cell r="B7" t="str">
            <v>Wires</v>
          </cell>
          <cell r="C7">
            <v>0</v>
          </cell>
          <cell r="D7">
            <v>0</v>
          </cell>
          <cell r="E7">
            <v>0</v>
          </cell>
          <cell r="F7">
            <v>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A8">
            <v>1.5</v>
          </cell>
          <cell r="B8" t="str">
            <v>Transformers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1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A9">
            <v>1.6</v>
          </cell>
          <cell r="B9" t="str">
            <v>Services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0</v>
          </cell>
          <cell r="J9">
            <v>0</v>
          </cell>
          <cell r="K9">
            <v>0</v>
          </cell>
        </row>
        <row r="10">
          <cell r="A10">
            <v>1.7</v>
          </cell>
          <cell r="B10" t="str">
            <v>Meters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1</v>
          </cell>
          <cell r="J10">
            <v>0</v>
          </cell>
          <cell r="K10">
            <v>0</v>
          </cell>
        </row>
        <row r="11">
          <cell r="A11">
            <v>1.8</v>
          </cell>
          <cell r="B11" t="str">
            <v>Lighting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</row>
        <row r="12">
          <cell r="A12">
            <v>1.9</v>
          </cell>
          <cell r="B12" t="str">
            <v>Customer Service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</row>
        <row r="13">
          <cell r="A13">
            <v>37</v>
          </cell>
          <cell r="B13" t="str">
            <v>Rate Base</v>
          </cell>
          <cell r="C13">
            <v>0.68965366540684259</v>
          </cell>
          <cell r="D13">
            <v>7.8837427096636201E-2</v>
          </cell>
          <cell r="E13">
            <v>4.9225427715967641E-2</v>
          </cell>
          <cell r="F13">
            <v>0.12848924014287946</v>
          </cell>
          <cell r="G13">
            <v>2.679254397977E-2</v>
          </cell>
          <cell r="H13">
            <v>1.2381561768078357E-2</v>
          </cell>
          <cell r="I13">
            <v>8.3078249406841539E-3</v>
          </cell>
          <cell r="J13">
            <v>7.2600742202322379E-3</v>
          </cell>
          <cell r="K13">
            <v>-9.4776527108336706E-4</v>
          </cell>
        </row>
        <row r="14">
          <cell r="A14">
            <v>39</v>
          </cell>
          <cell r="B14" t="str">
            <v>Total Allocated Gross Plant</v>
          </cell>
          <cell r="C14">
            <v>0.65021145210681308</v>
          </cell>
          <cell r="D14">
            <v>7.6134894836090788E-2</v>
          </cell>
          <cell r="E14">
            <v>5.5500897080427485E-2</v>
          </cell>
          <cell r="F14">
            <v>0.14823302475715772</v>
          </cell>
          <cell r="G14">
            <v>3.0656688505247897E-2</v>
          </cell>
          <cell r="H14">
            <v>1.4188083902709984E-2</v>
          </cell>
          <cell r="I14">
            <v>9.5058386140579963E-3</v>
          </cell>
          <cell r="J14">
            <v>8.229948285898632E-3</v>
          </cell>
          <cell r="K14">
            <v>7.3391719115963559E-3</v>
          </cell>
        </row>
        <row r="15">
          <cell r="A15">
            <v>39.1</v>
          </cell>
          <cell r="B15" t="str">
            <v>Property Taxes (408141)</v>
          </cell>
          <cell r="C15">
            <v>0.23000899999999999</v>
          </cell>
          <cell r="D15">
            <v>8.6940000000000003E-2</v>
          </cell>
          <cell r="E15">
            <v>0.14235028860849344</v>
          </cell>
          <cell r="F15">
            <v>0.38019230256609093</v>
          </cell>
          <cell r="G15">
            <v>7.8629151708643139E-2</v>
          </cell>
          <cell r="H15">
            <v>3.6390003488151371E-2</v>
          </cell>
          <cell r="I15">
            <v>2.4380846821557264E-2</v>
          </cell>
          <cell r="J15">
            <v>2.110840680706386E-2</v>
          </cell>
          <cell r="K15">
            <v>0</v>
          </cell>
        </row>
        <row r="16">
          <cell r="A16">
            <v>39.200000000000003</v>
          </cell>
          <cell r="B16" t="str">
            <v>Property Taxes (408143)</v>
          </cell>
          <cell r="C16">
            <v>0.91885499999999998</v>
          </cell>
          <cell r="D16">
            <v>8.1144999999999995E-2</v>
          </cell>
          <cell r="E16">
            <v>5.7843619281424651E-18</v>
          </cell>
          <cell r="F16">
            <v>1.5449001908134538E-17</v>
          </cell>
          <cell r="G16">
            <v>3.1950723530775919E-18</v>
          </cell>
          <cell r="H16">
            <v>1.4786970423414728E-18</v>
          </cell>
          <cell r="I16">
            <v>9.9070850863083216E-19</v>
          </cell>
          <cell r="J16">
            <v>8.5773387530201557E-19</v>
          </cell>
          <cell r="K16">
            <v>0</v>
          </cell>
        </row>
        <row r="17">
          <cell r="A17">
            <v>41</v>
          </cell>
          <cell r="B17" t="str">
            <v>Gross General Plant</v>
          </cell>
          <cell r="C17">
            <v>0.4915150759557213</v>
          </cell>
          <cell r="D17">
            <v>4.4853739098468515E-3</v>
          </cell>
          <cell r="E17">
            <v>0.10219731769875484</v>
          </cell>
          <cell r="F17">
            <v>0.27295085884110826</v>
          </cell>
          <cell r="G17">
            <v>5.6450102603250632E-2</v>
          </cell>
          <cell r="H17">
            <v>2.6125417685422998E-2</v>
          </cell>
          <cell r="I17">
            <v>1.7503702821707507E-2</v>
          </cell>
          <cell r="J17">
            <v>1.5154325134591628E-2</v>
          </cell>
          <cell r="K17">
            <v>1.3617825349596047E-2</v>
          </cell>
        </row>
        <row r="18">
          <cell r="A18">
            <v>41.1</v>
          </cell>
          <cell r="B18" t="str">
            <v>Gross General Plant - Accum Depr</v>
          </cell>
          <cell r="C18">
            <v>0.47423897910235013</v>
          </cell>
          <cell r="D18">
            <v>2.3718555692359552E-3</v>
          </cell>
          <cell r="E18">
            <v>0.10752820147614083</v>
          </cell>
          <cell r="F18">
            <v>0.28718870126382939</v>
          </cell>
          <cell r="G18">
            <v>5.9394690024678724E-2</v>
          </cell>
          <cell r="H18">
            <v>2.7488188924949877E-2</v>
          </cell>
          <cell r="I18">
            <v>1.8416742493565379E-2</v>
          </cell>
          <cell r="J18">
            <v>1.5944815020591946E-2</v>
          </cell>
          <cell r="K18">
            <v>7.4278261246578242E-3</v>
          </cell>
        </row>
        <row r="19">
          <cell r="A19">
            <v>41.2</v>
          </cell>
          <cell r="B19" t="str">
            <v>Gross General Plant - Depreciation</v>
          </cell>
          <cell r="C19">
            <v>0.68205095419343442</v>
          </cell>
          <cell r="D19">
            <v>4.2385732005877988E-3</v>
          </cell>
          <cell r="E19">
            <v>6.4634295014198803E-2</v>
          </cell>
          <cell r="F19">
            <v>0.1726267061794918</v>
          </cell>
          <cell r="G19">
            <v>3.5701647238876096E-2</v>
          </cell>
          <cell r="H19">
            <v>1.6522918527335971E-2</v>
          </cell>
          <cell r="I19">
            <v>1.1070148586031737E-2</v>
          </cell>
          <cell r="J19">
            <v>9.5842938302696488E-3</v>
          </cell>
          <cell r="K19">
            <v>3.5704632297737741E-3</v>
          </cell>
        </row>
        <row r="20">
          <cell r="A20">
            <v>42</v>
          </cell>
          <cell r="B20" t="str">
            <v>Gross Intangible Plant</v>
          </cell>
          <cell r="C20">
            <v>4.5634989296627834E-2</v>
          </cell>
          <cell r="D20">
            <v>3.3132281562071025E-3</v>
          </cell>
          <cell r="E20">
            <v>0.10895269901327113</v>
          </cell>
          <cell r="F20">
            <v>0.29099328082552467</v>
          </cell>
          <cell r="G20">
            <v>6.0181530951033721E-2</v>
          </cell>
          <cell r="H20">
            <v>2.7852343229459956E-2</v>
          </cell>
          <cell r="I20">
            <v>1.8660721319249247E-2</v>
          </cell>
          <cell r="J20">
            <v>1.6156046580452749E-2</v>
          </cell>
          <cell r="K20">
            <v>0.42825516062817354</v>
          </cell>
        </row>
        <row r="21">
          <cell r="A21">
            <v>42.1</v>
          </cell>
          <cell r="B21" t="str">
            <v>Gross Intangible Plant - Accum Depr</v>
          </cell>
          <cell r="C21">
            <v>3.7342296421090757E-2</v>
          </cell>
          <cell r="D21">
            <v>1.7460337451534753E-3</v>
          </cell>
          <cell r="E21">
            <v>0.10263995132798649</v>
          </cell>
          <cell r="F21">
            <v>0.27413305453832676</v>
          </cell>
          <cell r="G21">
            <v>5.6694597413373037E-2</v>
          </cell>
          <cell r="H21">
            <v>2.6238571227078351E-2</v>
          </cell>
          <cell r="I21">
            <v>1.7579514278205834E-2</v>
          </cell>
          <cell r="J21">
            <v>1.5219961044456241E-2</v>
          </cell>
          <cell r="K21">
            <v>0.46840602000432913</v>
          </cell>
        </row>
        <row r="22">
          <cell r="A22">
            <v>42.2</v>
          </cell>
          <cell r="B22" t="str">
            <v>Gross Intangible Plant - Depreciation</v>
          </cell>
          <cell r="C22">
            <v>0.18245160366050978</v>
          </cell>
          <cell r="D22">
            <v>7.8774826081448226E-3</v>
          </cell>
          <cell r="E22">
            <v>0.14530636203802755</v>
          </cell>
          <cell r="F22">
            <v>0.38808744893154729</v>
          </cell>
          <cell r="G22">
            <v>8.0261979772602951E-2</v>
          </cell>
          <cell r="H22">
            <v>3.7145685288754046E-2</v>
          </cell>
          <cell r="I22">
            <v>2.4887144168638624E-2</v>
          </cell>
          <cell r="J22">
            <v>2.1546748036380025E-2</v>
          </cell>
          <cell r="K22">
            <v>0.11243554549539495</v>
          </cell>
        </row>
        <row r="23">
          <cell r="A23">
            <v>44</v>
          </cell>
          <cell r="B23" t="str">
            <v>Gross Distribution Plant</v>
          </cell>
          <cell r="C23">
            <v>0</v>
          </cell>
          <cell r="D23">
            <v>0</v>
          </cell>
          <cell r="E23">
            <v>0.20840360179326792</v>
          </cell>
          <cell r="F23">
            <v>0.5566089538937663</v>
          </cell>
          <cell r="G23">
            <v>0.11511461326993613</v>
          </cell>
          <cell r="H23">
            <v>5.327567559106329E-2</v>
          </cell>
          <cell r="I23">
            <v>3.5694035762420764E-2</v>
          </cell>
          <cell r="J23">
            <v>3.090311968954567E-2</v>
          </cell>
          <cell r="K23">
            <v>0</v>
          </cell>
        </row>
        <row r="24">
          <cell r="A24">
            <v>44.1</v>
          </cell>
          <cell r="B24" t="str">
            <v>(Substations + Wires) Plant</v>
          </cell>
          <cell r="C24">
            <v>0</v>
          </cell>
          <cell r="D24">
            <v>0</v>
          </cell>
          <cell r="E24">
            <v>0.27241853776649066</v>
          </cell>
          <cell r="F24">
            <v>0.72758146223350928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A25">
            <v>44.2</v>
          </cell>
          <cell r="B25" t="str">
            <v>(Wires + Trans + Services) Plant</v>
          </cell>
          <cell r="C25">
            <v>0</v>
          </cell>
          <cell r="D25">
            <v>0</v>
          </cell>
          <cell r="E25">
            <v>0</v>
          </cell>
          <cell r="F25">
            <v>0.76773729001264868</v>
          </cell>
          <cell r="G25">
            <v>0.15877894276487425</v>
          </cell>
          <cell r="H25">
            <v>7.3483767222476987E-2</v>
          </cell>
          <cell r="I25">
            <v>0</v>
          </cell>
          <cell r="J25">
            <v>0</v>
          </cell>
          <cell r="K25">
            <v>0</v>
          </cell>
        </row>
        <row r="26">
          <cell r="A26">
            <v>44.3</v>
          </cell>
          <cell r="B26" t="str">
            <v>(Services + Meters + Cust Install) Plant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0.56330900710362652</v>
          </cell>
          <cell r="I26">
            <v>0.37740998348265675</v>
          </cell>
          <cell r="J26">
            <v>5.9281009413716786E-2</v>
          </cell>
          <cell r="K26">
            <v>0</v>
          </cell>
        </row>
        <row r="27">
          <cell r="A27">
            <v>45</v>
          </cell>
          <cell r="B27" t="str">
            <v>Gross Production, Transmission, Distribution Plant</v>
          </cell>
          <cell r="C27">
            <v>0.66629461273225998</v>
          </cell>
          <cell r="D27">
            <v>8.0017145984470794E-2</v>
          </cell>
          <cell r="E27">
            <v>5.286954321600737E-2</v>
          </cell>
          <cell r="F27">
            <v>0.14120514659576164</v>
          </cell>
          <cell r="G27">
            <v>2.9203223786439674E-2</v>
          </cell>
          <cell r="H27">
            <v>1.3515412443868313E-2</v>
          </cell>
          <cell r="I27">
            <v>9.0551571568662659E-3</v>
          </cell>
          <cell r="J27">
            <v>7.8397580842034225E-3</v>
          </cell>
          <cell r="K27">
            <v>0</v>
          </cell>
        </row>
        <row r="28">
          <cell r="A28">
            <v>46</v>
          </cell>
          <cell r="B28" t="str">
            <v>Gross Plant less Intangible</v>
          </cell>
          <cell r="C28">
            <v>0.66005464151096283</v>
          </cell>
          <cell r="D28">
            <v>7.7320514028945478E-2</v>
          </cell>
          <cell r="E28">
            <v>5.4630641219039003E-2</v>
          </cell>
          <cell r="F28">
            <v>0.14590872613439274</v>
          </cell>
          <cell r="G28">
            <v>3.0175990637900069E-2</v>
          </cell>
          <cell r="H28">
            <v>1.3965614288204255E-2</v>
          </cell>
          <cell r="I28">
            <v>9.3567867571247836E-3</v>
          </cell>
          <cell r="J28">
            <v>8.1009024305794194E-3</v>
          </cell>
          <cell r="K28">
            <v>4.8618299285142172E-4</v>
          </cell>
        </row>
        <row r="29">
          <cell r="A29">
            <v>47</v>
          </cell>
          <cell r="B29" t="str">
            <v>Net Plant</v>
          </cell>
          <cell r="C29">
            <v>0.67996608621407717</v>
          </cell>
          <cell r="D29">
            <v>8.0477112364062561E-2</v>
          </cell>
          <cell r="E29">
            <v>4.9768348959780509E-2</v>
          </cell>
          <cell r="F29">
            <v>0.13292240831328173</v>
          </cell>
          <cell r="G29">
            <v>2.7490236225722598E-2</v>
          </cell>
          <cell r="H29">
            <v>1.2722632387679532E-2</v>
          </cell>
          <cell r="I29">
            <v>8.5240044429233369E-3</v>
          </cell>
          <cell r="J29">
            <v>7.3798976189520674E-3</v>
          </cell>
          <cell r="K29">
            <v>7.4927347352025985E-4</v>
          </cell>
        </row>
        <row r="30">
          <cell r="A30">
            <v>58</v>
          </cell>
          <cell r="B30" t="str">
            <v>O&amp;M Expense Excluding A&amp;G, Fuel, Rents</v>
          </cell>
          <cell r="C30">
            <v>0.53468390046301029</v>
          </cell>
          <cell r="D30">
            <v>0.1535280975046055</v>
          </cell>
          <cell r="E30">
            <v>2.4264110699156238E-2</v>
          </cell>
          <cell r="F30">
            <v>0.17703671297496509</v>
          </cell>
          <cell r="G30">
            <v>3.5099581528333147E-3</v>
          </cell>
          <cell r="H30">
            <v>4.1066635194446956E-3</v>
          </cell>
          <cell r="I30">
            <v>2.1543437279905958E-2</v>
          </cell>
          <cell r="J30">
            <v>9.5486731003543313E-3</v>
          </cell>
          <cell r="K30">
            <v>7.1778446303033483E-2</v>
          </cell>
        </row>
        <row r="31">
          <cell r="A31">
            <v>58.1</v>
          </cell>
          <cell r="B31" t="str">
            <v>Total Payroll</v>
          </cell>
          <cell r="C31">
            <v>0.49868311291182166</v>
          </cell>
          <cell r="D31">
            <v>6.4745366819315392E-2</v>
          </cell>
          <cell r="E31">
            <v>4.4394271993740284E-2</v>
          </cell>
          <cell r="F31">
            <v>0.21253921234129794</v>
          </cell>
          <cell r="G31">
            <v>4.6213398620729377E-3</v>
          </cell>
          <cell r="H31">
            <v>1.0216265763174224E-2</v>
          </cell>
          <cell r="I31">
            <v>5.2057922037701411E-2</v>
          </cell>
          <cell r="J31">
            <v>1.3425276506344008E-2</v>
          </cell>
          <cell r="K31">
            <v>9.9317231764093877E-2</v>
          </cell>
        </row>
        <row r="32">
          <cell r="A32">
            <v>58.2</v>
          </cell>
          <cell r="B32" t="str">
            <v>Total Payroll less Acct. 926 - Employee Pensions, Benefits</v>
          </cell>
          <cell r="C32">
            <v>0.49862587521253937</v>
          </cell>
          <cell r="D32">
            <v>6.4604211039509016E-2</v>
          </cell>
          <cell r="E32">
            <v>4.4426276963549532E-2</v>
          </cell>
          <cell r="F32">
            <v>0.21259565781154255</v>
          </cell>
          <cell r="G32">
            <v>4.6231068493081742E-3</v>
          </cell>
          <cell r="H32">
            <v>1.0225979427784039E-2</v>
          </cell>
          <cell r="I32">
            <v>5.210643705698647E-2</v>
          </cell>
          <cell r="J32">
            <v>1.3431439923176865E-2</v>
          </cell>
          <cell r="K32">
            <v>9.9361015715169421E-2</v>
          </cell>
        </row>
        <row r="33">
          <cell r="A33">
            <v>59</v>
          </cell>
          <cell r="B33" t="str">
            <v>Distribution Expense less Supervision</v>
          </cell>
          <cell r="C33">
            <v>0</v>
          </cell>
          <cell r="D33">
            <v>0</v>
          </cell>
          <cell r="E33">
            <v>0.10677988766495644</v>
          </cell>
          <cell r="F33">
            <v>0.77066154562666567</v>
          </cell>
          <cell r="G33">
            <v>1.6189442056726989E-2</v>
          </cell>
          <cell r="H33">
            <v>1.8229776268684439E-2</v>
          </cell>
          <cell r="I33">
            <v>4.6565144691210751E-2</v>
          </cell>
          <cell r="J33">
            <v>4.1574203691755657E-2</v>
          </cell>
          <cell r="K33">
            <v>0</v>
          </cell>
        </row>
        <row r="34">
          <cell r="A34">
            <v>59.1</v>
          </cell>
          <cell r="B34" t="str">
            <v>Customer Accounts less Supervision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0.17538377427042101</v>
          </cell>
          <cell r="J34">
            <v>0</v>
          </cell>
          <cell r="K34">
            <v>0.82461622572957916</v>
          </cell>
        </row>
        <row r="35">
          <cell r="A35">
            <v>61</v>
          </cell>
          <cell r="B35" t="str">
            <v>Requirements Due to Net Lag</v>
          </cell>
          <cell r="C35">
            <v>0.72473151128780866</v>
          </cell>
          <cell r="D35">
            <v>7.5407025263792019E-2</v>
          </cell>
          <cell r="E35">
            <v>2.2710080557324933E-2</v>
          </cell>
          <cell r="F35">
            <v>0.11160069386641819</v>
          </cell>
          <cell r="G35">
            <v>7.6287683887695393E-3</v>
          </cell>
          <cell r="H35">
            <v>4.8767838450459403E-3</v>
          </cell>
          <cell r="I35">
            <v>1.2875727879936162E-2</v>
          </cell>
          <cell r="J35">
            <v>6.1368035662369E-3</v>
          </cell>
          <cell r="K35">
            <v>3.4032605344538773E-2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Unbundled COS"/>
      <sheetName val="Functional Alloc"/>
      <sheetName val="Functional PY Alloc"/>
      <sheetName val="Class COS"/>
      <sheetName val="Gen&amp;Intang"/>
      <sheetName val="Other Revenue"/>
      <sheetName val="Pro Formas"/>
      <sheetName val="Lighting"/>
      <sheetName val="LR class &amp; rates to end classes"/>
      <sheetName val="LGS detail"/>
    </sheetNames>
    <sheetDataSet>
      <sheetData sheetId="0"/>
      <sheetData sheetId="1"/>
      <sheetData sheetId="2">
        <row r="4">
          <cell r="A4">
            <v>1.1000000000000001</v>
          </cell>
          <cell r="B4" t="str">
            <v>Generation</v>
          </cell>
          <cell r="C4">
            <v>1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A5">
            <v>1.2</v>
          </cell>
          <cell r="B5" t="str">
            <v>Transmission</v>
          </cell>
          <cell r="C5">
            <v>0</v>
          </cell>
          <cell r="D5">
            <v>1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</row>
        <row r="6">
          <cell r="A6">
            <v>1.3</v>
          </cell>
          <cell r="B6" t="str">
            <v>Substations</v>
          </cell>
          <cell r="C6">
            <v>0</v>
          </cell>
          <cell r="D6">
            <v>0</v>
          </cell>
          <cell r="E6">
            <v>1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A7">
            <v>1.4</v>
          </cell>
          <cell r="B7" t="str">
            <v>Wires</v>
          </cell>
          <cell r="C7">
            <v>0</v>
          </cell>
          <cell r="D7">
            <v>0</v>
          </cell>
          <cell r="E7">
            <v>0</v>
          </cell>
          <cell r="F7">
            <v>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A8">
            <v>1.5</v>
          </cell>
          <cell r="B8" t="str">
            <v>Transformers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1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A9">
            <v>1.6</v>
          </cell>
          <cell r="B9" t="str">
            <v>Services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0</v>
          </cell>
          <cell r="J9">
            <v>0</v>
          </cell>
          <cell r="K9">
            <v>0</v>
          </cell>
        </row>
        <row r="10">
          <cell r="A10">
            <v>1.7</v>
          </cell>
          <cell r="B10" t="str">
            <v>Meters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1</v>
          </cell>
          <cell r="J10">
            <v>0</v>
          </cell>
          <cell r="K10">
            <v>0</v>
          </cell>
        </row>
        <row r="11">
          <cell r="A11">
            <v>1.8</v>
          </cell>
          <cell r="B11" t="str">
            <v>Lighting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</row>
        <row r="12">
          <cell r="A12">
            <v>1.9</v>
          </cell>
          <cell r="B12" t="str">
            <v>Customer Service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</row>
        <row r="13">
          <cell r="A13">
            <v>37</v>
          </cell>
          <cell r="B13" t="str">
            <v>Rate Base</v>
          </cell>
          <cell r="C13">
            <v>0.68965366540684259</v>
          </cell>
          <cell r="D13">
            <v>7.8837427096636201E-2</v>
          </cell>
          <cell r="E13">
            <v>4.9225427715967641E-2</v>
          </cell>
          <cell r="F13">
            <v>0.12848924014287946</v>
          </cell>
          <cell r="G13">
            <v>2.679254397977E-2</v>
          </cell>
          <cell r="H13">
            <v>1.2381561768078357E-2</v>
          </cell>
          <cell r="I13">
            <v>8.3078249406841539E-3</v>
          </cell>
          <cell r="J13">
            <v>7.2600742202322379E-3</v>
          </cell>
          <cell r="K13">
            <v>-9.4776527108336706E-4</v>
          </cell>
        </row>
        <row r="14">
          <cell r="A14">
            <v>39</v>
          </cell>
          <cell r="B14" t="str">
            <v>Total Allocated Gross Plant</v>
          </cell>
          <cell r="C14">
            <v>0.65021145210681308</v>
          </cell>
          <cell r="D14">
            <v>7.6134894836090788E-2</v>
          </cell>
          <cell r="E14">
            <v>5.5500897080427485E-2</v>
          </cell>
          <cell r="F14">
            <v>0.14823302475715772</v>
          </cell>
          <cell r="G14">
            <v>3.0656688505247897E-2</v>
          </cell>
          <cell r="H14">
            <v>1.4188083902709984E-2</v>
          </cell>
          <cell r="I14">
            <v>9.5058386140579963E-3</v>
          </cell>
          <cell r="J14">
            <v>8.229948285898632E-3</v>
          </cell>
          <cell r="K14">
            <v>7.3391719115963559E-3</v>
          </cell>
        </row>
        <row r="15">
          <cell r="A15">
            <v>39.1</v>
          </cell>
          <cell r="B15" t="str">
            <v>Property Taxes (408141)</v>
          </cell>
          <cell r="C15">
            <v>0.23000899999999999</v>
          </cell>
          <cell r="D15">
            <v>8.6940000000000003E-2</v>
          </cell>
          <cell r="E15">
            <v>0.14235028860849344</v>
          </cell>
          <cell r="F15">
            <v>0.38019230256609093</v>
          </cell>
          <cell r="G15">
            <v>7.8629151708643139E-2</v>
          </cell>
          <cell r="H15">
            <v>3.6390003488151371E-2</v>
          </cell>
          <cell r="I15">
            <v>2.4380846821557264E-2</v>
          </cell>
          <cell r="J15">
            <v>2.110840680706386E-2</v>
          </cell>
          <cell r="K15">
            <v>0</v>
          </cell>
        </row>
        <row r="16">
          <cell r="A16">
            <v>39.200000000000003</v>
          </cell>
          <cell r="B16" t="str">
            <v>Property Taxes (408143)</v>
          </cell>
          <cell r="C16">
            <v>0.91885499999999998</v>
          </cell>
          <cell r="D16">
            <v>8.1144999999999995E-2</v>
          </cell>
          <cell r="E16">
            <v>5.7843619281424651E-18</v>
          </cell>
          <cell r="F16">
            <v>1.5449001908134538E-17</v>
          </cell>
          <cell r="G16">
            <v>3.1950723530775919E-18</v>
          </cell>
          <cell r="H16">
            <v>1.4786970423414728E-18</v>
          </cell>
          <cell r="I16">
            <v>9.9070850863083216E-19</v>
          </cell>
          <cell r="J16">
            <v>8.5773387530201557E-19</v>
          </cell>
          <cell r="K16">
            <v>0</v>
          </cell>
        </row>
        <row r="17">
          <cell r="A17">
            <v>41</v>
          </cell>
          <cell r="B17" t="str">
            <v>Gross General Plant</v>
          </cell>
          <cell r="C17">
            <v>0.4915150759557213</v>
          </cell>
          <cell r="D17">
            <v>4.4853739098468515E-3</v>
          </cell>
          <cell r="E17">
            <v>0.10219731769875484</v>
          </cell>
          <cell r="F17">
            <v>0.27295085884110826</v>
          </cell>
          <cell r="G17">
            <v>5.6450102603250632E-2</v>
          </cell>
          <cell r="H17">
            <v>2.6125417685422998E-2</v>
          </cell>
          <cell r="I17">
            <v>1.7503702821707507E-2</v>
          </cell>
          <cell r="J17">
            <v>1.5154325134591628E-2</v>
          </cell>
          <cell r="K17">
            <v>1.3617825349596047E-2</v>
          </cell>
        </row>
        <row r="18">
          <cell r="A18">
            <v>41.1</v>
          </cell>
          <cell r="B18" t="str">
            <v>Gross General Plant - Accum Depr</v>
          </cell>
          <cell r="C18">
            <v>0.47423897910235013</v>
          </cell>
          <cell r="D18">
            <v>2.3718555692359552E-3</v>
          </cell>
          <cell r="E18">
            <v>0.10752820147614083</v>
          </cell>
          <cell r="F18">
            <v>0.28718870126382939</v>
          </cell>
          <cell r="G18">
            <v>5.9394690024678724E-2</v>
          </cell>
          <cell r="H18">
            <v>2.7488188924949877E-2</v>
          </cell>
          <cell r="I18">
            <v>1.8416742493565379E-2</v>
          </cell>
          <cell r="J18">
            <v>1.5944815020591946E-2</v>
          </cell>
          <cell r="K18">
            <v>7.4278261246578242E-3</v>
          </cell>
        </row>
        <row r="19">
          <cell r="A19">
            <v>41.2</v>
          </cell>
          <cell r="B19" t="str">
            <v>Gross General Plant - Depreciation</v>
          </cell>
          <cell r="C19">
            <v>0.68205095419343442</v>
          </cell>
          <cell r="D19">
            <v>4.2385732005877988E-3</v>
          </cell>
          <cell r="E19">
            <v>6.4634295014198803E-2</v>
          </cell>
          <cell r="F19">
            <v>0.1726267061794918</v>
          </cell>
          <cell r="G19">
            <v>3.5701647238876096E-2</v>
          </cell>
          <cell r="H19">
            <v>1.6522918527335971E-2</v>
          </cell>
          <cell r="I19">
            <v>1.1070148586031737E-2</v>
          </cell>
          <cell r="J19">
            <v>9.5842938302696488E-3</v>
          </cell>
          <cell r="K19">
            <v>3.5704632297737741E-3</v>
          </cell>
        </row>
        <row r="20">
          <cell r="A20">
            <v>42</v>
          </cell>
          <cell r="B20" t="str">
            <v>Gross Intangible Plant</v>
          </cell>
          <cell r="C20">
            <v>4.5634989296627834E-2</v>
          </cell>
          <cell r="D20">
            <v>3.3132281562071025E-3</v>
          </cell>
          <cell r="E20">
            <v>0.10895269901327113</v>
          </cell>
          <cell r="F20">
            <v>0.29099328082552467</v>
          </cell>
          <cell r="G20">
            <v>6.0181530951033721E-2</v>
          </cell>
          <cell r="H20">
            <v>2.7852343229459956E-2</v>
          </cell>
          <cell r="I20">
            <v>1.8660721319249247E-2</v>
          </cell>
          <cell r="J20">
            <v>1.6156046580452749E-2</v>
          </cell>
          <cell r="K20">
            <v>0.42825516062817354</v>
          </cell>
        </row>
        <row r="21">
          <cell r="A21">
            <v>42.1</v>
          </cell>
          <cell r="B21" t="str">
            <v>Gross Intangible Plant - Accum Depr</v>
          </cell>
          <cell r="C21">
            <v>3.7342296421090757E-2</v>
          </cell>
          <cell r="D21">
            <v>1.7460337451534753E-3</v>
          </cell>
          <cell r="E21">
            <v>0.10263995132798649</v>
          </cell>
          <cell r="F21">
            <v>0.27413305453832676</v>
          </cell>
          <cell r="G21">
            <v>5.6694597413373037E-2</v>
          </cell>
          <cell r="H21">
            <v>2.6238571227078351E-2</v>
          </cell>
          <cell r="I21">
            <v>1.7579514278205834E-2</v>
          </cell>
          <cell r="J21">
            <v>1.5219961044456241E-2</v>
          </cell>
          <cell r="K21">
            <v>0.46840602000432913</v>
          </cell>
        </row>
        <row r="22">
          <cell r="A22">
            <v>42.2</v>
          </cell>
          <cell r="B22" t="str">
            <v>Gross Intangible Plant - Depreciation</v>
          </cell>
          <cell r="C22">
            <v>0.18245160366050978</v>
          </cell>
          <cell r="D22">
            <v>7.8774826081448226E-3</v>
          </cell>
          <cell r="E22">
            <v>0.14530636203802755</v>
          </cell>
          <cell r="F22">
            <v>0.38808744893154729</v>
          </cell>
          <cell r="G22">
            <v>8.0261979772602951E-2</v>
          </cell>
          <cell r="H22">
            <v>3.7145685288754046E-2</v>
          </cell>
          <cell r="I22">
            <v>2.4887144168638624E-2</v>
          </cell>
          <cell r="J22">
            <v>2.1546748036380025E-2</v>
          </cell>
          <cell r="K22">
            <v>0.11243554549539495</v>
          </cell>
        </row>
        <row r="23">
          <cell r="A23">
            <v>44</v>
          </cell>
          <cell r="B23" t="str">
            <v>Gross Distribution Plant</v>
          </cell>
          <cell r="C23">
            <v>0</v>
          </cell>
          <cell r="D23">
            <v>0</v>
          </cell>
          <cell r="E23">
            <v>0.20840360179326792</v>
          </cell>
          <cell r="F23">
            <v>0.5566089538937663</v>
          </cell>
          <cell r="G23">
            <v>0.11511461326993613</v>
          </cell>
          <cell r="H23">
            <v>5.327567559106329E-2</v>
          </cell>
          <cell r="I23">
            <v>3.5694035762420764E-2</v>
          </cell>
          <cell r="J23">
            <v>3.090311968954567E-2</v>
          </cell>
          <cell r="K23">
            <v>0</v>
          </cell>
        </row>
        <row r="24">
          <cell r="A24">
            <v>44.1</v>
          </cell>
          <cell r="B24" t="str">
            <v>(Substations + Wires) Plant</v>
          </cell>
          <cell r="C24">
            <v>0</v>
          </cell>
          <cell r="D24">
            <v>0</v>
          </cell>
          <cell r="E24">
            <v>0.27241853776649066</v>
          </cell>
          <cell r="F24">
            <v>0.72758146223350928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A25">
            <v>44.2</v>
          </cell>
          <cell r="B25" t="str">
            <v>(Wires + Trans + Services) Plant</v>
          </cell>
          <cell r="C25">
            <v>0</v>
          </cell>
          <cell r="D25">
            <v>0</v>
          </cell>
          <cell r="E25">
            <v>0</v>
          </cell>
          <cell r="F25">
            <v>0.76773729001264868</v>
          </cell>
          <cell r="G25">
            <v>0.15877894276487425</v>
          </cell>
          <cell r="H25">
            <v>7.3483767222476987E-2</v>
          </cell>
          <cell r="I25">
            <v>0</v>
          </cell>
          <cell r="J25">
            <v>0</v>
          </cell>
          <cell r="K25">
            <v>0</v>
          </cell>
        </row>
        <row r="26">
          <cell r="A26">
            <v>44.3</v>
          </cell>
          <cell r="B26" t="str">
            <v>(Services + Meters + Cust Install) Plant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0.56330900710362652</v>
          </cell>
          <cell r="I26">
            <v>0.37740998348265675</v>
          </cell>
          <cell r="J26">
            <v>5.9281009413716786E-2</v>
          </cell>
          <cell r="K26">
            <v>0</v>
          </cell>
        </row>
        <row r="27">
          <cell r="A27">
            <v>45</v>
          </cell>
          <cell r="B27" t="str">
            <v>Gross Production, Transmission, Distribution Plant</v>
          </cell>
          <cell r="C27">
            <v>0.66629461273225998</v>
          </cell>
          <cell r="D27">
            <v>8.0017145984470794E-2</v>
          </cell>
          <cell r="E27">
            <v>5.286954321600737E-2</v>
          </cell>
          <cell r="F27">
            <v>0.14120514659576164</v>
          </cell>
          <cell r="G27">
            <v>2.9203223786439674E-2</v>
          </cell>
          <cell r="H27">
            <v>1.3515412443868313E-2</v>
          </cell>
          <cell r="I27">
            <v>9.0551571568662659E-3</v>
          </cell>
          <cell r="J27">
            <v>7.8397580842034225E-3</v>
          </cell>
          <cell r="K27">
            <v>0</v>
          </cell>
        </row>
        <row r="28">
          <cell r="A28">
            <v>46</v>
          </cell>
          <cell r="B28" t="str">
            <v>Gross Plant less Intangible</v>
          </cell>
          <cell r="C28">
            <v>0.66005464151096283</v>
          </cell>
          <cell r="D28">
            <v>7.7320514028945478E-2</v>
          </cell>
          <cell r="E28">
            <v>5.4630641219039003E-2</v>
          </cell>
          <cell r="F28">
            <v>0.14590872613439274</v>
          </cell>
          <cell r="G28">
            <v>3.0175990637900069E-2</v>
          </cell>
          <cell r="H28">
            <v>1.3965614288204255E-2</v>
          </cell>
          <cell r="I28">
            <v>9.3567867571247836E-3</v>
          </cell>
          <cell r="J28">
            <v>8.1009024305794194E-3</v>
          </cell>
          <cell r="K28">
            <v>4.8618299285142172E-4</v>
          </cell>
        </row>
        <row r="29">
          <cell r="A29">
            <v>47</v>
          </cell>
          <cell r="B29" t="str">
            <v>Net Plant</v>
          </cell>
          <cell r="C29">
            <v>0.67996608621407717</v>
          </cell>
          <cell r="D29">
            <v>8.0477112364062561E-2</v>
          </cell>
          <cell r="E29">
            <v>4.9768348959780509E-2</v>
          </cell>
          <cell r="F29">
            <v>0.13292240831328173</v>
          </cell>
          <cell r="G29">
            <v>2.7490236225722598E-2</v>
          </cell>
          <cell r="H29">
            <v>1.2722632387679532E-2</v>
          </cell>
          <cell r="I29">
            <v>8.5240044429233369E-3</v>
          </cell>
          <cell r="J29">
            <v>7.3798976189520674E-3</v>
          </cell>
          <cell r="K29">
            <v>7.4927347352025985E-4</v>
          </cell>
        </row>
        <row r="30">
          <cell r="A30">
            <v>58</v>
          </cell>
          <cell r="B30" t="str">
            <v>O&amp;M Expense Excluding A&amp;G, Fuel, Rents</v>
          </cell>
          <cell r="C30">
            <v>0.53468390046301029</v>
          </cell>
          <cell r="D30">
            <v>0.1535280975046055</v>
          </cell>
          <cell r="E30">
            <v>2.4264110699156238E-2</v>
          </cell>
          <cell r="F30">
            <v>0.17703671297496509</v>
          </cell>
          <cell r="G30">
            <v>3.5099581528333147E-3</v>
          </cell>
          <cell r="H30">
            <v>4.1066635194446956E-3</v>
          </cell>
          <cell r="I30">
            <v>2.1543437279905958E-2</v>
          </cell>
          <cell r="J30">
            <v>9.5486731003543313E-3</v>
          </cell>
          <cell r="K30">
            <v>7.1778446303033483E-2</v>
          </cell>
        </row>
        <row r="31">
          <cell r="A31">
            <v>58.1</v>
          </cell>
          <cell r="B31" t="str">
            <v>Total Payroll</v>
          </cell>
          <cell r="C31">
            <v>0.49868311291182166</v>
          </cell>
          <cell r="D31">
            <v>6.4745366819315392E-2</v>
          </cell>
          <cell r="E31">
            <v>4.4394271993740284E-2</v>
          </cell>
          <cell r="F31">
            <v>0.21253921234129794</v>
          </cell>
          <cell r="G31">
            <v>4.6213398620729377E-3</v>
          </cell>
          <cell r="H31">
            <v>1.0216265763174224E-2</v>
          </cell>
          <cell r="I31">
            <v>5.2057922037701411E-2</v>
          </cell>
          <cell r="J31">
            <v>1.3425276506344008E-2</v>
          </cell>
          <cell r="K31">
            <v>9.9317231764093877E-2</v>
          </cell>
        </row>
        <row r="32">
          <cell r="A32">
            <v>58.2</v>
          </cell>
          <cell r="B32" t="str">
            <v>Total Payroll less Acct. 926 - Employee Pensions, Benefits</v>
          </cell>
          <cell r="C32">
            <v>0.49862587521253937</v>
          </cell>
          <cell r="D32">
            <v>6.4604211039509016E-2</v>
          </cell>
          <cell r="E32">
            <v>4.4426276963549532E-2</v>
          </cell>
          <cell r="F32">
            <v>0.21259565781154255</v>
          </cell>
          <cell r="G32">
            <v>4.6231068493081742E-3</v>
          </cell>
          <cell r="H32">
            <v>1.0225979427784039E-2</v>
          </cell>
          <cell r="I32">
            <v>5.210643705698647E-2</v>
          </cell>
          <cell r="J32">
            <v>1.3431439923176865E-2</v>
          </cell>
          <cell r="K32">
            <v>9.9361015715169421E-2</v>
          </cell>
        </row>
        <row r="33">
          <cell r="A33">
            <v>59</v>
          </cell>
          <cell r="B33" t="str">
            <v>Distribution Expense less Supervision</v>
          </cell>
          <cell r="C33">
            <v>0</v>
          </cell>
          <cell r="D33">
            <v>0</v>
          </cell>
          <cell r="E33">
            <v>0.10677988766495644</v>
          </cell>
          <cell r="F33">
            <v>0.77066154562666567</v>
          </cell>
          <cell r="G33">
            <v>1.6189442056726989E-2</v>
          </cell>
          <cell r="H33">
            <v>1.8229776268684439E-2</v>
          </cell>
          <cell r="I33">
            <v>4.6565144691210751E-2</v>
          </cell>
          <cell r="J33">
            <v>4.1574203691755657E-2</v>
          </cell>
          <cell r="K33">
            <v>0</v>
          </cell>
        </row>
        <row r="34">
          <cell r="A34">
            <v>59.1</v>
          </cell>
          <cell r="B34" t="str">
            <v>Customer Accounts less Supervision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0.17538377427042101</v>
          </cell>
          <cell r="J34">
            <v>0</v>
          </cell>
          <cell r="K34">
            <v>0.82461622572957916</v>
          </cell>
        </row>
        <row r="35">
          <cell r="A35">
            <v>61</v>
          </cell>
          <cell r="B35" t="str">
            <v>Requirements Due to Net Lag</v>
          </cell>
          <cell r="C35">
            <v>0.72473151128780866</v>
          </cell>
          <cell r="D35">
            <v>7.5407025263792019E-2</v>
          </cell>
          <cell r="E35">
            <v>2.2710080557324933E-2</v>
          </cell>
          <cell r="F35">
            <v>0.11160069386641819</v>
          </cell>
          <cell r="G35">
            <v>7.6287683887695393E-3</v>
          </cell>
          <cell r="H35">
            <v>4.8767838450459403E-3</v>
          </cell>
          <cell r="I35">
            <v>1.2875727879936162E-2</v>
          </cell>
          <cell r="J35">
            <v>6.1368035662369E-3</v>
          </cell>
          <cell r="K35">
            <v>3.4032605344538773E-2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"/>
      <sheetName val="POR (2)"/>
      <sheetName val="Macro1"/>
    </sheetNames>
    <sheetDataSet>
      <sheetData sheetId="0"/>
      <sheetData sheetId="1"/>
      <sheetData sheetId="2">
        <row r="1734">
          <cell r="A1734" t="str">
            <v>Recover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Relationship Id="rId4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S39"/>
  <sheetViews>
    <sheetView tabSelected="1" zoomScale="90" zoomScaleNormal="90" workbookViewId="0">
      <selection activeCell="H12" sqref="H12"/>
    </sheetView>
  </sheetViews>
  <sheetFormatPr defaultRowHeight="12.75" x14ac:dyDescent="0.2"/>
  <cols>
    <col min="1" max="1" customWidth="true" style="54" width="6.42578125" collapsed="false"/>
    <col min="2" max="2" customWidth="true" style="52" width="15.28515625" collapsed="false"/>
    <col min="3" max="3" bestFit="true" customWidth="true" style="52" width="15.28515625" collapsed="false"/>
    <col min="4" max="4" customWidth="true" style="54" width="11.42578125" collapsed="false"/>
    <col min="5" max="5" customWidth="true" style="52" width="3.85546875" collapsed="false"/>
    <col min="6" max="6" bestFit="true" customWidth="true" style="54" width="7.140625" collapsed="false"/>
    <col min="7" max="7" customWidth="true" style="52" width="7.140625" collapsed="false"/>
    <col min="8" max="8" bestFit="true" customWidth="true" style="54" width="17.7109375" collapsed="false"/>
    <col min="9" max="9" customWidth="true" style="52" width="2.85546875" collapsed="false"/>
    <col min="10" max="10" bestFit="true" customWidth="true" style="52" width="14.28515625" collapsed="false"/>
    <col min="11" max="12" customWidth="true" style="52" width="14.28515625" collapsed="false"/>
    <col min="13" max="13" customWidth="true" style="52" width="5.5703125" collapsed="false"/>
    <col min="14" max="14" customWidth="true" style="52" width="6.7109375" collapsed="false"/>
    <col min="15" max="15" customWidth="true" style="52" width="18.42578125" collapsed="false"/>
    <col min="16" max="16" bestFit="true" customWidth="true" style="52" width="13.5703125" collapsed="false"/>
    <col min="17" max="17" customWidth="true" style="52" width="14.42578125" collapsed="false"/>
    <col min="18" max="18" customWidth="true" style="54" width="13.28515625" collapsed="false"/>
    <col min="19" max="16384" style="52" width="9.140625" collapsed="false"/>
  </cols>
  <sheetData>
    <row r="2" spans="1:19" x14ac:dyDescent="0.2">
      <c r="A2" s="171"/>
    </row>
    <row r="3" spans="1:19" x14ac:dyDescent="0.2">
      <c r="A3" s="162" t="s">
        <v>94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</row>
    <row r="4" spans="1:19" x14ac:dyDescent="0.2">
      <c r="A4" s="162" t="s">
        <v>166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</row>
    <row r="5" spans="1:19" x14ac:dyDescent="0.2"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</row>
    <row r="6" spans="1:19" x14ac:dyDescent="0.2">
      <c r="A6" s="156"/>
      <c r="B6" s="172"/>
      <c r="C6" s="74"/>
      <c r="D6" s="74"/>
      <c r="E6" s="74"/>
      <c r="F6" s="74"/>
      <c r="G6" s="74"/>
      <c r="H6" s="74"/>
      <c r="I6" s="74"/>
      <c r="J6" s="74"/>
      <c r="K6" s="74"/>
      <c r="L6" s="156"/>
      <c r="M6" s="156"/>
      <c r="N6" s="156"/>
      <c r="O6" s="156"/>
      <c r="P6" s="156"/>
      <c r="Q6" s="156"/>
      <c r="R6" s="62" t="s">
        <v>95</v>
      </c>
    </row>
    <row r="8" spans="1:19" x14ac:dyDescent="0.2">
      <c r="A8" s="161" t="s">
        <v>65</v>
      </c>
      <c r="B8" s="161"/>
      <c r="C8" s="161"/>
      <c r="D8" s="161"/>
      <c r="F8" s="161" t="s">
        <v>59</v>
      </c>
      <c r="G8" s="161"/>
      <c r="H8" s="161"/>
      <c r="I8" s="161"/>
      <c r="J8" s="161"/>
      <c r="K8" s="161"/>
      <c r="L8" s="161"/>
      <c r="N8" s="161" t="s">
        <v>78</v>
      </c>
      <c r="O8" s="161"/>
      <c r="P8" s="161"/>
      <c r="Q8" s="161"/>
      <c r="R8" s="161"/>
    </row>
    <row r="9" spans="1:19" s="75" customFormat="1" x14ac:dyDescent="0.2">
      <c r="A9" s="74"/>
      <c r="B9" s="74"/>
      <c r="C9" s="74"/>
      <c r="D9" s="74"/>
      <c r="F9" s="74"/>
      <c r="G9" s="74"/>
      <c r="H9" s="74"/>
      <c r="R9" s="76"/>
    </row>
    <row r="10" spans="1:19" s="75" customFormat="1" ht="25.5" x14ac:dyDescent="0.2">
      <c r="A10" s="74"/>
      <c r="B10" s="77"/>
      <c r="C10" s="74">
        <v>2019</v>
      </c>
      <c r="D10" s="78" t="s">
        <v>87</v>
      </c>
      <c r="F10" s="76"/>
      <c r="H10" s="78" t="s">
        <v>161</v>
      </c>
      <c r="K10" s="78" t="s">
        <v>167</v>
      </c>
      <c r="L10" s="78" t="s">
        <v>168</v>
      </c>
      <c r="Q10" s="78" t="str">
        <f>K10</f>
        <v>Jan-20 through Mar-20</v>
      </c>
      <c r="R10" s="78" t="str">
        <f>L10</f>
        <v>Apr-20 through Mar-21</v>
      </c>
    </row>
    <row r="11" spans="1:19" s="75" customFormat="1" x14ac:dyDescent="0.2">
      <c r="A11" s="74"/>
      <c r="B11" s="79"/>
      <c r="C11" s="79" t="s">
        <v>48</v>
      </c>
      <c r="D11" s="80" t="s">
        <v>49</v>
      </c>
      <c r="E11" s="76"/>
      <c r="F11" s="76"/>
      <c r="G11" s="76"/>
      <c r="H11" s="76" t="s">
        <v>50</v>
      </c>
      <c r="I11" s="76"/>
      <c r="J11" s="76"/>
      <c r="K11" s="80" t="s">
        <v>51</v>
      </c>
      <c r="L11" s="80" t="s">
        <v>52</v>
      </c>
      <c r="M11" s="76"/>
      <c r="N11" s="76"/>
      <c r="O11" s="76"/>
      <c r="P11" s="76" t="s">
        <v>53</v>
      </c>
      <c r="Q11" s="80" t="s">
        <v>54</v>
      </c>
      <c r="R11" s="80" t="s">
        <v>77</v>
      </c>
    </row>
    <row r="12" spans="1:19" s="75" customFormat="1" ht="25.5" x14ac:dyDescent="0.2">
      <c r="A12" s="80" t="s">
        <v>7</v>
      </c>
      <c r="C12" s="79" t="s">
        <v>61</v>
      </c>
      <c r="D12" s="79" t="s">
        <v>62</v>
      </c>
      <c r="F12" s="80" t="s">
        <v>7</v>
      </c>
      <c r="H12" s="79" t="s">
        <v>61</v>
      </c>
      <c r="K12" s="79" t="s">
        <v>61</v>
      </c>
      <c r="L12" s="79" t="s">
        <v>61</v>
      </c>
      <c r="N12" s="80" t="s">
        <v>7</v>
      </c>
      <c r="P12" s="79" t="s">
        <v>79</v>
      </c>
      <c r="Q12" s="79" t="s">
        <v>80</v>
      </c>
      <c r="R12" s="79" t="s">
        <v>80</v>
      </c>
    </row>
    <row r="13" spans="1:19" s="75" customFormat="1" x14ac:dyDescent="0.2">
      <c r="A13" s="56">
        <v>1</v>
      </c>
      <c r="B13" s="53" t="s">
        <v>63</v>
      </c>
      <c r="C13" s="82">
        <v>5869282682</v>
      </c>
      <c r="D13" s="81">
        <f t="shared" ref="D13:D20" si="0">C13/$C$21</f>
        <v>0.24482765697610201</v>
      </c>
      <c r="F13" s="56">
        <v>1</v>
      </c>
      <c r="G13" s="173">
        <v>43831</v>
      </c>
      <c r="H13" s="72">
        <v>2105567683</v>
      </c>
      <c r="J13" s="53" t="s">
        <v>63</v>
      </c>
      <c r="K13" s="55">
        <f t="shared" ref="K13:K20" si="1">$H$29*D13</f>
        <v>1487518399.4922998</v>
      </c>
      <c r="L13" s="82">
        <f t="shared" ref="L13:L20" si="2">$H$31*D13</f>
        <v>5981915622.3552618</v>
      </c>
      <c r="N13" s="56">
        <v>1</v>
      </c>
      <c r="O13" s="53" t="s">
        <v>81</v>
      </c>
      <c r="P13" s="83">
        <f>R20</f>
        <v>356.58171678366165</v>
      </c>
      <c r="Q13" s="155">
        <f>K14/P13</f>
        <v>1537898.800998735</v>
      </c>
      <c r="R13" s="49">
        <f>L14/P13</f>
        <v>6184515.6782165775</v>
      </c>
      <c r="S13" s="110"/>
    </row>
    <row r="14" spans="1:19" s="75" customFormat="1" x14ac:dyDescent="0.2">
      <c r="A14" s="56">
        <f>A13+1</f>
        <v>2</v>
      </c>
      <c r="B14" s="53" t="s">
        <v>81</v>
      </c>
      <c r="C14" s="82">
        <v>2163762105</v>
      </c>
      <c r="D14" s="81">
        <f>C14/$C$21</f>
        <v>9.0257844974049317E-2</v>
      </c>
      <c r="F14" s="56">
        <f>F13+1</f>
        <v>2</v>
      </c>
      <c r="G14" s="173">
        <v>43862</v>
      </c>
      <c r="H14" s="72">
        <v>1992699052.51</v>
      </c>
      <c r="J14" s="53" t="s">
        <v>81</v>
      </c>
      <c r="K14" s="55">
        <f>$H$29*D14</f>
        <v>548386594.69966376</v>
      </c>
      <c r="L14" s="82">
        <f t="shared" si="2"/>
        <v>2205285218.0139389</v>
      </c>
      <c r="N14" s="56">
        <f>N13+1</f>
        <v>2</v>
      </c>
      <c r="O14" s="53" t="s">
        <v>83</v>
      </c>
      <c r="P14" s="83">
        <f>R21</f>
        <v>440.5875673757584</v>
      </c>
      <c r="Q14" s="49">
        <f>K16/P14</f>
        <v>4138945.4189749239</v>
      </c>
      <c r="R14" s="49">
        <f>L16/P14</f>
        <v>16644380.513405547</v>
      </c>
    </row>
    <row r="15" spans="1:19" s="75" customFormat="1" x14ac:dyDescent="0.2">
      <c r="A15" s="56">
        <f t="shared" ref="A15:A21" si="3">A14+1</f>
        <v>3</v>
      </c>
      <c r="B15" s="53" t="s">
        <v>82</v>
      </c>
      <c r="C15" s="82">
        <v>1591388319</v>
      </c>
      <c r="D15" s="81">
        <f t="shared" si="0"/>
        <v>6.6382196017715611E-2</v>
      </c>
      <c r="F15" s="56">
        <f t="shared" ref="F15:F27" si="4">F14+1</f>
        <v>3</v>
      </c>
      <c r="G15" s="173">
        <v>43891</v>
      </c>
      <c r="H15" s="72">
        <v>1977510886.45</v>
      </c>
      <c r="J15" s="53" t="s">
        <v>82</v>
      </c>
      <c r="K15" s="55">
        <f t="shared" si="1"/>
        <v>403323461.06099874</v>
      </c>
      <c r="L15" s="82">
        <f t="shared" si="2"/>
        <v>1621927441.9776156</v>
      </c>
      <c r="N15" s="56">
        <f t="shared" ref="N15" si="5">N14+1</f>
        <v>3</v>
      </c>
      <c r="O15" s="53" t="s">
        <v>84</v>
      </c>
      <c r="P15" s="83">
        <f>R22</f>
        <v>581.22970469889685</v>
      </c>
      <c r="Q15" s="49">
        <f>K17/P15</f>
        <v>3060946.1975900498</v>
      </c>
      <c r="R15" s="49">
        <f>L17/P15</f>
        <v>12309307.82758875</v>
      </c>
    </row>
    <row r="16" spans="1:19" s="75" customFormat="1" x14ac:dyDescent="0.2">
      <c r="A16" s="56">
        <f t="shared" si="3"/>
        <v>4</v>
      </c>
      <c r="B16" s="53" t="s">
        <v>83</v>
      </c>
      <c r="C16" s="82">
        <v>7195228954</v>
      </c>
      <c r="D16" s="81">
        <f t="shared" si="0"/>
        <v>0.30013736629467547</v>
      </c>
      <c r="F16" s="56">
        <f t="shared" si="4"/>
        <v>4</v>
      </c>
      <c r="G16" s="173">
        <v>43922</v>
      </c>
      <c r="H16" s="72">
        <v>1883965199.9300001</v>
      </c>
      <c r="J16" s="53" t="s">
        <v>83</v>
      </c>
      <c r="K16" s="55">
        <f t="shared" si="1"/>
        <v>1823567893.6472008</v>
      </c>
      <c r="L16" s="82">
        <f t="shared" si="2"/>
        <v>7333307120.8778267</v>
      </c>
      <c r="N16" s="56"/>
      <c r="O16" s="53"/>
      <c r="Q16" s="110"/>
      <c r="R16" s="110"/>
    </row>
    <row r="17" spans="1:18" s="75" customFormat="1" x14ac:dyDescent="0.2">
      <c r="A17" s="56">
        <f t="shared" si="3"/>
        <v>5</v>
      </c>
      <c r="B17" s="53" t="s">
        <v>84</v>
      </c>
      <c r="C17" s="82">
        <v>7019823264</v>
      </c>
      <c r="D17" s="81">
        <f t="shared" si="0"/>
        <v>0.29282060095388207</v>
      </c>
      <c r="F17" s="56">
        <f t="shared" si="4"/>
        <v>5</v>
      </c>
      <c r="G17" s="173">
        <v>43952</v>
      </c>
      <c r="H17" s="72">
        <v>1860830867.1199999</v>
      </c>
      <c r="J17" s="53" t="s">
        <v>84</v>
      </c>
      <c r="K17" s="55">
        <f t="shared" si="1"/>
        <v>1779112854.5244758</v>
      </c>
      <c r="L17" s="82">
        <f t="shared" si="2"/>
        <v>7154535353.6772289</v>
      </c>
      <c r="N17" s="56"/>
      <c r="R17" s="76"/>
    </row>
    <row r="18" spans="1:18" s="75" customFormat="1" x14ac:dyDescent="0.2">
      <c r="A18" s="56">
        <f t="shared" si="3"/>
        <v>6</v>
      </c>
      <c r="B18" s="53" t="s">
        <v>85</v>
      </c>
      <c r="C18" s="82">
        <v>5287802</v>
      </c>
      <c r="D18" s="81">
        <f t="shared" si="0"/>
        <v>2.2057212854712969E-4</v>
      </c>
      <c r="F18" s="56">
        <f t="shared" si="4"/>
        <v>6</v>
      </c>
      <c r="G18" s="173">
        <v>43983</v>
      </c>
      <c r="H18" s="72">
        <v>1922120032.3199999</v>
      </c>
      <c r="J18" s="53" t="s">
        <v>85</v>
      </c>
      <c r="K18" s="55">
        <f t="shared" si="1"/>
        <v>1340147.202654735</v>
      </c>
      <c r="L18" s="82">
        <f t="shared" si="2"/>
        <v>5389276.1868036054</v>
      </c>
      <c r="R18" s="76"/>
    </row>
    <row r="19" spans="1:18" s="75" customFormat="1" x14ac:dyDescent="0.2">
      <c r="A19" s="56">
        <f t="shared" si="3"/>
        <v>7</v>
      </c>
      <c r="B19" s="53" t="s">
        <v>86</v>
      </c>
      <c r="C19" s="82">
        <v>45110759</v>
      </c>
      <c r="D19" s="81">
        <f t="shared" si="0"/>
        <v>1.8817225253529894E-3</v>
      </c>
      <c r="F19" s="56">
        <f t="shared" si="4"/>
        <v>7</v>
      </c>
      <c r="G19" s="173">
        <v>44013</v>
      </c>
      <c r="H19" s="72">
        <v>2289463491.3400002</v>
      </c>
      <c r="J19" s="53" t="s">
        <v>86</v>
      </c>
      <c r="K19" s="55">
        <f t="shared" si="1"/>
        <v>11432927.610277751</v>
      </c>
      <c r="L19" s="82">
        <f t="shared" si="2"/>
        <v>45976445.26919435</v>
      </c>
      <c r="P19" s="79" t="s">
        <v>169</v>
      </c>
      <c r="Q19" s="79" t="s">
        <v>170</v>
      </c>
      <c r="R19" s="79" t="s">
        <v>79</v>
      </c>
    </row>
    <row r="20" spans="1:18" s="75" customFormat="1" x14ac:dyDescent="0.2">
      <c r="A20" s="56">
        <f t="shared" si="3"/>
        <v>8</v>
      </c>
      <c r="B20" s="53" t="s">
        <v>64</v>
      </c>
      <c r="C20" s="82">
        <v>83235633</v>
      </c>
      <c r="D20" s="81">
        <f t="shared" si="0"/>
        <v>3.4720401296753755E-3</v>
      </c>
      <c r="F20" s="56">
        <f t="shared" si="4"/>
        <v>8</v>
      </c>
      <c r="G20" s="173">
        <v>44044</v>
      </c>
      <c r="H20" s="72">
        <v>2238917754.7199998</v>
      </c>
      <c r="J20" s="53" t="s">
        <v>64</v>
      </c>
      <c r="K20" s="55">
        <f t="shared" si="1"/>
        <v>21095343.722428743</v>
      </c>
      <c r="L20" s="82">
        <f t="shared" si="2"/>
        <v>84832944.732125804</v>
      </c>
      <c r="N20" s="76">
        <f>N15+1</f>
        <v>4</v>
      </c>
      <c r="O20" s="75" t="s">
        <v>81</v>
      </c>
      <c r="P20" s="49">
        <f>C14</f>
        <v>2163762105</v>
      </c>
      <c r="Q20" s="49">
        <v>6068068</v>
      </c>
      <c r="R20" s="83">
        <f>P20/Q20</f>
        <v>356.58171678366165</v>
      </c>
    </row>
    <row r="21" spans="1:18" s="75" customFormat="1" ht="14.25" customHeight="1" thickBot="1" x14ac:dyDescent="0.25">
      <c r="A21" s="56">
        <f t="shared" si="3"/>
        <v>9</v>
      </c>
      <c r="B21" s="53" t="s">
        <v>60</v>
      </c>
      <c r="C21" s="84">
        <f>SUM(C13:C20)</f>
        <v>23973119518</v>
      </c>
      <c r="D21" s="85">
        <f>SUM(D13:D20)</f>
        <v>1</v>
      </c>
      <c r="F21" s="56">
        <f t="shared" si="4"/>
        <v>9</v>
      </c>
      <c r="G21" s="173">
        <v>44075</v>
      </c>
      <c r="H21" s="72">
        <v>2087905404.0999999</v>
      </c>
      <c r="J21" s="53" t="s">
        <v>60</v>
      </c>
      <c r="K21" s="84">
        <f>SUM(K13:K20)</f>
        <v>6075777621.960001</v>
      </c>
      <c r="L21" s="84">
        <f>SUM(L13:L20)</f>
        <v>24433169423.089993</v>
      </c>
      <c r="N21" s="76">
        <f>N20+1</f>
        <v>5</v>
      </c>
      <c r="O21" s="53" t="s">
        <v>83</v>
      </c>
      <c r="P21" s="49">
        <f>C16</f>
        <v>7195228954</v>
      </c>
      <c r="Q21" s="49">
        <v>16330985</v>
      </c>
      <c r="R21" s="83">
        <f>P21/Q21</f>
        <v>440.5875673757584</v>
      </c>
    </row>
    <row r="22" spans="1:18" s="75" customFormat="1" ht="13.5" thickTop="1" x14ac:dyDescent="0.2">
      <c r="A22" s="76"/>
      <c r="D22" s="76"/>
      <c r="F22" s="56">
        <f t="shared" si="4"/>
        <v>10</v>
      </c>
      <c r="G22" s="173">
        <v>44105</v>
      </c>
      <c r="H22" s="72">
        <v>1969149470.74</v>
      </c>
      <c r="K22" s="110"/>
      <c r="L22" s="110"/>
      <c r="N22" s="76">
        <f>N21+1</f>
        <v>6</v>
      </c>
      <c r="O22" s="53" t="s">
        <v>84</v>
      </c>
      <c r="P22" s="49">
        <f>C17</f>
        <v>7019823264</v>
      </c>
      <c r="Q22" s="49">
        <v>12077537</v>
      </c>
      <c r="R22" s="83">
        <f>P22/Q22</f>
        <v>581.22970469889685</v>
      </c>
    </row>
    <row r="23" spans="1:18" s="75" customFormat="1" x14ac:dyDescent="0.2">
      <c r="A23" s="76"/>
      <c r="B23" s="86"/>
      <c r="C23" s="86"/>
      <c r="D23" s="86"/>
      <c r="F23" s="56">
        <f t="shared" si="4"/>
        <v>11</v>
      </c>
      <c r="G23" s="173">
        <v>44136</v>
      </c>
      <c r="H23" s="72">
        <v>1792463143.5799999</v>
      </c>
      <c r="R23" s="76"/>
    </row>
    <row r="24" spans="1:18" s="75" customFormat="1" ht="15" customHeight="1" x14ac:dyDescent="0.25">
      <c r="A24" s="76"/>
      <c r="B24" s="86"/>
      <c r="C24" s="86"/>
      <c r="D24" s="86"/>
      <c r="F24" s="56">
        <f t="shared" si="4"/>
        <v>12</v>
      </c>
      <c r="G24" s="173">
        <v>44166</v>
      </c>
      <c r="H24" s="72">
        <v>2109147131.02</v>
      </c>
      <c r="M24" s="111"/>
      <c r="N24" s="111"/>
      <c r="O24" s="86"/>
      <c r="P24" s="86"/>
      <c r="Q24" s="86"/>
      <c r="R24" s="86"/>
    </row>
    <row r="25" spans="1:18" s="75" customFormat="1" ht="15" x14ac:dyDescent="0.25">
      <c r="A25" s="76"/>
      <c r="B25" s="86"/>
      <c r="C25" s="86"/>
      <c r="D25" s="86"/>
      <c r="F25" s="56">
        <f t="shared" si="4"/>
        <v>13</v>
      </c>
      <c r="G25" s="173">
        <v>44197</v>
      </c>
      <c r="H25" s="72">
        <v>2267081272.9299998</v>
      </c>
      <c r="M25" s="111"/>
      <c r="N25" s="111"/>
      <c r="O25" s="86"/>
      <c r="P25" s="86"/>
      <c r="Q25" s="86"/>
      <c r="R25" s="86"/>
    </row>
    <row r="26" spans="1:18" s="75" customFormat="1" x14ac:dyDescent="0.2">
      <c r="A26" s="76"/>
      <c r="D26" s="76"/>
      <c r="F26" s="56">
        <f t="shared" si="4"/>
        <v>14</v>
      </c>
      <c r="G26" s="173">
        <v>44228</v>
      </c>
      <c r="H26" s="72">
        <v>2013339626.9400001</v>
      </c>
      <c r="O26" s="86"/>
      <c r="P26" s="86"/>
      <c r="Q26" s="86"/>
      <c r="R26" s="86"/>
    </row>
    <row r="27" spans="1:18" s="75" customFormat="1" ht="15" x14ac:dyDescent="0.25">
      <c r="A27" s="76"/>
      <c r="D27" s="76"/>
      <c r="F27" s="56">
        <f t="shared" si="4"/>
        <v>15</v>
      </c>
      <c r="G27" s="173">
        <v>44256</v>
      </c>
      <c r="H27" s="72">
        <v>1998786028.3499999</v>
      </c>
      <c r="M27" s="111"/>
      <c r="N27" s="111"/>
      <c r="O27" s="111"/>
      <c r="P27" s="111"/>
      <c r="Q27" s="111"/>
      <c r="R27" s="112"/>
    </row>
    <row r="28" spans="1:18" s="75" customFormat="1" ht="15" x14ac:dyDescent="0.25">
      <c r="A28" s="76"/>
      <c r="D28" s="76"/>
      <c r="F28" s="76"/>
      <c r="H28" s="76"/>
      <c r="O28" s="111"/>
      <c r="P28" s="111"/>
      <c r="Q28" s="111"/>
      <c r="R28" s="112"/>
    </row>
    <row r="29" spans="1:18" s="75" customFormat="1" ht="15.75" thickBot="1" x14ac:dyDescent="0.3">
      <c r="A29" s="76"/>
      <c r="D29" s="76"/>
      <c r="F29" s="76">
        <f>F27+1</f>
        <v>16</v>
      </c>
      <c r="H29" s="87">
        <f>SUM(H13:H15)</f>
        <v>6075777621.96</v>
      </c>
      <c r="I29" s="75" t="s">
        <v>171</v>
      </c>
      <c r="M29" s="111"/>
      <c r="N29" s="111"/>
      <c r="O29" s="111"/>
      <c r="P29" s="111"/>
      <c r="Q29" s="111"/>
      <c r="R29" s="112"/>
    </row>
    <row r="30" spans="1:18" s="75" customFormat="1" ht="15.75" thickTop="1" x14ac:dyDescent="0.25">
      <c r="A30" s="76"/>
      <c r="D30" s="76"/>
      <c r="F30" s="76"/>
      <c r="H30" s="76"/>
      <c r="M30" s="111"/>
      <c r="N30" s="111"/>
      <c r="O30" s="111"/>
      <c r="P30" s="111"/>
      <c r="Q30" s="111"/>
      <c r="R30" s="112"/>
    </row>
    <row r="31" spans="1:18" s="75" customFormat="1" ht="15.75" thickBot="1" x14ac:dyDescent="0.3">
      <c r="A31" s="76"/>
      <c r="D31" s="76"/>
      <c r="F31" s="76">
        <f>F29+1</f>
        <v>17</v>
      </c>
      <c r="H31" s="87">
        <f>SUM(H16:H27)</f>
        <v>24433169423.089996</v>
      </c>
      <c r="I31" s="88" t="s">
        <v>172</v>
      </c>
      <c r="M31" s="111"/>
      <c r="N31" s="111"/>
      <c r="O31" s="111"/>
      <c r="P31" s="111"/>
      <c r="Q31" s="111"/>
      <c r="R31" s="112"/>
    </row>
    <row r="32" spans="1:18" s="75" customFormat="1" ht="15.75" thickTop="1" x14ac:dyDescent="0.25">
      <c r="A32" s="76"/>
      <c r="D32" s="76"/>
      <c r="F32" s="76"/>
      <c r="H32" s="76"/>
      <c r="M32" s="111"/>
      <c r="N32" s="111"/>
      <c r="O32" s="111"/>
      <c r="P32" s="111"/>
      <c r="Q32" s="111"/>
      <c r="R32" s="112"/>
    </row>
    <row r="33" spans="1:18" s="75" customFormat="1" ht="15" x14ac:dyDescent="0.25">
      <c r="A33" s="76"/>
      <c r="B33" s="89" t="s">
        <v>57</v>
      </c>
      <c r="D33" s="76"/>
      <c r="F33" s="76"/>
      <c r="H33" s="76"/>
      <c r="I33" s="76"/>
      <c r="J33" s="142"/>
      <c r="M33" s="111"/>
      <c r="N33" s="111"/>
      <c r="O33" s="111"/>
      <c r="P33" s="111"/>
      <c r="Q33" s="111"/>
      <c r="R33" s="112"/>
    </row>
    <row r="34" spans="1:18" s="75" customFormat="1" x14ac:dyDescent="0.2">
      <c r="A34" s="76"/>
      <c r="B34" s="90" t="s">
        <v>103</v>
      </c>
      <c r="D34" s="76"/>
      <c r="F34" s="76"/>
      <c r="H34" s="76"/>
      <c r="R34" s="76"/>
    </row>
    <row r="35" spans="1:18" s="75" customFormat="1" x14ac:dyDescent="0.2">
      <c r="A35" s="76"/>
      <c r="B35" s="90" t="s">
        <v>102</v>
      </c>
      <c r="D35" s="76"/>
      <c r="F35" s="76"/>
      <c r="H35" s="76"/>
      <c r="R35" s="76"/>
    </row>
    <row r="36" spans="1:18" s="75" customFormat="1" x14ac:dyDescent="0.2">
      <c r="A36" s="76"/>
      <c r="B36" s="90" t="s">
        <v>108</v>
      </c>
      <c r="D36" s="76"/>
      <c r="F36" s="76"/>
      <c r="H36" s="76"/>
      <c r="R36" s="76"/>
    </row>
    <row r="37" spans="1:18" s="75" customFormat="1" x14ac:dyDescent="0.2">
      <c r="A37" s="76"/>
      <c r="B37" s="90" t="s">
        <v>120</v>
      </c>
      <c r="D37" s="76"/>
      <c r="F37" s="76"/>
      <c r="H37" s="76"/>
      <c r="R37" s="76"/>
    </row>
    <row r="38" spans="1:18" s="75" customFormat="1" x14ac:dyDescent="0.2">
      <c r="A38" s="76"/>
      <c r="D38" s="76"/>
      <c r="F38" s="76"/>
      <c r="H38" s="76"/>
      <c r="R38" s="76"/>
    </row>
    <row r="39" spans="1:18" s="75" customFormat="1" x14ac:dyDescent="0.2">
      <c r="A39" s="76"/>
      <c r="D39" s="76"/>
      <c r="F39" s="76"/>
      <c r="H39" s="76"/>
      <c r="R39" s="76"/>
    </row>
  </sheetData>
  <mergeCells count="5">
    <mergeCell ref="A8:D8"/>
    <mergeCell ref="F8:L8"/>
    <mergeCell ref="N8:R8"/>
    <mergeCell ref="A3:R3"/>
    <mergeCell ref="A4:R4"/>
  </mergeCells>
  <pageMargins left="1" right="1" top="1" bottom="1" header="0.3" footer="0.3"/>
  <pageSetup scale="57" fitToHeight="0" orientation="landscape" r:id="rId1"/>
  <ignoredErrors>
    <ignoredError sqref="H29 H31" formulaRange="1"/>
  </ignoredErrors>
  <drawing r:id="rId4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36"/>
  <sheetViews>
    <sheetView zoomScale="90" zoomScaleNormal="90" workbookViewId="0">
      <selection activeCell="A3" sqref="A3:C30"/>
    </sheetView>
  </sheetViews>
  <sheetFormatPr defaultRowHeight="12.75" x14ac:dyDescent="0.2"/>
  <cols>
    <col min="1" max="1" customWidth="true" style="25" width="6.42578125" collapsed="false"/>
    <col min="2" max="2" bestFit="true" customWidth="true" style="25" width="72.0" collapsed="false"/>
    <col min="3" max="3" bestFit="true" customWidth="true" style="25" width="12.28515625" collapsed="false"/>
    <col min="4" max="16384" style="25" width="9.140625" collapsed="false"/>
  </cols>
  <sheetData>
    <row r="2" spans="1:14" x14ac:dyDescent="0.2">
      <c r="A2" s="143"/>
    </row>
    <row r="3" spans="1:14" x14ac:dyDescent="0.2">
      <c r="A3" s="164" t="s">
        <v>94</v>
      </c>
      <c r="B3" s="164"/>
      <c r="C3" s="164"/>
    </row>
    <row r="4" spans="1:14" x14ac:dyDescent="0.2">
      <c r="A4" s="164" t="str">
        <f>Sales!A4</f>
        <v>2019 TCA RECONCILIATION and 2020 NEW FACTOR CALCULATION</v>
      </c>
      <c r="B4" s="164"/>
      <c r="C4" s="164"/>
    </row>
    <row r="5" spans="1:14" x14ac:dyDescent="0.2">
      <c r="A5" s="60"/>
      <c r="C5" s="61" t="s">
        <v>96</v>
      </c>
    </row>
    <row r="6" spans="1:14" x14ac:dyDescent="0.2">
      <c r="A6" s="60"/>
      <c r="B6" s="159"/>
    </row>
    <row r="7" spans="1:14" x14ac:dyDescent="0.2">
      <c r="A7" s="1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">
      <c r="A8" s="12"/>
      <c r="B8" s="158" t="s">
        <v>93</v>
      </c>
      <c r="C8" s="158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1:14" s="1" customFormat="1" x14ac:dyDescent="0.2">
      <c r="A9" s="12"/>
      <c r="B9" s="159" t="s">
        <v>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1:14" s="1" customFormat="1" x14ac:dyDescent="0.2">
      <c r="A10" s="12"/>
      <c r="B10" s="159" t="s">
        <v>173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14" s="1" customFormat="1" x14ac:dyDescent="0.2">
      <c r="A11" s="12"/>
    </row>
    <row r="12" spans="1:14" s="1" customFormat="1" x14ac:dyDescent="0.2">
      <c r="A12" s="163" t="s">
        <v>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4" s="1" customFormat="1" x14ac:dyDescent="0.2">
      <c r="A13" s="163"/>
      <c r="B13" s="13" t="s">
        <v>5</v>
      </c>
      <c r="C13" s="26" t="s">
        <v>41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13"/>
    </row>
    <row r="14" spans="1:14" s="1" customFormat="1" x14ac:dyDescent="0.2">
      <c r="A14" s="157"/>
      <c r="B14" s="13"/>
      <c r="C14" s="26" t="s">
        <v>48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13"/>
    </row>
    <row r="15" spans="1:14" s="1" customFormat="1" x14ac:dyDescent="0.2">
      <c r="A15" s="12">
        <v>1</v>
      </c>
      <c r="B15" s="28" t="s">
        <v>42</v>
      </c>
      <c r="C15" s="174">
        <v>4310065</v>
      </c>
      <c r="D15" s="5"/>
      <c r="E15" s="5"/>
      <c r="F15" s="5"/>
      <c r="G15" s="5"/>
      <c r="H15" s="5"/>
      <c r="I15" s="5"/>
      <c r="J15" s="5"/>
      <c r="K15" s="5"/>
      <c r="L15" s="5"/>
      <c r="M15" s="12"/>
      <c r="N15" s="12"/>
    </row>
    <row r="16" spans="1:14" s="1" customFormat="1" x14ac:dyDescent="0.2">
      <c r="A16" s="12">
        <v>2</v>
      </c>
      <c r="B16" s="28" t="s">
        <v>43</v>
      </c>
      <c r="C16" s="175">
        <v>5.7986852264741866E-2</v>
      </c>
      <c r="D16" s="5"/>
      <c r="E16" s="5"/>
      <c r="F16" s="5"/>
      <c r="G16" s="5"/>
      <c r="H16" s="5"/>
      <c r="I16" s="5"/>
      <c r="J16" s="5"/>
      <c r="K16" s="5"/>
      <c r="L16" s="5"/>
      <c r="M16" s="12"/>
      <c r="N16" s="12"/>
    </row>
    <row r="17" spans="1:14" s="1" customFormat="1" ht="13.5" thickBot="1" x14ac:dyDescent="0.25">
      <c r="A17" s="12">
        <v>3</v>
      </c>
      <c r="B17" s="28" t="s">
        <v>44</v>
      </c>
      <c r="C17" s="30">
        <f>C15*C16</f>
        <v>249927.10240643466</v>
      </c>
      <c r="D17" s="5"/>
      <c r="E17" s="5"/>
      <c r="F17" s="5"/>
      <c r="G17" s="5"/>
      <c r="H17" s="5"/>
      <c r="I17" s="5"/>
      <c r="J17" s="5"/>
      <c r="K17" s="5"/>
      <c r="L17" s="5"/>
      <c r="M17" s="12"/>
      <c r="N17" s="12"/>
    </row>
    <row r="18" spans="1:14" s="1" customFormat="1" ht="13.5" thickTop="1" x14ac:dyDescent="0.2">
      <c r="A18" s="12"/>
      <c r="B18" s="28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1" customFormat="1" ht="25.5" x14ac:dyDescent="0.2">
      <c r="A19" s="157" t="s">
        <v>47</v>
      </c>
      <c r="B19" s="29" t="s">
        <v>57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s="1" customFormat="1" x14ac:dyDescent="0.2">
      <c r="A20" s="12">
        <v>1</v>
      </c>
      <c r="B20" s="63" t="s">
        <v>174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1" customFormat="1" x14ac:dyDescent="0.2">
      <c r="A21" s="12">
        <v>2</v>
      </c>
      <c r="B21" s="63" t="s">
        <v>175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6"/>
    </row>
    <row r="22" spans="1:14" s="1" customFormat="1" x14ac:dyDescent="0.2">
      <c r="A22" s="12">
        <v>3</v>
      </c>
      <c r="B22" s="63" t="s">
        <v>116</v>
      </c>
    </row>
    <row r="23" spans="1:14" s="1" customFormat="1" x14ac:dyDescent="0.2"/>
    <row r="24" spans="1:14" s="1" customFormat="1" x14ac:dyDescent="0.2"/>
    <row r="25" spans="1:14" s="1" customFormat="1" x14ac:dyDescent="0.2"/>
    <row r="26" spans="1:14" s="1" customFormat="1" x14ac:dyDescent="0.2"/>
    <row r="27" spans="1:14" s="1" customFormat="1" x14ac:dyDescent="0.2"/>
    <row r="28" spans="1:14" s="1" customFormat="1" x14ac:dyDescent="0.2"/>
    <row r="29" spans="1:14" s="1" customFormat="1" x14ac:dyDescent="0.2"/>
    <row r="30" spans="1:14" s="1" customFormat="1" x14ac:dyDescent="0.2"/>
    <row r="31" spans="1:14" s="1" customFormat="1" x14ac:dyDescent="0.2"/>
    <row r="32" spans="1:14" s="1" customFormat="1" x14ac:dyDescent="0.2"/>
    <row r="33" s="1" customFormat="1" x14ac:dyDescent="0.2"/>
    <row r="34" s="1" customFormat="1" x14ac:dyDescent="0.2"/>
    <row r="35" s="1" customFormat="1" x14ac:dyDescent="0.2"/>
    <row r="36" s="1" customFormat="1" x14ac:dyDescent="0.2"/>
  </sheetData>
  <mergeCells count="3">
    <mergeCell ref="A12:A13"/>
    <mergeCell ref="A3:C3"/>
    <mergeCell ref="A4:C4"/>
  </mergeCells>
  <pageMargins left="1" right="1" top="1" bottom="1" header="0.3" footer="0.3"/>
  <pageSetup scale="9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3"/>
  <sheetViews>
    <sheetView zoomScale="90" zoomScaleNormal="90" zoomScaleSheetLayoutView="100" workbookViewId="0">
      <selection activeCell="B11" sqref="B11:Q22"/>
    </sheetView>
  </sheetViews>
  <sheetFormatPr defaultColWidth="9.140625" defaultRowHeight="12.75" x14ac:dyDescent="0.2"/>
  <cols>
    <col min="1" max="1" customWidth="true" style="2" width="5.85546875" collapsed="false"/>
    <col min="2" max="2" customWidth="true" style="1" width="39.85546875" collapsed="false"/>
    <col min="3" max="3" bestFit="true" customWidth="true" style="1" width="13.5703125" collapsed="false"/>
    <col min="4" max="9" customWidth="true" style="1" width="11.0" collapsed="false"/>
    <col min="10" max="10" customWidth="true" style="1" width="11.7109375" collapsed="false"/>
    <col min="11" max="11" bestFit="true" customWidth="true" style="1" width="11.5703125" collapsed="false"/>
    <col min="12" max="14" customWidth="true" style="1" width="11.7109375" collapsed="false"/>
    <col min="15" max="15" customWidth="true" style="1" width="12.85546875" collapsed="false"/>
    <col min="16" max="17" style="1" width="9.140625" collapsed="false"/>
    <col min="18" max="19" customWidth="true" style="1" width="9.140625" collapsed="false"/>
    <col min="20" max="16384" style="1" width="9.140625" collapsed="false"/>
  </cols>
  <sheetData>
    <row r="1" spans="1:15" x14ac:dyDescent="0.2">
      <c r="A1" s="12"/>
    </row>
    <row r="2" spans="1:15" x14ac:dyDescent="0.2">
      <c r="A2" s="144"/>
    </row>
    <row r="3" spans="1:15" x14ac:dyDescent="0.2">
      <c r="A3" s="165" t="s">
        <v>94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</row>
    <row r="4" spans="1:15" x14ac:dyDescent="0.2">
      <c r="A4" s="165" t="str">
        <f>Sales!A4</f>
        <v>2019 TCA RECONCILIATION and 2020 NEW FACTOR CALCULATION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</row>
    <row r="5" spans="1:15" x14ac:dyDescent="0.2">
      <c r="O5" s="62" t="s">
        <v>101</v>
      </c>
    </row>
    <row r="6" spans="1:15" x14ac:dyDescent="0.2">
      <c r="A6" s="59"/>
      <c r="B6" s="125"/>
    </row>
    <row r="8" spans="1:15" x14ac:dyDescent="0.2">
      <c r="A8" s="165" t="s">
        <v>113</v>
      </c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</row>
    <row r="9" spans="1:15" x14ac:dyDescent="0.2">
      <c r="A9" s="166" t="s">
        <v>0</v>
      </c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</row>
    <row r="10" spans="1:15" x14ac:dyDescent="0.2">
      <c r="A10" s="12"/>
      <c r="I10" s="33"/>
    </row>
    <row r="11" spans="1:15" x14ac:dyDescent="0.2">
      <c r="A11" s="12"/>
      <c r="C11" s="43" t="s">
        <v>48</v>
      </c>
      <c r="D11" s="43" t="s">
        <v>49</v>
      </c>
      <c r="E11" s="43" t="s">
        <v>50</v>
      </c>
      <c r="F11" s="43" t="s">
        <v>51</v>
      </c>
      <c r="G11" s="43" t="s">
        <v>52</v>
      </c>
      <c r="H11" s="43" t="s">
        <v>53</v>
      </c>
      <c r="I11" s="43" t="s">
        <v>54</v>
      </c>
      <c r="J11" s="43" t="s">
        <v>77</v>
      </c>
      <c r="K11" s="43" t="s">
        <v>88</v>
      </c>
      <c r="L11" s="43" t="s">
        <v>89</v>
      </c>
      <c r="M11" s="43" t="s">
        <v>90</v>
      </c>
      <c r="N11" s="43" t="s">
        <v>91</v>
      </c>
      <c r="O11" s="43" t="s">
        <v>92</v>
      </c>
    </row>
    <row r="12" spans="1:15" x14ac:dyDescent="0.2">
      <c r="A12" s="12"/>
      <c r="C12" s="43" t="s">
        <v>159</v>
      </c>
      <c r="D12" s="43" t="s">
        <v>159</v>
      </c>
      <c r="E12" s="43" t="s">
        <v>114</v>
      </c>
      <c r="F12" s="43" t="s">
        <v>114</v>
      </c>
      <c r="G12" s="43" t="s">
        <v>114</v>
      </c>
      <c r="H12" s="43" t="s">
        <v>114</v>
      </c>
      <c r="I12" s="43" t="s">
        <v>114</v>
      </c>
      <c r="J12" s="43" t="s">
        <v>114</v>
      </c>
      <c r="K12" s="43" t="s">
        <v>114</v>
      </c>
      <c r="L12" s="43" t="s">
        <v>114</v>
      </c>
      <c r="M12" s="43" t="s">
        <v>114</v>
      </c>
      <c r="N12" s="43" t="s">
        <v>114</v>
      </c>
      <c r="O12" s="43"/>
    </row>
    <row r="13" spans="1:15" ht="25.5" x14ac:dyDescent="0.2">
      <c r="A13" s="65" t="s">
        <v>7</v>
      </c>
      <c r="B13" s="16" t="s">
        <v>46</v>
      </c>
      <c r="C13" s="4">
        <v>43831</v>
      </c>
      <c r="D13" s="4">
        <v>43862</v>
      </c>
      <c r="E13" s="4">
        <v>43891</v>
      </c>
      <c r="F13" s="4">
        <v>43922</v>
      </c>
      <c r="G13" s="4">
        <v>43952</v>
      </c>
      <c r="H13" s="4">
        <v>43983</v>
      </c>
      <c r="I13" s="4">
        <v>44013</v>
      </c>
      <c r="J13" s="4">
        <v>44044</v>
      </c>
      <c r="K13" s="4">
        <v>44075</v>
      </c>
      <c r="L13" s="4">
        <v>44105</v>
      </c>
      <c r="M13" s="4">
        <v>44136</v>
      </c>
      <c r="N13" s="4">
        <v>44166</v>
      </c>
      <c r="O13" s="13" t="s">
        <v>164</v>
      </c>
    </row>
    <row r="14" spans="1:15" x14ac:dyDescent="0.2">
      <c r="A14" s="12"/>
      <c r="B14" s="5"/>
      <c r="C14" s="5"/>
      <c r="O14" s="8"/>
    </row>
    <row r="15" spans="1:15" x14ac:dyDescent="0.2">
      <c r="A15" s="12">
        <v>1</v>
      </c>
      <c r="B15" s="3" t="s">
        <v>8</v>
      </c>
      <c r="C15" s="19">
        <v>20833</v>
      </c>
      <c r="D15" s="19">
        <v>8103</v>
      </c>
      <c r="E15" s="19">
        <v>2380.4899999999998</v>
      </c>
      <c r="F15" s="19">
        <v>9952.6299999999992</v>
      </c>
      <c r="G15" s="19">
        <v>1138.6499999999999</v>
      </c>
      <c r="H15" s="19">
        <v>5529.9</v>
      </c>
      <c r="I15" s="19">
        <v>4750.22</v>
      </c>
      <c r="J15" s="19">
        <v>7720.32</v>
      </c>
      <c r="K15" s="19">
        <v>5281.49131086947</v>
      </c>
      <c r="L15" s="19">
        <v>584.72</v>
      </c>
      <c r="M15" s="19">
        <v>4516.9794457351272</v>
      </c>
      <c r="N15" s="19">
        <v>-965.50999999999976</v>
      </c>
      <c r="O15" s="19">
        <f>SUM(C15:N15)</f>
        <v>69825.890756604596</v>
      </c>
    </row>
    <row r="16" spans="1:15" x14ac:dyDescent="0.2">
      <c r="A16" s="12">
        <f>A15+1</f>
        <v>2</v>
      </c>
      <c r="B16" s="3" t="s">
        <v>1</v>
      </c>
      <c r="C16" s="19">
        <v>429916</v>
      </c>
      <c r="D16" s="19">
        <v>336133</v>
      </c>
      <c r="E16" s="19">
        <v>436136.99400165252</v>
      </c>
      <c r="F16" s="19">
        <v>380610.62103282503</v>
      </c>
      <c r="G16" s="19">
        <v>457832.70427830151</v>
      </c>
      <c r="H16" s="19">
        <v>503318.15489082463</v>
      </c>
      <c r="I16" s="19">
        <v>454894.53947390325</v>
      </c>
      <c r="J16" s="19">
        <v>483615.06128101225</v>
      </c>
      <c r="K16" s="19">
        <v>487922.43606797582</v>
      </c>
      <c r="L16" s="19">
        <v>477507.90534871945</v>
      </c>
      <c r="M16" s="19">
        <v>425860.56603114912</v>
      </c>
      <c r="N16" s="19">
        <v>421830.1577915072</v>
      </c>
      <c r="O16" s="19">
        <f t="shared" ref="O16:O20" si="0">SUM(C16:N16)</f>
        <v>5295578.1401978703</v>
      </c>
    </row>
    <row r="17" spans="1:15" x14ac:dyDescent="0.2">
      <c r="A17" s="12">
        <f>A16+1</f>
        <v>3</v>
      </c>
      <c r="B17" s="3" t="s">
        <v>2</v>
      </c>
      <c r="C17" s="19">
        <v>151587</v>
      </c>
      <c r="D17" s="19">
        <v>154051</v>
      </c>
      <c r="E17" s="19">
        <v>144880.63656101315</v>
      </c>
      <c r="F17" s="19">
        <v>141421.93267120069</v>
      </c>
      <c r="G17" s="19">
        <v>127539.5008138719</v>
      </c>
      <c r="H17" s="19">
        <v>160919.10642288951</v>
      </c>
      <c r="I17" s="19">
        <v>181676.81569653595</v>
      </c>
      <c r="J17" s="19">
        <v>200251.46879999997</v>
      </c>
      <c r="K17" s="19">
        <v>192260.37926427578</v>
      </c>
      <c r="L17" s="19">
        <v>173933.27865180193</v>
      </c>
      <c r="M17" s="19">
        <v>140299.88607599199</v>
      </c>
      <c r="N17" s="19">
        <v>140086.96717734553</v>
      </c>
      <c r="O17" s="19">
        <f t="shared" si="0"/>
        <v>1908907.9721349264</v>
      </c>
    </row>
    <row r="18" spans="1:15" x14ac:dyDescent="0.2">
      <c r="A18" s="12">
        <f>A17+1</f>
        <v>4</v>
      </c>
      <c r="B18" s="3" t="s">
        <v>3</v>
      </c>
      <c r="C18" s="19">
        <v>29277</v>
      </c>
      <c r="D18" s="19">
        <v>30662</v>
      </c>
      <c r="E18" s="19">
        <v>30335.463364950592</v>
      </c>
      <c r="F18" s="19">
        <v>27700.866843491396</v>
      </c>
      <c r="G18" s="19">
        <v>25814.382663419874</v>
      </c>
      <c r="H18" s="19">
        <v>31519.854490730162</v>
      </c>
      <c r="I18" s="19">
        <v>36771.939764028692</v>
      </c>
      <c r="J18" s="19">
        <v>39224.038079999998</v>
      </c>
      <c r="K18" s="19">
        <v>37658.792131352384</v>
      </c>
      <c r="L18" s="19">
        <v>35204.624327120611</v>
      </c>
      <c r="M18" s="19">
        <v>27481.087190229744</v>
      </c>
      <c r="N18" s="19">
        <v>28354.027997580288</v>
      </c>
      <c r="O18" s="19">
        <f t="shared" si="0"/>
        <v>380004.0768529037</v>
      </c>
    </row>
    <row r="19" spans="1:15" x14ac:dyDescent="0.2">
      <c r="A19" s="12">
        <f t="shared" ref="A19:A21" si="1">A18+1</f>
        <v>5</v>
      </c>
      <c r="B19" s="3" t="s">
        <v>4</v>
      </c>
      <c r="C19" s="19">
        <v>3411328</v>
      </c>
      <c r="D19" s="19">
        <v>4042392</v>
      </c>
      <c r="E19" s="19">
        <v>3694445.5966698658</v>
      </c>
      <c r="F19" s="19">
        <v>3576384.4271820243</v>
      </c>
      <c r="G19" s="19">
        <v>3917357.3821624946</v>
      </c>
      <c r="H19" s="19">
        <v>3716549.1301909471</v>
      </c>
      <c r="I19" s="19">
        <v>3599813.5367925093</v>
      </c>
      <c r="J19" s="19">
        <v>3560364.1633029627</v>
      </c>
      <c r="K19" s="19">
        <v>3758348.1388302925</v>
      </c>
      <c r="L19" s="19">
        <v>3770884.2344216551</v>
      </c>
      <c r="M19" s="19">
        <v>3754143.4299323834</v>
      </c>
      <c r="N19" s="19">
        <v>3317955.2943987772</v>
      </c>
      <c r="O19" s="19">
        <f t="shared" si="0"/>
        <v>44119965.333883911</v>
      </c>
    </row>
    <row r="20" spans="1:15" x14ac:dyDescent="0.2">
      <c r="A20" s="12">
        <f t="shared" si="1"/>
        <v>6</v>
      </c>
      <c r="B20" s="3" t="s">
        <v>155</v>
      </c>
      <c r="C20" s="19">
        <v>-34627.82</v>
      </c>
      <c r="D20" s="19">
        <v>-12892</v>
      </c>
      <c r="E20" s="19">
        <v>-12892</v>
      </c>
      <c r="F20" s="19">
        <v>-12892</v>
      </c>
      <c r="G20" s="19">
        <v>-12892</v>
      </c>
      <c r="H20" s="19">
        <v>-12892</v>
      </c>
      <c r="I20" s="19">
        <v>-12892</v>
      </c>
      <c r="J20" s="19">
        <v>-12892</v>
      </c>
      <c r="K20" s="19">
        <v>-12892</v>
      </c>
      <c r="L20" s="19">
        <v>-12892</v>
      </c>
      <c r="M20" s="19">
        <v>-12892</v>
      </c>
      <c r="N20" s="19">
        <v>-12892</v>
      </c>
      <c r="O20" s="19">
        <f t="shared" si="0"/>
        <v>-176439.82</v>
      </c>
    </row>
    <row r="21" spans="1:15" x14ac:dyDescent="0.2">
      <c r="A21" s="12">
        <f t="shared" si="1"/>
        <v>7</v>
      </c>
      <c r="B21" s="10" t="s">
        <v>6</v>
      </c>
      <c r="C21" s="20">
        <f>SUM(C15:C20)</f>
        <v>4008313.18</v>
      </c>
      <c r="D21" s="20">
        <f>SUM(D15:D20)</f>
        <v>4558449</v>
      </c>
      <c r="E21" s="20">
        <f t="shared" ref="E21:O21" si="2">SUM(E15:E20)</f>
        <v>4295287.1805974822</v>
      </c>
      <c r="F21" s="20">
        <f t="shared" si="2"/>
        <v>4123178.4777295412</v>
      </c>
      <c r="G21" s="20">
        <f t="shared" si="2"/>
        <v>4516790.6199180875</v>
      </c>
      <c r="H21" s="20">
        <f t="shared" si="2"/>
        <v>4404944.1459953915</v>
      </c>
      <c r="I21" s="20">
        <f t="shared" ref="I21" si="3">SUM(I15:I20)</f>
        <v>4265015.0517269773</v>
      </c>
      <c r="J21" s="20">
        <f t="shared" si="2"/>
        <v>4278283.0514639746</v>
      </c>
      <c r="K21" s="20">
        <f t="shared" si="2"/>
        <v>4468579.2376047662</v>
      </c>
      <c r="L21" s="20">
        <f t="shared" si="2"/>
        <v>4445222.7627492975</v>
      </c>
      <c r="M21" s="20">
        <f t="shared" si="2"/>
        <v>4339409.9486754891</v>
      </c>
      <c r="N21" s="20">
        <f t="shared" si="2"/>
        <v>3894368.9373652101</v>
      </c>
      <c r="O21" s="20">
        <f t="shared" si="2"/>
        <v>51597841.593826212</v>
      </c>
    </row>
    <row r="22" spans="1:15" x14ac:dyDescent="0.2">
      <c r="A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5" x14ac:dyDescent="0.2">
      <c r="A23" s="12"/>
      <c r="C23" s="9"/>
      <c r="D23" s="9"/>
      <c r="E23" s="9"/>
      <c r="F23" s="9"/>
      <c r="J23" s="34"/>
    </row>
    <row r="24" spans="1:15" x14ac:dyDescent="0.2">
      <c r="A24" s="165" t="s">
        <v>115</v>
      </c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</row>
    <row r="25" spans="1:15" x14ac:dyDescent="0.2">
      <c r="A25" s="166" t="s">
        <v>0</v>
      </c>
      <c r="B25" s="166"/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</row>
    <row r="26" spans="1:15" x14ac:dyDescent="0.2">
      <c r="A26" s="1"/>
    </row>
    <row r="27" spans="1:15" x14ac:dyDescent="0.2">
      <c r="A27" s="65"/>
      <c r="B27" s="13" t="s">
        <v>5</v>
      </c>
      <c r="C27" s="4">
        <f>C13</f>
        <v>43831</v>
      </c>
      <c r="D27" s="4">
        <f t="shared" ref="D27:O27" si="4">D13</f>
        <v>43862</v>
      </c>
      <c r="E27" s="4">
        <f t="shared" si="4"/>
        <v>43891</v>
      </c>
      <c r="F27" s="4">
        <f t="shared" si="4"/>
        <v>43922</v>
      </c>
      <c r="G27" s="4">
        <f t="shared" si="4"/>
        <v>43952</v>
      </c>
      <c r="H27" s="4">
        <f t="shared" si="4"/>
        <v>43983</v>
      </c>
      <c r="I27" s="4">
        <f t="shared" si="4"/>
        <v>44013</v>
      </c>
      <c r="J27" s="4">
        <f t="shared" si="4"/>
        <v>44044</v>
      </c>
      <c r="K27" s="4">
        <f t="shared" si="4"/>
        <v>44075</v>
      </c>
      <c r="L27" s="4">
        <f t="shared" si="4"/>
        <v>44105</v>
      </c>
      <c r="M27" s="4">
        <f t="shared" si="4"/>
        <v>44136</v>
      </c>
      <c r="N27" s="4">
        <f t="shared" si="4"/>
        <v>44166</v>
      </c>
      <c r="O27" s="4" t="str">
        <f t="shared" si="4"/>
        <v>2020 TOTAL</v>
      </c>
    </row>
    <row r="28" spans="1:15" x14ac:dyDescent="0.2">
      <c r="A28" s="12"/>
      <c r="B28" s="12"/>
    </row>
    <row r="29" spans="1:15" x14ac:dyDescent="0.2">
      <c r="A29" s="12">
        <f>A21+1</f>
        <v>8</v>
      </c>
      <c r="B29" s="1" t="s">
        <v>56</v>
      </c>
      <c r="C29" s="20">
        <f>'A&amp;G Credit'!$C$17/12</f>
        <v>20827.258533869554</v>
      </c>
      <c r="D29" s="20">
        <f>'A&amp;G Credit'!$C$17/12</f>
        <v>20827.258533869554</v>
      </c>
      <c r="E29" s="20">
        <f>'A&amp;G Credit'!$C$17/12</f>
        <v>20827.258533869554</v>
      </c>
      <c r="F29" s="20">
        <f>'A&amp;G Credit'!$C$17/12</f>
        <v>20827.258533869554</v>
      </c>
      <c r="G29" s="20">
        <f>'A&amp;G Credit'!$C$17/12</f>
        <v>20827.258533869554</v>
      </c>
      <c r="H29" s="20">
        <f>'A&amp;G Credit'!$C$17/12</f>
        <v>20827.258533869554</v>
      </c>
      <c r="I29" s="20">
        <f>'A&amp;G Credit'!$C$17/12</f>
        <v>20827.258533869554</v>
      </c>
      <c r="J29" s="20">
        <f>'A&amp;G Credit'!$C$17/12</f>
        <v>20827.258533869554</v>
      </c>
      <c r="K29" s="20">
        <f>'A&amp;G Credit'!$C$17/12</f>
        <v>20827.258533869554</v>
      </c>
      <c r="L29" s="20">
        <f>'A&amp;G Credit'!$C$17/12</f>
        <v>20827.258533869554</v>
      </c>
      <c r="M29" s="20">
        <f>'A&amp;G Credit'!$C$17/12</f>
        <v>20827.258533869554</v>
      </c>
      <c r="N29" s="20">
        <f>'A&amp;G Credit'!$C$17/12</f>
        <v>20827.258533869554</v>
      </c>
      <c r="O29" s="20">
        <f>SUM(C29:N29)</f>
        <v>249927.10240643463</v>
      </c>
    </row>
    <row r="30" spans="1:15" x14ac:dyDescent="0.2">
      <c r="A30" s="12"/>
    </row>
    <row r="31" spans="1:15" ht="25.5" x14ac:dyDescent="0.2">
      <c r="A31" s="65" t="s">
        <v>7</v>
      </c>
      <c r="B31" s="7" t="s">
        <v>57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</row>
    <row r="32" spans="1:15" x14ac:dyDescent="0.2">
      <c r="A32" s="12"/>
      <c r="B32" s="15" t="s">
        <v>139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</row>
    <row r="33" spans="1:14" x14ac:dyDescent="0.2">
      <c r="A33" s="12">
        <v>6</v>
      </c>
      <c r="B33" s="15" t="s">
        <v>165</v>
      </c>
      <c r="C33" s="24"/>
    </row>
    <row r="34" spans="1:14" x14ac:dyDescent="0.2">
      <c r="A34" s="12">
        <f>A29+1</f>
        <v>9</v>
      </c>
      <c r="B34" s="15" t="s">
        <v>154</v>
      </c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</row>
    <row r="35" spans="1:14" x14ac:dyDescent="0.2">
      <c r="A35" s="12"/>
    </row>
    <row r="36" spans="1:14" x14ac:dyDescent="0.2">
      <c r="A36" s="12"/>
      <c r="E36" s="32"/>
    </row>
    <row r="37" spans="1:14" x14ac:dyDescent="0.2">
      <c r="A37" s="12"/>
    </row>
    <row r="38" spans="1:14" x14ac:dyDescent="0.2">
      <c r="A38" s="12"/>
      <c r="E38" s="32"/>
    </row>
    <row r="39" spans="1:14" x14ac:dyDescent="0.2">
      <c r="A39" s="12"/>
    </row>
    <row r="40" spans="1:14" x14ac:dyDescent="0.2">
      <c r="A40" s="12"/>
    </row>
    <row r="41" spans="1:14" x14ac:dyDescent="0.2">
      <c r="A41" s="12"/>
    </row>
    <row r="42" spans="1:14" x14ac:dyDescent="0.2">
      <c r="A42" s="12"/>
    </row>
    <row r="43" spans="1:14" x14ac:dyDescent="0.2">
      <c r="A43" s="12"/>
    </row>
  </sheetData>
  <mergeCells count="6">
    <mergeCell ref="A8:O8"/>
    <mergeCell ref="A24:O24"/>
    <mergeCell ref="A25:O25"/>
    <mergeCell ref="A9:O9"/>
    <mergeCell ref="A3:O3"/>
    <mergeCell ref="A4:O4"/>
  </mergeCells>
  <printOptions horizontalCentered="1"/>
  <pageMargins left="1" right="1" top="1" bottom="1" header="0.5" footer="0.5"/>
  <pageSetup scale="58" fitToHeight="0" orientation="landscape" cellComments="asDisplayed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1"/>
  <sheetViews>
    <sheetView zoomScale="90" zoomScaleNormal="90" zoomScaleSheetLayoutView="100" workbookViewId="0">
      <selection activeCell="A27" sqref="A27:O27"/>
    </sheetView>
  </sheetViews>
  <sheetFormatPr defaultColWidth="9.140625" defaultRowHeight="12.75" x14ac:dyDescent="0.2"/>
  <cols>
    <col min="1" max="1" customWidth="true" style="11" width="6.28515625" collapsed="false"/>
    <col min="2" max="2" bestFit="true" customWidth="true" style="1" width="35.85546875" collapsed="false"/>
    <col min="3" max="15" customWidth="true" style="1" width="13.0" collapsed="false"/>
    <col min="16" max="16384" style="1" width="9.140625" collapsed="false"/>
  </cols>
  <sheetData>
    <row r="1" spans="1:15" x14ac:dyDescent="0.2">
      <c r="A1" s="12"/>
    </row>
    <row r="2" spans="1:15" x14ac:dyDescent="0.2">
      <c r="A2" s="144"/>
    </row>
    <row r="3" spans="1:15" x14ac:dyDescent="0.2">
      <c r="A3" s="165" t="s">
        <v>94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</row>
    <row r="4" spans="1:15" x14ac:dyDescent="0.2">
      <c r="A4" s="165" t="str">
        <f>Sales!A4</f>
        <v>2019 TCA RECONCILIATION and 2020 NEW FACTOR CALCULATION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</row>
    <row r="5" spans="1:15" x14ac:dyDescent="0.2">
      <c r="A5" s="59"/>
      <c r="O5" s="62" t="s">
        <v>100</v>
      </c>
    </row>
    <row r="6" spans="1:15" x14ac:dyDescent="0.2">
      <c r="A6" s="59"/>
      <c r="B6" s="125"/>
    </row>
    <row r="8" spans="1:15" x14ac:dyDescent="0.2">
      <c r="A8" s="165" t="s">
        <v>9</v>
      </c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</row>
    <row r="9" spans="1:15" x14ac:dyDescent="0.2">
      <c r="A9" s="166" t="s">
        <v>0</v>
      </c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</row>
    <row r="10" spans="1:15" x14ac:dyDescent="0.2">
      <c r="A10" s="12"/>
    </row>
    <row r="11" spans="1:15" x14ac:dyDescent="0.2">
      <c r="A11" s="12"/>
      <c r="C11" s="43" t="s">
        <v>48</v>
      </c>
      <c r="D11" s="43" t="s">
        <v>49</v>
      </c>
      <c r="E11" s="43" t="s">
        <v>50</v>
      </c>
      <c r="F11" s="43" t="s">
        <v>51</v>
      </c>
      <c r="G11" s="43" t="s">
        <v>52</v>
      </c>
      <c r="H11" s="43" t="s">
        <v>53</v>
      </c>
      <c r="I11" s="43" t="s">
        <v>54</v>
      </c>
      <c r="J11" s="43" t="s">
        <v>77</v>
      </c>
      <c r="K11" s="43" t="s">
        <v>88</v>
      </c>
      <c r="L11" s="43" t="s">
        <v>89</v>
      </c>
      <c r="M11" s="43" t="s">
        <v>90</v>
      </c>
      <c r="N11" s="43" t="s">
        <v>91</v>
      </c>
      <c r="O11" s="43" t="s">
        <v>92</v>
      </c>
    </row>
    <row r="12" spans="1:15" x14ac:dyDescent="0.2">
      <c r="A12" s="12"/>
      <c r="C12" s="43" t="s">
        <v>159</v>
      </c>
      <c r="D12" s="43" t="s">
        <v>159</v>
      </c>
      <c r="E12" s="43" t="s">
        <v>114</v>
      </c>
      <c r="F12" s="43" t="s">
        <v>114</v>
      </c>
      <c r="G12" s="43" t="s">
        <v>114</v>
      </c>
      <c r="H12" s="43" t="s">
        <v>114</v>
      </c>
      <c r="I12" s="43" t="s">
        <v>114</v>
      </c>
      <c r="J12" s="43" t="s">
        <v>114</v>
      </c>
      <c r="K12" s="43" t="s">
        <v>114</v>
      </c>
      <c r="L12" s="43" t="s">
        <v>114</v>
      </c>
      <c r="M12" s="43" t="s">
        <v>114</v>
      </c>
      <c r="N12" s="43" t="s">
        <v>114</v>
      </c>
      <c r="O12" s="43"/>
    </row>
    <row r="13" spans="1:15" ht="25.5" x14ac:dyDescent="0.2">
      <c r="A13" s="157" t="s">
        <v>7</v>
      </c>
      <c r="C13" s="4">
        <v>43831</v>
      </c>
      <c r="D13" s="4">
        <v>43862</v>
      </c>
      <c r="E13" s="4">
        <v>43891</v>
      </c>
      <c r="F13" s="4">
        <v>43922</v>
      </c>
      <c r="G13" s="4">
        <v>43952</v>
      </c>
      <c r="H13" s="4">
        <v>43983</v>
      </c>
      <c r="I13" s="4">
        <v>44013</v>
      </c>
      <c r="J13" s="4">
        <v>44044</v>
      </c>
      <c r="K13" s="4">
        <v>44075</v>
      </c>
      <c r="L13" s="4">
        <v>44105</v>
      </c>
      <c r="M13" s="4">
        <v>44136</v>
      </c>
      <c r="N13" s="4">
        <v>44166</v>
      </c>
      <c r="O13" s="13" t="s">
        <v>164</v>
      </c>
    </row>
    <row r="14" spans="1:15" ht="13.5" thickBot="1" x14ac:dyDescent="0.25">
      <c r="A14" s="12">
        <v>1</v>
      </c>
      <c r="B14" s="1" t="s">
        <v>9</v>
      </c>
      <c r="C14" s="18">
        <f>'Forecast Costs &amp; Credits'!C21-'Forecast Costs &amp; Credits'!C29</f>
        <v>3987485.9214661308</v>
      </c>
      <c r="D14" s="18">
        <f>'Forecast Costs &amp; Credits'!D21-'Forecast Costs &amp; Credits'!D29</f>
        <v>4537621.7414661301</v>
      </c>
      <c r="E14" s="18">
        <f>'Forecast Costs &amp; Credits'!E21-'Forecast Costs &amp; Credits'!E29</f>
        <v>4274459.9220636124</v>
      </c>
      <c r="F14" s="18">
        <f>'Forecast Costs &amp; Credits'!F21-'Forecast Costs &amp; Credits'!F29</f>
        <v>4102351.2191956718</v>
      </c>
      <c r="G14" s="18">
        <f>'Forecast Costs &amp; Credits'!G21-'Forecast Costs &amp; Credits'!G29</f>
        <v>4495963.3613842176</v>
      </c>
      <c r="H14" s="18">
        <f>'Forecast Costs &amp; Credits'!H21-'Forecast Costs &amp; Credits'!H29</f>
        <v>4384116.8874615217</v>
      </c>
      <c r="I14" s="18">
        <f>'Forecast Costs &amp; Credits'!I21-'Forecast Costs &amp; Credits'!I29</f>
        <v>4244187.7931931075</v>
      </c>
      <c r="J14" s="18">
        <f>'Forecast Costs &amp; Credits'!J21-'Forecast Costs &amp; Credits'!J29</f>
        <v>4257455.7929301048</v>
      </c>
      <c r="K14" s="18">
        <f>'Forecast Costs &amp; Credits'!K21-'Forecast Costs &amp; Credits'!K29</f>
        <v>4447751.9790708963</v>
      </c>
      <c r="L14" s="18">
        <f>'Forecast Costs &amp; Credits'!L21-'Forecast Costs &amp; Credits'!L29</f>
        <v>4424395.5042154277</v>
      </c>
      <c r="M14" s="18">
        <f>'Forecast Costs &amp; Credits'!M21-'Forecast Costs &amp; Credits'!M29</f>
        <v>4318582.6901416192</v>
      </c>
      <c r="N14" s="18">
        <f>'Forecast Costs &amp; Credits'!N21-'Forecast Costs &amp; Credits'!N29</f>
        <v>3873541.6788313407</v>
      </c>
      <c r="O14" s="18">
        <f>SUM(C14:N14)</f>
        <v>51347914.49141977</v>
      </c>
    </row>
    <row r="15" spans="1:15" ht="13.5" thickTop="1" x14ac:dyDescent="0.2">
      <c r="A15" s="12"/>
    </row>
    <row r="16" spans="1:15" x14ac:dyDescent="0.2">
      <c r="A16" s="157"/>
      <c r="B16" s="7"/>
      <c r="C16" s="14"/>
      <c r="D16" s="14"/>
      <c r="E16" s="14"/>
      <c r="F16" s="14"/>
    </row>
    <row r="17" spans="1:16" x14ac:dyDescent="0.2">
      <c r="A17" s="165" t="s">
        <v>9</v>
      </c>
      <c r="B17" s="165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</row>
    <row r="18" spans="1:16" x14ac:dyDescent="0.2">
      <c r="A18" s="166" t="s">
        <v>73</v>
      </c>
      <c r="B18" s="166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</row>
    <row r="19" spans="1:16" x14ac:dyDescent="0.2">
      <c r="A19" s="12"/>
      <c r="B19" s="15"/>
    </row>
    <row r="20" spans="1:16" x14ac:dyDescent="0.2">
      <c r="A20" s="12"/>
      <c r="B20" s="15"/>
      <c r="C20" s="43" t="str">
        <f>+C12</f>
        <v>Actual</v>
      </c>
      <c r="D20" s="43" t="str">
        <f>+D12</f>
        <v>Actual</v>
      </c>
      <c r="E20" s="43" t="s">
        <v>114</v>
      </c>
      <c r="F20" s="43" t="s">
        <v>114</v>
      </c>
      <c r="G20" s="43" t="s">
        <v>114</v>
      </c>
      <c r="H20" s="43" t="s">
        <v>114</v>
      </c>
      <c r="I20" s="43" t="s">
        <v>114</v>
      </c>
      <c r="J20" s="43" t="s">
        <v>114</v>
      </c>
      <c r="K20" s="43" t="s">
        <v>114</v>
      </c>
      <c r="L20" s="43" t="s">
        <v>114</v>
      </c>
      <c r="M20" s="43" t="s">
        <v>114</v>
      </c>
      <c r="N20" s="43" t="s">
        <v>114</v>
      </c>
    </row>
    <row r="21" spans="1:16" x14ac:dyDescent="0.2">
      <c r="A21" s="12"/>
      <c r="B21" s="15"/>
      <c r="C21" s="4">
        <f>C13</f>
        <v>43831</v>
      </c>
      <c r="D21" s="4">
        <f t="shared" ref="D21:O21" si="0">D13</f>
        <v>43862</v>
      </c>
      <c r="E21" s="4">
        <f t="shared" si="0"/>
        <v>43891</v>
      </c>
      <c r="F21" s="4">
        <f t="shared" si="0"/>
        <v>43922</v>
      </c>
      <c r="G21" s="4">
        <f t="shared" si="0"/>
        <v>43952</v>
      </c>
      <c r="H21" s="4">
        <f t="shared" si="0"/>
        <v>43983</v>
      </c>
      <c r="I21" s="4">
        <f t="shared" si="0"/>
        <v>44013</v>
      </c>
      <c r="J21" s="4">
        <f t="shared" si="0"/>
        <v>44044</v>
      </c>
      <c r="K21" s="4">
        <f t="shared" si="0"/>
        <v>44075</v>
      </c>
      <c r="L21" s="4">
        <f t="shared" si="0"/>
        <v>44105</v>
      </c>
      <c r="M21" s="4">
        <f t="shared" si="0"/>
        <v>44136</v>
      </c>
      <c r="N21" s="4">
        <f t="shared" si="0"/>
        <v>44166</v>
      </c>
      <c r="O21" s="4" t="str">
        <f t="shared" si="0"/>
        <v>2020 TOTAL</v>
      </c>
    </row>
    <row r="22" spans="1:16" x14ac:dyDescent="0.2">
      <c r="A22" s="12">
        <v>2</v>
      </c>
      <c r="B22" s="10" t="s">
        <v>18</v>
      </c>
      <c r="C22" s="48">
        <v>0.90249999999999997</v>
      </c>
      <c r="D22" s="48">
        <f>$C$22</f>
        <v>0.90249999999999997</v>
      </c>
      <c r="E22" s="48">
        <f t="shared" ref="E22:N22" si="1">$C$22</f>
        <v>0.90249999999999997</v>
      </c>
      <c r="F22" s="48">
        <f t="shared" si="1"/>
        <v>0.90249999999999997</v>
      </c>
      <c r="G22" s="48">
        <f t="shared" si="1"/>
        <v>0.90249999999999997</v>
      </c>
      <c r="H22" s="48">
        <f t="shared" si="1"/>
        <v>0.90249999999999997</v>
      </c>
      <c r="I22" s="48">
        <f t="shared" si="1"/>
        <v>0.90249999999999997</v>
      </c>
      <c r="J22" s="48">
        <f t="shared" si="1"/>
        <v>0.90249999999999997</v>
      </c>
      <c r="K22" s="48">
        <f t="shared" si="1"/>
        <v>0.90249999999999997</v>
      </c>
      <c r="L22" s="48">
        <f t="shared" si="1"/>
        <v>0.90249999999999997</v>
      </c>
      <c r="M22" s="48">
        <f t="shared" si="1"/>
        <v>0.90249999999999997</v>
      </c>
      <c r="N22" s="48">
        <f t="shared" si="1"/>
        <v>0.90249999999999997</v>
      </c>
      <c r="O22" s="109"/>
    </row>
    <row r="23" spans="1:16" ht="13.5" thickBot="1" x14ac:dyDescent="0.25">
      <c r="A23" s="12">
        <v>3</v>
      </c>
      <c r="B23" s="10" t="s">
        <v>17</v>
      </c>
      <c r="C23" s="18">
        <f>C14*C22</f>
        <v>3598706.044123183</v>
      </c>
      <c r="D23" s="18">
        <f t="shared" ref="D23:N23" si="2">D14*D22</f>
        <v>4095203.6216731821</v>
      </c>
      <c r="E23" s="18">
        <f t="shared" si="2"/>
        <v>3857700.0796624101</v>
      </c>
      <c r="F23" s="18">
        <f t="shared" si="2"/>
        <v>3702371.9753240938</v>
      </c>
      <c r="G23" s="18">
        <f t="shared" si="2"/>
        <v>4057606.9336492564</v>
      </c>
      <c r="H23" s="18">
        <f t="shared" si="2"/>
        <v>3956665.4909340232</v>
      </c>
      <c r="I23" s="18">
        <f t="shared" si="2"/>
        <v>3830379.4833567794</v>
      </c>
      <c r="J23" s="18">
        <f t="shared" si="2"/>
        <v>3842353.8531194194</v>
      </c>
      <c r="K23" s="18">
        <f t="shared" si="2"/>
        <v>4014096.1611114838</v>
      </c>
      <c r="L23" s="18">
        <f t="shared" si="2"/>
        <v>3993016.9425544231</v>
      </c>
      <c r="M23" s="18">
        <f t="shared" si="2"/>
        <v>3897520.877852811</v>
      </c>
      <c r="N23" s="18">
        <f t="shared" si="2"/>
        <v>3495871.3651452847</v>
      </c>
      <c r="O23" s="18">
        <f>SUM(C23:N23)</f>
        <v>46341492.828506351</v>
      </c>
    </row>
    <row r="24" spans="1:16" ht="13.5" thickTop="1" x14ac:dyDescent="0.2">
      <c r="A24" s="12"/>
      <c r="B24" s="7"/>
    </row>
    <row r="25" spans="1:16" x14ac:dyDescent="0.2">
      <c r="A25" s="12"/>
      <c r="B25" s="15"/>
    </row>
    <row r="26" spans="1:16" x14ac:dyDescent="0.2">
      <c r="A26" s="165" t="s">
        <v>9</v>
      </c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</row>
    <row r="27" spans="1:16" x14ac:dyDescent="0.2">
      <c r="A27" s="166" t="s">
        <v>74</v>
      </c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</row>
    <row r="28" spans="1:16" x14ac:dyDescent="0.2">
      <c r="A28" s="159"/>
      <c r="B28" s="159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59"/>
      <c r="N28" s="159"/>
      <c r="O28" s="159"/>
    </row>
    <row r="29" spans="1:16" x14ac:dyDescent="0.2">
      <c r="A29" s="159"/>
      <c r="B29" s="159"/>
      <c r="C29" s="43" t="str">
        <f>+C12</f>
        <v>Actual</v>
      </c>
      <c r="D29" s="43" t="str">
        <f>+D12</f>
        <v>Actual</v>
      </c>
      <c r="E29" s="43" t="s">
        <v>114</v>
      </c>
      <c r="F29" s="43" t="s">
        <v>114</v>
      </c>
      <c r="G29" s="43" t="s">
        <v>114</v>
      </c>
      <c r="H29" s="43" t="s">
        <v>114</v>
      </c>
      <c r="I29" s="43" t="s">
        <v>114</v>
      </c>
      <c r="J29" s="43" t="s">
        <v>114</v>
      </c>
      <c r="K29" s="43" t="s">
        <v>114</v>
      </c>
      <c r="L29" s="43" t="s">
        <v>114</v>
      </c>
      <c r="M29" s="43" t="s">
        <v>114</v>
      </c>
      <c r="N29" s="43" t="s">
        <v>114</v>
      </c>
      <c r="O29" s="159"/>
    </row>
    <row r="30" spans="1:16" x14ac:dyDescent="0.2">
      <c r="A30" s="12"/>
      <c r="C30" s="4">
        <f>C13</f>
        <v>43831</v>
      </c>
      <c r="D30" s="4">
        <f t="shared" ref="D30:O30" si="3">D13</f>
        <v>43862</v>
      </c>
      <c r="E30" s="4">
        <f t="shared" si="3"/>
        <v>43891</v>
      </c>
      <c r="F30" s="4">
        <f t="shared" si="3"/>
        <v>43922</v>
      </c>
      <c r="G30" s="4">
        <f t="shared" si="3"/>
        <v>43952</v>
      </c>
      <c r="H30" s="4">
        <f t="shared" si="3"/>
        <v>43983</v>
      </c>
      <c r="I30" s="4">
        <f t="shared" si="3"/>
        <v>44013</v>
      </c>
      <c r="J30" s="4">
        <f t="shared" si="3"/>
        <v>44044</v>
      </c>
      <c r="K30" s="4">
        <f t="shared" si="3"/>
        <v>44075</v>
      </c>
      <c r="L30" s="4">
        <f t="shared" si="3"/>
        <v>44105</v>
      </c>
      <c r="M30" s="4">
        <f t="shared" si="3"/>
        <v>44136</v>
      </c>
      <c r="N30" s="4">
        <f t="shared" si="3"/>
        <v>44166</v>
      </c>
      <c r="O30" s="4" t="str">
        <f t="shared" si="3"/>
        <v>2020 TOTAL</v>
      </c>
    </row>
    <row r="31" spans="1:16" x14ac:dyDescent="0.2">
      <c r="A31" s="12">
        <v>4</v>
      </c>
      <c r="B31" s="3" t="s">
        <v>11</v>
      </c>
      <c r="C31" s="19">
        <f t="shared" ref="C31:D37" si="4">C$23*$C44</f>
        <v>1128014.4095304117</v>
      </c>
      <c r="D31" s="19">
        <f t="shared" si="4"/>
        <v>1283641.5752134589</v>
      </c>
      <c r="E31" s="19">
        <f t="shared" ref="E31:N31" si="5">E$23*$C44</f>
        <v>1209196.0899701824</v>
      </c>
      <c r="F31" s="19">
        <f t="shared" si="5"/>
        <v>1160508.4956653372</v>
      </c>
      <c r="G31" s="19">
        <f t="shared" si="5"/>
        <v>1271856.8933523595</v>
      </c>
      <c r="H31" s="19">
        <f t="shared" si="5"/>
        <v>1240216.7981332697</v>
      </c>
      <c r="I31" s="19">
        <f t="shared" si="5"/>
        <v>1200632.4490581825</v>
      </c>
      <c r="J31" s="19">
        <f t="shared" si="5"/>
        <v>1204385.815260282</v>
      </c>
      <c r="K31" s="19">
        <f t="shared" si="5"/>
        <v>1258218.4417003947</v>
      </c>
      <c r="L31" s="19">
        <f t="shared" si="5"/>
        <v>1251611.160643684</v>
      </c>
      <c r="M31" s="19">
        <f t="shared" si="5"/>
        <v>1221677.9191629637</v>
      </c>
      <c r="N31" s="19">
        <f t="shared" si="5"/>
        <v>1095780.8794047895</v>
      </c>
      <c r="O31" s="19">
        <f>SUM(C31:N31)</f>
        <v>14525740.927095316</v>
      </c>
      <c r="P31" s="115"/>
    </row>
    <row r="32" spans="1:16" x14ac:dyDescent="0.2">
      <c r="A32" s="12">
        <v>5</v>
      </c>
      <c r="B32" s="3" t="s">
        <v>13</v>
      </c>
      <c r="C32" s="19">
        <f t="shared" si="4"/>
        <v>364153.06460482487</v>
      </c>
      <c r="D32" s="19">
        <f t="shared" si="4"/>
        <v>414393.65447710932</v>
      </c>
      <c r="E32" s="19">
        <f t="shared" ref="D32:N38" si="6">E$23*$C45</f>
        <v>390360.67106103926</v>
      </c>
      <c r="F32" s="19">
        <f t="shared" si="6"/>
        <v>374643.02018304507</v>
      </c>
      <c r="G32" s="19">
        <f t="shared" si="6"/>
        <v>410589.24561596825</v>
      </c>
      <c r="H32" s="19">
        <f t="shared" si="6"/>
        <v>400374.9810276138</v>
      </c>
      <c r="I32" s="19">
        <f t="shared" si="6"/>
        <v>387596.09992087254</v>
      </c>
      <c r="J32" s="19">
        <f t="shared" si="6"/>
        <v>388807.78639715404</v>
      </c>
      <c r="K32" s="19">
        <f t="shared" si="6"/>
        <v>406186.39054287103</v>
      </c>
      <c r="L32" s="19">
        <f t="shared" si="6"/>
        <v>404053.38441708207</v>
      </c>
      <c r="M32" s="19">
        <f t="shared" si="6"/>
        <v>394390.13762992597</v>
      </c>
      <c r="N32" s="19">
        <f t="shared" si="6"/>
        <v>353747.22343905136</v>
      </c>
      <c r="O32" s="19">
        <f t="shared" ref="O32:O38" si="7">SUM(C32:N32)</f>
        <v>4689295.6593165575</v>
      </c>
    </row>
    <row r="33" spans="1:15" x14ac:dyDescent="0.2">
      <c r="A33" s="12">
        <v>6</v>
      </c>
      <c r="B33" s="3" t="s">
        <v>12</v>
      </c>
      <c r="C33" s="19">
        <f t="shared" si="4"/>
        <v>276956.41715572018</v>
      </c>
      <c r="D33" s="19">
        <f t="shared" si="4"/>
        <v>315166.87072396808</v>
      </c>
      <c r="E33" s="19">
        <f t="shared" si="6"/>
        <v>296888.5981308191</v>
      </c>
      <c r="F33" s="19">
        <f t="shared" si="6"/>
        <v>284934.54722094227</v>
      </c>
      <c r="G33" s="19">
        <f t="shared" si="6"/>
        <v>312273.42961364676</v>
      </c>
      <c r="H33" s="19">
        <f t="shared" si="6"/>
        <v>304504.97618228244</v>
      </c>
      <c r="I33" s="19">
        <f t="shared" si="6"/>
        <v>294786.00503913773</v>
      </c>
      <c r="J33" s="19">
        <f t="shared" si="6"/>
        <v>295707.55253607052</v>
      </c>
      <c r="K33" s="19">
        <f t="shared" si="6"/>
        <v>308924.84055913979</v>
      </c>
      <c r="L33" s="19">
        <f t="shared" si="6"/>
        <v>307302.58389898838</v>
      </c>
      <c r="M33" s="19">
        <f t="shared" si="6"/>
        <v>299953.20675955235</v>
      </c>
      <c r="N33" s="19">
        <f t="shared" si="6"/>
        <v>269042.2602615811</v>
      </c>
      <c r="O33" s="19">
        <f t="shared" si="7"/>
        <v>3566441.2880818495</v>
      </c>
    </row>
    <row r="34" spans="1:15" x14ac:dyDescent="0.2">
      <c r="A34" s="12">
        <v>7</v>
      </c>
      <c r="B34" s="3" t="s">
        <v>19</v>
      </c>
      <c r="C34" s="19">
        <f t="shared" si="4"/>
        <v>1060934.5288679556</v>
      </c>
      <c r="D34" s="19">
        <f t="shared" si="4"/>
        <v>1207306.9797054708</v>
      </c>
      <c r="E34" s="19">
        <f t="shared" si="6"/>
        <v>1137288.5604852752</v>
      </c>
      <c r="F34" s="19">
        <f t="shared" si="6"/>
        <v>1091496.2820452962</v>
      </c>
      <c r="G34" s="19">
        <f t="shared" si="6"/>
        <v>1196223.1001091374</v>
      </c>
      <c r="H34" s="19">
        <f t="shared" si="6"/>
        <v>1166464.5533822593</v>
      </c>
      <c r="I34" s="19">
        <f t="shared" si="6"/>
        <v>1129234.1754884121</v>
      </c>
      <c r="J34" s="19">
        <f t="shared" si="6"/>
        <v>1132764.3394381362</v>
      </c>
      <c r="K34" s="19">
        <f t="shared" si="6"/>
        <v>1183395.6892572767</v>
      </c>
      <c r="L34" s="19">
        <f t="shared" si="6"/>
        <v>1177181.3248344695</v>
      </c>
      <c r="M34" s="19">
        <f t="shared" si="6"/>
        <v>1149028.1299997873</v>
      </c>
      <c r="N34" s="19">
        <f t="shared" si="6"/>
        <v>1030617.8371584815</v>
      </c>
      <c r="O34" s="19">
        <f t="shared" si="7"/>
        <v>13661935.500771958</v>
      </c>
    </row>
    <row r="35" spans="1:15" x14ac:dyDescent="0.2">
      <c r="A35" s="12">
        <v>8</v>
      </c>
      <c r="B35" s="3" t="s">
        <v>14</v>
      </c>
      <c r="C35" s="19">
        <f t="shared" si="4"/>
        <v>757527.62228792999</v>
      </c>
      <c r="D35" s="19">
        <f t="shared" si="4"/>
        <v>862040.36236220482</v>
      </c>
      <c r="E35" s="19">
        <f t="shared" si="6"/>
        <v>812045.86676893733</v>
      </c>
      <c r="F35" s="19">
        <f t="shared" si="6"/>
        <v>779349.30080572178</v>
      </c>
      <c r="G35" s="19">
        <f t="shared" si="6"/>
        <v>854126.2595331684</v>
      </c>
      <c r="H35" s="19">
        <f t="shared" si="6"/>
        <v>832878.08584161184</v>
      </c>
      <c r="I35" s="19">
        <f t="shared" si="6"/>
        <v>806294.88124660205</v>
      </c>
      <c r="J35" s="19">
        <f t="shared" si="6"/>
        <v>808815.48608163779</v>
      </c>
      <c r="K35" s="19">
        <f t="shared" si="6"/>
        <v>844967.2419139673</v>
      </c>
      <c r="L35" s="19">
        <f t="shared" si="6"/>
        <v>840530.06640770601</v>
      </c>
      <c r="M35" s="19">
        <f t="shared" si="6"/>
        <v>820428.14478801668</v>
      </c>
      <c r="N35" s="19">
        <f t="shared" si="6"/>
        <v>735880.92236308241</v>
      </c>
      <c r="O35" s="19">
        <f t="shared" si="7"/>
        <v>9754884.2404005844</v>
      </c>
    </row>
    <row r="36" spans="1:15" x14ac:dyDescent="0.2">
      <c r="A36" s="12">
        <v>9</v>
      </c>
      <c r="B36" s="3" t="s">
        <v>20</v>
      </c>
      <c r="C36" s="19">
        <f t="shared" si="4"/>
        <v>611.78002750094117</v>
      </c>
      <c r="D36" s="19">
        <f t="shared" si="4"/>
        <v>696.18461568444104</v>
      </c>
      <c r="E36" s="19">
        <f t="shared" si="6"/>
        <v>655.8090135426097</v>
      </c>
      <c r="F36" s="19">
        <f t="shared" si="6"/>
        <v>629.40323580509596</v>
      </c>
      <c r="G36" s="19">
        <f t="shared" si="6"/>
        <v>689.79317872037359</v>
      </c>
      <c r="H36" s="19">
        <f t="shared" si="6"/>
        <v>672.63313345878396</v>
      </c>
      <c r="I36" s="19">
        <f t="shared" si="6"/>
        <v>651.16451217065253</v>
      </c>
      <c r="J36" s="19">
        <f t="shared" si="6"/>
        <v>653.2001550303014</v>
      </c>
      <c r="K36" s="19">
        <f t="shared" si="6"/>
        <v>682.39634738895234</v>
      </c>
      <c r="L36" s="19">
        <f t="shared" si="6"/>
        <v>678.81288023425202</v>
      </c>
      <c r="M36" s="19">
        <f t="shared" si="6"/>
        <v>662.57854923497791</v>
      </c>
      <c r="N36" s="19">
        <f t="shared" si="6"/>
        <v>594.2981320746984</v>
      </c>
      <c r="O36" s="19">
        <f t="shared" si="7"/>
        <v>7878.0537808460795</v>
      </c>
    </row>
    <row r="37" spans="1:15" x14ac:dyDescent="0.2">
      <c r="A37" s="12">
        <v>10</v>
      </c>
      <c r="B37" s="3" t="s">
        <v>15</v>
      </c>
      <c r="C37" s="19">
        <f t="shared" si="4"/>
        <v>5829.9037914795563</v>
      </c>
      <c r="D37" s="19">
        <f t="shared" si="4"/>
        <v>6634.2298671105546</v>
      </c>
      <c r="E37" s="19">
        <f t="shared" si="6"/>
        <v>6249.4741290531038</v>
      </c>
      <c r="F37" s="19">
        <f t="shared" si="6"/>
        <v>5997.842600025032</v>
      </c>
      <c r="G37" s="19">
        <f t="shared" si="6"/>
        <v>6573.3232325117951</v>
      </c>
      <c r="H37" s="19">
        <f t="shared" si="6"/>
        <v>6409.7980953131173</v>
      </c>
      <c r="I37" s="19">
        <f t="shared" si="6"/>
        <v>6205.2147630379823</v>
      </c>
      <c r="J37" s="19">
        <f t="shared" si="6"/>
        <v>6224.6132420534595</v>
      </c>
      <c r="K37" s="19">
        <f t="shared" si="6"/>
        <v>6502.8357810006037</v>
      </c>
      <c r="L37" s="19">
        <f t="shared" si="6"/>
        <v>6468.6874469381655</v>
      </c>
      <c r="M37" s="19">
        <f t="shared" si="6"/>
        <v>6313.9838221215532</v>
      </c>
      <c r="N37" s="19">
        <f t="shared" si="6"/>
        <v>5663.3116115353605</v>
      </c>
      <c r="O37" s="19">
        <f t="shared" si="7"/>
        <v>75073.21838218029</v>
      </c>
    </row>
    <row r="38" spans="1:15" x14ac:dyDescent="0.2">
      <c r="A38" s="12">
        <v>11</v>
      </c>
      <c r="B38" s="3" t="s">
        <v>16</v>
      </c>
      <c r="C38" s="19">
        <f>C$23*$C51</f>
        <v>4678.3178573601381</v>
      </c>
      <c r="D38" s="19">
        <f t="shared" si="6"/>
        <v>5323.7647081751365</v>
      </c>
      <c r="E38" s="19">
        <f t="shared" si="6"/>
        <v>5015.0101035611333</v>
      </c>
      <c r="F38" s="19">
        <f t="shared" si="6"/>
        <v>4813.0835679213214</v>
      </c>
      <c r="G38" s="19">
        <f t="shared" si="6"/>
        <v>5274.889013744033</v>
      </c>
      <c r="H38" s="19">
        <f t="shared" si="6"/>
        <v>5143.66513821423</v>
      </c>
      <c r="I38" s="19">
        <f t="shared" si="6"/>
        <v>4979.4933283638129</v>
      </c>
      <c r="J38" s="19">
        <f t="shared" si="6"/>
        <v>4995.0600090552452</v>
      </c>
      <c r="K38" s="19">
        <f t="shared" si="6"/>
        <v>5218.3250094449286</v>
      </c>
      <c r="L38" s="19">
        <f t="shared" si="6"/>
        <v>5190.9220253207495</v>
      </c>
      <c r="M38" s="19">
        <f t="shared" si="6"/>
        <v>5066.777141208654</v>
      </c>
      <c r="N38" s="19">
        <f t="shared" si="6"/>
        <v>4544.6327746888701</v>
      </c>
      <c r="O38" s="19">
        <f t="shared" si="7"/>
        <v>60243.94067705825</v>
      </c>
    </row>
    <row r="39" spans="1:15" ht="13.5" thickBot="1" x14ac:dyDescent="0.25">
      <c r="A39" s="12">
        <v>12</v>
      </c>
      <c r="B39" s="10" t="s">
        <v>6</v>
      </c>
      <c r="C39" s="18">
        <f>SUM(C31:C38)</f>
        <v>3598706.044123183</v>
      </c>
      <c r="D39" s="18">
        <f t="shared" ref="D39:E39" si="8">SUM(D31:D38)</f>
        <v>4095203.6216731821</v>
      </c>
      <c r="E39" s="18">
        <f t="shared" si="8"/>
        <v>3857700.0796624101</v>
      </c>
      <c r="F39" s="18">
        <f t="shared" ref="F39" si="9">SUM(F31:F38)</f>
        <v>3702371.9753240948</v>
      </c>
      <c r="G39" s="18">
        <f t="shared" ref="G39" si="10">SUM(G31:G38)</f>
        <v>4057606.9336492564</v>
      </c>
      <c r="H39" s="18">
        <f t="shared" ref="H39" si="11">SUM(H31:H38)</f>
        <v>3956665.4909340232</v>
      </c>
      <c r="I39" s="18">
        <f t="shared" ref="I39" si="12">SUM(I31:I38)</f>
        <v>3830379.4833567794</v>
      </c>
      <c r="J39" s="18">
        <f t="shared" ref="J39" si="13">SUM(J31:J38)</f>
        <v>3842353.8531194199</v>
      </c>
      <c r="K39" s="18">
        <f t="shared" ref="K39" si="14">SUM(K31:K38)</f>
        <v>4014096.1611114843</v>
      </c>
      <c r="L39" s="18">
        <f t="shared" ref="L39" si="15">SUM(L31:L38)</f>
        <v>3993016.9425544231</v>
      </c>
      <c r="M39" s="18">
        <f t="shared" ref="M39" si="16">SUM(M31:M38)</f>
        <v>3897520.8778528119</v>
      </c>
      <c r="N39" s="18">
        <f t="shared" ref="N39" si="17">SUM(N31:N38)</f>
        <v>3495871.3651452847</v>
      </c>
      <c r="O39" s="18">
        <f>SUM(C39:N39)</f>
        <v>46341492.828506351</v>
      </c>
    </row>
    <row r="40" spans="1:15" ht="13.5" thickTop="1" x14ac:dyDescent="0.2">
      <c r="A40" s="1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</row>
    <row r="41" spans="1:15" x14ac:dyDescent="0.2">
      <c r="A41" s="12"/>
    </row>
    <row r="42" spans="1:15" x14ac:dyDescent="0.2">
      <c r="A42" s="12"/>
      <c r="M42" s="75"/>
    </row>
    <row r="43" spans="1:15" x14ac:dyDescent="0.2">
      <c r="A43" s="12"/>
      <c r="B43" s="1" t="s">
        <v>45</v>
      </c>
    </row>
    <row r="44" spans="1:15" x14ac:dyDescent="0.2">
      <c r="A44" s="12">
        <f>A39+1</f>
        <v>13</v>
      </c>
      <c r="B44" s="35" t="s">
        <v>11</v>
      </c>
      <c r="C44" s="176">
        <v>0.31345000000000001</v>
      </c>
      <c r="E44" s="152"/>
    </row>
    <row r="45" spans="1:15" x14ac:dyDescent="0.2">
      <c r="A45" s="12">
        <f>A44+1</f>
        <v>14</v>
      </c>
      <c r="B45" s="35" t="s">
        <v>13</v>
      </c>
      <c r="C45" s="176">
        <v>0.10119</v>
      </c>
      <c r="E45" s="152"/>
    </row>
    <row r="46" spans="1:15" x14ac:dyDescent="0.2">
      <c r="A46" s="12">
        <f t="shared" ref="A46:A51" si="18">A45+1</f>
        <v>15</v>
      </c>
      <c r="B46" s="35" t="s">
        <v>12</v>
      </c>
      <c r="C46" s="176">
        <v>7.6960000000000001E-2</v>
      </c>
      <c r="E46" s="152"/>
    </row>
    <row r="47" spans="1:15" x14ac:dyDescent="0.2">
      <c r="A47" s="12">
        <f t="shared" si="18"/>
        <v>16</v>
      </c>
      <c r="B47" s="35" t="s">
        <v>19</v>
      </c>
      <c r="C47" s="176">
        <v>0.29481000000000002</v>
      </c>
      <c r="E47" s="152"/>
    </row>
    <row r="48" spans="1:15" x14ac:dyDescent="0.2">
      <c r="A48" s="12">
        <f t="shared" si="18"/>
        <v>17</v>
      </c>
      <c r="B48" s="35" t="s">
        <v>14</v>
      </c>
      <c r="C48" s="176">
        <v>0.21049999999999999</v>
      </c>
      <c r="E48" s="152"/>
    </row>
    <row r="49" spans="1:10" x14ac:dyDescent="0.2">
      <c r="A49" s="12">
        <f t="shared" si="18"/>
        <v>18</v>
      </c>
      <c r="B49" s="35" t="s">
        <v>20</v>
      </c>
      <c r="C49" s="176">
        <v>1.7000000000000001E-4</v>
      </c>
      <c r="E49" s="152"/>
    </row>
    <row r="50" spans="1:10" x14ac:dyDescent="0.2">
      <c r="A50" s="12">
        <f t="shared" si="18"/>
        <v>19</v>
      </c>
      <c r="B50" s="35" t="s">
        <v>15</v>
      </c>
      <c r="C50" s="176">
        <v>1.6199999999999999E-3</v>
      </c>
      <c r="E50" s="152"/>
    </row>
    <row r="51" spans="1:10" x14ac:dyDescent="0.2">
      <c r="A51" s="12">
        <f t="shared" si="18"/>
        <v>20</v>
      </c>
      <c r="B51" s="35" t="s">
        <v>16</v>
      </c>
      <c r="C51" s="176">
        <v>1.2999999999999999E-3</v>
      </c>
      <c r="E51" s="152"/>
    </row>
    <row r="52" spans="1:10" x14ac:dyDescent="0.2">
      <c r="A52" s="12"/>
      <c r="B52" s="35"/>
      <c r="C52" s="146">
        <f>SUM(C44:C51)</f>
        <v>1</v>
      </c>
      <c r="I52" s="32"/>
      <c r="J52" s="32"/>
    </row>
    <row r="53" spans="1:10" x14ac:dyDescent="0.2">
      <c r="A53" s="12"/>
      <c r="C53" s="139"/>
      <c r="I53" s="32"/>
      <c r="J53" s="32"/>
    </row>
    <row r="54" spans="1:10" ht="25.5" x14ac:dyDescent="0.2">
      <c r="A54" s="157" t="s">
        <v>7</v>
      </c>
      <c r="B54" s="7" t="s">
        <v>57</v>
      </c>
      <c r="I54" s="32"/>
      <c r="J54" s="32"/>
    </row>
    <row r="55" spans="1:10" x14ac:dyDescent="0.2">
      <c r="A55" s="12">
        <v>1</v>
      </c>
      <c r="B55" s="15" t="s">
        <v>156</v>
      </c>
      <c r="I55" s="32"/>
      <c r="J55" s="32"/>
    </row>
    <row r="56" spans="1:10" x14ac:dyDescent="0.2">
      <c r="A56" s="12">
        <v>2</v>
      </c>
      <c r="B56" s="15" t="s">
        <v>105</v>
      </c>
      <c r="I56" s="32"/>
      <c r="J56" s="32"/>
    </row>
    <row r="57" spans="1:10" x14ac:dyDescent="0.2">
      <c r="A57" s="12">
        <v>3</v>
      </c>
      <c r="B57" s="15" t="s">
        <v>104</v>
      </c>
      <c r="I57" s="32"/>
      <c r="J57" s="32"/>
    </row>
    <row r="58" spans="1:10" x14ac:dyDescent="0.2">
      <c r="A58" s="33" t="s">
        <v>106</v>
      </c>
      <c r="B58" s="15" t="s">
        <v>107</v>
      </c>
      <c r="I58" s="32"/>
      <c r="J58" s="32"/>
    </row>
    <row r="59" spans="1:10" x14ac:dyDescent="0.2">
      <c r="I59" s="32"/>
      <c r="J59" s="32"/>
    </row>
    <row r="60" spans="1:10" x14ac:dyDescent="0.2">
      <c r="I60" s="32"/>
      <c r="J60" s="32"/>
    </row>
    <row r="61" spans="1:10" x14ac:dyDescent="0.2">
      <c r="I61" s="32"/>
      <c r="J61" s="32"/>
    </row>
  </sheetData>
  <mergeCells count="8">
    <mergeCell ref="A3:O3"/>
    <mergeCell ref="A4:O4"/>
    <mergeCell ref="A27:O27"/>
    <mergeCell ref="A8:O8"/>
    <mergeCell ref="A9:O9"/>
    <mergeCell ref="A17:O17"/>
    <mergeCell ref="A18:O18"/>
    <mergeCell ref="A26:O26"/>
  </mergeCells>
  <printOptions horizontalCentered="1"/>
  <pageMargins left="1" right="1" top="1" bottom="1" header="0.5" footer="0.5"/>
  <pageSetup scale="54" fitToHeight="0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64"/>
  <sheetViews>
    <sheetView zoomScale="80" zoomScaleNormal="80" zoomScaleSheetLayoutView="100" workbookViewId="0">
      <selection activeCell="H70" sqref="H70"/>
    </sheetView>
  </sheetViews>
  <sheetFormatPr defaultColWidth="9.140625" defaultRowHeight="12.75" x14ac:dyDescent="0.2"/>
  <cols>
    <col min="1" max="1" customWidth="true" style="12" width="7.7109375" collapsed="false"/>
    <col min="2" max="2" bestFit="true" customWidth="true" style="1" width="32.7109375" collapsed="false"/>
    <col min="3" max="3" bestFit="true" customWidth="true" style="1" width="17.0" collapsed="false"/>
    <col min="4" max="15" bestFit="true" customWidth="true" style="1" width="14.85546875" collapsed="false"/>
    <col min="16" max="16" bestFit="true" customWidth="true" style="1" width="17.0" collapsed="false"/>
    <col min="17" max="17" style="1" width="9.140625" collapsed="false"/>
    <col min="18" max="18" bestFit="true" customWidth="true" style="1" width="12.5703125" collapsed="false"/>
    <col min="19" max="19" customWidth="true" style="1" width="12.5703125" collapsed="false"/>
    <col min="20" max="20" bestFit="true" customWidth="true" style="1" width="14.140625" collapsed="false"/>
    <col min="21" max="16384" style="1" width="9.140625" collapsed="false"/>
  </cols>
  <sheetData>
    <row r="1" spans="1:22" ht="23.25" x14ac:dyDescent="0.35">
      <c r="G1" s="147"/>
      <c r="H1" s="147"/>
      <c r="I1" s="147"/>
      <c r="J1" s="147"/>
    </row>
    <row r="2" spans="1:22" x14ac:dyDescent="0.2">
      <c r="A2" s="144"/>
    </row>
    <row r="3" spans="1:22" x14ac:dyDescent="0.2">
      <c r="A3" s="165" t="s">
        <v>94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</row>
    <row r="4" spans="1:22" x14ac:dyDescent="0.2">
      <c r="A4" s="165" t="str">
        <f>Sales!A4</f>
        <v>2019 TCA RECONCILIATION and 2020 NEW FACTOR CALCULATION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</row>
    <row r="5" spans="1:22" x14ac:dyDescent="0.2">
      <c r="A5" s="59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</row>
    <row r="6" spans="1:22" x14ac:dyDescent="0.2">
      <c r="A6" s="59"/>
      <c r="B6" s="126"/>
      <c r="P6" s="62" t="s">
        <v>99</v>
      </c>
    </row>
    <row r="8" spans="1:22" x14ac:dyDescent="0.2">
      <c r="A8" s="165" t="s">
        <v>75</v>
      </c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</row>
    <row r="9" spans="1:22" x14ac:dyDescent="0.2">
      <c r="A9" s="166" t="s">
        <v>153</v>
      </c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66"/>
      <c r="R9" s="66"/>
      <c r="S9" s="66"/>
      <c r="T9" s="66"/>
      <c r="U9" s="66"/>
      <c r="V9" s="66"/>
    </row>
    <row r="10" spans="1:22" x14ac:dyDescent="0.2">
      <c r="A10" s="159"/>
      <c r="B10" s="159"/>
      <c r="C10" s="159"/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</row>
    <row r="11" spans="1:22" x14ac:dyDescent="0.2">
      <c r="A11" s="159"/>
      <c r="B11" s="159"/>
      <c r="C11" s="43" t="s">
        <v>48</v>
      </c>
      <c r="D11" s="43" t="s">
        <v>49</v>
      </c>
      <c r="E11" s="43" t="s">
        <v>50</v>
      </c>
      <c r="F11" s="43" t="s">
        <v>51</v>
      </c>
      <c r="G11" s="43" t="s">
        <v>52</v>
      </c>
      <c r="H11" s="43" t="s">
        <v>53</v>
      </c>
      <c r="I11" s="43" t="s">
        <v>54</v>
      </c>
      <c r="J11" s="43" t="s">
        <v>77</v>
      </c>
      <c r="K11" s="43" t="s">
        <v>88</v>
      </c>
      <c r="L11" s="43" t="s">
        <v>89</v>
      </c>
      <c r="M11" s="43" t="s">
        <v>90</v>
      </c>
      <c r="N11" s="43" t="s">
        <v>91</v>
      </c>
      <c r="O11" s="43" t="s">
        <v>92</v>
      </c>
      <c r="P11" s="43" t="s">
        <v>117</v>
      </c>
    </row>
    <row r="12" spans="1:22" x14ac:dyDescent="0.2">
      <c r="A12" s="159"/>
      <c r="B12" s="159"/>
      <c r="C12" s="43" t="s">
        <v>118</v>
      </c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 t="s">
        <v>118</v>
      </c>
    </row>
    <row r="13" spans="1:22" x14ac:dyDescent="0.2">
      <c r="A13" s="159"/>
      <c r="B13" s="159"/>
      <c r="C13" s="12" t="s">
        <v>119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12" t="s">
        <v>119</v>
      </c>
    </row>
    <row r="14" spans="1:22" x14ac:dyDescent="0.2">
      <c r="A14" s="13" t="s">
        <v>7</v>
      </c>
      <c r="C14" s="26" t="s">
        <v>160</v>
      </c>
      <c r="D14" s="4">
        <v>43466</v>
      </c>
      <c r="E14" s="4">
        <v>43497</v>
      </c>
      <c r="F14" s="4">
        <v>43525</v>
      </c>
      <c r="G14" s="4">
        <v>43556</v>
      </c>
      <c r="H14" s="4">
        <v>43586</v>
      </c>
      <c r="I14" s="4">
        <v>43617</v>
      </c>
      <c r="J14" s="4">
        <v>43647</v>
      </c>
      <c r="K14" s="4">
        <v>43678</v>
      </c>
      <c r="L14" s="4">
        <v>43709</v>
      </c>
      <c r="M14" s="4">
        <v>43739</v>
      </c>
      <c r="N14" s="4">
        <v>43770</v>
      </c>
      <c r="O14" s="4">
        <v>43800</v>
      </c>
      <c r="P14" s="26" t="s">
        <v>162</v>
      </c>
    </row>
    <row r="15" spans="1:22" x14ac:dyDescent="0.2">
      <c r="A15" s="12">
        <v>1</v>
      </c>
      <c r="B15" s="3" t="s">
        <v>21</v>
      </c>
      <c r="C15" s="148">
        <v>40655885.15193636</v>
      </c>
      <c r="D15" s="148">
        <v>942669.13650926342</v>
      </c>
      <c r="E15" s="148">
        <v>1159205.0324858676</v>
      </c>
      <c r="F15" s="148">
        <v>944535.48219881486</v>
      </c>
      <c r="G15" s="148">
        <v>1019576.0610897752</v>
      </c>
      <c r="H15" s="148">
        <v>853678.03070692276</v>
      </c>
      <c r="I15" s="148">
        <v>1053808.2755237094</v>
      </c>
      <c r="J15" s="148">
        <v>1141059.2800425629</v>
      </c>
      <c r="K15" s="148">
        <v>1273515.0670328145</v>
      </c>
      <c r="L15" s="148">
        <v>1105751.6229824112</v>
      </c>
      <c r="M15" s="177">
        <v>1157152.5309354723</v>
      </c>
      <c r="N15" s="148">
        <v>895149.69766166992</v>
      </c>
      <c r="O15" s="177">
        <v>924622.85107473028</v>
      </c>
      <c r="P15" s="148">
        <f>SUM(C15:O15)</f>
        <v>53126608.22018037</v>
      </c>
      <c r="R15" s="12"/>
      <c r="S15" s="12"/>
      <c r="T15" s="36"/>
    </row>
    <row r="16" spans="1:22" x14ac:dyDescent="0.2">
      <c r="B16" s="3" t="s">
        <v>158</v>
      </c>
      <c r="C16" s="148">
        <v>297.58959522047314</v>
      </c>
      <c r="D16" s="148"/>
      <c r="E16" s="148">
        <v>0</v>
      </c>
      <c r="F16" s="148">
        <v>0</v>
      </c>
      <c r="G16" s="148">
        <v>0</v>
      </c>
      <c r="H16" s="148">
        <v>0</v>
      </c>
      <c r="I16" s="148">
        <v>0</v>
      </c>
      <c r="J16" s="148">
        <v>0</v>
      </c>
      <c r="K16" s="148">
        <v>0</v>
      </c>
      <c r="L16" s="148">
        <v>0</v>
      </c>
      <c r="M16" s="177">
        <v>0</v>
      </c>
      <c r="N16" s="148">
        <v>0</v>
      </c>
      <c r="O16" s="177">
        <v>0</v>
      </c>
      <c r="P16" s="148">
        <f>SUM(C16:O16)</f>
        <v>297.58959522047314</v>
      </c>
      <c r="R16" s="12"/>
      <c r="S16" s="12"/>
      <c r="T16" s="36"/>
    </row>
    <row r="17" spans="1:21" x14ac:dyDescent="0.2">
      <c r="A17" s="12">
        <v>2</v>
      </c>
      <c r="B17" s="3" t="s">
        <v>23</v>
      </c>
      <c r="C17" s="148">
        <v>41408845.189999998</v>
      </c>
      <c r="D17" s="148">
        <v>1391169.2500000002</v>
      </c>
      <c r="E17" s="148">
        <v>1346352.3700000003</v>
      </c>
      <c r="F17" s="148">
        <v>1277517.3999999999</v>
      </c>
      <c r="G17" s="148">
        <v>718622.58999999985</v>
      </c>
      <c r="H17" s="148">
        <v>645591.54000000015</v>
      </c>
      <c r="I17" s="148">
        <v>745195.48</v>
      </c>
      <c r="J17" s="148">
        <v>1135090.94</v>
      </c>
      <c r="K17" s="148">
        <v>1130149.3400000003</v>
      </c>
      <c r="L17" s="148">
        <v>905025.66000000015</v>
      </c>
      <c r="M17" s="177">
        <v>823944.22</v>
      </c>
      <c r="N17" s="148">
        <v>654439.12999999989</v>
      </c>
      <c r="O17" s="177">
        <v>893336.7200000002</v>
      </c>
      <c r="P17" s="148">
        <f>SUM(C17:O17)</f>
        <v>53075279.829999991</v>
      </c>
      <c r="T17" s="32"/>
    </row>
    <row r="18" spans="1:21" x14ac:dyDescent="0.2">
      <c r="A18" s="12">
        <v>3</v>
      </c>
      <c r="B18" s="21" t="s">
        <v>40</v>
      </c>
      <c r="C18" s="178">
        <v>753257.62765886949</v>
      </c>
      <c r="D18" s="149">
        <v>448500.11349073681</v>
      </c>
      <c r="E18" s="149">
        <v>187147.33751413273</v>
      </c>
      <c r="F18" s="149">
        <v>332981.91780118505</v>
      </c>
      <c r="G18" s="149">
        <v>-300953.47108977532</v>
      </c>
      <c r="H18" s="149">
        <v>-208086.4907069226</v>
      </c>
      <c r="I18" s="149">
        <v>-308612.79552370938</v>
      </c>
      <c r="J18" s="149">
        <v>-5968.3400425629225</v>
      </c>
      <c r="K18" s="149">
        <v>-143365.72703281417</v>
      </c>
      <c r="L18" s="149">
        <v>-200725.96298241103</v>
      </c>
      <c r="M18" s="149">
        <v>-333208.31093547237</v>
      </c>
      <c r="N18" s="178">
        <v>-240710.56766167004</v>
      </c>
      <c r="O18" s="178">
        <v>-31286.131074730074</v>
      </c>
      <c r="P18" s="149">
        <f>SUM(C18:O18)</f>
        <v>-51030.800585143734</v>
      </c>
      <c r="R18" s="115"/>
      <c r="S18" s="31"/>
      <c r="T18" s="31"/>
      <c r="U18" s="31"/>
    </row>
    <row r="19" spans="1:21" x14ac:dyDescent="0.2">
      <c r="B19" s="3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R19" s="31"/>
      <c r="S19" s="31"/>
      <c r="T19" s="32"/>
    </row>
    <row r="20" spans="1:21" x14ac:dyDescent="0.2">
      <c r="A20" s="12">
        <v>4</v>
      </c>
      <c r="B20" s="3" t="s">
        <v>22</v>
      </c>
      <c r="C20" s="148">
        <v>15434078.378924686</v>
      </c>
      <c r="D20" s="148">
        <v>338142.26944619743</v>
      </c>
      <c r="E20" s="148">
        <v>415815.26885427244</v>
      </c>
      <c r="F20" s="148">
        <v>338811.74120738497</v>
      </c>
      <c r="G20" s="148">
        <v>365729.3421598337</v>
      </c>
      <c r="H20" s="148">
        <v>306220.51311506238</v>
      </c>
      <c r="I20" s="148">
        <v>378008.68623566005</v>
      </c>
      <c r="J20" s="148">
        <v>409306.25559145451</v>
      </c>
      <c r="K20" s="148">
        <v>456819.10891348077</v>
      </c>
      <c r="L20" s="148">
        <v>396641.14243058627</v>
      </c>
      <c r="M20" s="148">
        <v>415079.02163304429</v>
      </c>
      <c r="N20" s="148">
        <v>321096.70141769841</v>
      </c>
      <c r="O20" s="148">
        <v>331668.93572223181</v>
      </c>
      <c r="P20" s="148">
        <f>SUM(C20:O20)</f>
        <v>19907417.365651593</v>
      </c>
      <c r="R20" s="31"/>
      <c r="S20" s="31"/>
      <c r="T20" s="32"/>
    </row>
    <row r="21" spans="1:21" x14ac:dyDescent="0.2">
      <c r="B21" s="3" t="s">
        <v>158</v>
      </c>
      <c r="C21" s="148">
        <v>109.91840680537928</v>
      </c>
      <c r="D21" s="148"/>
      <c r="E21" s="148">
        <v>0</v>
      </c>
      <c r="F21" s="148">
        <v>0</v>
      </c>
      <c r="G21" s="148">
        <v>0</v>
      </c>
      <c r="H21" s="148">
        <v>0</v>
      </c>
      <c r="I21" s="148">
        <v>0</v>
      </c>
      <c r="J21" s="148">
        <v>0</v>
      </c>
      <c r="K21" s="148">
        <v>0</v>
      </c>
      <c r="L21" s="148">
        <v>0</v>
      </c>
      <c r="M21" s="148">
        <v>0</v>
      </c>
      <c r="N21" s="148">
        <v>0</v>
      </c>
      <c r="O21" s="148">
        <v>0</v>
      </c>
      <c r="P21" s="148">
        <f>SUM(C21:O21)</f>
        <v>109.91840680537928</v>
      </c>
      <c r="R21" s="31"/>
      <c r="S21" s="31"/>
      <c r="T21" s="32"/>
    </row>
    <row r="22" spans="1:21" x14ac:dyDescent="0.2">
      <c r="A22" s="12">
        <v>5</v>
      </c>
      <c r="B22" s="3" t="s">
        <v>24</v>
      </c>
      <c r="C22" s="148">
        <v>15255770.940000003</v>
      </c>
      <c r="D22" s="148">
        <v>340912.04999999987</v>
      </c>
      <c r="E22" s="148">
        <v>343028.43999999994</v>
      </c>
      <c r="F22" s="148">
        <v>354417.64999999991</v>
      </c>
      <c r="G22" s="148">
        <v>327148.5</v>
      </c>
      <c r="H22" s="148">
        <v>339247.91999999993</v>
      </c>
      <c r="I22" s="148">
        <v>331291.76</v>
      </c>
      <c r="J22" s="148">
        <v>392362.83</v>
      </c>
      <c r="K22" s="148">
        <v>384950.71000000008</v>
      </c>
      <c r="L22" s="148">
        <v>347455.72000000003</v>
      </c>
      <c r="M22" s="148">
        <v>387407.60999999993</v>
      </c>
      <c r="N22" s="148">
        <v>278548.60000000003</v>
      </c>
      <c r="O22" s="148">
        <v>289845.81</v>
      </c>
      <c r="P22" s="148">
        <f>SUM(C22:O22)</f>
        <v>19372388.540000003</v>
      </c>
      <c r="R22" s="31"/>
      <c r="S22" s="31"/>
      <c r="T22" s="32"/>
    </row>
    <row r="23" spans="1:21" x14ac:dyDescent="0.2">
      <c r="A23" s="12">
        <v>6</v>
      </c>
      <c r="B23" s="21" t="s">
        <v>40</v>
      </c>
      <c r="C23" s="149">
        <v>-178197.52051788138</v>
      </c>
      <c r="D23" s="149">
        <v>2769.7805538024404</v>
      </c>
      <c r="E23" s="149">
        <v>-72786.828854272491</v>
      </c>
      <c r="F23" s="149">
        <v>15605.908792614937</v>
      </c>
      <c r="G23" s="149">
        <v>-38580.842159833701</v>
      </c>
      <c r="H23" s="149">
        <v>33027.406884937547</v>
      </c>
      <c r="I23" s="149">
        <v>-46716.926235660037</v>
      </c>
      <c r="J23" s="149">
        <v>-16943.425591454492</v>
      </c>
      <c r="K23" s="149">
        <v>-71868.398913480691</v>
      </c>
      <c r="L23" s="149">
        <v>-49185.422430586244</v>
      </c>
      <c r="M23" s="149">
        <v>-27671.411633044365</v>
      </c>
      <c r="N23" s="149">
        <v>-42548.101417698374</v>
      </c>
      <c r="O23" s="149">
        <v>-41823.125722231809</v>
      </c>
      <c r="P23" s="149">
        <f>SUM(C23:O23)</f>
        <v>-534918.90724478872</v>
      </c>
      <c r="R23" s="31"/>
      <c r="S23" s="31"/>
      <c r="T23" s="31"/>
      <c r="U23" s="31"/>
    </row>
    <row r="24" spans="1:21" x14ac:dyDescent="0.2">
      <c r="B24" s="3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R24" s="31"/>
      <c r="S24" s="31"/>
      <c r="T24" s="32"/>
    </row>
    <row r="25" spans="1:21" x14ac:dyDescent="0.2">
      <c r="A25" s="12">
        <v>7</v>
      </c>
      <c r="B25" s="3" t="s">
        <v>25</v>
      </c>
      <c r="C25" s="148">
        <v>8899515.0490857661</v>
      </c>
      <c r="D25" s="148">
        <v>245720.1276808636</v>
      </c>
      <c r="E25" s="148">
        <v>302163.29097768007</v>
      </c>
      <c r="F25" s="148">
        <v>246206.61724901831</v>
      </c>
      <c r="G25" s="148">
        <v>265767.0122086039</v>
      </c>
      <c r="H25" s="148">
        <v>222523.32932042686</v>
      </c>
      <c r="I25" s="148">
        <v>274690.12613662879</v>
      </c>
      <c r="J25" s="148">
        <v>297433.34233022021</v>
      </c>
      <c r="K25" s="148">
        <v>331959.82848615479</v>
      </c>
      <c r="L25" s="148">
        <v>288229.89897462312</v>
      </c>
      <c r="M25" s="148">
        <v>301628.27723479265</v>
      </c>
      <c r="N25" s="148">
        <v>233333.50958897176</v>
      </c>
      <c r="O25" s="148">
        <v>241016.10652497923</v>
      </c>
      <c r="P25" s="148">
        <f>SUM(C25:O25)</f>
        <v>12150186.515798731</v>
      </c>
      <c r="R25" s="31"/>
      <c r="S25" s="31"/>
      <c r="T25" s="32"/>
    </row>
    <row r="26" spans="1:21" x14ac:dyDescent="0.2">
      <c r="B26" s="3" t="s">
        <v>158</v>
      </c>
      <c r="C26" s="148">
        <v>71.159403337176172</v>
      </c>
      <c r="D26" s="148"/>
      <c r="E26" s="148">
        <v>0</v>
      </c>
      <c r="F26" s="148">
        <v>0</v>
      </c>
      <c r="G26" s="148">
        <v>0</v>
      </c>
      <c r="H26" s="148">
        <v>0</v>
      </c>
      <c r="I26" s="148">
        <v>0</v>
      </c>
      <c r="J26" s="148">
        <v>0</v>
      </c>
      <c r="K26" s="148">
        <v>0</v>
      </c>
      <c r="L26" s="148">
        <v>0</v>
      </c>
      <c r="M26" s="148">
        <v>0</v>
      </c>
      <c r="N26" s="148">
        <v>0</v>
      </c>
      <c r="O26" s="148">
        <v>0</v>
      </c>
      <c r="P26" s="148">
        <f>SUM(C26:O26)</f>
        <v>71.159403337176172</v>
      </c>
      <c r="R26" s="31"/>
      <c r="S26" s="31"/>
      <c r="T26" s="32"/>
    </row>
    <row r="27" spans="1:21" x14ac:dyDescent="0.2">
      <c r="A27" s="12">
        <v>8</v>
      </c>
      <c r="B27" s="3" t="s">
        <v>26</v>
      </c>
      <c r="C27" s="148">
        <v>9119239.7699999996</v>
      </c>
      <c r="D27" s="148">
        <v>315826.49000000005</v>
      </c>
      <c r="E27" s="148">
        <v>313266.22000000003</v>
      </c>
      <c r="F27" s="148">
        <v>303560.90000000026</v>
      </c>
      <c r="G27" s="148">
        <v>227856.45999999993</v>
      </c>
      <c r="H27" s="148">
        <v>187482.81000000003</v>
      </c>
      <c r="I27" s="148">
        <v>201885.09000000005</v>
      </c>
      <c r="J27" s="148">
        <v>266674.77000000008</v>
      </c>
      <c r="K27" s="148">
        <v>266540.57999999996</v>
      </c>
      <c r="L27" s="148">
        <v>236491.10999999996</v>
      </c>
      <c r="M27" s="148">
        <v>232321.07000000007</v>
      </c>
      <c r="N27" s="148">
        <v>250459.49000000002</v>
      </c>
      <c r="O27" s="148">
        <v>318745.89000000025</v>
      </c>
      <c r="P27" s="148">
        <f>SUM(C27:O27)</f>
        <v>12240350.65</v>
      </c>
      <c r="R27" s="31"/>
      <c r="S27" s="31"/>
      <c r="T27" s="32"/>
    </row>
    <row r="28" spans="1:21" x14ac:dyDescent="0.2">
      <c r="A28" s="12">
        <v>9</v>
      </c>
      <c r="B28" s="21" t="s">
        <v>40</v>
      </c>
      <c r="C28" s="149">
        <v>219795.88031757032</v>
      </c>
      <c r="D28" s="149">
        <v>70106.362319136446</v>
      </c>
      <c r="E28" s="149">
        <v>11102.929022319964</v>
      </c>
      <c r="F28" s="149">
        <v>57354.282750981947</v>
      </c>
      <c r="G28" s="149">
        <v>-37910.552208603971</v>
      </c>
      <c r="H28" s="149">
        <v>-35040.519320426829</v>
      </c>
      <c r="I28" s="149">
        <v>-72805.03613662874</v>
      </c>
      <c r="J28" s="149">
        <v>-30758.572330220137</v>
      </c>
      <c r="K28" s="149">
        <v>-65419.248486154829</v>
      </c>
      <c r="L28" s="149">
        <v>-51738.788974623167</v>
      </c>
      <c r="M28" s="149">
        <v>-69307.207234792586</v>
      </c>
      <c r="N28" s="149">
        <v>17125.980411028257</v>
      </c>
      <c r="O28" s="149">
        <v>77729.783475021017</v>
      </c>
      <c r="P28" s="149">
        <f>SUM(C28:O28)</f>
        <v>90235.293604607752</v>
      </c>
      <c r="R28" s="31"/>
      <c r="S28" s="31"/>
      <c r="T28" s="31"/>
      <c r="U28" s="31"/>
    </row>
    <row r="29" spans="1:21" x14ac:dyDescent="0.2">
      <c r="B29" s="3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R29" s="31"/>
      <c r="S29" s="31"/>
      <c r="T29" s="32"/>
    </row>
    <row r="30" spans="1:21" x14ac:dyDescent="0.2">
      <c r="A30" s="12">
        <v>10</v>
      </c>
      <c r="B30" s="3" t="s">
        <v>27</v>
      </c>
      <c r="C30" s="148">
        <v>36278530.867838085</v>
      </c>
      <c r="D30" s="148">
        <v>970856.73773817206</v>
      </c>
      <c r="E30" s="148">
        <v>1193867.4691062635</v>
      </c>
      <c r="F30" s="148">
        <v>972778.89071578975</v>
      </c>
      <c r="G30" s="148">
        <v>1050063.3257295862</v>
      </c>
      <c r="H30" s="148">
        <v>879204.62850830343</v>
      </c>
      <c r="I30" s="148">
        <v>1085319.1485243703</v>
      </c>
      <c r="J30" s="148">
        <v>1175179.1241306898</v>
      </c>
      <c r="K30" s="148">
        <v>1311595.5912360963</v>
      </c>
      <c r="L30" s="148">
        <v>1138815.700928428</v>
      </c>
      <c r="M30" s="148">
        <v>1191753.593853279</v>
      </c>
      <c r="N30" s="148">
        <v>921916.37723208708</v>
      </c>
      <c r="O30" s="148">
        <v>952270.83402423351</v>
      </c>
      <c r="P30" s="148">
        <f>SUM(C30:O30)</f>
        <v>49122152.289565399</v>
      </c>
      <c r="R30" s="31"/>
      <c r="S30" s="31"/>
      <c r="T30" s="32"/>
    </row>
    <row r="31" spans="1:21" x14ac:dyDescent="0.2">
      <c r="B31" s="3" t="s">
        <v>158</v>
      </c>
      <c r="C31" s="148">
        <v>295.30995456324558</v>
      </c>
      <c r="D31" s="148"/>
      <c r="E31" s="148">
        <v>0</v>
      </c>
      <c r="F31" s="148">
        <v>0</v>
      </c>
      <c r="G31" s="148">
        <v>0</v>
      </c>
      <c r="H31" s="148">
        <v>0</v>
      </c>
      <c r="I31" s="148">
        <v>0</v>
      </c>
      <c r="J31" s="148">
        <v>0</v>
      </c>
      <c r="K31" s="148">
        <v>0</v>
      </c>
      <c r="L31" s="148">
        <v>0</v>
      </c>
      <c r="M31" s="148">
        <v>0</v>
      </c>
      <c r="N31" s="148">
        <v>0</v>
      </c>
      <c r="O31" s="148">
        <v>0</v>
      </c>
      <c r="P31" s="148">
        <f>SUM(C31:O31)</f>
        <v>295.30995456324558</v>
      </c>
      <c r="R31" s="31"/>
      <c r="S31" s="31"/>
      <c r="T31" s="32"/>
    </row>
    <row r="32" spans="1:21" x14ac:dyDescent="0.2">
      <c r="A32" s="12">
        <v>11</v>
      </c>
      <c r="B32" s="3" t="s">
        <v>30</v>
      </c>
      <c r="C32" s="148">
        <v>36109230.350000001</v>
      </c>
      <c r="D32" s="148">
        <v>917275.29</v>
      </c>
      <c r="E32" s="148">
        <v>919447.99</v>
      </c>
      <c r="F32" s="148">
        <v>914242.76</v>
      </c>
      <c r="G32" s="148">
        <v>1008408.4000000001</v>
      </c>
      <c r="H32" s="148">
        <v>990501.77</v>
      </c>
      <c r="I32" s="148">
        <v>927168.77000000025</v>
      </c>
      <c r="J32" s="148">
        <v>1107597.06</v>
      </c>
      <c r="K32" s="148">
        <v>1030429</v>
      </c>
      <c r="L32" s="148">
        <v>1015456.1899999998</v>
      </c>
      <c r="M32" s="148">
        <v>1051448.21</v>
      </c>
      <c r="N32" s="148">
        <v>886020.97</v>
      </c>
      <c r="O32" s="148">
        <v>905976.44000000006</v>
      </c>
      <c r="P32" s="148">
        <f>SUM(C32:O32)</f>
        <v>47783203.200000003</v>
      </c>
      <c r="R32" s="31"/>
      <c r="S32" s="31"/>
      <c r="T32" s="32"/>
    </row>
    <row r="33" spans="1:21" x14ac:dyDescent="0.2">
      <c r="A33" s="12">
        <v>12</v>
      </c>
      <c r="B33" s="21" t="s">
        <v>40</v>
      </c>
      <c r="C33" s="149">
        <v>-169005.20788351819</v>
      </c>
      <c r="D33" s="149">
        <v>-53581.447738172021</v>
      </c>
      <c r="E33" s="149">
        <v>-274419.47910626349</v>
      </c>
      <c r="F33" s="149">
        <v>-58536.130715789739</v>
      </c>
      <c r="G33" s="149">
        <v>-41654.925729586044</v>
      </c>
      <c r="H33" s="149">
        <v>111297.14149169659</v>
      </c>
      <c r="I33" s="149">
        <v>-158150.37852437003</v>
      </c>
      <c r="J33" s="149">
        <v>-67582.064130689716</v>
      </c>
      <c r="K33" s="149">
        <v>-281166.59123609634</v>
      </c>
      <c r="L33" s="149">
        <v>-123359.51092842815</v>
      </c>
      <c r="M33" s="149">
        <v>-140305.38385327905</v>
      </c>
      <c r="N33" s="149">
        <v>-35895.407232087106</v>
      </c>
      <c r="O33" s="149">
        <v>-46294.39402423345</v>
      </c>
      <c r="P33" s="149">
        <f>SUM(C33:O33)</f>
        <v>-1338653.7796108169</v>
      </c>
      <c r="R33" s="31"/>
      <c r="S33" s="31"/>
      <c r="T33" s="31"/>
      <c r="U33" s="31"/>
    </row>
    <row r="34" spans="1:21" x14ac:dyDescent="0.2">
      <c r="B34" s="3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R34" s="31"/>
      <c r="S34" s="31"/>
      <c r="T34" s="32"/>
    </row>
    <row r="35" spans="1:21" x14ac:dyDescent="0.2">
      <c r="A35" s="12">
        <v>13</v>
      </c>
      <c r="B35" s="3" t="s">
        <v>28</v>
      </c>
      <c r="C35" s="148">
        <v>18937385.561327759</v>
      </c>
      <c r="D35" s="148">
        <v>630221.98527034314</v>
      </c>
      <c r="E35" s="148">
        <v>774987.18120112864</v>
      </c>
      <c r="F35" s="148">
        <v>631469.73173844675</v>
      </c>
      <c r="G35" s="148">
        <v>681638.15326927323</v>
      </c>
      <c r="H35" s="148">
        <v>570726.93106942181</v>
      </c>
      <c r="I35" s="148">
        <v>704524.11962290062</v>
      </c>
      <c r="J35" s="148">
        <v>762855.82812491467</v>
      </c>
      <c r="K35" s="148">
        <v>851409.21955836983</v>
      </c>
      <c r="L35" s="148">
        <v>739250.87399425113</v>
      </c>
      <c r="M35" s="148">
        <v>773614.9801267935</v>
      </c>
      <c r="N35" s="148">
        <v>598452.83750725759</v>
      </c>
      <c r="O35" s="148">
        <v>618157.13091919501</v>
      </c>
      <c r="P35" s="148">
        <f>SUM(C35:O35)</f>
        <v>27274694.53373006</v>
      </c>
      <c r="R35" s="31"/>
      <c r="S35" s="31"/>
      <c r="T35" s="32"/>
    </row>
    <row r="36" spans="1:21" x14ac:dyDescent="0.2">
      <c r="B36" s="3" t="s">
        <v>158</v>
      </c>
      <c r="C36" s="148">
        <v>155.61831850090977</v>
      </c>
      <c r="D36" s="148"/>
      <c r="E36" s="148">
        <v>0</v>
      </c>
      <c r="F36" s="148">
        <v>0</v>
      </c>
      <c r="G36" s="148">
        <v>0</v>
      </c>
      <c r="H36" s="148">
        <v>0</v>
      </c>
      <c r="I36" s="148">
        <v>0</v>
      </c>
      <c r="J36" s="148">
        <v>0</v>
      </c>
      <c r="K36" s="148">
        <v>0</v>
      </c>
      <c r="L36" s="148">
        <v>0</v>
      </c>
      <c r="M36" s="148">
        <v>0</v>
      </c>
      <c r="N36" s="148">
        <v>0</v>
      </c>
      <c r="O36" s="148">
        <v>0</v>
      </c>
      <c r="P36" s="148">
        <f>SUM(C36:O36)</f>
        <v>155.61831850090977</v>
      </c>
      <c r="R36" s="31"/>
      <c r="S36" s="31"/>
      <c r="T36" s="32"/>
    </row>
    <row r="37" spans="1:21" x14ac:dyDescent="0.2">
      <c r="A37" s="12">
        <v>14</v>
      </c>
      <c r="B37" s="3" t="s">
        <v>29</v>
      </c>
      <c r="C37" s="148">
        <v>20541567.799999997</v>
      </c>
      <c r="D37" s="148">
        <v>248797.12000000005</v>
      </c>
      <c r="E37" s="148">
        <v>248678.29999999996</v>
      </c>
      <c r="F37" s="148">
        <v>245575.98</v>
      </c>
      <c r="G37" s="148">
        <v>324335.08</v>
      </c>
      <c r="H37" s="148">
        <v>547167.77000000014</v>
      </c>
      <c r="I37" s="148">
        <v>563468.29</v>
      </c>
      <c r="J37" s="148">
        <v>697525.14</v>
      </c>
      <c r="K37" s="148">
        <v>611129.66999999993</v>
      </c>
      <c r="L37" s="148">
        <v>584823.34</v>
      </c>
      <c r="M37" s="148">
        <v>623487.22</v>
      </c>
      <c r="N37" s="148">
        <v>602644.29</v>
      </c>
      <c r="O37" s="148">
        <v>632955.53999999992</v>
      </c>
      <c r="P37" s="148">
        <f>SUM(C37:O37)</f>
        <v>26472155.539999995</v>
      </c>
      <c r="R37" s="31"/>
      <c r="S37" s="31"/>
      <c r="T37" s="32"/>
    </row>
    <row r="38" spans="1:21" x14ac:dyDescent="0.2">
      <c r="A38" s="12">
        <v>15</v>
      </c>
      <c r="B38" s="21" t="s">
        <v>40</v>
      </c>
      <c r="C38" s="149">
        <v>1604337.8569907395</v>
      </c>
      <c r="D38" s="149">
        <v>-381424.86527034309</v>
      </c>
      <c r="E38" s="149">
        <v>-526308.88120112871</v>
      </c>
      <c r="F38" s="149">
        <v>-385893.75173844676</v>
      </c>
      <c r="G38" s="149">
        <v>-357303.07326927321</v>
      </c>
      <c r="H38" s="149">
        <v>-23559.16106942168</v>
      </c>
      <c r="I38" s="149">
        <v>-141055.82962290058</v>
      </c>
      <c r="J38" s="149">
        <v>-65330.688124914654</v>
      </c>
      <c r="K38" s="149">
        <v>-240279.54955836991</v>
      </c>
      <c r="L38" s="149">
        <v>-154427.53399425116</v>
      </c>
      <c r="M38" s="149">
        <v>-150127.76012679352</v>
      </c>
      <c r="N38" s="149">
        <v>4191.45249274245</v>
      </c>
      <c r="O38" s="149">
        <v>14798.409080804908</v>
      </c>
      <c r="P38" s="149">
        <f>SUM(C38:O38)</f>
        <v>-802383.37541155657</v>
      </c>
      <c r="R38" s="31"/>
      <c r="S38" s="31"/>
      <c r="T38" s="31"/>
      <c r="U38" s="31"/>
    </row>
    <row r="39" spans="1:21" x14ac:dyDescent="0.2">
      <c r="B39" s="3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R39" s="31"/>
      <c r="S39" s="31"/>
      <c r="T39" s="32"/>
    </row>
    <row r="40" spans="1:21" x14ac:dyDescent="0.2">
      <c r="A40" s="12">
        <v>16</v>
      </c>
      <c r="B40" s="3" t="s">
        <v>31</v>
      </c>
      <c r="C40" s="148">
        <v>21853.914793283824</v>
      </c>
      <c r="D40" s="148">
        <v>577.1882106697384</v>
      </c>
      <c r="E40" s="148">
        <v>709.77127879406157</v>
      </c>
      <c r="F40" s="148">
        <v>578.33095809544955</v>
      </c>
      <c r="G40" s="148">
        <v>624.27765962646879</v>
      </c>
      <c r="H40" s="148">
        <v>522.69972140639049</v>
      </c>
      <c r="I40" s="148">
        <v>645.23775032122865</v>
      </c>
      <c r="J40" s="148">
        <v>698.66079052371174</v>
      </c>
      <c r="K40" s="148">
        <v>779.76233052836221</v>
      </c>
      <c r="L40" s="148">
        <v>677.04221555163349</v>
      </c>
      <c r="M40" s="148">
        <v>708.51454973464172</v>
      </c>
      <c r="N40" s="148">
        <v>548.09246666136005</v>
      </c>
      <c r="O40" s="148">
        <v>566.13862519400629</v>
      </c>
      <c r="P40" s="148">
        <f>SUM(C40:O40)</f>
        <v>29489.631350390882</v>
      </c>
      <c r="R40" s="31"/>
      <c r="S40" s="31"/>
      <c r="T40" s="32"/>
    </row>
    <row r="41" spans="1:21" x14ac:dyDescent="0.2">
      <c r="B41" s="3" t="s">
        <v>158</v>
      </c>
      <c r="C41" s="148">
        <v>0.18491776819562133</v>
      </c>
      <c r="D41" s="148"/>
      <c r="E41" s="148">
        <v>0</v>
      </c>
      <c r="F41" s="148">
        <v>0</v>
      </c>
      <c r="G41" s="148">
        <v>0</v>
      </c>
      <c r="H41" s="148">
        <v>0</v>
      </c>
      <c r="I41" s="148">
        <v>0</v>
      </c>
      <c r="J41" s="148">
        <v>0</v>
      </c>
      <c r="K41" s="148">
        <v>0</v>
      </c>
      <c r="L41" s="148">
        <v>0</v>
      </c>
      <c r="M41" s="148">
        <v>0</v>
      </c>
      <c r="N41" s="148">
        <v>0</v>
      </c>
      <c r="O41" s="148">
        <v>0</v>
      </c>
      <c r="P41" s="148">
        <f>SUM(C41:O41)</f>
        <v>0.18491776819562133</v>
      </c>
      <c r="R41" s="31"/>
      <c r="S41" s="31"/>
      <c r="T41" s="32"/>
    </row>
    <row r="42" spans="1:21" x14ac:dyDescent="0.2">
      <c r="A42" s="12">
        <v>17</v>
      </c>
      <c r="B42" s="3" t="s">
        <v>32</v>
      </c>
      <c r="C42" s="148">
        <v>22034.539999999994</v>
      </c>
      <c r="D42" s="148">
        <v>764.81999999999994</v>
      </c>
      <c r="E42" s="148">
        <v>632.24</v>
      </c>
      <c r="F42" s="148">
        <v>638.27</v>
      </c>
      <c r="G42" s="148">
        <v>590.54</v>
      </c>
      <c r="H42" s="148">
        <v>595.54999999999995</v>
      </c>
      <c r="I42" s="148">
        <v>551.86</v>
      </c>
      <c r="J42" s="148">
        <v>605.55999999999995</v>
      </c>
      <c r="K42" s="148">
        <v>591.46</v>
      </c>
      <c r="L42" s="148">
        <v>585.77</v>
      </c>
      <c r="M42" s="148">
        <v>641.66000000000008</v>
      </c>
      <c r="N42" s="148">
        <v>552.11</v>
      </c>
      <c r="O42" s="148">
        <v>653.75</v>
      </c>
      <c r="P42" s="148">
        <f>SUM(C42:O42)</f>
        <v>29438.129999999997</v>
      </c>
      <c r="R42" s="31"/>
      <c r="S42" s="31"/>
      <c r="T42" s="32"/>
    </row>
    <row r="43" spans="1:21" x14ac:dyDescent="0.2">
      <c r="A43" s="12">
        <v>18</v>
      </c>
      <c r="B43" s="21" t="s">
        <v>40</v>
      </c>
      <c r="C43" s="149">
        <v>181</v>
      </c>
      <c r="D43" s="149">
        <v>187.63178933026154</v>
      </c>
      <c r="E43" s="149">
        <v>-77.531278794061564</v>
      </c>
      <c r="F43" s="149">
        <v>59.939041904550436</v>
      </c>
      <c r="G43" s="149">
        <v>-33.737659626468826</v>
      </c>
      <c r="H43" s="149">
        <v>72.85027859360946</v>
      </c>
      <c r="I43" s="149">
        <v>-93.377750321228632</v>
      </c>
      <c r="J43" s="149">
        <v>-93.100790523711794</v>
      </c>
      <c r="K43" s="149">
        <v>-188.30233052836218</v>
      </c>
      <c r="L43" s="149">
        <v>-91.272215551633508</v>
      </c>
      <c r="M43" s="149">
        <v>-66.854549734641637</v>
      </c>
      <c r="N43" s="149">
        <v>4.0175333386399643</v>
      </c>
      <c r="O43" s="149">
        <v>87.611374805993705</v>
      </c>
      <c r="P43" s="149">
        <f>ROUND(SUM(C43:O43),0)</f>
        <v>-51</v>
      </c>
      <c r="R43" s="31"/>
      <c r="S43" s="31"/>
      <c r="T43" s="31"/>
      <c r="U43" s="31"/>
    </row>
    <row r="44" spans="1:21" x14ac:dyDescent="0.2">
      <c r="B44" s="3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R44" s="31"/>
      <c r="S44" s="31"/>
      <c r="T44" s="32"/>
    </row>
    <row r="45" spans="1:21" x14ac:dyDescent="0.2">
      <c r="A45" s="12">
        <v>19</v>
      </c>
      <c r="B45" s="3" t="s">
        <v>33</v>
      </c>
      <c r="C45" s="148">
        <v>190586.02971664356</v>
      </c>
      <c r="D45" s="148">
        <v>4754.7036075235155</v>
      </c>
      <c r="E45" s="148">
        <v>5846.8832131599183</v>
      </c>
      <c r="F45" s="148">
        <v>4764.1172185555433</v>
      </c>
      <c r="G45" s="148">
        <v>5142.6123844042195</v>
      </c>
      <c r="H45" s="148">
        <v>4305.8437526620864</v>
      </c>
      <c r="I45" s="148">
        <v>5315.2753338514303</v>
      </c>
      <c r="J45" s="148">
        <v>5755.3583384590256</v>
      </c>
      <c r="K45" s="148">
        <v>6423.4485345293479</v>
      </c>
      <c r="L45" s="148">
        <v>5577.2709927559908</v>
      </c>
      <c r="M45" s="148">
        <v>5836.530655567708</v>
      </c>
      <c r="N45" s="148">
        <v>4515.0215827647407</v>
      </c>
      <c r="O45" s="148">
        <v>4663.6804318038648</v>
      </c>
      <c r="P45" s="148">
        <f>SUM(C45:O45)</f>
        <v>253486.77576268095</v>
      </c>
      <c r="R45" s="31"/>
      <c r="S45" s="31"/>
      <c r="T45" s="32"/>
    </row>
    <row r="46" spans="1:21" x14ac:dyDescent="0.2">
      <c r="B46" s="3" t="s">
        <v>158</v>
      </c>
      <c r="C46" s="148">
        <v>1.6006035219454866</v>
      </c>
      <c r="D46" s="148"/>
      <c r="E46" s="148">
        <v>0</v>
      </c>
      <c r="F46" s="148">
        <v>0</v>
      </c>
      <c r="G46" s="148">
        <v>0</v>
      </c>
      <c r="H46" s="148">
        <v>0</v>
      </c>
      <c r="I46" s="148">
        <v>0</v>
      </c>
      <c r="J46" s="148">
        <v>0</v>
      </c>
      <c r="K46" s="148">
        <v>0</v>
      </c>
      <c r="L46" s="148">
        <v>0</v>
      </c>
      <c r="M46" s="148">
        <v>0</v>
      </c>
      <c r="N46" s="148">
        <v>0</v>
      </c>
      <c r="O46" s="148">
        <v>0</v>
      </c>
      <c r="P46" s="148">
        <f>SUM(C46:O46)</f>
        <v>1.6006035219454866</v>
      </c>
      <c r="R46" s="31"/>
      <c r="S46" s="31"/>
      <c r="T46" s="32"/>
    </row>
    <row r="47" spans="1:21" x14ac:dyDescent="0.2">
      <c r="A47" s="12">
        <v>20</v>
      </c>
      <c r="B47" s="3" t="s">
        <v>34</v>
      </c>
      <c r="C47" s="148">
        <v>200148.17999999996</v>
      </c>
      <c r="D47" s="148">
        <v>6728.1900000000005</v>
      </c>
      <c r="E47" s="148">
        <v>6404.74</v>
      </c>
      <c r="F47" s="148">
        <v>6993.24</v>
      </c>
      <c r="G47" s="148">
        <v>2711.4</v>
      </c>
      <c r="H47" s="148">
        <v>1187.23</v>
      </c>
      <c r="I47" s="148">
        <v>4471.8900000000003</v>
      </c>
      <c r="J47" s="148">
        <v>4321.0599999999995</v>
      </c>
      <c r="K47" s="148">
        <v>4371.1000000000004</v>
      </c>
      <c r="L47" s="148">
        <v>3622.7200000000003</v>
      </c>
      <c r="M47" s="148">
        <v>3579.5</v>
      </c>
      <c r="N47" s="148">
        <v>3090.92</v>
      </c>
      <c r="O47" s="148">
        <v>3788.79</v>
      </c>
      <c r="P47" s="148">
        <f>SUM(C47:O47)</f>
        <v>251418.96</v>
      </c>
      <c r="R47" s="31"/>
      <c r="S47" s="31"/>
      <c r="T47" s="32"/>
    </row>
    <row r="48" spans="1:21" x14ac:dyDescent="0.2">
      <c r="A48" s="12">
        <v>21</v>
      </c>
      <c r="B48" s="21" t="s">
        <v>40</v>
      </c>
      <c r="C48" s="149">
        <v>9563.7508868783771</v>
      </c>
      <c r="D48" s="149">
        <v>1973.486392476485</v>
      </c>
      <c r="E48" s="149">
        <v>557.85678684008144</v>
      </c>
      <c r="F48" s="149">
        <v>2229.1227814444565</v>
      </c>
      <c r="G48" s="149">
        <v>-2431.2123844042194</v>
      </c>
      <c r="H48" s="149">
        <v>-3118.6137526620864</v>
      </c>
      <c r="I48" s="149">
        <v>-843.38533385143</v>
      </c>
      <c r="J48" s="149">
        <v>-1434.2983384590261</v>
      </c>
      <c r="K48" s="149">
        <v>-2052.3485345293475</v>
      </c>
      <c r="L48" s="149">
        <v>-1954.5509927559906</v>
      </c>
      <c r="M48" s="149">
        <v>-2257.030655567708</v>
      </c>
      <c r="N48" s="149">
        <v>-1424.1015827647407</v>
      </c>
      <c r="O48" s="149">
        <v>-874.89043180386489</v>
      </c>
      <c r="P48" s="149">
        <f>SUM(C48:O48)</f>
        <v>-2066.2151591590136</v>
      </c>
      <c r="R48" s="31"/>
      <c r="S48" s="31"/>
      <c r="T48" s="31"/>
      <c r="U48" s="31"/>
    </row>
    <row r="49" spans="1:21" x14ac:dyDescent="0.2">
      <c r="B49" s="3"/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R49" s="31"/>
      <c r="S49" s="31"/>
      <c r="T49" s="32"/>
    </row>
    <row r="50" spans="1:21" x14ac:dyDescent="0.2">
      <c r="A50" s="12">
        <v>22</v>
      </c>
      <c r="B50" s="3" t="s">
        <v>35</v>
      </c>
      <c r="C50" s="148">
        <v>339603.63881587581</v>
      </c>
      <c r="D50" s="148">
        <v>3690.0756708679564</v>
      </c>
      <c r="E50" s="148">
        <v>4537.7048237345834</v>
      </c>
      <c r="F50" s="148">
        <v>3697.3814757953837</v>
      </c>
      <c r="G50" s="148">
        <v>3991.1276097982118</v>
      </c>
      <c r="H50" s="148">
        <v>3341.7202386949348</v>
      </c>
      <c r="I50" s="148">
        <v>4125.1295164590792</v>
      </c>
      <c r="J50" s="148">
        <v>4466.6733270754439</v>
      </c>
      <c r="K50" s="148">
        <v>4985.1711309266821</v>
      </c>
      <c r="L50" s="148">
        <v>4328.4616032934646</v>
      </c>
      <c r="M50" s="148">
        <v>4529.6703122159624</v>
      </c>
      <c r="N50" s="148">
        <v>3504.0609617897207</v>
      </c>
      <c r="O50" s="148">
        <v>3619.4335375335581</v>
      </c>
      <c r="P50" s="148">
        <f>SUM(C50:O50)</f>
        <v>388420.2490240609</v>
      </c>
      <c r="R50" s="31"/>
      <c r="S50" s="31"/>
      <c r="T50" s="32"/>
    </row>
    <row r="51" spans="1:21" x14ac:dyDescent="0.2">
      <c r="B51" s="3" t="s">
        <v>158</v>
      </c>
      <c r="C51" s="148">
        <v>2.0988002826750694</v>
      </c>
      <c r="D51" s="148"/>
      <c r="E51" s="148">
        <v>0</v>
      </c>
      <c r="F51" s="148">
        <v>0</v>
      </c>
      <c r="G51" s="148">
        <v>0</v>
      </c>
      <c r="H51" s="148">
        <v>0</v>
      </c>
      <c r="I51" s="148">
        <v>0</v>
      </c>
      <c r="J51" s="148">
        <v>0</v>
      </c>
      <c r="K51" s="148">
        <v>0</v>
      </c>
      <c r="L51" s="148">
        <v>0</v>
      </c>
      <c r="M51" s="148">
        <v>0</v>
      </c>
      <c r="N51" s="148">
        <v>0</v>
      </c>
      <c r="O51" s="148">
        <v>0</v>
      </c>
      <c r="P51" s="148">
        <f>SUM(C51:O51)</f>
        <v>2.0988002826750694</v>
      </c>
      <c r="R51" s="31"/>
      <c r="S51" s="31"/>
      <c r="T51" s="32"/>
    </row>
    <row r="52" spans="1:21" customFormat="1" ht="12.75" customHeight="1" x14ac:dyDescent="0.25">
      <c r="A52" s="12">
        <v>23</v>
      </c>
      <c r="B52" s="3" t="s">
        <v>36</v>
      </c>
      <c r="C52" s="148">
        <v>315373.48</v>
      </c>
      <c r="D52" s="148">
        <v>11932.18</v>
      </c>
      <c r="E52" s="148">
        <v>9819.8500000000022</v>
      </c>
      <c r="F52" s="148">
        <v>8860.9200000000019</v>
      </c>
      <c r="G52" s="148">
        <v>5032.12</v>
      </c>
      <c r="H52" s="148">
        <v>3788.29</v>
      </c>
      <c r="I52" s="148">
        <v>3063.9400000000005</v>
      </c>
      <c r="J52" s="148">
        <v>3444.17</v>
      </c>
      <c r="K52" s="148">
        <v>3927.8300000000004</v>
      </c>
      <c r="L52" s="148">
        <v>3279.23</v>
      </c>
      <c r="M52" s="148">
        <v>5093.62</v>
      </c>
      <c r="N52" s="148">
        <v>3901.08</v>
      </c>
      <c r="O52" s="148">
        <v>5237.3700000000008</v>
      </c>
      <c r="P52" s="148">
        <f>SUM(C52:O52)</f>
        <v>382754.0799999999</v>
      </c>
      <c r="Q52" s="57"/>
      <c r="R52" s="31"/>
      <c r="S52" s="31"/>
      <c r="T52" s="32"/>
    </row>
    <row r="53" spans="1:21" x14ac:dyDescent="0.2">
      <c r="A53" s="12">
        <v>24</v>
      </c>
      <c r="B53" s="21" t="s">
        <v>40</v>
      </c>
      <c r="C53" s="149">
        <v>-24228.060015593204</v>
      </c>
      <c r="D53" s="149">
        <v>8242.1043291320439</v>
      </c>
      <c r="E53" s="149">
        <v>5282.1451762654187</v>
      </c>
      <c r="F53" s="149">
        <v>5163.5385242046177</v>
      </c>
      <c r="G53" s="149">
        <v>1040.9923902017881</v>
      </c>
      <c r="H53" s="149">
        <v>446.56976130506519</v>
      </c>
      <c r="I53" s="149">
        <v>-1061.1895164590787</v>
      </c>
      <c r="J53" s="149">
        <v>-1022.5033270754438</v>
      </c>
      <c r="K53" s="149">
        <v>-1057.3411309266817</v>
      </c>
      <c r="L53" s="149">
        <v>-1049.2316032934646</v>
      </c>
      <c r="M53" s="149">
        <v>563.94968778403745</v>
      </c>
      <c r="N53" s="149">
        <v>397.01903821027918</v>
      </c>
      <c r="O53" s="149">
        <v>1617.9364624664427</v>
      </c>
      <c r="P53" s="149">
        <f>SUM(C53:O53)</f>
        <v>-5664.0702237781788</v>
      </c>
      <c r="R53" s="31"/>
      <c r="S53" s="31"/>
      <c r="T53" s="31"/>
      <c r="U53" s="31"/>
    </row>
    <row r="54" spans="1:21" x14ac:dyDescent="0.2"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R54" s="31"/>
      <c r="S54" s="31"/>
      <c r="T54" s="32"/>
    </row>
    <row r="55" spans="1:21" x14ac:dyDescent="0.2">
      <c r="A55" s="12">
        <v>25</v>
      </c>
      <c r="B55" s="1" t="s">
        <v>37</v>
      </c>
      <c r="C55" s="150">
        <v>120757438.60243846</v>
      </c>
      <c r="D55" s="150">
        <v>3136632.2241339013</v>
      </c>
      <c r="E55" s="150">
        <v>3857132.601940901</v>
      </c>
      <c r="F55" s="150">
        <v>3142842.2927619009</v>
      </c>
      <c r="G55" s="150">
        <v>3392531.912110901</v>
      </c>
      <c r="H55" s="150">
        <v>2840523.6964329001</v>
      </c>
      <c r="I55" s="150">
        <v>3506435.9986439012</v>
      </c>
      <c r="J55" s="150">
        <v>3796754.5226758998</v>
      </c>
      <c r="K55" s="150">
        <v>4237487.1972229006</v>
      </c>
      <c r="L55" s="150">
        <v>3679272.0141219008</v>
      </c>
      <c r="M55" s="150">
        <v>3850303.1193009</v>
      </c>
      <c r="N55" s="150">
        <v>2978516.2984189005</v>
      </c>
      <c r="O55" s="150">
        <v>3076585.1108599012</v>
      </c>
      <c r="P55" s="150">
        <f>P15+P20+P25+P30+P35+P40+P45+P50+0.01</f>
        <v>162252455.59106329</v>
      </c>
      <c r="R55" s="31"/>
      <c r="S55" s="31"/>
      <c r="T55" s="32"/>
    </row>
    <row r="56" spans="1:21" x14ac:dyDescent="0.2">
      <c r="B56" s="3" t="s">
        <v>158</v>
      </c>
      <c r="C56" s="148">
        <v>933.48</v>
      </c>
      <c r="D56" s="150">
        <v>0</v>
      </c>
      <c r="E56" s="150">
        <v>0</v>
      </c>
      <c r="F56" s="150">
        <v>0</v>
      </c>
      <c r="G56" s="150">
        <v>0</v>
      </c>
      <c r="H56" s="150">
        <v>0</v>
      </c>
      <c r="I56" s="150">
        <v>0</v>
      </c>
      <c r="J56" s="150">
        <v>0</v>
      </c>
      <c r="K56" s="150">
        <v>0</v>
      </c>
      <c r="L56" s="150">
        <v>0</v>
      </c>
      <c r="M56" s="150">
        <v>0</v>
      </c>
      <c r="N56" s="150">
        <v>0</v>
      </c>
      <c r="O56" s="150">
        <v>0</v>
      </c>
      <c r="P56" s="148">
        <f>SUM(C56:O56)</f>
        <v>933.48</v>
      </c>
      <c r="R56" s="31"/>
      <c r="S56" s="31"/>
      <c r="T56" s="32"/>
    </row>
    <row r="57" spans="1:21" x14ac:dyDescent="0.2">
      <c r="A57" s="12">
        <v>26</v>
      </c>
      <c r="B57" s="1" t="s">
        <v>38</v>
      </c>
      <c r="C57" s="150">
        <v>122972210.25000001</v>
      </c>
      <c r="D57" s="150">
        <v>3233405.39</v>
      </c>
      <c r="E57" s="150">
        <v>3187630.1500000008</v>
      </c>
      <c r="F57" s="150">
        <v>3111807.12</v>
      </c>
      <c r="G57" s="150">
        <v>2614705.0900000003</v>
      </c>
      <c r="H57" s="150">
        <v>2715562.88</v>
      </c>
      <c r="I57" s="150">
        <v>2777097.0800000005</v>
      </c>
      <c r="J57" s="150">
        <v>3607621.5300000003</v>
      </c>
      <c r="K57" s="150">
        <v>3432089.6900000004</v>
      </c>
      <c r="L57" s="150">
        <v>3096739.7399999998</v>
      </c>
      <c r="M57" s="150">
        <v>3127923.1100000003</v>
      </c>
      <c r="N57" s="150">
        <v>2679656.59</v>
      </c>
      <c r="O57" s="150">
        <v>3050540.3100000005</v>
      </c>
      <c r="P57" s="150">
        <f t="shared" ref="P57" si="0">P17+P22+P27+P32+P37+P42+P47+P52</f>
        <v>159606988.93000001</v>
      </c>
      <c r="R57" s="31"/>
      <c r="S57" s="31"/>
      <c r="T57" s="32"/>
    </row>
    <row r="58" spans="1:21" ht="13.5" thickBot="1" x14ac:dyDescent="0.25">
      <c r="A58" s="12">
        <v>27</v>
      </c>
      <c r="B58" s="23" t="s">
        <v>39</v>
      </c>
      <c r="C58" s="151">
        <v>2215705.1275615613</v>
      </c>
      <c r="D58" s="151">
        <v>96773.165866098832</v>
      </c>
      <c r="E58" s="151">
        <v>-669502.45194090018</v>
      </c>
      <c r="F58" s="151">
        <v>-31035.172761900816</v>
      </c>
      <c r="G58" s="151">
        <v>-777826.82211090066</v>
      </c>
      <c r="H58" s="151">
        <v>-124960.81643290026</v>
      </c>
      <c r="I58" s="151">
        <v>-729338.91864390066</v>
      </c>
      <c r="J58" s="151">
        <v>-189132.99267589953</v>
      </c>
      <c r="K58" s="151">
        <v>-805397.50722290017</v>
      </c>
      <c r="L58" s="151">
        <v>-582532.27412190102</v>
      </c>
      <c r="M58" s="151">
        <v>-722380.00930089969</v>
      </c>
      <c r="N58" s="151">
        <v>-298859.70841890061</v>
      </c>
      <c r="O58" s="151">
        <v>-26044.800859900657</v>
      </c>
      <c r="P58" s="151">
        <f>SUM(C58:O58)</f>
        <v>-2644533.1810632441</v>
      </c>
      <c r="R58" s="31"/>
      <c r="S58" s="31"/>
      <c r="T58" s="31"/>
      <c r="U58" s="31"/>
    </row>
    <row r="59" spans="1:21" ht="13.5" thickTop="1" x14ac:dyDescent="0.2"/>
    <row r="60" spans="1:21" x14ac:dyDescent="0.2">
      <c r="E60" s="31"/>
      <c r="N60" s="75"/>
    </row>
    <row r="62" spans="1:21" x14ac:dyDescent="0.2">
      <c r="B62" s="7" t="s">
        <v>10</v>
      </c>
    </row>
    <row r="63" spans="1:21" x14ac:dyDescent="0.2">
      <c r="B63" s="15" t="s">
        <v>176</v>
      </c>
    </row>
    <row r="64" spans="1:21" x14ac:dyDescent="0.2">
      <c r="B64" s="1" t="s">
        <v>157</v>
      </c>
    </row>
  </sheetData>
  <mergeCells count="4">
    <mergeCell ref="A8:P8"/>
    <mergeCell ref="A9:P9"/>
    <mergeCell ref="A3:P3"/>
    <mergeCell ref="A4:P4"/>
  </mergeCells>
  <printOptions horizontalCentered="1"/>
  <pageMargins left="1" right="1" top="1" bottom="1" header="0.5" footer="0.5"/>
  <pageSetup scale="50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64"/>
  <sheetViews>
    <sheetView zoomScale="90" zoomScaleNormal="90" zoomScaleSheetLayoutView="100" workbookViewId="0">
      <selection activeCell="L32" sqref="L32"/>
    </sheetView>
  </sheetViews>
  <sheetFormatPr defaultColWidth="9.140625" defaultRowHeight="12.75" x14ac:dyDescent="0.2"/>
  <cols>
    <col min="1" max="1" customWidth="true" style="12" width="7.7109375" collapsed="false"/>
    <col min="2" max="2" customWidth="true" style="1" width="29.42578125" collapsed="false"/>
    <col min="3" max="3" customWidth="true" style="1" width="14.85546875" collapsed="false"/>
    <col min="4" max="4" customWidth="true" style="1" width="12.0" collapsed="false"/>
    <col min="5" max="5" customWidth="true" style="1" width="15.85546875" collapsed="false"/>
    <col min="6" max="6" bestFit="true" customWidth="true" style="1" width="12.7109375" collapsed="false"/>
    <col min="7" max="8" customWidth="true" style="1" width="9.28515625" collapsed="false"/>
    <col min="9" max="16384" style="1" width="9.140625" collapsed="false"/>
  </cols>
  <sheetData>
    <row r="2" spans="1:7" x14ac:dyDescent="0.2">
      <c r="A2" s="144"/>
    </row>
    <row r="3" spans="1:7" x14ac:dyDescent="0.2">
      <c r="A3" s="165" t="s">
        <v>94</v>
      </c>
      <c r="B3" s="165"/>
      <c r="C3" s="165"/>
      <c r="D3" s="165"/>
      <c r="E3" s="165"/>
      <c r="F3" s="165"/>
    </row>
    <row r="4" spans="1:7" x14ac:dyDescent="0.2">
      <c r="A4" s="165" t="str">
        <f>Sales!A4</f>
        <v>2019 TCA RECONCILIATION and 2020 NEW FACTOR CALCULATION</v>
      </c>
      <c r="B4" s="165"/>
      <c r="C4" s="165"/>
      <c r="D4" s="165"/>
      <c r="E4" s="165"/>
      <c r="F4" s="165"/>
    </row>
    <row r="5" spans="1:7" x14ac:dyDescent="0.2">
      <c r="A5" s="59"/>
      <c r="F5" s="62" t="s">
        <v>98</v>
      </c>
    </row>
    <row r="6" spans="1:7" x14ac:dyDescent="0.2">
      <c r="A6" s="168"/>
      <c r="B6" s="168"/>
      <c r="C6" s="168"/>
      <c r="D6" s="168"/>
    </row>
    <row r="8" spans="1:7" x14ac:dyDescent="0.2">
      <c r="A8" s="165" t="s">
        <v>152</v>
      </c>
      <c r="B8" s="165"/>
      <c r="C8" s="165"/>
      <c r="D8" s="165"/>
      <c r="E8" s="165"/>
      <c r="F8" s="165"/>
    </row>
    <row r="9" spans="1:7" x14ac:dyDescent="0.2">
      <c r="A9" s="166" t="s">
        <v>153</v>
      </c>
      <c r="B9" s="166"/>
      <c r="C9" s="166"/>
      <c r="D9" s="166"/>
      <c r="E9" s="166"/>
      <c r="F9" s="166"/>
    </row>
    <row r="10" spans="1:7" x14ac:dyDescent="0.2">
      <c r="A10" s="66"/>
      <c r="B10" s="66"/>
      <c r="C10" s="66"/>
    </row>
    <row r="11" spans="1:7" x14ac:dyDescent="0.2">
      <c r="A11" s="66"/>
      <c r="B11" s="66"/>
    </row>
    <row r="12" spans="1:7" x14ac:dyDescent="0.2">
      <c r="A12" s="128"/>
      <c r="B12" s="128"/>
      <c r="C12" s="167" t="s">
        <v>167</v>
      </c>
      <c r="D12" s="167"/>
      <c r="E12" s="167"/>
      <c r="F12" s="167"/>
    </row>
    <row r="13" spans="1:7" x14ac:dyDescent="0.2">
      <c r="A13" s="128"/>
      <c r="B13" s="128"/>
      <c r="C13" s="43" t="s">
        <v>48</v>
      </c>
      <c r="D13" s="43" t="s">
        <v>49</v>
      </c>
      <c r="E13" s="43" t="s">
        <v>50</v>
      </c>
      <c r="F13" s="43" t="s">
        <v>51</v>
      </c>
    </row>
    <row r="14" spans="1:7" x14ac:dyDescent="0.2">
      <c r="A14" s="117"/>
      <c r="B14" s="117"/>
      <c r="C14" s="120"/>
      <c r="D14" s="120" t="s">
        <v>121</v>
      </c>
      <c r="E14" s="13" t="s">
        <v>151</v>
      </c>
      <c r="F14" s="13" t="s">
        <v>140</v>
      </c>
    </row>
    <row r="15" spans="1:7" x14ac:dyDescent="0.2">
      <c r="A15" s="13" t="s">
        <v>7</v>
      </c>
      <c r="C15" s="121" t="s">
        <v>142</v>
      </c>
      <c r="D15" s="157" t="s">
        <v>122</v>
      </c>
      <c r="E15" s="157" t="s">
        <v>122</v>
      </c>
      <c r="F15" s="13" t="s">
        <v>141</v>
      </c>
    </row>
    <row r="16" spans="1:7" x14ac:dyDescent="0.2">
      <c r="A16" s="12">
        <v>1</v>
      </c>
      <c r="B16" s="3" t="s">
        <v>21</v>
      </c>
      <c r="C16" s="19"/>
      <c r="D16" s="3"/>
      <c r="E16" s="19">
        <f>'Net Forecast Costs'!C31+'Net Forecast Costs'!D31+'Net Forecast Costs'!E31</f>
        <v>3620852.0747140534</v>
      </c>
      <c r="F16" s="114"/>
      <c r="G16" s="36"/>
    </row>
    <row r="17" spans="1:8" x14ac:dyDescent="0.2">
      <c r="A17" s="12">
        <f>A16+1</f>
        <v>2</v>
      </c>
      <c r="B17" s="3" t="s">
        <v>66</v>
      </c>
      <c r="C17" s="49">
        <f>Sales!K13</f>
        <v>1487518399.4922998</v>
      </c>
      <c r="D17" s="129">
        <v>1.83E-3</v>
      </c>
      <c r="E17" s="129">
        <f>E16/C17</f>
        <v>2.4341561596480923E-3</v>
      </c>
      <c r="F17" s="15"/>
      <c r="G17" s="36"/>
    </row>
    <row r="18" spans="1:8" x14ac:dyDescent="0.2">
      <c r="A18" s="12">
        <f>A17+1</f>
        <v>3</v>
      </c>
      <c r="B18" s="134" t="s">
        <v>23</v>
      </c>
      <c r="C18" s="133"/>
      <c r="D18" s="133">
        <f>C17*D17</f>
        <v>2722158.6710709087</v>
      </c>
      <c r="E18" s="133">
        <f>C17*E17</f>
        <v>3620852.0747140534</v>
      </c>
      <c r="G18" s="32"/>
    </row>
    <row r="19" spans="1:8" x14ac:dyDescent="0.2">
      <c r="A19" s="12">
        <v>4</v>
      </c>
      <c r="B19" s="23" t="s">
        <v>40</v>
      </c>
      <c r="C19" s="130"/>
      <c r="D19" s="131"/>
      <c r="E19" s="15"/>
      <c r="F19" s="19">
        <f>D18-E18</f>
        <v>-898693.40364314476</v>
      </c>
      <c r="G19" s="31"/>
      <c r="H19" s="31"/>
    </row>
    <row r="20" spans="1:8" x14ac:dyDescent="0.2">
      <c r="B20" s="3"/>
      <c r="C20" s="19"/>
      <c r="D20" s="50"/>
      <c r="E20" s="15"/>
      <c r="F20" s="15"/>
      <c r="G20" s="32"/>
    </row>
    <row r="21" spans="1:8" x14ac:dyDescent="0.2">
      <c r="A21" s="12">
        <f>A19+1</f>
        <v>5</v>
      </c>
      <c r="B21" s="3" t="s">
        <v>22</v>
      </c>
      <c r="C21" s="19"/>
      <c r="D21" s="50"/>
      <c r="E21" s="19">
        <f>'Net Forecast Costs'!C32+'Net Forecast Costs'!D32+'Net Forecast Costs'!E32</f>
        <v>1168907.3901429735</v>
      </c>
      <c r="F21" s="15"/>
      <c r="G21" s="32"/>
    </row>
    <row r="22" spans="1:8" x14ac:dyDescent="0.2">
      <c r="A22" s="12">
        <f>A21+1</f>
        <v>6</v>
      </c>
      <c r="B22" s="3" t="s">
        <v>67</v>
      </c>
      <c r="C22" s="49">
        <f>Sales!Q13</f>
        <v>1537898.800998735</v>
      </c>
      <c r="D22" s="50">
        <v>0.67</v>
      </c>
      <c r="E22" s="132">
        <f>E21/C22</f>
        <v>0.76006782070697188</v>
      </c>
      <c r="F22" s="15"/>
      <c r="G22" s="32"/>
    </row>
    <row r="23" spans="1:8" x14ac:dyDescent="0.2">
      <c r="A23" s="12">
        <f>A22+1</f>
        <v>7</v>
      </c>
      <c r="B23" s="3" t="s">
        <v>24</v>
      </c>
      <c r="C23" s="19"/>
      <c r="D23" s="133">
        <f>C22*D22</f>
        <v>1030392.1966691525</v>
      </c>
      <c r="E23" s="133">
        <f>C22*E22</f>
        <v>1168907.3901429735</v>
      </c>
      <c r="F23" s="15"/>
      <c r="G23" s="32"/>
    </row>
    <row r="24" spans="1:8" x14ac:dyDescent="0.2">
      <c r="A24" s="12">
        <f>A23+1</f>
        <v>8</v>
      </c>
      <c r="B24" s="135" t="s">
        <v>40</v>
      </c>
      <c r="C24" s="136"/>
      <c r="D24" s="137"/>
      <c r="E24" s="15"/>
      <c r="F24" s="19">
        <f>D23-E23</f>
        <v>-138515.19347382104</v>
      </c>
      <c r="G24" s="31"/>
      <c r="H24" s="31"/>
    </row>
    <row r="25" spans="1:8" x14ac:dyDescent="0.2">
      <c r="B25" s="46"/>
      <c r="C25" s="130"/>
      <c r="D25" s="138"/>
      <c r="E25" s="15"/>
      <c r="F25" s="15"/>
      <c r="G25" s="32"/>
    </row>
    <row r="26" spans="1:8" x14ac:dyDescent="0.2">
      <c r="A26" s="12">
        <f>A24+1</f>
        <v>9</v>
      </c>
      <c r="B26" s="3" t="s">
        <v>25</v>
      </c>
      <c r="C26" s="19"/>
      <c r="D26" s="50"/>
      <c r="E26" s="19">
        <f>'Net Forecast Costs'!C33+'Net Forecast Costs'!D33+'Net Forecast Costs'!E33</f>
        <v>889011.88601050735</v>
      </c>
      <c r="F26" s="37"/>
      <c r="G26" s="32"/>
    </row>
    <row r="27" spans="1:8" x14ac:dyDescent="0.2">
      <c r="A27" s="12">
        <f>A26+1</f>
        <v>10</v>
      </c>
      <c r="B27" s="3" t="s">
        <v>58</v>
      </c>
      <c r="C27" s="49">
        <f>Sales!K15</f>
        <v>403323461.06099874</v>
      </c>
      <c r="D27" s="129">
        <v>1.9300000000000001E-3</v>
      </c>
      <c r="E27" s="129">
        <f>E26/C27</f>
        <v>2.2042156527959898E-3</v>
      </c>
      <c r="F27" s="37"/>
      <c r="G27" s="32"/>
    </row>
    <row r="28" spans="1:8" x14ac:dyDescent="0.2">
      <c r="A28" s="12">
        <f>A27+1</f>
        <v>11</v>
      </c>
      <c r="B28" s="3" t="s">
        <v>26</v>
      </c>
      <c r="C28" s="19"/>
      <c r="D28" s="133">
        <f>C27*D27</f>
        <v>778414.27984772762</v>
      </c>
      <c r="E28" s="133">
        <f>C27*E27</f>
        <v>889011.88601050735</v>
      </c>
      <c r="F28" s="31"/>
      <c r="G28" s="32"/>
    </row>
    <row r="29" spans="1:8" x14ac:dyDescent="0.2">
      <c r="A29" s="12">
        <f>A28+1</f>
        <v>12</v>
      </c>
      <c r="B29" s="135" t="s">
        <v>40</v>
      </c>
      <c r="C29" s="136"/>
      <c r="D29" s="137"/>
      <c r="F29" s="19">
        <f>D28-E28</f>
        <v>-110597.60616277973</v>
      </c>
      <c r="G29" s="31"/>
      <c r="H29" s="31"/>
    </row>
    <row r="30" spans="1:8" x14ac:dyDescent="0.2">
      <c r="B30" s="46"/>
      <c r="C30" s="130"/>
      <c r="D30" s="138"/>
      <c r="E30" s="31"/>
      <c r="F30" s="31"/>
      <c r="G30" s="32"/>
    </row>
    <row r="31" spans="1:8" x14ac:dyDescent="0.2">
      <c r="A31" s="12">
        <f>A29+1</f>
        <v>13</v>
      </c>
      <c r="B31" s="3" t="s">
        <v>27</v>
      </c>
      <c r="C31" s="19"/>
      <c r="D31" s="50"/>
      <c r="E31" s="19">
        <f>'Net Forecast Costs'!C34+'Net Forecast Costs'!D34+'Net Forecast Costs'!E34</f>
        <v>3405530.0690587014</v>
      </c>
      <c r="F31" s="31"/>
      <c r="G31" s="32"/>
    </row>
    <row r="32" spans="1:8" x14ac:dyDescent="0.2">
      <c r="A32" s="12">
        <f>A31+1</f>
        <v>14</v>
      </c>
      <c r="B32" s="3" t="s">
        <v>68</v>
      </c>
      <c r="C32" s="49">
        <f>Sales!Q14</f>
        <v>4138945.4189749239</v>
      </c>
      <c r="D32" s="50">
        <v>0.72</v>
      </c>
      <c r="E32" s="132">
        <f>E31/C32</f>
        <v>0.82280139608657499</v>
      </c>
      <c r="F32" s="31"/>
      <c r="G32" s="32"/>
    </row>
    <row r="33" spans="1:8" x14ac:dyDescent="0.2">
      <c r="A33" s="12">
        <f>A32+1</f>
        <v>15</v>
      </c>
      <c r="B33" s="3" t="s">
        <v>30</v>
      </c>
      <c r="C33" s="19"/>
      <c r="D33" s="133">
        <f>C32*D32</f>
        <v>2980040.7016619453</v>
      </c>
      <c r="E33" s="133">
        <f>C32*E32</f>
        <v>3405530.0690587014</v>
      </c>
      <c r="F33" s="31"/>
      <c r="G33" s="32"/>
    </row>
    <row r="34" spans="1:8" x14ac:dyDescent="0.2">
      <c r="A34" s="12">
        <f>A33+1</f>
        <v>16</v>
      </c>
      <c r="B34" s="135" t="s">
        <v>40</v>
      </c>
      <c r="C34" s="136"/>
      <c r="D34" s="137"/>
      <c r="E34" s="31"/>
      <c r="F34" s="19">
        <f>D33-E33</f>
        <v>-425489.36739675608</v>
      </c>
      <c r="G34" s="31"/>
      <c r="H34" s="31"/>
    </row>
    <row r="35" spans="1:8" x14ac:dyDescent="0.2">
      <c r="B35" s="46"/>
      <c r="C35" s="130"/>
      <c r="D35" s="138"/>
      <c r="E35" s="31"/>
      <c r="F35" s="31"/>
      <c r="G35" s="32"/>
    </row>
    <row r="36" spans="1:8" x14ac:dyDescent="0.2">
      <c r="A36" s="12">
        <f>A34+1</f>
        <v>17</v>
      </c>
      <c r="B36" s="3" t="s">
        <v>28</v>
      </c>
      <c r="C36" s="19"/>
      <c r="D36" s="50"/>
      <c r="E36" s="19">
        <f>'Net Forecast Costs'!C35+'Net Forecast Costs'!D35+'Net Forecast Costs'!E35</f>
        <v>2431613.8514190721</v>
      </c>
      <c r="F36" s="31"/>
      <c r="G36" s="32"/>
    </row>
    <row r="37" spans="1:8" x14ac:dyDescent="0.2">
      <c r="A37" s="12">
        <f>A36+1</f>
        <v>18</v>
      </c>
      <c r="B37" s="3" t="s">
        <v>69</v>
      </c>
      <c r="C37" s="49">
        <f>Sales!Q15</f>
        <v>3060946.1975900498</v>
      </c>
      <c r="D37" s="50">
        <v>0.59</v>
      </c>
      <c r="E37" s="132">
        <f>E36/C37</f>
        <v>0.79439940935046005</v>
      </c>
      <c r="F37" s="31"/>
      <c r="G37" s="32"/>
    </row>
    <row r="38" spans="1:8" x14ac:dyDescent="0.2">
      <c r="A38" s="12">
        <f>A37+1</f>
        <v>19</v>
      </c>
      <c r="B38" s="3" t="s">
        <v>29</v>
      </c>
      <c r="C38" s="19"/>
      <c r="D38" s="133">
        <f>C37*D37</f>
        <v>1805958.2565781293</v>
      </c>
      <c r="E38" s="133">
        <f>C37*E37</f>
        <v>2431613.8514190721</v>
      </c>
      <c r="F38" s="31"/>
      <c r="G38" s="32"/>
    </row>
    <row r="39" spans="1:8" x14ac:dyDescent="0.2">
      <c r="A39" s="12">
        <f>A38+1</f>
        <v>20</v>
      </c>
      <c r="B39" s="135" t="s">
        <v>40</v>
      </c>
      <c r="C39" s="136"/>
      <c r="D39" s="137"/>
      <c r="E39" s="31"/>
      <c r="F39" s="19">
        <f>D38-E38</f>
        <v>-625655.59484094288</v>
      </c>
      <c r="G39" s="31"/>
      <c r="H39" s="31"/>
    </row>
    <row r="40" spans="1:8" x14ac:dyDescent="0.2">
      <c r="B40" s="46"/>
      <c r="C40" s="130"/>
      <c r="D40" s="138"/>
      <c r="E40" s="31"/>
      <c r="F40" s="31"/>
      <c r="G40" s="32"/>
    </row>
    <row r="41" spans="1:8" x14ac:dyDescent="0.2">
      <c r="A41" s="12">
        <f>A39+1</f>
        <v>21</v>
      </c>
      <c r="B41" s="3" t="s">
        <v>31</v>
      </c>
      <c r="C41" s="19"/>
      <c r="D41" s="50"/>
      <c r="E41" s="19">
        <f>'Net Forecast Costs'!C36+'Net Forecast Costs'!D36+'Net Forecast Costs'!E36</f>
        <v>1963.7736567279917</v>
      </c>
      <c r="F41" s="31"/>
      <c r="G41" s="32"/>
    </row>
    <row r="42" spans="1:8" x14ac:dyDescent="0.2">
      <c r="A42" s="12">
        <f>A41+1</f>
        <v>22</v>
      </c>
      <c r="B42" s="3" t="s">
        <v>70</v>
      </c>
      <c r="C42" s="49">
        <f>Sales!K18</f>
        <v>1340147.202654735</v>
      </c>
      <c r="D42" s="129">
        <v>1.4E-3</v>
      </c>
      <c r="E42" s="129">
        <f>E41/C42</f>
        <v>1.4653417571128737E-3</v>
      </c>
      <c r="F42" s="31"/>
      <c r="G42" s="32"/>
    </row>
    <row r="43" spans="1:8" x14ac:dyDescent="0.2">
      <c r="A43" s="12">
        <f>A42+1</f>
        <v>23</v>
      </c>
      <c r="B43" s="3" t="s">
        <v>32</v>
      </c>
      <c r="C43" s="19"/>
      <c r="D43" s="133">
        <f>C42*D42</f>
        <v>1876.2060837166289</v>
      </c>
      <c r="E43" s="133">
        <f>C42*E42</f>
        <v>1963.7736567279917</v>
      </c>
      <c r="F43" s="31"/>
      <c r="G43" s="32"/>
    </row>
    <row r="44" spans="1:8" x14ac:dyDescent="0.2">
      <c r="A44" s="12">
        <f>A43+1</f>
        <v>24</v>
      </c>
      <c r="B44" s="135" t="s">
        <v>40</v>
      </c>
      <c r="C44" s="136"/>
      <c r="D44" s="137"/>
      <c r="E44" s="31"/>
      <c r="F44" s="19">
        <f>D43-E43</f>
        <v>-87.567573011362811</v>
      </c>
      <c r="G44" s="31"/>
      <c r="H44" s="31"/>
    </row>
    <row r="45" spans="1:8" x14ac:dyDescent="0.2">
      <c r="B45" s="46"/>
      <c r="C45" s="130"/>
      <c r="D45" s="138"/>
      <c r="E45" s="31"/>
      <c r="F45" s="31"/>
      <c r="G45" s="32"/>
    </row>
    <row r="46" spans="1:8" x14ac:dyDescent="0.2">
      <c r="A46" s="12">
        <f>A44+1</f>
        <v>25</v>
      </c>
      <c r="B46" s="3" t="s">
        <v>33</v>
      </c>
      <c r="C46" s="19"/>
      <c r="D46" s="50"/>
      <c r="E46" s="19">
        <f>'Net Forecast Costs'!C37+'Net Forecast Costs'!D37+'Net Forecast Costs'!E37</f>
        <v>18713.607787643217</v>
      </c>
      <c r="F46" s="31"/>
      <c r="G46" s="32"/>
    </row>
    <row r="47" spans="1:8" x14ac:dyDescent="0.2">
      <c r="A47" s="12">
        <f>A46+1</f>
        <v>26</v>
      </c>
      <c r="B47" s="3" t="s">
        <v>71</v>
      </c>
      <c r="C47" s="49">
        <f>Sales!K19</f>
        <v>11432927.610277751</v>
      </c>
      <c r="D47" s="129">
        <v>9.8999999999999999E-4</v>
      </c>
      <c r="E47" s="129">
        <f>E46/C47</f>
        <v>1.6368167826778174E-3</v>
      </c>
      <c r="F47" s="31"/>
      <c r="G47" s="32"/>
    </row>
    <row r="48" spans="1:8" x14ac:dyDescent="0.2">
      <c r="A48" s="12">
        <f>A47+1</f>
        <v>27</v>
      </c>
      <c r="B48" s="3" t="s">
        <v>34</v>
      </c>
      <c r="C48" s="19"/>
      <c r="D48" s="133">
        <f>C47*D47</f>
        <v>11318.598334174974</v>
      </c>
      <c r="E48" s="133">
        <f>C47*E47</f>
        <v>18713.607787643217</v>
      </c>
      <c r="F48" s="31"/>
      <c r="G48" s="32"/>
    </row>
    <row r="49" spans="1:8" x14ac:dyDescent="0.2">
      <c r="A49" s="12">
        <f>A48+1</f>
        <v>28</v>
      </c>
      <c r="B49" s="135" t="s">
        <v>40</v>
      </c>
      <c r="C49" s="136"/>
      <c r="D49" s="137"/>
      <c r="E49" s="31"/>
      <c r="F49" s="19">
        <f>D48-E48</f>
        <v>-7395.009453468243</v>
      </c>
      <c r="G49" s="31"/>
      <c r="H49" s="31"/>
    </row>
    <row r="50" spans="1:8" x14ac:dyDescent="0.2">
      <c r="B50" s="46"/>
      <c r="C50" s="130"/>
      <c r="D50" s="138"/>
      <c r="E50" s="31"/>
      <c r="F50" s="31"/>
      <c r="G50" s="32"/>
    </row>
    <row r="51" spans="1:8" x14ac:dyDescent="0.2">
      <c r="A51" s="12">
        <f>A49+1</f>
        <v>29</v>
      </c>
      <c r="B51" s="3" t="s">
        <v>35</v>
      </c>
      <c r="C51" s="19"/>
      <c r="D51" s="50"/>
      <c r="E51" s="19">
        <f>'Net Forecast Costs'!C38+'Net Forecast Costs'!D38+'Net Forecast Costs'!E38</f>
        <v>15017.092669096408</v>
      </c>
      <c r="F51" s="31"/>
      <c r="G51" s="32"/>
    </row>
    <row r="52" spans="1:8" x14ac:dyDescent="0.2">
      <c r="A52" s="12">
        <f>A51+1</f>
        <v>30</v>
      </c>
      <c r="B52" s="3" t="s">
        <v>72</v>
      </c>
      <c r="C52" s="49">
        <f>Sales!K20</f>
        <v>21095343.722428743</v>
      </c>
      <c r="D52" s="129">
        <v>6.2E-4</v>
      </c>
      <c r="E52" s="129">
        <f>E51/C52</f>
        <v>7.1186764561366738E-4</v>
      </c>
      <c r="F52" s="31"/>
      <c r="G52" s="32"/>
    </row>
    <row r="53" spans="1:8" customFormat="1" ht="12.75" customHeight="1" x14ac:dyDescent="0.25">
      <c r="A53" s="12">
        <f>A52+1</f>
        <v>31</v>
      </c>
      <c r="B53" s="3" t="s">
        <v>36</v>
      </c>
      <c r="C53" s="19"/>
      <c r="D53" s="133">
        <f>C52*D52</f>
        <v>13079.113107905821</v>
      </c>
      <c r="E53" s="133">
        <f>C52*E52</f>
        <v>15017.092669096408</v>
      </c>
      <c r="F53" s="31"/>
      <c r="G53" s="32"/>
    </row>
    <row r="54" spans="1:8" x14ac:dyDescent="0.2">
      <c r="A54" s="12">
        <f>A53+1</f>
        <v>32</v>
      </c>
      <c r="B54" s="135" t="s">
        <v>40</v>
      </c>
      <c r="C54" s="136"/>
      <c r="D54" s="137"/>
      <c r="E54" s="31"/>
      <c r="F54" s="133">
        <f>D53-E53</f>
        <v>-1937.9795611905865</v>
      </c>
      <c r="G54" s="31"/>
      <c r="H54" s="31"/>
    </row>
    <row r="55" spans="1:8" x14ac:dyDescent="0.2">
      <c r="B55" s="139"/>
      <c r="C55" s="139"/>
      <c r="D55" s="140"/>
      <c r="E55" s="31"/>
      <c r="F55" s="31"/>
      <c r="G55" s="32"/>
    </row>
    <row r="56" spans="1:8" ht="13.5" thickBot="1" x14ac:dyDescent="0.25">
      <c r="A56" s="12">
        <f>A54+1</f>
        <v>33</v>
      </c>
      <c r="B56" s="23" t="s">
        <v>39</v>
      </c>
      <c r="C56" s="22"/>
      <c r="D56" s="51"/>
      <c r="E56" s="31"/>
      <c r="F56" s="141">
        <f>SUM(F19:F55)</f>
        <v>-2208371.7221051147</v>
      </c>
      <c r="G56" s="32"/>
    </row>
    <row r="57" spans="1:8" ht="13.5" thickTop="1" x14ac:dyDescent="0.2"/>
    <row r="59" spans="1:8" x14ac:dyDescent="0.2">
      <c r="B59" s="7" t="s">
        <v>57</v>
      </c>
    </row>
    <row r="60" spans="1:8" x14ac:dyDescent="0.2">
      <c r="B60" s="15" t="s">
        <v>111</v>
      </c>
    </row>
    <row r="61" spans="1:8" x14ac:dyDescent="0.2">
      <c r="B61" s="15" t="s">
        <v>109</v>
      </c>
    </row>
    <row r="62" spans="1:8" x14ac:dyDescent="0.2">
      <c r="B62" s="15" t="s">
        <v>110</v>
      </c>
    </row>
    <row r="63" spans="1:8" x14ac:dyDescent="0.2">
      <c r="B63" s="15" t="s">
        <v>144</v>
      </c>
    </row>
    <row r="64" spans="1:8" x14ac:dyDescent="0.2">
      <c r="B64" s="15" t="s">
        <v>145</v>
      </c>
    </row>
  </sheetData>
  <mergeCells count="6">
    <mergeCell ref="C12:F12"/>
    <mergeCell ref="A6:D6"/>
    <mergeCell ref="A3:F3"/>
    <mergeCell ref="A4:F4"/>
    <mergeCell ref="A8:F8"/>
    <mergeCell ref="A9:F9"/>
  </mergeCells>
  <printOptions horizontalCentered="1"/>
  <pageMargins left="1" right="1" top="1" bottom="1" header="0.5" footer="0.5"/>
  <pageSetup scale="8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P43"/>
  <sheetViews>
    <sheetView zoomScale="90" zoomScaleNormal="90" workbookViewId="0">
      <selection activeCell="G33" sqref="G33"/>
    </sheetView>
  </sheetViews>
  <sheetFormatPr defaultRowHeight="12.75" x14ac:dyDescent="0.2"/>
  <cols>
    <col min="1" max="1" customWidth="true" style="38" width="5.28515625" collapsed="false"/>
    <col min="2" max="2" customWidth="true" style="39" width="33.7109375" collapsed="false"/>
    <col min="3" max="4" customWidth="true" style="38" width="16.28515625" collapsed="false"/>
    <col min="5" max="5" customWidth="true" style="38" width="14.5703125" collapsed="false"/>
    <col min="6" max="6" customWidth="true" style="38" width="15.85546875" collapsed="false"/>
    <col min="7" max="7" customWidth="true" style="38" width="13.140625" collapsed="false"/>
    <col min="8" max="8" customWidth="true" style="38" width="13.5703125" collapsed="false"/>
    <col min="9" max="9" customWidth="true" style="38" width="12.7109375" collapsed="false"/>
    <col min="10" max="10" customWidth="true" style="38" width="12.42578125" collapsed="false"/>
    <col min="11" max="12" customWidth="true" style="69" width="12.42578125" collapsed="false"/>
    <col min="13" max="13" bestFit="true" customWidth="true" style="39" width="12.42578125" collapsed="false"/>
    <col min="14" max="14" customWidth="true" style="39" width="9.7109375" collapsed="false"/>
    <col min="15" max="15" bestFit="true" customWidth="true" style="39" width="12.42578125" collapsed="false"/>
    <col min="16" max="16" customWidth="true" style="39" width="9.7109375" collapsed="false"/>
    <col min="17" max="16384" style="39" width="9.140625" collapsed="false"/>
  </cols>
  <sheetData>
    <row r="2" spans="1:15" x14ac:dyDescent="0.2">
      <c r="A2" s="145"/>
    </row>
    <row r="3" spans="1:15" x14ac:dyDescent="0.2">
      <c r="A3" s="170" t="s">
        <v>94</v>
      </c>
      <c r="B3" s="170"/>
      <c r="C3" s="170"/>
      <c r="D3" s="170"/>
      <c r="E3" s="170"/>
      <c r="F3" s="170"/>
      <c r="G3" s="170"/>
      <c r="H3" s="170"/>
      <c r="I3" s="170"/>
      <c r="J3" s="170"/>
      <c r="K3" s="67"/>
      <c r="L3" s="67"/>
    </row>
    <row r="4" spans="1:15" x14ac:dyDescent="0.2">
      <c r="A4" s="170" t="str">
        <f>Sales!A4</f>
        <v>2019 TCA RECONCILIATION and 2020 NEW FACTOR CALCULATION</v>
      </c>
      <c r="B4" s="170"/>
      <c r="C4" s="170"/>
      <c r="D4" s="170"/>
      <c r="E4" s="170"/>
      <c r="F4" s="170"/>
      <c r="G4" s="170"/>
      <c r="H4" s="170"/>
      <c r="I4" s="170"/>
      <c r="J4" s="170"/>
      <c r="K4" s="67"/>
      <c r="L4" s="67"/>
    </row>
    <row r="5" spans="1:15" x14ac:dyDescent="0.2">
      <c r="A5" s="119"/>
      <c r="B5" s="119"/>
      <c r="C5" s="119"/>
      <c r="D5" s="119"/>
      <c r="E5" s="119"/>
      <c r="F5" s="119"/>
      <c r="G5" s="119"/>
      <c r="H5" s="119"/>
      <c r="I5" s="119"/>
      <c r="J5" s="119"/>
      <c r="K5" s="67"/>
      <c r="L5" s="67"/>
    </row>
    <row r="6" spans="1:15" x14ac:dyDescent="0.2">
      <c r="A6" s="58"/>
      <c r="B6" s="127"/>
      <c r="C6" s="41"/>
      <c r="D6" s="41"/>
      <c r="E6" s="41"/>
      <c r="F6" s="41"/>
      <c r="G6" s="41"/>
      <c r="H6" s="41"/>
      <c r="J6" s="62" t="s">
        <v>97</v>
      </c>
      <c r="K6" s="68"/>
      <c r="L6" s="68"/>
    </row>
    <row r="7" spans="1:15" x14ac:dyDescent="0.2">
      <c r="C7" s="39"/>
      <c r="D7" s="39"/>
      <c r="E7" s="39"/>
      <c r="F7" s="39"/>
      <c r="J7" s="40"/>
      <c r="K7" s="70"/>
      <c r="L7" s="70"/>
    </row>
    <row r="8" spans="1:15" x14ac:dyDescent="0.2">
      <c r="B8" s="169" t="s">
        <v>76</v>
      </c>
      <c r="C8" s="169"/>
      <c r="D8" s="169"/>
      <c r="E8" s="169"/>
      <c r="F8" s="169"/>
      <c r="G8" s="169"/>
      <c r="H8" s="169"/>
      <c r="I8" s="169"/>
      <c r="J8" s="169"/>
      <c r="K8" s="71"/>
      <c r="L8" s="71"/>
    </row>
    <row r="9" spans="1:15" x14ac:dyDescent="0.2">
      <c r="B9" s="118"/>
      <c r="C9" s="118"/>
      <c r="D9" s="118"/>
      <c r="E9" s="118"/>
      <c r="F9" s="118"/>
      <c r="G9" s="118"/>
      <c r="H9" s="118"/>
      <c r="I9" s="118"/>
      <c r="J9" s="118"/>
      <c r="K9" s="71"/>
      <c r="L9" s="71"/>
    </row>
    <row r="10" spans="1:15" x14ac:dyDescent="0.2">
      <c r="B10" s="160"/>
      <c r="C10" s="160"/>
      <c r="D10" s="160"/>
      <c r="E10" s="160"/>
      <c r="F10" s="160"/>
      <c r="G10" s="39"/>
      <c r="H10" s="160"/>
      <c r="I10" s="160"/>
      <c r="J10" s="118"/>
      <c r="K10" s="71"/>
      <c r="L10" s="71"/>
    </row>
    <row r="11" spans="1:15" x14ac:dyDescent="0.2">
      <c r="B11" s="160"/>
      <c r="C11" s="160"/>
      <c r="D11" s="41" t="s">
        <v>133</v>
      </c>
      <c r="E11" s="160"/>
      <c r="F11" s="160"/>
      <c r="G11" s="41" t="s">
        <v>130</v>
      </c>
      <c r="H11" s="41" t="s">
        <v>130</v>
      </c>
      <c r="I11" s="160"/>
      <c r="J11" s="118"/>
      <c r="K11" s="71"/>
      <c r="L11" s="71"/>
    </row>
    <row r="12" spans="1:15" x14ac:dyDescent="0.2">
      <c r="B12" s="160"/>
      <c r="C12" s="41" t="s">
        <v>177</v>
      </c>
      <c r="D12" s="41" t="s">
        <v>127</v>
      </c>
      <c r="E12" s="41" t="s">
        <v>178</v>
      </c>
      <c r="F12" s="160"/>
      <c r="G12" s="41" t="s">
        <v>132</v>
      </c>
      <c r="H12" s="41" t="s">
        <v>131</v>
      </c>
      <c r="I12" s="160"/>
      <c r="J12" s="118"/>
      <c r="K12" s="71"/>
      <c r="L12" s="71"/>
    </row>
    <row r="13" spans="1:15" s="44" customFormat="1" x14ac:dyDescent="0.2">
      <c r="A13" s="41" t="s">
        <v>123</v>
      </c>
      <c r="B13" s="160"/>
      <c r="C13" s="41" t="s">
        <v>125</v>
      </c>
      <c r="D13" s="41" t="s">
        <v>134</v>
      </c>
      <c r="E13" s="41" t="s">
        <v>127</v>
      </c>
      <c r="F13" s="41" t="s">
        <v>55</v>
      </c>
      <c r="G13" s="123" t="s">
        <v>179</v>
      </c>
      <c r="H13" s="123" t="s">
        <v>179</v>
      </c>
      <c r="I13" s="41" t="s">
        <v>137</v>
      </c>
      <c r="J13" s="41" t="s">
        <v>137</v>
      </c>
      <c r="K13" s="71"/>
      <c r="L13" s="71"/>
    </row>
    <row r="14" spans="1:15" s="44" customFormat="1" x14ac:dyDescent="0.2">
      <c r="A14" s="42" t="s">
        <v>124</v>
      </c>
      <c r="B14" s="91"/>
      <c r="C14" s="42" t="s">
        <v>126</v>
      </c>
      <c r="D14" s="179" t="s">
        <v>162</v>
      </c>
      <c r="E14" s="42" t="s">
        <v>128</v>
      </c>
      <c r="F14" s="42" t="s">
        <v>129</v>
      </c>
      <c r="G14" s="122" t="s">
        <v>163</v>
      </c>
      <c r="H14" s="122" t="s">
        <v>163</v>
      </c>
      <c r="I14" s="42" t="s">
        <v>136</v>
      </c>
      <c r="J14" s="42" t="s">
        <v>138</v>
      </c>
      <c r="K14" s="92"/>
      <c r="L14" s="92"/>
    </row>
    <row r="15" spans="1:15" s="44" customFormat="1" x14ac:dyDescent="0.2">
      <c r="A15" s="93"/>
      <c r="B15" s="45"/>
      <c r="C15" s="43" t="s">
        <v>48</v>
      </c>
      <c r="D15" s="43" t="s">
        <v>49</v>
      </c>
      <c r="E15" s="43" t="s">
        <v>50</v>
      </c>
      <c r="F15" s="43" t="s">
        <v>51</v>
      </c>
      <c r="G15" s="43" t="s">
        <v>52</v>
      </c>
      <c r="H15" s="43" t="s">
        <v>53</v>
      </c>
      <c r="I15" s="43" t="s">
        <v>54</v>
      </c>
      <c r="J15" s="43" t="s">
        <v>77</v>
      </c>
      <c r="K15" s="72"/>
      <c r="L15" s="72"/>
      <c r="M15" s="43"/>
      <c r="N15" s="43"/>
      <c r="O15" s="43"/>
    </row>
    <row r="16" spans="1:15" s="44" customFormat="1" x14ac:dyDescent="0.2">
      <c r="A16" s="93"/>
      <c r="B16" s="45"/>
      <c r="C16" s="43"/>
      <c r="D16" s="43"/>
      <c r="E16" s="43"/>
      <c r="F16" s="43" t="s">
        <v>143</v>
      </c>
      <c r="G16" s="43"/>
      <c r="H16" s="41"/>
      <c r="I16" s="43" t="s">
        <v>149</v>
      </c>
      <c r="J16" s="43" t="s">
        <v>150</v>
      </c>
      <c r="K16" s="73"/>
      <c r="L16" s="73"/>
      <c r="M16" s="43"/>
      <c r="N16" s="43"/>
      <c r="O16" s="43"/>
    </row>
    <row r="17" spans="1:16" s="44" customFormat="1" x14ac:dyDescent="0.2">
      <c r="A17" s="94">
        <v>1</v>
      </c>
      <c r="B17" s="46" t="s">
        <v>11</v>
      </c>
      <c r="C17" s="95">
        <f>'Net Forecast Costs'!O31</f>
        <v>14525740.927095316</v>
      </c>
      <c r="D17" s="95">
        <f>'Actual O-U by Rev Class'!$P$18</f>
        <v>-51030.800585143734</v>
      </c>
      <c r="E17" s="95">
        <f>'Rev Difference by Rev Class'!F19</f>
        <v>-898693.40364314476</v>
      </c>
      <c r="F17" s="95">
        <f>ROUND(C17-D17-E17,0)</f>
        <v>15475465</v>
      </c>
      <c r="G17" s="98">
        <f>ROUND(Sales!L13,0)</f>
        <v>5981915622</v>
      </c>
      <c r="H17" s="98"/>
      <c r="I17" s="96">
        <f>F17/G17</f>
        <v>2.5870416732534781E-3</v>
      </c>
      <c r="J17" s="97"/>
      <c r="K17" s="98"/>
      <c r="L17" s="99"/>
      <c r="M17" s="100"/>
      <c r="N17" s="49"/>
    </row>
    <row r="18" spans="1:16" s="44" customFormat="1" x14ac:dyDescent="0.2">
      <c r="A18" s="94">
        <f>A17+1</f>
        <v>2</v>
      </c>
      <c r="B18" s="46" t="s">
        <v>13</v>
      </c>
      <c r="C18" s="95">
        <f>'Net Forecast Costs'!O32</f>
        <v>4689295.6593165575</v>
      </c>
      <c r="D18" s="95">
        <f>'Actual O-U by Rev Class'!$P$23</f>
        <v>-534918.90724478872</v>
      </c>
      <c r="E18" s="95">
        <f>'Rev Difference by Rev Class'!F24</f>
        <v>-138515.19347382104</v>
      </c>
      <c r="F18" s="95">
        <f t="shared" ref="F18:F24" si="0">ROUND(C18-D18-E18,0)</f>
        <v>5362730</v>
      </c>
      <c r="G18" s="98"/>
      <c r="H18" s="98">
        <f>ROUND(Sales!R13,0)</f>
        <v>6184516</v>
      </c>
      <c r="I18" s="97"/>
      <c r="J18" s="101">
        <f>F18/H18</f>
        <v>0.86712201892597573</v>
      </c>
      <c r="K18" s="98"/>
      <c r="L18" s="99"/>
      <c r="M18" s="100"/>
      <c r="N18" s="49"/>
      <c r="O18" s="102"/>
      <c r="P18" s="102"/>
    </row>
    <row r="19" spans="1:16" s="44" customFormat="1" x14ac:dyDescent="0.2">
      <c r="A19" s="94">
        <f t="shared" ref="A19:A25" si="1">A18+1</f>
        <v>3</v>
      </c>
      <c r="B19" s="46" t="s">
        <v>12</v>
      </c>
      <c r="C19" s="95">
        <f>'Net Forecast Costs'!O33</f>
        <v>3566441.2880818495</v>
      </c>
      <c r="D19" s="95">
        <f>'Actual O-U by Rev Class'!$P$28</f>
        <v>90235.293604607752</v>
      </c>
      <c r="E19" s="95">
        <f>'Rev Difference by Rev Class'!F29</f>
        <v>-110597.60616277973</v>
      </c>
      <c r="F19" s="95">
        <f>ROUND(C19-D19-E19,0)</f>
        <v>3586804</v>
      </c>
      <c r="G19" s="98">
        <f>ROUND(Sales!L15,0)</f>
        <v>1621927442</v>
      </c>
      <c r="H19" s="98"/>
      <c r="I19" s="96">
        <f>F19/G19</f>
        <v>2.2114454118718832E-3</v>
      </c>
      <c r="J19" s="103"/>
      <c r="K19" s="98"/>
      <c r="L19" s="99"/>
      <c r="M19" s="100"/>
      <c r="N19" s="49"/>
    </row>
    <row r="20" spans="1:16" s="44" customFormat="1" x14ac:dyDescent="0.2">
      <c r="A20" s="94">
        <f t="shared" si="1"/>
        <v>4</v>
      </c>
      <c r="B20" s="46" t="s">
        <v>19</v>
      </c>
      <c r="C20" s="95">
        <f>'Net Forecast Costs'!O34</f>
        <v>13661935.500771958</v>
      </c>
      <c r="D20" s="95">
        <f>'Actual O-U by Rev Class'!$P$33</f>
        <v>-1338653.7796108169</v>
      </c>
      <c r="E20" s="95">
        <f>'Rev Difference by Rev Class'!F34</f>
        <v>-425489.36739675608</v>
      </c>
      <c r="F20" s="95">
        <f t="shared" si="0"/>
        <v>15426079</v>
      </c>
      <c r="G20" s="98"/>
      <c r="H20" s="98">
        <f>ROUND(Sales!R14,0)</f>
        <v>16644381</v>
      </c>
      <c r="I20" s="97"/>
      <c r="J20" s="101">
        <f>F20/H20</f>
        <v>0.92680400670953156</v>
      </c>
      <c r="K20" s="98"/>
      <c r="L20" s="99"/>
      <c r="M20" s="100"/>
      <c r="N20" s="49"/>
    </row>
    <row r="21" spans="1:16" s="44" customFormat="1" x14ac:dyDescent="0.2">
      <c r="A21" s="94">
        <f t="shared" si="1"/>
        <v>5</v>
      </c>
      <c r="B21" s="46" t="s">
        <v>14</v>
      </c>
      <c r="C21" s="95">
        <f>'Net Forecast Costs'!O35</f>
        <v>9754884.2404005844</v>
      </c>
      <c r="D21" s="95">
        <f>'Actual O-U by Rev Class'!$P$38</f>
        <v>-802383.37541155657</v>
      </c>
      <c r="E21" s="95">
        <f>'Rev Difference by Rev Class'!F39</f>
        <v>-625655.59484094288</v>
      </c>
      <c r="F21" s="95">
        <f t="shared" si="0"/>
        <v>11182923</v>
      </c>
      <c r="G21" s="98"/>
      <c r="H21" s="98">
        <f>ROUND(Sales!R15,0)</f>
        <v>12309308</v>
      </c>
      <c r="I21" s="96"/>
      <c r="J21" s="104">
        <f>F21/H21</f>
        <v>0.90849323130106097</v>
      </c>
      <c r="K21" s="98"/>
      <c r="L21" s="99"/>
      <c r="M21" s="100"/>
      <c r="N21" s="49"/>
    </row>
    <row r="22" spans="1:16" s="44" customFormat="1" x14ac:dyDescent="0.2">
      <c r="A22" s="94">
        <f t="shared" si="1"/>
        <v>6</v>
      </c>
      <c r="B22" s="46" t="s">
        <v>20</v>
      </c>
      <c r="C22" s="95">
        <f>'Net Forecast Costs'!O36</f>
        <v>7878.0537808460795</v>
      </c>
      <c r="D22" s="95">
        <f>'Actual O-U by Rev Class'!$P$43</f>
        <v>-51</v>
      </c>
      <c r="E22" s="95">
        <f>'Rev Difference by Rev Class'!F44</f>
        <v>-87.567573011362811</v>
      </c>
      <c r="F22" s="95">
        <f t="shared" si="0"/>
        <v>8017</v>
      </c>
      <c r="G22" s="98">
        <f>ROUND(Sales!L18,0)</f>
        <v>5389276</v>
      </c>
      <c r="H22" s="98"/>
      <c r="I22" s="96">
        <f>F22/G22</f>
        <v>1.4875838609861511E-3</v>
      </c>
      <c r="J22" s="97"/>
      <c r="K22" s="98"/>
      <c r="L22" s="99"/>
      <c r="M22" s="100"/>
      <c r="N22" s="49"/>
      <c r="P22" s="102"/>
    </row>
    <row r="23" spans="1:16" s="44" customFormat="1" x14ac:dyDescent="0.2">
      <c r="A23" s="94">
        <f t="shared" si="1"/>
        <v>7</v>
      </c>
      <c r="B23" s="46" t="s">
        <v>15</v>
      </c>
      <c r="C23" s="95">
        <f>'Net Forecast Costs'!O37</f>
        <v>75073.21838218029</v>
      </c>
      <c r="D23" s="95">
        <f>'Actual O-U by Rev Class'!$P$48</f>
        <v>-2066.2151591590136</v>
      </c>
      <c r="E23" s="95">
        <f>'Rev Difference by Rev Class'!F49</f>
        <v>-7395.009453468243</v>
      </c>
      <c r="F23" s="95">
        <f t="shared" si="0"/>
        <v>84534</v>
      </c>
      <c r="G23" s="98">
        <f>ROUND(Sales!L19,0)</f>
        <v>45976445</v>
      </c>
      <c r="H23" s="98"/>
      <c r="I23" s="96">
        <f>F23/G23</f>
        <v>1.8386371543080374E-3</v>
      </c>
      <c r="J23" s="103"/>
      <c r="K23" s="98"/>
      <c r="L23" s="99"/>
      <c r="M23" s="100"/>
      <c r="N23" s="49"/>
    </row>
    <row r="24" spans="1:16" s="44" customFormat="1" x14ac:dyDescent="0.2">
      <c r="A24" s="94">
        <f t="shared" si="1"/>
        <v>8</v>
      </c>
      <c r="B24" s="46" t="s">
        <v>16</v>
      </c>
      <c r="C24" s="95">
        <f>'Net Forecast Costs'!O38</f>
        <v>60243.94067705825</v>
      </c>
      <c r="D24" s="95">
        <f>'Actual O-U by Rev Class'!$P$53</f>
        <v>-5664.0702237781788</v>
      </c>
      <c r="E24" s="95">
        <f>'Rev Difference by Rev Class'!F54</f>
        <v>-1937.9795611905865</v>
      </c>
      <c r="F24" s="95">
        <f t="shared" si="0"/>
        <v>67846</v>
      </c>
      <c r="G24" s="98">
        <f>ROUND(Sales!L20,0)</f>
        <v>84832945</v>
      </c>
      <c r="H24" s="98"/>
      <c r="I24" s="96">
        <f>F24/G24</f>
        <v>7.9976004605286307E-4</v>
      </c>
      <c r="J24" s="97"/>
      <c r="K24" s="98"/>
      <c r="L24" s="99"/>
      <c r="M24" s="100"/>
      <c r="N24" s="49"/>
    </row>
    <row r="25" spans="1:16" s="44" customFormat="1" ht="13.5" thickBot="1" x14ac:dyDescent="0.25">
      <c r="A25" s="94">
        <f t="shared" si="1"/>
        <v>9</v>
      </c>
      <c r="B25" s="105" t="s">
        <v>55</v>
      </c>
      <c r="C25" s="106">
        <f>SUM(C17:C24)</f>
        <v>46341492.828506358</v>
      </c>
      <c r="D25" s="106">
        <f>SUM(D17:D24)</f>
        <v>-2644532.8546306356</v>
      </c>
      <c r="E25" s="106">
        <f>SUM(E17:E24)</f>
        <v>-2208371.7221051147</v>
      </c>
      <c r="F25" s="106">
        <f>SUM(F17:F24)</f>
        <v>51194398</v>
      </c>
      <c r="G25" s="113"/>
      <c r="H25" s="113"/>
      <c r="I25" s="94"/>
      <c r="J25" s="94"/>
      <c r="K25" s="99"/>
      <c r="L25" s="99"/>
      <c r="M25" s="107"/>
    </row>
    <row r="26" spans="1:16" s="44" customFormat="1" ht="13.5" thickTop="1" x14ac:dyDescent="0.2">
      <c r="A26" s="41"/>
      <c r="C26" s="41"/>
      <c r="D26" s="41"/>
      <c r="E26" s="41"/>
      <c r="F26" s="41"/>
      <c r="G26" s="113"/>
      <c r="H26" s="113"/>
      <c r="I26" s="41"/>
      <c r="J26" s="41"/>
      <c r="K26" s="73"/>
      <c r="L26" s="73"/>
    </row>
    <row r="27" spans="1:16" s="44" customFormat="1" x14ac:dyDescent="0.2">
      <c r="A27" s="41"/>
      <c r="B27" s="47" t="s">
        <v>57</v>
      </c>
      <c r="G27" s="41"/>
      <c r="H27" s="41"/>
      <c r="I27" s="41"/>
      <c r="J27" s="41"/>
      <c r="K27" s="73"/>
      <c r="L27" s="73"/>
    </row>
    <row r="28" spans="1:16" s="44" customFormat="1" x14ac:dyDescent="0.2">
      <c r="A28" s="41"/>
      <c r="B28" s="64" t="s">
        <v>112</v>
      </c>
      <c r="F28" s="51"/>
      <c r="G28" s="41"/>
      <c r="H28" s="41"/>
      <c r="I28" s="41"/>
      <c r="J28" s="41"/>
      <c r="K28" s="72"/>
      <c r="L28" s="72"/>
    </row>
    <row r="29" spans="1:16" s="44" customFormat="1" x14ac:dyDescent="0.2">
      <c r="A29" s="41"/>
      <c r="B29" s="64" t="s">
        <v>135</v>
      </c>
      <c r="C29" s="41"/>
      <c r="D29" s="41"/>
      <c r="F29" s="51"/>
      <c r="G29" s="41"/>
      <c r="H29" s="41"/>
      <c r="I29" s="41"/>
      <c r="J29" s="41"/>
      <c r="K29" s="72"/>
      <c r="L29" s="72"/>
    </row>
    <row r="30" spans="1:16" s="44" customFormat="1" x14ac:dyDescent="0.2">
      <c r="A30" s="41"/>
      <c r="B30" s="64" t="s">
        <v>146</v>
      </c>
      <c r="G30" s="41"/>
      <c r="H30" s="41"/>
      <c r="I30" s="41"/>
      <c r="J30" s="41"/>
      <c r="K30" s="72"/>
      <c r="L30" s="72"/>
    </row>
    <row r="31" spans="1:16" s="44" customFormat="1" x14ac:dyDescent="0.2">
      <c r="A31" s="41"/>
      <c r="B31" s="64" t="s">
        <v>147</v>
      </c>
      <c r="G31" s="41"/>
      <c r="H31" s="41"/>
      <c r="I31" s="41"/>
      <c r="J31" s="41"/>
      <c r="K31" s="72"/>
      <c r="L31" s="72"/>
    </row>
    <row r="32" spans="1:16" s="44" customFormat="1" x14ac:dyDescent="0.2">
      <c r="A32" s="41"/>
      <c r="B32" s="64" t="s">
        <v>148</v>
      </c>
      <c r="G32" s="124"/>
      <c r="H32" s="41"/>
      <c r="I32" s="41"/>
      <c r="J32" s="41"/>
      <c r="K32" s="72"/>
      <c r="L32" s="72"/>
    </row>
    <row r="33" spans="1:12" s="44" customFormat="1" x14ac:dyDescent="0.2">
      <c r="A33" s="41"/>
      <c r="G33" s="41"/>
      <c r="H33" s="41"/>
      <c r="I33" s="41"/>
      <c r="J33" s="41"/>
      <c r="K33" s="72"/>
      <c r="L33" s="72"/>
    </row>
    <row r="34" spans="1:12" s="44" customFormat="1" x14ac:dyDescent="0.2">
      <c r="A34" s="41"/>
      <c r="B34" s="153"/>
      <c r="C34" s="73"/>
      <c r="D34" s="73"/>
      <c r="E34" s="73"/>
      <c r="F34" s="73"/>
      <c r="G34" s="73"/>
      <c r="H34" s="73"/>
      <c r="I34" s="72"/>
      <c r="J34" s="154"/>
      <c r="K34" s="72"/>
      <c r="L34" s="72"/>
    </row>
    <row r="35" spans="1:12" s="44" customFormat="1" x14ac:dyDescent="0.2">
      <c r="A35" s="41"/>
      <c r="B35" s="153"/>
      <c r="C35" s="73"/>
      <c r="D35" s="73"/>
      <c r="E35" s="73"/>
      <c r="F35" s="73"/>
      <c r="G35" s="73"/>
      <c r="H35" s="72"/>
      <c r="I35" s="72"/>
      <c r="J35" s="41"/>
      <c r="K35" s="108"/>
      <c r="L35" s="72"/>
    </row>
    <row r="36" spans="1:12" s="44" customFormat="1" x14ac:dyDescent="0.2">
      <c r="A36" s="41"/>
      <c r="B36" s="153"/>
      <c r="C36" s="73"/>
      <c r="D36" s="73"/>
      <c r="E36" s="73"/>
      <c r="F36" s="73"/>
      <c r="G36" s="73"/>
      <c r="H36" s="72"/>
      <c r="I36" s="72"/>
      <c r="J36" s="41"/>
      <c r="K36" s="72"/>
      <c r="L36" s="72"/>
    </row>
    <row r="37" spans="1:12" s="44" customFormat="1" x14ac:dyDescent="0.2">
      <c r="A37" s="41"/>
      <c r="C37" s="72"/>
      <c r="D37" s="72"/>
      <c r="E37" s="72"/>
      <c r="F37" s="72"/>
      <c r="G37" s="72"/>
      <c r="H37" s="72"/>
      <c r="I37" s="72"/>
      <c r="J37" s="41"/>
      <c r="K37" s="72"/>
      <c r="L37" s="72"/>
    </row>
    <row r="38" spans="1:12" s="44" customFormat="1" x14ac:dyDescent="0.2">
      <c r="A38" s="41"/>
      <c r="C38" s="72"/>
      <c r="D38" s="72"/>
      <c r="E38" s="72"/>
      <c r="F38" s="72"/>
      <c r="G38" s="72"/>
      <c r="H38" s="72"/>
      <c r="I38" s="72"/>
      <c r="J38" s="41"/>
      <c r="K38" s="72"/>
      <c r="L38" s="72"/>
    </row>
    <row r="39" spans="1:12" s="44" customFormat="1" x14ac:dyDescent="0.2">
      <c r="A39" s="41"/>
      <c r="C39" s="41"/>
      <c r="D39" s="41"/>
      <c r="E39" s="41"/>
      <c r="F39" s="41"/>
      <c r="G39" s="41"/>
      <c r="H39" s="41"/>
      <c r="I39" s="41"/>
      <c r="J39" s="41"/>
      <c r="K39" s="72"/>
      <c r="L39" s="72"/>
    </row>
    <row r="40" spans="1:12" s="44" customFormat="1" x14ac:dyDescent="0.2">
      <c r="A40" s="41"/>
      <c r="C40" s="41"/>
      <c r="D40" s="41"/>
      <c r="E40" s="41"/>
      <c r="F40" s="41"/>
      <c r="G40" s="41"/>
      <c r="H40" s="41"/>
      <c r="I40" s="41"/>
      <c r="J40" s="41"/>
      <c r="K40" s="72"/>
      <c r="L40" s="72"/>
    </row>
    <row r="41" spans="1:12" s="44" customFormat="1" x14ac:dyDescent="0.2">
      <c r="A41" s="41"/>
      <c r="C41" s="41"/>
      <c r="D41" s="41"/>
      <c r="E41" s="41"/>
      <c r="F41" s="41"/>
      <c r="G41" s="41"/>
      <c r="H41" s="41"/>
      <c r="I41" s="41"/>
      <c r="J41" s="41"/>
      <c r="K41" s="72"/>
      <c r="L41" s="72"/>
    </row>
    <row r="42" spans="1:12" s="44" customFormat="1" x14ac:dyDescent="0.2">
      <c r="A42" s="41"/>
      <c r="C42" s="41"/>
      <c r="D42" s="41"/>
      <c r="E42" s="41"/>
      <c r="F42" s="41"/>
      <c r="G42" s="41"/>
      <c r="H42" s="41"/>
      <c r="I42" s="41"/>
      <c r="J42" s="41"/>
      <c r="K42" s="72"/>
      <c r="L42" s="72"/>
    </row>
    <row r="43" spans="1:12" s="44" customFormat="1" x14ac:dyDescent="0.2">
      <c r="A43" s="41"/>
      <c r="C43" s="41"/>
      <c r="D43" s="41"/>
      <c r="E43" s="41"/>
      <c r="F43" s="41"/>
      <c r="G43" s="41"/>
      <c r="H43" s="41"/>
      <c r="I43" s="41"/>
      <c r="J43" s="41"/>
      <c r="K43" s="72"/>
      <c r="L43" s="72"/>
    </row>
  </sheetData>
  <mergeCells count="3">
    <mergeCell ref="B8:J8"/>
    <mergeCell ref="A3:J3"/>
    <mergeCell ref="A4:J4"/>
  </mergeCells>
  <pageMargins left="1" right="1" top="1" bottom="1" header="0.3" footer="0.3"/>
  <pageSetup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</vt:lpstr>
      <vt:lpstr>A&amp;G Credit</vt:lpstr>
      <vt:lpstr>Forecast Costs &amp; Credits</vt:lpstr>
      <vt:lpstr>Net Forecast Costs</vt:lpstr>
      <vt:lpstr>Actual O-U by Rev Class</vt:lpstr>
      <vt:lpstr>Rev Difference by Rev Class</vt:lpstr>
      <vt:lpstr>TCA factor calc</vt:lpstr>
    </vt:vector>
  </TitlesOfParts>
  <Company>MidAmerican Energy Holdings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2014-05-08T14:42:00Z</dcterms:created>
  <dc:creator>Early, Megan M</dc:creator>
  <cp:lastModifiedBy>Bentz, Kallie M</cp:lastModifiedBy>
  <cp:lastPrinted>2018-11-19T19:47:17Z</cp:lastPrinted>
  <dcterms:modified xsi:type="dcterms:W3CDTF">2020-02-13T16:53:23Z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