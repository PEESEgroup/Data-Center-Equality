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>
    <mc:Choice Requires="x15">
      <x15ac:absPath xmlns:x15ac="http://schemas.microsoft.com/office/spreadsheetml/2010/11/ac" url="W:\Regulated Pricing\Rates and Riders\Iowa\IA TCA\TCA annual reconciliation &amp; new factor calc\2020\02.15.2021 Filing\"/>
    </mc:Choice>
  </mc:AlternateContent>
  <xr:revisionPtr revIDLastSave="0" documentId="8_{3B93E9D5-75CB-49BD-B601-DB8EC7FC7AE4}" xr6:coauthVersionLast="45" xr6:coauthVersionMax="45" xr10:uidLastSave="{00000000-0000-0000-0000-000000000000}"/>
  <bookViews>
    <workbookView xWindow="28680" yWindow="-120" windowWidth="29040" windowHeight="16440" tabRatio="781" xr2:uid="{00000000-000D-0000-FFFF-FFFF00000000}"/>
  </bookViews>
  <sheets>
    <sheet name="Sales" sheetId="14" r:id="rId1"/>
    <sheet name="A&amp;G Credit" sheetId="9" r:id="rId2"/>
    <sheet name="Forecast Costs &amp; Credits" sheetId="1" r:id="rId3"/>
    <sheet name="Net Forecast Costs" sheetId="6" r:id="rId4"/>
    <sheet name="Actual O-U by Rev Class" sheetId="10" r:id="rId5"/>
    <sheet name="Rev Difference by Rev Class" sheetId="12" r:id="rId6"/>
    <sheet name="TCA factor calc" sheetId="11" r:id="rId7"/>
  </sheets>
  <externalReferences>
    <externalReference r:id="rId8"/>
    <externalReference r:id="rId9"/>
    <externalReference r:id="rId10"/>
  </externalReferences>
  <definedNames>
    <definedName name="AlocList" localSheetId="6">'[1]Functional Alloc'!$A$4:$A$35</definedName>
    <definedName name="AlocList">'[2]Functional Alloc'!$A$4:$A$35</definedName>
    <definedName name="AlocTable" localSheetId="6">'[1]Functional Alloc'!$A$4:$K$35</definedName>
    <definedName name="AlocTable">'[2]Functional Alloc'!$A$4:$K$35</definedName>
    <definedName name="Recover" localSheetId="6">[3]Macro1!$A$1734</definedName>
    <definedName name="Recover">[3]Macro1!$A$1734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7" i="10" l="1"/>
  <c r="N14" i="14" l="1"/>
  <c r="P14" i="10" l="1"/>
  <c r="F14" i="10"/>
  <c r="G14" i="10" s="1"/>
  <c r="H14" i="10" s="1"/>
  <c r="I14" i="10" s="1"/>
  <c r="J14" i="10" s="1"/>
  <c r="K14" i="10" s="1"/>
  <c r="L14" i="10" s="1"/>
  <c r="M14" i="10" s="1"/>
  <c r="N14" i="10" s="1"/>
  <c r="O14" i="10" s="1"/>
  <c r="E14" i="10"/>
  <c r="D14" i="10"/>
  <c r="C14" i="10"/>
  <c r="H14" i="11" l="1"/>
  <c r="H13" i="11"/>
  <c r="G14" i="11"/>
  <c r="G13" i="11"/>
  <c r="E12" i="11"/>
  <c r="D14" i="11"/>
  <c r="C12" i="11"/>
  <c r="C12" i="12"/>
  <c r="O13" i="6"/>
  <c r="E13" i="6"/>
  <c r="F13" i="6"/>
  <c r="G13" i="6"/>
  <c r="H13" i="6"/>
  <c r="I13" i="6" s="1"/>
  <c r="J13" i="6" s="1"/>
  <c r="K13" i="6" s="1"/>
  <c r="L13" i="6" s="1"/>
  <c r="M13" i="6" s="1"/>
  <c r="N13" i="6" s="1"/>
  <c r="D13" i="6"/>
  <c r="C13" i="6"/>
  <c r="O13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D13" i="1"/>
  <c r="C13" i="1"/>
  <c r="B10" i="9"/>
  <c r="B21" i="9"/>
  <c r="B20" i="9"/>
  <c r="A4" i="9"/>
  <c r="C10" i="14"/>
  <c r="P19" i="14" s="1"/>
  <c r="G14" i="14"/>
  <c r="G15" i="14" s="1"/>
  <c r="G16" i="14" l="1"/>
  <c r="I29" i="14"/>
  <c r="K10" i="14"/>
  <c r="Q10" i="14" s="1"/>
  <c r="Q19" i="14"/>
  <c r="A4" i="14"/>
  <c r="P20" i="14"/>
  <c r="R20" i="14"/>
  <c r="P13" i="14" s="1"/>
  <c r="H29" i="14"/>
  <c r="K14" i="14" s="1"/>
  <c r="O15" i="1"/>
  <c r="C17" i="9"/>
  <c r="C29" i="1" s="1"/>
  <c r="C21" i="1"/>
  <c r="D21" i="1"/>
  <c r="E21" i="1"/>
  <c r="F21" i="1"/>
  <c r="G21" i="1"/>
  <c r="H29" i="1"/>
  <c r="H21" i="1"/>
  <c r="I21" i="1"/>
  <c r="J29" i="1"/>
  <c r="J21" i="1"/>
  <c r="K21" i="1"/>
  <c r="L21" i="1"/>
  <c r="M21" i="1"/>
  <c r="N21" i="1"/>
  <c r="H31" i="14"/>
  <c r="L14" i="14" s="1"/>
  <c r="A4" i="6"/>
  <c r="P22" i="14"/>
  <c r="R22" i="14" s="1"/>
  <c r="P15" i="14" s="1"/>
  <c r="P21" i="14"/>
  <c r="R21" i="14" s="1"/>
  <c r="P14" i="14" s="1"/>
  <c r="D29" i="6"/>
  <c r="C29" i="6"/>
  <c r="C20" i="6"/>
  <c r="D20" i="6"/>
  <c r="P56" i="10"/>
  <c r="P51" i="10"/>
  <c r="P46" i="10"/>
  <c r="P41" i="10"/>
  <c r="P36" i="10"/>
  <c r="P31" i="10"/>
  <c r="P26" i="10"/>
  <c r="P21" i="10"/>
  <c r="P16" i="10"/>
  <c r="O19" i="1"/>
  <c r="A4" i="11"/>
  <c r="A4" i="12"/>
  <c r="A4" i="10"/>
  <c r="A4" i="1"/>
  <c r="P17" i="10"/>
  <c r="P22" i="10"/>
  <c r="P27" i="10"/>
  <c r="P32" i="10"/>
  <c r="P37" i="10"/>
  <c r="P42" i="10"/>
  <c r="P47" i="10"/>
  <c r="P52" i="10"/>
  <c r="P15" i="10"/>
  <c r="P20" i="10"/>
  <c r="P25" i="10"/>
  <c r="P30" i="10"/>
  <c r="P35" i="10"/>
  <c r="P40" i="10"/>
  <c r="P45" i="10"/>
  <c r="P50" i="10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21" i="12"/>
  <c r="A22" i="12" s="1"/>
  <c r="A23" i="12" s="1"/>
  <c r="A24" i="12" s="1"/>
  <c r="A26" i="12" s="1"/>
  <c r="A27" i="12" s="1"/>
  <c r="A28" i="12" s="1"/>
  <c r="A29" i="12" s="1"/>
  <c r="A31" i="12" s="1"/>
  <c r="A32" i="12" s="1"/>
  <c r="A33" i="12" s="1"/>
  <c r="A34" i="12" s="1"/>
  <c r="A36" i="12" s="1"/>
  <c r="A37" i="12" s="1"/>
  <c r="A38" i="12" s="1"/>
  <c r="A39" i="12" s="1"/>
  <c r="A41" i="12" s="1"/>
  <c r="A42" i="12" s="1"/>
  <c r="A43" i="12" s="1"/>
  <c r="A44" i="12" s="1"/>
  <c r="A46" i="12" s="1"/>
  <c r="A47" i="12" s="1"/>
  <c r="A48" i="12" s="1"/>
  <c r="A49" i="12" s="1"/>
  <c r="A51" i="12" s="1"/>
  <c r="A52" i="12" s="1"/>
  <c r="A53" i="12" s="1"/>
  <c r="A54" i="12" s="1"/>
  <c r="A56" i="12" s="1"/>
  <c r="P58" i="10"/>
  <c r="O20" i="1"/>
  <c r="O18" i="1"/>
  <c r="O17" i="1"/>
  <c r="O16" i="1"/>
  <c r="A44" i="6"/>
  <c r="A45" i="6"/>
  <c r="A46" i="6" s="1"/>
  <c r="A47" i="6" s="1"/>
  <c r="A48" i="6" s="1"/>
  <c r="A49" i="6" s="1"/>
  <c r="A50" i="6" s="1"/>
  <c r="A51" i="6" s="1"/>
  <c r="A17" i="12"/>
  <c r="A18" i="12"/>
  <c r="N15" i="14"/>
  <c r="N20" i="14" s="1"/>
  <c r="N21" i="14" s="1"/>
  <c r="N22" i="14" s="1"/>
  <c r="F14" i="14"/>
  <c r="F15" i="14"/>
  <c r="F16" i="14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9" i="14" s="1"/>
  <c r="F31" i="14" s="1"/>
  <c r="A14" i="14"/>
  <c r="A15" i="14"/>
  <c r="A16" i="14"/>
  <c r="A17" i="14" s="1"/>
  <c r="A18" i="14" s="1"/>
  <c r="A19" i="14" s="1"/>
  <c r="A20" i="14" s="1"/>
  <c r="A21" i="14" s="1"/>
  <c r="P18" i="10"/>
  <c r="D17" i="11" s="1"/>
  <c r="C21" i="14"/>
  <c r="D14" i="14" s="1"/>
  <c r="A18" i="11"/>
  <c r="A19" i="11"/>
  <c r="A20" i="11"/>
  <c r="A21" i="11" s="1"/>
  <c r="A22" i="11" s="1"/>
  <c r="A23" i="11" s="1"/>
  <c r="A24" i="11" s="1"/>
  <c r="A25" i="11" s="1"/>
  <c r="P53" i="10"/>
  <c r="D24" i="11"/>
  <c r="P33" i="10"/>
  <c r="D20" i="11" s="1"/>
  <c r="P28" i="10"/>
  <c r="D19" i="11" s="1"/>
  <c r="P48" i="10"/>
  <c r="D23" i="11"/>
  <c r="P43" i="10"/>
  <c r="D22" i="11" s="1"/>
  <c r="P38" i="10"/>
  <c r="D21" i="11" s="1"/>
  <c r="P23" i="10"/>
  <c r="D18" i="11" s="1"/>
  <c r="A16" i="1"/>
  <c r="A17" i="1" s="1"/>
  <c r="A18" i="1" s="1"/>
  <c r="A19" i="1" s="1"/>
  <c r="A20" i="1" s="1"/>
  <c r="A21" i="1" s="1"/>
  <c r="A29" i="1" s="1"/>
  <c r="I22" i="6"/>
  <c r="E22" i="6"/>
  <c r="F22" i="6"/>
  <c r="G22" i="6"/>
  <c r="H22" i="6"/>
  <c r="J22" i="6"/>
  <c r="K22" i="6"/>
  <c r="L22" i="6"/>
  <c r="M22" i="6"/>
  <c r="N22" i="6"/>
  <c r="D22" i="6"/>
  <c r="C52" i="6"/>
  <c r="L29" i="1" l="1"/>
  <c r="N29" i="1"/>
  <c r="P55" i="10"/>
  <c r="R13" i="14"/>
  <c r="H18" i="11" s="1"/>
  <c r="D19" i="14"/>
  <c r="L19" i="14" s="1"/>
  <c r="G23" i="11" s="1"/>
  <c r="D20" i="14"/>
  <c r="L20" i="14" s="1"/>
  <c r="G24" i="11" s="1"/>
  <c r="G17" i="14"/>
  <c r="G18" i="14" s="1"/>
  <c r="G19" i="14" s="1"/>
  <c r="G20" i="14" s="1"/>
  <c r="G21" i="14" s="1"/>
  <c r="G22" i="14" s="1"/>
  <c r="G23" i="14" s="1"/>
  <c r="G24" i="14" s="1"/>
  <c r="G25" i="14" s="1"/>
  <c r="D25" i="11"/>
  <c r="K19" i="14"/>
  <c r="C47" i="12" s="1"/>
  <c r="D48" i="12" s="1"/>
  <c r="I14" i="6"/>
  <c r="I23" i="6" s="1"/>
  <c r="I34" i="6" s="1"/>
  <c r="G14" i="6"/>
  <c r="G23" i="6" s="1"/>
  <c r="G35" i="6" s="1"/>
  <c r="F29" i="1"/>
  <c r="F14" i="6" s="1"/>
  <c r="F23" i="6" s="1"/>
  <c r="D29" i="1"/>
  <c r="Q13" i="14"/>
  <c r="C22" i="12" s="1"/>
  <c r="D23" i="12" s="1"/>
  <c r="D14" i="6"/>
  <c r="D23" i="6" s="1"/>
  <c r="D34" i="6" s="1"/>
  <c r="D16" i="14"/>
  <c r="K20" i="14"/>
  <c r="C52" i="12" s="1"/>
  <c r="D53" i="12" s="1"/>
  <c r="M29" i="1"/>
  <c r="M14" i="6" s="1"/>
  <c r="M23" i="6" s="1"/>
  <c r="K29" i="1"/>
  <c r="K14" i="6" s="1"/>
  <c r="K23" i="6" s="1"/>
  <c r="I29" i="1"/>
  <c r="G29" i="1"/>
  <c r="C14" i="6"/>
  <c r="C23" i="6" s="1"/>
  <c r="C32" i="6" s="1"/>
  <c r="D18" i="14"/>
  <c r="D17" i="14"/>
  <c r="L17" i="14" s="1"/>
  <c r="R15" i="14" s="1"/>
  <c r="H21" i="11" s="1"/>
  <c r="D15" i="14"/>
  <c r="D13" i="14"/>
  <c r="N14" i="6"/>
  <c r="N23" i="6" s="1"/>
  <c r="N32" i="6" s="1"/>
  <c r="L14" i="6"/>
  <c r="L23" i="6" s="1"/>
  <c r="L37" i="6" s="1"/>
  <c r="J14" i="6"/>
  <c r="J23" i="6" s="1"/>
  <c r="J33" i="6" s="1"/>
  <c r="H14" i="6"/>
  <c r="H23" i="6" s="1"/>
  <c r="H37" i="6" s="1"/>
  <c r="E29" i="1"/>
  <c r="O29" i="1" s="1"/>
  <c r="K17" i="14"/>
  <c r="Q15" i="14" s="1"/>
  <c r="C37" i="12" s="1"/>
  <c r="D38" i="12" s="1"/>
  <c r="O21" i="1"/>
  <c r="H36" i="6" l="1"/>
  <c r="I36" i="6"/>
  <c r="L35" i="6"/>
  <c r="J31" i="6"/>
  <c r="I32" i="6"/>
  <c r="I38" i="6"/>
  <c r="I33" i="6"/>
  <c r="H33" i="6"/>
  <c r="D31" i="6"/>
  <c r="C35" i="6"/>
  <c r="C33" i="6"/>
  <c r="L33" i="6"/>
  <c r="L34" i="6"/>
  <c r="G31" i="6"/>
  <c r="L38" i="6"/>
  <c r="L36" i="6"/>
  <c r="L32" i="6"/>
  <c r="L31" i="6"/>
  <c r="F34" i="6"/>
  <c r="F38" i="6"/>
  <c r="F33" i="6"/>
  <c r="F35" i="6"/>
  <c r="F37" i="6"/>
  <c r="F36" i="6"/>
  <c r="F31" i="6"/>
  <c r="F32" i="6"/>
  <c r="D32" i="6"/>
  <c r="I35" i="6"/>
  <c r="C31" i="6"/>
  <c r="G34" i="6"/>
  <c r="I31" i="6"/>
  <c r="H31" i="6"/>
  <c r="I37" i="6"/>
  <c r="H38" i="6"/>
  <c r="C36" i="6"/>
  <c r="J35" i="6"/>
  <c r="J38" i="6"/>
  <c r="J34" i="6"/>
  <c r="J36" i="6"/>
  <c r="J32" i="6"/>
  <c r="J37" i="6"/>
  <c r="N34" i="6"/>
  <c r="G26" i="14"/>
  <c r="G27" i="14" s="1"/>
  <c r="H10" i="14"/>
  <c r="M32" i="6"/>
  <c r="M35" i="6"/>
  <c r="M38" i="6"/>
  <c r="M33" i="6"/>
  <c r="M37" i="6"/>
  <c r="M36" i="6"/>
  <c r="M34" i="6"/>
  <c r="M31" i="6"/>
  <c r="K35" i="6"/>
  <c r="K38" i="6"/>
  <c r="K36" i="6"/>
  <c r="K34" i="6"/>
  <c r="K32" i="6"/>
  <c r="K37" i="6"/>
  <c r="K33" i="6"/>
  <c r="K31" i="6"/>
  <c r="G32" i="6"/>
  <c r="G38" i="6"/>
  <c r="N38" i="6"/>
  <c r="N36" i="6"/>
  <c r="E14" i="6"/>
  <c r="E23" i="6" s="1"/>
  <c r="E35" i="6" s="1"/>
  <c r="K13" i="14"/>
  <c r="C17" i="12" s="1"/>
  <c r="D18" i="12" s="1"/>
  <c r="L13" i="14"/>
  <c r="D21" i="14"/>
  <c r="N37" i="6"/>
  <c r="L18" i="14"/>
  <c r="G22" i="11" s="1"/>
  <c r="K18" i="14"/>
  <c r="C42" i="12" s="1"/>
  <c r="D43" i="12" s="1"/>
  <c r="D37" i="6"/>
  <c r="O14" i="6"/>
  <c r="D33" i="6"/>
  <c r="D35" i="6"/>
  <c r="H35" i="6"/>
  <c r="H32" i="6"/>
  <c r="C37" i="6"/>
  <c r="C34" i="6"/>
  <c r="G37" i="6"/>
  <c r="G36" i="6"/>
  <c r="N35" i="6"/>
  <c r="N33" i="6"/>
  <c r="K15" i="14"/>
  <c r="C27" i="12" s="1"/>
  <c r="D28" i="12" s="1"/>
  <c r="L15" i="14"/>
  <c r="G19" i="11" s="1"/>
  <c r="D38" i="6"/>
  <c r="D36" i="6"/>
  <c r="H34" i="6"/>
  <c r="C38" i="6"/>
  <c r="G33" i="6"/>
  <c r="N31" i="6"/>
  <c r="K16" i="14"/>
  <c r="L16" i="14"/>
  <c r="R14" i="14" s="1"/>
  <c r="H20" i="11" s="1"/>
  <c r="L39" i="6" l="1"/>
  <c r="E37" i="6"/>
  <c r="E38" i="6"/>
  <c r="O38" i="6"/>
  <c r="C24" i="11" s="1"/>
  <c r="J39" i="6"/>
  <c r="E36" i="12"/>
  <c r="E37" i="12" s="1"/>
  <c r="E38" i="12" s="1"/>
  <c r="F39" i="12" s="1"/>
  <c r="E21" i="11" s="1"/>
  <c r="I39" i="6"/>
  <c r="F39" i="6"/>
  <c r="E33" i="6"/>
  <c r="E26" i="12" s="1"/>
  <c r="E27" i="12" s="1"/>
  <c r="E28" i="12" s="1"/>
  <c r="F29" i="12" s="1"/>
  <c r="E19" i="11" s="1"/>
  <c r="K39" i="6"/>
  <c r="E51" i="12"/>
  <c r="E52" i="12" s="1"/>
  <c r="E53" i="12" s="1"/>
  <c r="F54" i="12" s="1"/>
  <c r="E24" i="11" s="1"/>
  <c r="E36" i="6"/>
  <c r="E41" i="12" s="1"/>
  <c r="E42" i="12" s="1"/>
  <c r="E43" i="12" s="1"/>
  <c r="F44" i="12" s="1"/>
  <c r="E22" i="11" s="1"/>
  <c r="E31" i="6"/>
  <c r="E16" i="12" s="1"/>
  <c r="E17" i="12" s="1"/>
  <c r="E18" i="12" s="1"/>
  <c r="F19" i="12" s="1"/>
  <c r="E17" i="11" s="1"/>
  <c r="E46" i="12"/>
  <c r="E47" i="12" s="1"/>
  <c r="E48" i="12" s="1"/>
  <c r="F49" i="12" s="1"/>
  <c r="E23" i="11" s="1"/>
  <c r="G39" i="6"/>
  <c r="N39" i="6"/>
  <c r="C39" i="6"/>
  <c r="H39" i="6"/>
  <c r="O35" i="6"/>
  <c r="C21" i="11" s="1"/>
  <c r="F21" i="11" s="1"/>
  <c r="J21" i="11" s="1"/>
  <c r="O36" i="6"/>
  <c r="C22" i="11" s="1"/>
  <c r="O33" i="6"/>
  <c r="C19" i="11" s="1"/>
  <c r="D39" i="6"/>
  <c r="M39" i="6"/>
  <c r="Q14" i="14"/>
  <c r="C32" i="12" s="1"/>
  <c r="D33" i="12" s="1"/>
  <c r="I31" i="14"/>
  <c r="L10" i="14"/>
  <c r="R10" i="14" s="1"/>
  <c r="K21" i="14"/>
  <c r="G17" i="11"/>
  <c r="L21" i="14"/>
  <c r="O23" i="6"/>
  <c r="E32" i="6"/>
  <c r="E34" i="6"/>
  <c r="E31" i="12" s="1"/>
  <c r="O37" i="6"/>
  <c r="C23" i="11" s="1"/>
  <c r="F19" i="11" l="1"/>
  <c r="I19" i="11" s="1"/>
  <c r="F24" i="11"/>
  <c r="I24" i="11" s="1"/>
  <c r="O31" i="6"/>
  <c r="C17" i="11" s="1"/>
  <c r="F17" i="11" s="1"/>
  <c r="F23" i="11"/>
  <c r="I23" i="11" s="1"/>
  <c r="F22" i="11"/>
  <c r="I22" i="11" s="1"/>
  <c r="E32" i="12"/>
  <c r="E33" i="12" s="1"/>
  <c r="F34" i="12" s="1"/>
  <c r="E20" i="11" s="1"/>
  <c r="E21" i="12"/>
  <c r="E22" i="12" s="1"/>
  <c r="E23" i="12" s="1"/>
  <c r="F24" i="12" s="1"/>
  <c r="O32" i="6"/>
  <c r="C18" i="11" s="1"/>
  <c r="E39" i="6"/>
  <c r="O39" i="6" s="1"/>
  <c r="O34" i="6"/>
  <c r="C20" i="11" s="1"/>
  <c r="F20" i="11" l="1"/>
  <c r="J20" i="11" s="1"/>
  <c r="C25" i="11"/>
  <c r="E18" i="11"/>
  <c r="E25" i="11" s="1"/>
  <c r="F56" i="12"/>
  <c r="I17" i="11"/>
  <c r="F18" i="11" l="1"/>
  <c r="J18" i="11" l="1"/>
  <c r="F25" i="11"/>
</calcChain>
</file>

<file path=xl/sharedStrings.xml><?xml version="1.0" encoding="utf-8"?>
<sst xmlns="http://schemas.openxmlformats.org/spreadsheetml/2006/main" count="363" uniqueCount="162">
  <si>
    <t>Total Company Electric Operations</t>
  </si>
  <si>
    <t>Schedule 10 Charge (MISO Adder)</t>
  </si>
  <si>
    <t>Schedule 10-FERC Charge</t>
  </si>
  <si>
    <t>Schedule 26 Charge</t>
  </si>
  <si>
    <t>Schedule 26-A Charge</t>
  </si>
  <si>
    <t>Description</t>
  </si>
  <si>
    <t>TOTAL</t>
  </si>
  <si>
    <t>Line No.</t>
  </si>
  <si>
    <t>Schedule 9 Charge</t>
  </si>
  <si>
    <t>NET MISO COSTS</t>
  </si>
  <si>
    <t>Source:</t>
  </si>
  <si>
    <t>Residential</t>
  </si>
  <si>
    <t>Small General Service Energy</t>
  </si>
  <si>
    <t>Small General Service Demand</t>
  </si>
  <si>
    <t>Individual Contract Rates</t>
  </si>
  <si>
    <t>Water Pumping Service</t>
  </si>
  <si>
    <t>Lighting</t>
  </si>
  <si>
    <t>IA ALLOCATION OF NET MISO COSTS</t>
  </si>
  <si>
    <t>IA ALLOCATION</t>
  </si>
  <si>
    <t>Large General Service &amp; Substation</t>
  </si>
  <si>
    <t>Traffic Control Service</t>
  </si>
  <si>
    <t>Residential - COSTS</t>
  </si>
  <si>
    <t>SGS Demand - COSTS</t>
  </si>
  <si>
    <t>Residential - REVENUE</t>
  </si>
  <si>
    <t>SGS Demand - REVENUE</t>
  </si>
  <si>
    <t>SGS Energy - COSTS</t>
  </si>
  <si>
    <t>SGS Energy - REVENUE</t>
  </si>
  <si>
    <t>LGS &amp; SS - COSTS</t>
  </si>
  <si>
    <t>ICR - COSTS</t>
  </si>
  <si>
    <t>ICR - REVENUE</t>
  </si>
  <si>
    <t>LGS &amp; SS - REVENUE</t>
  </si>
  <si>
    <t>Traffic Control - COSTS</t>
  </si>
  <si>
    <t>Traffic Control - REVENUE</t>
  </si>
  <si>
    <t>Water Pumping - COSTS</t>
  </si>
  <si>
    <t>Water Pumping - REVENUE</t>
  </si>
  <si>
    <t>Lighting - COSTS</t>
  </si>
  <si>
    <t>Lighting - REVENUE</t>
  </si>
  <si>
    <t>TOTAL - COSTS</t>
  </si>
  <si>
    <t>TOTAL - REVENUE</t>
  </si>
  <si>
    <t>TOTAL (Under-)/Over-collection</t>
  </si>
  <si>
    <t>(Under-)/Over-collection</t>
  </si>
  <si>
    <t>Value</t>
  </si>
  <si>
    <t>Rate Template Attachment MM Annual Allocation Factor for Other Expense</t>
  </si>
  <si>
    <t>MidAmerican Energy Ratio as a Percentage of Total MISO Energy</t>
  </si>
  <si>
    <t>Allocation of Other Expenses to MidAmerican</t>
  </si>
  <si>
    <t>12-CP ALLOCATORS:</t>
  </si>
  <si>
    <t>MidAmerican TCA Transmission Charges</t>
  </si>
  <si>
    <t xml:space="preserve">Line No. </t>
  </si>
  <si>
    <t>(a)</t>
  </si>
  <si>
    <t>(b)</t>
  </si>
  <si>
    <t>(c)</t>
  </si>
  <si>
    <t>(d)</t>
  </si>
  <si>
    <t>(e)</t>
  </si>
  <si>
    <t>(f)</t>
  </si>
  <si>
    <t>(g)</t>
  </si>
  <si>
    <t>Total</t>
  </si>
  <si>
    <t>Forecasted A&amp;G in MISO rates (CREDIT)</t>
  </si>
  <si>
    <t>Sources:</t>
  </si>
  <si>
    <t>SGS Energy - KWH SALES</t>
  </si>
  <si>
    <t>FORECAST KWH SALES</t>
  </si>
  <si>
    <t>Grand Total</t>
  </si>
  <si>
    <t>kWh</t>
  </si>
  <si>
    <t>%</t>
  </si>
  <si>
    <t xml:space="preserve">Residential </t>
  </si>
  <si>
    <t xml:space="preserve">Lighting </t>
  </si>
  <si>
    <t>ACTUAL KWH SALES</t>
  </si>
  <si>
    <t>Residential - KWH SALES</t>
  </si>
  <si>
    <t>SGS Demand - KW SALES</t>
  </si>
  <si>
    <t>LGS &amp; SS - KW SALES</t>
  </si>
  <si>
    <t>ICR - KW SALES</t>
  </si>
  <si>
    <t>Traffic Control - KWH SALES</t>
  </si>
  <si>
    <t>Water Pumping - KWH SALES</t>
  </si>
  <si>
    <t>Lighting - KWH SALES</t>
  </si>
  <si>
    <t>IOWA ONLY</t>
  </si>
  <si>
    <t>IOWA ONLY by Revenue Class</t>
  </si>
  <si>
    <t>TCA COSTS AND REVENUE</t>
  </si>
  <si>
    <t>TCA FACTOR CALCULATION</t>
  </si>
  <si>
    <t>(h)</t>
  </si>
  <si>
    <t>FORECAST KW SALES</t>
  </si>
  <si>
    <t>Hours</t>
  </si>
  <si>
    <t>kW</t>
  </si>
  <si>
    <t>SGSD</t>
  </si>
  <si>
    <t>SGSE</t>
  </si>
  <si>
    <t>LGS &amp; SS</t>
  </si>
  <si>
    <t>ICR</t>
  </si>
  <si>
    <t>Traffic Controls</t>
  </si>
  <si>
    <t>Water Pumping</t>
  </si>
  <si>
    <t>Allocator for forecasts</t>
  </si>
  <si>
    <t>(i)</t>
  </si>
  <si>
    <t>(j)</t>
  </si>
  <si>
    <t>(k)</t>
  </si>
  <si>
    <t>(l)</t>
  </si>
  <si>
    <t>(m)</t>
  </si>
  <si>
    <t>MULTI-VALUE PROJECT A&amp;G CREDIT</t>
  </si>
  <si>
    <t>MIDAMERCIAN ENERGY COMPANY</t>
  </si>
  <si>
    <t>Page 1 of 7</t>
  </si>
  <si>
    <t>Page 2 of 7</t>
  </si>
  <si>
    <t>Page 7 of 7</t>
  </si>
  <si>
    <t>Page 6 of 7</t>
  </si>
  <si>
    <t>Page 5 of 7</t>
  </si>
  <si>
    <t>Page 4 of 7</t>
  </si>
  <si>
    <t>Page 3 of 7</t>
  </si>
  <si>
    <t>Columns (d) and (e) are the allocation of total forecast sales for the period to revenue class.</t>
  </si>
  <si>
    <t>Columns (a) and (c) from Company books/forecasts.</t>
  </si>
  <si>
    <t>Line 1 * Line 2</t>
  </si>
  <si>
    <t>Company A&amp;E allocator for IA</t>
  </si>
  <si>
    <t>4-11</t>
  </si>
  <si>
    <t>Line 3 * revenue class 12-CP allocator</t>
  </si>
  <si>
    <t>Columns (g) and (h), Lines 1-3 are the forecast demand sales for the period * hours.</t>
  </si>
  <si>
    <t>KWH SALES lines are from Page 1, Column (d)</t>
  </si>
  <si>
    <t>KW SALES lines are from Page 1, Column (g)</t>
  </si>
  <si>
    <t>COSTS lines are the sum of Page 4, Columns (a) - (c) for each revenue class - Lines 4-11</t>
  </si>
  <si>
    <t>Column (a) is from Page 4, Column (m), Lines 4-11</t>
  </si>
  <si>
    <t>MISO COSTS</t>
  </si>
  <si>
    <t>Forecast</t>
  </si>
  <si>
    <t>MISO CREDITS</t>
  </si>
  <si>
    <t>Line 1 x Line 2</t>
  </si>
  <si>
    <t>(n)</t>
  </si>
  <si>
    <t>Over/Under</t>
  </si>
  <si>
    <t>Balance at</t>
  </si>
  <si>
    <t>Column (g) Lines 4-6 from Company books.</t>
  </si>
  <si>
    <t>Current TCA</t>
  </si>
  <si>
    <t>Factor</t>
  </si>
  <si>
    <t>Line</t>
  </si>
  <si>
    <t>No.</t>
  </si>
  <si>
    <t>Transmission</t>
  </si>
  <si>
    <t>Expense</t>
  </si>
  <si>
    <t>Over/(Under)</t>
  </si>
  <si>
    <t>Jan-Mar</t>
  </si>
  <si>
    <t>Recoverable</t>
  </si>
  <si>
    <t>Forecasted</t>
  </si>
  <si>
    <t>Demand (kW)</t>
  </si>
  <si>
    <t>Sales (kWh)</t>
  </si>
  <si>
    <t>Cumulative</t>
  </si>
  <si>
    <t>Balance</t>
  </si>
  <si>
    <t>Column (b) is from Page 5, Column (n), "(Under-)/Over-collection" lines</t>
  </si>
  <si>
    <t>$ per kWh</t>
  </si>
  <si>
    <t>TCA Rate</t>
  </si>
  <si>
    <t>$ per kW</t>
  </si>
  <si>
    <t>Columns (a) - (b) are ACTUAL, columns (c) - (l) are FORECAST</t>
  </si>
  <si>
    <t>Revenue</t>
  </si>
  <si>
    <t>Difference</t>
  </si>
  <si>
    <t>Sales</t>
  </si>
  <si>
    <t>(a) - (b) - (c)</t>
  </si>
  <si>
    <t>REVENUE lines, Column (b) are the SALES in Column (a) * factor in Column (b)</t>
  </si>
  <si>
    <t>REVENUE lines, Column (c) are the SALES in Column (a) * factor in Column (c)</t>
  </si>
  <si>
    <t>Column (c) is from Page 6, Column (d), "(Under-)/Over-collection" lines</t>
  </si>
  <si>
    <t>Column (e) is from Page 1, Column (e)</t>
  </si>
  <si>
    <t>Column (f) is from Page 1, Column (h)</t>
  </si>
  <si>
    <t>(d) / (e)</t>
  </si>
  <si>
    <t>(d) / (f)</t>
  </si>
  <si>
    <t>Hypothetical TCA</t>
  </si>
  <si>
    <t>JANUARY THROUGH MARCH REVENUE DIFFERENCE</t>
  </si>
  <si>
    <t>IOWA ONLY Electric Operations by REVENUE CLASS</t>
  </si>
  <si>
    <t>Each month is 1/12 of Page 2, Column (a), Line 3.</t>
  </si>
  <si>
    <t>MISO MVP Distributions</t>
  </si>
  <si>
    <t>Page 3, Line 7 less Line 8.</t>
  </si>
  <si>
    <t>MISO ROE Refund - INTEREST</t>
  </si>
  <si>
    <t>Actual</t>
  </si>
  <si>
    <t>January is an actual, the remaining months are an average of the previous two years.</t>
  </si>
  <si>
    <t>Interest Expense related to the ROE refund is not factored into Over/Under calculations.  Interest is expense to MidAmerican Energy Company.</t>
  </si>
  <si>
    <t>This is the "O-U by Rev Class" tab from the monthly TCA report. Docket No. EAC-2020-0156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</si>
</sst>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[$-409]mmm\-yy;@"/>
    <numFmt numFmtId="165" formatCode="_(* #,##0_);_(* \(#,##0\);_(* &quot;-&quot;??_);_(@_)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00000"/>
    <numFmt numFmtId="170" formatCode="&quot;$&quot;#,##0.0000_);\(&quot;$&quot;#,##0.0000\)"/>
    <numFmt numFmtId="171" formatCode="0.0000000"/>
    <numFmt numFmtId="172" formatCode="0.00000"/>
    <numFmt numFmtId="173" formatCode="_(&quot;$&quot;* #,##0.00000_);_(&quot;$&quot;* \(#,##0.00000\);_(&quot;$&quot;* &quot;-&quot;??_);_(@_)"/>
    <numFmt numFmtId="174" formatCode="0.0000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9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195">
    <xf numFmtId="0" fontId="0" fillId="0" borderId="0" xfId="0"/>
    <xf numFmtId="0" fontId="4" fillId="0" borderId="0" xfId="1" applyFont="1" applyFill="1"/>
    <xf numFmtId="0" fontId="4" fillId="0" borderId="0" xfId="1" applyFont="1" applyFill="1" applyAlignment="1">
      <alignment horizontal="center"/>
    </xf>
    <xf numFmtId="0" fontId="4" fillId="0" borderId="0" xfId="1" applyFont="1" applyFill="1" applyAlignment="1"/>
    <xf numFmtId="164" fontId="7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5" fontId="4" fillId="0" borderId="0" xfId="3" applyNumberFormat="1" applyFont="1" applyFill="1"/>
    <xf numFmtId="0" fontId="7" fillId="0" borderId="0" xfId="1" applyFont="1" applyFill="1"/>
    <xf numFmtId="1" fontId="4" fillId="0" borderId="0" xfId="1" applyNumberFormat="1" applyFont="1" applyFill="1"/>
    <xf numFmtId="43" fontId="4" fillId="0" borderId="0" xfId="1" applyNumberFormat="1" applyFont="1" applyFill="1"/>
    <xf numFmtId="0" fontId="4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165" fontId="4" fillId="0" borderId="0" xfId="1" applyNumberFormat="1" applyFont="1" applyFill="1"/>
    <xf numFmtId="0" fontId="4" fillId="0" borderId="0" xfId="1" applyFont="1" applyFill="1" applyAlignment="1">
      <alignment horizontal="left" indent="2"/>
    </xf>
    <xf numFmtId="0" fontId="7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166" fontId="4" fillId="0" borderId="1" xfId="24" applyNumberFormat="1" applyFont="1" applyFill="1" applyBorder="1"/>
    <xf numFmtId="166" fontId="4" fillId="0" borderId="0" xfId="24" applyNumberFormat="1" applyFont="1" applyFill="1"/>
    <xf numFmtId="166" fontId="4" fillId="0" borderId="2" xfId="24" applyNumberFormat="1" applyFont="1" applyFill="1" applyBorder="1"/>
    <xf numFmtId="0" fontId="4" fillId="0" borderId="2" xfId="1" applyFont="1" applyFill="1" applyBorder="1" applyAlignment="1">
      <alignment horizontal="left" indent="3"/>
    </xf>
    <xf numFmtId="166" fontId="4" fillId="0" borderId="0" xfId="1" applyNumberFormat="1" applyFont="1" applyFill="1" applyBorder="1"/>
    <xf numFmtId="0" fontId="4" fillId="0" borderId="0" xfId="1" applyFont="1" applyFill="1" applyBorder="1" applyAlignment="1">
      <alignment horizontal="left" indent="3"/>
    </xf>
    <xf numFmtId="0" fontId="4" fillId="0" borderId="0" xfId="1" applyFont="1" applyFill="1" applyAlignment="1">
      <alignment horizontal="left" wrapText="1"/>
    </xf>
    <xf numFmtId="0" fontId="4" fillId="0" borderId="0" xfId="1" applyFont="1"/>
    <xf numFmtId="164" fontId="7" fillId="0" borderId="0" xfId="1" quotePrefix="1" applyNumberFormat="1" applyFont="1" applyFill="1" applyAlignment="1">
      <alignment horizontal="center"/>
    </xf>
    <xf numFmtId="170" fontId="4" fillId="0" borderId="0" xfId="3" applyNumberFormat="1" applyFont="1" applyFill="1"/>
    <xf numFmtId="0" fontId="4" fillId="0" borderId="0" xfId="1" applyFont="1" applyFill="1" applyBorder="1" applyAlignment="1">
      <alignment horizontal="left"/>
    </xf>
    <xf numFmtId="0" fontId="7" fillId="0" borderId="0" xfId="1" applyFont="1" applyFill="1" applyBorder="1"/>
    <xf numFmtId="166" fontId="4" fillId="0" borderId="1" xfId="4" applyNumberFormat="1" applyFont="1" applyFill="1" applyBorder="1" applyAlignment="1">
      <alignment horizontal="right"/>
    </xf>
    <xf numFmtId="44" fontId="4" fillId="0" borderId="0" xfId="1" applyNumberFormat="1" applyFont="1" applyFill="1"/>
    <xf numFmtId="166" fontId="4" fillId="0" borderId="0" xfId="1" applyNumberFormat="1" applyFont="1" applyFill="1"/>
    <xf numFmtId="16" fontId="4" fillId="0" borderId="0" xfId="1" quotePrefix="1" applyNumberFormat="1" applyFont="1" applyFill="1" applyAlignment="1">
      <alignment horizontal="center"/>
    </xf>
    <xf numFmtId="168" fontId="4" fillId="0" borderId="0" xfId="1" applyNumberFormat="1" applyFont="1" applyFill="1"/>
    <xf numFmtId="0" fontId="4" fillId="0" borderId="0" xfId="1" applyFont="1" applyFill="1" applyAlignment="1">
      <alignment horizontal="left" indent="3"/>
    </xf>
    <xf numFmtId="166" fontId="4" fillId="0" borderId="0" xfId="1" applyNumberFormat="1" applyFont="1" applyFill="1" applyAlignment="1">
      <alignment horizontal="center"/>
    </xf>
    <xf numFmtId="171" fontId="4" fillId="0" borderId="0" xfId="25" applyNumberFormat="1" applyFont="1" applyFill="1"/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Fill="1" applyAlignment="1">
      <alignment horizontal="right"/>
    </xf>
    <xf numFmtId="0" fontId="4" fillId="0" borderId="0" xfId="2" applyFont="1" applyFill="1" applyAlignment="1">
      <alignment horizontal="center"/>
    </xf>
    <xf numFmtId="0" fontId="4" fillId="0" borderId="3" xfId="2" applyFont="1" applyFill="1" applyBorder="1" applyAlignment="1">
      <alignment horizontal="center" wrapText="1"/>
    </xf>
    <xf numFmtId="164" fontId="4" fillId="0" borderId="0" xfId="2" applyNumberFormat="1" applyFont="1" applyFill="1" applyAlignment="1">
      <alignment horizontal="center"/>
    </xf>
    <xf numFmtId="0" fontId="4" fillId="0" borderId="0" xfId="2" applyFont="1" applyFill="1"/>
    <xf numFmtId="164" fontId="4" fillId="0" borderId="0" xfId="2" applyNumberFormat="1" applyFont="1" applyFill="1" applyAlignment="1">
      <alignment horizontal="left" indent="2"/>
    </xf>
    <xf numFmtId="0" fontId="4" fillId="0" borderId="0" xfId="1" applyFont="1" applyFill="1" applyBorder="1" applyAlignment="1"/>
    <xf numFmtId="0" fontId="7" fillId="0" borderId="0" xfId="2" applyFont="1" applyFill="1"/>
    <xf numFmtId="10" fontId="4" fillId="0" borderId="0" xfId="25" applyNumberFormat="1" applyFont="1" applyFill="1" applyAlignment="1">
      <alignment horizontal="center"/>
    </xf>
    <xf numFmtId="165" fontId="4" fillId="0" borderId="0" xfId="27" applyNumberFormat="1" applyFont="1" applyFill="1"/>
    <xf numFmtId="44" fontId="4" fillId="0" borderId="0" xfId="24" applyFont="1" applyFill="1" applyAlignment="1"/>
    <xf numFmtId="44" fontId="4" fillId="0" borderId="0" xfId="24" applyFont="1" applyFill="1"/>
    <xf numFmtId="0" fontId="4" fillId="0" borderId="0" xfId="0" applyFont="1"/>
    <xf numFmtId="0" fontId="4" fillId="0" borderId="0" xfId="48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48" applyNumberFormat="1" applyFont="1" applyFill="1" applyBorder="1" applyAlignment="1">
      <alignment wrapText="1"/>
    </xf>
    <xf numFmtId="0" fontId="4" fillId="0" borderId="0" xfId="48" applyFont="1" applyFill="1" applyBorder="1" applyAlignment="1">
      <alignment horizontal="center" wrapText="1"/>
    </xf>
    <xf numFmtId="0" fontId="0" fillId="0" borderId="0" xfId="0" applyFill="1"/>
    <xf numFmtId="0" fontId="7" fillId="0" borderId="0" xfId="1" applyFont="1" applyFill="1" applyAlignment="1">
      <alignment horizontal="center" wrapText="1"/>
    </xf>
    <xf numFmtId="0" fontId="5" fillId="0" borderId="0" xfId="2" applyFont="1" applyAlignment="1">
      <alignment horizontal="left"/>
    </xf>
    <xf numFmtId="0" fontId="5" fillId="0" borderId="0" xfId="1" applyFont="1" applyFill="1" applyAlignment="1">
      <alignment horizontal="left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1" applyFont="1" applyFill="1" applyBorder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7" fillId="0" borderId="0" xfId="1" applyFont="1" applyFill="1" applyAlignment="1">
      <alignment horizontal="center" wrapText="1"/>
    </xf>
    <xf numFmtId="0" fontId="6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165" fontId="5" fillId="0" borderId="0" xfId="27" applyNumberFormat="1" applyFont="1" applyAlignment="1">
      <alignment horizontal="center"/>
    </xf>
    <xf numFmtId="165" fontId="4" fillId="0" borderId="0" xfId="27" applyNumberFormat="1" applyFont="1" applyAlignment="1">
      <alignment horizontal="right"/>
    </xf>
    <xf numFmtId="165" fontId="4" fillId="0" borderId="0" xfId="27" applyNumberFormat="1" applyFont="1" applyAlignment="1">
      <alignment horizontal="center"/>
    </xf>
    <xf numFmtId="165" fontId="4" fillId="0" borderId="0" xfId="27" applyNumberFormat="1" applyFont="1" applyFill="1" applyAlignment="1">
      <alignment horizontal="right"/>
    </xf>
    <xf numFmtId="165" fontId="5" fillId="0" borderId="0" xfId="27" applyNumberFormat="1" applyFont="1" applyFill="1" applyAlignment="1">
      <alignment horizontal="center"/>
    </xf>
    <xf numFmtId="165" fontId="4" fillId="0" borderId="0" xfId="27" applyNumberFormat="1" applyFont="1" applyFill="1" applyAlignment="1">
      <alignment horizontal="center"/>
    </xf>
    <xf numFmtId="165" fontId="6" fillId="0" borderId="0" xfId="27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172" fontId="4" fillId="0" borderId="0" xfId="25" applyNumberFormat="1" applyFont="1" applyFill="1" applyAlignment="1">
      <alignment horizontal="center"/>
    </xf>
    <xf numFmtId="165" fontId="4" fillId="0" borderId="0" xfId="0" applyNumberFormat="1" applyFont="1" applyFill="1"/>
    <xf numFmtId="1" fontId="4" fillId="0" borderId="0" xfId="0" applyNumberFormat="1" applyFont="1" applyFill="1" applyAlignment="1">
      <alignment horizontal="center"/>
    </xf>
    <xf numFmtId="165" fontId="4" fillId="0" borderId="1" xfId="0" applyNumberFormat="1" applyFont="1" applyFill="1" applyBorder="1"/>
    <xf numFmtId="172" fontId="4" fillId="0" borderId="1" xfId="25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 wrapText="1"/>
    </xf>
    <xf numFmtId="165" fontId="4" fillId="0" borderId="1" xfId="0" applyNumberFormat="1" applyFont="1" applyFill="1" applyBorder="1" applyAlignment="1">
      <alignment horizontal="center"/>
    </xf>
    <xf numFmtId="0" fontId="7" fillId="0" borderId="0" xfId="0" applyFont="1" applyFill="1"/>
    <xf numFmtId="0" fontId="4" fillId="0" borderId="0" xfId="0" applyFont="1" applyFill="1" applyAlignment="1">
      <alignment horizontal="left" indent="2"/>
    </xf>
    <xf numFmtId="0" fontId="4" fillId="0" borderId="3" xfId="2" applyFont="1" applyFill="1" applyBorder="1"/>
    <xf numFmtId="165" fontId="4" fillId="0" borderId="0" xfId="27" applyNumberFormat="1" applyFont="1" applyFill="1" applyBorder="1" applyAlignment="1">
      <alignment horizontal="center" wrapText="1"/>
    </xf>
    <xf numFmtId="0" fontId="4" fillId="0" borderId="0" xfId="2" applyFont="1" applyFill="1" applyAlignment="1">
      <alignment horizontal="center" wrapText="1"/>
    </xf>
    <xf numFmtId="0" fontId="4" fillId="0" borderId="0" xfId="2" applyFont="1" applyFill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73" fontId="6" fillId="0" borderId="0" xfId="4" applyNumberFormat="1" applyFont="1" applyFill="1" applyBorder="1" applyAlignment="1">
      <alignment horizontal="center"/>
    </xf>
    <xf numFmtId="172" fontId="4" fillId="0" borderId="0" xfId="2" applyNumberFormat="1" applyFont="1" applyFill="1" applyBorder="1" applyAlignment="1">
      <alignment horizontal="center"/>
    </xf>
    <xf numFmtId="165" fontId="4" fillId="0" borderId="0" xfId="27" applyNumberFormat="1" applyFont="1" applyFill="1" applyBorder="1" applyAlignment="1">
      <alignment horizontal="center"/>
    </xf>
    <xf numFmtId="165" fontId="6" fillId="0" borderId="0" xfId="27" applyNumberFormat="1" applyFont="1" applyFill="1" applyBorder="1" applyAlignment="1">
      <alignment horizontal="center"/>
    </xf>
    <xf numFmtId="165" fontId="4" fillId="0" borderId="0" xfId="27" applyNumberFormat="1" applyFont="1" applyFill="1" applyBorder="1"/>
    <xf numFmtId="44" fontId="6" fillId="0" borderId="0" xfId="24" applyNumberFormat="1" applyFont="1" applyFill="1" applyBorder="1" applyAlignment="1">
      <alignment horizontal="center"/>
    </xf>
    <xf numFmtId="165" fontId="4" fillId="0" borderId="0" xfId="2" applyNumberFormat="1" applyFont="1" applyFill="1"/>
    <xf numFmtId="44" fontId="6" fillId="0" borderId="0" xfId="4" applyNumberFormat="1" applyFont="1" applyFill="1" applyBorder="1" applyAlignment="1">
      <alignment horizontal="center"/>
    </xf>
    <xf numFmtId="44" fontId="6" fillId="0" borderId="0" xfId="24" applyFont="1" applyFill="1" applyBorder="1" applyAlignment="1">
      <alignment horizontal="center"/>
    </xf>
    <xf numFmtId="0" fontId="6" fillId="0" borderId="0" xfId="2" applyFont="1" applyFill="1" applyBorder="1" applyAlignment="1">
      <alignment horizontal="left"/>
    </xf>
    <xf numFmtId="166" fontId="4" fillId="0" borderId="1" xfId="2" applyNumberFormat="1" applyFont="1" applyFill="1" applyBorder="1"/>
    <xf numFmtId="0" fontId="4" fillId="0" borderId="0" xfId="2" applyFont="1" applyFill="1" applyBorder="1"/>
    <xf numFmtId="43" fontId="4" fillId="0" borderId="0" xfId="27" applyNumberFormat="1" applyFont="1" applyFill="1" applyAlignment="1">
      <alignment horizontal="center"/>
    </xf>
    <xf numFmtId="167" fontId="4" fillId="0" borderId="0" xfId="3" applyNumberFormat="1" applyFont="1" applyFill="1"/>
    <xf numFmtId="0" fontId="6" fillId="0" borderId="0" xfId="0" applyFont="1" applyFill="1"/>
    <xf numFmtId="0" fontId="9" fillId="0" borderId="0" xfId="0" applyFont="1" applyFill="1"/>
    <xf numFmtId="0" fontId="9" fillId="0" borderId="0" xfId="0" applyFont="1" applyFill="1" applyAlignment="1">
      <alignment horizontal="center"/>
    </xf>
    <xf numFmtId="165" fontId="4" fillId="0" borderId="0" xfId="3" applyNumberFormat="1" applyFont="1" applyFill="1" applyBorder="1" applyAlignment="1">
      <alignment horizontal="center"/>
    </xf>
    <xf numFmtId="0" fontId="6" fillId="0" borderId="0" xfId="1" applyFont="1" applyFill="1" applyAlignment="1">
      <alignment horizontal="left" indent="2"/>
    </xf>
    <xf numFmtId="0" fontId="6" fillId="0" borderId="0" xfId="1" applyFont="1" applyFill="1"/>
    <xf numFmtId="0" fontId="8" fillId="0" borderId="0" xfId="1" applyFont="1" applyFill="1"/>
    <xf numFmtId="0" fontId="6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5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164" fontId="7" fillId="0" borderId="0" xfId="2" applyNumberFormat="1" applyFont="1" applyFill="1" applyAlignment="1">
      <alignment horizontal="center"/>
    </xf>
    <xf numFmtId="16" fontId="7" fillId="0" borderId="0" xfId="0" quotePrefix="1" applyNumberFormat="1" applyFont="1" applyFill="1" applyAlignment="1">
      <alignment horizontal="center" wrapText="1"/>
    </xf>
    <xf numFmtId="17" fontId="4" fillId="0" borderId="3" xfId="2" quotePrefix="1" applyNumberFormat="1" applyFont="1" applyFill="1" applyBorder="1" applyAlignment="1">
      <alignment horizontal="center" wrapText="1"/>
    </xf>
    <xf numFmtId="164" fontId="4" fillId="0" borderId="0" xfId="1" quotePrefix="1" applyNumberFormat="1" applyFont="1" applyFill="1" applyAlignment="1">
      <alignment horizontal="center"/>
    </xf>
    <xf numFmtId="0" fontId="4" fillId="0" borderId="0" xfId="2" quotePrefix="1" applyFont="1" applyFill="1" applyAlignment="1">
      <alignment horizontal="center"/>
    </xf>
    <xf numFmtId="0" fontId="11" fillId="0" borderId="0" xfId="1" applyFont="1" applyFill="1" applyAlignment="1">
      <alignment horizontal="center"/>
    </xf>
    <xf numFmtId="0" fontId="11" fillId="0" borderId="0" xfId="1" applyFont="1" applyFill="1"/>
    <xf numFmtId="0" fontId="11" fillId="0" borderId="0" xfId="0" applyFont="1" applyFill="1" applyAlignment="1">
      <alignment horizontal="left"/>
    </xf>
    <xf numFmtId="0" fontId="11" fillId="0" borderId="0" xfId="1" applyFont="1" applyFill="1" applyAlignment="1">
      <alignment horizontal="left"/>
    </xf>
    <xf numFmtId="0" fontId="11" fillId="0" borderId="0" xfId="2" applyFont="1" applyFill="1"/>
    <xf numFmtId="0" fontId="7" fillId="0" borderId="0" xfId="1" applyFont="1" applyFill="1" applyAlignment="1">
      <alignment horizontal="center" wrapText="1"/>
    </xf>
    <xf numFmtId="0" fontId="6" fillId="0" borderId="0" xfId="1" applyFont="1" applyFill="1" applyAlignment="1">
      <alignment horizontal="center"/>
    </xf>
    <xf numFmtId="173" fontId="4" fillId="0" borderId="0" xfId="24" applyNumberFormat="1" applyFont="1" applyFill="1" applyAlignment="1"/>
    <xf numFmtId="166" fontId="4" fillId="0" borderId="0" xfId="24" applyNumberFormat="1" applyFont="1" applyFill="1" applyBorder="1"/>
    <xf numFmtId="44" fontId="4" fillId="0" borderId="0" xfId="24" applyFont="1" applyFill="1" applyBorder="1" applyAlignment="1">
      <alignment horizontal="left" indent="3"/>
    </xf>
    <xf numFmtId="44" fontId="4" fillId="0" borderId="0" xfId="24" applyNumberFormat="1" applyFont="1" applyFill="1" applyAlignment="1"/>
    <xf numFmtId="166" fontId="4" fillId="0" borderId="3" xfId="24" applyNumberFormat="1" applyFont="1" applyFill="1" applyBorder="1"/>
    <xf numFmtId="0" fontId="4" fillId="0" borderId="3" xfId="1" applyFont="1" applyFill="1" applyBorder="1" applyAlignment="1"/>
    <xf numFmtId="0" fontId="4" fillId="0" borderId="4" xfId="1" applyFont="1" applyFill="1" applyBorder="1" applyAlignment="1">
      <alignment horizontal="left" indent="3"/>
    </xf>
    <xf numFmtId="166" fontId="4" fillId="0" borderId="4" xfId="24" applyNumberFormat="1" applyFont="1" applyFill="1" applyBorder="1"/>
    <xf numFmtId="44" fontId="4" fillId="0" borderId="4" xfId="24" applyFont="1" applyFill="1" applyBorder="1" applyAlignment="1">
      <alignment horizontal="left" indent="3"/>
    </xf>
    <xf numFmtId="44" fontId="4" fillId="0" borderId="0" xfId="24" applyFont="1" applyFill="1" applyBorder="1" applyAlignment="1"/>
    <xf numFmtId="0" fontId="4" fillId="0" borderId="0" xfId="1" applyFont="1" applyFill="1" applyBorder="1"/>
    <xf numFmtId="44" fontId="4" fillId="0" borderId="0" xfId="24" applyFont="1" applyFill="1" applyBorder="1"/>
    <xf numFmtId="166" fontId="4" fillId="0" borderId="5" xfId="24" applyNumberFormat="1" applyFont="1" applyFill="1" applyBorder="1"/>
    <xf numFmtId="0" fontId="6" fillId="0" borderId="0" xfId="1" applyFont="1" applyFill="1" applyAlignment="1">
      <alignment horizontal="center"/>
    </xf>
    <xf numFmtId="0" fontId="8" fillId="0" borderId="0" xfId="0" applyFont="1" applyFill="1"/>
    <xf numFmtId="0" fontId="8" fillId="0" borderId="0" xfId="0" applyFont="1" applyAlignment="1">
      <alignment horizontal="left"/>
    </xf>
    <xf numFmtId="0" fontId="8" fillId="0" borderId="0" xfId="1" applyFont="1"/>
    <xf numFmtId="0" fontId="8" fillId="0" borderId="0" xfId="1" applyFont="1" applyFill="1" applyAlignment="1">
      <alignment horizontal="left"/>
    </xf>
    <xf numFmtId="0" fontId="8" fillId="0" borderId="0" xfId="2" applyFont="1" applyAlignment="1">
      <alignment horizontal="left"/>
    </xf>
    <xf numFmtId="171" fontId="4" fillId="0" borderId="0" xfId="25" applyNumberFormat="1" applyFont="1" applyFill="1" applyBorder="1"/>
    <xf numFmtId="0" fontId="13" fillId="0" borderId="0" xfId="1" applyFont="1" applyFill="1"/>
    <xf numFmtId="44" fontId="4" fillId="0" borderId="0" xfId="24" applyNumberFormat="1" applyFont="1" applyFill="1"/>
    <xf numFmtId="44" fontId="4" fillId="0" borderId="2" xfId="24" applyNumberFormat="1" applyFont="1" applyFill="1" applyBorder="1"/>
    <xf numFmtId="44" fontId="4" fillId="0" borderId="0" xfId="1" applyNumberFormat="1" applyFont="1" applyFill="1" applyBorder="1"/>
    <xf numFmtId="44" fontId="4" fillId="0" borderId="1" xfId="1" applyNumberFormat="1" applyFont="1" applyFill="1" applyBorder="1"/>
    <xf numFmtId="174" fontId="4" fillId="0" borderId="0" xfId="25" applyNumberFormat="1" applyFont="1" applyFill="1"/>
    <xf numFmtId="0" fontId="6" fillId="0" borderId="0" xfId="2" applyFont="1" applyFill="1"/>
    <xf numFmtId="43" fontId="6" fillId="0" borderId="0" xfId="2" applyNumberFormat="1" applyFont="1" applyFill="1" applyAlignment="1">
      <alignment horizontal="center"/>
    </xf>
    <xf numFmtId="43" fontId="4" fillId="0" borderId="0" xfId="27" applyNumberFormat="1" applyFont="1" applyFill="1"/>
    <xf numFmtId="17" fontId="4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Alignment="1">
      <alignment horizontal="left" indent="2"/>
    </xf>
    <xf numFmtId="0" fontId="6" fillId="0" borderId="0" xfId="1" applyFont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3" xfId="2" quotePrefix="1" applyFont="1" applyFill="1" applyBorder="1" applyAlignment="1">
      <alignment horizontal="center" wrapText="1"/>
    </xf>
    <xf numFmtId="0" fontId="7" fillId="0" borderId="0" xfId="1" quotePrefix="1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1" applyFont="1" applyFill="1" applyAlignment="1">
      <alignment horizontal="center" wrapText="1"/>
    </xf>
    <xf numFmtId="0" fontId="5" fillId="0" borderId="0" xfId="1" applyFont="1" applyAlignment="1">
      <alignment horizontal="center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164" fontId="4" fillId="0" borderId="3" xfId="2" applyNumberFormat="1" applyFont="1" applyFill="1" applyBorder="1" applyAlignment="1">
      <alignment horizontal="center"/>
    </xf>
    <xf numFmtId="0" fontId="11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5" fillId="0" borderId="0" xfId="2" applyFont="1" applyAlignment="1">
      <alignment horizontal="center"/>
    </xf>
    <xf numFmtId="17" fontId="4" fillId="0" borderId="0" xfId="0" applyNumberFormat="1" applyFont="1" applyFill="1" applyAlignment="1">
      <alignment horizontal="center"/>
    </xf>
    <xf numFmtId="166" fontId="4" fillId="0" borderId="0" xfId="4" applyNumberFormat="1" applyFont="1" applyFill="1" applyAlignment="1">
      <alignment horizontal="left" indent="1"/>
    </xf>
    <xf numFmtId="169" fontId="4" fillId="0" borderId="0" xfId="0" applyNumberFormat="1" applyFont="1" applyFill="1" applyAlignment="1">
      <alignment horizontal="right"/>
    </xf>
    <xf numFmtId="10" fontId="4" fillId="0" borderId="0" xfId="25" applyNumberFormat="1" applyFont="1" applyFill="1" applyAlignment="1">
      <alignment horizontal="right"/>
    </xf>
    <xf numFmtId="43" fontId="4" fillId="0" borderId="0" xfId="27" applyFont="1" applyFill="1"/>
    <xf numFmtId="43" fontId="4" fillId="0" borderId="2" xfId="27" applyFont="1" applyFill="1" applyBorder="1"/>
  </cellXfs>
  <cellStyles count="49">
    <cellStyle name="Comma" xfId="27" builtinId="3"/>
    <cellStyle name="Comma 2" xfId="3" xr:uid="{00000000-0005-0000-0000-000001000000}"/>
    <cellStyle name="Comma 2 2" xfId="6" xr:uid="{00000000-0005-0000-0000-000002000000}"/>
    <cellStyle name="Comma 3" xfId="7" xr:uid="{00000000-0005-0000-0000-000003000000}"/>
    <cellStyle name="Comma 4" xfId="8" xr:uid="{00000000-0005-0000-0000-000004000000}"/>
    <cellStyle name="Comma 5" xfId="9" xr:uid="{00000000-0005-0000-0000-000005000000}"/>
    <cellStyle name="Comma 6" xfId="10" xr:uid="{00000000-0005-0000-0000-000006000000}"/>
    <cellStyle name="Comma 7" xfId="11" xr:uid="{00000000-0005-0000-0000-000007000000}"/>
    <cellStyle name="Comma 7 2" xfId="28" xr:uid="{00000000-0005-0000-0000-000008000000}"/>
    <cellStyle name="Comma 7 2 2" xfId="29" xr:uid="{00000000-0005-0000-0000-000009000000}"/>
    <cellStyle name="Currency" xfId="24" builtinId="4"/>
    <cellStyle name="Currency 2" xfId="4" xr:uid="{00000000-0005-0000-0000-00000B000000}"/>
    <cellStyle name="Currency 3" xfId="12" xr:uid="{00000000-0005-0000-0000-00000C000000}"/>
    <cellStyle name="Currency 4" xfId="30" xr:uid="{00000000-0005-0000-0000-00000D000000}"/>
    <cellStyle name="Currency 5" xfId="31" xr:uid="{00000000-0005-0000-0000-00000E000000}"/>
    <cellStyle name="Currency 6" xfId="32" xr:uid="{00000000-0005-0000-0000-00000F000000}"/>
    <cellStyle name="Normal" xfId="0" builtinId="0"/>
    <cellStyle name="Normal 10" xfId="33" xr:uid="{00000000-0005-0000-0000-000011000000}"/>
    <cellStyle name="Normal 10 2" xfId="34" xr:uid="{00000000-0005-0000-0000-000012000000}"/>
    <cellStyle name="Normal 10 2 2" xfId="35" xr:uid="{00000000-0005-0000-0000-000013000000}"/>
    <cellStyle name="Normal 11" xfId="36" xr:uid="{00000000-0005-0000-0000-000014000000}"/>
    <cellStyle name="Normal 12" xfId="37" xr:uid="{00000000-0005-0000-0000-000015000000}"/>
    <cellStyle name="Normal 2" xfId="1" xr:uid="{00000000-0005-0000-0000-000016000000}"/>
    <cellStyle name="Normal 2 2" xfId="13" xr:uid="{00000000-0005-0000-0000-000017000000}"/>
    <cellStyle name="Normal 2 3" xfId="14" xr:uid="{00000000-0005-0000-0000-000018000000}"/>
    <cellStyle name="Normal 3" xfId="2" xr:uid="{00000000-0005-0000-0000-000019000000}"/>
    <cellStyle name="Normal 3 2" xfId="38" xr:uid="{00000000-0005-0000-0000-00001A000000}"/>
    <cellStyle name="Normal 4" xfId="15" xr:uid="{00000000-0005-0000-0000-00001B000000}"/>
    <cellStyle name="Normal 4 2" xfId="39" xr:uid="{00000000-0005-0000-0000-00001C000000}"/>
    <cellStyle name="Normal 4 2 2" xfId="40" xr:uid="{00000000-0005-0000-0000-00001D000000}"/>
    <cellStyle name="Normal 4 2 2 2" xfId="41" xr:uid="{00000000-0005-0000-0000-00001E000000}"/>
    <cellStyle name="Normal 4 4" xfId="26" xr:uid="{00000000-0005-0000-0000-00001F000000}"/>
    <cellStyle name="Normal 5" xfId="16" xr:uid="{00000000-0005-0000-0000-000020000000}"/>
    <cellStyle name="Normal 6" xfId="17" xr:uid="{00000000-0005-0000-0000-000021000000}"/>
    <cellStyle name="Normal 7" xfId="18" xr:uid="{00000000-0005-0000-0000-000022000000}"/>
    <cellStyle name="Normal 8" xfId="19" xr:uid="{00000000-0005-0000-0000-000023000000}"/>
    <cellStyle name="Normal 9" xfId="42" xr:uid="{00000000-0005-0000-0000-000024000000}"/>
    <cellStyle name="Normal_2014" xfId="48" xr:uid="{00000000-0005-0000-0000-000025000000}"/>
    <cellStyle name="Percent" xfId="25" builtinId="5"/>
    <cellStyle name="Percent 2" xfId="5" xr:uid="{00000000-0005-0000-0000-000027000000}"/>
    <cellStyle name="Percent 3" xfId="20" xr:uid="{00000000-0005-0000-0000-000028000000}"/>
    <cellStyle name="Percent 4" xfId="21" xr:uid="{00000000-0005-0000-0000-000029000000}"/>
    <cellStyle name="Percent 5" xfId="22" xr:uid="{00000000-0005-0000-0000-00002A000000}"/>
    <cellStyle name="Percent 6" xfId="23" xr:uid="{00000000-0005-0000-0000-00002B000000}"/>
    <cellStyle name="Percent 7" xfId="43" xr:uid="{00000000-0005-0000-0000-00002C000000}"/>
    <cellStyle name="Percent 7 2" xfId="44" xr:uid="{00000000-0005-0000-0000-00002D000000}"/>
    <cellStyle name="Percent 7 2 2" xfId="45" xr:uid="{00000000-0005-0000-0000-00002E000000}"/>
    <cellStyle name="Percent 8" xfId="46" xr:uid="{00000000-0005-0000-0000-00002F000000}"/>
    <cellStyle name="Percent 9" xfId="47" xr:uid="{00000000-0005-0000-0000-000030000000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3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externalLinks/externalLink1.xml" Type="http://schemas.openxmlformats.org/officeDocument/2006/relationships/externalLink"/><Relationship Id="rId9" Target="externalLinks/externalLink2.xml" Type="http://schemas.openxmlformats.org/officeDocument/2006/relationships/externalLink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5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6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218819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3752932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227937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504080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351941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714054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494702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file:///R: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3.xml.rels><?xml version="1.0" encoding="UTF-8" standalone="no"?><Relationships xmlns="http://schemas.openxmlformats.org/package/2006/relationships"><Relationship Id="rId1" Target="file://///MEC/Network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39"/>
  <sheetViews>
    <sheetView tabSelected="1" zoomScale="90" zoomScaleNormal="90" workbookViewId="0">
      <selection activeCell="M22" sqref="M22"/>
    </sheetView>
  </sheetViews>
  <sheetFormatPr defaultRowHeight="12.75" x14ac:dyDescent="0.2"/>
  <cols>
    <col min="1" max="1" customWidth="true" style="54" width="6.42578125" collapsed="false"/>
    <col min="2" max="2" customWidth="true" style="52" width="15.28515625" collapsed="false"/>
    <col min="3" max="3" bestFit="true" customWidth="true" style="52" width="15.28515625" collapsed="false"/>
    <col min="4" max="4" customWidth="true" style="54" width="11.42578125" collapsed="false"/>
    <col min="5" max="5" customWidth="true" style="52" width="3.85546875" collapsed="false"/>
    <col min="6" max="6" bestFit="true" customWidth="true" style="54" width="7.140625" collapsed="false"/>
    <col min="7" max="7" customWidth="true" style="52" width="7.140625" collapsed="false"/>
    <col min="8" max="8" bestFit="true" customWidth="true" style="54" width="17.7109375" collapsed="false"/>
    <col min="9" max="9" customWidth="true" style="52" width="2.85546875" collapsed="false"/>
    <col min="10" max="10" bestFit="true" customWidth="true" style="52" width="14.28515625" collapsed="false"/>
    <col min="11" max="12" customWidth="true" style="52" width="14.28515625" collapsed="false"/>
    <col min="13" max="13" customWidth="true" style="52" width="5.5703125" collapsed="false"/>
    <col min="14" max="14" customWidth="true" style="52" width="6.7109375" collapsed="false"/>
    <col min="15" max="15" customWidth="true" style="52" width="18.42578125" collapsed="false"/>
    <col min="16" max="16" bestFit="true" customWidth="true" style="52" width="13.5703125" collapsed="false"/>
    <col min="17" max="17" customWidth="true" style="52" width="14.42578125" collapsed="false"/>
    <col min="18" max="18" customWidth="true" style="54" width="13.28515625" collapsed="false"/>
    <col min="19" max="16384" style="52" width="9.140625" collapsed="false"/>
  </cols>
  <sheetData>
    <row r="2" spans="1:19" x14ac:dyDescent="0.2">
      <c r="A2" s="153"/>
    </row>
    <row r="3" spans="1:19" x14ac:dyDescent="0.2">
      <c r="A3" s="180" t="s">
        <v>94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</row>
    <row r="4" spans="1:19" x14ac:dyDescent="0.2">
      <c r="A4" s="180" t="str">
        <f>C10&amp;" TCA RECONCILIATION and "&amp;YEAR(G13)&amp;" NEW FACTOR CALCULATION"</f>
        <v>2020 TCA RECONCILIATION and 2021 NEW FACTOR CALCULATION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</row>
    <row r="5" spans="1:19" x14ac:dyDescent="0.2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</row>
    <row r="6" spans="1:19" x14ac:dyDescent="0.2">
      <c r="A6" s="125"/>
      <c r="B6" s="133"/>
      <c r="C6" s="77"/>
      <c r="D6" s="77"/>
      <c r="E6" s="77"/>
      <c r="F6" s="77"/>
      <c r="G6" s="77"/>
      <c r="H6" s="77"/>
      <c r="I6" s="77"/>
      <c r="J6" s="77"/>
      <c r="K6" s="77"/>
      <c r="L6" s="55"/>
      <c r="M6" s="55"/>
      <c r="N6" s="55"/>
      <c r="O6" s="55"/>
      <c r="P6" s="55"/>
      <c r="Q6" s="55"/>
      <c r="R6" s="64" t="s">
        <v>95</v>
      </c>
    </row>
    <row r="8" spans="1:19" x14ac:dyDescent="0.2">
      <c r="A8" s="179" t="s">
        <v>65</v>
      </c>
      <c r="B8" s="179"/>
      <c r="C8" s="179"/>
      <c r="D8" s="179"/>
      <c r="F8" s="179" t="s">
        <v>59</v>
      </c>
      <c r="G8" s="179"/>
      <c r="H8" s="179"/>
      <c r="I8" s="179"/>
      <c r="J8" s="179"/>
      <c r="K8" s="179"/>
      <c r="L8" s="179"/>
      <c r="N8" s="179" t="s">
        <v>78</v>
      </c>
      <c r="O8" s="179"/>
      <c r="P8" s="179"/>
      <c r="Q8" s="179"/>
      <c r="R8" s="179"/>
    </row>
    <row r="9" spans="1:19" s="78" customFormat="1" x14ac:dyDescent="0.2">
      <c r="A9" s="77"/>
      <c r="B9" s="77"/>
      <c r="C9" s="77"/>
      <c r="D9" s="77"/>
      <c r="F9" s="77"/>
      <c r="G9" s="77"/>
      <c r="H9" s="77"/>
      <c r="R9" s="79"/>
    </row>
    <row r="10" spans="1:19" s="78" customFormat="1" ht="25.5" x14ac:dyDescent="0.2">
      <c r="A10" s="77"/>
      <c r="B10" s="80"/>
      <c r="C10" s="168" t="str">
        <f>YEAR(G13)-1&amp;""</f>
        <v>2020</v>
      </c>
      <c r="D10" s="81" t="s">
        <v>87</v>
      </c>
      <c r="F10" s="79"/>
      <c r="H10" s="169" t="str">
        <f>YEAR(G13)&amp;" &amp; "&amp;YEAR(G25)&amp;" Forecast"</f>
        <v>2021 &amp; 2022 Forecast</v>
      </c>
      <c r="K10" s="169" t="str">
        <f>TEXT(G13,"mmm-yy")&amp;" through "&amp;TEXT(G15,"mmm-yy")</f>
        <v>Jan-21 through Mar-21</v>
      </c>
      <c r="L10" s="169" t="str">
        <f>TEXT(G16,"mmm-yy")&amp;" through "&amp;TEXT(G27,"mmm-yy")</f>
        <v>Apr-21 through Mar-22</v>
      </c>
      <c r="Q10" s="81" t="str">
        <f>K10</f>
        <v>Jan-21 through Mar-21</v>
      </c>
      <c r="R10" s="81" t="str">
        <f>L10</f>
        <v>Apr-21 through Mar-22</v>
      </c>
    </row>
    <row r="11" spans="1:19" s="78" customFormat="1" x14ac:dyDescent="0.2">
      <c r="A11" s="77"/>
      <c r="B11" s="82"/>
      <c r="C11" s="82" t="s">
        <v>48</v>
      </c>
      <c r="D11" s="83" t="s">
        <v>49</v>
      </c>
      <c r="E11" s="79"/>
      <c r="F11" s="79"/>
      <c r="G11" s="79"/>
      <c r="H11" s="79" t="s">
        <v>50</v>
      </c>
      <c r="I11" s="79"/>
      <c r="J11" s="79"/>
      <c r="K11" s="83" t="s">
        <v>51</v>
      </c>
      <c r="L11" s="83" t="s">
        <v>52</v>
      </c>
      <c r="M11" s="79"/>
      <c r="N11" s="79"/>
      <c r="O11" s="79"/>
      <c r="P11" s="79" t="s">
        <v>53</v>
      </c>
      <c r="Q11" s="83" t="s">
        <v>54</v>
      </c>
      <c r="R11" s="83" t="s">
        <v>77</v>
      </c>
    </row>
    <row r="12" spans="1:19" s="78" customFormat="1" ht="25.5" x14ac:dyDescent="0.2">
      <c r="A12" s="83" t="s">
        <v>7</v>
      </c>
      <c r="C12" s="82" t="s">
        <v>61</v>
      </c>
      <c r="D12" s="82" t="s">
        <v>62</v>
      </c>
      <c r="F12" s="83" t="s">
        <v>7</v>
      </c>
      <c r="H12" s="82" t="s">
        <v>61</v>
      </c>
      <c r="K12" s="82" t="s">
        <v>61</v>
      </c>
      <c r="L12" s="82" t="s">
        <v>61</v>
      </c>
      <c r="N12" s="83" t="s">
        <v>7</v>
      </c>
      <c r="P12" s="82" t="s">
        <v>79</v>
      </c>
      <c r="Q12" s="82" t="s">
        <v>80</v>
      </c>
      <c r="R12" s="82" t="s">
        <v>80</v>
      </c>
    </row>
    <row r="13" spans="1:19" s="78" customFormat="1" x14ac:dyDescent="0.2">
      <c r="A13" s="57">
        <v>1</v>
      </c>
      <c r="B13" s="53" t="s">
        <v>63</v>
      </c>
      <c r="C13" s="85">
        <v>5955310808</v>
      </c>
      <c r="D13" s="84">
        <f t="shared" ref="D13:D20" si="0">C13/$C$21</f>
        <v>0.24440495385535443</v>
      </c>
      <c r="F13" s="57">
        <v>1</v>
      </c>
      <c r="G13" s="189">
        <v>44197</v>
      </c>
      <c r="H13" s="75">
        <v>2101711427</v>
      </c>
      <c r="J13" s="53" t="s">
        <v>63</v>
      </c>
      <c r="K13" s="56">
        <f t="shared" ref="K13:K20" si="1">$H$29*D13</f>
        <v>1521851331.6936073</v>
      </c>
      <c r="L13" s="85">
        <f t="shared" ref="L13:L20" si="2">$H$31*D13</f>
        <v>6359668755.6312389</v>
      </c>
      <c r="N13" s="57">
        <v>1</v>
      </c>
      <c r="O13" s="53" t="s">
        <v>81</v>
      </c>
      <c r="P13" s="86">
        <f>R20</f>
        <v>355.84391004766042</v>
      </c>
      <c r="Q13" s="166">
        <f>K14/P13</f>
        <v>1434868.3807629503</v>
      </c>
      <c r="R13" s="49">
        <f>L14/P13</f>
        <v>5996175.4604677157</v>
      </c>
      <c r="S13" s="112"/>
    </row>
    <row r="14" spans="1:19" s="78" customFormat="1" x14ac:dyDescent="0.2">
      <c r="A14" s="57">
        <f>A13+1</f>
        <v>2</v>
      </c>
      <c r="B14" s="53" t="s">
        <v>81</v>
      </c>
      <c r="C14" s="85">
        <v>1998038290</v>
      </c>
      <c r="D14" s="84">
        <f>C14/$C$21</f>
        <v>8.19991553442833E-2</v>
      </c>
      <c r="F14" s="57">
        <f>F13+1</f>
        <v>2</v>
      </c>
      <c r="G14" s="167">
        <f>EDATE(G13,1)</f>
        <v>44228</v>
      </c>
      <c r="H14" s="75">
        <v>2069964961.9583001</v>
      </c>
      <c r="J14" s="53" t="s">
        <v>81</v>
      </c>
      <c r="K14" s="56">
        <f>$H$29*D14</f>
        <v>510589175.0144434</v>
      </c>
      <c r="L14" s="85">
        <f t="shared" si="2"/>
        <v>2133702521.1846626</v>
      </c>
      <c r="N14" s="57">
        <f>N13+1</f>
        <v>2</v>
      </c>
      <c r="O14" s="53" t="s">
        <v>83</v>
      </c>
      <c r="P14" s="86">
        <f>R21</f>
        <v>441.22839921996183</v>
      </c>
      <c r="Q14" s="49">
        <f>K16/P14</f>
        <v>3926686.4416257315</v>
      </c>
      <c r="R14" s="49">
        <f>L16/P14</f>
        <v>16409240.873861944</v>
      </c>
    </row>
    <row r="15" spans="1:19" s="78" customFormat="1" x14ac:dyDescent="0.2">
      <c r="A15" s="57">
        <f t="shared" ref="A15:A21" si="3">A14+1</f>
        <v>3</v>
      </c>
      <c r="B15" s="53" t="s">
        <v>82</v>
      </c>
      <c r="C15" s="85">
        <v>1606644111</v>
      </c>
      <c r="D15" s="84">
        <f t="shared" si="0"/>
        <v>6.5936404072049565E-2</v>
      </c>
      <c r="F15" s="57">
        <f t="shared" ref="F15:F27" si="4">F14+1</f>
        <v>3</v>
      </c>
      <c r="G15" s="167">
        <f t="shared" ref="G15:G27" si="5">EDATE(G14,1)</f>
        <v>44256</v>
      </c>
      <c r="H15" s="75">
        <v>2055085007.1886899</v>
      </c>
      <c r="J15" s="53" t="s">
        <v>82</v>
      </c>
      <c r="K15" s="56">
        <f t="shared" si="1"/>
        <v>410570255.47658741</v>
      </c>
      <c r="L15" s="85">
        <f t="shared" si="2"/>
        <v>1715733180.6124651</v>
      </c>
      <c r="N15" s="57">
        <f t="shared" ref="N15" si="6">N14+1</f>
        <v>3</v>
      </c>
      <c r="O15" s="53" t="s">
        <v>84</v>
      </c>
      <c r="P15" s="86">
        <f>R22</f>
        <v>588.42826672087574</v>
      </c>
      <c r="Q15" s="49">
        <f>K17/P15</f>
        <v>3428269.2518380866</v>
      </c>
      <c r="R15" s="49">
        <f>L17/P15</f>
        <v>14326403.895538641</v>
      </c>
    </row>
    <row r="16" spans="1:19" s="78" customFormat="1" x14ac:dyDescent="0.2">
      <c r="A16" s="57">
        <f t="shared" si="3"/>
        <v>4</v>
      </c>
      <c r="B16" s="53" t="s">
        <v>83</v>
      </c>
      <c r="C16" s="85">
        <v>6779878078</v>
      </c>
      <c r="D16" s="84">
        <f t="shared" si="0"/>
        <v>0.27824505592093679</v>
      </c>
      <c r="F16" s="57">
        <f t="shared" si="4"/>
        <v>4</v>
      </c>
      <c r="G16" s="167">
        <f t="shared" si="5"/>
        <v>44287</v>
      </c>
      <c r="H16" s="75">
        <v>2008040255.47664</v>
      </c>
      <c r="J16" s="53" t="s">
        <v>83</v>
      </c>
      <c r="K16" s="56">
        <f t="shared" si="1"/>
        <v>1732565572.8772497</v>
      </c>
      <c r="L16" s="85">
        <f t="shared" si="2"/>
        <v>7240223083.1888733</v>
      </c>
      <c r="N16" s="57"/>
      <c r="O16" s="53"/>
      <c r="Q16" s="112"/>
      <c r="R16" s="112"/>
    </row>
    <row r="17" spans="1:18" s="78" customFormat="1" x14ac:dyDescent="0.2">
      <c r="A17" s="57">
        <f t="shared" si="3"/>
        <v>5</v>
      </c>
      <c r="B17" s="53" t="s">
        <v>84</v>
      </c>
      <c r="C17" s="85">
        <v>7894064202</v>
      </c>
      <c r="D17" s="84">
        <f t="shared" si="0"/>
        <v>0.32397106703973316</v>
      </c>
      <c r="F17" s="57">
        <f t="shared" si="4"/>
        <v>5</v>
      </c>
      <c r="G17" s="167">
        <f t="shared" si="5"/>
        <v>44317</v>
      </c>
      <c r="H17" s="75">
        <v>1985964319.3975899</v>
      </c>
      <c r="J17" s="53" t="s">
        <v>84</v>
      </c>
      <c r="K17" s="56">
        <f t="shared" si="1"/>
        <v>2017290533.7115588</v>
      </c>
      <c r="L17" s="85">
        <f t="shared" si="2"/>
        <v>8430061012.595005</v>
      </c>
      <c r="N17" s="57"/>
      <c r="R17" s="79"/>
    </row>
    <row r="18" spans="1:18" s="78" customFormat="1" x14ac:dyDescent="0.2">
      <c r="A18" s="57">
        <f t="shared" si="3"/>
        <v>6</v>
      </c>
      <c r="B18" s="53" t="s">
        <v>85</v>
      </c>
      <c r="C18" s="85">
        <v>5215265</v>
      </c>
      <c r="D18" s="84">
        <f t="shared" si="0"/>
        <v>2.1403359837343441E-4</v>
      </c>
      <c r="F18" s="57">
        <f t="shared" si="4"/>
        <v>6</v>
      </c>
      <c r="G18" s="167">
        <f t="shared" si="5"/>
        <v>44348</v>
      </c>
      <c r="H18" s="75">
        <v>2021062122.7179799</v>
      </c>
      <c r="J18" s="53" t="s">
        <v>85</v>
      </c>
      <c r="K18" s="56">
        <f t="shared" si="1"/>
        <v>1332736.1478301305</v>
      </c>
      <c r="L18" s="85">
        <f t="shared" si="2"/>
        <v>5569374.7886814168</v>
      </c>
      <c r="R18" s="79"/>
    </row>
    <row r="19" spans="1:18" s="78" customFormat="1" x14ac:dyDescent="0.2">
      <c r="A19" s="57">
        <f t="shared" si="3"/>
        <v>7</v>
      </c>
      <c r="B19" s="53" t="s">
        <v>86</v>
      </c>
      <c r="C19" s="85">
        <v>48251692</v>
      </c>
      <c r="D19" s="84">
        <f t="shared" si="0"/>
        <v>1.980241323569686E-3</v>
      </c>
      <c r="F19" s="57">
        <f t="shared" si="4"/>
        <v>7</v>
      </c>
      <c r="G19" s="167">
        <f t="shared" si="5"/>
        <v>44378</v>
      </c>
      <c r="H19" s="75">
        <v>2419836420.4918399</v>
      </c>
      <c r="J19" s="53" t="s">
        <v>86</v>
      </c>
      <c r="K19" s="56">
        <f t="shared" si="1"/>
        <v>12330490.228658741</v>
      </c>
      <c r="L19" s="85">
        <f t="shared" si="2"/>
        <v>51527919.85374105</v>
      </c>
      <c r="P19" s="170" t="str">
        <f>C10&amp;" kWh"</f>
        <v>2020 kWh</v>
      </c>
      <c r="Q19" s="170" t="str">
        <f>C10&amp;" kW"</f>
        <v>2020 kW</v>
      </c>
      <c r="R19" s="82" t="s">
        <v>79</v>
      </c>
    </row>
    <row r="20" spans="1:18" s="78" customFormat="1" x14ac:dyDescent="0.2">
      <c r="A20" s="57">
        <f t="shared" si="3"/>
        <v>8</v>
      </c>
      <c r="B20" s="53" t="s">
        <v>64</v>
      </c>
      <c r="C20" s="85">
        <v>79169156</v>
      </c>
      <c r="D20" s="84">
        <f t="shared" si="0"/>
        <v>3.2490888456996477E-3</v>
      </c>
      <c r="F20" s="57">
        <f t="shared" si="4"/>
        <v>8</v>
      </c>
      <c r="G20" s="167">
        <f t="shared" si="5"/>
        <v>44409</v>
      </c>
      <c r="H20" s="75">
        <v>2371424442.94941</v>
      </c>
      <c r="J20" s="53" t="s">
        <v>64</v>
      </c>
      <c r="K20" s="56">
        <f t="shared" si="1"/>
        <v>20231300.99705435</v>
      </c>
      <c r="L20" s="85">
        <f t="shared" si="2"/>
        <v>84544639.911411226</v>
      </c>
      <c r="N20" s="79">
        <f>N15+1</f>
        <v>4</v>
      </c>
      <c r="O20" s="78" t="s">
        <v>81</v>
      </c>
      <c r="P20" s="49">
        <f>C14</f>
        <v>1998038290</v>
      </c>
      <c r="Q20" s="49">
        <v>5614929</v>
      </c>
      <c r="R20" s="86">
        <f>P20/Q20</f>
        <v>355.84391004766042</v>
      </c>
    </row>
    <row r="21" spans="1:18" s="78" customFormat="1" ht="14.25" customHeight="1" thickBot="1" x14ac:dyDescent="0.25">
      <c r="A21" s="57">
        <f t="shared" si="3"/>
        <v>9</v>
      </c>
      <c r="B21" s="53" t="s">
        <v>60</v>
      </c>
      <c r="C21" s="87">
        <f>SUM(C13:C20)</f>
        <v>24366571602</v>
      </c>
      <c r="D21" s="88">
        <f>SUM(D13:D20)</f>
        <v>1</v>
      </c>
      <c r="F21" s="57">
        <f t="shared" si="4"/>
        <v>9</v>
      </c>
      <c r="G21" s="167">
        <f t="shared" si="5"/>
        <v>44440</v>
      </c>
      <c r="H21" s="75">
        <v>2213788879.0944901</v>
      </c>
      <c r="J21" s="53" t="s">
        <v>60</v>
      </c>
      <c r="K21" s="87">
        <f>SUM(K13:K20)</f>
        <v>6226761396.1469898</v>
      </c>
      <c r="L21" s="87">
        <f>SUM(L13:L20)</f>
        <v>26021030487.766079</v>
      </c>
      <c r="N21" s="79">
        <f>N20+1</f>
        <v>5</v>
      </c>
      <c r="O21" s="53" t="s">
        <v>83</v>
      </c>
      <c r="P21" s="49">
        <f>C16</f>
        <v>6779878078</v>
      </c>
      <c r="Q21" s="49">
        <v>15365915</v>
      </c>
      <c r="R21" s="86">
        <f>P21/Q21</f>
        <v>441.22839921996183</v>
      </c>
    </row>
    <row r="22" spans="1:18" s="78" customFormat="1" ht="13.5" thickTop="1" x14ac:dyDescent="0.2">
      <c r="A22" s="79"/>
      <c r="D22" s="79"/>
      <c r="F22" s="57">
        <f t="shared" si="4"/>
        <v>10</v>
      </c>
      <c r="G22" s="167">
        <f t="shared" si="5"/>
        <v>44470</v>
      </c>
      <c r="H22" s="75">
        <v>2132028626.5220201</v>
      </c>
      <c r="K22" s="112"/>
      <c r="L22" s="112"/>
      <c r="N22" s="79">
        <f>N21+1</f>
        <v>6</v>
      </c>
      <c r="O22" s="53" t="s">
        <v>84</v>
      </c>
      <c r="P22" s="49">
        <f>C17</f>
        <v>7894064202</v>
      </c>
      <c r="Q22" s="49">
        <v>13415508.140000001</v>
      </c>
      <c r="R22" s="86">
        <f>P22/Q22</f>
        <v>588.42826672087574</v>
      </c>
    </row>
    <row r="23" spans="1:18" s="78" customFormat="1" x14ac:dyDescent="0.2">
      <c r="A23" s="79"/>
      <c r="B23" s="89"/>
      <c r="C23" s="89"/>
      <c r="D23" s="89"/>
      <c r="F23" s="57">
        <f t="shared" si="4"/>
        <v>11</v>
      </c>
      <c r="G23" s="167">
        <f t="shared" si="5"/>
        <v>44501</v>
      </c>
      <c r="H23" s="75">
        <v>1888968618.03671</v>
      </c>
      <c r="R23" s="79"/>
    </row>
    <row r="24" spans="1:18" s="78" customFormat="1" ht="15" customHeight="1" x14ac:dyDescent="0.25">
      <c r="A24" s="79"/>
      <c r="B24" s="89"/>
      <c r="C24" s="89"/>
      <c r="D24" s="89"/>
      <c r="F24" s="57">
        <f t="shared" si="4"/>
        <v>12</v>
      </c>
      <c r="G24" s="167">
        <f t="shared" si="5"/>
        <v>44531</v>
      </c>
      <c r="H24" s="75">
        <v>2229980023.5918298</v>
      </c>
      <c r="M24" s="113"/>
      <c r="N24" s="113"/>
      <c r="O24" s="89"/>
      <c r="P24" s="89"/>
      <c r="Q24" s="89"/>
      <c r="R24" s="89"/>
    </row>
    <row r="25" spans="1:18" s="78" customFormat="1" ht="15" x14ac:dyDescent="0.25">
      <c r="A25" s="79"/>
      <c r="B25" s="89"/>
      <c r="C25" s="89"/>
      <c r="D25" s="89"/>
      <c r="F25" s="57">
        <f t="shared" si="4"/>
        <v>13</v>
      </c>
      <c r="G25" s="167">
        <f t="shared" si="5"/>
        <v>44562</v>
      </c>
      <c r="H25" s="75">
        <v>2440322024.7986698</v>
      </c>
      <c r="M25" s="113"/>
      <c r="N25" s="113"/>
      <c r="O25" s="89"/>
      <c r="P25" s="89"/>
      <c r="Q25" s="89"/>
      <c r="R25" s="89"/>
    </row>
    <row r="26" spans="1:18" s="78" customFormat="1" x14ac:dyDescent="0.2">
      <c r="A26" s="79"/>
      <c r="D26" s="79"/>
      <c r="F26" s="57">
        <f t="shared" si="4"/>
        <v>14</v>
      </c>
      <c r="G26" s="167">
        <f t="shared" si="5"/>
        <v>44593</v>
      </c>
      <c r="H26" s="75">
        <v>2158987042.9734602</v>
      </c>
      <c r="O26" s="89"/>
      <c r="P26" s="89"/>
      <c r="Q26" s="89"/>
      <c r="R26" s="89"/>
    </row>
    <row r="27" spans="1:18" s="78" customFormat="1" ht="15" x14ac:dyDescent="0.25">
      <c r="A27" s="79"/>
      <c r="D27" s="79"/>
      <c r="F27" s="57">
        <f t="shared" si="4"/>
        <v>15</v>
      </c>
      <c r="G27" s="167">
        <f t="shared" si="5"/>
        <v>44621</v>
      </c>
      <c r="H27" s="75">
        <v>2150627711.7154398</v>
      </c>
      <c r="M27" s="113"/>
      <c r="N27" s="113"/>
      <c r="O27" s="113"/>
      <c r="P27" s="113"/>
      <c r="Q27" s="113"/>
      <c r="R27" s="114"/>
    </row>
    <row r="28" spans="1:18" s="78" customFormat="1" ht="15" x14ac:dyDescent="0.25">
      <c r="A28" s="79"/>
      <c r="D28" s="79"/>
      <c r="F28" s="79"/>
      <c r="H28" s="79"/>
      <c r="O28" s="113"/>
      <c r="P28" s="113"/>
      <c r="Q28" s="113"/>
      <c r="R28" s="114"/>
    </row>
    <row r="29" spans="1:18" s="78" customFormat="1" ht="15.75" thickBot="1" x14ac:dyDescent="0.3">
      <c r="A29" s="79"/>
      <c r="D29" s="79"/>
      <c r="F29" s="79">
        <f>F27+1</f>
        <v>16</v>
      </c>
      <c r="H29" s="90">
        <f>SUM(H13:H15)</f>
        <v>6226761396.1469898</v>
      </c>
      <c r="I29" s="52" t="str">
        <f>"January "&amp;YEAR(G15)&amp;" through March "&amp;YEAR(G13)</f>
        <v>January 2021 through March 2021</v>
      </c>
      <c r="M29" s="113"/>
      <c r="N29" s="113"/>
      <c r="O29" s="113"/>
      <c r="P29" s="113"/>
      <c r="Q29" s="113"/>
      <c r="R29" s="114"/>
    </row>
    <row r="30" spans="1:18" s="78" customFormat="1" ht="15.75" thickTop="1" x14ac:dyDescent="0.25">
      <c r="A30" s="79"/>
      <c r="D30" s="79"/>
      <c r="F30" s="79"/>
      <c r="H30" s="79"/>
      <c r="I30" s="52"/>
      <c r="M30" s="113"/>
      <c r="N30" s="113"/>
      <c r="O30" s="113"/>
      <c r="P30" s="113"/>
      <c r="Q30" s="113"/>
      <c r="R30" s="114"/>
    </row>
    <row r="31" spans="1:18" s="78" customFormat="1" ht="15.75" thickBot="1" x14ac:dyDescent="0.3">
      <c r="A31" s="79"/>
      <c r="D31" s="79"/>
      <c r="F31" s="79">
        <f>F29+1</f>
        <v>17</v>
      </c>
      <c r="H31" s="90">
        <f>SUM(H16:H27)</f>
        <v>26021030487.766079</v>
      </c>
      <c r="I31" s="171" t="str">
        <f>"April "&amp;YEAR(G16)&amp;" through March "&amp;YEAR(G27)</f>
        <v>April 2021 through March 2022</v>
      </c>
      <c r="M31" s="113"/>
      <c r="N31" s="113"/>
      <c r="O31" s="113"/>
      <c r="P31" s="113"/>
      <c r="Q31" s="113"/>
      <c r="R31" s="114"/>
    </row>
    <row r="32" spans="1:18" s="78" customFormat="1" ht="15.75" thickTop="1" x14ac:dyDescent="0.25">
      <c r="A32" s="79"/>
      <c r="D32" s="79"/>
      <c r="F32" s="79"/>
      <c r="H32" s="79"/>
      <c r="M32" s="113"/>
      <c r="N32" s="113"/>
      <c r="O32" s="113"/>
      <c r="P32" s="113"/>
      <c r="Q32" s="113"/>
      <c r="R32" s="114"/>
    </row>
    <row r="33" spans="1:18" s="78" customFormat="1" ht="15" x14ac:dyDescent="0.25">
      <c r="A33" s="79"/>
      <c r="B33" s="91" t="s">
        <v>57</v>
      </c>
      <c r="D33" s="79"/>
      <c r="F33" s="79"/>
      <c r="H33" s="79"/>
      <c r="I33" s="79"/>
      <c r="J33" s="152"/>
      <c r="M33" s="113"/>
      <c r="N33" s="113"/>
      <c r="O33" s="113"/>
      <c r="P33" s="113"/>
      <c r="Q33" s="113"/>
      <c r="R33" s="114"/>
    </row>
    <row r="34" spans="1:18" s="78" customFormat="1" x14ac:dyDescent="0.2">
      <c r="A34" s="79"/>
      <c r="B34" s="92" t="s">
        <v>103</v>
      </c>
      <c r="D34" s="79"/>
      <c r="F34" s="79"/>
      <c r="H34" s="79"/>
      <c r="R34" s="79"/>
    </row>
    <row r="35" spans="1:18" s="78" customFormat="1" x14ac:dyDescent="0.2">
      <c r="A35" s="79"/>
      <c r="B35" s="92" t="s">
        <v>102</v>
      </c>
      <c r="D35" s="79"/>
      <c r="F35" s="79"/>
      <c r="H35" s="79"/>
      <c r="R35" s="79"/>
    </row>
    <row r="36" spans="1:18" s="78" customFormat="1" x14ac:dyDescent="0.2">
      <c r="A36" s="79"/>
      <c r="B36" s="92" t="s">
        <v>108</v>
      </c>
      <c r="D36" s="79"/>
      <c r="F36" s="79"/>
      <c r="H36" s="79"/>
      <c r="R36" s="79"/>
    </row>
    <row r="37" spans="1:18" s="78" customFormat="1" x14ac:dyDescent="0.2">
      <c r="A37" s="79"/>
      <c r="B37" s="92" t="s">
        <v>120</v>
      </c>
      <c r="D37" s="79"/>
      <c r="F37" s="79"/>
      <c r="H37" s="79"/>
      <c r="R37" s="79"/>
    </row>
    <row r="38" spans="1:18" s="78" customFormat="1" x14ac:dyDescent="0.2">
      <c r="A38" s="79"/>
      <c r="D38" s="79"/>
      <c r="F38" s="79"/>
      <c r="H38" s="79"/>
      <c r="R38" s="79"/>
    </row>
    <row r="39" spans="1:18" s="78" customFormat="1" x14ac:dyDescent="0.2">
      <c r="A39" s="79"/>
      <c r="D39" s="79"/>
      <c r="F39" s="79"/>
      <c r="H39" s="79"/>
      <c r="R39" s="79"/>
    </row>
  </sheetData>
  <mergeCells count="5">
    <mergeCell ref="A8:D8"/>
    <mergeCell ref="F8:L8"/>
    <mergeCell ref="N8:R8"/>
    <mergeCell ref="A3:R3"/>
    <mergeCell ref="A4:R4"/>
  </mergeCells>
  <pageMargins left="1" right="1" top="1" bottom="1" header="0.3" footer="0.3"/>
  <pageSetup scale="57" fitToHeight="0" orientation="landscape" r:id="rId1"/>
  <ignoredErrors>
    <ignoredError sqref="H29 H3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36"/>
  <sheetViews>
    <sheetView zoomScale="90" zoomScaleNormal="90" workbookViewId="0">
      <selection activeCell="C15" sqref="C15:C16"/>
    </sheetView>
  </sheetViews>
  <sheetFormatPr defaultRowHeight="12.75" x14ac:dyDescent="0.2"/>
  <cols>
    <col min="1" max="1" customWidth="true" style="25" width="6.42578125" collapsed="false"/>
    <col min="2" max="2" bestFit="true" customWidth="true" style="25" width="72.0" collapsed="false"/>
    <col min="3" max="3" bestFit="true" customWidth="true" style="25" width="12.28515625" collapsed="false"/>
    <col min="4" max="16384" style="25" width="9.140625" collapsed="false"/>
  </cols>
  <sheetData>
    <row r="2" spans="1:14" x14ac:dyDescent="0.2">
      <c r="A2" s="154"/>
    </row>
    <row r="3" spans="1:14" x14ac:dyDescent="0.2">
      <c r="A3" s="182" t="s">
        <v>94</v>
      </c>
      <c r="B3" s="182"/>
      <c r="C3" s="182"/>
    </row>
    <row r="4" spans="1:14" x14ac:dyDescent="0.2">
      <c r="A4" s="182" t="str">
        <f>Sales!A4</f>
        <v>2020 TCA RECONCILIATION and 2021 NEW FACTOR CALCULATION</v>
      </c>
      <c r="B4" s="182"/>
      <c r="C4" s="182"/>
    </row>
    <row r="5" spans="1:14" x14ac:dyDescent="0.2">
      <c r="A5" s="62"/>
      <c r="C5" s="63" t="s">
        <v>96</v>
      </c>
    </row>
    <row r="6" spans="1:14" x14ac:dyDescent="0.2">
      <c r="A6" s="62"/>
      <c r="B6" s="131"/>
    </row>
    <row r="7" spans="1:14" x14ac:dyDescent="0.2">
      <c r="A7" s="1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2"/>
      <c r="B8" s="17" t="s">
        <v>93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s="1" customFormat="1" x14ac:dyDescent="0.2">
      <c r="A9" s="12"/>
      <c r="B9" s="151" t="s">
        <v>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s="1" customFormat="1" x14ac:dyDescent="0.2">
      <c r="A10" s="12"/>
      <c r="B10" s="173" t="str">
        <f>"Year Ending December 31, "&amp;YEAR(Sales!G13)</f>
        <v>Year Ending December 31, 2021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s="1" customFormat="1" x14ac:dyDescent="0.2">
      <c r="A11" s="12"/>
    </row>
    <row r="12" spans="1:14" s="1" customFormat="1" x14ac:dyDescent="0.2">
      <c r="A12" s="181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s="1" customFormat="1" x14ac:dyDescent="0.2">
      <c r="A13" s="181"/>
      <c r="B13" s="13" t="s">
        <v>5</v>
      </c>
      <c r="C13" s="26" t="s">
        <v>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13"/>
    </row>
    <row r="14" spans="1:14" s="1" customFormat="1" x14ac:dyDescent="0.2">
      <c r="A14" s="67"/>
      <c r="B14" s="13"/>
      <c r="C14" s="26" t="s">
        <v>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1:14" s="1" customFormat="1" x14ac:dyDescent="0.2">
      <c r="A15" s="12">
        <v>1</v>
      </c>
      <c r="B15" s="28" t="s">
        <v>42</v>
      </c>
      <c r="C15" s="190">
        <v>4372386</v>
      </c>
      <c r="D15" s="5"/>
      <c r="E15" s="5"/>
      <c r="F15" s="5"/>
      <c r="G15" s="5"/>
      <c r="H15" s="5"/>
      <c r="I15" s="5"/>
      <c r="J15" s="5"/>
      <c r="K15" s="5"/>
      <c r="L15" s="5"/>
      <c r="M15" s="12"/>
      <c r="N15" s="12"/>
    </row>
    <row r="16" spans="1:14" s="1" customFormat="1" x14ac:dyDescent="0.2">
      <c r="A16" s="12">
        <v>2</v>
      </c>
      <c r="B16" s="28" t="s">
        <v>43</v>
      </c>
      <c r="C16" s="191">
        <v>6.2823838403191584E-2</v>
      </c>
      <c r="D16" s="5"/>
      <c r="E16" s="5"/>
      <c r="F16" s="5"/>
      <c r="G16" s="5"/>
      <c r="H16" s="5"/>
      <c r="I16" s="5"/>
      <c r="J16" s="5"/>
      <c r="K16" s="5"/>
      <c r="L16" s="5"/>
      <c r="M16" s="12"/>
      <c r="N16" s="12"/>
    </row>
    <row r="17" spans="1:14" s="1" customFormat="1" ht="13.5" thickBot="1" x14ac:dyDescent="0.25">
      <c r="A17" s="12">
        <v>3</v>
      </c>
      <c r="B17" s="28" t="s">
        <v>44</v>
      </c>
      <c r="C17" s="30">
        <f>C15*C16</f>
        <v>274690.07150037726</v>
      </c>
      <c r="D17" s="5"/>
      <c r="E17" s="5"/>
      <c r="F17" s="5"/>
      <c r="G17" s="5"/>
      <c r="H17" s="5"/>
      <c r="I17" s="5"/>
      <c r="J17" s="5"/>
      <c r="K17" s="5"/>
      <c r="L17" s="5"/>
      <c r="M17" s="12"/>
      <c r="N17" s="12"/>
    </row>
    <row r="18" spans="1:14" s="1" customFormat="1" ht="13.5" thickTop="1" x14ac:dyDescent="0.2">
      <c r="A18" s="12"/>
      <c r="B18" s="2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1" customFormat="1" ht="25.5" x14ac:dyDescent="0.2">
      <c r="A19" s="67" t="s">
        <v>47</v>
      </c>
      <c r="B19" s="29" t="s">
        <v>57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s="1" customFormat="1" x14ac:dyDescent="0.2">
      <c r="A20" s="12">
        <v>1</v>
      </c>
      <c r="B20" s="172" t="str">
        <f>"MidAmerican's "&amp;YEAR(Sales!G13)&amp;" Attachment MM Rate Template"</f>
        <v>MidAmerican's 2021 Attachment MM Rate Template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1" customFormat="1" x14ac:dyDescent="0.2">
      <c r="A21" s="12">
        <v>2</v>
      </c>
      <c r="B21" s="172" t="str">
        <f>"Calculation of MidAmerican's "&amp;YEAR(Sales!G13)&amp;" energy forecast divided by total MISO energy "</f>
        <v xml:space="preserve">Calculation of MidAmerican's 2021 energy forecast divided by total MISO energy 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6"/>
    </row>
    <row r="22" spans="1:14" s="1" customFormat="1" x14ac:dyDescent="0.2">
      <c r="A22" s="12">
        <v>3</v>
      </c>
      <c r="B22" s="65" t="s">
        <v>116</v>
      </c>
    </row>
    <row r="23" spans="1:14" s="1" customFormat="1" x14ac:dyDescent="0.2"/>
    <row r="24" spans="1:14" s="1" customFormat="1" x14ac:dyDescent="0.2"/>
    <row r="25" spans="1:14" s="1" customFormat="1" x14ac:dyDescent="0.2"/>
    <row r="26" spans="1:14" s="1" customFormat="1" x14ac:dyDescent="0.2"/>
    <row r="27" spans="1:14" s="1" customFormat="1" x14ac:dyDescent="0.2"/>
    <row r="28" spans="1:14" s="1" customFormat="1" x14ac:dyDescent="0.2"/>
    <row r="29" spans="1:14" s="1" customFormat="1" x14ac:dyDescent="0.2"/>
    <row r="30" spans="1:14" s="1" customFormat="1" x14ac:dyDescent="0.2"/>
    <row r="31" spans="1:14" s="1" customFormat="1" x14ac:dyDescent="0.2"/>
    <row r="32" spans="1:14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3">
    <mergeCell ref="A12:A13"/>
    <mergeCell ref="A3:C3"/>
    <mergeCell ref="A4:C4"/>
  </mergeCells>
  <pageMargins left="1" right="1" top="1" bottom="1" header="0.3" footer="0.3"/>
  <pageSetup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3"/>
  <sheetViews>
    <sheetView zoomScale="90" zoomScaleNormal="90" zoomScaleSheetLayoutView="100" workbookViewId="0">
      <selection activeCell="F18" sqref="F18"/>
    </sheetView>
  </sheetViews>
  <sheetFormatPr defaultColWidth="9.140625" defaultRowHeight="12.75" x14ac:dyDescent="0.2"/>
  <cols>
    <col min="1" max="1" customWidth="true" style="2" width="5.85546875" collapsed="false"/>
    <col min="2" max="2" customWidth="true" style="1" width="39.85546875" collapsed="false"/>
    <col min="3" max="3" bestFit="true" customWidth="true" style="1" width="13.5703125" collapsed="false"/>
    <col min="4" max="9" customWidth="true" style="1" width="11.0" collapsed="false"/>
    <col min="10" max="10" customWidth="true" style="1" width="11.7109375" collapsed="false"/>
    <col min="11" max="11" bestFit="true" customWidth="true" style="1" width="11.5703125" collapsed="false"/>
    <col min="12" max="14" customWidth="true" style="1" width="11.7109375" collapsed="false"/>
    <col min="15" max="15" customWidth="true" style="1" width="12.85546875" collapsed="false"/>
    <col min="16" max="17" style="1" width="9.140625" collapsed="false"/>
    <col min="18" max="19" customWidth="true" style="1" width="9.140625" collapsed="false"/>
    <col min="20" max="16384" style="1" width="9.140625" collapsed="false"/>
  </cols>
  <sheetData>
    <row r="1" spans="1:15" x14ac:dyDescent="0.2">
      <c r="A1" s="12"/>
    </row>
    <row r="2" spans="1:15" x14ac:dyDescent="0.2">
      <c r="A2" s="155"/>
    </row>
    <row r="3" spans="1:15" x14ac:dyDescent="0.2">
      <c r="A3" s="183" t="s">
        <v>94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1:15" x14ac:dyDescent="0.2">
      <c r="A4" s="183" t="str">
        <f>Sales!A4</f>
        <v>2020 TCA RECONCILIATION and 2021 NEW FACTOR CALCULATION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</row>
    <row r="5" spans="1:15" x14ac:dyDescent="0.2">
      <c r="O5" s="64" t="s">
        <v>101</v>
      </c>
    </row>
    <row r="6" spans="1:15" x14ac:dyDescent="0.2">
      <c r="A6" s="61"/>
      <c r="B6" s="132"/>
    </row>
    <row r="8" spans="1:15" x14ac:dyDescent="0.2">
      <c r="A8" s="183" t="s">
        <v>113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</row>
    <row r="9" spans="1:15" x14ac:dyDescent="0.2">
      <c r="A9" s="184" t="s">
        <v>0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spans="1:15" x14ac:dyDescent="0.2">
      <c r="A10" s="12"/>
      <c r="I10" s="33"/>
    </row>
    <row r="11" spans="1:15" x14ac:dyDescent="0.2">
      <c r="A11" s="12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</row>
    <row r="12" spans="1:15" x14ac:dyDescent="0.2">
      <c r="A12" s="12"/>
      <c r="C12" s="43" t="s">
        <v>158</v>
      </c>
      <c r="D12" s="43" t="s">
        <v>158</v>
      </c>
      <c r="E12" s="43" t="s">
        <v>114</v>
      </c>
      <c r="F12" s="43" t="s">
        <v>114</v>
      </c>
      <c r="G12" s="43" t="s">
        <v>114</v>
      </c>
      <c r="H12" s="43" t="s">
        <v>114</v>
      </c>
      <c r="I12" s="43" t="s">
        <v>114</v>
      </c>
      <c r="J12" s="43" t="s">
        <v>114</v>
      </c>
      <c r="K12" s="43" t="s">
        <v>114</v>
      </c>
      <c r="L12" s="43" t="s">
        <v>114</v>
      </c>
      <c r="M12" s="43" t="s">
        <v>114</v>
      </c>
      <c r="N12" s="43" t="s">
        <v>114</v>
      </c>
      <c r="O12" s="43"/>
    </row>
    <row r="13" spans="1:15" ht="25.5" x14ac:dyDescent="0.2">
      <c r="A13" s="67" t="s">
        <v>7</v>
      </c>
      <c r="B13" s="16" t="s">
        <v>46</v>
      </c>
      <c r="C13" s="174">
        <f>Sales!G13</f>
        <v>44197</v>
      </c>
      <c r="D13" s="174">
        <f>EDATE(C13,1)</f>
        <v>44228</v>
      </c>
      <c r="E13" s="174">
        <f t="shared" ref="E13:N13" si="0">EDATE(D13,1)</f>
        <v>44256</v>
      </c>
      <c r="F13" s="174">
        <f t="shared" si="0"/>
        <v>44287</v>
      </c>
      <c r="G13" s="174">
        <f t="shared" si="0"/>
        <v>44317</v>
      </c>
      <c r="H13" s="174">
        <f t="shared" si="0"/>
        <v>44348</v>
      </c>
      <c r="I13" s="174">
        <f t="shared" si="0"/>
        <v>44378</v>
      </c>
      <c r="J13" s="174">
        <f t="shared" si="0"/>
        <v>44409</v>
      </c>
      <c r="K13" s="174">
        <f t="shared" si="0"/>
        <v>44440</v>
      </c>
      <c r="L13" s="174">
        <f t="shared" si="0"/>
        <v>44470</v>
      </c>
      <c r="M13" s="174">
        <f t="shared" si="0"/>
        <v>44501</v>
      </c>
      <c r="N13" s="174">
        <f t="shared" si="0"/>
        <v>44531</v>
      </c>
      <c r="O13" s="175" t="str">
        <f>YEAR(C13)&amp;" TOTAL"</f>
        <v>2021 TOTAL</v>
      </c>
    </row>
    <row r="14" spans="1:15" x14ac:dyDescent="0.2">
      <c r="A14" s="12"/>
      <c r="B14" s="5"/>
      <c r="C14" s="5"/>
      <c r="O14" s="8"/>
    </row>
    <row r="15" spans="1:15" x14ac:dyDescent="0.2">
      <c r="A15" s="12">
        <v>1</v>
      </c>
      <c r="B15" s="3" t="s">
        <v>8</v>
      </c>
      <c r="C15" s="19">
        <v>12610</v>
      </c>
      <c r="D15" s="19">
        <v>14111</v>
      </c>
      <c r="E15" s="19">
        <v>411</v>
      </c>
      <c r="F15" s="19">
        <v>7995</v>
      </c>
      <c r="G15" s="19">
        <v>6116</v>
      </c>
      <c r="H15" s="19">
        <v>838</v>
      </c>
      <c r="I15" s="19">
        <v>6765</v>
      </c>
      <c r="J15" s="19">
        <v>1548</v>
      </c>
      <c r="K15" s="19">
        <v>42174</v>
      </c>
      <c r="L15" s="19">
        <v>617</v>
      </c>
      <c r="M15" s="19">
        <v>7940</v>
      </c>
      <c r="N15" s="19">
        <v>1521</v>
      </c>
      <c r="O15" s="19">
        <f>SUM(C15:N15)</f>
        <v>102646</v>
      </c>
    </row>
    <row r="16" spans="1:15" x14ac:dyDescent="0.2">
      <c r="A16" s="12">
        <f>A15+1</f>
        <v>2</v>
      </c>
      <c r="B16" s="3" t="s">
        <v>1</v>
      </c>
      <c r="C16" s="19">
        <v>519896</v>
      </c>
      <c r="D16" s="19">
        <v>507799</v>
      </c>
      <c r="E16" s="19">
        <v>463316</v>
      </c>
      <c r="F16" s="19">
        <v>485104</v>
      </c>
      <c r="G16" s="19">
        <v>511209</v>
      </c>
      <c r="H16" s="19">
        <v>470226</v>
      </c>
      <c r="I16" s="19">
        <v>454795</v>
      </c>
      <c r="J16" s="19">
        <v>512281</v>
      </c>
      <c r="K16" s="19">
        <v>453156</v>
      </c>
      <c r="L16" s="19">
        <v>513449</v>
      </c>
      <c r="M16" s="19">
        <v>482460</v>
      </c>
      <c r="N16" s="19">
        <v>456960</v>
      </c>
      <c r="O16" s="19">
        <f t="shared" ref="O16:O20" si="1">SUM(C16:N16)</f>
        <v>5830651</v>
      </c>
    </row>
    <row r="17" spans="1:15" x14ac:dyDescent="0.2">
      <c r="A17" s="12">
        <f>A16+1</f>
        <v>3</v>
      </c>
      <c r="B17" s="3" t="s">
        <v>2</v>
      </c>
      <c r="C17" s="19">
        <v>164756</v>
      </c>
      <c r="D17" s="19">
        <v>191918</v>
      </c>
      <c r="E17" s="19">
        <v>167554</v>
      </c>
      <c r="F17" s="19">
        <v>169663</v>
      </c>
      <c r="G17" s="19">
        <v>152870</v>
      </c>
      <c r="H17" s="19">
        <v>191919</v>
      </c>
      <c r="I17" s="19">
        <v>216035</v>
      </c>
      <c r="J17" s="19">
        <v>238569</v>
      </c>
      <c r="K17" s="19">
        <v>229623</v>
      </c>
      <c r="L17" s="19">
        <v>208154</v>
      </c>
      <c r="M17" s="19">
        <v>168871</v>
      </c>
      <c r="N17" s="19">
        <v>168039</v>
      </c>
      <c r="O17" s="19">
        <f t="shared" si="1"/>
        <v>2267971</v>
      </c>
    </row>
    <row r="18" spans="1:15" x14ac:dyDescent="0.2">
      <c r="A18" s="12">
        <f>A17+1</f>
        <v>4</v>
      </c>
      <c r="B18" s="3" t="s">
        <v>3</v>
      </c>
      <c r="C18" s="19">
        <v>41290</v>
      </c>
      <c r="D18" s="19">
        <v>104052</v>
      </c>
      <c r="E18" s="19">
        <v>102136</v>
      </c>
      <c r="F18" s="19">
        <v>93413</v>
      </c>
      <c r="G18" s="19">
        <v>86973</v>
      </c>
      <c r="H18" s="19">
        <v>105667</v>
      </c>
      <c r="I18" s="19">
        <v>122910</v>
      </c>
      <c r="J18" s="19">
        <v>131351</v>
      </c>
      <c r="K18" s="19">
        <v>126426</v>
      </c>
      <c r="L18" s="19">
        <v>118426</v>
      </c>
      <c r="M18" s="19">
        <v>92977</v>
      </c>
      <c r="N18" s="19">
        <v>95603</v>
      </c>
      <c r="O18" s="19">
        <f t="shared" si="1"/>
        <v>1221224</v>
      </c>
    </row>
    <row r="19" spans="1:15" x14ac:dyDescent="0.2">
      <c r="A19" s="12">
        <f t="shared" ref="A19:A21" si="2">A18+1</f>
        <v>5</v>
      </c>
      <c r="B19" s="3" t="s">
        <v>4</v>
      </c>
      <c r="C19" s="19">
        <v>3839578</v>
      </c>
      <c r="D19" s="19">
        <v>4076988</v>
      </c>
      <c r="E19" s="19">
        <v>4008154</v>
      </c>
      <c r="F19" s="19">
        <v>4153040</v>
      </c>
      <c r="G19" s="19">
        <v>4738583</v>
      </c>
      <c r="H19" s="19">
        <v>4474886</v>
      </c>
      <c r="I19" s="19">
        <v>3734738</v>
      </c>
      <c r="J19" s="19">
        <v>3829872</v>
      </c>
      <c r="K19" s="19">
        <v>4044617</v>
      </c>
      <c r="L19" s="19">
        <v>4160378</v>
      </c>
      <c r="M19" s="19">
        <v>4288366</v>
      </c>
      <c r="N19" s="19">
        <v>3616078</v>
      </c>
      <c r="O19" s="19">
        <f t="shared" si="1"/>
        <v>48965278</v>
      </c>
    </row>
    <row r="20" spans="1:15" x14ac:dyDescent="0.2">
      <c r="A20" s="12">
        <f t="shared" si="2"/>
        <v>6</v>
      </c>
      <c r="B20" s="3" t="s">
        <v>155</v>
      </c>
      <c r="C20" s="19">
        <v>-23852.36</v>
      </c>
      <c r="D20" s="19">
        <v>-13182.449583333333</v>
      </c>
      <c r="E20" s="19">
        <v>-13182.449583333333</v>
      </c>
      <c r="F20" s="19">
        <v>-13182.449583333333</v>
      </c>
      <c r="G20" s="19">
        <v>-13182.449583333333</v>
      </c>
      <c r="H20" s="19">
        <v>-13182.449583333333</v>
      </c>
      <c r="I20" s="19">
        <v>-13182.449583333333</v>
      </c>
      <c r="J20" s="19">
        <v>-13182.449583333333</v>
      </c>
      <c r="K20" s="19">
        <v>-13182.449583333333</v>
      </c>
      <c r="L20" s="19">
        <v>-13182.449583333333</v>
      </c>
      <c r="M20" s="19">
        <v>-13182.449583333333</v>
      </c>
      <c r="N20" s="19">
        <v>-13182.449583333333</v>
      </c>
      <c r="O20" s="19">
        <f t="shared" si="1"/>
        <v>-168859.30541666667</v>
      </c>
    </row>
    <row r="21" spans="1:15" x14ac:dyDescent="0.2">
      <c r="A21" s="12">
        <f t="shared" si="2"/>
        <v>7</v>
      </c>
      <c r="B21" s="10" t="s">
        <v>6</v>
      </c>
      <c r="C21" s="20">
        <f>SUM(C15:C20)</f>
        <v>4554277.6399999997</v>
      </c>
      <c r="D21" s="20">
        <f>SUM(D15:D20)</f>
        <v>4881685.550416667</v>
      </c>
      <c r="E21" s="20">
        <f t="shared" ref="E21:O21" si="3">SUM(E15:E20)</f>
        <v>4728388.550416667</v>
      </c>
      <c r="F21" s="20">
        <f t="shared" si="3"/>
        <v>4896032.550416667</v>
      </c>
      <c r="G21" s="20">
        <f t="shared" si="3"/>
        <v>5482568.550416667</v>
      </c>
      <c r="H21" s="20">
        <f t="shared" si="3"/>
        <v>5230353.550416667</v>
      </c>
      <c r="I21" s="20">
        <f t="shared" ref="I21" si="4">SUM(I15:I20)</f>
        <v>4522060.550416667</v>
      </c>
      <c r="J21" s="20">
        <f t="shared" si="3"/>
        <v>4700438.550416667</v>
      </c>
      <c r="K21" s="20">
        <f t="shared" si="3"/>
        <v>4882813.550416667</v>
      </c>
      <c r="L21" s="20">
        <f t="shared" si="3"/>
        <v>4987841.550416667</v>
      </c>
      <c r="M21" s="20">
        <f t="shared" si="3"/>
        <v>5027431.550416667</v>
      </c>
      <c r="N21" s="20">
        <f t="shared" si="3"/>
        <v>4325018.550416667</v>
      </c>
      <c r="O21" s="20">
        <f t="shared" si="3"/>
        <v>58218910.694583334</v>
      </c>
    </row>
    <row r="22" spans="1:15" x14ac:dyDescent="0.2">
      <c r="A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5" x14ac:dyDescent="0.2">
      <c r="A23" s="12"/>
      <c r="C23" s="9"/>
      <c r="D23" s="9"/>
      <c r="E23" s="9"/>
      <c r="F23" s="9"/>
      <c r="J23" s="34"/>
    </row>
    <row r="24" spans="1:15" x14ac:dyDescent="0.2">
      <c r="A24" s="183" t="s">
        <v>115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</row>
    <row r="25" spans="1:15" x14ac:dyDescent="0.2">
      <c r="A25" s="184" t="s">
        <v>0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</row>
    <row r="26" spans="1:15" x14ac:dyDescent="0.2">
      <c r="A26" s="1"/>
    </row>
    <row r="27" spans="1:15" x14ac:dyDescent="0.2">
      <c r="A27" s="67"/>
      <c r="B27" s="13" t="s">
        <v>5</v>
      </c>
      <c r="C27" s="4">
        <f>C13</f>
        <v>44197</v>
      </c>
      <c r="D27" s="4">
        <f t="shared" ref="D27:O27" si="5">D13</f>
        <v>44228</v>
      </c>
      <c r="E27" s="4">
        <f t="shared" si="5"/>
        <v>44256</v>
      </c>
      <c r="F27" s="4">
        <f t="shared" si="5"/>
        <v>44287</v>
      </c>
      <c r="G27" s="4">
        <f t="shared" si="5"/>
        <v>44317</v>
      </c>
      <c r="H27" s="4">
        <f t="shared" si="5"/>
        <v>44348</v>
      </c>
      <c r="I27" s="4">
        <f t="shared" si="5"/>
        <v>44378</v>
      </c>
      <c r="J27" s="4">
        <f t="shared" si="5"/>
        <v>44409</v>
      </c>
      <c r="K27" s="4">
        <f t="shared" si="5"/>
        <v>44440</v>
      </c>
      <c r="L27" s="4">
        <f t="shared" si="5"/>
        <v>44470</v>
      </c>
      <c r="M27" s="4">
        <f t="shared" si="5"/>
        <v>44501</v>
      </c>
      <c r="N27" s="4">
        <f t="shared" si="5"/>
        <v>44531</v>
      </c>
      <c r="O27" s="4" t="str">
        <f t="shared" si="5"/>
        <v>2021 TOTAL</v>
      </c>
    </row>
    <row r="28" spans="1:15" x14ac:dyDescent="0.2">
      <c r="A28" s="12"/>
      <c r="B28" s="12"/>
    </row>
    <row r="29" spans="1:15" x14ac:dyDescent="0.2">
      <c r="A29" s="12">
        <f>A21+1</f>
        <v>8</v>
      </c>
      <c r="B29" s="1" t="s">
        <v>56</v>
      </c>
      <c r="C29" s="20">
        <f>'A&amp;G Credit'!$C$17/12</f>
        <v>22890.839291698107</v>
      </c>
      <c r="D29" s="20">
        <f>'A&amp;G Credit'!$C$17/12</f>
        <v>22890.839291698107</v>
      </c>
      <c r="E29" s="20">
        <f>'A&amp;G Credit'!$C$17/12</f>
        <v>22890.839291698107</v>
      </c>
      <c r="F29" s="20">
        <f>'A&amp;G Credit'!$C$17/12</f>
        <v>22890.839291698107</v>
      </c>
      <c r="G29" s="20">
        <f>'A&amp;G Credit'!$C$17/12</f>
        <v>22890.839291698107</v>
      </c>
      <c r="H29" s="20">
        <f>'A&amp;G Credit'!$C$17/12</f>
        <v>22890.839291698107</v>
      </c>
      <c r="I29" s="20">
        <f>'A&amp;G Credit'!$C$17/12</f>
        <v>22890.839291698107</v>
      </c>
      <c r="J29" s="20">
        <f>'A&amp;G Credit'!$C$17/12</f>
        <v>22890.839291698107</v>
      </c>
      <c r="K29" s="20">
        <f>'A&amp;G Credit'!$C$17/12</f>
        <v>22890.839291698107</v>
      </c>
      <c r="L29" s="20">
        <f>'A&amp;G Credit'!$C$17/12</f>
        <v>22890.839291698107</v>
      </c>
      <c r="M29" s="20">
        <f>'A&amp;G Credit'!$C$17/12</f>
        <v>22890.839291698107</v>
      </c>
      <c r="N29" s="20">
        <f>'A&amp;G Credit'!$C$17/12</f>
        <v>22890.839291698107</v>
      </c>
      <c r="O29" s="20">
        <f>SUM(C29:N29)</f>
        <v>274690.07150037721</v>
      </c>
    </row>
    <row r="30" spans="1:15" x14ac:dyDescent="0.2">
      <c r="A30" s="12"/>
    </row>
    <row r="31" spans="1:15" ht="25.5" x14ac:dyDescent="0.2">
      <c r="A31" s="67" t="s">
        <v>7</v>
      </c>
      <c r="B31" s="7" t="s">
        <v>57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2">
      <c r="A32" s="12"/>
      <c r="B32" s="15" t="s">
        <v>139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4" x14ac:dyDescent="0.2">
      <c r="A33" s="12">
        <v>6</v>
      </c>
      <c r="B33" s="15" t="s">
        <v>159</v>
      </c>
      <c r="C33" s="24"/>
    </row>
    <row r="34" spans="1:14" x14ac:dyDescent="0.2">
      <c r="A34" s="12">
        <v>8</v>
      </c>
      <c r="B34" s="15" t="s">
        <v>154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 x14ac:dyDescent="0.2">
      <c r="A35" s="12"/>
    </row>
    <row r="36" spans="1:14" x14ac:dyDescent="0.2">
      <c r="A36" s="12"/>
      <c r="E36" s="32"/>
    </row>
    <row r="37" spans="1:14" x14ac:dyDescent="0.2">
      <c r="A37" s="12"/>
    </row>
    <row r="38" spans="1:14" x14ac:dyDescent="0.2">
      <c r="A38" s="12"/>
      <c r="E38" s="32"/>
    </row>
    <row r="39" spans="1:14" x14ac:dyDescent="0.2">
      <c r="A39" s="12"/>
    </row>
    <row r="40" spans="1:14" x14ac:dyDescent="0.2">
      <c r="A40" s="12"/>
    </row>
    <row r="41" spans="1:14" x14ac:dyDescent="0.2">
      <c r="A41" s="12"/>
    </row>
    <row r="42" spans="1:14" x14ac:dyDescent="0.2">
      <c r="A42" s="12"/>
    </row>
    <row r="43" spans="1:14" x14ac:dyDescent="0.2">
      <c r="A43" s="12"/>
    </row>
  </sheetData>
  <mergeCells count="6">
    <mergeCell ref="A8:O8"/>
    <mergeCell ref="A24:O24"/>
    <mergeCell ref="A25:O25"/>
    <mergeCell ref="A9:O9"/>
    <mergeCell ref="A3:O3"/>
    <mergeCell ref="A4:O4"/>
  </mergeCells>
  <printOptions horizontalCentered="1"/>
  <pageMargins left="1" right="1" top="1" bottom="1" header="0.5" footer="0.5"/>
  <pageSetup scale="58" fitToHeight="0" orientation="landscape" cellComments="asDisplayed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61"/>
  <sheetViews>
    <sheetView zoomScale="90" zoomScaleNormal="90" zoomScaleSheetLayoutView="100" workbookViewId="0">
      <selection activeCell="A26" sqref="A26:O26"/>
    </sheetView>
  </sheetViews>
  <sheetFormatPr defaultColWidth="9.140625" defaultRowHeight="12.75" x14ac:dyDescent="0.2"/>
  <cols>
    <col min="1" max="1" customWidth="true" style="11" width="6.28515625" collapsed="false"/>
    <col min="2" max="2" bestFit="true" customWidth="true" style="1" width="35.85546875" collapsed="false"/>
    <col min="3" max="15" customWidth="true" style="1" width="13.0" collapsed="false"/>
    <col min="16" max="16384" style="1" width="9.140625" collapsed="false"/>
  </cols>
  <sheetData>
    <row r="1" spans="1:15" x14ac:dyDescent="0.2">
      <c r="A1" s="12"/>
    </row>
    <row r="2" spans="1:15" x14ac:dyDescent="0.2">
      <c r="A2" s="155"/>
    </row>
    <row r="3" spans="1:15" x14ac:dyDescent="0.2">
      <c r="A3" s="183" t="s">
        <v>94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1:15" x14ac:dyDescent="0.2">
      <c r="A4" s="183" t="str">
        <f>Sales!A4</f>
        <v>2020 TCA RECONCILIATION and 2021 NEW FACTOR CALCULATION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</row>
    <row r="5" spans="1:15" x14ac:dyDescent="0.2">
      <c r="A5" s="61"/>
      <c r="O5" s="64" t="s">
        <v>100</v>
      </c>
    </row>
    <row r="6" spans="1:15" x14ac:dyDescent="0.2">
      <c r="A6" s="61"/>
      <c r="B6" s="132"/>
    </row>
    <row r="8" spans="1:15" x14ac:dyDescent="0.2">
      <c r="A8" s="183" t="s">
        <v>9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</row>
    <row r="9" spans="1:15" x14ac:dyDescent="0.2">
      <c r="A9" s="184" t="s">
        <v>0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spans="1:15" x14ac:dyDescent="0.2">
      <c r="A10" s="12"/>
    </row>
    <row r="11" spans="1:15" x14ac:dyDescent="0.2">
      <c r="A11" s="12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</row>
    <row r="12" spans="1:15" x14ac:dyDescent="0.2">
      <c r="A12" s="12"/>
      <c r="C12" s="43" t="s">
        <v>158</v>
      </c>
      <c r="D12" s="43" t="s">
        <v>114</v>
      </c>
      <c r="E12" s="43" t="s">
        <v>114</v>
      </c>
      <c r="F12" s="43" t="s">
        <v>114</v>
      </c>
      <c r="G12" s="43" t="s">
        <v>114</v>
      </c>
      <c r="H12" s="43" t="s">
        <v>114</v>
      </c>
      <c r="I12" s="43" t="s">
        <v>114</v>
      </c>
      <c r="J12" s="43" t="s">
        <v>114</v>
      </c>
      <c r="K12" s="43" t="s">
        <v>114</v>
      </c>
      <c r="L12" s="43" t="s">
        <v>114</v>
      </c>
      <c r="M12" s="43" t="s">
        <v>114</v>
      </c>
      <c r="N12" s="43" t="s">
        <v>114</v>
      </c>
      <c r="O12" s="43"/>
    </row>
    <row r="13" spans="1:15" ht="25.5" x14ac:dyDescent="0.2">
      <c r="A13" s="67" t="s">
        <v>7</v>
      </c>
      <c r="C13" s="174">
        <f>Sales!G13</f>
        <v>44197</v>
      </c>
      <c r="D13" s="174">
        <f>EDATE(C13,1)</f>
        <v>44228</v>
      </c>
      <c r="E13" s="174">
        <f t="shared" ref="E13:N13" si="0">EDATE(D13,1)</f>
        <v>44256</v>
      </c>
      <c r="F13" s="174">
        <f t="shared" si="0"/>
        <v>44287</v>
      </c>
      <c r="G13" s="174">
        <f t="shared" si="0"/>
        <v>44317</v>
      </c>
      <c r="H13" s="174">
        <f t="shared" si="0"/>
        <v>44348</v>
      </c>
      <c r="I13" s="174">
        <f t="shared" si="0"/>
        <v>44378</v>
      </c>
      <c r="J13" s="174">
        <f t="shared" si="0"/>
        <v>44409</v>
      </c>
      <c r="K13" s="174">
        <f t="shared" si="0"/>
        <v>44440</v>
      </c>
      <c r="L13" s="174">
        <f t="shared" si="0"/>
        <v>44470</v>
      </c>
      <c r="M13" s="174">
        <f t="shared" si="0"/>
        <v>44501</v>
      </c>
      <c r="N13" s="174">
        <f t="shared" si="0"/>
        <v>44531</v>
      </c>
      <c r="O13" s="175" t="str">
        <f>YEAR(C13)&amp;" TOTAL"</f>
        <v>2021 TOTAL</v>
      </c>
    </row>
    <row r="14" spans="1:15" ht="13.5" thickBot="1" x14ac:dyDescent="0.25">
      <c r="A14" s="12">
        <v>1</v>
      </c>
      <c r="B14" s="1" t="s">
        <v>9</v>
      </c>
      <c r="C14" s="18">
        <f>'Forecast Costs &amp; Credits'!C21-'Forecast Costs &amp; Credits'!C29</f>
        <v>4531386.8007083014</v>
      </c>
      <c r="D14" s="18">
        <f>'Forecast Costs &amp; Credits'!D21-'Forecast Costs &amp; Credits'!D29</f>
        <v>4858794.7111249687</v>
      </c>
      <c r="E14" s="18">
        <f>'Forecast Costs &amp; Credits'!E21-'Forecast Costs &amp; Credits'!E29</f>
        <v>4705497.7111249687</v>
      </c>
      <c r="F14" s="18">
        <f>'Forecast Costs &amp; Credits'!F21-'Forecast Costs &amp; Credits'!F29</f>
        <v>4873141.7111249687</v>
      </c>
      <c r="G14" s="18">
        <f>'Forecast Costs &amp; Credits'!G21-'Forecast Costs &amp; Credits'!G29</f>
        <v>5459677.7111249687</v>
      </c>
      <c r="H14" s="18">
        <f>'Forecast Costs &amp; Credits'!H21-'Forecast Costs &amp; Credits'!H29</f>
        <v>5207462.7111249687</v>
      </c>
      <c r="I14" s="18">
        <f>'Forecast Costs &amp; Credits'!I21-'Forecast Costs &amp; Credits'!I29</f>
        <v>4499169.7111249687</v>
      </c>
      <c r="J14" s="18">
        <f>'Forecast Costs &amp; Credits'!J21-'Forecast Costs &amp; Credits'!J29</f>
        <v>4677547.7111249687</v>
      </c>
      <c r="K14" s="18">
        <f>'Forecast Costs &amp; Credits'!K21-'Forecast Costs &amp; Credits'!K29</f>
        <v>4859922.7111249687</v>
      </c>
      <c r="L14" s="18">
        <f>'Forecast Costs &amp; Credits'!L21-'Forecast Costs &amp; Credits'!L29</f>
        <v>4964950.7111249687</v>
      </c>
      <c r="M14" s="18">
        <f>'Forecast Costs &amp; Credits'!M21-'Forecast Costs &amp; Credits'!M29</f>
        <v>5004540.7111249687</v>
      </c>
      <c r="N14" s="18">
        <f>'Forecast Costs &amp; Credits'!N21-'Forecast Costs &amp; Credits'!N29</f>
        <v>4302127.7111249687</v>
      </c>
      <c r="O14" s="18">
        <f>SUM(C14:N14)</f>
        <v>57944220.623082966</v>
      </c>
    </row>
    <row r="15" spans="1:15" ht="13.5" thickTop="1" x14ac:dyDescent="0.2">
      <c r="A15" s="12"/>
    </row>
    <row r="16" spans="1:15" x14ac:dyDescent="0.2">
      <c r="A16" s="67"/>
      <c r="B16" s="7"/>
      <c r="C16" s="14"/>
      <c r="D16" s="14"/>
      <c r="E16" s="14"/>
      <c r="F16" s="14"/>
    </row>
    <row r="17" spans="1:16" x14ac:dyDescent="0.2">
      <c r="A17" s="183" t="s">
        <v>9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</row>
    <row r="18" spans="1:16" x14ac:dyDescent="0.2">
      <c r="A18" s="184" t="s">
        <v>73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</row>
    <row r="19" spans="1:16" x14ac:dyDescent="0.2">
      <c r="A19" s="12"/>
      <c r="B19" s="15"/>
    </row>
    <row r="20" spans="1:16" x14ac:dyDescent="0.2">
      <c r="A20" s="12"/>
      <c r="B20" s="15"/>
      <c r="C20" s="43" t="str">
        <f>+C12</f>
        <v>Actual</v>
      </c>
      <c r="D20" s="43" t="str">
        <f>+D12</f>
        <v>Forecast</v>
      </c>
      <c r="E20" s="43" t="s">
        <v>114</v>
      </c>
      <c r="F20" s="43" t="s">
        <v>114</v>
      </c>
      <c r="G20" s="43" t="s">
        <v>114</v>
      </c>
      <c r="H20" s="43" t="s">
        <v>114</v>
      </c>
      <c r="I20" s="43" t="s">
        <v>114</v>
      </c>
      <c r="J20" s="43" t="s">
        <v>114</v>
      </c>
      <c r="K20" s="43" t="s">
        <v>114</v>
      </c>
      <c r="L20" s="43" t="s">
        <v>114</v>
      </c>
      <c r="M20" s="43" t="s">
        <v>114</v>
      </c>
      <c r="N20" s="43" t="s">
        <v>114</v>
      </c>
    </row>
    <row r="21" spans="1:16" x14ac:dyDescent="0.2">
      <c r="A21" s="12"/>
      <c r="B21" s="15"/>
      <c r="C21" s="4">
        <f>C13</f>
        <v>44197</v>
      </c>
      <c r="D21" s="4">
        <f t="shared" ref="D21:O21" si="1">D13</f>
        <v>44228</v>
      </c>
      <c r="E21" s="4">
        <f t="shared" si="1"/>
        <v>44256</v>
      </c>
      <c r="F21" s="4">
        <f t="shared" si="1"/>
        <v>44287</v>
      </c>
      <c r="G21" s="4">
        <f t="shared" si="1"/>
        <v>44317</v>
      </c>
      <c r="H21" s="4">
        <f t="shared" si="1"/>
        <v>44348</v>
      </c>
      <c r="I21" s="4">
        <f t="shared" si="1"/>
        <v>44378</v>
      </c>
      <c r="J21" s="4">
        <f t="shared" si="1"/>
        <v>44409</v>
      </c>
      <c r="K21" s="4">
        <f t="shared" si="1"/>
        <v>44440</v>
      </c>
      <c r="L21" s="4">
        <f t="shared" si="1"/>
        <v>44470</v>
      </c>
      <c r="M21" s="4">
        <f t="shared" si="1"/>
        <v>44501</v>
      </c>
      <c r="N21" s="4">
        <f t="shared" si="1"/>
        <v>44531</v>
      </c>
      <c r="O21" s="4" t="str">
        <f t="shared" si="1"/>
        <v>2021 TOTAL</v>
      </c>
    </row>
    <row r="22" spans="1:16" x14ac:dyDescent="0.2">
      <c r="A22" s="12">
        <v>2</v>
      </c>
      <c r="B22" s="10" t="s">
        <v>18</v>
      </c>
      <c r="C22" s="48">
        <v>0.90400000000000003</v>
      </c>
      <c r="D22" s="48">
        <f>$C$22</f>
        <v>0.90400000000000003</v>
      </c>
      <c r="E22" s="48">
        <f t="shared" ref="E22:N22" si="2">$C$22</f>
        <v>0.90400000000000003</v>
      </c>
      <c r="F22" s="48">
        <f t="shared" si="2"/>
        <v>0.90400000000000003</v>
      </c>
      <c r="G22" s="48">
        <f t="shared" si="2"/>
        <v>0.90400000000000003</v>
      </c>
      <c r="H22" s="48">
        <f t="shared" si="2"/>
        <v>0.90400000000000003</v>
      </c>
      <c r="I22" s="48">
        <f t="shared" si="2"/>
        <v>0.90400000000000003</v>
      </c>
      <c r="J22" s="48">
        <f t="shared" si="2"/>
        <v>0.90400000000000003</v>
      </c>
      <c r="K22" s="48">
        <f t="shared" si="2"/>
        <v>0.90400000000000003</v>
      </c>
      <c r="L22" s="48">
        <f t="shared" si="2"/>
        <v>0.90400000000000003</v>
      </c>
      <c r="M22" s="48">
        <f t="shared" si="2"/>
        <v>0.90400000000000003</v>
      </c>
      <c r="N22" s="48">
        <f t="shared" si="2"/>
        <v>0.90400000000000003</v>
      </c>
      <c r="O22" s="111"/>
    </row>
    <row r="23" spans="1:16" ht="13.5" thickBot="1" x14ac:dyDescent="0.25">
      <c r="A23" s="12">
        <v>3</v>
      </c>
      <c r="B23" s="10" t="s">
        <v>17</v>
      </c>
      <c r="C23" s="18">
        <f>C14*C22</f>
        <v>4096373.6678403043</v>
      </c>
      <c r="D23" s="18">
        <f t="shared" ref="D23:N23" si="3">D14*D22</f>
        <v>4392350.4188569719</v>
      </c>
      <c r="E23" s="18">
        <f t="shared" si="3"/>
        <v>4253769.930856972</v>
      </c>
      <c r="F23" s="18">
        <f t="shared" si="3"/>
        <v>4405320.106856972</v>
      </c>
      <c r="G23" s="18">
        <f t="shared" si="3"/>
        <v>4935548.6508569717</v>
      </c>
      <c r="H23" s="18">
        <f t="shared" si="3"/>
        <v>4707546.2908569714</v>
      </c>
      <c r="I23" s="18">
        <f t="shared" si="3"/>
        <v>4067249.4188569719</v>
      </c>
      <c r="J23" s="18">
        <f t="shared" si="3"/>
        <v>4228503.1308569722</v>
      </c>
      <c r="K23" s="18">
        <f t="shared" si="3"/>
        <v>4393370.1308569722</v>
      </c>
      <c r="L23" s="18">
        <f t="shared" si="3"/>
        <v>4488315.4428569721</v>
      </c>
      <c r="M23" s="18">
        <f t="shared" si="3"/>
        <v>4524104.8028569715</v>
      </c>
      <c r="N23" s="18">
        <f t="shared" si="3"/>
        <v>3889123.450856972</v>
      </c>
      <c r="O23" s="18">
        <f>SUM(C23:N23)</f>
        <v>52381575.443267003</v>
      </c>
    </row>
    <row r="24" spans="1:16" ht="13.5" thickTop="1" x14ac:dyDescent="0.2">
      <c r="A24" s="12"/>
      <c r="B24" s="7"/>
    </row>
    <row r="25" spans="1:16" x14ac:dyDescent="0.2">
      <c r="A25" s="12"/>
      <c r="B25" s="15"/>
    </row>
    <row r="26" spans="1:16" x14ac:dyDescent="0.2">
      <c r="A26" s="183" t="s">
        <v>9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</row>
    <row r="27" spans="1:16" x14ac:dyDescent="0.2">
      <c r="A27" s="184" t="s">
        <v>74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</row>
    <row r="28" spans="1:16" x14ac:dyDescent="0.2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</row>
    <row r="29" spans="1:16" x14ac:dyDescent="0.2">
      <c r="A29" s="178"/>
      <c r="B29" s="178"/>
      <c r="C29" s="43" t="str">
        <f>+C12</f>
        <v>Actual</v>
      </c>
      <c r="D29" s="43" t="str">
        <f>+D12</f>
        <v>Forecast</v>
      </c>
      <c r="E29" s="43" t="s">
        <v>114</v>
      </c>
      <c r="F29" s="43" t="s">
        <v>114</v>
      </c>
      <c r="G29" s="43" t="s">
        <v>114</v>
      </c>
      <c r="H29" s="43" t="s">
        <v>114</v>
      </c>
      <c r="I29" s="43" t="s">
        <v>114</v>
      </c>
      <c r="J29" s="43" t="s">
        <v>114</v>
      </c>
      <c r="K29" s="43" t="s">
        <v>114</v>
      </c>
      <c r="L29" s="43" t="s">
        <v>114</v>
      </c>
      <c r="M29" s="43" t="s">
        <v>114</v>
      </c>
      <c r="N29" s="43" t="s">
        <v>114</v>
      </c>
      <c r="O29" s="178"/>
    </row>
    <row r="30" spans="1:16" x14ac:dyDescent="0.2">
      <c r="A30" s="12"/>
      <c r="C30" s="4">
        <f>C13</f>
        <v>44197</v>
      </c>
      <c r="D30" s="4">
        <f t="shared" ref="D30:O30" si="4">D13</f>
        <v>44228</v>
      </c>
      <c r="E30" s="4">
        <f t="shared" si="4"/>
        <v>44256</v>
      </c>
      <c r="F30" s="4">
        <f t="shared" si="4"/>
        <v>44287</v>
      </c>
      <c r="G30" s="4">
        <f t="shared" si="4"/>
        <v>44317</v>
      </c>
      <c r="H30" s="4">
        <f t="shared" si="4"/>
        <v>44348</v>
      </c>
      <c r="I30" s="4">
        <f t="shared" si="4"/>
        <v>44378</v>
      </c>
      <c r="J30" s="4">
        <f t="shared" si="4"/>
        <v>44409</v>
      </c>
      <c r="K30" s="4">
        <f t="shared" si="4"/>
        <v>44440</v>
      </c>
      <c r="L30" s="4">
        <f t="shared" si="4"/>
        <v>44470</v>
      </c>
      <c r="M30" s="4">
        <f t="shared" si="4"/>
        <v>44501</v>
      </c>
      <c r="N30" s="4">
        <f t="shared" si="4"/>
        <v>44531</v>
      </c>
      <c r="O30" s="4" t="str">
        <f t="shared" si="4"/>
        <v>2021 TOTAL</v>
      </c>
    </row>
    <row r="31" spans="1:16" x14ac:dyDescent="0.2">
      <c r="A31" s="12">
        <v>4</v>
      </c>
      <c r="B31" s="3" t="s">
        <v>11</v>
      </c>
      <c r="C31" s="19">
        <f t="shared" ref="C31:D37" si="5">C$23*$C44</f>
        <v>1290164.8572148536</v>
      </c>
      <c r="D31" s="19">
        <f t="shared" si="5"/>
        <v>1383383.5998584318</v>
      </c>
      <c r="E31" s="19">
        <f t="shared" ref="E31:N31" si="6">E$23*$C44</f>
        <v>1339737.2701993636</v>
      </c>
      <c r="F31" s="19">
        <f t="shared" si="6"/>
        <v>1387468.440994388</v>
      </c>
      <c r="G31" s="19">
        <f t="shared" si="6"/>
        <v>1554465.4703746841</v>
      </c>
      <c r="H31" s="19">
        <f t="shared" si="6"/>
        <v>1482655.4608183203</v>
      </c>
      <c r="I31" s="19">
        <f t="shared" si="6"/>
        <v>1280992.0898899233</v>
      </c>
      <c r="J31" s="19">
        <f t="shared" si="6"/>
        <v>1331779.4177040705</v>
      </c>
      <c r="K31" s="19">
        <f t="shared" si="6"/>
        <v>1383704.7611326606</v>
      </c>
      <c r="L31" s="19">
        <f t="shared" si="6"/>
        <v>1413608.0645986947</v>
      </c>
      <c r="M31" s="19">
        <f t="shared" si="6"/>
        <v>1424880.0281152832</v>
      </c>
      <c r="N31" s="19">
        <f t="shared" si="6"/>
        <v>1224890.7957440356</v>
      </c>
      <c r="O31" s="19">
        <f>SUM(C31:N31)</f>
        <v>16497730.256644709</v>
      </c>
      <c r="P31" s="117"/>
    </row>
    <row r="32" spans="1:16" x14ac:dyDescent="0.2">
      <c r="A32" s="12">
        <v>5</v>
      </c>
      <c r="B32" s="3" t="s">
        <v>13</v>
      </c>
      <c r="C32" s="19">
        <f t="shared" si="5"/>
        <v>402673.29163707601</v>
      </c>
      <c r="D32" s="19">
        <f t="shared" si="5"/>
        <v>431767.78892759397</v>
      </c>
      <c r="E32" s="19">
        <f t="shared" ref="D32:N38" si="7">E$23*$C45</f>
        <v>418145.33507341403</v>
      </c>
      <c r="F32" s="19">
        <f t="shared" si="7"/>
        <v>433042.70849840046</v>
      </c>
      <c r="G32" s="19">
        <f t="shared" si="7"/>
        <v>485164.14331979468</v>
      </c>
      <c r="H32" s="19">
        <f t="shared" si="7"/>
        <v>462751.52468517044</v>
      </c>
      <c r="I32" s="19">
        <f t="shared" si="7"/>
        <v>399810.37966772943</v>
      </c>
      <c r="J32" s="19">
        <f t="shared" si="7"/>
        <v>415661.61011321051</v>
      </c>
      <c r="K32" s="19">
        <f t="shared" si="7"/>
        <v>431868.02655747271</v>
      </c>
      <c r="L32" s="19">
        <f t="shared" si="7"/>
        <v>441201.14516642661</v>
      </c>
      <c r="M32" s="19">
        <f t="shared" si="7"/>
        <v>444719.23715835717</v>
      </c>
      <c r="N32" s="19">
        <f t="shared" si="7"/>
        <v>382300.60744560295</v>
      </c>
      <c r="O32" s="19">
        <f t="shared" ref="O32:O38" si="8">SUM(C32:N32)</f>
        <v>5149105.7982502496</v>
      </c>
    </row>
    <row r="33" spans="1:15" x14ac:dyDescent="0.2">
      <c r="A33" s="12">
        <v>6</v>
      </c>
      <c r="B33" s="3" t="s">
        <v>12</v>
      </c>
      <c r="C33" s="19">
        <f t="shared" si="5"/>
        <v>306434.42104363622</v>
      </c>
      <c r="D33" s="19">
        <f t="shared" si="5"/>
        <v>328575.33681316528</v>
      </c>
      <c r="E33" s="19">
        <f t="shared" si="7"/>
        <v>318208.64787030488</v>
      </c>
      <c r="F33" s="19">
        <f t="shared" si="7"/>
        <v>329545.55075253278</v>
      </c>
      <c r="G33" s="19">
        <f t="shared" si="7"/>
        <v>369209.96861974191</v>
      </c>
      <c r="H33" s="19">
        <f t="shared" si="7"/>
        <v>352153.96327245177</v>
      </c>
      <c r="I33" s="19">
        <f t="shared" si="7"/>
        <v>304255.74470714771</v>
      </c>
      <c r="J33" s="19">
        <f t="shared" si="7"/>
        <v>316318.53289119276</v>
      </c>
      <c r="K33" s="19">
        <f t="shared" si="7"/>
        <v>328651.61766098061</v>
      </c>
      <c r="L33" s="19">
        <f t="shared" si="7"/>
        <v>335754.12199107668</v>
      </c>
      <c r="M33" s="19">
        <f t="shared" si="7"/>
        <v>338431.3903997725</v>
      </c>
      <c r="N33" s="19">
        <f t="shared" si="7"/>
        <v>290930.80604116537</v>
      </c>
      <c r="O33" s="19">
        <f t="shared" si="8"/>
        <v>3918470.1020631688</v>
      </c>
    </row>
    <row r="34" spans="1:15" x14ac:dyDescent="0.2">
      <c r="A34" s="12">
        <v>7</v>
      </c>
      <c r="B34" s="3" t="s">
        <v>19</v>
      </c>
      <c r="C34" s="19">
        <f t="shared" si="5"/>
        <v>1125108.2869287927</v>
      </c>
      <c r="D34" s="19">
        <f t="shared" si="5"/>
        <v>1206401.138194161</v>
      </c>
      <c r="E34" s="19">
        <f t="shared" si="7"/>
        <v>1168338.6790294824</v>
      </c>
      <c r="F34" s="19">
        <f t="shared" si="7"/>
        <v>1209963.3873029866</v>
      </c>
      <c r="G34" s="19">
        <f t="shared" si="7"/>
        <v>1355595.7385467417</v>
      </c>
      <c r="H34" s="19">
        <f t="shared" si="7"/>
        <v>1292972.7052308945</v>
      </c>
      <c r="I34" s="19">
        <f t="shared" si="7"/>
        <v>1117109.0328229044</v>
      </c>
      <c r="J34" s="19">
        <f t="shared" si="7"/>
        <v>1161398.9102561029</v>
      </c>
      <c r="K34" s="19">
        <f t="shared" si="7"/>
        <v>1206681.2118677343</v>
      </c>
      <c r="L34" s="19">
        <f t="shared" si="7"/>
        <v>1232758.8517507578</v>
      </c>
      <c r="M34" s="19">
        <f t="shared" si="7"/>
        <v>1242588.7424748398</v>
      </c>
      <c r="N34" s="19">
        <f t="shared" si="7"/>
        <v>1068185.0285780295</v>
      </c>
      <c r="O34" s="19">
        <f t="shared" si="8"/>
        <v>14387101.712983428</v>
      </c>
    </row>
    <row r="35" spans="1:15" x14ac:dyDescent="0.2">
      <c r="A35" s="12">
        <v>8</v>
      </c>
      <c r="B35" s="3" t="s">
        <v>14</v>
      </c>
      <c r="C35" s="19">
        <f t="shared" si="5"/>
        <v>959492.01750288834</v>
      </c>
      <c r="D35" s="19">
        <f t="shared" si="5"/>
        <v>1028818.5372480112</v>
      </c>
      <c r="E35" s="19">
        <f t="shared" si="7"/>
        <v>996358.88322241604</v>
      </c>
      <c r="F35" s="19">
        <f t="shared" si="7"/>
        <v>1031856.42224449</v>
      </c>
      <c r="G35" s="19">
        <f t="shared" si="7"/>
        <v>1156051.6487235243</v>
      </c>
      <c r="H35" s="19">
        <f t="shared" si="7"/>
        <v>1102646.7442566038</v>
      </c>
      <c r="I35" s="19">
        <f t="shared" si="7"/>
        <v>952670.25594469358</v>
      </c>
      <c r="J35" s="19">
        <f t="shared" si="7"/>
        <v>990440.65044541855</v>
      </c>
      <c r="K35" s="19">
        <f t="shared" si="7"/>
        <v>1029057.3839947896</v>
      </c>
      <c r="L35" s="19">
        <f t="shared" si="7"/>
        <v>1051296.3876478304</v>
      </c>
      <c r="M35" s="19">
        <f t="shared" si="7"/>
        <v>1059679.3155777527</v>
      </c>
      <c r="N35" s="19">
        <f t="shared" si="7"/>
        <v>910947.87945649528</v>
      </c>
      <c r="O35" s="19">
        <f t="shared" si="8"/>
        <v>12269316.126264913</v>
      </c>
    </row>
    <row r="36" spans="1:15" x14ac:dyDescent="0.2">
      <c r="A36" s="12">
        <v>9</v>
      </c>
      <c r="B36" s="3" t="s">
        <v>20</v>
      </c>
      <c r="C36" s="19">
        <f t="shared" si="5"/>
        <v>703.05058900343397</v>
      </c>
      <c r="D36" s="19">
        <f t="shared" si="5"/>
        <v>753.8483545410927</v>
      </c>
      <c r="E36" s="19">
        <f t="shared" si="7"/>
        <v>730.0641244847194</v>
      </c>
      <c r="F36" s="19">
        <f t="shared" si="7"/>
        <v>756.07431035639752</v>
      </c>
      <c r="G36" s="19">
        <f t="shared" si="7"/>
        <v>847.07613792213544</v>
      </c>
      <c r="H36" s="19">
        <f t="shared" si="7"/>
        <v>807.94465078495614</v>
      </c>
      <c r="I36" s="19">
        <f t="shared" si="7"/>
        <v>698.05206541590928</v>
      </c>
      <c r="J36" s="19">
        <f t="shared" si="7"/>
        <v>725.72764542723212</v>
      </c>
      <c r="K36" s="19">
        <f t="shared" si="7"/>
        <v>754.0233652164718</v>
      </c>
      <c r="L36" s="19">
        <f t="shared" si="7"/>
        <v>770.31859678891465</v>
      </c>
      <c r="M36" s="19">
        <f t="shared" si="7"/>
        <v>776.4610370710584</v>
      </c>
      <c r="N36" s="19">
        <f t="shared" si="7"/>
        <v>667.48074139281755</v>
      </c>
      <c r="O36" s="19">
        <f t="shared" si="8"/>
        <v>8990.1216184051391</v>
      </c>
    </row>
    <row r="37" spans="1:15" x14ac:dyDescent="0.2">
      <c r="A37" s="12">
        <v>10</v>
      </c>
      <c r="B37" s="3" t="s">
        <v>15</v>
      </c>
      <c r="C37" s="19">
        <f t="shared" si="5"/>
        <v>6417.7505563937084</v>
      </c>
      <c r="D37" s="19">
        <f t="shared" si="5"/>
        <v>6881.4545815976098</v>
      </c>
      <c r="E37" s="19">
        <f t="shared" si="7"/>
        <v>6664.3418189242266</v>
      </c>
      <c r="F37" s="19">
        <f t="shared" si="7"/>
        <v>6901.7740712554314</v>
      </c>
      <c r="G37" s="19">
        <f t="shared" si="7"/>
        <v>7732.4782035437083</v>
      </c>
      <c r="H37" s="19">
        <f t="shared" si="7"/>
        <v>7375.2690250361857</v>
      </c>
      <c r="I37" s="19">
        <f t="shared" si="7"/>
        <v>6372.1218661732009</v>
      </c>
      <c r="J37" s="19">
        <f t="shared" si="7"/>
        <v>6624.7565581773033</v>
      </c>
      <c r="K37" s="19">
        <f t="shared" si="7"/>
        <v>6883.0521549114756</v>
      </c>
      <c r="L37" s="19">
        <f t="shared" si="7"/>
        <v>7031.8020928623828</v>
      </c>
      <c r="M37" s="19">
        <f t="shared" si="7"/>
        <v>7087.8729505715301</v>
      </c>
      <c r="N37" s="19">
        <f t="shared" si="7"/>
        <v>6093.0535674935854</v>
      </c>
      <c r="O37" s="19">
        <f t="shared" si="8"/>
        <v>82065.727446940349</v>
      </c>
    </row>
    <row r="38" spans="1:15" x14ac:dyDescent="0.2">
      <c r="A38" s="12">
        <v>11</v>
      </c>
      <c r="B38" s="3" t="s">
        <v>16</v>
      </c>
      <c r="C38" s="19">
        <f>C$23*$C51</f>
        <v>5379.9923676602002</v>
      </c>
      <c r="D38" s="19">
        <f t="shared" si="7"/>
        <v>5768.7148794700315</v>
      </c>
      <c r="E38" s="19">
        <f t="shared" si="7"/>
        <v>5586.7095185822145</v>
      </c>
      <c r="F38" s="19">
        <f t="shared" si="7"/>
        <v>5785.7486825624437</v>
      </c>
      <c r="G38" s="19">
        <f t="shared" si="7"/>
        <v>6482.1269310193393</v>
      </c>
      <c r="H38" s="19">
        <f t="shared" si="7"/>
        <v>6182.6789177097453</v>
      </c>
      <c r="I38" s="19">
        <f t="shared" si="7"/>
        <v>5341.7418929844434</v>
      </c>
      <c r="J38" s="19">
        <f t="shared" si="7"/>
        <v>5553.52524337256</v>
      </c>
      <c r="K38" s="19">
        <f t="shared" si="7"/>
        <v>5770.0541232065789</v>
      </c>
      <c r="L38" s="19">
        <f t="shared" si="7"/>
        <v>5894.7510125346525</v>
      </c>
      <c r="M38" s="19">
        <f t="shared" si="7"/>
        <v>5941.7551433235694</v>
      </c>
      <c r="N38" s="19">
        <f t="shared" si="7"/>
        <v>5107.7992827568632</v>
      </c>
      <c r="O38" s="19">
        <f t="shared" si="8"/>
        <v>68795.597995182645</v>
      </c>
    </row>
    <row r="39" spans="1:15" ht="13.5" thickBot="1" x14ac:dyDescent="0.25">
      <c r="A39" s="12">
        <v>12</v>
      </c>
      <c r="B39" s="10" t="s">
        <v>6</v>
      </c>
      <c r="C39" s="18">
        <f>SUM(C31:C38)</f>
        <v>4096373.6678403043</v>
      </c>
      <c r="D39" s="18">
        <f t="shared" ref="D39:E39" si="9">SUM(D31:D38)</f>
        <v>4392350.4188569719</v>
      </c>
      <c r="E39" s="18">
        <f t="shared" si="9"/>
        <v>4253769.930856972</v>
      </c>
      <c r="F39" s="18">
        <f t="shared" ref="F39" si="10">SUM(F31:F38)</f>
        <v>4405320.1068569729</v>
      </c>
      <c r="G39" s="18">
        <f t="shared" ref="G39" si="11">SUM(G31:G38)</f>
        <v>4935548.6508569708</v>
      </c>
      <c r="H39" s="18">
        <f t="shared" ref="H39" si="12">SUM(H31:H38)</f>
        <v>4707546.2908569714</v>
      </c>
      <c r="I39" s="18">
        <f t="shared" ref="I39" si="13">SUM(I31:I38)</f>
        <v>4067249.4188569719</v>
      </c>
      <c r="J39" s="18">
        <f t="shared" ref="J39" si="14">SUM(J31:J38)</f>
        <v>4228503.1308569722</v>
      </c>
      <c r="K39" s="18">
        <f t="shared" ref="K39" si="15">SUM(K31:K38)</f>
        <v>4393370.1308569731</v>
      </c>
      <c r="L39" s="18">
        <f t="shared" ref="L39" si="16">SUM(L31:L38)</f>
        <v>4488315.4428569721</v>
      </c>
      <c r="M39" s="18">
        <f t="shared" ref="M39" si="17">SUM(M31:M38)</f>
        <v>4524104.8028569724</v>
      </c>
      <c r="N39" s="18">
        <f t="shared" ref="N39" si="18">SUM(N31:N38)</f>
        <v>3889123.450856972</v>
      </c>
      <c r="O39" s="18">
        <f>SUM(C39:N39)</f>
        <v>52381575.443267003</v>
      </c>
    </row>
    <row r="40" spans="1:15" ht="13.5" thickTop="1" x14ac:dyDescent="0.2">
      <c r="A40" s="1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">
      <c r="A41" s="12"/>
    </row>
    <row r="42" spans="1:15" x14ac:dyDescent="0.2">
      <c r="A42" s="12"/>
      <c r="M42" s="78"/>
    </row>
    <row r="43" spans="1:15" x14ac:dyDescent="0.2">
      <c r="A43" s="12"/>
      <c r="B43" s="1" t="s">
        <v>45</v>
      </c>
    </row>
    <row r="44" spans="1:15" x14ac:dyDescent="0.2">
      <c r="A44" s="12">
        <f>A39+1</f>
        <v>13</v>
      </c>
      <c r="B44" s="35" t="s">
        <v>11</v>
      </c>
      <c r="C44" s="192">
        <v>0.3149529222257344</v>
      </c>
      <c r="E44" s="163"/>
    </row>
    <row r="45" spans="1:15" x14ac:dyDescent="0.2">
      <c r="A45" s="12">
        <f>A44+1</f>
        <v>14</v>
      </c>
      <c r="B45" s="35" t="s">
        <v>13</v>
      </c>
      <c r="C45" s="192">
        <v>9.8299941433168614E-2</v>
      </c>
      <c r="E45" s="163"/>
    </row>
    <row r="46" spans="1:15" x14ac:dyDescent="0.2">
      <c r="A46" s="12">
        <f t="shared" ref="A46:A51" si="19">A45+1</f>
        <v>15</v>
      </c>
      <c r="B46" s="35" t="s">
        <v>12</v>
      </c>
      <c r="C46" s="192">
        <v>7.4806266686406803E-2</v>
      </c>
      <c r="E46" s="163"/>
    </row>
    <row r="47" spans="1:15" x14ac:dyDescent="0.2">
      <c r="A47" s="12">
        <f t="shared" si="19"/>
        <v>16</v>
      </c>
      <c r="B47" s="35" t="s">
        <v>19</v>
      </c>
      <c r="C47" s="192">
        <v>0.27465958385626815</v>
      </c>
      <c r="E47" s="163"/>
    </row>
    <row r="48" spans="1:15" x14ac:dyDescent="0.2">
      <c r="A48" s="12">
        <f t="shared" si="19"/>
        <v>17</v>
      </c>
      <c r="B48" s="35" t="s">
        <v>14</v>
      </c>
      <c r="C48" s="192">
        <v>0.23422961265366032</v>
      </c>
      <c r="E48" s="163"/>
    </row>
    <row r="49" spans="1:10" x14ac:dyDescent="0.2">
      <c r="A49" s="12">
        <f t="shared" si="19"/>
        <v>18</v>
      </c>
      <c r="B49" s="35" t="s">
        <v>20</v>
      </c>
      <c r="C49" s="192">
        <v>1.7162755305330757E-4</v>
      </c>
      <c r="E49" s="163"/>
    </row>
    <row r="50" spans="1:10" x14ac:dyDescent="0.2">
      <c r="A50" s="12">
        <f t="shared" si="19"/>
        <v>19</v>
      </c>
      <c r="B50" s="35" t="s">
        <v>15</v>
      </c>
      <c r="C50" s="192">
        <v>1.5666907066554999E-3</v>
      </c>
      <c r="E50" s="163"/>
    </row>
    <row r="51" spans="1:10" x14ac:dyDescent="0.2">
      <c r="A51" s="12">
        <f t="shared" si="19"/>
        <v>20</v>
      </c>
      <c r="B51" s="35" t="s">
        <v>16</v>
      </c>
      <c r="C51" s="192">
        <v>1.3133548850529173E-3</v>
      </c>
      <c r="E51" s="163"/>
    </row>
    <row r="52" spans="1:10" x14ac:dyDescent="0.2">
      <c r="B52" s="35"/>
      <c r="C52" s="157">
        <f>SUM(C44:C51)</f>
        <v>0.99999999999999989</v>
      </c>
      <c r="I52" s="32"/>
      <c r="J52" s="32"/>
    </row>
    <row r="53" spans="1:10" x14ac:dyDescent="0.2">
      <c r="C53" s="148"/>
      <c r="I53" s="32"/>
      <c r="J53" s="32"/>
    </row>
    <row r="54" spans="1:10" ht="25.5" x14ac:dyDescent="0.2">
      <c r="A54" s="59" t="s">
        <v>7</v>
      </c>
      <c r="B54" s="7" t="s">
        <v>57</v>
      </c>
      <c r="I54" s="32"/>
      <c r="J54" s="32"/>
    </row>
    <row r="55" spans="1:10" x14ac:dyDescent="0.2">
      <c r="A55" s="12">
        <v>1</v>
      </c>
      <c r="B55" s="15" t="s">
        <v>156</v>
      </c>
      <c r="I55" s="32"/>
      <c r="J55" s="32"/>
    </row>
    <row r="56" spans="1:10" x14ac:dyDescent="0.2">
      <c r="A56" s="12">
        <v>2</v>
      </c>
      <c r="B56" s="15" t="s">
        <v>105</v>
      </c>
      <c r="I56" s="32"/>
      <c r="J56" s="32"/>
    </row>
    <row r="57" spans="1:10" x14ac:dyDescent="0.2">
      <c r="A57" s="12">
        <v>3</v>
      </c>
      <c r="B57" s="15" t="s">
        <v>104</v>
      </c>
      <c r="I57" s="32"/>
      <c r="J57" s="32"/>
    </row>
    <row r="58" spans="1:10" x14ac:dyDescent="0.2">
      <c r="A58" s="33" t="s">
        <v>106</v>
      </c>
      <c r="B58" s="15" t="s">
        <v>107</v>
      </c>
      <c r="I58" s="32"/>
      <c r="J58" s="32"/>
    </row>
    <row r="59" spans="1:10" x14ac:dyDescent="0.2">
      <c r="I59" s="32"/>
      <c r="J59" s="32"/>
    </row>
    <row r="60" spans="1:10" x14ac:dyDescent="0.2">
      <c r="I60" s="32"/>
      <c r="J60" s="32"/>
    </row>
    <row r="61" spans="1:10" x14ac:dyDescent="0.2">
      <c r="I61" s="32"/>
      <c r="J61" s="32"/>
    </row>
  </sheetData>
  <mergeCells count="8">
    <mergeCell ref="A3:O3"/>
    <mergeCell ref="A4:O4"/>
    <mergeCell ref="A27:O27"/>
    <mergeCell ref="A8:O8"/>
    <mergeCell ref="A9:O9"/>
    <mergeCell ref="A17:O17"/>
    <mergeCell ref="A18:O18"/>
    <mergeCell ref="A26:O26"/>
  </mergeCells>
  <printOptions horizontalCentered="1"/>
  <pageMargins left="1" right="1" top="1" bottom="1" header="0.5" footer="0.5"/>
  <pageSetup scale="54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64"/>
  <sheetViews>
    <sheetView topLeftCell="A19" zoomScale="80" zoomScaleNormal="80" zoomScaleSheetLayoutView="100" workbookViewId="0">
      <selection activeCell="B63" sqref="B63"/>
    </sheetView>
  </sheetViews>
  <sheetFormatPr defaultColWidth="9.140625" defaultRowHeight="12.75" x14ac:dyDescent="0.2"/>
  <cols>
    <col min="1" max="1" customWidth="true" style="12" width="7.7109375" collapsed="false"/>
    <col min="2" max="2" bestFit="true" customWidth="true" style="1" width="32.7109375" collapsed="false"/>
    <col min="3" max="3" bestFit="true" customWidth="true" style="1" width="17.0" collapsed="false"/>
    <col min="4" max="15" bestFit="true" customWidth="true" style="1" width="14.85546875" collapsed="false"/>
    <col min="16" max="16" bestFit="true" customWidth="true" style="1" width="17.0" collapsed="false"/>
    <col min="17" max="17" style="1" width="9.140625" collapsed="false"/>
    <col min="18" max="18" bestFit="true" customWidth="true" style="1" width="12.5703125" collapsed="false"/>
    <col min="19" max="19" customWidth="true" style="1" width="12.5703125" collapsed="false"/>
    <col min="20" max="20" bestFit="true" customWidth="true" style="1" width="14.140625" collapsed="false"/>
    <col min="21" max="16384" style="1" width="9.140625" collapsed="false"/>
  </cols>
  <sheetData>
    <row r="1" spans="1:22" ht="23.25" x14ac:dyDescent="0.35">
      <c r="G1" s="158"/>
      <c r="H1" s="158"/>
      <c r="I1" s="158"/>
      <c r="J1" s="158"/>
    </row>
    <row r="2" spans="1:22" x14ac:dyDescent="0.2">
      <c r="A2" s="155"/>
    </row>
    <row r="3" spans="1:22" x14ac:dyDescent="0.2">
      <c r="A3" s="183" t="s">
        <v>94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22" x14ac:dyDescent="0.2">
      <c r="A4" s="183" t="str">
        <f>Sales!A4</f>
        <v>2020 TCA RECONCILIATION and 2021 NEW FACTOR CALCULATION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22" x14ac:dyDescent="0.2">
      <c r="A5" s="6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</row>
    <row r="6" spans="1:22" x14ac:dyDescent="0.2">
      <c r="A6" s="61"/>
      <c r="B6" s="134"/>
      <c r="P6" s="64" t="s">
        <v>99</v>
      </c>
    </row>
    <row r="8" spans="1:22" x14ac:dyDescent="0.2">
      <c r="A8" s="183" t="s">
        <v>75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22" x14ac:dyDescent="0.2">
      <c r="A9" s="184" t="s">
        <v>153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68"/>
      <c r="R9" s="68"/>
      <c r="S9" s="68"/>
      <c r="T9" s="68"/>
      <c r="U9" s="68"/>
      <c r="V9" s="68"/>
    </row>
    <row r="10" spans="1:22" x14ac:dyDescent="0.2">
      <c r="A10" s="68"/>
      <c r="B10" s="68"/>
      <c r="C10" s="68"/>
      <c r="D10" s="119"/>
      <c r="E10" s="68"/>
      <c r="F10" s="68"/>
      <c r="G10" s="68"/>
      <c r="H10" s="119"/>
      <c r="I10" s="119"/>
      <c r="J10" s="119"/>
      <c r="K10" s="119"/>
      <c r="L10" s="119"/>
      <c r="M10" s="119"/>
      <c r="N10" s="68"/>
      <c r="O10" s="68"/>
      <c r="P10" s="68"/>
    </row>
    <row r="11" spans="1:22" x14ac:dyDescent="0.2">
      <c r="A11" s="68"/>
      <c r="B11" s="68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  <c r="P11" s="43" t="s">
        <v>117</v>
      </c>
    </row>
    <row r="12" spans="1:22" x14ac:dyDescent="0.2">
      <c r="A12" s="119"/>
      <c r="B12" s="119"/>
      <c r="C12" s="43" t="s">
        <v>118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 t="s">
        <v>118</v>
      </c>
    </row>
    <row r="13" spans="1:22" x14ac:dyDescent="0.2">
      <c r="A13" s="119"/>
      <c r="B13" s="119"/>
      <c r="C13" s="12" t="s">
        <v>119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12" t="s">
        <v>119</v>
      </c>
    </row>
    <row r="14" spans="1:22" x14ac:dyDescent="0.2">
      <c r="A14" s="13" t="s">
        <v>7</v>
      </c>
      <c r="C14" s="177" t="str">
        <f>TEXT(EOMONTH(Sales!G13,-13),"mm/dd/yy")</f>
        <v>12/31/19</v>
      </c>
      <c r="D14" s="174">
        <f>EDATE(Sales!G13,-12)</f>
        <v>43831</v>
      </c>
      <c r="E14" s="174">
        <f>EDATE(D14,1)</f>
        <v>43862</v>
      </c>
      <c r="F14" s="174">
        <f t="shared" ref="F14:O14" si="0">EDATE(E14,1)</f>
        <v>43891</v>
      </c>
      <c r="G14" s="174">
        <f t="shared" si="0"/>
        <v>43922</v>
      </c>
      <c r="H14" s="174">
        <f t="shared" si="0"/>
        <v>43952</v>
      </c>
      <c r="I14" s="174">
        <f t="shared" si="0"/>
        <v>43983</v>
      </c>
      <c r="J14" s="174">
        <f t="shared" si="0"/>
        <v>44013</v>
      </c>
      <c r="K14" s="174">
        <f t="shared" si="0"/>
        <v>44044</v>
      </c>
      <c r="L14" s="174">
        <f t="shared" si="0"/>
        <v>44075</v>
      </c>
      <c r="M14" s="174">
        <f t="shared" si="0"/>
        <v>44105</v>
      </c>
      <c r="N14" s="174">
        <f t="shared" si="0"/>
        <v>44136</v>
      </c>
      <c r="O14" s="174">
        <f t="shared" si="0"/>
        <v>44166</v>
      </c>
      <c r="P14" s="177" t="str">
        <f>TEXT(EOMONTH(Sales!G13,-1),"mm/dd/yy")</f>
        <v>12/31/20</v>
      </c>
    </row>
    <row r="15" spans="1:22" x14ac:dyDescent="0.2">
      <c r="A15" s="12">
        <v>1</v>
      </c>
      <c r="B15" s="3" t="s">
        <v>21</v>
      </c>
      <c r="C15" s="159">
        <v>53126608.22018037</v>
      </c>
      <c r="D15" s="159">
        <v>1278178.970503866</v>
      </c>
      <c r="E15" s="159">
        <v>1331483.9467359099</v>
      </c>
      <c r="F15" s="159">
        <v>1124318.2268774088</v>
      </c>
      <c r="G15" s="159">
        <v>1313335.1145519454</v>
      </c>
      <c r="H15" s="159">
        <v>1092765.560804514</v>
      </c>
      <c r="I15" s="159">
        <v>1136483.0959358395</v>
      </c>
      <c r="J15" s="159">
        <v>1236429.9072758032</v>
      </c>
      <c r="K15" s="159">
        <v>1389105.6276594365</v>
      </c>
      <c r="L15" s="159">
        <v>1171986.7287044006</v>
      </c>
      <c r="M15" s="193">
        <v>1275995.2555975881</v>
      </c>
      <c r="N15" s="159">
        <v>1101190.0016989114</v>
      </c>
      <c r="O15" s="193">
        <v>1376945.3499161305</v>
      </c>
      <c r="P15" s="159">
        <f>SUM(C15:O15)</f>
        <v>67954826.00644213</v>
      </c>
      <c r="R15" s="12"/>
      <c r="S15" s="12"/>
      <c r="T15" s="36"/>
    </row>
    <row r="16" spans="1:22" x14ac:dyDescent="0.2">
      <c r="B16" s="3" t="s">
        <v>157</v>
      </c>
      <c r="C16" s="159">
        <v>297.58959522047314</v>
      </c>
      <c r="D16" s="159"/>
      <c r="E16" s="159">
        <v>0</v>
      </c>
      <c r="F16" s="159">
        <v>0</v>
      </c>
      <c r="G16" s="159">
        <v>0</v>
      </c>
      <c r="H16" s="159">
        <v>0</v>
      </c>
      <c r="I16" s="159">
        <v>0</v>
      </c>
      <c r="J16" s="159">
        <v>0</v>
      </c>
      <c r="K16" s="159">
        <v>0</v>
      </c>
      <c r="L16" s="159">
        <v>0</v>
      </c>
      <c r="M16" s="193">
        <v>0</v>
      </c>
      <c r="N16" s="159">
        <v>0</v>
      </c>
      <c r="O16" s="193">
        <v>0</v>
      </c>
      <c r="P16" s="159">
        <f>SUM(C16:O16)</f>
        <v>297.58959522047314</v>
      </c>
      <c r="R16" s="12"/>
      <c r="S16" s="12"/>
      <c r="T16" s="36"/>
    </row>
    <row r="17" spans="1:21" x14ac:dyDescent="0.2">
      <c r="A17" s="12">
        <v>2</v>
      </c>
      <c r="B17" s="3" t="s">
        <v>23</v>
      </c>
      <c r="C17" s="159">
        <v>53075279.829999991</v>
      </c>
      <c r="D17" s="159">
        <v>1068840.2999999998</v>
      </c>
      <c r="E17" s="159">
        <v>887568.62</v>
      </c>
      <c r="F17" s="159">
        <v>865376.26</v>
      </c>
      <c r="G17" s="159">
        <v>1086657.6000000001</v>
      </c>
      <c r="H17" s="159">
        <v>903427.41000000015</v>
      </c>
      <c r="I17" s="159">
        <v>1335645.8099999998</v>
      </c>
      <c r="J17" s="159">
        <v>1766489.4800000004</v>
      </c>
      <c r="K17" s="159">
        <v>1592768.3099999998</v>
      </c>
      <c r="L17" s="159">
        <v>1450673.18</v>
      </c>
      <c r="M17" s="193">
        <v>1005851.0499999998</v>
      </c>
      <c r="N17" s="159">
        <v>966110.09</v>
      </c>
      <c r="O17" s="193">
        <v>1309880.18</v>
      </c>
      <c r="P17" s="159">
        <f>SUM(C17:O17)</f>
        <v>67314568.11999999</v>
      </c>
      <c r="T17" s="32"/>
    </row>
    <row r="18" spans="1:21" x14ac:dyDescent="0.2">
      <c r="A18" s="12">
        <v>3</v>
      </c>
      <c r="B18" s="21" t="s">
        <v>40</v>
      </c>
      <c r="C18" s="194">
        <v>-51030.800585143734</v>
      </c>
      <c r="D18" s="160">
        <v>-209338.67050386616</v>
      </c>
      <c r="E18" s="160">
        <v>-443915.32673590991</v>
      </c>
      <c r="F18" s="160">
        <v>-258941.96687740879</v>
      </c>
      <c r="G18" s="160">
        <v>-226677.51455194526</v>
      </c>
      <c r="H18" s="160">
        <v>-189338.15080451383</v>
      </c>
      <c r="I18" s="160">
        <v>199162.71406416036</v>
      </c>
      <c r="J18" s="160">
        <v>530059.57272419729</v>
      </c>
      <c r="K18" s="160">
        <v>203662.68234056327</v>
      </c>
      <c r="L18" s="160">
        <v>278686.45129559934</v>
      </c>
      <c r="M18" s="160">
        <v>-270144.20559758833</v>
      </c>
      <c r="N18" s="194">
        <v>-135079.91169891146</v>
      </c>
      <c r="O18" s="194">
        <v>-67065.169916130602</v>
      </c>
      <c r="P18" s="160">
        <f>SUM(C18:O18)</f>
        <v>-639960.29684689792</v>
      </c>
      <c r="R18" s="117"/>
      <c r="S18" s="31"/>
      <c r="T18" s="31"/>
      <c r="U18" s="31"/>
    </row>
    <row r="19" spans="1:21" x14ac:dyDescent="0.2">
      <c r="B19" s="3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R19" s="31"/>
      <c r="S19" s="31"/>
      <c r="T19" s="32"/>
    </row>
    <row r="20" spans="1:21" x14ac:dyDescent="0.2">
      <c r="A20" s="12">
        <v>4</v>
      </c>
      <c r="B20" s="3" t="s">
        <v>22</v>
      </c>
      <c r="C20" s="159">
        <v>19907417.365651593</v>
      </c>
      <c r="D20" s="159">
        <v>412629.0115636941</v>
      </c>
      <c r="E20" s="159">
        <v>429837.22744083678</v>
      </c>
      <c r="F20" s="159">
        <v>362958.81042119459</v>
      </c>
      <c r="G20" s="159">
        <v>423978.31811912218</v>
      </c>
      <c r="H20" s="159">
        <v>352772.79913928034</v>
      </c>
      <c r="I20" s="159">
        <v>366885.94270174159</v>
      </c>
      <c r="J20" s="159">
        <v>399151.3413069892</v>
      </c>
      <c r="K20" s="159">
        <v>448438.98650024342</v>
      </c>
      <c r="L20" s="159">
        <v>378347.42754406901</v>
      </c>
      <c r="M20" s="159">
        <v>411924.052286388</v>
      </c>
      <c r="N20" s="159">
        <v>355492.4251067313</v>
      </c>
      <c r="O20" s="159">
        <v>444513.33641418203</v>
      </c>
      <c r="P20" s="159">
        <f>SUM(C20:O20)</f>
        <v>24694347.044196066</v>
      </c>
      <c r="R20" s="31"/>
      <c r="S20" s="31"/>
      <c r="T20" s="32"/>
    </row>
    <row r="21" spans="1:21" x14ac:dyDescent="0.2">
      <c r="B21" s="3" t="s">
        <v>157</v>
      </c>
      <c r="C21" s="159">
        <v>109.91840680537928</v>
      </c>
      <c r="D21" s="159"/>
      <c r="E21" s="159">
        <v>0</v>
      </c>
      <c r="F21" s="159">
        <v>0</v>
      </c>
      <c r="G21" s="159">
        <v>0</v>
      </c>
      <c r="H21" s="159">
        <v>0</v>
      </c>
      <c r="I21" s="159">
        <v>0</v>
      </c>
      <c r="J21" s="159">
        <v>0</v>
      </c>
      <c r="K21" s="159">
        <v>0</v>
      </c>
      <c r="L21" s="159">
        <v>0</v>
      </c>
      <c r="M21" s="159">
        <v>0</v>
      </c>
      <c r="N21" s="159">
        <v>0</v>
      </c>
      <c r="O21" s="159">
        <v>0</v>
      </c>
      <c r="P21" s="159">
        <f>SUM(C21:O21)</f>
        <v>109.91840680537928</v>
      </c>
      <c r="R21" s="31"/>
      <c r="S21" s="31"/>
      <c r="T21" s="32"/>
    </row>
    <row r="22" spans="1:21" x14ac:dyDescent="0.2">
      <c r="A22" s="12">
        <v>5</v>
      </c>
      <c r="B22" s="3" t="s">
        <v>24</v>
      </c>
      <c r="C22" s="159">
        <v>19372388.540000003</v>
      </c>
      <c r="D22" s="159">
        <v>316833.39</v>
      </c>
      <c r="E22" s="159">
        <v>279015.15999999997</v>
      </c>
      <c r="F22" s="159">
        <v>315417.96999999997</v>
      </c>
      <c r="G22" s="159">
        <v>381412.19999999984</v>
      </c>
      <c r="H22" s="159">
        <v>339244.41000000003</v>
      </c>
      <c r="I22" s="159">
        <v>440131.62000000011</v>
      </c>
      <c r="J22" s="159">
        <v>480301.16999999993</v>
      </c>
      <c r="K22" s="159">
        <v>443200.93999999989</v>
      </c>
      <c r="L22" s="159">
        <v>451982.69000000006</v>
      </c>
      <c r="M22" s="159">
        <v>400351.32999999996</v>
      </c>
      <c r="N22" s="159">
        <v>355636.91999999993</v>
      </c>
      <c r="O22" s="159">
        <v>366008.70000000007</v>
      </c>
      <c r="P22" s="159">
        <f>SUM(C22:O22)</f>
        <v>23941925.040000003</v>
      </c>
      <c r="R22" s="31"/>
      <c r="S22" s="31"/>
      <c r="T22" s="32"/>
    </row>
    <row r="23" spans="1:21" x14ac:dyDescent="0.2">
      <c r="A23" s="12">
        <v>6</v>
      </c>
      <c r="B23" s="21" t="s">
        <v>40</v>
      </c>
      <c r="C23" s="160">
        <v>-534918.90724478872</v>
      </c>
      <c r="D23" s="160">
        <v>-95795.621563694091</v>
      </c>
      <c r="E23" s="160">
        <v>-150822.06744083681</v>
      </c>
      <c r="F23" s="160">
        <v>-47540.840421194618</v>
      </c>
      <c r="G23" s="160">
        <v>-42566.118119122344</v>
      </c>
      <c r="H23" s="160">
        <v>-13528.389139280305</v>
      </c>
      <c r="I23" s="160">
        <v>73245.677298258524</v>
      </c>
      <c r="J23" s="160">
        <v>81149.828693010728</v>
      </c>
      <c r="K23" s="160">
        <v>-5238.0465002435376</v>
      </c>
      <c r="L23" s="160">
        <v>73635.26245593105</v>
      </c>
      <c r="M23" s="160">
        <v>-11572.722286388045</v>
      </c>
      <c r="N23" s="160">
        <v>144.49489326862385</v>
      </c>
      <c r="O23" s="160">
        <v>-78504.636414181965</v>
      </c>
      <c r="P23" s="160">
        <f>SUM(C23:O23)</f>
        <v>-752312.08578926162</v>
      </c>
      <c r="R23" s="31"/>
      <c r="S23" s="31"/>
      <c r="T23" s="31"/>
      <c r="U23" s="31"/>
    </row>
    <row r="24" spans="1:21" x14ac:dyDescent="0.2">
      <c r="B24" s="3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R24" s="31"/>
      <c r="S24" s="31"/>
      <c r="T24" s="32"/>
    </row>
    <row r="25" spans="1:21" x14ac:dyDescent="0.2">
      <c r="A25" s="12">
        <v>7</v>
      </c>
      <c r="B25" s="3" t="s">
        <v>25</v>
      </c>
      <c r="C25" s="159">
        <v>12150186.515798731</v>
      </c>
      <c r="D25" s="159">
        <v>313830.60124220577</v>
      </c>
      <c r="E25" s="159">
        <v>326918.54364006047</v>
      </c>
      <c r="F25" s="159">
        <v>276053.25488136773</v>
      </c>
      <c r="G25" s="159">
        <v>322462.47054890933</v>
      </c>
      <c r="H25" s="159">
        <v>268306.14560092974</v>
      </c>
      <c r="I25" s="159">
        <v>279040.0886963029</v>
      </c>
      <c r="J25" s="159">
        <v>303579.97600386618</v>
      </c>
      <c r="K25" s="159">
        <v>341066.36423961882</v>
      </c>
      <c r="L25" s="159">
        <v>287757.27672330331</v>
      </c>
      <c r="M25" s="159">
        <v>313294.43488538597</v>
      </c>
      <c r="N25" s="159">
        <v>270374.59408273821</v>
      </c>
      <c r="O25" s="159">
        <v>338080.65772783861</v>
      </c>
      <c r="P25" s="159">
        <f>SUM(C25:O25)</f>
        <v>15790950.924071256</v>
      </c>
      <c r="R25" s="31"/>
      <c r="S25" s="31"/>
      <c r="T25" s="32"/>
    </row>
    <row r="26" spans="1:21" x14ac:dyDescent="0.2">
      <c r="B26" s="3" t="s">
        <v>157</v>
      </c>
      <c r="C26" s="159">
        <v>71.159403337176172</v>
      </c>
      <c r="D26" s="159"/>
      <c r="E26" s="159">
        <v>0</v>
      </c>
      <c r="F26" s="159">
        <v>0</v>
      </c>
      <c r="G26" s="159">
        <v>0</v>
      </c>
      <c r="H26" s="159">
        <v>0</v>
      </c>
      <c r="I26" s="159">
        <v>0</v>
      </c>
      <c r="J26" s="159">
        <v>0</v>
      </c>
      <c r="K26" s="159">
        <v>0</v>
      </c>
      <c r="L26" s="159">
        <v>0</v>
      </c>
      <c r="M26" s="159">
        <v>0</v>
      </c>
      <c r="N26" s="159">
        <v>0</v>
      </c>
      <c r="O26" s="159">
        <v>0</v>
      </c>
      <c r="P26" s="159">
        <f>SUM(C26:O26)</f>
        <v>71.159403337176172</v>
      </c>
      <c r="R26" s="31"/>
      <c r="S26" s="31"/>
      <c r="T26" s="32"/>
    </row>
    <row r="27" spans="1:21" x14ac:dyDescent="0.2">
      <c r="A27" s="12">
        <v>8</v>
      </c>
      <c r="B27" s="3" t="s">
        <v>26</v>
      </c>
      <c r="C27" s="159">
        <v>12240350.65</v>
      </c>
      <c r="D27" s="159">
        <v>329548.56</v>
      </c>
      <c r="E27" s="159">
        <v>276960.97999999986</v>
      </c>
      <c r="F27" s="159">
        <v>275991.15999999997</v>
      </c>
      <c r="G27" s="159">
        <v>249802.20000000004</v>
      </c>
      <c r="H27" s="159">
        <v>200461.08000000007</v>
      </c>
      <c r="I27" s="159">
        <v>265640.78999999998</v>
      </c>
      <c r="J27" s="159">
        <v>327186.5799999999</v>
      </c>
      <c r="K27" s="159">
        <v>310201.43</v>
      </c>
      <c r="L27" s="159">
        <v>306136.81000000006</v>
      </c>
      <c r="M27" s="159">
        <v>287486.08999999997</v>
      </c>
      <c r="N27" s="159">
        <v>272729.56999999995</v>
      </c>
      <c r="O27" s="159">
        <v>322041.5199999999</v>
      </c>
      <c r="P27" s="159">
        <f>SUM(C27:O27)</f>
        <v>15664537.42</v>
      </c>
      <c r="R27" s="31"/>
      <c r="S27" s="31"/>
      <c r="T27" s="32"/>
    </row>
    <row r="28" spans="1:21" x14ac:dyDescent="0.2">
      <c r="A28" s="12">
        <v>9</v>
      </c>
      <c r="B28" s="21" t="s">
        <v>40</v>
      </c>
      <c r="C28" s="160">
        <v>90235.293604607752</v>
      </c>
      <c r="D28" s="160">
        <v>15717.958757794229</v>
      </c>
      <c r="E28" s="160">
        <v>-49957.563640060602</v>
      </c>
      <c r="F28" s="160">
        <v>-62.09488136775326</v>
      </c>
      <c r="G28" s="160">
        <v>-72660.270548909291</v>
      </c>
      <c r="H28" s="160">
        <v>-67845.065600929665</v>
      </c>
      <c r="I28" s="160">
        <v>-13399.298696302925</v>
      </c>
      <c r="J28" s="160">
        <v>23606.603996133723</v>
      </c>
      <c r="K28" s="160">
        <v>-30864.934239618829</v>
      </c>
      <c r="L28" s="160">
        <v>18379.533276696748</v>
      </c>
      <c r="M28" s="160">
        <v>-25808.344885386003</v>
      </c>
      <c r="N28" s="160">
        <v>2354.9759172617341</v>
      </c>
      <c r="O28" s="160">
        <v>-16039.137727838708</v>
      </c>
      <c r="P28" s="160">
        <f>SUM(C28:O28)</f>
        <v>-126342.34466791959</v>
      </c>
      <c r="R28" s="31"/>
      <c r="S28" s="31"/>
      <c r="T28" s="31"/>
      <c r="U28" s="31"/>
    </row>
    <row r="29" spans="1:21" x14ac:dyDescent="0.2">
      <c r="B29" s="3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R29" s="31"/>
      <c r="S29" s="31"/>
      <c r="T29" s="32"/>
    </row>
    <row r="30" spans="1:21" x14ac:dyDescent="0.2">
      <c r="A30" s="12">
        <v>10</v>
      </c>
      <c r="B30" s="3" t="s">
        <v>27</v>
      </c>
      <c r="C30" s="159">
        <v>49122152.289565399</v>
      </c>
      <c r="D30" s="159">
        <v>1202146.8231312898</v>
      </c>
      <c r="E30" s="159">
        <v>1252280.9665597172</v>
      </c>
      <c r="F30" s="159">
        <v>1057438.4462736656</v>
      </c>
      <c r="G30" s="159">
        <v>1235211.7129911848</v>
      </c>
      <c r="H30" s="159">
        <v>1027762.6824282471</v>
      </c>
      <c r="I30" s="159">
        <v>1068879.6912243909</v>
      </c>
      <c r="J30" s="159">
        <v>1162881.192193442</v>
      </c>
      <c r="K30" s="159">
        <v>1306475.0366111088</v>
      </c>
      <c r="L30" s="159">
        <v>1102271.3995275879</v>
      </c>
      <c r="M30" s="159">
        <v>1200093.0059446625</v>
      </c>
      <c r="N30" s="159">
        <v>1035685.9976224136</v>
      </c>
      <c r="O30" s="159">
        <v>1295038.1098623087</v>
      </c>
      <c r="P30" s="159">
        <f>SUM(C30:O30)</f>
        <v>63068317.353935413</v>
      </c>
      <c r="R30" s="31"/>
      <c r="S30" s="31"/>
      <c r="T30" s="32"/>
    </row>
    <row r="31" spans="1:21" x14ac:dyDescent="0.2">
      <c r="B31" s="3" t="s">
        <v>157</v>
      </c>
      <c r="C31" s="159">
        <v>295.30995456324558</v>
      </c>
      <c r="D31" s="159"/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>
        <v>0</v>
      </c>
      <c r="M31" s="159">
        <v>0</v>
      </c>
      <c r="N31" s="159">
        <v>0</v>
      </c>
      <c r="O31" s="159">
        <v>0</v>
      </c>
      <c r="P31" s="159">
        <f>SUM(C31:O31)</f>
        <v>295.30995456324558</v>
      </c>
      <c r="R31" s="31"/>
      <c r="S31" s="31"/>
      <c r="T31" s="32"/>
    </row>
    <row r="32" spans="1:21" x14ac:dyDescent="0.2">
      <c r="A32" s="12">
        <v>11</v>
      </c>
      <c r="B32" s="3" t="s">
        <v>30</v>
      </c>
      <c r="C32" s="159">
        <v>47783203.200000003</v>
      </c>
      <c r="D32" s="159">
        <v>912285.67</v>
      </c>
      <c r="E32" s="159">
        <v>809518.7300000001</v>
      </c>
      <c r="F32" s="159">
        <v>939231.9099999998</v>
      </c>
      <c r="G32" s="159">
        <v>1119089.4699999997</v>
      </c>
      <c r="H32" s="159">
        <v>1022462.34</v>
      </c>
      <c r="I32" s="159">
        <v>1297888.4000000001</v>
      </c>
      <c r="J32" s="159">
        <v>1315555.3200000003</v>
      </c>
      <c r="K32" s="159">
        <v>1283528.4099999999</v>
      </c>
      <c r="L32" s="159">
        <v>1259492.3699999999</v>
      </c>
      <c r="M32" s="159">
        <v>1169001.93</v>
      </c>
      <c r="N32" s="159">
        <v>1160722.3400000001</v>
      </c>
      <c r="O32" s="159">
        <v>1101345.1100000001</v>
      </c>
      <c r="P32" s="159">
        <f>SUM(C32:O32)</f>
        <v>61173325.199999996</v>
      </c>
      <c r="R32" s="31"/>
      <c r="S32" s="31"/>
      <c r="T32" s="32"/>
    </row>
    <row r="33" spans="1:21" x14ac:dyDescent="0.2">
      <c r="A33" s="12">
        <v>12</v>
      </c>
      <c r="B33" s="21" t="s">
        <v>40</v>
      </c>
      <c r="C33" s="160">
        <v>-1338653.7796108169</v>
      </c>
      <c r="D33" s="160">
        <v>-289861.15313128976</v>
      </c>
      <c r="E33" s="160">
        <v>-442762.2365597171</v>
      </c>
      <c r="F33" s="160">
        <v>-118206.53627366584</v>
      </c>
      <c r="G33" s="160">
        <v>-116122.24299118505</v>
      </c>
      <c r="H33" s="160">
        <v>-5300.3424282470951</v>
      </c>
      <c r="I33" s="160">
        <v>229008.70877560927</v>
      </c>
      <c r="J33" s="160">
        <v>152674.12780655827</v>
      </c>
      <c r="K33" s="160">
        <v>-22946.626611108892</v>
      </c>
      <c r="L33" s="160">
        <v>157220.97047241195</v>
      </c>
      <c r="M33" s="160">
        <v>-31091.07594466256</v>
      </c>
      <c r="N33" s="160">
        <v>125036.34237758652</v>
      </c>
      <c r="O33" s="160">
        <v>-193692.99986230861</v>
      </c>
      <c r="P33" s="160">
        <f>SUM(C33:O33)</f>
        <v>-1894696.8439808353</v>
      </c>
      <c r="R33" s="31"/>
      <c r="S33" s="31"/>
      <c r="T33" s="31"/>
      <c r="U33" s="31"/>
    </row>
    <row r="34" spans="1:21" x14ac:dyDescent="0.2">
      <c r="B34" s="3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R34" s="31"/>
      <c r="S34" s="31"/>
      <c r="T34" s="32"/>
    </row>
    <row r="35" spans="1:21" x14ac:dyDescent="0.2">
      <c r="A35" s="12">
        <v>13</v>
      </c>
      <c r="B35" s="3" t="s">
        <v>28</v>
      </c>
      <c r="C35" s="159">
        <v>27274694.53373006</v>
      </c>
      <c r="D35" s="159">
        <v>858353.24158669496</v>
      </c>
      <c r="E35" s="159">
        <v>894149.87116466393</v>
      </c>
      <c r="F35" s="159">
        <v>755029.00367293286</v>
      </c>
      <c r="G35" s="159">
        <v>881962.13431746955</v>
      </c>
      <c r="H35" s="159">
        <v>733840.00445657468</v>
      </c>
      <c r="I35" s="159">
        <v>763198.24681551522</v>
      </c>
      <c r="J35" s="159">
        <v>830316.91445099737</v>
      </c>
      <c r="K35" s="159">
        <v>932845.3572802631</v>
      </c>
      <c r="L35" s="159">
        <v>787040.49346348247</v>
      </c>
      <c r="M35" s="159">
        <v>856886.78124603874</v>
      </c>
      <c r="N35" s="159">
        <v>739497.38602608303</v>
      </c>
      <c r="O35" s="159">
        <v>924679.19740716915</v>
      </c>
      <c r="P35" s="159">
        <f>SUM(C35:O35)</f>
        <v>37232493.165617943</v>
      </c>
      <c r="R35" s="31"/>
      <c r="S35" s="31"/>
      <c r="T35" s="32"/>
    </row>
    <row r="36" spans="1:21" x14ac:dyDescent="0.2">
      <c r="B36" s="3" t="s">
        <v>157</v>
      </c>
      <c r="C36" s="159">
        <v>155.61831850090977</v>
      </c>
      <c r="D36" s="159"/>
      <c r="E36" s="159">
        <v>0</v>
      </c>
      <c r="F36" s="159">
        <v>0</v>
      </c>
      <c r="G36" s="159">
        <v>0</v>
      </c>
      <c r="H36" s="159">
        <v>0</v>
      </c>
      <c r="I36" s="159">
        <v>0</v>
      </c>
      <c r="J36" s="159">
        <v>0</v>
      </c>
      <c r="K36" s="159">
        <v>0</v>
      </c>
      <c r="L36" s="159">
        <v>0</v>
      </c>
      <c r="M36" s="159">
        <v>0</v>
      </c>
      <c r="N36" s="159">
        <v>0</v>
      </c>
      <c r="O36" s="159">
        <v>0</v>
      </c>
      <c r="P36" s="159">
        <f>SUM(C36:O36)</f>
        <v>155.61831850090977</v>
      </c>
      <c r="R36" s="31"/>
      <c r="S36" s="31"/>
      <c r="T36" s="32"/>
    </row>
    <row r="37" spans="1:21" x14ac:dyDescent="0.2">
      <c r="A37" s="12">
        <v>14</v>
      </c>
      <c r="B37" s="3" t="s">
        <v>29</v>
      </c>
      <c r="C37" s="159">
        <v>26472155.539999995</v>
      </c>
      <c r="D37" s="159">
        <v>630071.02999999991</v>
      </c>
      <c r="E37" s="159">
        <v>605016.09000000008</v>
      </c>
      <c r="F37" s="159">
        <v>683580.49</v>
      </c>
      <c r="G37" s="159">
        <v>660338.52000000014</v>
      </c>
      <c r="H37" s="159">
        <v>939023.5399999998</v>
      </c>
      <c r="I37" s="159">
        <v>1016736.6299999999</v>
      </c>
      <c r="J37" s="159">
        <v>1062413.1700000002</v>
      </c>
      <c r="K37" s="159">
        <v>1035291.53</v>
      </c>
      <c r="L37" s="159">
        <v>1145912.95</v>
      </c>
      <c r="M37" s="159">
        <v>989147.25000000012</v>
      </c>
      <c r="N37" s="159">
        <v>1062576.06</v>
      </c>
      <c r="O37" s="159">
        <v>1052516.0099999998</v>
      </c>
      <c r="P37" s="159">
        <f>SUM(C37:O37)</f>
        <v>37354778.809999995</v>
      </c>
      <c r="R37" s="31"/>
      <c r="S37" s="31"/>
      <c r="T37" s="32"/>
    </row>
    <row r="38" spans="1:21" x14ac:dyDescent="0.2">
      <c r="A38" s="12">
        <v>15</v>
      </c>
      <c r="B38" s="21" t="s">
        <v>40</v>
      </c>
      <c r="C38" s="160">
        <v>-802383.37541155657</v>
      </c>
      <c r="D38" s="160">
        <v>-228282.21158669505</v>
      </c>
      <c r="E38" s="160">
        <v>-289133.78116466384</v>
      </c>
      <c r="F38" s="160">
        <v>-71448.513672932866</v>
      </c>
      <c r="G38" s="160">
        <v>-221623.61431746942</v>
      </c>
      <c r="H38" s="160">
        <v>205183.53554342513</v>
      </c>
      <c r="I38" s="160">
        <v>253538.38318448467</v>
      </c>
      <c r="J38" s="160">
        <v>232096.25554900279</v>
      </c>
      <c r="K38" s="160">
        <v>102446.17271973693</v>
      </c>
      <c r="L38" s="160">
        <v>358872.45653651748</v>
      </c>
      <c r="M38" s="160">
        <v>132260.46875396138</v>
      </c>
      <c r="N38" s="160">
        <v>323078.67397391703</v>
      </c>
      <c r="O38" s="160">
        <v>127836.81259283063</v>
      </c>
      <c r="P38" s="160">
        <f>SUM(C38:O38)</f>
        <v>122441.26270055806</v>
      </c>
      <c r="R38" s="31"/>
      <c r="S38" s="31"/>
      <c r="T38" s="31"/>
      <c r="U38" s="31"/>
    </row>
    <row r="39" spans="1:21" x14ac:dyDescent="0.2">
      <c r="B39" s="3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R39" s="31"/>
      <c r="S39" s="31"/>
      <c r="T39" s="32"/>
    </row>
    <row r="40" spans="1:21" x14ac:dyDescent="0.2">
      <c r="A40" s="12">
        <v>16</v>
      </c>
      <c r="B40" s="3" t="s">
        <v>31</v>
      </c>
      <c r="C40" s="159">
        <v>29489.631350390882</v>
      </c>
      <c r="D40" s="159">
        <v>700.08151836473701</v>
      </c>
      <c r="E40" s="159">
        <v>729.27760870740201</v>
      </c>
      <c r="F40" s="159">
        <v>615.80923294896638</v>
      </c>
      <c r="G40" s="159">
        <v>719.33716821737573</v>
      </c>
      <c r="H40" s="159">
        <v>598.52727253300043</v>
      </c>
      <c r="I40" s="159">
        <v>622.47214964347052</v>
      </c>
      <c r="J40" s="159">
        <v>677.21480857722906</v>
      </c>
      <c r="K40" s="159">
        <v>760.83803553539838</v>
      </c>
      <c r="L40" s="159">
        <v>641.91812529293702</v>
      </c>
      <c r="M40" s="159">
        <v>698.88545859334204</v>
      </c>
      <c r="N40" s="159">
        <v>603.14148971918917</v>
      </c>
      <c r="O40" s="159">
        <v>754.17763358643288</v>
      </c>
      <c r="P40" s="159">
        <f>SUM(C40:O40)</f>
        <v>37611.311852110361</v>
      </c>
      <c r="R40" s="31"/>
      <c r="S40" s="31"/>
      <c r="T40" s="32"/>
    </row>
    <row r="41" spans="1:21" x14ac:dyDescent="0.2">
      <c r="B41" s="3" t="s">
        <v>157</v>
      </c>
      <c r="C41" s="159">
        <v>0.18491776819562133</v>
      </c>
      <c r="D41" s="159"/>
      <c r="E41" s="159">
        <v>0</v>
      </c>
      <c r="F41" s="159">
        <v>0</v>
      </c>
      <c r="G41" s="159">
        <v>0</v>
      </c>
      <c r="H41" s="159">
        <v>0</v>
      </c>
      <c r="I41" s="159">
        <v>0</v>
      </c>
      <c r="J41" s="159">
        <v>0</v>
      </c>
      <c r="K41" s="159">
        <v>0</v>
      </c>
      <c r="L41" s="159">
        <v>0</v>
      </c>
      <c r="M41" s="159">
        <v>0</v>
      </c>
      <c r="N41" s="159">
        <v>0</v>
      </c>
      <c r="O41" s="159">
        <v>0</v>
      </c>
      <c r="P41" s="159">
        <f>SUM(C41:O41)</f>
        <v>0.18491776819562133</v>
      </c>
      <c r="R41" s="31"/>
      <c r="S41" s="31"/>
      <c r="T41" s="32"/>
    </row>
    <row r="42" spans="1:21" x14ac:dyDescent="0.2">
      <c r="A42" s="12">
        <v>17</v>
      </c>
      <c r="B42" s="3" t="s">
        <v>32</v>
      </c>
      <c r="C42" s="159">
        <v>29438.129999999997</v>
      </c>
      <c r="D42" s="159">
        <v>753.16</v>
      </c>
      <c r="E42" s="159">
        <v>598.57000000000005</v>
      </c>
      <c r="F42" s="159">
        <v>647.80999999999995</v>
      </c>
      <c r="G42" s="159">
        <v>658.73</v>
      </c>
      <c r="H42" s="159">
        <v>580.91000000000008</v>
      </c>
      <c r="I42" s="159">
        <v>635.44000000000005</v>
      </c>
      <c r="J42" s="159">
        <v>618.44000000000005</v>
      </c>
      <c r="K42" s="159">
        <v>581.66</v>
      </c>
      <c r="L42" s="159">
        <v>642.59</v>
      </c>
      <c r="M42" s="159">
        <v>608.4</v>
      </c>
      <c r="N42" s="159">
        <v>604.99</v>
      </c>
      <c r="O42" s="159">
        <v>709.08999999999992</v>
      </c>
      <c r="P42" s="159">
        <f>SUM(C42:O42)</f>
        <v>37077.919999999998</v>
      </c>
      <c r="R42" s="31"/>
      <c r="S42" s="31"/>
      <c r="T42" s="32"/>
    </row>
    <row r="43" spans="1:21" x14ac:dyDescent="0.2">
      <c r="A43" s="12">
        <v>18</v>
      </c>
      <c r="B43" s="21" t="s">
        <v>40</v>
      </c>
      <c r="C43" s="160">
        <v>-51</v>
      </c>
      <c r="D43" s="160">
        <v>53.07848163526296</v>
      </c>
      <c r="E43" s="160">
        <v>-130.70760870740196</v>
      </c>
      <c r="F43" s="160">
        <v>32.000767051033563</v>
      </c>
      <c r="G43" s="160">
        <v>-60.607168217375715</v>
      </c>
      <c r="H43" s="160">
        <v>-17.617272533000346</v>
      </c>
      <c r="I43" s="160">
        <v>12.967850356529539</v>
      </c>
      <c r="J43" s="160">
        <v>-58.77480857722901</v>
      </c>
      <c r="K43" s="160">
        <v>-179.17803553539841</v>
      </c>
      <c r="L43" s="160">
        <v>0.67187470706301156</v>
      </c>
      <c r="M43" s="160">
        <v>-90.485458593342059</v>
      </c>
      <c r="N43" s="160">
        <v>1.8485102808108422</v>
      </c>
      <c r="O43" s="160">
        <v>-45.087633586432958</v>
      </c>
      <c r="P43" s="160">
        <f>ROUND(SUM(C43:O43),0)</f>
        <v>-533</v>
      </c>
      <c r="R43" s="31"/>
      <c r="S43" s="31"/>
      <c r="T43" s="31"/>
      <c r="U43" s="31"/>
    </row>
    <row r="44" spans="1:21" x14ac:dyDescent="0.2">
      <c r="B44" s="3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R44" s="31"/>
      <c r="S44" s="31"/>
      <c r="T44" s="32"/>
    </row>
    <row r="45" spans="1:21" x14ac:dyDescent="0.2">
      <c r="A45" s="12">
        <v>19</v>
      </c>
      <c r="B45" s="3" t="s">
        <v>33</v>
      </c>
      <c r="C45" s="159">
        <v>253486.77576268095</v>
      </c>
      <c r="D45" s="159">
        <v>6606.4662103934115</v>
      </c>
      <c r="E45" s="159">
        <v>6881.9812458066435</v>
      </c>
      <c r="F45" s="159">
        <v>5811.2130984810065</v>
      </c>
      <c r="G45" s="159">
        <v>6788.1761924077464</v>
      </c>
      <c r="H45" s="159">
        <v>5648.1282511561958</v>
      </c>
      <c r="I45" s="159">
        <v>5874.0891105598957</v>
      </c>
      <c r="J45" s="159">
        <v>6390.6797032636259</v>
      </c>
      <c r="K45" s="159">
        <v>7179.8078387893811</v>
      </c>
      <c r="L45" s="159">
        <v>6057.5951419095218</v>
      </c>
      <c r="M45" s="159">
        <v>6595.1793412816705</v>
      </c>
      <c r="N45" s="159">
        <v>5691.6712802582588</v>
      </c>
      <c r="O45" s="159">
        <v>7116.9555576346684</v>
      </c>
      <c r="P45" s="159">
        <f>SUM(C45:O45)</f>
        <v>330128.71873462293</v>
      </c>
      <c r="R45" s="31"/>
      <c r="S45" s="31"/>
      <c r="T45" s="32"/>
    </row>
    <row r="46" spans="1:21" x14ac:dyDescent="0.2">
      <c r="B46" s="3" t="s">
        <v>157</v>
      </c>
      <c r="C46" s="159">
        <v>1.6006035219454866</v>
      </c>
      <c r="D46" s="159"/>
      <c r="E46" s="159">
        <v>0</v>
      </c>
      <c r="F46" s="159">
        <v>0</v>
      </c>
      <c r="G46" s="159">
        <v>0</v>
      </c>
      <c r="H46" s="159"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9">
        <v>0</v>
      </c>
      <c r="O46" s="159">
        <v>0</v>
      </c>
      <c r="P46" s="159">
        <f>SUM(C46:O46)</f>
        <v>1.6006035219454866</v>
      </c>
      <c r="R46" s="31"/>
      <c r="S46" s="31"/>
      <c r="T46" s="32"/>
    </row>
    <row r="47" spans="1:21" x14ac:dyDescent="0.2">
      <c r="A47" s="12">
        <v>20</v>
      </c>
      <c r="B47" s="3" t="s">
        <v>34</v>
      </c>
      <c r="C47" s="159">
        <v>251418.96</v>
      </c>
      <c r="D47" s="159">
        <v>4318.2000000000007</v>
      </c>
      <c r="E47" s="159">
        <v>4060.12</v>
      </c>
      <c r="F47" s="159">
        <v>4286.9699999999993</v>
      </c>
      <c r="G47" s="159">
        <v>7731.82</v>
      </c>
      <c r="H47" s="159">
        <v>6302.46</v>
      </c>
      <c r="I47" s="159">
        <v>7029.77</v>
      </c>
      <c r="J47" s="159">
        <v>8186.68</v>
      </c>
      <c r="K47" s="159">
        <v>7233.97</v>
      </c>
      <c r="L47" s="159">
        <v>8748.0099999999984</v>
      </c>
      <c r="M47" s="159">
        <v>6940.3700000000008</v>
      </c>
      <c r="N47" s="159">
        <v>5625.4400000000005</v>
      </c>
      <c r="O47" s="159">
        <v>7277.5599999999995</v>
      </c>
      <c r="P47" s="159">
        <f>SUM(C47:O47)</f>
        <v>329160.33</v>
      </c>
      <c r="R47" s="31"/>
      <c r="S47" s="31"/>
      <c r="T47" s="32"/>
    </row>
    <row r="48" spans="1:21" x14ac:dyDescent="0.2">
      <c r="A48" s="12">
        <v>21</v>
      </c>
      <c r="B48" s="21" t="s">
        <v>40</v>
      </c>
      <c r="C48" s="160">
        <v>-2066.2151591590136</v>
      </c>
      <c r="D48" s="160">
        <v>-2288.2662103934108</v>
      </c>
      <c r="E48" s="160">
        <v>-2821.8612458066436</v>
      </c>
      <c r="F48" s="160">
        <v>-1524.2430984810071</v>
      </c>
      <c r="G48" s="160">
        <v>943.64380759225332</v>
      </c>
      <c r="H48" s="160">
        <v>654.33174884380423</v>
      </c>
      <c r="I48" s="160">
        <v>1155.6808894401047</v>
      </c>
      <c r="J48" s="160">
        <v>1796.0002967363744</v>
      </c>
      <c r="K48" s="160">
        <v>54.162161210619161</v>
      </c>
      <c r="L48" s="160">
        <v>2690.4148580904766</v>
      </c>
      <c r="M48" s="160">
        <v>345.19065871833027</v>
      </c>
      <c r="N48" s="160">
        <v>-66.231280258258266</v>
      </c>
      <c r="O48" s="160">
        <v>160.60444236533112</v>
      </c>
      <c r="P48" s="160">
        <f>SUM(C48:O48)</f>
        <v>-966.78813110103965</v>
      </c>
      <c r="R48" s="31"/>
      <c r="S48" s="31"/>
      <c r="T48" s="31"/>
      <c r="U48" s="31"/>
    </row>
    <row r="49" spans="1:21" x14ac:dyDescent="0.2">
      <c r="B49" s="3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R49" s="31"/>
      <c r="S49" s="31"/>
      <c r="T49" s="32"/>
    </row>
    <row r="50" spans="1:21" x14ac:dyDescent="0.2">
      <c r="A50" s="12">
        <v>22</v>
      </c>
      <c r="B50" s="3" t="s">
        <v>35</v>
      </c>
      <c r="C50" s="159">
        <v>388420.2490240609</v>
      </c>
      <c r="D50" s="159">
        <v>5301.9911416739287</v>
      </c>
      <c r="E50" s="159">
        <v>5523.1045524805731</v>
      </c>
      <c r="F50" s="159">
        <v>4663.7641651831018</v>
      </c>
      <c r="G50" s="159">
        <v>5447.8217089260634</v>
      </c>
      <c r="H50" s="159">
        <v>4532.8811199482579</v>
      </c>
      <c r="I50" s="159">
        <v>4714.2250391888738</v>
      </c>
      <c r="J50" s="159">
        <v>5128.8126052432162</v>
      </c>
      <c r="K50" s="159">
        <v>5762.1240081867381</v>
      </c>
      <c r="L50" s="159">
        <v>4861.4970181371355</v>
      </c>
      <c r="M50" s="159">
        <v>5292.9329132441007</v>
      </c>
      <c r="N50" s="159">
        <v>4567.8263913276205</v>
      </c>
      <c r="O50" s="159">
        <v>5711.6821793324525</v>
      </c>
      <c r="P50" s="159">
        <f>SUM(C50:O50)</f>
        <v>449928.91186693299</v>
      </c>
      <c r="R50" s="31"/>
      <c r="S50" s="31"/>
      <c r="T50" s="32"/>
    </row>
    <row r="51" spans="1:21" x14ac:dyDescent="0.2">
      <c r="B51" s="3" t="s">
        <v>157</v>
      </c>
      <c r="C51" s="159">
        <v>2.0988002826750694</v>
      </c>
      <c r="D51" s="159"/>
      <c r="E51" s="159">
        <v>0</v>
      </c>
      <c r="F51" s="159">
        <v>0</v>
      </c>
      <c r="G51" s="159">
        <v>0</v>
      </c>
      <c r="H51" s="159">
        <v>0</v>
      </c>
      <c r="I51" s="159">
        <v>0</v>
      </c>
      <c r="J51" s="159">
        <v>0</v>
      </c>
      <c r="K51" s="159">
        <v>0</v>
      </c>
      <c r="L51" s="159">
        <v>0</v>
      </c>
      <c r="M51" s="159">
        <v>0</v>
      </c>
      <c r="N51" s="159">
        <v>0</v>
      </c>
      <c r="O51" s="159">
        <v>0</v>
      </c>
      <c r="P51" s="159">
        <f>SUM(C51:O51)</f>
        <v>2.0988002826750694</v>
      </c>
      <c r="R51" s="31"/>
      <c r="S51" s="31"/>
      <c r="T51" s="32"/>
    </row>
    <row r="52" spans="1:21" customFormat="1" ht="12.75" customHeight="1" x14ac:dyDescent="0.25">
      <c r="A52" s="12">
        <v>23</v>
      </c>
      <c r="B52" s="3" t="s">
        <v>36</v>
      </c>
      <c r="C52" s="159">
        <v>382754.0799999999</v>
      </c>
      <c r="D52" s="159">
        <v>5691.83</v>
      </c>
      <c r="E52" s="159">
        <v>4311.21</v>
      </c>
      <c r="F52" s="159">
        <v>4417.46</v>
      </c>
      <c r="G52" s="159">
        <v>4848.3</v>
      </c>
      <c r="H52" s="159">
        <v>4065.59</v>
      </c>
      <c r="I52" s="159">
        <v>4293.6399999999994</v>
      </c>
      <c r="J52" s="159">
        <v>4303.4600000000009</v>
      </c>
      <c r="K52" s="159">
        <v>4213.67</v>
      </c>
      <c r="L52" s="159">
        <v>4866.7599999999993</v>
      </c>
      <c r="M52" s="159">
        <v>6061.65</v>
      </c>
      <c r="N52" s="159">
        <v>4759.4600000000009</v>
      </c>
      <c r="O52" s="159">
        <v>6948.77</v>
      </c>
      <c r="P52" s="159">
        <f>SUM(C52:O52)</f>
        <v>441535.88000000006</v>
      </c>
      <c r="Q52" s="58"/>
      <c r="R52" s="31"/>
      <c r="S52" s="31"/>
      <c r="T52" s="32"/>
    </row>
    <row r="53" spans="1:21" x14ac:dyDescent="0.2">
      <c r="A53" s="12">
        <v>24</v>
      </c>
      <c r="B53" s="21" t="s">
        <v>40</v>
      </c>
      <c r="C53" s="160">
        <v>-5664.0702237781788</v>
      </c>
      <c r="D53" s="160">
        <v>389.8388583260712</v>
      </c>
      <c r="E53" s="160">
        <v>-1211.8945524805731</v>
      </c>
      <c r="F53" s="160">
        <v>-246.30416518310176</v>
      </c>
      <c r="G53" s="160">
        <v>-599.52170892606318</v>
      </c>
      <c r="H53" s="160">
        <v>-467.2911199482578</v>
      </c>
      <c r="I53" s="160">
        <v>-420.58503918887436</v>
      </c>
      <c r="J53" s="160">
        <v>-825.35260524321529</v>
      </c>
      <c r="K53" s="160">
        <v>-1548.4540081867381</v>
      </c>
      <c r="L53" s="160">
        <v>5.2629818628638532</v>
      </c>
      <c r="M53" s="160">
        <v>768.71708675589889</v>
      </c>
      <c r="N53" s="160">
        <v>191.63360867238043</v>
      </c>
      <c r="O53" s="160">
        <v>1237.0878206675479</v>
      </c>
      <c r="P53" s="160">
        <f>SUM(C53:O53)</f>
        <v>-8390.9330666502374</v>
      </c>
      <c r="R53" s="31"/>
      <c r="S53" s="31"/>
      <c r="T53" s="31"/>
      <c r="U53" s="31"/>
    </row>
    <row r="54" spans="1:21" x14ac:dyDescent="0.2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R54" s="31"/>
      <c r="S54" s="31"/>
      <c r="T54" s="32"/>
    </row>
    <row r="55" spans="1:21" x14ac:dyDescent="0.2">
      <c r="A55" s="12">
        <v>25</v>
      </c>
      <c r="B55" s="1" t="s">
        <v>37</v>
      </c>
      <c r="C55" s="161">
        <v>162252455.59106329</v>
      </c>
      <c r="D55" s="161">
        <v>4077747.1868981826</v>
      </c>
      <c r="E55" s="161">
        <v>4247804.9189481828</v>
      </c>
      <c r="F55" s="161">
        <v>3586888.5286231823</v>
      </c>
      <c r="G55" s="161">
        <v>4189905.0855981829</v>
      </c>
      <c r="H55" s="161">
        <v>3486226.7290731836</v>
      </c>
      <c r="I55" s="161">
        <v>3625697.8516731821</v>
      </c>
      <c r="J55" s="161">
        <v>3944556.0383481821</v>
      </c>
      <c r="K55" s="161">
        <v>4431634.1421731813</v>
      </c>
      <c r="L55" s="161">
        <v>3738964.3362481827</v>
      </c>
      <c r="M55" s="161">
        <v>4070780.5276731821</v>
      </c>
      <c r="N55" s="161">
        <v>3513103.0436981823</v>
      </c>
      <c r="O55" s="161">
        <v>4392839.4666981837</v>
      </c>
      <c r="P55" s="161">
        <f>P15+P20+P25+P30+P35+P40+P45+P50+0.01</f>
        <v>209558603.44671646</v>
      </c>
      <c r="R55" s="31"/>
      <c r="S55" s="31"/>
      <c r="T55" s="32"/>
    </row>
    <row r="56" spans="1:21" x14ac:dyDescent="0.2">
      <c r="B56" s="3" t="s">
        <v>157</v>
      </c>
      <c r="C56" s="159">
        <v>933.48</v>
      </c>
      <c r="D56" s="161">
        <v>0</v>
      </c>
      <c r="E56" s="161">
        <v>0</v>
      </c>
      <c r="F56" s="161">
        <v>0</v>
      </c>
      <c r="G56" s="161">
        <v>0</v>
      </c>
      <c r="H56" s="161">
        <v>0</v>
      </c>
      <c r="I56" s="161">
        <v>0</v>
      </c>
      <c r="J56" s="161">
        <v>0</v>
      </c>
      <c r="K56" s="161">
        <v>0</v>
      </c>
      <c r="L56" s="161">
        <v>0</v>
      </c>
      <c r="M56" s="161">
        <v>0</v>
      </c>
      <c r="N56" s="161">
        <v>0</v>
      </c>
      <c r="O56" s="161">
        <v>0</v>
      </c>
      <c r="P56" s="159">
        <f>SUM(C56:O56)</f>
        <v>933.48</v>
      </c>
      <c r="R56" s="31"/>
      <c r="S56" s="31"/>
      <c r="T56" s="32"/>
    </row>
    <row r="57" spans="1:21" x14ac:dyDescent="0.2">
      <c r="A57" s="12">
        <v>26</v>
      </c>
      <c r="B57" s="1" t="s">
        <v>38</v>
      </c>
      <c r="C57" s="161">
        <v>159606988.93000001</v>
      </c>
      <c r="D57" s="161">
        <v>3268342.14</v>
      </c>
      <c r="E57" s="161">
        <v>2867049.48</v>
      </c>
      <c r="F57" s="161">
        <v>3088950.0300000003</v>
      </c>
      <c r="G57" s="161">
        <v>3510538.8399999994</v>
      </c>
      <c r="H57" s="161">
        <v>3415567.74</v>
      </c>
      <c r="I57" s="161">
        <v>4368002.0999999996</v>
      </c>
      <c r="J57" s="161">
        <v>4965054.3000000007</v>
      </c>
      <c r="K57" s="161">
        <v>4677019.92</v>
      </c>
      <c r="L57" s="161">
        <v>4628455.3599999994</v>
      </c>
      <c r="M57" s="161">
        <v>3865448.0699999994</v>
      </c>
      <c r="N57" s="161">
        <v>3828764.87</v>
      </c>
      <c r="O57" s="161">
        <v>4166726.9399999995</v>
      </c>
      <c r="P57" s="161">
        <f>P17+P22+P27+P32+P37+P42+P47+P52</f>
        <v>206256908.72</v>
      </c>
      <c r="R57" s="31"/>
      <c r="S57" s="31"/>
      <c r="T57" s="32"/>
    </row>
    <row r="58" spans="1:21" ht="13.5" thickBot="1" x14ac:dyDescent="0.25">
      <c r="A58" s="12">
        <v>27</v>
      </c>
      <c r="B58" s="23" t="s">
        <v>39</v>
      </c>
      <c r="C58" s="162">
        <v>-2644533.1810632441</v>
      </c>
      <c r="D58" s="162">
        <v>-809405.04689818248</v>
      </c>
      <c r="E58" s="162">
        <v>-1380755.4389481829</v>
      </c>
      <c r="F58" s="162">
        <v>-497938.49862318207</v>
      </c>
      <c r="G58" s="162">
        <v>-679366.24559818348</v>
      </c>
      <c r="H58" s="162">
        <v>-70658.989073183388</v>
      </c>
      <c r="I58" s="162">
        <v>742304.24832681753</v>
      </c>
      <c r="J58" s="162">
        <v>1020498.2616518186</v>
      </c>
      <c r="K58" s="162">
        <v>245385.77782681864</v>
      </c>
      <c r="L58" s="162">
        <v>889491.02375181671</v>
      </c>
      <c r="M58" s="162">
        <v>-205332.45767318271</v>
      </c>
      <c r="N58" s="162">
        <v>315661.82630181778</v>
      </c>
      <c r="O58" s="162">
        <v>-226112.5266981842</v>
      </c>
      <c r="P58" s="162">
        <f>SUM(C58:O58)</f>
        <v>-3300761.2467164351</v>
      </c>
      <c r="R58" s="31"/>
      <c r="S58" s="31"/>
      <c r="T58" s="31"/>
      <c r="U58" s="31"/>
    </row>
    <row r="59" spans="1:21" ht="13.5" thickTop="1" x14ac:dyDescent="0.2"/>
    <row r="60" spans="1:21" x14ac:dyDescent="0.2">
      <c r="E60" s="31"/>
      <c r="N60" s="78"/>
      <c r="O60" s="118"/>
    </row>
    <row r="62" spans="1:21" x14ac:dyDescent="0.2">
      <c r="B62" s="7" t="s">
        <v>10</v>
      </c>
    </row>
    <row r="63" spans="1:21" x14ac:dyDescent="0.2">
      <c r="B63" s="15" t="s">
        <v>161</v>
      </c>
    </row>
    <row r="64" spans="1:21" x14ac:dyDescent="0.2">
      <c r="B64" s="25" t="s">
        <v>160</v>
      </c>
    </row>
  </sheetData>
  <mergeCells count="4">
    <mergeCell ref="A8:P8"/>
    <mergeCell ref="A9:P9"/>
    <mergeCell ref="A3:P3"/>
    <mergeCell ref="A4:P4"/>
  </mergeCells>
  <printOptions horizontalCentered="1"/>
  <pageMargins left="1" right="1" top="1" bottom="1" header="0.5" footer="0.5"/>
  <pageSetup scale="5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H64"/>
  <sheetViews>
    <sheetView zoomScale="90" zoomScaleNormal="90" zoomScaleSheetLayoutView="100" workbookViewId="0">
      <selection activeCell="K33" sqref="K33"/>
    </sheetView>
  </sheetViews>
  <sheetFormatPr defaultColWidth="9.140625" defaultRowHeight="12.75" x14ac:dyDescent="0.2"/>
  <cols>
    <col min="1" max="1" customWidth="true" style="12" width="7.7109375" collapsed="false"/>
    <col min="2" max="2" customWidth="true" style="1" width="29.42578125" collapsed="false"/>
    <col min="3" max="3" customWidth="true" style="1" width="14.85546875" collapsed="false"/>
    <col min="4" max="4" customWidth="true" style="1" width="12.0" collapsed="false"/>
    <col min="5" max="5" customWidth="true" style="1" width="15.85546875" collapsed="false"/>
    <col min="6" max="6" bestFit="true" customWidth="true" style="1" width="12.7109375" collapsed="false"/>
    <col min="7" max="8" customWidth="true" style="1" width="9.28515625" collapsed="false"/>
    <col min="9" max="16384" style="1" width="9.140625" collapsed="false"/>
  </cols>
  <sheetData>
    <row r="2" spans="1:7" x14ac:dyDescent="0.2">
      <c r="A2" s="155"/>
    </row>
    <row r="3" spans="1:7" x14ac:dyDescent="0.2">
      <c r="A3" s="183" t="s">
        <v>94</v>
      </c>
      <c r="B3" s="183"/>
      <c r="C3" s="183"/>
      <c r="D3" s="183"/>
      <c r="E3" s="183"/>
      <c r="F3" s="183"/>
    </row>
    <row r="4" spans="1:7" x14ac:dyDescent="0.2">
      <c r="A4" s="183" t="str">
        <f>Sales!A4</f>
        <v>2020 TCA RECONCILIATION and 2021 NEW FACTOR CALCULATION</v>
      </c>
      <c r="B4" s="183"/>
      <c r="C4" s="183"/>
      <c r="D4" s="183"/>
      <c r="E4" s="183"/>
      <c r="F4" s="183"/>
    </row>
    <row r="5" spans="1:7" x14ac:dyDescent="0.2">
      <c r="A5" s="61"/>
      <c r="F5" s="64" t="s">
        <v>98</v>
      </c>
    </row>
    <row r="6" spans="1:7" x14ac:dyDescent="0.2">
      <c r="A6" s="186"/>
      <c r="B6" s="186"/>
      <c r="C6" s="186"/>
      <c r="D6" s="186"/>
    </row>
    <row r="8" spans="1:7" x14ac:dyDescent="0.2">
      <c r="A8" s="183" t="s">
        <v>152</v>
      </c>
      <c r="B8" s="183"/>
      <c r="C8" s="183"/>
      <c r="D8" s="183"/>
      <c r="E8" s="183"/>
      <c r="F8" s="183"/>
    </row>
    <row r="9" spans="1:7" x14ac:dyDescent="0.2">
      <c r="A9" s="184" t="s">
        <v>153</v>
      </c>
      <c r="B9" s="184"/>
      <c r="C9" s="184"/>
      <c r="D9" s="184"/>
      <c r="E9" s="184"/>
      <c r="F9" s="184"/>
    </row>
    <row r="10" spans="1:7" x14ac:dyDescent="0.2">
      <c r="A10" s="68"/>
      <c r="B10" s="68"/>
      <c r="C10" s="68"/>
    </row>
    <row r="11" spans="1:7" x14ac:dyDescent="0.2">
      <c r="A11" s="68"/>
      <c r="B11" s="68"/>
    </row>
    <row r="12" spans="1:7" x14ac:dyDescent="0.2">
      <c r="A12" s="137"/>
      <c r="B12" s="137"/>
      <c r="C12" s="185" t="str">
        <f>TEXT(Sales!G13,"mmm-yy")&amp;" through "&amp;TEXT(Sales!G15,"mmm-yy")</f>
        <v>Jan-21 through Mar-21</v>
      </c>
      <c r="D12" s="185"/>
      <c r="E12" s="185"/>
      <c r="F12" s="185"/>
    </row>
    <row r="13" spans="1:7" x14ac:dyDescent="0.2">
      <c r="A13" s="137"/>
      <c r="B13" s="137"/>
      <c r="C13" s="43" t="s">
        <v>48</v>
      </c>
      <c r="D13" s="43" t="s">
        <v>49</v>
      </c>
      <c r="E13" s="43" t="s">
        <v>50</v>
      </c>
      <c r="F13" s="43" t="s">
        <v>51</v>
      </c>
    </row>
    <row r="14" spans="1:7" x14ac:dyDescent="0.2">
      <c r="A14" s="122"/>
      <c r="B14" s="122"/>
      <c r="C14" s="126"/>
      <c r="D14" s="126" t="s">
        <v>121</v>
      </c>
      <c r="E14" s="13" t="s">
        <v>151</v>
      </c>
      <c r="F14" s="13" t="s">
        <v>140</v>
      </c>
    </row>
    <row r="15" spans="1:7" x14ac:dyDescent="0.2">
      <c r="A15" s="13" t="s">
        <v>7</v>
      </c>
      <c r="C15" s="127" t="s">
        <v>142</v>
      </c>
      <c r="D15" s="67" t="s">
        <v>122</v>
      </c>
      <c r="E15" s="136" t="s">
        <v>122</v>
      </c>
      <c r="F15" s="13" t="s">
        <v>141</v>
      </c>
    </row>
    <row r="16" spans="1:7" x14ac:dyDescent="0.2">
      <c r="A16" s="12">
        <v>1</v>
      </c>
      <c r="B16" s="3" t="s">
        <v>21</v>
      </c>
      <c r="C16" s="19"/>
      <c r="D16" s="3"/>
      <c r="E16" s="19">
        <f>'Net Forecast Costs'!C31+'Net Forecast Costs'!D31+'Net Forecast Costs'!E31</f>
        <v>4013285.7272726488</v>
      </c>
      <c r="F16" s="116"/>
      <c r="G16" s="36"/>
    </row>
    <row r="17" spans="1:8" x14ac:dyDescent="0.2">
      <c r="A17" s="12">
        <f>A16+1</f>
        <v>2</v>
      </c>
      <c r="B17" s="3" t="s">
        <v>66</v>
      </c>
      <c r="C17" s="49">
        <f>Sales!K13</f>
        <v>1521851331.6936073</v>
      </c>
      <c r="D17" s="138">
        <v>2.5899999999999999E-3</v>
      </c>
      <c r="E17" s="138">
        <f>E16/C17</f>
        <v>2.6371076094577673E-3</v>
      </c>
      <c r="F17" s="15"/>
      <c r="G17" s="36"/>
    </row>
    <row r="18" spans="1:8" x14ac:dyDescent="0.2">
      <c r="A18" s="12">
        <f>A17+1</f>
        <v>3</v>
      </c>
      <c r="B18" s="143" t="s">
        <v>23</v>
      </c>
      <c r="C18" s="142"/>
      <c r="D18" s="142">
        <f>C17*D17</f>
        <v>3941594.9490864426</v>
      </c>
      <c r="E18" s="142">
        <f>C17*E17</f>
        <v>4013285.7272726484</v>
      </c>
      <c r="G18" s="32"/>
    </row>
    <row r="19" spans="1:8" x14ac:dyDescent="0.2">
      <c r="A19" s="12">
        <v>4</v>
      </c>
      <c r="B19" s="23" t="s">
        <v>40</v>
      </c>
      <c r="C19" s="139"/>
      <c r="D19" s="140"/>
      <c r="E19" s="15"/>
      <c r="F19" s="19">
        <f>D18-E18</f>
        <v>-71690.778186205775</v>
      </c>
      <c r="G19" s="31"/>
      <c r="H19" s="31"/>
    </row>
    <row r="20" spans="1:8" x14ac:dyDescent="0.2">
      <c r="B20" s="3"/>
      <c r="C20" s="19"/>
      <c r="D20" s="50"/>
      <c r="E20" s="15"/>
      <c r="F20" s="15"/>
      <c r="G20" s="32"/>
    </row>
    <row r="21" spans="1:8" x14ac:dyDescent="0.2">
      <c r="A21" s="12">
        <f>A19+1</f>
        <v>5</v>
      </c>
      <c r="B21" s="3" t="s">
        <v>22</v>
      </c>
      <c r="C21" s="19"/>
      <c r="D21" s="50"/>
      <c r="E21" s="19">
        <f>'Net Forecast Costs'!C32+'Net Forecast Costs'!D32+'Net Forecast Costs'!E32</f>
        <v>1252586.4156380841</v>
      </c>
      <c r="F21" s="15"/>
      <c r="G21" s="32"/>
    </row>
    <row r="22" spans="1:8" x14ac:dyDescent="0.2">
      <c r="A22" s="12">
        <f>A21+1</f>
        <v>6</v>
      </c>
      <c r="B22" s="3" t="s">
        <v>67</v>
      </c>
      <c r="C22" s="49">
        <f>Sales!Q13</f>
        <v>1434868.3807629503</v>
      </c>
      <c r="D22" s="50">
        <v>0.87</v>
      </c>
      <c r="E22" s="141">
        <f>E21/C22</f>
        <v>0.87296258836790108</v>
      </c>
      <c r="F22" s="15"/>
      <c r="G22" s="32"/>
    </row>
    <row r="23" spans="1:8" x14ac:dyDescent="0.2">
      <c r="A23" s="12">
        <f>A22+1</f>
        <v>7</v>
      </c>
      <c r="B23" s="3" t="s">
        <v>24</v>
      </c>
      <c r="C23" s="19"/>
      <c r="D23" s="142">
        <f>C22*D22</f>
        <v>1248335.4912637668</v>
      </c>
      <c r="E23" s="142">
        <f>C22*E22</f>
        <v>1252586.4156380841</v>
      </c>
      <c r="F23" s="15"/>
      <c r="G23" s="32"/>
    </row>
    <row r="24" spans="1:8" x14ac:dyDescent="0.2">
      <c r="A24" s="12">
        <f>A23+1</f>
        <v>8</v>
      </c>
      <c r="B24" s="144" t="s">
        <v>40</v>
      </c>
      <c r="C24" s="145"/>
      <c r="D24" s="146"/>
      <c r="E24" s="15"/>
      <c r="F24" s="19">
        <f>D23-E23</f>
        <v>-4250.9243743172847</v>
      </c>
      <c r="G24" s="31"/>
      <c r="H24" s="31"/>
    </row>
    <row r="25" spans="1:8" x14ac:dyDescent="0.2">
      <c r="B25" s="46"/>
      <c r="C25" s="139"/>
      <c r="D25" s="147"/>
      <c r="E25" s="15"/>
      <c r="F25" s="15"/>
      <c r="G25" s="32"/>
    </row>
    <row r="26" spans="1:8" x14ac:dyDescent="0.2">
      <c r="A26" s="12">
        <f>A24+1</f>
        <v>9</v>
      </c>
      <c r="B26" s="3" t="s">
        <v>25</v>
      </c>
      <c r="C26" s="19"/>
      <c r="D26" s="50"/>
      <c r="E26" s="19">
        <f>'Net Forecast Costs'!C33+'Net Forecast Costs'!D33+'Net Forecast Costs'!E33</f>
        <v>953218.40572710638</v>
      </c>
      <c r="F26" s="37"/>
      <c r="G26" s="32"/>
    </row>
    <row r="27" spans="1:8" x14ac:dyDescent="0.2">
      <c r="A27" s="12">
        <f>A26+1</f>
        <v>10</v>
      </c>
      <c r="B27" s="3" t="s">
        <v>58</v>
      </c>
      <c r="C27" s="49">
        <f>Sales!K15</f>
        <v>410570255.47658741</v>
      </c>
      <c r="D27" s="138">
        <v>2.2100000000000002E-3</v>
      </c>
      <c r="E27" s="138">
        <f>E26/C27</f>
        <v>2.321693773506842E-3</v>
      </c>
      <c r="F27" s="37"/>
      <c r="G27" s="32"/>
    </row>
    <row r="28" spans="1:8" x14ac:dyDescent="0.2">
      <c r="A28" s="12">
        <f>A27+1</f>
        <v>11</v>
      </c>
      <c r="B28" s="3" t="s">
        <v>26</v>
      </c>
      <c r="C28" s="19"/>
      <c r="D28" s="142">
        <f>C27*D27</f>
        <v>907360.26460325823</v>
      </c>
      <c r="E28" s="142">
        <f>C27*E27</f>
        <v>953218.40572710638</v>
      </c>
      <c r="F28" s="31"/>
      <c r="G28" s="32"/>
    </row>
    <row r="29" spans="1:8" x14ac:dyDescent="0.2">
      <c r="A29" s="12">
        <f>A28+1</f>
        <v>12</v>
      </c>
      <c r="B29" s="144" t="s">
        <v>40</v>
      </c>
      <c r="C29" s="145"/>
      <c r="D29" s="146"/>
      <c r="F29" s="19">
        <f>D28-E28</f>
        <v>-45858.141123848152</v>
      </c>
      <c r="G29" s="31"/>
      <c r="H29" s="31"/>
    </row>
    <row r="30" spans="1:8" x14ac:dyDescent="0.2">
      <c r="B30" s="46"/>
      <c r="C30" s="139"/>
      <c r="D30" s="147"/>
      <c r="E30" s="31"/>
      <c r="F30" s="31"/>
      <c r="G30" s="32"/>
    </row>
    <row r="31" spans="1:8" x14ac:dyDescent="0.2">
      <c r="A31" s="12">
        <f>A29+1</f>
        <v>13</v>
      </c>
      <c r="B31" s="3" t="s">
        <v>27</v>
      </c>
      <c r="C31" s="19"/>
      <c r="D31" s="50"/>
      <c r="E31" s="19">
        <f>'Net Forecast Costs'!C34+'Net Forecast Costs'!D34+'Net Forecast Costs'!E34</f>
        <v>3499848.1041524364</v>
      </c>
      <c r="F31" s="31"/>
      <c r="G31" s="32"/>
    </row>
    <row r="32" spans="1:8" x14ac:dyDescent="0.2">
      <c r="A32" s="12">
        <f>A31+1</f>
        <v>14</v>
      </c>
      <c r="B32" s="3" t="s">
        <v>68</v>
      </c>
      <c r="C32" s="49">
        <f>Sales!Q14</f>
        <v>3926686.4416257315</v>
      </c>
      <c r="D32" s="50">
        <v>0.93</v>
      </c>
      <c r="E32" s="141">
        <f>E31/C32</f>
        <v>0.89129808457622228</v>
      </c>
      <c r="F32" s="31"/>
      <c r="G32" s="32"/>
    </row>
    <row r="33" spans="1:8" x14ac:dyDescent="0.2">
      <c r="A33" s="12">
        <f>A32+1</f>
        <v>15</v>
      </c>
      <c r="B33" s="3" t="s">
        <v>30</v>
      </c>
      <c r="C33" s="19"/>
      <c r="D33" s="142">
        <f>C32*D32</f>
        <v>3651818.3907119306</v>
      </c>
      <c r="E33" s="142">
        <f>C32*E32</f>
        <v>3499848.1041524364</v>
      </c>
      <c r="F33" s="31"/>
      <c r="G33" s="32"/>
    </row>
    <row r="34" spans="1:8" x14ac:dyDescent="0.2">
      <c r="A34" s="12">
        <f>A33+1</f>
        <v>16</v>
      </c>
      <c r="B34" s="144" t="s">
        <v>40</v>
      </c>
      <c r="C34" s="145"/>
      <c r="D34" s="146"/>
      <c r="E34" s="31"/>
      <c r="F34" s="19">
        <f>D33-E33</f>
        <v>151970.28655949421</v>
      </c>
      <c r="G34" s="31"/>
      <c r="H34" s="31"/>
    </row>
    <row r="35" spans="1:8" x14ac:dyDescent="0.2">
      <c r="B35" s="46"/>
      <c r="C35" s="139"/>
      <c r="D35" s="147"/>
      <c r="E35" s="31"/>
      <c r="F35" s="31"/>
      <c r="G35" s="32"/>
    </row>
    <row r="36" spans="1:8" x14ac:dyDescent="0.2">
      <c r="A36" s="12">
        <f>A34+1</f>
        <v>17</v>
      </c>
      <c r="B36" s="3" t="s">
        <v>28</v>
      </c>
      <c r="C36" s="19"/>
      <c r="D36" s="50"/>
      <c r="E36" s="19">
        <f>'Net Forecast Costs'!C35+'Net Forecast Costs'!D35+'Net Forecast Costs'!E35</f>
        <v>2984669.4379733158</v>
      </c>
      <c r="F36" s="31"/>
      <c r="G36" s="32"/>
    </row>
    <row r="37" spans="1:8" x14ac:dyDescent="0.2">
      <c r="A37" s="12">
        <f>A36+1</f>
        <v>18</v>
      </c>
      <c r="B37" s="3" t="s">
        <v>69</v>
      </c>
      <c r="C37" s="49">
        <f>Sales!Q15</f>
        <v>3428269.2518380866</v>
      </c>
      <c r="D37" s="50">
        <v>0.91</v>
      </c>
      <c r="E37" s="141">
        <f>E36/C37</f>
        <v>0.87060531677115727</v>
      </c>
      <c r="F37" s="31"/>
      <c r="G37" s="32"/>
    </row>
    <row r="38" spans="1:8" x14ac:dyDescent="0.2">
      <c r="A38" s="12">
        <f>A37+1</f>
        <v>19</v>
      </c>
      <c r="B38" s="3" t="s">
        <v>29</v>
      </c>
      <c r="C38" s="19"/>
      <c r="D38" s="142">
        <f>C37*D37</f>
        <v>3119725.0191726591</v>
      </c>
      <c r="E38" s="142">
        <f>C37*E37</f>
        <v>2984669.4379733158</v>
      </c>
      <c r="F38" s="31"/>
      <c r="G38" s="32"/>
    </row>
    <row r="39" spans="1:8" x14ac:dyDescent="0.2">
      <c r="A39" s="12">
        <f>A38+1</f>
        <v>20</v>
      </c>
      <c r="B39" s="144" t="s">
        <v>40</v>
      </c>
      <c r="C39" s="145"/>
      <c r="D39" s="146"/>
      <c r="E39" s="31"/>
      <c r="F39" s="19">
        <f>D38-E38</f>
        <v>135055.58119934332</v>
      </c>
      <c r="G39" s="31"/>
      <c r="H39" s="31"/>
    </row>
    <row r="40" spans="1:8" x14ac:dyDescent="0.2">
      <c r="B40" s="46"/>
      <c r="C40" s="139"/>
      <c r="D40" s="147"/>
      <c r="E40" s="31"/>
      <c r="F40" s="31"/>
      <c r="G40" s="32"/>
    </row>
    <row r="41" spans="1:8" x14ac:dyDescent="0.2">
      <c r="A41" s="12">
        <f>A39+1</f>
        <v>21</v>
      </c>
      <c r="B41" s="3" t="s">
        <v>31</v>
      </c>
      <c r="C41" s="19"/>
      <c r="D41" s="50"/>
      <c r="E41" s="19">
        <f>'Net Forecast Costs'!C36+'Net Forecast Costs'!D36+'Net Forecast Costs'!E36</f>
        <v>2186.9630680292462</v>
      </c>
      <c r="F41" s="31"/>
      <c r="G41" s="32"/>
    </row>
    <row r="42" spans="1:8" x14ac:dyDescent="0.2">
      <c r="A42" s="12">
        <f>A41+1</f>
        <v>22</v>
      </c>
      <c r="B42" s="3" t="s">
        <v>70</v>
      </c>
      <c r="C42" s="49">
        <f>Sales!K18</f>
        <v>1332736.1478301305</v>
      </c>
      <c r="D42" s="138">
        <v>1.49E-3</v>
      </c>
      <c r="E42" s="138">
        <f>E41/C42</f>
        <v>1.6409572679407767E-3</v>
      </c>
      <c r="F42" s="31"/>
      <c r="G42" s="32"/>
    </row>
    <row r="43" spans="1:8" x14ac:dyDescent="0.2">
      <c r="A43" s="12">
        <f>A42+1</f>
        <v>23</v>
      </c>
      <c r="B43" s="3" t="s">
        <v>32</v>
      </c>
      <c r="C43" s="19"/>
      <c r="D43" s="142">
        <f>C42*D42</f>
        <v>1985.7768602668946</v>
      </c>
      <c r="E43" s="142">
        <f>C42*E42</f>
        <v>2186.9630680292462</v>
      </c>
      <c r="F43" s="31"/>
      <c r="G43" s="32"/>
    </row>
    <row r="44" spans="1:8" x14ac:dyDescent="0.2">
      <c r="A44" s="12">
        <f>A43+1</f>
        <v>24</v>
      </c>
      <c r="B44" s="144" t="s">
        <v>40</v>
      </c>
      <c r="C44" s="145"/>
      <c r="D44" s="146"/>
      <c r="E44" s="31"/>
      <c r="F44" s="19">
        <f>D43-E43</f>
        <v>-201.18620776235161</v>
      </c>
      <c r="G44" s="31"/>
      <c r="H44" s="31"/>
    </row>
    <row r="45" spans="1:8" x14ac:dyDescent="0.2">
      <c r="B45" s="46"/>
      <c r="C45" s="139"/>
      <c r="D45" s="147"/>
      <c r="E45" s="31"/>
      <c r="F45" s="31"/>
      <c r="G45" s="32"/>
    </row>
    <row r="46" spans="1:8" x14ac:dyDescent="0.2">
      <c r="A46" s="12">
        <f>A44+1</f>
        <v>25</v>
      </c>
      <c r="B46" s="3" t="s">
        <v>33</v>
      </c>
      <c r="C46" s="19"/>
      <c r="D46" s="50"/>
      <c r="E46" s="19">
        <f>'Net Forecast Costs'!C37+'Net Forecast Costs'!D37+'Net Forecast Costs'!E37</f>
        <v>19963.546956915543</v>
      </c>
      <c r="F46" s="31"/>
      <c r="G46" s="32"/>
    </row>
    <row r="47" spans="1:8" x14ac:dyDescent="0.2">
      <c r="A47" s="12">
        <f>A46+1</f>
        <v>26</v>
      </c>
      <c r="B47" s="3" t="s">
        <v>71</v>
      </c>
      <c r="C47" s="49">
        <f>Sales!K19</f>
        <v>12330490.228658741</v>
      </c>
      <c r="D47" s="138">
        <v>1.8400000000000001E-3</v>
      </c>
      <c r="E47" s="138">
        <f>E46/C47</f>
        <v>1.6190391936336738E-3</v>
      </c>
      <c r="F47" s="31"/>
      <c r="G47" s="32"/>
    </row>
    <row r="48" spans="1:8" x14ac:dyDescent="0.2">
      <c r="A48" s="12">
        <f>A47+1</f>
        <v>27</v>
      </c>
      <c r="B48" s="3" t="s">
        <v>34</v>
      </c>
      <c r="C48" s="19"/>
      <c r="D48" s="142">
        <f>C47*D47</f>
        <v>22688.102020732083</v>
      </c>
      <c r="E48" s="142">
        <f>C47*E47</f>
        <v>19963.546956915543</v>
      </c>
      <c r="F48" s="31"/>
      <c r="G48" s="32"/>
    </row>
    <row r="49" spans="1:8" x14ac:dyDescent="0.2">
      <c r="A49" s="12">
        <f>A48+1</f>
        <v>28</v>
      </c>
      <c r="B49" s="144" t="s">
        <v>40</v>
      </c>
      <c r="C49" s="145"/>
      <c r="D49" s="146"/>
      <c r="E49" s="31"/>
      <c r="F49" s="19">
        <f>D48-E48</f>
        <v>2724.5550638165405</v>
      </c>
      <c r="G49" s="31"/>
      <c r="H49" s="31"/>
    </row>
    <row r="50" spans="1:8" x14ac:dyDescent="0.2">
      <c r="B50" s="46"/>
      <c r="C50" s="139"/>
      <c r="D50" s="147"/>
      <c r="E50" s="31"/>
      <c r="F50" s="31"/>
      <c r="G50" s="32"/>
    </row>
    <row r="51" spans="1:8" x14ac:dyDescent="0.2">
      <c r="A51" s="12">
        <f>A49+1</f>
        <v>29</v>
      </c>
      <c r="B51" s="3" t="s">
        <v>35</v>
      </c>
      <c r="C51" s="19"/>
      <c r="D51" s="50"/>
      <c r="E51" s="19">
        <f>'Net Forecast Costs'!C38+'Net Forecast Costs'!D38+'Net Forecast Costs'!E38</f>
        <v>16735.416765712445</v>
      </c>
      <c r="F51" s="31"/>
      <c r="G51" s="32"/>
    </row>
    <row r="52" spans="1:8" x14ac:dyDescent="0.2">
      <c r="A52" s="12">
        <f>A51+1</f>
        <v>30</v>
      </c>
      <c r="B52" s="3" t="s">
        <v>72</v>
      </c>
      <c r="C52" s="49">
        <f>Sales!K20</f>
        <v>20231300.99705435</v>
      </c>
      <c r="D52" s="138">
        <v>8.0000000000000004E-4</v>
      </c>
      <c r="E52" s="138">
        <f>E51/C52</f>
        <v>8.2720418069747955E-4</v>
      </c>
      <c r="F52" s="31"/>
      <c r="G52" s="32"/>
    </row>
    <row r="53" spans="1:8" customFormat="1" ht="12.75" customHeight="1" x14ac:dyDescent="0.25">
      <c r="A53" s="12">
        <f>A52+1</f>
        <v>31</v>
      </c>
      <c r="B53" s="3" t="s">
        <v>36</v>
      </c>
      <c r="C53" s="19"/>
      <c r="D53" s="142">
        <f>C52*D52</f>
        <v>16185.04079764348</v>
      </c>
      <c r="E53" s="142">
        <f>C52*E52</f>
        <v>16735.416765712445</v>
      </c>
      <c r="F53" s="31"/>
      <c r="G53" s="32"/>
    </row>
    <row r="54" spans="1:8" x14ac:dyDescent="0.2">
      <c r="A54" s="12">
        <f>A53+1</f>
        <v>32</v>
      </c>
      <c r="B54" s="144" t="s">
        <v>40</v>
      </c>
      <c r="C54" s="145"/>
      <c r="D54" s="146"/>
      <c r="E54" s="31"/>
      <c r="F54" s="142">
        <f>D53-E53</f>
        <v>-550.37596806896545</v>
      </c>
      <c r="G54" s="31"/>
      <c r="H54" s="31"/>
    </row>
    <row r="55" spans="1:8" x14ac:dyDescent="0.2">
      <c r="B55" s="148"/>
      <c r="C55" s="148"/>
      <c r="D55" s="149"/>
      <c r="E55" s="31"/>
      <c r="F55" s="31"/>
      <c r="G55" s="32"/>
    </row>
    <row r="56" spans="1:8" ht="13.5" thickBot="1" x14ac:dyDescent="0.25">
      <c r="A56" s="12">
        <f>A54+1</f>
        <v>33</v>
      </c>
      <c r="B56" s="23" t="s">
        <v>39</v>
      </c>
      <c r="C56" s="22"/>
      <c r="D56" s="51"/>
      <c r="E56" s="31"/>
      <c r="F56" s="150">
        <f>SUM(F19:F55)</f>
        <v>167199.01696245157</v>
      </c>
      <c r="G56" s="32"/>
    </row>
    <row r="57" spans="1:8" ht="13.5" thickTop="1" x14ac:dyDescent="0.2"/>
    <row r="59" spans="1:8" x14ac:dyDescent="0.2">
      <c r="B59" s="7" t="s">
        <v>57</v>
      </c>
    </row>
    <row r="60" spans="1:8" x14ac:dyDescent="0.2">
      <c r="B60" s="15" t="s">
        <v>111</v>
      </c>
    </row>
    <row r="61" spans="1:8" x14ac:dyDescent="0.2">
      <c r="B61" s="15" t="s">
        <v>109</v>
      </c>
    </row>
    <row r="62" spans="1:8" x14ac:dyDescent="0.2">
      <c r="B62" s="15" t="s">
        <v>110</v>
      </c>
    </row>
    <row r="63" spans="1:8" x14ac:dyDescent="0.2">
      <c r="B63" s="15" t="s">
        <v>144</v>
      </c>
    </row>
    <row r="64" spans="1:8" x14ac:dyDescent="0.2">
      <c r="B64" s="15" t="s">
        <v>145</v>
      </c>
    </row>
  </sheetData>
  <mergeCells count="6">
    <mergeCell ref="C12:F12"/>
    <mergeCell ref="A6:D6"/>
    <mergeCell ref="A3:F3"/>
    <mergeCell ref="A4:F4"/>
    <mergeCell ref="A8:F8"/>
    <mergeCell ref="A9:F9"/>
  </mergeCells>
  <printOptions horizontalCentered="1"/>
  <pageMargins left="1" right="1" top="1" bottom="1" header="0.5" footer="0.5"/>
  <pageSetup scale="8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P43"/>
  <sheetViews>
    <sheetView zoomScale="90" zoomScaleNormal="90" workbookViewId="0">
      <selection activeCell="E34" sqref="E34"/>
    </sheetView>
  </sheetViews>
  <sheetFormatPr defaultRowHeight="12.75" x14ac:dyDescent="0.2"/>
  <cols>
    <col min="1" max="1" customWidth="true" style="38" width="5.28515625" collapsed="false"/>
    <col min="2" max="2" customWidth="true" style="39" width="33.7109375" collapsed="false"/>
    <col min="3" max="4" customWidth="true" style="38" width="16.28515625" collapsed="false"/>
    <col min="5" max="5" customWidth="true" style="38" width="14.5703125" collapsed="false"/>
    <col min="6" max="6" customWidth="true" style="38" width="15.85546875" collapsed="false"/>
    <col min="7" max="7" customWidth="true" style="38" width="13.140625" collapsed="false"/>
    <col min="8" max="8" customWidth="true" style="38" width="13.5703125" collapsed="false"/>
    <col min="9" max="9" customWidth="true" style="38" width="12.7109375" collapsed="false"/>
    <col min="10" max="10" customWidth="true" style="38" width="12.42578125" collapsed="false"/>
    <col min="11" max="12" customWidth="true" style="72" width="12.42578125" collapsed="false"/>
    <col min="13" max="13" bestFit="true" customWidth="true" style="39" width="12.42578125" collapsed="false"/>
    <col min="14" max="14" customWidth="true" style="39" width="9.7109375" collapsed="false"/>
    <col min="15" max="15" bestFit="true" customWidth="true" style="39" width="12.42578125" collapsed="false"/>
    <col min="16" max="16" customWidth="true" style="39" width="9.7109375" collapsed="false"/>
    <col min="17" max="16384" style="39" width="9.140625" collapsed="false"/>
  </cols>
  <sheetData>
    <row r="2" spans="1:15" x14ac:dyDescent="0.2">
      <c r="A2" s="156"/>
    </row>
    <row r="3" spans="1:15" x14ac:dyDescent="0.2">
      <c r="A3" s="188" t="s">
        <v>94</v>
      </c>
      <c r="B3" s="188"/>
      <c r="C3" s="188"/>
      <c r="D3" s="188"/>
      <c r="E3" s="188"/>
      <c r="F3" s="188"/>
      <c r="G3" s="188"/>
      <c r="H3" s="188"/>
      <c r="I3" s="188"/>
      <c r="J3" s="188"/>
      <c r="K3" s="70"/>
      <c r="L3" s="70"/>
    </row>
    <row r="4" spans="1:15" x14ac:dyDescent="0.2">
      <c r="A4" s="188" t="str">
        <f>Sales!A4</f>
        <v>2020 TCA RECONCILIATION and 2021 NEW FACTOR CALCULATION</v>
      </c>
      <c r="B4" s="188"/>
      <c r="C4" s="188"/>
      <c r="D4" s="188"/>
      <c r="E4" s="188"/>
      <c r="F4" s="188"/>
      <c r="G4" s="188"/>
      <c r="H4" s="188"/>
      <c r="I4" s="188"/>
      <c r="J4" s="188"/>
      <c r="K4" s="70"/>
      <c r="L4" s="70"/>
    </row>
    <row r="5" spans="1:15" x14ac:dyDescent="0.2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70"/>
      <c r="L5" s="70"/>
    </row>
    <row r="6" spans="1:15" x14ac:dyDescent="0.2">
      <c r="A6" s="60"/>
      <c r="B6" s="135"/>
      <c r="C6" s="41"/>
      <c r="D6" s="41"/>
      <c r="E6" s="41"/>
      <c r="F6" s="41"/>
      <c r="G6" s="41"/>
      <c r="H6" s="41"/>
      <c r="J6" s="64" t="s">
        <v>97</v>
      </c>
      <c r="K6" s="71"/>
      <c r="L6" s="71"/>
    </row>
    <row r="7" spans="1:15" x14ac:dyDescent="0.2">
      <c r="C7" s="39"/>
      <c r="D7" s="39"/>
      <c r="E7" s="39"/>
      <c r="F7" s="39"/>
      <c r="J7" s="40"/>
      <c r="K7" s="73"/>
      <c r="L7" s="73"/>
    </row>
    <row r="8" spans="1:15" x14ac:dyDescent="0.2">
      <c r="B8" s="187" t="s">
        <v>76</v>
      </c>
      <c r="C8" s="187"/>
      <c r="D8" s="187"/>
      <c r="E8" s="187"/>
      <c r="F8" s="187"/>
      <c r="G8" s="187"/>
      <c r="H8" s="187"/>
      <c r="I8" s="187"/>
      <c r="J8" s="187"/>
      <c r="K8" s="74"/>
      <c r="L8" s="74"/>
    </row>
    <row r="9" spans="1:15" x14ac:dyDescent="0.2">
      <c r="B9" s="123"/>
      <c r="C9" s="123"/>
      <c r="D9" s="123"/>
      <c r="E9" s="123"/>
      <c r="F9" s="123"/>
      <c r="G9" s="123"/>
      <c r="H9" s="123"/>
      <c r="I9" s="123"/>
      <c r="J9" s="123"/>
      <c r="K9" s="74"/>
      <c r="L9" s="74"/>
    </row>
    <row r="10" spans="1:15" x14ac:dyDescent="0.2">
      <c r="B10" s="123"/>
      <c r="C10" s="123"/>
      <c r="D10" s="123"/>
      <c r="E10" s="123"/>
      <c r="F10" s="123"/>
      <c r="G10" s="39"/>
      <c r="H10" s="123"/>
      <c r="I10" s="123"/>
      <c r="J10" s="123"/>
      <c r="K10" s="74"/>
      <c r="L10" s="74"/>
    </row>
    <row r="11" spans="1:15" x14ac:dyDescent="0.2">
      <c r="B11" s="123"/>
      <c r="C11" s="123"/>
      <c r="D11" s="41" t="s">
        <v>133</v>
      </c>
      <c r="E11" s="123"/>
      <c r="F11" s="123"/>
      <c r="G11" s="41" t="s">
        <v>130</v>
      </c>
      <c r="H11" s="41" t="s">
        <v>130</v>
      </c>
      <c r="I11" s="123"/>
      <c r="J11" s="123"/>
      <c r="K11" s="74"/>
      <c r="L11" s="74"/>
    </row>
    <row r="12" spans="1:15" x14ac:dyDescent="0.2">
      <c r="B12" s="123"/>
      <c r="C12" s="41" t="str">
        <f>YEAR(Sales!G13)&amp;" Forecasted"</f>
        <v>2021 Forecasted</v>
      </c>
      <c r="D12" s="41" t="s">
        <v>127</v>
      </c>
      <c r="E12" s="41" t="str">
        <f>YEAR(Sales!G13)&amp;" Forecast"</f>
        <v>2021 Forecast</v>
      </c>
      <c r="F12" s="123"/>
      <c r="G12" s="41" t="s">
        <v>132</v>
      </c>
      <c r="H12" s="41" t="s">
        <v>131</v>
      </c>
      <c r="I12" s="123"/>
      <c r="J12" s="123"/>
      <c r="K12" s="74"/>
      <c r="L12" s="74"/>
    </row>
    <row r="13" spans="1:15" s="44" customFormat="1" x14ac:dyDescent="0.2">
      <c r="A13" s="41" t="s">
        <v>123</v>
      </c>
      <c r="B13" s="69"/>
      <c r="C13" s="41" t="s">
        <v>125</v>
      </c>
      <c r="D13" s="41" t="s">
        <v>134</v>
      </c>
      <c r="E13" s="41" t="s">
        <v>127</v>
      </c>
      <c r="F13" s="41" t="s">
        <v>55</v>
      </c>
      <c r="G13" s="129" t="str">
        <f>TEXT(Sales!G16,"mmm-yy")&amp;" through"</f>
        <v>Apr-21 through</v>
      </c>
      <c r="H13" s="129" t="str">
        <f>G13</f>
        <v>Apr-21 through</v>
      </c>
      <c r="I13" s="41" t="s">
        <v>137</v>
      </c>
      <c r="J13" s="41" t="s">
        <v>137</v>
      </c>
      <c r="K13" s="74"/>
      <c r="L13" s="74"/>
    </row>
    <row r="14" spans="1:15" s="44" customFormat="1" x14ac:dyDescent="0.2">
      <c r="A14" s="42" t="s">
        <v>124</v>
      </c>
      <c r="B14" s="93"/>
      <c r="C14" s="42" t="s">
        <v>126</v>
      </c>
      <c r="D14" s="176" t="str">
        <f>'Actual O-U by Rev Class'!P14</f>
        <v>12/31/20</v>
      </c>
      <c r="E14" s="42" t="s">
        <v>128</v>
      </c>
      <c r="F14" s="42" t="s">
        <v>129</v>
      </c>
      <c r="G14" s="128">
        <f>Sales!G27</f>
        <v>44621</v>
      </c>
      <c r="H14" s="128">
        <f>G14</f>
        <v>44621</v>
      </c>
      <c r="I14" s="42" t="s">
        <v>136</v>
      </c>
      <c r="J14" s="42" t="s">
        <v>138</v>
      </c>
      <c r="K14" s="94"/>
      <c r="L14" s="94"/>
    </row>
    <row r="15" spans="1:15" s="44" customFormat="1" x14ac:dyDescent="0.2">
      <c r="A15" s="95"/>
      <c r="B15" s="45"/>
      <c r="C15" s="43" t="s">
        <v>48</v>
      </c>
      <c r="D15" s="43" t="s">
        <v>49</v>
      </c>
      <c r="E15" s="43" t="s">
        <v>50</v>
      </c>
      <c r="F15" s="43" t="s">
        <v>51</v>
      </c>
      <c r="G15" s="43" t="s">
        <v>52</v>
      </c>
      <c r="H15" s="43" t="s">
        <v>53</v>
      </c>
      <c r="I15" s="43" t="s">
        <v>54</v>
      </c>
      <c r="J15" s="43" t="s">
        <v>77</v>
      </c>
      <c r="K15" s="75"/>
      <c r="L15" s="75"/>
      <c r="M15" s="43"/>
      <c r="N15" s="43"/>
      <c r="O15" s="43"/>
    </row>
    <row r="16" spans="1:15" s="44" customFormat="1" x14ac:dyDescent="0.2">
      <c r="A16" s="95"/>
      <c r="B16" s="45"/>
      <c r="C16" s="43"/>
      <c r="D16" s="43"/>
      <c r="E16" s="43"/>
      <c r="F16" s="43" t="s">
        <v>143</v>
      </c>
      <c r="G16" s="43"/>
      <c r="H16" s="41"/>
      <c r="I16" s="43" t="s">
        <v>149</v>
      </c>
      <c r="J16" s="43" t="s">
        <v>150</v>
      </c>
      <c r="K16" s="76"/>
      <c r="L16" s="76"/>
      <c r="M16" s="43"/>
      <c r="N16" s="43"/>
      <c r="O16" s="43"/>
    </row>
    <row r="17" spans="1:16" s="44" customFormat="1" x14ac:dyDescent="0.2">
      <c r="A17" s="96">
        <v>1</v>
      </c>
      <c r="B17" s="46" t="s">
        <v>11</v>
      </c>
      <c r="C17" s="97">
        <f>'Net Forecast Costs'!O31</f>
        <v>16497730.256644709</v>
      </c>
      <c r="D17" s="97">
        <f>'Actual O-U by Rev Class'!$P$18</f>
        <v>-639960.29684689792</v>
      </c>
      <c r="E17" s="97">
        <f>'Rev Difference by Rev Class'!F19</f>
        <v>-71690.778186205775</v>
      </c>
      <c r="F17" s="97">
        <f>ROUND(C17-D17-E17,0)</f>
        <v>17209381</v>
      </c>
      <c r="G17" s="100">
        <f>ROUND(Sales!L13,0)</f>
        <v>6359668756</v>
      </c>
      <c r="H17" s="100"/>
      <c r="I17" s="98">
        <f>F17/G17</f>
        <v>2.7060184516314455E-3</v>
      </c>
      <c r="J17" s="99"/>
      <c r="K17" s="100"/>
      <c r="L17" s="101"/>
      <c r="M17" s="102"/>
      <c r="N17" s="49"/>
    </row>
    <row r="18" spans="1:16" s="44" customFormat="1" x14ac:dyDescent="0.2">
      <c r="A18" s="96">
        <f>A17+1</f>
        <v>2</v>
      </c>
      <c r="B18" s="46" t="s">
        <v>13</v>
      </c>
      <c r="C18" s="97">
        <f>'Net Forecast Costs'!O32</f>
        <v>5149105.7982502496</v>
      </c>
      <c r="D18" s="97">
        <f>'Actual O-U by Rev Class'!$P$23</f>
        <v>-752312.08578926162</v>
      </c>
      <c r="E18" s="97">
        <f>'Rev Difference by Rev Class'!F24</f>
        <v>-4250.9243743172847</v>
      </c>
      <c r="F18" s="97">
        <f t="shared" ref="F18:F24" si="0">ROUND(C18-D18-E18,0)</f>
        <v>5905669</v>
      </c>
      <c r="G18" s="100"/>
      <c r="H18" s="100">
        <f>ROUND(Sales!R13,0)</f>
        <v>5996175</v>
      </c>
      <c r="I18" s="99"/>
      <c r="J18" s="103">
        <f>F18/H18</f>
        <v>0.9849060442698887</v>
      </c>
      <c r="K18" s="100"/>
      <c r="L18" s="101"/>
      <c r="M18" s="102"/>
      <c r="N18" s="49"/>
      <c r="O18" s="104"/>
      <c r="P18" s="104"/>
    </row>
    <row r="19" spans="1:16" s="44" customFormat="1" x14ac:dyDescent="0.2">
      <c r="A19" s="96">
        <f t="shared" ref="A19:A25" si="1">A18+1</f>
        <v>3</v>
      </c>
      <c r="B19" s="46" t="s">
        <v>12</v>
      </c>
      <c r="C19" s="97">
        <f>'Net Forecast Costs'!O33</f>
        <v>3918470.1020631688</v>
      </c>
      <c r="D19" s="97">
        <f>'Actual O-U by Rev Class'!$P$28</f>
        <v>-126342.34466791959</v>
      </c>
      <c r="E19" s="97">
        <f>'Rev Difference by Rev Class'!F29</f>
        <v>-45858.141123848152</v>
      </c>
      <c r="F19" s="97">
        <f>ROUND(C19-D19-E19,0)</f>
        <v>4090671</v>
      </c>
      <c r="G19" s="100">
        <f>ROUND(Sales!L15,0)</f>
        <v>1715733181</v>
      </c>
      <c r="H19" s="100"/>
      <c r="I19" s="98">
        <f>F19/G19</f>
        <v>2.3842116276003873E-3</v>
      </c>
      <c r="J19" s="105"/>
      <c r="K19" s="100"/>
      <c r="L19" s="101"/>
      <c r="M19" s="102"/>
      <c r="N19" s="49"/>
    </row>
    <row r="20" spans="1:16" s="44" customFormat="1" x14ac:dyDescent="0.2">
      <c r="A20" s="96">
        <f t="shared" si="1"/>
        <v>4</v>
      </c>
      <c r="B20" s="46" t="s">
        <v>19</v>
      </c>
      <c r="C20" s="97">
        <f>'Net Forecast Costs'!O34</f>
        <v>14387101.712983428</v>
      </c>
      <c r="D20" s="97">
        <f>'Actual O-U by Rev Class'!$P$33</f>
        <v>-1894696.8439808353</v>
      </c>
      <c r="E20" s="97">
        <f>'Rev Difference by Rev Class'!F34</f>
        <v>151970.28655949421</v>
      </c>
      <c r="F20" s="97">
        <f t="shared" si="0"/>
        <v>16129828</v>
      </c>
      <c r="G20" s="100"/>
      <c r="H20" s="100">
        <f>ROUND(Sales!R14,0)</f>
        <v>16409241</v>
      </c>
      <c r="I20" s="99"/>
      <c r="J20" s="103">
        <f>F20/H20</f>
        <v>0.9829722166918019</v>
      </c>
      <c r="K20" s="100"/>
      <c r="L20" s="101"/>
      <c r="M20" s="102"/>
      <c r="N20" s="49"/>
    </row>
    <row r="21" spans="1:16" s="44" customFormat="1" x14ac:dyDescent="0.2">
      <c r="A21" s="96">
        <f t="shared" si="1"/>
        <v>5</v>
      </c>
      <c r="B21" s="46" t="s">
        <v>14</v>
      </c>
      <c r="C21" s="97">
        <f>'Net Forecast Costs'!O35</f>
        <v>12269316.126264913</v>
      </c>
      <c r="D21" s="97">
        <f>'Actual O-U by Rev Class'!$P$38</f>
        <v>122441.26270055806</v>
      </c>
      <c r="E21" s="97">
        <f>'Rev Difference by Rev Class'!F39</f>
        <v>135055.58119934332</v>
      </c>
      <c r="F21" s="97">
        <f t="shared" si="0"/>
        <v>12011819</v>
      </c>
      <c r="G21" s="100"/>
      <c r="H21" s="100">
        <f>ROUND(Sales!R15,0)</f>
        <v>14326404</v>
      </c>
      <c r="I21" s="98"/>
      <c r="J21" s="106">
        <f>F21/H21</f>
        <v>0.83843922033749707</v>
      </c>
      <c r="K21" s="100"/>
      <c r="L21" s="101"/>
      <c r="M21" s="102"/>
      <c r="N21" s="49"/>
    </row>
    <row r="22" spans="1:16" s="44" customFormat="1" x14ac:dyDescent="0.2">
      <c r="A22" s="96">
        <f t="shared" si="1"/>
        <v>6</v>
      </c>
      <c r="B22" s="46" t="s">
        <v>20</v>
      </c>
      <c r="C22" s="97">
        <f>'Net Forecast Costs'!O36</f>
        <v>8990.1216184051391</v>
      </c>
      <c r="D22" s="97">
        <f>'Actual O-U by Rev Class'!$P$43</f>
        <v>-533</v>
      </c>
      <c r="E22" s="97">
        <f>'Rev Difference by Rev Class'!F44</f>
        <v>-201.18620776235161</v>
      </c>
      <c r="F22" s="97">
        <f t="shared" si="0"/>
        <v>9724</v>
      </c>
      <c r="G22" s="100">
        <f>ROUND(Sales!L18,0)</f>
        <v>5569375</v>
      </c>
      <c r="H22" s="100"/>
      <c r="I22" s="98">
        <f>F22/G22</f>
        <v>1.7459768825047693E-3</v>
      </c>
      <c r="J22" s="99"/>
      <c r="K22" s="100"/>
      <c r="L22" s="101"/>
      <c r="M22" s="102"/>
      <c r="N22" s="49"/>
      <c r="P22" s="104"/>
    </row>
    <row r="23" spans="1:16" s="44" customFormat="1" x14ac:dyDescent="0.2">
      <c r="A23" s="96">
        <f t="shared" si="1"/>
        <v>7</v>
      </c>
      <c r="B23" s="46" t="s">
        <v>15</v>
      </c>
      <c r="C23" s="97">
        <f>'Net Forecast Costs'!O37</f>
        <v>82065.727446940349</v>
      </c>
      <c r="D23" s="97">
        <f>'Actual O-U by Rev Class'!$P$48</f>
        <v>-966.78813110103965</v>
      </c>
      <c r="E23" s="97">
        <f>'Rev Difference by Rev Class'!F49</f>
        <v>2724.5550638165405</v>
      </c>
      <c r="F23" s="97">
        <f t="shared" si="0"/>
        <v>80308</v>
      </c>
      <c r="G23" s="100">
        <f>ROUND(Sales!L19,0)</f>
        <v>51527920</v>
      </c>
      <c r="H23" s="100"/>
      <c r="I23" s="98">
        <f>F23/G23</f>
        <v>1.5585337036697776E-3</v>
      </c>
      <c r="J23" s="105"/>
      <c r="K23" s="100"/>
      <c r="L23" s="101"/>
      <c r="M23" s="102"/>
      <c r="N23" s="49"/>
    </row>
    <row r="24" spans="1:16" s="44" customFormat="1" x14ac:dyDescent="0.2">
      <c r="A24" s="96">
        <f t="shared" si="1"/>
        <v>8</v>
      </c>
      <c r="B24" s="46" t="s">
        <v>16</v>
      </c>
      <c r="C24" s="97">
        <f>'Net Forecast Costs'!O38</f>
        <v>68795.597995182645</v>
      </c>
      <c r="D24" s="97">
        <f>'Actual O-U by Rev Class'!$P$53</f>
        <v>-8390.9330666502374</v>
      </c>
      <c r="E24" s="97">
        <f>'Rev Difference by Rev Class'!F54</f>
        <v>-550.37596806896545</v>
      </c>
      <c r="F24" s="97">
        <f t="shared" si="0"/>
        <v>77737</v>
      </c>
      <c r="G24" s="100">
        <f>ROUND(Sales!L20,0)</f>
        <v>84544640</v>
      </c>
      <c r="H24" s="100"/>
      <c r="I24" s="98">
        <f>F24/G24</f>
        <v>9.1947875110710744E-4</v>
      </c>
      <c r="J24" s="99"/>
      <c r="K24" s="100"/>
      <c r="L24" s="101"/>
      <c r="M24" s="102"/>
      <c r="N24" s="49"/>
    </row>
    <row r="25" spans="1:16" s="44" customFormat="1" ht="13.5" thickBot="1" x14ac:dyDescent="0.25">
      <c r="A25" s="96">
        <f t="shared" si="1"/>
        <v>9</v>
      </c>
      <c r="B25" s="107" t="s">
        <v>55</v>
      </c>
      <c r="C25" s="108">
        <f>SUM(C17:C24)</f>
        <v>52381575.443267003</v>
      </c>
      <c r="D25" s="108">
        <f>SUM(D17:D24)</f>
        <v>-3300761.0297821076</v>
      </c>
      <c r="E25" s="108">
        <f>SUM(E17:E24)</f>
        <v>167199.01696245157</v>
      </c>
      <c r="F25" s="108">
        <f>SUM(F17:F24)</f>
        <v>55515137</v>
      </c>
      <c r="G25" s="115"/>
      <c r="H25" s="115"/>
      <c r="I25" s="96"/>
      <c r="J25" s="96"/>
      <c r="K25" s="101"/>
      <c r="L25" s="101"/>
      <c r="M25" s="109"/>
    </row>
    <row r="26" spans="1:16" s="44" customFormat="1" ht="13.5" thickTop="1" x14ac:dyDescent="0.2">
      <c r="A26" s="41"/>
      <c r="C26" s="41"/>
      <c r="D26" s="41"/>
      <c r="E26" s="41"/>
      <c r="F26" s="41"/>
      <c r="G26" s="115"/>
      <c r="H26" s="115"/>
      <c r="I26" s="41"/>
      <c r="J26" s="41"/>
      <c r="K26" s="76"/>
      <c r="L26" s="76"/>
    </row>
    <row r="27" spans="1:16" s="44" customFormat="1" x14ac:dyDescent="0.2">
      <c r="A27" s="41"/>
      <c r="B27" s="47" t="s">
        <v>57</v>
      </c>
      <c r="G27" s="41"/>
      <c r="H27" s="41"/>
      <c r="I27" s="41"/>
      <c r="J27" s="41"/>
      <c r="K27" s="76"/>
      <c r="L27" s="76"/>
    </row>
    <row r="28" spans="1:16" s="44" customFormat="1" x14ac:dyDescent="0.2">
      <c r="A28" s="41"/>
      <c r="B28" s="66" t="s">
        <v>112</v>
      </c>
      <c r="F28" s="51"/>
      <c r="G28" s="41"/>
      <c r="H28" s="41"/>
      <c r="I28" s="41"/>
      <c r="J28" s="41"/>
      <c r="K28" s="75"/>
      <c r="L28" s="75"/>
    </row>
    <row r="29" spans="1:16" s="44" customFormat="1" x14ac:dyDescent="0.2">
      <c r="A29" s="41"/>
      <c r="B29" s="66" t="s">
        <v>135</v>
      </c>
      <c r="C29" s="41"/>
      <c r="D29" s="41"/>
      <c r="F29" s="51"/>
      <c r="G29" s="41"/>
      <c r="H29" s="41"/>
      <c r="I29" s="41"/>
      <c r="J29" s="41"/>
      <c r="K29" s="75"/>
      <c r="L29" s="75"/>
    </row>
    <row r="30" spans="1:16" s="44" customFormat="1" x14ac:dyDescent="0.2">
      <c r="A30" s="41"/>
      <c r="B30" s="66" t="s">
        <v>146</v>
      </c>
      <c r="G30" s="41"/>
      <c r="H30" s="41"/>
      <c r="I30" s="41"/>
      <c r="J30" s="41"/>
      <c r="K30" s="75"/>
      <c r="L30" s="75"/>
    </row>
    <row r="31" spans="1:16" s="44" customFormat="1" x14ac:dyDescent="0.2">
      <c r="A31" s="41"/>
      <c r="B31" s="66" t="s">
        <v>147</v>
      </c>
      <c r="G31" s="41"/>
      <c r="H31" s="41"/>
      <c r="I31" s="41"/>
      <c r="J31" s="41"/>
      <c r="K31" s="75"/>
      <c r="L31" s="75"/>
    </row>
    <row r="32" spans="1:16" s="44" customFormat="1" x14ac:dyDescent="0.2">
      <c r="A32" s="41"/>
      <c r="B32" s="66" t="s">
        <v>148</v>
      </c>
      <c r="G32" s="130"/>
      <c r="H32" s="41"/>
      <c r="I32" s="41"/>
      <c r="J32" s="41"/>
      <c r="K32" s="75"/>
      <c r="L32" s="75"/>
    </row>
    <row r="33" spans="1:12" s="44" customFormat="1" x14ac:dyDescent="0.2">
      <c r="A33" s="41"/>
      <c r="G33" s="41"/>
      <c r="H33" s="41"/>
      <c r="I33" s="41"/>
      <c r="J33" s="41"/>
      <c r="K33" s="75"/>
      <c r="L33" s="75"/>
    </row>
    <row r="34" spans="1:12" s="44" customFormat="1" x14ac:dyDescent="0.2">
      <c r="A34" s="41"/>
      <c r="B34" s="164"/>
      <c r="C34" s="76"/>
      <c r="D34" s="76"/>
      <c r="E34" s="76"/>
      <c r="F34" s="76"/>
      <c r="G34" s="76"/>
      <c r="H34" s="76"/>
      <c r="I34" s="75"/>
      <c r="J34" s="165"/>
      <c r="K34" s="75"/>
      <c r="L34" s="75"/>
    </row>
    <row r="35" spans="1:12" s="44" customFormat="1" x14ac:dyDescent="0.2">
      <c r="A35" s="41"/>
      <c r="B35" s="164"/>
      <c r="C35" s="76"/>
      <c r="D35" s="76"/>
      <c r="E35" s="76"/>
      <c r="F35" s="76"/>
      <c r="G35" s="76"/>
      <c r="H35" s="75"/>
      <c r="I35" s="75"/>
      <c r="J35" s="41"/>
      <c r="K35" s="110"/>
      <c r="L35" s="75"/>
    </row>
    <row r="36" spans="1:12" s="44" customFormat="1" x14ac:dyDescent="0.2">
      <c r="A36" s="41"/>
      <c r="B36" s="164"/>
      <c r="C36" s="76"/>
      <c r="D36" s="76"/>
      <c r="E36" s="76"/>
      <c r="F36" s="76"/>
      <c r="G36" s="76"/>
      <c r="H36" s="75"/>
      <c r="I36" s="75"/>
      <c r="J36" s="41"/>
      <c r="K36" s="75"/>
      <c r="L36" s="75"/>
    </row>
    <row r="37" spans="1:12" s="44" customFormat="1" x14ac:dyDescent="0.2">
      <c r="A37" s="41"/>
      <c r="C37" s="75"/>
      <c r="D37" s="75"/>
      <c r="E37" s="75"/>
      <c r="F37" s="75"/>
      <c r="G37" s="75"/>
      <c r="H37" s="75"/>
      <c r="I37" s="75"/>
      <c r="J37" s="41"/>
      <c r="K37" s="75"/>
      <c r="L37" s="75"/>
    </row>
    <row r="38" spans="1:12" s="44" customFormat="1" x14ac:dyDescent="0.2">
      <c r="A38" s="41"/>
      <c r="C38" s="75"/>
      <c r="D38" s="75"/>
      <c r="E38" s="75"/>
      <c r="F38" s="75"/>
      <c r="G38" s="75"/>
      <c r="H38" s="75"/>
      <c r="I38" s="75"/>
      <c r="J38" s="41"/>
      <c r="K38" s="75"/>
      <c r="L38" s="75"/>
    </row>
    <row r="39" spans="1:12" s="44" customFormat="1" x14ac:dyDescent="0.2">
      <c r="A39" s="41"/>
      <c r="C39" s="41"/>
      <c r="D39" s="41"/>
      <c r="E39" s="41"/>
      <c r="F39" s="41"/>
      <c r="G39" s="41"/>
      <c r="H39" s="41"/>
      <c r="I39" s="41"/>
      <c r="J39" s="41"/>
      <c r="K39" s="75"/>
      <c r="L39" s="75"/>
    </row>
    <row r="40" spans="1:12" s="44" customFormat="1" x14ac:dyDescent="0.2">
      <c r="A40" s="41"/>
      <c r="C40" s="41"/>
      <c r="D40" s="41"/>
      <c r="E40" s="41"/>
      <c r="F40" s="41"/>
      <c r="G40" s="41"/>
      <c r="H40" s="41"/>
      <c r="I40" s="41"/>
      <c r="J40" s="41"/>
      <c r="K40" s="75"/>
      <c r="L40" s="75"/>
    </row>
    <row r="41" spans="1:12" s="44" customFormat="1" x14ac:dyDescent="0.2">
      <c r="A41" s="41"/>
      <c r="C41" s="41"/>
      <c r="D41" s="41"/>
      <c r="E41" s="41"/>
      <c r="F41" s="41"/>
      <c r="G41" s="41"/>
      <c r="H41" s="41"/>
      <c r="I41" s="41"/>
      <c r="J41" s="41"/>
      <c r="K41" s="75"/>
      <c r="L41" s="75"/>
    </row>
    <row r="42" spans="1:12" s="44" customFormat="1" x14ac:dyDescent="0.2">
      <c r="A42" s="41"/>
      <c r="C42" s="41"/>
      <c r="D42" s="41"/>
      <c r="E42" s="41"/>
      <c r="F42" s="41"/>
      <c r="G42" s="41"/>
      <c r="H42" s="41"/>
      <c r="I42" s="41"/>
      <c r="J42" s="41"/>
      <c r="K42" s="75"/>
      <c r="L42" s="75"/>
    </row>
    <row r="43" spans="1:12" s="44" customFormat="1" x14ac:dyDescent="0.2">
      <c r="A43" s="41"/>
      <c r="C43" s="41"/>
      <c r="D43" s="41"/>
      <c r="E43" s="41"/>
      <c r="F43" s="41"/>
      <c r="G43" s="41"/>
      <c r="H43" s="41"/>
      <c r="I43" s="41"/>
      <c r="J43" s="41"/>
      <c r="K43" s="75"/>
      <c r="L43" s="75"/>
    </row>
  </sheetData>
  <mergeCells count="3">
    <mergeCell ref="B8:J8"/>
    <mergeCell ref="A3:J3"/>
    <mergeCell ref="A4:J4"/>
  </mergeCells>
  <pageMargins left="1" right="1" top="1" bottom="1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A&amp;G Credit</vt:lpstr>
      <vt:lpstr>Forecast Costs &amp; Credits</vt:lpstr>
      <vt:lpstr>Net Forecast Costs</vt:lpstr>
      <vt:lpstr>Actual O-U by Rev Class</vt:lpstr>
      <vt:lpstr>Rev Difference by Rev Class</vt:lpstr>
      <vt:lpstr>TCA factor calc</vt:lpstr>
    </vt:vector>
  </TitlesOfParts>
  <Company>MidAmerican Energy Holdings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2014-05-08T14:42:00Z</dcterms:created>
  <dc:creator>Early, Megan M</dc:creator>
  <cp:lastModifiedBy>Bentz, Kallie M</cp:lastModifiedBy>
  <cp:lastPrinted>2018-11-19T19:47:17Z</cp:lastPrinted>
  <dcterms:modified xsi:type="dcterms:W3CDTF">2021-02-15T17:07:43Z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