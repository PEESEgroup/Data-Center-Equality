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Z:\Data\ASD\PROJECTS\PSC\3270-UR-126\IDRs 21-30 - mg\2 - Working Docs\"/>
    </mc:Choice>
  </mc:AlternateContent>
  <xr:revisionPtr revIDLastSave="0" documentId="13_ncr:1_{00DF278F-359E-417F-93D6-0DF6AA27FE9C}" xr6:coauthVersionLast="47" xr6:coauthVersionMax="47" xr10:uidLastSave="{00000000-0000-0000-0000-000000000000}"/>
  <bookViews>
    <workbookView xWindow="-120" yWindow="-16320" windowWidth="29040" windowHeight="15720" tabRatio="670" xr2:uid="{B2EC3CDF-8AB8-4B7D-B60A-31340179536A}"/>
  </bookViews>
  <sheets>
    <sheet name="Cover Sheet" sheetId="39" r:id="rId1"/>
    <sheet name="RG1" sheetId="13" r:id="rId2"/>
    <sheet name="RG2" sheetId="14" r:id="rId3"/>
    <sheet name="RG2a" sheetId="34" r:id="rId4"/>
    <sheet name="RG7" sheetId="28" r:id="rId5"/>
    <sheet name="RW1" sheetId="16" r:id="rId6"/>
    <sheet name="RFB" sheetId="43" r:id="rId7"/>
    <sheet name="CG2" sheetId="6" r:id="rId8"/>
    <sheet name="CG3" sheetId="7" r:id="rId9"/>
    <sheet name="CG4" sheetId="36" r:id="rId10"/>
    <sheet name="CG5" sheetId="10" r:id="rId11"/>
    <sheet name="CG5D" sheetId="38" r:id="rId12"/>
    <sheet name="CG6" sheetId="11" r:id="rId13"/>
    <sheet name="CG7" sheetId="29" r:id="rId14"/>
    <sheet name="CG8" sheetId="30" r:id="rId15"/>
    <sheet name="Cp1" sheetId="12" r:id="rId16"/>
    <sheet name="SP3" sheetId="17" r:id="rId17"/>
    <sheet name="MLS" sheetId="41" r:id="rId18"/>
    <sheet name="GF1" sheetId="40" r:id="rId19"/>
  </sheets>
  <definedNames>
    <definedName name="_xlnm._FilterDatabase" localSheetId="9" hidden="1">'CG4'!$A$6:$AG$19</definedName>
    <definedName name="_xlnm.Print_Area" localSheetId="7">'CG2'!$A$1:$AB$113</definedName>
    <definedName name="_xlnm.Print_Area" localSheetId="8">'CG3'!$A$1:$T$113</definedName>
    <definedName name="_xlnm.Print_Area" localSheetId="9">'CG4'!$A$1:$AH$118</definedName>
    <definedName name="_xlnm.Print_Area" localSheetId="10">'CG5'!$A$1:$J$112</definedName>
    <definedName name="_xlnm.Print_Area" localSheetId="11">CG5D!$A$1:$H$82</definedName>
    <definedName name="_xlnm.Print_Area" localSheetId="12">'CG6'!$A$1:$X$115</definedName>
    <definedName name="_xlnm.Print_Area" localSheetId="13">'CG7'!$A$1:$J$110</definedName>
    <definedName name="_xlnm.Print_Area" localSheetId="14">'CG8'!$A$1:$X$111</definedName>
    <definedName name="_xlnm.Print_Area" localSheetId="0">'Cover Sheet'!$A$1:$L$18</definedName>
    <definedName name="_xlnm.Print_Area" localSheetId="15">'Cp1'!$A$1:$Q$112</definedName>
    <definedName name="_xlnm.Print_Area" localSheetId="18">'GF1'!$A$1:$G$112</definedName>
    <definedName name="_xlnm.Print_Area" localSheetId="17">MLS!$A$1:$G$112</definedName>
    <definedName name="_xlnm.Print_Area" localSheetId="6">RFB!$A$1:$N$114</definedName>
    <definedName name="_xlnm.Print_Area" localSheetId="1">'RG1'!$A$1:$K$114</definedName>
    <definedName name="_xlnm.Print_Area" localSheetId="2">'RG2'!$A$1:$Q$113</definedName>
    <definedName name="_xlnm.Print_Area" localSheetId="3">RG2a!$A$1:$Q$98</definedName>
    <definedName name="_xlnm.Print_Area" localSheetId="4">'RG7'!$A$1:$I$109</definedName>
    <definedName name="_xlnm.Print_Area" localSheetId="5">'RW1'!$A$1:$H$110</definedName>
    <definedName name="_xlnm.Print_Area" localSheetId="16">'SP3'!$A$1:$V$121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9" i="11" l="1"/>
  <c r="J39" i="11"/>
  <c r="I40" i="11"/>
  <c r="J40" i="11"/>
  <c r="I41" i="11"/>
  <c r="J41" i="11"/>
  <c r="I42" i="11"/>
  <c r="J42" i="11"/>
  <c r="I43" i="11"/>
  <c r="J43" i="11"/>
  <c r="I44" i="11"/>
  <c r="J44" i="11"/>
  <c r="I45" i="11"/>
  <c r="J45" i="11"/>
  <c r="I46" i="11"/>
  <c r="J46" i="11"/>
  <c r="I47" i="11"/>
  <c r="J47" i="11"/>
  <c r="I48" i="11"/>
  <c r="J48" i="11"/>
  <c r="I49" i="11"/>
  <c r="J49" i="11"/>
  <c r="I50" i="11"/>
  <c r="J50" i="11"/>
  <c r="J54" i="11"/>
  <c r="J55" i="11"/>
  <c r="J56" i="11"/>
  <c r="J57" i="11"/>
  <c r="J58" i="11"/>
  <c r="J59" i="11"/>
  <c r="J60" i="11"/>
  <c r="J61" i="11"/>
  <c r="J62" i="11"/>
  <c r="J63" i="11"/>
  <c r="J64" i="11"/>
  <c r="J65" i="11"/>
  <c r="I52" i="14"/>
  <c r="I53" i="14"/>
  <c r="I54" i="14"/>
  <c r="I55" i="14"/>
  <c r="I56" i="14"/>
  <c r="I57" i="14"/>
  <c r="I58" i="14"/>
  <c r="I59" i="14"/>
  <c r="I60" i="14"/>
  <c r="I61" i="14"/>
  <c r="I62" i="14"/>
  <c r="I63" i="14"/>
  <c r="J52" i="14"/>
  <c r="J53" i="14"/>
  <c r="J54" i="14"/>
  <c r="J55" i="14"/>
  <c r="J56" i="14"/>
  <c r="J57" i="14"/>
  <c r="J58" i="14"/>
  <c r="J59" i="14"/>
  <c r="J60" i="14"/>
  <c r="J61" i="14"/>
  <c r="J62" i="14"/>
  <c r="J63" i="14"/>
  <c r="E64" i="38"/>
  <c r="D79" i="38"/>
  <c r="D64" i="38"/>
  <c r="D49" i="38"/>
  <c r="D34" i="38"/>
  <c r="D19" i="38"/>
  <c r="G111" i="43"/>
  <c r="F111" i="43"/>
  <c r="E111" i="43"/>
  <c r="D111" i="43"/>
  <c r="G96" i="43"/>
  <c r="F96" i="43"/>
  <c r="E96" i="43"/>
  <c r="D96" i="43"/>
  <c r="G81" i="43"/>
  <c r="F81" i="43"/>
  <c r="E81" i="43"/>
  <c r="D81" i="43"/>
  <c r="G65" i="43"/>
  <c r="F65" i="43"/>
  <c r="E65" i="43"/>
  <c r="D65" i="43"/>
  <c r="G49" i="43"/>
  <c r="F49" i="43"/>
  <c r="E49" i="43"/>
  <c r="D49" i="43"/>
  <c r="G34" i="43"/>
  <c r="F34" i="43"/>
  <c r="E34" i="43"/>
  <c r="D34" i="43"/>
  <c r="G19" i="43"/>
  <c r="F19" i="43"/>
  <c r="E19" i="43"/>
  <c r="D19" i="43"/>
  <c r="E19" i="30"/>
  <c r="F19" i="30"/>
  <c r="G19" i="30"/>
  <c r="E34" i="30"/>
  <c r="F34" i="30"/>
  <c r="E49" i="30"/>
  <c r="F49" i="30"/>
  <c r="E64" i="30"/>
  <c r="F64" i="30"/>
  <c r="E79" i="30"/>
  <c r="F79" i="30"/>
  <c r="E94" i="30"/>
  <c r="E109" i="30"/>
  <c r="E19" i="29"/>
  <c r="F19" i="29"/>
  <c r="G19" i="29"/>
  <c r="E34" i="29"/>
  <c r="F34" i="29"/>
  <c r="G34" i="29"/>
  <c r="E49" i="29"/>
  <c r="F49" i="29"/>
  <c r="G49" i="29"/>
  <c r="E64" i="29"/>
  <c r="F64" i="29"/>
  <c r="G64" i="29"/>
  <c r="E79" i="29"/>
  <c r="F79" i="29"/>
  <c r="E94" i="29"/>
  <c r="F94" i="29"/>
  <c r="E109" i="29"/>
  <c r="F109" i="29"/>
  <c r="G19" i="11"/>
  <c r="G35" i="11"/>
  <c r="G51" i="11"/>
  <c r="G66" i="11"/>
  <c r="G81" i="11"/>
  <c r="F96" i="11"/>
  <c r="G96" i="11"/>
  <c r="E111" i="11"/>
  <c r="F111" i="11"/>
  <c r="G111" i="11"/>
  <c r="F19" i="10"/>
  <c r="G19" i="10"/>
  <c r="F34" i="10"/>
  <c r="G34" i="10"/>
  <c r="H34" i="10"/>
  <c r="F49" i="10"/>
  <c r="G49" i="10"/>
  <c r="H49" i="10"/>
  <c r="F64" i="10"/>
  <c r="G64" i="10"/>
  <c r="H64" i="10"/>
  <c r="F79" i="10"/>
  <c r="G79" i="10"/>
  <c r="H79" i="10"/>
  <c r="E94" i="10"/>
  <c r="F94" i="10"/>
  <c r="G94" i="10"/>
  <c r="H94" i="10"/>
  <c r="E109" i="10"/>
  <c r="F109" i="10"/>
  <c r="G109" i="10"/>
  <c r="F19" i="36"/>
  <c r="G19" i="36"/>
  <c r="H19" i="36"/>
  <c r="I19" i="36"/>
  <c r="J19" i="36"/>
  <c r="F35" i="36"/>
  <c r="G35" i="36"/>
  <c r="H35" i="36"/>
  <c r="I35" i="36"/>
  <c r="J35" i="36"/>
  <c r="K35" i="36"/>
  <c r="F51" i="36"/>
  <c r="G51" i="36"/>
  <c r="H51" i="36"/>
  <c r="I51" i="36"/>
  <c r="J51" i="36"/>
  <c r="F67" i="36"/>
  <c r="G67" i="36"/>
  <c r="H67" i="36"/>
  <c r="I67" i="36"/>
  <c r="J67" i="36"/>
  <c r="K67" i="36"/>
  <c r="F83" i="36"/>
  <c r="G83" i="36"/>
  <c r="H83" i="36"/>
  <c r="I83" i="36"/>
  <c r="J83" i="36"/>
  <c r="K83" i="36"/>
  <c r="L83" i="36"/>
  <c r="F98" i="36"/>
  <c r="G98" i="36"/>
  <c r="H98" i="36"/>
  <c r="I98" i="36"/>
  <c r="J98" i="36"/>
  <c r="K98" i="36"/>
  <c r="L98" i="36"/>
  <c r="S113" i="36"/>
  <c r="T113" i="36"/>
  <c r="U113" i="36"/>
  <c r="V113" i="36"/>
  <c r="W113" i="36"/>
  <c r="X113" i="36"/>
  <c r="F113" i="36"/>
  <c r="G113" i="36"/>
  <c r="H113" i="36"/>
  <c r="I113" i="36"/>
  <c r="J113" i="36"/>
  <c r="K113" i="36"/>
  <c r="F19" i="7"/>
  <c r="G19" i="7"/>
  <c r="H19" i="7"/>
  <c r="F34" i="7"/>
  <c r="G34" i="7"/>
  <c r="H34" i="7"/>
  <c r="F49" i="7"/>
  <c r="G49" i="7"/>
  <c r="F64" i="7"/>
  <c r="G64" i="7"/>
  <c r="F79" i="7"/>
  <c r="G79" i="7"/>
  <c r="F94" i="7"/>
  <c r="G94" i="7"/>
  <c r="H94" i="7"/>
  <c r="E109" i="7"/>
  <c r="F109" i="7"/>
  <c r="G109" i="7"/>
  <c r="H109" i="7"/>
  <c r="W19" i="6"/>
  <c r="X19" i="6"/>
  <c r="Y19" i="6"/>
  <c r="W34" i="6"/>
  <c r="X34" i="6"/>
  <c r="Y34" i="6"/>
  <c r="W49" i="6"/>
  <c r="X49" i="6"/>
  <c r="Y49" i="6"/>
  <c r="W64" i="6"/>
  <c r="X64" i="6"/>
  <c r="W79" i="6"/>
  <c r="X79" i="6"/>
  <c r="V94" i="6"/>
  <c r="W94" i="6"/>
  <c r="X94" i="6"/>
  <c r="N109" i="6"/>
  <c r="O109" i="6"/>
  <c r="P109" i="6"/>
  <c r="Q109" i="6"/>
  <c r="R109" i="6"/>
  <c r="S109" i="6"/>
  <c r="T109" i="6"/>
  <c r="U109" i="6"/>
  <c r="V109" i="6"/>
  <c r="W109" i="6"/>
  <c r="X109" i="6"/>
  <c r="G19" i="28"/>
  <c r="H19" i="28"/>
  <c r="G34" i="28"/>
  <c r="H34" i="28"/>
  <c r="G49" i="28"/>
  <c r="H49" i="28"/>
  <c r="G64" i="28"/>
  <c r="H64" i="28"/>
  <c r="G79" i="28"/>
  <c r="H79" i="28"/>
  <c r="G94" i="28"/>
  <c r="H94" i="28"/>
  <c r="G109" i="28"/>
  <c r="H109" i="28"/>
  <c r="F19" i="34"/>
  <c r="G19" i="34"/>
  <c r="H19" i="34"/>
  <c r="I19" i="34"/>
  <c r="F34" i="34"/>
  <c r="G34" i="34"/>
  <c r="H34" i="34"/>
  <c r="F49" i="34"/>
  <c r="G49" i="34"/>
  <c r="F64" i="34"/>
  <c r="G64" i="34"/>
  <c r="F79" i="34"/>
  <c r="G79" i="34"/>
  <c r="H79" i="34"/>
  <c r="F94" i="34"/>
  <c r="G94" i="34"/>
  <c r="H94" i="34"/>
  <c r="F19" i="14"/>
  <c r="G19" i="14"/>
  <c r="F34" i="14"/>
  <c r="G34" i="14"/>
  <c r="F49" i="14"/>
  <c r="G49" i="14"/>
  <c r="F64" i="14"/>
  <c r="G64" i="14"/>
  <c r="F79" i="14"/>
  <c r="G79" i="14"/>
  <c r="H79" i="14"/>
  <c r="E94" i="14"/>
  <c r="F94" i="14"/>
  <c r="G94" i="14"/>
  <c r="H94" i="14"/>
  <c r="E109" i="14"/>
  <c r="F109" i="14"/>
  <c r="G109" i="14"/>
  <c r="G19" i="13"/>
  <c r="H19" i="13"/>
  <c r="G34" i="13"/>
  <c r="H34" i="13"/>
  <c r="G49" i="13"/>
  <c r="H49" i="13"/>
  <c r="G65" i="13"/>
  <c r="H65" i="13"/>
  <c r="G81" i="13"/>
  <c r="H81" i="13"/>
  <c r="G96" i="13"/>
  <c r="H96" i="13"/>
  <c r="G111" i="13"/>
  <c r="H111" i="13"/>
  <c r="I111" i="13"/>
  <c r="E109" i="41"/>
  <c r="D109" i="41"/>
  <c r="E94" i="41"/>
  <c r="D94" i="41"/>
  <c r="E79" i="41"/>
  <c r="D79" i="41"/>
  <c r="E64" i="41"/>
  <c r="D64" i="41"/>
  <c r="E49" i="41"/>
  <c r="D49" i="41"/>
  <c r="E34" i="41"/>
  <c r="D34" i="41"/>
  <c r="E19" i="41"/>
  <c r="D19" i="41"/>
  <c r="E109" i="40"/>
  <c r="E94" i="40"/>
  <c r="E79" i="40"/>
  <c r="E64" i="40"/>
  <c r="E49" i="40"/>
  <c r="D109" i="40"/>
  <c r="D94" i="40"/>
  <c r="D79" i="40"/>
  <c r="D64" i="40"/>
  <c r="D49" i="40"/>
  <c r="E34" i="40"/>
  <c r="D34" i="40"/>
  <c r="E19" i="40"/>
  <c r="D19" i="40"/>
  <c r="Q33" i="7"/>
  <c r="Q32" i="7"/>
  <c r="Q31" i="7"/>
  <c r="Q30" i="7"/>
  <c r="Q29" i="7"/>
  <c r="Q28" i="7"/>
  <c r="Q27" i="7"/>
  <c r="Q26" i="7"/>
  <c r="Q25" i="7"/>
  <c r="Q24" i="7"/>
  <c r="Q23" i="7"/>
  <c r="Q22" i="7"/>
  <c r="Q18" i="7"/>
  <c r="Q17" i="7"/>
  <c r="Q16" i="7"/>
  <c r="Q15" i="7"/>
  <c r="Q14" i="7"/>
  <c r="Q13" i="7"/>
  <c r="Q12" i="7"/>
  <c r="Q11" i="7"/>
  <c r="Q10" i="7"/>
  <c r="Q9" i="7"/>
  <c r="Q8" i="7"/>
  <c r="Q7" i="7"/>
  <c r="D22" i="29"/>
  <c r="D23" i="29"/>
  <c r="D24" i="29"/>
  <c r="D25" i="29"/>
  <c r="D26" i="29"/>
  <c r="D27" i="29"/>
  <c r="D28" i="29"/>
  <c r="D29" i="29"/>
  <c r="D30" i="29"/>
  <c r="D31" i="29"/>
  <c r="D32" i="29"/>
  <c r="D33" i="29"/>
  <c r="D18" i="30"/>
  <c r="D17" i="30"/>
  <c r="D16" i="30"/>
  <c r="D15" i="30"/>
  <c r="D14" i="30"/>
  <c r="D13" i="30"/>
  <c r="D12" i="30"/>
  <c r="D11" i="30"/>
  <c r="D10" i="30"/>
  <c r="D9" i="30"/>
  <c r="D19" i="30"/>
  <c r="D8" i="30"/>
  <c r="D7" i="30"/>
  <c r="P69" i="17"/>
  <c r="P68" i="17"/>
  <c r="P67" i="17"/>
  <c r="Q66" i="17"/>
  <c r="Q65" i="17"/>
  <c r="Q64" i="17"/>
  <c r="Q63" i="17"/>
  <c r="P62" i="17"/>
  <c r="P61" i="17"/>
  <c r="P60" i="17"/>
  <c r="P59" i="17"/>
  <c r="P58" i="17"/>
  <c r="P52" i="17"/>
  <c r="P51" i="17"/>
  <c r="P50" i="17"/>
  <c r="Q49" i="17"/>
  <c r="Q48" i="17"/>
  <c r="Q47" i="17"/>
  <c r="Q46" i="17"/>
  <c r="P45" i="17"/>
  <c r="P44" i="17"/>
  <c r="P43" i="17"/>
  <c r="P42" i="17"/>
  <c r="P41" i="17"/>
  <c r="L52" i="17"/>
  <c r="I52" i="17"/>
  <c r="L51" i="17"/>
  <c r="I51" i="17"/>
  <c r="L50" i="17"/>
  <c r="I50" i="17"/>
  <c r="M49" i="17"/>
  <c r="J49" i="17"/>
  <c r="M48" i="17"/>
  <c r="J48" i="17"/>
  <c r="M47" i="17"/>
  <c r="J47" i="17"/>
  <c r="M46" i="17"/>
  <c r="J46" i="17"/>
  <c r="L45" i="17"/>
  <c r="I45" i="17"/>
  <c r="L44" i="17"/>
  <c r="I44" i="17"/>
  <c r="L43" i="17"/>
  <c r="I43" i="17"/>
  <c r="L42" i="17"/>
  <c r="I42" i="17"/>
  <c r="L41" i="17"/>
  <c r="I41" i="17"/>
  <c r="M65" i="17"/>
  <c r="M64" i="17"/>
  <c r="M63" i="17"/>
  <c r="L62" i="17"/>
  <c r="L61" i="17"/>
  <c r="L60" i="17"/>
  <c r="L59" i="17"/>
  <c r="L58" i="17"/>
  <c r="I69" i="17"/>
  <c r="I68" i="17"/>
  <c r="I67" i="17"/>
  <c r="J66" i="17"/>
  <c r="J65" i="17"/>
  <c r="J64" i="17"/>
  <c r="J63" i="17"/>
  <c r="I62" i="17"/>
  <c r="I61" i="17"/>
  <c r="I60" i="17"/>
  <c r="I59" i="17"/>
  <c r="I58" i="17"/>
  <c r="E104" i="17"/>
  <c r="E87" i="17"/>
  <c r="I35" i="17"/>
  <c r="I34" i="17"/>
  <c r="I33" i="17"/>
  <c r="J32" i="17"/>
  <c r="J31" i="17"/>
  <c r="J30" i="17"/>
  <c r="J29" i="17"/>
  <c r="I28" i="17"/>
  <c r="I27" i="17"/>
  <c r="I26" i="17"/>
  <c r="I25" i="17"/>
  <c r="I24" i="17"/>
  <c r="I18" i="17"/>
  <c r="I17" i="17"/>
  <c r="I16" i="17"/>
  <c r="J13" i="17"/>
  <c r="J14" i="17"/>
  <c r="J15" i="17"/>
  <c r="J12" i="17"/>
  <c r="I8" i="17"/>
  <c r="I9" i="17"/>
  <c r="I10" i="17"/>
  <c r="I11" i="17"/>
  <c r="I7" i="17"/>
  <c r="Q22" i="6"/>
  <c r="V34" i="6"/>
  <c r="V19" i="6"/>
  <c r="V49" i="6"/>
  <c r="V64" i="6"/>
  <c r="V79" i="6"/>
  <c r="E96" i="11"/>
  <c r="E81" i="11"/>
  <c r="F81" i="11"/>
  <c r="U34" i="11"/>
  <c r="U33" i="11"/>
  <c r="U32" i="11"/>
  <c r="U31" i="11"/>
  <c r="U30" i="11"/>
  <c r="U29" i="11"/>
  <c r="U28" i="11"/>
  <c r="U27" i="11"/>
  <c r="U26" i="11"/>
  <c r="U25" i="11"/>
  <c r="U24" i="11"/>
  <c r="U23" i="11"/>
  <c r="U35" i="11"/>
  <c r="U18" i="11"/>
  <c r="U17" i="11"/>
  <c r="U16" i="11"/>
  <c r="U15" i="11"/>
  <c r="U14" i="11"/>
  <c r="U13" i="11"/>
  <c r="U12" i="11"/>
  <c r="U11" i="11"/>
  <c r="U10" i="11"/>
  <c r="U9" i="11"/>
  <c r="U8" i="11"/>
  <c r="U7" i="11"/>
  <c r="AA83" i="36"/>
  <c r="AA67" i="36"/>
  <c r="AA51" i="36"/>
  <c r="AA35" i="36"/>
  <c r="AA19" i="36"/>
  <c r="E113" i="36"/>
  <c r="E98" i="36"/>
  <c r="M23" i="36"/>
  <c r="N23" i="36"/>
  <c r="V98" i="36"/>
  <c r="W98" i="36"/>
  <c r="V83" i="36"/>
  <c r="W83" i="36"/>
  <c r="O18" i="17"/>
  <c r="L18" i="17"/>
  <c r="O17" i="17"/>
  <c r="L17" i="17"/>
  <c r="O16" i="17"/>
  <c r="L16" i="17"/>
  <c r="O15" i="17"/>
  <c r="M15" i="17"/>
  <c r="O14" i="17"/>
  <c r="M14" i="17"/>
  <c r="O13" i="17"/>
  <c r="M13" i="17"/>
  <c r="O12" i="17"/>
  <c r="M12" i="17"/>
  <c r="O11" i="17"/>
  <c r="L11" i="17"/>
  <c r="O10" i="17"/>
  <c r="L10" i="17"/>
  <c r="O9" i="17"/>
  <c r="L9" i="17"/>
  <c r="O8" i="17"/>
  <c r="L8" i="17"/>
  <c r="O7" i="17"/>
  <c r="L7" i="17"/>
  <c r="H53" i="17"/>
  <c r="L86" i="17"/>
  <c r="H86" i="17"/>
  <c r="I86" i="17"/>
  <c r="L85" i="17"/>
  <c r="H85" i="17"/>
  <c r="I85" i="17"/>
  <c r="L84" i="17"/>
  <c r="H84" i="17"/>
  <c r="I84" i="17"/>
  <c r="M83" i="17"/>
  <c r="H83" i="17"/>
  <c r="J83" i="17"/>
  <c r="M82" i="17"/>
  <c r="H82" i="17"/>
  <c r="J82" i="17"/>
  <c r="M81" i="17"/>
  <c r="H81" i="17"/>
  <c r="J81" i="17"/>
  <c r="M80" i="17"/>
  <c r="H80" i="17"/>
  <c r="J80" i="17"/>
  <c r="J87" i="17"/>
  <c r="L79" i="17"/>
  <c r="H79" i="17"/>
  <c r="I79" i="17"/>
  <c r="L78" i="17"/>
  <c r="H78" i="17"/>
  <c r="I78" i="17"/>
  <c r="L77" i="17"/>
  <c r="H77" i="17"/>
  <c r="I77" i="17"/>
  <c r="L76" i="17"/>
  <c r="L87" i="17"/>
  <c r="H76" i="17"/>
  <c r="I76" i="17"/>
  <c r="L75" i="17"/>
  <c r="H75" i="17"/>
  <c r="I75" i="17"/>
  <c r="K103" i="17"/>
  <c r="H103" i="17"/>
  <c r="K102" i="17"/>
  <c r="H102" i="17"/>
  <c r="K101" i="17"/>
  <c r="H101" i="17"/>
  <c r="K100" i="17"/>
  <c r="H100" i="17"/>
  <c r="H99" i="17"/>
  <c r="K99" i="17"/>
  <c r="H98" i="17"/>
  <c r="K98" i="17"/>
  <c r="H97" i="17"/>
  <c r="K97" i="17"/>
  <c r="H96" i="17"/>
  <c r="H104" i="17"/>
  <c r="K96" i="17"/>
  <c r="H95" i="17"/>
  <c r="K95" i="17"/>
  <c r="H94" i="17"/>
  <c r="K94" i="17"/>
  <c r="H93" i="17"/>
  <c r="K93" i="17"/>
  <c r="H92" i="17"/>
  <c r="K92" i="17"/>
  <c r="H119" i="17"/>
  <c r="K119" i="17"/>
  <c r="K118" i="17"/>
  <c r="H118" i="17"/>
  <c r="H117" i="17"/>
  <c r="K117" i="17"/>
  <c r="H116" i="17"/>
  <c r="K116" i="17"/>
  <c r="K115" i="17"/>
  <c r="H115" i="17"/>
  <c r="H114" i="17"/>
  <c r="K114" i="17"/>
  <c r="H113" i="17"/>
  <c r="K113" i="17"/>
  <c r="H112" i="17"/>
  <c r="K112" i="17"/>
  <c r="H111" i="17"/>
  <c r="K111" i="17"/>
  <c r="H110" i="17"/>
  <c r="K110" i="17"/>
  <c r="H109" i="17"/>
  <c r="K109" i="17"/>
  <c r="K108" i="17"/>
  <c r="H108" i="17"/>
  <c r="N78" i="12"/>
  <c r="G78" i="12"/>
  <c r="F78" i="12"/>
  <c r="E78" i="12"/>
  <c r="N77" i="12"/>
  <c r="G77" i="12"/>
  <c r="F77" i="12"/>
  <c r="E77" i="12"/>
  <c r="N76" i="12"/>
  <c r="G76" i="12"/>
  <c r="F76" i="12"/>
  <c r="E76" i="12"/>
  <c r="N75" i="12"/>
  <c r="G75" i="12"/>
  <c r="F75" i="12"/>
  <c r="E75" i="12"/>
  <c r="N74" i="12"/>
  <c r="G74" i="12"/>
  <c r="F74" i="12"/>
  <c r="E74" i="12"/>
  <c r="N73" i="12"/>
  <c r="G73" i="12"/>
  <c r="F73" i="12"/>
  <c r="E73" i="12"/>
  <c r="N72" i="12"/>
  <c r="G72" i="12"/>
  <c r="F72" i="12"/>
  <c r="E72" i="12"/>
  <c r="N71" i="12"/>
  <c r="G71" i="12"/>
  <c r="F71" i="12"/>
  <c r="E71" i="12"/>
  <c r="N70" i="12"/>
  <c r="G70" i="12"/>
  <c r="F70" i="12"/>
  <c r="E70" i="12"/>
  <c r="N69" i="12"/>
  <c r="G69" i="12"/>
  <c r="F69" i="12"/>
  <c r="E69" i="12"/>
  <c r="N68" i="12"/>
  <c r="G68" i="12"/>
  <c r="F68" i="12"/>
  <c r="E68" i="12"/>
  <c r="N67" i="12"/>
  <c r="G67" i="12"/>
  <c r="F67" i="12"/>
  <c r="E67" i="12"/>
  <c r="L109" i="12"/>
  <c r="M109" i="12"/>
  <c r="N93" i="12"/>
  <c r="G93" i="12"/>
  <c r="F93" i="12"/>
  <c r="E93" i="12"/>
  <c r="N92" i="12"/>
  <c r="G92" i="12"/>
  <c r="F92" i="12"/>
  <c r="E92" i="12"/>
  <c r="N91" i="12"/>
  <c r="G91" i="12"/>
  <c r="F91" i="12"/>
  <c r="E91" i="12"/>
  <c r="N90" i="12"/>
  <c r="G90" i="12"/>
  <c r="F90" i="12"/>
  <c r="E90" i="12"/>
  <c r="N89" i="12"/>
  <c r="G89" i="12"/>
  <c r="F89" i="12"/>
  <c r="E89" i="12"/>
  <c r="N88" i="12"/>
  <c r="G88" i="12"/>
  <c r="F88" i="12"/>
  <c r="E88" i="12"/>
  <c r="N87" i="12"/>
  <c r="G87" i="12"/>
  <c r="F87" i="12"/>
  <c r="E87" i="12"/>
  <c r="N86" i="12"/>
  <c r="G86" i="12"/>
  <c r="F86" i="12"/>
  <c r="E86" i="12"/>
  <c r="N85" i="12"/>
  <c r="G85" i="12"/>
  <c r="F85" i="12"/>
  <c r="E85" i="12"/>
  <c r="N84" i="12"/>
  <c r="G84" i="12"/>
  <c r="F84" i="12"/>
  <c r="E84" i="12"/>
  <c r="N83" i="12"/>
  <c r="G83" i="12"/>
  <c r="F83" i="12"/>
  <c r="E83" i="12"/>
  <c r="N82" i="12"/>
  <c r="G82" i="12"/>
  <c r="F82" i="12"/>
  <c r="E82" i="12"/>
  <c r="N108" i="12"/>
  <c r="G108" i="12"/>
  <c r="F108" i="12"/>
  <c r="E108" i="12"/>
  <c r="N107" i="12"/>
  <c r="G107" i="12"/>
  <c r="F107" i="12"/>
  <c r="E107" i="12"/>
  <c r="N106" i="12"/>
  <c r="G106" i="12"/>
  <c r="F106" i="12"/>
  <c r="E106" i="12"/>
  <c r="N105" i="12"/>
  <c r="G105" i="12"/>
  <c r="F105" i="12"/>
  <c r="E105" i="12"/>
  <c r="N104" i="12"/>
  <c r="G104" i="12"/>
  <c r="F104" i="12"/>
  <c r="E104" i="12"/>
  <c r="N103" i="12"/>
  <c r="G103" i="12"/>
  <c r="F103" i="12"/>
  <c r="E103" i="12"/>
  <c r="N102" i="12"/>
  <c r="G102" i="12"/>
  <c r="F102" i="12"/>
  <c r="E102" i="12"/>
  <c r="N101" i="12"/>
  <c r="G101" i="12"/>
  <c r="F101" i="12"/>
  <c r="E101" i="12"/>
  <c r="N100" i="12"/>
  <c r="G100" i="12"/>
  <c r="F100" i="12"/>
  <c r="E100" i="12"/>
  <c r="N99" i="12"/>
  <c r="G99" i="12"/>
  <c r="F99" i="12"/>
  <c r="E99" i="12"/>
  <c r="N98" i="12"/>
  <c r="G98" i="12"/>
  <c r="F98" i="12"/>
  <c r="E98" i="12"/>
  <c r="N97" i="12"/>
  <c r="G97" i="12"/>
  <c r="F97" i="12"/>
  <c r="E97" i="12"/>
  <c r="V78" i="30"/>
  <c r="Q78" i="30"/>
  <c r="J78" i="30"/>
  <c r="I78" i="30"/>
  <c r="H78" i="30"/>
  <c r="V77" i="30"/>
  <c r="Q77" i="30"/>
  <c r="J77" i="30"/>
  <c r="I77" i="30"/>
  <c r="H77" i="30"/>
  <c r="V76" i="30"/>
  <c r="Q76" i="30"/>
  <c r="J76" i="30"/>
  <c r="I76" i="30"/>
  <c r="H76" i="30"/>
  <c r="V75" i="30"/>
  <c r="Q75" i="30"/>
  <c r="J75" i="30"/>
  <c r="H75" i="30"/>
  <c r="I75" i="30"/>
  <c r="V74" i="30"/>
  <c r="Q74" i="30"/>
  <c r="J74" i="30"/>
  <c r="I74" i="30"/>
  <c r="H74" i="30"/>
  <c r="V73" i="30"/>
  <c r="Q73" i="30"/>
  <c r="J73" i="30"/>
  <c r="I73" i="30"/>
  <c r="H73" i="30"/>
  <c r="V72" i="30"/>
  <c r="Q72" i="30"/>
  <c r="J72" i="30"/>
  <c r="I72" i="30"/>
  <c r="H72" i="30"/>
  <c r="V71" i="30"/>
  <c r="Q71" i="30"/>
  <c r="J71" i="30"/>
  <c r="H71" i="30"/>
  <c r="I71" i="30"/>
  <c r="V70" i="30"/>
  <c r="Q70" i="30"/>
  <c r="J70" i="30"/>
  <c r="I70" i="30"/>
  <c r="H70" i="30"/>
  <c r="V69" i="30"/>
  <c r="Q69" i="30"/>
  <c r="J69" i="30"/>
  <c r="I69" i="30"/>
  <c r="H69" i="30"/>
  <c r="V68" i="30"/>
  <c r="V79" i="30"/>
  <c r="Q68" i="30"/>
  <c r="Q79" i="30"/>
  <c r="J68" i="30"/>
  <c r="I68" i="30"/>
  <c r="H68" i="30"/>
  <c r="V67" i="30"/>
  <c r="Q67" i="30"/>
  <c r="J67" i="30"/>
  <c r="J79" i="30"/>
  <c r="I67" i="30"/>
  <c r="H67" i="30"/>
  <c r="V93" i="30"/>
  <c r="Q93" i="30"/>
  <c r="J93" i="30"/>
  <c r="H93" i="30"/>
  <c r="I93" i="30"/>
  <c r="V92" i="30"/>
  <c r="Q92" i="30"/>
  <c r="J92" i="30"/>
  <c r="I92" i="30"/>
  <c r="H92" i="30"/>
  <c r="V91" i="30"/>
  <c r="Q91" i="30"/>
  <c r="J91" i="30"/>
  <c r="I91" i="30"/>
  <c r="H91" i="30"/>
  <c r="V90" i="30"/>
  <c r="Q90" i="30"/>
  <c r="J90" i="30"/>
  <c r="I90" i="30"/>
  <c r="H90" i="30"/>
  <c r="V89" i="30"/>
  <c r="Q89" i="30"/>
  <c r="J89" i="30"/>
  <c r="H89" i="30"/>
  <c r="I89" i="30"/>
  <c r="D89" i="30"/>
  <c r="V88" i="30"/>
  <c r="Q88" i="30"/>
  <c r="J88" i="30"/>
  <c r="I88" i="30"/>
  <c r="H88" i="30"/>
  <c r="D88" i="30"/>
  <c r="V87" i="30"/>
  <c r="Q87" i="30"/>
  <c r="J87" i="30"/>
  <c r="I87" i="30"/>
  <c r="H87" i="30"/>
  <c r="D87" i="30"/>
  <c r="V86" i="30"/>
  <c r="Q86" i="30"/>
  <c r="J86" i="30"/>
  <c r="I86" i="30"/>
  <c r="H86" i="30"/>
  <c r="D86" i="30"/>
  <c r="V85" i="30"/>
  <c r="Q85" i="30"/>
  <c r="J85" i="30"/>
  <c r="I85" i="30"/>
  <c r="D85" i="30"/>
  <c r="V84" i="30"/>
  <c r="Q84" i="30"/>
  <c r="J84" i="30"/>
  <c r="H84" i="30"/>
  <c r="I84" i="30"/>
  <c r="D84" i="30"/>
  <c r="V83" i="30"/>
  <c r="Q83" i="30"/>
  <c r="J83" i="30"/>
  <c r="J94" i="30"/>
  <c r="I83" i="30"/>
  <c r="H83" i="30"/>
  <c r="D83" i="30"/>
  <c r="V82" i="30"/>
  <c r="V94" i="30"/>
  <c r="Q82" i="30"/>
  <c r="Q94" i="30"/>
  <c r="J82" i="30"/>
  <c r="I82" i="30"/>
  <c r="H82" i="30"/>
  <c r="D82" i="30"/>
  <c r="D94" i="30"/>
  <c r="O109" i="30"/>
  <c r="P109" i="30"/>
  <c r="R109" i="30"/>
  <c r="V108" i="30"/>
  <c r="Q108" i="30"/>
  <c r="J108" i="30"/>
  <c r="I108" i="30"/>
  <c r="H108" i="30"/>
  <c r="D108" i="30"/>
  <c r="V107" i="30"/>
  <c r="Q107" i="30"/>
  <c r="J107" i="30"/>
  <c r="I107" i="30"/>
  <c r="H107" i="30"/>
  <c r="D107" i="30"/>
  <c r="V106" i="30"/>
  <c r="Q106" i="30"/>
  <c r="J106" i="30"/>
  <c r="I106" i="30"/>
  <c r="I109" i="30"/>
  <c r="H106" i="30"/>
  <c r="D106" i="30"/>
  <c r="D109" i="30"/>
  <c r="V105" i="30"/>
  <c r="Q105" i="30"/>
  <c r="J105" i="30"/>
  <c r="H105" i="30"/>
  <c r="I105" i="30"/>
  <c r="D105" i="30"/>
  <c r="V104" i="30"/>
  <c r="Q104" i="30"/>
  <c r="J104" i="30"/>
  <c r="I104" i="30"/>
  <c r="H104" i="30"/>
  <c r="D104" i="30"/>
  <c r="V103" i="30"/>
  <c r="Q103" i="30"/>
  <c r="J103" i="30"/>
  <c r="I103" i="30"/>
  <c r="H103" i="30"/>
  <c r="D103" i="30"/>
  <c r="V102" i="30"/>
  <c r="V109" i="30"/>
  <c r="Q102" i="30"/>
  <c r="J102" i="30"/>
  <c r="I102" i="30"/>
  <c r="H102" i="30"/>
  <c r="D102" i="30"/>
  <c r="V101" i="30"/>
  <c r="Q101" i="30"/>
  <c r="J101" i="30"/>
  <c r="I101" i="30"/>
  <c r="H101" i="30"/>
  <c r="D101" i="30"/>
  <c r="V100" i="30"/>
  <c r="Q100" i="30"/>
  <c r="J100" i="30"/>
  <c r="H100" i="30"/>
  <c r="I100" i="30"/>
  <c r="D100" i="30"/>
  <c r="V99" i="30"/>
  <c r="Q99" i="30"/>
  <c r="J99" i="30"/>
  <c r="J109" i="30"/>
  <c r="I99" i="30"/>
  <c r="H99" i="30"/>
  <c r="D99" i="30"/>
  <c r="V98" i="30"/>
  <c r="Q98" i="30"/>
  <c r="Q109" i="30"/>
  <c r="J98" i="30"/>
  <c r="I98" i="30"/>
  <c r="H98" i="30"/>
  <c r="D98" i="30"/>
  <c r="V97" i="30"/>
  <c r="Q97" i="30"/>
  <c r="J97" i="30"/>
  <c r="I97" i="30"/>
  <c r="H97" i="30"/>
  <c r="D97" i="30"/>
  <c r="D67" i="29"/>
  <c r="D68" i="29"/>
  <c r="D69" i="29"/>
  <c r="D70" i="29"/>
  <c r="D71" i="29"/>
  <c r="D72" i="29"/>
  <c r="D73" i="29"/>
  <c r="D74" i="29"/>
  <c r="D75" i="29"/>
  <c r="D76" i="29"/>
  <c r="D77" i="29"/>
  <c r="D78" i="29"/>
  <c r="G79" i="29"/>
  <c r="H79" i="29"/>
  <c r="D82" i="29"/>
  <c r="D83" i="29"/>
  <c r="D84" i="29"/>
  <c r="D85" i="29"/>
  <c r="D86" i="29"/>
  <c r="D87" i="29"/>
  <c r="D88" i="29"/>
  <c r="D89" i="29"/>
  <c r="D90" i="29"/>
  <c r="D91" i="29"/>
  <c r="D92" i="29"/>
  <c r="D93" i="29"/>
  <c r="G94" i="29"/>
  <c r="H94" i="29"/>
  <c r="D97" i="29"/>
  <c r="D98" i="29"/>
  <c r="D99" i="29"/>
  <c r="D100" i="29"/>
  <c r="D101" i="29"/>
  <c r="D102" i="29"/>
  <c r="D103" i="29"/>
  <c r="D104" i="29"/>
  <c r="D105" i="29"/>
  <c r="D106" i="29"/>
  <c r="D107" i="29"/>
  <c r="D108" i="29"/>
  <c r="U80" i="11"/>
  <c r="J80" i="11"/>
  <c r="I80" i="11"/>
  <c r="H80" i="11"/>
  <c r="U79" i="11"/>
  <c r="J79" i="11"/>
  <c r="I79" i="11"/>
  <c r="H79" i="11"/>
  <c r="U78" i="11"/>
  <c r="J78" i="11"/>
  <c r="I78" i="11"/>
  <c r="H78" i="11"/>
  <c r="U77" i="11"/>
  <c r="J77" i="11"/>
  <c r="H77" i="11"/>
  <c r="I77" i="11"/>
  <c r="U76" i="11"/>
  <c r="J76" i="11"/>
  <c r="H76" i="11"/>
  <c r="I76" i="11"/>
  <c r="U75" i="11"/>
  <c r="J75" i="11"/>
  <c r="H75" i="11"/>
  <c r="I75" i="11"/>
  <c r="U74" i="11"/>
  <c r="J74" i="11"/>
  <c r="I74" i="11"/>
  <c r="H74" i="11"/>
  <c r="U73" i="11"/>
  <c r="J73" i="11"/>
  <c r="I73" i="11"/>
  <c r="I81" i="11"/>
  <c r="H73" i="11"/>
  <c r="U72" i="11"/>
  <c r="J72" i="11"/>
  <c r="H72" i="11"/>
  <c r="I72" i="11"/>
  <c r="U71" i="11"/>
  <c r="J71" i="11"/>
  <c r="J81" i="11"/>
  <c r="I71" i="11"/>
  <c r="U70" i="11"/>
  <c r="J70" i="11"/>
  <c r="H70" i="11"/>
  <c r="I70" i="11"/>
  <c r="U69" i="11"/>
  <c r="J69" i="11"/>
  <c r="I69" i="11"/>
  <c r="H69" i="11"/>
  <c r="U95" i="11"/>
  <c r="J95" i="11"/>
  <c r="I95" i="11"/>
  <c r="H95" i="11"/>
  <c r="U94" i="11"/>
  <c r="J94" i="11"/>
  <c r="H94" i="11"/>
  <c r="I94" i="11"/>
  <c r="U93" i="11"/>
  <c r="J93" i="11"/>
  <c r="H93" i="11"/>
  <c r="I93" i="11"/>
  <c r="U92" i="11"/>
  <c r="J92" i="11"/>
  <c r="H92" i="11"/>
  <c r="I92" i="11"/>
  <c r="U91" i="11"/>
  <c r="J91" i="11"/>
  <c r="I91" i="11"/>
  <c r="H91" i="11"/>
  <c r="U90" i="11"/>
  <c r="J90" i="11"/>
  <c r="I90" i="11"/>
  <c r="H90" i="11"/>
  <c r="U89" i="11"/>
  <c r="J89" i="11"/>
  <c r="H89" i="11"/>
  <c r="I89" i="11"/>
  <c r="U88" i="11"/>
  <c r="J88" i="11"/>
  <c r="H88" i="11"/>
  <c r="I88" i="11"/>
  <c r="U87" i="11"/>
  <c r="J87" i="11"/>
  <c r="H87" i="11"/>
  <c r="I87" i="11"/>
  <c r="U86" i="11"/>
  <c r="J86" i="11"/>
  <c r="I86" i="11"/>
  <c r="H86" i="11"/>
  <c r="U85" i="11"/>
  <c r="J85" i="11"/>
  <c r="I85" i="11"/>
  <c r="I96" i="11"/>
  <c r="H85" i="11"/>
  <c r="U84" i="11"/>
  <c r="U96" i="11"/>
  <c r="J84" i="11"/>
  <c r="J96" i="11"/>
  <c r="I84" i="11"/>
  <c r="O111" i="11"/>
  <c r="P111" i="11"/>
  <c r="U110" i="11"/>
  <c r="J110" i="11"/>
  <c r="H110" i="11"/>
  <c r="I110" i="11"/>
  <c r="U109" i="11"/>
  <c r="J109" i="11"/>
  <c r="H109" i="11"/>
  <c r="I109" i="11"/>
  <c r="U108" i="11"/>
  <c r="J108" i="11"/>
  <c r="I108" i="11"/>
  <c r="H108" i="11"/>
  <c r="U107" i="11"/>
  <c r="J107" i="11"/>
  <c r="I107" i="11"/>
  <c r="H107" i="11"/>
  <c r="U106" i="11"/>
  <c r="J106" i="11"/>
  <c r="I106" i="11"/>
  <c r="H106" i="11"/>
  <c r="U105" i="11"/>
  <c r="J105" i="11"/>
  <c r="H105" i="11"/>
  <c r="I105" i="11"/>
  <c r="U104" i="11"/>
  <c r="J104" i="11"/>
  <c r="I104" i="11"/>
  <c r="H104" i="11"/>
  <c r="U103" i="11"/>
  <c r="J103" i="11"/>
  <c r="I103" i="11"/>
  <c r="H103" i="11"/>
  <c r="U102" i="11"/>
  <c r="U111" i="11"/>
  <c r="J102" i="11"/>
  <c r="I102" i="11"/>
  <c r="H102" i="11"/>
  <c r="U101" i="11"/>
  <c r="J101" i="11"/>
  <c r="I101" i="11"/>
  <c r="H101" i="11"/>
  <c r="U100" i="11"/>
  <c r="J100" i="11"/>
  <c r="H100" i="11"/>
  <c r="I100" i="11"/>
  <c r="U99" i="11"/>
  <c r="J99" i="11"/>
  <c r="I99" i="11"/>
  <c r="H99" i="11"/>
  <c r="H111" i="11"/>
  <c r="E49" i="38"/>
  <c r="D83" i="36"/>
  <c r="N112" i="36"/>
  <c r="M112" i="36"/>
  <c r="L112" i="36"/>
  <c r="N111" i="36"/>
  <c r="M111" i="36"/>
  <c r="L111" i="36"/>
  <c r="N110" i="36"/>
  <c r="M110" i="36"/>
  <c r="L110" i="36"/>
  <c r="N109" i="36"/>
  <c r="M109" i="36"/>
  <c r="L109" i="36"/>
  <c r="N108" i="36"/>
  <c r="M108" i="36"/>
  <c r="L108" i="36"/>
  <c r="N107" i="36"/>
  <c r="M107" i="36"/>
  <c r="L107" i="36"/>
  <c r="N106" i="36"/>
  <c r="M106" i="36"/>
  <c r="L106" i="36"/>
  <c r="N105" i="36"/>
  <c r="L105" i="36"/>
  <c r="M105" i="36"/>
  <c r="N104" i="36"/>
  <c r="M104" i="36"/>
  <c r="M113" i="36"/>
  <c r="L104" i="36"/>
  <c r="N103" i="36"/>
  <c r="N113" i="36"/>
  <c r="L103" i="36"/>
  <c r="M103" i="36"/>
  <c r="N102" i="36"/>
  <c r="M102" i="36"/>
  <c r="L102" i="36"/>
  <c r="L113" i="36"/>
  <c r="N101" i="36"/>
  <c r="M101" i="36"/>
  <c r="L101" i="36"/>
  <c r="N97" i="36"/>
  <c r="M97" i="36"/>
  <c r="L97" i="36"/>
  <c r="N96" i="36"/>
  <c r="M96" i="36"/>
  <c r="L96" i="36"/>
  <c r="N95" i="36"/>
  <c r="M95" i="36"/>
  <c r="L95" i="36"/>
  <c r="N94" i="36"/>
  <c r="M94" i="36"/>
  <c r="M98" i="36"/>
  <c r="L94" i="36"/>
  <c r="N93" i="36"/>
  <c r="M93" i="36"/>
  <c r="L93" i="36"/>
  <c r="N92" i="36"/>
  <c r="M92" i="36"/>
  <c r="L92" i="36"/>
  <c r="N91" i="36"/>
  <c r="M91" i="36"/>
  <c r="L91" i="36"/>
  <c r="N90" i="36"/>
  <c r="L90" i="36"/>
  <c r="M90" i="36"/>
  <c r="N89" i="36"/>
  <c r="L89" i="36"/>
  <c r="M89" i="36"/>
  <c r="N88" i="36"/>
  <c r="M88" i="36"/>
  <c r="L88" i="36"/>
  <c r="N87" i="36"/>
  <c r="N98" i="36"/>
  <c r="L87" i="36"/>
  <c r="M87" i="36"/>
  <c r="N86" i="36"/>
  <c r="L86" i="36"/>
  <c r="M86" i="36"/>
  <c r="N82" i="36"/>
  <c r="M82" i="36"/>
  <c r="L82" i="36"/>
  <c r="N81" i="36"/>
  <c r="M81" i="36"/>
  <c r="L81" i="36"/>
  <c r="N80" i="36"/>
  <c r="L80" i="36"/>
  <c r="M80" i="36"/>
  <c r="N79" i="36"/>
  <c r="M79" i="36"/>
  <c r="L79" i="36"/>
  <c r="N78" i="36"/>
  <c r="M78" i="36"/>
  <c r="M83" i="36"/>
  <c r="L78" i="36"/>
  <c r="N77" i="36"/>
  <c r="M77" i="36"/>
  <c r="L77" i="36"/>
  <c r="N76" i="36"/>
  <c r="M76" i="36"/>
  <c r="L76" i="36"/>
  <c r="N75" i="36"/>
  <c r="M75" i="36"/>
  <c r="L75" i="36"/>
  <c r="N74" i="36"/>
  <c r="M74" i="36"/>
  <c r="L74" i="36"/>
  <c r="N73" i="36"/>
  <c r="M73" i="36"/>
  <c r="L73" i="36"/>
  <c r="N72" i="36"/>
  <c r="N83" i="36"/>
  <c r="M72" i="36"/>
  <c r="L72" i="36"/>
  <c r="N71" i="36"/>
  <c r="M71" i="36"/>
  <c r="L71" i="36"/>
  <c r="R113" i="36"/>
  <c r="AC113" i="36"/>
  <c r="AE113" i="36"/>
  <c r="AD113" i="36"/>
  <c r="AG113" i="36"/>
  <c r="AF113" i="36"/>
  <c r="D113" i="36"/>
  <c r="AB113" i="36"/>
  <c r="Q113" i="36"/>
  <c r="P113" i="36"/>
  <c r="O113" i="36"/>
  <c r="Z113" i="36"/>
  <c r="Y113" i="36"/>
  <c r="Z98" i="36"/>
  <c r="Y98" i="36"/>
  <c r="X98" i="36"/>
  <c r="O98" i="36"/>
  <c r="AG98" i="36"/>
  <c r="AF98" i="36"/>
  <c r="AE98" i="36"/>
  <c r="AD98" i="36"/>
  <c r="AC98" i="36"/>
  <c r="AB98" i="36"/>
  <c r="U98" i="36"/>
  <c r="T98" i="36"/>
  <c r="S98" i="36"/>
  <c r="R98" i="36"/>
  <c r="Q98" i="36"/>
  <c r="P98" i="36"/>
  <c r="D98" i="36"/>
  <c r="Z83" i="36"/>
  <c r="Y83" i="36"/>
  <c r="X83" i="36"/>
  <c r="AB83" i="36"/>
  <c r="U83" i="36"/>
  <c r="Q83" i="36"/>
  <c r="P83" i="36"/>
  <c r="AC83" i="36"/>
  <c r="R83" i="36"/>
  <c r="AG83" i="36"/>
  <c r="AF83" i="36"/>
  <c r="AE83" i="36"/>
  <c r="AD83" i="36"/>
  <c r="T83" i="36"/>
  <c r="S83" i="36"/>
  <c r="O83" i="36"/>
  <c r="E83" i="36"/>
  <c r="I67" i="7"/>
  <c r="J67" i="7"/>
  <c r="S67" i="7"/>
  <c r="I68" i="7"/>
  <c r="H68" i="7"/>
  <c r="J68" i="7"/>
  <c r="S68" i="7"/>
  <c r="I69" i="7"/>
  <c r="H69" i="7"/>
  <c r="J69" i="7"/>
  <c r="S69" i="7"/>
  <c r="I70" i="7"/>
  <c r="J70" i="7"/>
  <c r="S70" i="7"/>
  <c r="I71" i="7"/>
  <c r="J71" i="7"/>
  <c r="S71" i="7"/>
  <c r="I72" i="7"/>
  <c r="J72" i="7"/>
  <c r="H72" i="7"/>
  <c r="S72" i="7"/>
  <c r="I73" i="7"/>
  <c r="H73" i="7"/>
  <c r="J73" i="7"/>
  <c r="S73" i="7"/>
  <c r="I74" i="7"/>
  <c r="H74" i="7"/>
  <c r="J74" i="7"/>
  <c r="S74" i="7"/>
  <c r="I75" i="7"/>
  <c r="J75" i="7"/>
  <c r="S75" i="7"/>
  <c r="I76" i="7"/>
  <c r="H76" i="7"/>
  <c r="J76" i="7"/>
  <c r="S76" i="7"/>
  <c r="I77" i="7"/>
  <c r="J77" i="7"/>
  <c r="H77" i="7"/>
  <c r="S77" i="7"/>
  <c r="I78" i="7"/>
  <c r="J78" i="7"/>
  <c r="S78" i="7"/>
  <c r="D79" i="7"/>
  <c r="E79" i="7"/>
  <c r="K79" i="7"/>
  <c r="L79" i="7"/>
  <c r="M79" i="7"/>
  <c r="N79" i="7"/>
  <c r="O79" i="7"/>
  <c r="P79" i="7"/>
  <c r="Q79" i="7"/>
  <c r="R79" i="7"/>
  <c r="I82" i="7"/>
  <c r="I94" i="7"/>
  <c r="J82" i="7"/>
  <c r="S82" i="7"/>
  <c r="I83" i="7"/>
  <c r="J83" i="7"/>
  <c r="S83" i="7"/>
  <c r="I84" i="7"/>
  <c r="J84" i="7"/>
  <c r="H84" i="7"/>
  <c r="S84" i="7"/>
  <c r="I85" i="7"/>
  <c r="J85" i="7"/>
  <c r="S85" i="7"/>
  <c r="I86" i="7"/>
  <c r="J86" i="7"/>
  <c r="S86" i="7"/>
  <c r="I87" i="7"/>
  <c r="J87" i="7"/>
  <c r="H87" i="7"/>
  <c r="S87" i="7"/>
  <c r="S94" i="7"/>
  <c r="I88" i="7"/>
  <c r="H88" i="7"/>
  <c r="J88" i="7"/>
  <c r="S88" i="7"/>
  <c r="I89" i="7"/>
  <c r="H89" i="7"/>
  <c r="J89" i="7"/>
  <c r="S89" i="7"/>
  <c r="I90" i="7"/>
  <c r="J90" i="7"/>
  <c r="H90" i="7"/>
  <c r="S90" i="7"/>
  <c r="I91" i="7"/>
  <c r="H91" i="7"/>
  <c r="J91" i="7"/>
  <c r="S91" i="7"/>
  <c r="I92" i="7"/>
  <c r="J92" i="7"/>
  <c r="H92" i="7"/>
  <c r="S92" i="7"/>
  <c r="I93" i="7"/>
  <c r="J93" i="7"/>
  <c r="S93" i="7"/>
  <c r="D94" i="7"/>
  <c r="E94" i="7"/>
  <c r="K94" i="7"/>
  <c r="L94" i="7"/>
  <c r="M94" i="7"/>
  <c r="N94" i="7"/>
  <c r="O94" i="7"/>
  <c r="P94" i="7"/>
  <c r="Q94" i="7"/>
  <c r="R94" i="7"/>
  <c r="I97" i="7"/>
  <c r="J97" i="7"/>
  <c r="S97" i="7"/>
  <c r="I98" i="7"/>
  <c r="J98" i="7"/>
  <c r="S98" i="7"/>
  <c r="I99" i="7"/>
  <c r="J99" i="7"/>
  <c r="H99" i="7"/>
  <c r="S99" i="7"/>
  <c r="I100" i="7"/>
  <c r="J100" i="7"/>
  <c r="H100" i="7"/>
  <c r="S100" i="7"/>
  <c r="I101" i="7"/>
  <c r="J101" i="7"/>
  <c r="S101" i="7"/>
  <c r="I102" i="7"/>
  <c r="J102" i="7"/>
  <c r="S102" i="7"/>
  <c r="I103" i="7"/>
  <c r="H103" i="7"/>
  <c r="J103" i="7"/>
  <c r="S103" i="7"/>
  <c r="S109" i="7"/>
  <c r="I104" i="7"/>
  <c r="H104" i="7"/>
  <c r="J104" i="7"/>
  <c r="S104" i="7"/>
  <c r="I105" i="7"/>
  <c r="J105" i="7"/>
  <c r="S105" i="7"/>
  <c r="I106" i="7"/>
  <c r="J106" i="7"/>
  <c r="H106" i="7"/>
  <c r="S106" i="7"/>
  <c r="I107" i="7"/>
  <c r="H107" i="7"/>
  <c r="J107" i="7"/>
  <c r="S107" i="7"/>
  <c r="I108" i="7"/>
  <c r="J108" i="7"/>
  <c r="S108" i="7"/>
  <c r="I37" i="6"/>
  <c r="H58" i="6"/>
  <c r="H59" i="6"/>
  <c r="H60" i="6"/>
  <c r="H61" i="6"/>
  <c r="I38" i="6"/>
  <c r="I39" i="6"/>
  <c r="I40" i="6"/>
  <c r="H67" i="6"/>
  <c r="G67" i="6"/>
  <c r="Q67" i="6"/>
  <c r="H68" i="6"/>
  <c r="G68" i="6"/>
  <c r="Q68" i="6"/>
  <c r="H69" i="6"/>
  <c r="G69" i="6"/>
  <c r="Q69" i="6"/>
  <c r="H70" i="6"/>
  <c r="G70" i="6"/>
  <c r="Q70" i="6"/>
  <c r="H71" i="6"/>
  <c r="I71" i="6"/>
  <c r="Q71" i="6"/>
  <c r="H72" i="6"/>
  <c r="I72" i="6"/>
  <c r="G72" i="6"/>
  <c r="Q72" i="6"/>
  <c r="H73" i="6"/>
  <c r="G73" i="6"/>
  <c r="I73" i="6"/>
  <c r="Q73" i="6"/>
  <c r="H74" i="6"/>
  <c r="G74" i="6"/>
  <c r="I74" i="6"/>
  <c r="Q74" i="6"/>
  <c r="H75" i="6"/>
  <c r="I75" i="6"/>
  <c r="G75" i="6"/>
  <c r="Q75" i="6"/>
  <c r="H76" i="6"/>
  <c r="I76" i="6"/>
  <c r="G76" i="6"/>
  <c r="Q76" i="6"/>
  <c r="H77" i="6"/>
  <c r="I77" i="6"/>
  <c r="Q77" i="6"/>
  <c r="H78" i="6"/>
  <c r="I78" i="6"/>
  <c r="G78" i="6"/>
  <c r="Q78" i="6"/>
  <c r="D79" i="6"/>
  <c r="E79" i="6"/>
  <c r="F79" i="6"/>
  <c r="J79" i="6"/>
  <c r="K79" i="6"/>
  <c r="L79" i="6"/>
  <c r="M79" i="6"/>
  <c r="N79" i="6"/>
  <c r="O79" i="6"/>
  <c r="P79" i="6"/>
  <c r="R79" i="6"/>
  <c r="S79" i="6"/>
  <c r="T79" i="6"/>
  <c r="U79" i="6"/>
  <c r="Y79" i="6"/>
  <c r="Z79" i="6"/>
  <c r="AA79" i="6"/>
  <c r="H82" i="6"/>
  <c r="I82" i="6"/>
  <c r="Q82" i="6"/>
  <c r="H83" i="6"/>
  <c r="I83" i="6"/>
  <c r="Q83" i="6"/>
  <c r="H84" i="6"/>
  <c r="I84" i="6"/>
  <c r="G84" i="6"/>
  <c r="Q84" i="6"/>
  <c r="H85" i="6"/>
  <c r="G85" i="6"/>
  <c r="I85" i="6"/>
  <c r="Q85" i="6"/>
  <c r="H86" i="6"/>
  <c r="I86" i="6"/>
  <c r="Q86" i="6"/>
  <c r="H87" i="6"/>
  <c r="G87" i="6"/>
  <c r="I87" i="6"/>
  <c r="Q87" i="6"/>
  <c r="I88" i="6"/>
  <c r="G88" i="6"/>
  <c r="Q88" i="6"/>
  <c r="I89" i="6"/>
  <c r="G89" i="6"/>
  <c r="Q89" i="6"/>
  <c r="I90" i="6"/>
  <c r="G90" i="6"/>
  <c r="Q90" i="6"/>
  <c r="H91" i="6"/>
  <c r="G91" i="6"/>
  <c r="I91" i="6"/>
  <c r="Q91" i="6"/>
  <c r="H92" i="6"/>
  <c r="G92" i="6"/>
  <c r="I92" i="6"/>
  <c r="Q92" i="6"/>
  <c r="H93" i="6"/>
  <c r="G93" i="6"/>
  <c r="I93" i="6"/>
  <c r="Q93" i="6"/>
  <c r="D94" i="6"/>
  <c r="E94" i="6"/>
  <c r="F94" i="6"/>
  <c r="J94" i="6"/>
  <c r="K94" i="6"/>
  <c r="L94" i="6"/>
  <c r="M94" i="6"/>
  <c r="N94" i="6"/>
  <c r="O94" i="6"/>
  <c r="P94" i="6"/>
  <c r="R94" i="6"/>
  <c r="S94" i="6"/>
  <c r="T94" i="6"/>
  <c r="U94" i="6"/>
  <c r="Y94" i="6"/>
  <c r="Z94" i="6"/>
  <c r="AA94" i="6"/>
  <c r="H97" i="6"/>
  <c r="H109" i="6"/>
  <c r="I97" i="6"/>
  <c r="Q97" i="6"/>
  <c r="H98" i="6"/>
  <c r="I98" i="6"/>
  <c r="G98" i="6"/>
  <c r="Q98" i="6"/>
  <c r="H99" i="6"/>
  <c r="I99" i="6"/>
  <c r="Q99" i="6"/>
  <c r="H100" i="6"/>
  <c r="I100" i="6"/>
  <c r="G100" i="6"/>
  <c r="Q100" i="6"/>
  <c r="H101" i="6"/>
  <c r="I101" i="6"/>
  <c r="G101" i="6"/>
  <c r="Q101" i="6"/>
  <c r="H102" i="6"/>
  <c r="I102" i="6"/>
  <c r="G102" i="6"/>
  <c r="Q102" i="6"/>
  <c r="H103" i="6"/>
  <c r="G103" i="6"/>
  <c r="I103" i="6"/>
  <c r="Q103" i="6"/>
  <c r="H104" i="6"/>
  <c r="I104" i="6"/>
  <c r="Q104" i="6"/>
  <c r="H105" i="6"/>
  <c r="G105" i="6"/>
  <c r="I105" i="6"/>
  <c r="Q105" i="6"/>
  <c r="H106" i="6"/>
  <c r="I106" i="6"/>
  <c r="G106" i="6"/>
  <c r="Q106" i="6"/>
  <c r="H107" i="6"/>
  <c r="I107" i="6"/>
  <c r="Q107" i="6"/>
  <c r="H108" i="6"/>
  <c r="G108" i="6"/>
  <c r="I108" i="6"/>
  <c r="Q108" i="6"/>
  <c r="D89" i="16"/>
  <c r="D88" i="16"/>
  <c r="D87" i="16"/>
  <c r="D86" i="16"/>
  <c r="D85" i="16"/>
  <c r="D84" i="16"/>
  <c r="D83" i="16"/>
  <c r="D82" i="16"/>
  <c r="F79" i="16"/>
  <c r="E79" i="16"/>
  <c r="D79" i="16"/>
  <c r="D108" i="16"/>
  <c r="D107" i="16"/>
  <c r="D106" i="16"/>
  <c r="D105" i="16"/>
  <c r="D104" i="16"/>
  <c r="D103" i="16"/>
  <c r="D102" i="16"/>
  <c r="D101" i="16"/>
  <c r="D100" i="16"/>
  <c r="D99" i="16"/>
  <c r="D98" i="16"/>
  <c r="D97" i="16"/>
  <c r="D78" i="28"/>
  <c r="D77" i="28"/>
  <c r="D76" i="28"/>
  <c r="D75" i="28"/>
  <c r="D74" i="28"/>
  <c r="D73" i="28"/>
  <c r="D72" i="28"/>
  <c r="D71" i="28"/>
  <c r="D70" i="28"/>
  <c r="D79" i="28"/>
  <c r="D69" i="28"/>
  <c r="D68" i="28"/>
  <c r="D67" i="28"/>
  <c r="D93" i="28"/>
  <c r="D92" i="28"/>
  <c r="D91" i="28"/>
  <c r="D90" i="28"/>
  <c r="D89" i="28"/>
  <c r="D88" i="28"/>
  <c r="D87" i="28"/>
  <c r="D86" i="28"/>
  <c r="D85" i="28"/>
  <c r="D84" i="28"/>
  <c r="D83" i="28"/>
  <c r="D82" i="28"/>
  <c r="D94" i="28"/>
  <c r="D108" i="28"/>
  <c r="D107" i="28"/>
  <c r="D106" i="28"/>
  <c r="D105" i="28"/>
  <c r="D104" i="28"/>
  <c r="D109" i="28"/>
  <c r="D103" i="28"/>
  <c r="D102" i="28"/>
  <c r="D101" i="28"/>
  <c r="D100" i="28"/>
  <c r="D99" i="28"/>
  <c r="D98" i="28"/>
  <c r="D97" i="28"/>
  <c r="H85" i="7"/>
  <c r="H70" i="7"/>
  <c r="P94" i="34"/>
  <c r="O94" i="34"/>
  <c r="N94" i="34"/>
  <c r="M94" i="34"/>
  <c r="L94" i="34"/>
  <c r="K94" i="34"/>
  <c r="E94" i="34"/>
  <c r="D94" i="34"/>
  <c r="J93" i="34"/>
  <c r="I93" i="34"/>
  <c r="H93" i="34"/>
  <c r="J92" i="34"/>
  <c r="I92" i="34"/>
  <c r="H92" i="34"/>
  <c r="J91" i="34"/>
  <c r="I91" i="34"/>
  <c r="H91" i="34"/>
  <c r="J90" i="34"/>
  <c r="I90" i="34"/>
  <c r="H90" i="34"/>
  <c r="J89" i="34"/>
  <c r="I89" i="34"/>
  <c r="H89" i="34"/>
  <c r="J88" i="34"/>
  <c r="I88" i="34"/>
  <c r="H88" i="34"/>
  <c r="J87" i="34"/>
  <c r="J94" i="34"/>
  <c r="I87" i="34"/>
  <c r="H87" i="34"/>
  <c r="J86" i="34"/>
  <c r="I86" i="34"/>
  <c r="H86" i="34"/>
  <c r="J85" i="34"/>
  <c r="H85" i="34"/>
  <c r="I85" i="34"/>
  <c r="J84" i="34"/>
  <c r="I84" i="34"/>
  <c r="H84" i="34"/>
  <c r="J83" i="34"/>
  <c r="I83" i="34"/>
  <c r="H83" i="34"/>
  <c r="J82" i="34"/>
  <c r="I82" i="34"/>
  <c r="H82" i="34"/>
  <c r="P79" i="34"/>
  <c r="O79" i="34"/>
  <c r="N79" i="34"/>
  <c r="M79" i="34"/>
  <c r="L79" i="34"/>
  <c r="K79" i="34"/>
  <c r="E79" i="34"/>
  <c r="D79" i="34"/>
  <c r="J78" i="34"/>
  <c r="I78" i="34"/>
  <c r="H78" i="34"/>
  <c r="J77" i="34"/>
  <c r="I77" i="34"/>
  <c r="H77" i="34"/>
  <c r="J76" i="34"/>
  <c r="I76" i="34"/>
  <c r="H76" i="34"/>
  <c r="J75" i="34"/>
  <c r="I75" i="34"/>
  <c r="H75" i="34"/>
  <c r="J74" i="34"/>
  <c r="I74" i="34"/>
  <c r="H74" i="34"/>
  <c r="J73" i="34"/>
  <c r="H73" i="34"/>
  <c r="I73" i="34"/>
  <c r="J72" i="34"/>
  <c r="I72" i="34"/>
  <c r="H72" i="34"/>
  <c r="J71" i="34"/>
  <c r="I71" i="34"/>
  <c r="H71" i="34"/>
  <c r="J70" i="34"/>
  <c r="I70" i="34"/>
  <c r="H70" i="34"/>
  <c r="J69" i="34"/>
  <c r="I69" i="34"/>
  <c r="H69" i="34"/>
  <c r="J68" i="34"/>
  <c r="I68" i="34"/>
  <c r="H68" i="34"/>
  <c r="J67" i="34"/>
  <c r="J79" i="34"/>
  <c r="I67" i="34"/>
  <c r="H67" i="34"/>
  <c r="J78" i="14"/>
  <c r="I78" i="14"/>
  <c r="H78" i="14"/>
  <c r="J77" i="14"/>
  <c r="I77" i="14"/>
  <c r="H77" i="14"/>
  <c r="J76" i="14"/>
  <c r="I76" i="14"/>
  <c r="H76" i="14"/>
  <c r="J75" i="14"/>
  <c r="I75" i="14"/>
  <c r="H75" i="14"/>
  <c r="J74" i="14"/>
  <c r="H74" i="14"/>
  <c r="I74" i="14"/>
  <c r="J73" i="14"/>
  <c r="I73" i="14"/>
  <c r="H73" i="14"/>
  <c r="J72" i="14"/>
  <c r="I72" i="14"/>
  <c r="H72" i="14"/>
  <c r="J71" i="14"/>
  <c r="I71" i="14"/>
  <c r="H71" i="14"/>
  <c r="J70" i="14"/>
  <c r="I70" i="14"/>
  <c r="H70" i="14"/>
  <c r="J69" i="14"/>
  <c r="I69" i="14"/>
  <c r="H69" i="14"/>
  <c r="J68" i="14"/>
  <c r="I68" i="14"/>
  <c r="J67" i="14"/>
  <c r="I67" i="14"/>
  <c r="H67" i="14"/>
  <c r="J93" i="14"/>
  <c r="H93" i="14"/>
  <c r="I93" i="14"/>
  <c r="J92" i="14"/>
  <c r="I92" i="14"/>
  <c r="H92" i="14"/>
  <c r="J91" i="14"/>
  <c r="I91" i="14"/>
  <c r="H91" i="14"/>
  <c r="J90" i="14"/>
  <c r="I90" i="14"/>
  <c r="H90" i="14"/>
  <c r="J89" i="14"/>
  <c r="I89" i="14"/>
  <c r="H89" i="14"/>
  <c r="J88" i="14"/>
  <c r="H88" i="14"/>
  <c r="I88" i="14"/>
  <c r="J87" i="14"/>
  <c r="I87" i="14"/>
  <c r="H87" i="14"/>
  <c r="J86" i="14"/>
  <c r="I86" i="14"/>
  <c r="H86" i="14"/>
  <c r="J85" i="14"/>
  <c r="I85" i="14"/>
  <c r="J84" i="14"/>
  <c r="I84" i="14"/>
  <c r="J83" i="14"/>
  <c r="I83" i="14"/>
  <c r="J82" i="14"/>
  <c r="J94" i="14"/>
  <c r="I82" i="14"/>
  <c r="O109" i="14"/>
  <c r="P109" i="14"/>
  <c r="J108" i="14"/>
  <c r="I108" i="14"/>
  <c r="H108" i="14"/>
  <c r="J107" i="14"/>
  <c r="H107" i="14"/>
  <c r="I107" i="14"/>
  <c r="J106" i="14"/>
  <c r="I106" i="14"/>
  <c r="J105" i="14"/>
  <c r="I105" i="14"/>
  <c r="H105" i="14"/>
  <c r="J104" i="14"/>
  <c r="I104" i="14"/>
  <c r="J103" i="14"/>
  <c r="I103" i="14"/>
  <c r="H103" i="14"/>
  <c r="J102" i="14"/>
  <c r="I102" i="14"/>
  <c r="H102" i="14"/>
  <c r="J101" i="14"/>
  <c r="H101" i="14"/>
  <c r="I101" i="14"/>
  <c r="J100" i="14"/>
  <c r="I100" i="14"/>
  <c r="H100" i="14"/>
  <c r="J99" i="14"/>
  <c r="I99" i="14"/>
  <c r="H99" i="14"/>
  <c r="J98" i="14"/>
  <c r="I98" i="14"/>
  <c r="H98" i="14"/>
  <c r="J97" i="14"/>
  <c r="I97" i="14"/>
  <c r="D91" i="13"/>
  <c r="D90" i="13"/>
  <c r="D89" i="13"/>
  <c r="D88" i="13"/>
  <c r="D96" i="13"/>
  <c r="D87" i="13"/>
  <c r="D86" i="13"/>
  <c r="D85" i="13"/>
  <c r="D84" i="13"/>
  <c r="D110" i="13"/>
  <c r="D109" i="13"/>
  <c r="D108" i="13"/>
  <c r="D107" i="13"/>
  <c r="D106" i="13"/>
  <c r="D105" i="13"/>
  <c r="D104" i="13"/>
  <c r="D103" i="13"/>
  <c r="D102" i="13"/>
  <c r="D101" i="13"/>
  <c r="D100" i="13"/>
  <c r="D99" i="13"/>
  <c r="D111" i="13"/>
  <c r="I36" i="17"/>
  <c r="G36" i="17"/>
  <c r="D36" i="17"/>
  <c r="O24" i="17"/>
  <c r="L24" i="17"/>
  <c r="AE35" i="36"/>
  <c r="AE19" i="36"/>
  <c r="AB8" i="36"/>
  <c r="AB19" i="36"/>
  <c r="AB9" i="36"/>
  <c r="AB10" i="36"/>
  <c r="AB11" i="36"/>
  <c r="AB12" i="36"/>
  <c r="AB13" i="36"/>
  <c r="AB14" i="36"/>
  <c r="AB15" i="36"/>
  <c r="AB16" i="36"/>
  <c r="AB17" i="36"/>
  <c r="AB18" i="36"/>
  <c r="AB7" i="36"/>
  <c r="AB24" i="36"/>
  <c r="AB25" i="36"/>
  <c r="AB26" i="36"/>
  <c r="AB27" i="36"/>
  <c r="AB28" i="36"/>
  <c r="AB29" i="36"/>
  <c r="AB30" i="36"/>
  <c r="AB31" i="36"/>
  <c r="AB32" i="36"/>
  <c r="AB33" i="36"/>
  <c r="AB34" i="36"/>
  <c r="AB23" i="36"/>
  <c r="AB39" i="36"/>
  <c r="N8" i="36"/>
  <c r="N9" i="36"/>
  <c r="N10" i="36"/>
  <c r="N11" i="36"/>
  <c r="N12" i="36"/>
  <c r="N13" i="36"/>
  <c r="N14" i="36"/>
  <c r="N15" i="36"/>
  <c r="N16" i="36"/>
  <c r="N17" i="36"/>
  <c r="N18" i="36"/>
  <c r="N7" i="36"/>
  <c r="M7" i="36"/>
  <c r="M8" i="36"/>
  <c r="L8" i="36"/>
  <c r="M9" i="36"/>
  <c r="L9" i="36"/>
  <c r="M10" i="36"/>
  <c r="L10" i="36"/>
  <c r="M11" i="36"/>
  <c r="M12" i="36"/>
  <c r="M13" i="36"/>
  <c r="M14" i="36"/>
  <c r="M15" i="36"/>
  <c r="M16" i="36"/>
  <c r="L16" i="36"/>
  <c r="M17" i="36"/>
  <c r="M18" i="36"/>
  <c r="M24" i="36"/>
  <c r="M25" i="36"/>
  <c r="L25" i="36"/>
  <c r="M26" i="36"/>
  <c r="L26" i="36"/>
  <c r="M27" i="36"/>
  <c r="L27" i="36"/>
  <c r="M28" i="36"/>
  <c r="M29" i="36"/>
  <c r="M30" i="36"/>
  <c r="M31" i="36"/>
  <c r="M32" i="36"/>
  <c r="L32" i="36"/>
  <c r="M33" i="36"/>
  <c r="M34" i="36"/>
  <c r="L34" i="36"/>
  <c r="N24" i="36"/>
  <c r="N25" i="36"/>
  <c r="N26" i="36"/>
  <c r="N27" i="36"/>
  <c r="N28" i="36"/>
  <c r="N29" i="36"/>
  <c r="N30" i="36"/>
  <c r="N31" i="36"/>
  <c r="N32" i="36"/>
  <c r="N33" i="36"/>
  <c r="N34" i="36"/>
  <c r="M39" i="36"/>
  <c r="R19" i="36"/>
  <c r="T35" i="36"/>
  <c r="T34" i="30"/>
  <c r="Q22" i="30"/>
  <c r="I7" i="34"/>
  <c r="J7" i="34"/>
  <c r="N7" i="12"/>
  <c r="T19" i="6"/>
  <c r="U19" i="6"/>
  <c r="T34" i="6"/>
  <c r="U34" i="6"/>
  <c r="E34" i="34"/>
  <c r="E19" i="34"/>
  <c r="E49" i="34"/>
  <c r="E64" i="34"/>
  <c r="S49" i="30"/>
  <c r="L49" i="30"/>
  <c r="I52" i="30"/>
  <c r="H52" i="30"/>
  <c r="D52" i="29"/>
  <c r="I60" i="7"/>
  <c r="N52" i="12"/>
  <c r="K66" i="11"/>
  <c r="L66" i="11"/>
  <c r="M66" i="11"/>
  <c r="N66" i="11"/>
  <c r="O66" i="11"/>
  <c r="P66" i="11"/>
  <c r="Q66" i="11"/>
  <c r="R66" i="11"/>
  <c r="S66" i="11"/>
  <c r="T66" i="11"/>
  <c r="I52" i="6"/>
  <c r="I53" i="6"/>
  <c r="I54" i="6"/>
  <c r="I55" i="6"/>
  <c r="G52" i="12"/>
  <c r="Q52" i="30"/>
  <c r="Q64" i="30"/>
  <c r="J52" i="30"/>
  <c r="U58" i="11"/>
  <c r="D65" i="13"/>
  <c r="F19" i="28"/>
  <c r="P64" i="12"/>
  <c r="O64" i="12"/>
  <c r="M64" i="12"/>
  <c r="L64" i="12"/>
  <c r="K64" i="12"/>
  <c r="J64" i="12"/>
  <c r="I64" i="12"/>
  <c r="H64" i="12"/>
  <c r="D64" i="12"/>
  <c r="N63" i="12"/>
  <c r="G63" i="12"/>
  <c r="E63" i="12"/>
  <c r="F63" i="12"/>
  <c r="N62" i="12"/>
  <c r="G62" i="12"/>
  <c r="F62" i="12"/>
  <c r="N61" i="12"/>
  <c r="G61" i="12"/>
  <c r="E61" i="12"/>
  <c r="F61" i="12"/>
  <c r="N60" i="12"/>
  <c r="G60" i="12"/>
  <c r="E60" i="12"/>
  <c r="F60" i="12"/>
  <c r="N59" i="12"/>
  <c r="G59" i="12"/>
  <c r="F59" i="12"/>
  <c r="N58" i="12"/>
  <c r="G58" i="12"/>
  <c r="E58" i="12"/>
  <c r="F58" i="12"/>
  <c r="N57" i="12"/>
  <c r="G57" i="12"/>
  <c r="E57" i="12"/>
  <c r="F57" i="12"/>
  <c r="N56" i="12"/>
  <c r="G56" i="12"/>
  <c r="F56" i="12"/>
  <c r="E56" i="12"/>
  <c r="N55" i="12"/>
  <c r="G55" i="12"/>
  <c r="E55" i="12"/>
  <c r="F55" i="12"/>
  <c r="N54" i="12"/>
  <c r="G54" i="12"/>
  <c r="G64" i="12"/>
  <c r="F54" i="12"/>
  <c r="N53" i="12"/>
  <c r="G53" i="12"/>
  <c r="F53" i="12"/>
  <c r="F52" i="12"/>
  <c r="N37" i="12"/>
  <c r="P49" i="12"/>
  <c r="O49" i="12"/>
  <c r="M49" i="12"/>
  <c r="L49" i="12"/>
  <c r="K49" i="12"/>
  <c r="J49" i="12"/>
  <c r="I49" i="12"/>
  <c r="H49" i="12"/>
  <c r="D49" i="12"/>
  <c r="N48" i="12"/>
  <c r="G48" i="12"/>
  <c r="F48" i="12"/>
  <c r="F49" i="12"/>
  <c r="E48" i="12"/>
  <c r="N47" i="12"/>
  <c r="G47" i="12"/>
  <c r="F47" i="12"/>
  <c r="N46" i="12"/>
  <c r="G46" i="12"/>
  <c r="F46" i="12"/>
  <c r="N45" i="12"/>
  <c r="G45" i="12"/>
  <c r="F45" i="12"/>
  <c r="N44" i="12"/>
  <c r="G44" i="12"/>
  <c r="F44" i="12"/>
  <c r="N43" i="12"/>
  <c r="G43" i="12"/>
  <c r="F43" i="12"/>
  <c r="E43" i="12"/>
  <c r="N42" i="12"/>
  <c r="G42" i="12"/>
  <c r="F42" i="12"/>
  <c r="E42" i="12"/>
  <c r="N41" i="12"/>
  <c r="G41" i="12"/>
  <c r="F41" i="12"/>
  <c r="N40" i="12"/>
  <c r="G40" i="12"/>
  <c r="F40" i="12"/>
  <c r="E40" i="12"/>
  <c r="N39" i="12"/>
  <c r="G39" i="12"/>
  <c r="F39" i="12"/>
  <c r="N38" i="12"/>
  <c r="G38" i="12"/>
  <c r="F38" i="12"/>
  <c r="G37" i="12"/>
  <c r="F37" i="12"/>
  <c r="E37" i="12"/>
  <c r="Q37" i="30"/>
  <c r="W64" i="30"/>
  <c r="U64" i="30"/>
  <c r="T64" i="30"/>
  <c r="S64" i="30"/>
  <c r="R64" i="30"/>
  <c r="P64" i="30"/>
  <c r="O64" i="30"/>
  <c r="N64" i="30"/>
  <c r="M64" i="30"/>
  <c r="L64" i="30"/>
  <c r="K64" i="30"/>
  <c r="G64" i="30"/>
  <c r="Q63" i="30"/>
  <c r="J63" i="30"/>
  <c r="I63" i="30"/>
  <c r="H63" i="30"/>
  <c r="Q62" i="30"/>
  <c r="J62" i="30"/>
  <c r="I62" i="30"/>
  <c r="Q61" i="30"/>
  <c r="J61" i="30"/>
  <c r="I61" i="30"/>
  <c r="Q60" i="30"/>
  <c r="J60" i="30"/>
  <c r="I60" i="30"/>
  <c r="Q59" i="30"/>
  <c r="J59" i="30"/>
  <c r="I59" i="30"/>
  <c r="Q58" i="30"/>
  <c r="J58" i="30"/>
  <c r="I58" i="30"/>
  <c r="Q57" i="30"/>
  <c r="J57" i="30"/>
  <c r="I57" i="30"/>
  <c r="Q56" i="30"/>
  <c r="J56" i="30"/>
  <c r="I56" i="30"/>
  <c r="Q55" i="30"/>
  <c r="J55" i="30"/>
  <c r="I55" i="30"/>
  <c r="Q54" i="30"/>
  <c r="J54" i="30"/>
  <c r="I54" i="30"/>
  <c r="D64" i="30"/>
  <c r="Q53" i="30"/>
  <c r="J53" i="30"/>
  <c r="I53" i="30"/>
  <c r="V64" i="30"/>
  <c r="W49" i="30"/>
  <c r="U49" i="30"/>
  <c r="T49" i="30"/>
  <c r="R49" i="30"/>
  <c r="P49" i="30"/>
  <c r="O49" i="30"/>
  <c r="N49" i="30"/>
  <c r="M49" i="30"/>
  <c r="K49" i="30"/>
  <c r="G49" i="30"/>
  <c r="Q48" i="30"/>
  <c r="J48" i="30"/>
  <c r="I48" i="30"/>
  <c r="H48" i="30"/>
  <c r="Q47" i="30"/>
  <c r="J47" i="30"/>
  <c r="I47" i="30"/>
  <c r="Q46" i="30"/>
  <c r="J46" i="30"/>
  <c r="I46" i="30"/>
  <c r="Q45" i="30"/>
  <c r="J45" i="30"/>
  <c r="I45" i="30"/>
  <c r="Q44" i="30"/>
  <c r="J44" i="30"/>
  <c r="I44" i="30"/>
  <c r="Q43" i="30"/>
  <c r="J43" i="30"/>
  <c r="I43" i="30"/>
  <c r="Q42" i="30"/>
  <c r="J42" i="30"/>
  <c r="I42" i="30"/>
  <c r="H42" i="30"/>
  <c r="Q41" i="30"/>
  <c r="J41" i="30"/>
  <c r="I41" i="30"/>
  <c r="Q40" i="30"/>
  <c r="J40" i="30"/>
  <c r="I40" i="30"/>
  <c r="Q39" i="30"/>
  <c r="J39" i="30"/>
  <c r="I39" i="30"/>
  <c r="Q38" i="30"/>
  <c r="J38" i="30"/>
  <c r="I38" i="30"/>
  <c r="J37" i="30"/>
  <c r="I37" i="30"/>
  <c r="H64" i="29"/>
  <c r="D63" i="29"/>
  <c r="D62" i="29"/>
  <c r="D61" i="29"/>
  <c r="D60" i="29"/>
  <c r="D59" i="29"/>
  <c r="D58" i="29"/>
  <c r="D57" i="29"/>
  <c r="D56" i="29"/>
  <c r="D55" i="29"/>
  <c r="D54" i="29"/>
  <c r="D53" i="29"/>
  <c r="H49" i="29"/>
  <c r="D48" i="29"/>
  <c r="D47" i="29"/>
  <c r="D46" i="29"/>
  <c r="D45" i="29"/>
  <c r="D44" i="29"/>
  <c r="D43" i="29"/>
  <c r="D42" i="29"/>
  <c r="D41" i="29"/>
  <c r="D49" i="29"/>
  <c r="D40" i="29"/>
  <c r="D39" i="29"/>
  <c r="D38" i="29"/>
  <c r="D37" i="29"/>
  <c r="E79" i="38"/>
  <c r="E34" i="38"/>
  <c r="E19" i="38"/>
  <c r="R64" i="7"/>
  <c r="Q64" i="7"/>
  <c r="P64" i="7"/>
  <c r="O64" i="7"/>
  <c r="N64" i="7"/>
  <c r="M64" i="7"/>
  <c r="L64" i="7"/>
  <c r="K64" i="7"/>
  <c r="E64" i="7"/>
  <c r="D64" i="7"/>
  <c r="J63" i="7"/>
  <c r="I63" i="7"/>
  <c r="J62" i="7"/>
  <c r="I62" i="7"/>
  <c r="J61" i="7"/>
  <c r="I61" i="7"/>
  <c r="J60" i="7"/>
  <c r="J59" i="7"/>
  <c r="I59" i="7"/>
  <c r="J58" i="7"/>
  <c r="I58" i="7"/>
  <c r="J57" i="7"/>
  <c r="I57" i="7"/>
  <c r="J56" i="7"/>
  <c r="I56" i="7"/>
  <c r="J55" i="7"/>
  <c r="I55" i="7"/>
  <c r="J54" i="7"/>
  <c r="H54" i="7"/>
  <c r="I54" i="7"/>
  <c r="J53" i="7"/>
  <c r="I53" i="7"/>
  <c r="J52" i="7"/>
  <c r="I52" i="7"/>
  <c r="J37" i="7"/>
  <c r="I37" i="7"/>
  <c r="H37" i="7"/>
  <c r="R49" i="7"/>
  <c r="Q49" i="7"/>
  <c r="P49" i="7"/>
  <c r="O49" i="7"/>
  <c r="N49" i="7"/>
  <c r="M49" i="7"/>
  <c r="L49" i="7"/>
  <c r="K49" i="7"/>
  <c r="E49" i="7"/>
  <c r="D49" i="7"/>
  <c r="J48" i="7"/>
  <c r="I48" i="7"/>
  <c r="H48" i="7"/>
  <c r="J47" i="7"/>
  <c r="I47" i="7"/>
  <c r="J46" i="7"/>
  <c r="I46" i="7"/>
  <c r="J45" i="7"/>
  <c r="I45" i="7"/>
  <c r="J44" i="7"/>
  <c r="I44" i="7"/>
  <c r="J43" i="7"/>
  <c r="I43" i="7"/>
  <c r="J42" i="7"/>
  <c r="I42" i="7"/>
  <c r="H42" i="7"/>
  <c r="J41" i="7"/>
  <c r="I41" i="7"/>
  <c r="H41" i="7"/>
  <c r="J40" i="7"/>
  <c r="I40" i="7"/>
  <c r="H40" i="7"/>
  <c r="J39" i="7"/>
  <c r="I39" i="7"/>
  <c r="J38" i="7"/>
  <c r="I38" i="7"/>
  <c r="F64" i="16"/>
  <c r="E64" i="16"/>
  <c r="D64" i="16"/>
  <c r="F49" i="16"/>
  <c r="E49" i="16"/>
  <c r="H63" i="14"/>
  <c r="H61" i="14"/>
  <c r="H59" i="14"/>
  <c r="J64" i="14"/>
  <c r="I37" i="14"/>
  <c r="J48" i="14"/>
  <c r="I48" i="14"/>
  <c r="J47" i="14"/>
  <c r="I47" i="14"/>
  <c r="J46" i="14"/>
  <c r="I46" i="14"/>
  <c r="J45" i="14"/>
  <c r="I45" i="14"/>
  <c r="H45" i="14"/>
  <c r="J44" i="14"/>
  <c r="I44" i="14"/>
  <c r="J43" i="14"/>
  <c r="I43" i="14"/>
  <c r="J42" i="14"/>
  <c r="I42" i="14"/>
  <c r="J41" i="14"/>
  <c r="I41" i="14"/>
  <c r="J40" i="14"/>
  <c r="I40" i="14"/>
  <c r="J39" i="14"/>
  <c r="I39" i="14"/>
  <c r="J38" i="14"/>
  <c r="I38" i="14"/>
  <c r="J37" i="14"/>
  <c r="H37" i="14"/>
  <c r="J37" i="34"/>
  <c r="J48" i="34"/>
  <c r="I48" i="34"/>
  <c r="H48" i="34"/>
  <c r="J47" i="34"/>
  <c r="H47" i="34"/>
  <c r="I47" i="34"/>
  <c r="J46" i="34"/>
  <c r="I46" i="34"/>
  <c r="H46" i="34"/>
  <c r="J45" i="34"/>
  <c r="I45" i="34"/>
  <c r="J44" i="34"/>
  <c r="I44" i="34"/>
  <c r="J43" i="34"/>
  <c r="I43" i="34"/>
  <c r="J42" i="34"/>
  <c r="I42" i="34"/>
  <c r="J41" i="34"/>
  <c r="I41" i="34"/>
  <c r="J40" i="34"/>
  <c r="I40" i="34"/>
  <c r="J39" i="34"/>
  <c r="I39" i="34"/>
  <c r="J38" i="34"/>
  <c r="I38" i="34"/>
  <c r="I37" i="34"/>
  <c r="J52" i="34"/>
  <c r="I22" i="34"/>
  <c r="P64" i="34"/>
  <c r="O64" i="34"/>
  <c r="N64" i="34"/>
  <c r="M64" i="34"/>
  <c r="L64" i="34"/>
  <c r="K64" i="34"/>
  <c r="D64" i="34"/>
  <c r="J63" i="34"/>
  <c r="I63" i="34"/>
  <c r="J62" i="34"/>
  <c r="I62" i="34"/>
  <c r="J61" i="34"/>
  <c r="I61" i="34"/>
  <c r="J60" i="34"/>
  <c r="I60" i="34"/>
  <c r="J59" i="34"/>
  <c r="I59" i="34"/>
  <c r="J58" i="34"/>
  <c r="I58" i="34"/>
  <c r="J57" i="34"/>
  <c r="I57" i="34"/>
  <c r="J56" i="34"/>
  <c r="I56" i="34"/>
  <c r="J55" i="34"/>
  <c r="I55" i="34"/>
  <c r="J54" i="34"/>
  <c r="I54" i="34"/>
  <c r="J53" i="34"/>
  <c r="I53" i="34"/>
  <c r="I52" i="34"/>
  <c r="H52" i="34"/>
  <c r="P49" i="34"/>
  <c r="O49" i="34"/>
  <c r="N49" i="34"/>
  <c r="M49" i="34"/>
  <c r="L49" i="34"/>
  <c r="K49" i="34"/>
  <c r="D49" i="34"/>
  <c r="P64" i="14"/>
  <c r="O64" i="14"/>
  <c r="N64" i="14"/>
  <c r="M64" i="14"/>
  <c r="L64" i="14"/>
  <c r="K64" i="14"/>
  <c r="E64" i="14"/>
  <c r="D64" i="14"/>
  <c r="P49" i="14"/>
  <c r="O49" i="14"/>
  <c r="N49" i="14"/>
  <c r="M49" i="14"/>
  <c r="L49" i="14"/>
  <c r="K49" i="14"/>
  <c r="E49" i="14"/>
  <c r="D49" i="14"/>
  <c r="F49" i="28"/>
  <c r="E49" i="28"/>
  <c r="D48" i="28"/>
  <c r="D47" i="28"/>
  <c r="D46" i="28"/>
  <c r="D45" i="28"/>
  <c r="D44" i="28"/>
  <c r="D43" i="28"/>
  <c r="D42" i="28"/>
  <c r="D41" i="28"/>
  <c r="D40" i="28"/>
  <c r="D39" i="28"/>
  <c r="D38" i="28"/>
  <c r="D37" i="28"/>
  <c r="F64" i="28"/>
  <c r="E64" i="28"/>
  <c r="D63" i="28"/>
  <c r="D62" i="28"/>
  <c r="D61" i="28"/>
  <c r="D60" i="28"/>
  <c r="D59" i="28"/>
  <c r="D58" i="28"/>
  <c r="D57" i="28"/>
  <c r="D56" i="28"/>
  <c r="D55" i="28"/>
  <c r="D54" i="28"/>
  <c r="D53" i="28"/>
  <c r="D52" i="28"/>
  <c r="D49" i="30"/>
  <c r="D49" i="16"/>
  <c r="I49" i="10"/>
  <c r="E49" i="10"/>
  <c r="D49" i="10"/>
  <c r="I64" i="10"/>
  <c r="E64" i="10"/>
  <c r="E51" i="11"/>
  <c r="F51" i="11"/>
  <c r="E66" i="11"/>
  <c r="F66" i="11"/>
  <c r="T49" i="6"/>
  <c r="U49" i="6"/>
  <c r="D49" i="6"/>
  <c r="T64" i="6"/>
  <c r="U64" i="6"/>
  <c r="E49" i="6"/>
  <c r="F49" i="6"/>
  <c r="E64" i="6"/>
  <c r="F64" i="6"/>
  <c r="AA49" i="6"/>
  <c r="Z49" i="6"/>
  <c r="S49" i="6"/>
  <c r="R49" i="6"/>
  <c r="P49" i="6"/>
  <c r="O49" i="6"/>
  <c r="N49" i="6"/>
  <c r="M49" i="6"/>
  <c r="L49" i="6"/>
  <c r="K49" i="6"/>
  <c r="J49" i="6"/>
  <c r="Q48" i="6"/>
  <c r="I48" i="6"/>
  <c r="H48" i="6"/>
  <c r="Q47" i="6"/>
  <c r="I47" i="6"/>
  <c r="H47" i="6"/>
  <c r="Q46" i="6"/>
  <c r="I46" i="6"/>
  <c r="H46" i="6"/>
  <c r="Q45" i="6"/>
  <c r="I45" i="6"/>
  <c r="H45" i="6"/>
  <c r="Q44" i="6"/>
  <c r="I44" i="6"/>
  <c r="H44" i="6"/>
  <c r="Q43" i="6"/>
  <c r="I43" i="6"/>
  <c r="H43" i="6"/>
  <c r="Q42" i="6"/>
  <c r="I42" i="6"/>
  <c r="H42" i="6"/>
  <c r="Q41" i="6"/>
  <c r="I41" i="6"/>
  <c r="H41" i="6"/>
  <c r="Q40" i="6"/>
  <c r="H40" i="6"/>
  <c r="Q39" i="6"/>
  <c r="H39" i="6"/>
  <c r="Q38" i="6"/>
  <c r="H38" i="6"/>
  <c r="Q37" i="6"/>
  <c r="H37" i="6"/>
  <c r="AA64" i="6"/>
  <c r="Z64" i="6"/>
  <c r="Y64" i="6"/>
  <c r="S64" i="6"/>
  <c r="R64" i="6"/>
  <c r="P64" i="6"/>
  <c r="O64" i="6"/>
  <c r="N64" i="6"/>
  <c r="M64" i="6"/>
  <c r="L64" i="6"/>
  <c r="K64" i="6"/>
  <c r="J64" i="6"/>
  <c r="D64" i="6"/>
  <c r="Q63" i="6"/>
  <c r="I63" i="6"/>
  <c r="H63" i="6"/>
  <c r="Q62" i="6"/>
  <c r="I62" i="6"/>
  <c r="H62" i="6"/>
  <c r="Q61" i="6"/>
  <c r="I61" i="6"/>
  <c r="Q60" i="6"/>
  <c r="I60" i="6"/>
  <c r="Q59" i="6"/>
  <c r="I59" i="6"/>
  <c r="Q58" i="6"/>
  <c r="I58" i="6"/>
  <c r="Q57" i="6"/>
  <c r="I57" i="6"/>
  <c r="H57" i="6"/>
  <c r="Q56" i="6"/>
  <c r="I56" i="6"/>
  <c r="H56" i="6"/>
  <c r="Q55" i="6"/>
  <c r="H55" i="6"/>
  <c r="Q54" i="6"/>
  <c r="H54" i="6"/>
  <c r="Q53" i="6"/>
  <c r="H53" i="6"/>
  <c r="Q52" i="6"/>
  <c r="H52" i="6"/>
  <c r="W51" i="11"/>
  <c r="V51" i="11"/>
  <c r="T51" i="11"/>
  <c r="S51" i="11"/>
  <c r="R51" i="11"/>
  <c r="Q51" i="11"/>
  <c r="P51" i="11"/>
  <c r="O51" i="11"/>
  <c r="N51" i="11"/>
  <c r="M51" i="11"/>
  <c r="L51" i="11"/>
  <c r="K51" i="11"/>
  <c r="D51" i="11"/>
  <c r="U50" i="11"/>
  <c r="U49" i="11"/>
  <c r="U48" i="11"/>
  <c r="U47" i="11"/>
  <c r="H47" i="11"/>
  <c r="U46" i="11"/>
  <c r="U45" i="11"/>
  <c r="H45" i="11"/>
  <c r="U44" i="11"/>
  <c r="H44" i="11"/>
  <c r="U43" i="11"/>
  <c r="U42" i="11"/>
  <c r="H42" i="11"/>
  <c r="U41" i="11"/>
  <c r="U40" i="11"/>
  <c r="U39" i="11"/>
  <c r="H39" i="11"/>
  <c r="W66" i="11"/>
  <c r="V66" i="11"/>
  <c r="D66" i="11"/>
  <c r="U65" i="11"/>
  <c r="I65" i="11"/>
  <c r="H65" i="11"/>
  <c r="U64" i="11"/>
  <c r="I64" i="11"/>
  <c r="H64" i="11"/>
  <c r="U63" i="11"/>
  <c r="I63" i="11"/>
  <c r="H63" i="11"/>
  <c r="U62" i="11"/>
  <c r="I62" i="11"/>
  <c r="H62" i="11"/>
  <c r="U61" i="11"/>
  <c r="I61" i="11"/>
  <c r="H61" i="11"/>
  <c r="U60" i="11"/>
  <c r="I60" i="11"/>
  <c r="H60" i="11"/>
  <c r="U59" i="11"/>
  <c r="U66" i="11"/>
  <c r="I59" i="11"/>
  <c r="H59" i="11"/>
  <c r="I58" i="11"/>
  <c r="H58" i="11"/>
  <c r="U57" i="11"/>
  <c r="I57" i="11"/>
  <c r="H57" i="11"/>
  <c r="U56" i="11"/>
  <c r="I56" i="11"/>
  <c r="H56" i="11"/>
  <c r="U55" i="11"/>
  <c r="I55" i="11"/>
  <c r="U54" i="11"/>
  <c r="I54" i="11"/>
  <c r="H54" i="11"/>
  <c r="E70" i="17"/>
  <c r="F70" i="17"/>
  <c r="G70" i="17"/>
  <c r="I70" i="17"/>
  <c r="E53" i="17"/>
  <c r="F53" i="17"/>
  <c r="G53" i="17"/>
  <c r="R53" i="17"/>
  <c r="R70" i="17"/>
  <c r="P70" i="17"/>
  <c r="U53" i="17"/>
  <c r="T53" i="17"/>
  <c r="S53" i="17"/>
  <c r="Q53" i="17"/>
  <c r="P53" i="17"/>
  <c r="O53" i="17"/>
  <c r="N53" i="17"/>
  <c r="M53" i="17"/>
  <c r="L53" i="17"/>
  <c r="D53" i="17"/>
  <c r="U70" i="17"/>
  <c r="T70" i="17"/>
  <c r="S70" i="17"/>
  <c r="Q70" i="17"/>
  <c r="O70" i="17"/>
  <c r="N70" i="17"/>
  <c r="J70" i="17"/>
  <c r="D70" i="17"/>
  <c r="H70" i="17"/>
  <c r="D51" i="36"/>
  <c r="D67" i="36"/>
  <c r="V35" i="36"/>
  <c r="W35" i="36"/>
  <c r="X35" i="36"/>
  <c r="Y35" i="36"/>
  <c r="V19" i="36"/>
  <c r="W19" i="36"/>
  <c r="X19" i="36"/>
  <c r="Y19" i="36"/>
  <c r="AB50" i="36"/>
  <c r="AB49" i="36"/>
  <c r="AB48" i="36"/>
  <c r="AB47" i="36"/>
  <c r="AB46" i="36"/>
  <c r="AB45" i="36"/>
  <c r="AB44" i="36"/>
  <c r="AB43" i="36"/>
  <c r="AB42" i="36"/>
  <c r="AB41" i="36"/>
  <c r="AB40" i="36"/>
  <c r="N50" i="36"/>
  <c r="M50" i="36"/>
  <c r="N49" i="36"/>
  <c r="M49" i="36"/>
  <c r="N48" i="36"/>
  <c r="M48" i="36"/>
  <c r="N47" i="36"/>
  <c r="M47" i="36"/>
  <c r="N46" i="36"/>
  <c r="M46" i="36"/>
  <c r="N45" i="36"/>
  <c r="M45" i="36"/>
  <c r="N44" i="36"/>
  <c r="M44" i="36"/>
  <c r="N43" i="36"/>
  <c r="L43" i="36"/>
  <c r="M43" i="36"/>
  <c r="N42" i="36"/>
  <c r="M42" i="36"/>
  <c r="N41" i="36"/>
  <c r="M41" i="36"/>
  <c r="N40" i="36"/>
  <c r="M40" i="36"/>
  <c r="N39" i="36"/>
  <c r="AB66" i="36"/>
  <c r="AB65" i="36"/>
  <c r="AB64" i="36"/>
  <c r="AB63" i="36"/>
  <c r="AB62" i="36"/>
  <c r="AB61" i="36"/>
  <c r="AB60" i="36"/>
  <c r="AB59" i="36"/>
  <c r="AB58" i="36"/>
  <c r="AB57" i="36"/>
  <c r="AB56" i="36"/>
  <c r="AB55" i="36"/>
  <c r="N55" i="36"/>
  <c r="N56" i="36"/>
  <c r="N57" i="36"/>
  <c r="N58" i="36"/>
  <c r="N59" i="36"/>
  <c r="N60" i="36"/>
  <c r="N61" i="36"/>
  <c r="N62" i="36"/>
  <c r="N63" i="36"/>
  <c r="N64" i="36"/>
  <c r="N65" i="36"/>
  <c r="N66" i="36"/>
  <c r="M66" i="36"/>
  <c r="M65" i="36"/>
  <c r="M64" i="36"/>
  <c r="M63" i="36"/>
  <c r="M62" i="36"/>
  <c r="M61" i="36"/>
  <c r="M60" i="36"/>
  <c r="M59" i="36"/>
  <c r="M58" i="36"/>
  <c r="M57" i="36"/>
  <c r="M56" i="36"/>
  <c r="M55" i="36"/>
  <c r="AG51" i="36"/>
  <c r="AF51" i="36"/>
  <c r="AE51" i="36"/>
  <c r="AD51" i="36"/>
  <c r="AC51" i="36"/>
  <c r="Z51" i="36"/>
  <c r="Y51" i="36"/>
  <c r="X51" i="36"/>
  <c r="W51" i="36"/>
  <c r="V51" i="36"/>
  <c r="U51" i="36"/>
  <c r="T51" i="36"/>
  <c r="S51" i="36"/>
  <c r="R51" i="36"/>
  <c r="Q51" i="36"/>
  <c r="P51" i="36"/>
  <c r="O51" i="36"/>
  <c r="K51" i="36"/>
  <c r="E51" i="36"/>
  <c r="V67" i="36"/>
  <c r="W67" i="36"/>
  <c r="X67" i="36"/>
  <c r="AC67" i="36"/>
  <c r="Z67" i="36"/>
  <c r="Y67" i="36"/>
  <c r="AE67" i="36"/>
  <c r="AG67" i="36"/>
  <c r="AD67" i="36"/>
  <c r="U67" i="36"/>
  <c r="T67" i="36"/>
  <c r="S67" i="36"/>
  <c r="R67" i="36"/>
  <c r="Q67" i="36"/>
  <c r="P67" i="36"/>
  <c r="O67" i="36"/>
  <c r="E67" i="36"/>
  <c r="AF67" i="36"/>
  <c r="I65" i="13"/>
  <c r="F65" i="13"/>
  <c r="E65" i="13"/>
  <c r="I49" i="13"/>
  <c r="F49" i="13"/>
  <c r="E49" i="13"/>
  <c r="D34" i="13"/>
  <c r="D19" i="13"/>
  <c r="AG35" i="36"/>
  <c r="AC35" i="36"/>
  <c r="U35" i="36"/>
  <c r="S35" i="36"/>
  <c r="R35" i="36"/>
  <c r="O35" i="36"/>
  <c r="E35" i="36"/>
  <c r="AG19" i="36"/>
  <c r="AF19" i="36"/>
  <c r="AC19" i="36"/>
  <c r="AD19" i="36"/>
  <c r="Z35" i="36"/>
  <c r="Z19" i="36"/>
  <c r="P34" i="34"/>
  <c r="O34" i="34"/>
  <c r="N34" i="34"/>
  <c r="M34" i="34"/>
  <c r="L34" i="34"/>
  <c r="K34" i="34"/>
  <c r="D34" i="34"/>
  <c r="J33" i="34"/>
  <c r="I33" i="34"/>
  <c r="J32" i="34"/>
  <c r="I32" i="34"/>
  <c r="J31" i="34"/>
  <c r="I31" i="34"/>
  <c r="J30" i="34"/>
  <c r="I30" i="34"/>
  <c r="J29" i="34"/>
  <c r="I29" i="34"/>
  <c r="J28" i="34"/>
  <c r="I28" i="34"/>
  <c r="J27" i="34"/>
  <c r="I27" i="34"/>
  <c r="J26" i="34"/>
  <c r="I26" i="34"/>
  <c r="J25" i="34"/>
  <c r="I25" i="34"/>
  <c r="J24" i="34"/>
  <c r="I24" i="34"/>
  <c r="J23" i="34"/>
  <c r="I23" i="34"/>
  <c r="J22" i="34"/>
  <c r="H22" i="34"/>
  <c r="P19" i="34"/>
  <c r="O19" i="34"/>
  <c r="N19" i="34"/>
  <c r="M19" i="34"/>
  <c r="L19" i="34"/>
  <c r="K19" i="34"/>
  <c r="D19" i="34"/>
  <c r="J18" i="34"/>
  <c r="I18" i="34"/>
  <c r="J17" i="34"/>
  <c r="I17" i="34"/>
  <c r="J16" i="34"/>
  <c r="I16" i="34"/>
  <c r="J15" i="34"/>
  <c r="I15" i="34"/>
  <c r="J14" i="34"/>
  <c r="I14" i="34"/>
  <c r="J13" i="34"/>
  <c r="I13" i="34"/>
  <c r="J12" i="34"/>
  <c r="I12" i="34"/>
  <c r="J11" i="34"/>
  <c r="I11" i="34"/>
  <c r="J10" i="34"/>
  <c r="I10" i="34"/>
  <c r="J9" i="34"/>
  <c r="I9" i="34"/>
  <c r="J8" i="34"/>
  <c r="I8" i="34"/>
  <c r="E19" i="7"/>
  <c r="E34" i="7"/>
  <c r="Q19" i="7"/>
  <c r="I7" i="11"/>
  <c r="I19" i="11"/>
  <c r="J7" i="11"/>
  <c r="I23" i="11"/>
  <c r="J23" i="11"/>
  <c r="E19" i="11"/>
  <c r="F19" i="11"/>
  <c r="E35" i="11"/>
  <c r="F35" i="11"/>
  <c r="U7" i="30"/>
  <c r="U19" i="30"/>
  <c r="T7" i="30"/>
  <c r="S7" i="30"/>
  <c r="R36" i="17"/>
  <c r="R19" i="17"/>
  <c r="F36" i="17"/>
  <c r="F19" i="17"/>
  <c r="E36" i="17"/>
  <c r="E19" i="17"/>
  <c r="G19" i="17"/>
  <c r="I19" i="13"/>
  <c r="F19" i="13"/>
  <c r="E19" i="13"/>
  <c r="E19" i="28"/>
  <c r="D18" i="28"/>
  <c r="D17" i="28"/>
  <c r="D16" i="28"/>
  <c r="D15" i="28"/>
  <c r="D14" i="28"/>
  <c r="D13" i="28"/>
  <c r="D12" i="28"/>
  <c r="D11" i="28"/>
  <c r="D10" i="28"/>
  <c r="D9" i="28"/>
  <c r="D8" i="28"/>
  <c r="D7" i="28"/>
  <c r="P19" i="14"/>
  <c r="O19" i="14"/>
  <c r="N19" i="14"/>
  <c r="M19" i="14"/>
  <c r="L19" i="14"/>
  <c r="K19" i="14"/>
  <c r="E19" i="14"/>
  <c r="D19" i="14"/>
  <c r="J18" i="14"/>
  <c r="I18" i="14"/>
  <c r="J17" i="14"/>
  <c r="I17" i="14"/>
  <c r="J16" i="14"/>
  <c r="I16" i="14"/>
  <c r="J15" i="14"/>
  <c r="I15" i="14"/>
  <c r="J14" i="14"/>
  <c r="I14" i="14"/>
  <c r="J13" i="14"/>
  <c r="I13" i="14"/>
  <c r="J12" i="14"/>
  <c r="I12" i="14"/>
  <c r="J11" i="14"/>
  <c r="I11" i="14"/>
  <c r="H11" i="14"/>
  <c r="J10" i="14"/>
  <c r="I10" i="14"/>
  <c r="J9" i="14"/>
  <c r="I9" i="14"/>
  <c r="J8" i="14"/>
  <c r="I8" i="14"/>
  <c r="J7" i="14"/>
  <c r="I7" i="14"/>
  <c r="F19" i="16"/>
  <c r="E19" i="16"/>
  <c r="D19" i="16"/>
  <c r="AA19" i="6"/>
  <c r="Z19" i="6"/>
  <c r="S19" i="6"/>
  <c r="R19" i="6"/>
  <c r="P19" i="6"/>
  <c r="O19" i="6"/>
  <c r="N19" i="6"/>
  <c r="M19" i="6"/>
  <c r="L19" i="6"/>
  <c r="K19" i="6"/>
  <c r="J19" i="6"/>
  <c r="F19" i="6"/>
  <c r="E19" i="6"/>
  <c r="D19" i="6"/>
  <c r="Q18" i="6"/>
  <c r="I18" i="6"/>
  <c r="H18" i="6"/>
  <c r="Q17" i="6"/>
  <c r="I17" i="6"/>
  <c r="H17" i="6"/>
  <c r="Q16" i="6"/>
  <c r="I16" i="6"/>
  <c r="H16" i="6"/>
  <c r="G16" i="6"/>
  <c r="Q15" i="6"/>
  <c r="I15" i="6"/>
  <c r="H15" i="6"/>
  <c r="Q14" i="6"/>
  <c r="I14" i="6"/>
  <c r="H14" i="6"/>
  <c r="Q13" i="6"/>
  <c r="I13" i="6"/>
  <c r="H13" i="6"/>
  <c r="Q12" i="6"/>
  <c r="I12" i="6"/>
  <c r="H12" i="6"/>
  <c r="Q11" i="6"/>
  <c r="I11" i="6"/>
  <c r="H11" i="6"/>
  <c r="Q10" i="6"/>
  <c r="I10" i="6"/>
  <c r="H10" i="6"/>
  <c r="Q9" i="6"/>
  <c r="I9" i="6"/>
  <c r="G9" i="6"/>
  <c r="H9" i="6"/>
  <c r="Q8" i="6"/>
  <c r="I8" i="6"/>
  <c r="H8" i="6"/>
  <c r="Q7" i="6"/>
  <c r="I7" i="6"/>
  <c r="H7" i="6"/>
  <c r="S19" i="7"/>
  <c r="R19" i="7"/>
  <c r="P19" i="7"/>
  <c r="O19" i="7"/>
  <c r="N19" i="7"/>
  <c r="M19" i="7"/>
  <c r="L19" i="7"/>
  <c r="K19" i="7"/>
  <c r="D19" i="7"/>
  <c r="J18" i="7"/>
  <c r="I18" i="7"/>
  <c r="J17" i="7"/>
  <c r="I17" i="7"/>
  <c r="J16" i="7"/>
  <c r="I16" i="7"/>
  <c r="H16" i="7"/>
  <c r="J15" i="7"/>
  <c r="I15" i="7"/>
  <c r="J14" i="7"/>
  <c r="I14" i="7"/>
  <c r="J13" i="7"/>
  <c r="I13" i="7"/>
  <c r="J12" i="7"/>
  <c r="I12" i="7"/>
  <c r="J11" i="7"/>
  <c r="I11" i="7"/>
  <c r="J10" i="7"/>
  <c r="I10" i="7"/>
  <c r="J9" i="7"/>
  <c r="I9" i="7"/>
  <c r="J8" i="7"/>
  <c r="I8" i="7"/>
  <c r="H8" i="7"/>
  <c r="J7" i="7"/>
  <c r="I7" i="7"/>
  <c r="S19" i="17"/>
  <c r="Q19" i="17"/>
  <c r="P19" i="17"/>
  <c r="N19" i="17"/>
  <c r="D19" i="17"/>
  <c r="P19" i="12"/>
  <c r="O19" i="12"/>
  <c r="M19" i="12"/>
  <c r="L19" i="12"/>
  <c r="K19" i="12"/>
  <c r="J19" i="12"/>
  <c r="I19" i="12"/>
  <c r="H19" i="12"/>
  <c r="D19" i="12"/>
  <c r="N18" i="12"/>
  <c r="G18" i="12"/>
  <c r="F18" i="12"/>
  <c r="N17" i="12"/>
  <c r="G17" i="12"/>
  <c r="F17" i="12"/>
  <c r="N16" i="12"/>
  <c r="G16" i="12"/>
  <c r="F16" i="12"/>
  <c r="E16" i="12"/>
  <c r="N15" i="12"/>
  <c r="G15" i="12"/>
  <c r="F15" i="12"/>
  <c r="N14" i="12"/>
  <c r="G14" i="12"/>
  <c r="F14" i="12"/>
  <c r="N13" i="12"/>
  <c r="G13" i="12"/>
  <c r="F13" i="12"/>
  <c r="N12" i="12"/>
  <c r="G12" i="12"/>
  <c r="F12" i="12"/>
  <c r="E12" i="12"/>
  <c r="N11" i="12"/>
  <c r="G11" i="12"/>
  <c r="F11" i="12"/>
  <c r="N10" i="12"/>
  <c r="N19" i="12"/>
  <c r="G10" i="12"/>
  <c r="F10" i="12"/>
  <c r="N9" i="12"/>
  <c r="G9" i="12"/>
  <c r="F9" i="12"/>
  <c r="E9" i="12"/>
  <c r="N8" i="12"/>
  <c r="G8" i="12"/>
  <c r="F8" i="12"/>
  <c r="F19" i="12"/>
  <c r="G7" i="12"/>
  <c r="F7" i="12"/>
  <c r="W19" i="30"/>
  <c r="V19" i="30"/>
  <c r="U18" i="30"/>
  <c r="T18" i="30"/>
  <c r="S18" i="30"/>
  <c r="R18" i="30"/>
  <c r="Q18" i="30"/>
  <c r="P18" i="30"/>
  <c r="O18" i="30"/>
  <c r="N18" i="30"/>
  <c r="M18" i="30"/>
  <c r="L18" i="30"/>
  <c r="U17" i="30"/>
  <c r="T17" i="30"/>
  <c r="S17" i="30"/>
  <c r="R17" i="30"/>
  <c r="Q17" i="30"/>
  <c r="P17" i="30"/>
  <c r="O17" i="30"/>
  <c r="N17" i="30"/>
  <c r="M17" i="30"/>
  <c r="L17" i="30"/>
  <c r="U16" i="30"/>
  <c r="T16" i="30"/>
  <c r="S16" i="30"/>
  <c r="R16" i="30"/>
  <c r="Q16" i="30"/>
  <c r="P16" i="30"/>
  <c r="O16" i="30"/>
  <c r="N16" i="30"/>
  <c r="M16" i="30"/>
  <c r="L16" i="30"/>
  <c r="U15" i="30"/>
  <c r="T15" i="30"/>
  <c r="S15" i="30"/>
  <c r="R15" i="30"/>
  <c r="Q15" i="30"/>
  <c r="P15" i="30"/>
  <c r="O15" i="30"/>
  <c r="N15" i="30"/>
  <c r="M15" i="30"/>
  <c r="L15" i="30"/>
  <c r="U14" i="30"/>
  <c r="T14" i="30"/>
  <c r="S14" i="30"/>
  <c r="R14" i="30"/>
  <c r="Q14" i="30"/>
  <c r="P14" i="30"/>
  <c r="O14" i="30"/>
  <c r="N14" i="30"/>
  <c r="M14" i="30"/>
  <c r="L14" i="30"/>
  <c r="U13" i="30"/>
  <c r="T13" i="30"/>
  <c r="S13" i="30"/>
  <c r="R13" i="30"/>
  <c r="Q13" i="30"/>
  <c r="P13" i="30"/>
  <c r="O13" i="30"/>
  <c r="N13" i="30"/>
  <c r="M13" i="30"/>
  <c r="L13" i="30"/>
  <c r="U12" i="30"/>
  <c r="T12" i="30"/>
  <c r="S12" i="30"/>
  <c r="R12" i="30"/>
  <c r="Q12" i="30"/>
  <c r="P12" i="30"/>
  <c r="O12" i="30"/>
  <c r="N12" i="30"/>
  <c r="M12" i="30"/>
  <c r="L12" i="30"/>
  <c r="U11" i="30"/>
  <c r="T11" i="30"/>
  <c r="S11" i="30"/>
  <c r="R11" i="30"/>
  <c r="Q11" i="30"/>
  <c r="P11" i="30"/>
  <c r="O11" i="30"/>
  <c r="N11" i="30"/>
  <c r="M11" i="30"/>
  <c r="L11" i="30"/>
  <c r="U10" i="30"/>
  <c r="T10" i="30"/>
  <c r="S10" i="30"/>
  <c r="R10" i="30"/>
  <c r="Q10" i="30"/>
  <c r="P10" i="30"/>
  <c r="O10" i="30"/>
  <c r="N10" i="30"/>
  <c r="M10" i="30"/>
  <c r="L10" i="30"/>
  <c r="U9" i="30"/>
  <c r="T9" i="30"/>
  <c r="S9" i="30"/>
  <c r="R9" i="30"/>
  <c r="Q9" i="30"/>
  <c r="P9" i="30"/>
  <c r="O9" i="30"/>
  <c r="N9" i="30"/>
  <c r="M9" i="30"/>
  <c r="L9" i="30"/>
  <c r="U8" i="30"/>
  <c r="T8" i="30"/>
  <c r="S8" i="30"/>
  <c r="R8" i="30"/>
  <c r="Q8" i="30"/>
  <c r="P8" i="30"/>
  <c r="O8" i="30"/>
  <c r="N8" i="30"/>
  <c r="M8" i="30"/>
  <c r="L8" i="30"/>
  <c r="H19" i="29"/>
  <c r="D18" i="29"/>
  <c r="D17" i="29"/>
  <c r="D16" i="29"/>
  <c r="D15" i="29"/>
  <c r="D14" i="29"/>
  <c r="D13" i="29"/>
  <c r="D12" i="29"/>
  <c r="D11" i="29"/>
  <c r="D10" i="29"/>
  <c r="D9" i="29"/>
  <c r="D8" i="29"/>
  <c r="D7" i="29"/>
  <c r="W19" i="11"/>
  <c r="V19" i="11"/>
  <c r="T19" i="11"/>
  <c r="S19" i="11"/>
  <c r="R19" i="11"/>
  <c r="Q19" i="11"/>
  <c r="P19" i="11"/>
  <c r="O19" i="11"/>
  <c r="N19" i="11"/>
  <c r="M19" i="11"/>
  <c r="L19" i="11"/>
  <c r="K19" i="11"/>
  <c r="D19" i="11"/>
  <c r="J18" i="11"/>
  <c r="I18" i="11"/>
  <c r="H18" i="11"/>
  <c r="J17" i="11"/>
  <c r="H17" i="11"/>
  <c r="I17" i="11"/>
  <c r="J16" i="11"/>
  <c r="I16" i="11"/>
  <c r="H16" i="11"/>
  <c r="J15" i="11"/>
  <c r="I15" i="11"/>
  <c r="J14" i="11"/>
  <c r="I14" i="11"/>
  <c r="H14" i="11"/>
  <c r="J13" i="11"/>
  <c r="I13" i="11"/>
  <c r="J12" i="11"/>
  <c r="I12" i="11"/>
  <c r="J11" i="11"/>
  <c r="I11" i="11"/>
  <c r="J10" i="11"/>
  <c r="I10" i="11"/>
  <c r="J9" i="11"/>
  <c r="I9" i="11"/>
  <c r="J8" i="11"/>
  <c r="I8" i="11"/>
  <c r="H8" i="11"/>
  <c r="U19" i="11"/>
  <c r="I19" i="10"/>
  <c r="H19" i="10"/>
  <c r="E19" i="10"/>
  <c r="D19" i="10"/>
  <c r="E79" i="10"/>
  <c r="E79" i="14"/>
  <c r="I81" i="13"/>
  <c r="F81" i="13"/>
  <c r="E81" i="13"/>
  <c r="D81" i="13"/>
  <c r="F79" i="28"/>
  <c r="E79" i="28"/>
  <c r="P79" i="14"/>
  <c r="O79" i="14"/>
  <c r="N79" i="14"/>
  <c r="M79" i="14"/>
  <c r="L79" i="14"/>
  <c r="K79" i="14"/>
  <c r="D79" i="14"/>
  <c r="I79" i="10"/>
  <c r="W81" i="11"/>
  <c r="V81" i="11"/>
  <c r="T81" i="11"/>
  <c r="S81" i="11"/>
  <c r="R81" i="11"/>
  <c r="Q81" i="11"/>
  <c r="P81" i="11"/>
  <c r="O81" i="11"/>
  <c r="N81" i="11"/>
  <c r="M81" i="11"/>
  <c r="L81" i="11"/>
  <c r="K81" i="11"/>
  <c r="D81" i="11"/>
  <c r="U81" i="11"/>
  <c r="W79" i="30"/>
  <c r="U79" i="30"/>
  <c r="T79" i="30"/>
  <c r="S79" i="30"/>
  <c r="R79" i="30"/>
  <c r="P79" i="30"/>
  <c r="O79" i="30"/>
  <c r="N79" i="30"/>
  <c r="M79" i="30"/>
  <c r="L79" i="30"/>
  <c r="K79" i="30"/>
  <c r="G79" i="30"/>
  <c r="P79" i="12"/>
  <c r="O79" i="12"/>
  <c r="M79" i="12"/>
  <c r="L79" i="12"/>
  <c r="K79" i="12"/>
  <c r="J79" i="12"/>
  <c r="I79" i="12"/>
  <c r="H79" i="12"/>
  <c r="D79" i="12"/>
  <c r="U87" i="17"/>
  <c r="T87" i="17"/>
  <c r="S87" i="17"/>
  <c r="Q87" i="17"/>
  <c r="P87" i="17"/>
  <c r="O87" i="17"/>
  <c r="N87" i="17"/>
  <c r="M87" i="17"/>
  <c r="D87" i="17"/>
  <c r="D34" i="30"/>
  <c r="I24" i="11"/>
  <c r="J24" i="11"/>
  <c r="J35" i="11"/>
  <c r="I25" i="11"/>
  <c r="J25" i="11"/>
  <c r="H25" i="11"/>
  <c r="I26" i="11"/>
  <c r="J26" i="11"/>
  <c r="I27" i="11"/>
  <c r="H27" i="11"/>
  <c r="J27" i="11"/>
  <c r="I28" i="11"/>
  <c r="J28" i="11"/>
  <c r="I29" i="11"/>
  <c r="H29" i="11"/>
  <c r="J29" i="11"/>
  <c r="I30" i="11"/>
  <c r="J30" i="11"/>
  <c r="I31" i="11"/>
  <c r="J31" i="11"/>
  <c r="I32" i="11"/>
  <c r="H32" i="11"/>
  <c r="J32" i="11"/>
  <c r="I33" i="11"/>
  <c r="J33" i="11"/>
  <c r="I34" i="11"/>
  <c r="J34" i="11"/>
  <c r="T120" i="17"/>
  <c r="U120" i="17"/>
  <c r="T104" i="17"/>
  <c r="U104" i="17"/>
  <c r="L104" i="17"/>
  <c r="S104" i="17"/>
  <c r="Q104" i="17"/>
  <c r="P104" i="17"/>
  <c r="O104" i="17"/>
  <c r="N104" i="17"/>
  <c r="M104" i="17"/>
  <c r="J104" i="17"/>
  <c r="I104" i="17"/>
  <c r="D104" i="17"/>
  <c r="L94" i="12"/>
  <c r="M94" i="12"/>
  <c r="L34" i="12"/>
  <c r="M34" i="12"/>
  <c r="K94" i="12"/>
  <c r="G33" i="12"/>
  <c r="F33" i="12"/>
  <c r="G32" i="12"/>
  <c r="F32" i="12"/>
  <c r="G31" i="12"/>
  <c r="F31" i="12"/>
  <c r="G30" i="12"/>
  <c r="F30" i="12"/>
  <c r="G29" i="12"/>
  <c r="E29" i="12"/>
  <c r="F29" i="12"/>
  <c r="G28" i="12"/>
  <c r="F28" i="12"/>
  <c r="G27" i="12"/>
  <c r="F27" i="12"/>
  <c r="G26" i="12"/>
  <c r="F26" i="12"/>
  <c r="G25" i="12"/>
  <c r="E25" i="12"/>
  <c r="F25" i="12"/>
  <c r="G24" i="12"/>
  <c r="F24" i="12"/>
  <c r="G23" i="12"/>
  <c r="F23" i="12"/>
  <c r="G22" i="12"/>
  <c r="F22" i="12"/>
  <c r="P94" i="12"/>
  <c r="O94" i="12"/>
  <c r="J94" i="12"/>
  <c r="I94" i="12"/>
  <c r="H94" i="12"/>
  <c r="D94" i="12"/>
  <c r="O94" i="30"/>
  <c r="P94" i="30"/>
  <c r="O34" i="30"/>
  <c r="P34" i="30"/>
  <c r="J33" i="30"/>
  <c r="I33" i="30"/>
  <c r="J32" i="30"/>
  <c r="I32" i="30"/>
  <c r="H32" i="30"/>
  <c r="J31" i="30"/>
  <c r="I31" i="30"/>
  <c r="J30" i="30"/>
  <c r="I30" i="30"/>
  <c r="J29" i="30"/>
  <c r="I29" i="30"/>
  <c r="H29" i="30"/>
  <c r="J28" i="30"/>
  <c r="I28" i="30"/>
  <c r="H28" i="30"/>
  <c r="J27" i="30"/>
  <c r="H27" i="30"/>
  <c r="I27" i="30"/>
  <c r="J26" i="30"/>
  <c r="I26" i="30"/>
  <c r="H26" i="30"/>
  <c r="J25" i="30"/>
  <c r="I25" i="30"/>
  <c r="I34" i="30"/>
  <c r="J24" i="30"/>
  <c r="I24" i="30"/>
  <c r="J23" i="30"/>
  <c r="J34" i="30"/>
  <c r="I23" i="30"/>
  <c r="J22" i="30"/>
  <c r="I22" i="30"/>
  <c r="H22" i="30"/>
  <c r="W94" i="30"/>
  <c r="U94" i="30"/>
  <c r="T94" i="30"/>
  <c r="S94" i="30"/>
  <c r="R94" i="30"/>
  <c r="N94" i="30"/>
  <c r="M94" i="30"/>
  <c r="L94" i="30"/>
  <c r="K94" i="30"/>
  <c r="G94" i="30"/>
  <c r="F94" i="30"/>
  <c r="O96" i="11"/>
  <c r="P96" i="11"/>
  <c r="Q96" i="11"/>
  <c r="O35" i="11"/>
  <c r="P35" i="11"/>
  <c r="W96" i="11"/>
  <c r="V96" i="11"/>
  <c r="T96" i="11"/>
  <c r="S96" i="11"/>
  <c r="R96" i="11"/>
  <c r="N96" i="11"/>
  <c r="M96" i="11"/>
  <c r="L96" i="11"/>
  <c r="K96" i="11"/>
  <c r="D96" i="11"/>
  <c r="E34" i="10"/>
  <c r="I94" i="10"/>
  <c r="J33" i="7"/>
  <c r="I33" i="7"/>
  <c r="J32" i="7"/>
  <c r="I32" i="7"/>
  <c r="J31" i="7"/>
  <c r="I31" i="7"/>
  <c r="J30" i="7"/>
  <c r="I30" i="7"/>
  <c r="J29" i="7"/>
  <c r="I29" i="7"/>
  <c r="J28" i="7"/>
  <c r="I28" i="7"/>
  <c r="J27" i="7"/>
  <c r="I27" i="7"/>
  <c r="J26" i="7"/>
  <c r="I26" i="7"/>
  <c r="J25" i="7"/>
  <c r="I25" i="7"/>
  <c r="J24" i="7"/>
  <c r="I24" i="7"/>
  <c r="J23" i="7"/>
  <c r="I23" i="7"/>
  <c r="J22" i="7"/>
  <c r="I22" i="7"/>
  <c r="O34" i="7"/>
  <c r="P34" i="7"/>
  <c r="I33" i="6"/>
  <c r="H33" i="6"/>
  <c r="I32" i="6"/>
  <c r="H32" i="6"/>
  <c r="I31" i="6"/>
  <c r="H31" i="6"/>
  <c r="I30" i="6"/>
  <c r="H30" i="6"/>
  <c r="I29" i="6"/>
  <c r="H29" i="6"/>
  <c r="I28" i="6"/>
  <c r="H28" i="6"/>
  <c r="I27" i="6"/>
  <c r="H27" i="6"/>
  <c r="I26" i="6"/>
  <c r="H26" i="6"/>
  <c r="I25" i="6"/>
  <c r="H25" i="6"/>
  <c r="I24" i="6"/>
  <c r="H24" i="6"/>
  <c r="I23" i="6"/>
  <c r="H23" i="6"/>
  <c r="I22" i="6"/>
  <c r="H22" i="6"/>
  <c r="E34" i="6"/>
  <c r="F34" i="6"/>
  <c r="N34" i="6"/>
  <c r="O34" i="6"/>
  <c r="F94" i="16"/>
  <c r="E94" i="16"/>
  <c r="J33" i="14"/>
  <c r="I33" i="14"/>
  <c r="J32" i="14"/>
  <c r="I32" i="14"/>
  <c r="J31" i="14"/>
  <c r="I31" i="14"/>
  <c r="J30" i="14"/>
  <c r="I30" i="14"/>
  <c r="J29" i="14"/>
  <c r="I29" i="14"/>
  <c r="J28" i="14"/>
  <c r="I28" i="14"/>
  <c r="J27" i="14"/>
  <c r="I27" i="14"/>
  <c r="J26" i="14"/>
  <c r="I26" i="14"/>
  <c r="J25" i="14"/>
  <c r="I25" i="14"/>
  <c r="J24" i="14"/>
  <c r="I24" i="14"/>
  <c r="J23" i="14"/>
  <c r="I23" i="14"/>
  <c r="J22" i="14"/>
  <c r="I22" i="14"/>
  <c r="E34" i="14"/>
  <c r="P34" i="14"/>
  <c r="O34" i="14"/>
  <c r="N34" i="14"/>
  <c r="M34" i="14"/>
  <c r="L34" i="14"/>
  <c r="K34" i="14"/>
  <c r="D34" i="14"/>
  <c r="N109" i="14"/>
  <c r="M109" i="14"/>
  <c r="L109" i="14"/>
  <c r="K109" i="14"/>
  <c r="D109" i="14"/>
  <c r="P94" i="14"/>
  <c r="O94" i="14"/>
  <c r="N94" i="14"/>
  <c r="M94" i="14"/>
  <c r="L94" i="14"/>
  <c r="K94" i="14"/>
  <c r="D94" i="14"/>
  <c r="F94" i="28"/>
  <c r="E94" i="28"/>
  <c r="I34" i="13"/>
  <c r="F34" i="13"/>
  <c r="E34" i="13"/>
  <c r="L35" i="17"/>
  <c r="L34" i="17"/>
  <c r="L33" i="17"/>
  <c r="M32" i="17"/>
  <c r="M31" i="17"/>
  <c r="M30" i="17"/>
  <c r="M29" i="17"/>
  <c r="L28" i="17"/>
  <c r="L27" i="17"/>
  <c r="L26" i="17"/>
  <c r="L25" i="17"/>
  <c r="D34" i="29"/>
  <c r="J111" i="11"/>
  <c r="J109" i="6"/>
  <c r="D34" i="16"/>
  <c r="D33" i="28"/>
  <c r="D32" i="28"/>
  <c r="D31" i="28"/>
  <c r="D30" i="28"/>
  <c r="D29" i="28"/>
  <c r="D28" i="28"/>
  <c r="D27" i="28"/>
  <c r="D26" i="28"/>
  <c r="D25" i="28"/>
  <c r="D24" i="28"/>
  <c r="D23" i="28"/>
  <c r="D22" i="28"/>
  <c r="S120" i="17"/>
  <c r="Q120" i="17"/>
  <c r="P120" i="17"/>
  <c r="N120" i="17"/>
  <c r="D120" i="17"/>
  <c r="M120" i="17"/>
  <c r="J120" i="17"/>
  <c r="I120" i="17"/>
  <c r="P109" i="12"/>
  <c r="O109" i="12"/>
  <c r="K109" i="12"/>
  <c r="J109" i="12"/>
  <c r="I109" i="12"/>
  <c r="H109" i="12"/>
  <c r="D109" i="12"/>
  <c r="W109" i="30"/>
  <c r="T109" i="30"/>
  <c r="S109" i="30"/>
  <c r="N109" i="30"/>
  <c r="M109" i="30"/>
  <c r="L109" i="30"/>
  <c r="K109" i="30"/>
  <c r="G109" i="30"/>
  <c r="H109" i="29"/>
  <c r="G109" i="29"/>
  <c r="W111" i="11"/>
  <c r="V111" i="11"/>
  <c r="T111" i="11"/>
  <c r="S111" i="11"/>
  <c r="R111" i="11"/>
  <c r="Q111" i="11"/>
  <c r="N111" i="11"/>
  <c r="M111" i="11"/>
  <c r="L111" i="11"/>
  <c r="K111" i="11"/>
  <c r="D111" i="11"/>
  <c r="I109" i="10"/>
  <c r="H109" i="10"/>
  <c r="D109" i="10"/>
  <c r="D109" i="7"/>
  <c r="R109" i="7"/>
  <c r="N109" i="7"/>
  <c r="M109" i="7"/>
  <c r="L109" i="7"/>
  <c r="K109" i="7"/>
  <c r="AA109" i="6"/>
  <c r="Z109" i="6"/>
  <c r="Y109" i="6"/>
  <c r="M109" i="6"/>
  <c r="L109" i="6"/>
  <c r="K109" i="6"/>
  <c r="D109" i="6"/>
  <c r="F109" i="16"/>
  <c r="E109" i="16"/>
  <c r="F109" i="28"/>
  <c r="E109" i="28"/>
  <c r="F111" i="13"/>
  <c r="E111" i="13"/>
  <c r="K34" i="30"/>
  <c r="L34" i="30"/>
  <c r="M34" i="30"/>
  <c r="N34" i="30"/>
  <c r="R34" i="30"/>
  <c r="S34" i="30"/>
  <c r="V34" i="30"/>
  <c r="W34" i="30"/>
  <c r="J34" i="6"/>
  <c r="I96" i="13"/>
  <c r="J36" i="17"/>
  <c r="O35" i="17"/>
  <c r="O34" i="17"/>
  <c r="O33" i="17"/>
  <c r="O32" i="17"/>
  <c r="O31" i="17"/>
  <c r="O30" i="17"/>
  <c r="O29" i="17"/>
  <c r="O28" i="17"/>
  <c r="O27" i="17"/>
  <c r="O26" i="17"/>
  <c r="O25" i="17"/>
  <c r="D34" i="10"/>
  <c r="Q33" i="6"/>
  <c r="Q32" i="6"/>
  <c r="Q31" i="6"/>
  <c r="Q30" i="6"/>
  <c r="Q29" i="6"/>
  <c r="Q28" i="6"/>
  <c r="Q27" i="6"/>
  <c r="Q26" i="6"/>
  <c r="Q25" i="6"/>
  <c r="Q24" i="6"/>
  <c r="Q23" i="6"/>
  <c r="Q36" i="17"/>
  <c r="P36" i="17"/>
  <c r="S35" i="11"/>
  <c r="Q33" i="30"/>
  <c r="Q32" i="30"/>
  <c r="Q31" i="30"/>
  <c r="Q30" i="30"/>
  <c r="Q29" i="30"/>
  <c r="Q34" i="30"/>
  <c r="Q28" i="30"/>
  <c r="Q27" i="30"/>
  <c r="Q26" i="30"/>
  <c r="Q25" i="30"/>
  <c r="Q24" i="30"/>
  <c r="Q23" i="30"/>
  <c r="S34" i="6"/>
  <c r="E34" i="16"/>
  <c r="E34" i="28"/>
  <c r="W35" i="11"/>
  <c r="V35" i="11"/>
  <c r="T35" i="11"/>
  <c r="R35" i="11"/>
  <c r="Q35" i="11"/>
  <c r="N35" i="11"/>
  <c r="M35" i="11"/>
  <c r="L35" i="11"/>
  <c r="K35" i="11"/>
  <c r="D35" i="11"/>
  <c r="I34" i="10"/>
  <c r="S34" i="7"/>
  <c r="R34" i="7"/>
  <c r="N34" i="7"/>
  <c r="M34" i="7"/>
  <c r="L34" i="7"/>
  <c r="K34" i="7"/>
  <c r="D34" i="7"/>
  <c r="AA34" i="6"/>
  <c r="Z34" i="6"/>
  <c r="P34" i="6"/>
  <c r="M34" i="6"/>
  <c r="L34" i="6"/>
  <c r="K34" i="6"/>
  <c r="D34" i="6"/>
  <c r="P34" i="12"/>
  <c r="O34" i="12"/>
  <c r="K34" i="12"/>
  <c r="J34" i="12"/>
  <c r="I34" i="12"/>
  <c r="H34" i="12"/>
  <c r="D34" i="12"/>
  <c r="N33" i="12"/>
  <c r="N32" i="12"/>
  <c r="N31" i="12"/>
  <c r="N30" i="12"/>
  <c r="N29" i="12"/>
  <c r="N28" i="12"/>
  <c r="N27" i="12"/>
  <c r="N26" i="12"/>
  <c r="N25" i="12"/>
  <c r="N24" i="12"/>
  <c r="N23" i="12"/>
  <c r="N22" i="12"/>
  <c r="E96" i="13"/>
  <c r="S36" i="17"/>
  <c r="N36" i="17"/>
  <c r="R34" i="6"/>
  <c r="F34" i="16"/>
  <c r="F96" i="13"/>
  <c r="F34" i="28"/>
  <c r="H34" i="29"/>
  <c r="O120" i="17"/>
  <c r="Q109" i="7"/>
  <c r="F109" i="30"/>
  <c r="U109" i="30"/>
  <c r="G34" i="30"/>
  <c r="G109" i="12"/>
  <c r="F109" i="12"/>
  <c r="L120" i="17"/>
  <c r="I111" i="11"/>
  <c r="O19" i="36"/>
  <c r="K87" i="17"/>
  <c r="U19" i="36"/>
  <c r="Q19" i="36"/>
  <c r="K19" i="36"/>
  <c r="AF35" i="36"/>
  <c r="AD35" i="36"/>
  <c r="D19" i="36"/>
  <c r="P19" i="36"/>
  <c r="S19" i="36"/>
  <c r="E19" i="36"/>
  <c r="P35" i="36"/>
  <c r="Q35" i="36"/>
  <c r="T19" i="36"/>
  <c r="D35" i="36"/>
  <c r="D49" i="13"/>
  <c r="I109" i="6"/>
  <c r="D94" i="10"/>
  <c r="D79" i="10"/>
  <c r="D64" i="10"/>
  <c r="N79" i="12"/>
  <c r="G79" i="12"/>
  <c r="N94" i="12"/>
  <c r="F94" i="12"/>
  <c r="E94" i="12"/>
  <c r="E109" i="12"/>
  <c r="F79" i="12"/>
  <c r="N109" i="12"/>
  <c r="G94" i="12"/>
  <c r="D79" i="30"/>
  <c r="D109" i="29"/>
  <c r="D109" i="16"/>
  <c r="D94" i="16"/>
  <c r="H27" i="34"/>
  <c r="E79" i="12"/>
  <c r="H44" i="34"/>
  <c r="I53" i="17"/>
  <c r="J53" i="17"/>
  <c r="H36" i="17"/>
  <c r="K19" i="17"/>
  <c r="K36" i="17"/>
  <c r="H9" i="11"/>
  <c r="H11" i="11"/>
  <c r="H15" i="11"/>
  <c r="Q34" i="7"/>
  <c r="J19" i="17"/>
  <c r="I19" i="17"/>
  <c r="H19" i="17"/>
  <c r="V49" i="30"/>
  <c r="H24" i="11"/>
  <c r="J19" i="34"/>
  <c r="I94" i="34"/>
  <c r="I79" i="34"/>
  <c r="H54" i="14"/>
  <c r="L29" i="36"/>
  <c r="L28" i="36"/>
  <c r="L15" i="36"/>
  <c r="L14" i="36"/>
  <c r="L24" i="36"/>
  <c r="G26" i="6"/>
  <c r="G25" i="6"/>
  <c r="G31" i="6"/>
  <c r="G14" i="6"/>
  <c r="G10" i="6"/>
  <c r="G82" i="6"/>
  <c r="H79" i="6"/>
  <c r="G52" i="6"/>
  <c r="I35" i="11"/>
  <c r="H34" i="11"/>
  <c r="H33" i="11"/>
  <c r="H31" i="11"/>
  <c r="H30" i="11"/>
  <c r="H23" i="11"/>
  <c r="H28" i="11"/>
  <c r="H7" i="11"/>
  <c r="H13" i="11"/>
  <c r="H12" i="11"/>
  <c r="H10" i="11"/>
  <c r="N49" i="12"/>
  <c r="N64" i="12"/>
  <c r="E54" i="12"/>
  <c r="E53" i="12"/>
  <c r="E44" i="12"/>
  <c r="G49" i="12"/>
  <c r="E38" i="12"/>
  <c r="E41" i="12"/>
  <c r="F64" i="12"/>
  <c r="E39" i="12"/>
  <c r="E47" i="12"/>
  <c r="E45" i="12"/>
  <c r="E46" i="12"/>
  <c r="E62" i="12"/>
  <c r="E52" i="12"/>
  <c r="E59" i="12"/>
  <c r="K53" i="17"/>
  <c r="M36" i="17"/>
  <c r="K104" i="17"/>
  <c r="I87" i="17"/>
  <c r="K120" i="17"/>
  <c r="H120" i="17"/>
  <c r="M19" i="17"/>
  <c r="L36" i="17"/>
  <c r="H87" i="17"/>
  <c r="L19" i="17"/>
  <c r="O19" i="17"/>
  <c r="O36" i="17"/>
  <c r="E49" i="12"/>
  <c r="L69" i="17"/>
  <c r="L68" i="17"/>
  <c r="L67" i="17"/>
  <c r="K70" i="17"/>
  <c r="M66" i="17"/>
  <c r="M70" i="17"/>
  <c r="L70" i="17"/>
  <c r="H43" i="34"/>
  <c r="H42" i="34"/>
  <c r="H60" i="34"/>
  <c r="H55" i="34"/>
  <c r="H39" i="14"/>
  <c r="H41" i="14"/>
  <c r="H40" i="14"/>
  <c r="H62" i="14"/>
  <c r="H55" i="14"/>
  <c r="H60" i="14"/>
  <c r="I64" i="14"/>
  <c r="H52" i="14"/>
  <c r="H53" i="14"/>
  <c r="H58" i="14"/>
  <c r="H85" i="30"/>
  <c r="H23" i="30"/>
  <c r="D79" i="29"/>
  <c r="D94" i="29"/>
  <c r="H26" i="11"/>
  <c r="J19" i="11"/>
  <c r="N35" i="36"/>
  <c r="H75" i="7"/>
  <c r="H93" i="7"/>
  <c r="H105" i="7"/>
  <c r="S79" i="7"/>
  <c r="H86" i="7"/>
  <c r="J79" i="7"/>
  <c r="H98" i="7"/>
  <c r="I79" i="7"/>
  <c r="I109" i="7"/>
  <c r="H78" i="7"/>
  <c r="H71" i="7"/>
  <c r="H102" i="7"/>
  <c r="H108" i="7"/>
  <c r="H83" i="7"/>
  <c r="J109" i="7"/>
  <c r="H82" i="7"/>
  <c r="H29" i="7"/>
  <c r="J94" i="7"/>
  <c r="H97" i="7"/>
  <c r="H67" i="7"/>
  <c r="H25" i="7"/>
  <c r="H101" i="7"/>
  <c r="G86" i="6"/>
  <c r="G107" i="6"/>
  <c r="Q79" i="6"/>
  <c r="G99" i="6"/>
  <c r="G109" i="6"/>
  <c r="G83" i="6"/>
  <c r="G94" i="6"/>
  <c r="Q94" i="6"/>
  <c r="H94" i="6"/>
  <c r="G104" i="6"/>
  <c r="I94" i="6"/>
  <c r="I79" i="6"/>
  <c r="G97" i="6"/>
  <c r="G77" i="6"/>
  <c r="G71" i="6"/>
  <c r="G79" i="6"/>
  <c r="D34" i="28"/>
  <c r="H56" i="14"/>
  <c r="H30" i="14"/>
  <c r="H82" i="14"/>
  <c r="H83" i="14"/>
  <c r="H84" i="14"/>
  <c r="H7" i="14"/>
  <c r="H85" i="14"/>
  <c r="H104" i="14"/>
  <c r="H57" i="14"/>
  <c r="J79" i="14"/>
  <c r="I94" i="14"/>
  <c r="J19" i="14"/>
  <c r="H68" i="14"/>
  <c r="I79" i="14"/>
  <c r="J109" i="14"/>
  <c r="H106" i="14"/>
  <c r="H97" i="14"/>
  <c r="I109" i="14"/>
  <c r="H33" i="34"/>
  <c r="H28" i="34"/>
  <c r="H25" i="34"/>
  <c r="I34" i="34"/>
  <c r="H32" i="34"/>
  <c r="H26" i="34"/>
  <c r="H29" i="34"/>
  <c r="H30" i="34"/>
  <c r="H31" i="34"/>
  <c r="H24" i="34"/>
  <c r="H23" i="34"/>
  <c r="J34" i="34"/>
  <c r="H9" i="34"/>
  <c r="H13" i="34"/>
  <c r="H15" i="34"/>
  <c r="H7" i="34"/>
  <c r="H16" i="34"/>
  <c r="H8" i="34"/>
  <c r="H12" i="34"/>
  <c r="H17" i="34"/>
  <c r="H10" i="34"/>
  <c r="H18" i="34"/>
  <c r="H11" i="34"/>
  <c r="H14" i="34"/>
  <c r="H29" i="14"/>
  <c r="H23" i="14"/>
  <c r="H27" i="14"/>
  <c r="H31" i="14"/>
  <c r="I34" i="14"/>
  <c r="H24" i="14"/>
  <c r="J34" i="14"/>
  <c r="H33" i="14"/>
  <c r="H25" i="14"/>
  <c r="H26" i="14"/>
  <c r="H28" i="14"/>
  <c r="H32" i="14"/>
  <c r="H22" i="14"/>
  <c r="H10" i="14"/>
  <c r="H12" i="14"/>
  <c r="H13" i="14"/>
  <c r="H8" i="14"/>
  <c r="I19" i="14"/>
  <c r="H9" i="14"/>
  <c r="H14" i="14"/>
  <c r="H18" i="14"/>
  <c r="H15" i="14"/>
  <c r="H16" i="14"/>
  <c r="H17" i="14"/>
  <c r="D19" i="28"/>
  <c r="F34" i="12"/>
  <c r="E22" i="12"/>
  <c r="E32" i="12"/>
  <c r="G34" i="12"/>
  <c r="E27" i="12"/>
  <c r="E30" i="12"/>
  <c r="E31" i="12"/>
  <c r="E33" i="12"/>
  <c r="E24" i="12"/>
  <c r="E26" i="12"/>
  <c r="E28" i="12"/>
  <c r="E23" i="12"/>
  <c r="E34" i="12"/>
  <c r="E15" i="12"/>
  <c r="E7" i="12"/>
  <c r="E17" i="12"/>
  <c r="E11" i="12"/>
  <c r="E10" i="12"/>
  <c r="E14" i="12"/>
  <c r="E18" i="12"/>
  <c r="E13" i="12"/>
  <c r="E8" i="12"/>
  <c r="G19" i="12"/>
  <c r="N34" i="12"/>
  <c r="H32" i="7"/>
  <c r="H22" i="7"/>
  <c r="H24" i="7"/>
  <c r="J34" i="7"/>
  <c r="H26" i="7"/>
  <c r="H30" i="7"/>
  <c r="H31" i="7"/>
  <c r="H23" i="7"/>
  <c r="H33" i="7"/>
  <c r="H27" i="7"/>
  <c r="H28" i="7"/>
  <c r="I34" i="7"/>
  <c r="H14" i="7"/>
  <c r="I19" i="7"/>
  <c r="H10" i="7"/>
  <c r="H11" i="7"/>
  <c r="H18" i="7"/>
  <c r="H9" i="7"/>
  <c r="J19" i="7"/>
  <c r="H12" i="7"/>
  <c r="H13" i="7"/>
  <c r="H17" i="7"/>
  <c r="H15" i="7"/>
  <c r="H7" i="7"/>
  <c r="D19" i="29"/>
  <c r="H33" i="30"/>
  <c r="H30" i="30"/>
  <c r="H31" i="30"/>
  <c r="H24" i="30"/>
  <c r="U34" i="30"/>
  <c r="H79" i="7"/>
  <c r="H109" i="14"/>
  <c r="H34" i="14"/>
  <c r="H19" i="14"/>
  <c r="E19" i="12"/>
  <c r="J14" i="30"/>
  <c r="K14" i="30"/>
  <c r="I14" i="30"/>
  <c r="H14" i="30"/>
  <c r="K15" i="30"/>
  <c r="I15" i="30"/>
  <c r="H15" i="30"/>
  <c r="J15" i="30"/>
  <c r="H79" i="30"/>
  <c r="J16" i="30"/>
  <c r="K16" i="30"/>
  <c r="I16" i="30"/>
  <c r="H16" i="30"/>
  <c r="K17" i="30"/>
  <c r="I17" i="30"/>
  <c r="J17" i="30"/>
  <c r="J18" i="30"/>
  <c r="K18" i="30"/>
  <c r="I18" i="30"/>
  <c r="H18" i="30"/>
  <c r="J8" i="30"/>
  <c r="K8" i="30"/>
  <c r="I8" i="30"/>
  <c r="H8" i="30"/>
  <c r="H94" i="30"/>
  <c r="K9" i="30"/>
  <c r="I9" i="30"/>
  <c r="J9" i="30"/>
  <c r="K10" i="30"/>
  <c r="I10" i="30"/>
  <c r="H10" i="30"/>
  <c r="J10" i="30"/>
  <c r="K11" i="30"/>
  <c r="I11" i="30"/>
  <c r="J11" i="30"/>
  <c r="K12" i="30"/>
  <c r="I12" i="30"/>
  <c r="J12" i="30"/>
  <c r="H109" i="30"/>
  <c r="K13" i="30"/>
  <c r="I13" i="30"/>
  <c r="J13" i="30"/>
  <c r="R7" i="30"/>
  <c r="S19" i="30"/>
  <c r="I94" i="30"/>
  <c r="H25" i="30"/>
  <c r="H34" i="30"/>
  <c r="I79" i="30"/>
  <c r="H38" i="30"/>
  <c r="T19" i="30"/>
  <c r="H19" i="11"/>
  <c r="H35" i="11"/>
  <c r="J66" i="11"/>
  <c r="H71" i="11"/>
  <c r="H81" i="11"/>
  <c r="H84" i="11"/>
  <c r="H96" i="11"/>
  <c r="H13" i="30"/>
  <c r="H9" i="30"/>
  <c r="H17" i="30"/>
  <c r="Q7" i="30"/>
  <c r="R19" i="30"/>
  <c r="H12" i="30"/>
  <c r="H11" i="30"/>
  <c r="P7" i="30"/>
  <c r="Q19" i="30"/>
  <c r="P19" i="30"/>
  <c r="O7" i="30"/>
  <c r="N7" i="30"/>
  <c r="O19" i="30"/>
  <c r="M7" i="30"/>
  <c r="N19" i="30"/>
  <c r="L7" i="30"/>
  <c r="M19" i="30"/>
  <c r="J7" i="30"/>
  <c r="J19" i="30"/>
  <c r="K7" i="30"/>
  <c r="L19" i="30"/>
  <c r="I7" i="30"/>
  <c r="K19" i="30"/>
  <c r="I19" i="30"/>
  <c r="H7" i="30"/>
  <c r="H19" i="30"/>
  <c r="L48" i="36"/>
  <c r="L46" i="36"/>
  <c r="M51" i="36"/>
  <c r="L39" i="36"/>
  <c r="L50" i="36"/>
  <c r="L41" i="36"/>
  <c r="L49" i="36"/>
  <c r="L45" i="36"/>
  <c r="L47" i="36"/>
  <c r="L40" i="36"/>
  <c r="L42" i="36"/>
  <c r="N51" i="36"/>
  <c r="L44" i="36"/>
  <c r="L55" i="36"/>
  <c r="M67" i="36"/>
  <c r="L66" i="36"/>
  <c r="L65" i="36"/>
  <c r="L58" i="36"/>
  <c r="L64" i="36"/>
  <c r="L62" i="36"/>
  <c r="L63" i="36"/>
  <c r="L61" i="36"/>
  <c r="L60" i="36"/>
  <c r="L59" i="36"/>
  <c r="L57" i="36"/>
  <c r="L56" i="36"/>
  <c r="N67" i="36"/>
  <c r="AB67" i="36"/>
  <c r="AB51" i="36"/>
  <c r="G41" i="6"/>
  <c r="I49" i="6"/>
  <c r="G42" i="6"/>
  <c r="G44" i="6"/>
  <c r="G46" i="6"/>
  <c r="G40" i="6"/>
  <c r="G45" i="6"/>
  <c r="G48" i="6"/>
  <c r="G47" i="6"/>
  <c r="H49" i="6"/>
  <c r="G43" i="6"/>
  <c r="G37" i="6"/>
  <c r="G39" i="6"/>
  <c r="G38" i="6"/>
  <c r="G53" i="6"/>
  <c r="G54" i="6"/>
  <c r="G56" i="6"/>
  <c r="G59" i="6"/>
  <c r="G63" i="6"/>
  <c r="G55" i="6"/>
  <c r="G57" i="6"/>
  <c r="G62" i="6"/>
  <c r="G60" i="6"/>
  <c r="I64" i="6"/>
  <c r="G61" i="6"/>
  <c r="H64" i="6"/>
  <c r="G58" i="6"/>
  <c r="Q49" i="6"/>
  <c r="Q64" i="6"/>
  <c r="D49" i="28"/>
  <c r="D64" i="28"/>
  <c r="H38" i="34"/>
  <c r="H37" i="34"/>
  <c r="H45" i="34"/>
  <c r="H39" i="34"/>
  <c r="H40" i="34"/>
  <c r="H41" i="34"/>
  <c r="I49" i="34"/>
  <c r="J49" i="34"/>
  <c r="H57" i="34"/>
  <c r="I64" i="34"/>
  <c r="H58" i="34"/>
  <c r="J64" i="34"/>
  <c r="H54" i="34"/>
  <c r="H59" i="34"/>
  <c r="H62" i="34"/>
  <c r="H61" i="34"/>
  <c r="H63" i="34"/>
  <c r="H56" i="34"/>
  <c r="H53" i="34"/>
  <c r="H46" i="14"/>
  <c r="H48" i="14"/>
  <c r="I49" i="14"/>
  <c r="J49" i="14"/>
  <c r="H43" i="14"/>
  <c r="H47" i="14"/>
  <c r="H38" i="14"/>
  <c r="H42" i="14"/>
  <c r="H44" i="14"/>
  <c r="H64" i="14"/>
  <c r="L51" i="36"/>
  <c r="L67" i="36"/>
  <c r="G49" i="6"/>
  <c r="G64" i="6"/>
  <c r="H49" i="34"/>
  <c r="H64" i="34"/>
  <c r="H49" i="14"/>
  <c r="E64" i="12"/>
  <c r="D64" i="29"/>
  <c r="H45" i="7"/>
  <c r="I49" i="7"/>
  <c r="H47" i="7"/>
  <c r="H46" i="7"/>
  <c r="H39" i="7"/>
  <c r="H43" i="7"/>
  <c r="H44" i="7"/>
  <c r="J49" i="7"/>
  <c r="H38" i="7"/>
  <c r="S49" i="7"/>
  <c r="S64" i="7"/>
  <c r="H59" i="7"/>
  <c r="H57" i="7"/>
  <c r="I64" i="7"/>
  <c r="H60" i="7"/>
  <c r="H55" i="7"/>
  <c r="H62" i="7"/>
  <c r="H56" i="7"/>
  <c r="H63" i="7"/>
  <c r="H61" i="7"/>
  <c r="H58" i="7"/>
  <c r="H52" i="7"/>
  <c r="J64" i="7"/>
  <c r="H53" i="7"/>
  <c r="H44" i="30"/>
  <c r="H40" i="30"/>
  <c r="H41" i="30"/>
  <c r="H43" i="30"/>
  <c r="I49" i="30"/>
  <c r="H37" i="30"/>
  <c r="H39" i="30"/>
  <c r="H45" i="30"/>
  <c r="H46" i="30"/>
  <c r="H47" i="30"/>
  <c r="J49" i="30"/>
  <c r="Q49" i="30"/>
  <c r="H55" i="30"/>
  <c r="H56" i="30"/>
  <c r="H62" i="30"/>
  <c r="H57" i="30"/>
  <c r="H58" i="30"/>
  <c r="I64" i="30"/>
  <c r="H59" i="30"/>
  <c r="H53" i="30"/>
  <c r="H60" i="30"/>
  <c r="H61" i="30"/>
  <c r="J64" i="30"/>
  <c r="H54" i="30"/>
  <c r="U51" i="11"/>
  <c r="H40" i="11"/>
  <c r="H46" i="11"/>
  <c r="H49" i="11"/>
  <c r="H43" i="11"/>
  <c r="H50" i="11"/>
  <c r="J51" i="11"/>
  <c r="H48" i="11"/>
  <c r="I51" i="11"/>
  <c r="H41" i="11"/>
  <c r="I66" i="11"/>
  <c r="H55" i="11"/>
  <c r="H66" i="11"/>
  <c r="H49" i="7"/>
  <c r="H64" i="7"/>
  <c r="H49" i="30"/>
  <c r="H64" i="30"/>
  <c r="H51" i="11"/>
  <c r="L12" i="36"/>
  <c r="L7" i="36"/>
  <c r="L13" i="36"/>
  <c r="L18" i="36"/>
  <c r="L17" i="36"/>
  <c r="M19" i="36"/>
  <c r="L11" i="36"/>
  <c r="L19" i="36"/>
  <c r="AB35" i="36"/>
  <c r="L33" i="36"/>
  <c r="L31" i="36"/>
  <c r="L30" i="36"/>
  <c r="L23" i="36"/>
  <c r="L35" i="36"/>
  <c r="M35" i="36"/>
  <c r="N19" i="36"/>
  <c r="Q19" i="6"/>
  <c r="Q34" i="6"/>
  <c r="G13" i="6"/>
  <c r="G8" i="6"/>
  <c r="G11" i="6"/>
  <c r="G28" i="6"/>
  <c r="G23" i="6"/>
  <c r="G33" i="6"/>
  <c r="G27" i="6"/>
  <c r="G32" i="6"/>
  <c r="G24" i="6"/>
  <c r="G29" i="6"/>
  <c r="G30" i="6"/>
  <c r="G12" i="6"/>
  <c r="G15" i="6"/>
  <c r="G7" i="6"/>
  <c r="I19" i="6"/>
  <c r="G17" i="6"/>
  <c r="G18" i="6"/>
  <c r="I34" i="6"/>
  <c r="G22" i="6"/>
  <c r="G34" i="6"/>
  <c r="H34" i="6"/>
  <c r="H19" i="6"/>
  <c r="G19"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Smith, Jeff</author>
  </authors>
  <commentList>
    <comment ref="I36" authorId="0" shapeId="0" xr:uid="{E46805F5-2F59-4D30-A130-B0E291853A42}">
      <text>
        <r>
          <rPr>
            <b/>
            <sz val="8"/>
            <color indexed="81"/>
            <rFont val="Tahoma"/>
            <family val="2"/>
          </rPr>
          <t>Smith, Jeff:</t>
        </r>
        <r>
          <rPr>
            <sz val="8"/>
            <color indexed="81"/>
            <rFont val="Tahoma"/>
            <family val="2"/>
          </rPr>
          <t xml:space="preserve">
Billed for distribution, electricity service charge billed on Cs-1 rate</t>
        </r>
      </text>
    </comment>
    <comment ref="I52" authorId="0" shapeId="0" xr:uid="{DF2CD478-EFB2-432D-BC06-927196678AFF}">
      <text>
        <r>
          <rPr>
            <b/>
            <sz val="8"/>
            <color indexed="81"/>
            <rFont val="Tahoma"/>
            <family val="2"/>
          </rPr>
          <t>Smith, Jeff:</t>
        </r>
        <r>
          <rPr>
            <sz val="8"/>
            <color indexed="81"/>
            <rFont val="Tahoma"/>
            <family val="2"/>
          </rPr>
          <t xml:space="preserve">
Billed for distribution, electricity service charge billed on Cs-1 rate</t>
        </r>
      </text>
    </comment>
    <comment ref="I68" authorId="0" shapeId="0" xr:uid="{663A58A7-58B9-483A-B911-686A8F88AA33}">
      <text>
        <r>
          <rPr>
            <b/>
            <sz val="8"/>
            <color indexed="81"/>
            <rFont val="Tahoma"/>
            <family val="2"/>
          </rPr>
          <t>Smith, Jeff:</t>
        </r>
        <r>
          <rPr>
            <sz val="8"/>
            <color indexed="81"/>
            <rFont val="Tahoma"/>
            <family val="2"/>
          </rPr>
          <t xml:space="preserve">
Billed for distribution, electricity service charge billed on Cs-1 rate</t>
        </r>
      </text>
    </comment>
    <comment ref="I83" authorId="0" shapeId="0" xr:uid="{13673A21-DB13-4BEA-AB80-DC8CBC7CBB08}">
      <text>
        <r>
          <rPr>
            <b/>
            <sz val="8"/>
            <color indexed="81"/>
            <rFont val="Tahoma"/>
            <family val="2"/>
          </rPr>
          <t>Smith, Jeff:</t>
        </r>
        <r>
          <rPr>
            <sz val="8"/>
            <color indexed="81"/>
            <rFont val="Tahoma"/>
            <family val="2"/>
          </rPr>
          <t xml:space="preserve">
Billed for distribution, electricity service charge billed on Cs-1 rate</t>
        </r>
      </text>
    </comment>
    <comment ref="I98" authorId="0" shapeId="0" xr:uid="{A4A21F73-BDA0-483D-9448-A5FB21D6FAE8}">
      <text>
        <r>
          <rPr>
            <b/>
            <sz val="8"/>
            <color indexed="81"/>
            <rFont val="Tahoma"/>
            <family val="2"/>
          </rPr>
          <t>Smith, Jeff:</t>
        </r>
        <r>
          <rPr>
            <sz val="8"/>
            <color indexed="81"/>
            <rFont val="Tahoma"/>
            <family val="2"/>
          </rPr>
          <t xml:space="preserve">
Billed for distribution, electricity service charge billed on Cs-1 rate</t>
        </r>
      </text>
    </comment>
  </commentList>
</comments>
</file>

<file path=xl/sharedStrings.xml><?xml version="1.0" encoding="utf-8"?>
<sst xmlns="http://schemas.openxmlformats.org/spreadsheetml/2006/main" count="4891" uniqueCount="168">
  <si>
    <t>Rate Schedule</t>
  </si>
  <si>
    <t>Winter Consumption</t>
  </si>
  <si>
    <t>Summer Consumption</t>
  </si>
  <si>
    <t>Customer Maximum Demand</t>
  </si>
  <si>
    <t>CG-2</t>
  </si>
  <si>
    <t>CG-3</t>
  </si>
  <si>
    <t xml:space="preserve"> Primary Discount Demand</t>
  </si>
  <si>
    <t>Transformer Discount Demand</t>
  </si>
  <si>
    <t>RG-1</t>
  </si>
  <si>
    <t>Winter Electricity</t>
  </si>
  <si>
    <t>Summer Electricity</t>
  </si>
  <si>
    <t>Total Electricity</t>
  </si>
  <si>
    <t>RG-2</t>
  </si>
  <si>
    <t>Winter Onpeak</t>
  </si>
  <si>
    <t>Summer Onpeak</t>
  </si>
  <si>
    <t>Winter Off-peak Energy</t>
  </si>
  <si>
    <t>Summer Off-peak Energy</t>
  </si>
  <si>
    <t>RW-1</t>
  </si>
  <si>
    <t>Year</t>
  </si>
  <si>
    <t>Month</t>
  </si>
  <si>
    <t>01</t>
  </si>
  <si>
    <t>02</t>
  </si>
  <si>
    <t>03</t>
  </si>
  <si>
    <t>04</t>
  </si>
  <si>
    <t>05</t>
  </si>
  <si>
    <t>06</t>
  </si>
  <si>
    <t>07</t>
  </si>
  <si>
    <t>08</t>
  </si>
  <si>
    <t>09</t>
  </si>
  <si>
    <t>10</t>
  </si>
  <si>
    <t>11</t>
  </si>
  <si>
    <t>12</t>
  </si>
  <si>
    <t>Monthly Maximum Demand</t>
  </si>
  <si>
    <t>Maximum Monthly Onpeak Demand</t>
  </si>
  <si>
    <t>Maximum Monthly Onpeak Demand - Summer</t>
  </si>
  <si>
    <t>Maximum Monthly Onpeak Demand - Winter</t>
  </si>
  <si>
    <t>On-peak Energy</t>
  </si>
  <si>
    <t>Winter On-peak Energy</t>
  </si>
  <si>
    <t>Summer On-peak Energy</t>
  </si>
  <si>
    <t>Off-peak Energy</t>
  </si>
  <si>
    <t>Primary Discount Energy</t>
  </si>
  <si>
    <t>3 Phase Meters</t>
  </si>
  <si>
    <t>1 Phase Meters</t>
  </si>
  <si>
    <t>On-peak Energy Consumed</t>
  </si>
  <si>
    <t>On-peak Winter Consumption</t>
  </si>
  <si>
    <t>On-peak Summer Consumption</t>
  </si>
  <si>
    <t>Total On-peak kWh</t>
  </si>
  <si>
    <t>Total On-peak kW</t>
  </si>
  <si>
    <t>On-peak Winter kW</t>
  </si>
  <si>
    <t>On-peak Summer kW</t>
  </si>
  <si>
    <t>Number of Single Phase Meters</t>
  </si>
  <si>
    <t>Number of Meters</t>
  </si>
  <si>
    <t>Number of Three Phase Meters</t>
  </si>
  <si>
    <t>Primary Voltage Discount kW</t>
  </si>
  <si>
    <t>Primary Voltage Discount kWh</t>
  </si>
  <si>
    <t>Transformer  Equipment Discount kW</t>
  </si>
  <si>
    <t>No. of Three Phase Meters</t>
  </si>
  <si>
    <t>No. of Single Phase Meters</t>
  </si>
  <si>
    <t>Winter On-peak kW</t>
  </si>
  <si>
    <t>Summer On-peak kW</t>
  </si>
  <si>
    <t>CG-5</t>
  </si>
  <si>
    <t>CG-6</t>
  </si>
  <si>
    <t>On-peak kWh</t>
  </si>
  <si>
    <t>Summer On-peak kWh</t>
  </si>
  <si>
    <t>Winter On-peak kWh</t>
  </si>
  <si>
    <t>Transformer Equipment Discount kW</t>
  </si>
  <si>
    <t>Total On-peak Demand</t>
  </si>
  <si>
    <t>Winter On-peak Demand</t>
  </si>
  <si>
    <t>Summer On-Peak Demand</t>
  </si>
  <si>
    <t>CP-1</t>
  </si>
  <si>
    <t>Winter Monthly Maximum Demand</t>
  </si>
  <si>
    <t>Summer Monthly Maximum Demand</t>
  </si>
  <si>
    <t>SP-3</t>
  </si>
  <si>
    <t>Maximum Monthly On-peak Demand</t>
  </si>
  <si>
    <t>Winter Maximum Monthly On-peak Demand</t>
  </si>
  <si>
    <t>Summer Maximum Monthly On-peak Demand</t>
  </si>
  <si>
    <t>Note:  Primary Voltage Discount kW, Primary Voltage Discount kWh and Transformer Equipment Discount kW include only qualified units.</t>
  </si>
  <si>
    <t>Customer Maximum Demand (12 Mo. High)</t>
  </si>
  <si>
    <t>Note:  Phase 1 - Meter Kind Code 1-3.  Phase 3 - Meter Kind Code 4 or 5.  Changes reflect new meters.</t>
  </si>
  <si>
    <t xml:space="preserve"> OnPeak Energy Consumed</t>
  </si>
  <si>
    <t>Weather Normalized</t>
  </si>
  <si>
    <t>Actual</t>
  </si>
  <si>
    <t>Winter On-Peak 2 Energy</t>
  </si>
  <si>
    <t>Summer On-Peak 2 Energy</t>
  </si>
  <si>
    <t>Generation Credit</t>
  </si>
  <si>
    <t>Forecast</t>
  </si>
  <si>
    <t>Calendar Weather Normalized</t>
  </si>
  <si>
    <t>Rg-7</t>
  </si>
  <si>
    <t>Actual Billed</t>
  </si>
  <si>
    <t>Cg-7</t>
  </si>
  <si>
    <t>Cg-8</t>
  </si>
  <si>
    <t>OOS KWH ONPK HEAT RT (3051)</t>
  </si>
  <si>
    <t>OOS KWH ONPK LMP (3051)</t>
  </si>
  <si>
    <t>Calendar</t>
  </si>
  <si>
    <t>NOTE:  ATC/MISO revenue provided by Finance. 3051 sales included in total sales.</t>
  </si>
  <si>
    <t>Total Meters</t>
  </si>
  <si>
    <t>Weather Normalized (for 7720 Service Code)</t>
  </si>
  <si>
    <t>Cs-1 Sales</t>
  </si>
  <si>
    <t>Cs-1</t>
  </si>
  <si>
    <t>Actuals</t>
  </si>
  <si>
    <t>Winter On-Peak 1 Energy</t>
  </si>
  <si>
    <t>Summer On-Peak 1 Energy</t>
  </si>
  <si>
    <t>Winter On-Peak 3 Energy</t>
  </si>
  <si>
    <t>Summer On-Peak 3 Energy</t>
  </si>
  <si>
    <t>Assigned RER kWh</t>
  </si>
  <si>
    <t>Unassigned kWh RER</t>
  </si>
  <si>
    <t>Total Consumption with RER</t>
  </si>
  <si>
    <t>Summer On-Peak 1  Energy</t>
  </si>
  <si>
    <t>Winter On-Peak 1  Energy</t>
  </si>
  <si>
    <t>Assigned RER</t>
  </si>
  <si>
    <t>Unassigned RER</t>
  </si>
  <si>
    <t>Total Electricity wo Cs-1</t>
  </si>
  <si>
    <t>Winter On-Peak 3  Energy</t>
  </si>
  <si>
    <t>Note: Peak 1 &amp; 3 energy split in 2019</t>
  </si>
  <si>
    <t xml:space="preserve"> </t>
  </si>
  <si>
    <t>Total RER kWh</t>
  </si>
  <si>
    <t>Off-Peak Assigned RER</t>
  </si>
  <si>
    <t>Interruptible Credit</t>
  </si>
  <si>
    <t>Total Electricity includes RER sales</t>
  </si>
  <si>
    <t>Total Electricity includes RER and Shared Solar sales</t>
  </si>
  <si>
    <t>Total Electricity inclues RER and Shared Solar sales</t>
  </si>
  <si>
    <t>CG-4</t>
  </si>
  <si>
    <t>Madison Gas and Electric Company</t>
  </si>
  <si>
    <t>Historical Actual Billed Billing Components by Rate Class</t>
  </si>
  <si>
    <t>Refer to sheets in this workbook.</t>
  </si>
  <si>
    <t>* C2M change in September 2021, with equalized Summer and Winter rates, we have no distinction between Summer/Winter electricity sales on most meters</t>
  </si>
  <si>
    <t>Winter Provision for LLF</t>
  </si>
  <si>
    <t>Summer Provision for LLF</t>
  </si>
  <si>
    <t>Total Consumption with CS &amp; RER</t>
  </si>
  <si>
    <t>Unassigned RER kWh</t>
  </si>
  <si>
    <t>Total RER</t>
  </si>
  <si>
    <t>* C2M change in September 2021, with equalized Summer and Winter rates, we have no distinction between Summer/Winter electricity sales on most meters; With rates equalized total meter counts are presented rather than a split between 1 &amp; 3 phase</t>
  </si>
  <si>
    <t>RG-2a</t>
  </si>
  <si>
    <t>Note: New in 2021</t>
  </si>
  <si>
    <t>*New customers only in 2022 for 12 months</t>
  </si>
  <si>
    <t xml:space="preserve">Total Electricity </t>
  </si>
  <si>
    <t>Assigned RER On-Peak kWh</t>
  </si>
  <si>
    <t>Note: Total Electricity includes Shared Solar</t>
  </si>
  <si>
    <t>NOTE:  ATC/MISO revenue provided by Finance. SP3 LMP sales included in total sales.</t>
  </si>
  <si>
    <t>Docket Number: </t>
  </si>
  <si>
    <t>Date of Request: </t>
  </si>
  <si>
    <t>Requestor: </t>
  </si>
  <si>
    <t>PSCW </t>
  </si>
  <si>
    <t>Date of Response: </t>
  </si>
  <si>
    <t>Respondent: </t>
  </si>
  <si>
    <t>Jeff Smith</t>
  </si>
  <si>
    <r>
      <t>Response</t>
    </r>
    <r>
      <rPr>
        <sz val="11"/>
        <rFont val="Calibri"/>
        <family val="2"/>
      </rPr>
      <t> </t>
    </r>
  </si>
  <si>
    <r>
      <t>Madison Gas and Electric Company</t>
    </r>
    <r>
      <rPr>
        <sz val="11"/>
        <rFont val="Calibri"/>
        <family val="2"/>
      </rPr>
      <t> </t>
    </r>
  </si>
  <si>
    <t>Note: CG-4 represents the combination of CG-4a and CG-4b in 2020 &amp; 2021</t>
  </si>
  <si>
    <t>CG-5D</t>
  </si>
  <si>
    <t>Reserve Capacity kW</t>
  </si>
  <si>
    <t>Reserve Capacity</t>
  </si>
  <si>
    <t>Total Electricity with RER</t>
  </si>
  <si>
    <t>On-peak kWh wo RER</t>
  </si>
  <si>
    <t>Rate Class Closed as of 2027</t>
  </si>
  <si>
    <t>GF-1</t>
  </si>
  <si>
    <t>Customers</t>
  </si>
  <si>
    <t>MLS</t>
  </si>
  <si>
    <t>GPT</t>
  </si>
  <si>
    <t>GPT - No Rate</t>
  </si>
  <si>
    <t>RFB</t>
  </si>
  <si>
    <t>IDR-21</t>
  </si>
  <si>
    <t xml:space="preserve">Provide historical billing determinants by rate schedule for the most recent five years on a calendar basis including, but not be limited to the following: 
   a.  Monthly and annual kilowatt-hour (kWh) sales 
   d.  Annual demands (show each separately) 
   e.  Annual on-peak/off-peak splits 
   f.  Annual summer/winter splits 
   g.  Annual secondary/primary/transmission splits 
   h.  Annual limiters 
   i.   Annual discounts 
The information should be provided in the same format as the sales priced out so the relationships among billing determinants can be compared.  
The historical data should include a restatement of all historical billing determinants to show any adjustments to the historical data to correct for billing errors.  Any billing error corrections should be shown in the month the error occurred, not in the month in which it was corrected.  In addition, the restatement of all historical billing determinants should include adjustments for any rate schedule switches, such that the historical usage is stated as if the customer who switched was on the new rate schedule during the entire historical period.  
Provide a summary schedule showing these annual electric sales, by rate schedule, with a separate column showing the test year electric sales by rate schedule on a calendar basis. </t>
  </si>
  <si>
    <t>Docket 3270-UR-126</t>
  </si>
  <si>
    <t>3270-UR-126</t>
  </si>
  <si>
    <t>MGE-Response-Data Request-PSC-IDR-21a, d, e, f, g, h, i</t>
  </si>
  <si>
    <t>Initial Data Request #21a, d, e-i</t>
  </si>
  <si>
    <t>April 1, 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</si>
</sst>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_);[Red]\(#,##0\);&quot; &quot;"/>
    <numFmt numFmtId="165" formatCode="0.0%"/>
    <numFmt numFmtId="166" formatCode="_(* #,##0_);_(* \(#,##0\);_(* &quot;-&quot;??_);_(@_)"/>
  </numFmts>
  <fonts count="53" x14ac:knownFonts="1">
    <font>
      <sz val="11"/>
      <color theme="1"/>
      <name val="Calibri"/>
      <family val="2"/>
      <scheme val="minor"/>
    </font>
    <font>
      <sz val="11"/>
      <color indexed="8"/>
      <name val="Calibri"/>
      <family val="2"/>
    </font>
    <font>
      <sz val="10"/>
      <color indexed="8"/>
      <name val="Arial"/>
      <family val="2"/>
    </font>
    <font>
      <sz val="10"/>
      <color indexed="8"/>
      <name val="Arial"/>
      <family val="2"/>
    </font>
    <font>
      <sz val="9"/>
      <color indexed="8"/>
      <name val="Calibri"/>
      <family val="2"/>
    </font>
    <font>
      <sz val="10"/>
      <color indexed="8"/>
      <name val="Arial"/>
      <family val="2"/>
    </font>
    <font>
      <sz val="10"/>
      <name val="Arial"/>
      <family val="2"/>
    </font>
    <font>
      <sz val="11"/>
      <name val="Calibri"/>
      <family val="2"/>
    </font>
    <font>
      <sz val="10"/>
      <color indexed="8"/>
      <name val="Arial"/>
      <family val="2"/>
    </font>
    <font>
      <sz val="9"/>
      <name val="Calibri"/>
      <family val="2"/>
    </font>
    <font>
      <sz val="9"/>
      <name val="Arial"/>
      <family val="2"/>
    </font>
    <font>
      <sz val="10"/>
      <color indexed="8"/>
      <name val="Calibri"/>
      <family val="2"/>
    </font>
    <font>
      <sz val="10"/>
      <name val="Calibri"/>
      <family val="2"/>
    </font>
    <font>
      <sz val="10"/>
      <color indexed="8"/>
      <name val="Arial"/>
      <family val="2"/>
    </font>
    <font>
      <sz val="8"/>
      <color indexed="81"/>
      <name val="Tahoma"/>
      <family val="2"/>
    </font>
    <font>
      <b/>
      <sz val="8"/>
      <color indexed="81"/>
      <name val="Tahoma"/>
      <family val="2"/>
    </font>
    <font>
      <sz val="10"/>
      <name val="MS Sans Serif"/>
      <family val="2"/>
    </font>
    <font>
      <sz val="8"/>
      <name val="Calibri"/>
      <family val="2"/>
    </font>
    <font>
      <b/>
      <sz val="12"/>
      <name val="Calibri"/>
      <family val="2"/>
    </font>
    <font>
      <sz val="12"/>
      <name val="Calibri"/>
      <family val="2"/>
    </font>
    <font>
      <b/>
      <sz val="11"/>
      <name val="Calibri"/>
      <family val="2"/>
    </font>
    <font>
      <u/>
      <sz val="11"/>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11"/>
      <color rgb="FF9C5700"/>
      <name val="Calibri"/>
      <family val="2"/>
      <scheme val="minor"/>
    </font>
    <font>
      <b/>
      <sz val="11"/>
      <color rgb="FF3F3F3F"/>
      <name val="Calibri"/>
      <family val="2"/>
      <scheme val="minor"/>
    </font>
    <font>
      <b/>
      <sz val="18"/>
      <color theme="3"/>
      <name val="Cambria"/>
      <family val="2"/>
      <scheme val="major"/>
    </font>
    <font>
      <sz val="18"/>
      <color theme="3"/>
      <name val="Cambria"/>
      <family val="2"/>
      <scheme val="major"/>
    </font>
    <font>
      <b/>
      <sz val="11"/>
      <color theme="1"/>
      <name val="Calibri"/>
      <family val="2"/>
      <scheme val="minor"/>
    </font>
    <font>
      <sz val="11"/>
      <color rgb="FFFF0000"/>
      <name val="Calibri"/>
      <family val="2"/>
      <scheme val="minor"/>
    </font>
    <font>
      <sz val="9"/>
      <color theme="1"/>
      <name val="Calibri"/>
      <family val="2"/>
      <scheme val="minor"/>
    </font>
    <font>
      <sz val="11"/>
      <name val="Calibri"/>
      <family val="2"/>
      <scheme val="minor"/>
    </font>
    <font>
      <sz val="11"/>
      <color rgb="FFFF0000"/>
      <name val="Calibri"/>
      <family val="2"/>
    </font>
    <font>
      <sz val="9"/>
      <name val="Calibri"/>
      <family val="2"/>
      <scheme val="minor"/>
    </font>
    <font>
      <sz val="10"/>
      <color theme="1"/>
      <name val="Calibri"/>
      <family val="2"/>
      <scheme val="minor"/>
    </font>
    <font>
      <sz val="10"/>
      <name val="Calibri"/>
      <family val="2"/>
      <scheme val="minor"/>
    </font>
    <font>
      <sz val="10"/>
      <color rgb="FFFF0000"/>
      <name val="Calibri"/>
      <family val="2"/>
    </font>
    <font>
      <sz val="8"/>
      <color theme="1"/>
      <name val="Calibri"/>
      <family val="2"/>
      <scheme val="minor"/>
    </font>
    <font>
      <sz val="11"/>
      <color theme="9" tint="-0.249977111117893"/>
      <name val="Calibri"/>
      <family val="2"/>
    </font>
    <font>
      <sz val="10"/>
      <color theme="9" tint="-0.249977111117893"/>
      <name val="Calibri"/>
      <family val="2"/>
    </font>
    <font>
      <sz val="11"/>
      <color theme="9" tint="-0.249977111117893"/>
      <name val="Calibri"/>
      <family val="2"/>
      <scheme val="minor"/>
    </font>
    <font>
      <b/>
      <sz val="14"/>
      <color rgb="FF000000"/>
      <name val="Calibri"/>
      <family val="2"/>
      <scheme val="minor"/>
    </font>
  </fonts>
  <fills count="34">
    <fill>
      <patternFill patternType="none"/>
    </fill>
    <fill>
      <patternFill patternType="gray125"/>
    </fill>
    <fill>
      <patternFill patternType="solid">
        <fgColor indexed="22"/>
        <bgColor indexed="0"/>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68">
    <border>
      <left/>
      <right/>
      <top/>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8"/>
      </top>
      <bottom/>
      <diagonal/>
    </border>
    <border>
      <left style="thin">
        <color indexed="8"/>
      </left>
      <right style="thin">
        <color indexed="64"/>
      </right>
      <top style="thin">
        <color indexed="8"/>
      </top>
      <bottom/>
      <diagonal/>
    </border>
    <border>
      <left style="thin">
        <color indexed="22"/>
      </left>
      <right style="thin">
        <color indexed="22"/>
      </right>
      <top style="thin">
        <color indexed="64"/>
      </top>
      <bottom style="thin">
        <color indexed="22"/>
      </bottom>
      <diagonal/>
    </border>
    <border>
      <left style="thin">
        <color indexed="22"/>
      </left>
      <right style="thin">
        <color indexed="22"/>
      </right>
      <top style="thin">
        <color indexed="22"/>
      </top>
      <bottom style="thin">
        <color indexed="64"/>
      </bottom>
      <diagonal/>
    </border>
    <border>
      <left style="thin">
        <color indexed="8"/>
      </left>
      <right style="thin">
        <color indexed="8"/>
      </right>
      <top style="thin">
        <color indexed="8"/>
      </top>
      <bottom style="thin">
        <color indexed="64"/>
      </bottom>
      <diagonal/>
    </border>
    <border>
      <left/>
      <right style="thin">
        <color indexed="22"/>
      </right>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n">
        <color indexed="64"/>
      </left>
      <right style="thin">
        <color indexed="64"/>
      </right>
      <top style="thin">
        <color indexed="8"/>
      </top>
      <bottom style="thin">
        <color indexed="64"/>
      </bottom>
      <diagonal/>
    </border>
    <border>
      <left style="thin">
        <color indexed="64"/>
      </left>
      <right style="thin">
        <color indexed="8"/>
      </right>
      <top style="thin">
        <color indexed="8"/>
      </top>
      <bottom style="thin">
        <color indexed="64"/>
      </bottom>
      <diagonal/>
    </border>
    <border>
      <left style="thin">
        <color indexed="8"/>
      </left>
      <right style="thin">
        <color indexed="64"/>
      </right>
      <top style="thin">
        <color indexed="8"/>
      </top>
      <bottom style="thin">
        <color indexed="64"/>
      </bottom>
      <diagonal/>
    </border>
    <border>
      <left/>
      <right/>
      <top style="thin">
        <color indexed="8"/>
      </top>
      <bottom/>
      <diagonal/>
    </border>
    <border>
      <left style="thin">
        <color indexed="22"/>
      </left>
      <right style="thin">
        <color indexed="22"/>
      </right>
      <top/>
      <bottom/>
      <diagonal/>
    </border>
    <border>
      <left style="thin">
        <color indexed="22"/>
      </left>
      <right/>
      <top style="thin">
        <color indexed="64"/>
      </top>
      <bottom/>
      <diagonal/>
    </border>
    <border>
      <left style="thin">
        <color indexed="22"/>
      </left>
      <right/>
      <top/>
      <bottom/>
      <diagonal/>
    </border>
    <border>
      <left style="thin">
        <color indexed="22"/>
      </left>
      <right style="thin">
        <color indexed="22"/>
      </right>
      <top/>
      <bottom style="thin">
        <color indexed="64"/>
      </bottom>
      <diagonal/>
    </border>
    <border>
      <left style="thin">
        <color indexed="22"/>
      </left>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8"/>
      </bottom>
      <diagonal/>
    </border>
    <border>
      <left style="thin">
        <color indexed="22"/>
      </left>
      <right style="thin">
        <color indexed="22"/>
      </right>
      <top/>
      <bottom style="thin">
        <color indexed="22"/>
      </bottom>
      <diagonal/>
    </border>
    <border>
      <left style="thin">
        <color indexed="22"/>
      </left>
      <right style="thin">
        <color indexed="22"/>
      </right>
      <top style="thin">
        <color indexed="64"/>
      </top>
      <bottom/>
      <diagonal/>
    </border>
    <border>
      <left style="thin">
        <color indexed="64"/>
      </left>
      <right style="thin">
        <color indexed="8"/>
      </right>
      <top style="thin">
        <color indexed="64"/>
      </top>
      <bottom/>
      <diagonal/>
    </border>
    <border>
      <left style="thin">
        <color indexed="8"/>
      </left>
      <right style="thin">
        <color indexed="8"/>
      </right>
      <top style="thin">
        <color indexed="64"/>
      </top>
      <bottom/>
      <diagonal/>
    </border>
    <border>
      <left style="thin">
        <color indexed="8"/>
      </left>
      <right style="thin">
        <color indexed="64"/>
      </right>
      <top style="thin">
        <color indexed="64"/>
      </top>
      <bottom/>
      <diagonal/>
    </border>
    <border>
      <left/>
      <right/>
      <top style="thin">
        <color indexed="8"/>
      </top>
      <bottom style="thin">
        <color indexed="64"/>
      </bottom>
      <diagonal/>
    </border>
    <border>
      <left style="thin">
        <color indexed="22"/>
      </left>
      <right style="thin">
        <color indexed="64"/>
      </right>
      <top/>
      <bottom style="thin">
        <color indexed="22"/>
      </bottom>
      <diagonal/>
    </border>
    <border>
      <left style="thin">
        <color indexed="22"/>
      </left>
      <right style="thin">
        <color indexed="64"/>
      </right>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64"/>
      </top>
      <bottom style="thin">
        <color indexed="64"/>
      </bottom>
      <diagonal/>
    </border>
    <border>
      <left/>
      <right style="thin">
        <color indexed="8"/>
      </right>
      <top style="thin">
        <color indexed="64"/>
      </top>
      <bottom style="thin">
        <color indexed="64"/>
      </bottom>
      <diagonal/>
    </border>
    <border>
      <left style="thin">
        <color indexed="8"/>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8"/>
      </left>
      <right/>
      <top style="thin">
        <color indexed="64"/>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
      <left style="thin">
        <color indexed="8"/>
      </left>
      <right style="thin">
        <color indexed="64"/>
      </right>
      <top style="thin">
        <color indexed="8"/>
      </top>
      <bottom style="thin">
        <color indexed="8"/>
      </bottom>
      <diagonal/>
    </border>
    <border>
      <left/>
      <right style="thin">
        <color indexed="8"/>
      </right>
      <top/>
      <bottom style="thin">
        <color indexed="64"/>
      </bottom>
      <diagonal/>
    </border>
    <border>
      <left style="thin">
        <color indexed="64"/>
      </left>
      <right style="thin">
        <color indexed="64"/>
      </right>
      <top style="thin">
        <color indexed="64"/>
      </top>
      <bottom style="thin">
        <color indexed="8"/>
      </bottom>
      <diagonal/>
    </border>
    <border>
      <left/>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top style="thin">
        <color indexed="8"/>
      </top>
      <bottom style="thin">
        <color indexed="8"/>
      </bottom>
      <diagonal/>
    </border>
    <border>
      <left style="thin">
        <color indexed="22"/>
      </left>
      <right style="thin">
        <color indexed="22"/>
      </right>
      <top/>
      <bottom style="thin">
        <color indexed="8"/>
      </bottom>
      <diagonal/>
    </border>
    <border>
      <left/>
      <right/>
      <top/>
      <bottom style="thick">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19">
    <xf numFmtId="0" fontId="0" fillId="0" borderId="0"/>
    <xf numFmtId="0" fontId="22" fillId="3" borderId="0" applyNumberFormat="0" applyBorder="0" applyAlignment="0" applyProtection="0"/>
    <xf numFmtId="0" fontId="22" fillId="4" borderId="0" applyNumberFormat="0" applyBorder="0" applyAlignment="0" applyProtection="0"/>
    <xf numFmtId="0" fontId="22" fillId="5" borderId="0" applyNumberFormat="0" applyBorder="0" applyAlignment="0" applyProtection="0"/>
    <xf numFmtId="0" fontId="22" fillId="6" borderId="0" applyNumberFormat="0" applyBorder="0" applyAlignment="0" applyProtection="0"/>
    <xf numFmtId="0" fontId="22" fillId="7" borderId="0" applyNumberFormat="0" applyBorder="0" applyAlignment="0" applyProtection="0"/>
    <xf numFmtId="0" fontId="22" fillId="8"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3" fillId="15" borderId="0" applyNumberFormat="0" applyBorder="0" applyAlignment="0" applyProtection="0"/>
    <xf numFmtId="0" fontId="22" fillId="15" borderId="0" applyNumberFormat="0" applyBorder="0" applyAlignment="0" applyProtection="0"/>
    <xf numFmtId="0" fontId="23" fillId="16" borderId="0" applyNumberFormat="0" applyBorder="0" applyAlignment="0" applyProtection="0"/>
    <xf numFmtId="0" fontId="22" fillId="16" borderId="0" applyNumberFormat="0" applyBorder="0" applyAlignment="0" applyProtection="0"/>
    <xf numFmtId="0" fontId="23" fillId="17" borderId="0" applyNumberFormat="0" applyBorder="0" applyAlignment="0" applyProtection="0"/>
    <xf numFmtId="0" fontId="22" fillId="17" borderId="0" applyNumberFormat="0" applyBorder="0" applyAlignment="0" applyProtection="0"/>
    <xf numFmtId="0" fontId="23" fillId="18" borderId="0" applyNumberFormat="0" applyBorder="0" applyAlignment="0" applyProtection="0"/>
    <xf numFmtId="0" fontId="22" fillId="18" borderId="0" applyNumberFormat="0" applyBorder="0" applyAlignment="0" applyProtection="0"/>
    <xf numFmtId="0" fontId="23" fillId="19" borderId="0" applyNumberFormat="0" applyBorder="0" applyAlignment="0" applyProtection="0"/>
    <xf numFmtId="0" fontId="22" fillId="19" borderId="0" applyNumberFormat="0" applyBorder="0" applyAlignment="0" applyProtection="0"/>
    <xf numFmtId="0" fontId="23" fillId="20" borderId="0" applyNumberFormat="0" applyBorder="0" applyAlignment="0" applyProtection="0"/>
    <xf numFmtId="0" fontId="22"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23" fillId="26" borderId="0" applyNumberFormat="0" applyBorder="0" applyAlignment="0" applyProtection="0"/>
    <xf numFmtId="0" fontId="24" fillId="27" borderId="0" applyNumberFormat="0" applyBorder="0" applyAlignment="0" applyProtection="0"/>
    <xf numFmtId="0" fontId="25" fillId="28" borderId="59" applyNumberFormat="0" applyAlignment="0" applyProtection="0"/>
    <xf numFmtId="0" fontId="26" fillId="29" borderId="60" applyNumberFormat="0" applyAlignment="0" applyProtection="0"/>
    <xf numFmtId="43" fontId="22" fillId="0" borderId="0" applyFont="0" applyFill="0" applyBorder="0" applyAlignment="0" applyProtection="0"/>
    <xf numFmtId="43" fontId="16" fillId="0" borderId="0" applyFont="0" applyFill="0" applyBorder="0" applyAlignment="0" applyProtection="0"/>
    <xf numFmtId="0" fontId="27" fillId="0" borderId="0" applyNumberFormat="0" applyFill="0" applyBorder="0" applyAlignment="0" applyProtection="0"/>
    <xf numFmtId="0" fontId="28" fillId="30" borderId="0" applyNumberFormat="0" applyBorder="0" applyAlignment="0" applyProtection="0"/>
    <xf numFmtId="0" fontId="29" fillId="0" borderId="61" applyNumberFormat="0" applyFill="0" applyAlignment="0" applyProtection="0"/>
    <xf numFmtId="0" fontId="30" fillId="0" borderId="62" applyNumberFormat="0" applyFill="0" applyAlignment="0" applyProtection="0"/>
    <xf numFmtId="0" fontId="31" fillId="0" borderId="63" applyNumberFormat="0" applyFill="0" applyAlignment="0" applyProtection="0"/>
    <xf numFmtId="0" fontId="31" fillId="0" borderId="0" applyNumberFormat="0" applyFill="0" applyBorder="0" applyAlignment="0" applyProtection="0"/>
    <xf numFmtId="0" fontId="32" fillId="31" borderId="59" applyNumberFormat="0" applyAlignment="0" applyProtection="0"/>
    <xf numFmtId="0" fontId="33" fillId="0" borderId="64" applyNumberFormat="0" applyFill="0" applyAlignment="0" applyProtection="0"/>
    <xf numFmtId="0" fontId="34" fillId="32" borderId="0" applyNumberFormat="0" applyBorder="0" applyAlignment="0" applyProtection="0"/>
    <xf numFmtId="0" fontId="35" fillId="32"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22" fillId="0" borderId="0"/>
    <xf numFmtId="0" fontId="16" fillId="0" borderId="0"/>
    <xf numFmtId="0" fontId="22" fillId="0" borderId="0"/>
    <xf numFmtId="0" fontId="16" fillId="0" borderId="0"/>
    <xf numFmtId="0" fontId="22" fillId="0" borderId="0"/>
    <xf numFmtId="0" fontId="22" fillId="0" borderId="0"/>
    <xf numFmtId="0" fontId="16" fillId="0" borderId="0"/>
    <xf numFmtId="0" fontId="22" fillId="0" borderId="0"/>
    <xf numFmtId="0" fontId="22" fillId="0" borderId="0"/>
    <xf numFmtId="0" fontId="16" fillId="0" borderId="0"/>
    <xf numFmtId="0" fontId="22" fillId="0" borderId="0"/>
    <xf numFmtId="0" fontId="16" fillId="0" borderId="0"/>
    <xf numFmtId="0" fontId="22" fillId="0" borderId="0"/>
    <xf numFmtId="0" fontId="22" fillId="0" borderId="0"/>
    <xf numFmtId="0" fontId="16" fillId="0" borderId="0"/>
    <xf numFmtId="0" fontId="22"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22" fillId="0" borderId="0"/>
    <xf numFmtId="0" fontId="22" fillId="0" borderId="0"/>
    <xf numFmtId="0" fontId="22" fillId="0" borderId="0"/>
    <xf numFmtId="0" fontId="6" fillId="0" borderId="0"/>
    <xf numFmtId="0" fontId="22" fillId="0" borderId="0"/>
    <xf numFmtId="0" fontId="22" fillId="0" borderId="0"/>
    <xf numFmtId="0" fontId="16" fillId="0" borderId="0"/>
    <xf numFmtId="0" fontId="22" fillId="0" borderId="0"/>
    <xf numFmtId="0" fontId="16" fillId="0" borderId="0"/>
    <xf numFmtId="0" fontId="22" fillId="0" borderId="0"/>
    <xf numFmtId="0" fontId="16" fillId="0" borderId="0"/>
    <xf numFmtId="0" fontId="22" fillId="0" borderId="0"/>
    <xf numFmtId="0" fontId="16" fillId="0" borderId="0"/>
    <xf numFmtId="0" fontId="22" fillId="0" borderId="0"/>
    <xf numFmtId="0" fontId="16" fillId="0" borderId="0"/>
    <xf numFmtId="0" fontId="22" fillId="0" borderId="0"/>
    <xf numFmtId="0" fontId="16" fillId="0" borderId="0"/>
    <xf numFmtId="0" fontId="22" fillId="0" borderId="0"/>
    <xf numFmtId="0" fontId="22" fillId="0" borderId="0"/>
    <xf numFmtId="0" fontId="22" fillId="0" borderId="0"/>
    <xf numFmtId="0" fontId="16" fillId="0" borderId="0"/>
    <xf numFmtId="0" fontId="16" fillId="0" borderId="0"/>
    <xf numFmtId="0" fontId="22" fillId="0" borderId="0"/>
    <xf numFmtId="0" fontId="16" fillId="0" borderId="0"/>
    <xf numFmtId="0" fontId="22" fillId="0" borderId="0"/>
    <xf numFmtId="0" fontId="16" fillId="0" borderId="0"/>
    <xf numFmtId="0" fontId="22" fillId="0" borderId="0"/>
    <xf numFmtId="0" fontId="16" fillId="0" borderId="0"/>
    <xf numFmtId="0" fontId="22" fillId="0" borderId="0"/>
    <xf numFmtId="0" fontId="16" fillId="0" borderId="0"/>
    <xf numFmtId="0" fontId="22" fillId="0" borderId="0"/>
    <xf numFmtId="0" fontId="16" fillId="0" borderId="0"/>
    <xf numFmtId="0" fontId="22" fillId="0" borderId="0"/>
    <xf numFmtId="0" fontId="16" fillId="0" borderId="0"/>
    <xf numFmtId="0" fontId="22" fillId="0" borderId="0"/>
    <xf numFmtId="0" fontId="16" fillId="0" borderId="0"/>
    <xf numFmtId="0" fontId="22" fillId="0" borderId="0"/>
    <xf numFmtId="0" fontId="16" fillId="0" borderId="0"/>
    <xf numFmtId="0" fontId="22" fillId="0" borderId="0"/>
    <xf numFmtId="0" fontId="16" fillId="0" borderId="0"/>
    <xf numFmtId="0" fontId="16" fillId="0" borderId="0"/>
    <xf numFmtId="0" fontId="22" fillId="0" borderId="0"/>
    <xf numFmtId="0" fontId="16" fillId="0" borderId="0"/>
    <xf numFmtId="0" fontId="22" fillId="0" borderId="0"/>
    <xf numFmtId="0" fontId="22"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22" fillId="0" borderId="0"/>
    <xf numFmtId="0" fontId="22"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22" fillId="0" borderId="0"/>
    <xf numFmtId="0" fontId="22"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6" fillId="0" borderId="0"/>
    <xf numFmtId="0" fontId="6" fillId="0" borderId="0"/>
    <xf numFmtId="0" fontId="16" fillId="0" borderId="0"/>
    <xf numFmtId="0" fontId="6" fillId="0" borderId="0"/>
    <xf numFmtId="0" fontId="1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2" fillId="0" borderId="0"/>
    <xf numFmtId="0" fontId="22" fillId="0" borderId="0"/>
    <xf numFmtId="0" fontId="22" fillId="0" borderId="0"/>
    <xf numFmtId="0" fontId="2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2" fillId="0" borderId="0"/>
    <xf numFmtId="0" fontId="2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2" fillId="0" borderId="0"/>
    <xf numFmtId="0" fontId="6" fillId="0" borderId="0"/>
    <xf numFmtId="0" fontId="6" fillId="0" borderId="0"/>
    <xf numFmtId="0" fontId="6" fillId="0" borderId="0"/>
    <xf numFmtId="0" fontId="6" fillId="0" borderId="0"/>
    <xf numFmtId="0" fontId="6" fillId="0" borderId="0"/>
    <xf numFmtId="0" fontId="22" fillId="0" borderId="0"/>
    <xf numFmtId="0" fontId="22" fillId="0" borderId="0"/>
    <xf numFmtId="0" fontId="2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 fillId="0" borderId="0"/>
    <xf numFmtId="0" fontId="3" fillId="0" borderId="0"/>
    <xf numFmtId="0" fontId="8" fillId="0" borderId="0"/>
    <xf numFmtId="0" fontId="3" fillId="0" borderId="0"/>
    <xf numFmtId="0" fontId="2" fillId="0" borderId="0"/>
    <xf numFmtId="0" fontId="3" fillId="0" borderId="0"/>
    <xf numFmtId="0" fontId="5" fillId="0" borderId="0"/>
    <xf numFmtId="0" fontId="2" fillId="0" borderId="0"/>
    <xf numFmtId="0" fontId="2" fillId="0" borderId="0"/>
    <xf numFmtId="0" fontId="2" fillId="0" borderId="0"/>
    <xf numFmtId="0" fontId="8" fillId="0" borderId="0"/>
    <xf numFmtId="0" fontId="2" fillId="0" borderId="0"/>
    <xf numFmtId="0" fontId="2" fillId="0" borderId="0"/>
    <xf numFmtId="0" fontId="3" fillId="0" borderId="0"/>
    <xf numFmtId="0" fontId="13" fillId="0" borderId="0"/>
    <xf numFmtId="0" fontId="3" fillId="0" borderId="0"/>
    <xf numFmtId="0" fontId="3" fillId="0" borderId="0"/>
    <xf numFmtId="0" fontId="2" fillId="0" borderId="0"/>
    <xf numFmtId="0" fontId="2" fillId="0" borderId="0"/>
    <xf numFmtId="0" fontId="3" fillId="0" borderId="0"/>
    <xf numFmtId="0" fontId="2" fillId="0" borderId="0"/>
    <xf numFmtId="0" fontId="22" fillId="33" borderId="65" applyNumberFormat="0" applyFont="0" applyAlignment="0" applyProtection="0"/>
    <xf numFmtId="0" fontId="36" fillId="28" borderId="66" applyNumberFormat="0" applyAlignment="0" applyProtection="0"/>
    <xf numFmtId="9" fontId="22" fillId="0" borderId="0" applyFont="0" applyFill="0" applyBorder="0" applyAlignment="0" applyProtection="0"/>
    <xf numFmtId="9" fontId="16" fillId="0" borderId="0" applyFont="0" applyFill="0" applyBorder="0" applyAlignment="0" applyProtection="0"/>
    <xf numFmtId="9" fontId="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67" applyNumberFormat="0" applyFill="0" applyAlignment="0" applyProtection="0"/>
    <xf numFmtId="0" fontId="40" fillId="0" borderId="0" applyNumberFormat="0" applyFill="0" applyBorder="0" applyAlignment="0" applyProtection="0"/>
  </cellStyleXfs>
  <cellXfs count="552">
    <xf numFmtId="0" fontId="0" fillId="0" borderId="0" xfId="0"/>
    <xf numFmtId="3" fontId="0" fillId="0" borderId="0" xfId="0" applyNumberFormat="1"/>
    <xf numFmtId="0" fontId="41" fillId="0" borderId="0" xfId="0" applyFont="1" applyAlignment="1">
      <alignment wrapText="1"/>
    </xf>
    <xf numFmtId="0" fontId="0" fillId="0" borderId="0" xfId="0" applyAlignment="1">
      <alignment horizontal="center"/>
    </xf>
    <xf numFmtId="3" fontId="0" fillId="0" borderId="0" xfId="0" applyNumberFormat="1" applyFill="1" applyBorder="1"/>
    <xf numFmtId="0" fontId="4" fillId="2" borderId="2" xfId="499" applyFont="1" applyFill="1" applyBorder="1" applyAlignment="1">
      <alignment horizontal="center" wrapText="1"/>
    </xf>
    <xf numFmtId="0" fontId="4" fillId="2" borderId="2" xfId="505" applyFont="1" applyFill="1" applyBorder="1" applyAlignment="1">
      <alignment horizontal="center" wrapText="1"/>
    </xf>
    <xf numFmtId="0" fontId="4" fillId="2" borderId="2" xfId="490" applyFont="1" applyFill="1" applyBorder="1" applyAlignment="1">
      <alignment horizontal="center" wrapText="1"/>
    </xf>
    <xf numFmtId="0" fontId="4" fillId="2" borderId="2" xfId="495" applyFont="1" applyFill="1" applyBorder="1" applyAlignment="1">
      <alignment horizontal="center" wrapText="1"/>
    </xf>
    <xf numFmtId="0" fontId="4" fillId="2" borderId="2" xfId="506" applyFont="1" applyFill="1" applyBorder="1" applyAlignment="1">
      <alignment horizontal="center" wrapText="1"/>
    </xf>
    <xf numFmtId="0" fontId="4" fillId="2" borderId="2" xfId="502" applyFont="1" applyFill="1" applyBorder="1" applyAlignment="1">
      <alignment horizontal="center" wrapText="1"/>
    </xf>
    <xf numFmtId="0" fontId="4" fillId="2" borderId="2" xfId="496" applyFont="1" applyFill="1" applyBorder="1" applyAlignment="1">
      <alignment horizontal="center" wrapText="1"/>
    </xf>
    <xf numFmtId="0" fontId="4" fillId="2" borderId="2" xfId="492" applyFont="1" applyFill="1" applyBorder="1" applyAlignment="1">
      <alignment horizontal="center" wrapText="1"/>
    </xf>
    <xf numFmtId="0" fontId="4" fillId="2" borderId="3" xfId="506" applyFont="1" applyFill="1" applyBorder="1" applyAlignment="1">
      <alignment horizontal="center" wrapText="1"/>
    </xf>
    <xf numFmtId="3" fontId="0" fillId="0" borderId="6" xfId="0" applyNumberFormat="1" applyBorder="1"/>
    <xf numFmtId="3" fontId="0" fillId="0" borderId="8" xfId="0" applyNumberFormat="1" applyBorder="1"/>
    <xf numFmtId="0" fontId="1" fillId="0" borderId="9" xfId="487" applyFont="1" applyFill="1" applyBorder="1" applyAlignment="1">
      <alignment horizontal="center" wrapText="1"/>
    </xf>
    <xf numFmtId="0" fontId="1" fillId="0" borderId="4" xfId="487" applyFont="1" applyFill="1" applyBorder="1" applyAlignment="1">
      <alignment horizontal="center" wrapText="1"/>
    </xf>
    <xf numFmtId="0" fontId="1" fillId="0" borderId="4" xfId="490" applyFont="1" applyFill="1" applyBorder="1" applyAlignment="1">
      <alignment horizontal="center" wrapText="1"/>
    </xf>
    <xf numFmtId="0" fontId="1" fillId="0" borderId="10" xfId="487" applyFont="1" applyFill="1" applyBorder="1" applyAlignment="1">
      <alignment horizontal="center" wrapText="1"/>
    </xf>
    <xf numFmtId="0" fontId="1" fillId="0" borderId="0" xfId="487" applyFont="1" applyFill="1" applyBorder="1" applyAlignment="1">
      <alignment horizontal="center" wrapText="1"/>
    </xf>
    <xf numFmtId="0" fontId="1" fillId="0" borderId="0" xfId="490" applyFont="1" applyFill="1" applyBorder="1" applyAlignment="1">
      <alignment horizontal="center" wrapText="1"/>
    </xf>
    <xf numFmtId="0" fontId="1" fillId="0" borderId="11" xfId="487" applyFont="1" applyFill="1" applyBorder="1" applyAlignment="1">
      <alignment horizontal="center" wrapText="1"/>
    </xf>
    <xf numFmtId="0" fontId="1" fillId="0" borderId="7" xfId="487" applyFont="1" applyFill="1" applyBorder="1" applyAlignment="1">
      <alignment horizontal="center" wrapText="1"/>
    </xf>
    <xf numFmtId="0" fontId="1" fillId="0" borderId="7" xfId="490" applyFont="1" applyFill="1" applyBorder="1" applyAlignment="1">
      <alignment horizontal="center" wrapText="1"/>
    </xf>
    <xf numFmtId="3" fontId="0" fillId="0" borderId="0" xfId="0" applyNumberFormat="1" applyBorder="1"/>
    <xf numFmtId="0" fontId="1" fillId="0" borderId="9" xfId="502" applyFont="1" applyFill="1" applyBorder="1" applyAlignment="1">
      <alignment horizontal="center" wrapText="1"/>
    </xf>
    <xf numFmtId="0" fontId="1" fillId="0" borderId="4" xfId="502" applyFont="1" applyFill="1" applyBorder="1" applyAlignment="1">
      <alignment horizontal="center" wrapText="1"/>
    </xf>
    <xf numFmtId="0" fontId="1" fillId="0" borderId="10" xfId="502" applyFont="1" applyFill="1" applyBorder="1" applyAlignment="1">
      <alignment horizontal="center" wrapText="1"/>
    </xf>
    <xf numFmtId="0" fontId="1" fillId="0" borderId="0" xfId="502" applyFont="1" applyFill="1" applyBorder="1" applyAlignment="1">
      <alignment horizontal="center" wrapText="1"/>
    </xf>
    <xf numFmtId="0" fontId="1" fillId="0" borderId="11" xfId="502" applyFont="1" applyFill="1" applyBorder="1" applyAlignment="1">
      <alignment horizontal="center" wrapText="1"/>
    </xf>
    <xf numFmtId="0" fontId="1" fillId="0" borderId="7" xfId="502" applyFont="1" applyFill="1" applyBorder="1" applyAlignment="1">
      <alignment horizontal="center" wrapText="1"/>
    </xf>
    <xf numFmtId="0" fontId="4" fillId="2" borderId="12" xfId="506" applyFont="1" applyFill="1" applyBorder="1" applyAlignment="1">
      <alignment horizontal="center" wrapText="1"/>
    </xf>
    <xf numFmtId="0" fontId="4" fillId="2" borderId="13" xfId="506" applyFont="1" applyFill="1" applyBorder="1" applyAlignment="1">
      <alignment horizontal="center" wrapText="1"/>
    </xf>
    <xf numFmtId="0" fontId="4" fillId="2" borderId="2" xfId="493" applyFont="1" applyFill="1" applyBorder="1" applyAlignment="1">
      <alignment horizontal="center" wrapText="1"/>
    </xf>
    <xf numFmtId="0" fontId="4" fillId="2" borderId="2" xfId="494" applyFont="1" applyFill="1" applyBorder="1" applyAlignment="1">
      <alignment horizontal="center" wrapText="1"/>
    </xf>
    <xf numFmtId="0" fontId="4" fillId="2" borderId="2" xfId="507" applyFont="1" applyFill="1" applyBorder="1" applyAlignment="1">
      <alignment horizontal="center" wrapText="1"/>
    </xf>
    <xf numFmtId="3" fontId="43" fillId="0" borderId="0" xfId="496" applyNumberFormat="1" applyFont="1" applyFill="1" applyBorder="1" applyAlignment="1">
      <alignment horizontal="right" wrapText="1"/>
    </xf>
    <xf numFmtId="3" fontId="43" fillId="0" borderId="0" xfId="493" applyNumberFormat="1" applyFont="1" applyFill="1" applyBorder="1" applyAlignment="1">
      <alignment horizontal="right" wrapText="1"/>
    </xf>
    <xf numFmtId="3" fontId="7" fillId="0" borderId="0" xfId="506" applyNumberFormat="1" applyFont="1" applyFill="1" applyBorder="1" applyAlignment="1">
      <alignment horizontal="right" wrapText="1"/>
    </xf>
    <xf numFmtId="3" fontId="7" fillId="0" borderId="7" xfId="506" applyNumberFormat="1" applyFont="1" applyFill="1" applyBorder="1" applyAlignment="1">
      <alignment horizontal="right" wrapText="1"/>
    </xf>
    <xf numFmtId="0" fontId="0" fillId="0" borderId="0" xfId="0" applyAlignment="1">
      <alignment horizontal="left"/>
    </xf>
    <xf numFmtId="3" fontId="7" fillId="0" borderId="4" xfId="496" applyNumberFormat="1" applyFont="1" applyFill="1" applyBorder="1" applyAlignment="1">
      <alignment horizontal="right" wrapText="1"/>
    </xf>
    <xf numFmtId="3" fontId="7" fillId="0" borderId="0" xfId="496" applyNumberFormat="1" applyFont="1" applyFill="1" applyBorder="1" applyAlignment="1">
      <alignment horizontal="right" wrapText="1"/>
    </xf>
    <xf numFmtId="3" fontId="7" fillId="0" borderId="7" xfId="496" applyNumberFormat="1" applyFont="1" applyFill="1" applyBorder="1" applyAlignment="1">
      <alignment horizontal="right" wrapText="1"/>
    </xf>
    <xf numFmtId="3" fontId="42" fillId="0" borderId="0" xfId="0" applyNumberFormat="1" applyFont="1"/>
    <xf numFmtId="0" fontId="42" fillId="0" borderId="0" xfId="0" applyFont="1"/>
    <xf numFmtId="3" fontId="7" fillId="0" borderId="4" xfId="506" applyNumberFormat="1" applyFont="1" applyFill="1" applyBorder="1" applyAlignment="1">
      <alignment horizontal="right" wrapText="1"/>
    </xf>
    <xf numFmtId="3" fontId="7" fillId="0" borderId="6" xfId="506" applyNumberFormat="1" applyFont="1" applyFill="1" applyBorder="1" applyAlignment="1">
      <alignment horizontal="right" wrapText="1"/>
    </xf>
    <xf numFmtId="3" fontId="7" fillId="0" borderId="8" xfId="506" applyNumberFormat="1" applyFont="1" applyFill="1" applyBorder="1" applyAlignment="1">
      <alignment horizontal="right" wrapText="1"/>
    </xf>
    <xf numFmtId="0" fontId="7" fillId="0" borderId="9" xfId="499" applyFont="1" applyFill="1" applyBorder="1" applyAlignment="1">
      <alignment horizontal="center" wrapText="1"/>
    </xf>
    <xf numFmtId="0" fontId="7" fillId="0" borderId="4" xfId="499" applyFont="1" applyFill="1" applyBorder="1" applyAlignment="1">
      <alignment horizontal="center" wrapText="1"/>
    </xf>
    <xf numFmtId="3" fontId="7" fillId="0" borderId="4" xfId="499" applyNumberFormat="1" applyFont="1" applyFill="1" applyBorder="1" applyAlignment="1">
      <alignment horizontal="right" wrapText="1"/>
    </xf>
    <xf numFmtId="3" fontId="42" fillId="0" borderId="5" xfId="0" applyNumberFormat="1" applyFont="1" applyBorder="1"/>
    <xf numFmtId="0" fontId="7" fillId="0" borderId="10" xfId="499" applyFont="1" applyFill="1" applyBorder="1" applyAlignment="1">
      <alignment horizontal="center" wrapText="1"/>
    </xf>
    <xf numFmtId="0" fontId="7" fillId="0" borderId="0" xfId="499" applyFont="1" applyFill="1" applyBorder="1" applyAlignment="1">
      <alignment horizontal="center" wrapText="1"/>
    </xf>
    <xf numFmtId="3" fontId="7" fillId="0" borderId="0" xfId="499" applyNumberFormat="1" applyFont="1" applyFill="1" applyBorder="1" applyAlignment="1">
      <alignment horizontal="right" wrapText="1"/>
    </xf>
    <xf numFmtId="3" fontId="42" fillId="0" borderId="6" xfId="0" applyNumberFormat="1" applyFont="1" applyBorder="1"/>
    <xf numFmtId="0" fontId="7" fillId="0" borderId="11" xfId="499" applyFont="1" applyFill="1" applyBorder="1" applyAlignment="1">
      <alignment horizontal="center" wrapText="1"/>
    </xf>
    <xf numFmtId="0" fontId="7" fillId="0" borderId="7" xfId="499" applyFont="1" applyFill="1" applyBorder="1" applyAlignment="1">
      <alignment horizontal="center" wrapText="1"/>
    </xf>
    <xf numFmtId="3" fontId="7" fillId="0" borderId="7" xfId="499" applyNumberFormat="1" applyFont="1" applyFill="1" applyBorder="1" applyAlignment="1">
      <alignment horizontal="right" wrapText="1"/>
    </xf>
    <xf numFmtId="3" fontId="42" fillId="0" borderId="8" xfId="0" applyNumberFormat="1" applyFont="1" applyBorder="1"/>
    <xf numFmtId="0" fontId="9" fillId="2" borderId="2" xfId="499" applyFont="1" applyFill="1" applyBorder="1" applyAlignment="1">
      <alignment horizontal="center" wrapText="1"/>
    </xf>
    <xf numFmtId="0" fontId="42" fillId="0" borderId="0" xfId="0" applyFont="1" applyAlignment="1">
      <alignment horizontal="center"/>
    </xf>
    <xf numFmtId="10" fontId="42" fillId="0" borderId="0" xfId="0" applyNumberFormat="1" applyFont="1"/>
    <xf numFmtId="0" fontId="44" fillId="0" borderId="0" xfId="0" applyFont="1" applyAlignment="1">
      <alignment wrapText="1"/>
    </xf>
    <xf numFmtId="3" fontId="10" fillId="0" borderId="0" xfId="0" applyNumberFormat="1" applyFont="1"/>
    <xf numFmtId="0" fontId="10" fillId="0" borderId="0" xfId="0" applyFont="1"/>
    <xf numFmtId="3" fontId="42" fillId="0" borderId="0" xfId="0" applyNumberFormat="1" applyFont="1" applyBorder="1"/>
    <xf numFmtId="3" fontId="7" fillId="0" borderId="0" xfId="500" applyNumberFormat="1" applyFont="1" applyFill="1" applyBorder="1" applyAlignment="1">
      <alignment horizontal="right" wrapText="1"/>
    </xf>
    <xf numFmtId="3" fontId="7" fillId="0" borderId="7" xfId="500" applyNumberFormat="1" applyFont="1" applyFill="1" applyBorder="1" applyAlignment="1">
      <alignment horizontal="right" wrapText="1"/>
    </xf>
    <xf numFmtId="3" fontId="7" fillId="0" borderId="4" xfId="505" applyNumberFormat="1" applyFont="1" applyFill="1" applyBorder="1" applyAlignment="1">
      <alignment horizontal="right" wrapText="1"/>
    </xf>
    <xf numFmtId="3" fontId="7" fillId="0" borderId="0" xfId="505" applyNumberFormat="1" applyFont="1" applyFill="1" applyBorder="1" applyAlignment="1">
      <alignment horizontal="right" wrapText="1"/>
    </xf>
    <xf numFmtId="3" fontId="7" fillId="0" borderId="7" xfId="505" applyNumberFormat="1" applyFont="1" applyFill="1" applyBorder="1" applyAlignment="1">
      <alignment horizontal="right" wrapText="1"/>
    </xf>
    <xf numFmtId="0" fontId="9" fillId="2" borderId="2" xfId="505" applyFont="1" applyFill="1" applyBorder="1" applyAlignment="1">
      <alignment horizontal="center" wrapText="1"/>
    </xf>
    <xf numFmtId="0" fontId="9" fillId="2" borderId="2" xfId="506" applyFont="1" applyFill="1" applyBorder="1" applyAlignment="1">
      <alignment horizontal="center" wrapText="1"/>
    </xf>
    <xf numFmtId="0" fontId="9" fillId="2" borderId="16" xfId="506" applyFont="1" applyFill="1" applyBorder="1" applyAlignment="1">
      <alignment horizontal="center" wrapText="1"/>
    </xf>
    <xf numFmtId="0" fontId="9" fillId="2" borderId="18" xfId="506" applyFont="1" applyFill="1" applyBorder="1" applyAlignment="1">
      <alignment horizontal="center" wrapText="1"/>
    </xf>
    <xf numFmtId="0" fontId="9" fillId="2" borderId="19" xfId="506" applyFont="1" applyFill="1" applyBorder="1" applyAlignment="1">
      <alignment horizontal="center" wrapText="1"/>
    </xf>
    <xf numFmtId="0" fontId="9" fillId="2" borderId="20" xfId="506" applyFont="1" applyFill="1" applyBorder="1" applyAlignment="1">
      <alignment horizontal="center" wrapText="1"/>
    </xf>
    <xf numFmtId="0" fontId="9" fillId="2" borderId="21" xfId="506" applyFont="1" applyFill="1" applyBorder="1" applyAlignment="1">
      <alignment horizontal="center" wrapText="1"/>
    </xf>
    <xf numFmtId="0" fontId="9" fillId="2" borderId="22" xfId="506" applyFont="1" applyFill="1" applyBorder="1" applyAlignment="1">
      <alignment horizontal="center" wrapText="1"/>
    </xf>
    <xf numFmtId="0" fontId="9" fillId="2" borderId="23" xfId="506" applyFont="1" applyFill="1" applyBorder="1" applyAlignment="1">
      <alignment horizontal="center" wrapText="1"/>
    </xf>
    <xf numFmtId="0" fontId="9" fillId="2" borderId="3" xfId="506" applyFont="1" applyFill="1" applyBorder="1" applyAlignment="1">
      <alignment horizontal="center" wrapText="1"/>
    </xf>
    <xf numFmtId="0" fontId="7" fillId="0" borderId="9" xfId="487" applyFont="1" applyFill="1" applyBorder="1" applyAlignment="1">
      <alignment horizontal="center" wrapText="1"/>
    </xf>
    <xf numFmtId="0" fontId="7" fillId="0" borderId="4" xfId="487" applyFont="1" applyFill="1" applyBorder="1" applyAlignment="1">
      <alignment horizontal="center" wrapText="1"/>
    </xf>
    <xf numFmtId="0" fontId="7" fillId="0" borderId="4" xfId="506" applyFont="1" applyFill="1" applyBorder="1" applyAlignment="1">
      <alignment horizontal="center" wrapText="1"/>
    </xf>
    <xf numFmtId="3" fontId="7" fillId="0" borderId="4" xfId="488" applyNumberFormat="1" applyFont="1" applyFill="1" applyBorder="1" applyAlignment="1">
      <alignment horizontal="right" wrapText="1"/>
    </xf>
    <xf numFmtId="0" fontId="7" fillId="0" borderId="10" xfId="487" applyFont="1" applyFill="1" applyBorder="1" applyAlignment="1">
      <alignment horizontal="center" wrapText="1"/>
    </xf>
    <xf numFmtId="0" fontId="7" fillId="0" borderId="0" xfId="487" applyFont="1" applyFill="1" applyBorder="1" applyAlignment="1">
      <alignment horizontal="center" wrapText="1"/>
    </xf>
    <xf numFmtId="0" fontId="7" fillId="0" borderId="0" xfId="506" applyFont="1" applyFill="1" applyBorder="1" applyAlignment="1">
      <alignment horizontal="center" wrapText="1"/>
    </xf>
    <xf numFmtId="3" fontId="7" fillId="0" borderId="0" xfId="488" applyNumberFormat="1" applyFont="1" applyFill="1" applyBorder="1" applyAlignment="1">
      <alignment horizontal="right" wrapText="1"/>
    </xf>
    <xf numFmtId="0" fontId="7" fillId="0" borderId="11" xfId="487" applyFont="1" applyFill="1" applyBorder="1" applyAlignment="1">
      <alignment horizontal="center" wrapText="1"/>
    </xf>
    <xf numFmtId="0" fontId="7" fillId="0" borderId="7" xfId="487" applyFont="1" applyFill="1" applyBorder="1" applyAlignment="1">
      <alignment horizontal="center" wrapText="1"/>
    </xf>
    <xf numFmtId="0" fontId="7" fillId="0" borderId="7" xfId="506" applyFont="1" applyFill="1" applyBorder="1" applyAlignment="1">
      <alignment horizontal="center" wrapText="1"/>
    </xf>
    <xf numFmtId="3" fontId="7" fillId="0" borderId="7" xfId="488" applyNumberFormat="1" applyFont="1" applyFill="1" applyBorder="1" applyAlignment="1">
      <alignment horizontal="right" wrapText="1"/>
    </xf>
    <xf numFmtId="0" fontId="9" fillId="2" borderId="29" xfId="499" applyFont="1" applyFill="1" applyBorder="1" applyAlignment="1">
      <alignment horizontal="center"/>
    </xf>
    <xf numFmtId="0" fontId="9" fillId="2" borderId="29" xfId="500" applyFont="1" applyFill="1" applyBorder="1" applyAlignment="1">
      <alignment horizontal="center" wrapText="1"/>
    </xf>
    <xf numFmtId="0" fontId="7" fillId="0" borderId="4" xfId="500" applyFont="1" applyFill="1" applyBorder="1" applyAlignment="1">
      <alignment wrapText="1"/>
    </xf>
    <xf numFmtId="3" fontId="42" fillId="0" borderId="4" xfId="0" applyNumberFormat="1" applyFont="1" applyBorder="1"/>
    <xf numFmtId="0" fontId="7" fillId="0" borderId="0" xfId="500" applyFont="1" applyFill="1" applyBorder="1" applyAlignment="1">
      <alignment wrapText="1"/>
    </xf>
    <xf numFmtId="0" fontId="7" fillId="0" borderId="7" xfId="500" applyFont="1" applyFill="1" applyBorder="1" applyAlignment="1">
      <alignment wrapText="1"/>
    </xf>
    <xf numFmtId="3" fontId="42" fillId="0" borderId="7" xfId="0" applyNumberFormat="1" applyFont="1" applyBorder="1"/>
    <xf numFmtId="3" fontId="7" fillId="0" borderId="4" xfId="490" applyNumberFormat="1" applyFont="1" applyFill="1" applyBorder="1" applyAlignment="1">
      <alignment horizontal="right" wrapText="1"/>
    </xf>
    <xf numFmtId="3" fontId="7" fillId="0" borderId="0" xfId="490" applyNumberFormat="1" applyFont="1" applyFill="1" applyBorder="1" applyAlignment="1">
      <alignment horizontal="right" wrapText="1"/>
    </xf>
    <xf numFmtId="3" fontId="7" fillId="0" borderId="7" xfId="490" applyNumberFormat="1" applyFont="1" applyFill="1" applyBorder="1" applyAlignment="1">
      <alignment horizontal="right" wrapText="1"/>
    </xf>
    <xf numFmtId="0" fontId="9" fillId="2" borderId="2" xfId="490" applyFont="1" applyFill="1" applyBorder="1" applyAlignment="1">
      <alignment horizontal="center" wrapText="1"/>
    </xf>
    <xf numFmtId="0" fontId="4" fillId="2" borderId="16" xfId="505" applyFont="1" applyFill="1" applyBorder="1" applyAlignment="1">
      <alignment horizontal="center" wrapText="1"/>
    </xf>
    <xf numFmtId="0" fontId="4" fillId="2" borderId="16" xfId="492" applyFont="1" applyFill="1" applyBorder="1" applyAlignment="1">
      <alignment horizontal="center" wrapText="1"/>
    </xf>
    <xf numFmtId="3" fontId="7" fillId="0" borderId="4" xfId="493" applyNumberFormat="1" applyFont="1" applyFill="1" applyBorder="1" applyAlignment="1">
      <alignment horizontal="right" wrapText="1"/>
    </xf>
    <xf numFmtId="3" fontId="7" fillId="0" borderId="0" xfId="493" applyNumberFormat="1" applyFont="1" applyFill="1" applyBorder="1" applyAlignment="1">
      <alignment horizontal="right" wrapText="1"/>
    </xf>
    <xf numFmtId="3" fontId="7" fillId="0" borderId="7" xfId="493" applyNumberFormat="1" applyFont="1" applyFill="1" applyBorder="1" applyAlignment="1">
      <alignment horizontal="right" wrapText="1"/>
    </xf>
    <xf numFmtId="0" fontId="4" fillId="2" borderId="16" xfId="495" applyFont="1" applyFill="1" applyBorder="1" applyAlignment="1">
      <alignment horizontal="center" wrapText="1"/>
    </xf>
    <xf numFmtId="0" fontId="0" fillId="0" borderId="0" xfId="0" applyAlignment="1">
      <alignment wrapText="1"/>
    </xf>
    <xf numFmtId="3" fontId="0" fillId="0" borderId="4" xfId="0" applyNumberFormat="1" applyFill="1" applyBorder="1"/>
    <xf numFmtId="0" fontId="9" fillId="2" borderId="33" xfId="505" applyFont="1" applyFill="1" applyBorder="1" applyAlignment="1">
      <alignment horizontal="center" wrapText="1"/>
    </xf>
    <xf numFmtId="0" fontId="9" fillId="2" borderId="34" xfId="505" applyFont="1" applyFill="1" applyBorder="1" applyAlignment="1">
      <alignment horizontal="center" wrapText="1"/>
    </xf>
    <xf numFmtId="3" fontId="7" fillId="0" borderId="4" xfId="489" applyNumberFormat="1" applyFont="1" applyFill="1" applyBorder="1" applyAlignment="1">
      <alignment horizontal="right" wrapText="1"/>
    </xf>
    <xf numFmtId="3" fontId="7" fillId="0" borderId="0" xfId="489" applyNumberFormat="1" applyFont="1" applyFill="1" applyBorder="1" applyAlignment="1">
      <alignment horizontal="right" wrapText="1"/>
    </xf>
    <xf numFmtId="3" fontId="7" fillId="0" borderId="5" xfId="488" applyNumberFormat="1" applyFont="1" applyFill="1" applyBorder="1" applyAlignment="1">
      <alignment horizontal="right" wrapText="1"/>
    </xf>
    <xf numFmtId="1" fontId="7" fillId="0" borderId="5" xfId="490" applyNumberFormat="1" applyFont="1" applyFill="1" applyBorder="1" applyAlignment="1">
      <alignment horizontal="right" wrapText="1"/>
    </xf>
    <xf numFmtId="1" fontId="7" fillId="0" borderId="9" xfId="487" applyNumberFormat="1" applyFont="1" applyFill="1" applyBorder="1" applyAlignment="1">
      <alignment horizontal="center" wrapText="1"/>
    </xf>
    <xf numFmtId="1" fontId="7" fillId="0" borderId="4" xfId="487" applyNumberFormat="1" applyFont="1" applyFill="1" applyBorder="1" applyAlignment="1">
      <alignment horizontal="center" wrapText="1"/>
    </xf>
    <xf numFmtId="1" fontId="7" fillId="0" borderId="4" xfId="490" applyNumberFormat="1" applyFont="1" applyFill="1" applyBorder="1" applyAlignment="1">
      <alignment horizontal="center" wrapText="1"/>
    </xf>
    <xf numFmtId="1" fontId="7" fillId="0" borderId="4" xfId="490" applyNumberFormat="1" applyFont="1" applyFill="1" applyBorder="1" applyAlignment="1">
      <alignment horizontal="right" wrapText="1"/>
    </xf>
    <xf numFmtId="1" fontId="7" fillId="0" borderId="10" xfId="487" applyNumberFormat="1" applyFont="1" applyFill="1" applyBorder="1" applyAlignment="1">
      <alignment horizontal="center" wrapText="1"/>
    </xf>
    <xf numFmtId="1" fontId="7" fillId="0" borderId="0" xfId="487" applyNumberFormat="1" applyFont="1" applyFill="1" applyBorder="1" applyAlignment="1">
      <alignment horizontal="center" wrapText="1"/>
    </xf>
    <xf numFmtId="1" fontId="7" fillId="0" borderId="0" xfId="490" applyNumberFormat="1" applyFont="1" applyFill="1" applyBorder="1" applyAlignment="1">
      <alignment horizontal="center" wrapText="1"/>
    </xf>
    <xf numFmtId="1" fontId="7" fillId="0" borderId="0" xfId="490" applyNumberFormat="1" applyFont="1" applyFill="1" applyBorder="1" applyAlignment="1">
      <alignment horizontal="right" wrapText="1"/>
    </xf>
    <xf numFmtId="1" fontId="7" fillId="0" borderId="6" xfId="490" applyNumberFormat="1" applyFont="1" applyFill="1" applyBorder="1" applyAlignment="1">
      <alignment horizontal="right" wrapText="1"/>
    </xf>
    <xf numFmtId="1" fontId="7" fillId="0" borderId="11" xfId="487" applyNumberFormat="1" applyFont="1" applyFill="1" applyBorder="1" applyAlignment="1">
      <alignment horizontal="center" wrapText="1"/>
    </xf>
    <xf numFmtId="1" fontId="7" fillId="0" borderId="7" xfId="487" applyNumberFormat="1" applyFont="1" applyFill="1" applyBorder="1" applyAlignment="1">
      <alignment horizontal="center" wrapText="1"/>
    </xf>
    <xf numFmtId="1" fontId="7" fillId="0" borderId="7" xfId="490" applyNumberFormat="1" applyFont="1" applyFill="1" applyBorder="1" applyAlignment="1">
      <alignment horizontal="center" wrapText="1"/>
    </xf>
    <xf numFmtId="1" fontId="7" fillId="0" borderId="7" xfId="490" applyNumberFormat="1" applyFont="1" applyFill="1" applyBorder="1" applyAlignment="1">
      <alignment horizontal="right" wrapText="1"/>
    </xf>
    <xf numFmtId="1" fontId="7" fillId="0" borderId="8" xfId="490" applyNumberFormat="1" applyFont="1" applyFill="1" applyBorder="1" applyAlignment="1">
      <alignment horizontal="right" wrapText="1"/>
    </xf>
    <xf numFmtId="3" fontId="7" fillId="0" borderId="4" xfId="491" applyNumberFormat="1" applyFont="1" applyFill="1" applyBorder="1" applyAlignment="1">
      <alignment horizontal="right" wrapText="1"/>
    </xf>
    <xf numFmtId="3" fontId="7" fillId="0" borderId="0" xfId="491" applyNumberFormat="1" applyFont="1" applyFill="1" applyBorder="1" applyAlignment="1">
      <alignment horizontal="right" wrapText="1"/>
    </xf>
    <xf numFmtId="3" fontId="7" fillId="0" borderId="7" xfId="491" applyNumberFormat="1" applyFont="1" applyFill="1" applyBorder="1" applyAlignment="1">
      <alignment horizontal="right" wrapText="1"/>
    </xf>
    <xf numFmtId="0" fontId="11" fillId="2" borderId="2" xfId="505" applyFont="1" applyFill="1" applyBorder="1" applyAlignment="1">
      <alignment horizontal="center" wrapText="1"/>
    </xf>
    <xf numFmtId="0" fontId="11" fillId="2" borderId="2" xfId="492" applyFont="1" applyFill="1" applyBorder="1" applyAlignment="1">
      <alignment horizontal="center" wrapText="1"/>
    </xf>
    <xf numFmtId="0" fontId="11" fillId="2" borderId="3" xfId="506" applyFont="1" applyFill="1" applyBorder="1" applyAlignment="1">
      <alignment horizontal="center" wrapText="1"/>
    </xf>
    <xf numFmtId="0" fontId="11" fillId="2" borderId="12" xfId="506" applyFont="1" applyFill="1" applyBorder="1" applyAlignment="1">
      <alignment horizontal="center" wrapText="1"/>
    </xf>
    <xf numFmtId="0" fontId="45" fillId="0" borderId="0" xfId="0" applyFont="1" applyAlignment="1">
      <alignment wrapText="1"/>
    </xf>
    <xf numFmtId="0" fontId="11" fillId="0" borderId="9" xfId="487" applyFont="1" applyFill="1" applyBorder="1" applyAlignment="1">
      <alignment horizontal="center" wrapText="1"/>
    </xf>
    <xf numFmtId="0" fontId="11" fillId="0" borderId="4" xfId="487" applyFont="1" applyFill="1" applyBorder="1" applyAlignment="1">
      <alignment horizontal="center" wrapText="1"/>
    </xf>
    <xf numFmtId="3" fontId="12" fillId="0" borderId="4" xfId="492" applyNumberFormat="1" applyFont="1" applyFill="1" applyBorder="1" applyAlignment="1">
      <alignment horizontal="right" wrapText="1"/>
    </xf>
    <xf numFmtId="0" fontId="11" fillId="0" borderId="10" xfId="487" applyFont="1" applyFill="1" applyBorder="1" applyAlignment="1">
      <alignment horizontal="center" wrapText="1"/>
    </xf>
    <xf numFmtId="0" fontId="11" fillId="0" borderId="0" xfId="487" applyFont="1" applyFill="1" applyBorder="1" applyAlignment="1">
      <alignment horizontal="center" wrapText="1"/>
    </xf>
    <xf numFmtId="0" fontId="11" fillId="0" borderId="0" xfId="490" applyFont="1" applyFill="1" applyBorder="1" applyAlignment="1">
      <alignment horizontal="center" wrapText="1"/>
    </xf>
    <xf numFmtId="3" fontId="12" fillId="0" borderId="0" xfId="492" applyNumberFormat="1" applyFont="1" applyFill="1" applyBorder="1" applyAlignment="1">
      <alignment horizontal="right" wrapText="1"/>
    </xf>
    <xf numFmtId="3" fontId="46" fillId="0" borderId="0" xfId="0" applyNumberFormat="1" applyFont="1" applyBorder="1"/>
    <xf numFmtId="0" fontId="11" fillId="0" borderId="11" xfId="487" applyFont="1" applyFill="1" applyBorder="1" applyAlignment="1">
      <alignment horizontal="center" wrapText="1"/>
    </xf>
    <xf numFmtId="0" fontId="11" fillId="0" borderId="7" xfId="487" applyFont="1" applyFill="1" applyBorder="1" applyAlignment="1">
      <alignment horizontal="center" wrapText="1"/>
    </xf>
    <xf numFmtId="0" fontId="11" fillId="0" borderId="7" xfId="490" applyFont="1" applyFill="1" applyBorder="1" applyAlignment="1">
      <alignment horizontal="center" wrapText="1"/>
    </xf>
    <xf numFmtId="3" fontId="12" fillId="0" borderId="7" xfId="492" applyNumberFormat="1" applyFont="1" applyFill="1" applyBorder="1" applyAlignment="1">
      <alignment horizontal="right" wrapText="1"/>
    </xf>
    <xf numFmtId="0" fontId="0" fillId="0" borderId="0" xfId="0"/>
    <xf numFmtId="0" fontId="9" fillId="2" borderId="36" xfId="506" applyFont="1" applyFill="1" applyBorder="1" applyAlignment="1">
      <alignment horizontal="center" wrapText="1"/>
    </xf>
    <xf numFmtId="3" fontId="7" fillId="0" borderId="7" xfId="489" applyNumberFormat="1" applyFont="1" applyFill="1" applyBorder="1" applyAlignment="1">
      <alignment horizontal="right" wrapText="1"/>
    </xf>
    <xf numFmtId="0" fontId="9" fillId="2" borderId="16" xfId="490" applyFont="1" applyFill="1" applyBorder="1" applyAlignment="1">
      <alignment horizontal="center" wrapText="1"/>
    </xf>
    <xf numFmtId="0" fontId="9" fillId="2" borderId="29" xfId="506" applyFont="1" applyFill="1" applyBorder="1" applyAlignment="1">
      <alignment horizontal="center" wrapText="1"/>
    </xf>
    <xf numFmtId="0" fontId="11" fillId="2" borderId="16" xfId="490" applyFont="1" applyFill="1" applyBorder="1" applyAlignment="1">
      <alignment horizontal="center" wrapText="1"/>
    </xf>
    <xf numFmtId="0" fontId="4" fillId="2" borderId="16" xfId="490" applyFont="1" applyFill="1" applyBorder="1" applyAlignment="1">
      <alignment horizontal="center" wrapText="1"/>
    </xf>
    <xf numFmtId="1" fontId="0" fillId="0" borderId="0" xfId="0" applyNumberFormat="1"/>
    <xf numFmtId="0" fontId="0" fillId="0" borderId="0" xfId="0"/>
    <xf numFmtId="0" fontId="4" fillId="2" borderId="16" xfId="496" applyFont="1" applyFill="1" applyBorder="1" applyAlignment="1">
      <alignment horizontal="center" wrapText="1"/>
    </xf>
    <xf numFmtId="0" fontId="0" fillId="0" borderId="0" xfId="0"/>
    <xf numFmtId="3" fontId="42" fillId="0" borderId="0" xfId="0" applyNumberFormat="1" applyFont="1"/>
    <xf numFmtId="3" fontId="45" fillId="0" borderId="0" xfId="0" applyNumberFormat="1" applyFont="1"/>
    <xf numFmtId="0" fontId="45" fillId="0" borderId="0" xfId="0" applyFont="1"/>
    <xf numFmtId="0" fontId="4" fillId="2" borderId="16" xfId="506" applyFont="1" applyFill="1" applyBorder="1" applyAlignment="1">
      <alignment horizontal="center" wrapText="1"/>
    </xf>
    <xf numFmtId="0" fontId="0" fillId="0" borderId="0" xfId="0"/>
    <xf numFmtId="3" fontId="0" fillId="0" borderId="0" xfId="0" applyNumberFormat="1"/>
    <xf numFmtId="3" fontId="0" fillId="0" borderId="7" xfId="0" applyNumberFormat="1" applyBorder="1"/>
    <xf numFmtId="3" fontId="40" fillId="0" borderId="4" xfId="0" applyNumberFormat="1" applyFont="1" applyBorder="1"/>
    <xf numFmtId="3" fontId="40" fillId="0" borderId="0" xfId="0" applyNumberFormat="1" applyFont="1" applyBorder="1"/>
    <xf numFmtId="3" fontId="43" fillId="0" borderId="7" xfId="499" applyNumberFormat="1" applyFont="1" applyFill="1" applyBorder="1" applyAlignment="1">
      <alignment horizontal="right" wrapText="1"/>
    </xf>
    <xf numFmtId="3" fontId="43" fillId="0" borderId="4" xfId="499" applyNumberFormat="1" applyFont="1" applyFill="1" applyBorder="1" applyAlignment="1">
      <alignment horizontal="right" wrapText="1"/>
    </xf>
    <xf numFmtId="3" fontId="43" fillId="0" borderId="0" xfId="499" applyNumberFormat="1" applyFont="1" applyFill="1" applyBorder="1" applyAlignment="1">
      <alignment horizontal="right" wrapText="1"/>
    </xf>
    <xf numFmtId="3" fontId="40" fillId="0" borderId="7" xfId="0" applyNumberFormat="1" applyFont="1" applyBorder="1"/>
    <xf numFmtId="3" fontId="43" fillId="0" borderId="7" xfId="500" applyNumberFormat="1" applyFont="1" applyFill="1" applyBorder="1" applyAlignment="1">
      <alignment horizontal="right" wrapText="1"/>
    </xf>
    <xf numFmtId="3" fontId="43" fillId="0" borderId="0" xfId="500" applyNumberFormat="1" applyFont="1" applyFill="1" applyBorder="1" applyAlignment="1">
      <alignment horizontal="right" wrapText="1"/>
    </xf>
    <xf numFmtId="3" fontId="43" fillId="0" borderId="7" xfId="488" applyNumberFormat="1" applyFont="1" applyFill="1" applyBorder="1" applyAlignment="1">
      <alignment horizontal="right" wrapText="1"/>
    </xf>
    <xf numFmtId="3" fontId="43" fillId="0" borderId="0" xfId="505" applyNumberFormat="1" applyFont="1" applyFill="1" applyBorder="1" applyAlignment="1">
      <alignment horizontal="right" wrapText="1"/>
    </xf>
    <xf numFmtId="3" fontId="43" fillId="0" borderId="8" xfId="506" applyNumberFormat="1" applyFont="1" applyFill="1" applyBorder="1" applyAlignment="1">
      <alignment horizontal="right" wrapText="1"/>
    </xf>
    <xf numFmtId="3" fontId="43" fillId="0" borderId="0" xfId="503" applyNumberFormat="1" applyFont="1" applyFill="1" applyBorder="1" applyAlignment="1">
      <alignment horizontal="right" wrapText="1"/>
    </xf>
    <xf numFmtId="3" fontId="43" fillId="0" borderId="7" xfId="489" applyNumberFormat="1" applyFont="1" applyFill="1" applyBorder="1" applyAlignment="1">
      <alignment horizontal="right" wrapText="1"/>
    </xf>
    <xf numFmtId="3" fontId="43" fillId="0" borderId="0" xfId="489" applyNumberFormat="1" applyFont="1" applyFill="1" applyBorder="1" applyAlignment="1">
      <alignment horizontal="right" wrapText="1"/>
    </xf>
    <xf numFmtId="3" fontId="43" fillId="0" borderId="7" xfId="503" applyNumberFormat="1" applyFont="1" applyFill="1" applyBorder="1" applyAlignment="1">
      <alignment horizontal="right" wrapText="1"/>
    </xf>
    <xf numFmtId="3" fontId="40" fillId="0" borderId="0" xfId="0" applyNumberFormat="1" applyFont="1"/>
    <xf numFmtId="3" fontId="43" fillId="0" borderId="4" xfId="488" applyNumberFormat="1" applyFont="1" applyFill="1" applyBorder="1" applyAlignment="1">
      <alignment horizontal="right" wrapText="1"/>
    </xf>
    <xf numFmtId="3" fontId="43" fillId="0" borderId="0" xfId="506" applyNumberFormat="1" applyFont="1" applyFill="1" applyBorder="1" applyAlignment="1">
      <alignment horizontal="right" wrapText="1"/>
    </xf>
    <xf numFmtId="3" fontId="43" fillId="0" borderId="5" xfId="488" applyNumberFormat="1" applyFont="1" applyFill="1" applyBorder="1" applyAlignment="1">
      <alignment horizontal="right" wrapText="1"/>
    </xf>
    <xf numFmtId="3" fontId="43" fillId="0" borderId="4" xfId="506" applyNumberFormat="1" applyFont="1" applyFill="1" applyBorder="1" applyAlignment="1">
      <alignment horizontal="right" wrapText="1"/>
    </xf>
    <xf numFmtId="3" fontId="43" fillId="0" borderId="4" xfId="489" applyNumberFormat="1" applyFont="1" applyFill="1" applyBorder="1" applyAlignment="1">
      <alignment horizontal="right" wrapText="1"/>
    </xf>
    <xf numFmtId="3" fontId="43" fillId="0" borderId="4" xfId="503" applyNumberFormat="1" applyFont="1" applyFill="1" applyBorder="1" applyAlignment="1">
      <alignment horizontal="right" wrapText="1"/>
    </xf>
    <xf numFmtId="3" fontId="43" fillId="0" borderId="7" xfId="506" applyNumberFormat="1" applyFont="1" applyFill="1" applyBorder="1" applyAlignment="1">
      <alignment horizontal="right" wrapText="1"/>
    </xf>
    <xf numFmtId="3" fontId="43" fillId="0" borderId="7" xfId="505" applyNumberFormat="1" applyFont="1" applyFill="1" applyBorder="1" applyAlignment="1">
      <alignment horizontal="right" wrapText="1"/>
    </xf>
    <xf numFmtId="3" fontId="43" fillId="0" borderId="4" xfId="505" applyNumberFormat="1" applyFont="1" applyFill="1" applyBorder="1" applyAlignment="1">
      <alignment horizontal="right" wrapText="1"/>
    </xf>
    <xf numFmtId="3" fontId="43" fillId="0" borderId="6" xfId="506" applyNumberFormat="1" applyFont="1" applyFill="1" applyBorder="1" applyAlignment="1">
      <alignment horizontal="right" wrapText="1"/>
    </xf>
    <xf numFmtId="3" fontId="43" fillId="0" borderId="0" xfId="488" applyNumberFormat="1" applyFont="1" applyFill="1" applyBorder="1" applyAlignment="1">
      <alignment horizontal="right" wrapText="1"/>
    </xf>
    <xf numFmtId="0" fontId="0" fillId="0" borderId="0" xfId="0"/>
    <xf numFmtId="0" fontId="9" fillId="2" borderId="22" xfId="490" applyFont="1" applyFill="1" applyBorder="1" applyAlignment="1">
      <alignment horizontal="center" wrapText="1"/>
    </xf>
    <xf numFmtId="3" fontId="43" fillId="0" borderId="4" xfId="491" applyNumberFormat="1" applyFont="1" applyFill="1" applyBorder="1" applyAlignment="1">
      <alignment horizontal="right" wrapText="1"/>
    </xf>
    <xf numFmtId="3" fontId="43" fillId="0" borderId="0" xfId="491" applyNumberFormat="1" applyFont="1" applyFill="1" applyBorder="1" applyAlignment="1">
      <alignment horizontal="right" wrapText="1"/>
    </xf>
    <xf numFmtId="3" fontId="43" fillId="0" borderId="7" xfId="491" applyNumberFormat="1" applyFont="1" applyFill="1" applyBorder="1" applyAlignment="1">
      <alignment horizontal="right" wrapText="1"/>
    </xf>
    <xf numFmtId="3" fontId="47" fillId="0" borderId="0" xfId="492" applyNumberFormat="1" applyFont="1" applyFill="1" applyBorder="1" applyAlignment="1">
      <alignment horizontal="right" wrapText="1"/>
    </xf>
    <xf numFmtId="3" fontId="43" fillId="0" borderId="0" xfId="492" applyNumberFormat="1" applyFont="1" applyFill="1" applyBorder="1" applyAlignment="1">
      <alignment horizontal="right" wrapText="1"/>
    </xf>
    <xf numFmtId="3" fontId="43" fillId="0" borderId="4" xfId="495" applyNumberFormat="1" applyFont="1" applyFill="1" applyBorder="1" applyAlignment="1">
      <alignment horizontal="right" wrapText="1"/>
    </xf>
    <xf numFmtId="3" fontId="43" fillId="0" borderId="5" xfId="495" applyNumberFormat="1" applyFont="1" applyFill="1" applyBorder="1" applyAlignment="1">
      <alignment horizontal="right" wrapText="1"/>
    </xf>
    <xf numFmtId="3" fontId="43" fillId="0" borderId="0" xfId="495" applyNumberFormat="1" applyFont="1" applyFill="1" applyBorder="1" applyAlignment="1">
      <alignment horizontal="right" wrapText="1"/>
    </xf>
    <xf numFmtId="3" fontId="43" fillId="0" borderId="6" xfId="495" applyNumberFormat="1" applyFont="1" applyFill="1" applyBorder="1" applyAlignment="1">
      <alignment horizontal="right" wrapText="1"/>
    </xf>
    <xf numFmtId="3" fontId="43" fillId="0" borderId="7" xfId="495" applyNumberFormat="1" applyFont="1" applyFill="1" applyBorder="1" applyAlignment="1">
      <alignment horizontal="right" wrapText="1"/>
    </xf>
    <xf numFmtId="3" fontId="43" fillId="0" borderId="8" xfId="495" applyNumberFormat="1" applyFont="1" applyFill="1" applyBorder="1" applyAlignment="1">
      <alignment horizontal="right" wrapText="1"/>
    </xf>
    <xf numFmtId="3" fontId="43" fillId="0" borderId="24" xfId="504" applyNumberFormat="1" applyFont="1" applyFill="1" applyBorder="1" applyAlignment="1">
      <alignment horizontal="right" wrapText="1"/>
    </xf>
    <xf numFmtId="3" fontId="43" fillId="0" borderId="0" xfId="498" applyNumberFormat="1" applyFont="1" applyFill="1" applyBorder="1" applyAlignment="1">
      <alignment horizontal="right" wrapText="1"/>
    </xf>
    <xf numFmtId="164" fontId="45" fillId="0" borderId="0" xfId="0" applyNumberFormat="1" applyFont="1" applyAlignment="1">
      <alignment horizontal="right"/>
    </xf>
    <xf numFmtId="164" fontId="45" fillId="0" borderId="0" xfId="0" applyNumberFormat="1" applyFont="1" applyAlignment="1">
      <alignment horizontal="right"/>
    </xf>
    <xf numFmtId="164" fontId="45" fillId="0" borderId="0" xfId="0" applyNumberFormat="1" applyFont="1" applyAlignment="1">
      <alignment horizontal="right"/>
    </xf>
    <xf numFmtId="3" fontId="7" fillId="0" borderId="14" xfId="501" applyNumberFormat="1" applyFont="1" applyFill="1" applyBorder="1" applyAlignment="1">
      <alignment horizontal="right" wrapText="1"/>
    </xf>
    <xf numFmtId="3" fontId="7" fillId="0" borderId="1" xfId="501" applyNumberFormat="1" applyFont="1" applyFill="1" applyBorder="1" applyAlignment="1">
      <alignment horizontal="right" wrapText="1"/>
    </xf>
    <xf numFmtId="3" fontId="46" fillId="0" borderId="6" xfId="0" applyNumberFormat="1" applyFont="1" applyBorder="1"/>
    <xf numFmtId="3" fontId="7" fillId="0" borderId="15" xfId="501" applyNumberFormat="1" applyFont="1" applyFill="1" applyBorder="1" applyAlignment="1">
      <alignment horizontal="right" wrapText="1"/>
    </xf>
    <xf numFmtId="3" fontId="46" fillId="0" borderId="7" xfId="0" applyNumberFormat="1" applyFont="1" applyBorder="1"/>
    <xf numFmtId="3" fontId="46" fillId="0" borderId="8" xfId="0" applyNumberFormat="1" applyFont="1" applyBorder="1"/>
    <xf numFmtId="3" fontId="42" fillId="0" borderId="0" xfId="0" applyNumberFormat="1" applyFont="1" applyFill="1" applyBorder="1"/>
    <xf numFmtId="3" fontId="7" fillId="0" borderId="31" xfId="497" applyNumberFormat="1" applyFont="1" applyFill="1" applyBorder="1" applyAlignment="1">
      <alignment horizontal="right" wrapText="1"/>
    </xf>
    <xf numFmtId="3" fontId="46" fillId="0" borderId="0" xfId="0" applyNumberFormat="1" applyFont="1"/>
    <xf numFmtId="0" fontId="46" fillId="0" borderId="0" xfId="0" applyFont="1"/>
    <xf numFmtId="0" fontId="46" fillId="0" borderId="7" xfId="0" applyFont="1" applyBorder="1"/>
    <xf numFmtId="0" fontId="4" fillId="2" borderId="22" xfId="496" applyFont="1" applyFill="1" applyBorder="1" applyAlignment="1">
      <alignment horizontal="center" wrapText="1"/>
    </xf>
    <xf numFmtId="3" fontId="7" fillId="0" borderId="37" xfId="497" applyNumberFormat="1" applyFont="1" applyFill="1" applyBorder="1" applyAlignment="1">
      <alignment horizontal="right" wrapText="1"/>
    </xf>
    <xf numFmtId="3" fontId="7" fillId="0" borderId="27" xfId="497" applyNumberFormat="1" applyFont="1" applyFill="1" applyBorder="1" applyAlignment="1">
      <alignment horizontal="right" wrapText="1"/>
    </xf>
    <xf numFmtId="3" fontId="7" fillId="0" borderId="38" xfId="497" applyNumberFormat="1" applyFont="1" applyFill="1" applyBorder="1" applyAlignment="1">
      <alignment horizontal="right" wrapText="1"/>
    </xf>
    <xf numFmtId="3" fontId="7" fillId="0" borderId="4" xfId="503" applyNumberFormat="1" applyFont="1" applyFill="1" applyBorder="1" applyAlignment="1">
      <alignment horizontal="right" wrapText="1"/>
    </xf>
    <xf numFmtId="3" fontId="7" fillId="0" borderId="0" xfId="503" applyNumberFormat="1" applyFont="1" applyFill="1" applyBorder="1" applyAlignment="1">
      <alignment horizontal="right" wrapText="1"/>
    </xf>
    <xf numFmtId="3" fontId="7" fillId="0" borderId="7" xfId="503" applyNumberFormat="1" applyFont="1" applyFill="1" applyBorder="1" applyAlignment="1">
      <alignment horizontal="right" wrapText="1"/>
    </xf>
    <xf numFmtId="3" fontId="7" fillId="0" borderId="5" xfId="493" applyNumberFormat="1" applyFont="1" applyFill="1" applyBorder="1" applyAlignment="1">
      <alignment horizontal="right" wrapText="1"/>
    </xf>
    <xf numFmtId="3" fontId="7" fillId="0" borderId="6" xfId="493" applyNumberFormat="1" applyFont="1" applyFill="1" applyBorder="1" applyAlignment="1">
      <alignment horizontal="right" wrapText="1"/>
    </xf>
    <xf numFmtId="3" fontId="7" fillId="0" borderId="8" xfId="493" applyNumberFormat="1" applyFont="1" applyFill="1" applyBorder="1" applyAlignment="1">
      <alignment horizontal="right" wrapText="1"/>
    </xf>
    <xf numFmtId="3" fontId="7" fillId="0" borderId="4" xfId="495" applyNumberFormat="1" applyFont="1" applyFill="1" applyBorder="1" applyAlignment="1">
      <alignment horizontal="right" wrapText="1"/>
    </xf>
    <xf numFmtId="3" fontId="7" fillId="0" borderId="5" xfId="495" applyNumberFormat="1" applyFont="1" applyFill="1" applyBorder="1" applyAlignment="1">
      <alignment horizontal="right" wrapText="1"/>
    </xf>
    <xf numFmtId="3" fontId="7" fillId="0" borderId="0" xfId="495" applyNumberFormat="1" applyFont="1" applyFill="1" applyBorder="1" applyAlignment="1">
      <alignment horizontal="right" wrapText="1"/>
    </xf>
    <xf numFmtId="3" fontId="7" fillId="0" borderId="6" xfId="495" applyNumberFormat="1" applyFont="1" applyFill="1" applyBorder="1" applyAlignment="1">
      <alignment horizontal="right" wrapText="1"/>
    </xf>
    <xf numFmtId="3" fontId="7" fillId="0" borderId="7" xfId="495" applyNumberFormat="1" applyFont="1" applyFill="1" applyBorder="1" applyAlignment="1">
      <alignment horizontal="right" wrapText="1"/>
    </xf>
    <xf numFmtId="3" fontId="7" fillId="0" borderId="8" xfId="495" applyNumberFormat="1" applyFont="1" applyFill="1" applyBorder="1" applyAlignment="1">
      <alignment horizontal="right" wrapText="1"/>
    </xf>
    <xf numFmtId="3" fontId="7" fillId="0" borderId="32" xfId="504" applyNumberFormat="1" applyFont="1" applyFill="1" applyBorder="1" applyAlignment="1">
      <alignment horizontal="right" wrapText="1"/>
    </xf>
    <xf numFmtId="3" fontId="7" fillId="0" borderId="24" xfId="504" applyNumberFormat="1" applyFont="1" applyFill="1" applyBorder="1" applyAlignment="1">
      <alignment horizontal="right" wrapText="1"/>
    </xf>
    <xf numFmtId="3" fontId="7" fillId="0" borderId="27" xfId="504" applyNumberFormat="1" applyFont="1" applyFill="1" applyBorder="1" applyAlignment="1">
      <alignment horizontal="right" wrapText="1"/>
    </xf>
    <xf numFmtId="3" fontId="7" fillId="0" borderId="14" xfId="507" applyNumberFormat="1" applyFont="1" applyFill="1" applyBorder="1" applyAlignment="1">
      <alignment horizontal="right" wrapText="1"/>
    </xf>
    <xf numFmtId="3" fontId="7" fillId="0" borderId="25" xfId="496" applyNumberFormat="1" applyFont="1" applyFill="1" applyBorder="1" applyAlignment="1">
      <alignment horizontal="right" wrapText="1"/>
    </xf>
    <xf numFmtId="3" fontId="7" fillId="0" borderId="1" xfId="507" applyNumberFormat="1" applyFont="1" applyFill="1" applyBorder="1" applyAlignment="1">
      <alignment horizontal="right" wrapText="1"/>
    </xf>
    <xf numFmtId="3" fontId="7" fillId="0" borderId="26" xfId="496" applyNumberFormat="1" applyFont="1" applyFill="1" applyBorder="1" applyAlignment="1">
      <alignment horizontal="right" wrapText="1"/>
    </xf>
    <xf numFmtId="3" fontId="7" fillId="0" borderId="15" xfId="507" applyNumberFormat="1" applyFont="1" applyFill="1" applyBorder="1" applyAlignment="1">
      <alignment horizontal="right" wrapText="1"/>
    </xf>
    <xf numFmtId="3" fontId="7" fillId="0" borderId="28" xfId="496" applyNumberFormat="1" applyFont="1" applyFill="1" applyBorder="1" applyAlignment="1">
      <alignment horizontal="right" wrapText="1"/>
    </xf>
    <xf numFmtId="3" fontId="7" fillId="0" borderId="6" xfId="498" applyNumberFormat="1" applyFont="1" applyFill="1" applyBorder="1" applyAlignment="1">
      <alignment horizontal="right" wrapText="1"/>
    </xf>
    <xf numFmtId="164" fontId="41" fillId="0" borderId="0" xfId="0" applyNumberFormat="1" applyFont="1" applyFill="1" applyAlignment="1">
      <alignment horizontal="right"/>
    </xf>
    <xf numFmtId="3" fontId="7" fillId="0" borderId="7" xfId="498" applyNumberFormat="1" applyFont="1" applyFill="1" applyBorder="1" applyAlignment="1">
      <alignment horizontal="right" wrapText="1"/>
    </xf>
    <xf numFmtId="165" fontId="41" fillId="0" borderId="0" xfId="0" applyNumberFormat="1" applyFont="1" applyAlignment="1">
      <alignment horizontal="right"/>
    </xf>
    <xf numFmtId="3" fontId="7" fillId="0" borderId="5" xfId="498" applyNumberFormat="1" applyFont="1" applyFill="1" applyBorder="1" applyAlignment="1">
      <alignment horizontal="right" wrapText="1"/>
    </xf>
    <xf numFmtId="3" fontId="7" fillId="0" borderId="8" xfId="498" applyNumberFormat="1" applyFont="1" applyFill="1" applyBorder="1" applyAlignment="1">
      <alignment horizontal="right" wrapText="1"/>
    </xf>
    <xf numFmtId="3" fontId="7" fillId="0" borderId="4" xfId="498" applyNumberFormat="1" applyFont="1" applyFill="1" applyBorder="1" applyAlignment="1">
      <alignment horizontal="right" wrapText="1"/>
    </xf>
    <xf numFmtId="3" fontId="7" fillId="0" borderId="0" xfId="498" applyNumberFormat="1" applyFont="1" applyFill="1" applyBorder="1" applyAlignment="1">
      <alignment horizontal="right" wrapText="1"/>
    </xf>
    <xf numFmtId="164" fontId="48" fillId="0" borderId="0" xfId="0" applyNumberFormat="1" applyFont="1" applyAlignment="1">
      <alignment horizontal="right"/>
    </xf>
    <xf numFmtId="164" fontId="48" fillId="0" borderId="0" xfId="0" applyNumberFormat="1" applyFont="1" applyAlignment="1">
      <alignment horizontal="right"/>
    </xf>
    <xf numFmtId="164" fontId="48" fillId="0" borderId="0" xfId="0" applyNumberFormat="1" applyFont="1" applyAlignment="1">
      <alignment horizontal="right"/>
    </xf>
    <xf numFmtId="164" fontId="48" fillId="0" borderId="0" xfId="0" applyNumberFormat="1" applyFont="1" applyAlignment="1">
      <alignment horizontal="right"/>
    </xf>
    <xf numFmtId="164" fontId="41" fillId="0" borderId="0" xfId="0" applyNumberFormat="1" applyFont="1" applyAlignment="1">
      <alignment horizontal="right"/>
    </xf>
    <xf numFmtId="164" fontId="41" fillId="0" borderId="0" xfId="0" applyNumberFormat="1" applyFont="1" applyAlignment="1">
      <alignment horizontal="right"/>
    </xf>
    <xf numFmtId="164" fontId="41" fillId="0" borderId="0" xfId="0" applyNumberFormat="1" applyFont="1" applyAlignment="1">
      <alignment horizontal="right"/>
    </xf>
    <xf numFmtId="0" fontId="0" fillId="0" borderId="0" xfId="0"/>
    <xf numFmtId="164" fontId="48" fillId="0" borderId="0" xfId="0" applyNumberFormat="1" applyFont="1" applyAlignment="1">
      <alignment horizontal="right"/>
    </xf>
    <xf numFmtId="0" fontId="0" fillId="0" borderId="0" xfId="0" applyAlignment="1">
      <alignment wrapText="1"/>
    </xf>
    <xf numFmtId="164" fontId="0" fillId="0" borderId="0" xfId="0" applyNumberFormat="1" applyFont="1" applyAlignment="1">
      <alignment horizontal="right"/>
    </xf>
    <xf numFmtId="164" fontId="45" fillId="0" borderId="0" xfId="0" applyNumberFormat="1" applyFont="1" applyAlignment="1">
      <alignment horizontal="right"/>
    </xf>
    <xf numFmtId="0" fontId="0" fillId="0" borderId="0" xfId="0"/>
    <xf numFmtId="3" fontId="42" fillId="0" borderId="0" xfId="0" applyNumberFormat="1" applyFont="1" applyFill="1"/>
    <xf numFmtId="0" fontId="0" fillId="0" borderId="7" xfId="0" applyNumberFormat="1" applyBorder="1"/>
    <xf numFmtId="0" fontId="0" fillId="0" borderId="0" xfId="0" applyNumberFormat="1" applyBorder="1"/>
    <xf numFmtId="0" fontId="0" fillId="0" borderId="8" xfId="0" applyNumberFormat="1" applyBorder="1"/>
    <xf numFmtId="0" fontId="0" fillId="0" borderId="5" xfId="0" applyNumberFormat="1" applyBorder="1"/>
    <xf numFmtId="0" fontId="0" fillId="0" borderId="6" xfId="0" applyNumberFormat="1" applyBorder="1"/>
    <xf numFmtId="164" fontId="48" fillId="0" borderId="0" xfId="0" applyNumberFormat="1" applyFont="1" applyAlignment="1">
      <alignment horizontal="right"/>
    </xf>
    <xf numFmtId="164" fontId="48" fillId="0" borderId="0" xfId="0" applyNumberFormat="1" applyFont="1" applyAlignment="1">
      <alignment horizontal="right"/>
    </xf>
    <xf numFmtId="164" fontId="48" fillId="0" borderId="0" xfId="0" applyNumberFormat="1" applyFont="1" applyAlignment="1">
      <alignment horizontal="right"/>
    </xf>
    <xf numFmtId="164" fontId="41" fillId="0" borderId="0" xfId="0" applyNumberFormat="1" applyFont="1" applyAlignment="1">
      <alignment horizontal="right"/>
    </xf>
    <xf numFmtId="164" fontId="41" fillId="0" borderId="0" xfId="0" applyNumberFormat="1" applyFont="1" applyAlignment="1">
      <alignment horizontal="right"/>
    </xf>
    <xf numFmtId="0" fontId="9" fillId="2" borderId="3" xfId="499" applyFont="1" applyFill="1" applyBorder="1" applyAlignment="1">
      <alignment horizontal="center" wrapText="1"/>
    </xf>
    <xf numFmtId="2" fontId="48" fillId="0" borderId="0" xfId="0" applyNumberFormat="1" applyFont="1" applyAlignment="1">
      <alignment horizontal="right"/>
    </xf>
    <xf numFmtId="0" fontId="4" fillId="2" borderId="13" xfId="495" applyFont="1" applyFill="1" applyBorder="1" applyAlignment="1">
      <alignment horizontal="center" wrapText="1"/>
    </xf>
    <xf numFmtId="0" fontId="43" fillId="0" borderId="9" xfId="499" applyFont="1" applyFill="1" applyBorder="1" applyAlignment="1">
      <alignment horizontal="center" wrapText="1"/>
    </xf>
    <xf numFmtId="0" fontId="43" fillId="0" borderId="10" xfId="499" applyFont="1" applyFill="1" applyBorder="1" applyAlignment="1">
      <alignment horizontal="center" wrapText="1"/>
    </xf>
    <xf numFmtId="0" fontId="43" fillId="0" borderId="11" xfId="499" applyFont="1" applyFill="1" applyBorder="1" applyAlignment="1">
      <alignment horizontal="center" wrapText="1"/>
    </xf>
    <xf numFmtId="0" fontId="9" fillId="2" borderId="16" xfId="496" applyFont="1" applyFill="1" applyBorder="1" applyAlignment="1">
      <alignment horizontal="center" wrapText="1"/>
    </xf>
    <xf numFmtId="0" fontId="0" fillId="0" borderId="0" xfId="0" applyNumberFormat="1" applyFill="1" applyBorder="1"/>
    <xf numFmtId="3" fontId="0" fillId="0" borderId="17" xfId="0" applyNumberFormat="1" applyFill="1" applyBorder="1"/>
    <xf numFmtId="3" fontId="0" fillId="0" borderId="5" xfId="0" applyNumberFormat="1" applyFill="1" applyBorder="1"/>
    <xf numFmtId="3" fontId="0" fillId="0" borderId="6" xfId="0" applyNumberFormat="1" applyFill="1" applyBorder="1"/>
    <xf numFmtId="3" fontId="0" fillId="0" borderId="7" xfId="0" applyNumberFormat="1" applyFill="1" applyBorder="1"/>
    <xf numFmtId="3" fontId="0" fillId="0" borderId="8" xfId="0" applyNumberFormat="1" applyFill="1" applyBorder="1"/>
    <xf numFmtId="3" fontId="45" fillId="0" borderId="0" xfId="0" applyNumberFormat="1" applyFont="1" applyFill="1"/>
    <xf numFmtId="0" fontId="9" fillId="2" borderId="16" xfId="499" applyFont="1" applyFill="1" applyBorder="1" applyAlignment="1">
      <alignment horizontal="center" wrapText="1"/>
    </xf>
    <xf numFmtId="166" fontId="40" fillId="0" borderId="0" xfId="34" applyNumberFormat="1" applyFont="1" applyAlignment="1">
      <alignment horizontal="right"/>
    </xf>
    <xf numFmtId="166" fontId="40" fillId="0" borderId="7" xfId="34" applyNumberFormat="1" applyFont="1" applyBorder="1" applyAlignment="1">
      <alignment horizontal="right"/>
    </xf>
    <xf numFmtId="164" fontId="48" fillId="0" borderId="0" xfId="0" applyNumberFormat="1" applyFont="1" applyAlignment="1">
      <alignment horizontal="right"/>
    </xf>
    <xf numFmtId="164" fontId="48" fillId="0" borderId="0" xfId="0" applyNumberFormat="1" applyFont="1" applyAlignment="1">
      <alignment horizontal="right"/>
    </xf>
    <xf numFmtId="164" fontId="48" fillId="0" borderId="0" xfId="0" applyNumberFormat="1" applyFont="1" applyAlignment="1">
      <alignment horizontal="right"/>
    </xf>
    <xf numFmtId="164" fontId="48" fillId="0" borderId="0" xfId="0" applyNumberFormat="1" applyFont="1" applyAlignment="1">
      <alignment horizontal="right"/>
    </xf>
    <xf numFmtId="164" fontId="48" fillId="0" borderId="0" xfId="0" applyNumberFormat="1" applyFont="1" applyAlignment="1">
      <alignment horizontal="right"/>
    </xf>
    <xf numFmtId="164" fontId="48" fillId="0" borderId="0" xfId="0" applyNumberFormat="1" applyFont="1" applyAlignment="1">
      <alignment horizontal="right"/>
    </xf>
    <xf numFmtId="164" fontId="48" fillId="0" borderId="0" xfId="0" applyNumberFormat="1" applyFont="1" applyAlignment="1">
      <alignment horizontal="right"/>
    </xf>
    <xf numFmtId="164" fontId="48" fillId="0" borderId="0" xfId="0" applyNumberFormat="1" applyFont="1" applyAlignment="1">
      <alignment horizontal="right"/>
    </xf>
    <xf numFmtId="164" fontId="48" fillId="0" borderId="0" xfId="0" applyNumberFormat="1" applyFont="1" applyAlignment="1">
      <alignment horizontal="right"/>
    </xf>
    <xf numFmtId="0" fontId="0" fillId="0" borderId="0" xfId="0" applyAlignment="1">
      <alignment wrapText="1"/>
    </xf>
    <xf numFmtId="0" fontId="0" fillId="0" borderId="0" xfId="0"/>
    <xf numFmtId="0" fontId="0" fillId="0" borderId="0" xfId="0"/>
    <xf numFmtId="164" fontId="48" fillId="0" borderId="0" xfId="0" applyNumberFormat="1" applyFont="1" applyAlignment="1">
      <alignment horizontal="right"/>
    </xf>
    <xf numFmtId="164" fontId="48" fillId="0" borderId="0" xfId="0" applyNumberFormat="1" applyFont="1" applyAlignment="1">
      <alignment horizontal="right"/>
    </xf>
    <xf numFmtId="164" fontId="48" fillId="0" borderId="0" xfId="0" applyNumberFormat="1" applyFont="1" applyAlignment="1">
      <alignment horizontal="right"/>
    </xf>
    <xf numFmtId="164" fontId="48" fillId="0" borderId="0" xfId="0" applyNumberFormat="1" applyFont="1" applyAlignment="1">
      <alignment horizontal="right"/>
    </xf>
    <xf numFmtId="164" fontId="48" fillId="0" borderId="0" xfId="0" applyNumberFormat="1" applyFont="1" applyAlignment="1">
      <alignment horizontal="right"/>
    </xf>
    <xf numFmtId="0" fontId="0" fillId="0" borderId="0" xfId="0"/>
    <xf numFmtId="0" fontId="0" fillId="0" borderId="0" xfId="0"/>
    <xf numFmtId="164" fontId="48" fillId="0" borderId="0" xfId="0" applyNumberFormat="1" applyFont="1" applyAlignment="1">
      <alignment horizontal="right"/>
    </xf>
    <xf numFmtId="164" fontId="48" fillId="0" borderId="0" xfId="0" applyNumberFormat="1" applyFont="1" applyAlignment="1">
      <alignment horizontal="right"/>
    </xf>
    <xf numFmtId="164" fontId="48" fillId="0" borderId="0" xfId="0" applyNumberFormat="1" applyFont="1" applyAlignment="1">
      <alignment horizontal="right"/>
    </xf>
    <xf numFmtId="164" fontId="48" fillId="0" borderId="0" xfId="0" applyNumberFormat="1" applyFont="1" applyAlignment="1">
      <alignment horizontal="right"/>
    </xf>
    <xf numFmtId="164" fontId="48" fillId="0" borderId="0" xfId="0" applyNumberFormat="1" applyFont="1" applyAlignment="1">
      <alignment horizontal="right"/>
    </xf>
    <xf numFmtId="164" fontId="48" fillId="0" borderId="0" xfId="0" applyNumberFormat="1" applyFont="1" applyAlignment="1">
      <alignment horizontal="right"/>
    </xf>
    <xf numFmtId="0" fontId="0" fillId="0" borderId="0" xfId="0" applyFill="1"/>
    <xf numFmtId="0" fontId="0" fillId="0" borderId="0" xfId="0"/>
    <xf numFmtId="0" fontId="41" fillId="0" borderId="0" xfId="0" applyFont="1" applyAlignment="1">
      <alignment wrapText="1"/>
    </xf>
    <xf numFmtId="3" fontId="0" fillId="0" borderId="0" xfId="0" applyNumberFormat="1" applyFill="1"/>
    <xf numFmtId="166" fontId="42" fillId="0" borderId="0" xfId="34" applyNumberFormat="1" applyFont="1" applyAlignment="1">
      <alignment horizontal="right"/>
    </xf>
    <xf numFmtId="166" fontId="42" fillId="0" borderId="7" xfId="34" applyNumberFormat="1" applyFont="1" applyBorder="1" applyAlignment="1">
      <alignment horizontal="right"/>
    </xf>
    <xf numFmtId="3" fontId="43" fillId="0" borderId="0" xfId="501" applyNumberFormat="1" applyFont="1" applyFill="1" applyBorder="1" applyAlignment="1">
      <alignment horizontal="right" wrapText="1"/>
    </xf>
    <xf numFmtId="3" fontId="43" fillId="0" borderId="7" xfId="501" applyNumberFormat="1" applyFont="1" applyFill="1" applyBorder="1" applyAlignment="1">
      <alignment horizontal="right" wrapText="1"/>
    </xf>
    <xf numFmtId="0" fontId="0" fillId="0" borderId="0" xfId="0" applyAlignment="1">
      <alignment wrapText="1"/>
    </xf>
    <xf numFmtId="0" fontId="0" fillId="0" borderId="0" xfId="0" applyAlignment="1">
      <alignment wrapText="1"/>
    </xf>
    <xf numFmtId="0" fontId="42" fillId="0" borderId="0" xfId="0" applyFont="1" applyFill="1" applyAlignment="1">
      <alignment horizontal="center"/>
    </xf>
    <xf numFmtId="0" fontId="42" fillId="0" borderId="0" xfId="0" applyFont="1" applyFill="1"/>
    <xf numFmtId="0" fontId="42" fillId="0" borderId="0" xfId="0" applyFont="1" applyFill="1" applyAlignment="1">
      <alignment horizontal="left"/>
    </xf>
    <xf numFmtId="165" fontId="48" fillId="0" borderId="0" xfId="510" applyNumberFormat="1" applyFont="1" applyAlignment="1">
      <alignment horizontal="right"/>
    </xf>
    <xf numFmtId="164" fontId="48" fillId="0" borderId="0" xfId="0" applyNumberFormat="1" applyFont="1" applyAlignment="1">
      <alignment horizontal="right"/>
    </xf>
    <xf numFmtId="0" fontId="0" fillId="0" borderId="0" xfId="0"/>
    <xf numFmtId="164" fontId="48" fillId="0" borderId="0" xfId="0" applyNumberFormat="1" applyFont="1" applyAlignment="1">
      <alignment horizontal="right"/>
    </xf>
    <xf numFmtId="0" fontId="0" fillId="0" borderId="0" xfId="0" applyAlignment="1">
      <alignment wrapText="1"/>
    </xf>
    <xf numFmtId="0" fontId="0" fillId="0" borderId="0" xfId="0" applyAlignment="1">
      <alignment wrapText="1"/>
    </xf>
    <xf numFmtId="0" fontId="0" fillId="0" borderId="0" xfId="0" applyAlignment="1">
      <alignment wrapText="1"/>
    </xf>
    <xf numFmtId="0" fontId="11" fillId="2" borderId="29" xfId="492" applyFont="1" applyFill="1" applyBorder="1" applyAlignment="1">
      <alignment horizontal="center" wrapText="1"/>
    </xf>
    <xf numFmtId="0" fontId="0" fillId="0" borderId="0" xfId="0" applyBorder="1" applyAlignment="1">
      <alignment horizontal="left"/>
    </xf>
    <xf numFmtId="0" fontId="0" fillId="0" borderId="0" xfId="0" applyBorder="1" applyAlignment="1">
      <alignment horizontal="left" wrapText="1"/>
    </xf>
    <xf numFmtId="0" fontId="0" fillId="0" borderId="0" xfId="0" applyAlignment="1">
      <alignment wrapText="1"/>
    </xf>
    <xf numFmtId="0" fontId="0" fillId="0" borderId="0" xfId="0" applyBorder="1" applyAlignment="1">
      <alignment horizontal="left"/>
    </xf>
    <xf numFmtId="0" fontId="0" fillId="0" borderId="0" xfId="0" applyBorder="1" applyAlignment="1">
      <alignment horizontal="left" wrapText="1"/>
    </xf>
    <xf numFmtId="0" fontId="0" fillId="0" borderId="0" xfId="0" applyBorder="1" applyAlignment="1">
      <alignment horizontal="left"/>
    </xf>
    <xf numFmtId="0" fontId="0" fillId="0" borderId="0" xfId="0" applyAlignment="1">
      <alignment wrapText="1"/>
    </xf>
    <xf numFmtId="0" fontId="9" fillId="2" borderId="39" xfId="499" applyFont="1" applyFill="1" applyBorder="1" applyAlignment="1">
      <alignment horizontal="center" wrapText="1"/>
    </xf>
    <xf numFmtId="166" fontId="42" fillId="0" borderId="5" xfId="34" applyNumberFormat="1" applyFont="1" applyBorder="1"/>
    <xf numFmtId="166" fontId="42" fillId="0" borderId="6" xfId="34" applyNumberFormat="1" applyFont="1" applyBorder="1"/>
    <xf numFmtId="166" fontId="42" fillId="0" borderId="8" xfId="34" applyNumberFormat="1" applyFont="1" applyBorder="1"/>
    <xf numFmtId="0" fontId="0" fillId="0" borderId="0" xfId="0" applyBorder="1" applyAlignment="1">
      <alignment horizontal="left"/>
    </xf>
    <xf numFmtId="0" fontId="0" fillId="0" borderId="0" xfId="0" applyBorder="1" applyAlignment="1">
      <alignment horizontal="left" wrapText="1"/>
    </xf>
    <xf numFmtId="3" fontId="4" fillId="2" borderId="2" xfId="492" applyNumberFormat="1" applyFont="1" applyFill="1" applyBorder="1" applyAlignment="1">
      <alignment horizontal="center" wrapText="1"/>
    </xf>
    <xf numFmtId="166" fontId="22" fillId="0" borderId="0" xfId="34" applyNumberFormat="1" applyFont="1"/>
    <xf numFmtId="166" fontId="0" fillId="0" borderId="0" xfId="0" applyNumberFormat="1"/>
    <xf numFmtId="164" fontId="48" fillId="0" borderId="0" xfId="0" applyNumberFormat="1" applyFont="1" applyAlignment="1">
      <alignment horizontal="right"/>
    </xf>
    <xf numFmtId="0" fontId="0" fillId="0" borderId="0" xfId="0" applyBorder="1" applyAlignment="1">
      <alignment horizontal="left"/>
    </xf>
    <xf numFmtId="0" fontId="0" fillId="0" borderId="0" xfId="0" applyBorder="1" applyAlignment="1">
      <alignment horizontal="left" wrapText="1"/>
    </xf>
    <xf numFmtId="0" fontId="0" fillId="0" borderId="0" xfId="0" applyAlignment="1">
      <alignment wrapText="1"/>
    </xf>
    <xf numFmtId="0" fontId="9" fillId="2" borderId="34" xfId="506" applyFont="1" applyFill="1" applyBorder="1" applyAlignment="1">
      <alignment horizontal="center" wrapText="1"/>
    </xf>
    <xf numFmtId="0" fontId="9" fillId="2" borderId="40" xfId="506" applyFont="1" applyFill="1" applyBorder="1" applyAlignment="1">
      <alignment horizontal="center" wrapText="1"/>
    </xf>
    <xf numFmtId="0" fontId="9" fillId="2" borderId="41" xfId="506" applyFont="1" applyFill="1" applyBorder="1" applyAlignment="1">
      <alignment horizontal="center" wrapText="1"/>
    </xf>
    <xf numFmtId="0" fontId="9" fillId="2" borderId="42" xfId="506" applyFont="1" applyFill="1" applyBorder="1" applyAlignment="1">
      <alignment horizontal="center" wrapText="1"/>
    </xf>
    <xf numFmtId="0" fontId="9" fillId="2" borderId="43" xfId="506" applyFont="1" applyFill="1" applyBorder="1" applyAlignment="1">
      <alignment horizontal="center" wrapText="1"/>
    </xf>
    <xf numFmtId="0" fontId="9" fillId="2" borderId="44" xfId="506" applyFont="1" applyFill="1" applyBorder="1" applyAlignment="1">
      <alignment horizontal="center" wrapText="1"/>
    </xf>
    <xf numFmtId="0" fontId="9" fillId="2" borderId="45" xfId="506" applyFont="1" applyFill="1" applyBorder="1" applyAlignment="1">
      <alignment horizontal="center" wrapText="1"/>
    </xf>
    <xf numFmtId="0" fontId="9" fillId="2" borderId="4" xfId="506" applyFont="1" applyFill="1" applyBorder="1" applyAlignment="1">
      <alignment horizontal="center" wrapText="1"/>
    </xf>
    <xf numFmtId="0" fontId="9" fillId="2" borderId="46" xfId="506" applyFont="1" applyFill="1" applyBorder="1" applyAlignment="1">
      <alignment horizontal="center" wrapText="1"/>
    </xf>
    <xf numFmtId="0" fontId="9" fillId="2" borderId="35" xfId="506" applyFont="1" applyFill="1" applyBorder="1" applyAlignment="1">
      <alignment horizontal="center" wrapText="1"/>
    </xf>
    <xf numFmtId="0" fontId="46" fillId="0" borderId="0" xfId="0" applyFont="1" applyBorder="1"/>
    <xf numFmtId="3" fontId="7" fillId="0" borderId="6" xfId="489" applyNumberFormat="1" applyFont="1" applyFill="1" applyBorder="1" applyAlignment="1">
      <alignment horizontal="right" wrapText="1"/>
    </xf>
    <xf numFmtId="3" fontId="7" fillId="0" borderId="8" xfId="489" applyNumberFormat="1" applyFont="1" applyFill="1" applyBorder="1" applyAlignment="1">
      <alignment horizontal="right" wrapText="1"/>
    </xf>
    <xf numFmtId="3" fontId="7" fillId="0" borderId="0" xfId="499" applyNumberFormat="1" applyFont="1" applyFill="1" applyBorder="1" applyAlignment="1">
      <alignment horizontal="left" wrapText="1"/>
    </xf>
    <xf numFmtId="0" fontId="0" fillId="0" borderId="0" xfId="0" applyBorder="1" applyAlignment="1">
      <alignment horizontal="left" wrapText="1"/>
    </xf>
    <xf numFmtId="0" fontId="0" fillId="0" borderId="0" xfId="0" applyBorder="1" applyAlignment="1">
      <alignment horizontal="left"/>
    </xf>
    <xf numFmtId="0" fontId="9" fillId="2" borderId="47" xfId="499" applyFont="1" applyFill="1" applyBorder="1" applyAlignment="1">
      <alignment horizontal="center" wrapText="1"/>
    </xf>
    <xf numFmtId="3" fontId="7" fillId="0" borderId="0" xfId="501" applyNumberFormat="1" applyFont="1" applyFill="1" applyBorder="1" applyAlignment="1">
      <alignment horizontal="right" wrapText="1"/>
    </xf>
    <xf numFmtId="3" fontId="7" fillId="0" borderId="7" xfId="501" applyNumberFormat="1" applyFont="1" applyFill="1" applyBorder="1" applyAlignment="1">
      <alignment horizontal="right" wrapText="1"/>
    </xf>
    <xf numFmtId="0" fontId="42" fillId="0" borderId="0" xfId="0" applyFont="1" applyBorder="1" applyAlignment="1">
      <alignment horizontal="left" wrapText="1"/>
    </xf>
    <xf numFmtId="164" fontId="41" fillId="0" borderId="0" xfId="0" applyNumberFormat="1" applyFont="1" applyFill="1" applyBorder="1" applyAlignment="1">
      <alignment horizontal="right"/>
    </xf>
    <xf numFmtId="0" fontId="48" fillId="0" borderId="0" xfId="0" applyFont="1" applyBorder="1" applyAlignment="1">
      <alignment horizontal="left" wrapText="1"/>
    </xf>
    <xf numFmtId="0" fontId="4" fillId="0" borderId="0" xfId="495" applyFont="1" applyFill="1" applyBorder="1" applyAlignment="1">
      <alignment horizontal="center" wrapText="1"/>
    </xf>
    <xf numFmtId="0" fontId="4" fillId="2" borderId="47" xfId="495" applyFont="1" applyFill="1" applyBorder="1" applyAlignment="1">
      <alignment horizontal="center" wrapText="1"/>
    </xf>
    <xf numFmtId="1" fontId="0" fillId="0" borderId="0" xfId="0" applyNumberFormat="1" applyFill="1" applyBorder="1"/>
    <xf numFmtId="1" fontId="0" fillId="0" borderId="6" xfId="0" applyNumberFormat="1" applyFill="1" applyBorder="1"/>
    <xf numFmtId="1" fontId="0" fillId="0" borderId="7" xfId="0" applyNumberFormat="1" applyFill="1" applyBorder="1"/>
    <xf numFmtId="1" fontId="0" fillId="0" borderId="8" xfId="0" applyNumberFormat="1" applyFill="1" applyBorder="1"/>
    <xf numFmtId="3" fontId="40" fillId="0" borderId="23" xfId="0" applyNumberFormat="1" applyFont="1" applyBorder="1"/>
    <xf numFmtId="164" fontId="47" fillId="0" borderId="0" xfId="0" applyNumberFormat="1" applyFont="1" applyAlignment="1">
      <alignment horizontal="right"/>
    </xf>
    <xf numFmtId="164" fontId="43" fillId="0" borderId="0" xfId="0" applyNumberFormat="1" applyFont="1" applyAlignment="1">
      <alignment horizontal="right"/>
    </xf>
    <xf numFmtId="164" fontId="43" fillId="0" borderId="48" xfId="0" applyNumberFormat="1" applyFont="1" applyBorder="1" applyAlignment="1">
      <alignment horizontal="right"/>
    </xf>
    <xf numFmtId="164" fontId="43" fillId="0" borderId="49" xfId="0" applyNumberFormat="1" applyFont="1" applyBorder="1" applyAlignment="1">
      <alignment horizontal="right"/>
    </xf>
    <xf numFmtId="164" fontId="43" fillId="0" borderId="50" xfId="0" applyNumberFormat="1" applyFont="1" applyBorder="1" applyAlignment="1">
      <alignment horizontal="right"/>
    </xf>
    <xf numFmtId="164" fontId="43" fillId="0" borderId="7" xfId="0" applyNumberFormat="1" applyFont="1" applyBorder="1" applyAlignment="1">
      <alignment horizontal="right"/>
    </xf>
    <xf numFmtId="164" fontId="43" fillId="0" borderId="30" xfId="0" applyNumberFormat="1" applyFont="1" applyBorder="1" applyAlignment="1">
      <alignment horizontal="right"/>
    </xf>
    <xf numFmtId="0" fontId="4" fillId="2" borderId="47" xfId="499" applyFont="1" applyFill="1" applyBorder="1" applyAlignment="1">
      <alignment horizontal="center" wrapText="1"/>
    </xf>
    <xf numFmtId="164" fontId="43" fillId="0" borderId="6" xfId="0" applyNumberFormat="1" applyFont="1" applyBorder="1" applyAlignment="1">
      <alignment horizontal="right"/>
    </xf>
    <xf numFmtId="164" fontId="43" fillId="0" borderId="8" xfId="0" applyNumberFormat="1" applyFont="1" applyBorder="1" applyAlignment="1">
      <alignment horizontal="right"/>
    </xf>
    <xf numFmtId="164" fontId="40" fillId="0" borderId="0" xfId="0" applyNumberFormat="1" applyFont="1"/>
    <xf numFmtId="164" fontId="40" fillId="0" borderId="7" xfId="0" applyNumberFormat="1" applyFont="1" applyBorder="1"/>
    <xf numFmtId="164" fontId="43" fillId="0" borderId="5" xfId="0" applyNumberFormat="1" applyFont="1" applyBorder="1" applyAlignment="1">
      <alignment horizontal="right"/>
    </xf>
    <xf numFmtId="164" fontId="43" fillId="0" borderId="6" xfId="0" applyNumberFormat="1" applyFont="1" applyBorder="1" applyAlignment="1">
      <alignment horizontal="right"/>
    </xf>
    <xf numFmtId="164" fontId="43" fillId="0" borderId="7" xfId="0" applyNumberFormat="1" applyFont="1" applyBorder="1" applyAlignment="1">
      <alignment horizontal="right"/>
    </xf>
    <xf numFmtId="164" fontId="43" fillId="0" borderId="8" xfId="0" applyNumberFormat="1" applyFont="1" applyBorder="1" applyAlignment="1">
      <alignment horizontal="right"/>
    </xf>
    <xf numFmtId="0" fontId="9" fillId="2" borderId="47" xfId="490" applyFont="1" applyFill="1" applyBorder="1" applyAlignment="1">
      <alignment horizontal="center" wrapText="1"/>
    </xf>
    <xf numFmtId="0" fontId="9" fillId="2" borderId="51" xfId="490" applyFont="1" applyFill="1" applyBorder="1" applyAlignment="1">
      <alignment horizontal="center" wrapText="1"/>
    </xf>
    <xf numFmtId="164" fontId="47" fillId="0" borderId="48" xfId="0" applyNumberFormat="1" applyFont="1" applyBorder="1" applyAlignment="1">
      <alignment horizontal="right"/>
    </xf>
    <xf numFmtId="164" fontId="47" fillId="0" borderId="49" xfId="0" applyNumberFormat="1" applyFont="1" applyBorder="1" applyAlignment="1">
      <alignment horizontal="right"/>
    </xf>
    <xf numFmtId="164" fontId="43" fillId="0" borderId="52" xfId="0" applyNumberFormat="1" applyFont="1" applyBorder="1" applyAlignment="1">
      <alignment horizontal="right"/>
    </xf>
    <xf numFmtId="0" fontId="4" fillId="2" borderId="47" xfId="496" applyFont="1" applyFill="1" applyBorder="1" applyAlignment="1">
      <alignment horizontal="center" wrapText="1"/>
    </xf>
    <xf numFmtId="0" fontId="9" fillId="2" borderId="47" xfId="506" applyFont="1" applyFill="1" applyBorder="1" applyAlignment="1">
      <alignment horizontal="center" wrapText="1"/>
    </xf>
    <xf numFmtId="0" fontId="9" fillId="2" borderId="47" xfId="496" applyFont="1" applyFill="1" applyBorder="1" applyAlignment="1">
      <alignment horizontal="center" wrapText="1"/>
    </xf>
    <xf numFmtId="164" fontId="40" fillId="0" borderId="48" xfId="0" applyNumberFormat="1" applyFont="1" applyBorder="1"/>
    <xf numFmtId="164" fontId="40" fillId="0" borderId="49" xfId="0" applyNumberFormat="1" applyFont="1" applyBorder="1"/>
    <xf numFmtId="164" fontId="40" fillId="0" borderId="7" xfId="0" applyNumberFormat="1" applyFont="1" applyBorder="1"/>
    <xf numFmtId="164" fontId="40" fillId="0" borderId="52" xfId="0" applyNumberFormat="1" applyFont="1" applyBorder="1"/>
    <xf numFmtId="3" fontId="0" fillId="0" borderId="4" xfId="0" applyNumberFormat="1" applyBorder="1"/>
    <xf numFmtId="164" fontId="40" fillId="0" borderId="6" xfId="0" applyNumberFormat="1" applyFont="1" applyBorder="1"/>
    <xf numFmtId="164" fontId="40" fillId="0" borderId="8" xfId="0" applyNumberFormat="1" applyFont="1" applyBorder="1"/>
    <xf numFmtId="0" fontId="9" fillId="2" borderId="53" xfId="506" applyFont="1" applyFill="1" applyBorder="1" applyAlignment="1">
      <alignment horizontal="center" wrapText="1"/>
    </xf>
    <xf numFmtId="0" fontId="9" fillId="2" borderId="54" xfId="506" applyFont="1" applyFill="1" applyBorder="1" applyAlignment="1">
      <alignment horizontal="center" wrapText="1"/>
    </xf>
    <xf numFmtId="0" fontId="9" fillId="2" borderId="55" xfId="506" applyFont="1" applyFill="1" applyBorder="1" applyAlignment="1">
      <alignment horizontal="center" wrapText="1"/>
    </xf>
    <xf numFmtId="3" fontId="43" fillId="0" borderId="30" xfId="498" applyNumberFormat="1" applyFont="1" applyFill="1" applyBorder="1" applyAlignment="1">
      <alignment horizontal="right" wrapText="1"/>
    </xf>
    <xf numFmtId="3" fontId="43" fillId="0" borderId="7" xfId="498" applyNumberFormat="1" applyFont="1" applyFill="1" applyBorder="1" applyAlignment="1">
      <alignment horizontal="right" wrapText="1"/>
    </xf>
    <xf numFmtId="0" fontId="4" fillId="2" borderId="51" xfId="495" applyFont="1" applyFill="1" applyBorder="1" applyAlignment="1">
      <alignment horizontal="center" wrapText="1"/>
    </xf>
    <xf numFmtId="164" fontId="40" fillId="0" borderId="50" xfId="0" applyNumberFormat="1" applyFont="1" applyBorder="1"/>
    <xf numFmtId="3" fontId="47" fillId="0" borderId="7" xfId="492" applyNumberFormat="1" applyFont="1" applyFill="1" applyBorder="1" applyAlignment="1">
      <alignment horizontal="right" wrapText="1"/>
    </xf>
    <xf numFmtId="0" fontId="11" fillId="2" borderId="47" xfId="492" applyFont="1" applyFill="1" applyBorder="1" applyAlignment="1">
      <alignment horizontal="center" wrapText="1"/>
    </xf>
    <xf numFmtId="0" fontId="11" fillId="2" borderId="47" xfId="505" applyFont="1" applyFill="1" applyBorder="1" applyAlignment="1">
      <alignment horizontal="center" wrapText="1"/>
    </xf>
    <xf numFmtId="0" fontId="11" fillId="2" borderId="55" xfId="506" applyFont="1" applyFill="1" applyBorder="1" applyAlignment="1">
      <alignment horizontal="center" wrapText="1"/>
    </xf>
    <xf numFmtId="0" fontId="11" fillId="2" borderId="56" xfId="506" applyFont="1" applyFill="1" applyBorder="1" applyAlignment="1">
      <alignment horizontal="center" wrapText="1"/>
    </xf>
    <xf numFmtId="164" fontId="47" fillId="0" borderId="7" xfId="0" applyNumberFormat="1" applyFont="1" applyBorder="1" applyAlignment="1">
      <alignment horizontal="right"/>
    </xf>
    <xf numFmtId="164" fontId="47" fillId="0" borderId="52" xfId="0" applyNumberFormat="1" applyFont="1" applyBorder="1" applyAlignment="1">
      <alignment horizontal="right"/>
    </xf>
    <xf numFmtId="0" fontId="4" fillId="2" borderId="47" xfId="492" applyFont="1" applyFill="1" applyBorder="1" applyAlignment="1">
      <alignment horizontal="center" wrapText="1"/>
    </xf>
    <xf numFmtId="0" fontId="9" fillId="2" borderId="47" xfId="500" applyFont="1" applyFill="1" applyBorder="1" applyAlignment="1">
      <alignment horizontal="center" wrapText="1"/>
    </xf>
    <xf numFmtId="0" fontId="4" fillId="2" borderId="47" xfId="505" applyFont="1" applyFill="1" applyBorder="1" applyAlignment="1">
      <alignment horizontal="center" wrapText="1"/>
    </xf>
    <xf numFmtId="0" fontId="4" fillId="2" borderId="47" xfId="506" applyFont="1" applyFill="1" applyBorder="1" applyAlignment="1">
      <alignment horizontal="center" wrapText="1"/>
    </xf>
    <xf numFmtId="0" fontId="4" fillId="2" borderId="47" xfId="493" applyFont="1" applyFill="1" applyBorder="1" applyAlignment="1">
      <alignment horizontal="center" wrapText="1"/>
    </xf>
    <xf numFmtId="0" fontId="4" fillId="2" borderId="47" xfId="494" applyFont="1" applyFill="1" applyBorder="1" applyAlignment="1">
      <alignment horizontal="center" wrapText="1"/>
    </xf>
    <xf numFmtId="3" fontId="43" fillId="0" borderId="30" xfId="493" applyNumberFormat="1" applyFont="1" applyFill="1" applyBorder="1" applyAlignment="1">
      <alignment horizontal="right" wrapText="1"/>
    </xf>
    <xf numFmtId="3" fontId="43" fillId="0" borderId="30" xfId="492" applyNumberFormat="1" applyFont="1" applyFill="1" applyBorder="1" applyAlignment="1">
      <alignment horizontal="right" wrapText="1"/>
    </xf>
    <xf numFmtId="3" fontId="43" fillId="0" borderId="23" xfId="493" applyNumberFormat="1" applyFont="1" applyFill="1" applyBorder="1" applyAlignment="1">
      <alignment horizontal="right" wrapText="1"/>
    </xf>
    <xf numFmtId="3" fontId="43" fillId="0" borderId="23" xfId="492" applyNumberFormat="1" applyFont="1" applyFill="1" applyBorder="1" applyAlignment="1">
      <alignment horizontal="right" wrapText="1"/>
    </xf>
    <xf numFmtId="3" fontId="40" fillId="0" borderId="30" xfId="0" applyNumberFormat="1" applyFont="1" applyBorder="1"/>
    <xf numFmtId="164" fontId="40" fillId="0" borderId="23" xfId="0" applyNumberFormat="1" applyFont="1" applyBorder="1"/>
    <xf numFmtId="164" fontId="43" fillId="0" borderId="23" xfId="0" applyNumberFormat="1" applyFont="1" applyBorder="1" applyAlignment="1">
      <alignment horizontal="right"/>
    </xf>
    <xf numFmtId="164" fontId="40" fillId="0" borderId="0" xfId="0" applyNumberFormat="1" applyFont="1" applyBorder="1"/>
    <xf numFmtId="164" fontId="43" fillId="0" borderId="0" xfId="0" applyNumberFormat="1" applyFont="1" applyBorder="1" applyAlignment="1">
      <alignment horizontal="right"/>
    </xf>
    <xf numFmtId="164" fontId="40" fillId="0" borderId="30" xfId="0" applyNumberFormat="1" applyFont="1" applyBorder="1"/>
    <xf numFmtId="0" fontId="9" fillId="2" borderId="53" xfId="500" applyFont="1" applyFill="1" applyBorder="1" applyAlignment="1">
      <alignment horizontal="center" wrapText="1"/>
    </xf>
    <xf numFmtId="0" fontId="4" fillId="2" borderId="55" xfId="506" applyFont="1" applyFill="1" applyBorder="1" applyAlignment="1">
      <alignment horizontal="center" wrapText="1"/>
    </xf>
    <xf numFmtId="0" fontId="4" fillId="2" borderId="56" xfId="506" applyFont="1" applyFill="1" applyBorder="1" applyAlignment="1">
      <alignment horizontal="center" wrapText="1"/>
    </xf>
    <xf numFmtId="0" fontId="4" fillId="2" borderId="47" xfId="507" applyFont="1" applyFill="1" applyBorder="1" applyAlignment="1">
      <alignment horizontal="center" wrapText="1"/>
    </xf>
    <xf numFmtId="3" fontId="43" fillId="0" borderId="57" xfId="504" applyNumberFormat="1" applyFont="1" applyFill="1" applyBorder="1" applyAlignment="1">
      <alignment horizontal="right" wrapText="1"/>
    </xf>
    <xf numFmtId="3" fontId="43" fillId="0" borderId="30" xfId="496" applyNumberFormat="1" applyFont="1" applyFill="1" applyBorder="1" applyAlignment="1">
      <alignment horizontal="right" wrapText="1"/>
    </xf>
    <xf numFmtId="3" fontId="40" fillId="0" borderId="7" xfId="0" applyNumberFormat="1" applyFont="1" applyBorder="1"/>
    <xf numFmtId="3" fontId="0" fillId="0" borderId="0" xfId="0" applyNumberFormat="1" applyBorder="1" applyAlignment="1">
      <alignment horizontal="left" wrapText="1"/>
    </xf>
    <xf numFmtId="3" fontId="0" fillId="0" borderId="0" xfId="0" applyNumberFormat="1" applyAlignment="1">
      <alignment wrapText="1"/>
    </xf>
    <xf numFmtId="0" fontId="0" fillId="0" borderId="0" xfId="0" applyBorder="1" applyAlignment="1">
      <alignment wrapText="1"/>
    </xf>
    <xf numFmtId="0" fontId="0" fillId="0" borderId="0" xfId="0" applyBorder="1" applyAlignment="1"/>
    <xf numFmtId="3" fontId="10" fillId="0" borderId="0" xfId="0" applyNumberFormat="1" applyFont="1" applyFill="1"/>
    <xf numFmtId="3" fontId="6" fillId="0" borderId="0" xfId="0" applyNumberFormat="1" applyFont="1" applyFill="1"/>
    <xf numFmtId="1" fontId="0" fillId="0" borderId="0" xfId="0" applyNumberFormat="1" applyFill="1"/>
    <xf numFmtId="166" fontId="48" fillId="0" borderId="0" xfId="34" applyNumberFormat="1" applyFont="1" applyAlignment="1">
      <alignment horizontal="right"/>
    </xf>
    <xf numFmtId="0" fontId="4" fillId="2" borderId="21" xfId="506" applyFont="1" applyFill="1" applyBorder="1" applyAlignment="1">
      <alignment horizontal="center" wrapText="1"/>
    </xf>
    <xf numFmtId="0" fontId="42" fillId="0" borderId="0" xfId="0" applyFont="1" applyAlignment="1">
      <alignment horizontal="left"/>
    </xf>
    <xf numFmtId="3" fontId="7" fillId="0" borderId="0" xfId="499" applyNumberFormat="1" applyFont="1" applyFill="1" applyBorder="1" applyAlignment="1">
      <alignment horizontal="left"/>
    </xf>
    <xf numFmtId="3" fontId="46" fillId="0" borderId="0" xfId="0" applyNumberFormat="1" applyFont="1" applyFill="1"/>
    <xf numFmtId="3" fontId="46" fillId="0" borderId="7" xfId="0" applyNumberFormat="1" applyFont="1" applyFill="1" applyBorder="1"/>
    <xf numFmtId="164" fontId="44" fillId="0" borderId="0" xfId="0" applyNumberFormat="1" applyFont="1" applyAlignment="1">
      <alignment horizontal="right"/>
    </xf>
    <xf numFmtId="0" fontId="6" fillId="0" borderId="0" xfId="439"/>
    <xf numFmtId="0" fontId="7" fillId="0" borderId="0" xfId="439" applyFont="1" applyAlignment="1">
      <alignment horizontal="left" vertical="center" wrapText="1"/>
    </xf>
    <xf numFmtId="0" fontId="21" fillId="0" borderId="0" xfId="439" applyFont="1" applyAlignment="1">
      <alignment horizontal="left" vertical="center" wrapText="1"/>
    </xf>
    <xf numFmtId="0" fontId="20" fillId="0" borderId="0" xfId="439" applyFont="1" applyAlignment="1">
      <alignment horizontal="left" vertical="center" wrapText="1"/>
    </xf>
    <xf numFmtId="0" fontId="20" fillId="0" borderId="0" xfId="439" applyFont="1" applyAlignment="1">
      <alignment horizontal="center" vertical="center"/>
    </xf>
    <xf numFmtId="0" fontId="7" fillId="0" borderId="0" xfId="439" applyFont="1" applyAlignment="1">
      <alignment vertical="center"/>
    </xf>
    <xf numFmtId="0" fontId="6" fillId="0" borderId="0" xfId="439" applyAlignment="1"/>
    <xf numFmtId="0" fontId="6" fillId="0" borderId="58" xfId="439" applyBorder="1"/>
    <xf numFmtId="0" fontId="7" fillId="0" borderId="58" xfId="439" applyFont="1" applyBorder="1" applyAlignment="1">
      <alignment horizontal="left" vertical="center" wrapText="1"/>
    </xf>
    <xf numFmtId="0" fontId="0" fillId="0" borderId="0" xfId="0" applyBorder="1" applyAlignment="1">
      <alignment horizontal="left" wrapText="1"/>
    </xf>
    <xf numFmtId="164" fontId="41" fillId="0" borderId="0" xfId="0" applyNumberFormat="1" applyFont="1" applyFill="1" applyAlignment="1">
      <alignment horizontal="left"/>
    </xf>
    <xf numFmtId="3" fontId="7" fillId="0" borderId="30" xfId="492" applyNumberFormat="1" applyFont="1" applyFill="1" applyBorder="1" applyAlignment="1">
      <alignment horizontal="right" wrapText="1"/>
    </xf>
    <xf numFmtId="3" fontId="7" fillId="0" borderId="23" xfId="493" applyNumberFormat="1" applyFont="1" applyFill="1" applyBorder="1" applyAlignment="1">
      <alignment horizontal="right" wrapText="1"/>
    </xf>
    <xf numFmtId="0" fontId="0" fillId="0" borderId="0" xfId="0" applyBorder="1" applyAlignment="1">
      <alignment horizontal="left" wrapText="1"/>
    </xf>
    <xf numFmtId="0" fontId="0" fillId="0" borderId="0" xfId="0" applyAlignment="1">
      <alignment wrapText="1"/>
    </xf>
    <xf numFmtId="164" fontId="48" fillId="0" borderId="0" xfId="0" applyNumberFormat="1" applyFont="1" applyAlignment="1">
      <alignment horizontal="left"/>
    </xf>
    <xf numFmtId="164" fontId="43" fillId="0" borderId="4" xfId="0" applyNumberFormat="1" applyFont="1" applyBorder="1" applyAlignment="1">
      <alignment horizontal="right"/>
    </xf>
    <xf numFmtId="0" fontId="9" fillId="2" borderId="21" xfId="499" applyFont="1" applyFill="1" applyBorder="1" applyAlignment="1">
      <alignment horizontal="center" wrapText="1"/>
    </xf>
    <xf numFmtId="0" fontId="9" fillId="2" borderId="48" xfId="490" applyFont="1" applyFill="1" applyBorder="1" applyAlignment="1">
      <alignment horizontal="center" wrapText="1"/>
    </xf>
    <xf numFmtId="0" fontId="9" fillId="2" borderId="29" xfId="499" applyFont="1" applyFill="1" applyBorder="1" applyAlignment="1">
      <alignment horizontal="center" wrapText="1"/>
    </xf>
    <xf numFmtId="3" fontId="49" fillId="0" borderId="4" xfId="493" applyNumberFormat="1" applyFont="1" applyFill="1" applyBorder="1" applyAlignment="1">
      <alignment horizontal="right" wrapText="1"/>
    </xf>
    <xf numFmtId="3" fontId="49" fillId="0" borderId="5" xfId="493" applyNumberFormat="1" applyFont="1" applyFill="1" applyBorder="1" applyAlignment="1">
      <alignment horizontal="right" wrapText="1"/>
    </xf>
    <xf numFmtId="3" fontId="49" fillId="0" borderId="0" xfId="493" applyNumberFormat="1" applyFont="1" applyFill="1" applyBorder="1" applyAlignment="1">
      <alignment horizontal="right" wrapText="1"/>
    </xf>
    <xf numFmtId="3" fontId="49" fillId="0" borderId="6" xfId="493" applyNumberFormat="1" applyFont="1" applyFill="1" applyBorder="1" applyAlignment="1">
      <alignment horizontal="right" wrapText="1"/>
    </xf>
    <xf numFmtId="3" fontId="49" fillId="0" borderId="7" xfId="493" applyNumberFormat="1" applyFont="1" applyFill="1" applyBorder="1" applyAlignment="1">
      <alignment horizontal="right" wrapText="1"/>
    </xf>
    <xf numFmtId="3" fontId="49" fillId="0" borderId="8" xfId="493" applyNumberFormat="1" applyFont="1" applyFill="1" applyBorder="1" applyAlignment="1">
      <alignment horizontal="right" wrapText="1"/>
    </xf>
    <xf numFmtId="3" fontId="50" fillId="0" borderId="4" xfId="492" applyNumberFormat="1" applyFont="1" applyFill="1" applyBorder="1" applyAlignment="1">
      <alignment horizontal="right" wrapText="1"/>
    </xf>
    <xf numFmtId="3" fontId="51" fillId="0" borderId="4" xfId="0" applyNumberFormat="1" applyFont="1" applyFill="1" applyBorder="1"/>
    <xf numFmtId="3" fontId="51" fillId="0" borderId="5" xfId="0" applyNumberFormat="1" applyFont="1" applyFill="1" applyBorder="1"/>
    <xf numFmtId="3" fontId="50" fillId="0" borderId="0" xfId="492" applyNumberFormat="1" applyFont="1" applyFill="1" applyBorder="1" applyAlignment="1">
      <alignment horizontal="right" wrapText="1"/>
    </xf>
    <xf numFmtId="3" fontId="51" fillId="0" borderId="0" xfId="0" applyNumberFormat="1" applyFont="1" applyFill="1" applyBorder="1"/>
    <xf numFmtId="3" fontId="51" fillId="0" borderId="6" xfId="0" applyNumberFormat="1" applyFont="1" applyFill="1" applyBorder="1"/>
    <xf numFmtId="3" fontId="50" fillId="0" borderId="7" xfId="492" applyNumberFormat="1" applyFont="1" applyFill="1" applyBorder="1" applyAlignment="1">
      <alignment horizontal="right" wrapText="1"/>
    </xf>
    <xf numFmtId="3" fontId="51" fillId="0" borderId="7" xfId="0" applyNumberFormat="1" applyFont="1" applyFill="1" applyBorder="1"/>
    <xf numFmtId="3" fontId="51" fillId="0" borderId="8" xfId="0" applyNumberFormat="1" applyFont="1" applyFill="1" applyBorder="1"/>
    <xf numFmtId="3" fontId="51" fillId="0" borderId="4" xfId="0" applyNumberFormat="1" applyFont="1" applyBorder="1"/>
    <xf numFmtId="0" fontId="51" fillId="0" borderId="5" xfId="0" applyNumberFormat="1" applyFont="1" applyBorder="1"/>
    <xf numFmtId="0" fontId="51" fillId="0" borderId="0" xfId="0" applyNumberFormat="1" applyFont="1" applyBorder="1"/>
    <xf numFmtId="0" fontId="51" fillId="0" borderId="6" xfId="0" applyNumberFormat="1" applyFont="1" applyBorder="1"/>
    <xf numFmtId="1" fontId="51" fillId="0" borderId="0" xfId="0" applyNumberFormat="1" applyFont="1" applyFill="1" applyBorder="1"/>
    <xf numFmtId="1" fontId="51" fillId="0" borderId="6" xfId="0" applyNumberFormat="1" applyFont="1" applyFill="1" applyBorder="1"/>
    <xf numFmtId="1" fontId="51" fillId="0" borderId="7" xfId="0" applyNumberFormat="1" applyFont="1" applyFill="1" applyBorder="1"/>
    <xf numFmtId="1" fontId="51" fillId="0" borderId="8" xfId="0" applyNumberFormat="1" applyFont="1" applyFill="1" applyBorder="1"/>
    <xf numFmtId="3" fontId="42" fillId="0" borderId="4" xfId="0" applyNumberFormat="1" applyFont="1" applyFill="1" applyBorder="1"/>
    <xf numFmtId="3" fontId="42" fillId="0" borderId="5" xfId="0" applyNumberFormat="1" applyFont="1" applyFill="1" applyBorder="1"/>
    <xf numFmtId="3" fontId="42" fillId="0" borderId="6" xfId="0" applyNumberFormat="1" applyFont="1" applyFill="1" applyBorder="1"/>
    <xf numFmtId="3" fontId="42" fillId="0" borderId="17" xfId="0" applyNumberFormat="1" applyFont="1" applyFill="1" applyBorder="1"/>
    <xf numFmtId="3" fontId="42" fillId="0" borderId="7" xfId="0" applyNumberFormat="1" applyFont="1" applyFill="1" applyBorder="1"/>
    <xf numFmtId="3" fontId="42" fillId="0" borderId="8" xfId="0" applyNumberFormat="1" applyFont="1" applyFill="1" applyBorder="1"/>
    <xf numFmtId="3" fontId="49" fillId="0" borderId="4" xfId="490" applyNumberFormat="1" applyFont="1" applyFill="1" applyBorder="1" applyAlignment="1">
      <alignment horizontal="right" wrapText="1"/>
    </xf>
    <xf numFmtId="3" fontId="49" fillId="0" borderId="0" xfId="490" applyNumberFormat="1" applyFont="1" applyFill="1" applyBorder="1" applyAlignment="1">
      <alignment horizontal="right" wrapText="1"/>
    </xf>
    <xf numFmtId="3" fontId="49" fillId="0" borderId="7" xfId="490" applyNumberFormat="1" applyFont="1" applyFill="1" applyBorder="1" applyAlignment="1">
      <alignment horizontal="right" wrapText="1"/>
    </xf>
    <xf numFmtId="0" fontId="18" fillId="0" borderId="0" xfId="439" applyFont="1" applyFill="1" applyAlignment="1">
      <alignment horizontal="left" vertical="top"/>
    </xf>
    <xf numFmtId="0" fontId="20" fillId="0" borderId="0" xfId="439" applyFont="1" applyAlignment="1">
      <alignment horizontal="center" vertical="center"/>
    </xf>
    <xf numFmtId="0" fontId="18" fillId="0" borderId="0" xfId="439" applyFont="1" applyAlignment="1">
      <alignment horizontal="center" vertical="center"/>
    </xf>
    <xf numFmtId="0" fontId="7" fillId="0" borderId="0" xfId="439" applyFont="1" applyAlignment="1">
      <alignment horizontal="left" vertical="center" wrapText="1"/>
    </xf>
    <xf numFmtId="0" fontId="18" fillId="0" borderId="0" xfId="439" applyFont="1" applyFill="1" applyAlignment="1">
      <alignment horizontal="left" vertical="top" wrapText="1"/>
    </xf>
    <xf numFmtId="0" fontId="19" fillId="0" borderId="0" xfId="439" applyFont="1" applyFill="1" applyAlignment="1">
      <alignment vertical="top" wrapText="1"/>
    </xf>
    <xf numFmtId="3" fontId="7" fillId="0" borderId="0" xfId="499" applyNumberFormat="1" applyFont="1" applyFill="1" applyBorder="1" applyAlignment="1">
      <alignment horizontal="left"/>
    </xf>
    <xf numFmtId="0" fontId="0" fillId="0" borderId="0" xfId="0" applyBorder="1" applyAlignment="1">
      <alignment horizontal="left"/>
    </xf>
    <xf numFmtId="3" fontId="7" fillId="0" borderId="0" xfId="499" applyNumberFormat="1" applyFont="1" applyFill="1" applyBorder="1" applyAlignment="1">
      <alignment horizontal="left" wrapText="1"/>
    </xf>
    <xf numFmtId="0" fontId="0" fillId="0" borderId="0" xfId="0" applyBorder="1" applyAlignment="1">
      <alignment horizontal="left" wrapText="1"/>
    </xf>
    <xf numFmtId="0" fontId="52" fillId="0" borderId="0" xfId="0" applyFont="1" applyAlignment="1">
      <alignment horizontal="center"/>
    </xf>
    <xf numFmtId="3" fontId="7" fillId="0" borderId="0" xfId="499" applyNumberFormat="1" applyFont="1" applyAlignment="1">
      <alignment horizontal="left" wrapText="1"/>
    </xf>
    <xf numFmtId="0" fontId="0" fillId="0" borderId="0" xfId="0" applyAlignment="1">
      <alignment horizontal="left" wrapText="1"/>
    </xf>
    <xf numFmtId="0" fontId="0" fillId="0" borderId="4" xfId="0" applyBorder="1" applyAlignment="1">
      <alignment horizontal="left" wrapText="1"/>
    </xf>
    <xf numFmtId="3" fontId="7" fillId="0" borderId="4" xfId="499" applyNumberFormat="1" applyFont="1" applyFill="1" applyBorder="1" applyAlignment="1">
      <alignment horizontal="left" wrapText="1"/>
    </xf>
    <xf numFmtId="0" fontId="0" fillId="0" borderId="4" xfId="0" applyBorder="1" applyAlignment="1">
      <alignment horizontal="left"/>
    </xf>
    <xf numFmtId="0" fontId="42" fillId="0" borderId="0" xfId="0" applyFont="1" applyAlignment="1">
      <alignment wrapText="1"/>
    </xf>
    <xf numFmtId="0" fontId="42" fillId="0" borderId="4" xfId="0" applyFont="1" applyBorder="1" applyAlignment="1">
      <alignment horizontal="left" wrapText="1"/>
    </xf>
    <xf numFmtId="0" fontId="48" fillId="0" borderId="4" xfId="0" applyFont="1" applyBorder="1" applyAlignment="1">
      <alignment horizontal="left" wrapText="1"/>
    </xf>
    <xf numFmtId="0" fontId="0" fillId="0" borderId="0" xfId="0" applyAlignment="1">
      <alignment wrapText="1"/>
    </xf>
  </cellXfs>
  <cellStyles count="51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1 2" xfId="14" xr:uid="{409E26C5-8E0C-4CF8-8F61-95E8187D7B55}"/>
    <cellStyle name="60% - Accent2" xfId="15" builtinId="36" customBuiltin="1"/>
    <cellStyle name="60% - Accent2 2" xfId="16" xr:uid="{0E0FC4AA-FC64-4E49-82A9-5CBB45E51D6A}"/>
    <cellStyle name="60% - Accent3" xfId="17" builtinId="40" customBuiltin="1"/>
    <cellStyle name="60% - Accent3 2" xfId="18" xr:uid="{FF44C279-B8A7-4371-B317-9CE97CE8EE81}"/>
    <cellStyle name="60% - Accent4" xfId="19" builtinId="44" customBuiltin="1"/>
    <cellStyle name="60% - Accent4 2" xfId="20" xr:uid="{597751DA-0F48-477F-8288-7ED19D5BFCA1}"/>
    <cellStyle name="60% - Accent5" xfId="21" builtinId="48" customBuiltin="1"/>
    <cellStyle name="60% - Accent5 2" xfId="22" xr:uid="{1C693CD2-5901-4CA0-A54B-CB423D3BA2AF}"/>
    <cellStyle name="60% - Accent6" xfId="23" builtinId="52" customBuiltin="1"/>
    <cellStyle name="60% - Accent6 2" xfId="24" xr:uid="{5356CB4A-B27C-4B2C-9EA8-303831F9EB8E}"/>
    <cellStyle name="Accent1" xfId="25" builtinId="29" customBuiltin="1"/>
    <cellStyle name="Accent2" xfId="26" builtinId="33" customBuiltin="1"/>
    <cellStyle name="Accent3" xfId="27" builtinId="37" customBuiltin="1"/>
    <cellStyle name="Accent4" xfId="28" builtinId="41" customBuiltin="1"/>
    <cellStyle name="Accent5" xfId="29" builtinId="45" customBuiltin="1"/>
    <cellStyle name="Accent6" xfId="30" builtinId="49" customBuiltin="1"/>
    <cellStyle name="Bad" xfId="31" builtinId="27" customBuiltin="1"/>
    <cellStyle name="Calculation" xfId="32" builtinId="22" customBuiltin="1"/>
    <cellStyle name="Check Cell" xfId="33" builtinId="23" customBuiltin="1"/>
    <cellStyle name="Comma" xfId="34" builtinId="3"/>
    <cellStyle name="Comma 2" xfId="35" xr:uid="{9D634BAB-6253-4C9F-99EE-C235C997C458}"/>
    <cellStyle name="Explanatory Text" xfId="36" builtinId="53" customBuiltin="1"/>
    <cellStyle name="Good" xfId="37" builtinId="26" customBuiltin="1"/>
    <cellStyle name="Heading 1" xfId="38" builtinId="16" customBuiltin="1"/>
    <cellStyle name="Heading 2" xfId="39" builtinId="17" customBuiltin="1"/>
    <cellStyle name="Heading 3" xfId="40" builtinId="18" customBuiltin="1"/>
    <cellStyle name="Heading 4" xfId="41" builtinId="19" customBuiltin="1"/>
    <cellStyle name="Input" xfId="42" builtinId="20" customBuiltin="1"/>
    <cellStyle name="Linked Cell" xfId="43" builtinId="24" customBuiltin="1"/>
    <cellStyle name="Neutral" xfId="44" builtinId="28" customBuiltin="1"/>
    <cellStyle name="Neutral 2" xfId="45" xr:uid="{F9084B8B-6F73-402E-A18D-9684C6C50ED2}"/>
    <cellStyle name="Normal" xfId="0" builtinId="0"/>
    <cellStyle name="Normal 10" xfId="46" xr:uid="{935763DC-9B94-48DA-8924-B5FFFC77D389}"/>
    <cellStyle name="Normal 10 2" xfId="47" xr:uid="{27B3635B-0A68-4016-93C2-23C60782E9A7}"/>
    <cellStyle name="Normal 10 3" xfId="48" xr:uid="{04192630-E8BC-4BC2-842E-5285D81CA32E}"/>
    <cellStyle name="Normal 10 4" xfId="49" xr:uid="{BBADD38E-F3F8-47E2-8D02-392829114D13}"/>
    <cellStyle name="Normal 10 5" xfId="50" xr:uid="{7AA0C3E6-7447-4058-90B5-0D4B163DD847}"/>
    <cellStyle name="Normal 11 2" xfId="51" xr:uid="{8DC20C9E-D4B7-4EFA-BE21-36D9C7CC63CF}"/>
    <cellStyle name="Normal 11 3" xfId="52" xr:uid="{A79CC3F7-B6F0-40F9-B4C1-CF91F16D8A2D}"/>
    <cellStyle name="Normal 11 4" xfId="53" xr:uid="{406960E7-F1FB-4B99-B7B6-4A6AD9B11C5E}"/>
    <cellStyle name="Normal 12 2" xfId="54" xr:uid="{B5646D09-95C5-4383-AE71-4A2A6761E9FA}"/>
    <cellStyle name="Normal 12 3" xfId="55" xr:uid="{B40DCD43-DB32-4783-B60D-D70ABE1F9D3F}"/>
    <cellStyle name="Normal 13 2" xfId="56" xr:uid="{9831D7FB-E807-4B99-84C5-42F4F8ECD551}"/>
    <cellStyle name="Normal 13 3" xfId="57" xr:uid="{CB6FB396-8B3A-4052-91C4-8057E743987F}"/>
    <cellStyle name="Normal 14 2" xfId="58" xr:uid="{ECA8C7D5-87BE-459B-BD90-7B3207B968FA}"/>
    <cellStyle name="Normal 14 3" xfId="59" xr:uid="{3D45DD8F-73A2-451C-AFB0-0D0CE9EABB2F}"/>
    <cellStyle name="Normal 15" xfId="60" xr:uid="{A7D640E4-8447-4601-9310-BE7083F467B6}"/>
    <cellStyle name="Normal 15 2" xfId="61" xr:uid="{D316806B-56C4-4C09-B50F-C1A9BE7A9D5D}"/>
    <cellStyle name="Normal 15 3" xfId="62" xr:uid="{C1948865-9D46-4217-8161-8A4BA189F2A3}"/>
    <cellStyle name="Normal 16" xfId="63" xr:uid="{E29BADC9-6ECD-4C0C-9C9A-54C7D004E645}"/>
    <cellStyle name="Normal 16 2" xfId="64" xr:uid="{1DB75801-5714-496C-9E89-E4A29EB4CAE0}"/>
    <cellStyle name="Normal 17" xfId="65" xr:uid="{F3C44FB2-78F6-439C-96CA-29E9290B9CBF}"/>
    <cellStyle name="Normal 17 2" xfId="66" xr:uid="{36B66623-4E09-48D5-A263-63C41D8F9821}"/>
    <cellStyle name="Normal 17 3" xfId="67" xr:uid="{D12FA59D-D6BA-45CD-9027-071A732E4168}"/>
    <cellStyle name="Normal 18" xfId="68" xr:uid="{5EB53CE6-C975-48F7-A932-09D6F3B617A6}"/>
    <cellStyle name="Normal 18 2" xfId="69" xr:uid="{9AE81F41-66B4-4335-A0DD-981947AC1D67}"/>
    <cellStyle name="Normal 18 3" xfId="70" xr:uid="{DCC15DFF-6602-4951-9699-C9E9465EA9E7}"/>
    <cellStyle name="Normal 19" xfId="71" xr:uid="{1040CC20-609A-4779-A8F2-0FB31F7AA452}"/>
    <cellStyle name="Normal 19 2" xfId="72" xr:uid="{30536710-647A-4BC4-83DC-5BA466C4D84A}"/>
    <cellStyle name="Normal 2" xfId="73" xr:uid="{EDA30934-D3FF-41C7-A51E-90B1602D8C46}"/>
    <cellStyle name="Normal 2 10" xfId="74" xr:uid="{A541997C-4A38-41D0-8CAC-EA7646FD30EB}"/>
    <cellStyle name="Normal 2 10 2" xfId="75" xr:uid="{0868EE8C-BB9A-485F-BE4B-35BDB3DBEA01}"/>
    <cellStyle name="Normal 2 100" xfId="76" xr:uid="{97580C0C-FA33-4F2A-AAB5-B8CF37D05ABC}"/>
    <cellStyle name="Normal 2 101" xfId="77" xr:uid="{49977DA0-EFBF-4547-908E-2056CEECC5CB}"/>
    <cellStyle name="Normal 2 102" xfId="78" xr:uid="{1D46BF70-7200-4DCD-AB52-2698AA11421B}"/>
    <cellStyle name="Normal 2 103" xfId="79" xr:uid="{86E4214E-876C-41F8-99E5-096385A152B6}"/>
    <cellStyle name="Normal 2 104" xfId="80" xr:uid="{926080F7-773D-4380-915A-36F753085981}"/>
    <cellStyle name="Normal 2 105" xfId="81" xr:uid="{65207852-0E14-4B59-B742-83BFDD8E5994}"/>
    <cellStyle name="Normal 2 106" xfId="82" xr:uid="{03D99246-FE97-48C6-AF46-1C5069C00B4E}"/>
    <cellStyle name="Normal 2 107" xfId="83" xr:uid="{7BF834AB-C0CE-4F22-8CA6-3C9AD6559176}"/>
    <cellStyle name="Normal 2 108" xfId="84" xr:uid="{55E1BDA5-1D79-4DB0-9650-16F16F899284}"/>
    <cellStyle name="Normal 2 109" xfId="85" xr:uid="{03DD6867-F89B-481D-A5DC-B97B5BACAC7C}"/>
    <cellStyle name="Normal 2 11" xfId="86" xr:uid="{56B9B2C3-5E6E-4C09-83C3-EE49DBF05310}"/>
    <cellStyle name="Normal 2 11 2" xfId="87" xr:uid="{E9A2EB3D-B7D9-4EA0-B63B-172DE7A116FD}"/>
    <cellStyle name="Normal 2 110" xfId="88" xr:uid="{E0374C59-28A4-45AF-BC48-517F5E4B3237}"/>
    <cellStyle name="Normal 2 111" xfId="89" xr:uid="{CA758EE3-D18D-4176-811E-9406B1763A1D}"/>
    <cellStyle name="Normal 2 112" xfId="90" xr:uid="{CAB36F5C-7554-434C-828E-E75B8E9F7F47}"/>
    <cellStyle name="Normal 2 113" xfId="91" xr:uid="{8E482175-120C-45F8-924A-1A67C836DCCE}"/>
    <cellStyle name="Normal 2 114" xfId="92" xr:uid="{CA43EFDF-C189-46C0-89BA-720DAA82E0F2}"/>
    <cellStyle name="Normal 2 115" xfId="93" xr:uid="{5C1F9DBB-82F2-42AE-8BC6-3C885C19B750}"/>
    <cellStyle name="Normal 2 116" xfId="94" xr:uid="{25665E10-AC9F-4E06-B9B8-5D85A1C21D8E}"/>
    <cellStyle name="Normal 2 117" xfId="95" xr:uid="{72393B96-20C6-469E-B02C-3616B31CC7F8}"/>
    <cellStyle name="Normal 2 118" xfId="96" xr:uid="{CF6FE744-F1A6-4636-8786-9C02A9A05809}"/>
    <cellStyle name="Normal 2 119" xfId="97" xr:uid="{00488AA8-303F-4C5A-A1A0-16A1B90940E6}"/>
    <cellStyle name="Normal 2 12" xfId="98" xr:uid="{87A58156-FBEF-43D2-9480-EF99F34E009A}"/>
    <cellStyle name="Normal 2 12 2" xfId="99" xr:uid="{3B49A1F5-1867-4247-8D92-34106F070553}"/>
    <cellStyle name="Normal 2 120" xfId="100" xr:uid="{D5D5EF83-BF2C-429A-8BB9-120D802347E2}"/>
    <cellStyle name="Normal 2 121" xfId="101" xr:uid="{F952C777-D142-48A9-A61C-492DE5DC5D72}"/>
    <cellStyle name="Normal 2 122" xfId="102" xr:uid="{DB47BF75-9F5F-4710-ADA8-BEC455650C88}"/>
    <cellStyle name="Normal 2 123" xfId="103" xr:uid="{545867E5-D259-47B6-9061-098F27A709A3}"/>
    <cellStyle name="Normal 2 124" xfId="104" xr:uid="{51F4707E-606A-4832-B420-C8AEB06B7FEC}"/>
    <cellStyle name="Normal 2 125" xfId="105" xr:uid="{2BA30E1C-8E14-42C1-89E8-EA462DE5AFF1}"/>
    <cellStyle name="Normal 2 126" xfId="106" xr:uid="{B1B3931D-4D8C-4E5D-ADC3-C95BDF2BE112}"/>
    <cellStyle name="Normal 2 127" xfId="107" xr:uid="{1983CF8C-03B9-46CE-A2A6-8D9AEA7D78A1}"/>
    <cellStyle name="Normal 2 128" xfId="108" xr:uid="{E1A3B8B7-5CC9-41F4-B2D5-687704380717}"/>
    <cellStyle name="Normal 2 129" xfId="109" xr:uid="{7F96001E-F701-43C3-88E7-BA4E2A8CB34A}"/>
    <cellStyle name="Normal 2 13" xfId="110" xr:uid="{33D31A47-ACF0-450C-965D-230BC009976C}"/>
    <cellStyle name="Normal 2 13 2" xfId="111" xr:uid="{B189F370-B0AB-4691-AF07-F6E8C6B06235}"/>
    <cellStyle name="Normal 2 130" xfId="112" xr:uid="{49525C30-6CCB-4B80-82EA-CDF22A4B75B4}"/>
    <cellStyle name="Normal 2 131" xfId="113" xr:uid="{D21CAE16-0FE1-4217-A93E-1BA22C05D5A9}"/>
    <cellStyle name="Normal 2 132" xfId="114" xr:uid="{B0B78186-8D6D-4C99-9135-4CFF324BD93E}"/>
    <cellStyle name="Normal 2 133" xfId="115" xr:uid="{B1E8651A-8D45-4593-A454-72D70E378139}"/>
    <cellStyle name="Normal 2 134" xfId="116" xr:uid="{C07080B8-E11F-410E-9859-D2E5BA9007AF}"/>
    <cellStyle name="Normal 2 135" xfId="117" xr:uid="{9FE8F2F2-A47D-4A88-8515-E97AB14F08DB}"/>
    <cellStyle name="Normal 2 136" xfId="118" xr:uid="{A912E45C-6DDD-4202-8B2B-25EF3F47BDCB}"/>
    <cellStyle name="Normal 2 137" xfId="119" xr:uid="{14E901A3-2053-408D-B050-DA9E51BD6FF1}"/>
    <cellStyle name="Normal 2 138" xfId="120" xr:uid="{91EEF54C-594B-46B1-8D61-0A311958CB99}"/>
    <cellStyle name="Normal 2 139" xfId="121" xr:uid="{F324EA88-02A2-4409-B69F-9E56C59C90D6}"/>
    <cellStyle name="Normal 2 14" xfId="122" xr:uid="{37DE3666-E88E-46E1-BB4F-C94FE1D5053F}"/>
    <cellStyle name="Normal 2 14 2" xfId="123" xr:uid="{5F5F47B5-8904-475F-8EED-CC7D4690CEB1}"/>
    <cellStyle name="Normal 2 140" xfId="124" xr:uid="{680FB8AA-4080-4338-8E15-7F9493B3037A}"/>
    <cellStyle name="Normal 2 141" xfId="125" xr:uid="{AA2B4B59-829D-4437-BF0D-53330A61A774}"/>
    <cellStyle name="Normal 2 142" xfId="126" xr:uid="{8D30ED73-3427-4B44-835F-FEFDA2ACEA07}"/>
    <cellStyle name="Normal 2 143" xfId="127" xr:uid="{E8F437B9-C905-4B41-8EE6-6D278192B7EE}"/>
    <cellStyle name="Normal 2 144" xfId="128" xr:uid="{1DB1B8A3-A409-4270-BF8E-CF157D39E255}"/>
    <cellStyle name="Normal 2 145" xfId="129" xr:uid="{85788328-D46B-4338-9DBB-D6C7156C9DDF}"/>
    <cellStyle name="Normal 2 146" xfId="130" xr:uid="{6DD701F2-3566-4B1F-8E28-1F3E92D24022}"/>
    <cellStyle name="Normal 2 147" xfId="131" xr:uid="{C341F77C-E1C1-4D53-848A-B7D9E360DF3C}"/>
    <cellStyle name="Normal 2 148" xfId="132" xr:uid="{77D998E4-9598-4F44-9EA4-CF3DAE9A6F8E}"/>
    <cellStyle name="Normal 2 149" xfId="133" xr:uid="{6DBE5242-0E8F-4C6F-B8AE-586BB63137A8}"/>
    <cellStyle name="Normal 2 15" xfId="134" xr:uid="{E31FFDC7-CB83-47CE-B14F-44EA104604B9}"/>
    <cellStyle name="Normal 2 15 2" xfId="135" xr:uid="{8687FC7D-83F2-47DE-9611-AEECAC115B51}"/>
    <cellStyle name="Normal 2 150" xfId="136" xr:uid="{78B612DA-B5EF-418A-862B-17B2136D496A}"/>
    <cellStyle name="Normal 2 151" xfId="137" xr:uid="{727DB100-CEC2-40D3-BAE5-B031383ACBF6}"/>
    <cellStyle name="Normal 2 152" xfId="138" xr:uid="{BA555C25-E9CE-4E78-9AF5-47966C7163A4}"/>
    <cellStyle name="Normal 2 153" xfId="139" xr:uid="{5BE5C26C-E6C1-4BDF-BD25-A2C56B2110D1}"/>
    <cellStyle name="Normal 2 154" xfId="140" xr:uid="{946DBB05-ECBB-44D4-9825-68C9B6724679}"/>
    <cellStyle name="Normal 2 155" xfId="141" xr:uid="{71BA4C3F-82F2-4704-9183-5ADD6E49454E}"/>
    <cellStyle name="Normal 2 156" xfId="142" xr:uid="{1E61949F-679F-45EC-A4FA-6ACFAE982D33}"/>
    <cellStyle name="Normal 2 157" xfId="143" xr:uid="{907E5C82-87F7-471D-88D1-117280ABB863}"/>
    <cellStyle name="Normal 2 158" xfId="144" xr:uid="{E3C05057-4070-413B-9442-A7FA59D8E8EA}"/>
    <cellStyle name="Normal 2 159" xfId="145" xr:uid="{246581DF-E75E-431C-BCAE-7F74F821F7F8}"/>
    <cellStyle name="Normal 2 16" xfId="146" xr:uid="{2A492BE6-A729-47E6-ACFA-0B7A4546665B}"/>
    <cellStyle name="Normal 2 16 2" xfId="147" xr:uid="{D482C9B6-BB41-4ACC-9C7F-2129853B2D87}"/>
    <cellStyle name="Normal 2 160" xfId="148" xr:uid="{EA3120AF-0428-4353-A387-6AFB0F694C9A}"/>
    <cellStyle name="Normal 2 161" xfId="149" xr:uid="{304AC751-7712-4773-A8B2-E68CC1F35947}"/>
    <cellStyle name="Normal 2 162" xfId="150" xr:uid="{1D6C41D1-3DBF-486B-9EB8-842145A999D9}"/>
    <cellStyle name="Normal 2 163" xfId="151" xr:uid="{7B3CDF97-1EA8-4FC9-A357-6A562AE1165F}"/>
    <cellStyle name="Normal 2 164" xfId="152" xr:uid="{C232F4F8-790A-41A2-933C-7C97CFCDD992}"/>
    <cellStyle name="Normal 2 165" xfId="153" xr:uid="{2237DA61-C56F-43BA-8D97-E0EF421CBC07}"/>
    <cellStyle name="Normal 2 166" xfId="154" xr:uid="{32C8091B-FB31-4C1E-BFF1-060BCF03EAD7}"/>
    <cellStyle name="Normal 2 167" xfId="155" xr:uid="{7E79A6B8-E810-45E1-A025-B650F123478F}"/>
    <cellStyle name="Normal 2 168" xfId="156" xr:uid="{83782B28-9876-4C8B-A055-AB797B06FA44}"/>
    <cellStyle name="Normal 2 169" xfId="157" xr:uid="{E5AA9DB6-ECB7-4916-97BC-92D9D560B186}"/>
    <cellStyle name="Normal 2 17" xfId="158" xr:uid="{E5FFB743-9BA7-4DE7-B872-779509505C51}"/>
    <cellStyle name="Normal 2 17 2" xfId="159" xr:uid="{509E0179-D207-46E1-B7A0-B5C0CB81036C}"/>
    <cellStyle name="Normal 2 170" xfId="160" xr:uid="{FC3DAEC3-1DAE-4528-9C56-C24AE090ED0E}"/>
    <cellStyle name="Normal 2 171" xfId="161" xr:uid="{7B8B2429-5F83-4125-96EC-4D23DF584905}"/>
    <cellStyle name="Normal 2 172" xfId="162" xr:uid="{A8E3E91F-4E5F-4D32-B196-FC1E4B0026E4}"/>
    <cellStyle name="Normal 2 173" xfId="163" xr:uid="{63894F7B-12E8-4A2B-BCAC-819B70529386}"/>
    <cellStyle name="Normal 2 174" xfId="164" xr:uid="{51FBF14A-CE29-4EB9-B687-8B2C5A6EF630}"/>
    <cellStyle name="Normal 2 175" xfId="165" xr:uid="{9E0E6597-6DBE-4361-A3DF-92C5FEF2E804}"/>
    <cellStyle name="Normal 2 176" xfId="166" xr:uid="{E008CBB5-5EF0-4403-A1FD-959C2F014C5B}"/>
    <cellStyle name="Normal 2 177" xfId="167" xr:uid="{10EA8CC2-D14E-4BAD-AC32-CC158C6F0B49}"/>
    <cellStyle name="Normal 2 178" xfId="168" xr:uid="{E4C17837-867A-4239-974F-8134EAE55E9C}"/>
    <cellStyle name="Normal 2 179" xfId="169" xr:uid="{F6786C07-A6F5-41CE-B743-F627DEA9C501}"/>
    <cellStyle name="Normal 2 18" xfId="170" xr:uid="{3CD3211A-DF16-48ED-825B-95FF3EE34A3D}"/>
    <cellStyle name="Normal 2 18 2" xfId="171" xr:uid="{BB43D394-CBB7-4480-8C92-E7F850131B51}"/>
    <cellStyle name="Normal 2 180" xfId="172" xr:uid="{E1E134EC-A084-432A-8107-C59A23221799}"/>
    <cellStyle name="Normal 2 181" xfId="173" xr:uid="{DDFB5064-82AE-4C95-900D-90A18BA361D7}"/>
    <cellStyle name="Normal 2 182" xfId="174" xr:uid="{994DDC8C-1E3D-47A8-B1AC-0171146EC1F2}"/>
    <cellStyle name="Normal 2 183" xfId="175" xr:uid="{1998E144-6424-457F-968D-B4AC1E9D3525}"/>
    <cellStyle name="Normal 2 184" xfId="176" xr:uid="{93605CFD-59EF-4238-B549-D8CEB960DAD1}"/>
    <cellStyle name="Normal 2 185" xfId="177" xr:uid="{0BD2B862-88F5-4611-B9EB-0321D0AE9B0E}"/>
    <cellStyle name="Normal 2 186" xfId="178" xr:uid="{DF8C03EF-7E54-4345-BFAB-1089EBB3D896}"/>
    <cellStyle name="Normal 2 187" xfId="179" xr:uid="{998BA60E-A509-4069-BF19-6B5267053AF1}"/>
    <cellStyle name="Normal 2 188" xfId="180" xr:uid="{9B3D99F6-5D9C-43F0-8907-4100DEBE017F}"/>
    <cellStyle name="Normal 2 189" xfId="181" xr:uid="{3A8A613B-D04E-41B2-97AF-23E7D777AE30}"/>
    <cellStyle name="Normal 2 19" xfId="182" xr:uid="{33AD5A23-303A-42DE-A789-BF652E17FA4D}"/>
    <cellStyle name="Normal 2 19 2" xfId="183" xr:uid="{8D567703-7A8D-4750-B7F0-57B8955286E4}"/>
    <cellStyle name="Normal 2 190" xfId="184" xr:uid="{D19CA24C-FFD7-45B0-9738-657F6A34F9AD}"/>
    <cellStyle name="Normal 2 191" xfId="185" xr:uid="{AA150708-CAB1-41C3-BF5D-9AC38A8E2547}"/>
    <cellStyle name="Normal 2 192" xfId="186" xr:uid="{305B212D-D89B-4A44-882D-B9056FCF5421}"/>
    <cellStyle name="Normal 2 193" xfId="187" xr:uid="{5178E848-DCC5-4B84-B647-DB905CE90A41}"/>
    <cellStyle name="Normal 2 194" xfId="188" xr:uid="{FFC811D3-7281-4F10-9921-5DC3A3B9AB35}"/>
    <cellStyle name="Normal 2 195" xfId="189" xr:uid="{F13BDB96-3D72-4F82-9CB8-08D8673FB3FA}"/>
    <cellStyle name="Normal 2 196" xfId="190" xr:uid="{D3E6CE14-9DD2-43D3-AF57-A54F9D2461B0}"/>
    <cellStyle name="Normal 2 197" xfId="191" xr:uid="{DB8813C6-4B69-483F-A4F5-B597E99847C2}"/>
    <cellStyle name="Normal 2 198" xfId="192" xr:uid="{0BA685BA-4761-445E-83F2-DB7BCCC42B72}"/>
    <cellStyle name="Normal 2 199" xfId="193" xr:uid="{1277C81F-544C-4126-822B-2C5812B318DA}"/>
    <cellStyle name="Normal 2 2" xfId="194" xr:uid="{CF28826D-BAD0-44DA-A57C-E28FE17D347A}"/>
    <cellStyle name="Normal 2 2 2" xfId="195" xr:uid="{89202119-91C1-4ED5-93A9-929D0246A407}"/>
    <cellStyle name="Normal 2 2 2 2" xfId="196" xr:uid="{CE79B2CC-CF23-4AC5-B947-A7839CCF1953}"/>
    <cellStyle name="Normal 2 2 2 2 2" xfId="197" xr:uid="{5CFC9B8F-A4DB-48DA-B2EE-645F1FA9A52D}"/>
    <cellStyle name="Normal 2 2 2 2 2 2" xfId="198" xr:uid="{0C34C2AB-5214-440F-BB50-6A850ADF6AA7}"/>
    <cellStyle name="Normal 2 2 2 2 2 2 2" xfId="199" xr:uid="{17842B7B-DFE9-4DE2-8511-0924F012FC70}"/>
    <cellStyle name="Normal 2 2 2 2 2 2 2 2" xfId="200" xr:uid="{0E9CD00C-37C4-4367-96E3-63B84A0112CF}"/>
    <cellStyle name="Normal 2 2 2 2 2 2 2 3" xfId="201" xr:uid="{FE7DFF3F-1674-4F77-A423-CC3741CBF651}"/>
    <cellStyle name="Normal 2 2 2 2 2 2 3" xfId="202" xr:uid="{76C475D0-4295-4524-93C2-06A53BF5CA96}"/>
    <cellStyle name="Normal 2 2 2 2 2 3" xfId="203" xr:uid="{0C3EB286-3D27-42CE-9925-D478715E1FD3}"/>
    <cellStyle name="Normal 2 2 2 2 3" xfId="204" xr:uid="{A2497DAC-7933-446F-88DC-0147B948D1B2}"/>
    <cellStyle name="Normal 2 2 2 2 4" xfId="205" xr:uid="{5BF4BA50-D2A0-435F-9C44-66E48BC81F32}"/>
    <cellStyle name="Normal 2 2 2 3" xfId="206" xr:uid="{220F2181-AAE4-493A-9615-878EC11671D2}"/>
    <cellStyle name="Normal 2 2 2 4" xfId="207" xr:uid="{9B4EA103-C971-41A8-9110-A5BAFF498607}"/>
    <cellStyle name="Normal 2 2 2 5" xfId="208" xr:uid="{15C49EA0-0DCF-42C2-9395-D530017EA4CD}"/>
    <cellStyle name="Normal 2 2 3" xfId="209" xr:uid="{64A83126-24D2-4E26-9011-D45A566A3B47}"/>
    <cellStyle name="Normal 2 2 3 2" xfId="210" xr:uid="{4FE11313-6182-4858-82CE-C234448CE145}"/>
    <cellStyle name="Normal 2 2 4" xfId="211" xr:uid="{FA8513C9-175E-4400-A756-2EA147B9340E}"/>
    <cellStyle name="Normal 2 2 5" xfId="212" xr:uid="{511EBFB4-E7A7-4F7A-A955-0CF5BEB0265C}"/>
    <cellStyle name="Normal 2 20" xfId="213" xr:uid="{5AADED6E-EF3B-49FD-8BCA-8BBB07080A32}"/>
    <cellStyle name="Normal 2 20 2" xfId="214" xr:uid="{B2FD988D-E190-4E07-A0E4-CF628E2DD518}"/>
    <cellStyle name="Normal 2 200" xfId="215" xr:uid="{18F599D4-53A4-4F67-B655-FABD355EF802}"/>
    <cellStyle name="Normal 2 201" xfId="216" xr:uid="{20EC8968-46CA-48CD-B6E0-B4EAB22C0C2E}"/>
    <cellStyle name="Normal 2 202" xfId="217" xr:uid="{C1EC6402-BE62-495F-A5A7-AED0757111C0}"/>
    <cellStyle name="Normal 2 203" xfId="218" xr:uid="{8686443C-6881-4115-BC38-460F5542D0F3}"/>
    <cellStyle name="Normal 2 204" xfId="219" xr:uid="{B58A3F16-71AC-4929-86CD-555F12AC971E}"/>
    <cellStyle name="Normal 2 205" xfId="220" xr:uid="{1B6C9ABD-C0F5-43D9-9874-2E5C4DB072E2}"/>
    <cellStyle name="Normal 2 206" xfId="221" xr:uid="{4C768AB8-9263-44EA-BA76-28F494A2D3BA}"/>
    <cellStyle name="Normal 2 207" xfId="222" xr:uid="{9168CE00-7CB2-41D8-B281-25586C5FB820}"/>
    <cellStyle name="Normal 2 208" xfId="223" xr:uid="{E64752CE-5FF2-4EA8-8361-5204F8EFE2CA}"/>
    <cellStyle name="Normal 2 209" xfId="224" xr:uid="{D42FE732-D327-4CD3-A54C-0D65CA88C431}"/>
    <cellStyle name="Normal 2 21" xfId="225" xr:uid="{24270330-3DEC-4E2C-9A85-AC76CD771AB7}"/>
    <cellStyle name="Normal 2 21 2" xfId="226" xr:uid="{63219535-886A-4721-8A99-BB2A8A306F29}"/>
    <cellStyle name="Normal 2 210" xfId="227" xr:uid="{606CCE24-2168-465F-8EA6-5D8FA28EB9FC}"/>
    <cellStyle name="Normal 2 211" xfId="228" xr:uid="{C085B3F2-040E-468A-AC7B-74BE231AA717}"/>
    <cellStyle name="Normal 2 212" xfId="229" xr:uid="{D9011BDD-36CA-44E0-9F7E-A4A98FEF7BA8}"/>
    <cellStyle name="Normal 2 213" xfId="230" xr:uid="{4DA6A21F-6B02-4FD9-AF3F-48EB480AFA04}"/>
    <cellStyle name="Normal 2 214" xfId="231" xr:uid="{A67B410D-E7B3-48B8-9F1C-6811DF4B7FC4}"/>
    <cellStyle name="Normal 2 215" xfId="232" xr:uid="{02A6E334-84EB-417F-ABE8-074EAAF121C8}"/>
    <cellStyle name="Normal 2 216" xfId="233" xr:uid="{2FF39A2E-EA04-4F2D-8BDF-F5EA5BEB25EF}"/>
    <cellStyle name="Normal 2 217" xfId="234" xr:uid="{8D90ABB4-8C89-411F-8F88-6F4B190EFB14}"/>
    <cellStyle name="Normal 2 218" xfId="235" xr:uid="{BAD42361-B389-4EA7-AEA4-2BBF6083C750}"/>
    <cellStyle name="Normal 2 219" xfId="236" xr:uid="{9B042DFD-39B9-4AFF-A5E2-DEF868AF66AD}"/>
    <cellStyle name="Normal 2 22" xfId="237" xr:uid="{1705E143-B3B4-4F75-B9FE-BC697404C8CC}"/>
    <cellStyle name="Normal 2 22 2" xfId="238" xr:uid="{D6911EC0-A0CB-423B-AE36-1ACA968C0991}"/>
    <cellStyle name="Normal 2 220" xfId="239" xr:uid="{BCA1251D-F18F-4341-A25C-BFFFB4748D3E}"/>
    <cellStyle name="Normal 2 221" xfId="240" xr:uid="{683EA70C-5600-4384-8CA5-11155D3A8E56}"/>
    <cellStyle name="Normal 2 222" xfId="241" xr:uid="{7782B00C-9051-4BA7-9367-0673BF26FCE3}"/>
    <cellStyle name="Normal 2 223" xfId="242" xr:uid="{1E8D5E90-56CC-412E-9C91-7B08F31EF0F3}"/>
    <cellStyle name="Normal 2 224" xfId="243" xr:uid="{1C96B90A-30D8-42BB-971C-1A93084FA14C}"/>
    <cellStyle name="Normal 2 225" xfId="244" xr:uid="{5AF262B6-C73A-42C0-A5D9-A8AAA075624F}"/>
    <cellStyle name="Normal 2 226" xfId="245" xr:uid="{2BED6BF7-FC3A-4A2A-ADD2-6EAE03F2AE6E}"/>
    <cellStyle name="Normal 2 227" xfId="246" xr:uid="{1CBF382D-40E8-4468-9720-4C98B5C851A8}"/>
    <cellStyle name="Normal 2 228" xfId="247" xr:uid="{66E99F70-5B26-4594-A38E-E2FED182324E}"/>
    <cellStyle name="Normal 2 229" xfId="248" xr:uid="{B6652F18-3977-4256-8B24-A96D1C6C9119}"/>
    <cellStyle name="Normal 2 23" xfId="249" xr:uid="{BC7DC7E5-406A-442C-A4EC-C34AA38F4B27}"/>
    <cellStyle name="Normal 2 23 2" xfId="250" xr:uid="{286E89F2-E1E7-4421-BDE9-FB35A75C286B}"/>
    <cellStyle name="Normal 2 230" xfId="251" xr:uid="{515BAB1C-A3EE-4C69-8A83-70143ECB085A}"/>
    <cellStyle name="Normal 2 231" xfId="252" xr:uid="{167C0C46-ED68-4EBC-B07E-7DE4E9C3512C}"/>
    <cellStyle name="Normal 2 232" xfId="253" xr:uid="{98DBB1B3-4A6E-448D-B5BB-7BD1B9138081}"/>
    <cellStyle name="Normal 2 233" xfId="254" xr:uid="{1191B3D2-F39F-4EFE-ABED-E8FE1BAC540C}"/>
    <cellStyle name="Normal 2 234" xfId="255" xr:uid="{7F8CDA06-82F2-4414-860B-6F8E59341C00}"/>
    <cellStyle name="Normal 2 235" xfId="256" xr:uid="{FA49EF00-3664-41AA-BDC6-4ACBFA059F13}"/>
    <cellStyle name="Normal 2 236" xfId="257" xr:uid="{1E372514-DB75-4B5A-A053-2A1A7E836CD8}"/>
    <cellStyle name="Normal 2 237" xfId="258" xr:uid="{C46B5315-4307-4BBB-8FC0-FFC240375843}"/>
    <cellStyle name="Normal 2 238" xfId="259" xr:uid="{4737F5DC-D717-4CDE-9184-AECE4D4E85D8}"/>
    <cellStyle name="Normal 2 239" xfId="260" xr:uid="{AFFE1DB3-E1B2-451C-83C3-3A58F25678A6}"/>
    <cellStyle name="Normal 2 24" xfId="261" xr:uid="{F12DF6CE-B794-448A-9EDC-1C430406AC4E}"/>
    <cellStyle name="Normal 2 24 2" xfId="262" xr:uid="{3E2FE16F-FF92-4EA5-851C-B9733DC6D6B0}"/>
    <cellStyle name="Normal 2 240" xfId="263" xr:uid="{FC1119E5-7F29-46A9-A1D3-742EEA98DDC4}"/>
    <cellStyle name="Normal 2 241" xfId="264" xr:uid="{D31DBBF4-0BF4-4820-B28D-52686E391FD5}"/>
    <cellStyle name="Normal 2 242" xfId="265" xr:uid="{3288EC37-7E3B-4E73-80DA-06DDFEC0B6F2}"/>
    <cellStyle name="Normal 2 243" xfId="266" xr:uid="{59AC9327-C650-4921-AD59-B0BE5BF53D76}"/>
    <cellStyle name="Normal 2 244" xfId="267" xr:uid="{35314D47-622D-4934-8B7A-DC1CB55C4FA6}"/>
    <cellStyle name="Normal 2 245" xfId="268" xr:uid="{695A4C88-BA07-4126-9424-E75E3536C28E}"/>
    <cellStyle name="Normal 2 246" xfId="269" xr:uid="{33AF04A7-7ACD-4B2A-A844-497961EED206}"/>
    <cellStyle name="Normal 2 247" xfId="270" xr:uid="{67EA82A6-0D24-42AE-AC72-B6D1DD5D7FCA}"/>
    <cellStyle name="Normal 2 248" xfId="271" xr:uid="{42DF8110-B003-4DE9-9227-682AFB75B74A}"/>
    <cellStyle name="Normal 2 249" xfId="272" xr:uid="{D850F8DE-C572-4B63-82B1-FF920F005011}"/>
    <cellStyle name="Normal 2 25" xfId="273" xr:uid="{7EA35912-C417-4CE2-AA40-33EA8EF505B4}"/>
    <cellStyle name="Normal 2 25 2" xfId="274" xr:uid="{540EA4B6-929D-4E83-B6B3-F6C512ADA6EA}"/>
    <cellStyle name="Normal 2 250" xfId="275" xr:uid="{16A36D1F-4932-446C-91F9-D0526E5F17B0}"/>
    <cellStyle name="Normal 2 251" xfId="276" xr:uid="{504A34DC-F2FB-441F-9FAA-08AEB988B9E9}"/>
    <cellStyle name="Normal 2 252" xfId="277" xr:uid="{AA921821-5C4F-4A3D-97B6-3C2D9A50CDDE}"/>
    <cellStyle name="Normal 2 253" xfId="278" xr:uid="{2BBC25DF-BF98-44AC-84C4-31E253F6FDE2}"/>
    <cellStyle name="Normal 2 254" xfId="279" xr:uid="{FDAFF72B-C011-4FA0-B69B-5DDE4B2557D6}"/>
    <cellStyle name="Normal 2 254 2" xfId="280" xr:uid="{12708A3F-0420-41B1-9DBE-90071CA6F04D}"/>
    <cellStyle name="Normal 2 255" xfId="281" xr:uid="{AAB0ACA6-832D-4954-A53C-3537A52DD0A6}"/>
    <cellStyle name="Normal 2 26" xfId="282" xr:uid="{FEC2E366-0AE2-40D5-884E-F533635ADD34}"/>
    <cellStyle name="Normal 2 26 2" xfId="283" xr:uid="{E211B55A-5FB1-4F23-ACB9-575CA19E5FCB}"/>
    <cellStyle name="Normal 2 27" xfId="284" xr:uid="{B8A7742F-641D-4857-A2E3-3EEB2ACBD3F1}"/>
    <cellStyle name="Normal 2 27 2" xfId="285" xr:uid="{3F8F9FEF-6277-4FF6-A50C-58D80001C2FB}"/>
    <cellStyle name="Normal 2 28" xfId="286" xr:uid="{E204E03A-7D1B-47AD-802B-2CAF8432EB03}"/>
    <cellStyle name="Normal 2 28 2" xfId="287" xr:uid="{46BE2731-BEB9-4F1A-B918-442BED9ADA1F}"/>
    <cellStyle name="Normal 2 29" xfId="288" xr:uid="{A92728C5-01C2-491E-9DB2-DB1F6098DC69}"/>
    <cellStyle name="Normal 2 29 2" xfId="289" xr:uid="{AB26943C-9B34-40D5-8DF7-893B1D7B1C3E}"/>
    <cellStyle name="Normal 2 3" xfId="290" xr:uid="{36D28C21-D623-4856-B048-0BCA11FD8DE6}"/>
    <cellStyle name="Normal 2 3 2" xfId="291" xr:uid="{3512AB45-7DAE-4F7D-9BC8-182343B73DE5}"/>
    <cellStyle name="Normal 2 3 2 2" xfId="292" xr:uid="{60672660-FF7D-4B53-BD7A-DC0745344924}"/>
    <cellStyle name="Normal 2 3 2 2 2" xfId="293" xr:uid="{F5C20350-3620-428D-892C-1766576B8915}"/>
    <cellStyle name="Normal 2 3 2 3" xfId="294" xr:uid="{A771C05E-882E-4A73-8D6C-39A799BB09D5}"/>
    <cellStyle name="Normal 2 3 3" xfId="295" xr:uid="{B8F72754-96B7-415F-A596-53E7C818E774}"/>
    <cellStyle name="Normal 2 3 3 2" xfId="296" xr:uid="{93B74998-87A7-4113-B926-D96BF44F0C16}"/>
    <cellStyle name="Normal 2 30" xfId="297" xr:uid="{E94213F9-DEB9-4448-A792-D91D137F92E6}"/>
    <cellStyle name="Normal 2 30 2" xfId="298" xr:uid="{8715D019-1FCB-4F4A-9131-3BA54C13A708}"/>
    <cellStyle name="Normal 2 31" xfId="299" xr:uid="{57C65C97-30C9-4767-A88A-5B575166EA37}"/>
    <cellStyle name="Normal 2 31 2" xfId="300" xr:uid="{F838B16E-25D2-4DE8-BEB2-7CF06AA289B4}"/>
    <cellStyle name="Normal 2 32" xfId="301" xr:uid="{91498520-5E64-4103-9F64-3B0FBE4BB4CF}"/>
    <cellStyle name="Normal 2 32 2" xfId="302" xr:uid="{C2692444-17A8-471F-855C-56E4E0559E1A}"/>
    <cellStyle name="Normal 2 33" xfId="303" xr:uid="{AEDDDD47-34AF-4569-9BAA-B75F5453D170}"/>
    <cellStyle name="Normal 2 33 2" xfId="304" xr:uid="{61775804-04F2-4E51-B33B-10F3A867DA59}"/>
    <cellStyle name="Normal 2 34" xfId="305" xr:uid="{E8215F63-3920-42F3-B8D2-F5111D942B61}"/>
    <cellStyle name="Normal 2 34 2" xfId="306" xr:uid="{33843D85-55EE-4162-87DC-1F68E530760C}"/>
    <cellStyle name="Normal 2 35" xfId="307" xr:uid="{491F0B79-7597-44ED-BD12-6917524030ED}"/>
    <cellStyle name="Normal 2 35 2" xfId="308" xr:uid="{706AD24B-5280-4D53-B7C7-5F9FE4D12DC1}"/>
    <cellStyle name="Normal 2 36" xfId="309" xr:uid="{805084B4-6C62-4987-B49D-BE0C857469D5}"/>
    <cellStyle name="Normal 2 36 2" xfId="310" xr:uid="{1FC80A00-BB08-4A3A-B0C7-A2ACCF343761}"/>
    <cellStyle name="Normal 2 37" xfId="311" xr:uid="{12087E7F-2999-451B-B401-E318E5D53C38}"/>
    <cellStyle name="Normal 2 37 2" xfId="312" xr:uid="{8BB7A05E-14D1-4B4C-8435-43252BB35DD8}"/>
    <cellStyle name="Normal 2 38" xfId="313" xr:uid="{1D81F949-1F7F-4088-B7EB-ACB5545595B7}"/>
    <cellStyle name="Normal 2 38 2" xfId="314" xr:uid="{51E9487C-729C-4429-9782-4A94C14EE175}"/>
    <cellStyle name="Normal 2 39" xfId="315" xr:uid="{F1FA8AE1-B892-494B-AA5E-91B0E9356F75}"/>
    <cellStyle name="Normal 2 4" xfId="316" xr:uid="{7569CA47-F01B-40FF-8B26-C9330940C346}"/>
    <cellStyle name="Normal 2 4 2" xfId="317" xr:uid="{FB2E3581-AD61-46E9-BAD7-7B0D67F52513}"/>
    <cellStyle name="Normal 2 4 2 2" xfId="318" xr:uid="{59918B38-8705-4C75-B0AF-C87966DEA885}"/>
    <cellStyle name="Normal 2 4 2 2 2" xfId="319" xr:uid="{14E25772-E075-482B-AD0F-F7ED04745FC1}"/>
    <cellStyle name="Normal 2 4 2 3" xfId="320" xr:uid="{4CCBF44C-9FA9-4E2B-A39E-6B1F45CA4C3A}"/>
    <cellStyle name="Normal 2 4 3" xfId="321" xr:uid="{DC2106D7-B8D3-4EBB-8BF1-45F03C7CFBDF}"/>
    <cellStyle name="Normal 2 4 3 2" xfId="322" xr:uid="{036E1DE3-17CE-424B-9A69-1A439DB7707D}"/>
    <cellStyle name="Normal 2 40" xfId="323" xr:uid="{3D94A022-9C0E-48F9-829E-816455E5902C}"/>
    <cellStyle name="Normal 2 41" xfId="324" xr:uid="{84FF580A-CA93-4895-A743-0714982DD080}"/>
    <cellStyle name="Normal 2 42" xfId="325" xr:uid="{80B576E4-D2CA-4DDD-96ED-F61AFB2B08C2}"/>
    <cellStyle name="Normal 2 43" xfId="326" xr:uid="{97E05BCC-7AEB-40F0-9692-54C8580954F4}"/>
    <cellStyle name="Normal 2 44" xfId="327" xr:uid="{01FED6A9-E58A-49FE-9361-DEA8F80C6DBA}"/>
    <cellStyle name="Normal 2 45" xfId="328" xr:uid="{E9821772-04D6-456D-8DDD-1A78CE041BCD}"/>
    <cellStyle name="Normal 2 46" xfId="329" xr:uid="{44C6800C-AE33-4D37-940A-7212CCD7E11F}"/>
    <cellStyle name="Normal 2 47" xfId="330" xr:uid="{02763200-2B63-4F8C-BEBA-CC33AC0D32DE}"/>
    <cellStyle name="Normal 2 48" xfId="331" xr:uid="{01EF1F8C-002F-464D-8C84-F8F511C6E8ED}"/>
    <cellStyle name="Normal 2 49" xfId="332" xr:uid="{D65F4933-3F40-4408-B600-C6EAC6E54316}"/>
    <cellStyle name="Normal 2 5" xfId="333" xr:uid="{879A2ACA-6EB0-4B49-B503-895928A4A029}"/>
    <cellStyle name="Normal 2 5 2" xfId="334" xr:uid="{B8C7389C-6F51-478A-BFDE-18F67C43582C}"/>
    <cellStyle name="Normal 2 5 2 2" xfId="335" xr:uid="{E0F3E02F-D1F3-4546-93B8-F30C814DA849}"/>
    <cellStyle name="Normal 2 5 2 2 2" xfId="336" xr:uid="{A026D03B-99EA-451C-AEA6-6738240785FB}"/>
    <cellStyle name="Normal 2 5 2 3" xfId="337" xr:uid="{DDD33BD9-4984-4DC0-A9E5-3C58D4EEF9EB}"/>
    <cellStyle name="Normal 2 5 3" xfId="338" xr:uid="{265B9E68-899E-4A07-8FC6-4B0E2A9C29C9}"/>
    <cellStyle name="Normal 2 5 3 2" xfId="339" xr:uid="{0769E9AA-54D8-47E6-868F-B8154E3E2C18}"/>
    <cellStyle name="Normal 2 50" xfId="340" xr:uid="{D4D77C79-5ABC-4B00-8998-C526EA75AF35}"/>
    <cellStyle name="Normal 2 51" xfId="341" xr:uid="{EC44E0D4-D162-41CE-BD3D-8663C40548D9}"/>
    <cellStyle name="Normal 2 52" xfId="342" xr:uid="{8FFD66D4-30F9-4B0A-AC24-E62AE09ED9E3}"/>
    <cellStyle name="Normal 2 53" xfId="343" xr:uid="{439E0827-7E1E-4EFA-ABE1-E0ACB701434F}"/>
    <cellStyle name="Normal 2 54" xfId="344" xr:uid="{84727D06-E4AA-4B7B-9C96-4B1A680C5A7F}"/>
    <cellStyle name="Normal 2 55" xfId="345" xr:uid="{C5A06737-0A1C-4AD7-8761-3BCA90C77D71}"/>
    <cellStyle name="Normal 2 56" xfId="346" xr:uid="{F16FCFA5-A266-4041-943D-FCC082CCA485}"/>
    <cellStyle name="Normal 2 57" xfId="347" xr:uid="{657E0147-AC7A-493D-8AD7-F9154B1FD040}"/>
    <cellStyle name="Normal 2 58" xfId="348" xr:uid="{F3BCFC68-E23E-495A-948A-3B00B46E42EF}"/>
    <cellStyle name="Normal 2 59" xfId="349" xr:uid="{C492B002-D2DA-4024-AA64-A7F79FED6F16}"/>
    <cellStyle name="Normal 2 6" xfId="350" xr:uid="{190634AC-0455-4329-9CBB-709999F6983D}"/>
    <cellStyle name="Normal 2 6 2" xfId="351" xr:uid="{EEA9FD89-7759-4B3D-9754-D910A2E27C9B}"/>
    <cellStyle name="Normal 2 6 2 2" xfId="352" xr:uid="{A43C6A01-4880-4C07-83CB-B40B29BB3F6D}"/>
    <cellStyle name="Normal 2 6 2 2 2" xfId="353" xr:uid="{3082A6EE-7DDA-4DAD-B5C7-BCDDC2E0F254}"/>
    <cellStyle name="Normal 2 6 2 3" xfId="354" xr:uid="{C74148CF-09EB-4E72-BC33-A25A7AAE7842}"/>
    <cellStyle name="Normal 2 6 3" xfId="355" xr:uid="{79E39CB1-88BF-48E5-BAF6-B30DCDA4D0E5}"/>
    <cellStyle name="Normal 2 6 3 2" xfId="356" xr:uid="{D190509D-A8EC-4E2B-B03F-20F863E4D59A}"/>
    <cellStyle name="Normal 2 60" xfId="357" xr:uid="{DE44C2EE-6134-4E0A-A959-191FB555C8DC}"/>
    <cellStyle name="Normal 2 61" xfId="358" xr:uid="{07BA2989-D811-4BC9-838F-0A8A9180B8C5}"/>
    <cellStyle name="Normal 2 62" xfId="359" xr:uid="{C668F761-574E-4DAD-9651-F32A0F31C545}"/>
    <cellStyle name="Normal 2 63" xfId="360" xr:uid="{BA202CF1-6A1D-4AA3-A9D1-5522405259E3}"/>
    <cellStyle name="Normal 2 64" xfId="361" xr:uid="{756AEF17-CFFF-4A00-B2FA-1A46579ED49D}"/>
    <cellStyle name="Normal 2 65" xfId="362" xr:uid="{A830862F-A5EC-4330-B1A0-C77E50C8EE9D}"/>
    <cellStyle name="Normal 2 66" xfId="363" xr:uid="{33F324D0-A81A-40E7-AF55-008EF801F87A}"/>
    <cellStyle name="Normal 2 67" xfId="364" xr:uid="{D9995F14-CF55-41E7-B5C8-D5BAD7416361}"/>
    <cellStyle name="Normal 2 68" xfId="365" xr:uid="{84652C12-4782-4FC2-B8CD-22B8789CC7AB}"/>
    <cellStyle name="Normal 2 69" xfId="366" xr:uid="{464F594B-505C-4057-9373-6A2C05347D7A}"/>
    <cellStyle name="Normal 2 7" xfId="367" xr:uid="{D79B0597-B06E-4604-ADCC-873E09569B3F}"/>
    <cellStyle name="Normal 2 7 2" xfId="368" xr:uid="{4C9AA739-E169-422B-98F3-A7CA77B9843A}"/>
    <cellStyle name="Normal 2 70" xfId="369" xr:uid="{7CDB4B43-6F06-4E20-8263-17B0EAABA1E3}"/>
    <cellStyle name="Normal 2 71" xfId="370" xr:uid="{8E07FA89-29AD-4FEB-8C23-7E3AB9B14484}"/>
    <cellStyle name="Normal 2 72" xfId="371" xr:uid="{D50C3734-6FCF-4F8C-AED3-4BAE3C942ADD}"/>
    <cellStyle name="Normal 2 73" xfId="372" xr:uid="{777B16FC-1FBB-45AA-9489-46978D8E1262}"/>
    <cellStyle name="Normal 2 74" xfId="373" xr:uid="{0B72E43D-FFC6-4BE7-B3EC-61932EE7B1B3}"/>
    <cellStyle name="Normal 2 75" xfId="374" xr:uid="{4BAFC9A1-ECE7-4D1B-ABAC-EE671A0253AB}"/>
    <cellStyle name="Normal 2 76" xfId="375" xr:uid="{83387D44-B3E2-432A-AC82-606B1989A12B}"/>
    <cellStyle name="Normal 2 77" xfId="376" xr:uid="{CD38ECB4-1A50-486D-B6E3-3D0633AD3F62}"/>
    <cellStyle name="Normal 2 78" xfId="377" xr:uid="{38CCCB03-DD9F-4F6F-9F14-122CA6399F9B}"/>
    <cellStyle name="Normal 2 79" xfId="378" xr:uid="{E72718C2-46F4-47ED-B00D-6DA1EA9B0FD6}"/>
    <cellStyle name="Normal 2 8" xfId="379" xr:uid="{F837D6B2-EE3D-4C51-BFCA-982BDD21A230}"/>
    <cellStyle name="Normal 2 8 2" xfId="380" xr:uid="{5B60729E-D890-44F6-B0B6-55DE5EA4FEB4}"/>
    <cellStyle name="Normal 2 80" xfId="381" xr:uid="{56F6D8C4-822D-4FDC-804A-BE9B4CA877E2}"/>
    <cellStyle name="Normal 2 81" xfId="382" xr:uid="{12D63BEC-4126-4C8F-9C36-EB48EC4482A2}"/>
    <cellStyle name="Normal 2 82" xfId="383" xr:uid="{4B453D15-DB53-40DF-B30D-B50F246EB55E}"/>
    <cellStyle name="Normal 2 83" xfId="384" xr:uid="{5402A597-A42D-452B-AF6B-90F4D0C7F158}"/>
    <cellStyle name="Normal 2 84" xfId="385" xr:uid="{1B8A97C6-6459-480C-980E-E37F9AB1C60E}"/>
    <cellStyle name="Normal 2 85" xfId="386" xr:uid="{41B7E0F4-96E9-4252-8E03-B23BE2266BA4}"/>
    <cellStyle name="Normal 2 86" xfId="387" xr:uid="{5453041A-13A3-44A8-8F38-DB7FE2F84D81}"/>
    <cellStyle name="Normal 2 87" xfId="388" xr:uid="{EBC5B1D8-9B6B-420C-8106-481638DFF8FC}"/>
    <cellStyle name="Normal 2 88" xfId="389" xr:uid="{F63136A8-B28B-46E0-A20C-E0DD9381DD46}"/>
    <cellStyle name="Normal 2 89" xfId="390" xr:uid="{14C22732-5541-45F7-8000-01C277652218}"/>
    <cellStyle name="Normal 2 9" xfId="391" xr:uid="{1A86CB1D-7BE9-4FE6-9D98-8656E0E782E8}"/>
    <cellStyle name="Normal 2 9 2" xfId="392" xr:uid="{7C0B1516-EFA2-4C5A-8C27-A3C310221855}"/>
    <cellStyle name="Normal 2 90" xfId="393" xr:uid="{83FDE1F6-28F0-4A39-B5F8-0F0B9485ED09}"/>
    <cellStyle name="Normal 2 91" xfId="394" xr:uid="{4C596FA6-D5A3-4ECF-BC98-1935C6C5736D}"/>
    <cellStyle name="Normal 2 92" xfId="395" xr:uid="{03410049-0DAE-4AAF-B227-A69CDF3B806D}"/>
    <cellStyle name="Normal 2 93" xfId="396" xr:uid="{8AD2880E-2B0A-47AA-B41A-B49776F9FF45}"/>
    <cellStyle name="Normal 2 94" xfId="397" xr:uid="{CC780F3C-E6E8-46E0-9BD1-8AF39F567F5E}"/>
    <cellStyle name="Normal 2 95" xfId="398" xr:uid="{45ACF9F7-221D-41A9-B8E9-725101B0F22E}"/>
    <cellStyle name="Normal 2 96" xfId="399" xr:uid="{6B50AAB6-6D18-4A50-9A5B-09C29F5ABE76}"/>
    <cellStyle name="Normal 2 97" xfId="400" xr:uid="{DCB16701-0479-48FF-8005-9003A843C6C4}"/>
    <cellStyle name="Normal 2 98" xfId="401" xr:uid="{EC181377-C0D6-4F46-AB4A-CA226D0085FC}"/>
    <cellStyle name="Normal 2 99" xfId="402" xr:uid="{06280B9F-15DB-4344-8485-0449DD946055}"/>
    <cellStyle name="Normal 20 2" xfId="403" xr:uid="{049F769F-D01C-49F2-B7FE-2870DD893731}"/>
    <cellStyle name="Normal 20 3" xfId="404" xr:uid="{EAAFDE35-9917-4D3B-99EE-F7F7D8F14BCC}"/>
    <cellStyle name="Normal 21 2" xfId="405" xr:uid="{9E13CB59-D8AF-4DA5-B405-20395E01B21D}"/>
    <cellStyle name="Normal 22" xfId="406" xr:uid="{07C1ED71-219F-45DE-A2A6-4661A3A2C87E}"/>
    <cellStyle name="Normal 22 2" xfId="407" xr:uid="{6ACF9305-D2B3-44A6-97C0-49DD7212F70C}"/>
    <cellStyle name="Normal 23" xfId="408" xr:uid="{1769C9F2-48B5-4B58-A41F-B9C25528E44E}"/>
    <cellStyle name="Normal 23 2" xfId="409" xr:uid="{08FD1C45-BACD-44FA-B24E-4C93A41CE561}"/>
    <cellStyle name="Normal 24" xfId="410" xr:uid="{C6835F78-CB65-41F7-A633-FBD4336B9440}"/>
    <cellStyle name="Normal 24 2" xfId="411" xr:uid="{AB54C0FB-77C0-4697-BDAB-83745D85DE2A}"/>
    <cellStyle name="Normal 25" xfId="412" xr:uid="{3C243E9C-DC8A-4568-9DE0-803D7F9231AC}"/>
    <cellStyle name="Normal 25 2" xfId="413" xr:uid="{037E13EA-0C68-4B81-A78E-323E8F4EE9B1}"/>
    <cellStyle name="Normal 26" xfId="414" xr:uid="{767B6B0F-D468-4A0B-8D21-91533A396AD3}"/>
    <cellStyle name="Normal 26 2" xfId="415" xr:uid="{2399EEB6-A3A1-4C46-8A92-9DB88CB73D82}"/>
    <cellStyle name="Normal 27 2" xfId="416" xr:uid="{582D6210-C55F-4ECB-8458-766F44B08BC0}"/>
    <cellStyle name="Normal 28" xfId="417" xr:uid="{416D07A9-6752-4D39-8B11-1F3B39ECA063}"/>
    <cellStyle name="Normal 29" xfId="418" xr:uid="{EFE2CA73-5472-4015-9365-317E236F41F0}"/>
    <cellStyle name="Normal 29 2" xfId="419" xr:uid="{28C8B9AF-23AC-4C5A-8ACA-8D98BB4969C5}"/>
    <cellStyle name="Normal 3" xfId="420" xr:uid="{4BBC4927-5BF4-40F6-9E81-3EABC4C13F9D}"/>
    <cellStyle name="Normal 3 10" xfId="421" xr:uid="{34D7B25F-9832-49C8-A829-C86AC97ABA53}"/>
    <cellStyle name="Normal 3 11" xfId="422" xr:uid="{FC9B00FC-C603-45D3-BFFD-8C4B615ECA69}"/>
    <cellStyle name="Normal 3 2" xfId="423" xr:uid="{5C5E6F7E-7DE2-444A-B1A3-705311CB338B}"/>
    <cellStyle name="Normal 3 2 2" xfId="424" xr:uid="{B5442A46-B43F-4FD3-9C6B-1F5F452F8ECC}"/>
    <cellStyle name="Normal 3 2 2 2" xfId="425" xr:uid="{A482C656-23DC-46D7-938B-0A306BE6189E}"/>
    <cellStyle name="Normal 3 2 3" xfId="426" xr:uid="{D1329A2C-E317-4B45-A9AA-02BA24D3220E}"/>
    <cellStyle name="Normal 3 3" xfId="427" xr:uid="{EED985A3-C1B2-4935-A292-B71E374DB8BD}"/>
    <cellStyle name="Normal 3 4" xfId="428" xr:uid="{5F77587F-D7D8-4D09-8C35-8BF692A828EF}"/>
    <cellStyle name="Normal 3 5" xfId="429" xr:uid="{00D7E88D-2733-40A1-A47A-13B70DF7A7A0}"/>
    <cellStyle name="Normal 3 6" xfId="430" xr:uid="{83F9D9E2-9743-4A14-8638-49158D1FC624}"/>
    <cellStyle name="Normal 3 7" xfId="431" xr:uid="{690F5E54-CE07-4777-8212-E64927226DF3}"/>
    <cellStyle name="Normal 3 8" xfId="432" xr:uid="{EA985EF1-2DEE-4B3B-92CE-D355D91AC67B}"/>
    <cellStyle name="Normal 3 9" xfId="433" xr:uid="{6CF6549D-0EF0-4931-A6FB-AB7356DE8419}"/>
    <cellStyle name="Normal 30 2" xfId="434" xr:uid="{D8CBB00E-13E7-4359-820E-A814F1F80AA6}"/>
    <cellStyle name="Normal 37 2" xfId="435" xr:uid="{A98B4578-E124-4063-A190-CC8FEF23D3EB}"/>
    <cellStyle name="Normal 38 2" xfId="436" xr:uid="{3E0C2E2D-5247-4FB5-9A7C-7AB94AD8F70E}"/>
    <cellStyle name="Normal 39" xfId="437" xr:uid="{E6C1A391-89CE-4076-8D92-3B92A62F3CA6}"/>
    <cellStyle name="Normal 39 2" xfId="438" xr:uid="{1FFD3201-F927-4405-B39C-635C497DB9D9}"/>
    <cellStyle name="Normal 4" xfId="439" xr:uid="{3153DCD8-A041-4858-8651-AE9C31F1C82D}"/>
    <cellStyle name="Normal 4 10" xfId="440" xr:uid="{B74E58E2-3009-42A3-BF59-2745F8231C3C}"/>
    <cellStyle name="Normal 4 11" xfId="441" xr:uid="{51777DEB-B3DD-4229-B974-22E23CBCD797}"/>
    <cellStyle name="Normal 4 12" xfId="442" xr:uid="{DC41DF7B-0AE1-451A-9C87-0EE8F312CF8C}"/>
    <cellStyle name="Normal 4 2" xfId="443" xr:uid="{81A47A1C-3556-4660-81D7-C47FC5FE2CFC}"/>
    <cellStyle name="Normal 4 3" xfId="444" xr:uid="{AA2DF74D-00C3-48FC-8A34-12D66ACB86AD}"/>
    <cellStyle name="Normal 4 4" xfId="445" xr:uid="{8B204A15-E68D-4FFB-AAAE-43BF2216A5A2}"/>
    <cellStyle name="Normal 4 5" xfId="446" xr:uid="{FB68642F-B4DF-47C1-987E-599206260081}"/>
    <cellStyle name="Normal 4 6" xfId="447" xr:uid="{B27BB92C-D003-4A2E-A02A-DE6BDBFF7575}"/>
    <cellStyle name="Normal 4 7" xfId="448" xr:uid="{B6094A4C-1CD8-4E01-BE83-3D8AB25E9DB7}"/>
    <cellStyle name="Normal 4 8" xfId="449" xr:uid="{6C73F1CD-05FC-414A-9F53-A1571FB7004B}"/>
    <cellStyle name="Normal 4 9" xfId="450" xr:uid="{4BE4617A-5D30-4B8B-9FE0-EC5502D4ACAC}"/>
    <cellStyle name="Normal 40" xfId="451" xr:uid="{CA9F56CE-45B6-4335-9B5D-E721970D507C}"/>
    <cellStyle name="Normal 41" xfId="452" xr:uid="{62A3218B-2F42-4283-835F-C35F00428BC2}"/>
    <cellStyle name="Normal 5" xfId="453" xr:uid="{BBD452A5-DDA9-4A59-B7CF-4515625EF66B}"/>
    <cellStyle name="Normal 5 10" xfId="454" xr:uid="{257CE422-8D15-41C7-8133-44C1773AB196}"/>
    <cellStyle name="Normal 5 11" xfId="455" xr:uid="{DDBAFA9E-4536-4E38-81A2-CF4709F046EA}"/>
    <cellStyle name="Normal 5 12" xfId="456" xr:uid="{61D91ED9-67FA-440D-8313-E1CA6665F106}"/>
    <cellStyle name="Normal 5 2" xfId="457" xr:uid="{0D00C036-B168-496C-B332-826986679D19}"/>
    <cellStyle name="Normal 5 3" xfId="458" xr:uid="{5C62EC76-B127-4DD8-BD1E-1952AEB8DCD2}"/>
    <cellStyle name="Normal 5 4" xfId="459" xr:uid="{41BC36F6-0B0E-42B7-AE9D-6AAD251EA668}"/>
    <cellStyle name="Normal 5 5" xfId="460" xr:uid="{4DAD69C4-08AE-408B-A9A3-15D0E1E7F716}"/>
    <cellStyle name="Normal 5 6" xfId="461" xr:uid="{AE1675CD-1D04-44F8-94CF-08378DFE1107}"/>
    <cellStyle name="Normal 5 7" xfId="462" xr:uid="{89A5A568-45F9-4860-B4BD-271E3FED6E8B}"/>
    <cellStyle name="Normal 5 8" xfId="463" xr:uid="{4F3609EE-7523-4CB7-A870-4D690187258D}"/>
    <cellStyle name="Normal 5 9" xfId="464" xr:uid="{4B54C628-DAAC-4F6E-A1C0-35E2DA6EC06E}"/>
    <cellStyle name="Normal 51" xfId="465" xr:uid="{8DE1BB2F-74D1-42BB-B8BF-D52B4D46C048}"/>
    <cellStyle name="Normal 6 2" xfId="466" xr:uid="{4D440F1F-14F3-43AB-9096-9CD6603ADAC3}"/>
    <cellStyle name="Normal 6 3" xfId="467" xr:uid="{3103D97A-832C-4742-99EC-DB4EAD0142CD}"/>
    <cellStyle name="Normal 6 4" xfId="468" xr:uid="{5C1A7DD8-2B48-46C6-9858-16E3983B3FE0}"/>
    <cellStyle name="Normal 6 5" xfId="469" xr:uid="{AA3349C2-E2FB-4819-BA1F-3E4B05757C06}"/>
    <cellStyle name="Normal 6 6" xfId="470" xr:uid="{CEB5B0E0-CE1D-47C8-BC3F-129D8884DC0A}"/>
    <cellStyle name="Normal 60" xfId="471" xr:uid="{08A4047F-837C-4103-941B-69CEB449FA29}"/>
    <cellStyle name="Normal 61" xfId="472" xr:uid="{BCE721C8-34FE-4109-B2D2-CEC768934C64}"/>
    <cellStyle name="Normal 63" xfId="473" xr:uid="{E749D4B5-5D57-42E1-A710-F4C2E4E61E10}"/>
    <cellStyle name="Normal 7 2" xfId="474" xr:uid="{8C1E64B4-B423-490C-8AE9-5F73033B4B19}"/>
    <cellStyle name="Normal 7 3" xfId="475" xr:uid="{EBFE7712-D1B0-4B00-985D-CA2EB5FE5E68}"/>
    <cellStyle name="Normal 7 4" xfId="476" xr:uid="{FBD35819-B67E-4B25-859D-7C15F901B405}"/>
    <cellStyle name="Normal 7 5" xfId="477" xr:uid="{0094FE49-29FF-4362-8D57-8A86D82604F2}"/>
    <cellStyle name="Normal 8 2" xfId="478" xr:uid="{841EC045-DA66-4653-A563-8E5B8C8EEC29}"/>
    <cellStyle name="Normal 8 3" xfId="479" xr:uid="{C748F21E-C8C0-4E56-A782-D2FD6D3B7BE8}"/>
    <cellStyle name="Normal 8 4" xfId="480" xr:uid="{43C73B4A-BEBE-4806-A657-76BF8C6B4C23}"/>
    <cellStyle name="Normal 8 5" xfId="481" xr:uid="{B5634FC0-D83F-427A-AE61-CE1073A2D070}"/>
    <cellStyle name="Normal 9" xfId="482" xr:uid="{EC5BC9C6-C384-4F77-BE5F-7377A820BFF6}"/>
    <cellStyle name="Normal 9 2" xfId="483" xr:uid="{40177465-A6B6-41C9-B05C-3A332113F2C7}"/>
    <cellStyle name="Normal 9 3" xfId="484" xr:uid="{81D49C63-DFAE-44B2-8D74-04356A58C723}"/>
    <cellStyle name="Normal 9 4" xfId="485" xr:uid="{775D4678-1AF2-47FC-BEA6-C2A247E45B1C}"/>
    <cellStyle name="Normal 9 5" xfId="486" xr:uid="{7D9AF32F-708B-4329-8EDB-4F4D49F31891}"/>
    <cellStyle name="Normal_CG1a" xfId="487" xr:uid="{F5DB255D-1CFE-46A1-A383-619C342F2DC5}"/>
    <cellStyle name="Normal_CG2" xfId="488" xr:uid="{722BDE8F-0280-43E4-A0C2-A81216C9D7BD}"/>
    <cellStyle name="Normal_CG2_1" xfId="489" xr:uid="{1DD54625-C280-4A61-A5E4-D8CBD92DCFE0}"/>
    <cellStyle name="Normal_CG3" xfId="490" xr:uid="{41BCDC22-D63D-4709-B101-81DCF2318113}"/>
    <cellStyle name="Normal_CG3_1" xfId="491" xr:uid="{6D4366C0-7F30-4442-B1CE-BE7E8E334854}"/>
    <cellStyle name="Normal_CG4a" xfId="492" xr:uid="{B9D73223-BFAC-4490-9C0E-F65B40E7BB5D}"/>
    <cellStyle name="Normal_CG4b" xfId="493" xr:uid="{07ED6ED1-CD9D-4417-9610-81174FA5B93F}"/>
    <cellStyle name="Normal_CG4b_1" xfId="494" xr:uid="{B02B4CAF-FADC-49C6-9D1B-4B9F20386E82}"/>
    <cellStyle name="Normal_Cg5" xfId="495" xr:uid="{C9031930-FA8E-4A42-82EF-1D22E805756E}"/>
    <cellStyle name="Normal_Cg6" xfId="496" xr:uid="{9A103DE3-A5A5-4526-A43C-78D066B95A4B}"/>
    <cellStyle name="Normal_Cg6_1" xfId="497" xr:uid="{7168A676-01CB-439C-ADE7-B14C9CB5C8AC}"/>
    <cellStyle name="Normal_Cp1" xfId="498" xr:uid="{F77B56C5-CDDE-4B32-921F-C2D15AD508D2}"/>
    <cellStyle name="Normal_RG1" xfId="499" xr:uid="{4BF7FC0B-7CA6-4D0B-9780-55C4B54F544F}"/>
    <cellStyle name="Normal_RG2" xfId="500" xr:uid="{6265E2D3-FE3D-4A81-814E-FA0FBC8BCE35}"/>
    <cellStyle name="Normal_RG2_2" xfId="501" xr:uid="{733D5F98-FBF6-4861-A791-3C2272AF166A}"/>
    <cellStyle name="Normal_RG3" xfId="502" xr:uid="{A5DC3F18-F591-4B4C-AD10-4ACCEDCD227C}"/>
    <cellStyle name="Normal_RW1" xfId="503" xr:uid="{6199C5F7-EE28-4129-A06D-1F628FF00EF9}"/>
    <cellStyle name="Normal_Sheet22" xfId="504" xr:uid="{A5F11180-30DB-431F-BD69-156E45EF9C61}"/>
    <cellStyle name="Normal_Sheet3" xfId="505" xr:uid="{3006C2B8-2585-43E5-82EE-1F3F96ABEE0E}"/>
    <cellStyle name="Normal_Sheet6" xfId="506" xr:uid="{A9C41554-0474-45F8-BBDA-1A7B1D7E0E86}"/>
    <cellStyle name="Normal_SP3" xfId="507" xr:uid="{04B765F3-665E-4F42-9CCE-1ED1D9A78277}"/>
    <cellStyle name="Note" xfId="508" builtinId="10" customBuiltin="1"/>
    <cellStyle name="Output" xfId="509" builtinId="21" customBuiltin="1"/>
    <cellStyle name="Percent" xfId="510" builtinId="5"/>
    <cellStyle name="Percent 2" xfId="511" xr:uid="{C6B4993C-D650-40BB-B90A-8A2F7E7B01C0}"/>
    <cellStyle name="Percent 2 2" xfId="512" xr:uid="{9B312506-DD80-417E-9A0E-2AF1F47A6851}"/>
    <cellStyle name="Percent 2 2 2" xfId="513" xr:uid="{060076CE-55AB-41EF-828C-163479397709}"/>
    <cellStyle name="Percent 2 3" xfId="514" xr:uid="{4FF7835A-30E5-4C94-8D72-58388E03F3FC}"/>
    <cellStyle name="Title" xfId="515" builtinId="15" customBuiltin="1"/>
    <cellStyle name="Title 2" xfId="516" xr:uid="{CFAFB4F7-C844-4B69-B11D-FC871199C74C}"/>
    <cellStyle name="Total" xfId="517" builtinId="25" customBuiltin="1"/>
    <cellStyle name="Warning Text" xfId="518"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28"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FCCAC-CFCA-48C7-95DC-6C86FA3F2331}">
  <sheetPr codeName="Sheet23"/>
  <dimension ref="A2:K18"/>
  <sheetViews>
    <sheetView tabSelected="1" zoomScaleNormal="100" workbookViewId="0"/>
  </sheetViews>
  <sheetFormatPr defaultColWidth="9.109375" defaultRowHeight="13.2" x14ac:dyDescent="0.25"/>
  <cols>
    <col min="1" max="1" width="17.6640625" style="480" customWidth="1"/>
    <col min="2" max="2" width="8.88671875" style="480" customWidth="1"/>
    <col min="3" max="3" width="9.88671875" style="480" bestFit="1" customWidth="1"/>
    <col min="4" max="11" width="9.109375" style="480"/>
    <col min="12" max="12" width="3.44140625" style="480" customWidth="1"/>
    <col min="13" max="16384" width="9.109375" style="480"/>
  </cols>
  <sheetData>
    <row r="2" spans="1:11" ht="14.4" x14ac:dyDescent="0.25">
      <c r="A2" s="533" t="s">
        <v>147</v>
      </c>
      <c r="B2" s="533"/>
      <c r="C2" s="533"/>
      <c r="D2" s="533"/>
      <c r="E2" s="533"/>
      <c r="F2" s="533"/>
      <c r="G2" s="533"/>
      <c r="H2" s="533"/>
      <c r="I2" s="533"/>
      <c r="J2" s="533"/>
      <c r="K2" s="533"/>
    </row>
    <row r="3" spans="1:11" ht="14.4" x14ac:dyDescent="0.25">
      <c r="A3" s="484"/>
      <c r="B3" s="484"/>
      <c r="C3" s="484"/>
      <c r="D3" s="484"/>
      <c r="E3" s="484"/>
      <c r="F3" s="484"/>
      <c r="G3" s="484"/>
      <c r="H3" s="484"/>
      <c r="I3" s="484"/>
      <c r="J3" s="484"/>
      <c r="K3" s="484"/>
    </row>
    <row r="4" spans="1:11" ht="15" customHeight="1" x14ac:dyDescent="0.25">
      <c r="A4" s="534" t="s">
        <v>165</v>
      </c>
      <c r="B4" s="534"/>
      <c r="C4" s="534"/>
      <c r="D4" s="534"/>
      <c r="E4" s="534"/>
      <c r="F4" s="534"/>
      <c r="G4" s="534"/>
      <c r="H4" s="534"/>
      <c r="I4" s="534"/>
      <c r="J4" s="534"/>
      <c r="K4" s="534"/>
    </row>
    <row r="5" spans="1:11" ht="14.4" x14ac:dyDescent="0.25">
      <c r="B5" s="481"/>
    </row>
    <row r="6" spans="1:11" ht="14.4" x14ac:dyDescent="0.25">
      <c r="A6" s="483" t="s">
        <v>139</v>
      </c>
      <c r="B6" s="481"/>
      <c r="C6" s="485" t="s">
        <v>164</v>
      </c>
      <c r="E6" s="486"/>
    </row>
    <row r="7" spans="1:11" ht="14.4" x14ac:dyDescent="0.25">
      <c r="A7" s="483" t="s">
        <v>140</v>
      </c>
      <c r="B7" s="481"/>
      <c r="C7" s="485" t="s">
        <v>167</v>
      </c>
      <c r="E7" s="486"/>
    </row>
    <row r="8" spans="1:11" ht="14.4" x14ac:dyDescent="0.25">
      <c r="A8" s="483" t="s">
        <v>141</v>
      </c>
      <c r="B8" s="481"/>
      <c r="C8" s="485" t="s">
        <v>142</v>
      </c>
      <c r="E8" s="486"/>
    </row>
    <row r="9" spans="1:11" ht="14.4" x14ac:dyDescent="0.25">
      <c r="A9" s="483" t="s">
        <v>143</v>
      </c>
      <c r="B9" s="481"/>
      <c r="C9" s="485" t="s">
        <v>167</v>
      </c>
      <c r="E9" s="486"/>
    </row>
    <row r="10" spans="1:11" ht="14.4" x14ac:dyDescent="0.25">
      <c r="A10" s="483" t="s">
        <v>144</v>
      </c>
      <c r="B10" s="481"/>
      <c r="C10" s="485" t="s">
        <v>145</v>
      </c>
      <c r="E10" s="486"/>
    </row>
    <row r="11" spans="1:11" ht="15" thickBot="1" x14ac:dyDescent="0.3">
      <c r="A11" s="487"/>
      <c r="B11" s="488"/>
      <c r="C11" s="488"/>
      <c r="D11" s="487"/>
      <c r="E11" s="487"/>
      <c r="F11" s="487"/>
      <c r="G11" s="487"/>
      <c r="H11" s="487"/>
      <c r="I11" s="487"/>
      <c r="J11" s="487"/>
      <c r="K11" s="487"/>
    </row>
    <row r="12" spans="1:11" ht="15" thickTop="1" x14ac:dyDescent="0.25">
      <c r="B12" s="481"/>
    </row>
    <row r="13" spans="1:11" ht="348" customHeight="1" x14ac:dyDescent="0.25">
      <c r="A13" s="532" t="s">
        <v>161</v>
      </c>
      <c r="B13" s="536" t="s">
        <v>162</v>
      </c>
      <c r="C13" s="537"/>
      <c r="D13" s="537"/>
      <c r="E13" s="537"/>
      <c r="F13" s="537"/>
      <c r="G13" s="537"/>
      <c r="H13" s="537"/>
      <c r="I13" s="537"/>
      <c r="J13" s="537"/>
      <c r="K13" s="537"/>
    </row>
    <row r="14" spans="1:11" ht="14.4" x14ac:dyDescent="0.25">
      <c r="B14" s="481"/>
    </row>
    <row r="15" spans="1:11" ht="14.4" x14ac:dyDescent="0.25">
      <c r="A15" s="482" t="s">
        <v>146</v>
      </c>
    </row>
    <row r="16" spans="1:11" ht="14.4" x14ac:dyDescent="0.25">
      <c r="B16" s="481"/>
    </row>
    <row r="17" spans="1:11" ht="12.75" customHeight="1" x14ac:dyDescent="0.25">
      <c r="A17" s="535" t="s">
        <v>124</v>
      </c>
      <c r="B17" s="535"/>
      <c r="C17" s="535"/>
      <c r="D17" s="535"/>
      <c r="E17" s="535"/>
      <c r="F17" s="535"/>
      <c r="G17" s="535"/>
      <c r="H17" s="535"/>
      <c r="I17" s="535"/>
      <c r="J17" s="535"/>
      <c r="K17" s="535"/>
    </row>
    <row r="18" spans="1:11" ht="14.4" x14ac:dyDescent="0.25">
      <c r="B18" s="481"/>
    </row>
  </sheetData>
  <mergeCells count="4">
    <mergeCell ref="A2:K2"/>
    <mergeCell ref="A4:K4"/>
    <mergeCell ref="A17:K17"/>
    <mergeCell ref="B13:K13"/>
  </mergeCells>
  <pageMargins left="0.7" right="0.7" top="0.75" bottom="0.75" header="0.3" footer="0.3"/>
  <pageSetup scale="80"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2D956-9DDD-491C-8066-90ADE5CA402E}">
  <sheetPr codeName="Sheet1"/>
  <dimension ref="A1:AD117"/>
  <sheetViews>
    <sheetView zoomScaleNormal="100" workbookViewId="0">
      <selection sqref="A1:K1"/>
    </sheetView>
  </sheetViews>
  <sheetFormatPr defaultRowHeight="14.4" x14ac:dyDescent="0.3"/>
  <cols>
    <col min="1" max="1" width="6.44140625" style="63" customWidth="1"/>
    <col min="2" max="2" width="9.109375" style="63" customWidth="1"/>
    <col min="3" max="3" width="13" style="63" customWidth="1"/>
    <col min="4" max="4" width="14.6640625" style="46" bestFit="1" customWidth="1"/>
    <col min="5" max="5" width="15.44140625" style="46" customWidth="1"/>
    <col min="6" max="8" width="16.5546875" style="46" customWidth="1"/>
    <col min="9" max="9" width="9.109375" style="46" customWidth="1"/>
    <col min="11" max="11" width="11.6640625" bestFit="1" customWidth="1"/>
    <col min="12" max="23" width="10.109375" bestFit="1" customWidth="1"/>
  </cols>
  <sheetData>
    <row r="1" spans="1:23" s="343" customFormat="1" ht="18" x14ac:dyDescent="0.35">
      <c r="A1" s="542" t="s">
        <v>122</v>
      </c>
      <c r="B1" s="542"/>
      <c r="C1" s="542"/>
      <c r="D1" s="542"/>
      <c r="E1" s="542"/>
      <c r="F1" s="542"/>
      <c r="G1" s="542"/>
      <c r="H1" s="542"/>
      <c r="I1" s="542"/>
      <c r="J1" s="542"/>
      <c r="K1" s="542"/>
    </row>
    <row r="2" spans="1:23" s="343" customFormat="1" ht="18" x14ac:dyDescent="0.35">
      <c r="A2" s="542" t="s">
        <v>163</v>
      </c>
      <c r="B2" s="542"/>
      <c r="C2" s="542"/>
      <c r="D2" s="542"/>
      <c r="E2" s="542"/>
      <c r="F2" s="542"/>
      <c r="G2" s="542"/>
      <c r="H2" s="542"/>
      <c r="I2" s="542"/>
      <c r="J2" s="542"/>
      <c r="K2" s="542"/>
    </row>
    <row r="3" spans="1:23" s="343" customFormat="1" ht="18" x14ac:dyDescent="0.35">
      <c r="A3" s="542" t="s">
        <v>166</v>
      </c>
      <c r="B3" s="542"/>
      <c r="C3" s="542"/>
      <c r="D3" s="542"/>
      <c r="E3" s="542"/>
      <c r="F3" s="542"/>
      <c r="G3" s="542"/>
      <c r="H3" s="542"/>
      <c r="I3" s="542"/>
      <c r="J3" s="542"/>
      <c r="K3" s="542"/>
    </row>
    <row r="4" spans="1:23" s="343" customFormat="1" ht="18" x14ac:dyDescent="0.35">
      <c r="A4" s="542" t="s">
        <v>123</v>
      </c>
      <c r="B4" s="542"/>
      <c r="C4" s="542"/>
      <c r="D4" s="542"/>
      <c r="E4" s="542"/>
      <c r="F4" s="542"/>
      <c r="G4" s="542"/>
      <c r="H4" s="542"/>
      <c r="I4" s="542"/>
      <c r="J4" s="542"/>
      <c r="K4" s="542"/>
    </row>
    <row r="5" spans="1:23" s="343" customFormat="1" x14ac:dyDescent="0.3">
      <c r="A5" s="63"/>
      <c r="B5" s="63"/>
      <c r="C5" s="63"/>
      <c r="D5" s="46"/>
      <c r="E5" s="46"/>
      <c r="F5" s="46"/>
      <c r="G5" s="46"/>
      <c r="H5" s="46"/>
      <c r="I5" s="46"/>
    </row>
    <row r="6" spans="1:23" s="343" customFormat="1" x14ac:dyDescent="0.3">
      <c r="A6" s="62" t="s">
        <v>18</v>
      </c>
      <c r="B6" s="62" t="s">
        <v>19</v>
      </c>
      <c r="C6" s="62" t="s">
        <v>0</v>
      </c>
      <c r="D6" s="300" t="s">
        <v>11</v>
      </c>
      <c r="E6" s="385" t="s">
        <v>9</v>
      </c>
      <c r="F6" s="385" t="s">
        <v>10</v>
      </c>
      <c r="G6" s="385" t="s">
        <v>158</v>
      </c>
      <c r="H6" s="385" t="s">
        <v>159</v>
      </c>
      <c r="I6" s="385" t="s">
        <v>97</v>
      </c>
    </row>
    <row r="7" spans="1:23" s="343" customFormat="1" x14ac:dyDescent="0.3">
      <c r="A7" s="289">
        <v>2027</v>
      </c>
      <c r="B7" s="51" t="s">
        <v>20</v>
      </c>
      <c r="C7" s="51" t="s">
        <v>8</v>
      </c>
      <c r="D7" s="301">
        <v>88760232.993806064</v>
      </c>
      <c r="E7" s="399"/>
      <c r="F7" s="399"/>
      <c r="G7" s="399">
        <v>3317502.2250723098</v>
      </c>
      <c r="H7" s="399">
        <v>878295.36503949203</v>
      </c>
      <c r="I7" s="400">
        <v>80103.199974585601</v>
      </c>
      <c r="K7" s="287"/>
      <c r="L7" s="171"/>
      <c r="M7" s="171"/>
      <c r="N7" s="171"/>
      <c r="O7" s="171"/>
      <c r="P7" s="171"/>
      <c r="Q7" s="171"/>
      <c r="S7" s="171"/>
      <c r="T7" s="171"/>
      <c r="U7" s="171"/>
      <c r="V7" s="171"/>
    </row>
    <row r="8" spans="1:23" s="343" customFormat="1" x14ac:dyDescent="0.3">
      <c r="A8" s="290">
        <v>2027</v>
      </c>
      <c r="B8" s="55" t="s">
        <v>21</v>
      </c>
      <c r="C8" s="55" t="s">
        <v>8</v>
      </c>
      <c r="D8" s="301">
        <v>61799629.578747936</v>
      </c>
      <c r="E8" s="399"/>
      <c r="F8" s="399"/>
      <c r="G8" s="399">
        <v>3070776.3758886</v>
      </c>
      <c r="H8" s="399">
        <v>812837.44882430101</v>
      </c>
      <c r="I8" s="401">
        <v>146314.89296597999</v>
      </c>
      <c r="K8" s="287"/>
      <c r="L8" s="171"/>
      <c r="M8" s="171"/>
      <c r="N8" s="171"/>
      <c r="O8" s="171"/>
      <c r="P8" s="171"/>
      <c r="Q8" s="171"/>
      <c r="R8" s="171"/>
      <c r="S8" s="171"/>
      <c r="T8" s="171"/>
      <c r="U8" s="171"/>
      <c r="V8" s="171"/>
      <c r="W8" s="171" t="s">
        <v>114</v>
      </c>
    </row>
    <row r="9" spans="1:23" s="343" customFormat="1" x14ac:dyDescent="0.3">
      <c r="A9" s="290">
        <v>2027</v>
      </c>
      <c r="B9" s="55" t="s">
        <v>22</v>
      </c>
      <c r="C9" s="55" t="s">
        <v>8</v>
      </c>
      <c r="D9" s="301">
        <v>64381957.124067612</v>
      </c>
      <c r="E9" s="399"/>
      <c r="F9" s="399"/>
      <c r="G9" s="399">
        <v>2511457.8026607102</v>
      </c>
      <c r="H9" s="399">
        <v>664481.18364231195</v>
      </c>
      <c r="I9" s="401">
        <v>310326.13076686999</v>
      </c>
      <c r="K9" s="341"/>
    </row>
    <row r="10" spans="1:23" s="343" customFormat="1" x14ac:dyDescent="0.3">
      <c r="A10" s="290">
        <v>2027</v>
      </c>
      <c r="B10" s="55" t="s">
        <v>23</v>
      </c>
      <c r="C10" s="55" t="s">
        <v>8</v>
      </c>
      <c r="D10" s="301">
        <v>67125098.341735318</v>
      </c>
      <c r="E10" s="399"/>
      <c r="F10" s="399"/>
      <c r="G10" s="399">
        <v>2512674.6704635699</v>
      </c>
      <c r="H10" s="399">
        <v>664808.19494177203</v>
      </c>
      <c r="I10" s="401">
        <v>340902.29159549798</v>
      </c>
      <c r="K10" s="287"/>
    </row>
    <row r="11" spans="1:23" s="343" customFormat="1" x14ac:dyDescent="0.3">
      <c r="A11" s="290">
        <v>2027</v>
      </c>
      <c r="B11" s="55" t="s">
        <v>24</v>
      </c>
      <c r="C11" s="55" t="s">
        <v>8</v>
      </c>
      <c r="D11" s="301">
        <v>66506478.939025789</v>
      </c>
      <c r="E11" s="399"/>
      <c r="F11" s="399"/>
      <c r="G11" s="399">
        <v>2427870.8937069699</v>
      </c>
      <c r="H11" s="399">
        <v>642305.13582337205</v>
      </c>
      <c r="I11" s="401">
        <v>367837.64780348999</v>
      </c>
      <c r="K11" s="287"/>
    </row>
    <row r="12" spans="1:23" s="343" customFormat="1" x14ac:dyDescent="0.3">
      <c r="A12" s="290">
        <v>2027</v>
      </c>
      <c r="B12" s="55" t="s">
        <v>25</v>
      </c>
      <c r="C12" s="55" t="s">
        <v>8</v>
      </c>
      <c r="D12" s="301">
        <v>75069575.367298618</v>
      </c>
      <c r="E12" s="399"/>
      <c r="F12" s="399"/>
      <c r="G12" s="399">
        <v>2881065.33817688</v>
      </c>
      <c r="H12" s="399">
        <v>762434.83700393897</v>
      </c>
      <c r="I12" s="401">
        <v>475574.49070162902</v>
      </c>
      <c r="K12" s="287"/>
    </row>
    <row r="13" spans="1:23" s="343" customFormat="1" x14ac:dyDescent="0.3">
      <c r="A13" s="290">
        <v>2027</v>
      </c>
      <c r="B13" s="55" t="s">
        <v>26</v>
      </c>
      <c r="C13" s="55" t="s">
        <v>8</v>
      </c>
      <c r="D13" s="301">
        <v>104491114.39154457</v>
      </c>
      <c r="E13" s="399"/>
      <c r="F13" s="399"/>
      <c r="G13" s="399">
        <v>3555035.3523550401</v>
      </c>
      <c r="H13" s="399">
        <v>941093.13320243696</v>
      </c>
      <c r="I13" s="401">
        <v>469765.51499304298</v>
      </c>
      <c r="K13" s="287"/>
    </row>
    <row r="14" spans="1:23" s="343" customFormat="1" x14ac:dyDescent="0.3">
      <c r="A14" s="290">
        <v>2027</v>
      </c>
      <c r="B14" s="55" t="s">
        <v>27</v>
      </c>
      <c r="C14" s="55" t="s">
        <v>8</v>
      </c>
      <c r="D14" s="301">
        <v>94193546.072020754</v>
      </c>
      <c r="E14" s="399"/>
      <c r="F14" s="399"/>
      <c r="G14" s="399">
        <v>3757516.44291578</v>
      </c>
      <c r="H14" s="399">
        <v>994766.53643763799</v>
      </c>
      <c r="I14" s="401">
        <v>484668.71296570898</v>
      </c>
      <c r="K14" s="287"/>
    </row>
    <row r="15" spans="1:23" s="343" customFormat="1" x14ac:dyDescent="0.3">
      <c r="A15" s="290">
        <v>2027</v>
      </c>
      <c r="B15" s="55" t="s">
        <v>28</v>
      </c>
      <c r="C15" s="55" t="s">
        <v>8</v>
      </c>
      <c r="D15" s="301">
        <v>83093725.146185577</v>
      </c>
      <c r="E15" s="399"/>
      <c r="F15" s="399"/>
      <c r="G15" s="399">
        <v>3423137.36734888</v>
      </c>
      <c r="H15" s="399">
        <v>906129.55045287905</v>
      </c>
      <c r="I15" s="401">
        <v>454207.10048281</v>
      </c>
      <c r="K15" s="287"/>
    </row>
    <row r="16" spans="1:23" s="343" customFormat="1" x14ac:dyDescent="0.3">
      <c r="A16" s="290">
        <v>2027</v>
      </c>
      <c r="B16" s="55" t="s">
        <v>29</v>
      </c>
      <c r="C16" s="55" t="s">
        <v>8</v>
      </c>
      <c r="D16" s="301">
        <v>63393553.932064623</v>
      </c>
      <c r="E16" s="399"/>
      <c r="F16" s="399"/>
      <c r="G16" s="399">
        <v>2663787.2128344099</v>
      </c>
      <c r="H16" s="399">
        <v>705007.22406948695</v>
      </c>
      <c r="I16" s="401">
        <v>242542.83447208101</v>
      </c>
      <c r="K16" s="287"/>
    </row>
    <row r="17" spans="1:23" s="343" customFormat="1" x14ac:dyDescent="0.3">
      <c r="A17" s="290">
        <v>2027</v>
      </c>
      <c r="B17" s="55" t="s">
        <v>30</v>
      </c>
      <c r="C17" s="55" t="s">
        <v>8</v>
      </c>
      <c r="D17" s="301">
        <v>60507430.80287423</v>
      </c>
      <c r="E17" s="399"/>
      <c r="F17" s="399"/>
      <c r="G17" s="399">
        <v>2702500.0229438101</v>
      </c>
      <c r="H17" s="399">
        <v>715231.89010573598</v>
      </c>
      <c r="I17" s="401">
        <v>186044.84119846701</v>
      </c>
      <c r="K17" s="287"/>
    </row>
    <row r="18" spans="1:23" s="343" customFormat="1" x14ac:dyDescent="0.3">
      <c r="A18" s="291">
        <v>2027</v>
      </c>
      <c r="B18" s="59" t="s">
        <v>31</v>
      </c>
      <c r="C18" s="59" t="s">
        <v>8</v>
      </c>
      <c r="D18" s="302">
        <v>78378274.432779133</v>
      </c>
      <c r="E18" s="404"/>
      <c r="F18" s="404"/>
      <c r="G18" s="404">
        <v>2960828.6989433598</v>
      </c>
      <c r="H18" s="404">
        <v>783749.99895505805</v>
      </c>
      <c r="I18" s="402">
        <v>144890.827931882</v>
      </c>
      <c r="K18" s="287"/>
    </row>
    <row r="19" spans="1:23" s="343" customFormat="1" x14ac:dyDescent="0.3">
      <c r="A19" s="538" t="s">
        <v>86</v>
      </c>
      <c r="B19" s="539"/>
      <c r="C19" s="539"/>
      <c r="D19" s="66">
        <f t="shared" ref="D19:I19" si="0">SUM(D7:D18)</f>
        <v>907700617.12215018</v>
      </c>
      <c r="E19" s="66">
        <f t="shared" si="0"/>
        <v>0</v>
      </c>
      <c r="F19" s="66">
        <f t="shared" si="0"/>
        <v>0</v>
      </c>
      <c r="G19" s="66">
        <f t="shared" si="0"/>
        <v>35784152.403310321</v>
      </c>
      <c r="H19" s="66">
        <f t="shared" si="0"/>
        <v>9471140.498498423</v>
      </c>
      <c r="I19" s="66">
        <f t="shared" si="0"/>
        <v>3703178.485852045</v>
      </c>
    </row>
    <row r="20" spans="1:23" s="343" customFormat="1" x14ac:dyDescent="0.3">
      <c r="A20" s="63"/>
      <c r="B20" s="63"/>
      <c r="C20" s="63"/>
      <c r="D20" s="46"/>
      <c r="E20" s="46"/>
      <c r="F20" s="46"/>
      <c r="G20" s="46"/>
      <c r="H20" s="46"/>
    </row>
    <row r="21" spans="1:23" s="329" customFormat="1" x14ac:dyDescent="0.3">
      <c r="A21" s="62" t="s">
        <v>18</v>
      </c>
      <c r="B21" s="62" t="s">
        <v>19</v>
      </c>
      <c r="C21" s="62" t="s">
        <v>0</v>
      </c>
      <c r="D21" s="385" t="s">
        <v>11</v>
      </c>
      <c r="E21" s="385" t="s">
        <v>9</v>
      </c>
      <c r="F21" s="385" t="s">
        <v>10</v>
      </c>
      <c r="G21" s="385" t="s">
        <v>158</v>
      </c>
      <c r="H21" s="385" t="s">
        <v>159</v>
      </c>
      <c r="I21" s="385" t="s">
        <v>97</v>
      </c>
    </row>
    <row r="22" spans="1:23" s="329" customFormat="1" x14ac:dyDescent="0.3">
      <c r="A22" s="289">
        <v>2026</v>
      </c>
      <c r="B22" s="51" t="s">
        <v>20</v>
      </c>
      <c r="C22" s="51" t="s">
        <v>8</v>
      </c>
      <c r="D22" s="301">
        <v>89307311.675158396</v>
      </c>
      <c r="E22" s="399"/>
      <c r="F22" s="399"/>
      <c r="G22" s="399">
        <v>3277863.6874423702</v>
      </c>
      <c r="H22" s="399">
        <v>867673.09980750806</v>
      </c>
      <c r="I22" s="406">
        <v>80505.728617674002</v>
      </c>
      <c r="K22" s="287"/>
      <c r="L22" s="171"/>
      <c r="M22" s="171"/>
      <c r="N22" s="171"/>
      <c r="O22" s="171"/>
      <c r="P22" s="171"/>
      <c r="Q22" s="171"/>
      <c r="S22" s="171"/>
      <c r="T22" s="171"/>
      <c r="U22" s="171"/>
      <c r="V22" s="171"/>
    </row>
    <row r="23" spans="1:23" s="329" customFormat="1" x14ac:dyDescent="0.3">
      <c r="A23" s="290">
        <v>2026</v>
      </c>
      <c r="B23" s="55" t="s">
        <v>21</v>
      </c>
      <c r="C23" s="55" t="s">
        <v>8</v>
      </c>
      <c r="D23" s="301">
        <v>65424936.807196356</v>
      </c>
      <c r="E23" s="399"/>
      <c r="F23" s="399"/>
      <c r="G23" s="399">
        <v>3034607.95007473</v>
      </c>
      <c r="H23" s="399">
        <v>803206.50289384194</v>
      </c>
      <c r="I23" s="406">
        <v>147050.14368440199</v>
      </c>
      <c r="K23" s="287"/>
      <c r="L23" s="171"/>
      <c r="M23" s="171"/>
      <c r="N23" s="171"/>
      <c r="O23" s="171"/>
      <c r="P23" s="171"/>
      <c r="Q23" s="171"/>
      <c r="R23" s="171"/>
      <c r="S23" s="171"/>
      <c r="T23" s="171"/>
      <c r="U23" s="171"/>
      <c r="V23" s="171"/>
      <c r="W23" s="171" t="s">
        <v>114</v>
      </c>
    </row>
    <row r="24" spans="1:23" s="329" customFormat="1" x14ac:dyDescent="0.3">
      <c r="A24" s="290">
        <v>2026</v>
      </c>
      <c r="B24" s="55" t="s">
        <v>22</v>
      </c>
      <c r="C24" s="55" t="s">
        <v>8</v>
      </c>
      <c r="D24" s="301">
        <v>63080228.400316983</v>
      </c>
      <c r="E24" s="399"/>
      <c r="F24" s="399"/>
      <c r="G24" s="399">
        <v>2482909.2105959598</v>
      </c>
      <c r="H24" s="399">
        <v>656997.65848741296</v>
      </c>
      <c r="I24" s="406">
        <v>311885.55855966802</v>
      </c>
      <c r="K24" s="341"/>
    </row>
    <row r="25" spans="1:23" s="329" customFormat="1" x14ac:dyDescent="0.3">
      <c r="A25" s="290">
        <v>2026</v>
      </c>
      <c r="B25" s="55" t="s">
        <v>23</v>
      </c>
      <c r="C25" s="55" t="s">
        <v>8</v>
      </c>
      <c r="D25" s="301">
        <v>65595874.552620783</v>
      </c>
      <c r="E25" s="399"/>
      <c r="F25" s="399"/>
      <c r="G25" s="399">
        <v>2483509.1839441098</v>
      </c>
      <c r="H25" s="399">
        <v>657117.72472835495</v>
      </c>
      <c r="I25" s="406">
        <v>342615.368437686</v>
      </c>
      <c r="K25" s="287"/>
    </row>
    <row r="26" spans="1:23" s="329" customFormat="1" x14ac:dyDescent="0.3">
      <c r="A26" s="290">
        <v>2026</v>
      </c>
      <c r="B26" s="55" t="s">
        <v>24</v>
      </c>
      <c r="C26" s="55" t="s">
        <v>8</v>
      </c>
      <c r="D26" s="301">
        <v>61597251.04292468</v>
      </c>
      <c r="E26" s="399"/>
      <c r="F26" s="399"/>
      <c r="G26" s="399">
        <v>2399927.3942341702</v>
      </c>
      <c r="H26" s="399">
        <v>634967.23567982495</v>
      </c>
      <c r="I26" s="406">
        <v>369686.078194462</v>
      </c>
      <c r="K26" s="287"/>
    </row>
    <row r="27" spans="1:23" s="329" customFormat="1" x14ac:dyDescent="0.3">
      <c r="A27" s="290">
        <v>2026</v>
      </c>
      <c r="B27" s="55" t="s">
        <v>25</v>
      </c>
      <c r="C27" s="55" t="s">
        <v>8</v>
      </c>
      <c r="D27" s="301">
        <v>73577975.217436433</v>
      </c>
      <c r="E27" s="399"/>
      <c r="F27" s="399"/>
      <c r="G27" s="399">
        <v>2847504.22343538</v>
      </c>
      <c r="H27" s="399">
        <v>753582.13598289201</v>
      </c>
      <c r="I27" s="406">
        <v>477964.312262944</v>
      </c>
      <c r="K27" s="287"/>
    </row>
    <row r="28" spans="1:23" s="329" customFormat="1" x14ac:dyDescent="0.3">
      <c r="A28" s="290">
        <v>2026</v>
      </c>
      <c r="B28" s="55" t="s">
        <v>26</v>
      </c>
      <c r="C28" s="55" t="s">
        <v>8</v>
      </c>
      <c r="D28" s="301">
        <v>100752166.26652735</v>
      </c>
      <c r="E28" s="399"/>
      <c r="F28" s="399"/>
      <c r="G28" s="399">
        <v>3512500.57799727</v>
      </c>
      <c r="H28" s="399">
        <v>929777.69446956401</v>
      </c>
      <c r="I28" s="406">
        <v>472126.14572165097</v>
      </c>
      <c r="K28" s="287"/>
    </row>
    <row r="29" spans="1:23" s="329" customFormat="1" x14ac:dyDescent="0.3">
      <c r="A29" s="290">
        <v>2026</v>
      </c>
      <c r="B29" s="55" t="s">
        <v>27</v>
      </c>
      <c r="C29" s="55" t="s">
        <v>8</v>
      </c>
      <c r="D29" s="301">
        <v>101990107.12372968</v>
      </c>
      <c r="E29" s="399"/>
      <c r="F29" s="399"/>
      <c r="G29" s="399">
        <v>3712463.9691554201</v>
      </c>
      <c r="H29" s="399">
        <v>982771.13863158203</v>
      </c>
      <c r="I29" s="406">
        <v>487104.23413639102</v>
      </c>
      <c r="K29" s="287"/>
    </row>
    <row r="30" spans="1:23" s="329" customFormat="1" x14ac:dyDescent="0.3">
      <c r="A30" s="290">
        <v>2026</v>
      </c>
      <c r="B30" s="55" t="s">
        <v>28</v>
      </c>
      <c r="C30" s="55" t="s">
        <v>8</v>
      </c>
      <c r="D30" s="301">
        <v>76632438.587132365</v>
      </c>
      <c r="E30" s="399"/>
      <c r="F30" s="399"/>
      <c r="G30" s="399">
        <v>3382244.4353723298</v>
      </c>
      <c r="H30" s="399">
        <v>895257.76769209094</v>
      </c>
      <c r="I30" s="406">
        <v>456489.54822392901</v>
      </c>
      <c r="K30" s="287"/>
    </row>
    <row r="31" spans="1:23" s="329" customFormat="1" x14ac:dyDescent="0.3">
      <c r="A31" s="290">
        <v>2026</v>
      </c>
      <c r="B31" s="55" t="s">
        <v>29</v>
      </c>
      <c r="C31" s="55" t="s">
        <v>8</v>
      </c>
      <c r="D31" s="301">
        <v>62795353.016820997</v>
      </c>
      <c r="E31" s="399"/>
      <c r="F31" s="399"/>
      <c r="G31" s="399">
        <v>2630013.76454284</v>
      </c>
      <c r="H31" s="399">
        <v>695826.934760959</v>
      </c>
      <c r="I31" s="406">
        <v>243761.64268550801</v>
      </c>
      <c r="K31" s="287"/>
    </row>
    <row r="32" spans="1:23" s="329" customFormat="1" x14ac:dyDescent="0.3">
      <c r="A32" s="290">
        <v>2026</v>
      </c>
      <c r="B32" s="55" t="s">
        <v>30</v>
      </c>
      <c r="C32" s="55" t="s">
        <v>8</v>
      </c>
      <c r="D32" s="301">
        <v>59296536.083370753</v>
      </c>
      <c r="E32" s="399"/>
      <c r="F32" s="399"/>
      <c r="G32" s="399">
        <v>2668512.1079335799</v>
      </c>
      <c r="H32" s="399">
        <v>706029.60135403404</v>
      </c>
      <c r="I32" s="406">
        <v>186979.73989795701</v>
      </c>
      <c r="K32" s="287"/>
    </row>
    <row r="33" spans="1:11" s="329" customFormat="1" x14ac:dyDescent="0.3">
      <c r="A33" s="291">
        <v>2026</v>
      </c>
      <c r="B33" s="59" t="s">
        <v>31</v>
      </c>
      <c r="C33" s="59" t="s">
        <v>8</v>
      </c>
      <c r="D33" s="302">
        <v>78412488.98890397</v>
      </c>
      <c r="E33" s="403"/>
      <c r="F33" s="403"/>
      <c r="G33" s="412">
        <v>2923337.1681414102</v>
      </c>
      <c r="H33" s="412">
        <v>773562.25081048498</v>
      </c>
      <c r="I33" s="407">
        <v>145618.92254460501</v>
      </c>
      <c r="K33" s="287"/>
    </row>
    <row r="34" spans="1:11" s="329" customFormat="1" x14ac:dyDescent="0.3">
      <c r="A34" s="538" t="s">
        <v>86</v>
      </c>
      <c r="B34" s="539"/>
      <c r="C34" s="539"/>
      <c r="D34" s="470">
        <f t="shared" ref="D34:I34" si="1">SUM(D22:D33)</f>
        <v>898462667.76213884</v>
      </c>
      <c r="E34" s="470">
        <f t="shared" si="1"/>
        <v>0</v>
      </c>
      <c r="F34" s="470">
        <f t="shared" si="1"/>
        <v>0</v>
      </c>
      <c r="G34" s="470">
        <f t="shared" si="1"/>
        <v>35355393.672869571</v>
      </c>
      <c r="H34" s="470">
        <f t="shared" si="1"/>
        <v>9356769.7452985495</v>
      </c>
      <c r="I34" s="470">
        <f t="shared" si="1"/>
        <v>3721787.422966877</v>
      </c>
    </row>
    <row r="35" spans="1:11" s="329" customFormat="1" x14ac:dyDescent="0.3">
      <c r="A35" s="63"/>
      <c r="B35" s="63"/>
      <c r="C35" s="63"/>
      <c r="D35" s="46"/>
      <c r="E35" s="46"/>
      <c r="F35" s="46"/>
      <c r="G35" s="46"/>
      <c r="H35" s="46"/>
    </row>
    <row r="36" spans="1:11" s="343" customFormat="1" x14ac:dyDescent="0.3">
      <c r="A36" s="62" t="s">
        <v>18</v>
      </c>
      <c r="B36" s="62" t="s">
        <v>19</v>
      </c>
      <c r="C36" s="62" t="s">
        <v>0</v>
      </c>
      <c r="D36" s="300" t="s">
        <v>11</v>
      </c>
      <c r="E36" s="62" t="s">
        <v>9</v>
      </c>
      <c r="F36" s="286" t="s">
        <v>10</v>
      </c>
      <c r="G36" s="385" t="s">
        <v>158</v>
      </c>
      <c r="H36" s="385" t="s">
        <v>159</v>
      </c>
      <c r="I36" s="356" t="s">
        <v>97</v>
      </c>
    </row>
    <row r="37" spans="1:11" s="343" customFormat="1" x14ac:dyDescent="0.3">
      <c r="A37" s="50">
        <v>2024</v>
      </c>
      <c r="B37" s="51" t="s">
        <v>20</v>
      </c>
      <c r="C37" s="51" t="s">
        <v>8</v>
      </c>
      <c r="D37" s="332">
        <v>74385365</v>
      </c>
      <c r="E37" s="52"/>
      <c r="F37" s="99"/>
      <c r="G37" s="99">
        <v>4083719</v>
      </c>
      <c r="H37" s="99">
        <v>862573</v>
      </c>
      <c r="I37" s="357">
        <v>87107</v>
      </c>
      <c r="K37" s="473"/>
    </row>
    <row r="38" spans="1:11" s="343" customFormat="1" x14ac:dyDescent="0.3">
      <c r="A38" s="54">
        <v>2024</v>
      </c>
      <c r="B38" s="55" t="s">
        <v>21</v>
      </c>
      <c r="C38" s="55" t="s">
        <v>8</v>
      </c>
      <c r="D38" s="332">
        <v>69890268</v>
      </c>
      <c r="E38" s="56"/>
      <c r="F38" s="68"/>
      <c r="G38" s="68">
        <v>3784930</v>
      </c>
      <c r="H38" s="68">
        <v>798700</v>
      </c>
      <c r="I38" s="358">
        <v>159875</v>
      </c>
      <c r="K38" s="473"/>
    </row>
    <row r="39" spans="1:11" s="343" customFormat="1" x14ac:dyDescent="0.3">
      <c r="A39" s="54">
        <v>2024</v>
      </c>
      <c r="B39" s="55" t="s">
        <v>22</v>
      </c>
      <c r="C39" s="55" t="s">
        <v>8</v>
      </c>
      <c r="D39" s="332">
        <v>58613015</v>
      </c>
      <c r="E39" s="56"/>
      <c r="F39" s="68"/>
      <c r="G39" s="68">
        <v>3124543</v>
      </c>
      <c r="H39" s="68">
        <v>640157</v>
      </c>
      <c r="I39" s="358">
        <v>338753</v>
      </c>
      <c r="K39" s="473"/>
    </row>
    <row r="40" spans="1:11" s="343" customFormat="1" x14ac:dyDescent="0.3">
      <c r="A40" s="54">
        <v>2024</v>
      </c>
      <c r="B40" s="55" t="s">
        <v>23</v>
      </c>
      <c r="C40" s="55" t="s">
        <v>8</v>
      </c>
      <c r="D40" s="332">
        <v>59040605</v>
      </c>
      <c r="E40" s="56"/>
      <c r="F40" s="68"/>
      <c r="G40" s="68">
        <v>3116296</v>
      </c>
      <c r="H40" s="68">
        <v>635450</v>
      </c>
      <c r="I40" s="358">
        <v>371701</v>
      </c>
      <c r="K40" s="473"/>
    </row>
    <row r="41" spans="1:11" s="343" customFormat="1" x14ac:dyDescent="0.3">
      <c r="A41" s="54">
        <v>2024</v>
      </c>
      <c r="B41" s="55" t="s">
        <v>24</v>
      </c>
      <c r="C41" s="55" t="s">
        <v>8</v>
      </c>
      <c r="D41" s="332">
        <v>57722087</v>
      </c>
      <c r="E41" s="56"/>
      <c r="F41" s="68"/>
      <c r="G41" s="68">
        <v>3019179</v>
      </c>
      <c r="H41" s="68">
        <v>611593</v>
      </c>
      <c r="I41" s="358">
        <v>399379</v>
      </c>
      <c r="K41" s="473"/>
    </row>
    <row r="42" spans="1:11" s="343" customFormat="1" x14ac:dyDescent="0.3">
      <c r="A42" s="54">
        <v>2024</v>
      </c>
      <c r="B42" s="55" t="s">
        <v>25</v>
      </c>
      <c r="C42" s="55" t="s">
        <v>8</v>
      </c>
      <c r="D42" s="332">
        <v>69988872</v>
      </c>
      <c r="E42" s="56"/>
      <c r="F42" s="68"/>
      <c r="G42" s="68">
        <v>3561098</v>
      </c>
      <c r="H42" s="68">
        <v>739848</v>
      </c>
      <c r="I42" s="358">
        <v>521495</v>
      </c>
      <c r="K42" s="473"/>
    </row>
    <row r="43" spans="1:11" s="343" customFormat="1" x14ac:dyDescent="0.3">
      <c r="A43" s="54">
        <v>2024</v>
      </c>
      <c r="B43" s="55" t="s">
        <v>26</v>
      </c>
      <c r="C43" s="55" t="s">
        <v>8</v>
      </c>
      <c r="D43" s="332">
        <v>88313142</v>
      </c>
      <c r="E43" s="56"/>
      <c r="F43" s="68"/>
      <c r="G43" s="68">
        <v>4371624</v>
      </c>
      <c r="H43" s="68">
        <v>935409</v>
      </c>
      <c r="I43" s="358">
        <v>510351</v>
      </c>
      <c r="K43" s="473"/>
    </row>
    <row r="44" spans="1:11" s="343" customFormat="1" x14ac:dyDescent="0.3">
      <c r="A44" s="54">
        <v>2024</v>
      </c>
      <c r="B44" s="55" t="s">
        <v>27</v>
      </c>
      <c r="C44" s="55" t="s">
        <v>8</v>
      </c>
      <c r="D44" s="332">
        <v>92083655</v>
      </c>
      <c r="E44" s="56"/>
      <c r="F44" s="68"/>
      <c r="G44" s="68">
        <v>4608724</v>
      </c>
      <c r="H44" s="68">
        <v>997562</v>
      </c>
      <c r="I44" s="358">
        <v>530379</v>
      </c>
      <c r="K44" s="473"/>
    </row>
    <row r="45" spans="1:11" s="343" customFormat="1" x14ac:dyDescent="0.3">
      <c r="A45" s="54">
        <v>2024</v>
      </c>
      <c r="B45" s="55" t="s">
        <v>28</v>
      </c>
      <c r="C45" s="55" t="s">
        <v>8</v>
      </c>
      <c r="D45" s="332">
        <v>85740233</v>
      </c>
      <c r="E45" s="68"/>
      <c r="F45" s="68"/>
      <c r="G45" s="68">
        <v>4209256</v>
      </c>
      <c r="H45" s="68">
        <v>900453</v>
      </c>
      <c r="I45" s="358">
        <v>494485</v>
      </c>
      <c r="K45" s="473"/>
    </row>
    <row r="46" spans="1:11" s="343" customFormat="1" x14ac:dyDescent="0.3">
      <c r="A46" s="54">
        <v>2024</v>
      </c>
      <c r="B46" s="55" t="s">
        <v>29</v>
      </c>
      <c r="C46" s="55" t="s">
        <v>8</v>
      </c>
      <c r="D46" s="332">
        <v>63102914</v>
      </c>
      <c r="E46" s="56"/>
      <c r="F46" s="68"/>
      <c r="G46" s="68">
        <v>3187595</v>
      </c>
      <c r="H46" s="68">
        <v>658655</v>
      </c>
      <c r="I46" s="358">
        <v>374836</v>
      </c>
      <c r="K46" s="473"/>
    </row>
    <row r="47" spans="1:11" s="343" customFormat="1" x14ac:dyDescent="0.3">
      <c r="A47" s="54">
        <v>2024</v>
      </c>
      <c r="B47" s="55" t="s">
        <v>30</v>
      </c>
      <c r="C47" s="55" t="s">
        <v>8</v>
      </c>
      <c r="D47" s="332">
        <v>56658577</v>
      </c>
      <c r="E47" s="56"/>
      <c r="F47" s="68"/>
      <c r="G47" s="68">
        <v>3082461</v>
      </c>
      <c r="H47" s="68">
        <v>635897</v>
      </c>
      <c r="I47" s="358">
        <v>226484</v>
      </c>
      <c r="K47" s="473"/>
    </row>
    <row r="48" spans="1:11" s="343" customFormat="1" x14ac:dyDescent="0.3">
      <c r="A48" s="58">
        <v>2024</v>
      </c>
      <c r="B48" s="59" t="s">
        <v>31</v>
      </c>
      <c r="C48" s="59" t="s">
        <v>8</v>
      </c>
      <c r="D48" s="333">
        <v>72834379</v>
      </c>
      <c r="E48" s="60"/>
      <c r="F48" s="102"/>
      <c r="G48" s="102">
        <v>3875234</v>
      </c>
      <c r="H48" s="102">
        <v>821499</v>
      </c>
      <c r="I48" s="359">
        <v>113438</v>
      </c>
      <c r="K48" s="473"/>
    </row>
    <row r="49" spans="1:23" s="343" customFormat="1" x14ac:dyDescent="0.3">
      <c r="A49" s="540" t="s">
        <v>81</v>
      </c>
      <c r="B49" s="541"/>
      <c r="C49" s="541"/>
      <c r="D49" s="66">
        <f t="shared" ref="D49:I49" si="2">SUM(D37:D48)</f>
        <v>848373112</v>
      </c>
      <c r="E49" s="66">
        <f t="shared" si="2"/>
        <v>0</v>
      </c>
      <c r="F49" s="66">
        <f t="shared" si="2"/>
        <v>0</v>
      </c>
      <c r="G49" s="66">
        <f t="shared" si="2"/>
        <v>44024659</v>
      </c>
      <c r="H49" s="66">
        <f t="shared" si="2"/>
        <v>9237796</v>
      </c>
      <c r="I49" s="66">
        <f t="shared" si="2"/>
        <v>4128283</v>
      </c>
      <c r="K49" s="473"/>
    </row>
    <row r="50" spans="1:23" s="343" customFormat="1" x14ac:dyDescent="0.3">
      <c r="A50" s="476" t="s">
        <v>125</v>
      </c>
      <c r="B50" s="367"/>
      <c r="C50" s="367"/>
      <c r="D50" s="66"/>
      <c r="E50" s="66"/>
      <c r="F50" s="66"/>
      <c r="G50" s="66"/>
      <c r="H50" s="66"/>
      <c r="I50" s="66"/>
      <c r="S50" s="171"/>
    </row>
    <row r="51" spans="1:23" s="343" customFormat="1" x14ac:dyDescent="0.3">
      <c r="A51" s="63"/>
      <c r="B51" s="63"/>
      <c r="C51" s="63"/>
      <c r="D51" s="46"/>
      <c r="E51" s="46"/>
      <c r="F51" s="46"/>
      <c r="G51" s="46"/>
      <c r="H51" s="46"/>
      <c r="S51" s="171"/>
      <c r="W51" s="171"/>
    </row>
    <row r="52" spans="1:23" s="343" customFormat="1" x14ac:dyDescent="0.3">
      <c r="A52" s="62" t="s">
        <v>18</v>
      </c>
      <c r="B52" s="62" t="s">
        <v>19</v>
      </c>
      <c r="C52" s="62" t="s">
        <v>0</v>
      </c>
      <c r="D52" s="300" t="s">
        <v>11</v>
      </c>
      <c r="E52" s="62" t="s">
        <v>9</v>
      </c>
      <c r="F52" s="286" t="s">
        <v>10</v>
      </c>
      <c r="G52" s="385" t="s">
        <v>158</v>
      </c>
      <c r="H52" s="385"/>
      <c r="I52" s="356" t="s">
        <v>97</v>
      </c>
      <c r="S52" s="171"/>
    </row>
    <row r="53" spans="1:23" s="343" customFormat="1" x14ac:dyDescent="0.3">
      <c r="A53" s="50">
        <v>2023</v>
      </c>
      <c r="B53" s="51" t="s">
        <v>20</v>
      </c>
      <c r="C53" s="51" t="s">
        <v>8</v>
      </c>
      <c r="D53" s="332">
        <v>78648575</v>
      </c>
      <c r="E53" s="52"/>
      <c r="F53" s="99"/>
      <c r="G53" s="99">
        <v>5256755</v>
      </c>
      <c r="H53" s="99"/>
      <c r="I53" s="357">
        <v>53475</v>
      </c>
      <c r="K53" s="473"/>
      <c r="L53" s="171"/>
      <c r="M53" s="171"/>
      <c r="N53" s="171"/>
      <c r="O53" s="171"/>
      <c r="P53" s="171"/>
      <c r="Q53" s="171"/>
      <c r="S53" s="171"/>
      <c r="T53" s="171"/>
      <c r="U53" s="171"/>
      <c r="V53" s="171"/>
    </row>
    <row r="54" spans="1:23" s="343" customFormat="1" x14ac:dyDescent="0.3">
      <c r="A54" s="54">
        <v>2023</v>
      </c>
      <c r="B54" s="55" t="s">
        <v>21</v>
      </c>
      <c r="C54" s="55" t="s">
        <v>8</v>
      </c>
      <c r="D54" s="332">
        <v>68502716</v>
      </c>
      <c r="E54" s="56"/>
      <c r="F54" s="68"/>
      <c r="G54" s="68">
        <v>4542550</v>
      </c>
      <c r="H54" s="68"/>
      <c r="I54" s="358">
        <v>94536</v>
      </c>
      <c r="K54" s="473"/>
      <c r="O54" s="171"/>
      <c r="P54" s="171"/>
      <c r="Q54" s="171"/>
      <c r="R54" s="171"/>
      <c r="S54" s="171"/>
      <c r="T54" s="171"/>
    </row>
    <row r="55" spans="1:23" s="343" customFormat="1" x14ac:dyDescent="0.3">
      <c r="A55" s="54">
        <v>2023</v>
      </c>
      <c r="B55" s="55" t="s">
        <v>22</v>
      </c>
      <c r="C55" s="55" t="s">
        <v>8</v>
      </c>
      <c r="D55" s="332">
        <v>64661176</v>
      </c>
      <c r="E55" s="56"/>
      <c r="F55" s="68"/>
      <c r="G55" s="68">
        <v>4234176</v>
      </c>
      <c r="H55" s="68"/>
      <c r="I55" s="358">
        <v>256461</v>
      </c>
      <c r="K55" s="473"/>
    </row>
    <row r="56" spans="1:23" s="343" customFormat="1" x14ac:dyDescent="0.3">
      <c r="A56" s="54">
        <v>2023</v>
      </c>
      <c r="B56" s="55" t="s">
        <v>23</v>
      </c>
      <c r="C56" s="55" t="s">
        <v>8</v>
      </c>
      <c r="D56" s="332">
        <v>61079422</v>
      </c>
      <c r="E56" s="56"/>
      <c r="F56" s="68"/>
      <c r="G56" s="68">
        <v>4005797</v>
      </c>
      <c r="H56" s="68"/>
      <c r="I56" s="358">
        <v>386055</v>
      </c>
      <c r="K56" s="473"/>
    </row>
    <row r="57" spans="1:23" s="343" customFormat="1" x14ac:dyDescent="0.3">
      <c r="A57" s="54">
        <v>2023</v>
      </c>
      <c r="B57" s="55" t="s">
        <v>24</v>
      </c>
      <c r="C57" s="55" t="s">
        <v>8</v>
      </c>
      <c r="D57" s="332">
        <v>54987531</v>
      </c>
      <c r="E57" s="56"/>
      <c r="F57" s="68"/>
      <c r="G57" s="68">
        <v>3531370</v>
      </c>
      <c r="H57" s="68"/>
      <c r="I57" s="358">
        <v>435724</v>
      </c>
      <c r="K57" s="473"/>
    </row>
    <row r="58" spans="1:23" s="343" customFormat="1" x14ac:dyDescent="0.3">
      <c r="A58" s="54">
        <v>2023</v>
      </c>
      <c r="B58" s="55" t="s">
        <v>25</v>
      </c>
      <c r="C58" s="55" t="s">
        <v>8</v>
      </c>
      <c r="D58" s="332">
        <v>72732982</v>
      </c>
      <c r="E58" s="56"/>
      <c r="F58" s="68"/>
      <c r="G58" s="68">
        <v>4422778</v>
      </c>
      <c r="H58" s="68"/>
      <c r="I58" s="358">
        <v>513832</v>
      </c>
      <c r="K58" s="473"/>
    </row>
    <row r="59" spans="1:23" s="343" customFormat="1" x14ac:dyDescent="0.3">
      <c r="A59" s="54">
        <v>2023</v>
      </c>
      <c r="B59" s="55" t="s">
        <v>26</v>
      </c>
      <c r="C59" s="55" t="s">
        <v>8</v>
      </c>
      <c r="D59" s="332">
        <v>90869131</v>
      </c>
      <c r="E59" s="56"/>
      <c r="F59" s="68"/>
      <c r="G59" s="68">
        <v>5505327</v>
      </c>
      <c r="H59" s="68"/>
      <c r="I59" s="358">
        <v>530863</v>
      </c>
      <c r="K59" s="473"/>
    </row>
    <row r="60" spans="1:23" s="343" customFormat="1" x14ac:dyDescent="0.3">
      <c r="A60" s="54">
        <v>2023</v>
      </c>
      <c r="B60" s="55" t="s">
        <v>27</v>
      </c>
      <c r="C60" s="55" t="s">
        <v>8</v>
      </c>
      <c r="D60" s="332">
        <v>91311658</v>
      </c>
      <c r="E60" s="56"/>
      <c r="F60" s="68"/>
      <c r="G60" s="68">
        <v>5485313</v>
      </c>
      <c r="H60" s="68"/>
      <c r="I60" s="358">
        <v>576579</v>
      </c>
      <c r="K60" s="473"/>
    </row>
    <row r="61" spans="1:23" s="343" customFormat="1" x14ac:dyDescent="0.3">
      <c r="A61" s="54">
        <v>2023</v>
      </c>
      <c r="B61" s="55" t="s">
        <v>28</v>
      </c>
      <c r="C61" s="55" t="s">
        <v>8</v>
      </c>
      <c r="D61" s="332">
        <v>86389804</v>
      </c>
      <c r="E61" s="68"/>
      <c r="F61" s="68"/>
      <c r="G61" s="68">
        <v>5348950</v>
      </c>
      <c r="H61" s="68"/>
      <c r="I61" s="358">
        <v>518161</v>
      </c>
      <c r="K61" s="473"/>
    </row>
    <row r="62" spans="1:23" s="343" customFormat="1" x14ac:dyDescent="0.3">
      <c r="A62" s="54">
        <v>2023</v>
      </c>
      <c r="B62" s="55" t="s">
        <v>29</v>
      </c>
      <c r="C62" s="55" t="s">
        <v>8</v>
      </c>
      <c r="D62" s="332">
        <v>61506196</v>
      </c>
      <c r="E62" s="56"/>
      <c r="F62" s="68"/>
      <c r="G62" s="68">
        <v>3974007</v>
      </c>
      <c r="H62" s="68"/>
      <c r="I62" s="358">
        <v>263942</v>
      </c>
      <c r="K62" s="473"/>
    </row>
    <row r="63" spans="1:23" s="343" customFormat="1" x14ac:dyDescent="0.3">
      <c r="A63" s="54">
        <v>2023</v>
      </c>
      <c r="B63" s="55" t="s">
        <v>30</v>
      </c>
      <c r="C63" s="55" t="s">
        <v>8</v>
      </c>
      <c r="D63" s="332">
        <v>60988518</v>
      </c>
      <c r="E63" s="56"/>
      <c r="F63" s="68"/>
      <c r="G63" s="68">
        <v>4040641</v>
      </c>
      <c r="H63" s="68"/>
      <c r="I63" s="358">
        <v>203340</v>
      </c>
      <c r="K63" s="473"/>
    </row>
    <row r="64" spans="1:23" s="343" customFormat="1" x14ac:dyDescent="0.3">
      <c r="A64" s="58">
        <v>2023</v>
      </c>
      <c r="B64" s="59" t="s">
        <v>31</v>
      </c>
      <c r="C64" s="59" t="s">
        <v>8</v>
      </c>
      <c r="D64" s="333">
        <v>66722051</v>
      </c>
      <c r="E64" s="60"/>
      <c r="F64" s="102"/>
      <c r="G64" s="102">
        <v>4427108</v>
      </c>
      <c r="H64" s="102"/>
      <c r="I64" s="359">
        <v>158566</v>
      </c>
      <c r="K64" s="473"/>
    </row>
    <row r="65" spans="1:22" s="343" customFormat="1" x14ac:dyDescent="0.3">
      <c r="A65" s="540" t="s">
        <v>81</v>
      </c>
      <c r="B65" s="541"/>
      <c r="C65" s="541"/>
      <c r="D65" s="66">
        <f t="shared" ref="D65:I65" si="3">SUM(D53:D64)</f>
        <v>858399760</v>
      </c>
      <c r="E65" s="66">
        <f t="shared" si="3"/>
        <v>0</v>
      </c>
      <c r="F65" s="66">
        <f t="shared" si="3"/>
        <v>0</v>
      </c>
      <c r="G65" s="66">
        <f t="shared" si="3"/>
        <v>54774772</v>
      </c>
      <c r="H65" s="66">
        <f t="shared" si="3"/>
        <v>0</v>
      </c>
      <c r="I65" s="66">
        <f t="shared" si="3"/>
        <v>3991534</v>
      </c>
      <c r="K65" s="473"/>
    </row>
    <row r="66" spans="1:22" s="343" customFormat="1" x14ac:dyDescent="0.3">
      <c r="A66" s="476" t="s">
        <v>125</v>
      </c>
      <c r="B66" s="367"/>
      <c r="C66" s="367"/>
      <c r="D66" s="66"/>
      <c r="E66" s="66"/>
      <c r="F66" s="66"/>
      <c r="G66" s="66"/>
      <c r="H66" s="66"/>
      <c r="I66" s="66"/>
    </row>
    <row r="67" spans="1:22" s="343" customFormat="1" x14ac:dyDescent="0.3">
      <c r="A67" s="63"/>
      <c r="B67" s="63"/>
      <c r="C67" s="63"/>
      <c r="D67" s="46"/>
      <c r="E67" s="46"/>
      <c r="F67" s="46"/>
      <c r="G67" s="46"/>
      <c r="H67" s="46"/>
    </row>
    <row r="68" spans="1:22" s="343" customFormat="1" x14ac:dyDescent="0.3">
      <c r="A68" s="62" t="s">
        <v>18</v>
      </c>
      <c r="B68" s="62" t="s">
        <v>19</v>
      </c>
      <c r="C68" s="62" t="s">
        <v>0</v>
      </c>
      <c r="D68" s="300" t="s">
        <v>11</v>
      </c>
      <c r="E68" s="62" t="s">
        <v>9</v>
      </c>
      <c r="F68" s="286" t="s">
        <v>10</v>
      </c>
      <c r="G68" s="385" t="s">
        <v>158</v>
      </c>
      <c r="H68" s="385"/>
      <c r="I68" s="356" t="s">
        <v>97</v>
      </c>
    </row>
    <row r="69" spans="1:22" s="343" customFormat="1" x14ac:dyDescent="0.3">
      <c r="A69" s="50">
        <v>2022</v>
      </c>
      <c r="B69" s="51" t="s">
        <v>20</v>
      </c>
      <c r="C69" s="51" t="s">
        <v>8</v>
      </c>
      <c r="D69" s="332">
        <v>79578115</v>
      </c>
      <c r="E69" s="52"/>
      <c r="F69" s="99"/>
      <c r="G69" s="99">
        <v>5306882</v>
      </c>
      <c r="H69" s="99"/>
      <c r="I69" s="357">
        <v>94918</v>
      </c>
      <c r="K69" s="473"/>
      <c r="L69" s="171"/>
      <c r="M69" s="171"/>
      <c r="N69" s="171"/>
      <c r="O69" s="171"/>
      <c r="P69" s="171"/>
      <c r="Q69" s="171"/>
      <c r="S69" s="171"/>
      <c r="T69" s="171"/>
      <c r="U69" s="171"/>
      <c r="V69" s="171"/>
    </row>
    <row r="70" spans="1:22" s="343" customFormat="1" x14ac:dyDescent="0.3">
      <c r="A70" s="54">
        <v>2022</v>
      </c>
      <c r="B70" s="55" t="s">
        <v>21</v>
      </c>
      <c r="C70" s="55" t="s">
        <v>8</v>
      </c>
      <c r="D70" s="332">
        <v>74688093</v>
      </c>
      <c r="E70" s="56"/>
      <c r="F70" s="68"/>
      <c r="G70" s="68">
        <v>4918173</v>
      </c>
      <c r="H70" s="68"/>
      <c r="I70" s="358">
        <v>166176</v>
      </c>
      <c r="K70" s="473"/>
      <c r="O70" s="171"/>
      <c r="P70" s="171"/>
      <c r="Q70" s="171"/>
      <c r="R70" s="171"/>
      <c r="S70" s="171"/>
      <c r="T70" s="171"/>
    </row>
    <row r="71" spans="1:22" s="343" customFormat="1" x14ac:dyDescent="0.3">
      <c r="A71" s="54">
        <v>2022</v>
      </c>
      <c r="B71" s="55" t="s">
        <v>22</v>
      </c>
      <c r="C71" s="55" t="s">
        <v>8</v>
      </c>
      <c r="D71" s="332">
        <v>67414760</v>
      </c>
      <c r="E71" s="56"/>
      <c r="F71" s="68"/>
      <c r="G71" s="68">
        <v>4423597</v>
      </c>
      <c r="H71" s="68"/>
      <c r="I71" s="358">
        <v>288391</v>
      </c>
      <c r="K71" s="473"/>
    </row>
    <row r="72" spans="1:22" s="343" customFormat="1" x14ac:dyDescent="0.3">
      <c r="A72" s="54">
        <v>2022</v>
      </c>
      <c r="B72" s="55" t="s">
        <v>23</v>
      </c>
      <c r="C72" s="55" t="s">
        <v>8</v>
      </c>
      <c r="D72" s="332">
        <v>63021182</v>
      </c>
      <c r="E72" s="56"/>
      <c r="F72" s="68"/>
      <c r="G72" s="68">
        <v>4240278</v>
      </c>
      <c r="H72" s="68"/>
      <c r="I72" s="358">
        <v>359615</v>
      </c>
      <c r="K72" s="473"/>
    </row>
    <row r="73" spans="1:22" s="343" customFormat="1" x14ac:dyDescent="0.3">
      <c r="A73" s="54">
        <v>2022</v>
      </c>
      <c r="B73" s="55" t="s">
        <v>24</v>
      </c>
      <c r="C73" s="55" t="s">
        <v>8</v>
      </c>
      <c r="D73" s="332">
        <v>60500155</v>
      </c>
      <c r="E73" s="56"/>
      <c r="F73" s="68"/>
      <c r="G73" s="68">
        <v>4030431</v>
      </c>
      <c r="H73" s="68"/>
      <c r="I73" s="358">
        <v>395042</v>
      </c>
      <c r="K73" s="473"/>
    </row>
    <row r="74" spans="1:22" s="343" customFormat="1" x14ac:dyDescent="0.3">
      <c r="A74" s="54">
        <v>2022</v>
      </c>
      <c r="B74" s="55" t="s">
        <v>25</v>
      </c>
      <c r="C74" s="55" t="s">
        <v>8</v>
      </c>
      <c r="D74" s="332">
        <v>71764464</v>
      </c>
      <c r="E74" s="56"/>
      <c r="F74" s="68"/>
      <c r="G74" s="68">
        <v>4613630</v>
      </c>
      <c r="H74" s="68"/>
      <c r="I74" s="358">
        <v>494407</v>
      </c>
      <c r="K74" s="473"/>
    </row>
    <row r="75" spans="1:22" s="343" customFormat="1" x14ac:dyDescent="0.3">
      <c r="A75" s="54">
        <v>2022</v>
      </c>
      <c r="B75" s="55" t="s">
        <v>26</v>
      </c>
      <c r="C75" s="55" t="s">
        <v>8</v>
      </c>
      <c r="D75" s="332">
        <v>93993946</v>
      </c>
      <c r="E75" s="56"/>
      <c r="F75" s="68"/>
      <c r="G75" s="68">
        <v>5844441</v>
      </c>
      <c r="H75" s="68"/>
      <c r="I75" s="358">
        <v>552504</v>
      </c>
      <c r="K75" s="473"/>
    </row>
    <row r="76" spans="1:22" s="343" customFormat="1" x14ac:dyDescent="0.3">
      <c r="A76" s="54">
        <v>2022</v>
      </c>
      <c r="B76" s="55" t="s">
        <v>27</v>
      </c>
      <c r="C76" s="55" t="s">
        <v>8</v>
      </c>
      <c r="D76" s="332">
        <v>89383882</v>
      </c>
      <c r="E76" s="56"/>
      <c r="F76" s="68"/>
      <c r="G76" s="68">
        <v>5570008</v>
      </c>
      <c r="H76" s="68"/>
      <c r="I76" s="358">
        <v>544091</v>
      </c>
      <c r="K76" s="473"/>
    </row>
    <row r="77" spans="1:22" s="343" customFormat="1" x14ac:dyDescent="0.3">
      <c r="A77" s="54">
        <v>2022</v>
      </c>
      <c r="B77" s="55" t="s">
        <v>28</v>
      </c>
      <c r="C77" s="55" t="s">
        <v>8</v>
      </c>
      <c r="D77" s="332">
        <v>81468502</v>
      </c>
      <c r="E77" s="68"/>
      <c r="F77" s="68"/>
      <c r="G77" s="68">
        <v>5235497</v>
      </c>
      <c r="H77" s="68"/>
      <c r="I77" s="358">
        <v>483514</v>
      </c>
      <c r="K77" s="473"/>
    </row>
    <row r="78" spans="1:22" s="343" customFormat="1" x14ac:dyDescent="0.3">
      <c r="A78" s="54">
        <v>2022</v>
      </c>
      <c r="B78" s="55" t="s">
        <v>29</v>
      </c>
      <c r="C78" s="55" t="s">
        <v>8</v>
      </c>
      <c r="D78" s="332">
        <v>59019796</v>
      </c>
      <c r="E78" s="56"/>
      <c r="F78" s="68"/>
      <c r="G78" s="68">
        <v>3954159</v>
      </c>
      <c r="H78" s="68"/>
      <c r="I78" s="358">
        <v>388183</v>
      </c>
      <c r="K78" s="473"/>
    </row>
    <row r="79" spans="1:22" s="343" customFormat="1" x14ac:dyDescent="0.3">
      <c r="A79" s="54">
        <v>2022</v>
      </c>
      <c r="B79" s="55" t="s">
        <v>30</v>
      </c>
      <c r="C79" s="55" t="s">
        <v>8</v>
      </c>
      <c r="D79" s="332">
        <v>57871058</v>
      </c>
      <c r="E79" s="56"/>
      <c r="F79" s="68"/>
      <c r="G79" s="68">
        <v>3861389</v>
      </c>
      <c r="H79" s="68"/>
      <c r="I79" s="358">
        <v>262302</v>
      </c>
      <c r="K79" s="473"/>
    </row>
    <row r="80" spans="1:22" s="343" customFormat="1" x14ac:dyDescent="0.3">
      <c r="A80" s="58">
        <v>2022</v>
      </c>
      <c r="B80" s="59" t="s">
        <v>31</v>
      </c>
      <c r="C80" s="59" t="s">
        <v>8</v>
      </c>
      <c r="D80" s="333">
        <v>71429315</v>
      </c>
      <c r="E80" s="60"/>
      <c r="F80" s="102"/>
      <c r="G80" s="102">
        <v>4756114</v>
      </c>
      <c r="H80" s="102"/>
      <c r="I80" s="359">
        <v>113534</v>
      </c>
      <c r="K80" s="473"/>
    </row>
    <row r="81" spans="1:22" s="343" customFormat="1" x14ac:dyDescent="0.3">
      <c r="A81" s="540" t="s">
        <v>81</v>
      </c>
      <c r="B81" s="541"/>
      <c r="C81" s="541"/>
      <c r="D81" s="66">
        <f t="shared" ref="D81:I81" si="4">SUM(D69:D80)</f>
        <v>870133268</v>
      </c>
      <c r="E81" s="66">
        <f t="shared" si="4"/>
        <v>0</v>
      </c>
      <c r="F81" s="66">
        <f t="shared" si="4"/>
        <v>0</v>
      </c>
      <c r="G81" s="66">
        <f t="shared" si="4"/>
        <v>56754599</v>
      </c>
      <c r="H81" s="66">
        <f t="shared" si="4"/>
        <v>0</v>
      </c>
      <c r="I81" s="66">
        <f t="shared" si="4"/>
        <v>4142677</v>
      </c>
      <c r="K81" s="473"/>
    </row>
    <row r="82" spans="1:22" s="343" customFormat="1" x14ac:dyDescent="0.3">
      <c r="A82" s="63"/>
      <c r="B82" s="63"/>
      <c r="C82" s="63"/>
      <c r="D82" s="46"/>
      <c r="E82" s="46"/>
      <c r="F82" s="46"/>
      <c r="G82" s="46"/>
      <c r="H82" s="46"/>
    </row>
    <row r="83" spans="1:22" s="170" customFormat="1" x14ac:dyDescent="0.3">
      <c r="A83" s="62" t="s">
        <v>18</v>
      </c>
      <c r="B83" s="62" t="s">
        <v>19</v>
      </c>
      <c r="C83" s="62" t="s">
        <v>0</v>
      </c>
      <c r="D83" s="300" t="s">
        <v>11</v>
      </c>
      <c r="E83" s="62" t="s">
        <v>9</v>
      </c>
      <c r="F83" s="286" t="s">
        <v>10</v>
      </c>
      <c r="G83" s="385" t="s">
        <v>158</v>
      </c>
      <c r="H83" s="385"/>
      <c r="I83" s="356" t="s">
        <v>97</v>
      </c>
    </row>
    <row r="84" spans="1:22" s="170" customFormat="1" x14ac:dyDescent="0.3">
      <c r="A84" s="50">
        <v>2021</v>
      </c>
      <c r="B84" s="51" t="s">
        <v>20</v>
      </c>
      <c r="C84" s="51" t="s">
        <v>8</v>
      </c>
      <c r="D84" s="332">
        <f>E84+F84</f>
        <v>79305659</v>
      </c>
      <c r="E84" s="52">
        <v>79305659</v>
      </c>
      <c r="F84" s="99"/>
      <c r="G84" s="99">
        <v>5330063</v>
      </c>
      <c r="H84" s="99"/>
      <c r="I84" s="357">
        <v>96678</v>
      </c>
      <c r="K84" s="473"/>
      <c r="L84" s="171"/>
      <c r="M84" s="171"/>
      <c r="N84" s="171"/>
      <c r="O84" s="171"/>
      <c r="P84" s="171"/>
      <c r="Q84" s="171"/>
      <c r="R84" s="321"/>
      <c r="S84" s="171"/>
      <c r="T84" s="171"/>
      <c r="U84" s="171"/>
      <c r="V84" s="171"/>
    </row>
    <row r="85" spans="1:22" s="170" customFormat="1" x14ac:dyDescent="0.3">
      <c r="A85" s="54">
        <v>2021</v>
      </c>
      <c r="B85" s="55" t="s">
        <v>21</v>
      </c>
      <c r="C85" s="55" t="s">
        <v>8</v>
      </c>
      <c r="D85" s="332">
        <f t="shared" ref="D85:D91" si="5">E85+F85</f>
        <v>73638151</v>
      </c>
      <c r="E85" s="56">
        <v>73638151</v>
      </c>
      <c r="F85" s="68"/>
      <c r="G85" s="68">
        <v>4859933</v>
      </c>
      <c r="H85" s="68"/>
      <c r="I85" s="358">
        <v>89138</v>
      </c>
      <c r="K85" s="473"/>
      <c r="L85" s="321"/>
      <c r="M85" s="321"/>
      <c r="N85" s="321"/>
      <c r="O85" s="171"/>
      <c r="P85" s="171"/>
      <c r="Q85" s="171"/>
      <c r="R85" s="171"/>
      <c r="S85" s="171"/>
      <c r="T85" s="171"/>
      <c r="U85" s="321"/>
      <c r="V85" s="321"/>
    </row>
    <row r="86" spans="1:22" s="170" customFormat="1" x14ac:dyDescent="0.3">
      <c r="A86" s="54">
        <v>2021</v>
      </c>
      <c r="B86" s="55" t="s">
        <v>22</v>
      </c>
      <c r="C86" s="55" t="s">
        <v>8</v>
      </c>
      <c r="D86" s="332">
        <f t="shared" si="5"/>
        <v>68506713</v>
      </c>
      <c r="E86" s="56">
        <v>68506713</v>
      </c>
      <c r="F86" s="68"/>
      <c r="G86" s="68">
        <v>4598093</v>
      </c>
      <c r="H86" s="68"/>
      <c r="I86" s="358">
        <v>233074</v>
      </c>
      <c r="K86" s="473"/>
    </row>
    <row r="87" spans="1:22" s="170" customFormat="1" x14ac:dyDescent="0.3">
      <c r="A87" s="54">
        <v>2021</v>
      </c>
      <c r="B87" s="55" t="s">
        <v>23</v>
      </c>
      <c r="C87" s="55" t="s">
        <v>8</v>
      </c>
      <c r="D87" s="332">
        <f t="shared" si="5"/>
        <v>62000197</v>
      </c>
      <c r="E87" s="56">
        <v>62000197</v>
      </c>
      <c r="F87" s="68"/>
      <c r="G87" s="68">
        <v>4225326</v>
      </c>
      <c r="H87" s="68"/>
      <c r="I87" s="358">
        <v>385053</v>
      </c>
      <c r="K87" s="473"/>
    </row>
    <row r="88" spans="1:22" s="170" customFormat="1" x14ac:dyDescent="0.3">
      <c r="A88" s="54">
        <v>2021</v>
      </c>
      <c r="B88" s="55" t="s">
        <v>24</v>
      </c>
      <c r="C88" s="55" t="s">
        <v>8</v>
      </c>
      <c r="D88" s="332">
        <f t="shared" si="5"/>
        <v>54551403</v>
      </c>
      <c r="E88" s="56">
        <v>54377931</v>
      </c>
      <c r="F88" s="68">
        <v>173472</v>
      </c>
      <c r="G88" s="68">
        <v>3689047</v>
      </c>
      <c r="H88" s="68"/>
      <c r="I88" s="358">
        <v>424966</v>
      </c>
      <c r="K88" s="473"/>
    </row>
    <row r="89" spans="1:22" s="170" customFormat="1" x14ac:dyDescent="0.3">
      <c r="A89" s="54">
        <v>2021</v>
      </c>
      <c r="B89" s="55" t="s">
        <v>25</v>
      </c>
      <c r="C89" s="55" t="s">
        <v>8</v>
      </c>
      <c r="D89" s="332">
        <f t="shared" si="5"/>
        <v>78482065</v>
      </c>
      <c r="E89" s="56">
        <v>33503</v>
      </c>
      <c r="F89" s="68">
        <v>78448562</v>
      </c>
      <c r="G89" s="68">
        <v>4932320</v>
      </c>
      <c r="H89" s="68"/>
      <c r="I89" s="358">
        <v>552150</v>
      </c>
      <c r="K89" s="473"/>
    </row>
    <row r="90" spans="1:22" s="170" customFormat="1" x14ac:dyDescent="0.3">
      <c r="A90" s="54">
        <v>2021</v>
      </c>
      <c r="B90" s="55" t="s">
        <v>26</v>
      </c>
      <c r="C90" s="55" t="s">
        <v>8</v>
      </c>
      <c r="D90" s="332">
        <f t="shared" si="5"/>
        <v>93541196</v>
      </c>
      <c r="E90" s="56">
        <v>1936</v>
      </c>
      <c r="F90" s="68">
        <v>93539260</v>
      </c>
      <c r="G90" s="68">
        <v>5923876</v>
      </c>
      <c r="H90" s="68"/>
      <c r="I90" s="358">
        <v>585914</v>
      </c>
      <c r="K90" s="473"/>
    </row>
    <row r="91" spans="1:22" s="170" customFormat="1" x14ac:dyDescent="0.3">
      <c r="A91" s="54">
        <v>2021</v>
      </c>
      <c r="B91" s="55" t="s">
        <v>27</v>
      </c>
      <c r="C91" s="55" t="s">
        <v>8</v>
      </c>
      <c r="D91" s="332">
        <f t="shared" si="5"/>
        <v>93773323</v>
      </c>
      <c r="E91" s="56"/>
      <c r="F91" s="68">
        <v>93773323</v>
      </c>
      <c r="G91" s="68">
        <v>5887724</v>
      </c>
      <c r="H91" s="68"/>
      <c r="I91" s="358">
        <v>535679</v>
      </c>
      <c r="K91" s="473"/>
    </row>
    <row r="92" spans="1:22" s="170" customFormat="1" x14ac:dyDescent="0.3">
      <c r="A92" s="54">
        <v>2021</v>
      </c>
      <c r="B92" s="55" t="s">
        <v>28</v>
      </c>
      <c r="C92" s="55" t="s">
        <v>8</v>
      </c>
      <c r="D92" s="332">
        <v>87072648</v>
      </c>
      <c r="E92" s="68"/>
      <c r="F92" s="68"/>
      <c r="G92" s="68">
        <v>5629351</v>
      </c>
      <c r="H92" s="68"/>
      <c r="I92" s="358">
        <v>499534</v>
      </c>
      <c r="K92" s="473"/>
    </row>
    <row r="93" spans="1:22" s="170" customFormat="1" x14ac:dyDescent="0.3">
      <c r="A93" s="54">
        <v>2021</v>
      </c>
      <c r="B93" s="55" t="s">
        <v>29</v>
      </c>
      <c r="C93" s="55" t="s">
        <v>8</v>
      </c>
      <c r="D93" s="332">
        <v>64069231</v>
      </c>
      <c r="E93" s="56"/>
      <c r="F93" s="68"/>
      <c r="G93" s="68">
        <v>4265970</v>
      </c>
      <c r="H93" s="68"/>
      <c r="I93" s="358">
        <v>364261</v>
      </c>
      <c r="K93" s="473"/>
    </row>
    <row r="94" spans="1:22" s="170" customFormat="1" x14ac:dyDescent="0.3">
      <c r="A94" s="54">
        <v>2021</v>
      </c>
      <c r="B94" s="55" t="s">
        <v>30</v>
      </c>
      <c r="C94" s="55" t="s">
        <v>8</v>
      </c>
      <c r="D94" s="332">
        <v>58686552</v>
      </c>
      <c r="E94" s="56"/>
      <c r="F94" s="68"/>
      <c r="G94" s="68">
        <v>4059980</v>
      </c>
      <c r="H94" s="68"/>
      <c r="I94" s="358">
        <v>233677</v>
      </c>
      <c r="K94" s="473"/>
    </row>
    <row r="95" spans="1:22" s="170" customFormat="1" x14ac:dyDescent="0.3">
      <c r="A95" s="58">
        <v>2021</v>
      </c>
      <c r="B95" s="59" t="s">
        <v>31</v>
      </c>
      <c r="C95" s="59" t="s">
        <v>8</v>
      </c>
      <c r="D95" s="333">
        <v>71288978</v>
      </c>
      <c r="E95" s="60"/>
      <c r="F95" s="102"/>
      <c r="G95" s="102">
        <v>4707326</v>
      </c>
      <c r="H95" s="102"/>
      <c r="I95" s="359">
        <v>160663</v>
      </c>
      <c r="K95" s="473"/>
    </row>
    <row r="96" spans="1:22" s="170" customFormat="1" x14ac:dyDescent="0.3">
      <c r="A96" s="540" t="s">
        <v>81</v>
      </c>
      <c r="B96" s="541"/>
      <c r="C96" s="541"/>
      <c r="D96" s="66">
        <f t="shared" ref="D96:I96" si="6">SUM(D84:D95)</f>
        <v>884916116</v>
      </c>
      <c r="E96" s="66">
        <f t="shared" si="6"/>
        <v>337864090</v>
      </c>
      <c r="F96" s="66">
        <f t="shared" si="6"/>
        <v>265934617</v>
      </c>
      <c r="G96" s="66">
        <f t="shared" si="6"/>
        <v>58109009</v>
      </c>
      <c r="H96" s="66">
        <f t="shared" si="6"/>
        <v>0</v>
      </c>
      <c r="I96" s="66">
        <f t="shared" si="6"/>
        <v>4160787</v>
      </c>
      <c r="K96" s="473"/>
    </row>
    <row r="97" spans="1:30" s="170" customFormat="1" x14ac:dyDescent="0.3">
      <c r="A97" s="63"/>
      <c r="B97" s="63"/>
      <c r="C97" s="63"/>
      <c r="D97" s="46"/>
      <c r="E97" s="46"/>
      <c r="F97" s="46"/>
      <c r="G97" s="46"/>
      <c r="H97" s="46"/>
    </row>
    <row r="98" spans="1:30" s="321" customFormat="1" x14ac:dyDescent="0.3">
      <c r="A98" s="62" t="s">
        <v>18</v>
      </c>
      <c r="B98" s="62" t="s">
        <v>19</v>
      </c>
      <c r="C98" s="62" t="s">
        <v>0</v>
      </c>
      <c r="D98" s="300" t="s">
        <v>11</v>
      </c>
      <c r="E98" s="62" t="s">
        <v>9</v>
      </c>
      <c r="F98" s="286" t="s">
        <v>10</v>
      </c>
      <c r="G98" s="385" t="s">
        <v>158</v>
      </c>
      <c r="H98" s="385"/>
      <c r="I98" s="356" t="s">
        <v>97</v>
      </c>
    </row>
    <row r="99" spans="1:30" s="321" customFormat="1" x14ac:dyDescent="0.3">
      <c r="A99" s="50">
        <v>2020</v>
      </c>
      <c r="B99" s="51" t="s">
        <v>20</v>
      </c>
      <c r="C99" s="51" t="s">
        <v>8</v>
      </c>
      <c r="D99" s="332">
        <f>E99+F99</f>
        <v>72395062</v>
      </c>
      <c r="E99" s="52">
        <v>72395062</v>
      </c>
      <c r="F99" s="99"/>
      <c r="G99" s="99">
        <v>4690651</v>
      </c>
      <c r="H99" s="99"/>
      <c r="I99" s="357">
        <v>21146</v>
      </c>
      <c r="K99" s="473"/>
      <c r="O99" s="327"/>
      <c r="P99" s="327"/>
      <c r="Q99" s="327"/>
      <c r="R99" s="327"/>
      <c r="S99" s="327"/>
      <c r="T99" s="327"/>
      <c r="U99" s="327"/>
      <c r="V99" s="327"/>
      <c r="W99" s="327"/>
      <c r="X99" s="327"/>
      <c r="Y99" s="327"/>
      <c r="Z99" s="327"/>
      <c r="AA99" s="327"/>
      <c r="AB99" s="327"/>
      <c r="AC99" s="327"/>
      <c r="AD99" s="327"/>
    </row>
    <row r="100" spans="1:30" s="321" customFormat="1" x14ac:dyDescent="0.3">
      <c r="A100" s="54">
        <v>2020</v>
      </c>
      <c r="B100" s="55" t="s">
        <v>21</v>
      </c>
      <c r="C100" s="55" t="s">
        <v>8</v>
      </c>
      <c r="D100" s="332">
        <f t="shared" ref="D100:D110" si="7">E100+F100</f>
        <v>67938051</v>
      </c>
      <c r="E100" s="56">
        <v>67938051</v>
      </c>
      <c r="F100" s="68"/>
      <c r="G100" s="68">
        <v>4396992</v>
      </c>
      <c r="H100" s="68"/>
      <c r="I100" s="358">
        <v>8168</v>
      </c>
      <c r="K100" s="473"/>
    </row>
    <row r="101" spans="1:30" s="321" customFormat="1" x14ac:dyDescent="0.3">
      <c r="A101" s="54">
        <v>2020</v>
      </c>
      <c r="B101" s="55" t="s">
        <v>22</v>
      </c>
      <c r="C101" s="55" t="s">
        <v>8</v>
      </c>
      <c r="D101" s="332">
        <f t="shared" si="7"/>
        <v>61400999</v>
      </c>
      <c r="E101" s="56">
        <v>61400999</v>
      </c>
      <c r="F101" s="68"/>
      <c r="G101" s="68">
        <v>3998520</v>
      </c>
      <c r="H101" s="68"/>
      <c r="I101" s="358">
        <v>33942</v>
      </c>
      <c r="K101" s="473"/>
    </row>
    <row r="102" spans="1:30" s="321" customFormat="1" x14ac:dyDescent="0.3">
      <c r="A102" s="54">
        <v>2020</v>
      </c>
      <c r="B102" s="55" t="s">
        <v>23</v>
      </c>
      <c r="C102" s="55" t="s">
        <v>8</v>
      </c>
      <c r="D102" s="332">
        <f t="shared" si="7"/>
        <v>63287599</v>
      </c>
      <c r="E102" s="56">
        <v>63287599</v>
      </c>
      <c r="F102" s="68"/>
      <c r="G102" s="68">
        <v>4274354</v>
      </c>
      <c r="H102" s="68"/>
      <c r="I102" s="358">
        <v>57389</v>
      </c>
      <c r="K102" s="473"/>
    </row>
    <row r="103" spans="1:30" s="321" customFormat="1" x14ac:dyDescent="0.3">
      <c r="A103" s="54">
        <v>2020</v>
      </c>
      <c r="B103" s="55" t="s">
        <v>24</v>
      </c>
      <c r="C103" s="55" t="s">
        <v>8</v>
      </c>
      <c r="D103" s="332">
        <f t="shared" si="7"/>
        <v>56778192</v>
      </c>
      <c r="E103" s="56">
        <v>56663034</v>
      </c>
      <c r="F103" s="68">
        <v>115158</v>
      </c>
      <c r="G103" s="68">
        <v>3922585</v>
      </c>
      <c r="H103" s="68"/>
      <c r="I103" s="358">
        <v>73255</v>
      </c>
      <c r="K103" s="473"/>
    </row>
    <row r="104" spans="1:30" s="321" customFormat="1" x14ac:dyDescent="0.3">
      <c r="A104" s="54">
        <v>2020</v>
      </c>
      <c r="B104" s="55" t="s">
        <v>25</v>
      </c>
      <c r="C104" s="55" t="s">
        <v>8</v>
      </c>
      <c r="D104" s="332">
        <f t="shared" si="7"/>
        <v>73510319</v>
      </c>
      <c r="E104" s="56">
        <v>35424</v>
      </c>
      <c r="F104" s="68">
        <v>73474895</v>
      </c>
      <c r="G104" s="68">
        <v>4735341</v>
      </c>
      <c r="H104" s="68"/>
      <c r="I104" s="358">
        <v>78590</v>
      </c>
      <c r="K104" s="473"/>
    </row>
    <row r="105" spans="1:30" s="321" customFormat="1" x14ac:dyDescent="0.3">
      <c r="A105" s="54">
        <v>2020</v>
      </c>
      <c r="B105" s="55" t="s">
        <v>26</v>
      </c>
      <c r="C105" s="55" t="s">
        <v>8</v>
      </c>
      <c r="D105" s="332">
        <f t="shared" si="7"/>
        <v>103355503</v>
      </c>
      <c r="E105" s="56">
        <v>324</v>
      </c>
      <c r="F105" s="68">
        <v>103355179</v>
      </c>
      <c r="G105" s="68">
        <v>6406789</v>
      </c>
      <c r="H105" s="68"/>
      <c r="I105" s="358">
        <v>88032</v>
      </c>
      <c r="K105" s="473"/>
    </row>
    <row r="106" spans="1:30" s="321" customFormat="1" x14ac:dyDescent="0.3">
      <c r="A106" s="54">
        <v>2020</v>
      </c>
      <c r="B106" s="55" t="s">
        <v>27</v>
      </c>
      <c r="C106" s="55" t="s">
        <v>8</v>
      </c>
      <c r="D106" s="332">
        <f t="shared" si="7"/>
        <v>98514434</v>
      </c>
      <c r="E106" s="56">
        <v>1820</v>
      </c>
      <c r="F106" s="68">
        <v>98512614</v>
      </c>
      <c r="G106" s="68">
        <v>6263810</v>
      </c>
      <c r="H106" s="68"/>
      <c r="I106" s="358">
        <v>176687</v>
      </c>
      <c r="K106" s="473"/>
    </row>
    <row r="107" spans="1:30" s="321" customFormat="1" x14ac:dyDescent="0.3">
      <c r="A107" s="54">
        <v>2020</v>
      </c>
      <c r="B107" s="55" t="s">
        <v>28</v>
      </c>
      <c r="C107" s="55" t="s">
        <v>8</v>
      </c>
      <c r="D107" s="332">
        <f t="shared" si="7"/>
        <v>79481911</v>
      </c>
      <c r="E107" s="68">
        <v>53989</v>
      </c>
      <c r="F107" s="68">
        <v>79427922</v>
      </c>
      <c r="G107" s="68">
        <v>5145014</v>
      </c>
      <c r="H107" s="68"/>
      <c r="I107" s="358">
        <v>295836</v>
      </c>
      <c r="K107" s="473"/>
    </row>
    <row r="108" spans="1:30" s="321" customFormat="1" x14ac:dyDescent="0.3">
      <c r="A108" s="54">
        <v>2020</v>
      </c>
      <c r="B108" s="55" t="s">
        <v>29</v>
      </c>
      <c r="C108" s="55" t="s">
        <v>8</v>
      </c>
      <c r="D108" s="332">
        <f t="shared" si="7"/>
        <v>59208024</v>
      </c>
      <c r="E108" s="56">
        <v>59144118</v>
      </c>
      <c r="F108" s="68">
        <v>63906</v>
      </c>
      <c r="G108" s="68">
        <v>4050374</v>
      </c>
      <c r="H108" s="68"/>
      <c r="I108" s="358">
        <v>226893</v>
      </c>
      <c r="K108" s="473"/>
    </row>
    <row r="109" spans="1:30" s="321" customFormat="1" x14ac:dyDescent="0.3">
      <c r="A109" s="54">
        <v>2020</v>
      </c>
      <c r="B109" s="55" t="s">
        <v>30</v>
      </c>
      <c r="C109" s="55" t="s">
        <v>8</v>
      </c>
      <c r="D109" s="332">
        <f t="shared" si="7"/>
        <v>59509472</v>
      </c>
      <c r="E109" s="56">
        <v>59509472</v>
      </c>
      <c r="F109" s="68">
        <v>0</v>
      </c>
      <c r="G109" s="68">
        <v>4069127</v>
      </c>
      <c r="H109" s="68"/>
      <c r="I109" s="358">
        <v>192139</v>
      </c>
      <c r="K109" s="473"/>
    </row>
    <row r="110" spans="1:30" s="321" customFormat="1" x14ac:dyDescent="0.3">
      <c r="A110" s="58">
        <v>2020</v>
      </c>
      <c r="B110" s="59" t="s">
        <v>31</v>
      </c>
      <c r="C110" s="59" t="s">
        <v>8</v>
      </c>
      <c r="D110" s="333">
        <f t="shared" si="7"/>
        <v>72680073</v>
      </c>
      <c r="E110" s="60">
        <v>72679792</v>
      </c>
      <c r="F110" s="102">
        <v>281</v>
      </c>
      <c r="G110" s="102">
        <v>4794716</v>
      </c>
      <c r="H110" s="102"/>
      <c r="I110" s="359">
        <v>145042</v>
      </c>
      <c r="K110" s="473"/>
    </row>
    <row r="111" spans="1:30" s="274" customFormat="1" x14ac:dyDescent="0.3">
      <c r="A111" s="540" t="s">
        <v>81</v>
      </c>
      <c r="B111" s="541"/>
      <c r="C111" s="541"/>
      <c r="D111" s="66">
        <f t="shared" ref="D111:I111" si="8">SUM(D99:D110)</f>
        <v>868059639</v>
      </c>
      <c r="E111" s="66">
        <f t="shared" si="8"/>
        <v>513109684</v>
      </c>
      <c r="F111" s="66">
        <f t="shared" si="8"/>
        <v>354949955</v>
      </c>
      <c r="G111" s="66">
        <f t="shared" si="8"/>
        <v>56748273</v>
      </c>
      <c r="H111" s="66">
        <f t="shared" si="8"/>
        <v>0</v>
      </c>
      <c r="I111" s="66">
        <f t="shared" si="8"/>
        <v>1397119</v>
      </c>
      <c r="K111" s="473"/>
    </row>
    <row r="112" spans="1:30" s="274" customFormat="1" x14ac:dyDescent="0.3">
      <c r="A112" s="63"/>
      <c r="B112" s="63"/>
      <c r="C112" s="63"/>
      <c r="D112" s="46"/>
      <c r="E112" s="46"/>
      <c r="F112" s="46"/>
      <c r="G112" s="46"/>
      <c r="H112" s="46"/>
    </row>
    <row r="113" spans="1:9" x14ac:dyDescent="0.3">
      <c r="A113" s="475" t="s">
        <v>137</v>
      </c>
    </row>
    <row r="114" spans="1:9" x14ac:dyDescent="0.3">
      <c r="D114" s="67"/>
      <c r="E114" s="64"/>
      <c r="F114" s="64"/>
      <c r="G114" s="64"/>
      <c r="H114" s="64"/>
    </row>
    <row r="117" spans="1:9" x14ac:dyDescent="0.3">
      <c r="I117"/>
    </row>
  </sheetData>
  <mergeCells count="11">
    <mergeCell ref="A1:K1"/>
    <mergeCell ref="A2:K2"/>
    <mergeCell ref="A3:K3"/>
    <mergeCell ref="A4:K4"/>
    <mergeCell ref="A19:C19"/>
    <mergeCell ref="A34:C34"/>
    <mergeCell ref="A49:C49"/>
    <mergeCell ref="A65:C65"/>
    <mergeCell ref="A96:C96"/>
    <mergeCell ref="A111:C111"/>
    <mergeCell ref="A81:C81"/>
  </mergeCells>
  <printOptions horizontalCentered="1"/>
  <pageMargins left="0.25" right="0.25" top="0.5" bottom="0.75" header="0.3" footer="0.3"/>
  <pageSetup scale="65" orientation="portrait" r:id="rId1"/>
  <rowBreaks count="1" manualBreakCount="1">
    <brk id="67" max="10"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4F2A4-AAA7-4DFD-84DB-EBC60B8E95C9}">
  <sheetPr codeName="Sheet5">
    <pageSetUpPr fitToPage="1"/>
  </sheetPr>
  <dimension ref="A1:AB112"/>
  <sheetViews>
    <sheetView zoomScaleNormal="100" workbookViewId="0">
      <selection sqref="A1:K1"/>
    </sheetView>
  </sheetViews>
  <sheetFormatPr defaultColWidth="9.109375" defaultRowHeight="14.4" x14ac:dyDescent="0.3"/>
  <cols>
    <col min="1" max="1" width="9" style="63" customWidth="1"/>
    <col min="2" max="2" width="8.109375" style="63" customWidth="1"/>
    <col min="3" max="3" width="9.109375" style="46" customWidth="1"/>
    <col min="4" max="7" width="10.44140625" style="46" customWidth="1"/>
    <col min="8" max="8" width="11.109375" style="46" customWidth="1"/>
    <col min="9" max="9" width="10" style="46" bestFit="1" customWidth="1"/>
    <col min="10" max="10" width="9.44140625" style="46" bestFit="1" customWidth="1"/>
    <col min="11" max="11" width="10.88671875" style="46" customWidth="1"/>
    <col min="12" max="12" width="12" style="46" customWidth="1"/>
    <col min="13" max="13" width="9.5546875" style="46" bestFit="1" customWidth="1"/>
    <col min="14" max="14" width="11.88671875" style="46" customWidth="1"/>
    <col min="15" max="16" width="9.109375" style="46"/>
    <col min="17" max="17" width="3.44140625" style="46" customWidth="1"/>
    <col min="18" max="16384" width="9.109375" style="46"/>
  </cols>
  <sheetData>
    <row r="1" spans="1:27" ht="18" x14ac:dyDescent="0.35">
      <c r="A1" s="542" t="s">
        <v>122</v>
      </c>
      <c r="B1" s="542"/>
      <c r="C1" s="542"/>
      <c r="D1" s="542"/>
      <c r="E1" s="542"/>
      <c r="F1" s="542"/>
      <c r="G1" s="542"/>
      <c r="H1" s="542"/>
      <c r="I1" s="542"/>
      <c r="J1" s="542"/>
      <c r="K1" s="542"/>
    </row>
    <row r="2" spans="1:27" ht="18" x14ac:dyDescent="0.35">
      <c r="A2" s="542" t="s">
        <v>163</v>
      </c>
      <c r="B2" s="542"/>
      <c r="C2" s="542"/>
      <c r="D2" s="542"/>
      <c r="E2" s="542"/>
      <c r="F2" s="542"/>
      <c r="G2" s="542"/>
      <c r="H2" s="542"/>
      <c r="I2" s="542"/>
      <c r="J2" s="542"/>
      <c r="K2" s="542"/>
    </row>
    <row r="3" spans="1:27" ht="18" x14ac:dyDescent="0.35">
      <c r="A3" s="542" t="s">
        <v>166</v>
      </c>
      <c r="B3" s="542"/>
      <c r="C3" s="542"/>
      <c r="D3" s="542"/>
      <c r="E3" s="542"/>
      <c r="F3" s="542"/>
      <c r="G3" s="542"/>
      <c r="H3" s="542"/>
      <c r="I3" s="542"/>
      <c r="J3" s="542"/>
      <c r="K3" s="542"/>
    </row>
    <row r="4" spans="1:27" ht="18" x14ac:dyDescent="0.35">
      <c r="A4" s="542" t="s">
        <v>123</v>
      </c>
      <c r="B4" s="542"/>
      <c r="C4" s="542"/>
      <c r="D4" s="542"/>
      <c r="E4" s="542"/>
      <c r="F4" s="542"/>
      <c r="G4" s="542"/>
      <c r="H4" s="542"/>
      <c r="I4" s="542"/>
      <c r="J4" s="542"/>
      <c r="K4" s="542"/>
    </row>
    <row r="6" spans="1:27" ht="39" customHeight="1" x14ac:dyDescent="0.3">
      <c r="A6" s="96" t="s">
        <v>18</v>
      </c>
      <c r="B6" s="96" t="s">
        <v>19</v>
      </c>
      <c r="C6" s="97" t="s">
        <v>0</v>
      </c>
      <c r="D6" s="97" t="s">
        <v>11</v>
      </c>
      <c r="E6" s="97" t="s">
        <v>98</v>
      </c>
      <c r="F6" s="385" t="s">
        <v>158</v>
      </c>
      <c r="G6" s="385" t="s">
        <v>159</v>
      </c>
      <c r="H6" s="97" t="s">
        <v>79</v>
      </c>
      <c r="I6" s="97" t="s">
        <v>13</v>
      </c>
      <c r="J6" s="97" t="s">
        <v>14</v>
      </c>
      <c r="K6" s="159" t="s">
        <v>100</v>
      </c>
      <c r="L6" s="159" t="s">
        <v>101</v>
      </c>
      <c r="M6" s="159" t="s">
        <v>82</v>
      </c>
      <c r="N6" s="159" t="s">
        <v>83</v>
      </c>
      <c r="O6" s="159" t="s">
        <v>102</v>
      </c>
      <c r="P6" s="159" t="s">
        <v>103</v>
      </c>
    </row>
    <row r="7" spans="1:27" x14ac:dyDescent="0.3">
      <c r="A7" s="50">
        <v>2027</v>
      </c>
      <c r="B7" s="51" t="s">
        <v>20</v>
      </c>
      <c r="C7" s="98" t="s">
        <v>12</v>
      </c>
      <c r="D7" s="399">
        <v>810545.81680973526</v>
      </c>
      <c r="E7" s="399">
        <v>2939.7687447772701</v>
      </c>
      <c r="F7" s="399">
        <v>69330.456918966898</v>
      </c>
      <c r="G7" s="399">
        <v>20200.906048253601</v>
      </c>
      <c r="H7" s="334">
        <f>I7+J7</f>
        <v>258639.30595177933</v>
      </c>
      <c r="I7" s="180">
        <f>K7+M7+O7</f>
        <v>258532.40170531932</v>
      </c>
      <c r="J7" s="180">
        <f>L7+N7+P7</f>
        <v>106.90424645999383</v>
      </c>
      <c r="K7" s="399">
        <v>62070.85007730627</v>
      </c>
      <c r="L7" s="399">
        <v>25.666560210155463</v>
      </c>
      <c r="M7" s="399">
        <v>114310.76859426378</v>
      </c>
      <c r="N7" s="399">
        <v>47.267988454156942</v>
      </c>
      <c r="O7" s="399">
        <v>82150.783033749292</v>
      </c>
      <c r="P7" s="410">
        <v>33.969697795681434</v>
      </c>
      <c r="Q7" s="344"/>
      <c r="R7" s="344"/>
      <c r="S7" s="344"/>
      <c r="T7" s="344"/>
      <c r="U7" s="344"/>
      <c r="V7" s="344"/>
      <c r="W7" s="344"/>
      <c r="X7" s="344"/>
      <c r="Y7" s="344"/>
      <c r="Z7" s="344"/>
      <c r="AA7" s="344"/>
    </row>
    <row r="8" spans="1:27" x14ac:dyDescent="0.3">
      <c r="A8" s="54">
        <v>2027</v>
      </c>
      <c r="B8" s="55" t="s">
        <v>21</v>
      </c>
      <c r="C8" s="100" t="s">
        <v>12</v>
      </c>
      <c r="D8" s="399">
        <v>592768.1451914818</v>
      </c>
      <c r="E8" s="399">
        <v>5634.8622230783803</v>
      </c>
      <c r="F8" s="399">
        <v>63789.981552941703</v>
      </c>
      <c r="G8" s="399">
        <v>18586.5704834014</v>
      </c>
      <c r="H8" s="334">
        <f t="shared" ref="H8:H18" si="0">I8+J8</f>
        <v>188094.30597063643</v>
      </c>
      <c r="I8" s="180">
        <f t="shared" ref="I8:I18" si="1">K8+M8+O8</f>
        <v>188094.30597063643</v>
      </c>
      <c r="J8" s="180">
        <f t="shared" ref="J8:J18" si="2">L8+N8+P8</f>
        <v>0</v>
      </c>
      <c r="K8" s="399">
        <v>45156.975662329824</v>
      </c>
      <c r="L8" s="399">
        <v>0</v>
      </c>
      <c r="M8" s="399">
        <v>81683.831614326351</v>
      </c>
      <c r="N8" s="399">
        <v>0</v>
      </c>
      <c r="O8" s="399">
        <v>61253.49869398024</v>
      </c>
      <c r="P8" s="411">
        <v>0</v>
      </c>
    </row>
    <row r="9" spans="1:27" x14ac:dyDescent="0.3">
      <c r="A9" s="54">
        <v>2027</v>
      </c>
      <c r="B9" s="55" t="s">
        <v>22</v>
      </c>
      <c r="C9" s="100" t="s">
        <v>12</v>
      </c>
      <c r="D9" s="399">
        <v>570880.76012002525</v>
      </c>
      <c r="E9" s="399">
        <v>13403.0728370051</v>
      </c>
      <c r="F9" s="399">
        <v>45130.937163861701</v>
      </c>
      <c r="G9" s="399">
        <v>13149.8602783244</v>
      </c>
      <c r="H9" s="334">
        <f t="shared" si="0"/>
        <v>170408.88279766712</v>
      </c>
      <c r="I9" s="180">
        <f t="shared" si="1"/>
        <v>170408.88279766712</v>
      </c>
      <c r="J9" s="180">
        <f t="shared" si="2"/>
        <v>0</v>
      </c>
      <c r="K9" s="399">
        <v>40129.784258925727</v>
      </c>
      <c r="L9" s="399">
        <v>0</v>
      </c>
      <c r="M9" s="399">
        <v>71607.609776710975</v>
      </c>
      <c r="N9" s="399">
        <v>0</v>
      </c>
      <c r="O9" s="399">
        <v>58671.488762030407</v>
      </c>
      <c r="P9" s="411">
        <v>0</v>
      </c>
    </row>
    <row r="10" spans="1:27" x14ac:dyDescent="0.3">
      <c r="A10" s="54">
        <v>2027</v>
      </c>
      <c r="B10" s="55" t="s">
        <v>23</v>
      </c>
      <c r="C10" s="100" t="s">
        <v>12</v>
      </c>
      <c r="D10" s="399">
        <v>594002.92993747606</v>
      </c>
      <c r="E10" s="399">
        <v>13606.510699019</v>
      </c>
      <c r="F10" s="399">
        <v>43839.7861561639</v>
      </c>
      <c r="G10" s="399">
        <v>12773.655917936399</v>
      </c>
      <c r="H10" s="334">
        <f t="shared" si="0"/>
        <v>176052.52887939295</v>
      </c>
      <c r="I10" s="180">
        <f t="shared" si="1"/>
        <v>176052.52887939295</v>
      </c>
      <c r="J10" s="180">
        <f t="shared" si="2"/>
        <v>0</v>
      </c>
      <c r="K10" s="399">
        <v>43094.493554675442</v>
      </c>
      <c r="L10" s="399">
        <v>0</v>
      </c>
      <c r="M10" s="399">
        <v>73885.085186165481</v>
      </c>
      <c r="N10" s="399">
        <v>0</v>
      </c>
      <c r="O10" s="399">
        <v>59072.950138552034</v>
      </c>
      <c r="P10" s="411">
        <v>0</v>
      </c>
    </row>
    <row r="11" spans="1:27" x14ac:dyDescent="0.3">
      <c r="A11" s="54">
        <v>2027</v>
      </c>
      <c r="B11" s="55" t="s">
        <v>24</v>
      </c>
      <c r="C11" s="100" t="s">
        <v>12</v>
      </c>
      <c r="D11" s="399">
        <v>556887.2445192372</v>
      </c>
      <c r="E11" s="399">
        <v>14371.6936484856</v>
      </c>
      <c r="F11" s="399">
        <v>41311.556859170203</v>
      </c>
      <c r="G11" s="399">
        <v>12037.002435950701</v>
      </c>
      <c r="H11" s="334">
        <f t="shared" si="0"/>
        <v>168095.20084956737</v>
      </c>
      <c r="I11" s="180">
        <f t="shared" si="1"/>
        <v>164263.24661926707</v>
      </c>
      <c r="J11" s="180">
        <f t="shared" si="2"/>
        <v>3831.9542303002936</v>
      </c>
      <c r="K11" s="399">
        <v>39717.314824509245</v>
      </c>
      <c r="L11" s="399">
        <v>926.53064937105171</v>
      </c>
      <c r="M11" s="399">
        <v>69791.856235562213</v>
      </c>
      <c r="N11" s="399">
        <v>1628.1134352728882</v>
      </c>
      <c r="O11" s="399">
        <v>54754.075559195619</v>
      </c>
      <c r="P11" s="411">
        <v>1277.3101456563536</v>
      </c>
    </row>
    <row r="12" spans="1:27" x14ac:dyDescent="0.3">
      <c r="A12" s="54">
        <v>2027</v>
      </c>
      <c r="B12" s="55" t="s">
        <v>25</v>
      </c>
      <c r="C12" s="100" t="s">
        <v>12</v>
      </c>
      <c r="D12" s="399">
        <v>664839.95520444564</v>
      </c>
      <c r="E12" s="399">
        <v>19626.255363745298</v>
      </c>
      <c r="F12" s="399">
        <v>41924.161193261803</v>
      </c>
      <c r="G12" s="399">
        <v>12215.497763223701</v>
      </c>
      <c r="H12" s="334">
        <f t="shared" si="0"/>
        <v>207310.47673653637</v>
      </c>
      <c r="I12" s="180">
        <f t="shared" si="1"/>
        <v>0</v>
      </c>
      <c r="J12" s="180">
        <f t="shared" si="2"/>
        <v>207310.47673653637</v>
      </c>
      <c r="K12" s="399">
        <v>0</v>
      </c>
      <c r="L12" s="399">
        <v>47638.965382318907</v>
      </c>
      <c r="M12" s="399">
        <v>0</v>
      </c>
      <c r="N12" s="399">
        <v>91901.446978569409</v>
      </c>
      <c r="O12" s="399">
        <v>0</v>
      </c>
      <c r="P12" s="411">
        <v>67770.064375648057</v>
      </c>
    </row>
    <row r="13" spans="1:27" x14ac:dyDescent="0.3">
      <c r="A13" s="54">
        <v>2027</v>
      </c>
      <c r="B13" s="55" t="s">
        <v>26</v>
      </c>
      <c r="C13" s="100" t="s">
        <v>12</v>
      </c>
      <c r="D13" s="399">
        <v>907791.97457553912</v>
      </c>
      <c r="E13" s="399">
        <v>20209.077346812101</v>
      </c>
      <c r="F13" s="399">
        <v>57576.894323866502</v>
      </c>
      <c r="G13" s="399">
        <v>16776.2551189599</v>
      </c>
      <c r="H13" s="334">
        <f t="shared" si="0"/>
        <v>299960.20651342993</v>
      </c>
      <c r="I13" s="180">
        <f t="shared" si="1"/>
        <v>0</v>
      </c>
      <c r="J13" s="180">
        <f t="shared" si="2"/>
        <v>299960.20651342993</v>
      </c>
      <c r="K13" s="399">
        <v>0</v>
      </c>
      <c r="L13" s="399">
        <v>68368.561469617052</v>
      </c>
      <c r="M13" s="399">
        <v>0</v>
      </c>
      <c r="N13" s="399">
        <v>136368.51569837247</v>
      </c>
      <c r="O13" s="399">
        <v>0</v>
      </c>
      <c r="P13" s="411">
        <v>95223.129345440437</v>
      </c>
    </row>
    <row r="14" spans="1:27" x14ac:dyDescent="0.3">
      <c r="A14" s="54">
        <v>2027</v>
      </c>
      <c r="B14" s="55" t="s">
        <v>27</v>
      </c>
      <c r="C14" s="100" t="s">
        <v>12</v>
      </c>
      <c r="D14" s="399">
        <v>918954.59498304664</v>
      </c>
      <c r="E14" s="399">
        <v>17554.304886207399</v>
      </c>
      <c r="F14" s="399">
        <v>56298.931784071603</v>
      </c>
      <c r="G14" s="399">
        <v>16403.893499740301</v>
      </c>
      <c r="H14" s="334">
        <f t="shared" si="0"/>
        <v>310124.42439118045</v>
      </c>
      <c r="I14" s="180">
        <f t="shared" si="1"/>
        <v>0</v>
      </c>
      <c r="J14" s="180">
        <f t="shared" si="2"/>
        <v>310124.42439118045</v>
      </c>
      <c r="K14" s="399">
        <v>0</v>
      </c>
      <c r="L14" s="399">
        <v>69771.653749547258</v>
      </c>
      <c r="M14" s="399">
        <v>0</v>
      </c>
      <c r="N14" s="399">
        <v>141090.47441735788</v>
      </c>
      <c r="O14" s="399">
        <v>0</v>
      </c>
      <c r="P14" s="411">
        <v>99262.296224275327</v>
      </c>
    </row>
    <row r="15" spans="1:27" x14ac:dyDescent="0.3">
      <c r="A15" s="54">
        <v>2027</v>
      </c>
      <c r="B15" s="55" t="s">
        <v>28</v>
      </c>
      <c r="C15" s="100" t="s">
        <v>12</v>
      </c>
      <c r="D15" s="399">
        <v>688923.12648096855</v>
      </c>
      <c r="E15" s="399">
        <v>17462.6662096246</v>
      </c>
      <c r="F15" s="399">
        <v>49248.376843159698</v>
      </c>
      <c r="G15" s="399">
        <v>14349.5640711043</v>
      </c>
      <c r="H15" s="334">
        <f t="shared" si="0"/>
        <v>222709.42717217756</v>
      </c>
      <c r="I15" s="180">
        <f t="shared" si="1"/>
        <v>0</v>
      </c>
      <c r="J15" s="180">
        <f t="shared" si="2"/>
        <v>222709.42717217756</v>
      </c>
      <c r="K15" s="399">
        <v>0</v>
      </c>
      <c r="L15" s="399">
        <v>50692.028198289227</v>
      </c>
      <c r="M15" s="399">
        <v>0</v>
      </c>
      <c r="N15" s="399">
        <v>100927.79602700999</v>
      </c>
      <c r="O15" s="399">
        <v>0</v>
      </c>
      <c r="P15" s="411">
        <v>71089.602946878353</v>
      </c>
    </row>
    <row r="16" spans="1:27" x14ac:dyDescent="0.3">
      <c r="A16" s="54">
        <v>2027</v>
      </c>
      <c r="B16" s="55" t="s">
        <v>29</v>
      </c>
      <c r="C16" s="100" t="s">
        <v>12</v>
      </c>
      <c r="D16" s="399">
        <v>564558.29518336861</v>
      </c>
      <c r="E16" s="399">
        <v>9322.4025687715603</v>
      </c>
      <c r="F16" s="399">
        <v>45773.8749741301</v>
      </c>
      <c r="G16" s="399">
        <v>13337.193910284799</v>
      </c>
      <c r="H16" s="334">
        <f t="shared" si="0"/>
        <v>177784.62373944389</v>
      </c>
      <c r="I16" s="180">
        <f t="shared" si="1"/>
        <v>176292.71443856368</v>
      </c>
      <c r="J16" s="180">
        <f t="shared" si="2"/>
        <v>1491.9093008802295</v>
      </c>
      <c r="K16" s="399">
        <v>41178.844937355563</v>
      </c>
      <c r="L16" s="399">
        <v>348.48349778490166</v>
      </c>
      <c r="M16" s="399">
        <v>77681.098730061916</v>
      </c>
      <c r="N16" s="399">
        <v>657.3904886940885</v>
      </c>
      <c r="O16" s="399">
        <v>57432.770771146184</v>
      </c>
      <c r="P16" s="411">
        <v>486.03531440123919</v>
      </c>
    </row>
    <row r="17" spans="1:27" x14ac:dyDescent="0.3">
      <c r="A17" s="54">
        <v>2027</v>
      </c>
      <c r="B17" s="55" t="s">
        <v>30</v>
      </c>
      <c r="C17" s="100" t="s">
        <v>12</v>
      </c>
      <c r="D17" s="399">
        <v>532516.66536210803</v>
      </c>
      <c r="E17" s="399">
        <v>7173.47560290414</v>
      </c>
      <c r="F17" s="399">
        <v>48457.728192378403</v>
      </c>
      <c r="G17" s="399">
        <v>14119.1917380577</v>
      </c>
      <c r="H17" s="334">
        <f t="shared" si="0"/>
        <v>166852.67098233415</v>
      </c>
      <c r="I17" s="180">
        <f t="shared" si="1"/>
        <v>166279.92138040875</v>
      </c>
      <c r="J17" s="180">
        <f t="shared" si="2"/>
        <v>572.74960192541005</v>
      </c>
      <c r="K17" s="399">
        <v>39121.261837011662</v>
      </c>
      <c r="L17" s="399">
        <v>134.75281295513133</v>
      </c>
      <c r="M17" s="399">
        <v>71735.476200054385</v>
      </c>
      <c r="N17" s="399">
        <v>247.09216300093655</v>
      </c>
      <c r="O17" s="399">
        <v>55423.183343342716</v>
      </c>
      <c r="P17" s="411">
        <v>190.90462596934222</v>
      </c>
    </row>
    <row r="18" spans="1:27" x14ac:dyDescent="0.3">
      <c r="A18" s="58">
        <v>2027</v>
      </c>
      <c r="B18" s="59" t="s">
        <v>31</v>
      </c>
      <c r="C18" s="101" t="s">
        <v>12</v>
      </c>
      <c r="D18" s="412">
        <v>703381.15473079553</v>
      </c>
      <c r="E18" s="412">
        <v>5786.9824262058801</v>
      </c>
      <c r="F18" s="412">
        <v>57539.307190343097</v>
      </c>
      <c r="G18" s="412">
        <v>16765.303306630001</v>
      </c>
      <c r="H18" s="335">
        <f t="shared" si="0"/>
        <v>218553.57724888271</v>
      </c>
      <c r="I18" s="179">
        <f t="shared" si="1"/>
        <v>218553.57724888271</v>
      </c>
      <c r="J18" s="179">
        <f t="shared" si="2"/>
        <v>0</v>
      </c>
      <c r="K18" s="412">
        <v>50165.262172843584</v>
      </c>
      <c r="L18" s="412">
        <v>0</v>
      </c>
      <c r="M18" s="412">
        <v>96450.007475947015</v>
      </c>
      <c r="N18" s="412">
        <v>0</v>
      </c>
      <c r="O18" s="412">
        <v>71938.307600092114</v>
      </c>
      <c r="P18" s="413">
        <v>0</v>
      </c>
    </row>
    <row r="19" spans="1:27" ht="14.4" customHeight="1" x14ac:dyDescent="0.3">
      <c r="A19" s="540" t="s">
        <v>85</v>
      </c>
      <c r="B19" s="541"/>
      <c r="C19" s="541"/>
      <c r="D19" s="166">
        <f t="shared" ref="D19:N19" si="3">SUM(D7:D18)</f>
        <v>8106050.66309823</v>
      </c>
      <c r="E19" s="166">
        <f t="shared" si="3"/>
        <v>147091.0725566363</v>
      </c>
      <c r="F19" s="166">
        <f t="shared" si="3"/>
        <v>620221.9931523155</v>
      </c>
      <c r="G19" s="166">
        <f t="shared" si="3"/>
        <v>180714.89457186722</v>
      </c>
      <c r="H19" s="166">
        <f t="shared" si="3"/>
        <v>2564585.6312330281</v>
      </c>
      <c r="I19" s="166">
        <f t="shared" si="3"/>
        <v>1518477.5790401381</v>
      </c>
      <c r="J19" s="166">
        <f t="shared" si="3"/>
        <v>1046108.0521928903</v>
      </c>
      <c r="K19" s="166">
        <f t="shared" si="3"/>
        <v>360634.78732495732</v>
      </c>
      <c r="L19" s="166">
        <f t="shared" si="3"/>
        <v>237906.64232009367</v>
      </c>
      <c r="M19" s="166">
        <f t="shared" si="3"/>
        <v>657145.73381309211</v>
      </c>
      <c r="N19" s="68">
        <f t="shared" si="3"/>
        <v>472868.09719673183</v>
      </c>
      <c r="O19" s="166">
        <f>SUM(O7:O18)</f>
        <v>500697.05790208862</v>
      </c>
      <c r="P19" s="166">
        <f>SUM(P7:P18)</f>
        <v>335333.31267606484</v>
      </c>
    </row>
    <row r="20" spans="1:27" x14ac:dyDescent="0.3">
      <c r="A20" s="344"/>
      <c r="B20" s="344"/>
      <c r="C20" s="344"/>
      <c r="D20" s="344"/>
      <c r="E20" s="344"/>
      <c r="F20" s="365"/>
      <c r="G20" s="365"/>
      <c r="H20" s="344"/>
      <c r="I20" s="344"/>
      <c r="J20" s="344"/>
      <c r="K20" s="344"/>
      <c r="L20" s="344"/>
      <c r="M20" s="344"/>
      <c r="N20" s="344"/>
      <c r="O20" s="344"/>
    </row>
    <row r="21" spans="1:27" ht="39" customHeight="1" x14ac:dyDescent="0.3">
      <c r="A21" s="96" t="s">
        <v>18</v>
      </c>
      <c r="B21" s="96" t="s">
        <v>19</v>
      </c>
      <c r="C21" s="97" t="s">
        <v>0</v>
      </c>
      <c r="D21" s="97" t="s">
        <v>11</v>
      </c>
      <c r="E21" s="97" t="s">
        <v>98</v>
      </c>
      <c r="F21" s="385" t="s">
        <v>158</v>
      </c>
      <c r="G21" s="385" t="s">
        <v>159</v>
      </c>
      <c r="H21" s="97" t="s">
        <v>79</v>
      </c>
      <c r="I21" s="97" t="s">
        <v>13</v>
      </c>
      <c r="J21" s="97" t="s">
        <v>14</v>
      </c>
      <c r="K21" s="159" t="s">
        <v>100</v>
      </c>
      <c r="L21" s="159" t="s">
        <v>101</v>
      </c>
      <c r="M21" s="159" t="s">
        <v>82</v>
      </c>
      <c r="N21" s="159" t="s">
        <v>83</v>
      </c>
      <c r="O21" s="159" t="s">
        <v>102</v>
      </c>
      <c r="P21" s="159" t="s">
        <v>103</v>
      </c>
    </row>
    <row r="22" spans="1:27" x14ac:dyDescent="0.3">
      <c r="A22" s="50">
        <v>2026</v>
      </c>
      <c r="B22" s="51" t="s">
        <v>20</v>
      </c>
      <c r="C22" s="98" t="s">
        <v>12</v>
      </c>
      <c r="D22" s="399">
        <v>860771.3824363132</v>
      </c>
      <c r="E22" s="399">
        <v>2954.5414520374602</v>
      </c>
      <c r="F22" s="399">
        <v>68499.5961174361</v>
      </c>
      <c r="G22" s="399">
        <v>19958.817048169301</v>
      </c>
      <c r="H22" s="334">
        <f>I22+J22</f>
        <v>274757.15945876815</v>
      </c>
      <c r="I22" s="180">
        <f>K22+M22+O22</f>
        <v>274643.59316619195</v>
      </c>
      <c r="J22" s="180">
        <f>L22+N22+P22</f>
        <v>113.56629257621123</v>
      </c>
      <c r="K22" s="399">
        <v>65968.128311656925</v>
      </c>
      <c r="L22" s="399">
        <v>27.278101317343577</v>
      </c>
      <c r="M22" s="399">
        <v>121434.1990140564</v>
      </c>
      <c r="N22" s="399">
        <v>50.21355719608249</v>
      </c>
      <c r="O22" s="399">
        <v>87241.26584047862</v>
      </c>
      <c r="P22" s="410">
        <v>36.074634062785158</v>
      </c>
      <c r="Q22" s="303"/>
      <c r="R22" s="303"/>
      <c r="S22" s="303"/>
      <c r="T22" s="303"/>
      <c r="U22" s="303"/>
      <c r="V22" s="303"/>
      <c r="W22" s="303"/>
      <c r="X22" s="303"/>
      <c r="Y22" s="303"/>
      <c r="Z22" s="303"/>
      <c r="AA22" s="303"/>
    </row>
    <row r="23" spans="1:27" x14ac:dyDescent="0.3">
      <c r="A23" s="54">
        <v>2026</v>
      </c>
      <c r="B23" s="55" t="s">
        <v>21</v>
      </c>
      <c r="C23" s="100" t="s">
        <v>12</v>
      </c>
      <c r="D23" s="399">
        <v>630085.20204857842</v>
      </c>
      <c r="E23" s="399">
        <v>5663.1781136466097</v>
      </c>
      <c r="F23" s="399">
        <v>63025.5181762664</v>
      </c>
      <c r="G23" s="399">
        <v>18363.827787971099</v>
      </c>
      <c r="H23" s="334">
        <f t="shared" ref="H23:H33" si="4">I23+J23</f>
        <v>200092.48296673267</v>
      </c>
      <c r="I23" s="180">
        <f t="shared" ref="I23:I33" si="5">K23+M23+O23</f>
        <v>200092.48296673267</v>
      </c>
      <c r="J23" s="180">
        <f t="shared" ref="J23:J33" si="6">L23+N23+P23</f>
        <v>0</v>
      </c>
      <c r="K23" s="399">
        <v>48083.837310230447</v>
      </c>
      <c r="L23" s="399">
        <v>0</v>
      </c>
      <c r="M23" s="399">
        <v>86899.001331212829</v>
      </c>
      <c r="N23" s="399">
        <v>0</v>
      </c>
      <c r="O23" s="399">
        <v>65109.644325289381</v>
      </c>
      <c r="P23" s="411">
        <v>0</v>
      </c>
      <c r="R23" s="344"/>
    </row>
    <row r="24" spans="1:27" x14ac:dyDescent="0.3">
      <c r="A24" s="54">
        <v>2026</v>
      </c>
      <c r="B24" s="55" t="s">
        <v>22</v>
      </c>
      <c r="C24" s="100" t="s">
        <v>12</v>
      </c>
      <c r="D24" s="399">
        <v>607082.70822002715</v>
      </c>
      <c r="E24" s="399">
        <v>13470.4249618142</v>
      </c>
      <c r="F24" s="399">
        <v>44590.0850147171</v>
      </c>
      <c r="G24" s="399">
        <v>12992.271479167401</v>
      </c>
      <c r="H24" s="334">
        <f t="shared" si="4"/>
        <v>181724.14495999066</v>
      </c>
      <c r="I24" s="180">
        <f t="shared" si="5"/>
        <v>181724.14495999066</v>
      </c>
      <c r="J24" s="180">
        <f t="shared" si="6"/>
        <v>0</v>
      </c>
      <c r="K24" s="399">
        <v>42893.431261430065</v>
      </c>
      <c r="L24" s="399">
        <v>0</v>
      </c>
      <c r="M24" s="399">
        <v>76432.71811474915</v>
      </c>
      <c r="N24" s="399">
        <v>0</v>
      </c>
      <c r="O24" s="399">
        <v>62397.995583811447</v>
      </c>
      <c r="P24" s="411">
        <v>0</v>
      </c>
      <c r="R24" s="344"/>
    </row>
    <row r="25" spans="1:27" x14ac:dyDescent="0.3">
      <c r="A25" s="54">
        <v>2026</v>
      </c>
      <c r="B25" s="55" t="s">
        <v>23</v>
      </c>
      <c r="C25" s="100" t="s">
        <v>12</v>
      </c>
      <c r="D25" s="399">
        <v>630800.25304850563</v>
      </c>
      <c r="E25" s="399">
        <v>13674.8851246422</v>
      </c>
      <c r="F25" s="399">
        <v>43314.407246470197</v>
      </c>
      <c r="G25" s="399">
        <v>12620.575576826501</v>
      </c>
      <c r="H25" s="334">
        <f t="shared" si="4"/>
        <v>187425.61352364323</v>
      </c>
      <c r="I25" s="180">
        <f t="shared" si="5"/>
        <v>187425.61352364323</v>
      </c>
      <c r="J25" s="180">
        <f t="shared" si="6"/>
        <v>0</v>
      </c>
      <c r="K25" s="399">
        <v>45962.198914089749</v>
      </c>
      <c r="L25" s="399">
        <v>0</v>
      </c>
      <c r="M25" s="399">
        <v>78718.249182849773</v>
      </c>
      <c r="N25" s="399">
        <v>0</v>
      </c>
      <c r="O25" s="399">
        <v>62745.165426703708</v>
      </c>
      <c r="P25" s="411">
        <v>0</v>
      </c>
      <c r="R25" s="344"/>
    </row>
    <row r="26" spans="1:27" x14ac:dyDescent="0.3">
      <c r="A26" s="54">
        <v>2026</v>
      </c>
      <c r="B26" s="55" t="s">
        <v>24</v>
      </c>
      <c r="C26" s="100" t="s">
        <v>12</v>
      </c>
      <c r="D26" s="399">
        <v>591526.90028821724</v>
      </c>
      <c r="E26" s="399">
        <v>14443.913214558401</v>
      </c>
      <c r="F26" s="399">
        <v>40816.476417329002</v>
      </c>
      <c r="G26" s="399">
        <v>11892.750199107</v>
      </c>
      <c r="H26" s="334">
        <f t="shared" si="4"/>
        <v>179055.59295419155</v>
      </c>
      <c r="I26" s="180">
        <f t="shared" si="5"/>
        <v>174973.78197201021</v>
      </c>
      <c r="J26" s="180">
        <f t="shared" si="6"/>
        <v>4081.8109821813377</v>
      </c>
      <c r="K26" s="399">
        <v>42377.30525577689</v>
      </c>
      <c r="L26" s="399">
        <v>988.58324966623434</v>
      </c>
      <c r="M26" s="399">
        <v>74414.407799778623</v>
      </c>
      <c r="N26" s="399">
        <v>1735.9489151251578</v>
      </c>
      <c r="O26" s="399">
        <v>58182.068916454693</v>
      </c>
      <c r="P26" s="411">
        <v>1357.2788173899457</v>
      </c>
      <c r="R26" s="344"/>
    </row>
    <row r="27" spans="1:27" x14ac:dyDescent="0.3">
      <c r="A27" s="54">
        <v>2026</v>
      </c>
      <c r="B27" s="55" t="s">
        <v>25</v>
      </c>
      <c r="C27" s="100" t="s">
        <v>12</v>
      </c>
      <c r="D27" s="399">
        <v>705227.54205836996</v>
      </c>
      <c r="E27" s="399">
        <v>19724.879762558001</v>
      </c>
      <c r="F27" s="399">
        <v>41421.739260383903</v>
      </c>
      <c r="G27" s="399">
        <v>12069.10642652</v>
      </c>
      <c r="H27" s="334">
        <f t="shared" si="4"/>
        <v>220549.84580897249</v>
      </c>
      <c r="I27" s="180">
        <f t="shared" si="5"/>
        <v>0</v>
      </c>
      <c r="J27" s="180">
        <f t="shared" si="6"/>
        <v>220549.84580897249</v>
      </c>
      <c r="K27" s="399">
        <v>0</v>
      </c>
      <c r="L27" s="399">
        <v>50779.272947951373</v>
      </c>
      <c r="M27" s="399">
        <v>0</v>
      </c>
      <c r="N27" s="399">
        <v>97842.912205329019</v>
      </c>
      <c r="O27" s="399">
        <v>0</v>
      </c>
      <c r="P27" s="411">
        <v>71927.660655692103</v>
      </c>
      <c r="R27" s="344"/>
    </row>
    <row r="28" spans="1:27" x14ac:dyDescent="0.3">
      <c r="A28" s="54">
        <v>2026</v>
      </c>
      <c r="B28" s="55" t="s">
        <v>26</v>
      </c>
      <c r="C28" s="100" t="s">
        <v>12</v>
      </c>
      <c r="D28" s="399">
        <v>964783.02453716635</v>
      </c>
      <c r="E28" s="399">
        <v>20310.630499308601</v>
      </c>
      <c r="F28" s="399">
        <v>56886.888997297101</v>
      </c>
      <c r="G28" s="399">
        <v>16575.207363121299</v>
      </c>
      <c r="H28" s="334">
        <f t="shared" si="4"/>
        <v>319390.49402826338</v>
      </c>
      <c r="I28" s="180">
        <f t="shared" si="5"/>
        <v>0</v>
      </c>
      <c r="J28" s="180">
        <f t="shared" si="6"/>
        <v>319390.49402826338</v>
      </c>
      <c r="K28" s="399">
        <v>0</v>
      </c>
      <c r="L28" s="399">
        <v>72888.271619038453</v>
      </c>
      <c r="M28" s="399">
        <v>0</v>
      </c>
      <c r="N28" s="399">
        <v>145264.59454586884</v>
      </c>
      <c r="O28" s="399">
        <v>0</v>
      </c>
      <c r="P28" s="411">
        <v>101237.62786335612</v>
      </c>
      <c r="R28" s="344"/>
    </row>
    <row r="29" spans="1:27" x14ac:dyDescent="0.3">
      <c r="A29" s="54">
        <v>2026</v>
      </c>
      <c r="B29" s="55" t="s">
        <v>27</v>
      </c>
      <c r="C29" s="100" t="s">
        <v>12</v>
      </c>
      <c r="D29" s="399">
        <v>976388.63298416382</v>
      </c>
      <c r="E29" s="399">
        <v>17642.517473575299</v>
      </c>
      <c r="F29" s="399">
        <v>55624.241645477603</v>
      </c>
      <c r="G29" s="399">
        <v>16207.308150283399</v>
      </c>
      <c r="H29" s="334">
        <f t="shared" si="4"/>
        <v>330147.4264301603</v>
      </c>
      <c r="I29" s="180">
        <f t="shared" si="5"/>
        <v>0</v>
      </c>
      <c r="J29" s="180">
        <f t="shared" si="6"/>
        <v>330147.4264301603</v>
      </c>
      <c r="K29" s="399">
        <v>0</v>
      </c>
      <c r="L29" s="399">
        <v>74375.903813070414</v>
      </c>
      <c r="M29" s="399">
        <v>0</v>
      </c>
      <c r="N29" s="399">
        <v>150278.75667940729</v>
      </c>
      <c r="O29" s="399">
        <v>0</v>
      </c>
      <c r="P29" s="411">
        <v>105492.7659376826</v>
      </c>
      <c r="R29" s="344"/>
    </row>
    <row r="30" spans="1:27" x14ac:dyDescent="0.3">
      <c r="A30" s="54">
        <v>2026</v>
      </c>
      <c r="B30" s="55" t="s">
        <v>28</v>
      </c>
      <c r="C30" s="100" t="s">
        <v>12</v>
      </c>
      <c r="D30" s="399">
        <v>731782.01313155005</v>
      </c>
      <c r="E30" s="399">
        <v>17550.418301130201</v>
      </c>
      <c r="F30" s="399">
        <v>48658.181023365498</v>
      </c>
      <c r="G30" s="399">
        <v>14177.597941995</v>
      </c>
      <c r="H30" s="334">
        <f t="shared" si="4"/>
        <v>237035.87603609927</v>
      </c>
      <c r="I30" s="180">
        <f t="shared" si="5"/>
        <v>0</v>
      </c>
      <c r="J30" s="180">
        <f t="shared" si="6"/>
        <v>237035.87603609927</v>
      </c>
      <c r="K30" s="399">
        <v>0</v>
      </c>
      <c r="L30" s="399">
        <v>54038.149642508703</v>
      </c>
      <c r="M30" s="399">
        <v>0</v>
      </c>
      <c r="N30" s="399">
        <v>107478.63547909795</v>
      </c>
      <c r="O30" s="399">
        <v>0</v>
      </c>
      <c r="P30" s="411">
        <v>75519.090914492612</v>
      </c>
      <c r="R30" s="344"/>
    </row>
    <row r="31" spans="1:27" x14ac:dyDescent="0.3">
      <c r="A31" s="54">
        <v>2026</v>
      </c>
      <c r="B31" s="55" t="s">
        <v>29</v>
      </c>
      <c r="C31" s="100" t="s">
        <v>12</v>
      </c>
      <c r="D31" s="399">
        <v>599177.20012154349</v>
      </c>
      <c r="E31" s="399">
        <v>9369.24881283574</v>
      </c>
      <c r="F31" s="399">
        <v>45225.3178155551</v>
      </c>
      <c r="G31" s="399">
        <v>13177.3600924373</v>
      </c>
      <c r="H31" s="334">
        <f t="shared" si="4"/>
        <v>188978.48389153552</v>
      </c>
      <c r="I31" s="180">
        <f t="shared" si="5"/>
        <v>187392.63944754566</v>
      </c>
      <c r="J31" s="180">
        <f t="shared" si="6"/>
        <v>1585.844443989869</v>
      </c>
      <c r="K31" s="399">
        <v>43847.259967885824</v>
      </c>
      <c r="L31" s="399">
        <v>371.06544744365544</v>
      </c>
      <c r="M31" s="399">
        <v>82590.487186263737</v>
      </c>
      <c r="N31" s="399">
        <v>698.93708534595396</v>
      </c>
      <c r="O31" s="399">
        <v>60954.8922933961</v>
      </c>
      <c r="P31" s="411">
        <v>515.84191120025946</v>
      </c>
      <c r="R31" s="344"/>
    </row>
    <row r="32" spans="1:27" x14ac:dyDescent="0.3">
      <c r="A32" s="54">
        <v>2026</v>
      </c>
      <c r="B32" s="55" t="s">
        <v>30</v>
      </c>
      <c r="C32" s="100" t="s">
        <v>12</v>
      </c>
      <c r="D32" s="399">
        <v>565639.85142582143</v>
      </c>
      <c r="E32" s="399">
        <v>7209.5232189991302</v>
      </c>
      <c r="F32" s="399">
        <v>47877.007558540099</v>
      </c>
      <c r="G32" s="399">
        <v>13949.9864062919</v>
      </c>
      <c r="H32" s="334">
        <f t="shared" si="4"/>
        <v>177455.15519233892</v>
      </c>
      <c r="I32" s="180">
        <f t="shared" si="5"/>
        <v>176846.01079628197</v>
      </c>
      <c r="J32" s="180">
        <f t="shared" si="6"/>
        <v>609.14439605695645</v>
      </c>
      <c r="K32" s="399">
        <v>41679.919634525977</v>
      </c>
      <c r="L32" s="399">
        <v>143.56608531431792</v>
      </c>
      <c r="M32" s="399">
        <v>76295.518218171361</v>
      </c>
      <c r="N32" s="399">
        <v>262.79918420324128</v>
      </c>
      <c r="O32" s="399">
        <v>58870.572943584644</v>
      </c>
      <c r="P32" s="411">
        <v>202.7791265393972</v>
      </c>
      <c r="R32" s="344"/>
    </row>
    <row r="33" spans="1:28" x14ac:dyDescent="0.3">
      <c r="A33" s="58">
        <v>2026</v>
      </c>
      <c r="B33" s="59" t="s">
        <v>31</v>
      </c>
      <c r="C33" s="101" t="s">
        <v>12</v>
      </c>
      <c r="D33" s="412">
        <v>747342.60370846512</v>
      </c>
      <c r="E33" s="412">
        <v>5816.0627399054101</v>
      </c>
      <c r="F33" s="412">
        <v>56849.752310478798</v>
      </c>
      <c r="G33" s="412">
        <v>16564.3867980379</v>
      </c>
      <c r="H33" s="335">
        <f t="shared" si="4"/>
        <v>232434.59721330015</v>
      </c>
      <c r="I33" s="179">
        <f t="shared" si="5"/>
        <v>232434.59721330015</v>
      </c>
      <c r="J33" s="179">
        <f t="shared" si="6"/>
        <v>0</v>
      </c>
      <c r="K33" s="412">
        <v>53436.629726583924</v>
      </c>
      <c r="L33" s="412">
        <v>0</v>
      </c>
      <c r="M33" s="412">
        <v>102563.50269243296</v>
      </c>
      <c r="N33" s="412">
        <v>0</v>
      </c>
      <c r="O33" s="412">
        <v>76434.464794283267</v>
      </c>
      <c r="P33" s="413">
        <v>0</v>
      </c>
      <c r="R33" s="344"/>
    </row>
    <row r="34" spans="1:28" ht="14.4" customHeight="1" x14ac:dyDescent="0.3">
      <c r="A34" s="540" t="s">
        <v>85</v>
      </c>
      <c r="B34" s="541"/>
      <c r="C34" s="541"/>
      <c r="D34" s="275">
        <f t="shared" ref="D34:N34" si="7">SUM(D22:D33)</f>
        <v>8610607.3140087221</v>
      </c>
      <c r="E34" s="275">
        <f t="shared" si="7"/>
        <v>147830.22367501125</v>
      </c>
      <c r="F34" s="275">
        <f t="shared" si="7"/>
        <v>612789.21158331691</v>
      </c>
      <c r="G34" s="275">
        <f t="shared" si="7"/>
        <v>178549.19526992808</v>
      </c>
      <c r="H34" s="275">
        <f t="shared" si="7"/>
        <v>2729046.8724639956</v>
      </c>
      <c r="I34" s="275">
        <f t="shared" si="7"/>
        <v>1615532.8640456966</v>
      </c>
      <c r="J34" s="275">
        <f t="shared" si="7"/>
        <v>1113514.0084182997</v>
      </c>
      <c r="K34" s="275">
        <f t="shared" si="7"/>
        <v>384248.71038217982</v>
      </c>
      <c r="L34" s="275">
        <f t="shared" si="7"/>
        <v>253612.09090631051</v>
      </c>
      <c r="M34" s="275">
        <f t="shared" si="7"/>
        <v>699348.0835395148</v>
      </c>
      <c r="N34" s="224">
        <f t="shared" si="7"/>
        <v>503612.79765157355</v>
      </c>
      <c r="O34" s="275">
        <f>SUM(O22:O33)</f>
        <v>531936.07012400194</v>
      </c>
      <c r="P34" s="275">
        <f>SUM(P22:P33)</f>
        <v>356289.11986041581</v>
      </c>
      <c r="R34" s="344"/>
    </row>
    <row r="35" spans="1:28" ht="14.4" customHeight="1" x14ac:dyDescent="0.3">
      <c r="A35" s="382"/>
      <c r="B35" s="383"/>
      <c r="C35" s="383"/>
      <c r="D35" s="166"/>
      <c r="E35" s="166"/>
      <c r="F35" s="166"/>
      <c r="G35" s="166"/>
      <c r="H35" s="166"/>
      <c r="I35" s="166"/>
      <c r="J35" s="166"/>
      <c r="K35" s="166"/>
      <c r="L35" s="166"/>
      <c r="M35" s="166"/>
      <c r="N35" s="68"/>
      <c r="O35" s="166"/>
      <c r="P35" s="166"/>
      <c r="R35" s="365"/>
    </row>
    <row r="36" spans="1:28" ht="36.6" x14ac:dyDescent="0.3">
      <c r="A36" s="96" t="s">
        <v>18</v>
      </c>
      <c r="B36" s="96" t="s">
        <v>19</v>
      </c>
      <c r="C36" s="97" t="s">
        <v>0</v>
      </c>
      <c r="D36" s="97" t="s">
        <v>11</v>
      </c>
      <c r="E36" s="97" t="s">
        <v>98</v>
      </c>
      <c r="F36" s="385" t="s">
        <v>158</v>
      </c>
      <c r="G36" s="385" t="s">
        <v>159</v>
      </c>
      <c r="H36" s="97" t="s">
        <v>79</v>
      </c>
      <c r="I36" s="97" t="s">
        <v>13</v>
      </c>
      <c r="J36" s="97" t="s">
        <v>14</v>
      </c>
      <c r="K36" s="159" t="s">
        <v>100</v>
      </c>
      <c r="L36" s="159" t="s">
        <v>101</v>
      </c>
      <c r="M36" s="159" t="s">
        <v>82</v>
      </c>
      <c r="N36" s="159" t="s">
        <v>83</v>
      </c>
      <c r="O36" s="159" t="s">
        <v>102</v>
      </c>
      <c r="P36" s="159" t="s">
        <v>103</v>
      </c>
    </row>
    <row r="37" spans="1:28" x14ac:dyDescent="0.3">
      <c r="A37" s="50">
        <v>2024</v>
      </c>
      <c r="B37" s="51" t="s">
        <v>20</v>
      </c>
      <c r="C37" s="98" t="s">
        <v>12</v>
      </c>
      <c r="D37" s="218">
        <v>828785</v>
      </c>
      <c r="E37" s="218">
        <v>3174</v>
      </c>
      <c r="F37" s="386">
        <v>80698</v>
      </c>
      <c r="G37" s="386">
        <v>19368</v>
      </c>
      <c r="H37" s="386">
        <f>I37+J37</f>
        <v>250738</v>
      </c>
      <c r="I37" s="69">
        <f>K37+M37+O37</f>
        <v>250733</v>
      </c>
      <c r="J37" s="69">
        <f>L37+N37+P37</f>
        <v>5</v>
      </c>
      <c r="K37" s="150">
        <v>60539</v>
      </c>
      <c r="L37" s="150"/>
      <c r="M37" s="68">
        <v>111112</v>
      </c>
      <c r="N37" s="150"/>
      <c r="O37" s="150">
        <v>79082</v>
      </c>
      <c r="P37" s="220">
        <v>5</v>
      </c>
    </row>
    <row r="38" spans="1:28" x14ac:dyDescent="0.3">
      <c r="A38" s="54">
        <v>2024</v>
      </c>
      <c r="B38" s="55" t="s">
        <v>21</v>
      </c>
      <c r="C38" s="100" t="s">
        <v>12</v>
      </c>
      <c r="D38" s="219">
        <v>801161</v>
      </c>
      <c r="E38" s="219">
        <v>6062</v>
      </c>
      <c r="F38" s="386">
        <v>79451</v>
      </c>
      <c r="G38" s="386">
        <v>18794</v>
      </c>
      <c r="H38" s="386">
        <f t="shared" ref="H38:H48" si="8">I38+J38</f>
        <v>255397</v>
      </c>
      <c r="I38" s="69">
        <f t="shared" ref="I38:I48" si="9">K38+M38+O38</f>
        <v>255393</v>
      </c>
      <c r="J38" s="69">
        <f t="shared" ref="J38:J48" si="10">L38+N38+P38</f>
        <v>4</v>
      </c>
      <c r="K38" s="150">
        <v>62407</v>
      </c>
      <c r="L38" s="150"/>
      <c r="M38" s="68">
        <v>111050</v>
      </c>
      <c r="N38" s="150"/>
      <c r="O38" s="150">
        <v>81936</v>
      </c>
      <c r="P38" s="220">
        <v>4</v>
      </c>
      <c r="Q38" s="344"/>
      <c r="R38" s="344"/>
      <c r="S38" s="344"/>
      <c r="T38" s="344"/>
      <c r="U38" s="344"/>
      <c r="V38" s="344"/>
      <c r="W38" s="344"/>
      <c r="X38" s="344"/>
      <c r="Y38" s="344"/>
      <c r="Z38" s="344"/>
      <c r="AA38" s="344"/>
      <c r="AB38" s="344"/>
    </row>
    <row r="39" spans="1:28" x14ac:dyDescent="0.3">
      <c r="A39" s="54">
        <v>2024</v>
      </c>
      <c r="B39" s="55" t="s">
        <v>22</v>
      </c>
      <c r="C39" s="100" t="s">
        <v>12</v>
      </c>
      <c r="D39" s="219">
        <v>685348</v>
      </c>
      <c r="E39" s="219">
        <v>14747</v>
      </c>
      <c r="F39" s="386">
        <v>58710</v>
      </c>
      <c r="G39" s="386">
        <v>13293</v>
      </c>
      <c r="H39" s="386">
        <f t="shared" si="8"/>
        <v>204110</v>
      </c>
      <c r="I39" s="69">
        <f t="shared" si="9"/>
        <v>204105</v>
      </c>
      <c r="J39" s="69">
        <f t="shared" si="10"/>
        <v>5</v>
      </c>
      <c r="K39" s="150">
        <v>49923</v>
      </c>
      <c r="L39" s="150"/>
      <c r="M39" s="68">
        <v>86065</v>
      </c>
      <c r="N39" s="150"/>
      <c r="O39" s="150">
        <v>68117</v>
      </c>
      <c r="P39" s="220">
        <v>5</v>
      </c>
      <c r="Q39" s="344"/>
      <c r="R39" s="344"/>
    </row>
    <row r="40" spans="1:28" x14ac:dyDescent="0.3">
      <c r="A40" s="54">
        <v>2024</v>
      </c>
      <c r="B40" s="55" t="s">
        <v>23</v>
      </c>
      <c r="C40" s="100" t="s">
        <v>12</v>
      </c>
      <c r="D40" s="219">
        <v>630604</v>
      </c>
      <c r="E40" s="219">
        <v>14685</v>
      </c>
      <c r="F40" s="386">
        <v>51283</v>
      </c>
      <c r="G40" s="386">
        <v>11466</v>
      </c>
      <c r="H40" s="386">
        <f t="shared" si="8"/>
        <v>190254</v>
      </c>
      <c r="I40" s="69">
        <f t="shared" si="9"/>
        <v>190252</v>
      </c>
      <c r="J40" s="69">
        <f t="shared" si="10"/>
        <v>2</v>
      </c>
      <c r="K40" s="150">
        <v>47691</v>
      </c>
      <c r="L40" s="150"/>
      <c r="M40" s="68">
        <v>80784</v>
      </c>
      <c r="N40" s="150"/>
      <c r="O40" s="150">
        <v>61777</v>
      </c>
      <c r="P40" s="220">
        <v>2</v>
      </c>
      <c r="Q40" s="344"/>
      <c r="R40" s="344"/>
    </row>
    <row r="41" spans="1:28" x14ac:dyDescent="0.3">
      <c r="A41" s="54">
        <v>2024</v>
      </c>
      <c r="B41" s="55" t="s">
        <v>24</v>
      </c>
      <c r="C41" s="100" t="s">
        <v>12</v>
      </c>
      <c r="D41" s="219">
        <v>655094</v>
      </c>
      <c r="E41" s="219">
        <v>15635</v>
      </c>
      <c r="F41" s="386">
        <v>51293</v>
      </c>
      <c r="G41" s="386">
        <v>11385</v>
      </c>
      <c r="H41" s="386">
        <f t="shared" si="8"/>
        <v>200735</v>
      </c>
      <c r="I41" s="69">
        <f t="shared" si="9"/>
        <v>200730</v>
      </c>
      <c r="J41" s="69">
        <f t="shared" si="10"/>
        <v>5</v>
      </c>
      <c r="K41" s="150">
        <v>49705</v>
      </c>
      <c r="L41" s="150"/>
      <c r="M41" s="68">
        <v>86510</v>
      </c>
      <c r="N41" s="150"/>
      <c r="O41" s="150">
        <v>64515</v>
      </c>
      <c r="P41" s="220">
        <v>5</v>
      </c>
      <c r="Q41" s="344"/>
      <c r="R41" s="344"/>
    </row>
    <row r="42" spans="1:28" x14ac:dyDescent="0.3">
      <c r="A42" s="54">
        <v>2024</v>
      </c>
      <c r="B42" s="55" t="s">
        <v>25</v>
      </c>
      <c r="C42" s="100" t="s">
        <v>12</v>
      </c>
      <c r="D42" s="219">
        <v>823318</v>
      </c>
      <c r="E42" s="219">
        <v>21628</v>
      </c>
      <c r="F42" s="386">
        <v>60257</v>
      </c>
      <c r="G42" s="386">
        <v>13292</v>
      </c>
      <c r="H42" s="386">
        <f t="shared" si="8"/>
        <v>258616</v>
      </c>
      <c r="I42" s="69">
        <f t="shared" si="9"/>
        <v>138445</v>
      </c>
      <c r="J42" s="69">
        <f t="shared" si="10"/>
        <v>120171</v>
      </c>
      <c r="K42" s="150">
        <v>33835</v>
      </c>
      <c r="L42" s="150">
        <v>28350</v>
      </c>
      <c r="M42" s="68">
        <v>61532</v>
      </c>
      <c r="N42" s="68">
        <v>54537</v>
      </c>
      <c r="O42" s="150">
        <v>43078</v>
      </c>
      <c r="P42" s="220">
        <v>37284</v>
      </c>
      <c r="Q42" s="344"/>
      <c r="R42" s="344"/>
    </row>
    <row r="43" spans="1:28" x14ac:dyDescent="0.3">
      <c r="A43" s="54">
        <v>2024</v>
      </c>
      <c r="B43" s="55" t="s">
        <v>26</v>
      </c>
      <c r="C43" s="100" t="s">
        <v>12</v>
      </c>
      <c r="D43" s="219">
        <v>911518</v>
      </c>
      <c r="E43" s="219">
        <v>21797</v>
      </c>
      <c r="F43" s="386">
        <v>62429</v>
      </c>
      <c r="G43" s="386">
        <v>14093</v>
      </c>
      <c r="H43" s="386">
        <f t="shared" si="8"/>
        <v>301083</v>
      </c>
      <c r="I43" s="69">
        <f t="shared" si="9"/>
        <v>0</v>
      </c>
      <c r="J43" s="69">
        <f t="shared" si="10"/>
        <v>301083</v>
      </c>
      <c r="K43" s="150"/>
      <c r="L43" s="150">
        <v>71095</v>
      </c>
      <c r="M43" s="68"/>
      <c r="N43" s="68">
        <v>138235</v>
      </c>
      <c r="O43" s="150"/>
      <c r="P43" s="220">
        <v>91753</v>
      </c>
      <c r="Q43" s="344"/>
      <c r="R43" s="344"/>
    </row>
    <row r="44" spans="1:28" x14ac:dyDescent="0.3">
      <c r="A44" s="54">
        <v>2024</v>
      </c>
      <c r="B44" s="55" t="s">
        <v>27</v>
      </c>
      <c r="C44" s="100" t="s">
        <v>12</v>
      </c>
      <c r="D44" s="219">
        <v>1000025</v>
      </c>
      <c r="E44" s="219">
        <v>19206</v>
      </c>
      <c r="F44" s="386">
        <v>70391</v>
      </c>
      <c r="G44" s="386">
        <v>15780</v>
      </c>
      <c r="H44" s="386">
        <f t="shared" si="8"/>
        <v>341563</v>
      </c>
      <c r="I44" s="69">
        <f t="shared" si="9"/>
        <v>0</v>
      </c>
      <c r="J44" s="69">
        <f t="shared" si="10"/>
        <v>341563</v>
      </c>
      <c r="K44" s="150"/>
      <c r="L44" s="150">
        <v>79261</v>
      </c>
      <c r="M44" s="68"/>
      <c r="N44" s="68">
        <v>156922</v>
      </c>
      <c r="O44" s="150"/>
      <c r="P44" s="220">
        <v>105380</v>
      </c>
      <c r="Q44" s="344"/>
      <c r="R44" s="344"/>
    </row>
    <row r="45" spans="1:28" x14ac:dyDescent="0.3">
      <c r="A45" s="54">
        <v>2024</v>
      </c>
      <c r="B45" s="55" t="s">
        <v>28</v>
      </c>
      <c r="C45" s="100" t="s">
        <v>12</v>
      </c>
      <c r="D45" s="219">
        <v>922926</v>
      </c>
      <c r="E45" s="219">
        <v>19071</v>
      </c>
      <c r="F45" s="386">
        <v>66372</v>
      </c>
      <c r="G45" s="386">
        <v>14891</v>
      </c>
      <c r="H45" s="386">
        <f t="shared" si="8"/>
        <v>298586</v>
      </c>
      <c r="I45" s="69">
        <f t="shared" si="9"/>
        <v>0</v>
      </c>
      <c r="J45" s="69">
        <f t="shared" si="10"/>
        <v>298586</v>
      </c>
      <c r="K45" s="150"/>
      <c r="L45" s="150">
        <v>69925</v>
      </c>
      <c r="M45" s="68"/>
      <c r="N45" s="68">
        <v>137391</v>
      </c>
      <c r="O45" s="150"/>
      <c r="P45" s="220">
        <v>91270</v>
      </c>
      <c r="Q45" s="344"/>
      <c r="R45" s="344"/>
    </row>
    <row r="46" spans="1:28" x14ac:dyDescent="0.3">
      <c r="A46" s="54">
        <v>2024</v>
      </c>
      <c r="B46" s="55" t="s">
        <v>29</v>
      </c>
      <c r="C46" s="100" t="s">
        <v>12</v>
      </c>
      <c r="D46" s="219">
        <v>696291</v>
      </c>
      <c r="E46" s="219">
        <v>14292</v>
      </c>
      <c r="F46" s="386">
        <v>50330</v>
      </c>
      <c r="G46" s="386">
        <v>10899</v>
      </c>
      <c r="H46" s="386">
        <f t="shared" si="8"/>
        <v>225306</v>
      </c>
      <c r="I46" s="69">
        <f t="shared" si="9"/>
        <v>82033</v>
      </c>
      <c r="J46" s="69">
        <f t="shared" si="10"/>
        <v>143273</v>
      </c>
      <c r="K46" s="150">
        <v>19475</v>
      </c>
      <c r="L46" s="150">
        <v>33253</v>
      </c>
      <c r="M46" s="68">
        <v>35576</v>
      </c>
      <c r="N46" s="150">
        <v>65831</v>
      </c>
      <c r="O46" s="150">
        <v>26982</v>
      </c>
      <c r="P46" s="220">
        <v>44189</v>
      </c>
      <c r="Q46" s="344"/>
      <c r="R46" s="344"/>
    </row>
    <row r="47" spans="1:28" x14ac:dyDescent="0.3">
      <c r="A47" s="54">
        <v>2024</v>
      </c>
      <c r="B47" s="55" t="s">
        <v>30</v>
      </c>
      <c r="C47" s="100" t="s">
        <v>12</v>
      </c>
      <c r="D47" s="219">
        <v>642894</v>
      </c>
      <c r="E47" s="219">
        <v>7110</v>
      </c>
      <c r="F47" s="386">
        <v>53789</v>
      </c>
      <c r="G47" s="386">
        <v>11992</v>
      </c>
      <c r="H47" s="386">
        <f t="shared" si="8"/>
        <v>204354</v>
      </c>
      <c r="I47" s="69">
        <f t="shared" si="9"/>
        <v>204350</v>
      </c>
      <c r="J47" s="69">
        <f t="shared" si="10"/>
        <v>4</v>
      </c>
      <c r="K47" s="150">
        <v>48515</v>
      </c>
      <c r="L47" s="150"/>
      <c r="M47" s="68">
        <v>89393</v>
      </c>
      <c r="N47" s="150"/>
      <c r="O47" s="150">
        <v>66442</v>
      </c>
      <c r="P47" s="220">
        <v>4</v>
      </c>
      <c r="Q47" s="344"/>
      <c r="R47" s="344"/>
    </row>
    <row r="48" spans="1:28" x14ac:dyDescent="0.3">
      <c r="A48" s="58">
        <v>2024</v>
      </c>
      <c r="B48" s="59" t="s">
        <v>31</v>
      </c>
      <c r="C48" s="101" t="s">
        <v>12</v>
      </c>
      <c r="D48" s="221">
        <v>729120</v>
      </c>
      <c r="E48" s="221">
        <v>3339</v>
      </c>
      <c r="F48" s="387">
        <v>71943</v>
      </c>
      <c r="G48" s="387">
        <v>16736</v>
      </c>
      <c r="H48" s="387">
        <f t="shared" si="8"/>
        <v>224682</v>
      </c>
      <c r="I48" s="70">
        <f t="shared" si="9"/>
        <v>224680</v>
      </c>
      <c r="J48" s="70">
        <f t="shared" si="10"/>
        <v>2</v>
      </c>
      <c r="K48" s="222">
        <v>53117</v>
      </c>
      <c r="L48" s="222"/>
      <c r="M48" s="102">
        <v>100355</v>
      </c>
      <c r="N48" s="222"/>
      <c r="O48" s="222">
        <v>71208</v>
      </c>
      <c r="P48" s="223">
        <v>2</v>
      </c>
      <c r="Q48" s="344"/>
      <c r="R48" s="344"/>
    </row>
    <row r="49" spans="1:28" x14ac:dyDescent="0.3">
      <c r="A49" s="540" t="s">
        <v>99</v>
      </c>
      <c r="B49" s="541"/>
      <c r="C49" s="541"/>
      <c r="D49" s="166">
        <f>SUM(D37:D48)</f>
        <v>9327084</v>
      </c>
      <c r="E49" s="166">
        <f>SUM(E37:E48)</f>
        <v>160746</v>
      </c>
      <c r="F49" s="166">
        <f>SUM(F37:F48)</f>
        <v>756946</v>
      </c>
      <c r="G49" s="166">
        <f>SUM(G37:G48)</f>
        <v>171989</v>
      </c>
      <c r="H49" s="166">
        <f>SUM(H37:H48)</f>
        <v>2955424</v>
      </c>
      <c r="I49" s="166">
        <f t="shared" ref="I49:N49" si="11">SUM(I37:I48)</f>
        <v>1750721</v>
      </c>
      <c r="J49" s="166">
        <f t="shared" si="11"/>
        <v>1204703</v>
      </c>
      <c r="K49" s="166">
        <f t="shared" si="11"/>
        <v>425207</v>
      </c>
      <c r="L49" s="166">
        <f t="shared" si="11"/>
        <v>281884</v>
      </c>
      <c r="M49" s="166">
        <f t="shared" si="11"/>
        <v>762377</v>
      </c>
      <c r="N49" s="68">
        <f t="shared" si="11"/>
        <v>552916</v>
      </c>
      <c r="O49" s="166">
        <f>SUM(O37:O48)</f>
        <v>563137</v>
      </c>
      <c r="P49" s="166">
        <f>SUM(P37:P48)</f>
        <v>369903</v>
      </c>
      <c r="Q49" s="344"/>
      <c r="R49" s="344"/>
    </row>
    <row r="50" spans="1:28" x14ac:dyDescent="0.3">
      <c r="A50" s="382"/>
      <c r="B50" s="383"/>
      <c r="C50" s="383"/>
      <c r="D50" s="166"/>
      <c r="E50" s="166"/>
      <c r="F50" s="166"/>
      <c r="G50" s="166"/>
      <c r="H50" s="166"/>
      <c r="I50" s="166"/>
      <c r="J50" s="166"/>
      <c r="K50" s="166"/>
      <c r="L50" s="166"/>
      <c r="M50" s="166"/>
      <c r="N50" s="68"/>
      <c r="O50" s="166"/>
      <c r="P50" s="166"/>
      <c r="Q50" s="365"/>
      <c r="R50" s="365"/>
    </row>
    <row r="51" spans="1:28" ht="36.6" x14ac:dyDescent="0.3">
      <c r="A51" s="96" t="s">
        <v>18</v>
      </c>
      <c r="B51" s="96" t="s">
        <v>19</v>
      </c>
      <c r="C51" s="97" t="s">
        <v>0</v>
      </c>
      <c r="D51" s="97" t="s">
        <v>11</v>
      </c>
      <c r="E51" s="97" t="s">
        <v>98</v>
      </c>
      <c r="F51" s="385" t="s">
        <v>158</v>
      </c>
      <c r="G51" s="385"/>
      <c r="H51" s="97" t="s">
        <v>79</v>
      </c>
      <c r="I51" s="97" t="s">
        <v>13</v>
      </c>
      <c r="J51" s="97" t="s">
        <v>14</v>
      </c>
      <c r="K51" s="159" t="s">
        <v>100</v>
      </c>
      <c r="L51" s="159" t="s">
        <v>101</v>
      </c>
      <c r="M51" s="159" t="s">
        <v>82</v>
      </c>
      <c r="N51" s="159" t="s">
        <v>83</v>
      </c>
      <c r="O51" s="159" t="s">
        <v>102</v>
      </c>
      <c r="P51" s="159" t="s">
        <v>103</v>
      </c>
    </row>
    <row r="52" spans="1:28" x14ac:dyDescent="0.3">
      <c r="A52" s="50">
        <v>2023</v>
      </c>
      <c r="B52" s="51" t="s">
        <v>20</v>
      </c>
      <c r="C52" s="98" t="s">
        <v>12</v>
      </c>
      <c r="D52" s="218">
        <v>941256</v>
      </c>
      <c r="E52" s="218">
        <v>1989</v>
      </c>
      <c r="F52" s="386">
        <v>104080</v>
      </c>
      <c r="G52" s="386"/>
      <c r="H52" s="386">
        <f>I52+J52</f>
        <v>309392</v>
      </c>
      <c r="I52" s="69">
        <f>K52+M52+O52</f>
        <v>309388</v>
      </c>
      <c r="J52" s="69">
        <f>L52+N52+P52</f>
        <v>4</v>
      </c>
      <c r="K52" s="150">
        <v>75017</v>
      </c>
      <c r="L52" s="150"/>
      <c r="M52" s="68">
        <v>137303</v>
      </c>
      <c r="N52" s="150"/>
      <c r="O52" s="150">
        <v>97068</v>
      </c>
      <c r="P52" s="220">
        <v>4</v>
      </c>
    </row>
    <row r="53" spans="1:28" x14ac:dyDescent="0.3">
      <c r="A53" s="54">
        <v>2023</v>
      </c>
      <c r="B53" s="55" t="s">
        <v>21</v>
      </c>
      <c r="C53" s="100" t="s">
        <v>12</v>
      </c>
      <c r="D53" s="219">
        <v>819695</v>
      </c>
      <c r="E53" s="219">
        <v>3345</v>
      </c>
      <c r="F53" s="386">
        <v>90729</v>
      </c>
      <c r="G53" s="386"/>
      <c r="H53" s="386">
        <f t="shared" ref="H53:H63" si="12">I53+J53</f>
        <v>264366</v>
      </c>
      <c r="I53" s="69">
        <f t="shared" ref="I53:I63" si="13">K53+M53+O53</f>
        <v>264362</v>
      </c>
      <c r="J53" s="69">
        <f t="shared" ref="J53:J63" si="14">L53+N53+P53</f>
        <v>4</v>
      </c>
      <c r="K53" s="150">
        <v>65104</v>
      </c>
      <c r="L53" s="150"/>
      <c r="M53" s="68">
        <v>115196</v>
      </c>
      <c r="N53" s="150"/>
      <c r="O53" s="150">
        <v>84062</v>
      </c>
      <c r="P53" s="220">
        <v>4</v>
      </c>
    </row>
    <row r="54" spans="1:28" x14ac:dyDescent="0.3">
      <c r="A54" s="54">
        <v>2023</v>
      </c>
      <c r="B54" s="55" t="s">
        <v>22</v>
      </c>
      <c r="C54" s="100" t="s">
        <v>12</v>
      </c>
      <c r="D54" s="219">
        <v>726503</v>
      </c>
      <c r="E54" s="219">
        <v>9934</v>
      </c>
      <c r="F54" s="386">
        <v>78369</v>
      </c>
      <c r="G54" s="386"/>
      <c r="H54" s="386">
        <f t="shared" si="12"/>
        <v>230372</v>
      </c>
      <c r="I54" s="69">
        <f t="shared" si="13"/>
        <v>230367</v>
      </c>
      <c r="J54" s="69">
        <f t="shared" si="14"/>
        <v>5</v>
      </c>
      <c r="K54" s="150">
        <v>56197</v>
      </c>
      <c r="L54" s="150"/>
      <c r="M54" s="68">
        <v>99109</v>
      </c>
      <c r="N54" s="150"/>
      <c r="O54" s="150">
        <v>75061</v>
      </c>
      <c r="P54" s="220">
        <v>5</v>
      </c>
      <c r="Q54" s="327"/>
      <c r="R54" s="327"/>
      <c r="S54" s="327"/>
      <c r="T54" s="327"/>
      <c r="U54" s="327"/>
      <c r="V54" s="327"/>
      <c r="W54" s="327"/>
      <c r="X54" s="327"/>
      <c r="Y54" s="327"/>
      <c r="Z54" s="327"/>
      <c r="AA54" s="327"/>
      <c r="AB54" s="327"/>
    </row>
    <row r="55" spans="1:28" x14ac:dyDescent="0.3">
      <c r="A55" s="54">
        <v>2023</v>
      </c>
      <c r="B55" s="55" t="s">
        <v>23</v>
      </c>
      <c r="C55" s="100" t="s">
        <v>12</v>
      </c>
      <c r="D55" s="219">
        <v>752208</v>
      </c>
      <c r="E55" s="219">
        <v>16581</v>
      </c>
      <c r="F55" s="386">
        <v>74460</v>
      </c>
      <c r="G55" s="386"/>
      <c r="H55" s="386">
        <f t="shared" si="12"/>
        <v>226346</v>
      </c>
      <c r="I55" s="69">
        <f t="shared" si="13"/>
        <v>226339</v>
      </c>
      <c r="J55" s="69">
        <f t="shared" si="14"/>
        <v>7</v>
      </c>
      <c r="K55" s="150">
        <v>57231</v>
      </c>
      <c r="L55" s="150"/>
      <c r="M55" s="68">
        <v>96154</v>
      </c>
      <c r="N55" s="150"/>
      <c r="O55" s="150">
        <v>72954</v>
      </c>
      <c r="P55" s="220">
        <v>7</v>
      </c>
      <c r="Q55" s="327"/>
      <c r="R55" s="327"/>
    </row>
    <row r="56" spans="1:28" x14ac:dyDescent="0.3">
      <c r="A56" s="54">
        <v>2023</v>
      </c>
      <c r="B56" s="55" t="s">
        <v>24</v>
      </c>
      <c r="C56" s="100" t="s">
        <v>12</v>
      </c>
      <c r="D56" s="219">
        <v>620637</v>
      </c>
      <c r="E56" s="219">
        <v>16582</v>
      </c>
      <c r="F56" s="386">
        <v>54723</v>
      </c>
      <c r="G56" s="386"/>
      <c r="H56" s="386">
        <f t="shared" si="12"/>
        <v>187825</v>
      </c>
      <c r="I56" s="69">
        <f t="shared" si="13"/>
        <v>187821</v>
      </c>
      <c r="J56" s="69">
        <f t="shared" si="14"/>
        <v>4</v>
      </c>
      <c r="K56" s="150">
        <v>46811</v>
      </c>
      <c r="L56" s="150"/>
      <c r="M56" s="68">
        <v>80844</v>
      </c>
      <c r="N56" s="150"/>
      <c r="O56" s="150">
        <v>60166</v>
      </c>
      <c r="P56" s="220">
        <v>4</v>
      </c>
      <c r="Q56" s="327"/>
      <c r="R56" s="327"/>
    </row>
    <row r="57" spans="1:28" x14ac:dyDescent="0.3">
      <c r="A57" s="54">
        <v>2023</v>
      </c>
      <c r="B57" s="55" t="s">
        <v>25</v>
      </c>
      <c r="C57" s="100" t="s">
        <v>12</v>
      </c>
      <c r="D57" s="219">
        <v>840866</v>
      </c>
      <c r="E57" s="219">
        <v>20313</v>
      </c>
      <c r="F57" s="386">
        <v>73394</v>
      </c>
      <c r="G57" s="386"/>
      <c r="H57" s="386">
        <f t="shared" si="12"/>
        <v>270706</v>
      </c>
      <c r="I57" s="69">
        <f t="shared" si="13"/>
        <v>149729</v>
      </c>
      <c r="J57" s="69">
        <f t="shared" si="14"/>
        <v>120977</v>
      </c>
      <c r="K57" s="150">
        <v>36036</v>
      </c>
      <c r="L57" s="150">
        <v>27366</v>
      </c>
      <c r="M57" s="68">
        <v>66694</v>
      </c>
      <c r="N57" s="68">
        <v>55274</v>
      </c>
      <c r="O57" s="150">
        <v>46999</v>
      </c>
      <c r="P57" s="220">
        <v>38337</v>
      </c>
      <c r="Q57" s="327"/>
      <c r="R57" s="327"/>
    </row>
    <row r="58" spans="1:28" x14ac:dyDescent="0.3">
      <c r="A58" s="54">
        <v>2023</v>
      </c>
      <c r="B58" s="55" t="s">
        <v>26</v>
      </c>
      <c r="C58" s="100" t="s">
        <v>12</v>
      </c>
      <c r="D58" s="219">
        <v>1036688</v>
      </c>
      <c r="E58" s="219">
        <v>21237</v>
      </c>
      <c r="F58" s="386">
        <v>85448</v>
      </c>
      <c r="G58" s="386"/>
      <c r="H58" s="386">
        <f t="shared" si="12"/>
        <v>336150</v>
      </c>
      <c r="I58" s="69">
        <f t="shared" si="13"/>
        <v>156</v>
      </c>
      <c r="J58" s="69">
        <f t="shared" si="14"/>
        <v>335994</v>
      </c>
      <c r="K58" s="150">
        <v>38</v>
      </c>
      <c r="L58" s="150">
        <v>77973</v>
      </c>
      <c r="M58" s="68">
        <v>71</v>
      </c>
      <c r="N58" s="68">
        <v>153805</v>
      </c>
      <c r="O58" s="150">
        <v>47</v>
      </c>
      <c r="P58" s="220">
        <v>104216</v>
      </c>
      <c r="Q58" s="327"/>
      <c r="R58" s="327"/>
    </row>
    <row r="59" spans="1:28" x14ac:dyDescent="0.3">
      <c r="A59" s="54">
        <v>2023</v>
      </c>
      <c r="B59" s="55" t="s">
        <v>27</v>
      </c>
      <c r="C59" s="100" t="s">
        <v>12</v>
      </c>
      <c r="D59" s="219">
        <v>975155</v>
      </c>
      <c r="E59" s="219">
        <v>22289</v>
      </c>
      <c r="F59" s="386">
        <v>82872</v>
      </c>
      <c r="G59" s="386"/>
      <c r="H59" s="386">
        <f t="shared" si="12"/>
        <v>333991</v>
      </c>
      <c r="I59" s="69">
        <f t="shared" si="13"/>
        <v>0</v>
      </c>
      <c r="J59" s="69">
        <f t="shared" si="14"/>
        <v>333991</v>
      </c>
      <c r="K59" s="150"/>
      <c r="L59" s="150">
        <v>76478</v>
      </c>
      <c r="M59" s="68"/>
      <c r="N59" s="68">
        <v>153317</v>
      </c>
      <c r="O59" s="150"/>
      <c r="P59" s="220">
        <v>104196</v>
      </c>
      <c r="Q59" s="327"/>
      <c r="R59" s="327"/>
    </row>
    <row r="60" spans="1:28" x14ac:dyDescent="0.3">
      <c r="A60" s="54">
        <v>2023</v>
      </c>
      <c r="B60" s="55" t="s">
        <v>28</v>
      </c>
      <c r="C60" s="100" t="s">
        <v>12</v>
      </c>
      <c r="D60" s="219">
        <v>1048649</v>
      </c>
      <c r="E60" s="219">
        <v>20263</v>
      </c>
      <c r="F60" s="386">
        <v>91352</v>
      </c>
      <c r="G60" s="386"/>
      <c r="H60" s="386">
        <f t="shared" si="12"/>
        <v>336692</v>
      </c>
      <c r="I60" s="69">
        <f t="shared" si="13"/>
        <v>0</v>
      </c>
      <c r="J60" s="69">
        <f t="shared" si="14"/>
        <v>336692</v>
      </c>
      <c r="K60" s="150"/>
      <c r="L60" s="150">
        <v>79287</v>
      </c>
      <c r="M60" s="68"/>
      <c r="N60" s="68">
        <v>152869</v>
      </c>
      <c r="O60" s="150"/>
      <c r="P60" s="220">
        <v>104536</v>
      </c>
      <c r="Q60" s="327"/>
      <c r="R60" s="327"/>
    </row>
    <row r="61" spans="1:28" x14ac:dyDescent="0.3">
      <c r="A61" s="54">
        <v>2023</v>
      </c>
      <c r="B61" s="55" t="s">
        <v>29</v>
      </c>
      <c r="C61" s="100" t="s">
        <v>12</v>
      </c>
      <c r="D61" s="219">
        <v>675286</v>
      </c>
      <c r="E61" s="219">
        <v>10077</v>
      </c>
      <c r="F61" s="386">
        <v>65334</v>
      </c>
      <c r="G61" s="386"/>
      <c r="H61" s="386">
        <f t="shared" si="12"/>
        <v>213603</v>
      </c>
      <c r="I61" s="69">
        <f t="shared" si="13"/>
        <v>89597</v>
      </c>
      <c r="J61" s="69">
        <f t="shared" si="14"/>
        <v>124006</v>
      </c>
      <c r="K61" s="150">
        <v>21520</v>
      </c>
      <c r="L61" s="150">
        <v>30111</v>
      </c>
      <c r="M61" s="68">
        <v>39341</v>
      </c>
      <c r="N61" s="150">
        <v>55130</v>
      </c>
      <c r="O61" s="150">
        <v>28736</v>
      </c>
      <c r="P61" s="220">
        <v>38765</v>
      </c>
      <c r="Q61" s="327"/>
      <c r="R61" s="327"/>
    </row>
    <row r="62" spans="1:28" x14ac:dyDescent="0.3">
      <c r="A62" s="54">
        <v>2023</v>
      </c>
      <c r="B62" s="55" t="s">
        <v>30</v>
      </c>
      <c r="C62" s="100" t="s">
        <v>12</v>
      </c>
      <c r="D62" s="219">
        <v>691010</v>
      </c>
      <c r="E62" s="219">
        <v>7842</v>
      </c>
      <c r="F62" s="386">
        <v>73625</v>
      </c>
      <c r="G62" s="386"/>
      <c r="H62" s="386">
        <f t="shared" si="12"/>
        <v>219176</v>
      </c>
      <c r="I62" s="69">
        <f t="shared" si="13"/>
        <v>219040</v>
      </c>
      <c r="J62" s="69">
        <f t="shared" si="14"/>
        <v>136</v>
      </c>
      <c r="K62" s="150">
        <v>53678</v>
      </c>
      <c r="L62" s="150">
        <v>33</v>
      </c>
      <c r="M62" s="68">
        <v>94773</v>
      </c>
      <c r="N62" s="150">
        <v>66</v>
      </c>
      <c r="O62" s="150">
        <v>70589</v>
      </c>
      <c r="P62" s="220">
        <v>37</v>
      </c>
      <c r="Q62" s="327"/>
      <c r="R62" s="327"/>
    </row>
    <row r="63" spans="1:28" x14ac:dyDescent="0.3">
      <c r="A63" s="58">
        <v>2023</v>
      </c>
      <c r="B63" s="59" t="s">
        <v>31</v>
      </c>
      <c r="C63" s="101" t="s">
        <v>12</v>
      </c>
      <c r="D63" s="221">
        <v>776102</v>
      </c>
      <c r="E63" s="221">
        <v>6397</v>
      </c>
      <c r="F63" s="387">
        <v>91198</v>
      </c>
      <c r="G63" s="387"/>
      <c r="H63" s="387">
        <f t="shared" si="12"/>
        <v>237574</v>
      </c>
      <c r="I63" s="70">
        <f t="shared" si="13"/>
        <v>237567</v>
      </c>
      <c r="J63" s="70">
        <f t="shared" si="14"/>
        <v>7</v>
      </c>
      <c r="K63" s="222">
        <v>55532</v>
      </c>
      <c r="L63" s="222"/>
      <c r="M63" s="102">
        <v>104276</v>
      </c>
      <c r="N63" s="222"/>
      <c r="O63" s="222">
        <v>77759</v>
      </c>
      <c r="P63" s="223">
        <v>7</v>
      </c>
      <c r="Q63" s="327"/>
      <c r="R63" s="327"/>
    </row>
    <row r="64" spans="1:28" x14ac:dyDescent="0.3">
      <c r="A64" s="540" t="s">
        <v>99</v>
      </c>
      <c r="B64" s="541"/>
      <c r="C64" s="541"/>
      <c r="D64" s="166">
        <f>SUM(D52:D63)</f>
        <v>9904055</v>
      </c>
      <c r="E64" s="166">
        <f>SUM(E52:E63)</f>
        <v>156849</v>
      </c>
      <c r="F64" s="166">
        <f>SUM(F52:F63)</f>
        <v>965584</v>
      </c>
      <c r="G64" s="166">
        <f>SUM(G52:G63)</f>
        <v>0</v>
      </c>
      <c r="H64" s="166">
        <f>SUM(H52:H63)</f>
        <v>3166193</v>
      </c>
      <c r="I64" s="166">
        <f t="shared" ref="I64:N64" si="15">SUM(I52:I63)</f>
        <v>1914366</v>
      </c>
      <c r="J64" s="166">
        <f t="shared" si="15"/>
        <v>1251827</v>
      </c>
      <c r="K64" s="166">
        <f t="shared" si="15"/>
        <v>467164</v>
      </c>
      <c r="L64" s="166">
        <f t="shared" si="15"/>
        <v>291248</v>
      </c>
      <c r="M64" s="166">
        <f t="shared" si="15"/>
        <v>833761</v>
      </c>
      <c r="N64" s="68">
        <f t="shared" si="15"/>
        <v>570461</v>
      </c>
      <c r="O64" s="166">
        <f>SUM(O52:O63)</f>
        <v>613441</v>
      </c>
      <c r="P64" s="166">
        <f>SUM(P52:P63)</f>
        <v>390118</v>
      </c>
      <c r="Q64" s="327"/>
      <c r="R64" s="327"/>
    </row>
    <row r="65" spans="1:26" x14ac:dyDescent="0.3">
      <c r="A65" s="264"/>
      <c r="B65" s="264"/>
      <c r="C65" s="264"/>
      <c r="D65" s="264"/>
      <c r="E65" s="327"/>
      <c r="F65" s="365"/>
      <c r="G65" s="365"/>
      <c r="H65" s="264"/>
      <c r="I65" s="264"/>
      <c r="J65" s="264"/>
      <c r="K65" s="264"/>
      <c r="L65" s="264"/>
      <c r="M65" s="264"/>
      <c r="N65" s="264"/>
      <c r="O65" s="264"/>
      <c r="Q65" s="327"/>
      <c r="R65" s="327"/>
    </row>
    <row r="66" spans="1:26" ht="36.6" x14ac:dyDescent="0.3">
      <c r="A66" s="96" t="s">
        <v>18</v>
      </c>
      <c r="B66" s="96" t="s">
        <v>19</v>
      </c>
      <c r="C66" s="97" t="s">
        <v>0</v>
      </c>
      <c r="D66" s="97" t="s">
        <v>11</v>
      </c>
      <c r="E66" s="97" t="s">
        <v>98</v>
      </c>
      <c r="F66" s="385" t="s">
        <v>158</v>
      </c>
      <c r="G66" s="385"/>
      <c r="H66" s="97" t="s">
        <v>79</v>
      </c>
      <c r="I66" s="97" t="s">
        <v>13</v>
      </c>
      <c r="J66" s="97" t="s">
        <v>14</v>
      </c>
      <c r="K66" s="159" t="s">
        <v>100</v>
      </c>
      <c r="L66" s="159" t="s">
        <v>101</v>
      </c>
      <c r="M66" s="159" t="s">
        <v>82</v>
      </c>
      <c r="N66" s="159" t="s">
        <v>83</v>
      </c>
      <c r="O66" s="159" t="s">
        <v>102</v>
      </c>
      <c r="P66" s="159" t="s">
        <v>103</v>
      </c>
    </row>
    <row r="67" spans="1:26" x14ac:dyDescent="0.3">
      <c r="A67" s="50">
        <v>2022</v>
      </c>
      <c r="B67" s="51" t="s">
        <v>20</v>
      </c>
      <c r="C67" s="98" t="s">
        <v>12</v>
      </c>
      <c r="D67" s="218">
        <v>1030298</v>
      </c>
      <c r="E67" s="218">
        <v>4153</v>
      </c>
      <c r="F67" s="386">
        <v>109631</v>
      </c>
      <c r="G67" s="386"/>
      <c r="H67" s="386">
        <f>I67+J67</f>
        <v>340533</v>
      </c>
      <c r="I67" s="69">
        <f>K67+M67+O67</f>
        <v>340445</v>
      </c>
      <c r="J67" s="69">
        <f>L67+N67+P67</f>
        <v>88</v>
      </c>
      <c r="K67" s="150">
        <v>82549</v>
      </c>
      <c r="L67" s="150">
        <v>22</v>
      </c>
      <c r="M67" s="68">
        <v>149799</v>
      </c>
      <c r="N67" s="150">
        <v>36</v>
      </c>
      <c r="O67" s="150">
        <v>108097</v>
      </c>
      <c r="P67" s="220">
        <v>30</v>
      </c>
    </row>
    <row r="68" spans="1:26" ht="39" customHeight="1" x14ac:dyDescent="0.3">
      <c r="A68" s="54">
        <v>2022</v>
      </c>
      <c r="B68" s="55" t="s">
        <v>21</v>
      </c>
      <c r="C68" s="100" t="s">
        <v>12</v>
      </c>
      <c r="D68" s="219">
        <v>927542</v>
      </c>
      <c r="E68" s="219">
        <v>8013</v>
      </c>
      <c r="F68" s="386">
        <v>99415</v>
      </c>
      <c r="G68" s="386"/>
      <c r="H68" s="386">
        <f t="shared" ref="H68:H78" si="16">I68+J68</f>
        <v>293229</v>
      </c>
      <c r="I68" s="69">
        <f t="shared" ref="I68:I78" si="17">K68+M68+O68</f>
        <v>293187</v>
      </c>
      <c r="J68" s="69">
        <f t="shared" ref="J68:J78" si="18">L68+N68+P68</f>
        <v>42</v>
      </c>
      <c r="K68" s="150">
        <v>70970</v>
      </c>
      <c r="L68" s="150">
        <v>9</v>
      </c>
      <c r="M68" s="68">
        <v>127305</v>
      </c>
      <c r="N68" s="150">
        <v>16</v>
      </c>
      <c r="O68" s="150">
        <v>94912</v>
      </c>
      <c r="P68" s="220">
        <v>17</v>
      </c>
    </row>
    <row r="69" spans="1:26" x14ac:dyDescent="0.3">
      <c r="A69" s="54">
        <v>2022</v>
      </c>
      <c r="B69" s="55" t="s">
        <v>22</v>
      </c>
      <c r="C69" s="100" t="s">
        <v>12</v>
      </c>
      <c r="D69" s="219">
        <v>817402</v>
      </c>
      <c r="E69" s="219">
        <v>12427</v>
      </c>
      <c r="F69" s="386">
        <v>82931</v>
      </c>
      <c r="G69" s="386"/>
      <c r="H69" s="386">
        <f t="shared" si="16"/>
        <v>252018</v>
      </c>
      <c r="I69" s="69">
        <f t="shared" si="17"/>
        <v>252014</v>
      </c>
      <c r="J69" s="69">
        <f t="shared" si="18"/>
        <v>4</v>
      </c>
      <c r="K69" s="150">
        <v>61632</v>
      </c>
      <c r="L69" s="150">
        <v>0</v>
      </c>
      <c r="M69" s="68">
        <v>107985</v>
      </c>
      <c r="N69" s="150">
        <v>0</v>
      </c>
      <c r="O69" s="150">
        <v>82397</v>
      </c>
      <c r="P69" s="220">
        <v>4</v>
      </c>
      <c r="Q69" s="316"/>
      <c r="R69" s="316"/>
      <c r="S69" s="316"/>
      <c r="T69" s="316"/>
      <c r="U69" s="316"/>
      <c r="V69" s="316"/>
      <c r="W69" s="316"/>
      <c r="X69" s="316"/>
      <c r="Y69" s="316"/>
      <c r="Z69" s="316"/>
    </row>
    <row r="70" spans="1:26" x14ac:dyDescent="0.3">
      <c r="A70" s="54">
        <v>2022</v>
      </c>
      <c r="B70" s="55" t="s">
        <v>23</v>
      </c>
      <c r="C70" s="100" t="s">
        <v>12</v>
      </c>
      <c r="D70" s="219">
        <v>800501</v>
      </c>
      <c r="E70" s="219">
        <v>16095</v>
      </c>
      <c r="F70" s="386">
        <v>76768</v>
      </c>
      <c r="G70" s="386"/>
      <c r="H70" s="386">
        <f t="shared" si="16"/>
        <v>246734</v>
      </c>
      <c r="I70" s="69">
        <f t="shared" si="17"/>
        <v>246728</v>
      </c>
      <c r="J70" s="69">
        <f t="shared" si="18"/>
        <v>6</v>
      </c>
      <c r="K70" s="150">
        <v>62956</v>
      </c>
      <c r="L70" s="150">
        <v>0</v>
      </c>
      <c r="M70" s="68">
        <v>105131</v>
      </c>
      <c r="N70" s="150">
        <v>0</v>
      </c>
      <c r="O70" s="150">
        <v>78641</v>
      </c>
      <c r="P70" s="220">
        <v>6</v>
      </c>
    </row>
    <row r="71" spans="1:26" x14ac:dyDescent="0.3">
      <c r="A71" s="54">
        <v>2022</v>
      </c>
      <c r="B71" s="55" t="s">
        <v>24</v>
      </c>
      <c r="C71" s="100" t="s">
        <v>12</v>
      </c>
      <c r="D71" s="219">
        <v>708450</v>
      </c>
      <c r="E71" s="219">
        <v>16979</v>
      </c>
      <c r="F71" s="386">
        <v>66142</v>
      </c>
      <c r="G71" s="386"/>
      <c r="H71" s="386">
        <f t="shared" si="16"/>
        <v>227215</v>
      </c>
      <c r="I71" s="69">
        <f t="shared" si="17"/>
        <v>227202</v>
      </c>
      <c r="J71" s="69">
        <f t="shared" si="18"/>
        <v>13</v>
      </c>
      <c r="K71" s="150">
        <v>56745</v>
      </c>
      <c r="L71" s="150">
        <v>4</v>
      </c>
      <c r="M71" s="68">
        <v>98420</v>
      </c>
      <c r="N71" s="150">
        <v>4</v>
      </c>
      <c r="O71" s="150">
        <v>72037</v>
      </c>
      <c r="P71" s="220">
        <v>5</v>
      </c>
    </row>
    <row r="72" spans="1:26" x14ac:dyDescent="0.3">
      <c r="A72" s="54">
        <v>2022</v>
      </c>
      <c r="B72" s="55" t="s">
        <v>25</v>
      </c>
      <c r="C72" s="100" t="s">
        <v>12</v>
      </c>
      <c r="D72" s="219">
        <v>929254</v>
      </c>
      <c r="E72" s="219">
        <v>21427</v>
      </c>
      <c r="F72" s="386">
        <v>73949</v>
      </c>
      <c r="G72" s="386"/>
      <c r="H72" s="386">
        <f t="shared" si="16"/>
        <v>303096</v>
      </c>
      <c r="I72" s="69">
        <f t="shared" si="17"/>
        <v>165576</v>
      </c>
      <c r="J72" s="69">
        <f t="shared" si="18"/>
        <v>137520</v>
      </c>
      <c r="K72" s="150">
        <v>40636</v>
      </c>
      <c r="L72" s="150">
        <v>31866</v>
      </c>
      <c r="M72" s="68">
        <v>73654</v>
      </c>
      <c r="N72" s="68">
        <v>62157</v>
      </c>
      <c r="O72" s="150">
        <v>51286</v>
      </c>
      <c r="P72" s="220">
        <v>43497</v>
      </c>
    </row>
    <row r="73" spans="1:26" x14ac:dyDescent="0.3">
      <c r="A73" s="54">
        <v>2022</v>
      </c>
      <c r="B73" s="55" t="s">
        <v>26</v>
      </c>
      <c r="C73" s="100" t="s">
        <v>12</v>
      </c>
      <c r="D73" s="219">
        <v>1106518</v>
      </c>
      <c r="E73" s="219">
        <v>22664</v>
      </c>
      <c r="F73" s="386">
        <v>82068</v>
      </c>
      <c r="G73" s="386"/>
      <c r="H73" s="386">
        <f t="shared" si="16"/>
        <v>386690</v>
      </c>
      <c r="I73" s="69">
        <f t="shared" si="17"/>
        <v>118</v>
      </c>
      <c r="J73" s="69">
        <f t="shared" si="18"/>
        <v>386572</v>
      </c>
      <c r="K73" s="150">
        <v>30</v>
      </c>
      <c r="L73" s="150">
        <v>89269</v>
      </c>
      <c r="M73" s="68">
        <v>51</v>
      </c>
      <c r="N73" s="68">
        <v>176836</v>
      </c>
      <c r="O73" s="150">
        <v>37</v>
      </c>
      <c r="P73" s="220">
        <v>120467</v>
      </c>
    </row>
    <row r="74" spans="1:26" x14ac:dyDescent="0.3">
      <c r="A74" s="54">
        <v>2022</v>
      </c>
      <c r="B74" s="55" t="s">
        <v>27</v>
      </c>
      <c r="C74" s="100" t="s">
        <v>12</v>
      </c>
      <c r="D74" s="219">
        <v>1043563</v>
      </c>
      <c r="E74" s="219">
        <v>21232</v>
      </c>
      <c r="F74" s="386">
        <v>89140</v>
      </c>
      <c r="G74" s="386"/>
      <c r="H74" s="386">
        <f t="shared" si="16"/>
        <v>356392</v>
      </c>
      <c r="I74" s="69">
        <f t="shared" si="17"/>
        <v>0</v>
      </c>
      <c r="J74" s="69">
        <f t="shared" si="18"/>
        <v>356392</v>
      </c>
      <c r="K74" s="150">
        <v>0</v>
      </c>
      <c r="L74" s="150">
        <v>81940</v>
      </c>
      <c r="M74" s="68">
        <v>0</v>
      </c>
      <c r="N74" s="68">
        <v>163251</v>
      </c>
      <c r="O74" s="150">
        <v>0</v>
      </c>
      <c r="P74" s="220">
        <v>111201</v>
      </c>
    </row>
    <row r="75" spans="1:26" x14ac:dyDescent="0.3">
      <c r="A75" s="54">
        <v>2022</v>
      </c>
      <c r="B75" s="55" t="s">
        <v>28</v>
      </c>
      <c r="C75" s="100" t="s">
        <v>12</v>
      </c>
      <c r="D75" s="219">
        <v>992969</v>
      </c>
      <c r="E75" s="219">
        <v>19145</v>
      </c>
      <c r="F75" s="386">
        <v>80626</v>
      </c>
      <c r="G75" s="386"/>
      <c r="H75" s="386">
        <f t="shared" si="16"/>
        <v>338641</v>
      </c>
      <c r="I75" s="69">
        <f t="shared" si="17"/>
        <v>0</v>
      </c>
      <c r="J75" s="69">
        <f t="shared" si="18"/>
        <v>338641</v>
      </c>
      <c r="K75" s="150">
        <v>0</v>
      </c>
      <c r="L75" s="150">
        <v>78633</v>
      </c>
      <c r="M75" s="68">
        <v>0</v>
      </c>
      <c r="N75" s="68">
        <v>155259</v>
      </c>
      <c r="O75" s="150">
        <v>0</v>
      </c>
      <c r="P75" s="220">
        <v>104749</v>
      </c>
    </row>
    <row r="76" spans="1:26" x14ac:dyDescent="0.3">
      <c r="A76" s="54">
        <v>2022</v>
      </c>
      <c r="B76" s="55" t="s">
        <v>29</v>
      </c>
      <c r="C76" s="100" t="s">
        <v>12</v>
      </c>
      <c r="D76" s="219">
        <v>737835</v>
      </c>
      <c r="E76" s="219">
        <v>12519</v>
      </c>
      <c r="F76" s="386">
        <v>65374</v>
      </c>
      <c r="G76" s="386"/>
      <c r="H76" s="386">
        <f t="shared" si="16"/>
        <v>234363</v>
      </c>
      <c r="I76" s="69">
        <f t="shared" si="17"/>
        <v>89277</v>
      </c>
      <c r="J76" s="69">
        <f t="shared" si="18"/>
        <v>145086</v>
      </c>
      <c r="K76" s="150">
        <v>21733</v>
      </c>
      <c r="L76" s="150">
        <v>34957</v>
      </c>
      <c r="M76" s="68">
        <v>38209</v>
      </c>
      <c r="N76" s="150">
        <v>64598</v>
      </c>
      <c r="O76" s="150">
        <v>29335</v>
      </c>
      <c r="P76" s="220">
        <v>45531</v>
      </c>
    </row>
    <row r="77" spans="1:26" x14ac:dyDescent="0.3">
      <c r="A77" s="54">
        <v>2022</v>
      </c>
      <c r="B77" s="55" t="s">
        <v>30</v>
      </c>
      <c r="C77" s="100" t="s">
        <v>12</v>
      </c>
      <c r="D77" s="219">
        <v>661603</v>
      </c>
      <c r="E77" s="219">
        <v>12336</v>
      </c>
      <c r="F77" s="386">
        <v>67083</v>
      </c>
      <c r="G77" s="386"/>
      <c r="H77" s="386">
        <f t="shared" si="16"/>
        <v>207846</v>
      </c>
      <c r="I77" s="69">
        <f t="shared" si="17"/>
        <v>207101</v>
      </c>
      <c r="J77" s="69">
        <f t="shared" si="18"/>
        <v>745</v>
      </c>
      <c r="K77" s="150">
        <v>49940</v>
      </c>
      <c r="L77" s="150">
        <v>197</v>
      </c>
      <c r="M77" s="68">
        <v>89444</v>
      </c>
      <c r="N77" s="150">
        <v>337</v>
      </c>
      <c r="O77" s="150">
        <v>67717</v>
      </c>
      <c r="P77" s="220">
        <v>211</v>
      </c>
    </row>
    <row r="78" spans="1:26" x14ac:dyDescent="0.3">
      <c r="A78" s="58">
        <v>2022</v>
      </c>
      <c r="B78" s="59" t="s">
        <v>31</v>
      </c>
      <c r="C78" s="101" t="s">
        <v>12</v>
      </c>
      <c r="D78" s="221">
        <v>824311</v>
      </c>
      <c r="E78" s="221">
        <v>4302</v>
      </c>
      <c r="F78" s="387">
        <v>92722</v>
      </c>
      <c r="G78" s="387"/>
      <c r="H78" s="387">
        <f t="shared" si="16"/>
        <v>261332</v>
      </c>
      <c r="I78" s="70">
        <f t="shared" si="17"/>
        <v>261323</v>
      </c>
      <c r="J78" s="70">
        <f t="shared" si="18"/>
        <v>9</v>
      </c>
      <c r="K78" s="222">
        <v>61986</v>
      </c>
      <c r="L78" s="222">
        <v>0</v>
      </c>
      <c r="M78" s="102">
        <v>115678</v>
      </c>
      <c r="N78" s="222">
        <v>0</v>
      </c>
      <c r="O78" s="222">
        <v>83659</v>
      </c>
      <c r="P78" s="223">
        <v>9</v>
      </c>
    </row>
    <row r="79" spans="1:26" x14ac:dyDescent="0.3">
      <c r="A79" s="540" t="s">
        <v>99</v>
      </c>
      <c r="B79" s="541"/>
      <c r="C79" s="541"/>
      <c r="D79" s="166">
        <f>SUM(D67:D78)</f>
        <v>10580246</v>
      </c>
      <c r="E79" s="166">
        <f>SUM(E67:E78)</f>
        <v>171292</v>
      </c>
      <c r="F79" s="166">
        <f>SUM(F67:F78)</f>
        <v>985849</v>
      </c>
      <c r="G79" s="166">
        <f>SUM(G67:G78)</f>
        <v>0</v>
      </c>
      <c r="H79" s="166">
        <f>SUM(H67:H78)</f>
        <v>3448089</v>
      </c>
      <c r="I79" s="166">
        <f t="shared" ref="I79:N79" si="19">SUM(I67:I78)</f>
        <v>2082971</v>
      </c>
      <c r="J79" s="166">
        <f t="shared" si="19"/>
        <v>1365118</v>
      </c>
      <c r="K79" s="166">
        <f t="shared" si="19"/>
        <v>509177</v>
      </c>
      <c r="L79" s="166">
        <f t="shared" si="19"/>
        <v>316897</v>
      </c>
      <c r="M79" s="166">
        <f t="shared" si="19"/>
        <v>905676</v>
      </c>
      <c r="N79" s="68">
        <f t="shared" si="19"/>
        <v>622494</v>
      </c>
      <c r="O79" s="166">
        <f>SUM(O67:O78)</f>
        <v>668118</v>
      </c>
      <c r="P79" s="166">
        <f>SUM(P67:P78)</f>
        <v>425727</v>
      </c>
    </row>
    <row r="80" spans="1:26" x14ac:dyDescent="0.3">
      <c r="A80" s="344"/>
      <c r="B80" s="344"/>
      <c r="C80" s="344"/>
      <c r="D80" s="344"/>
      <c r="E80" s="344"/>
      <c r="F80" s="365"/>
      <c r="G80" s="365"/>
      <c r="H80" s="344"/>
      <c r="I80" s="344"/>
      <c r="J80" s="344"/>
      <c r="K80" s="344"/>
      <c r="L80" s="344"/>
      <c r="M80" s="344"/>
      <c r="N80" s="344"/>
      <c r="O80" s="344"/>
    </row>
    <row r="81" spans="1:16" ht="36.6" x14ac:dyDescent="0.3">
      <c r="A81" s="96" t="s">
        <v>18</v>
      </c>
      <c r="B81" s="96" t="s">
        <v>19</v>
      </c>
      <c r="C81" s="97" t="s">
        <v>0</v>
      </c>
      <c r="D81" s="97" t="s">
        <v>11</v>
      </c>
      <c r="E81" s="97" t="s">
        <v>98</v>
      </c>
      <c r="F81" s="385" t="s">
        <v>158</v>
      </c>
      <c r="G81" s="385"/>
      <c r="H81" s="97" t="s">
        <v>79</v>
      </c>
      <c r="I81" s="97" t="s">
        <v>13</v>
      </c>
      <c r="J81" s="97" t="s">
        <v>14</v>
      </c>
      <c r="K81" s="159" t="s">
        <v>100</v>
      </c>
      <c r="L81" s="159" t="s">
        <v>101</v>
      </c>
      <c r="M81" s="159" t="s">
        <v>82</v>
      </c>
      <c r="N81" s="159" t="s">
        <v>83</v>
      </c>
      <c r="O81" s="159" t="s">
        <v>102</v>
      </c>
      <c r="P81" s="159" t="s">
        <v>103</v>
      </c>
    </row>
    <row r="82" spans="1:16" x14ac:dyDescent="0.3">
      <c r="A82" s="50">
        <v>2021</v>
      </c>
      <c r="B82" s="51" t="s">
        <v>20</v>
      </c>
      <c r="C82" s="98" t="s">
        <v>12</v>
      </c>
      <c r="D82" s="218">
        <v>1203401</v>
      </c>
      <c r="E82" s="218">
        <v>4593</v>
      </c>
      <c r="F82" s="386">
        <v>112426</v>
      </c>
      <c r="G82" s="386"/>
      <c r="H82" s="386">
        <f>I82+J82</f>
        <v>379525</v>
      </c>
      <c r="I82" s="69">
        <f>K82+M82+O82</f>
        <v>379525</v>
      </c>
      <c r="J82" s="69">
        <f>L82+N82+P82</f>
        <v>0</v>
      </c>
      <c r="K82" s="150">
        <v>91678</v>
      </c>
      <c r="L82" s="150"/>
      <c r="M82" s="68">
        <v>167920</v>
      </c>
      <c r="N82" s="150"/>
      <c r="O82" s="150">
        <v>119927</v>
      </c>
      <c r="P82" s="220"/>
    </row>
    <row r="83" spans="1:16" x14ac:dyDescent="0.3">
      <c r="A83" s="54">
        <v>2021</v>
      </c>
      <c r="B83" s="55" t="s">
        <v>21</v>
      </c>
      <c r="C83" s="100" t="s">
        <v>12</v>
      </c>
      <c r="D83" s="219">
        <v>1035502</v>
      </c>
      <c r="E83" s="219">
        <v>4202</v>
      </c>
      <c r="F83" s="386">
        <v>102723</v>
      </c>
      <c r="G83" s="386"/>
      <c r="H83" s="386">
        <f t="shared" ref="H83:H93" si="20">I83+J83</f>
        <v>340591</v>
      </c>
      <c r="I83" s="69">
        <f t="shared" ref="I83:I93" si="21">K83+M83+O83</f>
        <v>340591</v>
      </c>
      <c r="J83" s="69">
        <f t="shared" ref="J83:J93" si="22">L83+N83+P83</f>
        <v>0</v>
      </c>
      <c r="K83" s="150">
        <v>84491</v>
      </c>
      <c r="L83" s="150"/>
      <c r="M83" s="68">
        <v>148113</v>
      </c>
      <c r="N83" s="150"/>
      <c r="O83" s="150">
        <v>107987</v>
      </c>
      <c r="P83" s="220"/>
    </row>
    <row r="84" spans="1:16" x14ac:dyDescent="0.3">
      <c r="A84" s="54">
        <v>2021</v>
      </c>
      <c r="B84" s="55" t="s">
        <v>22</v>
      </c>
      <c r="C84" s="100" t="s">
        <v>12</v>
      </c>
      <c r="D84" s="219">
        <v>994264</v>
      </c>
      <c r="E84" s="219">
        <v>11467</v>
      </c>
      <c r="F84" s="386">
        <v>92262</v>
      </c>
      <c r="G84" s="386"/>
      <c r="H84" s="386">
        <f t="shared" si="20"/>
        <v>317690</v>
      </c>
      <c r="I84" s="69">
        <f t="shared" si="21"/>
        <v>317690</v>
      </c>
      <c r="J84" s="69">
        <f t="shared" si="22"/>
        <v>0</v>
      </c>
      <c r="K84" s="150">
        <v>79175</v>
      </c>
      <c r="L84" s="150"/>
      <c r="M84" s="68">
        <v>135679</v>
      </c>
      <c r="N84" s="150"/>
      <c r="O84" s="150">
        <v>102836</v>
      </c>
      <c r="P84" s="220"/>
    </row>
    <row r="85" spans="1:16" x14ac:dyDescent="0.3">
      <c r="A85" s="54">
        <v>2021</v>
      </c>
      <c r="B85" s="55" t="s">
        <v>23</v>
      </c>
      <c r="C85" s="100" t="s">
        <v>12</v>
      </c>
      <c r="D85" s="219">
        <v>901893</v>
      </c>
      <c r="E85" s="219">
        <v>18140</v>
      </c>
      <c r="F85" s="386">
        <v>77344</v>
      </c>
      <c r="G85" s="386"/>
      <c r="H85" s="386">
        <f t="shared" si="20"/>
        <v>292654</v>
      </c>
      <c r="I85" s="69">
        <f t="shared" si="21"/>
        <v>292654</v>
      </c>
      <c r="J85" s="69">
        <f t="shared" si="22"/>
        <v>0</v>
      </c>
      <c r="K85" s="150">
        <v>74623</v>
      </c>
      <c r="L85" s="150"/>
      <c r="M85" s="68">
        <v>124524</v>
      </c>
      <c r="N85" s="150"/>
      <c r="O85" s="150">
        <v>93507</v>
      </c>
      <c r="P85" s="220"/>
    </row>
    <row r="86" spans="1:16" x14ac:dyDescent="0.3">
      <c r="A86" s="54">
        <v>2021</v>
      </c>
      <c r="B86" s="55" t="s">
        <v>24</v>
      </c>
      <c r="C86" s="100" t="s">
        <v>12</v>
      </c>
      <c r="D86" s="219">
        <v>755014</v>
      </c>
      <c r="E86" s="219">
        <v>20567</v>
      </c>
      <c r="F86" s="386">
        <v>67278</v>
      </c>
      <c r="G86" s="386"/>
      <c r="H86" s="386">
        <f t="shared" si="20"/>
        <v>245116</v>
      </c>
      <c r="I86" s="69">
        <f t="shared" si="21"/>
        <v>244496</v>
      </c>
      <c r="J86" s="69">
        <f t="shared" si="22"/>
        <v>620</v>
      </c>
      <c r="K86" s="150">
        <v>61307</v>
      </c>
      <c r="L86" s="150">
        <v>146</v>
      </c>
      <c r="M86" s="68">
        <v>105787</v>
      </c>
      <c r="N86" s="150">
        <v>257</v>
      </c>
      <c r="O86" s="150">
        <v>77402</v>
      </c>
      <c r="P86" s="220">
        <v>217</v>
      </c>
    </row>
    <row r="87" spans="1:16" x14ac:dyDescent="0.3">
      <c r="A87" s="54">
        <v>2021</v>
      </c>
      <c r="B87" s="55" t="s">
        <v>25</v>
      </c>
      <c r="C87" s="100" t="s">
        <v>12</v>
      </c>
      <c r="D87" s="219">
        <v>991433</v>
      </c>
      <c r="E87" s="219">
        <v>24700</v>
      </c>
      <c r="F87" s="386">
        <v>88249</v>
      </c>
      <c r="G87" s="386"/>
      <c r="H87" s="386">
        <f t="shared" si="20"/>
        <v>327478</v>
      </c>
      <c r="I87" s="69">
        <f t="shared" si="21"/>
        <v>0</v>
      </c>
      <c r="J87" s="69">
        <f t="shared" si="22"/>
        <v>327478</v>
      </c>
      <c r="K87" s="150"/>
      <c r="L87" s="150">
        <v>78730</v>
      </c>
      <c r="M87" s="68"/>
      <c r="N87" s="68">
        <v>148092</v>
      </c>
      <c r="O87" s="150"/>
      <c r="P87" s="220">
        <v>100656</v>
      </c>
    </row>
    <row r="88" spans="1:16" x14ac:dyDescent="0.3">
      <c r="A88" s="54">
        <v>2021</v>
      </c>
      <c r="B88" s="55" t="s">
        <v>26</v>
      </c>
      <c r="C88" s="100" t="s">
        <v>12</v>
      </c>
      <c r="D88" s="219">
        <v>1202285</v>
      </c>
      <c r="E88" s="219">
        <v>27390</v>
      </c>
      <c r="F88" s="386">
        <v>103367</v>
      </c>
      <c r="G88" s="386"/>
      <c r="H88" s="386">
        <f t="shared" si="20"/>
        <v>424698</v>
      </c>
      <c r="I88" s="69">
        <f t="shared" si="21"/>
        <v>0</v>
      </c>
      <c r="J88" s="69">
        <f t="shared" si="22"/>
        <v>424698</v>
      </c>
      <c r="K88" s="150"/>
      <c r="L88" s="150">
        <v>100695</v>
      </c>
      <c r="M88" s="68"/>
      <c r="N88" s="68">
        <v>194661</v>
      </c>
      <c r="O88" s="150"/>
      <c r="P88" s="220">
        <v>129342</v>
      </c>
    </row>
    <row r="89" spans="1:16" x14ac:dyDescent="0.3">
      <c r="A89" s="54">
        <v>2021</v>
      </c>
      <c r="B89" s="55" t="s">
        <v>27</v>
      </c>
      <c r="C89" s="100" t="s">
        <v>12</v>
      </c>
      <c r="D89" s="219">
        <v>1171189</v>
      </c>
      <c r="E89" s="219">
        <v>23864</v>
      </c>
      <c r="F89" s="386">
        <v>103756</v>
      </c>
      <c r="G89" s="386"/>
      <c r="H89" s="386">
        <f t="shared" si="20"/>
        <v>414412</v>
      </c>
      <c r="I89" s="69">
        <f t="shared" si="21"/>
        <v>0</v>
      </c>
      <c r="J89" s="69">
        <f t="shared" si="22"/>
        <v>414412</v>
      </c>
      <c r="K89" s="150"/>
      <c r="L89" s="150">
        <v>96138</v>
      </c>
      <c r="M89" s="68"/>
      <c r="N89" s="68">
        <v>191062</v>
      </c>
      <c r="O89" s="150"/>
      <c r="P89" s="220">
        <v>127212</v>
      </c>
    </row>
    <row r="90" spans="1:16" x14ac:dyDescent="0.3">
      <c r="A90" s="54">
        <v>2021</v>
      </c>
      <c r="B90" s="55" t="s">
        <v>28</v>
      </c>
      <c r="C90" s="100" t="s">
        <v>12</v>
      </c>
      <c r="D90" s="219">
        <v>1220925</v>
      </c>
      <c r="E90" s="219">
        <v>24168</v>
      </c>
      <c r="F90" s="386">
        <v>104174</v>
      </c>
      <c r="G90" s="386"/>
      <c r="H90" s="386">
        <f t="shared" si="20"/>
        <v>412160</v>
      </c>
      <c r="I90" s="69">
        <f t="shared" si="21"/>
        <v>80</v>
      </c>
      <c r="J90" s="69">
        <f t="shared" si="22"/>
        <v>412080</v>
      </c>
      <c r="K90" s="150">
        <v>22</v>
      </c>
      <c r="L90" s="150">
        <v>96309</v>
      </c>
      <c r="M90" s="68">
        <v>37</v>
      </c>
      <c r="N90" s="68">
        <v>189580</v>
      </c>
      <c r="O90" s="150">
        <v>21</v>
      </c>
      <c r="P90" s="220">
        <v>126191</v>
      </c>
    </row>
    <row r="91" spans="1:16" x14ac:dyDescent="0.3">
      <c r="A91" s="54">
        <v>2021</v>
      </c>
      <c r="B91" s="55" t="s">
        <v>29</v>
      </c>
      <c r="C91" s="100" t="s">
        <v>12</v>
      </c>
      <c r="D91" s="219">
        <v>812699</v>
      </c>
      <c r="E91" s="219">
        <v>15932</v>
      </c>
      <c r="F91" s="386">
        <v>70334</v>
      </c>
      <c r="G91" s="386"/>
      <c r="H91" s="386">
        <f t="shared" si="20"/>
        <v>263424</v>
      </c>
      <c r="I91" s="69">
        <f t="shared" si="21"/>
        <v>110838</v>
      </c>
      <c r="J91" s="69">
        <f t="shared" si="22"/>
        <v>152586</v>
      </c>
      <c r="K91" s="150">
        <v>26958</v>
      </c>
      <c r="L91" s="150">
        <v>35902</v>
      </c>
      <c r="M91" s="68">
        <v>48532</v>
      </c>
      <c r="N91" s="150">
        <v>69179</v>
      </c>
      <c r="O91" s="150">
        <v>35348</v>
      </c>
      <c r="P91" s="220">
        <v>47505</v>
      </c>
    </row>
    <row r="92" spans="1:16" x14ac:dyDescent="0.3">
      <c r="A92" s="54">
        <v>2021</v>
      </c>
      <c r="B92" s="55" t="s">
        <v>30</v>
      </c>
      <c r="C92" s="100" t="s">
        <v>12</v>
      </c>
      <c r="D92" s="219">
        <v>735520</v>
      </c>
      <c r="E92" s="219">
        <v>11044</v>
      </c>
      <c r="F92" s="386">
        <v>77849</v>
      </c>
      <c r="G92" s="386"/>
      <c r="H92" s="386">
        <f t="shared" si="20"/>
        <v>232415</v>
      </c>
      <c r="I92" s="69">
        <f t="shared" si="21"/>
        <v>232409</v>
      </c>
      <c r="J92" s="69">
        <f t="shared" si="22"/>
        <v>6</v>
      </c>
      <c r="K92" s="150">
        <v>56561</v>
      </c>
      <c r="L92" s="150">
        <v>0</v>
      </c>
      <c r="M92" s="68">
        <v>100059</v>
      </c>
      <c r="N92" s="150">
        <v>0</v>
      </c>
      <c r="O92" s="150">
        <v>75789</v>
      </c>
      <c r="P92" s="220">
        <v>6</v>
      </c>
    </row>
    <row r="93" spans="1:16" x14ac:dyDescent="0.3">
      <c r="A93" s="58">
        <v>2021</v>
      </c>
      <c r="B93" s="59" t="s">
        <v>31</v>
      </c>
      <c r="C93" s="101" t="s">
        <v>12</v>
      </c>
      <c r="D93" s="221">
        <v>862026</v>
      </c>
      <c r="E93" s="221">
        <v>6649</v>
      </c>
      <c r="F93" s="387">
        <v>92806</v>
      </c>
      <c r="G93" s="387"/>
      <c r="H93" s="387">
        <f t="shared" si="20"/>
        <v>272069</v>
      </c>
      <c r="I93" s="70">
        <f t="shared" si="21"/>
        <v>272062</v>
      </c>
      <c r="J93" s="70">
        <f t="shared" si="22"/>
        <v>7</v>
      </c>
      <c r="K93" s="222">
        <v>64317</v>
      </c>
      <c r="L93" s="222">
        <v>0</v>
      </c>
      <c r="M93" s="102">
        <v>119552</v>
      </c>
      <c r="N93" s="222">
        <v>0</v>
      </c>
      <c r="O93" s="222">
        <v>88193</v>
      </c>
      <c r="P93" s="223">
        <v>7</v>
      </c>
    </row>
    <row r="94" spans="1:16" x14ac:dyDescent="0.3">
      <c r="A94" s="540" t="s">
        <v>99</v>
      </c>
      <c r="B94" s="541"/>
      <c r="C94" s="541"/>
      <c r="D94" s="166">
        <f t="shared" ref="D94:N94" si="23">SUM(D82:D93)</f>
        <v>11886151</v>
      </c>
      <c r="E94" s="166">
        <f t="shared" si="23"/>
        <v>192716</v>
      </c>
      <c r="F94" s="166">
        <f t="shared" si="23"/>
        <v>1092568</v>
      </c>
      <c r="G94" s="166">
        <f t="shared" si="23"/>
        <v>0</v>
      </c>
      <c r="H94" s="166">
        <f t="shared" si="23"/>
        <v>3922232</v>
      </c>
      <c r="I94" s="166">
        <f t="shared" si="23"/>
        <v>2190345</v>
      </c>
      <c r="J94" s="166">
        <f t="shared" si="23"/>
        <v>1731887</v>
      </c>
      <c r="K94" s="166">
        <f t="shared" si="23"/>
        <v>539132</v>
      </c>
      <c r="L94" s="166">
        <f t="shared" si="23"/>
        <v>407920</v>
      </c>
      <c r="M94" s="166">
        <f t="shared" si="23"/>
        <v>950203</v>
      </c>
      <c r="N94" s="68">
        <f t="shared" si="23"/>
        <v>792831</v>
      </c>
      <c r="O94" s="166">
        <f>SUM(O82:O93)</f>
        <v>701010</v>
      </c>
      <c r="P94" s="166">
        <f>SUM(P82:P93)</f>
        <v>531136</v>
      </c>
    </row>
    <row r="95" spans="1:16" x14ac:dyDescent="0.3">
      <c r="A95" s="327"/>
      <c r="B95" s="327"/>
      <c r="C95" s="327"/>
      <c r="D95" s="327"/>
      <c r="E95" s="327"/>
      <c r="F95" s="365"/>
      <c r="G95" s="365"/>
      <c r="H95" s="327"/>
      <c r="I95" s="327"/>
      <c r="J95" s="327"/>
      <c r="K95" s="327"/>
      <c r="L95" s="327"/>
      <c r="M95" s="327"/>
      <c r="N95" s="327"/>
      <c r="O95" s="327"/>
    </row>
    <row r="96" spans="1:16" ht="36.6" x14ac:dyDescent="0.3">
      <c r="A96" s="96" t="s">
        <v>18</v>
      </c>
      <c r="B96" s="96" t="s">
        <v>19</v>
      </c>
      <c r="C96" s="97" t="s">
        <v>0</v>
      </c>
      <c r="D96" s="97" t="s">
        <v>11</v>
      </c>
      <c r="E96" s="97" t="s">
        <v>98</v>
      </c>
      <c r="F96" s="385" t="s">
        <v>158</v>
      </c>
      <c r="G96" s="385"/>
      <c r="H96" s="97" t="s">
        <v>79</v>
      </c>
      <c r="I96" s="97" t="s">
        <v>13</v>
      </c>
      <c r="J96" s="97" t="s">
        <v>14</v>
      </c>
      <c r="K96" s="159" t="s">
        <v>100</v>
      </c>
      <c r="L96" s="159" t="s">
        <v>101</v>
      </c>
      <c r="M96" s="159" t="s">
        <v>82</v>
      </c>
      <c r="N96" s="159" t="s">
        <v>83</v>
      </c>
      <c r="O96" s="159" t="s">
        <v>102</v>
      </c>
      <c r="P96" s="159" t="s">
        <v>103</v>
      </c>
    </row>
    <row r="97" spans="1:16" x14ac:dyDescent="0.3">
      <c r="A97" s="50">
        <v>2020</v>
      </c>
      <c r="B97" s="51" t="s">
        <v>20</v>
      </c>
      <c r="C97" s="98" t="s">
        <v>12</v>
      </c>
      <c r="D97" s="218">
        <v>1075784</v>
      </c>
      <c r="E97" s="218"/>
      <c r="F97" s="218">
        <v>102802</v>
      </c>
      <c r="G97" s="218"/>
      <c r="H97" s="218">
        <f>I97+J97</f>
        <v>331223</v>
      </c>
      <c r="I97" s="69">
        <f>K97+M97+O97</f>
        <v>331223</v>
      </c>
      <c r="J97" s="68">
        <f>L97+N97+P97</f>
        <v>0</v>
      </c>
      <c r="K97" s="150">
        <v>78548</v>
      </c>
      <c r="L97" s="150"/>
      <c r="M97" s="68">
        <v>145398</v>
      </c>
      <c r="N97" s="150"/>
      <c r="O97" s="150">
        <v>107277</v>
      </c>
      <c r="P97" s="220"/>
    </row>
    <row r="98" spans="1:16" x14ac:dyDescent="0.3">
      <c r="A98" s="54">
        <v>2020</v>
      </c>
      <c r="B98" s="55" t="s">
        <v>21</v>
      </c>
      <c r="C98" s="100" t="s">
        <v>12</v>
      </c>
      <c r="D98" s="219">
        <v>1019927</v>
      </c>
      <c r="E98" s="219"/>
      <c r="F98" s="219">
        <v>96148</v>
      </c>
      <c r="G98" s="219"/>
      <c r="H98" s="219">
        <f t="shared" ref="H98:H108" si="24">I98+J98</f>
        <v>321367</v>
      </c>
      <c r="I98" s="69">
        <f t="shared" ref="I98:I108" si="25">K98+M98+O98</f>
        <v>321367</v>
      </c>
      <c r="J98" s="68">
        <f t="shared" ref="J98:J108" si="26">L98+N98+P98</f>
        <v>0</v>
      </c>
      <c r="K98" s="150">
        <v>77627</v>
      </c>
      <c r="L98" s="150"/>
      <c r="M98" s="68">
        <v>138406</v>
      </c>
      <c r="N98" s="150"/>
      <c r="O98" s="150">
        <v>105334</v>
      </c>
      <c r="P98" s="220"/>
    </row>
    <row r="99" spans="1:16" x14ac:dyDescent="0.3">
      <c r="A99" s="54">
        <v>2020</v>
      </c>
      <c r="B99" s="55" t="s">
        <v>22</v>
      </c>
      <c r="C99" s="100" t="s">
        <v>12</v>
      </c>
      <c r="D99" s="219">
        <v>893672</v>
      </c>
      <c r="E99" s="219"/>
      <c r="F99" s="219">
        <v>82086</v>
      </c>
      <c r="G99" s="219"/>
      <c r="H99" s="219">
        <f t="shared" si="24"/>
        <v>280195</v>
      </c>
      <c r="I99" s="69">
        <f t="shared" si="25"/>
        <v>280195</v>
      </c>
      <c r="J99" s="68">
        <f t="shared" si="26"/>
        <v>0</v>
      </c>
      <c r="K99" s="150">
        <v>68399</v>
      </c>
      <c r="L99" s="150"/>
      <c r="M99" s="68">
        <v>118125</v>
      </c>
      <c r="N99" s="150"/>
      <c r="O99" s="150">
        <v>93671</v>
      </c>
      <c r="P99" s="220"/>
    </row>
    <row r="100" spans="1:16" x14ac:dyDescent="0.3">
      <c r="A100" s="54">
        <v>2020</v>
      </c>
      <c r="B100" s="55" t="s">
        <v>23</v>
      </c>
      <c r="C100" s="100" t="s">
        <v>12</v>
      </c>
      <c r="D100" s="219">
        <v>889109</v>
      </c>
      <c r="E100" s="219"/>
      <c r="F100" s="219">
        <v>77393</v>
      </c>
      <c r="G100" s="219"/>
      <c r="H100" s="219">
        <f t="shared" si="24"/>
        <v>294875</v>
      </c>
      <c r="I100" s="69">
        <f t="shared" si="25"/>
        <v>294875</v>
      </c>
      <c r="J100" s="68">
        <f t="shared" si="26"/>
        <v>0</v>
      </c>
      <c r="K100" s="150">
        <v>76270</v>
      </c>
      <c r="L100" s="150"/>
      <c r="M100" s="68">
        <v>126483</v>
      </c>
      <c r="N100" s="150"/>
      <c r="O100" s="150">
        <v>92122</v>
      </c>
      <c r="P100" s="220"/>
    </row>
    <row r="101" spans="1:16" x14ac:dyDescent="0.3">
      <c r="A101" s="54">
        <v>2020</v>
      </c>
      <c r="B101" s="55" t="s">
        <v>24</v>
      </c>
      <c r="C101" s="100" t="s">
        <v>12</v>
      </c>
      <c r="D101" s="219">
        <v>839460</v>
      </c>
      <c r="E101" s="219"/>
      <c r="F101" s="219">
        <v>68544</v>
      </c>
      <c r="G101" s="219"/>
      <c r="H101" s="219">
        <f t="shared" si="24"/>
        <v>279072</v>
      </c>
      <c r="I101" s="69">
        <f t="shared" si="25"/>
        <v>279072</v>
      </c>
      <c r="J101" s="68">
        <f t="shared" si="26"/>
        <v>0</v>
      </c>
      <c r="K101" s="150">
        <v>71989</v>
      </c>
      <c r="L101" s="150"/>
      <c r="M101" s="68">
        <v>121006</v>
      </c>
      <c r="N101" s="150"/>
      <c r="O101" s="150">
        <v>86077</v>
      </c>
      <c r="P101" s="220"/>
    </row>
    <row r="102" spans="1:16" x14ac:dyDescent="0.3">
      <c r="A102" s="54">
        <v>2020</v>
      </c>
      <c r="B102" s="55" t="s">
        <v>25</v>
      </c>
      <c r="C102" s="100" t="s">
        <v>12</v>
      </c>
      <c r="D102" s="219">
        <v>1030606</v>
      </c>
      <c r="E102" s="219"/>
      <c r="F102" s="219">
        <v>81302</v>
      </c>
      <c r="G102" s="219"/>
      <c r="H102" s="219">
        <f t="shared" si="24"/>
        <v>356195</v>
      </c>
      <c r="I102" s="69">
        <f t="shared" si="25"/>
        <v>122</v>
      </c>
      <c r="J102" s="68">
        <f t="shared" si="26"/>
        <v>356073</v>
      </c>
      <c r="K102" s="150">
        <v>33</v>
      </c>
      <c r="L102" s="150">
        <v>86286</v>
      </c>
      <c r="M102" s="68">
        <v>56</v>
      </c>
      <c r="N102" s="68">
        <v>160653</v>
      </c>
      <c r="O102" s="150">
        <v>33</v>
      </c>
      <c r="P102" s="220">
        <v>109134</v>
      </c>
    </row>
    <row r="103" spans="1:16" x14ac:dyDescent="0.3">
      <c r="A103" s="54">
        <v>2020</v>
      </c>
      <c r="B103" s="55" t="s">
        <v>26</v>
      </c>
      <c r="C103" s="100" t="s">
        <v>12</v>
      </c>
      <c r="D103" s="219">
        <v>1378429</v>
      </c>
      <c r="E103" s="219"/>
      <c r="F103" s="219">
        <v>109012</v>
      </c>
      <c r="G103" s="219"/>
      <c r="H103" s="219">
        <f t="shared" si="24"/>
        <v>507033</v>
      </c>
      <c r="I103" s="69">
        <f t="shared" si="25"/>
        <v>0</v>
      </c>
      <c r="J103" s="68">
        <f t="shared" si="26"/>
        <v>507033</v>
      </c>
      <c r="K103" s="150"/>
      <c r="L103" s="150">
        <v>120878</v>
      </c>
      <c r="M103" s="68"/>
      <c r="N103" s="68">
        <v>234916</v>
      </c>
      <c r="O103" s="150"/>
      <c r="P103" s="220">
        <v>151239</v>
      </c>
    </row>
    <row r="104" spans="1:16" x14ac:dyDescent="0.3">
      <c r="A104" s="54">
        <v>2020</v>
      </c>
      <c r="B104" s="55" t="s">
        <v>27</v>
      </c>
      <c r="C104" s="100" t="s">
        <v>12</v>
      </c>
      <c r="D104" s="219">
        <v>1409998</v>
      </c>
      <c r="E104" s="219">
        <v>5772</v>
      </c>
      <c r="F104" s="219">
        <v>109960</v>
      </c>
      <c r="G104" s="219"/>
      <c r="H104" s="219">
        <f t="shared" si="24"/>
        <v>496400</v>
      </c>
      <c r="I104" s="69">
        <f t="shared" si="25"/>
        <v>0</v>
      </c>
      <c r="J104" s="68">
        <f t="shared" si="26"/>
        <v>496400</v>
      </c>
      <c r="K104" s="150"/>
      <c r="L104" s="150">
        <v>116424</v>
      </c>
      <c r="M104" s="68"/>
      <c r="N104" s="68">
        <v>230849</v>
      </c>
      <c r="O104" s="150"/>
      <c r="P104" s="220">
        <v>149127</v>
      </c>
    </row>
    <row r="105" spans="1:16" x14ac:dyDescent="0.3">
      <c r="A105" s="54">
        <v>2020</v>
      </c>
      <c r="B105" s="55" t="s">
        <v>28</v>
      </c>
      <c r="C105" s="100" t="s">
        <v>12</v>
      </c>
      <c r="D105" s="219">
        <v>1193560</v>
      </c>
      <c r="E105" s="219">
        <v>15834</v>
      </c>
      <c r="F105" s="219">
        <v>88494</v>
      </c>
      <c r="G105" s="219"/>
      <c r="H105" s="219">
        <f t="shared" si="24"/>
        <v>417610</v>
      </c>
      <c r="I105" s="69">
        <f t="shared" si="25"/>
        <v>0</v>
      </c>
      <c r="J105" s="68">
        <f t="shared" si="26"/>
        <v>417610</v>
      </c>
      <c r="K105" s="150"/>
      <c r="L105" s="150">
        <v>99203</v>
      </c>
      <c r="M105" s="68"/>
      <c r="N105" s="68">
        <v>192431</v>
      </c>
      <c r="O105" s="150"/>
      <c r="P105" s="220">
        <v>125976</v>
      </c>
    </row>
    <row r="106" spans="1:16" x14ac:dyDescent="0.3">
      <c r="A106" s="54">
        <v>2020</v>
      </c>
      <c r="B106" s="55" t="s">
        <v>29</v>
      </c>
      <c r="C106" s="100" t="s">
        <v>12</v>
      </c>
      <c r="D106" s="219">
        <v>933295</v>
      </c>
      <c r="E106" s="219">
        <v>10865</v>
      </c>
      <c r="F106" s="219">
        <v>75743</v>
      </c>
      <c r="G106" s="219"/>
      <c r="H106" s="219">
        <f t="shared" si="24"/>
        <v>317654</v>
      </c>
      <c r="I106" s="69">
        <f t="shared" si="25"/>
        <v>317654</v>
      </c>
      <c r="J106" s="68">
        <f t="shared" si="26"/>
        <v>0</v>
      </c>
      <c r="K106" s="150">
        <v>79863</v>
      </c>
      <c r="L106" s="150"/>
      <c r="M106" s="68">
        <v>139218</v>
      </c>
      <c r="N106" s="150"/>
      <c r="O106" s="150">
        <v>98573</v>
      </c>
      <c r="P106" s="220"/>
    </row>
    <row r="107" spans="1:16" x14ac:dyDescent="0.3">
      <c r="A107" s="54">
        <v>2020</v>
      </c>
      <c r="B107" s="55" t="s">
        <v>30</v>
      </c>
      <c r="C107" s="100" t="s">
        <v>12</v>
      </c>
      <c r="D107" s="219">
        <v>892176</v>
      </c>
      <c r="E107" s="219">
        <v>8228</v>
      </c>
      <c r="F107" s="219">
        <v>76891</v>
      </c>
      <c r="G107" s="219"/>
      <c r="H107" s="219">
        <f t="shared" si="24"/>
        <v>294721</v>
      </c>
      <c r="I107" s="69">
        <f t="shared" si="25"/>
        <v>294721</v>
      </c>
      <c r="J107" s="68">
        <f t="shared" si="26"/>
        <v>0</v>
      </c>
      <c r="K107" s="150">
        <v>72962</v>
      </c>
      <c r="L107" s="150"/>
      <c r="M107" s="68">
        <v>127758</v>
      </c>
      <c r="N107" s="150"/>
      <c r="O107" s="150">
        <v>94001</v>
      </c>
      <c r="P107" s="220"/>
    </row>
    <row r="108" spans="1:16" x14ac:dyDescent="0.3">
      <c r="A108" s="58">
        <v>2020</v>
      </c>
      <c r="B108" s="59" t="s">
        <v>31</v>
      </c>
      <c r="C108" s="101" t="s">
        <v>12</v>
      </c>
      <c r="D108" s="221">
        <v>1020223</v>
      </c>
      <c r="E108" s="221">
        <v>5922</v>
      </c>
      <c r="F108" s="221">
        <v>92064</v>
      </c>
      <c r="G108" s="221"/>
      <c r="H108" s="221">
        <f t="shared" si="24"/>
        <v>332306</v>
      </c>
      <c r="I108" s="70">
        <f t="shared" si="25"/>
        <v>332306</v>
      </c>
      <c r="J108" s="102">
        <f t="shared" si="26"/>
        <v>0</v>
      </c>
      <c r="K108" s="222">
        <v>79671</v>
      </c>
      <c r="L108" s="222"/>
      <c r="M108" s="102">
        <v>146941</v>
      </c>
      <c r="N108" s="222"/>
      <c r="O108" s="222">
        <v>105694</v>
      </c>
      <c r="P108" s="223"/>
    </row>
    <row r="109" spans="1:16" x14ac:dyDescent="0.3">
      <c r="A109" s="543" t="s">
        <v>86</v>
      </c>
      <c r="B109" s="544"/>
      <c r="C109" s="544"/>
      <c r="D109" s="166">
        <f t="shared" ref="D109:P109" si="27">SUM(D97:D108)</f>
        <v>12576239</v>
      </c>
      <c r="E109" s="166">
        <f t="shared" si="27"/>
        <v>46621</v>
      </c>
      <c r="F109" s="166">
        <f t="shared" si="27"/>
        <v>1060439</v>
      </c>
      <c r="G109" s="166">
        <f t="shared" si="27"/>
        <v>0</v>
      </c>
      <c r="H109" s="166">
        <f t="shared" si="27"/>
        <v>4228651</v>
      </c>
      <c r="I109" s="166">
        <f t="shared" si="27"/>
        <v>2451535</v>
      </c>
      <c r="J109" s="166">
        <f t="shared" si="27"/>
        <v>1777116</v>
      </c>
      <c r="K109" s="166">
        <f t="shared" si="27"/>
        <v>605362</v>
      </c>
      <c r="L109" s="166">
        <f t="shared" si="27"/>
        <v>422791</v>
      </c>
      <c r="M109" s="166">
        <f t="shared" si="27"/>
        <v>1063391</v>
      </c>
      <c r="N109" s="166">
        <f t="shared" si="27"/>
        <v>818849</v>
      </c>
      <c r="O109" s="166">
        <f t="shared" si="27"/>
        <v>782782</v>
      </c>
      <c r="P109" s="166">
        <f t="shared" si="27"/>
        <v>535476</v>
      </c>
    </row>
    <row r="110" spans="1:16" x14ac:dyDescent="0.3">
      <c r="A110" s="315"/>
      <c r="B110" s="315"/>
      <c r="C110" s="315"/>
      <c r="D110" s="315"/>
      <c r="E110" s="327"/>
      <c r="F110" s="365"/>
      <c r="G110" s="365"/>
      <c r="H110" s="315"/>
      <c r="I110" s="315"/>
      <c r="J110" s="315"/>
      <c r="K110" s="315"/>
      <c r="L110" s="315"/>
      <c r="M110" s="315"/>
      <c r="N110" s="315"/>
      <c r="O110" s="315"/>
    </row>
    <row r="111" spans="1:16" x14ac:dyDescent="0.3">
      <c r="A111" s="41" t="s">
        <v>113</v>
      </c>
    </row>
    <row r="112" spans="1:16" x14ac:dyDescent="0.3">
      <c r="A112" s="475" t="s">
        <v>137</v>
      </c>
    </row>
  </sheetData>
  <mergeCells count="11">
    <mergeCell ref="A49:C49"/>
    <mergeCell ref="A64:C64"/>
    <mergeCell ref="A34:C34"/>
    <mergeCell ref="A109:C109"/>
    <mergeCell ref="A94:C94"/>
    <mergeCell ref="A79:C79"/>
    <mergeCell ref="A1:K1"/>
    <mergeCell ref="A2:K2"/>
    <mergeCell ref="A3:K3"/>
    <mergeCell ref="A4:K4"/>
    <mergeCell ref="A19:C19"/>
  </mergeCells>
  <printOptions horizontalCentered="1"/>
  <pageMargins left="0.25" right="0.25" top="0.5" bottom="0.75" header="0.3" footer="0.3"/>
  <pageSetup scale="81" fitToHeight="0" orientation="landscape" r:id="rId1"/>
  <rowBreaks count="3" manualBreakCount="3">
    <brk id="34" max="14" man="1"/>
    <brk id="65" max="14" man="1"/>
    <brk id="95" max="1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55A36-ACD7-4881-A41C-23C8B035C8DB}">
  <sheetPr codeName="Sheet25"/>
  <dimension ref="A1:AA97"/>
  <sheetViews>
    <sheetView zoomScaleNormal="100" workbookViewId="0">
      <selection sqref="A1:L1"/>
    </sheetView>
  </sheetViews>
  <sheetFormatPr defaultColWidth="9.109375" defaultRowHeight="14.4" x14ac:dyDescent="0.3"/>
  <cols>
    <col min="1" max="1" width="9" style="63" customWidth="1"/>
    <col min="2" max="2" width="8.109375" style="63" customWidth="1"/>
    <col min="3" max="3" width="9.109375" style="46" customWidth="1"/>
    <col min="4" max="7" width="10.44140625" style="46" customWidth="1"/>
    <col min="8" max="8" width="11.109375" style="46" customWidth="1"/>
    <col min="9" max="9" width="10" style="46" bestFit="1" customWidth="1"/>
    <col min="10" max="10" width="9.44140625" style="46" bestFit="1" customWidth="1"/>
    <col min="11" max="11" width="10.88671875" style="46" customWidth="1"/>
    <col min="12" max="12" width="12" style="46" customWidth="1"/>
    <col min="13" max="13" width="9.5546875" style="46" bestFit="1" customWidth="1"/>
    <col min="14" max="14" width="11.88671875" style="46" customWidth="1"/>
    <col min="15" max="16" width="9.109375" style="46"/>
    <col min="17" max="17" width="4.88671875" style="46" customWidth="1"/>
    <col min="18" max="16384" width="9.109375" style="46"/>
  </cols>
  <sheetData>
    <row r="1" spans="1:27" ht="18" x14ac:dyDescent="0.35">
      <c r="A1" s="542" t="s">
        <v>122</v>
      </c>
      <c r="B1" s="542"/>
      <c r="C1" s="542"/>
      <c r="D1" s="542"/>
      <c r="E1" s="542"/>
      <c r="F1" s="542"/>
      <c r="G1" s="542"/>
      <c r="H1" s="542"/>
      <c r="I1" s="542"/>
      <c r="J1" s="542"/>
      <c r="K1" s="542"/>
      <c r="L1" s="542"/>
    </row>
    <row r="2" spans="1:27" ht="18" x14ac:dyDescent="0.35">
      <c r="A2" s="542" t="s">
        <v>163</v>
      </c>
      <c r="B2" s="542"/>
      <c r="C2" s="542"/>
      <c r="D2" s="542"/>
      <c r="E2" s="542"/>
      <c r="F2" s="542"/>
      <c r="G2" s="542"/>
      <c r="H2" s="542"/>
      <c r="I2" s="542"/>
      <c r="J2" s="542"/>
      <c r="K2" s="542"/>
      <c r="L2" s="542"/>
    </row>
    <row r="3" spans="1:27" ht="18" x14ac:dyDescent="0.35">
      <c r="A3" s="542" t="s">
        <v>166</v>
      </c>
      <c r="B3" s="542"/>
      <c r="C3" s="542"/>
      <c r="D3" s="542"/>
      <c r="E3" s="542"/>
      <c r="F3" s="542"/>
      <c r="G3" s="542"/>
      <c r="H3" s="542"/>
      <c r="I3" s="542"/>
      <c r="J3" s="542"/>
      <c r="K3" s="542"/>
      <c r="L3" s="542"/>
    </row>
    <row r="4" spans="1:27" ht="18" x14ac:dyDescent="0.35">
      <c r="A4" s="542" t="s">
        <v>123</v>
      </c>
      <c r="B4" s="542"/>
      <c r="C4" s="542"/>
      <c r="D4" s="542"/>
      <c r="E4" s="542"/>
      <c r="F4" s="542"/>
      <c r="G4" s="542"/>
      <c r="H4" s="542"/>
      <c r="I4" s="542"/>
      <c r="J4" s="542"/>
      <c r="K4" s="542"/>
      <c r="L4" s="542"/>
    </row>
    <row r="6" spans="1:27" ht="39" customHeight="1" x14ac:dyDescent="0.3">
      <c r="A6" s="96" t="s">
        <v>18</v>
      </c>
      <c r="B6" s="96" t="s">
        <v>19</v>
      </c>
      <c r="C6" s="97" t="s">
        <v>0</v>
      </c>
      <c r="D6" s="97" t="s">
        <v>11</v>
      </c>
      <c r="E6" s="97" t="s">
        <v>98</v>
      </c>
      <c r="F6" s="385" t="s">
        <v>158</v>
      </c>
      <c r="G6" s="385" t="s">
        <v>159</v>
      </c>
      <c r="H6" s="97" t="s">
        <v>79</v>
      </c>
      <c r="I6" s="97" t="s">
        <v>13</v>
      </c>
      <c r="J6" s="97" t="s">
        <v>14</v>
      </c>
      <c r="K6" s="159" t="s">
        <v>100</v>
      </c>
      <c r="L6" s="159" t="s">
        <v>101</v>
      </c>
      <c r="M6" s="159" t="s">
        <v>82</v>
      </c>
      <c r="N6" s="159" t="s">
        <v>83</v>
      </c>
      <c r="O6" s="159" t="s">
        <v>102</v>
      </c>
      <c r="P6" s="159" t="s">
        <v>103</v>
      </c>
    </row>
    <row r="7" spans="1:27" x14ac:dyDescent="0.3">
      <c r="A7" s="50">
        <v>2027</v>
      </c>
      <c r="B7" s="51" t="s">
        <v>20</v>
      </c>
      <c r="C7" s="98" t="s">
        <v>132</v>
      </c>
      <c r="D7" s="399">
        <v>340366.00832768431</v>
      </c>
      <c r="E7" s="399">
        <v>739.52412002345898</v>
      </c>
      <c r="F7" s="399">
        <v>28958.050206153101</v>
      </c>
      <c r="G7" s="399">
        <v>10928.1898785131</v>
      </c>
      <c r="H7" s="334">
        <f>I7+J7</f>
        <v>90367.986431865691</v>
      </c>
      <c r="I7" s="180">
        <f>K7+M7+O7</f>
        <v>90367.986431865691</v>
      </c>
      <c r="J7" s="180">
        <f>L7+N7+P7</f>
        <v>0</v>
      </c>
      <c r="K7" s="399">
        <v>20513.207577894893</v>
      </c>
      <c r="L7" s="399">
        <v>0</v>
      </c>
      <c r="M7" s="399">
        <v>39704.590559623968</v>
      </c>
      <c r="N7" s="399">
        <v>0</v>
      </c>
      <c r="O7" s="399">
        <v>30150.188294346834</v>
      </c>
      <c r="P7" s="410">
        <v>0</v>
      </c>
      <c r="Q7" s="344"/>
      <c r="R7" s="344"/>
      <c r="S7" s="344"/>
      <c r="T7" s="344"/>
      <c r="U7" s="344"/>
      <c r="V7" s="344"/>
      <c r="W7" s="344"/>
      <c r="X7" s="344"/>
      <c r="Y7" s="344"/>
      <c r="Z7" s="344"/>
      <c r="AA7" s="344"/>
    </row>
    <row r="8" spans="1:27" x14ac:dyDescent="0.3">
      <c r="A8" s="54">
        <v>2027</v>
      </c>
      <c r="B8" s="55" t="s">
        <v>21</v>
      </c>
      <c r="C8" s="100" t="s">
        <v>132</v>
      </c>
      <c r="D8" s="399">
        <v>285404.75844742457</v>
      </c>
      <c r="E8" s="399">
        <v>1804.36554191597</v>
      </c>
      <c r="F8" s="399">
        <v>28161.130401807801</v>
      </c>
      <c r="G8" s="399">
        <v>10627.448258209501</v>
      </c>
      <c r="H8" s="334">
        <f t="shared" ref="H8:H18" si="0">I8+J8</f>
        <v>73650.494400363983</v>
      </c>
      <c r="I8" s="180">
        <f t="shared" ref="I8:J18" si="1">K8+M8+O8</f>
        <v>73650.494400363983</v>
      </c>
      <c r="J8" s="180">
        <f t="shared" si="1"/>
        <v>0</v>
      </c>
      <c r="K8" s="399">
        <v>16184.074409568388</v>
      </c>
      <c r="L8" s="399">
        <v>0</v>
      </c>
      <c r="M8" s="399">
        <v>31535.875527135362</v>
      </c>
      <c r="N8" s="399">
        <v>0</v>
      </c>
      <c r="O8" s="399">
        <v>25930.544463660233</v>
      </c>
      <c r="P8" s="411">
        <v>0</v>
      </c>
    </row>
    <row r="9" spans="1:27" x14ac:dyDescent="0.3">
      <c r="A9" s="54">
        <v>2027</v>
      </c>
      <c r="B9" s="55" t="s">
        <v>22</v>
      </c>
      <c r="C9" s="100" t="s">
        <v>132</v>
      </c>
      <c r="D9" s="399">
        <v>283004.5432410831</v>
      </c>
      <c r="E9" s="399">
        <v>3488.6844175084402</v>
      </c>
      <c r="F9" s="399">
        <v>20316.199915122001</v>
      </c>
      <c r="G9" s="399">
        <v>7666.9281495723599</v>
      </c>
      <c r="H9" s="334">
        <f t="shared" si="0"/>
        <v>67326.566093976813</v>
      </c>
      <c r="I9" s="180">
        <f t="shared" si="1"/>
        <v>67326.566093976813</v>
      </c>
      <c r="J9" s="180">
        <f t="shared" si="1"/>
        <v>0</v>
      </c>
      <c r="K9" s="399">
        <v>14646.255378760306</v>
      </c>
      <c r="L9" s="399">
        <v>0</v>
      </c>
      <c r="M9" s="399">
        <v>27425.06666790013</v>
      </c>
      <c r="N9" s="399">
        <v>0</v>
      </c>
      <c r="O9" s="399">
        <v>25255.244047316381</v>
      </c>
      <c r="P9" s="411">
        <v>0</v>
      </c>
    </row>
    <row r="10" spans="1:27" x14ac:dyDescent="0.3">
      <c r="A10" s="54">
        <v>2027</v>
      </c>
      <c r="B10" s="55" t="s">
        <v>23</v>
      </c>
      <c r="C10" s="100" t="s">
        <v>132</v>
      </c>
      <c r="D10" s="399">
        <v>278314.04597316805</v>
      </c>
      <c r="E10" s="399">
        <v>3920.3025842135798</v>
      </c>
      <c r="F10" s="399">
        <v>20598.738588966698</v>
      </c>
      <c r="G10" s="399">
        <v>7773.5526030081801</v>
      </c>
      <c r="H10" s="334">
        <f t="shared" si="0"/>
        <v>65684.347132403636</v>
      </c>
      <c r="I10" s="180">
        <f t="shared" si="1"/>
        <v>65684.347132403636</v>
      </c>
      <c r="J10" s="180">
        <f t="shared" si="1"/>
        <v>0</v>
      </c>
      <c r="K10" s="399">
        <v>14763.49501175472</v>
      </c>
      <c r="L10" s="399">
        <v>0</v>
      </c>
      <c r="M10" s="399">
        <v>26393.986010760465</v>
      </c>
      <c r="N10" s="399">
        <v>0</v>
      </c>
      <c r="O10" s="399">
        <v>24526.866109888444</v>
      </c>
      <c r="P10" s="411">
        <v>0</v>
      </c>
    </row>
    <row r="11" spans="1:27" x14ac:dyDescent="0.3">
      <c r="A11" s="54">
        <v>2027</v>
      </c>
      <c r="B11" s="55" t="s">
        <v>24</v>
      </c>
      <c r="C11" s="100" t="s">
        <v>132</v>
      </c>
      <c r="D11" s="399">
        <v>277189.85007277288</v>
      </c>
      <c r="E11" s="399">
        <v>4958.56878989707</v>
      </c>
      <c r="F11" s="399">
        <v>18839.208904585899</v>
      </c>
      <c r="G11" s="399">
        <v>7109.5412365347602</v>
      </c>
      <c r="H11" s="334">
        <f t="shared" si="0"/>
        <v>62915.874952308644</v>
      </c>
      <c r="I11" s="180">
        <f t="shared" si="1"/>
        <v>61706.317256350507</v>
      </c>
      <c r="J11" s="180">
        <f t="shared" si="1"/>
        <v>1209.5576959581367</v>
      </c>
      <c r="K11" s="399">
        <v>13759.646399013924</v>
      </c>
      <c r="L11" s="399">
        <v>269.71446256383308</v>
      </c>
      <c r="M11" s="399">
        <v>24555.066722861906</v>
      </c>
      <c r="N11" s="399">
        <v>481.32462363643174</v>
      </c>
      <c r="O11" s="399">
        <v>23391.604134474674</v>
      </c>
      <c r="P11" s="411">
        <v>458.51860975787184</v>
      </c>
    </row>
    <row r="12" spans="1:27" x14ac:dyDescent="0.3">
      <c r="A12" s="54">
        <v>2027</v>
      </c>
      <c r="B12" s="55" t="s">
        <v>25</v>
      </c>
      <c r="C12" s="100" t="s">
        <v>132</v>
      </c>
      <c r="D12" s="399">
        <v>303536.34836611967</v>
      </c>
      <c r="E12" s="399">
        <v>6543.9178947800801</v>
      </c>
      <c r="F12" s="399">
        <v>22514.684650771302</v>
      </c>
      <c r="G12" s="399">
        <v>8496.5923868104001</v>
      </c>
      <c r="H12" s="334">
        <f t="shared" si="0"/>
        <v>72105.679720696993</v>
      </c>
      <c r="I12" s="180">
        <f t="shared" si="1"/>
        <v>0</v>
      </c>
      <c r="J12" s="180">
        <f t="shared" si="1"/>
        <v>72105.679720696993</v>
      </c>
      <c r="K12" s="399">
        <v>0</v>
      </c>
      <c r="L12" s="399">
        <v>14820.498565215963</v>
      </c>
      <c r="M12" s="399">
        <v>0</v>
      </c>
      <c r="N12" s="399">
        <v>29489.313113556993</v>
      </c>
      <c r="O12" s="399">
        <v>0</v>
      </c>
      <c r="P12" s="411">
        <v>27795.868041924045</v>
      </c>
    </row>
    <row r="13" spans="1:27" x14ac:dyDescent="0.3">
      <c r="A13" s="54">
        <v>2027</v>
      </c>
      <c r="B13" s="55" t="s">
        <v>26</v>
      </c>
      <c r="C13" s="100" t="s">
        <v>132</v>
      </c>
      <c r="D13" s="399">
        <v>382131.67535636679</v>
      </c>
      <c r="E13" s="399">
        <v>6535.6704138876203</v>
      </c>
      <c r="F13" s="399">
        <v>27502.697824904899</v>
      </c>
      <c r="G13" s="399">
        <v>10378.9689520625</v>
      </c>
      <c r="H13" s="334">
        <f t="shared" si="0"/>
        <v>99687.847450359608</v>
      </c>
      <c r="I13" s="180">
        <f t="shared" si="1"/>
        <v>0</v>
      </c>
      <c r="J13" s="180">
        <f t="shared" si="1"/>
        <v>99687.847450359608</v>
      </c>
      <c r="K13" s="399">
        <v>0</v>
      </c>
      <c r="L13" s="399">
        <v>20267.132412287428</v>
      </c>
      <c r="M13" s="399">
        <v>0</v>
      </c>
      <c r="N13" s="399">
        <v>41848.554194129349</v>
      </c>
      <c r="O13" s="399">
        <v>0</v>
      </c>
      <c r="P13" s="411">
        <v>37572.160843942831</v>
      </c>
    </row>
    <row r="14" spans="1:27" x14ac:dyDescent="0.3">
      <c r="A14" s="54">
        <v>2027</v>
      </c>
      <c r="B14" s="55" t="s">
        <v>27</v>
      </c>
      <c r="C14" s="100" t="s">
        <v>132</v>
      </c>
      <c r="D14" s="399">
        <v>381421.17510909063</v>
      </c>
      <c r="E14" s="399">
        <v>8313.4607395945695</v>
      </c>
      <c r="F14" s="399">
        <v>29536.110731415301</v>
      </c>
      <c r="G14" s="399">
        <v>11146.338377337001</v>
      </c>
      <c r="H14" s="334">
        <f t="shared" si="0"/>
        <v>99715.61882436031</v>
      </c>
      <c r="I14" s="180">
        <f t="shared" si="1"/>
        <v>0</v>
      </c>
      <c r="J14" s="180">
        <f t="shared" si="1"/>
        <v>99715.61882436031</v>
      </c>
      <c r="K14" s="399">
        <v>0</v>
      </c>
      <c r="L14" s="399">
        <v>18954.890079408564</v>
      </c>
      <c r="M14" s="399">
        <v>0</v>
      </c>
      <c r="N14" s="399">
        <v>41278.268252479385</v>
      </c>
      <c r="O14" s="399">
        <v>0</v>
      </c>
      <c r="P14" s="411">
        <v>39482.460492472368</v>
      </c>
    </row>
    <row r="15" spans="1:27" x14ac:dyDescent="0.3">
      <c r="A15" s="54">
        <v>2027</v>
      </c>
      <c r="B15" s="55" t="s">
        <v>28</v>
      </c>
      <c r="C15" s="100" t="s">
        <v>132</v>
      </c>
      <c r="D15" s="399">
        <v>321739.72144973348</v>
      </c>
      <c r="E15" s="399">
        <v>7080.0041527896501</v>
      </c>
      <c r="F15" s="399">
        <v>29609.063824443001</v>
      </c>
      <c r="G15" s="399">
        <v>11173.869417830199</v>
      </c>
      <c r="H15" s="334">
        <f t="shared" si="0"/>
        <v>80685.194990108954</v>
      </c>
      <c r="I15" s="180">
        <f t="shared" si="1"/>
        <v>0</v>
      </c>
      <c r="J15" s="180">
        <f t="shared" si="1"/>
        <v>80685.194990108954</v>
      </c>
      <c r="K15" s="399">
        <v>0</v>
      </c>
      <c r="L15" s="399">
        <v>16036.63475826656</v>
      </c>
      <c r="M15" s="399">
        <v>0</v>
      </c>
      <c r="N15" s="399">
        <v>33753.001594678746</v>
      </c>
      <c r="O15" s="399">
        <v>0</v>
      </c>
      <c r="P15" s="411">
        <v>30895.558637163649</v>
      </c>
    </row>
    <row r="16" spans="1:27" x14ac:dyDescent="0.3">
      <c r="A16" s="54">
        <v>2027</v>
      </c>
      <c r="B16" s="55" t="s">
        <v>29</v>
      </c>
      <c r="C16" s="100" t="s">
        <v>132</v>
      </c>
      <c r="D16" s="399">
        <v>282455.09451496432</v>
      </c>
      <c r="E16" s="399">
        <v>2042.6261010313401</v>
      </c>
      <c r="F16" s="399">
        <v>14236.3633317767</v>
      </c>
      <c r="G16" s="399">
        <v>5372.51923253104</v>
      </c>
      <c r="H16" s="334">
        <f t="shared" si="0"/>
        <v>70247.149230472074</v>
      </c>
      <c r="I16" s="180">
        <f t="shared" si="1"/>
        <v>70246.306264681305</v>
      </c>
      <c r="J16" s="180">
        <f t="shared" si="1"/>
        <v>0.84296579076650791</v>
      </c>
      <c r="K16" s="399">
        <v>15490.439547355918</v>
      </c>
      <c r="L16" s="399">
        <v>0.18588750521851957</v>
      </c>
      <c r="M16" s="399">
        <v>29687.480891143441</v>
      </c>
      <c r="N16" s="399">
        <v>0.35625404574262642</v>
      </c>
      <c r="O16" s="399">
        <v>25068.385826181944</v>
      </c>
      <c r="P16" s="411">
        <v>0.30082423980536188</v>
      </c>
    </row>
    <row r="17" spans="1:27" x14ac:dyDescent="0.3">
      <c r="A17" s="54">
        <v>2027</v>
      </c>
      <c r="B17" s="55" t="s">
        <v>30</v>
      </c>
      <c r="C17" s="100" t="s">
        <v>132</v>
      </c>
      <c r="D17" s="399">
        <v>285343.93789743941</v>
      </c>
      <c r="E17" s="399">
        <v>1598.1785196046001</v>
      </c>
      <c r="F17" s="399">
        <v>19657.767338219099</v>
      </c>
      <c r="G17" s="399">
        <v>7418.4488434254199</v>
      </c>
      <c r="H17" s="334">
        <f t="shared" si="0"/>
        <v>71355.061987297988</v>
      </c>
      <c r="I17" s="180">
        <f t="shared" si="1"/>
        <v>71355.061987297988</v>
      </c>
      <c r="J17" s="180">
        <f t="shared" si="1"/>
        <v>0</v>
      </c>
      <c r="K17" s="399">
        <v>14930.192606485547</v>
      </c>
      <c r="L17" s="399">
        <v>0</v>
      </c>
      <c r="M17" s="399">
        <v>29435.51790013718</v>
      </c>
      <c r="N17" s="399">
        <v>0</v>
      </c>
      <c r="O17" s="399">
        <v>26989.351480675261</v>
      </c>
      <c r="P17" s="411">
        <v>0</v>
      </c>
    </row>
    <row r="18" spans="1:27" x14ac:dyDescent="0.3">
      <c r="A18" s="58">
        <v>2027</v>
      </c>
      <c r="B18" s="59" t="s">
        <v>31</v>
      </c>
      <c r="C18" s="101" t="s">
        <v>132</v>
      </c>
      <c r="D18" s="412">
        <v>348154.18389277387</v>
      </c>
      <c r="E18" s="412">
        <v>1158.3128720069999</v>
      </c>
      <c r="F18" s="412">
        <v>23983.638456143301</v>
      </c>
      <c r="G18" s="412">
        <v>9050.9462191156799</v>
      </c>
      <c r="H18" s="335">
        <f t="shared" si="0"/>
        <v>86453.375810439669</v>
      </c>
      <c r="I18" s="179">
        <f t="shared" si="1"/>
        <v>86453.375810439669</v>
      </c>
      <c r="J18" s="179">
        <f t="shared" si="1"/>
        <v>0</v>
      </c>
      <c r="K18" s="412">
        <v>18201.031663826005</v>
      </c>
      <c r="L18" s="412">
        <v>0</v>
      </c>
      <c r="M18" s="412">
        <v>37363.408643278985</v>
      </c>
      <c r="N18" s="412">
        <v>0</v>
      </c>
      <c r="O18" s="412">
        <v>30888.93550333468</v>
      </c>
      <c r="P18" s="413">
        <v>0</v>
      </c>
    </row>
    <row r="19" spans="1:27" ht="14.4" customHeight="1" x14ac:dyDescent="0.3">
      <c r="A19" s="540" t="s">
        <v>99</v>
      </c>
      <c r="B19" s="541"/>
      <c r="C19" s="541"/>
      <c r="D19" s="166">
        <f t="shared" ref="D19:N19" si="2">SUM(D7:D18)</f>
        <v>3769061.3426486216</v>
      </c>
      <c r="E19" s="166">
        <f t="shared" si="2"/>
        <v>48183.616147253371</v>
      </c>
      <c r="F19" s="166">
        <f t="shared" si="2"/>
        <v>283913.65417430911</v>
      </c>
      <c r="G19" s="166">
        <f t="shared" si="2"/>
        <v>107143.34355495012</v>
      </c>
      <c r="H19" s="166">
        <f t="shared" si="2"/>
        <v>940195.19702465436</v>
      </c>
      <c r="I19" s="166">
        <f t="shared" si="2"/>
        <v>586790.45537737955</v>
      </c>
      <c r="J19" s="166">
        <f t="shared" si="2"/>
        <v>353404.74164727476</v>
      </c>
      <c r="K19" s="166">
        <f t="shared" si="2"/>
        <v>128488.34259465971</v>
      </c>
      <c r="L19" s="166">
        <f t="shared" si="2"/>
        <v>70349.056165247559</v>
      </c>
      <c r="M19" s="166">
        <f t="shared" si="2"/>
        <v>246100.99292284143</v>
      </c>
      <c r="N19" s="68">
        <f t="shared" si="2"/>
        <v>146850.81803252664</v>
      </c>
      <c r="O19" s="166">
        <f>SUM(O7:O18)</f>
        <v>212201.11985987844</v>
      </c>
      <c r="P19" s="166">
        <f>SUM(P7:P18)</f>
        <v>136204.86744950057</v>
      </c>
    </row>
    <row r="20" spans="1:27" x14ac:dyDescent="0.3">
      <c r="A20" s="344"/>
      <c r="B20" s="344"/>
      <c r="C20" s="344"/>
      <c r="D20" s="344"/>
      <c r="E20" s="365"/>
      <c r="F20" s="365"/>
      <c r="G20" s="365"/>
      <c r="H20" s="344"/>
      <c r="I20" s="344"/>
      <c r="J20" s="344"/>
      <c r="K20" s="344"/>
      <c r="L20" s="344"/>
      <c r="M20" s="344"/>
      <c r="N20" s="344"/>
      <c r="O20" s="344"/>
    </row>
    <row r="21" spans="1:27" ht="39" customHeight="1" x14ac:dyDescent="0.3">
      <c r="A21" s="96" t="s">
        <v>18</v>
      </c>
      <c r="B21" s="96" t="s">
        <v>19</v>
      </c>
      <c r="C21" s="97" t="s">
        <v>0</v>
      </c>
      <c r="D21" s="97" t="s">
        <v>11</v>
      </c>
      <c r="E21" s="97" t="s">
        <v>98</v>
      </c>
      <c r="F21" s="385" t="s">
        <v>158</v>
      </c>
      <c r="G21" s="385" t="s">
        <v>159</v>
      </c>
      <c r="H21" s="97" t="s">
        <v>79</v>
      </c>
      <c r="I21" s="97" t="s">
        <v>13</v>
      </c>
      <c r="J21" s="97" t="s">
        <v>14</v>
      </c>
      <c r="K21" s="159" t="s">
        <v>100</v>
      </c>
      <c r="L21" s="159" t="s">
        <v>101</v>
      </c>
      <c r="M21" s="159" t="s">
        <v>82</v>
      </c>
      <c r="N21" s="159" t="s">
        <v>83</v>
      </c>
      <c r="O21" s="159" t="s">
        <v>102</v>
      </c>
      <c r="P21" s="159" t="s">
        <v>103</v>
      </c>
    </row>
    <row r="22" spans="1:27" x14ac:dyDescent="0.3">
      <c r="A22" s="50">
        <v>2026</v>
      </c>
      <c r="B22" s="51" t="s">
        <v>20</v>
      </c>
      <c r="C22" s="98" t="s">
        <v>132</v>
      </c>
      <c r="D22" s="399">
        <v>278562.29419257498</v>
      </c>
      <c r="E22" s="399">
        <v>743.24032163161701</v>
      </c>
      <c r="F22" s="399">
        <v>28611.0150087193</v>
      </c>
      <c r="G22" s="399">
        <v>10797.2257250192</v>
      </c>
      <c r="H22" s="334">
        <f>I22+J22</f>
        <v>73883.734344791606</v>
      </c>
      <c r="I22" s="180">
        <f>K22+M22+O22</f>
        <v>73883.734344791606</v>
      </c>
      <c r="J22" s="180">
        <f>L22+N22+P22</f>
        <v>0</v>
      </c>
      <c r="K22" s="399">
        <v>16746.311634363123</v>
      </c>
      <c r="L22" s="399">
        <v>0</v>
      </c>
      <c r="M22" s="399">
        <v>32461.910420359862</v>
      </c>
      <c r="N22" s="399">
        <v>0</v>
      </c>
      <c r="O22" s="399">
        <v>24675.512290068622</v>
      </c>
      <c r="P22" s="410">
        <v>0</v>
      </c>
      <c r="Q22" s="344"/>
      <c r="R22" s="344"/>
      <c r="S22" s="344"/>
      <c r="T22" s="344"/>
      <c r="U22" s="344"/>
      <c r="V22" s="344"/>
      <c r="W22" s="344"/>
      <c r="X22" s="344"/>
      <c r="Y22" s="344"/>
      <c r="Z22" s="344"/>
      <c r="AA22" s="344"/>
    </row>
    <row r="23" spans="1:27" x14ac:dyDescent="0.3">
      <c r="A23" s="54">
        <v>2026</v>
      </c>
      <c r="B23" s="55" t="s">
        <v>21</v>
      </c>
      <c r="C23" s="100" t="s">
        <v>132</v>
      </c>
      <c r="D23" s="399">
        <v>233743.81963125989</v>
      </c>
      <c r="E23" s="399">
        <v>1813.4327054431899</v>
      </c>
      <c r="F23" s="399">
        <v>27823.645544250801</v>
      </c>
      <c r="G23" s="399">
        <v>10500.0882122723</v>
      </c>
      <c r="H23" s="334">
        <f t="shared" ref="H23:H33" si="3">I23+J23</f>
        <v>60157.705786269747</v>
      </c>
      <c r="I23" s="180">
        <f t="shared" ref="I23:J33" si="4">K23+M23+O23</f>
        <v>60157.705786269747</v>
      </c>
      <c r="J23" s="180">
        <f t="shared" si="4"/>
        <v>0</v>
      </c>
      <c r="K23" s="399">
        <v>13168.167592643576</v>
      </c>
      <c r="L23" s="399">
        <v>0</v>
      </c>
      <c r="M23" s="399">
        <v>25752.665546421515</v>
      </c>
      <c r="N23" s="399">
        <v>0</v>
      </c>
      <c r="O23" s="399">
        <v>21236.872647204655</v>
      </c>
      <c r="P23" s="411">
        <v>0</v>
      </c>
      <c r="R23" s="344"/>
    </row>
    <row r="24" spans="1:27" x14ac:dyDescent="0.3">
      <c r="A24" s="54">
        <v>2026</v>
      </c>
      <c r="B24" s="55" t="s">
        <v>22</v>
      </c>
      <c r="C24" s="100" t="s">
        <v>132</v>
      </c>
      <c r="D24" s="399">
        <v>232292.7405155593</v>
      </c>
      <c r="E24" s="399">
        <v>3506.2154949833498</v>
      </c>
      <c r="F24" s="399">
        <v>20072.729225677798</v>
      </c>
      <c r="G24" s="399">
        <v>7575.0471732926499</v>
      </c>
      <c r="H24" s="334">
        <f t="shared" si="3"/>
        <v>54844.338892595566</v>
      </c>
      <c r="I24" s="180">
        <f t="shared" si="4"/>
        <v>54844.338892595566</v>
      </c>
      <c r="J24" s="180">
        <f t="shared" si="4"/>
        <v>0</v>
      </c>
      <c r="K24" s="399">
        <v>11842.061378823213</v>
      </c>
      <c r="L24" s="399">
        <v>0</v>
      </c>
      <c r="M24" s="399">
        <v>22277.386228763717</v>
      </c>
      <c r="N24" s="399">
        <v>0</v>
      </c>
      <c r="O24" s="399">
        <v>20724.891285008631</v>
      </c>
      <c r="P24" s="411">
        <v>0</v>
      </c>
      <c r="R24" s="344"/>
    </row>
    <row r="25" spans="1:27" x14ac:dyDescent="0.3">
      <c r="A25" s="54">
        <v>2026</v>
      </c>
      <c r="B25" s="55" t="s">
        <v>23</v>
      </c>
      <c r="C25" s="100" t="s">
        <v>132</v>
      </c>
      <c r="D25" s="399">
        <v>229412.01097502597</v>
      </c>
      <c r="E25" s="399">
        <v>3940.0025971995801</v>
      </c>
      <c r="F25" s="399">
        <v>20351.881937285401</v>
      </c>
      <c r="G25" s="399">
        <v>7680.39383219514</v>
      </c>
      <c r="H25" s="334">
        <f t="shared" si="3"/>
        <v>53715.889473243777</v>
      </c>
      <c r="I25" s="180">
        <f t="shared" si="4"/>
        <v>53715.889473243777</v>
      </c>
      <c r="J25" s="180">
        <f t="shared" si="4"/>
        <v>0</v>
      </c>
      <c r="K25" s="399">
        <v>11988.2216172141</v>
      </c>
      <c r="L25" s="399">
        <v>0</v>
      </c>
      <c r="M25" s="399">
        <v>21522.044938310497</v>
      </c>
      <c r="N25" s="399">
        <v>0</v>
      </c>
      <c r="O25" s="399">
        <v>20205.622917719174</v>
      </c>
      <c r="P25" s="411">
        <v>0</v>
      </c>
      <c r="R25" s="344"/>
    </row>
    <row r="26" spans="1:27" x14ac:dyDescent="0.3">
      <c r="A26" s="54">
        <v>2026</v>
      </c>
      <c r="B26" s="55" t="s">
        <v>24</v>
      </c>
      <c r="C26" s="100" t="s">
        <v>132</v>
      </c>
      <c r="D26" s="399">
        <v>228983.01385495244</v>
      </c>
      <c r="E26" s="399">
        <v>4983.4862210020801</v>
      </c>
      <c r="F26" s="399">
        <v>18613.4385735326</v>
      </c>
      <c r="G26" s="399">
        <v>7024.3400220496596</v>
      </c>
      <c r="H26" s="334">
        <f t="shared" si="3"/>
        <v>51429.27860907685</v>
      </c>
      <c r="I26" s="180">
        <f t="shared" si="4"/>
        <v>50440.550727817346</v>
      </c>
      <c r="J26" s="180">
        <f t="shared" si="4"/>
        <v>988.72788125950512</v>
      </c>
      <c r="K26" s="399">
        <v>11161.324902756858</v>
      </c>
      <c r="L26" s="399">
        <v>218.78256608855361</v>
      </c>
      <c r="M26" s="399">
        <v>19979.739273482457</v>
      </c>
      <c r="N26" s="399">
        <v>391.6397619563113</v>
      </c>
      <c r="O26" s="399">
        <v>19299.486551578037</v>
      </c>
      <c r="P26" s="411">
        <v>378.30555321464021</v>
      </c>
      <c r="R26" s="344"/>
    </row>
    <row r="27" spans="1:27" x14ac:dyDescent="0.3">
      <c r="A27" s="54">
        <v>2026</v>
      </c>
      <c r="B27" s="55" t="s">
        <v>25</v>
      </c>
      <c r="C27" s="100" t="s">
        <v>132</v>
      </c>
      <c r="D27" s="399">
        <v>251870.20685477828</v>
      </c>
      <c r="E27" s="399">
        <v>6576.8019043015802</v>
      </c>
      <c r="F27" s="399">
        <v>22244.867174203799</v>
      </c>
      <c r="G27" s="399">
        <v>8394.7686591947495</v>
      </c>
      <c r="H27" s="334">
        <f t="shared" si="3"/>
        <v>59155.210573756631</v>
      </c>
      <c r="I27" s="180">
        <f t="shared" si="4"/>
        <v>0</v>
      </c>
      <c r="J27" s="180">
        <f t="shared" si="4"/>
        <v>59155.210573756631</v>
      </c>
      <c r="K27" s="399">
        <v>0</v>
      </c>
      <c r="L27" s="399">
        <v>12039.532294021506</v>
      </c>
      <c r="M27" s="399">
        <v>0</v>
      </c>
      <c r="N27" s="399">
        <v>24093.745875182074</v>
      </c>
      <c r="O27" s="399">
        <v>0</v>
      </c>
      <c r="P27" s="411">
        <v>23021.932404553052</v>
      </c>
      <c r="R27" s="344"/>
    </row>
    <row r="28" spans="1:27" x14ac:dyDescent="0.3">
      <c r="A28" s="54">
        <v>2026</v>
      </c>
      <c r="B28" s="55" t="s">
        <v>26</v>
      </c>
      <c r="C28" s="100" t="s">
        <v>132</v>
      </c>
      <c r="D28" s="399">
        <v>318125.37486584508</v>
      </c>
      <c r="E28" s="399">
        <v>6568.5129787815304</v>
      </c>
      <c r="F28" s="399">
        <v>27173.103667091</v>
      </c>
      <c r="G28" s="399">
        <v>10254.5866986374</v>
      </c>
      <c r="H28" s="334">
        <f t="shared" si="3"/>
        <v>82411.826311841462</v>
      </c>
      <c r="I28" s="180">
        <f t="shared" si="4"/>
        <v>0</v>
      </c>
      <c r="J28" s="180">
        <f t="shared" si="4"/>
        <v>82411.826311841462</v>
      </c>
      <c r="K28" s="399">
        <v>0</v>
      </c>
      <c r="L28" s="399">
        <v>16652.609200161776</v>
      </c>
      <c r="M28" s="399">
        <v>0</v>
      </c>
      <c r="N28" s="399">
        <v>34515.487471113731</v>
      </c>
      <c r="O28" s="399">
        <v>0</v>
      </c>
      <c r="P28" s="411">
        <v>31243.729640565958</v>
      </c>
      <c r="R28" s="344"/>
    </row>
    <row r="29" spans="1:27" x14ac:dyDescent="0.3">
      <c r="A29" s="54">
        <v>2026</v>
      </c>
      <c r="B29" s="55" t="s">
        <v>27</v>
      </c>
      <c r="C29" s="100" t="s">
        <v>132</v>
      </c>
      <c r="D29" s="399">
        <v>317850.14701047796</v>
      </c>
      <c r="E29" s="399">
        <v>8355.2369242156492</v>
      </c>
      <c r="F29" s="399">
        <v>29182.148018244501</v>
      </c>
      <c r="G29" s="399">
        <v>11012.759917740899</v>
      </c>
      <c r="H29" s="334">
        <f t="shared" si="3"/>
        <v>82190.07299553859</v>
      </c>
      <c r="I29" s="180">
        <f t="shared" si="4"/>
        <v>0</v>
      </c>
      <c r="J29" s="180">
        <f t="shared" si="4"/>
        <v>82190.07299553859</v>
      </c>
      <c r="K29" s="399">
        <v>0</v>
      </c>
      <c r="L29" s="399">
        <v>15451.110467792862</v>
      </c>
      <c r="M29" s="399">
        <v>0</v>
      </c>
      <c r="N29" s="399">
        <v>33874.692388279305</v>
      </c>
      <c r="O29" s="399">
        <v>0</v>
      </c>
      <c r="P29" s="411">
        <v>32864.270139466433</v>
      </c>
      <c r="R29" s="344"/>
    </row>
    <row r="30" spans="1:27" x14ac:dyDescent="0.3">
      <c r="A30" s="54">
        <v>2026</v>
      </c>
      <c r="B30" s="55" t="s">
        <v>28</v>
      </c>
      <c r="C30" s="100" t="s">
        <v>132</v>
      </c>
      <c r="D30" s="399">
        <v>269308.1168278578</v>
      </c>
      <c r="E30" s="399">
        <v>7115.5820631051702</v>
      </c>
      <c r="F30" s="399">
        <v>29254.226836558901</v>
      </c>
      <c r="G30" s="399">
        <v>11039.961024415899</v>
      </c>
      <c r="H30" s="334">
        <f t="shared" si="3"/>
        <v>66975.101203397033</v>
      </c>
      <c r="I30" s="180">
        <f t="shared" si="4"/>
        <v>0</v>
      </c>
      <c r="J30" s="180">
        <f t="shared" si="4"/>
        <v>66975.101203397033</v>
      </c>
      <c r="K30" s="399">
        <v>0</v>
      </c>
      <c r="L30" s="399">
        <v>13193.995827890287</v>
      </c>
      <c r="M30" s="399">
        <v>0</v>
      </c>
      <c r="N30" s="399">
        <v>27928.594485614551</v>
      </c>
      <c r="O30" s="399">
        <v>0</v>
      </c>
      <c r="P30" s="411">
        <v>25852.510889892197</v>
      </c>
      <c r="R30" s="344"/>
    </row>
    <row r="31" spans="1:27" x14ac:dyDescent="0.3">
      <c r="A31" s="54">
        <v>2026</v>
      </c>
      <c r="B31" s="55" t="s">
        <v>29</v>
      </c>
      <c r="C31" s="100" t="s">
        <v>132</v>
      </c>
      <c r="D31" s="399">
        <v>237175.47237571387</v>
      </c>
      <c r="E31" s="399">
        <v>2052.8905538003401</v>
      </c>
      <c r="F31" s="399">
        <v>14065.753807847699</v>
      </c>
      <c r="G31" s="399">
        <v>5308.1346051370901</v>
      </c>
      <c r="H31" s="334">
        <f t="shared" si="3"/>
        <v>58798.084336733569</v>
      </c>
      <c r="I31" s="180">
        <f t="shared" si="4"/>
        <v>58797.378759721527</v>
      </c>
      <c r="J31" s="180">
        <f t="shared" si="4"/>
        <v>0.70557701204150836</v>
      </c>
      <c r="K31" s="399">
        <v>12914.206583152931</v>
      </c>
      <c r="L31" s="399">
        <v>0.15497233866605414</v>
      </c>
      <c r="M31" s="399">
        <v>24833.643042592368</v>
      </c>
      <c r="N31" s="399">
        <v>0.29800729259891767</v>
      </c>
      <c r="O31" s="399">
        <v>21049.529133976223</v>
      </c>
      <c r="P31" s="411">
        <v>0.2525973807765366</v>
      </c>
      <c r="R31" s="344"/>
    </row>
    <row r="32" spans="1:27" x14ac:dyDescent="0.3">
      <c r="A32" s="54">
        <v>2026</v>
      </c>
      <c r="B32" s="55" t="s">
        <v>30</v>
      </c>
      <c r="C32" s="100" t="s">
        <v>132</v>
      </c>
      <c r="D32" s="399">
        <v>239718.1454425375</v>
      </c>
      <c r="E32" s="399">
        <v>1606.2095674418099</v>
      </c>
      <c r="F32" s="399">
        <v>19422.187348518099</v>
      </c>
      <c r="G32" s="399">
        <v>7329.5456596577496</v>
      </c>
      <c r="H32" s="334">
        <f t="shared" si="3"/>
        <v>59801.585489260629</v>
      </c>
      <c r="I32" s="180">
        <f t="shared" si="4"/>
        <v>59801.585489260629</v>
      </c>
      <c r="J32" s="180">
        <f t="shared" si="4"/>
        <v>0</v>
      </c>
      <c r="K32" s="399">
        <v>12462.113506858366</v>
      </c>
      <c r="L32" s="399">
        <v>0</v>
      </c>
      <c r="M32" s="399">
        <v>24665.651289671379</v>
      </c>
      <c r="N32" s="399">
        <v>0</v>
      </c>
      <c r="O32" s="399">
        <v>22673.820692730882</v>
      </c>
      <c r="P32" s="411">
        <v>0</v>
      </c>
      <c r="R32" s="344"/>
    </row>
    <row r="33" spans="1:18" x14ac:dyDescent="0.3">
      <c r="A33" s="58">
        <v>2026</v>
      </c>
      <c r="B33" s="59" t="s">
        <v>31</v>
      </c>
      <c r="C33" s="101" t="s">
        <v>132</v>
      </c>
      <c r="D33" s="412">
        <v>293397.90905675926</v>
      </c>
      <c r="E33" s="412">
        <v>1164.13353970553</v>
      </c>
      <c r="F33" s="412">
        <v>23696.216939585502</v>
      </c>
      <c r="G33" s="412">
        <v>8942.4790783464305</v>
      </c>
      <c r="H33" s="335">
        <f t="shared" si="3"/>
        <v>72731.211289470957</v>
      </c>
      <c r="I33" s="179">
        <f t="shared" si="4"/>
        <v>72731.211289470957</v>
      </c>
      <c r="J33" s="179">
        <f t="shared" si="4"/>
        <v>0</v>
      </c>
      <c r="K33" s="412">
        <v>15261.561049838609</v>
      </c>
      <c r="L33" s="412">
        <v>0</v>
      </c>
      <c r="M33" s="412">
        <v>31438.800952298559</v>
      </c>
      <c r="N33" s="412">
        <v>0</v>
      </c>
      <c r="O33" s="412">
        <v>26030.849287333793</v>
      </c>
      <c r="P33" s="413">
        <v>0</v>
      </c>
      <c r="R33" s="344"/>
    </row>
    <row r="34" spans="1:18" ht="14.4" customHeight="1" x14ac:dyDescent="0.3">
      <c r="A34" s="540" t="s">
        <v>99</v>
      </c>
      <c r="B34" s="541"/>
      <c r="C34" s="541"/>
      <c r="D34" s="275">
        <f t="shared" ref="D34:N34" si="5">SUM(D22:D33)</f>
        <v>3130439.2516033426</v>
      </c>
      <c r="E34" s="275">
        <f t="shared" si="5"/>
        <v>48425.744871611423</v>
      </c>
      <c r="F34" s="275">
        <f t="shared" si="5"/>
        <v>280511.21408151544</v>
      </c>
      <c r="G34" s="275">
        <f t="shared" si="5"/>
        <v>105859.33060795916</v>
      </c>
      <c r="H34" s="275">
        <f t="shared" si="5"/>
        <v>776094.03930597636</v>
      </c>
      <c r="I34" s="275">
        <f t="shared" si="5"/>
        <v>484372.39476317115</v>
      </c>
      <c r="J34" s="275">
        <f t="shared" si="5"/>
        <v>291721.64454280527</v>
      </c>
      <c r="K34" s="275">
        <f t="shared" si="5"/>
        <v>105543.96826565078</v>
      </c>
      <c r="L34" s="275">
        <f t="shared" si="5"/>
        <v>57556.185328293643</v>
      </c>
      <c r="M34" s="275">
        <f t="shared" si="5"/>
        <v>202931.84169190034</v>
      </c>
      <c r="N34" s="224">
        <f t="shared" si="5"/>
        <v>120804.45798943857</v>
      </c>
      <c r="O34" s="275">
        <f>SUM(O22:O33)</f>
        <v>175896.58480562002</v>
      </c>
      <c r="P34" s="275">
        <f>SUM(P22:P33)</f>
        <v>113361.00122507307</v>
      </c>
      <c r="R34" s="344"/>
    </row>
    <row r="35" spans="1:18" ht="14.4" customHeight="1" x14ac:dyDescent="0.3">
      <c r="A35" s="382"/>
      <c r="B35" s="383"/>
      <c r="C35" s="383"/>
      <c r="D35" s="166"/>
      <c r="E35" s="166"/>
      <c r="F35" s="166"/>
      <c r="G35" s="166"/>
      <c r="H35" s="166"/>
      <c r="I35" s="166"/>
      <c r="J35" s="166"/>
      <c r="K35" s="166"/>
      <c r="L35" s="166"/>
      <c r="M35" s="166"/>
      <c r="N35" s="68"/>
      <c r="O35" s="166"/>
      <c r="P35" s="166"/>
      <c r="R35" s="365"/>
    </row>
    <row r="36" spans="1:18" ht="36.6" x14ac:dyDescent="0.3">
      <c r="A36" s="96" t="s">
        <v>18</v>
      </c>
      <c r="B36" s="96" t="s">
        <v>19</v>
      </c>
      <c r="C36" s="97" t="s">
        <v>0</v>
      </c>
      <c r="D36" s="97" t="s">
        <v>11</v>
      </c>
      <c r="E36" s="97" t="s">
        <v>98</v>
      </c>
      <c r="F36" s="385" t="s">
        <v>158</v>
      </c>
      <c r="G36" s="385" t="s">
        <v>159</v>
      </c>
      <c r="H36" s="97" t="s">
        <v>79</v>
      </c>
      <c r="I36" s="97" t="s">
        <v>13</v>
      </c>
      <c r="J36" s="97" t="s">
        <v>14</v>
      </c>
      <c r="K36" s="159" t="s">
        <v>100</v>
      </c>
      <c r="L36" s="159" t="s">
        <v>101</v>
      </c>
      <c r="M36" s="159" t="s">
        <v>82</v>
      </c>
      <c r="N36" s="159" t="s">
        <v>83</v>
      </c>
      <c r="O36" s="159" t="s">
        <v>102</v>
      </c>
      <c r="P36" s="159" t="s">
        <v>103</v>
      </c>
    </row>
    <row r="37" spans="1:18" x14ac:dyDescent="0.3">
      <c r="A37" s="50">
        <v>2024</v>
      </c>
      <c r="B37" s="51" t="s">
        <v>20</v>
      </c>
      <c r="C37" s="98" t="s">
        <v>132</v>
      </c>
      <c r="D37" s="218">
        <v>172489</v>
      </c>
      <c r="E37" s="386">
        <v>807</v>
      </c>
      <c r="F37" s="386">
        <v>35538</v>
      </c>
      <c r="G37" s="386">
        <v>10145</v>
      </c>
      <c r="H37" s="386">
        <f>I37+J37</f>
        <v>41960</v>
      </c>
      <c r="I37" s="69">
        <f>K37+M37+O37</f>
        <v>41957</v>
      </c>
      <c r="J37" s="69">
        <f>L37+N37+P37</f>
        <v>3</v>
      </c>
      <c r="K37" s="150">
        <v>9009</v>
      </c>
      <c r="L37" s="150"/>
      <c r="M37" s="68">
        <v>18389</v>
      </c>
      <c r="N37" s="150"/>
      <c r="O37" s="150">
        <v>14559</v>
      </c>
      <c r="P37" s="220">
        <v>3</v>
      </c>
    </row>
    <row r="38" spans="1:18" x14ac:dyDescent="0.3">
      <c r="A38" s="54">
        <v>2024</v>
      </c>
      <c r="B38" s="55" t="s">
        <v>21</v>
      </c>
      <c r="C38" s="100" t="s">
        <v>132</v>
      </c>
      <c r="D38" s="219">
        <v>173642</v>
      </c>
      <c r="E38" s="386">
        <v>1969</v>
      </c>
      <c r="F38" s="386">
        <v>35967</v>
      </c>
      <c r="G38" s="386">
        <v>9872</v>
      </c>
      <c r="H38" s="386">
        <f t="shared" ref="H38:H48" si="6">I38+J38</f>
        <v>43547</v>
      </c>
      <c r="I38" s="69">
        <f t="shared" ref="I38:I48" si="7">K38+M38+O38</f>
        <v>43544</v>
      </c>
      <c r="J38" s="69">
        <f t="shared" ref="J38:J48" si="8">L38+N38+P38</f>
        <v>3</v>
      </c>
      <c r="K38" s="150">
        <v>9328</v>
      </c>
      <c r="L38" s="150"/>
      <c r="M38" s="68">
        <v>18468</v>
      </c>
      <c r="N38" s="150"/>
      <c r="O38" s="150">
        <v>15748</v>
      </c>
      <c r="P38" s="220">
        <v>3</v>
      </c>
    </row>
    <row r="39" spans="1:18" x14ac:dyDescent="0.3">
      <c r="A39" s="54">
        <v>2024</v>
      </c>
      <c r="B39" s="55" t="s">
        <v>22</v>
      </c>
      <c r="C39" s="100" t="s">
        <v>132</v>
      </c>
      <c r="D39" s="219">
        <v>150112</v>
      </c>
      <c r="E39" s="386">
        <v>3807</v>
      </c>
      <c r="F39" s="386">
        <v>26584</v>
      </c>
      <c r="G39" s="386">
        <v>7144</v>
      </c>
      <c r="H39" s="386">
        <f t="shared" si="6"/>
        <v>33853</v>
      </c>
      <c r="I39" s="69">
        <f t="shared" si="7"/>
        <v>33850</v>
      </c>
      <c r="J39" s="69">
        <f t="shared" si="8"/>
        <v>3</v>
      </c>
      <c r="K39" s="150">
        <v>7118</v>
      </c>
      <c r="L39" s="150"/>
      <c r="M39" s="68">
        <v>13744</v>
      </c>
      <c r="N39" s="150"/>
      <c r="O39" s="150">
        <v>12988</v>
      </c>
      <c r="P39" s="220">
        <v>3</v>
      </c>
    </row>
    <row r="40" spans="1:18" x14ac:dyDescent="0.3">
      <c r="A40" s="54">
        <v>2024</v>
      </c>
      <c r="B40" s="55" t="s">
        <v>23</v>
      </c>
      <c r="C40" s="100" t="s">
        <v>132</v>
      </c>
      <c r="D40" s="219">
        <v>145259</v>
      </c>
      <c r="E40" s="386">
        <v>4278</v>
      </c>
      <c r="F40" s="386">
        <v>25650</v>
      </c>
      <c r="G40" s="386">
        <v>6935</v>
      </c>
      <c r="H40" s="386">
        <f t="shared" si="6"/>
        <v>33380</v>
      </c>
      <c r="I40" s="69">
        <f t="shared" si="7"/>
        <v>33378</v>
      </c>
      <c r="J40" s="69">
        <f t="shared" si="8"/>
        <v>2</v>
      </c>
      <c r="K40" s="150">
        <v>7387</v>
      </c>
      <c r="L40" s="150"/>
      <c r="M40" s="68">
        <v>13594</v>
      </c>
      <c r="N40" s="150"/>
      <c r="O40" s="150">
        <v>12397</v>
      </c>
      <c r="P40" s="220">
        <v>2</v>
      </c>
    </row>
    <row r="41" spans="1:18" x14ac:dyDescent="0.3">
      <c r="A41" s="54">
        <v>2024</v>
      </c>
      <c r="B41" s="55" t="s">
        <v>24</v>
      </c>
      <c r="C41" s="100" t="s">
        <v>132</v>
      </c>
      <c r="D41" s="219">
        <v>143933</v>
      </c>
      <c r="E41" s="386">
        <v>5411</v>
      </c>
      <c r="F41" s="386">
        <v>24154</v>
      </c>
      <c r="G41" s="386">
        <v>6536</v>
      </c>
      <c r="H41" s="386">
        <f t="shared" si="6"/>
        <v>32197</v>
      </c>
      <c r="I41" s="69">
        <f t="shared" si="7"/>
        <v>32194</v>
      </c>
      <c r="J41" s="69">
        <f t="shared" si="8"/>
        <v>3</v>
      </c>
      <c r="K41" s="150">
        <v>7343</v>
      </c>
      <c r="L41" s="150"/>
      <c r="M41" s="68">
        <v>12967</v>
      </c>
      <c r="N41" s="150"/>
      <c r="O41" s="150">
        <v>11884</v>
      </c>
      <c r="P41" s="220">
        <v>3</v>
      </c>
    </row>
    <row r="42" spans="1:18" x14ac:dyDescent="0.3">
      <c r="A42" s="54">
        <v>2024</v>
      </c>
      <c r="B42" s="55" t="s">
        <v>25</v>
      </c>
      <c r="C42" s="100" t="s">
        <v>132</v>
      </c>
      <c r="D42" s="219">
        <v>182009</v>
      </c>
      <c r="E42" s="386">
        <v>7675</v>
      </c>
      <c r="F42" s="386">
        <v>29369</v>
      </c>
      <c r="G42" s="386">
        <v>8051</v>
      </c>
      <c r="H42" s="386">
        <f t="shared" si="6"/>
        <v>41360</v>
      </c>
      <c r="I42" s="69">
        <f t="shared" si="7"/>
        <v>21518</v>
      </c>
      <c r="J42" s="69">
        <f t="shared" si="8"/>
        <v>19842</v>
      </c>
      <c r="K42" s="150">
        <v>4969</v>
      </c>
      <c r="L42" s="150">
        <v>3879</v>
      </c>
      <c r="M42" s="68">
        <v>9021</v>
      </c>
      <c r="N42" s="68">
        <v>8254</v>
      </c>
      <c r="O42" s="150">
        <v>7528</v>
      </c>
      <c r="P42" s="220">
        <v>7709</v>
      </c>
    </row>
    <row r="43" spans="1:18" x14ac:dyDescent="0.3">
      <c r="A43" s="54">
        <v>2024</v>
      </c>
      <c r="B43" s="55" t="s">
        <v>26</v>
      </c>
      <c r="C43" s="100" t="s">
        <v>132</v>
      </c>
      <c r="D43" s="219">
        <v>201239</v>
      </c>
      <c r="E43" s="386">
        <v>7481</v>
      </c>
      <c r="F43" s="386">
        <v>33848</v>
      </c>
      <c r="G43" s="386">
        <v>9298</v>
      </c>
      <c r="H43" s="386">
        <f t="shared" si="6"/>
        <v>50371</v>
      </c>
      <c r="I43" s="69">
        <f t="shared" si="7"/>
        <v>0</v>
      </c>
      <c r="J43" s="69">
        <f t="shared" si="8"/>
        <v>50371</v>
      </c>
      <c r="K43" s="150"/>
      <c r="L43" s="150">
        <v>10286</v>
      </c>
      <c r="M43" s="68"/>
      <c r="N43" s="68">
        <v>21472</v>
      </c>
      <c r="O43" s="150"/>
      <c r="P43" s="220">
        <v>18613</v>
      </c>
    </row>
    <row r="44" spans="1:18" x14ac:dyDescent="0.3">
      <c r="A44" s="54">
        <v>2024</v>
      </c>
      <c r="B44" s="55" t="s">
        <v>27</v>
      </c>
      <c r="C44" s="100" t="s">
        <v>132</v>
      </c>
      <c r="D44" s="219">
        <v>228191</v>
      </c>
      <c r="E44" s="386">
        <v>8189</v>
      </c>
      <c r="F44" s="386">
        <v>37583</v>
      </c>
      <c r="G44" s="386">
        <v>10257</v>
      </c>
      <c r="H44" s="386">
        <f t="shared" si="6"/>
        <v>59371</v>
      </c>
      <c r="I44" s="69">
        <f t="shared" si="7"/>
        <v>0</v>
      </c>
      <c r="J44" s="69">
        <f t="shared" si="8"/>
        <v>59371</v>
      </c>
      <c r="K44" s="150"/>
      <c r="L44" s="150">
        <v>11704</v>
      </c>
      <c r="M44" s="68"/>
      <c r="N44" s="68">
        <v>25137</v>
      </c>
      <c r="O44" s="150"/>
      <c r="P44" s="220">
        <v>22530</v>
      </c>
    </row>
    <row r="45" spans="1:18" x14ac:dyDescent="0.3">
      <c r="A45" s="54">
        <v>2024</v>
      </c>
      <c r="B45" s="55" t="s">
        <v>28</v>
      </c>
      <c r="C45" s="100" t="s">
        <v>132</v>
      </c>
      <c r="D45" s="219">
        <v>224487</v>
      </c>
      <c r="E45" s="386">
        <v>7726</v>
      </c>
      <c r="F45" s="386">
        <v>37751</v>
      </c>
      <c r="G45" s="386">
        <v>10345</v>
      </c>
      <c r="H45" s="386">
        <f t="shared" si="6"/>
        <v>54177</v>
      </c>
      <c r="I45" s="69">
        <f t="shared" si="7"/>
        <v>0</v>
      </c>
      <c r="J45" s="69">
        <f t="shared" si="8"/>
        <v>54177</v>
      </c>
      <c r="K45" s="150"/>
      <c r="L45" s="150">
        <v>10631</v>
      </c>
      <c r="M45" s="68"/>
      <c r="N45" s="68">
        <v>22827</v>
      </c>
      <c r="O45" s="150"/>
      <c r="P45" s="220">
        <v>20719</v>
      </c>
    </row>
    <row r="46" spans="1:18" x14ac:dyDescent="0.3">
      <c r="A46" s="54">
        <v>2024</v>
      </c>
      <c r="B46" s="55" t="s">
        <v>29</v>
      </c>
      <c r="C46" s="100" t="s">
        <v>132</v>
      </c>
      <c r="D46" s="219">
        <v>184361</v>
      </c>
      <c r="E46" s="386">
        <v>5878</v>
      </c>
      <c r="F46" s="386">
        <v>31785</v>
      </c>
      <c r="G46" s="386">
        <v>8647</v>
      </c>
      <c r="H46" s="386">
        <f t="shared" si="6"/>
        <v>42309</v>
      </c>
      <c r="I46" s="69">
        <f t="shared" si="7"/>
        <v>17160</v>
      </c>
      <c r="J46" s="69">
        <f t="shared" si="8"/>
        <v>25149</v>
      </c>
      <c r="K46" s="150">
        <v>3478</v>
      </c>
      <c r="L46" s="150">
        <v>4953</v>
      </c>
      <c r="M46" s="68">
        <v>6668</v>
      </c>
      <c r="N46" s="150">
        <v>10741</v>
      </c>
      <c r="O46" s="150">
        <v>7014</v>
      </c>
      <c r="P46" s="220">
        <v>9455</v>
      </c>
    </row>
    <row r="47" spans="1:18" x14ac:dyDescent="0.3">
      <c r="A47" s="54">
        <v>2024</v>
      </c>
      <c r="B47" s="55" t="s">
        <v>30</v>
      </c>
      <c r="C47" s="100" t="s">
        <v>132</v>
      </c>
      <c r="D47" s="219">
        <v>199585</v>
      </c>
      <c r="E47" s="386">
        <v>3353</v>
      </c>
      <c r="F47" s="386">
        <v>36363</v>
      </c>
      <c r="G47" s="386">
        <v>10036</v>
      </c>
      <c r="H47" s="386">
        <f t="shared" si="6"/>
        <v>46760</v>
      </c>
      <c r="I47" s="69">
        <f t="shared" si="7"/>
        <v>46696</v>
      </c>
      <c r="J47" s="69">
        <f t="shared" si="8"/>
        <v>64</v>
      </c>
      <c r="K47" s="150">
        <v>9757</v>
      </c>
      <c r="L47" s="150">
        <v>6</v>
      </c>
      <c r="M47" s="68">
        <v>19343</v>
      </c>
      <c r="N47" s="150">
        <v>29</v>
      </c>
      <c r="O47" s="150">
        <v>17596</v>
      </c>
      <c r="P47" s="220">
        <v>29</v>
      </c>
    </row>
    <row r="48" spans="1:18" x14ac:dyDescent="0.3">
      <c r="A48" s="58">
        <v>2024</v>
      </c>
      <c r="B48" s="59" t="s">
        <v>31</v>
      </c>
      <c r="C48" s="101" t="s">
        <v>132</v>
      </c>
      <c r="D48" s="221">
        <v>236130</v>
      </c>
      <c r="E48" s="387">
        <v>1773</v>
      </c>
      <c r="F48" s="387">
        <v>48859</v>
      </c>
      <c r="G48" s="387">
        <v>14009</v>
      </c>
      <c r="H48" s="387">
        <f t="shared" si="6"/>
        <v>56077</v>
      </c>
      <c r="I48" s="70">
        <f t="shared" si="7"/>
        <v>56073</v>
      </c>
      <c r="J48" s="70">
        <f t="shared" si="8"/>
        <v>4</v>
      </c>
      <c r="K48" s="222">
        <v>11466</v>
      </c>
      <c r="L48" s="222"/>
      <c r="M48" s="102">
        <v>24630</v>
      </c>
      <c r="N48" s="222"/>
      <c r="O48" s="222">
        <v>19977</v>
      </c>
      <c r="P48" s="223">
        <v>4</v>
      </c>
    </row>
    <row r="49" spans="1:16" x14ac:dyDescent="0.3">
      <c r="A49" s="540" t="s">
        <v>99</v>
      </c>
      <c r="B49" s="541"/>
      <c r="C49" s="541"/>
      <c r="D49" s="166">
        <f>SUM(D37:D48)</f>
        <v>2241437</v>
      </c>
      <c r="E49" s="166">
        <f>SUM(E37:E48)</f>
        <v>58347</v>
      </c>
      <c r="F49" s="166">
        <f>SUM(F37:F48)</f>
        <v>403451</v>
      </c>
      <c r="G49" s="166">
        <f>SUM(G37:G48)</f>
        <v>111275</v>
      </c>
      <c r="H49" s="166">
        <f>SUM(H37:H48)</f>
        <v>535362</v>
      </c>
      <c r="I49" s="166">
        <f t="shared" ref="I49:N49" si="9">SUM(I37:I48)</f>
        <v>326370</v>
      </c>
      <c r="J49" s="166">
        <f t="shared" si="9"/>
        <v>208992</v>
      </c>
      <c r="K49" s="166">
        <f t="shared" si="9"/>
        <v>69855</v>
      </c>
      <c r="L49" s="166">
        <f t="shared" si="9"/>
        <v>41459</v>
      </c>
      <c r="M49" s="166">
        <f t="shared" si="9"/>
        <v>136824</v>
      </c>
      <c r="N49" s="68">
        <f t="shared" si="9"/>
        <v>88460</v>
      </c>
      <c r="O49" s="166">
        <f>SUM(O37:O48)</f>
        <v>119691</v>
      </c>
      <c r="P49" s="166">
        <f>SUM(P37:P48)</f>
        <v>79073</v>
      </c>
    </row>
    <row r="50" spans="1:16" x14ac:dyDescent="0.3">
      <c r="A50" s="382"/>
      <c r="B50" s="383"/>
      <c r="C50" s="383"/>
      <c r="D50" s="166"/>
      <c r="E50" s="166"/>
      <c r="F50" s="166"/>
      <c r="G50" s="166"/>
      <c r="H50" s="166"/>
      <c r="I50" s="166"/>
      <c r="J50" s="166"/>
      <c r="K50" s="166"/>
      <c r="L50" s="166"/>
      <c r="M50" s="166"/>
      <c r="N50" s="68"/>
      <c r="O50" s="166"/>
      <c r="P50" s="166"/>
    </row>
    <row r="51" spans="1:16" ht="36.6" x14ac:dyDescent="0.3">
      <c r="A51" s="96" t="s">
        <v>18</v>
      </c>
      <c r="B51" s="96" t="s">
        <v>19</v>
      </c>
      <c r="C51" s="97" t="s">
        <v>0</v>
      </c>
      <c r="D51" s="97" t="s">
        <v>11</v>
      </c>
      <c r="E51" s="97" t="s">
        <v>98</v>
      </c>
      <c r="F51" s="385" t="s">
        <v>158</v>
      </c>
      <c r="G51" s="385"/>
      <c r="H51" s="97" t="s">
        <v>79</v>
      </c>
      <c r="I51" s="97" t="s">
        <v>13</v>
      </c>
      <c r="J51" s="97" t="s">
        <v>14</v>
      </c>
      <c r="K51" s="159" t="s">
        <v>100</v>
      </c>
      <c r="L51" s="159" t="s">
        <v>101</v>
      </c>
      <c r="M51" s="159" t="s">
        <v>82</v>
      </c>
      <c r="N51" s="159" t="s">
        <v>83</v>
      </c>
      <c r="O51" s="159" t="s">
        <v>102</v>
      </c>
      <c r="P51" s="159" t="s">
        <v>103</v>
      </c>
    </row>
    <row r="52" spans="1:16" x14ac:dyDescent="0.3">
      <c r="A52" s="50">
        <v>2023</v>
      </c>
      <c r="B52" s="51" t="s">
        <v>20</v>
      </c>
      <c r="C52" s="98" t="s">
        <v>132</v>
      </c>
      <c r="D52" s="218">
        <v>99382</v>
      </c>
      <c r="E52" s="386">
        <v>384</v>
      </c>
      <c r="F52" s="386">
        <v>22171</v>
      </c>
      <c r="G52" s="386"/>
      <c r="H52" s="386">
        <f>I52+J52</f>
        <v>26646</v>
      </c>
      <c r="I52" s="69">
        <f>K52+M52+O52</f>
        <v>26644</v>
      </c>
      <c r="J52" s="69">
        <f>L52+N52+P52</f>
        <v>2</v>
      </c>
      <c r="K52" s="150">
        <v>6031</v>
      </c>
      <c r="L52" s="150"/>
      <c r="M52" s="68">
        <v>11580</v>
      </c>
      <c r="N52" s="150"/>
      <c r="O52" s="150">
        <v>9033</v>
      </c>
      <c r="P52" s="220">
        <v>2</v>
      </c>
    </row>
    <row r="53" spans="1:16" x14ac:dyDescent="0.3">
      <c r="A53" s="54">
        <v>2023</v>
      </c>
      <c r="B53" s="55" t="s">
        <v>21</v>
      </c>
      <c r="C53" s="100" t="s">
        <v>132</v>
      </c>
      <c r="D53" s="219">
        <v>91066</v>
      </c>
      <c r="E53" s="386">
        <v>738</v>
      </c>
      <c r="F53" s="386">
        <v>19829</v>
      </c>
      <c r="G53" s="386"/>
      <c r="H53" s="386">
        <f t="shared" ref="H53:H63" si="10">I53+J53</f>
        <v>22798</v>
      </c>
      <c r="I53" s="69">
        <f t="shared" ref="I53:I63" si="11">K53+M53+O53</f>
        <v>22796</v>
      </c>
      <c r="J53" s="69">
        <f t="shared" ref="J53:J63" si="12">L53+N53+P53</f>
        <v>2</v>
      </c>
      <c r="K53" s="150">
        <v>5069</v>
      </c>
      <c r="L53" s="150"/>
      <c r="M53" s="68">
        <v>9670</v>
      </c>
      <c r="N53" s="150"/>
      <c r="O53" s="150">
        <v>8057</v>
      </c>
      <c r="P53" s="220">
        <v>2</v>
      </c>
    </row>
    <row r="54" spans="1:16" x14ac:dyDescent="0.3">
      <c r="A54" s="54">
        <v>2023</v>
      </c>
      <c r="B54" s="55" t="s">
        <v>22</v>
      </c>
      <c r="C54" s="100" t="s">
        <v>132</v>
      </c>
      <c r="D54" s="219">
        <v>86234</v>
      </c>
      <c r="E54" s="386">
        <v>2060</v>
      </c>
      <c r="F54" s="386">
        <v>18515</v>
      </c>
      <c r="G54" s="386"/>
      <c r="H54" s="386">
        <f t="shared" si="10"/>
        <v>20721</v>
      </c>
      <c r="I54" s="69">
        <f t="shared" si="11"/>
        <v>20720</v>
      </c>
      <c r="J54" s="69">
        <f t="shared" si="12"/>
        <v>1</v>
      </c>
      <c r="K54" s="150">
        <v>4626</v>
      </c>
      <c r="L54" s="150"/>
      <c r="M54" s="68">
        <v>8489</v>
      </c>
      <c r="N54" s="150"/>
      <c r="O54" s="150">
        <v>7605</v>
      </c>
      <c r="P54" s="220">
        <v>1</v>
      </c>
    </row>
    <row r="55" spans="1:16" x14ac:dyDescent="0.3">
      <c r="A55" s="54">
        <v>2023</v>
      </c>
      <c r="B55" s="55" t="s">
        <v>23</v>
      </c>
      <c r="C55" s="100" t="s">
        <v>132</v>
      </c>
      <c r="D55" s="219">
        <v>92727</v>
      </c>
      <c r="E55" s="386">
        <v>2963</v>
      </c>
      <c r="F55" s="386">
        <v>17899</v>
      </c>
      <c r="G55" s="386"/>
      <c r="H55" s="386">
        <f t="shared" si="10"/>
        <v>21321</v>
      </c>
      <c r="I55" s="69">
        <f t="shared" si="11"/>
        <v>21317</v>
      </c>
      <c r="J55" s="69">
        <f t="shared" si="12"/>
        <v>4</v>
      </c>
      <c r="K55" s="150">
        <v>4866</v>
      </c>
      <c r="L55" s="150"/>
      <c r="M55" s="68">
        <v>8547</v>
      </c>
      <c r="N55" s="150"/>
      <c r="O55" s="150">
        <v>7904</v>
      </c>
      <c r="P55" s="220">
        <v>4</v>
      </c>
    </row>
    <row r="56" spans="1:16" x14ac:dyDescent="0.3">
      <c r="A56" s="54">
        <v>2023</v>
      </c>
      <c r="B56" s="55" t="s">
        <v>24</v>
      </c>
      <c r="C56" s="100" t="s">
        <v>132</v>
      </c>
      <c r="D56" s="219">
        <v>78959</v>
      </c>
      <c r="E56" s="386">
        <v>3263</v>
      </c>
      <c r="F56" s="386">
        <v>16059</v>
      </c>
      <c r="G56" s="386"/>
      <c r="H56" s="386">
        <f t="shared" si="10"/>
        <v>17247</v>
      </c>
      <c r="I56" s="69">
        <f t="shared" si="11"/>
        <v>17244</v>
      </c>
      <c r="J56" s="69">
        <f t="shared" si="12"/>
        <v>3</v>
      </c>
      <c r="K56" s="150">
        <v>3850</v>
      </c>
      <c r="L56" s="150"/>
      <c r="M56" s="68">
        <v>6792</v>
      </c>
      <c r="N56" s="150"/>
      <c r="O56" s="150">
        <v>6602</v>
      </c>
      <c r="P56" s="220">
        <v>3</v>
      </c>
    </row>
    <row r="57" spans="1:16" x14ac:dyDescent="0.3">
      <c r="A57" s="54">
        <v>2023</v>
      </c>
      <c r="B57" s="55" t="s">
        <v>25</v>
      </c>
      <c r="C57" s="100" t="s">
        <v>132</v>
      </c>
      <c r="D57" s="219">
        <v>105045</v>
      </c>
      <c r="E57" s="386">
        <v>3874</v>
      </c>
      <c r="F57" s="386">
        <v>19856</v>
      </c>
      <c r="G57" s="386"/>
      <c r="H57" s="386">
        <f t="shared" si="10"/>
        <v>24906</v>
      </c>
      <c r="I57" s="69">
        <f t="shared" ref="I57:J59" si="13">K57+M57+O57</f>
        <v>14282</v>
      </c>
      <c r="J57" s="69">
        <f t="shared" si="13"/>
        <v>10624</v>
      </c>
      <c r="K57" s="150">
        <v>3180</v>
      </c>
      <c r="L57" s="150">
        <v>2088</v>
      </c>
      <c r="M57" s="68">
        <v>5823</v>
      </c>
      <c r="N57" s="68">
        <v>4407</v>
      </c>
      <c r="O57" s="150">
        <v>5279</v>
      </c>
      <c r="P57" s="220">
        <v>4129</v>
      </c>
    </row>
    <row r="58" spans="1:16" x14ac:dyDescent="0.3">
      <c r="A58" s="54">
        <v>2023</v>
      </c>
      <c r="B58" s="55" t="s">
        <v>26</v>
      </c>
      <c r="C58" s="100" t="s">
        <v>132</v>
      </c>
      <c r="D58" s="219">
        <v>134952</v>
      </c>
      <c r="E58" s="386">
        <v>3973</v>
      </c>
      <c r="F58" s="386">
        <v>24074</v>
      </c>
      <c r="G58" s="386"/>
      <c r="H58" s="386">
        <f t="shared" si="10"/>
        <v>34396</v>
      </c>
      <c r="I58" s="69">
        <f t="shared" si="13"/>
        <v>0</v>
      </c>
      <c r="J58" s="69">
        <f t="shared" si="13"/>
        <v>34396</v>
      </c>
      <c r="K58" s="150"/>
      <c r="L58" s="150">
        <v>6963</v>
      </c>
      <c r="M58" s="68"/>
      <c r="N58" s="68">
        <v>14712</v>
      </c>
      <c r="O58" s="150"/>
      <c r="P58" s="220">
        <v>12721</v>
      </c>
    </row>
    <row r="59" spans="1:16" x14ac:dyDescent="0.3">
      <c r="A59" s="54">
        <v>2023</v>
      </c>
      <c r="B59" s="55" t="s">
        <v>27</v>
      </c>
      <c r="C59" s="100" t="s">
        <v>132</v>
      </c>
      <c r="D59" s="219">
        <v>134780</v>
      </c>
      <c r="E59" s="386">
        <v>4708</v>
      </c>
      <c r="F59" s="386">
        <v>24783</v>
      </c>
      <c r="G59" s="386"/>
      <c r="H59" s="386">
        <f t="shared" si="10"/>
        <v>36498</v>
      </c>
      <c r="I59" s="69">
        <f t="shared" si="13"/>
        <v>0</v>
      </c>
      <c r="J59" s="69">
        <f t="shared" si="13"/>
        <v>36498</v>
      </c>
      <c r="K59" s="150"/>
      <c r="L59" s="150">
        <v>7131</v>
      </c>
      <c r="M59" s="68"/>
      <c r="N59" s="68">
        <v>15377</v>
      </c>
      <c r="O59" s="150"/>
      <c r="P59" s="220">
        <v>13990</v>
      </c>
    </row>
    <row r="60" spans="1:16" x14ac:dyDescent="0.3">
      <c r="A60" s="54">
        <v>2023</v>
      </c>
      <c r="B60" s="55" t="s">
        <v>28</v>
      </c>
      <c r="C60" s="100" t="s">
        <v>132</v>
      </c>
      <c r="D60" s="219">
        <v>141837</v>
      </c>
      <c r="E60" s="386">
        <v>4140</v>
      </c>
      <c r="F60" s="386">
        <v>26174</v>
      </c>
      <c r="G60" s="386"/>
      <c r="H60" s="386">
        <f t="shared" si="10"/>
        <v>35394</v>
      </c>
      <c r="I60" s="69">
        <f t="shared" si="11"/>
        <v>0</v>
      </c>
      <c r="J60" s="69">
        <f t="shared" si="12"/>
        <v>35394</v>
      </c>
      <c r="K60" s="150"/>
      <c r="L60" s="150">
        <v>7378</v>
      </c>
      <c r="M60" s="68"/>
      <c r="N60" s="68">
        <v>14953</v>
      </c>
      <c r="O60" s="150"/>
      <c r="P60" s="220">
        <v>13063</v>
      </c>
    </row>
    <row r="61" spans="1:16" x14ac:dyDescent="0.3">
      <c r="A61" s="54">
        <v>2023</v>
      </c>
      <c r="B61" s="55" t="s">
        <v>29</v>
      </c>
      <c r="C61" s="100" t="s">
        <v>132</v>
      </c>
      <c r="D61" s="219">
        <v>106963</v>
      </c>
      <c r="E61" s="386">
        <v>2229</v>
      </c>
      <c r="F61" s="386">
        <v>22333</v>
      </c>
      <c r="G61" s="386"/>
      <c r="H61" s="386">
        <f t="shared" si="10"/>
        <v>24115</v>
      </c>
      <c r="I61" s="69">
        <f t="shared" si="11"/>
        <v>10139</v>
      </c>
      <c r="J61" s="69">
        <f t="shared" si="12"/>
        <v>13976</v>
      </c>
      <c r="K61" s="150">
        <v>1916</v>
      </c>
      <c r="L61" s="150">
        <v>3107</v>
      </c>
      <c r="M61" s="68">
        <v>3993</v>
      </c>
      <c r="N61" s="150">
        <v>5703</v>
      </c>
      <c r="O61" s="150">
        <v>4230</v>
      </c>
      <c r="P61" s="220">
        <v>5166</v>
      </c>
    </row>
    <row r="62" spans="1:16" x14ac:dyDescent="0.3">
      <c r="A62" s="54">
        <v>2023</v>
      </c>
      <c r="B62" s="55" t="s">
        <v>30</v>
      </c>
      <c r="C62" s="100" t="s">
        <v>132</v>
      </c>
      <c r="D62" s="219">
        <v>126900</v>
      </c>
      <c r="E62" s="386">
        <v>1744</v>
      </c>
      <c r="F62" s="386">
        <v>32130</v>
      </c>
      <c r="G62" s="386"/>
      <c r="H62" s="386">
        <f t="shared" si="10"/>
        <v>29617</v>
      </c>
      <c r="I62" s="69">
        <f t="shared" si="11"/>
        <v>29615</v>
      </c>
      <c r="J62" s="69">
        <f t="shared" si="12"/>
        <v>2</v>
      </c>
      <c r="K62" s="150">
        <v>6340</v>
      </c>
      <c r="L62" s="150"/>
      <c r="M62" s="68">
        <v>12358</v>
      </c>
      <c r="N62" s="150"/>
      <c r="O62" s="150">
        <v>10917</v>
      </c>
      <c r="P62" s="220">
        <v>2</v>
      </c>
    </row>
    <row r="63" spans="1:16" x14ac:dyDescent="0.3">
      <c r="A63" s="58">
        <v>2023</v>
      </c>
      <c r="B63" s="59" t="s">
        <v>31</v>
      </c>
      <c r="C63" s="101" t="s">
        <v>132</v>
      </c>
      <c r="D63" s="221">
        <v>150398</v>
      </c>
      <c r="E63" s="387">
        <v>1264</v>
      </c>
      <c r="F63" s="387">
        <v>39153</v>
      </c>
      <c r="G63" s="387"/>
      <c r="H63" s="387">
        <f t="shared" si="10"/>
        <v>36149</v>
      </c>
      <c r="I63" s="70">
        <f t="shared" si="11"/>
        <v>36144</v>
      </c>
      <c r="J63" s="70">
        <f t="shared" si="12"/>
        <v>5</v>
      </c>
      <c r="K63" s="222">
        <v>7122</v>
      </c>
      <c r="L63" s="222"/>
      <c r="M63" s="102">
        <v>15841</v>
      </c>
      <c r="N63" s="222"/>
      <c r="O63" s="222">
        <v>13181</v>
      </c>
      <c r="P63" s="223">
        <v>5</v>
      </c>
    </row>
    <row r="64" spans="1:16" x14ac:dyDescent="0.3">
      <c r="A64" s="540" t="s">
        <v>99</v>
      </c>
      <c r="B64" s="541"/>
      <c r="C64" s="541"/>
      <c r="D64" s="166">
        <f>SUM(D52:D63)</f>
        <v>1349243</v>
      </c>
      <c r="E64" s="166">
        <f>SUM(E52:E63)</f>
        <v>31340</v>
      </c>
      <c r="F64" s="166">
        <f>SUM(F52:F63)</f>
        <v>282976</v>
      </c>
      <c r="G64" s="166">
        <f>SUM(G52:G63)</f>
        <v>0</v>
      </c>
      <c r="H64" s="166">
        <f>SUM(H52:H63)</f>
        <v>329808</v>
      </c>
      <c r="I64" s="166">
        <f t="shared" ref="I64:N64" si="14">SUM(I52:I63)</f>
        <v>198901</v>
      </c>
      <c r="J64" s="166">
        <f t="shared" si="14"/>
        <v>130907</v>
      </c>
      <c r="K64" s="166">
        <f t="shared" si="14"/>
        <v>43000</v>
      </c>
      <c r="L64" s="166">
        <f t="shared" si="14"/>
        <v>26667</v>
      </c>
      <c r="M64" s="166">
        <f t="shared" si="14"/>
        <v>83093</v>
      </c>
      <c r="N64" s="68">
        <f t="shared" si="14"/>
        <v>55152</v>
      </c>
      <c r="O64" s="166">
        <f>SUM(O52:O63)</f>
        <v>72808</v>
      </c>
      <c r="P64" s="166">
        <f>SUM(P52:P63)</f>
        <v>49088</v>
      </c>
    </row>
    <row r="65" spans="1:16" x14ac:dyDescent="0.3">
      <c r="A65" s="344"/>
      <c r="B65" s="344"/>
      <c r="C65" s="344"/>
      <c r="D65" s="344"/>
      <c r="E65" s="365"/>
      <c r="F65" s="365"/>
      <c r="G65" s="365"/>
      <c r="H65" s="344"/>
      <c r="I65" s="344"/>
      <c r="J65" s="344"/>
      <c r="K65" s="344"/>
      <c r="L65" s="344"/>
      <c r="M65" s="344"/>
      <c r="N65" s="344"/>
      <c r="O65" s="344"/>
    </row>
    <row r="66" spans="1:16" ht="36.6" x14ac:dyDescent="0.3">
      <c r="A66" s="96" t="s">
        <v>18</v>
      </c>
      <c r="B66" s="96" t="s">
        <v>19</v>
      </c>
      <c r="C66" s="97" t="s">
        <v>0</v>
      </c>
      <c r="D66" s="97" t="s">
        <v>11</v>
      </c>
      <c r="E66" s="97" t="s">
        <v>98</v>
      </c>
      <c r="F66" s="385" t="s">
        <v>158</v>
      </c>
      <c r="G66" s="385"/>
      <c r="H66" s="97" t="s">
        <v>79</v>
      </c>
      <c r="I66" s="97" t="s">
        <v>13</v>
      </c>
      <c r="J66" s="97" t="s">
        <v>14</v>
      </c>
      <c r="K66" s="159" t="s">
        <v>100</v>
      </c>
      <c r="L66" s="159" t="s">
        <v>101</v>
      </c>
      <c r="M66" s="159" t="s">
        <v>82</v>
      </c>
      <c r="N66" s="159" t="s">
        <v>83</v>
      </c>
      <c r="O66" s="159" t="s">
        <v>102</v>
      </c>
      <c r="P66" s="159" t="s">
        <v>103</v>
      </c>
    </row>
    <row r="67" spans="1:16" x14ac:dyDescent="0.3">
      <c r="A67" s="50">
        <v>2022</v>
      </c>
      <c r="B67" s="51" t="s">
        <v>20</v>
      </c>
      <c r="C67" s="98" t="s">
        <v>132</v>
      </c>
      <c r="D67" s="218">
        <v>36264</v>
      </c>
      <c r="E67" s="386">
        <v>186</v>
      </c>
      <c r="F67" s="386">
        <v>6106</v>
      </c>
      <c r="G67" s="386"/>
      <c r="H67" s="386">
        <f>I67+J67</f>
        <v>10372</v>
      </c>
      <c r="I67" s="69">
        <f>K67+M67+O67</f>
        <v>10372</v>
      </c>
      <c r="J67" s="69">
        <f>L67+N67+P67</f>
        <v>0</v>
      </c>
      <c r="K67" s="150">
        <v>2485</v>
      </c>
      <c r="L67" s="150">
        <v>0</v>
      </c>
      <c r="M67" s="68">
        <v>4608</v>
      </c>
      <c r="N67" s="150">
        <v>0</v>
      </c>
      <c r="O67" s="150">
        <v>3279</v>
      </c>
      <c r="P67" s="220">
        <v>0</v>
      </c>
    </row>
    <row r="68" spans="1:16" x14ac:dyDescent="0.3">
      <c r="A68" s="54">
        <v>2022</v>
      </c>
      <c r="B68" s="55" t="s">
        <v>21</v>
      </c>
      <c r="C68" s="100" t="s">
        <v>132</v>
      </c>
      <c r="D68" s="219">
        <v>39668</v>
      </c>
      <c r="E68" s="386">
        <v>407</v>
      </c>
      <c r="F68" s="386">
        <v>6208</v>
      </c>
      <c r="G68" s="386"/>
      <c r="H68" s="386">
        <f t="shared" ref="H68:H78" si="15">I68+J68</f>
        <v>10920</v>
      </c>
      <c r="I68" s="69">
        <f t="shared" ref="I68:I78" si="16">K68+M68+O68</f>
        <v>10918</v>
      </c>
      <c r="J68" s="69">
        <f t="shared" ref="J68:J78" si="17">L68+N68+P68</f>
        <v>2</v>
      </c>
      <c r="K68" s="150">
        <v>2565</v>
      </c>
      <c r="L68" s="150">
        <v>0</v>
      </c>
      <c r="M68" s="68">
        <v>4761</v>
      </c>
      <c r="N68" s="150">
        <v>0</v>
      </c>
      <c r="O68" s="150">
        <v>3592</v>
      </c>
      <c r="P68" s="220">
        <v>2</v>
      </c>
    </row>
    <row r="69" spans="1:16" x14ac:dyDescent="0.3">
      <c r="A69" s="54">
        <v>2022</v>
      </c>
      <c r="B69" s="55" t="s">
        <v>22</v>
      </c>
      <c r="C69" s="100" t="s">
        <v>132</v>
      </c>
      <c r="D69" s="219">
        <v>38150</v>
      </c>
      <c r="E69" s="386">
        <v>661</v>
      </c>
      <c r="F69" s="386">
        <v>5992</v>
      </c>
      <c r="G69" s="386"/>
      <c r="H69" s="386">
        <f t="shared" si="15"/>
        <v>9560</v>
      </c>
      <c r="I69" s="69">
        <f t="shared" si="16"/>
        <v>9560</v>
      </c>
      <c r="J69" s="69">
        <f t="shared" si="17"/>
        <v>0</v>
      </c>
      <c r="K69" s="150">
        <v>2288</v>
      </c>
      <c r="L69" s="150">
        <v>0</v>
      </c>
      <c r="M69" s="68">
        <v>4032</v>
      </c>
      <c r="N69" s="150">
        <v>0</v>
      </c>
      <c r="O69" s="150">
        <v>3240</v>
      </c>
      <c r="P69" s="220">
        <v>0</v>
      </c>
    </row>
    <row r="70" spans="1:16" x14ac:dyDescent="0.3">
      <c r="A70" s="54">
        <v>2022</v>
      </c>
      <c r="B70" s="55" t="s">
        <v>23</v>
      </c>
      <c r="C70" s="100" t="s">
        <v>132</v>
      </c>
      <c r="D70" s="219">
        <v>42916</v>
      </c>
      <c r="E70" s="386">
        <v>1002</v>
      </c>
      <c r="F70" s="386">
        <v>7629</v>
      </c>
      <c r="G70" s="386"/>
      <c r="H70" s="386">
        <f t="shared" si="15"/>
        <v>10912</v>
      </c>
      <c r="I70" s="69">
        <f t="shared" si="16"/>
        <v>10911</v>
      </c>
      <c r="J70" s="69">
        <f t="shared" si="17"/>
        <v>1</v>
      </c>
      <c r="K70" s="150">
        <v>2679</v>
      </c>
      <c r="L70" s="150">
        <v>0</v>
      </c>
      <c r="M70" s="68">
        <v>4520</v>
      </c>
      <c r="N70" s="150">
        <v>0</v>
      </c>
      <c r="O70" s="150">
        <v>3712</v>
      </c>
      <c r="P70" s="220">
        <v>1</v>
      </c>
    </row>
    <row r="71" spans="1:16" x14ac:dyDescent="0.3">
      <c r="A71" s="54">
        <v>2022</v>
      </c>
      <c r="B71" s="55" t="s">
        <v>24</v>
      </c>
      <c r="C71" s="100" t="s">
        <v>132</v>
      </c>
      <c r="D71" s="219">
        <v>40445</v>
      </c>
      <c r="E71" s="386">
        <v>1353</v>
      </c>
      <c r="F71" s="386">
        <v>8803</v>
      </c>
      <c r="G71" s="386"/>
      <c r="H71" s="386">
        <f t="shared" si="15"/>
        <v>9875</v>
      </c>
      <c r="I71" s="69">
        <f t="shared" si="16"/>
        <v>9874</v>
      </c>
      <c r="J71" s="69">
        <f t="shared" si="17"/>
        <v>1</v>
      </c>
      <c r="K71" s="150">
        <v>2399</v>
      </c>
      <c r="L71" s="150">
        <v>0</v>
      </c>
      <c r="M71" s="68">
        <v>4126</v>
      </c>
      <c r="N71" s="150">
        <v>0</v>
      </c>
      <c r="O71" s="150">
        <v>3349</v>
      </c>
      <c r="P71" s="220">
        <v>1</v>
      </c>
    </row>
    <row r="72" spans="1:16" x14ac:dyDescent="0.3">
      <c r="A72" s="54">
        <v>2022</v>
      </c>
      <c r="B72" s="55" t="s">
        <v>25</v>
      </c>
      <c r="C72" s="100" t="s">
        <v>132</v>
      </c>
      <c r="D72" s="219">
        <v>54758</v>
      </c>
      <c r="E72" s="386">
        <v>1930</v>
      </c>
      <c r="F72" s="386">
        <v>10203</v>
      </c>
      <c r="G72" s="386"/>
      <c r="H72" s="386">
        <f t="shared" si="15"/>
        <v>14199</v>
      </c>
      <c r="I72" s="69">
        <f t="shared" si="16"/>
        <v>9090</v>
      </c>
      <c r="J72" s="69">
        <f t="shared" si="17"/>
        <v>5109</v>
      </c>
      <c r="K72" s="150">
        <v>2107</v>
      </c>
      <c r="L72" s="150">
        <v>1049</v>
      </c>
      <c r="M72" s="68">
        <v>3847</v>
      </c>
      <c r="N72" s="68">
        <v>2135</v>
      </c>
      <c r="O72" s="150">
        <v>3136</v>
      </c>
      <c r="P72" s="220">
        <v>1925</v>
      </c>
    </row>
    <row r="73" spans="1:16" x14ac:dyDescent="0.3">
      <c r="A73" s="54">
        <v>2022</v>
      </c>
      <c r="B73" s="55" t="s">
        <v>26</v>
      </c>
      <c r="C73" s="100" t="s">
        <v>132</v>
      </c>
      <c r="D73" s="219">
        <v>74219</v>
      </c>
      <c r="E73" s="386">
        <v>2802</v>
      </c>
      <c r="F73" s="386">
        <v>11785</v>
      </c>
      <c r="G73" s="386"/>
      <c r="H73" s="386">
        <f t="shared" si="15"/>
        <v>20756</v>
      </c>
      <c r="I73" s="69">
        <f t="shared" si="16"/>
        <v>0</v>
      </c>
      <c r="J73" s="69">
        <f t="shared" si="17"/>
        <v>20756</v>
      </c>
      <c r="K73" s="150">
        <v>0</v>
      </c>
      <c r="L73" s="150">
        <v>4559</v>
      </c>
      <c r="M73" s="68">
        <v>0</v>
      </c>
      <c r="N73" s="68">
        <v>8728</v>
      </c>
      <c r="O73" s="150">
        <v>0</v>
      </c>
      <c r="P73" s="220">
        <v>7469</v>
      </c>
    </row>
    <row r="74" spans="1:16" x14ac:dyDescent="0.3">
      <c r="A74" s="54">
        <v>2022</v>
      </c>
      <c r="B74" s="55" t="s">
        <v>27</v>
      </c>
      <c r="C74" s="100" t="s">
        <v>132</v>
      </c>
      <c r="D74" s="219">
        <v>79232</v>
      </c>
      <c r="E74" s="386">
        <v>3532</v>
      </c>
      <c r="F74" s="386">
        <v>12568</v>
      </c>
      <c r="G74" s="386"/>
      <c r="H74" s="386">
        <f t="shared" si="15"/>
        <v>20855</v>
      </c>
      <c r="I74" s="69">
        <f t="shared" si="16"/>
        <v>0</v>
      </c>
      <c r="J74" s="69">
        <f t="shared" si="17"/>
        <v>20855</v>
      </c>
      <c r="K74" s="150">
        <v>0</v>
      </c>
      <c r="L74" s="150">
        <v>4400</v>
      </c>
      <c r="M74" s="68">
        <v>0</v>
      </c>
      <c r="N74" s="68">
        <v>8839</v>
      </c>
      <c r="O74" s="150">
        <v>0</v>
      </c>
      <c r="P74" s="220">
        <v>7616</v>
      </c>
    </row>
    <row r="75" spans="1:16" x14ac:dyDescent="0.3">
      <c r="A75" s="54">
        <v>2022</v>
      </c>
      <c r="B75" s="55" t="s">
        <v>28</v>
      </c>
      <c r="C75" s="100" t="s">
        <v>132</v>
      </c>
      <c r="D75" s="219">
        <v>82613</v>
      </c>
      <c r="E75" s="386">
        <v>3097</v>
      </c>
      <c r="F75" s="386">
        <v>15593</v>
      </c>
      <c r="G75" s="386"/>
      <c r="H75" s="386">
        <f t="shared" si="15"/>
        <v>21712</v>
      </c>
      <c r="I75" s="69">
        <f t="shared" si="16"/>
        <v>0</v>
      </c>
      <c r="J75" s="69">
        <f t="shared" si="17"/>
        <v>21712</v>
      </c>
      <c r="K75" s="150">
        <v>0</v>
      </c>
      <c r="L75" s="150">
        <v>4688</v>
      </c>
      <c r="M75" s="68">
        <v>0</v>
      </c>
      <c r="N75" s="68">
        <v>9386</v>
      </c>
      <c r="O75" s="150">
        <v>0</v>
      </c>
      <c r="P75" s="220">
        <v>7638</v>
      </c>
    </row>
    <row r="76" spans="1:16" x14ac:dyDescent="0.3">
      <c r="A76" s="54">
        <v>2022</v>
      </c>
      <c r="B76" s="55" t="s">
        <v>29</v>
      </c>
      <c r="C76" s="100" t="s">
        <v>132</v>
      </c>
      <c r="D76" s="219">
        <v>71347</v>
      </c>
      <c r="E76" s="386">
        <v>2346</v>
      </c>
      <c r="F76" s="386">
        <v>13730</v>
      </c>
      <c r="G76" s="386"/>
      <c r="H76" s="386">
        <f t="shared" si="15"/>
        <v>16451</v>
      </c>
      <c r="I76" s="69">
        <f t="shared" si="16"/>
        <v>5866</v>
      </c>
      <c r="J76" s="69">
        <f t="shared" si="17"/>
        <v>10585</v>
      </c>
      <c r="K76" s="150">
        <v>1326</v>
      </c>
      <c r="L76" s="150">
        <v>2474</v>
      </c>
      <c r="M76" s="68">
        <v>2318</v>
      </c>
      <c r="N76" s="150">
        <v>4432</v>
      </c>
      <c r="O76" s="150">
        <v>2222</v>
      </c>
      <c r="P76" s="220">
        <v>3679</v>
      </c>
    </row>
    <row r="77" spans="1:16" x14ac:dyDescent="0.3">
      <c r="A77" s="54">
        <v>2022</v>
      </c>
      <c r="B77" s="55" t="s">
        <v>30</v>
      </c>
      <c r="C77" s="100" t="s">
        <v>132</v>
      </c>
      <c r="D77" s="219">
        <v>68487</v>
      </c>
      <c r="E77" s="386">
        <v>1614</v>
      </c>
      <c r="F77" s="386">
        <v>14407</v>
      </c>
      <c r="G77" s="386"/>
      <c r="H77" s="386">
        <f t="shared" si="15"/>
        <v>15879</v>
      </c>
      <c r="I77" s="69">
        <f t="shared" si="16"/>
        <v>15874</v>
      </c>
      <c r="J77" s="69">
        <f t="shared" si="17"/>
        <v>5</v>
      </c>
      <c r="K77" s="150">
        <v>3510</v>
      </c>
      <c r="L77" s="150">
        <v>0</v>
      </c>
      <c r="M77" s="68">
        <v>6514</v>
      </c>
      <c r="N77" s="150">
        <v>0</v>
      </c>
      <c r="O77" s="150">
        <v>5850</v>
      </c>
      <c r="P77" s="220">
        <v>5</v>
      </c>
    </row>
    <row r="78" spans="1:16" x14ac:dyDescent="0.3">
      <c r="A78" s="58">
        <v>2022</v>
      </c>
      <c r="B78" s="59" t="s">
        <v>31</v>
      </c>
      <c r="C78" s="101" t="s">
        <v>132</v>
      </c>
      <c r="D78" s="221">
        <v>88114</v>
      </c>
      <c r="E78" s="387">
        <v>716</v>
      </c>
      <c r="F78" s="387">
        <v>19524</v>
      </c>
      <c r="G78" s="387"/>
      <c r="H78" s="387">
        <f t="shared" si="15"/>
        <v>21204</v>
      </c>
      <c r="I78" s="70">
        <f t="shared" si="16"/>
        <v>21204</v>
      </c>
      <c r="J78" s="70">
        <f t="shared" si="17"/>
        <v>0</v>
      </c>
      <c r="K78" s="222">
        <v>4622</v>
      </c>
      <c r="L78" s="222">
        <v>0</v>
      </c>
      <c r="M78" s="102">
        <v>8990</v>
      </c>
      <c r="N78" s="222">
        <v>0</v>
      </c>
      <c r="O78" s="222">
        <v>7592</v>
      </c>
      <c r="P78" s="223">
        <v>0</v>
      </c>
    </row>
    <row r="79" spans="1:16" x14ac:dyDescent="0.3">
      <c r="A79" s="540" t="s">
        <v>99</v>
      </c>
      <c r="B79" s="541"/>
      <c r="C79" s="541"/>
      <c r="D79" s="166">
        <f>SUM(D67:D78)</f>
        <v>716213</v>
      </c>
      <c r="E79" s="166">
        <f>SUM(E67:E78)</f>
        <v>19646</v>
      </c>
      <c r="F79" s="166">
        <f>SUM(F67:F78)</f>
        <v>132548</v>
      </c>
      <c r="G79" s="166">
        <f>SUM(G67:G78)</f>
        <v>0</v>
      </c>
      <c r="H79" s="166">
        <f>SUM(H67:H78)</f>
        <v>182695</v>
      </c>
      <c r="I79" s="166">
        <f t="shared" ref="I79:N79" si="18">SUM(I67:I78)</f>
        <v>103669</v>
      </c>
      <c r="J79" s="166">
        <f t="shared" si="18"/>
        <v>79026</v>
      </c>
      <c r="K79" s="166">
        <f t="shared" si="18"/>
        <v>23981</v>
      </c>
      <c r="L79" s="166">
        <f t="shared" si="18"/>
        <v>17170</v>
      </c>
      <c r="M79" s="166">
        <f t="shared" si="18"/>
        <v>43716</v>
      </c>
      <c r="N79" s="68">
        <f t="shared" si="18"/>
        <v>33520</v>
      </c>
      <c r="O79" s="166">
        <f>SUM(O67:O78)</f>
        <v>35972</v>
      </c>
      <c r="P79" s="166">
        <f>SUM(P67:P78)</f>
        <v>28336</v>
      </c>
    </row>
    <row r="80" spans="1:16" x14ac:dyDescent="0.3">
      <c r="A80" s="382"/>
      <c r="B80" s="489"/>
      <c r="C80" s="489"/>
      <c r="D80" s="166"/>
      <c r="E80" s="166"/>
      <c r="F80" s="166"/>
      <c r="G80" s="166"/>
      <c r="H80" s="166"/>
      <c r="I80" s="166"/>
      <c r="J80" s="166"/>
      <c r="K80" s="166"/>
      <c r="L80" s="166"/>
      <c r="M80" s="166"/>
      <c r="N80" s="68"/>
      <c r="O80" s="166"/>
      <c r="P80" s="166"/>
    </row>
    <row r="81" spans="1:16" ht="36.6" x14ac:dyDescent="0.3">
      <c r="A81" s="96" t="s">
        <v>18</v>
      </c>
      <c r="B81" s="96" t="s">
        <v>19</v>
      </c>
      <c r="C81" s="97" t="s">
        <v>0</v>
      </c>
      <c r="D81" s="97" t="s">
        <v>11</v>
      </c>
      <c r="E81" s="97" t="s">
        <v>98</v>
      </c>
      <c r="F81" s="385" t="s">
        <v>158</v>
      </c>
      <c r="G81" s="385"/>
      <c r="H81" s="97" t="s">
        <v>79</v>
      </c>
      <c r="I81" s="97" t="s">
        <v>13</v>
      </c>
      <c r="J81" s="97" t="s">
        <v>14</v>
      </c>
      <c r="K81" s="159" t="s">
        <v>100</v>
      </c>
      <c r="L81" s="159" t="s">
        <v>101</v>
      </c>
      <c r="M81" s="159" t="s">
        <v>82</v>
      </c>
      <c r="N81" s="159" t="s">
        <v>83</v>
      </c>
      <c r="O81" s="159" t="s">
        <v>102</v>
      </c>
      <c r="P81" s="159" t="s">
        <v>103</v>
      </c>
    </row>
    <row r="82" spans="1:16" x14ac:dyDescent="0.3">
      <c r="A82" s="50">
        <v>2021</v>
      </c>
      <c r="B82" s="51" t="s">
        <v>20</v>
      </c>
      <c r="C82" s="98" t="s">
        <v>132</v>
      </c>
      <c r="D82" s="218"/>
      <c r="E82" s="386"/>
      <c r="F82" s="386"/>
      <c r="G82" s="386"/>
      <c r="H82" s="386">
        <f>I82+J82</f>
        <v>0</v>
      </c>
      <c r="I82" s="69">
        <f>K82+M82+O82</f>
        <v>0</v>
      </c>
      <c r="J82" s="69">
        <f>L82+N82+P82</f>
        <v>0</v>
      </c>
      <c r="K82" s="150"/>
      <c r="L82" s="150"/>
      <c r="M82" s="68"/>
      <c r="N82" s="150"/>
      <c r="O82" s="150"/>
      <c r="P82" s="220"/>
    </row>
    <row r="83" spans="1:16" x14ac:dyDescent="0.3">
      <c r="A83" s="54">
        <v>2021</v>
      </c>
      <c r="B83" s="55" t="s">
        <v>21</v>
      </c>
      <c r="C83" s="100" t="s">
        <v>132</v>
      </c>
      <c r="D83" s="219">
        <v>1198</v>
      </c>
      <c r="E83" s="386"/>
      <c r="F83" s="386"/>
      <c r="G83" s="386"/>
      <c r="H83" s="386">
        <f t="shared" ref="H83:H93" si="19">I83+J83</f>
        <v>353</v>
      </c>
      <c r="I83" s="69">
        <f t="shared" ref="I83:I93" si="20">K83+M83+O83</f>
        <v>353</v>
      </c>
      <c r="J83" s="69">
        <f t="shared" ref="J83:J93" si="21">L83+N83+P83</f>
        <v>0</v>
      </c>
      <c r="K83" s="150">
        <v>43</v>
      </c>
      <c r="L83" s="150"/>
      <c r="M83" s="68">
        <v>154</v>
      </c>
      <c r="N83" s="150"/>
      <c r="O83" s="150">
        <v>156</v>
      </c>
      <c r="P83" s="220"/>
    </row>
    <row r="84" spans="1:16" x14ac:dyDescent="0.3">
      <c r="A84" s="54">
        <v>2021</v>
      </c>
      <c r="B84" s="55" t="s">
        <v>22</v>
      </c>
      <c r="C84" s="100" t="s">
        <v>132</v>
      </c>
      <c r="D84" s="219">
        <v>3408</v>
      </c>
      <c r="E84" s="386"/>
      <c r="F84" s="386"/>
      <c r="G84" s="386"/>
      <c r="H84" s="386">
        <f t="shared" si="19"/>
        <v>688</v>
      </c>
      <c r="I84" s="69">
        <f t="shared" si="20"/>
        <v>688</v>
      </c>
      <c r="J84" s="69">
        <f t="shared" si="21"/>
        <v>0</v>
      </c>
      <c r="K84" s="150">
        <v>147</v>
      </c>
      <c r="L84" s="150"/>
      <c r="M84" s="68">
        <v>287</v>
      </c>
      <c r="N84" s="150"/>
      <c r="O84" s="150">
        <v>254</v>
      </c>
      <c r="P84" s="220"/>
    </row>
    <row r="85" spans="1:16" x14ac:dyDescent="0.3">
      <c r="A85" s="54">
        <v>2021</v>
      </c>
      <c r="B85" s="55" t="s">
        <v>23</v>
      </c>
      <c r="C85" s="100" t="s">
        <v>132</v>
      </c>
      <c r="D85" s="219">
        <v>4068</v>
      </c>
      <c r="E85" s="386"/>
      <c r="F85" s="386"/>
      <c r="G85" s="386"/>
      <c r="H85" s="386">
        <f t="shared" si="19"/>
        <v>975</v>
      </c>
      <c r="I85" s="69">
        <f t="shared" si="20"/>
        <v>975</v>
      </c>
      <c r="J85" s="69">
        <f t="shared" si="21"/>
        <v>0</v>
      </c>
      <c r="K85" s="150">
        <v>217</v>
      </c>
      <c r="L85" s="150"/>
      <c r="M85" s="68">
        <v>353</v>
      </c>
      <c r="N85" s="150"/>
      <c r="O85" s="150">
        <v>405</v>
      </c>
      <c r="P85" s="220"/>
    </row>
    <row r="86" spans="1:16" x14ac:dyDescent="0.3">
      <c r="A86" s="54">
        <v>2021</v>
      </c>
      <c r="B86" s="55" t="s">
        <v>24</v>
      </c>
      <c r="C86" s="100" t="s">
        <v>132</v>
      </c>
      <c r="D86" s="219">
        <v>5567</v>
      </c>
      <c r="E86" s="386">
        <v>170</v>
      </c>
      <c r="F86" s="386"/>
      <c r="G86" s="386"/>
      <c r="H86" s="386">
        <f t="shared" si="19"/>
        <v>1183</v>
      </c>
      <c r="I86" s="69">
        <f t="shared" si="20"/>
        <v>1183</v>
      </c>
      <c r="J86" s="69">
        <f t="shared" si="21"/>
        <v>0</v>
      </c>
      <c r="K86" s="150">
        <v>284</v>
      </c>
      <c r="L86" s="150"/>
      <c r="M86" s="68">
        <v>469</v>
      </c>
      <c r="N86" s="150"/>
      <c r="O86" s="150">
        <v>430</v>
      </c>
      <c r="P86" s="220"/>
    </row>
    <row r="87" spans="1:16" x14ac:dyDescent="0.3">
      <c r="A87" s="54">
        <v>2021</v>
      </c>
      <c r="B87" s="55" t="s">
        <v>25</v>
      </c>
      <c r="C87" s="100" t="s">
        <v>132</v>
      </c>
      <c r="D87" s="219">
        <v>8670</v>
      </c>
      <c r="E87" s="386">
        <v>442</v>
      </c>
      <c r="F87" s="386"/>
      <c r="G87" s="386"/>
      <c r="H87" s="386">
        <f t="shared" si="19"/>
        <v>1868</v>
      </c>
      <c r="I87" s="69">
        <f t="shared" si="20"/>
        <v>0</v>
      </c>
      <c r="J87" s="69">
        <f t="shared" si="21"/>
        <v>1868</v>
      </c>
      <c r="K87" s="150"/>
      <c r="L87" s="150">
        <v>372</v>
      </c>
      <c r="M87" s="68"/>
      <c r="N87" s="68">
        <v>811</v>
      </c>
      <c r="O87" s="150"/>
      <c r="P87" s="220">
        <v>685</v>
      </c>
    </row>
    <row r="88" spans="1:16" x14ac:dyDescent="0.3">
      <c r="A88" s="54">
        <v>2021</v>
      </c>
      <c r="B88" s="55" t="s">
        <v>26</v>
      </c>
      <c r="C88" s="100" t="s">
        <v>132</v>
      </c>
      <c r="D88" s="219">
        <v>11099</v>
      </c>
      <c r="E88" s="386">
        <v>643</v>
      </c>
      <c r="F88" s="386"/>
      <c r="G88" s="386"/>
      <c r="H88" s="386">
        <f t="shared" si="19"/>
        <v>2667</v>
      </c>
      <c r="I88" s="69">
        <f t="shared" si="20"/>
        <v>0</v>
      </c>
      <c r="J88" s="69">
        <f t="shared" si="21"/>
        <v>2667</v>
      </c>
      <c r="K88" s="150"/>
      <c r="L88" s="150">
        <v>427</v>
      </c>
      <c r="M88" s="68"/>
      <c r="N88" s="68">
        <v>1111</v>
      </c>
      <c r="O88" s="150"/>
      <c r="P88" s="220">
        <v>1129</v>
      </c>
    </row>
    <row r="89" spans="1:16" x14ac:dyDescent="0.3">
      <c r="A89" s="54">
        <v>2021</v>
      </c>
      <c r="B89" s="55" t="s">
        <v>27</v>
      </c>
      <c r="C89" s="100" t="s">
        <v>132</v>
      </c>
      <c r="D89" s="219">
        <v>17470</v>
      </c>
      <c r="E89" s="386">
        <v>561</v>
      </c>
      <c r="F89" s="386"/>
      <c r="G89" s="386"/>
      <c r="H89" s="386">
        <f t="shared" si="19"/>
        <v>4981</v>
      </c>
      <c r="I89" s="69">
        <f t="shared" si="20"/>
        <v>0</v>
      </c>
      <c r="J89" s="69">
        <f t="shared" si="21"/>
        <v>4981</v>
      </c>
      <c r="K89" s="150"/>
      <c r="L89" s="150">
        <v>1013</v>
      </c>
      <c r="M89" s="68"/>
      <c r="N89" s="68">
        <v>2126</v>
      </c>
      <c r="O89" s="150"/>
      <c r="P89" s="220">
        <v>1842</v>
      </c>
    </row>
    <row r="90" spans="1:16" x14ac:dyDescent="0.3">
      <c r="A90" s="54">
        <v>2021</v>
      </c>
      <c r="B90" s="55" t="s">
        <v>28</v>
      </c>
      <c r="C90" s="100" t="s">
        <v>132</v>
      </c>
      <c r="D90" s="219">
        <v>120</v>
      </c>
      <c r="E90" s="386"/>
      <c r="F90" s="386"/>
      <c r="G90" s="386"/>
      <c r="H90" s="386">
        <f t="shared" si="19"/>
        <v>20</v>
      </c>
      <c r="I90" s="69">
        <f t="shared" si="20"/>
        <v>0</v>
      </c>
      <c r="J90" s="69">
        <f t="shared" si="21"/>
        <v>20</v>
      </c>
      <c r="K90" s="150">
        <v>0</v>
      </c>
      <c r="L90" s="150">
        <v>5</v>
      </c>
      <c r="M90" s="68">
        <v>0</v>
      </c>
      <c r="N90" s="68">
        <v>8</v>
      </c>
      <c r="O90" s="150">
        <v>0</v>
      </c>
      <c r="P90" s="220">
        <v>7</v>
      </c>
    </row>
    <row r="91" spans="1:16" x14ac:dyDescent="0.3">
      <c r="A91" s="54">
        <v>2021</v>
      </c>
      <c r="B91" s="55" t="s">
        <v>29</v>
      </c>
      <c r="C91" s="100" t="s">
        <v>132</v>
      </c>
      <c r="D91" s="219">
        <v>36784</v>
      </c>
      <c r="E91" s="386">
        <v>1056</v>
      </c>
      <c r="F91" s="386">
        <v>3116</v>
      </c>
      <c r="G91" s="386"/>
      <c r="H91" s="386">
        <f t="shared" si="19"/>
        <v>10421</v>
      </c>
      <c r="I91" s="69">
        <f t="shared" si="20"/>
        <v>1309</v>
      </c>
      <c r="J91" s="69">
        <f t="shared" si="21"/>
        <v>9112</v>
      </c>
      <c r="K91" s="150">
        <v>286</v>
      </c>
      <c r="L91" s="150">
        <v>2159</v>
      </c>
      <c r="M91" s="68">
        <v>571</v>
      </c>
      <c r="N91" s="150">
        <v>4142</v>
      </c>
      <c r="O91" s="150">
        <v>452</v>
      </c>
      <c r="P91" s="220">
        <v>2811</v>
      </c>
    </row>
    <row r="92" spans="1:16" x14ac:dyDescent="0.3">
      <c r="A92" s="54">
        <v>2021</v>
      </c>
      <c r="B92" s="55" t="s">
        <v>30</v>
      </c>
      <c r="C92" s="100" t="s">
        <v>132</v>
      </c>
      <c r="D92" s="219">
        <v>34726</v>
      </c>
      <c r="E92" s="386">
        <v>1190</v>
      </c>
      <c r="F92" s="386">
        <v>3773</v>
      </c>
      <c r="G92" s="386"/>
      <c r="H92" s="386">
        <f t="shared" si="19"/>
        <v>9583</v>
      </c>
      <c r="I92" s="69">
        <f t="shared" si="20"/>
        <v>6231</v>
      </c>
      <c r="J92" s="69">
        <f t="shared" si="21"/>
        <v>3352</v>
      </c>
      <c r="K92" s="150">
        <v>1370</v>
      </c>
      <c r="L92" s="150">
        <v>648</v>
      </c>
      <c r="M92" s="68">
        <v>2630</v>
      </c>
      <c r="N92" s="150">
        <v>1333</v>
      </c>
      <c r="O92" s="150">
        <v>2231</v>
      </c>
      <c r="P92" s="220">
        <v>1371</v>
      </c>
    </row>
    <row r="93" spans="1:16" x14ac:dyDescent="0.3">
      <c r="A93" s="58">
        <v>2021</v>
      </c>
      <c r="B93" s="59" t="s">
        <v>31</v>
      </c>
      <c r="C93" s="101" t="s">
        <v>132</v>
      </c>
      <c r="D93" s="221">
        <v>28142</v>
      </c>
      <c r="E93" s="387">
        <v>334</v>
      </c>
      <c r="F93" s="387">
        <v>4929</v>
      </c>
      <c r="G93" s="387"/>
      <c r="H93" s="387">
        <f t="shared" si="19"/>
        <v>7463</v>
      </c>
      <c r="I93" s="70">
        <f t="shared" si="20"/>
        <v>7462</v>
      </c>
      <c r="J93" s="70">
        <f t="shared" si="21"/>
        <v>1</v>
      </c>
      <c r="K93" s="222">
        <v>1687</v>
      </c>
      <c r="L93" s="222">
        <v>0</v>
      </c>
      <c r="M93" s="102">
        <v>3230</v>
      </c>
      <c r="N93" s="222">
        <v>0</v>
      </c>
      <c r="O93" s="222">
        <v>2545</v>
      </c>
      <c r="P93" s="223">
        <v>1</v>
      </c>
    </row>
    <row r="94" spans="1:16" x14ac:dyDescent="0.3">
      <c r="A94" s="540" t="s">
        <v>99</v>
      </c>
      <c r="B94" s="541"/>
      <c r="C94" s="541"/>
      <c r="D94" s="166">
        <f>SUM(D82:D93)</f>
        <v>151252</v>
      </c>
      <c r="E94" s="166">
        <f>SUM(E82:E93)</f>
        <v>4396</v>
      </c>
      <c r="F94" s="166">
        <f>SUM(F82:F93)</f>
        <v>11818</v>
      </c>
      <c r="G94" s="166">
        <f>SUM(G82:G93)</f>
        <v>0</v>
      </c>
      <c r="H94" s="166">
        <f>SUM(H82:H93)</f>
        <v>40202</v>
      </c>
      <c r="I94" s="166">
        <f t="shared" ref="I94:N94" si="22">SUM(I82:I93)</f>
        <v>18201</v>
      </c>
      <c r="J94" s="166">
        <f t="shared" si="22"/>
        <v>22001</v>
      </c>
      <c r="K94" s="166">
        <f t="shared" si="22"/>
        <v>4034</v>
      </c>
      <c r="L94" s="166">
        <f t="shared" si="22"/>
        <v>4624</v>
      </c>
      <c r="M94" s="166">
        <f t="shared" si="22"/>
        <v>7694</v>
      </c>
      <c r="N94" s="68">
        <f t="shared" si="22"/>
        <v>9531</v>
      </c>
      <c r="O94" s="166">
        <f>SUM(O82:O93)</f>
        <v>6473</v>
      </c>
      <c r="P94" s="166">
        <f>SUM(P82:P93)</f>
        <v>7846</v>
      </c>
    </row>
    <row r="95" spans="1:16" x14ac:dyDescent="0.3">
      <c r="A95" s="365"/>
      <c r="B95" s="365"/>
      <c r="C95" s="365"/>
      <c r="D95" s="365"/>
      <c r="E95" s="365"/>
      <c r="F95" s="365"/>
      <c r="G95" s="365"/>
      <c r="H95" s="365"/>
      <c r="I95" s="365"/>
      <c r="J95" s="365"/>
      <c r="K95" s="365"/>
      <c r="L95" s="365"/>
      <c r="M95" s="365"/>
      <c r="N95" s="365"/>
      <c r="O95" s="365"/>
    </row>
    <row r="96" spans="1:16" x14ac:dyDescent="0.3">
      <c r="A96" s="41" t="s">
        <v>133</v>
      </c>
    </row>
    <row r="97" spans="1:1" x14ac:dyDescent="0.3">
      <c r="A97" s="475" t="s">
        <v>137</v>
      </c>
    </row>
  </sheetData>
  <mergeCells count="10">
    <mergeCell ref="A94:C94"/>
    <mergeCell ref="A49:C49"/>
    <mergeCell ref="A64:C64"/>
    <mergeCell ref="A19:C19"/>
    <mergeCell ref="A34:C34"/>
    <mergeCell ref="A1:L1"/>
    <mergeCell ref="A2:L2"/>
    <mergeCell ref="A3:L3"/>
    <mergeCell ref="A4:L4"/>
    <mergeCell ref="A79:C79"/>
  </mergeCells>
  <printOptions horizontalCentered="1"/>
  <pageMargins left="0.25" right="0.25" top="0.5" bottom="0.75" header="0.3" footer="0.3"/>
  <pageSetup scale="64"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AF02D-3E58-4AC7-B64E-148A4968168C}">
  <sheetPr codeName="Sheet4"/>
  <dimension ref="A1:S109"/>
  <sheetViews>
    <sheetView zoomScaleNormal="100" workbookViewId="0">
      <selection sqref="A1:I1"/>
    </sheetView>
  </sheetViews>
  <sheetFormatPr defaultRowHeight="14.4" x14ac:dyDescent="0.3"/>
  <cols>
    <col min="1" max="1" width="6.44140625" style="63" customWidth="1"/>
    <col min="2" max="2" width="9.109375" style="63" customWidth="1"/>
    <col min="3" max="3" width="11.44140625" style="63" customWidth="1"/>
    <col min="4" max="4" width="11.109375" style="46" bestFit="1" customWidth="1"/>
    <col min="5" max="5" width="15.44140625" style="46" customWidth="1"/>
    <col min="6" max="6" width="14.44140625" style="46" customWidth="1"/>
    <col min="7" max="8" width="9.109375" customWidth="1"/>
  </cols>
  <sheetData>
    <row r="1" spans="1:19" s="343" customFormat="1" ht="38.25" customHeight="1" x14ac:dyDescent="0.35">
      <c r="A1" s="542" t="s">
        <v>122</v>
      </c>
      <c r="B1" s="542"/>
      <c r="C1" s="542"/>
      <c r="D1" s="542"/>
      <c r="E1" s="542"/>
      <c r="F1" s="542"/>
      <c r="G1" s="542"/>
      <c r="H1" s="542"/>
      <c r="I1" s="542"/>
    </row>
    <row r="2" spans="1:19" s="343" customFormat="1" ht="18" x14ac:dyDescent="0.35">
      <c r="A2" s="542" t="s">
        <v>163</v>
      </c>
      <c r="B2" s="542"/>
      <c r="C2" s="542"/>
      <c r="D2" s="542"/>
      <c r="E2" s="542"/>
      <c r="F2" s="542"/>
      <c r="G2" s="542"/>
      <c r="H2" s="542"/>
      <c r="I2" s="542"/>
    </row>
    <row r="3" spans="1:19" s="343" customFormat="1" ht="18" x14ac:dyDescent="0.35">
      <c r="A3" s="542" t="s">
        <v>166</v>
      </c>
      <c r="B3" s="542"/>
      <c r="C3" s="542"/>
      <c r="D3" s="542"/>
      <c r="E3" s="542"/>
      <c r="F3" s="542"/>
      <c r="G3" s="542"/>
      <c r="H3" s="542"/>
      <c r="I3" s="542"/>
    </row>
    <row r="4" spans="1:19" s="343" customFormat="1" ht="18" x14ac:dyDescent="0.35">
      <c r="A4" s="542" t="s">
        <v>123</v>
      </c>
      <c r="B4" s="542"/>
      <c r="C4" s="542"/>
      <c r="D4" s="542"/>
      <c r="E4" s="542"/>
      <c r="F4" s="542"/>
      <c r="G4" s="542"/>
      <c r="H4" s="542"/>
      <c r="I4" s="542"/>
    </row>
    <row r="5" spans="1:19" s="343" customFormat="1" x14ac:dyDescent="0.3">
      <c r="A5" s="63"/>
      <c r="B5" s="63"/>
      <c r="C5" s="63"/>
      <c r="D5" s="46"/>
      <c r="E5" s="46"/>
      <c r="F5" s="46"/>
    </row>
    <row r="6" spans="1:19" s="343" customFormat="1" ht="24.6" x14ac:dyDescent="0.3">
      <c r="A6" s="62" t="s">
        <v>18</v>
      </c>
      <c r="B6" s="62" t="s">
        <v>19</v>
      </c>
      <c r="C6" s="62" t="s">
        <v>0</v>
      </c>
      <c r="D6" s="62" t="s">
        <v>11</v>
      </c>
      <c r="E6" s="385" t="s">
        <v>9</v>
      </c>
      <c r="F6" s="62" t="s">
        <v>10</v>
      </c>
      <c r="G6" s="62" t="s">
        <v>158</v>
      </c>
      <c r="H6" s="385" t="s">
        <v>159</v>
      </c>
    </row>
    <row r="7" spans="1:19" s="343" customFormat="1" x14ac:dyDescent="0.3">
      <c r="A7" s="50">
        <v>2027</v>
      </c>
      <c r="B7" s="51" t="s">
        <v>20</v>
      </c>
      <c r="C7" s="51" t="s">
        <v>87</v>
      </c>
      <c r="D7" s="176">
        <f t="shared" ref="D7:D18" si="0">E7+F7</f>
        <v>0</v>
      </c>
      <c r="E7" s="399">
        <v>0</v>
      </c>
      <c r="F7" s="496">
        <v>0</v>
      </c>
      <c r="G7" s="496">
        <v>0</v>
      </c>
      <c r="H7" s="400">
        <v>0</v>
      </c>
      <c r="I7" s="344"/>
      <c r="J7" s="344"/>
      <c r="K7" s="344"/>
      <c r="L7" s="344"/>
      <c r="M7" s="344"/>
      <c r="N7" s="344"/>
      <c r="O7" s="344"/>
      <c r="P7" s="344"/>
      <c r="Q7" s="344"/>
      <c r="R7" s="344"/>
      <c r="S7" s="344"/>
    </row>
    <row r="8" spans="1:19" s="343" customFormat="1" x14ac:dyDescent="0.3">
      <c r="A8" s="54">
        <v>2027</v>
      </c>
      <c r="B8" s="55" t="s">
        <v>21</v>
      </c>
      <c r="C8" s="55" t="s">
        <v>87</v>
      </c>
      <c r="D8" s="177">
        <f t="shared" si="0"/>
        <v>0</v>
      </c>
      <c r="E8" s="399">
        <v>0</v>
      </c>
      <c r="F8" s="457">
        <v>0</v>
      </c>
      <c r="G8" s="457">
        <v>0</v>
      </c>
      <c r="H8" s="401">
        <v>0</v>
      </c>
    </row>
    <row r="9" spans="1:19" s="343" customFormat="1" x14ac:dyDescent="0.3">
      <c r="A9" s="54">
        <v>2027</v>
      </c>
      <c r="B9" s="55" t="s">
        <v>22</v>
      </c>
      <c r="C9" s="55" t="s">
        <v>87</v>
      </c>
      <c r="D9" s="177">
        <f t="shared" si="0"/>
        <v>0</v>
      </c>
      <c r="E9" s="399">
        <v>0</v>
      </c>
      <c r="F9" s="457">
        <v>0</v>
      </c>
      <c r="G9" s="457">
        <v>0</v>
      </c>
      <c r="H9" s="401">
        <v>0</v>
      </c>
    </row>
    <row r="10" spans="1:19" s="343" customFormat="1" x14ac:dyDescent="0.3">
      <c r="A10" s="54">
        <v>2027</v>
      </c>
      <c r="B10" s="55" t="s">
        <v>23</v>
      </c>
      <c r="C10" s="55" t="s">
        <v>87</v>
      </c>
      <c r="D10" s="177">
        <f t="shared" si="0"/>
        <v>0</v>
      </c>
      <c r="E10" s="399"/>
      <c r="F10" s="457">
        <v>0</v>
      </c>
      <c r="G10" s="457">
        <v>0</v>
      </c>
      <c r="H10" s="401">
        <v>0</v>
      </c>
    </row>
    <row r="11" spans="1:19" s="343" customFormat="1" x14ac:dyDescent="0.3">
      <c r="A11" s="54">
        <v>2027</v>
      </c>
      <c r="B11" s="55" t="s">
        <v>24</v>
      </c>
      <c r="C11" s="55" t="s">
        <v>87</v>
      </c>
      <c r="D11" s="177">
        <f t="shared" si="0"/>
        <v>0</v>
      </c>
      <c r="E11" s="399"/>
      <c r="F11" s="457">
        <v>0</v>
      </c>
      <c r="G11" s="457">
        <v>0</v>
      </c>
      <c r="H11" s="401">
        <v>0</v>
      </c>
    </row>
    <row r="12" spans="1:19" s="343" customFormat="1" x14ac:dyDescent="0.3">
      <c r="A12" s="54">
        <v>2027</v>
      </c>
      <c r="B12" s="55" t="s">
        <v>25</v>
      </c>
      <c r="C12" s="55" t="s">
        <v>87</v>
      </c>
      <c r="D12" s="177">
        <f t="shared" si="0"/>
        <v>0</v>
      </c>
      <c r="E12" s="399"/>
      <c r="F12" s="457">
        <v>0</v>
      </c>
      <c r="G12" s="457">
        <v>0</v>
      </c>
      <c r="H12" s="401">
        <v>0</v>
      </c>
    </row>
    <row r="13" spans="1:19" s="343" customFormat="1" x14ac:dyDescent="0.3">
      <c r="A13" s="54">
        <v>2027</v>
      </c>
      <c r="B13" s="55" t="s">
        <v>26</v>
      </c>
      <c r="C13" s="55" t="s">
        <v>87</v>
      </c>
      <c r="D13" s="177">
        <f t="shared" si="0"/>
        <v>0</v>
      </c>
      <c r="E13" s="399"/>
      <c r="F13" s="457">
        <v>0</v>
      </c>
      <c r="G13" s="457">
        <v>0</v>
      </c>
      <c r="H13" s="401">
        <v>0</v>
      </c>
    </row>
    <row r="14" spans="1:19" s="343" customFormat="1" x14ac:dyDescent="0.3">
      <c r="A14" s="54">
        <v>2027</v>
      </c>
      <c r="B14" s="55" t="s">
        <v>27</v>
      </c>
      <c r="C14" s="55" t="s">
        <v>87</v>
      </c>
      <c r="D14" s="177">
        <f t="shared" si="0"/>
        <v>0</v>
      </c>
      <c r="E14" s="399"/>
      <c r="F14" s="457">
        <v>0</v>
      </c>
      <c r="G14" s="457">
        <v>0</v>
      </c>
      <c r="H14" s="401">
        <v>0</v>
      </c>
    </row>
    <row r="15" spans="1:19" s="343" customFormat="1" x14ac:dyDescent="0.3">
      <c r="A15" s="54">
        <v>2027</v>
      </c>
      <c r="B15" s="55" t="s">
        <v>28</v>
      </c>
      <c r="C15" s="55" t="s">
        <v>87</v>
      </c>
      <c r="D15" s="177">
        <f t="shared" si="0"/>
        <v>0</v>
      </c>
      <c r="E15" s="399"/>
      <c r="F15" s="457">
        <v>0</v>
      </c>
      <c r="G15" s="457">
        <v>0</v>
      </c>
      <c r="H15" s="401">
        <v>0</v>
      </c>
    </row>
    <row r="16" spans="1:19" s="343" customFormat="1" x14ac:dyDescent="0.3">
      <c r="A16" s="54">
        <v>2027</v>
      </c>
      <c r="B16" s="55" t="s">
        <v>29</v>
      </c>
      <c r="C16" s="55" t="s">
        <v>87</v>
      </c>
      <c r="D16" s="177">
        <f t="shared" si="0"/>
        <v>0</v>
      </c>
      <c r="E16" s="399"/>
      <c r="F16" s="457">
        <v>0</v>
      </c>
      <c r="G16" s="457">
        <v>0</v>
      </c>
      <c r="H16" s="401">
        <v>0</v>
      </c>
    </row>
    <row r="17" spans="1:19" s="343" customFormat="1" x14ac:dyDescent="0.3">
      <c r="A17" s="54">
        <v>2027</v>
      </c>
      <c r="B17" s="55" t="s">
        <v>30</v>
      </c>
      <c r="C17" s="55" t="s">
        <v>87</v>
      </c>
      <c r="D17" s="177">
        <f t="shared" si="0"/>
        <v>0</v>
      </c>
      <c r="E17" s="399"/>
      <c r="F17" s="457">
        <v>0</v>
      </c>
      <c r="G17" s="457">
        <v>0</v>
      </c>
      <c r="H17" s="401">
        <v>0</v>
      </c>
    </row>
    <row r="18" spans="1:19" s="343" customFormat="1" x14ac:dyDescent="0.3">
      <c r="A18" s="58">
        <v>2027</v>
      </c>
      <c r="B18" s="59" t="s">
        <v>31</v>
      </c>
      <c r="C18" s="59" t="s">
        <v>87</v>
      </c>
      <c r="D18" s="175">
        <f t="shared" si="0"/>
        <v>0</v>
      </c>
      <c r="E18" s="404"/>
      <c r="F18" s="412">
        <v>0</v>
      </c>
      <c r="G18" s="412">
        <v>0</v>
      </c>
      <c r="H18" s="402">
        <v>0</v>
      </c>
    </row>
    <row r="19" spans="1:19" s="343" customFormat="1" x14ac:dyDescent="0.3">
      <c r="A19" s="546" t="s">
        <v>93</v>
      </c>
      <c r="B19" s="545"/>
      <c r="C19" s="545"/>
      <c r="D19" s="66">
        <f>SUM(D7:D18)</f>
        <v>0</v>
      </c>
      <c r="E19" s="66">
        <f>SUM(E7:E18)</f>
        <v>0</v>
      </c>
      <c r="F19" s="66">
        <f>SUM(F7:F18)</f>
        <v>0</v>
      </c>
      <c r="G19" s="66">
        <f>SUM(G7:G18)</f>
        <v>0</v>
      </c>
      <c r="H19" s="66">
        <f>SUM(H7:H18)</f>
        <v>0</v>
      </c>
    </row>
    <row r="20" spans="1:19" s="343" customFormat="1" x14ac:dyDescent="0.3">
      <c r="A20" s="495" t="s">
        <v>154</v>
      </c>
      <c r="B20" s="63"/>
      <c r="C20" s="63"/>
      <c r="D20" s="46"/>
      <c r="E20" s="46"/>
      <c r="F20" s="46"/>
    </row>
    <row r="21" spans="1:19" ht="24.6" x14ac:dyDescent="0.3">
      <c r="A21" s="62" t="s">
        <v>18</v>
      </c>
      <c r="B21" s="62" t="s">
        <v>19</v>
      </c>
      <c r="C21" s="62" t="s">
        <v>0</v>
      </c>
      <c r="D21" s="62" t="s">
        <v>11</v>
      </c>
      <c r="E21" s="385" t="s">
        <v>9</v>
      </c>
      <c r="F21" s="62" t="s">
        <v>10</v>
      </c>
      <c r="G21" s="62" t="s">
        <v>158</v>
      </c>
      <c r="H21" s="385" t="s">
        <v>159</v>
      </c>
    </row>
    <row r="22" spans="1:19" x14ac:dyDescent="0.3">
      <c r="A22" s="50">
        <v>2026</v>
      </c>
      <c r="B22" s="51" t="s">
        <v>20</v>
      </c>
      <c r="C22" s="51" t="s">
        <v>87</v>
      </c>
      <c r="D22" s="176">
        <f t="shared" ref="D22:D33" si="1">E22+F22</f>
        <v>13702.843456398557</v>
      </c>
      <c r="E22" s="399">
        <v>13702.843456398557</v>
      </c>
      <c r="F22" s="496">
        <v>0</v>
      </c>
      <c r="G22" s="496">
        <v>1956.1819540742399</v>
      </c>
      <c r="H22" s="400">
        <v>788.31902317666004</v>
      </c>
      <c r="I22" s="327"/>
      <c r="J22" s="327"/>
      <c r="K22" s="327"/>
      <c r="L22" s="327"/>
      <c r="M22" s="327"/>
      <c r="N22" s="327"/>
      <c r="O22" s="327"/>
      <c r="P22" s="327"/>
      <c r="Q22" s="327"/>
      <c r="R22" s="327"/>
      <c r="S22" s="327"/>
    </row>
    <row r="23" spans="1:19" x14ac:dyDescent="0.3">
      <c r="A23" s="54">
        <v>2026</v>
      </c>
      <c r="B23" s="55" t="s">
        <v>21</v>
      </c>
      <c r="C23" s="55" t="s">
        <v>87</v>
      </c>
      <c r="D23" s="177">
        <f t="shared" si="1"/>
        <v>10279.107588540242</v>
      </c>
      <c r="E23" s="399">
        <v>10279.107588540242</v>
      </c>
      <c r="F23" s="457">
        <v>0</v>
      </c>
      <c r="G23" s="457">
        <v>1442.8491053043001</v>
      </c>
      <c r="H23" s="401">
        <v>581.45173812478401</v>
      </c>
    </row>
    <row r="24" spans="1:19" x14ac:dyDescent="0.3">
      <c r="A24" s="54">
        <v>2026</v>
      </c>
      <c r="B24" s="55" t="s">
        <v>22</v>
      </c>
      <c r="C24" s="55" t="s">
        <v>87</v>
      </c>
      <c r="D24" s="177">
        <f t="shared" si="1"/>
        <v>8477.2276508947161</v>
      </c>
      <c r="E24" s="399">
        <v>8477.2276508947161</v>
      </c>
      <c r="F24" s="457">
        <v>0</v>
      </c>
      <c r="G24" s="457">
        <v>525.92629482621305</v>
      </c>
      <c r="H24" s="401">
        <v>211.942300222542</v>
      </c>
    </row>
    <row r="25" spans="1:19" x14ac:dyDescent="0.3">
      <c r="A25" s="54">
        <v>2026</v>
      </c>
      <c r="B25" s="55" t="s">
        <v>23</v>
      </c>
      <c r="C25" s="55" t="s">
        <v>87</v>
      </c>
      <c r="D25" s="177">
        <f t="shared" si="1"/>
        <v>7940.8296015169853</v>
      </c>
      <c r="E25" s="399">
        <v>7940.8296015169853</v>
      </c>
      <c r="F25" s="457">
        <v>0</v>
      </c>
      <c r="G25" s="457">
        <v>558.30944182805501</v>
      </c>
      <c r="H25" s="401">
        <v>224.99233923282401</v>
      </c>
    </row>
    <row r="26" spans="1:19" x14ac:dyDescent="0.3">
      <c r="A26" s="54">
        <v>2026</v>
      </c>
      <c r="B26" s="55" t="s">
        <v>24</v>
      </c>
      <c r="C26" s="55" t="s">
        <v>87</v>
      </c>
      <c r="D26" s="177">
        <f t="shared" si="1"/>
        <v>6706.6517410441611</v>
      </c>
      <c r="E26" s="399">
        <v>6434.7551372599119</v>
      </c>
      <c r="F26" s="457">
        <v>271.89660378424935</v>
      </c>
      <c r="G26" s="457">
        <v>352.61648957561403</v>
      </c>
      <c r="H26" s="401">
        <v>142.10042477862501</v>
      </c>
    </row>
    <row r="27" spans="1:19" x14ac:dyDescent="0.3">
      <c r="A27" s="54">
        <v>2026</v>
      </c>
      <c r="B27" s="55" t="s">
        <v>25</v>
      </c>
      <c r="C27" s="55" t="s">
        <v>87</v>
      </c>
      <c r="D27" s="177">
        <f t="shared" si="1"/>
        <v>8262.673555508316</v>
      </c>
      <c r="E27" s="399">
        <v>0</v>
      </c>
      <c r="F27" s="457">
        <v>8262.673555508316</v>
      </c>
      <c r="G27" s="457">
        <v>539.11942878992602</v>
      </c>
      <c r="H27" s="401">
        <v>217.25898278228601</v>
      </c>
    </row>
    <row r="28" spans="1:19" x14ac:dyDescent="0.3">
      <c r="A28" s="54">
        <v>2026</v>
      </c>
      <c r="B28" s="55" t="s">
        <v>26</v>
      </c>
      <c r="C28" s="55" t="s">
        <v>87</v>
      </c>
      <c r="D28" s="177">
        <f t="shared" si="1"/>
        <v>10895.544869931775</v>
      </c>
      <c r="E28" s="399">
        <v>0</v>
      </c>
      <c r="F28" s="457">
        <v>10895.544869931775</v>
      </c>
      <c r="G28" s="457">
        <v>865.949338345554</v>
      </c>
      <c r="H28" s="401">
        <v>348.96770983050197</v>
      </c>
    </row>
    <row r="29" spans="1:19" x14ac:dyDescent="0.3">
      <c r="A29" s="54">
        <v>2026</v>
      </c>
      <c r="B29" s="55" t="s">
        <v>27</v>
      </c>
      <c r="C29" s="55" t="s">
        <v>87</v>
      </c>
      <c r="D29" s="177">
        <f t="shared" si="1"/>
        <v>10327.520683189645</v>
      </c>
      <c r="E29" s="399">
        <v>0</v>
      </c>
      <c r="F29" s="457">
        <v>10327.520683189645</v>
      </c>
      <c r="G29" s="457">
        <v>957.10190027666499</v>
      </c>
      <c r="H29" s="401">
        <v>385.70115297055497</v>
      </c>
    </row>
    <row r="30" spans="1:19" x14ac:dyDescent="0.3">
      <c r="A30" s="54">
        <v>2026</v>
      </c>
      <c r="B30" s="55" t="s">
        <v>28</v>
      </c>
      <c r="C30" s="55" t="s">
        <v>87</v>
      </c>
      <c r="D30" s="177">
        <f t="shared" si="1"/>
        <v>10040.210160693015</v>
      </c>
      <c r="E30" s="399">
        <v>0</v>
      </c>
      <c r="F30" s="457">
        <v>10040.210160693015</v>
      </c>
      <c r="G30" s="457">
        <v>804.78117178651905</v>
      </c>
      <c r="H30" s="401">
        <v>324.317636144414</v>
      </c>
    </row>
    <row r="31" spans="1:19" x14ac:dyDescent="0.3">
      <c r="A31" s="54">
        <v>2026</v>
      </c>
      <c r="B31" s="55" t="s">
        <v>29</v>
      </c>
      <c r="C31" s="55" t="s">
        <v>87</v>
      </c>
      <c r="D31" s="177">
        <f t="shared" si="1"/>
        <v>8263.1340571044075</v>
      </c>
      <c r="E31" s="399">
        <v>8263.1340571044075</v>
      </c>
      <c r="F31" s="457">
        <v>0</v>
      </c>
      <c r="G31" s="457">
        <v>1645.54361801953</v>
      </c>
      <c r="H31" s="401">
        <v>663.13531563358595</v>
      </c>
    </row>
    <row r="32" spans="1:19" x14ac:dyDescent="0.3">
      <c r="A32" s="54">
        <v>2026</v>
      </c>
      <c r="B32" s="55" t="s">
        <v>30</v>
      </c>
      <c r="C32" s="55" t="s">
        <v>87</v>
      </c>
      <c r="D32" s="177">
        <f t="shared" si="1"/>
        <v>9716.968018569105</v>
      </c>
      <c r="E32" s="399">
        <v>9716.968018569105</v>
      </c>
      <c r="F32" s="457">
        <v>0</v>
      </c>
      <c r="G32" s="457">
        <v>1396.07344852386</v>
      </c>
      <c r="H32" s="401">
        <v>562.60168177659898</v>
      </c>
    </row>
    <row r="33" spans="1:8" x14ac:dyDescent="0.3">
      <c r="A33" s="58">
        <v>2026</v>
      </c>
      <c r="B33" s="59" t="s">
        <v>31</v>
      </c>
      <c r="C33" s="59" t="s">
        <v>87</v>
      </c>
      <c r="D33" s="175">
        <f t="shared" si="1"/>
        <v>10809.028241769225</v>
      </c>
      <c r="E33" s="403">
        <v>10809.028241769225</v>
      </c>
      <c r="F33" s="412">
        <v>0</v>
      </c>
      <c r="G33" s="412">
        <v>1803.8612255840901</v>
      </c>
      <c r="H33" s="402">
        <v>726.93550635051997</v>
      </c>
    </row>
    <row r="34" spans="1:8" x14ac:dyDescent="0.3">
      <c r="A34" s="546" t="s">
        <v>93</v>
      </c>
      <c r="B34" s="545"/>
      <c r="C34" s="545"/>
      <c r="D34" s="471">
        <f>SUM(D22:D33)</f>
        <v>115421.73962516016</v>
      </c>
      <c r="E34" s="471">
        <f>SUM(E22:E33)</f>
        <v>75623.893752053147</v>
      </c>
      <c r="F34" s="471">
        <f>SUM(F22:F33)</f>
        <v>39797.845873106999</v>
      </c>
      <c r="G34" s="471">
        <f>SUM(G22:G33)</f>
        <v>12848.313416934567</v>
      </c>
      <c r="H34" s="471">
        <f>SUM(H22:H33)</f>
        <v>5177.7238110238968</v>
      </c>
    </row>
    <row r="35" spans="1:8" s="343" customFormat="1" x14ac:dyDescent="0.3">
      <c r="A35" s="382"/>
      <c r="B35" s="383"/>
      <c r="C35" s="383"/>
      <c r="D35" s="66"/>
      <c r="E35" s="66"/>
      <c r="F35" s="66"/>
    </row>
    <row r="36" spans="1:8" s="343" customFormat="1" ht="24.6" x14ac:dyDescent="0.3">
      <c r="A36" s="385" t="s">
        <v>18</v>
      </c>
      <c r="B36" s="62" t="s">
        <v>19</v>
      </c>
      <c r="C36" s="62" t="s">
        <v>0</v>
      </c>
      <c r="D36" s="385" t="s">
        <v>11</v>
      </c>
      <c r="E36" s="385" t="s">
        <v>9</v>
      </c>
      <c r="F36" s="62" t="s">
        <v>10</v>
      </c>
      <c r="G36" s="62" t="s">
        <v>158</v>
      </c>
      <c r="H36" s="385" t="s">
        <v>159</v>
      </c>
    </row>
    <row r="37" spans="1:8" x14ac:dyDescent="0.3">
      <c r="A37" s="55">
        <v>2024</v>
      </c>
      <c r="B37" s="51" t="s">
        <v>20</v>
      </c>
      <c r="C37" s="51" t="s">
        <v>87</v>
      </c>
      <c r="D37" s="25">
        <f t="shared" ref="D37:D48" si="2">E37+F37</f>
        <v>12322</v>
      </c>
      <c r="E37" s="25">
        <v>12322</v>
      </c>
      <c r="F37" s="426"/>
      <c r="G37" s="426">
        <v>2609</v>
      </c>
      <c r="H37" s="14">
        <v>653</v>
      </c>
    </row>
    <row r="38" spans="1:8" s="343" customFormat="1" x14ac:dyDescent="0.3">
      <c r="A38" s="55">
        <v>2024</v>
      </c>
      <c r="B38" s="55" t="s">
        <v>21</v>
      </c>
      <c r="C38" s="55" t="s">
        <v>87</v>
      </c>
      <c r="D38" s="25">
        <f t="shared" si="2"/>
        <v>11186</v>
      </c>
      <c r="E38" s="25">
        <v>11186</v>
      </c>
      <c r="F38" s="25"/>
      <c r="G38" s="25">
        <v>1836</v>
      </c>
      <c r="H38" s="14">
        <v>570</v>
      </c>
    </row>
    <row r="39" spans="1:8" s="343" customFormat="1" x14ac:dyDescent="0.3">
      <c r="A39" s="55">
        <v>2024</v>
      </c>
      <c r="B39" s="55" t="s">
        <v>22</v>
      </c>
      <c r="C39" s="55" t="s">
        <v>87</v>
      </c>
      <c r="D39" s="25">
        <f t="shared" si="2"/>
        <v>8505</v>
      </c>
      <c r="E39" s="25">
        <v>8505</v>
      </c>
      <c r="F39" s="25"/>
      <c r="G39" s="25">
        <v>663</v>
      </c>
      <c r="H39" s="14">
        <v>214</v>
      </c>
    </row>
    <row r="40" spans="1:8" s="343" customFormat="1" x14ac:dyDescent="0.3">
      <c r="A40" s="55">
        <v>2024</v>
      </c>
      <c r="B40" s="55" t="s">
        <v>23</v>
      </c>
      <c r="C40" s="55" t="s">
        <v>87</v>
      </c>
      <c r="D40" s="25">
        <f t="shared" si="2"/>
        <v>8259</v>
      </c>
      <c r="E40" s="25">
        <v>8259</v>
      </c>
      <c r="F40" s="25"/>
      <c r="G40" s="25">
        <v>706</v>
      </c>
      <c r="H40" s="14">
        <v>225</v>
      </c>
    </row>
    <row r="41" spans="1:8" s="343" customFormat="1" x14ac:dyDescent="0.3">
      <c r="A41" s="55">
        <v>2024</v>
      </c>
      <c r="B41" s="55" t="s">
        <v>24</v>
      </c>
      <c r="C41" s="55" t="s">
        <v>87</v>
      </c>
      <c r="D41" s="25">
        <f t="shared" si="2"/>
        <v>8408</v>
      </c>
      <c r="E41" s="25">
        <v>8408</v>
      </c>
      <c r="F41" s="25"/>
      <c r="G41" s="25">
        <v>441</v>
      </c>
      <c r="H41" s="14">
        <v>147</v>
      </c>
    </row>
    <row r="42" spans="1:8" s="343" customFormat="1" x14ac:dyDescent="0.3">
      <c r="A42" s="55">
        <v>2024</v>
      </c>
      <c r="B42" s="55" t="s">
        <v>25</v>
      </c>
      <c r="C42" s="55" t="s">
        <v>87</v>
      </c>
      <c r="D42" s="25">
        <f t="shared" si="2"/>
        <v>9561</v>
      </c>
      <c r="E42" s="25">
        <v>4763</v>
      </c>
      <c r="F42" s="25">
        <v>4798</v>
      </c>
      <c r="G42" s="25">
        <v>724</v>
      </c>
      <c r="H42" s="14">
        <v>175</v>
      </c>
    </row>
    <row r="43" spans="1:8" s="343" customFormat="1" x14ac:dyDescent="0.3">
      <c r="A43" s="55">
        <v>2024</v>
      </c>
      <c r="B43" s="55" t="s">
        <v>26</v>
      </c>
      <c r="C43" s="55" t="s">
        <v>87</v>
      </c>
      <c r="D43" s="25">
        <f t="shared" si="2"/>
        <v>10608</v>
      </c>
      <c r="E43" s="25"/>
      <c r="F43" s="25">
        <v>10608</v>
      </c>
      <c r="G43" s="25">
        <v>1125</v>
      </c>
      <c r="H43" s="14">
        <v>319</v>
      </c>
    </row>
    <row r="44" spans="1:8" s="343" customFormat="1" x14ac:dyDescent="0.3">
      <c r="A44" s="55">
        <v>2024</v>
      </c>
      <c r="B44" s="55" t="s">
        <v>27</v>
      </c>
      <c r="C44" s="55" t="s">
        <v>87</v>
      </c>
      <c r="D44" s="25">
        <f t="shared" si="2"/>
        <v>12409</v>
      </c>
      <c r="E44" s="25"/>
      <c r="F44" s="25">
        <v>12409</v>
      </c>
      <c r="G44" s="25">
        <v>1287</v>
      </c>
      <c r="H44" s="14">
        <v>309</v>
      </c>
    </row>
    <row r="45" spans="1:8" s="343" customFormat="1" x14ac:dyDescent="0.3">
      <c r="A45" s="55">
        <v>2024</v>
      </c>
      <c r="B45" s="55" t="s">
        <v>28</v>
      </c>
      <c r="C45" s="55" t="s">
        <v>87</v>
      </c>
      <c r="D45" s="25">
        <f t="shared" si="2"/>
        <v>11732</v>
      </c>
      <c r="E45" s="25"/>
      <c r="F45" s="25">
        <v>11732</v>
      </c>
      <c r="G45" s="25">
        <v>1045</v>
      </c>
      <c r="H45" s="14">
        <v>297</v>
      </c>
    </row>
    <row r="46" spans="1:8" s="343" customFormat="1" x14ac:dyDescent="0.3">
      <c r="A46" s="55">
        <v>2024</v>
      </c>
      <c r="B46" s="55" t="s">
        <v>29</v>
      </c>
      <c r="C46" s="55" t="s">
        <v>87</v>
      </c>
      <c r="D46" s="25">
        <f t="shared" si="2"/>
        <v>9234</v>
      </c>
      <c r="E46" s="25">
        <v>3387</v>
      </c>
      <c r="F46" s="25">
        <v>5847</v>
      </c>
      <c r="G46" s="25">
        <v>788</v>
      </c>
      <c r="H46" s="14">
        <v>248</v>
      </c>
    </row>
    <row r="47" spans="1:8" s="343" customFormat="1" x14ac:dyDescent="0.3">
      <c r="A47" s="55">
        <v>2024</v>
      </c>
      <c r="B47" s="55" t="s">
        <v>30</v>
      </c>
      <c r="C47" s="55" t="s">
        <v>87</v>
      </c>
      <c r="D47" s="25">
        <f t="shared" si="2"/>
        <v>10073</v>
      </c>
      <c r="E47" s="25">
        <v>10073</v>
      </c>
      <c r="F47" s="25"/>
      <c r="G47" s="25">
        <v>1222</v>
      </c>
      <c r="H47" s="14">
        <v>308</v>
      </c>
    </row>
    <row r="48" spans="1:8" s="343" customFormat="1" x14ac:dyDescent="0.3">
      <c r="A48" s="59">
        <v>2024</v>
      </c>
      <c r="B48" s="59" t="s">
        <v>31</v>
      </c>
      <c r="C48" s="59" t="s">
        <v>87</v>
      </c>
      <c r="D48" s="172">
        <f t="shared" si="2"/>
        <v>11237</v>
      </c>
      <c r="E48" s="172">
        <v>11237</v>
      </c>
      <c r="F48" s="172"/>
      <c r="G48" s="172">
        <v>2169</v>
      </c>
      <c r="H48" s="15">
        <v>537</v>
      </c>
    </row>
    <row r="49" spans="1:8" s="343" customFormat="1" x14ac:dyDescent="0.3">
      <c r="A49" s="540" t="s">
        <v>81</v>
      </c>
      <c r="B49" s="545"/>
      <c r="C49" s="545"/>
      <c r="D49" s="66">
        <f>SUM(D37:D48)</f>
        <v>123534</v>
      </c>
      <c r="E49" s="66">
        <f>SUM(E37:E48)</f>
        <v>78140</v>
      </c>
      <c r="F49" s="66">
        <f>SUM(F37:F48)</f>
        <v>45394</v>
      </c>
      <c r="G49" s="66">
        <f>SUM(G37:G48)</f>
        <v>14615</v>
      </c>
      <c r="H49" s="66">
        <f>SUM(H37:H48)</f>
        <v>4002</v>
      </c>
    </row>
    <row r="50" spans="1:8" s="343" customFormat="1" x14ac:dyDescent="0.3">
      <c r="A50" s="382"/>
      <c r="B50" s="383"/>
      <c r="C50" s="383"/>
      <c r="D50" s="66"/>
      <c r="E50" s="66"/>
      <c r="F50" s="66"/>
    </row>
    <row r="51" spans="1:8" s="343" customFormat="1" ht="24.6" x14ac:dyDescent="0.3">
      <c r="A51" s="385" t="s">
        <v>18</v>
      </c>
      <c r="B51" s="62" t="s">
        <v>19</v>
      </c>
      <c r="C51" s="62" t="s">
        <v>0</v>
      </c>
      <c r="D51" s="385" t="s">
        <v>11</v>
      </c>
      <c r="E51" s="385" t="s">
        <v>9</v>
      </c>
      <c r="F51" s="62" t="s">
        <v>10</v>
      </c>
      <c r="G51" s="62" t="s">
        <v>158</v>
      </c>
      <c r="H51" s="385"/>
    </row>
    <row r="52" spans="1:8" s="343" customFormat="1" x14ac:dyDescent="0.3">
      <c r="A52" s="55">
        <v>2023</v>
      </c>
      <c r="B52" s="51" t="s">
        <v>20</v>
      </c>
      <c r="C52" s="51" t="s">
        <v>87</v>
      </c>
      <c r="D52" s="25">
        <f t="shared" ref="D52:D63" si="3">E52+F52</f>
        <v>19133</v>
      </c>
      <c r="E52" s="25">
        <v>19133</v>
      </c>
      <c r="F52" s="426"/>
      <c r="G52" s="426">
        <v>9279</v>
      </c>
      <c r="H52" s="14"/>
    </row>
    <row r="53" spans="1:8" s="329" customFormat="1" x14ac:dyDescent="0.3">
      <c r="A53" s="55">
        <v>2023</v>
      </c>
      <c r="B53" s="55" t="s">
        <v>21</v>
      </c>
      <c r="C53" s="55" t="s">
        <v>87</v>
      </c>
      <c r="D53" s="25">
        <f t="shared" si="3"/>
        <v>14592</v>
      </c>
      <c r="E53" s="25">
        <v>14592</v>
      </c>
      <c r="F53" s="25"/>
      <c r="G53" s="25">
        <v>5460</v>
      </c>
      <c r="H53" s="14"/>
    </row>
    <row r="54" spans="1:8" s="329" customFormat="1" x14ac:dyDescent="0.3">
      <c r="A54" s="55">
        <v>2023</v>
      </c>
      <c r="B54" s="55" t="s">
        <v>22</v>
      </c>
      <c r="C54" s="55" t="s">
        <v>87</v>
      </c>
      <c r="D54" s="25">
        <f t="shared" si="3"/>
        <v>10251</v>
      </c>
      <c r="E54" s="25">
        <v>10251</v>
      </c>
      <c r="F54" s="25"/>
      <c r="G54" s="25">
        <v>2648</v>
      </c>
      <c r="H54" s="14"/>
    </row>
    <row r="55" spans="1:8" s="329" customFormat="1" x14ac:dyDescent="0.3">
      <c r="A55" s="55">
        <v>2023</v>
      </c>
      <c r="B55" s="55" t="s">
        <v>23</v>
      </c>
      <c r="C55" s="55" t="s">
        <v>87</v>
      </c>
      <c r="D55" s="25">
        <f t="shared" si="3"/>
        <v>10034</v>
      </c>
      <c r="E55" s="25">
        <v>10034</v>
      </c>
      <c r="F55" s="25"/>
      <c r="G55" s="25">
        <v>2144</v>
      </c>
      <c r="H55" s="14"/>
    </row>
    <row r="56" spans="1:8" s="329" customFormat="1" x14ac:dyDescent="0.3">
      <c r="A56" s="55">
        <v>2023</v>
      </c>
      <c r="B56" s="55" t="s">
        <v>24</v>
      </c>
      <c r="C56" s="55" t="s">
        <v>87</v>
      </c>
      <c r="D56" s="25">
        <f t="shared" si="3"/>
        <v>7753</v>
      </c>
      <c r="E56" s="25">
        <v>7753</v>
      </c>
      <c r="F56" s="25"/>
      <c r="G56" s="25">
        <v>1181</v>
      </c>
      <c r="H56" s="14"/>
    </row>
    <row r="57" spans="1:8" s="329" customFormat="1" x14ac:dyDescent="0.3">
      <c r="A57" s="55">
        <v>2023</v>
      </c>
      <c r="B57" s="55" t="s">
        <v>25</v>
      </c>
      <c r="C57" s="55" t="s">
        <v>87</v>
      </c>
      <c r="D57" s="25">
        <f t="shared" si="3"/>
        <v>9450</v>
      </c>
      <c r="E57" s="25">
        <v>5264</v>
      </c>
      <c r="F57" s="25">
        <v>4186</v>
      </c>
      <c r="G57" s="25">
        <v>1406</v>
      </c>
      <c r="H57" s="14"/>
    </row>
    <row r="58" spans="1:8" s="329" customFormat="1" x14ac:dyDescent="0.3">
      <c r="A58" s="55">
        <v>2023</v>
      </c>
      <c r="B58" s="55" t="s">
        <v>26</v>
      </c>
      <c r="C58" s="55" t="s">
        <v>87</v>
      </c>
      <c r="D58" s="25">
        <f t="shared" si="3"/>
        <v>12958</v>
      </c>
      <c r="E58" s="25"/>
      <c r="F58" s="25">
        <v>12958</v>
      </c>
      <c r="G58" s="25">
        <v>2505</v>
      </c>
      <c r="H58" s="14"/>
    </row>
    <row r="59" spans="1:8" s="329" customFormat="1" x14ac:dyDescent="0.3">
      <c r="A59" s="55">
        <v>2023</v>
      </c>
      <c r="B59" s="55" t="s">
        <v>27</v>
      </c>
      <c r="C59" s="55" t="s">
        <v>87</v>
      </c>
      <c r="D59" s="25">
        <f t="shared" si="3"/>
        <v>13633</v>
      </c>
      <c r="E59" s="25"/>
      <c r="F59" s="25">
        <v>13633</v>
      </c>
      <c r="G59" s="25">
        <v>2974</v>
      </c>
      <c r="H59" s="14"/>
    </row>
    <row r="60" spans="1:8" s="329" customFormat="1" x14ac:dyDescent="0.3">
      <c r="A60" s="55">
        <v>2023</v>
      </c>
      <c r="B60" s="55" t="s">
        <v>28</v>
      </c>
      <c r="C60" s="55" t="s">
        <v>87</v>
      </c>
      <c r="D60" s="25">
        <f t="shared" si="3"/>
        <v>14355</v>
      </c>
      <c r="E60" s="25"/>
      <c r="F60" s="25">
        <v>14355</v>
      </c>
      <c r="G60" s="25">
        <v>2555</v>
      </c>
      <c r="H60" s="14"/>
    </row>
    <row r="61" spans="1:8" s="329" customFormat="1" x14ac:dyDescent="0.3">
      <c r="A61" s="55">
        <v>2023</v>
      </c>
      <c r="B61" s="55" t="s">
        <v>29</v>
      </c>
      <c r="C61" s="55" t="s">
        <v>87</v>
      </c>
      <c r="D61" s="25">
        <f t="shared" si="3"/>
        <v>10589</v>
      </c>
      <c r="E61" s="25">
        <v>4472</v>
      </c>
      <c r="F61" s="25">
        <v>6117</v>
      </c>
      <c r="G61" s="25">
        <v>2744</v>
      </c>
      <c r="H61" s="14"/>
    </row>
    <row r="62" spans="1:8" s="329" customFormat="1" x14ac:dyDescent="0.3">
      <c r="A62" s="55">
        <v>2023</v>
      </c>
      <c r="B62" s="55" t="s">
        <v>30</v>
      </c>
      <c r="C62" s="55" t="s">
        <v>87</v>
      </c>
      <c r="D62" s="25">
        <f t="shared" si="3"/>
        <v>11624</v>
      </c>
      <c r="E62" s="25">
        <v>11612</v>
      </c>
      <c r="F62" s="25">
        <v>12</v>
      </c>
      <c r="G62" s="25">
        <v>2328</v>
      </c>
      <c r="H62" s="14"/>
    </row>
    <row r="63" spans="1:8" s="329" customFormat="1" x14ac:dyDescent="0.3">
      <c r="A63" s="59">
        <v>2023</v>
      </c>
      <c r="B63" s="59" t="s">
        <v>31</v>
      </c>
      <c r="C63" s="59" t="s">
        <v>87</v>
      </c>
      <c r="D63" s="172">
        <f t="shared" si="3"/>
        <v>12348</v>
      </c>
      <c r="E63" s="172">
        <v>12348</v>
      </c>
      <c r="F63" s="172"/>
      <c r="G63" s="172">
        <v>3008</v>
      </c>
      <c r="H63" s="15"/>
    </row>
    <row r="64" spans="1:8" s="329" customFormat="1" x14ac:dyDescent="0.3">
      <c r="A64" s="540" t="s">
        <v>81</v>
      </c>
      <c r="B64" s="545"/>
      <c r="C64" s="545"/>
      <c r="D64" s="66">
        <f>SUM(D52:D63)</f>
        <v>146720</v>
      </c>
      <c r="E64" s="66">
        <f>SUM(E52:E63)</f>
        <v>95459</v>
      </c>
      <c r="F64" s="66">
        <f>SUM(F52:F63)</f>
        <v>51261</v>
      </c>
      <c r="G64" s="66">
        <f>SUM(G52:G63)</f>
        <v>38232</v>
      </c>
      <c r="H64" s="66">
        <f>SUM(H52:H63)</f>
        <v>0</v>
      </c>
    </row>
    <row r="65" spans="1:8" s="329" customFormat="1" x14ac:dyDescent="0.3">
      <c r="A65" s="63"/>
      <c r="B65" s="63"/>
      <c r="C65" s="63"/>
      <c r="D65" s="46"/>
      <c r="E65" s="46"/>
      <c r="F65" s="46"/>
    </row>
    <row r="66" spans="1:8" s="329" customFormat="1" ht="24.6" x14ac:dyDescent="0.3">
      <c r="A66" s="385" t="s">
        <v>18</v>
      </c>
      <c r="B66" s="62" t="s">
        <v>19</v>
      </c>
      <c r="C66" s="62" t="s">
        <v>0</v>
      </c>
      <c r="D66" s="385" t="s">
        <v>11</v>
      </c>
      <c r="E66" s="385" t="s">
        <v>9</v>
      </c>
      <c r="F66" s="300" t="s">
        <v>10</v>
      </c>
      <c r="G66" s="300" t="s">
        <v>158</v>
      </c>
      <c r="H66" s="385"/>
    </row>
    <row r="67" spans="1:8" s="329" customFormat="1" x14ac:dyDescent="0.3">
      <c r="A67" s="55">
        <v>2022</v>
      </c>
      <c r="B67" s="51" t="s">
        <v>20</v>
      </c>
      <c r="C67" s="51" t="s">
        <v>87</v>
      </c>
      <c r="D67" s="25">
        <f t="shared" ref="D67:D78" si="4">E67+F67</f>
        <v>13488</v>
      </c>
      <c r="E67" s="25">
        <v>13488</v>
      </c>
      <c r="F67" s="25">
        <v>0</v>
      </c>
      <c r="G67" s="25">
        <v>4145</v>
      </c>
      <c r="H67" s="14"/>
    </row>
    <row r="68" spans="1:8" s="313" customFormat="1" x14ac:dyDescent="0.3">
      <c r="A68" s="55">
        <v>2022</v>
      </c>
      <c r="B68" s="55" t="s">
        <v>21</v>
      </c>
      <c r="C68" s="55" t="s">
        <v>87</v>
      </c>
      <c r="D68" s="25">
        <f t="shared" si="4"/>
        <v>11843</v>
      </c>
      <c r="E68" s="25">
        <v>11843</v>
      </c>
      <c r="F68" s="25">
        <v>0</v>
      </c>
      <c r="G68" s="25">
        <v>3320</v>
      </c>
      <c r="H68" s="14"/>
    </row>
    <row r="69" spans="1:8" s="313" customFormat="1" x14ac:dyDescent="0.3">
      <c r="A69" s="55">
        <v>2022</v>
      </c>
      <c r="B69" s="55" t="s">
        <v>22</v>
      </c>
      <c r="C69" s="55" t="s">
        <v>87</v>
      </c>
      <c r="D69" s="25">
        <f t="shared" si="4"/>
        <v>9527</v>
      </c>
      <c r="E69" s="25">
        <v>9527</v>
      </c>
      <c r="F69" s="25">
        <v>0</v>
      </c>
      <c r="G69" s="25">
        <v>1931</v>
      </c>
      <c r="H69" s="14"/>
    </row>
    <row r="70" spans="1:8" s="313" customFormat="1" x14ac:dyDescent="0.3">
      <c r="A70" s="55">
        <v>2022</v>
      </c>
      <c r="B70" s="55" t="s">
        <v>23</v>
      </c>
      <c r="C70" s="55" t="s">
        <v>87</v>
      </c>
      <c r="D70" s="25">
        <f t="shared" si="4"/>
        <v>9016</v>
      </c>
      <c r="E70" s="25">
        <v>9016</v>
      </c>
      <c r="F70" s="25">
        <v>0</v>
      </c>
      <c r="G70" s="25">
        <v>1604</v>
      </c>
      <c r="H70" s="14"/>
    </row>
    <row r="71" spans="1:8" s="313" customFormat="1" x14ac:dyDescent="0.3">
      <c r="A71" s="55">
        <v>2022</v>
      </c>
      <c r="B71" s="55" t="s">
        <v>24</v>
      </c>
      <c r="C71" s="55" t="s">
        <v>87</v>
      </c>
      <c r="D71" s="25">
        <f t="shared" si="4"/>
        <v>7792</v>
      </c>
      <c r="E71" s="25">
        <v>7792</v>
      </c>
      <c r="F71" s="25">
        <v>0</v>
      </c>
      <c r="G71" s="25">
        <v>787</v>
      </c>
      <c r="H71" s="14"/>
    </row>
    <row r="72" spans="1:8" s="313" customFormat="1" x14ac:dyDescent="0.3">
      <c r="A72" s="55">
        <v>2022</v>
      </c>
      <c r="B72" s="55" t="s">
        <v>25</v>
      </c>
      <c r="C72" s="55" t="s">
        <v>87</v>
      </c>
      <c r="D72" s="25">
        <f t="shared" si="4"/>
        <v>8878</v>
      </c>
      <c r="E72" s="25">
        <v>4671</v>
      </c>
      <c r="F72" s="25">
        <v>4207</v>
      </c>
      <c r="G72" s="25">
        <v>745</v>
      </c>
      <c r="H72" s="14"/>
    </row>
    <row r="73" spans="1:8" s="313" customFormat="1" x14ac:dyDescent="0.3">
      <c r="A73" s="55">
        <v>2022</v>
      </c>
      <c r="B73" s="55" t="s">
        <v>26</v>
      </c>
      <c r="C73" s="55" t="s">
        <v>87</v>
      </c>
      <c r="D73" s="25">
        <f t="shared" si="4"/>
        <v>11760</v>
      </c>
      <c r="E73" s="25">
        <v>0</v>
      </c>
      <c r="F73" s="25">
        <v>11760</v>
      </c>
      <c r="G73" s="25">
        <v>1560</v>
      </c>
      <c r="H73" s="14"/>
    </row>
    <row r="74" spans="1:8" s="313" customFormat="1" x14ac:dyDescent="0.3">
      <c r="A74" s="55">
        <v>2022</v>
      </c>
      <c r="B74" s="55" t="s">
        <v>27</v>
      </c>
      <c r="C74" s="55" t="s">
        <v>87</v>
      </c>
      <c r="D74" s="25">
        <f t="shared" si="4"/>
        <v>11912</v>
      </c>
      <c r="E74" s="25">
        <v>0</v>
      </c>
      <c r="F74" s="25">
        <v>11912</v>
      </c>
      <c r="G74" s="25">
        <v>1838</v>
      </c>
      <c r="H74" s="14"/>
    </row>
    <row r="75" spans="1:8" s="313" customFormat="1" x14ac:dyDescent="0.3">
      <c r="A75" s="55">
        <v>2022</v>
      </c>
      <c r="B75" s="55" t="s">
        <v>28</v>
      </c>
      <c r="C75" s="55" t="s">
        <v>87</v>
      </c>
      <c r="D75" s="25">
        <f t="shared" si="4"/>
        <v>12559</v>
      </c>
      <c r="E75" s="25">
        <v>0</v>
      </c>
      <c r="F75" s="25">
        <v>12559</v>
      </c>
      <c r="G75" s="25">
        <v>2219</v>
      </c>
      <c r="H75" s="14"/>
    </row>
    <row r="76" spans="1:8" s="313" customFormat="1" x14ac:dyDescent="0.3">
      <c r="A76" s="55">
        <v>2022</v>
      </c>
      <c r="B76" s="55" t="s">
        <v>29</v>
      </c>
      <c r="C76" s="55" t="s">
        <v>87</v>
      </c>
      <c r="D76" s="25">
        <f t="shared" si="4"/>
        <v>10761</v>
      </c>
      <c r="E76" s="25">
        <v>4772</v>
      </c>
      <c r="F76" s="25">
        <v>5989</v>
      </c>
      <c r="G76" s="25">
        <v>1847</v>
      </c>
      <c r="H76" s="14"/>
    </row>
    <row r="77" spans="1:8" s="313" customFormat="1" x14ac:dyDescent="0.3">
      <c r="A77" s="55">
        <v>2022</v>
      </c>
      <c r="B77" s="55" t="s">
        <v>30</v>
      </c>
      <c r="C77" s="55" t="s">
        <v>87</v>
      </c>
      <c r="D77" s="25">
        <f t="shared" si="4"/>
        <v>11142</v>
      </c>
      <c r="E77" s="25">
        <v>11142</v>
      </c>
      <c r="F77" s="25">
        <v>0</v>
      </c>
      <c r="G77" s="25">
        <v>1754</v>
      </c>
      <c r="H77" s="14"/>
    </row>
    <row r="78" spans="1:8" s="313" customFormat="1" x14ac:dyDescent="0.3">
      <c r="A78" s="55">
        <v>2022</v>
      </c>
      <c r="B78" s="59" t="s">
        <v>31</v>
      </c>
      <c r="C78" s="59" t="s">
        <v>87</v>
      </c>
      <c r="D78" s="172">
        <f t="shared" si="4"/>
        <v>13634</v>
      </c>
      <c r="E78" s="172">
        <v>13634</v>
      </c>
      <c r="F78" s="172">
        <v>0</v>
      </c>
      <c r="G78" s="172">
        <v>3534</v>
      </c>
      <c r="H78" s="15"/>
    </row>
    <row r="79" spans="1:8" s="313" customFormat="1" x14ac:dyDescent="0.3">
      <c r="A79" s="546" t="s">
        <v>81</v>
      </c>
      <c r="B79" s="545"/>
      <c r="C79" s="545"/>
      <c r="D79" s="66">
        <f>SUM(D67:D78)</f>
        <v>132312</v>
      </c>
      <c r="E79" s="66">
        <f>SUM(E67:E78)</f>
        <v>85885</v>
      </c>
      <c r="F79" s="66">
        <f>SUM(F67:F78)</f>
        <v>46427</v>
      </c>
      <c r="G79" s="66">
        <f>SUM(G67:G78)</f>
        <v>25284</v>
      </c>
      <c r="H79" s="66">
        <f>SUM(H67:H78)</f>
        <v>0</v>
      </c>
    </row>
    <row r="80" spans="1:8" s="313" customFormat="1" x14ac:dyDescent="0.3">
      <c r="A80" s="63"/>
      <c r="B80" s="63"/>
      <c r="C80" s="63"/>
      <c r="D80" s="46"/>
      <c r="E80" s="46"/>
      <c r="F80" s="46"/>
    </row>
    <row r="81" spans="1:8" s="313" customFormat="1" ht="24.6" x14ac:dyDescent="0.3">
      <c r="A81" s="385" t="s">
        <v>18</v>
      </c>
      <c r="B81" s="62" t="s">
        <v>19</v>
      </c>
      <c r="C81" s="62" t="s">
        <v>0</v>
      </c>
      <c r="D81" s="385" t="s">
        <v>11</v>
      </c>
      <c r="E81" s="385" t="s">
        <v>9</v>
      </c>
      <c r="F81" s="300" t="s">
        <v>10</v>
      </c>
      <c r="G81" s="300" t="s">
        <v>158</v>
      </c>
      <c r="H81" s="385"/>
    </row>
    <row r="82" spans="1:8" s="313" customFormat="1" x14ac:dyDescent="0.3">
      <c r="A82" s="55">
        <v>2021</v>
      </c>
      <c r="B82" s="51" t="s">
        <v>20</v>
      </c>
      <c r="C82" s="51" t="s">
        <v>87</v>
      </c>
      <c r="D82" s="25">
        <f t="shared" ref="D82:D93" si="5">E82+F82</f>
        <v>13476</v>
      </c>
      <c r="E82" s="25">
        <v>13476</v>
      </c>
      <c r="F82" s="25"/>
      <c r="G82" s="25">
        <v>3856</v>
      </c>
      <c r="H82" s="14"/>
    </row>
    <row r="83" spans="1:8" x14ac:dyDescent="0.3">
      <c r="A83" s="55">
        <v>2021</v>
      </c>
      <c r="B83" s="55" t="s">
        <v>21</v>
      </c>
      <c r="C83" s="55" t="s">
        <v>87</v>
      </c>
      <c r="D83" s="25">
        <f t="shared" si="5"/>
        <v>12524</v>
      </c>
      <c r="E83" s="25">
        <v>12524</v>
      </c>
      <c r="F83" s="25"/>
      <c r="G83" s="25">
        <v>3713</v>
      </c>
      <c r="H83" s="14"/>
    </row>
    <row r="84" spans="1:8" x14ac:dyDescent="0.3">
      <c r="A84" s="55">
        <v>2021</v>
      </c>
      <c r="B84" s="55" t="s">
        <v>22</v>
      </c>
      <c r="C84" s="55" t="s">
        <v>87</v>
      </c>
      <c r="D84" s="25">
        <f t="shared" si="5"/>
        <v>10344</v>
      </c>
      <c r="E84" s="25">
        <v>10344</v>
      </c>
      <c r="F84" s="25"/>
      <c r="G84" s="25">
        <v>2352</v>
      </c>
      <c r="H84" s="14"/>
    </row>
    <row r="85" spans="1:8" x14ac:dyDescent="0.3">
      <c r="A85" s="55">
        <v>2021</v>
      </c>
      <c r="B85" s="55" t="s">
        <v>23</v>
      </c>
      <c r="C85" s="55" t="s">
        <v>87</v>
      </c>
      <c r="D85" s="25">
        <f t="shared" si="5"/>
        <v>9304</v>
      </c>
      <c r="E85" s="25">
        <v>9304</v>
      </c>
      <c r="F85" s="25"/>
      <c r="G85" s="25">
        <v>893</v>
      </c>
      <c r="H85" s="14"/>
    </row>
    <row r="86" spans="1:8" x14ac:dyDescent="0.3">
      <c r="A86" s="55">
        <v>2021</v>
      </c>
      <c r="B86" s="55" t="s">
        <v>24</v>
      </c>
      <c r="C86" s="55" t="s">
        <v>87</v>
      </c>
      <c r="D86" s="25">
        <f t="shared" si="5"/>
        <v>6723</v>
      </c>
      <c r="E86" s="25">
        <v>6723</v>
      </c>
      <c r="F86" s="25"/>
      <c r="G86" s="25">
        <v>481</v>
      </c>
      <c r="H86" s="14"/>
    </row>
    <row r="87" spans="1:8" x14ac:dyDescent="0.3">
      <c r="A87" s="55">
        <v>2021</v>
      </c>
      <c r="B87" s="55" t="s">
        <v>25</v>
      </c>
      <c r="C87" s="55" t="s">
        <v>87</v>
      </c>
      <c r="D87" s="25">
        <f t="shared" si="5"/>
        <v>9034</v>
      </c>
      <c r="E87" s="25"/>
      <c r="F87" s="25">
        <v>9034</v>
      </c>
      <c r="G87" s="25">
        <v>894</v>
      </c>
      <c r="H87" s="14"/>
    </row>
    <row r="88" spans="1:8" x14ac:dyDescent="0.3">
      <c r="A88" s="55">
        <v>2021</v>
      </c>
      <c r="B88" s="55" t="s">
        <v>26</v>
      </c>
      <c r="C88" s="55" t="s">
        <v>87</v>
      </c>
      <c r="D88" s="25">
        <f t="shared" si="5"/>
        <v>11584</v>
      </c>
      <c r="E88" s="25"/>
      <c r="F88" s="25">
        <v>11584</v>
      </c>
      <c r="G88" s="25">
        <v>1984</v>
      </c>
      <c r="H88" s="14"/>
    </row>
    <row r="89" spans="1:8" x14ac:dyDescent="0.3">
      <c r="A89" s="55">
        <v>2021</v>
      </c>
      <c r="B89" s="55" t="s">
        <v>27</v>
      </c>
      <c r="C89" s="55" t="s">
        <v>87</v>
      </c>
      <c r="D89" s="25">
        <f t="shared" si="5"/>
        <v>11707</v>
      </c>
      <c r="E89" s="25"/>
      <c r="F89" s="25">
        <v>11707</v>
      </c>
      <c r="G89" s="25">
        <v>2012</v>
      </c>
      <c r="H89" s="14"/>
    </row>
    <row r="90" spans="1:8" x14ac:dyDescent="0.3">
      <c r="A90" s="55">
        <v>2021</v>
      </c>
      <c r="B90" s="55" t="s">
        <v>28</v>
      </c>
      <c r="C90" s="55" t="s">
        <v>87</v>
      </c>
      <c r="D90" s="25">
        <f t="shared" si="5"/>
        <v>13049</v>
      </c>
      <c r="E90" s="25">
        <v>0</v>
      </c>
      <c r="F90" s="25">
        <v>13049</v>
      </c>
      <c r="G90" s="25">
        <v>2249</v>
      </c>
      <c r="H90" s="14"/>
    </row>
    <row r="91" spans="1:8" x14ac:dyDescent="0.3">
      <c r="A91" s="55">
        <v>2021</v>
      </c>
      <c r="B91" s="55" t="s">
        <v>29</v>
      </c>
      <c r="C91" s="55" t="s">
        <v>87</v>
      </c>
      <c r="D91" s="25">
        <f t="shared" si="5"/>
        <v>8837</v>
      </c>
      <c r="E91" s="25">
        <v>4355</v>
      </c>
      <c r="F91" s="25">
        <v>4482</v>
      </c>
      <c r="G91" s="25">
        <v>1377</v>
      </c>
      <c r="H91" s="14"/>
    </row>
    <row r="92" spans="1:8" x14ac:dyDescent="0.3">
      <c r="A92" s="55">
        <v>2021</v>
      </c>
      <c r="B92" s="55" t="s">
        <v>30</v>
      </c>
      <c r="C92" s="55" t="s">
        <v>87</v>
      </c>
      <c r="D92" s="25">
        <f t="shared" si="5"/>
        <v>9917</v>
      </c>
      <c r="E92" s="25">
        <v>9917</v>
      </c>
      <c r="F92" s="25">
        <v>0</v>
      </c>
      <c r="G92" s="25">
        <v>1986</v>
      </c>
      <c r="H92" s="14"/>
    </row>
    <row r="93" spans="1:8" x14ac:dyDescent="0.3">
      <c r="A93" s="59">
        <v>2021</v>
      </c>
      <c r="B93" s="59" t="s">
        <v>31</v>
      </c>
      <c r="C93" s="59" t="s">
        <v>87</v>
      </c>
      <c r="D93" s="172">
        <f t="shared" si="5"/>
        <v>11652</v>
      </c>
      <c r="E93" s="172">
        <v>11652</v>
      </c>
      <c r="F93" s="172">
        <v>0</v>
      </c>
      <c r="G93" s="172">
        <v>3083</v>
      </c>
      <c r="H93" s="15"/>
    </row>
    <row r="94" spans="1:8" x14ac:dyDescent="0.3">
      <c r="A94" s="546" t="s">
        <v>81</v>
      </c>
      <c r="B94" s="545"/>
      <c r="C94" s="545"/>
      <c r="D94" s="66">
        <f>SUM(D82:D93)</f>
        <v>128151</v>
      </c>
      <c r="E94" s="66">
        <f>SUM(E82:E93)</f>
        <v>78295</v>
      </c>
      <c r="F94" s="66">
        <f>SUM(F82:F93)</f>
        <v>49856</v>
      </c>
      <c r="G94" s="66">
        <f>SUM(G82:G93)</f>
        <v>24880</v>
      </c>
      <c r="H94" s="66">
        <f>SUM(H82:H93)</f>
        <v>0</v>
      </c>
    </row>
    <row r="96" spans="1:8" ht="24.6" x14ac:dyDescent="0.3">
      <c r="A96" s="62" t="s">
        <v>18</v>
      </c>
      <c r="B96" s="62" t="s">
        <v>19</v>
      </c>
      <c r="C96" s="62" t="s">
        <v>0</v>
      </c>
      <c r="D96" s="385" t="s">
        <v>11</v>
      </c>
      <c r="E96" s="385" t="s">
        <v>9</v>
      </c>
      <c r="F96" s="300" t="s">
        <v>10</v>
      </c>
      <c r="G96" s="300" t="s">
        <v>158</v>
      </c>
      <c r="H96" s="385"/>
    </row>
    <row r="97" spans="1:8" x14ac:dyDescent="0.3">
      <c r="A97" s="50">
        <v>2020</v>
      </c>
      <c r="B97" s="51" t="s">
        <v>20</v>
      </c>
      <c r="C97" s="51" t="s">
        <v>87</v>
      </c>
      <c r="D97" s="25">
        <f t="shared" ref="D97:D108" si="6">E97+F97</f>
        <v>14072</v>
      </c>
      <c r="E97" s="25">
        <v>14072</v>
      </c>
      <c r="F97" s="25"/>
      <c r="G97" s="25">
        <v>3383</v>
      </c>
      <c r="H97" s="14"/>
    </row>
    <row r="98" spans="1:8" x14ac:dyDescent="0.3">
      <c r="A98" s="54">
        <v>2020</v>
      </c>
      <c r="B98" s="55" t="s">
        <v>21</v>
      </c>
      <c r="C98" s="55" t="s">
        <v>87</v>
      </c>
      <c r="D98" s="25">
        <f t="shared" si="6"/>
        <v>13178</v>
      </c>
      <c r="E98" s="25">
        <v>13178</v>
      </c>
      <c r="F98" s="25"/>
      <c r="G98" s="25">
        <v>3723</v>
      </c>
      <c r="H98" s="14"/>
    </row>
    <row r="99" spans="1:8" x14ac:dyDescent="0.3">
      <c r="A99" s="54">
        <v>2020</v>
      </c>
      <c r="B99" s="55" t="s">
        <v>22</v>
      </c>
      <c r="C99" s="55" t="s">
        <v>87</v>
      </c>
      <c r="D99" s="25">
        <f t="shared" si="6"/>
        <v>10661</v>
      </c>
      <c r="E99" s="25">
        <v>10661</v>
      </c>
      <c r="F99" s="25"/>
      <c r="G99" s="25">
        <v>1825</v>
      </c>
      <c r="H99" s="14"/>
    </row>
    <row r="100" spans="1:8" x14ac:dyDescent="0.3">
      <c r="A100" s="54">
        <v>2020</v>
      </c>
      <c r="B100" s="55" t="s">
        <v>23</v>
      </c>
      <c r="C100" s="55" t="s">
        <v>87</v>
      </c>
      <c r="D100" s="25">
        <f t="shared" si="6"/>
        <v>10086</v>
      </c>
      <c r="E100" s="25">
        <v>10086</v>
      </c>
      <c r="F100" s="25"/>
      <c r="G100" s="25">
        <v>930</v>
      </c>
      <c r="H100" s="14"/>
    </row>
    <row r="101" spans="1:8" x14ac:dyDescent="0.3">
      <c r="A101" s="54">
        <v>2020</v>
      </c>
      <c r="B101" s="55" t="s">
        <v>24</v>
      </c>
      <c r="C101" s="55" t="s">
        <v>87</v>
      </c>
      <c r="D101" s="25">
        <f t="shared" si="6"/>
        <v>7883</v>
      </c>
      <c r="E101" s="25">
        <v>7636</v>
      </c>
      <c r="F101" s="25">
        <v>247</v>
      </c>
      <c r="G101" s="25">
        <v>339</v>
      </c>
      <c r="H101" s="14"/>
    </row>
    <row r="102" spans="1:8" x14ac:dyDescent="0.3">
      <c r="A102" s="54">
        <v>2020</v>
      </c>
      <c r="B102" s="55" t="s">
        <v>25</v>
      </c>
      <c r="C102" s="55" t="s">
        <v>87</v>
      </c>
      <c r="D102" s="25">
        <f t="shared" si="6"/>
        <v>9135</v>
      </c>
      <c r="E102" s="25"/>
      <c r="F102" s="25">
        <v>9135</v>
      </c>
      <c r="G102" s="25">
        <v>611</v>
      </c>
      <c r="H102" s="14"/>
    </row>
    <row r="103" spans="1:8" x14ac:dyDescent="0.3">
      <c r="A103" s="54">
        <v>2020</v>
      </c>
      <c r="B103" s="55" t="s">
        <v>26</v>
      </c>
      <c r="C103" s="55" t="s">
        <v>87</v>
      </c>
      <c r="D103" s="25">
        <f t="shared" si="6"/>
        <v>13934</v>
      </c>
      <c r="E103" s="25"/>
      <c r="F103" s="25">
        <v>13934</v>
      </c>
      <c r="G103" s="25">
        <v>1718</v>
      </c>
      <c r="H103" s="14"/>
    </row>
    <row r="104" spans="1:8" x14ac:dyDescent="0.3">
      <c r="A104" s="54">
        <v>2020</v>
      </c>
      <c r="B104" s="55" t="s">
        <v>27</v>
      </c>
      <c r="C104" s="55" t="s">
        <v>87</v>
      </c>
      <c r="D104" s="25">
        <f t="shared" si="6"/>
        <v>13673</v>
      </c>
      <c r="E104" s="25"/>
      <c r="F104" s="25">
        <v>13673</v>
      </c>
      <c r="G104" s="25">
        <v>1722</v>
      </c>
      <c r="H104" s="14"/>
    </row>
    <row r="105" spans="1:8" x14ac:dyDescent="0.3">
      <c r="A105" s="54">
        <v>2020</v>
      </c>
      <c r="B105" s="55" t="s">
        <v>28</v>
      </c>
      <c r="C105" s="55" t="s">
        <v>87</v>
      </c>
      <c r="D105" s="25">
        <f t="shared" si="6"/>
        <v>11306</v>
      </c>
      <c r="E105" s="25"/>
      <c r="F105" s="25">
        <v>11306</v>
      </c>
      <c r="G105" s="25">
        <v>1285</v>
      </c>
      <c r="H105" s="14"/>
    </row>
    <row r="106" spans="1:8" x14ac:dyDescent="0.3">
      <c r="A106" s="54">
        <v>2020</v>
      </c>
      <c r="B106" s="55" t="s">
        <v>29</v>
      </c>
      <c r="C106" s="55" t="s">
        <v>87</v>
      </c>
      <c r="D106" s="25">
        <f t="shared" si="6"/>
        <v>8427</v>
      </c>
      <c r="E106" s="25">
        <v>8427</v>
      </c>
      <c r="F106" s="25"/>
      <c r="G106" s="25">
        <v>889</v>
      </c>
      <c r="H106" s="14"/>
    </row>
    <row r="107" spans="1:8" x14ac:dyDescent="0.3">
      <c r="A107" s="54">
        <v>2020</v>
      </c>
      <c r="B107" s="55" t="s">
        <v>30</v>
      </c>
      <c r="C107" s="55" t="s">
        <v>87</v>
      </c>
      <c r="D107" s="25">
        <f t="shared" si="6"/>
        <v>9095</v>
      </c>
      <c r="E107" s="25">
        <v>9095</v>
      </c>
      <c r="F107" s="25"/>
      <c r="G107" s="25">
        <v>1274</v>
      </c>
      <c r="H107" s="14"/>
    </row>
    <row r="108" spans="1:8" x14ac:dyDescent="0.3">
      <c r="A108" s="58">
        <v>2020</v>
      </c>
      <c r="B108" s="59" t="s">
        <v>31</v>
      </c>
      <c r="C108" s="59" t="s">
        <v>87</v>
      </c>
      <c r="D108" s="172">
        <f t="shared" si="6"/>
        <v>11604</v>
      </c>
      <c r="E108" s="172">
        <v>11604</v>
      </c>
      <c r="F108" s="172"/>
      <c r="G108" s="172">
        <v>2831</v>
      </c>
      <c r="H108" s="15"/>
    </row>
    <row r="109" spans="1:8" x14ac:dyDescent="0.3">
      <c r="A109" s="546" t="s">
        <v>81</v>
      </c>
      <c r="B109" s="545"/>
      <c r="C109" s="545"/>
      <c r="D109" s="66">
        <f>SUM(D97:D108)</f>
        <v>133054</v>
      </c>
      <c r="E109" s="66">
        <f>SUM(E97:E108)</f>
        <v>84759</v>
      </c>
      <c r="F109" s="66">
        <f>SUM(F97:F108)</f>
        <v>48295</v>
      </c>
      <c r="G109" s="66">
        <f>SUM(G97:G108)</f>
        <v>20530</v>
      </c>
      <c r="H109" s="66">
        <f>SUM(H97:H108)</f>
        <v>0</v>
      </c>
    </row>
  </sheetData>
  <mergeCells count="11">
    <mergeCell ref="A1:I1"/>
    <mergeCell ref="A2:I2"/>
    <mergeCell ref="A3:I3"/>
    <mergeCell ref="A4:I4"/>
    <mergeCell ref="A19:C19"/>
    <mergeCell ref="A64:C64"/>
    <mergeCell ref="A49:C49"/>
    <mergeCell ref="A34:C34"/>
    <mergeCell ref="A109:C109"/>
    <mergeCell ref="A94:C94"/>
    <mergeCell ref="A79:C79"/>
  </mergeCells>
  <printOptions horizontalCentered="1"/>
  <pageMargins left="0.25" right="0.25" top="0.5" bottom="0.75" header="0.3" footer="0.3"/>
  <pageSetup scale="79" orientation="portrait" r:id="rId1"/>
  <rowBreaks count="1" manualBreakCount="1">
    <brk id="50"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62B61-0596-474B-954F-132013A6870C}">
  <sheetPr codeName="Sheet6"/>
  <dimension ref="A1:I112"/>
  <sheetViews>
    <sheetView zoomScaleNormal="100" workbookViewId="0">
      <selection sqref="A1:I1"/>
    </sheetView>
  </sheetViews>
  <sheetFormatPr defaultRowHeight="14.4" x14ac:dyDescent="0.3"/>
  <cols>
    <col min="1" max="3" width="9.109375" style="3" customWidth="1"/>
    <col min="5" max="5" width="13.5546875" customWidth="1"/>
    <col min="7" max="7" width="3.6640625" customWidth="1"/>
    <col min="8" max="8" width="7" customWidth="1"/>
    <col min="9" max="9" width="3.44140625" customWidth="1"/>
  </cols>
  <sheetData>
    <row r="1" spans="1:9" s="343" customFormat="1" ht="18" x14ac:dyDescent="0.35">
      <c r="A1" s="542" t="s">
        <v>122</v>
      </c>
      <c r="B1" s="542"/>
      <c r="C1" s="542"/>
      <c r="D1" s="542"/>
      <c r="E1" s="542"/>
      <c r="F1" s="542"/>
      <c r="G1" s="542"/>
      <c r="H1" s="542"/>
      <c r="I1" s="542"/>
    </row>
    <row r="2" spans="1:9" s="343" customFormat="1" ht="18" x14ac:dyDescent="0.35">
      <c r="A2" s="542" t="s">
        <v>163</v>
      </c>
      <c r="B2" s="542"/>
      <c r="C2" s="542"/>
      <c r="D2" s="542"/>
      <c r="E2" s="542"/>
      <c r="F2" s="542"/>
      <c r="G2" s="542"/>
      <c r="H2" s="542"/>
      <c r="I2" s="542"/>
    </row>
    <row r="3" spans="1:9" s="343" customFormat="1" ht="18" x14ac:dyDescent="0.35">
      <c r="A3" s="542" t="s">
        <v>166</v>
      </c>
      <c r="B3" s="542"/>
      <c r="C3" s="542"/>
      <c r="D3" s="542"/>
      <c r="E3" s="542"/>
      <c r="F3" s="542"/>
      <c r="G3" s="542"/>
      <c r="H3" s="542"/>
      <c r="I3" s="542"/>
    </row>
    <row r="4" spans="1:9" s="343" customFormat="1" ht="18" x14ac:dyDescent="0.35">
      <c r="A4" s="542" t="s">
        <v>123</v>
      </c>
      <c r="B4" s="542"/>
      <c r="C4" s="542"/>
      <c r="D4" s="542"/>
      <c r="E4" s="542"/>
      <c r="F4" s="542"/>
      <c r="G4" s="542"/>
      <c r="H4" s="542"/>
      <c r="I4" s="542"/>
    </row>
    <row r="5" spans="1:9" s="343" customFormat="1" x14ac:dyDescent="0.3">
      <c r="A5" s="3"/>
      <c r="B5" s="3"/>
      <c r="C5" s="3"/>
    </row>
    <row r="6" spans="1:9" s="343" customFormat="1" ht="24.6" x14ac:dyDescent="0.3">
      <c r="A6" s="10" t="s">
        <v>18</v>
      </c>
      <c r="B6" s="10" t="s">
        <v>19</v>
      </c>
      <c r="C6" s="10" t="s">
        <v>0</v>
      </c>
      <c r="D6" s="5" t="s">
        <v>11</v>
      </c>
      <c r="E6" s="405" t="s">
        <v>9</v>
      </c>
      <c r="F6" s="405" t="s">
        <v>10</v>
      </c>
    </row>
    <row r="7" spans="1:9" s="343" customFormat="1" x14ac:dyDescent="0.3">
      <c r="A7" s="26">
        <v>2027</v>
      </c>
      <c r="B7" s="27" t="s">
        <v>20</v>
      </c>
      <c r="C7" s="27" t="s">
        <v>17</v>
      </c>
      <c r="D7" s="194">
        <v>3347.3124984380311</v>
      </c>
      <c r="E7" s="399"/>
      <c r="F7" s="400"/>
    </row>
    <row r="8" spans="1:9" s="343" customFormat="1" x14ac:dyDescent="0.3">
      <c r="A8" s="28">
        <v>2027</v>
      </c>
      <c r="B8" s="29" t="s">
        <v>21</v>
      </c>
      <c r="C8" s="29" t="s">
        <v>17</v>
      </c>
      <c r="D8" s="184">
        <v>3192.3395843552926</v>
      </c>
      <c r="E8" s="399"/>
      <c r="F8" s="401"/>
      <c r="H8" s="344"/>
      <c r="I8" s="344"/>
    </row>
    <row r="9" spans="1:9" s="343" customFormat="1" x14ac:dyDescent="0.3">
      <c r="A9" s="28">
        <v>2027</v>
      </c>
      <c r="B9" s="29" t="s">
        <v>22</v>
      </c>
      <c r="C9" s="29" t="s">
        <v>17</v>
      </c>
      <c r="D9" s="184">
        <v>3423.059571998353</v>
      </c>
      <c r="E9" s="399"/>
      <c r="F9" s="401"/>
    </row>
    <row r="10" spans="1:9" s="343" customFormat="1" x14ac:dyDescent="0.3">
      <c r="A10" s="28">
        <v>2027</v>
      </c>
      <c r="B10" s="29" t="s">
        <v>23</v>
      </c>
      <c r="C10" s="29" t="s">
        <v>17</v>
      </c>
      <c r="D10" s="184">
        <v>3169.5941670055067</v>
      </c>
      <c r="E10" s="399"/>
      <c r="F10" s="401"/>
    </row>
    <row r="11" spans="1:9" s="343" customFormat="1" x14ac:dyDescent="0.3">
      <c r="A11" s="28">
        <v>2027</v>
      </c>
      <c r="B11" s="29" t="s">
        <v>24</v>
      </c>
      <c r="C11" s="29" t="s">
        <v>17</v>
      </c>
      <c r="D11" s="184">
        <v>3269.3437231750258</v>
      </c>
      <c r="E11" s="399"/>
      <c r="F11" s="401"/>
    </row>
    <row r="12" spans="1:9" s="343" customFormat="1" x14ac:dyDescent="0.3">
      <c r="A12" s="28">
        <v>2027</v>
      </c>
      <c r="B12" s="29" t="s">
        <v>25</v>
      </c>
      <c r="C12" s="29" t="s">
        <v>17</v>
      </c>
      <c r="D12" s="184">
        <v>2814.1218086800545</v>
      </c>
      <c r="E12" s="399"/>
      <c r="F12" s="401"/>
    </row>
    <row r="13" spans="1:9" s="343" customFormat="1" x14ac:dyDescent="0.3">
      <c r="A13" s="28">
        <v>2027</v>
      </c>
      <c r="B13" s="29" t="s">
        <v>26</v>
      </c>
      <c r="C13" s="29" t="s">
        <v>17</v>
      </c>
      <c r="D13" s="184">
        <v>2428.792100819308</v>
      </c>
      <c r="E13" s="399"/>
      <c r="F13" s="401"/>
    </row>
    <row r="14" spans="1:9" s="343" customFormat="1" x14ac:dyDescent="0.3">
      <c r="A14" s="28">
        <v>2027</v>
      </c>
      <c r="B14" s="29" t="s">
        <v>27</v>
      </c>
      <c r="C14" s="29" t="s">
        <v>17</v>
      </c>
      <c r="D14" s="184">
        <v>2085.2783276762384</v>
      </c>
      <c r="E14" s="399"/>
      <c r="F14" s="401"/>
    </row>
    <row r="15" spans="1:9" s="343" customFormat="1" x14ac:dyDescent="0.3">
      <c r="A15" s="28">
        <v>2027</v>
      </c>
      <c r="B15" s="29" t="s">
        <v>28</v>
      </c>
      <c r="C15" s="29" t="s">
        <v>17</v>
      </c>
      <c r="D15" s="184">
        <v>2184.3481950397818</v>
      </c>
      <c r="E15" s="399"/>
      <c r="F15" s="401"/>
    </row>
    <row r="16" spans="1:9" s="343" customFormat="1" x14ac:dyDescent="0.3">
      <c r="A16" s="28">
        <v>2027</v>
      </c>
      <c r="B16" s="29" t="s">
        <v>29</v>
      </c>
      <c r="C16" s="29" t="s">
        <v>17</v>
      </c>
      <c r="D16" s="184">
        <v>2220.1659121401522</v>
      </c>
      <c r="E16" s="399"/>
      <c r="F16" s="401"/>
    </row>
    <row r="17" spans="1:9" s="343" customFormat="1" x14ac:dyDescent="0.3">
      <c r="A17" s="28">
        <v>2027</v>
      </c>
      <c r="B17" s="29" t="s">
        <v>30</v>
      </c>
      <c r="C17" s="29" t="s">
        <v>17</v>
      </c>
      <c r="D17" s="184">
        <v>2551.7375031125139</v>
      </c>
      <c r="E17" s="399"/>
      <c r="F17" s="401"/>
    </row>
    <row r="18" spans="1:9" s="343" customFormat="1" x14ac:dyDescent="0.3">
      <c r="A18" s="30">
        <v>2027</v>
      </c>
      <c r="B18" s="31" t="s">
        <v>31</v>
      </c>
      <c r="C18" s="31" t="s">
        <v>17</v>
      </c>
      <c r="D18" s="187">
        <v>2938.8789128489393</v>
      </c>
      <c r="E18" s="404"/>
      <c r="F18" s="402"/>
    </row>
    <row r="19" spans="1:9" s="343" customFormat="1" x14ac:dyDescent="0.3">
      <c r="A19" s="547" t="s">
        <v>80</v>
      </c>
      <c r="B19" s="547"/>
      <c r="C19" s="547"/>
      <c r="D19" s="171">
        <f>SUM(D7:D18)</f>
        <v>33624.972305289193</v>
      </c>
      <c r="E19" s="171">
        <f>SUM(E7:E18)</f>
        <v>0</v>
      </c>
      <c r="F19" s="171">
        <f>SUM(F7:F18)</f>
        <v>0</v>
      </c>
    </row>
    <row r="20" spans="1:9" s="343" customFormat="1" x14ac:dyDescent="0.3">
      <c r="A20" s="3"/>
      <c r="B20" s="3"/>
      <c r="C20" s="3"/>
    </row>
    <row r="21" spans="1:9" s="200" customFormat="1" ht="24.6" x14ac:dyDescent="0.3">
      <c r="A21" s="10" t="s">
        <v>18</v>
      </c>
      <c r="B21" s="10" t="s">
        <v>19</v>
      </c>
      <c r="C21" s="10" t="s">
        <v>0</v>
      </c>
      <c r="D21" s="5" t="s">
        <v>11</v>
      </c>
      <c r="E21" s="405" t="s">
        <v>9</v>
      </c>
      <c r="F21" s="405" t="s">
        <v>10</v>
      </c>
    </row>
    <row r="22" spans="1:9" s="200" customFormat="1" x14ac:dyDescent="0.3">
      <c r="A22" s="26">
        <v>2026</v>
      </c>
      <c r="B22" s="27" t="s">
        <v>20</v>
      </c>
      <c r="C22" s="27" t="s">
        <v>17</v>
      </c>
      <c r="D22" s="194">
        <v>3570.598982917295</v>
      </c>
      <c r="E22" s="399"/>
      <c r="F22" s="400"/>
      <c r="I22" s="321"/>
    </row>
    <row r="23" spans="1:9" s="200" customFormat="1" x14ac:dyDescent="0.3">
      <c r="A23" s="28">
        <v>2026</v>
      </c>
      <c r="B23" s="29" t="s">
        <v>21</v>
      </c>
      <c r="C23" s="29" t="s">
        <v>17</v>
      </c>
      <c r="D23" s="184">
        <v>3415.3892546065322</v>
      </c>
      <c r="E23" s="399"/>
      <c r="F23" s="401"/>
      <c r="H23" s="304"/>
      <c r="I23" s="304"/>
    </row>
    <row r="24" spans="1:9" s="200" customFormat="1" x14ac:dyDescent="0.3">
      <c r="A24" s="28">
        <v>2026</v>
      </c>
      <c r="B24" s="29" t="s">
        <v>22</v>
      </c>
      <c r="C24" s="29" t="s">
        <v>17</v>
      </c>
      <c r="D24" s="184">
        <v>3662.2613252223341</v>
      </c>
      <c r="E24" s="399"/>
      <c r="F24" s="401"/>
    </row>
    <row r="25" spans="1:9" s="200" customFormat="1" x14ac:dyDescent="0.3">
      <c r="A25" s="28">
        <v>2026</v>
      </c>
      <c r="B25" s="29" t="s">
        <v>23</v>
      </c>
      <c r="C25" s="29" t="s">
        <v>17</v>
      </c>
      <c r="D25" s="184">
        <v>3380.3870982457761</v>
      </c>
      <c r="E25" s="399"/>
      <c r="F25" s="401"/>
    </row>
    <row r="26" spans="1:9" s="200" customFormat="1" x14ac:dyDescent="0.3">
      <c r="A26" s="28">
        <v>2026</v>
      </c>
      <c r="B26" s="29" t="s">
        <v>24</v>
      </c>
      <c r="C26" s="29" t="s">
        <v>17</v>
      </c>
      <c r="D26" s="184">
        <v>3497.9918920812011</v>
      </c>
      <c r="E26" s="399"/>
      <c r="F26" s="401"/>
    </row>
    <row r="27" spans="1:9" s="200" customFormat="1" x14ac:dyDescent="0.3">
      <c r="A27" s="28">
        <v>2026</v>
      </c>
      <c r="B27" s="29" t="s">
        <v>25</v>
      </c>
      <c r="C27" s="29" t="s">
        <v>17</v>
      </c>
      <c r="D27" s="184">
        <v>3001.1694867775336</v>
      </c>
      <c r="E27" s="399"/>
      <c r="F27" s="401"/>
    </row>
    <row r="28" spans="1:9" s="200" customFormat="1" x14ac:dyDescent="0.3">
      <c r="A28" s="28">
        <v>2026</v>
      </c>
      <c r="B28" s="29" t="s">
        <v>26</v>
      </c>
      <c r="C28" s="29" t="s">
        <v>17</v>
      </c>
      <c r="D28" s="184">
        <v>2590.642847775433</v>
      </c>
      <c r="E28" s="399"/>
      <c r="F28" s="401"/>
    </row>
    <row r="29" spans="1:9" s="200" customFormat="1" x14ac:dyDescent="0.3">
      <c r="A29" s="28">
        <v>2026</v>
      </c>
      <c r="B29" s="29" t="s">
        <v>27</v>
      </c>
      <c r="C29" s="29" t="s">
        <v>17</v>
      </c>
      <c r="D29" s="184">
        <v>2107.2496510521373</v>
      </c>
      <c r="E29" s="399"/>
      <c r="F29" s="401"/>
    </row>
    <row r="30" spans="1:9" s="200" customFormat="1" x14ac:dyDescent="0.3">
      <c r="A30" s="28">
        <v>2026</v>
      </c>
      <c r="B30" s="29" t="s">
        <v>28</v>
      </c>
      <c r="C30" s="29" t="s">
        <v>17</v>
      </c>
      <c r="D30" s="184">
        <v>2322.9650651522193</v>
      </c>
      <c r="E30" s="399"/>
      <c r="F30" s="401"/>
    </row>
    <row r="31" spans="1:9" s="200" customFormat="1" x14ac:dyDescent="0.3">
      <c r="A31" s="28">
        <v>2026</v>
      </c>
      <c r="B31" s="29" t="s">
        <v>29</v>
      </c>
      <c r="C31" s="29" t="s">
        <v>17</v>
      </c>
      <c r="D31" s="184">
        <v>2375.0384128545647</v>
      </c>
      <c r="E31" s="399"/>
      <c r="F31" s="401"/>
    </row>
    <row r="32" spans="1:9" s="200" customFormat="1" x14ac:dyDescent="0.3">
      <c r="A32" s="28">
        <v>2026</v>
      </c>
      <c r="B32" s="29" t="s">
        <v>30</v>
      </c>
      <c r="C32" s="29" t="s">
        <v>17</v>
      </c>
      <c r="D32" s="184">
        <v>2722.122188227494</v>
      </c>
      <c r="E32" s="399"/>
      <c r="F32" s="401"/>
    </row>
    <row r="33" spans="1:9" s="200" customFormat="1" x14ac:dyDescent="0.3">
      <c r="A33" s="30">
        <v>2026</v>
      </c>
      <c r="B33" s="31" t="s">
        <v>31</v>
      </c>
      <c r="C33" s="31" t="s">
        <v>17</v>
      </c>
      <c r="D33" s="187">
        <v>3134.6689129110191</v>
      </c>
      <c r="E33" s="404"/>
      <c r="F33" s="402"/>
    </row>
    <row r="34" spans="1:9" s="200" customFormat="1" x14ac:dyDescent="0.3">
      <c r="A34" s="547" t="s">
        <v>80</v>
      </c>
      <c r="B34" s="547"/>
      <c r="C34" s="547"/>
      <c r="D34" s="331">
        <f>SUM(D22:D33)</f>
        <v>35780.48511782354</v>
      </c>
      <c r="E34" s="331">
        <f>SUM(E22:E33)</f>
        <v>0</v>
      </c>
      <c r="F34" s="331">
        <f>SUM(F22:F33)</f>
        <v>0</v>
      </c>
    </row>
    <row r="35" spans="1:9" s="343" customFormat="1" x14ac:dyDescent="0.3">
      <c r="A35" s="384"/>
      <c r="B35" s="384"/>
      <c r="C35" s="384"/>
      <c r="D35" s="171"/>
      <c r="E35" s="171"/>
      <c r="F35" s="171"/>
    </row>
    <row r="36" spans="1:9" s="200" customFormat="1" ht="24.6" x14ac:dyDescent="0.3">
      <c r="A36" s="10" t="s">
        <v>18</v>
      </c>
      <c r="B36" s="10" t="s">
        <v>19</v>
      </c>
      <c r="C36" s="10" t="s">
        <v>0</v>
      </c>
      <c r="D36" s="5" t="s">
        <v>11</v>
      </c>
      <c r="E36" s="5" t="s">
        <v>9</v>
      </c>
      <c r="F36" s="5" t="s">
        <v>10</v>
      </c>
    </row>
    <row r="37" spans="1:9" s="343" customFormat="1" x14ac:dyDescent="0.3">
      <c r="A37" s="26">
        <v>2024</v>
      </c>
      <c r="B37" s="27" t="s">
        <v>20</v>
      </c>
      <c r="C37" s="27" t="s">
        <v>17</v>
      </c>
      <c r="D37" s="233">
        <v>3349</v>
      </c>
      <c r="E37" s="233"/>
      <c r="F37" s="53"/>
    </row>
    <row r="38" spans="1:9" s="343" customFormat="1" x14ac:dyDescent="0.3">
      <c r="A38" s="28">
        <v>2024</v>
      </c>
      <c r="B38" s="29" t="s">
        <v>21</v>
      </c>
      <c r="C38" s="29" t="s">
        <v>17</v>
      </c>
      <c r="D38" s="234">
        <v>4271</v>
      </c>
      <c r="E38" s="234"/>
      <c r="F38" s="57"/>
    </row>
    <row r="39" spans="1:9" s="343" customFormat="1" x14ac:dyDescent="0.3">
      <c r="A39" s="28">
        <v>2024</v>
      </c>
      <c r="B39" s="29" t="s">
        <v>22</v>
      </c>
      <c r="C39" s="29" t="s">
        <v>17</v>
      </c>
      <c r="D39" s="234">
        <v>3418</v>
      </c>
      <c r="E39" s="234"/>
      <c r="F39" s="57"/>
      <c r="H39" s="344">
        <v>0</v>
      </c>
      <c r="I39" s="344">
        <v>0</v>
      </c>
    </row>
    <row r="40" spans="1:9" s="343" customFormat="1" x14ac:dyDescent="0.3">
      <c r="A40" s="28">
        <v>2024</v>
      </c>
      <c r="B40" s="29" t="s">
        <v>23</v>
      </c>
      <c r="C40" s="29" t="s">
        <v>17</v>
      </c>
      <c r="D40" s="234">
        <v>3899</v>
      </c>
      <c r="E40" s="234"/>
      <c r="F40" s="57"/>
    </row>
    <row r="41" spans="1:9" s="343" customFormat="1" x14ac:dyDescent="0.3">
      <c r="A41" s="28">
        <v>2024</v>
      </c>
      <c r="B41" s="29" t="s">
        <v>24</v>
      </c>
      <c r="C41" s="29" t="s">
        <v>17</v>
      </c>
      <c r="D41" s="234">
        <v>3382</v>
      </c>
      <c r="E41" s="234"/>
      <c r="F41" s="57"/>
    </row>
    <row r="42" spans="1:9" s="343" customFormat="1" x14ac:dyDescent="0.3">
      <c r="A42" s="28">
        <v>2024</v>
      </c>
      <c r="B42" s="29" t="s">
        <v>25</v>
      </c>
      <c r="C42" s="29" t="s">
        <v>17</v>
      </c>
      <c r="D42" s="234">
        <v>2616</v>
      </c>
      <c r="E42" s="234"/>
      <c r="F42" s="57"/>
    </row>
    <row r="43" spans="1:9" s="343" customFormat="1" x14ac:dyDescent="0.3">
      <c r="A43" s="28">
        <v>2024</v>
      </c>
      <c r="B43" s="29" t="s">
        <v>26</v>
      </c>
      <c r="C43" s="29" t="s">
        <v>17</v>
      </c>
      <c r="D43" s="234">
        <v>2504</v>
      </c>
      <c r="E43" s="234"/>
      <c r="F43" s="57"/>
    </row>
    <row r="44" spans="1:9" s="343" customFormat="1" x14ac:dyDescent="0.3">
      <c r="A44" s="28">
        <v>2024</v>
      </c>
      <c r="B44" s="29" t="s">
        <v>27</v>
      </c>
      <c r="C44" s="29" t="s">
        <v>17</v>
      </c>
      <c r="D44" s="234">
        <v>2515</v>
      </c>
      <c r="E44" s="234"/>
      <c r="F44" s="57"/>
    </row>
    <row r="45" spans="1:9" s="343" customFormat="1" x14ac:dyDescent="0.3">
      <c r="A45" s="28">
        <v>2024</v>
      </c>
      <c r="B45" s="29" t="s">
        <v>28</v>
      </c>
      <c r="C45" s="29" t="s">
        <v>17</v>
      </c>
      <c r="D45" s="234">
        <v>2519</v>
      </c>
      <c r="E45" s="234"/>
      <c r="F45" s="57"/>
    </row>
    <row r="46" spans="1:9" s="343" customFormat="1" x14ac:dyDescent="0.3">
      <c r="A46" s="28">
        <v>2024</v>
      </c>
      <c r="B46" s="29" t="s">
        <v>29</v>
      </c>
      <c r="C46" s="29" t="s">
        <v>17</v>
      </c>
      <c r="D46" s="234">
        <v>2540</v>
      </c>
      <c r="E46" s="234"/>
      <c r="F46" s="57"/>
    </row>
    <row r="47" spans="1:9" s="343" customFormat="1" x14ac:dyDescent="0.3">
      <c r="A47" s="28">
        <v>2024</v>
      </c>
      <c r="B47" s="29" t="s">
        <v>30</v>
      </c>
      <c r="C47" s="29" t="s">
        <v>17</v>
      </c>
      <c r="D47" s="234">
        <v>2705</v>
      </c>
      <c r="E47" s="234"/>
      <c r="F47" s="57"/>
    </row>
    <row r="48" spans="1:9" s="343" customFormat="1" x14ac:dyDescent="0.3">
      <c r="A48" s="30">
        <v>2024</v>
      </c>
      <c r="B48" s="31" t="s">
        <v>31</v>
      </c>
      <c r="C48" s="31" t="s">
        <v>17</v>
      </c>
      <c r="D48" s="235">
        <v>2955</v>
      </c>
      <c r="E48" s="235"/>
      <c r="F48" s="61"/>
    </row>
    <row r="49" spans="1:9" s="343" customFormat="1" x14ac:dyDescent="0.3">
      <c r="A49" s="545" t="s">
        <v>81</v>
      </c>
      <c r="B49" s="545"/>
      <c r="C49" s="545"/>
      <c r="D49" s="171">
        <f>SUM(D37:D48)</f>
        <v>36673</v>
      </c>
      <c r="E49" s="171">
        <f>SUM(E37:E48)</f>
        <v>0</v>
      </c>
      <c r="F49" s="171">
        <f>SUM(F37:F48)</f>
        <v>0</v>
      </c>
    </row>
    <row r="50" spans="1:9" s="343" customFormat="1" x14ac:dyDescent="0.3">
      <c r="A50" s="383"/>
      <c r="B50" s="383"/>
      <c r="C50" s="383"/>
      <c r="D50" s="171"/>
      <c r="E50" s="171"/>
      <c r="F50" s="171"/>
    </row>
    <row r="51" spans="1:9" s="343" customFormat="1" ht="24.6" x14ac:dyDescent="0.3">
      <c r="A51" s="10" t="s">
        <v>18</v>
      </c>
      <c r="B51" s="10" t="s">
        <v>19</v>
      </c>
      <c r="C51" s="10" t="s">
        <v>0</v>
      </c>
      <c r="D51" s="5" t="s">
        <v>11</v>
      </c>
      <c r="E51" s="5" t="s">
        <v>9</v>
      </c>
      <c r="F51" s="5" t="s">
        <v>10</v>
      </c>
    </row>
    <row r="52" spans="1:9" s="343" customFormat="1" x14ac:dyDescent="0.3">
      <c r="A52" s="26">
        <v>2023</v>
      </c>
      <c r="B52" s="27" t="s">
        <v>20</v>
      </c>
      <c r="C52" s="27" t="s">
        <v>17</v>
      </c>
      <c r="D52" s="233">
        <v>4564</v>
      </c>
      <c r="E52" s="233"/>
      <c r="F52" s="53"/>
    </row>
    <row r="53" spans="1:9" s="329" customFormat="1" x14ac:dyDescent="0.3">
      <c r="A53" s="28">
        <v>2023</v>
      </c>
      <c r="B53" s="29" t="s">
        <v>21</v>
      </c>
      <c r="C53" s="29" t="s">
        <v>17</v>
      </c>
      <c r="D53" s="234">
        <v>4469</v>
      </c>
      <c r="E53" s="234"/>
      <c r="F53" s="57"/>
    </row>
    <row r="54" spans="1:9" s="329" customFormat="1" x14ac:dyDescent="0.3">
      <c r="A54" s="28">
        <v>2023</v>
      </c>
      <c r="B54" s="29" t="s">
        <v>22</v>
      </c>
      <c r="C54" s="29" t="s">
        <v>17</v>
      </c>
      <c r="D54" s="234">
        <v>4504</v>
      </c>
      <c r="E54" s="234"/>
      <c r="F54" s="57"/>
    </row>
    <row r="55" spans="1:9" s="329" customFormat="1" x14ac:dyDescent="0.3">
      <c r="A55" s="28">
        <v>2023</v>
      </c>
      <c r="B55" s="29" t="s">
        <v>23</v>
      </c>
      <c r="C55" s="29" t="s">
        <v>17</v>
      </c>
      <c r="D55" s="234">
        <v>4294</v>
      </c>
      <c r="E55" s="234"/>
      <c r="F55" s="57"/>
      <c r="H55" s="327">
        <v>0</v>
      </c>
      <c r="I55" s="327">
        <v>0</v>
      </c>
    </row>
    <row r="56" spans="1:9" s="329" customFormat="1" x14ac:dyDescent="0.3">
      <c r="A56" s="28">
        <v>2023</v>
      </c>
      <c r="B56" s="29" t="s">
        <v>24</v>
      </c>
      <c r="C56" s="29" t="s">
        <v>17</v>
      </c>
      <c r="D56" s="234">
        <v>3983</v>
      </c>
      <c r="E56" s="234"/>
      <c r="F56" s="57"/>
    </row>
    <row r="57" spans="1:9" s="329" customFormat="1" x14ac:dyDescent="0.3">
      <c r="A57" s="28">
        <v>2023</v>
      </c>
      <c r="B57" s="29" t="s">
        <v>25</v>
      </c>
      <c r="C57" s="29" t="s">
        <v>17</v>
      </c>
      <c r="D57" s="234">
        <v>3339</v>
      </c>
      <c r="E57" s="234"/>
      <c r="F57" s="57"/>
    </row>
    <row r="58" spans="1:9" s="329" customFormat="1" x14ac:dyDescent="0.3">
      <c r="A58" s="28">
        <v>2023</v>
      </c>
      <c r="B58" s="29" t="s">
        <v>26</v>
      </c>
      <c r="C58" s="29" t="s">
        <v>17</v>
      </c>
      <c r="D58" s="234">
        <v>3149</v>
      </c>
      <c r="E58" s="234"/>
      <c r="F58" s="57"/>
    </row>
    <row r="59" spans="1:9" s="329" customFormat="1" x14ac:dyDescent="0.3">
      <c r="A59" s="28">
        <v>2023</v>
      </c>
      <c r="B59" s="29" t="s">
        <v>27</v>
      </c>
      <c r="C59" s="29" t="s">
        <v>17</v>
      </c>
      <c r="D59" s="234">
        <v>2680</v>
      </c>
      <c r="E59" s="234"/>
      <c r="F59" s="57"/>
    </row>
    <row r="60" spans="1:9" s="329" customFormat="1" x14ac:dyDescent="0.3">
      <c r="A60" s="28">
        <v>2023</v>
      </c>
      <c r="B60" s="29" t="s">
        <v>28</v>
      </c>
      <c r="C60" s="29" t="s">
        <v>17</v>
      </c>
      <c r="D60" s="234">
        <v>3197</v>
      </c>
      <c r="E60" s="234"/>
      <c r="F60" s="57"/>
    </row>
    <row r="61" spans="1:9" s="329" customFormat="1" x14ac:dyDescent="0.3">
      <c r="A61" s="28">
        <v>2023</v>
      </c>
      <c r="B61" s="29" t="s">
        <v>29</v>
      </c>
      <c r="C61" s="29" t="s">
        <v>17</v>
      </c>
      <c r="D61" s="234">
        <v>2925</v>
      </c>
      <c r="E61" s="234"/>
      <c r="F61" s="57"/>
    </row>
    <row r="62" spans="1:9" s="329" customFormat="1" x14ac:dyDescent="0.3">
      <c r="A62" s="28">
        <v>2023</v>
      </c>
      <c r="B62" s="29" t="s">
        <v>30</v>
      </c>
      <c r="C62" s="29" t="s">
        <v>17</v>
      </c>
      <c r="D62" s="234">
        <v>3100</v>
      </c>
      <c r="E62" s="234"/>
      <c r="F62" s="57"/>
    </row>
    <row r="63" spans="1:9" s="329" customFormat="1" x14ac:dyDescent="0.3">
      <c r="A63" s="30">
        <v>2023</v>
      </c>
      <c r="B63" s="31" t="s">
        <v>31</v>
      </c>
      <c r="C63" s="31" t="s">
        <v>17</v>
      </c>
      <c r="D63" s="235">
        <v>3613</v>
      </c>
      <c r="E63" s="235"/>
      <c r="F63" s="61"/>
    </row>
    <row r="64" spans="1:9" s="329" customFormat="1" x14ac:dyDescent="0.3">
      <c r="A64" s="545" t="s">
        <v>81</v>
      </c>
      <c r="B64" s="545"/>
      <c r="C64" s="545"/>
      <c r="D64" s="171">
        <f>SUM(D52:D63)</f>
        <v>43817</v>
      </c>
      <c r="E64" s="171">
        <f>SUM(E52:E63)</f>
        <v>0</v>
      </c>
      <c r="F64" s="171">
        <f>SUM(F52:F63)</f>
        <v>0</v>
      </c>
    </row>
    <row r="65" spans="1:9" s="329" customFormat="1" x14ac:dyDescent="0.3">
      <c r="A65" s="3"/>
      <c r="B65" s="3"/>
      <c r="C65" s="3"/>
      <c r="D65" s="200"/>
      <c r="E65" s="200"/>
      <c r="F65" s="200"/>
    </row>
    <row r="66" spans="1:9" s="329" customFormat="1" ht="24.6" x14ac:dyDescent="0.3">
      <c r="A66" s="10" t="s">
        <v>18</v>
      </c>
      <c r="B66" s="10" t="s">
        <v>19</v>
      </c>
      <c r="C66" s="10" t="s">
        <v>0</v>
      </c>
      <c r="D66" s="5" t="s">
        <v>11</v>
      </c>
      <c r="E66" s="5" t="s">
        <v>9</v>
      </c>
      <c r="F66" s="5" t="s">
        <v>10</v>
      </c>
    </row>
    <row r="67" spans="1:9" s="329" customFormat="1" x14ac:dyDescent="0.3">
      <c r="A67" s="26">
        <v>2022</v>
      </c>
      <c r="B67" s="27" t="s">
        <v>20</v>
      </c>
      <c r="C67" s="27" t="s">
        <v>17</v>
      </c>
      <c r="D67" s="233">
        <v>5269</v>
      </c>
      <c r="E67" s="233"/>
      <c r="F67" s="53"/>
    </row>
    <row r="68" spans="1:9" s="314" customFormat="1" x14ac:dyDescent="0.3">
      <c r="A68" s="28">
        <v>2022</v>
      </c>
      <c r="B68" s="29" t="s">
        <v>21</v>
      </c>
      <c r="C68" s="29" t="s">
        <v>17</v>
      </c>
      <c r="D68" s="234">
        <v>5094</v>
      </c>
      <c r="E68" s="234"/>
      <c r="F68" s="57"/>
    </row>
    <row r="69" spans="1:9" s="314" customFormat="1" x14ac:dyDescent="0.3">
      <c r="A69" s="28">
        <v>2022</v>
      </c>
      <c r="B69" s="29" t="s">
        <v>22</v>
      </c>
      <c r="C69" s="29" t="s">
        <v>17</v>
      </c>
      <c r="D69" s="234">
        <v>5084</v>
      </c>
      <c r="E69" s="234"/>
      <c r="F69" s="57"/>
    </row>
    <row r="70" spans="1:9" s="314" customFormat="1" x14ac:dyDescent="0.3">
      <c r="A70" s="28">
        <v>2022</v>
      </c>
      <c r="B70" s="29" t="s">
        <v>23</v>
      </c>
      <c r="C70" s="29" t="s">
        <v>17</v>
      </c>
      <c r="D70" s="234">
        <v>4920</v>
      </c>
      <c r="E70" s="234"/>
      <c r="F70" s="57"/>
      <c r="H70" s="315">
        <v>0</v>
      </c>
      <c r="I70" s="315">
        <v>0</v>
      </c>
    </row>
    <row r="71" spans="1:9" s="314" customFormat="1" x14ac:dyDescent="0.3">
      <c r="A71" s="28">
        <v>2022</v>
      </c>
      <c r="B71" s="29" t="s">
        <v>24</v>
      </c>
      <c r="C71" s="29" t="s">
        <v>17</v>
      </c>
      <c r="D71" s="234">
        <v>4636</v>
      </c>
      <c r="E71" s="234"/>
      <c r="F71" s="57"/>
    </row>
    <row r="72" spans="1:9" s="314" customFormat="1" x14ac:dyDescent="0.3">
      <c r="A72" s="28">
        <v>2022</v>
      </c>
      <c r="B72" s="29" t="s">
        <v>25</v>
      </c>
      <c r="C72" s="29" t="s">
        <v>17</v>
      </c>
      <c r="D72" s="234">
        <v>4068</v>
      </c>
      <c r="E72" s="234"/>
      <c r="F72" s="57"/>
    </row>
    <row r="73" spans="1:9" s="314" customFormat="1" x14ac:dyDescent="0.3">
      <c r="A73" s="28">
        <v>2022</v>
      </c>
      <c r="B73" s="29" t="s">
        <v>26</v>
      </c>
      <c r="C73" s="29" t="s">
        <v>17</v>
      </c>
      <c r="D73" s="234">
        <v>3323</v>
      </c>
      <c r="E73" s="234"/>
      <c r="F73" s="57"/>
    </row>
    <row r="74" spans="1:9" s="314" customFormat="1" x14ac:dyDescent="0.3">
      <c r="A74" s="28">
        <v>2022</v>
      </c>
      <c r="B74" s="29" t="s">
        <v>27</v>
      </c>
      <c r="C74" s="29" t="s">
        <v>17</v>
      </c>
      <c r="D74" s="234">
        <v>3075</v>
      </c>
      <c r="E74" s="234"/>
      <c r="F74" s="57"/>
    </row>
    <row r="75" spans="1:9" s="314" customFormat="1" x14ac:dyDescent="0.3">
      <c r="A75" s="28">
        <v>2022</v>
      </c>
      <c r="B75" s="29" t="s">
        <v>28</v>
      </c>
      <c r="C75" s="29" t="s">
        <v>17</v>
      </c>
      <c r="D75" s="234">
        <v>3241</v>
      </c>
      <c r="E75" s="234"/>
      <c r="F75" s="57"/>
    </row>
    <row r="76" spans="1:9" s="314" customFormat="1" x14ac:dyDescent="0.3">
      <c r="A76" s="28">
        <v>2022</v>
      </c>
      <c r="B76" s="29" t="s">
        <v>29</v>
      </c>
      <c r="C76" s="29" t="s">
        <v>17</v>
      </c>
      <c r="D76" s="234">
        <v>3298</v>
      </c>
      <c r="E76" s="234"/>
      <c r="F76" s="57"/>
    </row>
    <row r="77" spans="1:9" s="314" customFormat="1" x14ac:dyDescent="0.3">
      <c r="A77" s="28">
        <v>2022</v>
      </c>
      <c r="B77" s="29" t="s">
        <v>30</v>
      </c>
      <c r="C77" s="29" t="s">
        <v>17</v>
      </c>
      <c r="D77" s="234">
        <v>3610</v>
      </c>
      <c r="E77" s="234"/>
      <c r="F77" s="57"/>
    </row>
    <row r="78" spans="1:9" s="314" customFormat="1" x14ac:dyDescent="0.3">
      <c r="A78" s="30">
        <v>2022</v>
      </c>
      <c r="B78" s="31" t="s">
        <v>31</v>
      </c>
      <c r="C78" s="31" t="s">
        <v>17</v>
      </c>
      <c r="D78" s="235">
        <v>4300</v>
      </c>
      <c r="E78" s="235"/>
      <c r="F78" s="61"/>
    </row>
    <row r="79" spans="1:9" s="314" customFormat="1" x14ac:dyDescent="0.3">
      <c r="A79" s="545" t="s">
        <v>81</v>
      </c>
      <c r="B79" s="545"/>
      <c r="C79" s="545"/>
      <c r="D79" s="171">
        <f>SUM(D67:D78)</f>
        <v>49918</v>
      </c>
      <c r="E79" s="171">
        <f>SUM(E67:E78)</f>
        <v>0</v>
      </c>
      <c r="F79" s="171">
        <f>SUM(F67:F78)</f>
        <v>0</v>
      </c>
    </row>
    <row r="80" spans="1:9" s="314" customFormat="1" x14ac:dyDescent="0.3">
      <c r="A80" s="489"/>
      <c r="B80" s="489"/>
      <c r="C80" s="489"/>
      <c r="D80" s="171"/>
      <c r="E80" s="171"/>
      <c r="F80" s="171"/>
    </row>
    <row r="81" spans="1:6" s="314" customFormat="1" ht="24.6" x14ac:dyDescent="0.3">
      <c r="A81" s="10" t="s">
        <v>18</v>
      </c>
      <c r="B81" s="10" t="s">
        <v>19</v>
      </c>
      <c r="C81" s="10" t="s">
        <v>0</v>
      </c>
      <c r="D81" s="5" t="s">
        <v>11</v>
      </c>
      <c r="E81" s="5" t="s">
        <v>9</v>
      </c>
      <c r="F81" s="5" t="s">
        <v>10</v>
      </c>
    </row>
    <row r="82" spans="1:6" s="314" customFormat="1" x14ac:dyDescent="0.3">
      <c r="A82" s="26">
        <v>2021</v>
      </c>
      <c r="B82" s="27" t="s">
        <v>20</v>
      </c>
      <c r="C82" s="27" t="s">
        <v>17</v>
      </c>
      <c r="D82" s="233">
        <f>E82+F82</f>
        <v>7377</v>
      </c>
      <c r="E82" s="233">
        <v>7377</v>
      </c>
      <c r="F82" s="53"/>
    </row>
    <row r="83" spans="1:6" s="155" customFormat="1" x14ac:dyDescent="0.3">
      <c r="A83" s="28">
        <v>2021</v>
      </c>
      <c r="B83" s="29" t="s">
        <v>21</v>
      </c>
      <c r="C83" s="29" t="s">
        <v>17</v>
      </c>
      <c r="D83" s="234">
        <f t="shared" ref="D83:D89" si="0">E83+F83</f>
        <v>5158</v>
      </c>
      <c r="E83" s="234">
        <v>5158</v>
      </c>
      <c r="F83" s="57"/>
    </row>
    <row r="84" spans="1:6" ht="11.4" customHeight="1" x14ac:dyDescent="0.3">
      <c r="A84" s="28">
        <v>2021</v>
      </c>
      <c r="B84" s="29" t="s">
        <v>22</v>
      </c>
      <c r="C84" s="29" t="s">
        <v>17</v>
      </c>
      <c r="D84" s="234">
        <f t="shared" si="0"/>
        <v>5486</v>
      </c>
      <c r="E84" s="234">
        <v>5486</v>
      </c>
      <c r="F84" s="57"/>
    </row>
    <row r="85" spans="1:6" x14ac:dyDescent="0.3">
      <c r="A85" s="28">
        <v>2021</v>
      </c>
      <c r="B85" s="29" t="s">
        <v>23</v>
      </c>
      <c r="C85" s="29" t="s">
        <v>17</v>
      </c>
      <c r="D85" s="234">
        <f t="shared" si="0"/>
        <v>5351</v>
      </c>
      <c r="E85" s="234">
        <v>5351</v>
      </c>
      <c r="F85" s="57"/>
    </row>
    <row r="86" spans="1:6" x14ac:dyDescent="0.3">
      <c r="A86" s="28">
        <v>2021</v>
      </c>
      <c r="B86" s="29" t="s">
        <v>24</v>
      </c>
      <c r="C86" s="29" t="s">
        <v>17</v>
      </c>
      <c r="D86" s="234">
        <f t="shared" si="0"/>
        <v>4695</v>
      </c>
      <c r="E86" s="234">
        <v>4695</v>
      </c>
      <c r="F86" s="57"/>
    </row>
    <row r="87" spans="1:6" x14ac:dyDescent="0.3">
      <c r="A87" s="28">
        <v>2021</v>
      </c>
      <c r="B87" s="29" t="s">
        <v>25</v>
      </c>
      <c r="C87" s="29" t="s">
        <v>17</v>
      </c>
      <c r="D87" s="234">
        <f t="shared" si="0"/>
        <v>4360</v>
      </c>
      <c r="E87" s="234"/>
      <c r="F87" s="57">
        <v>4360</v>
      </c>
    </row>
    <row r="88" spans="1:6" x14ac:dyDescent="0.3">
      <c r="A88" s="28">
        <v>2021</v>
      </c>
      <c r="B88" s="29" t="s">
        <v>26</v>
      </c>
      <c r="C88" s="29" t="s">
        <v>17</v>
      </c>
      <c r="D88" s="234">
        <f t="shared" si="0"/>
        <v>3948</v>
      </c>
      <c r="E88" s="234"/>
      <c r="F88" s="57">
        <v>3948</v>
      </c>
    </row>
    <row r="89" spans="1:6" x14ac:dyDescent="0.3">
      <c r="A89" s="28">
        <v>2021</v>
      </c>
      <c r="B89" s="29" t="s">
        <v>27</v>
      </c>
      <c r="C89" s="29" t="s">
        <v>17</v>
      </c>
      <c r="D89" s="234">
        <f t="shared" si="0"/>
        <v>3636</v>
      </c>
      <c r="E89" s="234"/>
      <c r="F89" s="57">
        <v>3636</v>
      </c>
    </row>
    <row r="90" spans="1:6" x14ac:dyDescent="0.3">
      <c r="A90" s="28">
        <v>2021</v>
      </c>
      <c r="B90" s="29" t="s">
        <v>28</v>
      </c>
      <c r="C90" s="29" t="s">
        <v>17</v>
      </c>
      <c r="D90" s="234">
        <v>3520</v>
      </c>
      <c r="E90" s="234"/>
      <c r="F90" s="57"/>
    </row>
    <row r="91" spans="1:6" x14ac:dyDescent="0.3">
      <c r="A91" s="28">
        <v>2021</v>
      </c>
      <c r="B91" s="29" t="s">
        <v>29</v>
      </c>
      <c r="C91" s="29" t="s">
        <v>17</v>
      </c>
      <c r="D91" s="234">
        <v>3773</v>
      </c>
      <c r="E91" s="234"/>
      <c r="F91" s="57"/>
    </row>
    <row r="92" spans="1:6" x14ac:dyDescent="0.3">
      <c r="A92" s="28">
        <v>2021</v>
      </c>
      <c r="B92" s="29" t="s">
        <v>30</v>
      </c>
      <c r="C92" s="29" t="s">
        <v>17</v>
      </c>
      <c r="D92" s="234">
        <v>4333</v>
      </c>
      <c r="E92" s="234"/>
      <c r="F92" s="57"/>
    </row>
    <row r="93" spans="1:6" x14ac:dyDescent="0.3">
      <c r="A93" s="30">
        <v>2021</v>
      </c>
      <c r="B93" s="31" t="s">
        <v>31</v>
      </c>
      <c r="C93" s="31" t="s">
        <v>17</v>
      </c>
      <c r="D93" s="235">
        <v>5045</v>
      </c>
      <c r="E93" s="235"/>
      <c r="F93" s="61"/>
    </row>
    <row r="94" spans="1:6" x14ac:dyDescent="0.3">
      <c r="A94" s="545" t="s">
        <v>81</v>
      </c>
      <c r="B94" s="545"/>
      <c r="C94" s="545"/>
      <c r="D94" s="171">
        <f>SUM(D82:D93)</f>
        <v>56682</v>
      </c>
      <c r="E94" s="171">
        <f>SUM(E82:E93)</f>
        <v>28067</v>
      </c>
      <c r="F94" s="171">
        <f>SUM(F82:F93)</f>
        <v>11944</v>
      </c>
    </row>
    <row r="95" spans="1:6" x14ac:dyDescent="0.3">
      <c r="D95" s="329"/>
      <c r="E95" s="329"/>
      <c r="F95" s="329"/>
    </row>
    <row r="96" spans="1:6" ht="24.6" x14ac:dyDescent="0.3">
      <c r="A96" s="10" t="s">
        <v>18</v>
      </c>
      <c r="B96" s="10" t="s">
        <v>19</v>
      </c>
      <c r="C96" s="10" t="s">
        <v>0</v>
      </c>
      <c r="D96" s="5" t="s">
        <v>11</v>
      </c>
      <c r="E96" s="5" t="s">
        <v>9</v>
      </c>
      <c r="F96" s="5" t="s">
        <v>10</v>
      </c>
    </row>
    <row r="97" spans="1:6" x14ac:dyDescent="0.3">
      <c r="A97" s="26">
        <v>2020</v>
      </c>
      <c r="B97" s="27" t="s">
        <v>20</v>
      </c>
      <c r="C97" s="27" t="s">
        <v>17</v>
      </c>
      <c r="D97" s="233">
        <f>E97+F97</f>
        <v>5452</v>
      </c>
      <c r="E97" s="233">
        <v>5452</v>
      </c>
      <c r="F97" s="53"/>
    </row>
    <row r="98" spans="1:6" x14ac:dyDescent="0.3">
      <c r="A98" s="28">
        <v>2020</v>
      </c>
      <c r="B98" s="29" t="s">
        <v>21</v>
      </c>
      <c r="C98" s="29" t="s">
        <v>17</v>
      </c>
      <c r="D98" s="234">
        <f t="shared" ref="D98:D108" si="1">E98+F98</f>
        <v>5437</v>
      </c>
      <c r="E98" s="234">
        <v>5437</v>
      </c>
      <c r="F98" s="57"/>
    </row>
    <row r="99" spans="1:6" x14ac:dyDescent="0.3">
      <c r="A99" s="28">
        <v>2020</v>
      </c>
      <c r="B99" s="29" t="s">
        <v>22</v>
      </c>
      <c r="C99" s="29" t="s">
        <v>17</v>
      </c>
      <c r="D99" s="234">
        <f t="shared" si="1"/>
        <v>5157</v>
      </c>
      <c r="E99" s="234">
        <v>5157</v>
      </c>
      <c r="F99" s="57"/>
    </row>
    <row r="100" spans="1:6" x14ac:dyDescent="0.3">
      <c r="A100" s="28">
        <v>2020</v>
      </c>
      <c r="B100" s="29" t="s">
        <v>23</v>
      </c>
      <c r="C100" s="29" t="s">
        <v>17</v>
      </c>
      <c r="D100" s="234">
        <f t="shared" si="1"/>
        <v>5631</v>
      </c>
      <c r="E100" s="234">
        <v>5631</v>
      </c>
      <c r="F100" s="57"/>
    </row>
    <row r="101" spans="1:6" x14ac:dyDescent="0.3">
      <c r="A101" s="28">
        <v>2020</v>
      </c>
      <c r="B101" s="29" t="s">
        <v>24</v>
      </c>
      <c r="C101" s="29" t="s">
        <v>17</v>
      </c>
      <c r="D101" s="234">
        <f t="shared" si="1"/>
        <v>5642</v>
      </c>
      <c r="E101" s="234">
        <v>5642</v>
      </c>
      <c r="F101" s="57"/>
    </row>
    <row r="102" spans="1:6" x14ac:dyDescent="0.3">
      <c r="A102" s="28">
        <v>2020</v>
      </c>
      <c r="B102" s="29" t="s">
        <v>25</v>
      </c>
      <c r="C102" s="29" t="s">
        <v>17</v>
      </c>
      <c r="D102" s="234">
        <f t="shared" si="1"/>
        <v>5176</v>
      </c>
      <c r="E102" s="234"/>
      <c r="F102" s="57">
        <v>5176</v>
      </c>
    </row>
    <row r="103" spans="1:6" x14ac:dyDescent="0.3">
      <c r="A103" s="28">
        <v>2020</v>
      </c>
      <c r="B103" s="29" t="s">
        <v>26</v>
      </c>
      <c r="C103" s="29" t="s">
        <v>17</v>
      </c>
      <c r="D103" s="234">
        <f t="shared" si="1"/>
        <v>4973</v>
      </c>
      <c r="E103" s="234"/>
      <c r="F103" s="57">
        <v>4973</v>
      </c>
    </row>
    <row r="104" spans="1:6" x14ac:dyDescent="0.3">
      <c r="A104" s="28">
        <v>2020</v>
      </c>
      <c r="B104" s="29" t="s">
        <v>27</v>
      </c>
      <c r="C104" s="29" t="s">
        <v>17</v>
      </c>
      <c r="D104" s="234">
        <f t="shared" si="1"/>
        <v>5022</v>
      </c>
      <c r="E104" s="234"/>
      <c r="F104" s="57">
        <v>5022</v>
      </c>
    </row>
    <row r="105" spans="1:6" x14ac:dyDescent="0.3">
      <c r="A105" s="28">
        <v>2020</v>
      </c>
      <c r="B105" s="29" t="s">
        <v>28</v>
      </c>
      <c r="C105" s="29" t="s">
        <v>17</v>
      </c>
      <c r="D105" s="234">
        <f t="shared" si="1"/>
        <v>4551</v>
      </c>
      <c r="E105" s="234"/>
      <c r="F105" s="57">
        <v>4551</v>
      </c>
    </row>
    <row r="106" spans="1:6" x14ac:dyDescent="0.3">
      <c r="A106" s="28">
        <v>2020</v>
      </c>
      <c r="B106" s="29" t="s">
        <v>29</v>
      </c>
      <c r="C106" s="29" t="s">
        <v>17</v>
      </c>
      <c r="D106" s="234">
        <f t="shared" si="1"/>
        <v>4911</v>
      </c>
      <c r="E106" s="234">
        <v>4911</v>
      </c>
      <c r="F106" s="57"/>
    </row>
    <row r="107" spans="1:6" x14ac:dyDescent="0.3">
      <c r="A107" s="28">
        <v>2020</v>
      </c>
      <c r="B107" s="29" t="s">
        <v>30</v>
      </c>
      <c r="C107" s="29" t="s">
        <v>17</v>
      </c>
      <c r="D107" s="234">
        <f t="shared" si="1"/>
        <v>5371</v>
      </c>
      <c r="E107" s="234">
        <v>5371</v>
      </c>
      <c r="F107" s="57"/>
    </row>
    <row r="108" spans="1:6" x14ac:dyDescent="0.3">
      <c r="A108" s="30">
        <v>2020</v>
      </c>
      <c r="B108" s="31" t="s">
        <v>31</v>
      </c>
      <c r="C108" s="31" t="s">
        <v>17</v>
      </c>
      <c r="D108" s="235">
        <f t="shared" si="1"/>
        <v>6090</v>
      </c>
      <c r="E108" s="235">
        <v>6090</v>
      </c>
      <c r="F108" s="61"/>
    </row>
    <row r="109" spans="1:6" x14ac:dyDescent="0.3">
      <c r="A109" s="545" t="s">
        <v>81</v>
      </c>
      <c r="B109" s="545"/>
      <c r="C109" s="545"/>
      <c r="D109" s="171">
        <f>SUM(D97:D108)</f>
        <v>63413</v>
      </c>
      <c r="E109" s="171">
        <f>SUM(E97:E108)</f>
        <v>43691</v>
      </c>
      <c r="F109" s="171">
        <f>SUM(F97:F108)</f>
        <v>19722</v>
      </c>
    </row>
    <row r="110" spans="1:6" x14ac:dyDescent="0.3">
      <c r="D110" s="314"/>
      <c r="E110" s="314"/>
      <c r="F110" s="314"/>
    </row>
    <row r="111" spans="1:6" x14ac:dyDescent="0.3">
      <c r="D111" s="155"/>
      <c r="E111" s="155"/>
      <c r="F111" s="155"/>
    </row>
    <row r="112" spans="1:6" x14ac:dyDescent="0.3">
      <c r="D112" s="1"/>
      <c r="E112" s="1"/>
      <c r="F112" s="1"/>
    </row>
  </sheetData>
  <mergeCells count="11">
    <mergeCell ref="A49:C49"/>
    <mergeCell ref="A64:C64"/>
    <mergeCell ref="A34:C34"/>
    <mergeCell ref="A109:C109"/>
    <mergeCell ref="A94:C94"/>
    <mergeCell ref="A79:C79"/>
    <mergeCell ref="A1:I1"/>
    <mergeCell ref="A2:I2"/>
    <mergeCell ref="A3:I3"/>
    <mergeCell ref="A4:I4"/>
    <mergeCell ref="A19:C19"/>
  </mergeCells>
  <printOptions horizontalCentered="1"/>
  <pageMargins left="0.25" right="0.25" top="0.5" bottom="0.75" header="0.3" footer="0.3"/>
  <pageSetup scale="77" orientation="portrait" r:id="rId1"/>
  <rowBreaks count="1" manualBreakCount="1">
    <brk id="50"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0D092-EE0C-4CDC-9B4C-88EEE1B7A4DC}">
  <dimension ref="A1:AB117"/>
  <sheetViews>
    <sheetView zoomScaleNormal="100" workbookViewId="0">
      <selection sqref="A1:I1"/>
    </sheetView>
  </sheetViews>
  <sheetFormatPr defaultColWidth="9.109375" defaultRowHeight="14.4" x14ac:dyDescent="0.3"/>
  <cols>
    <col min="1" max="1" width="6.44140625" style="63" customWidth="1"/>
    <col min="2" max="2" width="9.109375" style="63" customWidth="1"/>
    <col min="3" max="3" width="13" style="63" customWidth="1"/>
    <col min="4" max="4" width="14.6640625" style="46" bestFit="1" customWidth="1"/>
    <col min="5" max="5" width="15.44140625" style="46" customWidth="1"/>
    <col min="6" max="6" width="16.5546875" style="46" customWidth="1"/>
    <col min="7" max="7" width="9.109375" style="46" customWidth="1"/>
    <col min="8" max="8" width="9.109375" style="343"/>
    <col min="9" max="9" width="11.6640625" style="343" bestFit="1" customWidth="1"/>
    <col min="10" max="20" width="10.109375" style="343" bestFit="1" customWidth="1"/>
    <col min="21" max="16384" width="9.109375" style="343"/>
  </cols>
  <sheetData>
    <row r="1" spans="1:21" ht="18" x14ac:dyDescent="0.35">
      <c r="A1" s="542" t="s">
        <v>122</v>
      </c>
      <c r="B1" s="542"/>
      <c r="C1" s="542"/>
      <c r="D1" s="542"/>
      <c r="E1" s="542"/>
      <c r="F1" s="542"/>
      <c r="G1" s="542"/>
      <c r="H1" s="542"/>
      <c r="I1" s="542"/>
    </row>
    <row r="2" spans="1:21" ht="18" x14ac:dyDescent="0.35">
      <c r="A2" s="542" t="s">
        <v>163</v>
      </c>
      <c r="B2" s="542"/>
      <c r="C2" s="542"/>
      <c r="D2" s="542"/>
      <c r="E2" s="542"/>
      <c r="F2" s="542"/>
      <c r="G2" s="542"/>
      <c r="H2" s="542"/>
      <c r="I2" s="542"/>
    </row>
    <row r="3" spans="1:21" ht="18" x14ac:dyDescent="0.35">
      <c r="A3" s="542" t="s">
        <v>166</v>
      </c>
      <c r="B3" s="542"/>
      <c r="C3" s="542"/>
      <c r="D3" s="542"/>
      <c r="E3" s="542"/>
      <c r="F3" s="542"/>
      <c r="G3" s="542"/>
      <c r="H3" s="542"/>
      <c r="I3" s="542"/>
    </row>
    <row r="4" spans="1:21" ht="18" x14ac:dyDescent="0.35">
      <c r="A4" s="542" t="s">
        <v>123</v>
      </c>
      <c r="B4" s="542"/>
      <c r="C4" s="542"/>
      <c r="D4" s="542"/>
      <c r="E4" s="542"/>
      <c r="F4" s="542"/>
      <c r="G4" s="542"/>
      <c r="H4" s="542"/>
      <c r="I4" s="542"/>
    </row>
    <row r="6" spans="1:21" x14ac:dyDescent="0.3">
      <c r="A6" s="62" t="s">
        <v>18</v>
      </c>
      <c r="B6" s="62" t="s">
        <v>19</v>
      </c>
      <c r="C6" s="62" t="s">
        <v>0</v>
      </c>
      <c r="D6" s="300" t="s">
        <v>11</v>
      </c>
      <c r="E6" s="385" t="s">
        <v>158</v>
      </c>
      <c r="F6" s="385" t="s">
        <v>159</v>
      </c>
      <c r="G6" s="385" t="s">
        <v>156</v>
      </c>
    </row>
    <row r="7" spans="1:21" x14ac:dyDescent="0.3">
      <c r="A7" s="289">
        <v>2027</v>
      </c>
      <c r="B7" s="51" t="s">
        <v>20</v>
      </c>
      <c r="C7" s="51" t="s">
        <v>160</v>
      </c>
      <c r="D7" s="301">
        <v>22797.131324462702</v>
      </c>
      <c r="E7" s="399">
        <v>17097.848493346999</v>
      </c>
      <c r="F7" s="399">
        <v>5699.28283111567</v>
      </c>
      <c r="G7" s="400">
        <v>30</v>
      </c>
      <c r="I7" s="287"/>
      <c r="J7" s="171"/>
      <c r="K7" s="171"/>
      <c r="L7" s="171"/>
      <c r="M7" s="171"/>
      <c r="N7" s="171"/>
      <c r="O7" s="171"/>
      <c r="Q7" s="171"/>
      <c r="R7" s="171"/>
      <c r="S7" s="171"/>
      <c r="T7" s="171"/>
    </row>
    <row r="8" spans="1:21" x14ac:dyDescent="0.3">
      <c r="A8" s="290">
        <v>2027</v>
      </c>
      <c r="B8" s="55" t="s">
        <v>21</v>
      </c>
      <c r="C8" s="55" t="s">
        <v>160</v>
      </c>
      <c r="D8" s="301">
        <v>22797.131324462702</v>
      </c>
      <c r="E8" s="399">
        <v>17097.848493346999</v>
      </c>
      <c r="F8" s="399">
        <v>5699.28283111567</v>
      </c>
      <c r="G8" s="401">
        <v>30</v>
      </c>
      <c r="I8" s="287"/>
      <c r="J8" s="171"/>
      <c r="K8" s="171"/>
      <c r="L8" s="171"/>
      <c r="M8" s="171"/>
      <c r="N8" s="171"/>
      <c r="O8" s="171"/>
      <c r="P8" s="171"/>
      <c r="Q8" s="171"/>
      <c r="R8" s="171"/>
      <c r="S8" s="171"/>
      <c r="T8" s="171"/>
      <c r="U8" s="171" t="s">
        <v>114</v>
      </c>
    </row>
    <row r="9" spans="1:21" x14ac:dyDescent="0.3">
      <c r="A9" s="290">
        <v>2027</v>
      </c>
      <c r="B9" s="55" t="s">
        <v>22</v>
      </c>
      <c r="C9" s="55" t="s">
        <v>160</v>
      </c>
      <c r="D9" s="301">
        <v>22797.131324462702</v>
      </c>
      <c r="E9" s="399">
        <v>17097.848493346999</v>
      </c>
      <c r="F9" s="399">
        <v>5699.28283111567</v>
      </c>
      <c r="G9" s="401">
        <v>30</v>
      </c>
      <c r="I9" s="341"/>
    </row>
    <row r="10" spans="1:21" x14ac:dyDescent="0.3">
      <c r="A10" s="290">
        <v>2027</v>
      </c>
      <c r="B10" s="55" t="s">
        <v>23</v>
      </c>
      <c r="C10" s="55" t="s">
        <v>160</v>
      </c>
      <c r="D10" s="301">
        <v>22797.131324462702</v>
      </c>
      <c r="E10" s="399">
        <v>17097.848493346999</v>
      </c>
      <c r="F10" s="399">
        <v>5699.28283111567</v>
      </c>
      <c r="G10" s="401">
        <v>30</v>
      </c>
      <c r="I10" s="287"/>
    </row>
    <row r="11" spans="1:21" x14ac:dyDescent="0.3">
      <c r="A11" s="290">
        <v>2027</v>
      </c>
      <c r="B11" s="55" t="s">
        <v>24</v>
      </c>
      <c r="C11" s="55" t="s">
        <v>160</v>
      </c>
      <c r="D11" s="301">
        <v>22797.131324462702</v>
      </c>
      <c r="E11" s="399">
        <v>17097.848493346999</v>
      </c>
      <c r="F11" s="399">
        <v>5699.28283111567</v>
      </c>
      <c r="G11" s="401">
        <v>30</v>
      </c>
      <c r="I11" s="287"/>
    </row>
    <row r="12" spans="1:21" x14ac:dyDescent="0.3">
      <c r="A12" s="290">
        <v>2027</v>
      </c>
      <c r="B12" s="55" t="s">
        <v>25</v>
      </c>
      <c r="C12" s="55" t="s">
        <v>160</v>
      </c>
      <c r="D12" s="301">
        <v>22797.131324462702</v>
      </c>
      <c r="E12" s="399">
        <v>17097.848493346999</v>
      </c>
      <c r="F12" s="399">
        <v>5699.28283111567</v>
      </c>
      <c r="G12" s="401">
        <v>30</v>
      </c>
      <c r="I12" s="287"/>
    </row>
    <row r="13" spans="1:21" x14ac:dyDescent="0.3">
      <c r="A13" s="290">
        <v>2027</v>
      </c>
      <c r="B13" s="55" t="s">
        <v>26</v>
      </c>
      <c r="C13" s="55" t="s">
        <v>160</v>
      </c>
      <c r="D13" s="301">
        <v>22797.131324462702</v>
      </c>
      <c r="E13" s="399">
        <v>17097.848493346999</v>
      </c>
      <c r="F13" s="399">
        <v>5699.28283111567</v>
      </c>
      <c r="G13" s="401">
        <v>30</v>
      </c>
      <c r="I13" s="287"/>
    </row>
    <row r="14" spans="1:21" x14ac:dyDescent="0.3">
      <c r="A14" s="290">
        <v>2027</v>
      </c>
      <c r="B14" s="55" t="s">
        <v>27</v>
      </c>
      <c r="C14" s="55" t="s">
        <v>160</v>
      </c>
      <c r="D14" s="301">
        <v>22797.131324462702</v>
      </c>
      <c r="E14" s="399">
        <v>17097.848493346999</v>
      </c>
      <c r="F14" s="399">
        <v>5699.28283111567</v>
      </c>
      <c r="G14" s="401">
        <v>30</v>
      </c>
      <c r="I14" s="287"/>
    </row>
    <row r="15" spans="1:21" x14ac:dyDescent="0.3">
      <c r="A15" s="290">
        <v>2027</v>
      </c>
      <c r="B15" s="55" t="s">
        <v>28</v>
      </c>
      <c r="C15" s="55" t="s">
        <v>160</v>
      </c>
      <c r="D15" s="301">
        <v>22797.131324462702</v>
      </c>
      <c r="E15" s="399">
        <v>17097.848493346999</v>
      </c>
      <c r="F15" s="399">
        <v>5699.28283111567</v>
      </c>
      <c r="G15" s="401">
        <v>30</v>
      </c>
      <c r="I15" s="287"/>
    </row>
    <row r="16" spans="1:21" x14ac:dyDescent="0.3">
      <c r="A16" s="290">
        <v>2027</v>
      </c>
      <c r="B16" s="55" t="s">
        <v>29</v>
      </c>
      <c r="C16" s="55" t="s">
        <v>160</v>
      </c>
      <c r="D16" s="301">
        <v>22797.131324462702</v>
      </c>
      <c r="E16" s="399">
        <v>17097.848493346999</v>
      </c>
      <c r="F16" s="399">
        <v>5699.28283111567</v>
      </c>
      <c r="G16" s="401">
        <v>30</v>
      </c>
      <c r="I16" s="287"/>
    </row>
    <row r="17" spans="1:21" x14ac:dyDescent="0.3">
      <c r="A17" s="290">
        <v>2027</v>
      </c>
      <c r="B17" s="55" t="s">
        <v>30</v>
      </c>
      <c r="C17" s="55" t="s">
        <v>160</v>
      </c>
      <c r="D17" s="301">
        <v>22797.131324462702</v>
      </c>
      <c r="E17" s="399">
        <v>17097.848493346999</v>
      </c>
      <c r="F17" s="399">
        <v>5699.28283111567</v>
      </c>
      <c r="G17" s="401">
        <v>30</v>
      </c>
      <c r="I17" s="287"/>
    </row>
    <row r="18" spans="1:21" x14ac:dyDescent="0.3">
      <c r="A18" s="291">
        <v>2027</v>
      </c>
      <c r="B18" s="59" t="s">
        <v>31</v>
      </c>
      <c r="C18" s="59" t="s">
        <v>160</v>
      </c>
      <c r="D18" s="302">
        <v>22797.131324462702</v>
      </c>
      <c r="E18" s="404">
        <v>17097.848493346999</v>
      </c>
      <c r="F18" s="404">
        <v>5699.28283111567</v>
      </c>
      <c r="G18" s="402">
        <v>30</v>
      </c>
      <c r="I18" s="287"/>
    </row>
    <row r="19" spans="1:21" x14ac:dyDescent="0.3">
      <c r="A19" s="538" t="s">
        <v>86</v>
      </c>
      <c r="B19" s="539"/>
      <c r="C19" s="539"/>
      <c r="D19" s="66">
        <f>SUM(D7:D18)</f>
        <v>273565.57589355245</v>
      </c>
      <c r="E19" s="66">
        <f>SUM(E7:E18)</f>
        <v>205174.181920164</v>
      </c>
      <c r="F19" s="66">
        <f>SUM(F7:F18)</f>
        <v>68391.39397338804</v>
      </c>
      <c r="G19" s="66">
        <f>SUM(G7:G18)</f>
        <v>360</v>
      </c>
    </row>
    <row r="20" spans="1:21" x14ac:dyDescent="0.3">
      <c r="G20" s="343"/>
    </row>
    <row r="21" spans="1:21" x14ac:dyDescent="0.3">
      <c r="A21" s="62" t="s">
        <v>18</v>
      </c>
      <c r="B21" s="62" t="s">
        <v>19</v>
      </c>
      <c r="C21" s="62" t="s">
        <v>0</v>
      </c>
      <c r="D21" s="385" t="s">
        <v>11</v>
      </c>
      <c r="E21" s="385" t="s">
        <v>158</v>
      </c>
      <c r="F21" s="385" t="s">
        <v>159</v>
      </c>
      <c r="G21" s="385" t="s">
        <v>156</v>
      </c>
    </row>
    <row r="22" spans="1:21" x14ac:dyDescent="0.3">
      <c r="A22" s="289">
        <v>2026</v>
      </c>
      <c r="B22" s="51" t="s">
        <v>20</v>
      </c>
      <c r="C22" s="51" t="s">
        <v>160</v>
      </c>
      <c r="D22" s="301">
        <v>19757.513814534301</v>
      </c>
      <c r="E22" s="399">
        <v>14818.1353609008</v>
      </c>
      <c r="F22" s="399">
        <v>4939.3784536335797</v>
      </c>
      <c r="G22" s="411">
        <v>26</v>
      </c>
      <c r="I22" s="287"/>
      <c r="J22" s="171"/>
      <c r="K22" s="171"/>
      <c r="L22" s="171"/>
      <c r="M22" s="171"/>
      <c r="N22" s="171"/>
      <c r="O22" s="171"/>
      <c r="Q22" s="171"/>
      <c r="R22" s="171"/>
      <c r="S22" s="171"/>
      <c r="T22" s="171"/>
    </row>
    <row r="23" spans="1:21" x14ac:dyDescent="0.3">
      <c r="A23" s="290">
        <v>2026</v>
      </c>
      <c r="B23" s="55" t="s">
        <v>21</v>
      </c>
      <c r="C23" s="55" t="s">
        <v>160</v>
      </c>
      <c r="D23" s="301">
        <v>19757.513814534301</v>
      </c>
      <c r="E23" s="399">
        <v>14818.1353609008</v>
      </c>
      <c r="F23" s="399">
        <v>4939.3784536335797</v>
      </c>
      <c r="G23" s="411">
        <v>26</v>
      </c>
      <c r="I23" s="287"/>
      <c r="J23" s="171"/>
      <c r="K23" s="171"/>
      <c r="L23" s="171"/>
      <c r="M23" s="171"/>
      <c r="N23" s="171"/>
      <c r="O23" s="171"/>
      <c r="P23" s="171"/>
      <c r="Q23" s="171"/>
      <c r="R23" s="171"/>
      <c r="S23" s="171"/>
      <c r="T23" s="171"/>
      <c r="U23" s="171" t="s">
        <v>114</v>
      </c>
    </row>
    <row r="24" spans="1:21" x14ac:dyDescent="0.3">
      <c r="A24" s="290">
        <v>2026</v>
      </c>
      <c r="B24" s="55" t="s">
        <v>22</v>
      </c>
      <c r="C24" s="55" t="s">
        <v>160</v>
      </c>
      <c r="D24" s="301">
        <v>19757.513814534301</v>
      </c>
      <c r="E24" s="399">
        <v>14818.1353609008</v>
      </c>
      <c r="F24" s="399">
        <v>4939.3784536335797</v>
      </c>
      <c r="G24" s="411">
        <v>26</v>
      </c>
      <c r="I24" s="341"/>
    </row>
    <row r="25" spans="1:21" x14ac:dyDescent="0.3">
      <c r="A25" s="290">
        <v>2026</v>
      </c>
      <c r="B25" s="55" t="s">
        <v>23</v>
      </c>
      <c r="C25" s="55" t="s">
        <v>160</v>
      </c>
      <c r="D25" s="301">
        <v>20517.418192016401</v>
      </c>
      <c r="E25" s="399">
        <v>15388.0636440123</v>
      </c>
      <c r="F25" s="399">
        <v>5129.3545480041103</v>
      </c>
      <c r="G25" s="411">
        <v>27</v>
      </c>
      <c r="I25" s="287"/>
    </row>
    <row r="26" spans="1:21" x14ac:dyDescent="0.3">
      <c r="A26" s="290">
        <v>2026</v>
      </c>
      <c r="B26" s="55" t="s">
        <v>24</v>
      </c>
      <c r="C26" s="55" t="s">
        <v>160</v>
      </c>
      <c r="D26" s="301">
        <v>20517.418192016401</v>
      </c>
      <c r="E26" s="399">
        <v>15388.0636440123</v>
      </c>
      <c r="F26" s="399">
        <v>5129.3545480041103</v>
      </c>
      <c r="G26" s="411">
        <v>27</v>
      </c>
      <c r="I26" s="287"/>
    </row>
    <row r="27" spans="1:21" x14ac:dyDescent="0.3">
      <c r="A27" s="290">
        <v>2026</v>
      </c>
      <c r="B27" s="55" t="s">
        <v>25</v>
      </c>
      <c r="C27" s="55" t="s">
        <v>160</v>
      </c>
      <c r="D27" s="301">
        <v>20517.418192016401</v>
      </c>
      <c r="E27" s="399">
        <v>15388.0636440123</v>
      </c>
      <c r="F27" s="399">
        <v>5129.3545480041103</v>
      </c>
      <c r="G27" s="411">
        <v>27</v>
      </c>
      <c r="I27" s="287"/>
    </row>
    <row r="28" spans="1:21" x14ac:dyDescent="0.3">
      <c r="A28" s="290">
        <v>2026</v>
      </c>
      <c r="B28" s="55" t="s">
        <v>26</v>
      </c>
      <c r="C28" s="55" t="s">
        <v>160</v>
      </c>
      <c r="D28" s="301">
        <v>21277.322569498501</v>
      </c>
      <c r="E28" s="399">
        <v>15957.9919271239</v>
      </c>
      <c r="F28" s="399">
        <v>5319.3306423746299</v>
      </c>
      <c r="G28" s="411">
        <v>28</v>
      </c>
      <c r="I28" s="287"/>
    </row>
    <row r="29" spans="1:21" x14ac:dyDescent="0.3">
      <c r="A29" s="290">
        <v>2026</v>
      </c>
      <c r="B29" s="55" t="s">
        <v>27</v>
      </c>
      <c r="C29" s="55" t="s">
        <v>160</v>
      </c>
      <c r="D29" s="301">
        <v>21277.322569498501</v>
      </c>
      <c r="E29" s="399">
        <v>15957.9919271239</v>
      </c>
      <c r="F29" s="399">
        <v>5319.3306423746299</v>
      </c>
      <c r="G29" s="411">
        <v>28</v>
      </c>
      <c r="I29" s="287"/>
    </row>
    <row r="30" spans="1:21" x14ac:dyDescent="0.3">
      <c r="A30" s="290">
        <v>2026</v>
      </c>
      <c r="B30" s="55" t="s">
        <v>28</v>
      </c>
      <c r="C30" s="55" t="s">
        <v>160</v>
      </c>
      <c r="D30" s="301">
        <v>21277.322569498501</v>
      </c>
      <c r="E30" s="399">
        <v>15957.9919271239</v>
      </c>
      <c r="F30" s="399">
        <v>5319.3306423746299</v>
      </c>
      <c r="G30" s="411">
        <v>28</v>
      </c>
      <c r="I30" s="287"/>
    </row>
    <row r="31" spans="1:21" x14ac:dyDescent="0.3">
      <c r="A31" s="290">
        <v>2026</v>
      </c>
      <c r="B31" s="55" t="s">
        <v>29</v>
      </c>
      <c r="C31" s="55" t="s">
        <v>160</v>
      </c>
      <c r="D31" s="301">
        <v>22797.131324462702</v>
      </c>
      <c r="E31" s="399">
        <v>17097.848493346999</v>
      </c>
      <c r="F31" s="399">
        <v>5699.28283111567</v>
      </c>
      <c r="G31" s="411">
        <v>30</v>
      </c>
      <c r="I31" s="287"/>
    </row>
    <row r="32" spans="1:21" x14ac:dyDescent="0.3">
      <c r="A32" s="290">
        <v>2026</v>
      </c>
      <c r="B32" s="55" t="s">
        <v>30</v>
      </c>
      <c r="C32" s="55" t="s">
        <v>160</v>
      </c>
      <c r="D32" s="301">
        <v>22797.131324462702</v>
      </c>
      <c r="E32" s="399">
        <v>17097.848493346999</v>
      </c>
      <c r="F32" s="399">
        <v>5699.28283111567</v>
      </c>
      <c r="G32" s="411">
        <v>30</v>
      </c>
      <c r="I32" s="287"/>
    </row>
    <row r="33" spans="1:20" x14ac:dyDescent="0.3">
      <c r="A33" s="291">
        <v>2026</v>
      </c>
      <c r="B33" s="59" t="s">
        <v>31</v>
      </c>
      <c r="C33" s="59" t="s">
        <v>160</v>
      </c>
      <c r="D33" s="302">
        <v>22797.131324462702</v>
      </c>
      <c r="E33" s="412">
        <v>17097.848493346999</v>
      </c>
      <c r="F33" s="412">
        <v>5699.28283111567</v>
      </c>
      <c r="G33" s="413">
        <v>30</v>
      </c>
      <c r="I33" s="287"/>
    </row>
    <row r="34" spans="1:20" x14ac:dyDescent="0.3">
      <c r="A34" s="538" t="s">
        <v>86</v>
      </c>
      <c r="B34" s="539"/>
      <c r="C34" s="539"/>
      <c r="D34" s="470">
        <f>SUM(D22:D33)</f>
        <v>253048.15770153573</v>
      </c>
      <c r="E34" s="470">
        <f>SUM(E22:E33)</f>
        <v>189786.11827615203</v>
      </c>
      <c r="F34" s="470">
        <f>SUM(F22:F33)</f>
        <v>63262.039425383977</v>
      </c>
      <c r="G34" s="470">
        <f>SUM(G22:G33)</f>
        <v>333</v>
      </c>
    </row>
    <row r="35" spans="1:20" x14ac:dyDescent="0.3">
      <c r="G35" s="343"/>
    </row>
    <row r="36" spans="1:20" x14ac:dyDescent="0.3">
      <c r="A36" s="62" t="s">
        <v>18</v>
      </c>
      <c r="B36" s="62" t="s">
        <v>19</v>
      </c>
      <c r="C36" s="62" t="s">
        <v>0</v>
      </c>
      <c r="D36" s="300" t="s">
        <v>11</v>
      </c>
      <c r="E36" s="385" t="s">
        <v>158</v>
      </c>
      <c r="F36" s="385" t="s">
        <v>159</v>
      </c>
      <c r="G36" s="385" t="s">
        <v>156</v>
      </c>
    </row>
    <row r="37" spans="1:20" x14ac:dyDescent="0.3">
      <c r="A37" s="50">
        <v>2024</v>
      </c>
      <c r="B37" s="51" t="s">
        <v>20</v>
      </c>
      <c r="C37" s="51" t="s">
        <v>160</v>
      </c>
      <c r="D37" s="332">
        <v>11235</v>
      </c>
      <c r="E37" s="52"/>
      <c r="F37" s="99"/>
      <c r="G37" s="357">
        <v>12.34</v>
      </c>
      <c r="I37" s="473"/>
      <c r="J37" s="171"/>
      <c r="K37" s="171"/>
      <c r="L37" s="171"/>
      <c r="M37" s="171"/>
      <c r="N37" s="171"/>
      <c r="O37" s="171"/>
      <c r="Q37" s="171"/>
      <c r="R37" s="171"/>
      <c r="S37" s="171"/>
      <c r="T37" s="171"/>
    </row>
    <row r="38" spans="1:20" x14ac:dyDescent="0.3">
      <c r="A38" s="54">
        <v>2024</v>
      </c>
      <c r="B38" s="55" t="s">
        <v>21</v>
      </c>
      <c r="C38" s="55" t="s">
        <v>160</v>
      </c>
      <c r="D38" s="332">
        <v>11528</v>
      </c>
      <c r="E38" s="56"/>
      <c r="F38" s="68"/>
      <c r="G38" s="358">
        <v>14.18</v>
      </c>
      <c r="I38" s="473"/>
      <c r="M38" s="171"/>
      <c r="N38" s="171"/>
      <c r="O38" s="171"/>
      <c r="P38" s="171"/>
      <c r="Q38" s="171"/>
      <c r="R38" s="171"/>
    </row>
    <row r="39" spans="1:20" x14ac:dyDescent="0.3">
      <c r="A39" s="54">
        <v>2024</v>
      </c>
      <c r="B39" s="55" t="s">
        <v>22</v>
      </c>
      <c r="C39" s="55" t="s">
        <v>160</v>
      </c>
      <c r="D39" s="332">
        <v>10038</v>
      </c>
      <c r="E39" s="56"/>
      <c r="F39" s="68"/>
      <c r="G39" s="358">
        <v>13.23</v>
      </c>
      <c r="I39" s="473"/>
      <c r="Q39" s="171"/>
    </row>
    <row r="40" spans="1:20" x14ac:dyDescent="0.3">
      <c r="A40" s="54">
        <v>2024</v>
      </c>
      <c r="B40" s="55" t="s">
        <v>23</v>
      </c>
      <c r="C40" s="55" t="s">
        <v>160</v>
      </c>
      <c r="D40" s="332">
        <v>8063</v>
      </c>
      <c r="E40" s="56"/>
      <c r="F40" s="68"/>
      <c r="G40" s="358">
        <v>12.59</v>
      </c>
      <c r="I40" s="473"/>
      <c r="Q40" s="171"/>
    </row>
    <row r="41" spans="1:20" x14ac:dyDescent="0.3">
      <c r="A41" s="54">
        <v>2024</v>
      </c>
      <c r="B41" s="55" t="s">
        <v>24</v>
      </c>
      <c r="C41" s="55" t="s">
        <v>160</v>
      </c>
      <c r="D41" s="332">
        <v>7705</v>
      </c>
      <c r="E41" s="56"/>
      <c r="F41" s="68"/>
      <c r="G41" s="358">
        <v>13.57</v>
      </c>
      <c r="I41" s="473"/>
      <c r="Q41" s="171"/>
    </row>
    <row r="42" spans="1:20" x14ac:dyDescent="0.3">
      <c r="A42" s="54">
        <v>2024</v>
      </c>
      <c r="B42" s="55" t="s">
        <v>25</v>
      </c>
      <c r="C42" s="55" t="s">
        <v>160</v>
      </c>
      <c r="D42" s="332">
        <v>8445</v>
      </c>
      <c r="E42" s="56"/>
      <c r="F42" s="68"/>
      <c r="G42" s="358">
        <v>13.15</v>
      </c>
      <c r="I42" s="473"/>
      <c r="Q42" s="171"/>
    </row>
    <row r="43" spans="1:20" x14ac:dyDescent="0.3">
      <c r="A43" s="54">
        <v>2024</v>
      </c>
      <c r="B43" s="55" t="s">
        <v>26</v>
      </c>
      <c r="C43" s="55" t="s">
        <v>160</v>
      </c>
      <c r="D43" s="332">
        <v>12524</v>
      </c>
      <c r="E43" s="56"/>
      <c r="F43" s="68"/>
      <c r="G43" s="358">
        <v>14.94</v>
      </c>
      <c r="I43" s="473"/>
      <c r="Q43" s="171"/>
    </row>
    <row r="44" spans="1:20" x14ac:dyDescent="0.3">
      <c r="A44" s="54">
        <v>2024</v>
      </c>
      <c r="B44" s="55" t="s">
        <v>27</v>
      </c>
      <c r="C44" s="55" t="s">
        <v>160</v>
      </c>
      <c r="D44" s="332">
        <v>13138</v>
      </c>
      <c r="E44" s="56"/>
      <c r="F44" s="68"/>
      <c r="G44" s="358">
        <v>15.31</v>
      </c>
      <c r="I44" s="473"/>
      <c r="Q44" s="171"/>
    </row>
    <row r="45" spans="1:20" x14ac:dyDescent="0.3">
      <c r="A45" s="54">
        <v>2024</v>
      </c>
      <c r="B45" s="55" t="s">
        <v>28</v>
      </c>
      <c r="C45" s="55" t="s">
        <v>160</v>
      </c>
      <c r="D45" s="332">
        <v>13308</v>
      </c>
      <c r="E45" s="68"/>
      <c r="F45" s="68"/>
      <c r="G45" s="358">
        <v>20.61</v>
      </c>
      <c r="I45" s="473"/>
      <c r="Q45" s="171"/>
    </row>
    <row r="46" spans="1:20" x14ac:dyDescent="0.3">
      <c r="A46" s="54">
        <v>2024</v>
      </c>
      <c r="B46" s="55" t="s">
        <v>29</v>
      </c>
      <c r="C46" s="55" t="s">
        <v>160</v>
      </c>
      <c r="D46" s="332">
        <v>12584</v>
      </c>
      <c r="E46" s="56"/>
      <c r="F46" s="68"/>
      <c r="G46" s="358">
        <v>24.63</v>
      </c>
      <c r="I46" s="473"/>
      <c r="Q46" s="171"/>
    </row>
    <row r="47" spans="1:20" x14ac:dyDescent="0.3">
      <c r="A47" s="54">
        <v>2024</v>
      </c>
      <c r="B47" s="55" t="s">
        <v>30</v>
      </c>
      <c r="C47" s="55" t="s">
        <v>160</v>
      </c>
      <c r="D47" s="332">
        <v>13040</v>
      </c>
      <c r="E47" s="56"/>
      <c r="F47" s="68"/>
      <c r="G47" s="358">
        <v>24.23</v>
      </c>
      <c r="I47" s="473"/>
      <c r="Q47" s="171"/>
    </row>
    <row r="48" spans="1:20" x14ac:dyDescent="0.3">
      <c r="A48" s="58">
        <v>2024</v>
      </c>
      <c r="B48" s="59" t="s">
        <v>31</v>
      </c>
      <c r="C48" s="59" t="s">
        <v>160</v>
      </c>
      <c r="D48" s="333">
        <v>18277</v>
      </c>
      <c r="E48" s="60"/>
      <c r="F48" s="102"/>
      <c r="G48" s="359">
        <v>29.54</v>
      </c>
      <c r="I48" s="473"/>
      <c r="Q48" s="171"/>
    </row>
    <row r="49" spans="1:20" x14ac:dyDescent="0.3">
      <c r="A49" s="540" t="s">
        <v>81</v>
      </c>
      <c r="B49" s="541"/>
      <c r="C49" s="541"/>
      <c r="D49" s="66">
        <f>SUM(D37:D48)</f>
        <v>139885</v>
      </c>
      <c r="E49" s="66">
        <f>SUM(E37:E48)</f>
        <v>0</v>
      </c>
      <c r="F49" s="66">
        <f>SUM(F37:F48)</f>
        <v>0</v>
      </c>
      <c r="G49" s="66">
        <f>SUM(G37:G48)</f>
        <v>208.32</v>
      </c>
      <c r="I49" s="473"/>
      <c r="Q49" s="171"/>
    </row>
    <row r="50" spans="1:20" x14ac:dyDescent="0.3">
      <c r="A50" s="476"/>
      <c r="B50" s="493"/>
      <c r="C50" s="493"/>
      <c r="D50" s="66"/>
      <c r="E50" s="66"/>
      <c r="F50" s="66"/>
      <c r="G50" s="66"/>
      <c r="Q50" s="171"/>
    </row>
    <row r="51" spans="1:20" x14ac:dyDescent="0.3">
      <c r="G51" s="343"/>
      <c r="Q51" s="171"/>
    </row>
    <row r="52" spans="1:20" x14ac:dyDescent="0.3">
      <c r="A52" s="62" t="s">
        <v>18</v>
      </c>
      <c r="B52" s="62" t="s">
        <v>19</v>
      </c>
      <c r="C52" s="62" t="s">
        <v>0</v>
      </c>
      <c r="D52" s="300" t="s">
        <v>11</v>
      </c>
      <c r="E52" s="385" t="s">
        <v>158</v>
      </c>
      <c r="F52" s="385" t="s">
        <v>159</v>
      </c>
      <c r="G52" s="385" t="s">
        <v>156</v>
      </c>
      <c r="Q52" s="171"/>
    </row>
    <row r="53" spans="1:20" x14ac:dyDescent="0.3">
      <c r="A53" s="50">
        <v>2023</v>
      </c>
      <c r="B53" s="51" t="s">
        <v>20</v>
      </c>
      <c r="C53" s="51" t="s">
        <v>160</v>
      </c>
      <c r="D53" s="332">
        <v>10600</v>
      </c>
      <c r="E53" s="52"/>
      <c r="F53" s="99"/>
      <c r="G53" s="357">
        <v>13.86</v>
      </c>
      <c r="I53" s="473"/>
      <c r="J53" s="171"/>
      <c r="K53" s="171"/>
      <c r="L53" s="171"/>
      <c r="M53" s="171"/>
      <c r="N53" s="171"/>
      <c r="O53" s="171"/>
      <c r="Q53" s="171"/>
      <c r="R53" s="171"/>
      <c r="S53" s="171"/>
      <c r="T53" s="171"/>
    </row>
    <row r="54" spans="1:20" x14ac:dyDescent="0.3">
      <c r="A54" s="54">
        <v>2023</v>
      </c>
      <c r="B54" s="55" t="s">
        <v>21</v>
      </c>
      <c r="C54" s="55" t="s">
        <v>160</v>
      </c>
      <c r="D54" s="332">
        <v>10326</v>
      </c>
      <c r="E54" s="56"/>
      <c r="F54" s="68"/>
      <c r="G54" s="358">
        <v>12.39</v>
      </c>
      <c r="I54" s="473"/>
      <c r="M54" s="171"/>
      <c r="N54" s="171"/>
      <c r="O54" s="171"/>
      <c r="P54" s="171"/>
      <c r="Q54" s="171"/>
      <c r="R54" s="171"/>
    </row>
    <row r="55" spans="1:20" x14ac:dyDescent="0.3">
      <c r="A55" s="54">
        <v>2023</v>
      </c>
      <c r="B55" s="55" t="s">
        <v>22</v>
      </c>
      <c r="C55" s="55" t="s">
        <v>160</v>
      </c>
      <c r="D55" s="332">
        <v>9869</v>
      </c>
      <c r="E55" s="56"/>
      <c r="F55" s="68"/>
      <c r="G55" s="358">
        <v>12.23</v>
      </c>
      <c r="I55" s="473"/>
    </row>
    <row r="56" spans="1:20" x14ac:dyDescent="0.3">
      <c r="A56" s="54">
        <v>2023</v>
      </c>
      <c r="B56" s="55" t="s">
        <v>23</v>
      </c>
      <c r="C56" s="55" t="s">
        <v>160</v>
      </c>
      <c r="D56" s="332">
        <v>9836</v>
      </c>
      <c r="E56" s="56"/>
      <c r="F56" s="68"/>
      <c r="G56" s="358">
        <v>13.48</v>
      </c>
      <c r="I56" s="473"/>
    </row>
    <row r="57" spans="1:20" x14ac:dyDescent="0.3">
      <c r="A57" s="54">
        <v>2023</v>
      </c>
      <c r="B57" s="55" t="s">
        <v>24</v>
      </c>
      <c r="C57" s="55" t="s">
        <v>160</v>
      </c>
      <c r="D57" s="332">
        <v>6890</v>
      </c>
      <c r="E57" s="56"/>
      <c r="F57" s="68"/>
      <c r="G57" s="358">
        <v>11.13</v>
      </c>
      <c r="I57" s="473"/>
    </row>
    <row r="58" spans="1:20" x14ac:dyDescent="0.3">
      <c r="A58" s="54">
        <v>2023</v>
      </c>
      <c r="B58" s="55" t="s">
        <v>25</v>
      </c>
      <c r="C58" s="55" t="s">
        <v>160</v>
      </c>
      <c r="D58" s="332">
        <v>8138</v>
      </c>
      <c r="E58" s="56"/>
      <c r="F58" s="68"/>
      <c r="G58" s="358">
        <v>10.69</v>
      </c>
      <c r="I58" s="473"/>
    </row>
    <row r="59" spans="1:20" x14ac:dyDescent="0.3">
      <c r="A59" s="54">
        <v>2023</v>
      </c>
      <c r="B59" s="55" t="s">
        <v>26</v>
      </c>
      <c r="C59" s="55" t="s">
        <v>160</v>
      </c>
      <c r="D59" s="332">
        <v>10577</v>
      </c>
      <c r="E59" s="56"/>
      <c r="F59" s="68"/>
      <c r="G59" s="358">
        <v>10.52</v>
      </c>
      <c r="I59" s="473"/>
    </row>
    <row r="60" spans="1:20" x14ac:dyDescent="0.3">
      <c r="A60" s="54">
        <v>2023</v>
      </c>
      <c r="B60" s="55" t="s">
        <v>27</v>
      </c>
      <c r="C60" s="55" t="s">
        <v>160</v>
      </c>
      <c r="D60" s="332">
        <v>11458</v>
      </c>
      <c r="E60" s="56"/>
      <c r="F60" s="68"/>
      <c r="G60" s="358">
        <v>11.57</v>
      </c>
      <c r="I60" s="473"/>
    </row>
    <row r="61" spans="1:20" x14ac:dyDescent="0.3">
      <c r="A61" s="54">
        <v>2023</v>
      </c>
      <c r="B61" s="55" t="s">
        <v>28</v>
      </c>
      <c r="C61" s="55" t="s">
        <v>160</v>
      </c>
      <c r="D61" s="332">
        <v>11464</v>
      </c>
      <c r="E61" s="68"/>
      <c r="F61" s="68"/>
      <c r="G61" s="358">
        <v>12.56</v>
      </c>
      <c r="I61" s="473"/>
    </row>
    <row r="62" spans="1:20" x14ac:dyDescent="0.3">
      <c r="A62" s="54">
        <v>2023</v>
      </c>
      <c r="B62" s="55" t="s">
        <v>29</v>
      </c>
      <c r="C62" s="55" t="s">
        <v>160</v>
      </c>
      <c r="D62" s="332">
        <v>7966</v>
      </c>
      <c r="E62" s="56"/>
      <c r="F62" s="68"/>
      <c r="G62" s="358">
        <v>11.23</v>
      </c>
      <c r="I62" s="473"/>
    </row>
    <row r="63" spans="1:20" x14ac:dyDescent="0.3">
      <c r="A63" s="54">
        <v>2023</v>
      </c>
      <c r="B63" s="55" t="s">
        <v>30</v>
      </c>
      <c r="C63" s="55" t="s">
        <v>160</v>
      </c>
      <c r="D63" s="332">
        <v>9062</v>
      </c>
      <c r="E63" s="56"/>
      <c r="F63" s="68"/>
      <c r="G63" s="358">
        <v>13.4</v>
      </c>
      <c r="I63" s="473"/>
    </row>
    <row r="64" spans="1:20" x14ac:dyDescent="0.3">
      <c r="A64" s="58">
        <v>2023</v>
      </c>
      <c r="B64" s="59" t="s">
        <v>31</v>
      </c>
      <c r="C64" s="59" t="s">
        <v>160</v>
      </c>
      <c r="D64" s="333">
        <v>9482</v>
      </c>
      <c r="E64" s="60"/>
      <c r="F64" s="102"/>
      <c r="G64" s="359">
        <v>11.98</v>
      </c>
      <c r="I64" s="473"/>
    </row>
    <row r="65" spans="1:20" x14ac:dyDescent="0.3">
      <c r="A65" s="540" t="s">
        <v>81</v>
      </c>
      <c r="B65" s="541"/>
      <c r="C65" s="541"/>
      <c r="D65" s="66">
        <f>SUM(D53:D64)</f>
        <v>115668</v>
      </c>
      <c r="E65" s="66">
        <f>SUM(E53:E64)</f>
        <v>0</v>
      </c>
      <c r="F65" s="66">
        <f>SUM(F53:F64)</f>
        <v>0</v>
      </c>
      <c r="G65" s="66">
        <f>SUM(G53:G64)</f>
        <v>145.04</v>
      </c>
      <c r="I65" s="473"/>
    </row>
    <row r="66" spans="1:20" x14ac:dyDescent="0.3">
      <c r="A66" s="476"/>
      <c r="B66" s="493"/>
      <c r="C66" s="493"/>
      <c r="D66" s="66"/>
      <c r="E66" s="66"/>
      <c r="F66" s="66"/>
      <c r="G66" s="66"/>
    </row>
    <row r="67" spans="1:20" x14ac:dyDescent="0.3">
      <c r="G67" s="343"/>
    </row>
    <row r="68" spans="1:20" x14ac:dyDescent="0.3">
      <c r="A68" s="62" t="s">
        <v>18</v>
      </c>
      <c r="B68" s="62" t="s">
        <v>19</v>
      </c>
      <c r="C68" s="62" t="s">
        <v>0</v>
      </c>
      <c r="D68" s="300" t="s">
        <v>11</v>
      </c>
      <c r="E68" s="385" t="s">
        <v>158</v>
      </c>
      <c r="F68" s="385" t="s">
        <v>159</v>
      </c>
      <c r="G68" s="385" t="s">
        <v>156</v>
      </c>
    </row>
    <row r="69" spans="1:20" x14ac:dyDescent="0.3">
      <c r="A69" s="50">
        <v>2022</v>
      </c>
      <c r="B69" s="51" t="s">
        <v>20</v>
      </c>
      <c r="C69" s="51" t="s">
        <v>160</v>
      </c>
      <c r="D69" s="332"/>
      <c r="E69" s="52"/>
      <c r="F69" s="99"/>
      <c r="G69" s="357"/>
      <c r="I69" s="473"/>
      <c r="J69" s="171"/>
      <c r="K69" s="171"/>
      <c r="L69" s="171"/>
      <c r="M69" s="171"/>
      <c r="N69" s="171"/>
      <c r="O69" s="171"/>
      <c r="Q69" s="171"/>
      <c r="R69" s="171"/>
      <c r="S69" s="171"/>
      <c r="T69" s="171"/>
    </row>
    <row r="70" spans="1:20" x14ac:dyDescent="0.3">
      <c r="A70" s="54">
        <v>2022</v>
      </c>
      <c r="B70" s="55" t="s">
        <v>21</v>
      </c>
      <c r="C70" s="55" t="s">
        <v>160</v>
      </c>
      <c r="D70" s="332"/>
      <c r="E70" s="56"/>
      <c r="F70" s="68"/>
      <c r="G70" s="358"/>
      <c r="I70" s="473"/>
      <c r="M70" s="171"/>
      <c r="N70" s="171"/>
      <c r="O70" s="171"/>
      <c r="P70" s="171"/>
      <c r="Q70" s="171"/>
      <c r="R70" s="171"/>
    </row>
    <row r="71" spans="1:20" x14ac:dyDescent="0.3">
      <c r="A71" s="54">
        <v>2022</v>
      </c>
      <c r="B71" s="55" t="s">
        <v>22</v>
      </c>
      <c r="C71" s="55" t="s">
        <v>160</v>
      </c>
      <c r="D71" s="332"/>
      <c r="E71" s="56"/>
      <c r="F71" s="68"/>
      <c r="G71" s="358"/>
      <c r="I71" s="473"/>
    </row>
    <row r="72" spans="1:20" x14ac:dyDescent="0.3">
      <c r="A72" s="54">
        <v>2022</v>
      </c>
      <c r="B72" s="55" t="s">
        <v>23</v>
      </c>
      <c r="C72" s="55" t="s">
        <v>160</v>
      </c>
      <c r="D72" s="332"/>
      <c r="E72" s="56"/>
      <c r="F72" s="68"/>
      <c r="G72" s="358"/>
      <c r="I72" s="473"/>
    </row>
    <row r="73" spans="1:20" x14ac:dyDescent="0.3">
      <c r="A73" s="54">
        <v>2022</v>
      </c>
      <c r="B73" s="55" t="s">
        <v>24</v>
      </c>
      <c r="C73" s="55" t="s">
        <v>160</v>
      </c>
      <c r="D73" s="332"/>
      <c r="E73" s="56"/>
      <c r="F73" s="68"/>
      <c r="G73" s="358"/>
      <c r="I73" s="473"/>
    </row>
    <row r="74" spans="1:20" x14ac:dyDescent="0.3">
      <c r="A74" s="54">
        <v>2022</v>
      </c>
      <c r="B74" s="55" t="s">
        <v>25</v>
      </c>
      <c r="C74" s="55" t="s">
        <v>160</v>
      </c>
      <c r="D74" s="332"/>
      <c r="E74" s="56"/>
      <c r="F74" s="68"/>
      <c r="G74" s="358">
        <v>7.89</v>
      </c>
      <c r="I74" s="473"/>
    </row>
    <row r="75" spans="1:20" x14ac:dyDescent="0.3">
      <c r="A75" s="54">
        <v>2022</v>
      </c>
      <c r="B75" s="55" t="s">
        <v>26</v>
      </c>
      <c r="C75" s="55" t="s">
        <v>160</v>
      </c>
      <c r="D75" s="332"/>
      <c r="E75" s="56"/>
      <c r="F75" s="68"/>
      <c r="G75" s="358">
        <v>8.34</v>
      </c>
      <c r="I75" s="473"/>
    </row>
    <row r="76" spans="1:20" x14ac:dyDescent="0.3">
      <c r="A76" s="54">
        <v>2022</v>
      </c>
      <c r="B76" s="55" t="s">
        <v>27</v>
      </c>
      <c r="C76" s="55" t="s">
        <v>160</v>
      </c>
      <c r="D76" s="332"/>
      <c r="E76" s="56"/>
      <c r="F76" s="68"/>
      <c r="G76" s="358">
        <v>13.49</v>
      </c>
      <c r="I76" s="473"/>
    </row>
    <row r="77" spans="1:20" x14ac:dyDescent="0.3">
      <c r="A77" s="54">
        <v>2022</v>
      </c>
      <c r="B77" s="55" t="s">
        <v>28</v>
      </c>
      <c r="C77" s="55" t="s">
        <v>160</v>
      </c>
      <c r="D77" s="332"/>
      <c r="E77" s="68"/>
      <c r="F77" s="68"/>
      <c r="G77" s="358">
        <v>11.86</v>
      </c>
      <c r="I77" s="473"/>
    </row>
    <row r="78" spans="1:20" x14ac:dyDescent="0.3">
      <c r="A78" s="54">
        <v>2022</v>
      </c>
      <c r="B78" s="55" t="s">
        <v>29</v>
      </c>
      <c r="C78" s="55" t="s">
        <v>160</v>
      </c>
      <c r="D78" s="332"/>
      <c r="E78" s="56"/>
      <c r="F78" s="68"/>
      <c r="G78" s="358">
        <v>10.75</v>
      </c>
      <c r="I78" s="473"/>
    </row>
    <row r="79" spans="1:20" x14ac:dyDescent="0.3">
      <c r="A79" s="54">
        <v>2022</v>
      </c>
      <c r="B79" s="55" t="s">
        <v>30</v>
      </c>
      <c r="C79" s="55" t="s">
        <v>160</v>
      </c>
      <c r="D79" s="332"/>
      <c r="E79" s="56"/>
      <c r="F79" s="68"/>
      <c r="G79" s="358">
        <v>11.78</v>
      </c>
      <c r="I79" s="473"/>
    </row>
    <row r="80" spans="1:20" x14ac:dyDescent="0.3">
      <c r="A80" s="58">
        <v>2022</v>
      </c>
      <c r="B80" s="59" t="s">
        <v>31</v>
      </c>
      <c r="C80" s="59" t="s">
        <v>160</v>
      </c>
      <c r="D80" s="333"/>
      <c r="E80" s="60"/>
      <c r="F80" s="102"/>
      <c r="G80" s="359">
        <v>13.05</v>
      </c>
      <c r="I80" s="473"/>
    </row>
    <row r="81" spans="1:20" x14ac:dyDescent="0.3">
      <c r="A81" s="540" t="s">
        <v>81</v>
      </c>
      <c r="B81" s="541"/>
      <c r="C81" s="541"/>
      <c r="D81" s="66">
        <f>SUM(D69:D80)</f>
        <v>0</v>
      </c>
      <c r="E81" s="66">
        <f>SUM(E69:E80)</f>
        <v>0</v>
      </c>
      <c r="F81" s="66">
        <f>SUM(F69:F80)</f>
        <v>0</v>
      </c>
      <c r="G81" s="66">
        <f>SUM(G69:G80)</f>
        <v>77.16</v>
      </c>
      <c r="I81" s="473"/>
    </row>
    <row r="82" spans="1:20" x14ac:dyDescent="0.3">
      <c r="G82" s="343"/>
    </row>
    <row r="83" spans="1:20" x14ac:dyDescent="0.3">
      <c r="A83" s="62" t="s">
        <v>18</v>
      </c>
      <c r="B83" s="62" t="s">
        <v>19</v>
      </c>
      <c r="C83" s="62" t="s">
        <v>0</v>
      </c>
      <c r="D83" s="300" t="s">
        <v>11</v>
      </c>
      <c r="E83" s="385" t="s">
        <v>158</v>
      </c>
      <c r="F83" s="385" t="s">
        <v>159</v>
      </c>
      <c r="G83" s="385" t="s">
        <v>156</v>
      </c>
    </row>
    <row r="84" spans="1:20" x14ac:dyDescent="0.3">
      <c r="A84" s="50">
        <v>2021</v>
      </c>
      <c r="B84" s="51" t="s">
        <v>20</v>
      </c>
      <c r="C84" s="51" t="s">
        <v>160</v>
      </c>
      <c r="D84" s="332"/>
      <c r="E84" s="52"/>
      <c r="F84" s="99"/>
      <c r="G84" s="357"/>
      <c r="I84" s="473"/>
      <c r="J84" s="171"/>
      <c r="K84" s="171"/>
      <c r="L84" s="171"/>
      <c r="M84" s="171"/>
      <c r="N84" s="171"/>
      <c r="O84" s="171"/>
      <c r="Q84" s="171"/>
      <c r="R84" s="171"/>
      <c r="S84" s="171"/>
      <c r="T84" s="171"/>
    </row>
    <row r="85" spans="1:20" x14ac:dyDescent="0.3">
      <c r="A85" s="54">
        <v>2021</v>
      </c>
      <c r="B85" s="55" t="s">
        <v>21</v>
      </c>
      <c r="C85" s="55" t="s">
        <v>160</v>
      </c>
      <c r="D85" s="332"/>
      <c r="E85" s="56"/>
      <c r="F85" s="68"/>
      <c r="G85" s="358"/>
      <c r="I85" s="473"/>
      <c r="M85" s="171"/>
      <c r="N85" s="171"/>
      <c r="O85" s="171"/>
      <c r="P85" s="171"/>
      <c r="Q85" s="171"/>
      <c r="R85" s="171"/>
    </row>
    <row r="86" spans="1:20" x14ac:dyDescent="0.3">
      <c r="A86" s="54">
        <v>2021</v>
      </c>
      <c r="B86" s="55" t="s">
        <v>22</v>
      </c>
      <c r="C86" s="55" t="s">
        <v>160</v>
      </c>
      <c r="D86" s="332"/>
      <c r="E86" s="56"/>
      <c r="F86" s="68"/>
      <c r="G86" s="358"/>
      <c r="I86" s="473"/>
    </row>
    <row r="87" spans="1:20" x14ac:dyDescent="0.3">
      <c r="A87" s="54">
        <v>2021</v>
      </c>
      <c r="B87" s="55" t="s">
        <v>23</v>
      </c>
      <c r="C87" s="55" t="s">
        <v>160</v>
      </c>
      <c r="D87" s="332"/>
      <c r="E87" s="56"/>
      <c r="F87" s="68"/>
      <c r="G87" s="358"/>
      <c r="I87" s="473"/>
    </row>
    <row r="88" spans="1:20" x14ac:dyDescent="0.3">
      <c r="A88" s="54">
        <v>2021</v>
      </c>
      <c r="B88" s="55" t="s">
        <v>24</v>
      </c>
      <c r="C88" s="55" t="s">
        <v>160</v>
      </c>
      <c r="D88" s="332"/>
      <c r="E88" s="56"/>
      <c r="F88" s="68"/>
      <c r="G88" s="358"/>
      <c r="I88" s="473"/>
    </row>
    <row r="89" spans="1:20" x14ac:dyDescent="0.3">
      <c r="A89" s="54">
        <v>2021</v>
      </c>
      <c r="B89" s="55" t="s">
        <v>25</v>
      </c>
      <c r="C89" s="55" t="s">
        <v>160</v>
      </c>
      <c r="D89" s="332"/>
      <c r="E89" s="56"/>
      <c r="F89" s="68"/>
      <c r="G89" s="358"/>
      <c r="I89" s="473"/>
    </row>
    <row r="90" spans="1:20" x14ac:dyDescent="0.3">
      <c r="A90" s="54">
        <v>2021</v>
      </c>
      <c r="B90" s="55" t="s">
        <v>26</v>
      </c>
      <c r="C90" s="55" t="s">
        <v>160</v>
      </c>
      <c r="D90" s="332"/>
      <c r="E90" s="56"/>
      <c r="F90" s="68"/>
      <c r="G90" s="358"/>
      <c r="I90" s="473"/>
    </row>
    <row r="91" spans="1:20" x14ac:dyDescent="0.3">
      <c r="A91" s="54">
        <v>2021</v>
      </c>
      <c r="B91" s="55" t="s">
        <v>27</v>
      </c>
      <c r="C91" s="55" t="s">
        <v>160</v>
      </c>
      <c r="D91" s="332"/>
      <c r="E91" s="56"/>
      <c r="F91" s="68"/>
      <c r="G91" s="358"/>
      <c r="I91" s="473"/>
    </row>
    <row r="92" spans="1:20" x14ac:dyDescent="0.3">
      <c r="A92" s="54">
        <v>2021</v>
      </c>
      <c r="B92" s="55" t="s">
        <v>28</v>
      </c>
      <c r="C92" s="55" t="s">
        <v>160</v>
      </c>
      <c r="D92" s="332"/>
      <c r="E92" s="68"/>
      <c r="F92" s="68"/>
      <c r="G92" s="358"/>
      <c r="I92" s="473"/>
    </row>
    <row r="93" spans="1:20" x14ac:dyDescent="0.3">
      <c r="A93" s="54">
        <v>2021</v>
      </c>
      <c r="B93" s="55" t="s">
        <v>29</v>
      </c>
      <c r="C93" s="55" t="s">
        <v>160</v>
      </c>
      <c r="D93" s="332"/>
      <c r="E93" s="56"/>
      <c r="F93" s="68"/>
      <c r="G93" s="358"/>
      <c r="I93" s="473"/>
    </row>
    <row r="94" spans="1:20" x14ac:dyDescent="0.3">
      <c r="A94" s="54">
        <v>2021</v>
      </c>
      <c r="B94" s="55" t="s">
        <v>30</v>
      </c>
      <c r="C94" s="55" t="s">
        <v>160</v>
      </c>
      <c r="D94" s="332"/>
      <c r="E94" s="56"/>
      <c r="F94" s="68"/>
      <c r="G94" s="358"/>
      <c r="I94" s="473"/>
    </row>
    <row r="95" spans="1:20" x14ac:dyDescent="0.3">
      <c r="A95" s="58">
        <v>2021</v>
      </c>
      <c r="B95" s="59" t="s">
        <v>31</v>
      </c>
      <c r="C95" s="59" t="s">
        <v>160</v>
      </c>
      <c r="D95" s="333"/>
      <c r="E95" s="60"/>
      <c r="F95" s="102"/>
      <c r="G95" s="359"/>
      <c r="I95" s="473"/>
    </row>
    <row r="96" spans="1:20" x14ac:dyDescent="0.3">
      <c r="A96" s="540" t="s">
        <v>81</v>
      </c>
      <c r="B96" s="541"/>
      <c r="C96" s="541"/>
      <c r="D96" s="66">
        <f>SUM(D84:D95)</f>
        <v>0</v>
      </c>
      <c r="E96" s="66">
        <f>SUM(E84:E95)</f>
        <v>0</v>
      </c>
      <c r="F96" s="66">
        <f>SUM(F84:F95)</f>
        <v>0</v>
      </c>
      <c r="G96" s="66">
        <f>SUM(G84:G95)</f>
        <v>0</v>
      </c>
      <c r="I96" s="473"/>
    </row>
    <row r="97" spans="1:28" x14ac:dyDescent="0.3">
      <c r="G97" s="343"/>
    </row>
    <row r="98" spans="1:28" x14ac:dyDescent="0.3">
      <c r="A98" s="62" t="s">
        <v>18</v>
      </c>
      <c r="B98" s="62" t="s">
        <v>19</v>
      </c>
      <c r="C98" s="62" t="s">
        <v>0</v>
      </c>
      <c r="D98" s="300" t="s">
        <v>11</v>
      </c>
      <c r="E98" s="385" t="s">
        <v>158</v>
      </c>
      <c r="F98" s="385" t="s">
        <v>159</v>
      </c>
      <c r="G98" s="385" t="s">
        <v>156</v>
      </c>
    </row>
    <row r="99" spans="1:28" x14ac:dyDescent="0.3">
      <c r="A99" s="50">
        <v>2020</v>
      </c>
      <c r="B99" s="51" t="s">
        <v>20</v>
      </c>
      <c r="C99" s="51" t="s">
        <v>160</v>
      </c>
      <c r="D99" s="332"/>
      <c r="E99" s="52"/>
      <c r="F99" s="99"/>
      <c r="G99" s="357"/>
      <c r="I99" s="473"/>
      <c r="M99" s="365"/>
      <c r="N99" s="365"/>
      <c r="O99" s="365"/>
      <c r="P99" s="365"/>
      <c r="Q99" s="365"/>
      <c r="R99" s="365"/>
      <c r="S99" s="365"/>
      <c r="T99" s="365"/>
      <c r="U99" s="365"/>
      <c r="V99" s="365"/>
      <c r="W99" s="365"/>
      <c r="X99" s="365"/>
      <c r="Y99" s="365"/>
      <c r="Z99" s="365"/>
      <c r="AA99" s="365"/>
      <c r="AB99" s="365"/>
    </row>
    <row r="100" spans="1:28" x14ac:dyDescent="0.3">
      <c r="A100" s="54">
        <v>2020</v>
      </c>
      <c r="B100" s="55" t="s">
        <v>21</v>
      </c>
      <c r="C100" s="55" t="s">
        <v>160</v>
      </c>
      <c r="D100" s="332"/>
      <c r="E100" s="56"/>
      <c r="F100" s="68"/>
      <c r="G100" s="358"/>
      <c r="I100" s="473"/>
    </row>
    <row r="101" spans="1:28" x14ac:dyDescent="0.3">
      <c r="A101" s="54">
        <v>2020</v>
      </c>
      <c r="B101" s="55" t="s">
        <v>22</v>
      </c>
      <c r="C101" s="55" t="s">
        <v>160</v>
      </c>
      <c r="D101" s="332"/>
      <c r="E101" s="56"/>
      <c r="F101" s="68"/>
      <c r="G101" s="358"/>
      <c r="I101" s="473"/>
    </row>
    <row r="102" spans="1:28" x14ac:dyDescent="0.3">
      <c r="A102" s="54">
        <v>2020</v>
      </c>
      <c r="B102" s="55" t="s">
        <v>23</v>
      </c>
      <c r="C102" s="55" t="s">
        <v>160</v>
      </c>
      <c r="D102" s="332"/>
      <c r="E102" s="56"/>
      <c r="F102" s="68"/>
      <c r="G102" s="358"/>
      <c r="I102" s="473"/>
    </row>
    <row r="103" spans="1:28" x14ac:dyDescent="0.3">
      <c r="A103" s="54">
        <v>2020</v>
      </c>
      <c r="B103" s="55" t="s">
        <v>24</v>
      </c>
      <c r="C103" s="55" t="s">
        <v>160</v>
      </c>
      <c r="D103" s="332"/>
      <c r="E103" s="56"/>
      <c r="F103" s="68"/>
      <c r="G103" s="358"/>
      <c r="I103" s="473"/>
    </row>
    <row r="104" spans="1:28" x14ac:dyDescent="0.3">
      <c r="A104" s="54">
        <v>2020</v>
      </c>
      <c r="B104" s="55" t="s">
        <v>25</v>
      </c>
      <c r="C104" s="55" t="s">
        <v>160</v>
      </c>
      <c r="D104" s="332"/>
      <c r="E104" s="56"/>
      <c r="F104" s="68"/>
      <c r="G104" s="358"/>
      <c r="I104" s="473"/>
    </row>
    <row r="105" spans="1:28" x14ac:dyDescent="0.3">
      <c r="A105" s="54">
        <v>2020</v>
      </c>
      <c r="B105" s="55" t="s">
        <v>26</v>
      </c>
      <c r="C105" s="55" t="s">
        <v>160</v>
      </c>
      <c r="D105" s="332"/>
      <c r="E105" s="56"/>
      <c r="F105" s="68"/>
      <c r="G105" s="358"/>
      <c r="I105" s="473"/>
    </row>
    <row r="106" spans="1:28" x14ac:dyDescent="0.3">
      <c r="A106" s="54">
        <v>2020</v>
      </c>
      <c r="B106" s="55" t="s">
        <v>27</v>
      </c>
      <c r="C106" s="55" t="s">
        <v>160</v>
      </c>
      <c r="D106" s="332"/>
      <c r="E106" s="56"/>
      <c r="F106" s="68"/>
      <c r="G106" s="358"/>
      <c r="I106" s="473"/>
    </row>
    <row r="107" spans="1:28" x14ac:dyDescent="0.3">
      <c r="A107" s="54">
        <v>2020</v>
      </c>
      <c r="B107" s="55" t="s">
        <v>28</v>
      </c>
      <c r="C107" s="55" t="s">
        <v>160</v>
      </c>
      <c r="D107" s="332"/>
      <c r="E107" s="68"/>
      <c r="F107" s="68"/>
      <c r="G107" s="358"/>
      <c r="I107" s="473"/>
    </row>
    <row r="108" spans="1:28" x14ac:dyDescent="0.3">
      <c r="A108" s="54">
        <v>2020</v>
      </c>
      <c r="B108" s="55" t="s">
        <v>29</v>
      </c>
      <c r="C108" s="55" t="s">
        <v>160</v>
      </c>
      <c r="D108" s="332"/>
      <c r="E108" s="56"/>
      <c r="F108" s="68"/>
      <c r="G108" s="358"/>
      <c r="I108" s="473"/>
    </row>
    <row r="109" spans="1:28" x14ac:dyDescent="0.3">
      <c r="A109" s="54">
        <v>2020</v>
      </c>
      <c r="B109" s="55" t="s">
        <v>30</v>
      </c>
      <c r="C109" s="55" t="s">
        <v>160</v>
      </c>
      <c r="D109" s="332"/>
      <c r="E109" s="56"/>
      <c r="F109" s="68"/>
      <c r="G109" s="358"/>
      <c r="I109" s="473"/>
    </row>
    <row r="110" spans="1:28" x14ac:dyDescent="0.3">
      <c r="A110" s="58">
        <v>2020</v>
      </c>
      <c r="B110" s="59" t="s">
        <v>31</v>
      </c>
      <c r="C110" s="59" t="s">
        <v>160</v>
      </c>
      <c r="D110" s="333"/>
      <c r="E110" s="60"/>
      <c r="F110" s="102"/>
      <c r="G110" s="359"/>
      <c r="I110" s="473"/>
    </row>
    <row r="111" spans="1:28" x14ac:dyDescent="0.3">
      <c r="A111" s="540" t="s">
        <v>81</v>
      </c>
      <c r="B111" s="541"/>
      <c r="C111" s="541"/>
      <c r="D111" s="66">
        <f>SUM(D99:D110)</f>
        <v>0</v>
      </c>
      <c r="E111" s="66">
        <f>SUM(E99:E110)</f>
        <v>0</v>
      </c>
      <c r="F111" s="66">
        <f>SUM(F99:F110)</f>
        <v>0</v>
      </c>
      <c r="G111" s="66">
        <f>SUM(G99:G110)</f>
        <v>0</v>
      </c>
      <c r="I111" s="473"/>
    </row>
    <row r="112" spans="1:28" x14ac:dyDescent="0.3">
      <c r="G112" s="343"/>
    </row>
    <row r="113" spans="1:7" x14ac:dyDescent="0.3">
      <c r="A113" s="475"/>
    </row>
    <row r="114" spans="1:7" x14ac:dyDescent="0.3">
      <c r="D114" s="67"/>
      <c r="E114" s="64"/>
      <c r="F114" s="64"/>
    </row>
    <row r="117" spans="1:7" x14ac:dyDescent="0.3">
      <c r="G117" s="343"/>
    </row>
  </sheetData>
  <mergeCells count="11">
    <mergeCell ref="A111:C111"/>
    <mergeCell ref="A1:I1"/>
    <mergeCell ref="A2:I2"/>
    <mergeCell ref="A3:I3"/>
    <mergeCell ref="A4:I4"/>
    <mergeCell ref="A19:C19"/>
    <mergeCell ref="A34:C34"/>
    <mergeCell ref="A49:C49"/>
    <mergeCell ref="A65:C65"/>
    <mergeCell ref="A81:C81"/>
    <mergeCell ref="A96:C96"/>
  </mergeCells>
  <printOptions horizontalCentered="1"/>
  <pageMargins left="0.25" right="0.25" top="0.5" bottom="0.75" header="0.3" footer="0.3"/>
  <pageSetup scale="65" orientation="portrait" r:id="rId1"/>
  <rowBreaks count="1" manualBreakCount="1">
    <brk id="67" max="1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FDD42-B001-465F-9283-C5A5E249C706}">
  <sheetPr codeName="Sheet9"/>
  <dimension ref="A1:AN112"/>
  <sheetViews>
    <sheetView zoomScaleNormal="100" workbookViewId="0">
      <selection sqref="A1:I1"/>
    </sheetView>
  </sheetViews>
  <sheetFormatPr defaultColWidth="9.109375" defaultRowHeight="14.4" x14ac:dyDescent="0.3"/>
  <cols>
    <col min="1" max="1" width="6.109375" style="46" customWidth="1"/>
    <col min="2" max="2" width="5.88671875" style="46" customWidth="1"/>
    <col min="3" max="3" width="8.109375" style="63" customWidth="1"/>
    <col min="4" max="4" width="11.44140625" style="46" customWidth="1"/>
    <col min="5" max="10" width="11" style="46" customWidth="1"/>
    <col min="11" max="11" width="11.109375" style="46" bestFit="1" customWidth="1"/>
    <col min="12" max="12" width="10.5546875" style="46" customWidth="1"/>
    <col min="13" max="13" width="10.88671875" style="46" customWidth="1"/>
    <col min="14" max="15" width="11.109375" style="46" customWidth="1"/>
    <col min="16" max="16" width="11" style="46" customWidth="1"/>
    <col min="17" max="17" width="9.109375" style="46" bestFit="1" customWidth="1"/>
    <col min="18" max="18" width="10.88671875" style="46" customWidth="1"/>
    <col min="19" max="24" width="11.88671875" style="46" customWidth="1"/>
    <col min="25" max="25" width="11.109375" style="46" bestFit="1" customWidth="1"/>
    <col min="26" max="26" width="9.6640625" style="46" customWidth="1"/>
    <col min="27" max="27" width="10.33203125" style="46" customWidth="1"/>
    <col min="28" max="28" width="4.109375" style="46" customWidth="1"/>
    <col min="29" max="16384" width="9.109375" style="46"/>
  </cols>
  <sheetData>
    <row r="1" spans="1:40" ht="18" x14ac:dyDescent="0.35">
      <c r="A1" s="542" t="s">
        <v>122</v>
      </c>
      <c r="B1" s="542"/>
      <c r="C1" s="542"/>
      <c r="D1" s="542"/>
      <c r="E1" s="542"/>
      <c r="F1" s="542"/>
      <c r="G1" s="542"/>
      <c r="H1" s="542"/>
      <c r="I1" s="542"/>
    </row>
    <row r="2" spans="1:40" ht="18" x14ac:dyDescent="0.35">
      <c r="A2" s="542" t="s">
        <v>163</v>
      </c>
      <c r="B2" s="542"/>
      <c r="C2" s="542"/>
      <c r="D2" s="542"/>
      <c r="E2" s="542"/>
      <c r="F2" s="542"/>
      <c r="G2" s="542"/>
      <c r="H2" s="542"/>
      <c r="I2" s="542"/>
    </row>
    <row r="3" spans="1:40" ht="18" x14ac:dyDescent="0.35">
      <c r="A3" s="542" t="s">
        <v>166</v>
      </c>
      <c r="B3" s="542"/>
      <c r="C3" s="542"/>
      <c r="D3" s="542"/>
      <c r="E3" s="542"/>
      <c r="F3" s="542"/>
      <c r="G3" s="542"/>
      <c r="H3" s="542"/>
      <c r="I3" s="542"/>
    </row>
    <row r="4" spans="1:40" ht="18" x14ac:dyDescent="0.35">
      <c r="A4" s="542" t="s">
        <v>123</v>
      </c>
      <c r="B4" s="542"/>
      <c r="C4" s="542"/>
      <c r="D4" s="542"/>
      <c r="E4" s="542"/>
      <c r="F4" s="542"/>
      <c r="G4" s="542"/>
      <c r="H4" s="542"/>
      <c r="I4" s="542"/>
    </row>
    <row r="6" spans="1:40" s="65" customFormat="1" ht="60" x14ac:dyDescent="0.25">
      <c r="A6" s="74" t="s">
        <v>18</v>
      </c>
      <c r="B6" s="74" t="s">
        <v>19</v>
      </c>
      <c r="C6" s="75" t="s">
        <v>0</v>
      </c>
      <c r="D6" s="76" t="s">
        <v>106</v>
      </c>
      <c r="E6" s="77" t="s">
        <v>104</v>
      </c>
      <c r="F6" s="77" t="s">
        <v>105</v>
      </c>
      <c r="G6" s="77" t="s">
        <v>36</v>
      </c>
      <c r="H6" s="78" t="s">
        <v>37</v>
      </c>
      <c r="I6" s="79" t="s">
        <v>38</v>
      </c>
      <c r="J6" s="156" t="s">
        <v>100</v>
      </c>
      <c r="K6" s="80" t="s">
        <v>101</v>
      </c>
      <c r="L6" s="78" t="s">
        <v>82</v>
      </c>
      <c r="M6" s="159" t="s">
        <v>83</v>
      </c>
      <c r="N6" s="156" t="s">
        <v>102</v>
      </c>
      <c r="O6" s="80" t="s">
        <v>103</v>
      </c>
      <c r="P6" s="80" t="s">
        <v>77</v>
      </c>
      <c r="Q6" s="81" t="s">
        <v>33</v>
      </c>
      <c r="R6" s="82" t="s">
        <v>35</v>
      </c>
      <c r="S6" s="83" t="s">
        <v>34</v>
      </c>
      <c r="T6" s="83" t="s">
        <v>126</v>
      </c>
      <c r="U6" s="83" t="s">
        <v>127</v>
      </c>
      <c r="V6" s="83" t="s">
        <v>151</v>
      </c>
      <c r="W6" s="62" t="s">
        <v>158</v>
      </c>
      <c r="X6" s="385" t="s">
        <v>159</v>
      </c>
      <c r="Y6" s="75" t="s">
        <v>40</v>
      </c>
      <c r="Z6" s="75" t="s">
        <v>6</v>
      </c>
      <c r="AA6" s="75" t="s">
        <v>7</v>
      </c>
    </row>
    <row r="7" spans="1:40" x14ac:dyDescent="0.3">
      <c r="A7" s="84">
        <v>2027</v>
      </c>
      <c r="B7" s="85" t="s">
        <v>20</v>
      </c>
      <c r="C7" s="86" t="s">
        <v>4</v>
      </c>
      <c r="D7" s="188">
        <v>72389471.321486726</v>
      </c>
      <c r="E7" s="188">
        <v>915125.06414199399</v>
      </c>
      <c r="F7" s="188">
        <v>13707.667968961399</v>
      </c>
      <c r="G7" s="192">
        <f>H7+I7</f>
        <v>25156606.28223601</v>
      </c>
      <c r="H7" s="193">
        <f>J7+L7+N7</f>
        <v>25156606.28223601</v>
      </c>
      <c r="I7" s="193">
        <f>K7+M7+O7</f>
        <v>0</v>
      </c>
      <c r="J7" s="173">
        <v>7117141.3756815745</v>
      </c>
      <c r="K7" s="192">
        <v>0</v>
      </c>
      <c r="L7" s="188">
        <v>11564350.349238671</v>
      </c>
      <c r="M7" s="188">
        <v>0</v>
      </c>
      <c r="N7" s="188">
        <v>6475114.5573157631</v>
      </c>
      <c r="O7" s="188">
        <v>0</v>
      </c>
      <c r="P7" s="189">
        <v>259617.45564704659</v>
      </c>
      <c r="Q7" s="189">
        <f>SUM(R7:S7)</f>
        <v>163877.77219102724</v>
      </c>
      <c r="R7" s="197">
        <v>163877.77219102724</v>
      </c>
      <c r="S7" s="197">
        <v>0</v>
      </c>
      <c r="T7" s="197">
        <v>2402.6409676474382</v>
      </c>
      <c r="U7" s="197">
        <v>0</v>
      </c>
      <c r="V7" s="197">
        <v>10899.5</v>
      </c>
      <c r="W7" s="197">
        <v>985248.41950490361</v>
      </c>
      <c r="X7" s="197">
        <v>293675.24006046698</v>
      </c>
      <c r="Y7" s="189">
        <v>11368994.548724947</v>
      </c>
      <c r="Z7" s="189">
        <v>40515.846286972461</v>
      </c>
      <c r="AA7" s="191">
        <v>9736.8780516470688</v>
      </c>
    </row>
    <row r="8" spans="1:40" x14ac:dyDescent="0.3">
      <c r="A8" s="88">
        <v>2027</v>
      </c>
      <c r="B8" s="89" t="s">
        <v>21</v>
      </c>
      <c r="C8" s="90" t="s">
        <v>4</v>
      </c>
      <c r="D8" s="188">
        <v>52973195.553385861</v>
      </c>
      <c r="E8" s="188">
        <v>1825505.48261256</v>
      </c>
      <c r="F8" s="188">
        <v>133036.224768035</v>
      </c>
      <c r="G8" s="190">
        <f t="shared" ref="G8:G18" si="0">H8+I8</f>
        <v>18369023.433756381</v>
      </c>
      <c r="H8" s="186">
        <f t="shared" ref="H8:H18" si="1">J8+L8+N8</f>
        <v>18369023.433756381</v>
      </c>
      <c r="I8" s="182">
        <f t="shared" ref="I8:I18" si="2">K8+M8+O8</f>
        <v>0</v>
      </c>
      <c r="J8" s="174">
        <v>5122673.591878593</v>
      </c>
      <c r="K8" s="190">
        <v>0</v>
      </c>
      <c r="L8" s="188">
        <v>8383603.656418249</v>
      </c>
      <c r="M8" s="188">
        <v>0</v>
      </c>
      <c r="N8" s="188">
        <v>4862746.1854595412</v>
      </c>
      <c r="O8" s="188">
        <v>0</v>
      </c>
      <c r="P8" s="199">
        <v>183963.13108383387</v>
      </c>
      <c r="Q8" s="199">
        <f t="shared" ref="Q8:Q18" si="3">SUM(R8:S8)</f>
        <v>112713.55562906613</v>
      </c>
      <c r="R8" s="182">
        <v>112713.55562906613</v>
      </c>
      <c r="S8" s="182">
        <v>0</v>
      </c>
      <c r="T8" s="182">
        <v>1805.7079556863991</v>
      </c>
      <c r="U8" s="182">
        <v>0</v>
      </c>
      <c r="V8" s="182">
        <v>10899.5</v>
      </c>
      <c r="W8" s="182">
        <v>975680.42119093402</v>
      </c>
      <c r="X8" s="182">
        <v>290297.18142311799</v>
      </c>
      <c r="Y8" s="190">
        <v>7559604.3925572205</v>
      </c>
      <c r="Z8" s="190">
        <v>26254.41265307536</v>
      </c>
      <c r="AA8" s="198">
        <v>6415.0693840467147</v>
      </c>
      <c r="AC8" s="344"/>
      <c r="AD8" s="344"/>
      <c r="AE8" s="344"/>
      <c r="AF8" s="344"/>
      <c r="AG8" s="344"/>
      <c r="AH8" s="344"/>
      <c r="AI8" s="344"/>
      <c r="AJ8" s="344"/>
      <c r="AK8" s="344"/>
      <c r="AL8" s="344"/>
      <c r="AM8" s="344"/>
      <c r="AN8" s="344"/>
    </row>
    <row r="9" spans="1:40" x14ac:dyDescent="0.3">
      <c r="A9" s="88">
        <v>2027</v>
      </c>
      <c r="B9" s="89" t="s">
        <v>22</v>
      </c>
      <c r="C9" s="90" t="s">
        <v>4</v>
      </c>
      <c r="D9" s="188">
        <v>58548347.039164796</v>
      </c>
      <c r="E9" s="188">
        <v>2211484.09759364</v>
      </c>
      <c r="F9" s="188">
        <v>232426.37199659401</v>
      </c>
      <c r="G9" s="190">
        <f t="shared" si="0"/>
        <v>20682764.946462087</v>
      </c>
      <c r="H9" s="186">
        <f t="shared" si="1"/>
        <v>20682764.946462087</v>
      </c>
      <c r="I9" s="182">
        <f t="shared" si="2"/>
        <v>0</v>
      </c>
      <c r="J9" s="174">
        <v>5861545.5007235259</v>
      </c>
      <c r="K9" s="190">
        <v>0</v>
      </c>
      <c r="L9" s="188">
        <v>9395622.7568511851</v>
      </c>
      <c r="M9" s="188">
        <v>0</v>
      </c>
      <c r="N9" s="188">
        <v>5425596.6888873754</v>
      </c>
      <c r="O9" s="188">
        <v>0</v>
      </c>
      <c r="P9" s="199">
        <v>210501.03859064149</v>
      </c>
      <c r="Q9" s="199">
        <f t="shared" si="3"/>
        <v>132241.12017786517</v>
      </c>
      <c r="R9" s="182">
        <v>132241.12017786517</v>
      </c>
      <c r="S9" s="182">
        <v>0</v>
      </c>
      <c r="T9" s="182">
        <v>2034.5940038568899</v>
      </c>
      <c r="U9" s="182">
        <v>0</v>
      </c>
      <c r="V9" s="182">
        <v>10899.5</v>
      </c>
      <c r="W9" s="182">
        <v>912490.13095008116</v>
      </c>
      <c r="X9" s="182">
        <v>271238.44011545402</v>
      </c>
      <c r="Y9" s="190">
        <v>8925339.3689860683</v>
      </c>
      <c r="Z9" s="190">
        <v>32014.405828099269</v>
      </c>
      <c r="AA9" s="198">
        <v>7918.7404426988305</v>
      </c>
    </row>
    <row r="10" spans="1:40" x14ac:dyDescent="0.3">
      <c r="A10" s="88">
        <v>2027</v>
      </c>
      <c r="B10" s="89" t="s">
        <v>23</v>
      </c>
      <c r="C10" s="90" t="s">
        <v>4</v>
      </c>
      <c r="D10" s="188">
        <v>63743509.050014108</v>
      </c>
      <c r="E10" s="188">
        <v>2593899.3742790101</v>
      </c>
      <c r="F10" s="188">
        <v>283667.02318191098</v>
      </c>
      <c r="G10" s="190">
        <f t="shared" si="0"/>
        <v>22079565.449996516</v>
      </c>
      <c r="H10" s="186">
        <f t="shared" si="1"/>
        <v>22079565.449996516</v>
      </c>
      <c r="I10" s="182">
        <f t="shared" si="2"/>
        <v>0</v>
      </c>
      <c r="J10" s="174">
        <v>6233539.6473755576</v>
      </c>
      <c r="K10" s="190">
        <v>0</v>
      </c>
      <c r="L10" s="188">
        <v>10004161.455594806</v>
      </c>
      <c r="M10" s="188">
        <v>0</v>
      </c>
      <c r="N10" s="188">
        <v>5841864.3470261507</v>
      </c>
      <c r="O10" s="188">
        <v>0</v>
      </c>
      <c r="P10" s="199">
        <v>226634.87298959898</v>
      </c>
      <c r="Q10" s="199">
        <f t="shared" si="3"/>
        <v>148488.03594892332</v>
      </c>
      <c r="R10" s="182">
        <v>148488.03594892332</v>
      </c>
      <c r="S10" s="182">
        <v>0</v>
      </c>
      <c r="T10" s="182">
        <v>2600.4507628470701</v>
      </c>
      <c r="U10" s="182">
        <v>0</v>
      </c>
      <c r="V10" s="182">
        <v>10899.5</v>
      </c>
      <c r="W10" s="182">
        <v>1038347.2232185979</v>
      </c>
      <c r="X10" s="182">
        <v>308920.75797182298</v>
      </c>
      <c r="Y10" s="190">
        <v>9088382.3251083121</v>
      </c>
      <c r="Z10" s="190">
        <v>31447.915509952785</v>
      </c>
      <c r="AA10" s="198">
        <v>7209.0369851808537</v>
      </c>
    </row>
    <row r="11" spans="1:40" x14ac:dyDescent="0.3">
      <c r="A11" s="88">
        <v>2027</v>
      </c>
      <c r="B11" s="89" t="s">
        <v>24</v>
      </c>
      <c r="C11" s="90" t="s">
        <v>4</v>
      </c>
      <c r="D11" s="188">
        <v>63899111.759536751</v>
      </c>
      <c r="E11" s="188">
        <v>3510199.83764019</v>
      </c>
      <c r="F11" s="188">
        <v>443462.643227163</v>
      </c>
      <c r="G11" s="190">
        <f t="shared" si="0"/>
        <v>22070308.346249808</v>
      </c>
      <c r="H11" s="186">
        <f t="shared" si="1"/>
        <v>21284530.605570599</v>
      </c>
      <c r="I11" s="182">
        <f t="shared" si="2"/>
        <v>785777.74067920819</v>
      </c>
      <c r="J11" s="174">
        <v>5968105.9103309978</v>
      </c>
      <c r="K11" s="190">
        <v>217689.47565219027</v>
      </c>
      <c r="L11" s="188">
        <v>9684380.3682895638</v>
      </c>
      <c r="M11" s="188">
        <v>358394.53061337932</v>
      </c>
      <c r="N11" s="188">
        <v>5632044.3269500388</v>
      </c>
      <c r="O11" s="188">
        <v>209693.73441363859</v>
      </c>
      <c r="P11" s="199">
        <v>219301.93309799096</v>
      </c>
      <c r="Q11" s="199">
        <f t="shared" si="3"/>
        <v>161784.9361235511</v>
      </c>
      <c r="R11" s="182">
        <v>155867.70192988223</v>
      </c>
      <c r="S11" s="182">
        <v>5917.2341936688763</v>
      </c>
      <c r="T11" s="182">
        <v>2863.1197129244902</v>
      </c>
      <c r="U11" s="182">
        <v>0</v>
      </c>
      <c r="V11" s="182">
        <v>10899.5</v>
      </c>
      <c r="W11" s="182">
        <v>1025341.7773735288</v>
      </c>
      <c r="X11" s="182">
        <v>304503.95859627798</v>
      </c>
      <c r="Y11" s="190">
        <v>9815497.2755920384</v>
      </c>
      <c r="Z11" s="190">
        <v>32307.694976995226</v>
      </c>
      <c r="AA11" s="198">
        <v>7441.5393998146183</v>
      </c>
    </row>
    <row r="12" spans="1:40" x14ac:dyDescent="0.3">
      <c r="A12" s="88">
        <v>2027</v>
      </c>
      <c r="B12" s="89" t="s">
        <v>25</v>
      </c>
      <c r="C12" s="90" t="s">
        <v>4</v>
      </c>
      <c r="D12" s="188">
        <v>66579538.003255248</v>
      </c>
      <c r="E12" s="188">
        <v>3790579.1790878801</v>
      </c>
      <c r="F12" s="188">
        <v>273690.11252028903</v>
      </c>
      <c r="G12" s="190">
        <f t="shared" si="0"/>
        <v>22697049.228146169</v>
      </c>
      <c r="H12" s="186">
        <f t="shared" si="1"/>
        <v>0</v>
      </c>
      <c r="I12" s="182">
        <f t="shared" si="2"/>
        <v>22697049.228146169</v>
      </c>
      <c r="J12" s="190">
        <v>0</v>
      </c>
      <c r="K12" s="190">
        <v>6257135.2173356423</v>
      </c>
      <c r="L12" s="186">
        <v>0</v>
      </c>
      <c r="M12" s="186">
        <v>10465820.251234788</v>
      </c>
      <c r="N12" s="186">
        <v>0</v>
      </c>
      <c r="O12" s="186">
        <v>5974093.7595757386</v>
      </c>
      <c r="P12" s="199">
        <v>207094.32791298543</v>
      </c>
      <c r="Q12" s="199">
        <f t="shared" si="3"/>
        <v>170053.11810939267</v>
      </c>
      <c r="R12" s="182">
        <v>0</v>
      </c>
      <c r="S12" s="182">
        <v>170053.11810939267</v>
      </c>
      <c r="T12" s="182">
        <v>0</v>
      </c>
      <c r="U12" s="182">
        <v>2514.4446446481602</v>
      </c>
      <c r="V12" s="182">
        <v>10899.5</v>
      </c>
      <c r="W12" s="182">
        <v>1179936.7944426769</v>
      </c>
      <c r="X12" s="182">
        <v>350695.83726457699</v>
      </c>
      <c r="Y12" s="190">
        <v>10692660.917743806</v>
      </c>
      <c r="Z12" s="190">
        <v>31205.712034385349</v>
      </c>
      <c r="AA12" s="198">
        <v>7693.9623764219468</v>
      </c>
    </row>
    <row r="13" spans="1:40" x14ac:dyDescent="0.3">
      <c r="A13" s="88">
        <v>2027</v>
      </c>
      <c r="B13" s="89" t="s">
        <v>26</v>
      </c>
      <c r="C13" s="90" t="s">
        <v>4</v>
      </c>
      <c r="D13" s="188">
        <v>80070267.52975902</v>
      </c>
      <c r="E13" s="188">
        <v>4058628.4682499398</v>
      </c>
      <c r="F13" s="188">
        <v>178956.73500473701</v>
      </c>
      <c r="G13" s="190">
        <f t="shared" si="0"/>
        <v>27611925.97271169</v>
      </c>
      <c r="H13" s="186">
        <f t="shared" si="1"/>
        <v>0</v>
      </c>
      <c r="I13" s="182">
        <f t="shared" si="2"/>
        <v>27611925.97271169</v>
      </c>
      <c r="J13" s="190">
        <v>0</v>
      </c>
      <c r="K13" s="190">
        <v>7667857.3953433726</v>
      </c>
      <c r="L13" s="186">
        <v>0</v>
      </c>
      <c r="M13" s="186">
        <v>12694434.807530914</v>
      </c>
      <c r="N13" s="186">
        <v>0</v>
      </c>
      <c r="O13" s="186">
        <v>7249633.7698373999</v>
      </c>
      <c r="P13" s="199">
        <v>226907.30929521215</v>
      </c>
      <c r="Q13" s="199">
        <f t="shared" si="3"/>
        <v>193547.26175477655</v>
      </c>
      <c r="R13" s="182">
        <v>0</v>
      </c>
      <c r="S13" s="182">
        <v>193547.26175477655</v>
      </c>
      <c r="T13" s="182">
        <v>0</v>
      </c>
      <c r="U13" s="182">
        <v>2423.8755332862302</v>
      </c>
      <c r="V13" s="182">
        <v>10899.5</v>
      </c>
      <c r="W13" s="182">
        <v>1276249.283848718</v>
      </c>
      <c r="X13" s="182">
        <v>379744.191276228</v>
      </c>
      <c r="Y13" s="190">
        <v>11630623.224603623</v>
      </c>
      <c r="Z13" s="190">
        <v>31604.65118952209</v>
      </c>
      <c r="AA13" s="198">
        <v>7843.5836976883311</v>
      </c>
    </row>
    <row r="14" spans="1:40" x14ac:dyDescent="0.3">
      <c r="A14" s="88">
        <v>2027</v>
      </c>
      <c r="B14" s="89" t="s">
        <v>27</v>
      </c>
      <c r="C14" s="90" t="s">
        <v>4</v>
      </c>
      <c r="D14" s="188">
        <v>71243629.93992433</v>
      </c>
      <c r="E14" s="188">
        <v>3576325.4123960002</v>
      </c>
      <c r="F14" s="188">
        <v>159339.279851737</v>
      </c>
      <c r="G14" s="190">
        <f t="shared" si="0"/>
        <v>24437030.090793118</v>
      </c>
      <c r="H14" s="186">
        <f t="shared" si="1"/>
        <v>0</v>
      </c>
      <c r="I14" s="182">
        <f t="shared" si="2"/>
        <v>24437030.090793118</v>
      </c>
      <c r="J14" s="190">
        <v>0</v>
      </c>
      <c r="K14" s="190">
        <v>6754628.0745089976</v>
      </c>
      <c r="L14" s="186">
        <v>0</v>
      </c>
      <c r="M14" s="186">
        <v>11147708.325011622</v>
      </c>
      <c r="N14" s="186">
        <v>0</v>
      </c>
      <c r="O14" s="186">
        <v>6534693.6912724962</v>
      </c>
      <c r="P14" s="199">
        <v>197909.62063642201</v>
      </c>
      <c r="Q14" s="199">
        <f t="shared" si="3"/>
        <v>167977.34330248396</v>
      </c>
      <c r="R14" s="182">
        <v>0</v>
      </c>
      <c r="S14" s="182">
        <v>167977.34330248396</v>
      </c>
      <c r="T14" s="182">
        <v>0</v>
      </c>
      <c r="U14" s="182">
        <v>2210.6383601634898</v>
      </c>
      <c r="V14" s="182">
        <v>10899.5</v>
      </c>
      <c r="W14" s="182">
        <v>1373670.2609781774</v>
      </c>
      <c r="X14" s="182">
        <v>409767.855230699</v>
      </c>
      <c r="Y14" s="190">
        <v>11353041.113158055</v>
      </c>
      <c r="Z14" s="190">
        <v>29525.279613513339</v>
      </c>
      <c r="AA14" s="198">
        <v>6688.8463982141984</v>
      </c>
    </row>
    <row r="15" spans="1:40" x14ac:dyDescent="0.3">
      <c r="A15" s="88">
        <v>2027</v>
      </c>
      <c r="B15" s="89" t="s">
        <v>28</v>
      </c>
      <c r="C15" s="90" t="s">
        <v>4</v>
      </c>
      <c r="D15" s="188">
        <v>68058707.030945256</v>
      </c>
      <c r="E15" s="188">
        <v>2922151.3631702899</v>
      </c>
      <c r="F15" s="188">
        <v>142768.807326212</v>
      </c>
      <c r="G15" s="190">
        <f t="shared" si="0"/>
        <v>23506200.414176747</v>
      </c>
      <c r="H15" s="186">
        <f t="shared" si="1"/>
        <v>0</v>
      </c>
      <c r="I15" s="182">
        <f t="shared" si="2"/>
        <v>23506200.414176747</v>
      </c>
      <c r="J15" s="190">
        <v>0</v>
      </c>
      <c r="K15" s="190">
        <v>6460614.1573409345</v>
      </c>
      <c r="L15" s="186">
        <v>0</v>
      </c>
      <c r="M15" s="186">
        <v>10798656.271989176</v>
      </c>
      <c r="N15" s="186">
        <v>0</v>
      </c>
      <c r="O15" s="186">
        <v>6246929.9848466367</v>
      </c>
      <c r="P15" s="199">
        <v>193794.08068652169</v>
      </c>
      <c r="Q15" s="199">
        <f t="shared" si="3"/>
        <v>166840.38783302461</v>
      </c>
      <c r="R15" s="182">
        <v>0</v>
      </c>
      <c r="S15" s="182">
        <v>166840.38783302461</v>
      </c>
      <c r="T15" s="182">
        <v>0</v>
      </c>
      <c r="U15" s="182">
        <v>2396.49178455847</v>
      </c>
      <c r="V15" s="182">
        <v>10899.5</v>
      </c>
      <c r="W15" s="182">
        <v>1155590.4735224105</v>
      </c>
      <c r="X15" s="182">
        <v>343898.66207194299</v>
      </c>
      <c r="Y15" s="190">
        <v>10314156.849292686</v>
      </c>
      <c r="Z15" s="190">
        <v>27327.906138390452</v>
      </c>
      <c r="AA15" s="198">
        <v>6827.3314677218459</v>
      </c>
    </row>
    <row r="16" spans="1:40" x14ac:dyDescent="0.3">
      <c r="A16" s="88">
        <v>2027</v>
      </c>
      <c r="B16" s="89" t="s">
        <v>29</v>
      </c>
      <c r="C16" s="90" t="s">
        <v>4</v>
      </c>
      <c r="D16" s="188">
        <v>58776112.660543278</v>
      </c>
      <c r="E16" s="188">
        <v>2332907.8386106198</v>
      </c>
      <c r="F16" s="188">
        <v>130629.49150339401</v>
      </c>
      <c r="G16" s="190">
        <f t="shared" si="0"/>
        <v>20487113.240406238</v>
      </c>
      <c r="H16" s="186">
        <f t="shared" si="1"/>
        <v>19919533.238373965</v>
      </c>
      <c r="I16" s="182">
        <f t="shared" si="2"/>
        <v>567580.00203227135</v>
      </c>
      <c r="J16" s="174">
        <v>5487884.1311160633</v>
      </c>
      <c r="K16" s="190">
        <v>154985.07143335821</v>
      </c>
      <c r="L16" s="188">
        <v>9189719.1303958204</v>
      </c>
      <c r="M16" s="188">
        <v>262336.31366408407</v>
      </c>
      <c r="N16" s="188">
        <v>5241929.9768620785</v>
      </c>
      <c r="O16" s="188">
        <v>150258.61693482901</v>
      </c>
      <c r="P16" s="199">
        <v>183032.5570666625</v>
      </c>
      <c r="Q16" s="199">
        <f t="shared" si="3"/>
        <v>144236.0799351318</v>
      </c>
      <c r="R16" s="182">
        <v>140120.80168003903</v>
      </c>
      <c r="S16" s="182">
        <v>4115.2782550927786</v>
      </c>
      <c r="T16" s="182">
        <v>2328.212917412201</v>
      </c>
      <c r="U16" s="182">
        <v>54.845665384028941</v>
      </c>
      <c r="V16" s="182">
        <v>10899.5</v>
      </c>
      <c r="W16" s="182">
        <v>1104823.5790065168</v>
      </c>
      <c r="X16" s="182">
        <v>329508.96818654297</v>
      </c>
      <c r="Y16" s="190">
        <v>9717894.8078998737</v>
      </c>
      <c r="Z16" s="190">
        <v>27315.056017455347</v>
      </c>
      <c r="AA16" s="198">
        <v>6639.2198247129309</v>
      </c>
    </row>
    <row r="17" spans="1:40" x14ac:dyDescent="0.3">
      <c r="A17" s="88">
        <v>2027</v>
      </c>
      <c r="B17" s="89" t="s">
        <v>30</v>
      </c>
      <c r="C17" s="90" t="s">
        <v>4</v>
      </c>
      <c r="D17" s="188">
        <v>56143134.970348142</v>
      </c>
      <c r="E17" s="188">
        <v>1259444.0194335601</v>
      </c>
      <c r="F17" s="188">
        <v>34774.140899801998</v>
      </c>
      <c r="G17" s="190">
        <f t="shared" si="0"/>
        <v>19936823.876427639</v>
      </c>
      <c r="H17" s="186">
        <f t="shared" si="1"/>
        <v>19879769.905591801</v>
      </c>
      <c r="I17" s="182">
        <f t="shared" si="2"/>
        <v>57053.97083583747</v>
      </c>
      <c r="J17" s="174">
        <v>5527959.9996853415</v>
      </c>
      <c r="K17" s="190">
        <v>15611.176719526118</v>
      </c>
      <c r="L17" s="188">
        <v>9220637.581074167</v>
      </c>
      <c r="M17" s="188">
        <v>26596.163108048862</v>
      </c>
      <c r="N17" s="188">
        <v>5131172.3248322904</v>
      </c>
      <c r="O17" s="188">
        <v>14846.631008262493</v>
      </c>
      <c r="P17" s="199">
        <v>196205.75522267973</v>
      </c>
      <c r="Q17" s="199">
        <f t="shared" si="3"/>
        <v>139223.50857995436</v>
      </c>
      <c r="R17" s="182">
        <v>138817.31339343206</v>
      </c>
      <c r="S17" s="182">
        <v>406.1951865222851</v>
      </c>
      <c r="T17" s="182">
        <v>3759.2452521703499</v>
      </c>
      <c r="U17" s="182">
        <v>0</v>
      </c>
      <c r="V17" s="182">
        <v>10899.5</v>
      </c>
      <c r="W17" s="182">
        <v>999279.25557319203</v>
      </c>
      <c r="X17" s="182">
        <v>297559.76163762301</v>
      </c>
      <c r="Y17" s="190">
        <v>8662513.6469251998</v>
      </c>
      <c r="Z17" s="190">
        <v>29050.95894965648</v>
      </c>
      <c r="AA17" s="198">
        <v>7677.5043914186826</v>
      </c>
    </row>
    <row r="18" spans="1:40" x14ac:dyDescent="0.3">
      <c r="A18" s="92">
        <v>2027</v>
      </c>
      <c r="B18" s="93" t="s">
        <v>31</v>
      </c>
      <c r="C18" s="94" t="s">
        <v>4</v>
      </c>
      <c r="D18" s="178">
        <v>66223952.811464183</v>
      </c>
      <c r="E18" s="178">
        <v>884373.65467594203</v>
      </c>
      <c r="F18" s="178">
        <v>8756.4314263279393</v>
      </c>
      <c r="G18" s="195">
        <f t="shared" si="0"/>
        <v>23261902.556025986</v>
      </c>
      <c r="H18" s="185">
        <f t="shared" si="1"/>
        <v>23228543.111200705</v>
      </c>
      <c r="I18" s="196">
        <f t="shared" si="2"/>
        <v>33359.444825280021</v>
      </c>
      <c r="J18" s="178">
        <v>6569474.9142816626</v>
      </c>
      <c r="K18" s="195">
        <v>9296.3059682790026</v>
      </c>
      <c r="L18" s="178">
        <v>10725132.159077469</v>
      </c>
      <c r="M18" s="178">
        <v>15483.173399960593</v>
      </c>
      <c r="N18" s="178">
        <v>5933936.0378415734</v>
      </c>
      <c r="O18" s="178">
        <v>8579.9654570404236</v>
      </c>
      <c r="P18" s="181">
        <v>238174.00901038427</v>
      </c>
      <c r="Q18" s="181">
        <f t="shared" si="3"/>
        <v>155573.90017647517</v>
      </c>
      <c r="R18" s="196">
        <v>155349.44372554345</v>
      </c>
      <c r="S18" s="196">
        <v>224.45645093172624</v>
      </c>
      <c r="T18" s="196">
        <v>2957.6608463232419</v>
      </c>
      <c r="U18" s="196">
        <v>0</v>
      </c>
      <c r="V18" s="196">
        <v>10899.5</v>
      </c>
      <c r="W18" s="196">
        <v>894273.71093632129</v>
      </c>
      <c r="X18" s="196">
        <v>266037.85246219003</v>
      </c>
      <c r="Y18" s="195">
        <v>9841648.1379052512</v>
      </c>
      <c r="Z18" s="195">
        <v>35836.18795178306</v>
      </c>
      <c r="AA18" s="183">
        <v>8644.6612515918223</v>
      </c>
    </row>
    <row r="19" spans="1:40" x14ac:dyDescent="0.3">
      <c r="A19" s="46" t="s">
        <v>85</v>
      </c>
      <c r="D19" s="166">
        <f t="shared" ref="D19:J19" si="4">SUM(D7:D18)</f>
        <v>778648977.66982782</v>
      </c>
      <c r="E19" s="166">
        <f t="shared" si="4"/>
        <v>29880623.791891623</v>
      </c>
      <c r="F19" s="166">
        <f t="shared" si="4"/>
        <v>2035214.9296751637</v>
      </c>
      <c r="G19" s="166">
        <f t="shared" si="4"/>
        <v>270296313.83738846</v>
      </c>
      <c r="H19" s="166">
        <f t="shared" si="4"/>
        <v>170600336.97318804</v>
      </c>
      <c r="I19" s="166">
        <f t="shared" si="4"/>
        <v>99695976.864200309</v>
      </c>
      <c r="J19" s="166">
        <f t="shared" si="4"/>
        <v>47888325.071073309</v>
      </c>
      <c r="K19" s="166">
        <f t="shared" ref="K19:AA19" si="5">SUM(K7:K18)</f>
        <v>27537816.874302302</v>
      </c>
      <c r="L19" s="166">
        <f t="shared" si="5"/>
        <v>78167607.456939936</v>
      </c>
      <c r="M19" s="166">
        <f t="shared" si="5"/>
        <v>45769429.836551972</v>
      </c>
      <c r="N19" s="166">
        <f t="shared" si="5"/>
        <v>44544404.445174813</v>
      </c>
      <c r="O19" s="166">
        <f t="shared" si="5"/>
        <v>26388730.153346043</v>
      </c>
      <c r="P19" s="166">
        <f t="shared" si="5"/>
        <v>2543136.0912399795</v>
      </c>
      <c r="Q19" s="166">
        <f t="shared" si="5"/>
        <v>1856557.0197616718</v>
      </c>
      <c r="R19" s="166">
        <f t="shared" si="5"/>
        <v>1147475.7446757788</v>
      </c>
      <c r="S19" s="166">
        <f t="shared" si="5"/>
        <v>709081.27508589358</v>
      </c>
      <c r="T19" s="166">
        <f t="shared" si="5"/>
        <v>20751.632418868077</v>
      </c>
      <c r="U19" s="166">
        <f t="shared" si="5"/>
        <v>9600.2959880403796</v>
      </c>
      <c r="V19" s="166">
        <f t="shared" si="5"/>
        <v>130794</v>
      </c>
      <c r="W19" s="166">
        <f t="shared" si="5"/>
        <v>12920931.330546059</v>
      </c>
      <c r="X19" s="166">
        <f t="shared" si="5"/>
        <v>3845848.7062969427</v>
      </c>
      <c r="Y19" s="166">
        <f t="shared" si="5"/>
        <v>118970356.60849708</v>
      </c>
      <c r="Z19" s="166">
        <f t="shared" si="5"/>
        <v>374406.02714980126</v>
      </c>
      <c r="AA19" s="166">
        <f t="shared" si="5"/>
        <v>90736.373671157839</v>
      </c>
    </row>
    <row r="20" spans="1:40" x14ac:dyDescent="0.3">
      <c r="A20" s="272"/>
      <c r="B20" s="272"/>
      <c r="C20" s="272"/>
      <c r="D20" s="272"/>
      <c r="E20" s="272"/>
      <c r="F20" s="272"/>
      <c r="G20" s="272"/>
      <c r="H20" s="272"/>
      <c r="I20" s="272"/>
      <c r="J20" s="272"/>
      <c r="K20" s="272"/>
      <c r="L20" s="272"/>
      <c r="M20" s="272"/>
      <c r="N20" s="272"/>
      <c r="O20" s="344"/>
      <c r="P20" s="344"/>
      <c r="Q20" s="344"/>
      <c r="R20" s="344"/>
      <c r="S20" s="344"/>
      <c r="T20" s="365"/>
      <c r="U20" s="365"/>
      <c r="V20" s="365"/>
      <c r="W20" s="365"/>
      <c r="X20" s="365"/>
      <c r="Y20" s="344"/>
    </row>
    <row r="21" spans="1:40" s="65" customFormat="1" ht="60" x14ac:dyDescent="0.25">
      <c r="A21" s="74" t="s">
        <v>18</v>
      </c>
      <c r="B21" s="74" t="s">
        <v>19</v>
      </c>
      <c r="C21" s="75" t="s">
        <v>0</v>
      </c>
      <c r="D21" s="76" t="s">
        <v>106</v>
      </c>
      <c r="E21" s="77" t="s">
        <v>104</v>
      </c>
      <c r="F21" s="77" t="s">
        <v>105</v>
      </c>
      <c r="G21" s="77" t="s">
        <v>36</v>
      </c>
      <c r="H21" s="78" t="s">
        <v>37</v>
      </c>
      <c r="I21" s="79" t="s">
        <v>38</v>
      </c>
      <c r="J21" s="156" t="s">
        <v>100</v>
      </c>
      <c r="K21" s="80" t="s">
        <v>101</v>
      </c>
      <c r="L21" s="78" t="s">
        <v>82</v>
      </c>
      <c r="M21" s="159" t="s">
        <v>83</v>
      </c>
      <c r="N21" s="156" t="s">
        <v>102</v>
      </c>
      <c r="O21" s="80" t="s">
        <v>103</v>
      </c>
      <c r="P21" s="80" t="s">
        <v>77</v>
      </c>
      <c r="Q21" s="81" t="s">
        <v>33</v>
      </c>
      <c r="R21" s="82" t="s">
        <v>35</v>
      </c>
      <c r="S21" s="83" t="s">
        <v>34</v>
      </c>
      <c r="T21" s="83" t="s">
        <v>126</v>
      </c>
      <c r="U21" s="83" t="s">
        <v>127</v>
      </c>
      <c r="V21" s="83" t="s">
        <v>151</v>
      </c>
      <c r="W21" s="62" t="s">
        <v>158</v>
      </c>
      <c r="X21" s="385" t="s">
        <v>159</v>
      </c>
      <c r="Y21" s="75" t="s">
        <v>40</v>
      </c>
      <c r="Z21" s="75" t="s">
        <v>6</v>
      </c>
      <c r="AA21" s="75" t="s">
        <v>7</v>
      </c>
    </row>
    <row r="22" spans="1:40" x14ac:dyDescent="0.3">
      <c r="A22" s="84">
        <v>2026</v>
      </c>
      <c r="B22" s="85" t="s">
        <v>20</v>
      </c>
      <c r="C22" s="86" t="s">
        <v>4</v>
      </c>
      <c r="D22" s="188">
        <v>74457968.534555733</v>
      </c>
      <c r="E22" s="188">
        <v>919723.68255476805</v>
      </c>
      <c r="F22" s="188">
        <v>13776.5507225742</v>
      </c>
      <c r="G22" s="192">
        <f>H22+I22</f>
        <v>25872740.235182203</v>
      </c>
      <c r="H22" s="193">
        <f>J22+L22+N22</f>
        <v>25872740.235182203</v>
      </c>
      <c r="I22" s="193">
        <f>K22+M22+O22</f>
        <v>0</v>
      </c>
      <c r="J22" s="173">
        <v>7319016.4588317601</v>
      </c>
      <c r="K22" s="192">
        <v>0</v>
      </c>
      <c r="L22" s="188">
        <v>11896094.65168065</v>
      </c>
      <c r="M22" s="188">
        <v>0</v>
      </c>
      <c r="N22" s="188">
        <v>6657629.1246697921</v>
      </c>
      <c r="O22" s="188">
        <v>0</v>
      </c>
      <c r="P22" s="189">
        <v>266812.3295532398</v>
      </c>
      <c r="Q22" s="189">
        <f>SUM(R22:S22)</f>
        <v>168348.2629257837</v>
      </c>
      <c r="R22" s="197">
        <v>168348.2629257837</v>
      </c>
      <c r="S22" s="197">
        <v>0</v>
      </c>
      <c r="T22" s="197">
        <v>2421.7917521891741</v>
      </c>
      <c r="U22" s="197">
        <v>0</v>
      </c>
      <c r="V22" s="197">
        <v>10899.5</v>
      </c>
      <c r="W22" s="197">
        <v>895265.94691917498</v>
      </c>
      <c r="X22" s="197">
        <v>266853.95954409998</v>
      </c>
      <c r="Y22" s="189">
        <v>11611759.724602155</v>
      </c>
      <c r="Z22" s="189">
        <v>41234.019008732284</v>
      </c>
      <c r="AA22" s="191">
        <v>9806.81221811859</v>
      </c>
    </row>
    <row r="23" spans="1:40" x14ac:dyDescent="0.3">
      <c r="A23" s="88">
        <v>2026</v>
      </c>
      <c r="B23" s="89" t="s">
        <v>21</v>
      </c>
      <c r="C23" s="90" t="s">
        <v>4</v>
      </c>
      <c r="D23" s="188">
        <v>57384894.040147275</v>
      </c>
      <c r="E23" s="188">
        <v>1834678.87699754</v>
      </c>
      <c r="F23" s="188">
        <v>133704.74851058799</v>
      </c>
      <c r="G23" s="190">
        <f t="shared" ref="G23:G33" si="6">H23+I23</f>
        <v>19965795.063399628</v>
      </c>
      <c r="H23" s="186">
        <f t="shared" ref="H23:H33" si="7">J23+L23+N23</f>
        <v>19965795.063399628</v>
      </c>
      <c r="I23" s="182">
        <f t="shared" ref="I23:I33" si="8">K23+M23+O23</f>
        <v>0</v>
      </c>
      <c r="J23" s="174">
        <v>5582569.9360539438</v>
      </c>
      <c r="K23" s="190">
        <v>0</v>
      </c>
      <c r="L23" s="188">
        <v>9115712.6990704555</v>
      </c>
      <c r="M23" s="188">
        <v>0</v>
      </c>
      <c r="N23" s="188">
        <v>5267512.4282752257</v>
      </c>
      <c r="O23" s="188">
        <v>0</v>
      </c>
      <c r="P23" s="199">
        <v>199269.51057718406</v>
      </c>
      <c r="Q23" s="199">
        <f t="shared" ref="Q23:Q33" si="9">SUM(R23:S23)</f>
        <v>122482.39286100343</v>
      </c>
      <c r="R23" s="182">
        <v>122482.39286100343</v>
      </c>
      <c r="S23" s="182">
        <v>0</v>
      </c>
      <c r="T23" s="182">
        <v>1867.2259728363279</v>
      </c>
      <c r="U23" s="182">
        <v>0</v>
      </c>
      <c r="V23" s="182">
        <v>10899.5</v>
      </c>
      <c r="W23" s="182">
        <v>886571.79131222493</v>
      </c>
      <c r="X23" s="182">
        <v>263784.41809156502</v>
      </c>
      <c r="Y23" s="190">
        <v>8180846.350020092</v>
      </c>
      <c r="Z23" s="190">
        <v>28401.941358441167</v>
      </c>
      <c r="AA23" s="198">
        <v>6929.7642369119676</v>
      </c>
      <c r="AC23" s="305"/>
      <c r="AD23" s="305"/>
      <c r="AE23" s="305"/>
      <c r="AF23" s="305"/>
      <c r="AG23" s="305"/>
      <c r="AH23" s="305"/>
      <c r="AI23" s="305"/>
      <c r="AJ23" s="305"/>
      <c r="AK23" s="305"/>
      <c r="AL23" s="305"/>
      <c r="AM23" s="305"/>
      <c r="AN23" s="305"/>
    </row>
    <row r="24" spans="1:40" x14ac:dyDescent="0.3">
      <c r="A24" s="88">
        <v>2026</v>
      </c>
      <c r="B24" s="89" t="s">
        <v>22</v>
      </c>
      <c r="C24" s="90" t="s">
        <v>4</v>
      </c>
      <c r="D24" s="188">
        <v>58700149.420762517</v>
      </c>
      <c r="E24" s="188">
        <v>2222597.08300868</v>
      </c>
      <c r="F24" s="188">
        <v>233594.34371516999</v>
      </c>
      <c r="G24" s="190">
        <f t="shared" si="6"/>
        <v>20724188.099820655</v>
      </c>
      <c r="H24" s="186">
        <f t="shared" si="7"/>
        <v>20724188.099820655</v>
      </c>
      <c r="I24" s="182">
        <f t="shared" si="8"/>
        <v>0</v>
      </c>
      <c r="J24" s="174">
        <v>5869057.4782730052</v>
      </c>
      <c r="K24" s="190">
        <v>0</v>
      </c>
      <c r="L24" s="188">
        <v>9416658.6027155817</v>
      </c>
      <c r="M24" s="188">
        <v>0</v>
      </c>
      <c r="N24" s="188">
        <v>5438472.0188320698</v>
      </c>
      <c r="O24" s="188">
        <v>0</v>
      </c>
      <c r="P24" s="199">
        <v>210926.98243482961</v>
      </c>
      <c r="Q24" s="199">
        <f t="shared" si="9"/>
        <v>132358.10782566364</v>
      </c>
      <c r="R24" s="182">
        <v>132358.10782566364</v>
      </c>
      <c r="S24" s="182">
        <v>0</v>
      </c>
      <c r="T24" s="182">
        <v>2021.525937394</v>
      </c>
      <c r="U24" s="182">
        <v>0</v>
      </c>
      <c r="V24" s="182">
        <v>10899.5</v>
      </c>
      <c r="W24" s="182">
        <v>829152.65324651508</v>
      </c>
      <c r="X24" s="182">
        <v>246466.30649036399</v>
      </c>
      <c r="Y24" s="190">
        <v>8893852.7524539139</v>
      </c>
      <c r="Z24" s="190">
        <v>31810.130057053822</v>
      </c>
      <c r="AA24" s="198">
        <v>7778.7053758571101</v>
      </c>
    </row>
    <row r="25" spans="1:40" x14ac:dyDescent="0.3">
      <c r="A25" s="88">
        <v>2026</v>
      </c>
      <c r="B25" s="89" t="s">
        <v>23</v>
      </c>
      <c r="C25" s="90" t="s">
        <v>4</v>
      </c>
      <c r="D25" s="188">
        <v>63738763.802749202</v>
      </c>
      <c r="E25" s="188">
        <v>2606934.0445015202</v>
      </c>
      <c r="F25" s="188">
        <v>285092.48560996098</v>
      </c>
      <c r="G25" s="190">
        <f t="shared" si="6"/>
        <v>22062016.627314612</v>
      </c>
      <c r="H25" s="186">
        <f t="shared" si="7"/>
        <v>22062016.627314612</v>
      </c>
      <c r="I25" s="182">
        <f t="shared" si="8"/>
        <v>0</v>
      </c>
      <c r="J25" s="174">
        <v>6224524.9605298517</v>
      </c>
      <c r="K25" s="190">
        <v>0</v>
      </c>
      <c r="L25" s="188">
        <v>9997234.1180846523</v>
      </c>
      <c r="M25" s="188">
        <v>0</v>
      </c>
      <c r="N25" s="188">
        <v>5840257.5487001091</v>
      </c>
      <c r="O25" s="188">
        <v>0</v>
      </c>
      <c r="P25" s="199">
        <v>226560.29385102182</v>
      </c>
      <c r="Q25" s="199">
        <f t="shared" si="9"/>
        <v>148314.91598475073</v>
      </c>
      <c r="R25" s="182">
        <v>148314.91598475073</v>
      </c>
      <c r="S25" s="182">
        <v>0</v>
      </c>
      <c r="T25" s="182">
        <v>2580.0456146612901</v>
      </c>
      <c r="U25" s="182">
        <v>0</v>
      </c>
      <c r="V25" s="182">
        <v>10899.5</v>
      </c>
      <c r="W25" s="182">
        <v>943515.25120215316</v>
      </c>
      <c r="X25" s="182">
        <v>280707.10841394699</v>
      </c>
      <c r="Y25" s="190">
        <v>9032075.3244249411</v>
      </c>
      <c r="Z25" s="190">
        <v>31209.767165995476</v>
      </c>
      <c r="AA25" s="198">
        <v>7093.5787085314896</v>
      </c>
    </row>
    <row r="26" spans="1:40" x14ac:dyDescent="0.3">
      <c r="A26" s="88">
        <v>2026</v>
      </c>
      <c r="B26" s="89" t="s">
        <v>24</v>
      </c>
      <c r="C26" s="90" t="s">
        <v>4</v>
      </c>
      <c r="D26" s="188">
        <v>60656442.933640368</v>
      </c>
      <c r="E26" s="188">
        <v>3527839.0328042102</v>
      </c>
      <c r="F26" s="188">
        <v>445691.09872076701</v>
      </c>
      <c r="G26" s="190">
        <f t="shared" si="6"/>
        <v>20849520.023352038</v>
      </c>
      <c r="H26" s="186">
        <f t="shared" si="7"/>
        <v>20106027.262576789</v>
      </c>
      <c r="I26" s="182">
        <f t="shared" si="8"/>
        <v>743492.76077525038</v>
      </c>
      <c r="J26" s="174">
        <v>5630031.877844437</v>
      </c>
      <c r="K26" s="190">
        <v>205713.39770480673</v>
      </c>
      <c r="L26" s="188">
        <v>9137725.378162602</v>
      </c>
      <c r="M26" s="188">
        <v>338670.43684672262</v>
      </c>
      <c r="N26" s="188">
        <v>5338270.0065697497</v>
      </c>
      <c r="O26" s="188">
        <v>199108.92622372095</v>
      </c>
      <c r="P26" s="199">
        <v>208137.34866426134</v>
      </c>
      <c r="Q26" s="199">
        <f t="shared" si="9"/>
        <v>153252.68978866018</v>
      </c>
      <c r="R26" s="182">
        <v>147626.5520884399</v>
      </c>
      <c r="S26" s="182">
        <v>5626.1377002202853</v>
      </c>
      <c r="T26" s="182">
        <v>2765.53774560377</v>
      </c>
      <c r="U26" s="182">
        <v>0</v>
      </c>
      <c r="V26" s="182">
        <v>10899.5</v>
      </c>
      <c r="W26" s="182">
        <v>931697.58922057843</v>
      </c>
      <c r="X26" s="182">
        <v>276693.69413485</v>
      </c>
      <c r="Y26" s="190">
        <v>9294239.4101356994</v>
      </c>
      <c r="Z26" s="190">
        <v>30553.824545496478</v>
      </c>
      <c r="AA26" s="198">
        <v>7002.9496802409622</v>
      </c>
    </row>
    <row r="27" spans="1:40" x14ac:dyDescent="0.3">
      <c r="A27" s="88">
        <v>2026</v>
      </c>
      <c r="B27" s="89" t="s">
        <v>25</v>
      </c>
      <c r="C27" s="90" t="s">
        <v>4</v>
      </c>
      <c r="D27" s="188">
        <v>66785478.54767023</v>
      </c>
      <c r="E27" s="188">
        <v>3809627.3156662099</v>
      </c>
      <c r="F27" s="188">
        <v>275065.43971888401</v>
      </c>
      <c r="G27" s="190">
        <f t="shared" si="6"/>
        <v>22753993.144406382</v>
      </c>
      <c r="H27" s="186">
        <f t="shared" si="7"/>
        <v>0</v>
      </c>
      <c r="I27" s="182">
        <f t="shared" si="8"/>
        <v>22753993.144406382</v>
      </c>
      <c r="J27" s="190">
        <v>0</v>
      </c>
      <c r="K27" s="190">
        <v>6268923.707267195</v>
      </c>
      <c r="L27" s="186">
        <v>0</v>
      </c>
      <c r="M27" s="186">
        <v>10493727.234209744</v>
      </c>
      <c r="N27" s="186">
        <v>0</v>
      </c>
      <c r="O27" s="186">
        <v>5991342.2029294418</v>
      </c>
      <c r="P27" s="199">
        <v>207609.68835647104</v>
      </c>
      <c r="Q27" s="199">
        <f t="shared" si="9"/>
        <v>170453.94094771502</v>
      </c>
      <c r="R27" s="182">
        <v>0</v>
      </c>
      <c r="S27" s="182">
        <v>170453.94094771502</v>
      </c>
      <c r="T27" s="182">
        <v>0</v>
      </c>
      <c r="U27" s="182">
        <v>2498.9400624117502</v>
      </c>
      <c r="V27" s="182">
        <v>10899.5</v>
      </c>
      <c r="W27" s="182">
        <v>1072173.4850509358</v>
      </c>
      <c r="X27" s="182">
        <v>318666.88097510999</v>
      </c>
      <c r="Y27" s="190">
        <v>10655883.017589016</v>
      </c>
      <c r="Z27" s="190">
        <v>30984.746557089886</v>
      </c>
      <c r="AA27" s="198">
        <v>7553.7576512190653</v>
      </c>
    </row>
    <row r="28" spans="1:40" x14ac:dyDescent="0.3">
      <c r="A28" s="88">
        <v>2026</v>
      </c>
      <c r="B28" s="89" t="s">
        <v>26</v>
      </c>
      <c r="C28" s="90" t="s">
        <v>4</v>
      </c>
      <c r="D28" s="188">
        <v>79157060.25598757</v>
      </c>
      <c r="E28" s="188">
        <v>4079023.5861808402</v>
      </c>
      <c r="F28" s="188">
        <v>179856.01508013799</v>
      </c>
      <c r="G28" s="190">
        <f t="shared" si="6"/>
        <v>27253246.927549697</v>
      </c>
      <c r="H28" s="186">
        <f t="shared" si="7"/>
        <v>0</v>
      </c>
      <c r="I28" s="182">
        <f t="shared" si="8"/>
        <v>27253246.927549697</v>
      </c>
      <c r="J28" s="190">
        <v>0</v>
      </c>
      <c r="K28" s="190">
        <v>7563081.5298219817</v>
      </c>
      <c r="L28" s="186">
        <v>0</v>
      </c>
      <c r="M28" s="186">
        <v>12528247.404383413</v>
      </c>
      <c r="N28" s="186">
        <v>0</v>
      </c>
      <c r="O28" s="186">
        <v>7161917.9933443051</v>
      </c>
      <c r="P28" s="199">
        <v>224173.03257387207</v>
      </c>
      <c r="Q28" s="199">
        <f t="shared" si="9"/>
        <v>191119.27643231777</v>
      </c>
      <c r="R28" s="182">
        <v>0</v>
      </c>
      <c r="S28" s="182">
        <v>191119.27643231777</v>
      </c>
      <c r="T28" s="182">
        <v>0</v>
      </c>
      <c r="U28" s="182">
        <v>2389.6720969466901</v>
      </c>
      <c r="V28" s="182">
        <v>10899.5</v>
      </c>
      <c r="W28" s="182">
        <v>1159689.7807599606</v>
      </c>
      <c r="X28" s="182">
        <v>345062.25664468203</v>
      </c>
      <c r="Y28" s="190">
        <v>11452864.160932139</v>
      </c>
      <c r="Z28" s="190">
        <v>31020.012207642023</v>
      </c>
      <c r="AA28" s="198">
        <v>7643.4502751121909</v>
      </c>
    </row>
    <row r="29" spans="1:40" x14ac:dyDescent="0.3">
      <c r="A29" s="88">
        <v>2026</v>
      </c>
      <c r="B29" s="89" t="s">
        <v>27</v>
      </c>
      <c r="C29" s="90" t="s">
        <v>4</v>
      </c>
      <c r="D29" s="188">
        <v>78995489.335528448</v>
      </c>
      <c r="E29" s="188">
        <v>3594296.8968803999</v>
      </c>
      <c r="F29" s="188">
        <v>160139.979750489</v>
      </c>
      <c r="G29" s="190">
        <f t="shared" si="6"/>
        <v>27291849.015913107</v>
      </c>
      <c r="H29" s="186">
        <f t="shared" si="7"/>
        <v>0</v>
      </c>
      <c r="I29" s="182">
        <f t="shared" si="8"/>
        <v>27291849.015913107</v>
      </c>
      <c r="J29" s="190">
        <v>0</v>
      </c>
      <c r="K29" s="190">
        <v>7558307.4554955745</v>
      </c>
      <c r="L29" s="186">
        <v>0</v>
      </c>
      <c r="M29" s="186">
        <v>12476458.739986198</v>
      </c>
      <c r="N29" s="186">
        <v>0</v>
      </c>
      <c r="O29" s="186">
        <v>7257082.8204313312</v>
      </c>
      <c r="P29" s="199">
        <v>219360.27308076943</v>
      </c>
      <c r="Q29" s="199">
        <f t="shared" si="9"/>
        <v>186710.16519289673</v>
      </c>
      <c r="R29" s="182">
        <v>0</v>
      </c>
      <c r="S29" s="182">
        <v>186710.16519289673</v>
      </c>
      <c r="T29" s="182">
        <v>0</v>
      </c>
      <c r="U29" s="182">
        <v>2309.75312878764</v>
      </c>
      <c r="V29" s="182">
        <v>10899.5</v>
      </c>
      <c r="W29" s="182">
        <v>1248213.3263074066</v>
      </c>
      <c r="X29" s="182">
        <v>372343.86746288597</v>
      </c>
      <c r="Y29" s="190">
        <v>12561753.656888532</v>
      </c>
      <c r="Z29" s="190">
        <v>32612.136099884126</v>
      </c>
      <c r="AA29" s="198">
        <v>7350.8863186969229</v>
      </c>
    </row>
    <row r="30" spans="1:40" x14ac:dyDescent="0.3">
      <c r="A30" s="88">
        <v>2026</v>
      </c>
      <c r="B30" s="89" t="s">
        <v>28</v>
      </c>
      <c r="C30" s="90" t="s">
        <v>4</v>
      </c>
      <c r="D30" s="188">
        <v>64270773.650976516</v>
      </c>
      <c r="E30" s="188">
        <v>2936835.54087466</v>
      </c>
      <c r="F30" s="188">
        <v>143486.238518806</v>
      </c>
      <c r="G30" s="190">
        <f t="shared" si="6"/>
        <v>22104058.921387129</v>
      </c>
      <c r="H30" s="186">
        <f t="shared" si="7"/>
        <v>0</v>
      </c>
      <c r="I30" s="182">
        <f t="shared" si="8"/>
        <v>22104058.921387129</v>
      </c>
      <c r="J30" s="190">
        <v>0</v>
      </c>
      <c r="K30" s="190">
        <v>6062128.2109118281</v>
      </c>
      <c r="L30" s="186">
        <v>0</v>
      </c>
      <c r="M30" s="186">
        <v>10144672.583802275</v>
      </c>
      <c r="N30" s="186">
        <v>0</v>
      </c>
      <c r="O30" s="186">
        <v>5897258.1266730241</v>
      </c>
      <c r="P30" s="199">
        <v>182948.37335511131</v>
      </c>
      <c r="Q30" s="199">
        <f t="shared" si="9"/>
        <v>157222.93169315488</v>
      </c>
      <c r="R30" s="182">
        <v>0</v>
      </c>
      <c r="S30" s="182">
        <v>157222.93169315488</v>
      </c>
      <c r="T30" s="182">
        <v>0</v>
      </c>
      <c r="U30" s="182">
        <v>2310.7109273420701</v>
      </c>
      <c r="V30" s="182">
        <v>10899.5</v>
      </c>
      <c r="W30" s="182">
        <v>1050050.7070579124</v>
      </c>
      <c r="X30" s="182">
        <v>312490.48996068299</v>
      </c>
      <c r="Y30" s="190">
        <v>9725928.0366931818</v>
      </c>
      <c r="Z30" s="190">
        <v>25727.335039869104</v>
      </c>
      <c r="AA30" s="198">
        <v>6406.7792773298243</v>
      </c>
    </row>
    <row r="31" spans="1:40" x14ac:dyDescent="0.3">
      <c r="A31" s="88">
        <v>2026</v>
      </c>
      <c r="B31" s="89" t="s">
        <v>29</v>
      </c>
      <c r="C31" s="90" t="s">
        <v>4</v>
      </c>
      <c r="D31" s="188">
        <v>59554332.273547694</v>
      </c>
      <c r="E31" s="188">
        <v>2344630.9935785201</v>
      </c>
      <c r="F31" s="188">
        <v>131285.92110893899</v>
      </c>
      <c r="G31" s="190">
        <f t="shared" si="6"/>
        <v>20756251.264691684</v>
      </c>
      <c r="H31" s="186">
        <f t="shared" si="7"/>
        <v>20179656.474764902</v>
      </c>
      <c r="I31" s="182">
        <f t="shared" si="8"/>
        <v>576594.78992678272</v>
      </c>
      <c r="J31" s="174">
        <v>5557378.2970196586</v>
      </c>
      <c r="K31" s="190">
        <v>157458.77292902698</v>
      </c>
      <c r="L31" s="188">
        <v>9312835.1037657857</v>
      </c>
      <c r="M31" s="188">
        <v>266569.1005427225</v>
      </c>
      <c r="N31" s="188">
        <v>5309443.0739794578</v>
      </c>
      <c r="O31" s="188">
        <v>152566.91645503318</v>
      </c>
      <c r="P31" s="199">
        <v>185304.6265506061</v>
      </c>
      <c r="Q31" s="199">
        <f t="shared" si="9"/>
        <v>146021.00865956218</v>
      </c>
      <c r="R31" s="182">
        <v>141844.41346131742</v>
      </c>
      <c r="S31" s="182">
        <v>4176.5951982447486</v>
      </c>
      <c r="T31" s="182">
        <v>2320.3525152177554</v>
      </c>
      <c r="U31" s="182">
        <v>54.661001216759097</v>
      </c>
      <c r="V31" s="182">
        <v>10899.5</v>
      </c>
      <c r="W31" s="182">
        <v>1003920.3393342559</v>
      </c>
      <c r="X31" s="182">
        <v>299415.00293918198</v>
      </c>
      <c r="Y31" s="190">
        <v>9799297.4242666177</v>
      </c>
      <c r="Z31" s="190">
        <v>27410.793560920141</v>
      </c>
      <c r="AA31" s="198">
        <v>6573.2345135803462</v>
      </c>
    </row>
    <row r="32" spans="1:40" x14ac:dyDescent="0.3">
      <c r="A32" s="88">
        <v>2026</v>
      </c>
      <c r="B32" s="89" t="s">
        <v>30</v>
      </c>
      <c r="C32" s="90" t="s">
        <v>4</v>
      </c>
      <c r="D32" s="188">
        <v>56163235.322224692</v>
      </c>
      <c r="E32" s="188">
        <v>1265772.8838528299</v>
      </c>
      <c r="F32" s="188">
        <v>34948.885326434101</v>
      </c>
      <c r="G32" s="190">
        <f t="shared" si="6"/>
        <v>19932242.383578312</v>
      </c>
      <c r="H32" s="186">
        <f t="shared" si="7"/>
        <v>19874972.660959706</v>
      </c>
      <c r="I32" s="182">
        <f t="shared" si="8"/>
        <v>57269.72261860752</v>
      </c>
      <c r="J32" s="174">
        <v>5522455.5811229106</v>
      </c>
      <c r="K32" s="190">
        <v>15669.554005828195</v>
      </c>
      <c r="L32" s="188">
        <v>9220497.4577936586</v>
      </c>
      <c r="M32" s="188">
        <v>26696.748685043913</v>
      </c>
      <c r="N32" s="188">
        <v>5132019.6220431346</v>
      </c>
      <c r="O32" s="188">
        <v>14903.419927735411</v>
      </c>
      <c r="P32" s="199">
        <v>196170.22860620244</v>
      </c>
      <c r="Q32" s="199">
        <f t="shared" si="9"/>
        <v>139093.74259025947</v>
      </c>
      <c r="R32" s="182">
        <v>138685.99369194056</v>
      </c>
      <c r="S32" s="182">
        <v>407.74889831891176</v>
      </c>
      <c r="T32" s="182">
        <v>3723.2587437666302</v>
      </c>
      <c r="U32" s="182">
        <v>0</v>
      </c>
      <c r="V32" s="182">
        <v>10899.5</v>
      </c>
      <c r="W32" s="182">
        <v>908015.35051127232</v>
      </c>
      <c r="X32" s="182">
        <v>270383.70881266298</v>
      </c>
      <c r="Y32" s="190">
        <v>8622290.9507571012</v>
      </c>
      <c r="Z32" s="190">
        <v>28825.334860274092</v>
      </c>
      <c r="AA32" s="198">
        <v>7544.4582559947712</v>
      </c>
    </row>
    <row r="33" spans="1:40" x14ac:dyDescent="0.3">
      <c r="A33" s="92">
        <v>2026</v>
      </c>
      <c r="B33" s="93" t="s">
        <v>31</v>
      </c>
      <c r="C33" s="94" t="s">
        <v>4</v>
      </c>
      <c r="D33" s="178">
        <v>67611701.172888651</v>
      </c>
      <c r="E33" s="178">
        <v>888817.74339290604</v>
      </c>
      <c r="F33" s="178">
        <v>8800.4335942994403</v>
      </c>
      <c r="G33" s="195">
        <f t="shared" si="6"/>
        <v>23742045.210037615</v>
      </c>
      <c r="H33" s="185">
        <f t="shared" si="7"/>
        <v>23707844.453644715</v>
      </c>
      <c r="I33" s="196">
        <f t="shared" si="8"/>
        <v>34200.756392900876</v>
      </c>
      <c r="J33" s="178">
        <v>6702532.5577246975</v>
      </c>
      <c r="K33" s="195">
        <v>9534.3955208919106</v>
      </c>
      <c r="L33" s="178">
        <v>10948880.580363963</v>
      </c>
      <c r="M33" s="178">
        <v>15873.095608950243</v>
      </c>
      <c r="N33" s="178">
        <v>6056431.3155560577</v>
      </c>
      <c r="O33" s="178">
        <v>8793.2652630587218</v>
      </c>
      <c r="P33" s="181">
        <v>242969.57837400647</v>
      </c>
      <c r="Q33" s="181">
        <f t="shared" si="9"/>
        <v>158633.71394347059</v>
      </c>
      <c r="R33" s="196">
        <v>158403.67745638569</v>
      </c>
      <c r="S33" s="196">
        <v>230.03648708490294</v>
      </c>
      <c r="T33" s="196">
        <v>2961.505157854248</v>
      </c>
      <c r="U33" s="196">
        <v>0</v>
      </c>
      <c r="V33" s="196">
        <v>10899.5</v>
      </c>
      <c r="W33" s="196">
        <v>812599.93396248715</v>
      </c>
      <c r="X33" s="196">
        <v>241740.687105686</v>
      </c>
      <c r="Y33" s="195">
        <v>9987794.6985315122</v>
      </c>
      <c r="Z33" s="195">
        <v>36239.09657123022</v>
      </c>
      <c r="AA33" s="183">
        <v>8633.5815762031998</v>
      </c>
    </row>
    <row r="34" spans="1:40" x14ac:dyDescent="0.3">
      <c r="A34" s="46" t="s">
        <v>85</v>
      </c>
      <c r="D34" s="275">
        <f t="shared" ref="D34:AA34" si="10">SUM(D22:D33)</f>
        <v>787476289.29067898</v>
      </c>
      <c r="E34" s="275">
        <f t="shared" si="10"/>
        <v>30030777.680293083</v>
      </c>
      <c r="F34" s="275">
        <f t="shared" si="10"/>
        <v>2045442.1403770496</v>
      </c>
      <c r="G34" s="275">
        <f t="shared" si="10"/>
        <v>273307946.91663301</v>
      </c>
      <c r="H34" s="275">
        <f>SUM(H22:H33)</f>
        <v>172493240.87766322</v>
      </c>
      <c r="I34" s="275">
        <f>SUM(I22:I33)</f>
        <v>100814706.03896986</v>
      </c>
      <c r="J34" s="275">
        <f>SUM(J22:J33)</f>
        <v>48407567.147400267</v>
      </c>
      <c r="K34" s="275">
        <f t="shared" si="10"/>
        <v>27840817.023657136</v>
      </c>
      <c r="L34" s="275">
        <f t="shared" si="10"/>
        <v>79045638.591637343</v>
      </c>
      <c r="M34" s="275">
        <f t="shared" si="10"/>
        <v>46290915.34406507</v>
      </c>
      <c r="N34" s="275">
        <f t="shared" si="10"/>
        <v>45040035.138625592</v>
      </c>
      <c r="O34" s="275">
        <f t="shared" si="10"/>
        <v>26682973.67124765</v>
      </c>
      <c r="P34" s="275">
        <f t="shared" si="10"/>
        <v>2570242.2659775754</v>
      </c>
      <c r="Q34" s="275">
        <f t="shared" si="10"/>
        <v>1874011.1488452381</v>
      </c>
      <c r="R34" s="275">
        <f t="shared" si="10"/>
        <v>1158064.3162952852</v>
      </c>
      <c r="S34" s="275">
        <f t="shared" si="10"/>
        <v>715946.83254995337</v>
      </c>
      <c r="T34" s="275">
        <f t="shared" si="10"/>
        <v>20661.243439523194</v>
      </c>
      <c r="U34" s="275">
        <f t="shared" si="10"/>
        <v>9563.7372167049089</v>
      </c>
      <c r="V34" s="275">
        <f t="shared" si="10"/>
        <v>130794</v>
      </c>
      <c r="W34" s="275">
        <f t="shared" si="10"/>
        <v>11740866.154884875</v>
      </c>
      <c r="X34" s="275">
        <f t="shared" si="10"/>
        <v>3494608.3805757179</v>
      </c>
      <c r="Y34" s="275">
        <f t="shared" si="10"/>
        <v>119818585.50729491</v>
      </c>
      <c r="Z34" s="275">
        <f t="shared" si="10"/>
        <v>376029.13703262887</v>
      </c>
      <c r="AA34" s="275">
        <f t="shared" si="10"/>
        <v>90317.958087796447</v>
      </c>
    </row>
    <row r="35" spans="1:40" x14ac:dyDescent="0.3">
      <c r="A35" s="272"/>
      <c r="B35" s="272"/>
      <c r="C35" s="272"/>
      <c r="D35" s="272"/>
      <c r="E35" s="272"/>
      <c r="F35" s="272"/>
      <c r="G35" s="272"/>
      <c r="H35" s="272"/>
      <c r="I35" s="272"/>
      <c r="J35" s="272"/>
      <c r="K35" s="272"/>
      <c r="L35" s="272"/>
      <c r="M35" s="272"/>
      <c r="N35" s="272"/>
      <c r="O35" s="265"/>
      <c r="P35" s="265"/>
      <c r="Q35" s="265"/>
      <c r="R35" s="265"/>
      <c r="S35" s="265"/>
      <c r="T35" s="365"/>
      <c r="U35" s="365"/>
      <c r="V35" s="365"/>
      <c r="W35" s="365"/>
      <c r="X35" s="365"/>
      <c r="Y35" s="265"/>
    </row>
    <row r="36" spans="1:40" s="65" customFormat="1" ht="60" x14ac:dyDescent="0.25">
      <c r="A36" s="74" t="s">
        <v>18</v>
      </c>
      <c r="B36" s="74" t="s">
        <v>19</v>
      </c>
      <c r="C36" s="75" t="s">
        <v>0</v>
      </c>
      <c r="D36" s="76" t="s">
        <v>106</v>
      </c>
      <c r="E36" s="77" t="s">
        <v>104</v>
      </c>
      <c r="F36" s="77" t="s">
        <v>129</v>
      </c>
      <c r="G36" s="77" t="s">
        <v>36</v>
      </c>
      <c r="H36" s="78" t="s">
        <v>37</v>
      </c>
      <c r="I36" s="79" t="s">
        <v>38</v>
      </c>
      <c r="J36" s="156" t="s">
        <v>100</v>
      </c>
      <c r="K36" s="80" t="s">
        <v>101</v>
      </c>
      <c r="L36" s="78" t="s">
        <v>82</v>
      </c>
      <c r="M36" s="159" t="s">
        <v>83</v>
      </c>
      <c r="N36" s="156" t="s">
        <v>102</v>
      </c>
      <c r="O36" s="80" t="s">
        <v>103</v>
      </c>
      <c r="P36" s="80" t="s">
        <v>77</v>
      </c>
      <c r="Q36" s="81" t="s">
        <v>33</v>
      </c>
      <c r="R36" s="82" t="s">
        <v>35</v>
      </c>
      <c r="S36" s="83" t="s">
        <v>34</v>
      </c>
      <c r="T36" s="83" t="s">
        <v>126</v>
      </c>
      <c r="U36" s="83" t="s">
        <v>127</v>
      </c>
      <c r="V36" s="83" t="s">
        <v>151</v>
      </c>
      <c r="W36" s="62" t="s">
        <v>158</v>
      </c>
      <c r="X36" s="385" t="s">
        <v>159</v>
      </c>
      <c r="Y36" s="75" t="s">
        <v>40</v>
      </c>
      <c r="Z36" s="75" t="s">
        <v>6</v>
      </c>
      <c r="AA36" s="75" t="s">
        <v>7</v>
      </c>
    </row>
    <row r="37" spans="1:40" x14ac:dyDescent="0.3">
      <c r="A37" s="84">
        <v>2024</v>
      </c>
      <c r="B37" s="85" t="s">
        <v>20</v>
      </c>
      <c r="C37" s="86" t="s">
        <v>4</v>
      </c>
      <c r="D37" s="166">
        <v>60845958</v>
      </c>
      <c r="E37" s="166">
        <v>755120</v>
      </c>
      <c r="F37" s="166">
        <v>9555</v>
      </c>
      <c r="G37" s="47">
        <f>H37+I37</f>
        <v>20344733</v>
      </c>
      <c r="H37" s="117">
        <f>J37+L37+N37</f>
        <v>20344733</v>
      </c>
      <c r="I37" s="117">
        <f t="shared" ref="H37:I48" si="11">K37+M37+O37</f>
        <v>0</v>
      </c>
      <c r="J37" s="99">
        <v>5854759</v>
      </c>
      <c r="K37" s="47"/>
      <c r="L37" s="166">
        <v>9366294</v>
      </c>
      <c r="M37" s="227"/>
      <c r="N37" s="39">
        <v>5123680</v>
      </c>
      <c r="O37" s="39"/>
      <c r="P37" s="87">
        <v>222447.4</v>
      </c>
      <c r="Q37" s="87">
        <f>R37+S37</f>
        <v>134225.20000000001</v>
      </c>
      <c r="R37" s="71">
        <v>134225.20000000001</v>
      </c>
      <c r="S37" s="71">
        <v>0</v>
      </c>
      <c r="T37" s="71">
        <v>1906.8</v>
      </c>
      <c r="U37" s="71"/>
      <c r="V37" s="71">
        <v>10899.5</v>
      </c>
      <c r="W37" s="71">
        <v>984519</v>
      </c>
      <c r="X37" s="71">
        <v>221398</v>
      </c>
      <c r="Y37" s="87">
        <v>9266786</v>
      </c>
      <c r="Z37" s="87">
        <v>32862</v>
      </c>
      <c r="AA37" s="119">
        <v>7287.8</v>
      </c>
      <c r="AC37" s="365"/>
      <c r="AD37" s="365"/>
      <c r="AE37" s="365"/>
      <c r="AF37" s="365"/>
      <c r="AG37" s="365"/>
      <c r="AH37" s="365"/>
      <c r="AI37" s="365"/>
      <c r="AJ37" s="365"/>
      <c r="AK37" s="365"/>
      <c r="AL37" s="365"/>
      <c r="AM37" s="365"/>
      <c r="AN37" s="365"/>
    </row>
    <row r="38" spans="1:40" x14ac:dyDescent="0.3">
      <c r="A38" s="88">
        <v>2024</v>
      </c>
      <c r="B38" s="89" t="s">
        <v>21</v>
      </c>
      <c r="C38" s="90" t="s">
        <v>4</v>
      </c>
      <c r="D38" s="166">
        <v>62225754</v>
      </c>
      <c r="E38" s="166">
        <v>711779</v>
      </c>
      <c r="F38" s="166">
        <v>7314</v>
      </c>
      <c r="G38" s="39">
        <f t="shared" ref="G38:G48" si="12">H38+I38</f>
        <v>22708392</v>
      </c>
      <c r="H38" s="118">
        <f t="shared" si="11"/>
        <v>22708392</v>
      </c>
      <c r="I38" s="72">
        <f t="shared" si="11"/>
        <v>0</v>
      </c>
      <c r="J38" s="68">
        <v>6575060</v>
      </c>
      <c r="K38" s="39"/>
      <c r="L38" s="166">
        <v>10418138</v>
      </c>
      <c r="M38" s="227"/>
      <c r="N38" s="39">
        <v>5715194</v>
      </c>
      <c r="O38" s="39"/>
      <c r="P38" s="91">
        <v>223175.4</v>
      </c>
      <c r="Q38" s="91">
        <f t="shared" ref="Q38:Q48" si="13">R38+S38</f>
        <v>136727.4</v>
      </c>
      <c r="R38" s="72">
        <v>136727.4</v>
      </c>
      <c r="S38" s="72">
        <v>0</v>
      </c>
      <c r="T38" s="72">
        <v>1905.1999999999998</v>
      </c>
      <c r="U38" s="72"/>
      <c r="V38" s="72">
        <v>10899.5</v>
      </c>
      <c r="W38" s="72">
        <v>974088</v>
      </c>
      <c r="X38" s="72">
        <v>219621</v>
      </c>
      <c r="Y38" s="39">
        <v>9410473</v>
      </c>
      <c r="Z38" s="39">
        <v>32951</v>
      </c>
      <c r="AA38" s="48">
        <v>7283</v>
      </c>
      <c r="AC38" s="365"/>
      <c r="AD38" s="365"/>
      <c r="AE38" s="365"/>
      <c r="AF38" s="365"/>
      <c r="AG38" s="365"/>
      <c r="AH38" s="365"/>
      <c r="AI38" s="365"/>
      <c r="AJ38" s="365"/>
      <c r="AK38" s="365"/>
      <c r="AL38" s="365"/>
      <c r="AM38" s="365"/>
      <c r="AN38" s="365"/>
    </row>
    <row r="39" spans="1:40" x14ac:dyDescent="0.3">
      <c r="A39" s="88">
        <v>2024</v>
      </c>
      <c r="B39" s="89" t="s">
        <v>22</v>
      </c>
      <c r="C39" s="90" t="s">
        <v>4</v>
      </c>
      <c r="D39" s="166">
        <v>58571097</v>
      </c>
      <c r="E39" s="166">
        <v>1850495</v>
      </c>
      <c r="F39" s="166">
        <v>158807</v>
      </c>
      <c r="G39" s="39">
        <f t="shared" si="12"/>
        <v>21611163</v>
      </c>
      <c r="H39" s="118">
        <f t="shared" si="11"/>
        <v>21611163</v>
      </c>
      <c r="I39" s="72">
        <f t="shared" si="11"/>
        <v>0</v>
      </c>
      <c r="J39" s="68">
        <v>6197176</v>
      </c>
      <c r="K39" s="39"/>
      <c r="L39" s="166">
        <v>9967207</v>
      </c>
      <c r="M39" s="227"/>
      <c r="N39" s="39">
        <v>5446780</v>
      </c>
      <c r="O39" s="39"/>
      <c r="P39" s="91">
        <v>225496.8</v>
      </c>
      <c r="Q39" s="91">
        <f t="shared" si="13"/>
        <v>142790.80000000002</v>
      </c>
      <c r="R39" s="72">
        <v>142790.80000000002</v>
      </c>
      <c r="S39" s="72">
        <v>0</v>
      </c>
      <c r="T39" s="72">
        <v>2400.5</v>
      </c>
      <c r="U39" s="72"/>
      <c r="V39" s="72">
        <v>10899.5</v>
      </c>
      <c r="W39" s="72">
        <v>909698</v>
      </c>
      <c r="X39" s="72">
        <v>206451</v>
      </c>
      <c r="Y39" s="39">
        <v>9121054</v>
      </c>
      <c r="Z39" s="39">
        <v>32951</v>
      </c>
      <c r="AA39" s="48">
        <v>7283</v>
      </c>
      <c r="AD39" s="365"/>
      <c r="AE39" s="365"/>
    </row>
    <row r="40" spans="1:40" x14ac:dyDescent="0.3">
      <c r="A40" s="88">
        <v>2024</v>
      </c>
      <c r="B40" s="89" t="s">
        <v>23</v>
      </c>
      <c r="C40" s="90" t="s">
        <v>4</v>
      </c>
      <c r="D40" s="166">
        <v>59351143</v>
      </c>
      <c r="E40" s="166">
        <v>2254448</v>
      </c>
      <c r="F40" s="166">
        <v>342053</v>
      </c>
      <c r="G40" s="39">
        <f t="shared" si="12"/>
        <v>21512178</v>
      </c>
      <c r="H40" s="118">
        <f t="shared" si="11"/>
        <v>21512178</v>
      </c>
      <c r="I40" s="72">
        <f t="shared" si="11"/>
        <v>0</v>
      </c>
      <c r="J40" s="68">
        <v>6203479</v>
      </c>
      <c r="K40" s="39"/>
      <c r="L40" s="166">
        <v>9876916</v>
      </c>
      <c r="M40" s="227"/>
      <c r="N40" s="39">
        <v>5431783</v>
      </c>
      <c r="O40" s="39"/>
      <c r="P40" s="91">
        <v>223050.5</v>
      </c>
      <c r="Q40" s="91">
        <f t="shared" si="13"/>
        <v>141517.40000000002</v>
      </c>
      <c r="R40" s="72">
        <v>141517.40000000002</v>
      </c>
      <c r="S40" s="72">
        <v>0</v>
      </c>
      <c r="T40" s="72">
        <v>2114.4</v>
      </c>
      <c r="U40" s="72"/>
      <c r="V40" s="72">
        <v>10899.5</v>
      </c>
      <c r="W40" s="72">
        <v>1029857</v>
      </c>
      <c r="X40" s="72">
        <v>240508</v>
      </c>
      <c r="Y40" s="39">
        <v>9144460</v>
      </c>
      <c r="Z40" s="39">
        <v>32951</v>
      </c>
      <c r="AA40" s="48">
        <v>7283</v>
      </c>
      <c r="AD40" s="365"/>
      <c r="AE40" s="365"/>
    </row>
    <row r="41" spans="1:40" x14ac:dyDescent="0.3">
      <c r="A41" s="88">
        <v>2024</v>
      </c>
      <c r="B41" s="89" t="s">
        <v>24</v>
      </c>
      <c r="C41" s="90" t="s">
        <v>4</v>
      </c>
      <c r="D41" s="166">
        <v>64226834</v>
      </c>
      <c r="E41" s="166">
        <v>2636545</v>
      </c>
      <c r="F41" s="166">
        <v>452939</v>
      </c>
      <c r="G41" s="39">
        <f t="shared" si="12"/>
        <v>24196383</v>
      </c>
      <c r="H41" s="118">
        <f t="shared" si="11"/>
        <v>24196383</v>
      </c>
      <c r="I41" s="72">
        <f t="shared" ref="I41:I48" si="14">K41+M41+O41</f>
        <v>0</v>
      </c>
      <c r="J41" s="68">
        <v>6886196</v>
      </c>
      <c r="K41" s="39"/>
      <c r="L41" s="166">
        <v>11244913</v>
      </c>
      <c r="M41" s="227"/>
      <c r="N41" s="39">
        <v>6065274</v>
      </c>
      <c r="O41" s="39"/>
      <c r="P41" s="91">
        <v>223889.09999999998</v>
      </c>
      <c r="Q41" s="91">
        <f t="shared" si="13"/>
        <v>155632.6</v>
      </c>
      <c r="R41" s="72">
        <v>155632.6</v>
      </c>
      <c r="S41" s="72">
        <v>0</v>
      </c>
      <c r="T41" s="72">
        <v>2550.1</v>
      </c>
      <c r="U41" s="72"/>
      <c r="V41" s="72">
        <v>10899.5</v>
      </c>
      <c r="W41" s="72">
        <v>1018102</v>
      </c>
      <c r="X41" s="72">
        <v>235834</v>
      </c>
      <c r="Y41" s="39">
        <v>9934959</v>
      </c>
      <c r="Z41" s="39">
        <v>32984.6</v>
      </c>
      <c r="AA41" s="48">
        <v>7316.6</v>
      </c>
      <c r="AD41" s="365"/>
      <c r="AE41" s="365"/>
    </row>
    <row r="42" spans="1:40" x14ac:dyDescent="0.3">
      <c r="A42" s="88">
        <v>2024</v>
      </c>
      <c r="B42" s="89" t="s">
        <v>25</v>
      </c>
      <c r="C42" s="90" t="s">
        <v>4</v>
      </c>
      <c r="D42" s="166">
        <v>73603745</v>
      </c>
      <c r="E42" s="166">
        <v>3376457</v>
      </c>
      <c r="F42" s="166">
        <v>774492</v>
      </c>
      <c r="G42" s="39">
        <f t="shared" si="12"/>
        <v>27388564</v>
      </c>
      <c r="H42" s="118">
        <f t="shared" si="11"/>
        <v>16243021</v>
      </c>
      <c r="I42" s="39">
        <f t="shared" si="14"/>
        <v>11145543</v>
      </c>
      <c r="J42" s="39">
        <v>4583282</v>
      </c>
      <c r="K42" s="39">
        <v>3227116</v>
      </c>
      <c r="L42" s="39">
        <v>7588583</v>
      </c>
      <c r="M42" s="39">
        <v>5196921</v>
      </c>
      <c r="N42" s="39">
        <v>4071156</v>
      </c>
      <c r="O42" s="39">
        <v>2721506</v>
      </c>
      <c r="P42" s="39">
        <v>229427.1</v>
      </c>
      <c r="Q42" s="39">
        <f t="shared" si="13"/>
        <v>180215.59999999998</v>
      </c>
      <c r="R42" s="39">
        <v>104560.29999999999</v>
      </c>
      <c r="S42" s="39">
        <v>75655.3</v>
      </c>
      <c r="T42" s="39">
        <v>2131.1</v>
      </c>
      <c r="U42" s="39">
        <v>1914.3</v>
      </c>
      <c r="V42" s="39">
        <v>10899.5</v>
      </c>
      <c r="W42" s="39">
        <v>1166736</v>
      </c>
      <c r="X42" s="39">
        <v>276540</v>
      </c>
      <c r="Y42" s="39">
        <v>11979224</v>
      </c>
      <c r="Z42" s="39">
        <v>33760</v>
      </c>
      <c r="AA42" s="48">
        <v>7334.6</v>
      </c>
      <c r="AD42" s="365"/>
      <c r="AE42" s="365"/>
    </row>
    <row r="43" spans="1:40" x14ac:dyDescent="0.3">
      <c r="A43" s="88">
        <v>2024</v>
      </c>
      <c r="B43" s="89" t="s">
        <v>26</v>
      </c>
      <c r="C43" s="90" t="s">
        <v>4</v>
      </c>
      <c r="D43" s="166">
        <v>75320879</v>
      </c>
      <c r="E43" s="166">
        <v>3358318</v>
      </c>
      <c r="F43" s="166">
        <v>395209</v>
      </c>
      <c r="G43" s="39">
        <f t="shared" si="12"/>
        <v>27394754</v>
      </c>
      <c r="H43" s="118">
        <f t="shared" si="11"/>
        <v>0</v>
      </c>
      <c r="I43" s="39">
        <f t="shared" si="14"/>
        <v>27394754</v>
      </c>
      <c r="J43" s="39"/>
      <c r="K43" s="39">
        <v>7797366</v>
      </c>
      <c r="L43" s="39"/>
      <c r="M43" s="39">
        <v>12766822</v>
      </c>
      <c r="N43" s="39"/>
      <c r="O43" s="39">
        <v>6830566</v>
      </c>
      <c r="P43" s="39">
        <v>222673</v>
      </c>
      <c r="Q43" s="39">
        <f t="shared" si="13"/>
        <v>185539.9</v>
      </c>
      <c r="R43" s="39">
        <v>0</v>
      </c>
      <c r="S43" s="39">
        <v>185539.9</v>
      </c>
      <c r="T43" s="39"/>
      <c r="U43" s="39">
        <v>1797</v>
      </c>
      <c r="V43" s="39">
        <v>10899.5</v>
      </c>
      <c r="W43" s="39">
        <v>1269777</v>
      </c>
      <c r="X43" s="39">
        <v>291713</v>
      </c>
      <c r="Y43" s="39">
        <v>11434561</v>
      </c>
      <c r="Z43" s="39">
        <v>32245.200000000001</v>
      </c>
      <c r="AA43" s="48">
        <v>7334.6</v>
      </c>
      <c r="AD43" s="365"/>
      <c r="AE43" s="365"/>
    </row>
    <row r="44" spans="1:40" x14ac:dyDescent="0.3">
      <c r="A44" s="88">
        <v>2024</v>
      </c>
      <c r="B44" s="89" t="s">
        <v>27</v>
      </c>
      <c r="C44" s="90" t="s">
        <v>4</v>
      </c>
      <c r="D44" s="166">
        <v>80830449</v>
      </c>
      <c r="E44" s="166">
        <v>3734823</v>
      </c>
      <c r="F44" s="166">
        <v>313579</v>
      </c>
      <c r="G44" s="39">
        <f t="shared" si="12"/>
        <v>30199103</v>
      </c>
      <c r="H44" s="118">
        <f t="shared" si="11"/>
        <v>0</v>
      </c>
      <c r="I44" s="39">
        <f t="shared" si="14"/>
        <v>30199103</v>
      </c>
      <c r="J44" s="39"/>
      <c r="K44" s="39">
        <v>8502038</v>
      </c>
      <c r="L44" s="39"/>
      <c r="M44" s="39">
        <v>14109981</v>
      </c>
      <c r="N44" s="39"/>
      <c r="O44" s="39">
        <v>7587084</v>
      </c>
      <c r="P44" s="39">
        <v>225755</v>
      </c>
      <c r="Q44" s="39">
        <f t="shared" si="13"/>
        <v>187681.90000000002</v>
      </c>
      <c r="R44" s="39">
        <v>0</v>
      </c>
      <c r="S44" s="39">
        <v>187681.90000000002</v>
      </c>
      <c r="T44" s="39"/>
      <c r="U44" s="39">
        <v>2117.9</v>
      </c>
      <c r="V44" s="39">
        <v>10899.5</v>
      </c>
      <c r="W44" s="39">
        <v>1335925</v>
      </c>
      <c r="X44" s="39">
        <v>309919</v>
      </c>
      <c r="Y44" s="39">
        <v>12287522</v>
      </c>
      <c r="Z44" s="39">
        <v>31879.4</v>
      </c>
      <c r="AA44" s="48">
        <v>7214.6</v>
      </c>
      <c r="AD44" s="365"/>
      <c r="AE44" s="365"/>
    </row>
    <row r="45" spans="1:40" x14ac:dyDescent="0.3">
      <c r="A45" s="88">
        <v>2024</v>
      </c>
      <c r="B45" s="89" t="s">
        <v>28</v>
      </c>
      <c r="C45" s="90" t="s">
        <v>4</v>
      </c>
      <c r="D45" s="166">
        <v>82498081</v>
      </c>
      <c r="E45" s="166">
        <v>3406574</v>
      </c>
      <c r="F45" s="166">
        <v>299215</v>
      </c>
      <c r="G45" s="39">
        <f t="shared" si="12"/>
        <v>30063181</v>
      </c>
      <c r="H45" s="118">
        <f t="shared" si="11"/>
        <v>0</v>
      </c>
      <c r="I45" s="39">
        <f t="shared" si="14"/>
        <v>30063181</v>
      </c>
      <c r="J45" s="39"/>
      <c r="K45" s="39">
        <v>8491161</v>
      </c>
      <c r="L45" s="39"/>
      <c r="M45" s="39">
        <v>14056371</v>
      </c>
      <c r="N45" s="39"/>
      <c r="O45" s="39">
        <v>7515649</v>
      </c>
      <c r="P45" s="39">
        <v>224066.40000000002</v>
      </c>
      <c r="Q45" s="39">
        <f t="shared" si="13"/>
        <v>197040.4</v>
      </c>
      <c r="R45" s="39">
        <v>0</v>
      </c>
      <c r="S45" s="39">
        <v>197040.4</v>
      </c>
      <c r="T45" s="39"/>
      <c r="U45" s="39">
        <v>2547.6</v>
      </c>
      <c r="V45" s="39">
        <v>10899.5</v>
      </c>
      <c r="W45" s="39">
        <v>1189951</v>
      </c>
      <c r="X45" s="39">
        <v>259782</v>
      </c>
      <c r="Y45" s="39">
        <v>12745399</v>
      </c>
      <c r="Z45" s="39">
        <v>30730.800000000003</v>
      </c>
      <c r="AA45" s="48">
        <v>7051.4</v>
      </c>
      <c r="AD45" s="365"/>
      <c r="AE45" s="365"/>
    </row>
    <row r="46" spans="1:40" x14ac:dyDescent="0.3">
      <c r="A46" s="88">
        <v>2024</v>
      </c>
      <c r="B46" s="89" t="s">
        <v>29</v>
      </c>
      <c r="C46" s="90" t="s">
        <v>4</v>
      </c>
      <c r="D46" s="166">
        <v>71433159</v>
      </c>
      <c r="E46" s="166">
        <v>3337095</v>
      </c>
      <c r="F46" s="166">
        <v>306362</v>
      </c>
      <c r="G46" s="39">
        <f t="shared" si="12"/>
        <v>26716730</v>
      </c>
      <c r="H46" s="118">
        <f t="shared" si="11"/>
        <v>9828592</v>
      </c>
      <c r="I46" s="39">
        <f t="shared" si="14"/>
        <v>16888138</v>
      </c>
      <c r="J46" s="39">
        <v>2788091</v>
      </c>
      <c r="K46" s="39">
        <v>4728705</v>
      </c>
      <c r="L46" s="39">
        <v>4616108</v>
      </c>
      <c r="M46" s="39">
        <v>7912413</v>
      </c>
      <c r="N46" s="39">
        <v>2424393</v>
      </c>
      <c r="O46" s="39">
        <v>4247020</v>
      </c>
      <c r="P46" s="39">
        <v>228998.30000000002</v>
      </c>
      <c r="Q46" s="39">
        <f t="shared" si="13"/>
        <v>178381.3</v>
      </c>
      <c r="R46" s="39">
        <v>66189.299999999988</v>
      </c>
      <c r="S46" s="39">
        <v>112192</v>
      </c>
      <c r="T46" s="39">
        <v>2505.3000000000002</v>
      </c>
      <c r="U46" s="39">
        <v>2965.9</v>
      </c>
      <c r="V46" s="39">
        <v>10899.5</v>
      </c>
      <c r="W46" s="39">
        <v>1252076</v>
      </c>
      <c r="X46" s="39">
        <v>294903</v>
      </c>
      <c r="Y46" s="39">
        <v>10502721</v>
      </c>
      <c r="Z46" s="39">
        <v>31493.3</v>
      </c>
      <c r="AA46" s="48">
        <v>7994.2999999999993</v>
      </c>
      <c r="AD46" s="365"/>
      <c r="AE46" s="365"/>
    </row>
    <row r="47" spans="1:40" x14ac:dyDescent="0.3">
      <c r="A47" s="88">
        <v>2024</v>
      </c>
      <c r="B47" s="89" t="s">
        <v>30</v>
      </c>
      <c r="C47" s="90" t="s">
        <v>4</v>
      </c>
      <c r="D47" s="166">
        <v>65045444</v>
      </c>
      <c r="E47" s="166">
        <v>2572280</v>
      </c>
      <c r="F47" s="166">
        <v>279311</v>
      </c>
      <c r="G47" s="39">
        <f t="shared" si="12"/>
        <v>24796366</v>
      </c>
      <c r="H47" s="118">
        <f t="shared" si="11"/>
        <v>24796366</v>
      </c>
      <c r="I47" s="39">
        <f t="shared" si="14"/>
        <v>0</v>
      </c>
      <c r="J47" s="39">
        <v>7043500</v>
      </c>
      <c r="K47" s="39"/>
      <c r="L47" s="39">
        <v>11570341</v>
      </c>
      <c r="M47" s="39"/>
      <c r="N47" s="39">
        <v>6182525</v>
      </c>
      <c r="O47" s="39"/>
      <c r="P47" s="39">
        <v>227847.8</v>
      </c>
      <c r="Q47" s="39">
        <f t="shared" si="13"/>
        <v>166757.80000000002</v>
      </c>
      <c r="R47" s="39">
        <v>166757.80000000002</v>
      </c>
      <c r="S47" s="39">
        <v>0</v>
      </c>
      <c r="T47" s="39">
        <v>3174.1</v>
      </c>
      <c r="U47" s="39"/>
      <c r="V47" s="39">
        <v>10899.5</v>
      </c>
      <c r="W47" s="39">
        <v>1045972</v>
      </c>
      <c r="X47" s="39">
        <v>236648</v>
      </c>
      <c r="Y47" s="39">
        <v>9892980</v>
      </c>
      <c r="Z47" s="39">
        <v>31553.5</v>
      </c>
      <c r="AA47" s="48">
        <v>7994.2999999999993</v>
      </c>
      <c r="AD47" s="365"/>
      <c r="AE47" s="365"/>
    </row>
    <row r="48" spans="1:40" x14ac:dyDescent="0.3">
      <c r="A48" s="92">
        <v>2024</v>
      </c>
      <c r="B48" s="93" t="s">
        <v>31</v>
      </c>
      <c r="C48" s="94" t="s">
        <v>4</v>
      </c>
      <c r="D48" s="102">
        <v>63557183</v>
      </c>
      <c r="E48" s="102">
        <v>930631</v>
      </c>
      <c r="F48" s="102">
        <v>58930</v>
      </c>
      <c r="G48" s="40">
        <f t="shared" si="12"/>
        <v>22002284</v>
      </c>
      <c r="H48" s="157">
        <f t="shared" si="11"/>
        <v>22002284</v>
      </c>
      <c r="I48" s="40">
        <f t="shared" si="14"/>
        <v>0</v>
      </c>
      <c r="J48" s="40">
        <v>6312161</v>
      </c>
      <c r="K48" s="40"/>
      <c r="L48" s="40">
        <v>10143109</v>
      </c>
      <c r="M48" s="40"/>
      <c r="N48" s="40">
        <v>5547014</v>
      </c>
      <c r="O48" s="40"/>
      <c r="P48" s="40">
        <v>227484</v>
      </c>
      <c r="Q48" s="40">
        <f t="shared" si="13"/>
        <v>147318.40000000002</v>
      </c>
      <c r="R48" s="40">
        <v>147318.40000000002</v>
      </c>
      <c r="S48" s="40">
        <v>0</v>
      </c>
      <c r="T48" s="40">
        <v>2470.6999999999998</v>
      </c>
      <c r="U48" s="40"/>
      <c r="V48" s="40">
        <v>10899.5</v>
      </c>
      <c r="W48" s="40">
        <v>1029804</v>
      </c>
      <c r="X48" s="40">
        <v>234450</v>
      </c>
      <c r="Y48" s="40">
        <v>8903511</v>
      </c>
      <c r="Z48" s="40">
        <v>31625.5</v>
      </c>
      <c r="AA48" s="49">
        <v>8066.2999999999993</v>
      </c>
      <c r="AD48" s="365"/>
      <c r="AE48" s="365"/>
    </row>
    <row r="49" spans="1:40" x14ac:dyDescent="0.3">
      <c r="A49" s="46" t="s">
        <v>81</v>
      </c>
      <c r="D49" s="166">
        <f t="shared" ref="D49:J49" si="15">SUM(D37:D48)</f>
        <v>817509726</v>
      </c>
      <c r="E49" s="166">
        <f t="shared" si="15"/>
        <v>28924565</v>
      </c>
      <c r="F49" s="166">
        <f t="shared" si="15"/>
        <v>3397766</v>
      </c>
      <c r="G49" s="166">
        <f t="shared" si="15"/>
        <v>298933831</v>
      </c>
      <c r="H49" s="166">
        <f t="shared" si="15"/>
        <v>183243112</v>
      </c>
      <c r="I49" s="166">
        <f t="shared" si="15"/>
        <v>115690719</v>
      </c>
      <c r="J49" s="166">
        <f t="shared" si="15"/>
        <v>52443704</v>
      </c>
      <c r="K49" s="166">
        <f t="shared" ref="K49:Y49" si="16">SUM(K37:K48)</f>
        <v>32746386</v>
      </c>
      <c r="L49" s="166">
        <f t="shared" si="16"/>
        <v>84791609</v>
      </c>
      <c r="M49" s="166">
        <f t="shared" si="16"/>
        <v>54042508</v>
      </c>
      <c r="N49" s="166">
        <f t="shared" si="16"/>
        <v>46007799</v>
      </c>
      <c r="O49" s="166">
        <f t="shared" si="16"/>
        <v>28901825</v>
      </c>
      <c r="P49" s="166">
        <f t="shared" si="16"/>
        <v>2704310.8</v>
      </c>
      <c r="Q49" s="166">
        <f t="shared" si="16"/>
        <v>1953828.6999999997</v>
      </c>
      <c r="R49" s="166">
        <f t="shared" si="16"/>
        <v>1195719.2000000002</v>
      </c>
      <c r="S49" s="166">
        <f t="shared" si="16"/>
        <v>758109.5</v>
      </c>
      <c r="T49" s="166">
        <f t="shared" si="16"/>
        <v>21158.2</v>
      </c>
      <c r="U49" s="166">
        <f t="shared" si="16"/>
        <v>11342.7</v>
      </c>
      <c r="V49" s="166">
        <f t="shared" si="16"/>
        <v>130794</v>
      </c>
      <c r="W49" s="166">
        <f t="shared" si="16"/>
        <v>13206505</v>
      </c>
      <c r="X49" s="166">
        <f t="shared" si="16"/>
        <v>3027767</v>
      </c>
      <c r="Y49" s="166">
        <f t="shared" si="16"/>
        <v>124623650</v>
      </c>
      <c r="Z49" s="166">
        <f>SUM(Z37:Z48)</f>
        <v>387987.3</v>
      </c>
      <c r="AA49" s="166">
        <f>SUM(AA37:AA48)</f>
        <v>89443.5</v>
      </c>
      <c r="AD49" s="365"/>
      <c r="AE49" s="365"/>
    </row>
    <row r="50" spans="1:40" x14ac:dyDescent="0.3">
      <c r="A50" s="272"/>
      <c r="B50" s="272"/>
      <c r="C50" s="272"/>
      <c r="D50" s="272"/>
      <c r="E50" s="272"/>
      <c r="F50" s="272"/>
      <c r="G50" s="272"/>
      <c r="H50" s="272"/>
      <c r="I50" s="272"/>
      <c r="J50" s="272"/>
      <c r="K50" s="272"/>
      <c r="L50" s="272"/>
      <c r="M50" s="272"/>
      <c r="N50" s="272"/>
      <c r="O50" s="365"/>
      <c r="P50" s="365"/>
      <c r="Q50" s="365"/>
      <c r="R50" s="365"/>
      <c r="S50" s="365"/>
      <c r="T50" s="365"/>
      <c r="U50" s="365"/>
      <c r="V50" s="365"/>
      <c r="W50" s="365"/>
      <c r="X50" s="365"/>
      <c r="Y50" s="365"/>
      <c r="AD50" s="365"/>
      <c r="AE50" s="365"/>
    </row>
    <row r="51" spans="1:40" s="65" customFormat="1" ht="60" x14ac:dyDescent="0.25">
      <c r="A51" s="115" t="s">
        <v>18</v>
      </c>
      <c r="B51" s="116" t="s">
        <v>19</v>
      </c>
      <c r="C51" s="369" t="s">
        <v>0</v>
      </c>
      <c r="D51" s="370" t="s">
        <v>106</v>
      </c>
      <c r="E51" s="371" t="s">
        <v>104</v>
      </c>
      <c r="F51" s="371" t="s">
        <v>129</v>
      </c>
      <c r="G51" s="371" t="s">
        <v>36</v>
      </c>
      <c r="H51" s="372" t="s">
        <v>37</v>
      </c>
      <c r="I51" s="159" t="s">
        <v>38</v>
      </c>
      <c r="J51" s="373" t="s">
        <v>100</v>
      </c>
      <c r="K51" s="374" t="s">
        <v>101</v>
      </c>
      <c r="L51" s="372" t="s">
        <v>82</v>
      </c>
      <c r="M51" s="159" t="s">
        <v>83</v>
      </c>
      <c r="N51" s="373" t="s">
        <v>102</v>
      </c>
      <c r="O51" s="374" t="s">
        <v>103</v>
      </c>
      <c r="P51" s="374" t="s">
        <v>77</v>
      </c>
      <c r="Q51" s="375" t="s">
        <v>33</v>
      </c>
      <c r="R51" s="376" t="s">
        <v>35</v>
      </c>
      <c r="S51" s="377" t="s">
        <v>34</v>
      </c>
      <c r="T51" s="377" t="s">
        <v>126</v>
      </c>
      <c r="U51" s="377" t="s">
        <v>127</v>
      </c>
      <c r="V51" s="83" t="s">
        <v>151</v>
      </c>
      <c r="W51" s="62" t="s">
        <v>158</v>
      </c>
      <c r="X51" s="385"/>
      <c r="Y51" s="369" t="s">
        <v>40</v>
      </c>
      <c r="Z51" s="369" t="s">
        <v>6</v>
      </c>
      <c r="AA51" s="378" t="s">
        <v>7</v>
      </c>
      <c r="AD51" s="365"/>
      <c r="AE51" s="365"/>
    </row>
    <row r="52" spans="1:40" x14ac:dyDescent="0.3">
      <c r="A52" s="84">
        <v>2023</v>
      </c>
      <c r="B52" s="85" t="s">
        <v>20</v>
      </c>
      <c r="C52" s="86" t="s">
        <v>4</v>
      </c>
      <c r="D52" s="68">
        <v>63677491</v>
      </c>
      <c r="E52" s="68">
        <v>905513</v>
      </c>
      <c r="F52" s="68">
        <v>45</v>
      </c>
      <c r="G52" s="47">
        <f>H52+I52</f>
        <v>22823350</v>
      </c>
      <c r="H52" s="117">
        <f>J52+L52+N52</f>
        <v>22823350</v>
      </c>
      <c r="I52" s="117">
        <f>K52+M52+O52</f>
        <v>0</v>
      </c>
      <c r="J52" s="99">
        <v>6567701</v>
      </c>
      <c r="K52" s="47"/>
      <c r="L52" s="68">
        <v>10502759</v>
      </c>
      <c r="M52" s="379"/>
      <c r="N52" s="379">
        <v>5752890</v>
      </c>
      <c r="O52" s="379"/>
      <c r="P52" s="87">
        <v>214660.2</v>
      </c>
      <c r="Q52" s="87">
        <f>R52+S52</f>
        <v>135489.59999999998</v>
      </c>
      <c r="R52" s="71">
        <v>135489.59999999998</v>
      </c>
      <c r="S52" s="71">
        <v>0</v>
      </c>
      <c r="T52" s="71">
        <v>2929.4</v>
      </c>
      <c r="U52" s="71"/>
      <c r="V52" s="71">
        <v>10899.5</v>
      </c>
      <c r="W52" s="71">
        <v>806273</v>
      </c>
      <c r="X52" s="197"/>
      <c r="Y52" s="87">
        <v>9225746</v>
      </c>
      <c r="Z52" s="87">
        <v>31472.899999999998</v>
      </c>
      <c r="AA52" s="119">
        <v>7562.6</v>
      </c>
      <c r="AC52" s="365"/>
      <c r="AD52" s="365"/>
      <c r="AE52" s="365"/>
      <c r="AF52" s="365"/>
      <c r="AG52" s="365"/>
      <c r="AH52" s="365"/>
      <c r="AI52" s="365"/>
      <c r="AJ52" s="365"/>
      <c r="AK52" s="365"/>
      <c r="AL52" s="365"/>
      <c r="AM52" s="365"/>
      <c r="AN52" s="365"/>
    </row>
    <row r="53" spans="1:40" x14ac:dyDescent="0.3">
      <c r="A53" s="88">
        <v>2023</v>
      </c>
      <c r="B53" s="89" t="s">
        <v>21</v>
      </c>
      <c r="C53" s="90" t="s">
        <v>4</v>
      </c>
      <c r="D53" s="68">
        <v>60612071</v>
      </c>
      <c r="E53" s="68">
        <v>767478</v>
      </c>
      <c r="F53" s="68">
        <v>13837</v>
      </c>
      <c r="G53" s="39">
        <f t="shared" ref="G53:G63" si="17">H53+I53</f>
        <v>22039872</v>
      </c>
      <c r="H53" s="118">
        <f t="shared" ref="H53:H63" si="18">J53+L53+N53</f>
        <v>22039872</v>
      </c>
      <c r="I53" s="72">
        <f t="shared" ref="I53:I63" si="19">K53+M53+O53</f>
        <v>0</v>
      </c>
      <c r="J53" s="68">
        <v>6367811</v>
      </c>
      <c r="K53" s="39"/>
      <c r="L53" s="68">
        <v>10119265</v>
      </c>
      <c r="M53" s="379"/>
      <c r="N53" s="379">
        <v>5552796</v>
      </c>
      <c r="O53" s="379"/>
      <c r="P53" s="91">
        <v>218373.59999999998</v>
      </c>
      <c r="Q53" s="91">
        <f t="shared" ref="Q53:Q63" si="20">R53+S53</f>
        <v>135663.1</v>
      </c>
      <c r="R53" s="72">
        <v>135663.1</v>
      </c>
      <c r="S53" s="72">
        <v>0</v>
      </c>
      <c r="T53" s="72">
        <v>3280</v>
      </c>
      <c r="U53" s="72"/>
      <c r="V53" s="72">
        <v>10899.5</v>
      </c>
      <c r="W53" s="72">
        <v>755020</v>
      </c>
      <c r="X53" s="182"/>
      <c r="Y53" s="39">
        <v>8714664</v>
      </c>
      <c r="Z53" s="39">
        <v>31460.3</v>
      </c>
      <c r="AA53" s="48">
        <v>7550</v>
      </c>
      <c r="AC53" s="365"/>
      <c r="AD53" s="365"/>
      <c r="AE53" s="365"/>
      <c r="AF53" s="365"/>
      <c r="AG53" s="365"/>
      <c r="AH53" s="365"/>
      <c r="AI53" s="365"/>
      <c r="AJ53" s="365"/>
      <c r="AK53" s="365"/>
      <c r="AL53" s="365"/>
      <c r="AM53" s="365"/>
      <c r="AN53" s="365"/>
    </row>
    <row r="54" spans="1:40" x14ac:dyDescent="0.3">
      <c r="A54" s="88">
        <v>2023</v>
      </c>
      <c r="B54" s="89" t="s">
        <v>22</v>
      </c>
      <c r="C54" s="90" t="s">
        <v>4</v>
      </c>
      <c r="D54" s="68">
        <v>58688337</v>
      </c>
      <c r="E54" s="68">
        <v>1858675</v>
      </c>
      <c r="F54" s="118">
        <v>273073</v>
      </c>
      <c r="G54" s="118">
        <f t="shared" si="17"/>
        <v>21299131</v>
      </c>
      <c r="H54" s="118">
        <f t="shared" si="18"/>
        <v>21299131</v>
      </c>
      <c r="I54" s="118">
        <f t="shared" si="19"/>
        <v>0</v>
      </c>
      <c r="J54" s="118">
        <v>6174253</v>
      </c>
      <c r="K54" s="118"/>
      <c r="L54" s="118">
        <v>9753346</v>
      </c>
      <c r="M54" s="118"/>
      <c r="N54" s="118">
        <v>5371532</v>
      </c>
      <c r="O54" s="118"/>
      <c r="P54" s="118">
        <v>216503.4</v>
      </c>
      <c r="Q54" s="118">
        <f t="shared" si="20"/>
        <v>133156.70000000001</v>
      </c>
      <c r="R54" s="118">
        <v>133156.70000000001</v>
      </c>
      <c r="S54" s="118">
        <v>0</v>
      </c>
      <c r="T54" s="118">
        <v>2349.1</v>
      </c>
      <c r="U54" s="118"/>
      <c r="V54" s="118">
        <v>10899.5</v>
      </c>
      <c r="W54" s="118">
        <v>744693</v>
      </c>
      <c r="X54" s="186"/>
      <c r="Y54" s="118">
        <v>8519372</v>
      </c>
      <c r="Z54" s="118">
        <v>30978.7</v>
      </c>
      <c r="AA54" s="380">
        <v>7068.4</v>
      </c>
      <c r="AD54" s="365"/>
      <c r="AE54" s="365"/>
    </row>
    <row r="55" spans="1:40" x14ac:dyDescent="0.3">
      <c r="A55" s="88">
        <v>2023</v>
      </c>
      <c r="B55" s="89" t="s">
        <v>23</v>
      </c>
      <c r="C55" s="90" t="s">
        <v>4</v>
      </c>
      <c r="D55" s="68">
        <v>63364608</v>
      </c>
      <c r="E55" s="68">
        <v>2180354</v>
      </c>
      <c r="F55" s="118">
        <v>363289</v>
      </c>
      <c r="G55" s="118">
        <f t="shared" si="17"/>
        <v>23213048</v>
      </c>
      <c r="H55" s="118">
        <f t="shared" si="18"/>
        <v>23213048</v>
      </c>
      <c r="I55" s="118">
        <f t="shared" si="19"/>
        <v>0</v>
      </c>
      <c r="J55" s="118">
        <v>6715041</v>
      </c>
      <c r="K55" s="118"/>
      <c r="L55" s="118">
        <v>10677767</v>
      </c>
      <c r="M55" s="118"/>
      <c r="N55" s="118">
        <v>5820240</v>
      </c>
      <c r="O55" s="118"/>
      <c r="P55" s="118">
        <v>219926.5</v>
      </c>
      <c r="Q55" s="118">
        <f t="shared" si="20"/>
        <v>149941.6</v>
      </c>
      <c r="R55" s="118">
        <v>149941.6</v>
      </c>
      <c r="S55" s="118">
        <v>0</v>
      </c>
      <c r="T55" s="118">
        <v>3438.2999999999997</v>
      </c>
      <c r="U55" s="118"/>
      <c r="V55" s="118">
        <v>10899.5</v>
      </c>
      <c r="W55" s="118">
        <v>814727</v>
      </c>
      <c r="X55" s="186"/>
      <c r="Y55" s="118">
        <v>9457040</v>
      </c>
      <c r="Z55" s="118">
        <v>30949.9</v>
      </c>
      <c r="AA55" s="380">
        <v>7039.6</v>
      </c>
      <c r="AD55" s="365"/>
      <c r="AE55" s="365"/>
    </row>
    <row r="56" spans="1:40" x14ac:dyDescent="0.3">
      <c r="A56" s="88">
        <v>2023</v>
      </c>
      <c r="B56" s="89" t="s">
        <v>24</v>
      </c>
      <c r="C56" s="90" t="s">
        <v>4</v>
      </c>
      <c r="D56" s="68">
        <v>59937392</v>
      </c>
      <c r="E56" s="68">
        <v>2579782</v>
      </c>
      <c r="F56" s="118">
        <v>404392</v>
      </c>
      <c r="G56" s="118">
        <f t="shared" si="17"/>
        <v>22236114</v>
      </c>
      <c r="H56" s="118">
        <f t="shared" si="18"/>
        <v>22236114</v>
      </c>
      <c r="I56" s="118">
        <f t="shared" si="19"/>
        <v>0</v>
      </c>
      <c r="J56" s="118">
        <v>6320176</v>
      </c>
      <c r="K56" s="118"/>
      <c r="L56" s="118">
        <v>10332052</v>
      </c>
      <c r="M56" s="118"/>
      <c r="N56" s="118">
        <v>5583886</v>
      </c>
      <c r="O56" s="118"/>
      <c r="P56" s="118">
        <v>215954.3</v>
      </c>
      <c r="Q56" s="118">
        <f t="shared" si="20"/>
        <v>159247.09999999998</v>
      </c>
      <c r="R56" s="118">
        <v>159247.09999999998</v>
      </c>
      <c r="S56" s="118">
        <v>0</v>
      </c>
      <c r="T56" s="118">
        <v>2581.6</v>
      </c>
      <c r="U56" s="118"/>
      <c r="V56" s="118">
        <v>10899.5</v>
      </c>
      <c r="W56" s="118">
        <v>764936</v>
      </c>
      <c r="X56" s="186"/>
      <c r="Y56" s="118">
        <v>8783781</v>
      </c>
      <c r="Z56" s="118">
        <v>30830.1</v>
      </c>
      <c r="AA56" s="380">
        <v>7010.8</v>
      </c>
      <c r="AD56" s="365"/>
      <c r="AE56" s="365"/>
    </row>
    <row r="57" spans="1:40" x14ac:dyDescent="0.3">
      <c r="A57" s="88">
        <v>2023</v>
      </c>
      <c r="B57" s="89" t="s">
        <v>25</v>
      </c>
      <c r="C57" s="90" t="s">
        <v>4</v>
      </c>
      <c r="D57" s="68">
        <v>72402984</v>
      </c>
      <c r="E57" s="68">
        <v>3666981</v>
      </c>
      <c r="F57" s="118">
        <v>707506</v>
      </c>
      <c r="G57" s="118">
        <f t="shared" si="17"/>
        <v>27062587</v>
      </c>
      <c r="H57" s="118">
        <f t="shared" si="18"/>
        <v>16169821</v>
      </c>
      <c r="I57" s="118">
        <f t="shared" si="19"/>
        <v>10892766</v>
      </c>
      <c r="J57" s="118">
        <v>4524963</v>
      </c>
      <c r="K57" s="118">
        <v>3100395</v>
      </c>
      <c r="L57" s="118">
        <v>7573776</v>
      </c>
      <c r="M57" s="118">
        <v>5106475</v>
      </c>
      <c r="N57" s="118">
        <v>4071082</v>
      </c>
      <c r="O57" s="118">
        <v>2685896</v>
      </c>
      <c r="P57" s="118">
        <v>215636.7</v>
      </c>
      <c r="Q57" s="118">
        <f t="shared" si="20"/>
        <v>173713.3</v>
      </c>
      <c r="R57" s="118">
        <v>108246.1</v>
      </c>
      <c r="S57" s="118">
        <v>65467.199999999997</v>
      </c>
      <c r="T57" s="118">
        <v>2919.0000000000005</v>
      </c>
      <c r="U57" s="118">
        <v>2372</v>
      </c>
      <c r="V57" s="118">
        <v>10899.5</v>
      </c>
      <c r="W57" s="118">
        <v>1197612</v>
      </c>
      <c r="X57" s="186"/>
      <c r="Y57" s="118">
        <v>10866209</v>
      </c>
      <c r="Z57" s="118">
        <v>30518.5</v>
      </c>
      <c r="AA57" s="380">
        <v>7010.8</v>
      </c>
      <c r="AD57" s="365"/>
      <c r="AE57" s="365"/>
    </row>
    <row r="58" spans="1:40" x14ac:dyDescent="0.3">
      <c r="A58" s="88">
        <v>2023</v>
      </c>
      <c r="B58" s="89" t="s">
        <v>26</v>
      </c>
      <c r="C58" s="90" t="s">
        <v>4</v>
      </c>
      <c r="D58" s="68">
        <v>77044951</v>
      </c>
      <c r="E58" s="68">
        <v>3738438</v>
      </c>
      <c r="F58" s="118">
        <v>486033</v>
      </c>
      <c r="G58" s="118">
        <f t="shared" si="17"/>
        <v>28174989</v>
      </c>
      <c r="H58" s="118">
        <f t="shared" si="18"/>
        <v>0</v>
      </c>
      <c r="I58" s="118">
        <f t="shared" si="19"/>
        <v>28174989</v>
      </c>
      <c r="J58" s="118"/>
      <c r="K58" s="118">
        <v>7926125</v>
      </c>
      <c r="L58" s="118"/>
      <c r="M58" s="118">
        <v>13162182</v>
      </c>
      <c r="N58" s="118"/>
      <c r="O58" s="118">
        <v>7086682</v>
      </c>
      <c r="P58" s="118">
        <v>209973.3</v>
      </c>
      <c r="Q58" s="118">
        <f t="shared" si="20"/>
        <v>177101</v>
      </c>
      <c r="R58" s="118">
        <v>0</v>
      </c>
      <c r="S58" s="118">
        <v>177101</v>
      </c>
      <c r="T58" s="118"/>
      <c r="U58" s="118">
        <v>2844.1</v>
      </c>
      <c r="V58" s="118">
        <v>10899.5</v>
      </c>
      <c r="W58" s="118">
        <v>1285209</v>
      </c>
      <c r="X58" s="186"/>
      <c r="Y58" s="118">
        <v>11597292</v>
      </c>
      <c r="Z58" s="118">
        <v>30659.5</v>
      </c>
      <c r="AA58" s="380">
        <v>6974.8</v>
      </c>
      <c r="AD58" s="365"/>
      <c r="AE58" s="365"/>
    </row>
    <row r="59" spans="1:40" x14ac:dyDescent="0.3">
      <c r="A59" s="88">
        <v>2023</v>
      </c>
      <c r="B59" s="89" t="s">
        <v>27</v>
      </c>
      <c r="C59" s="90" t="s">
        <v>4</v>
      </c>
      <c r="D59" s="68">
        <v>75597956</v>
      </c>
      <c r="E59" s="68">
        <v>4156352</v>
      </c>
      <c r="F59" s="118">
        <v>359243</v>
      </c>
      <c r="G59" s="118">
        <f t="shared" si="17"/>
        <v>28028814</v>
      </c>
      <c r="H59" s="118">
        <f t="shared" si="18"/>
        <v>0</v>
      </c>
      <c r="I59" s="118">
        <f t="shared" si="19"/>
        <v>28028814</v>
      </c>
      <c r="J59" s="118"/>
      <c r="K59" s="118">
        <v>7873445</v>
      </c>
      <c r="L59" s="118"/>
      <c r="M59" s="118">
        <v>13071703</v>
      </c>
      <c r="N59" s="118"/>
      <c r="O59" s="118">
        <v>7083666</v>
      </c>
      <c r="P59" s="118">
        <v>209540.1</v>
      </c>
      <c r="Q59" s="118">
        <f t="shared" si="20"/>
        <v>184795.7</v>
      </c>
      <c r="R59" s="118">
        <v>0</v>
      </c>
      <c r="S59" s="118">
        <v>184795.7</v>
      </c>
      <c r="T59" s="118"/>
      <c r="U59" s="118">
        <v>2733.9</v>
      </c>
      <c r="V59" s="118">
        <v>10899.5</v>
      </c>
      <c r="W59" s="118">
        <v>1249619</v>
      </c>
      <c r="X59" s="186"/>
      <c r="Y59" s="118">
        <v>11707491</v>
      </c>
      <c r="Z59" s="118">
        <v>31924.399999999998</v>
      </c>
      <c r="AA59" s="380">
        <v>6958.6</v>
      </c>
      <c r="AD59" s="365"/>
      <c r="AE59" s="365"/>
    </row>
    <row r="60" spans="1:40" x14ac:dyDescent="0.3">
      <c r="A60" s="88">
        <v>2023</v>
      </c>
      <c r="B60" s="89" t="s">
        <v>28</v>
      </c>
      <c r="C60" s="90" t="s">
        <v>4</v>
      </c>
      <c r="D60" s="68">
        <v>80096257</v>
      </c>
      <c r="E60" s="68">
        <v>3698863</v>
      </c>
      <c r="F60" s="118">
        <v>389893</v>
      </c>
      <c r="G60" s="118">
        <f t="shared" si="17"/>
        <v>29480759</v>
      </c>
      <c r="H60" s="118">
        <f t="shared" si="18"/>
        <v>0</v>
      </c>
      <c r="I60" s="118">
        <f t="shared" si="19"/>
        <v>29480759</v>
      </c>
      <c r="J60" s="118"/>
      <c r="K60" s="118">
        <v>8277770</v>
      </c>
      <c r="L60" s="118"/>
      <c r="M60" s="118">
        <v>13757833</v>
      </c>
      <c r="N60" s="118"/>
      <c r="O60" s="118">
        <v>7445156</v>
      </c>
      <c r="P60" s="118">
        <v>220021.9</v>
      </c>
      <c r="Q60" s="118">
        <f t="shared" si="20"/>
        <v>196580.7</v>
      </c>
      <c r="R60" s="118">
        <v>0</v>
      </c>
      <c r="S60" s="118">
        <v>196580.7</v>
      </c>
      <c r="T60" s="118"/>
      <c r="U60" s="118">
        <v>2918.6</v>
      </c>
      <c r="V60" s="118">
        <v>10899.5</v>
      </c>
      <c r="W60" s="118">
        <v>1367576</v>
      </c>
      <c r="X60" s="186"/>
      <c r="Y60" s="118">
        <v>12191204</v>
      </c>
      <c r="Z60" s="118">
        <v>30286.399999999998</v>
      </c>
      <c r="AA60" s="380">
        <v>6939.2</v>
      </c>
      <c r="AD60" s="365"/>
      <c r="AE60" s="365"/>
    </row>
    <row r="61" spans="1:40" x14ac:dyDescent="0.3">
      <c r="A61" s="88">
        <v>2023</v>
      </c>
      <c r="B61" s="89" t="s">
        <v>29</v>
      </c>
      <c r="C61" s="90" t="s">
        <v>4</v>
      </c>
      <c r="D61" s="68">
        <v>66043898</v>
      </c>
      <c r="E61" s="68">
        <v>2427451</v>
      </c>
      <c r="F61" s="118">
        <v>277549</v>
      </c>
      <c r="G61" s="118">
        <f t="shared" si="17"/>
        <v>24027573</v>
      </c>
      <c r="H61" s="118">
        <f t="shared" si="18"/>
        <v>9688623</v>
      </c>
      <c r="I61" s="118">
        <f t="shared" si="19"/>
        <v>14338950</v>
      </c>
      <c r="J61" s="118">
        <v>2792361</v>
      </c>
      <c r="K61" s="118">
        <v>4070405</v>
      </c>
      <c r="L61" s="118">
        <v>4516697</v>
      </c>
      <c r="M61" s="118">
        <v>6695229</v>
      </c>
      <c r="N61" s="118">
        <v>2379565</v>
      </c>
      <c r="O61" s="118">
        <v>3573316</v>
      </c>
      <c r="P61" s="118">
        <v>217051.4</v>
      </c>
      <c r="Q61" s="118">
        <f t="shared" si="20"/>
        <v>168793.1</v>
      </c>
      <c r="R61" s="118">
        <v>70238.700000000012</v>
      </c>
      <c r="S61" s="118">
        <v>98554.4</v>
      </c>
      <c r="T61" s="118">
        <v>2615.3999999999996</v>
      </c>
      <c r="U61" s="118">
        <v>1698.3999999999999</v>
      </c>
      <c r="V61" s="118">
        <v>10899.5</v>
      </c>
      <c r="W61" s="118">
        <v>1352466</v>
      </c>
      <c r="X61" s="186"/>
      <c r="Y61" s="118">
        <v>10315258</v>
      </c>
      <c r="Z61" s="118">
        <v>30700.799999999999</v>
      </c>
      <c r="AA61" s="380">
        <v>7338.2</v>
      </c>
      <c r="AD61" s="365"/>
      <c r="AE61" s="365"/>
    </row>
    <row r="62" spans="1:40" x14ac:dyDescent="0.3">
      <c r="A62" s="88">
        <v>2023</v>
      </c>
      <c r="B62" s="89" t="s">
        <v>30</v>
      </c>
      <c r="C62" s="90" t="s">
        <v>4</v>
      </c>
      <c r="D62" s="68">
        <v>61147935</v>
      </c>
      <c r="E62" s="68">
        <v>1665486</v>
      </c>
      <c r="F62" s="118">
        <v>108345</v>
      </c>
      <c r="G62" s="118">
        <f t="shared" si="17"/>
        <v>22812610</v>
      </c>
      <c r="H62" s="118">
        <f t="shared" si="18"/>
        <v>22812610</v>
      </c>
      <c r="I62" s="118">
        <f t="shared" si="19"/>
        <v>0</v>
      </c>
      <c r="J62" s="118">
        <v>6571347</v>
      </c>
      <c r="K62" s="118"/>
      <c r="L62" s="118">
        <v>10572082</v>
      </c>
      <c r="M62" s="118"/>
      <c r="N62" s="118">
        <v>5669181</v>
      </c>
      <c r="O62" s="118"/>
      <c r="P62" s="118">
        <v>216752.5</v>
      </c>
      <c r="Q62" s="118">
        <f t="shared" si="20"/>
        <v>156389.5</v>
      </c>
      <c r="R62" s="118">
        <v>156343</v>
      </c>
      <c r="S62" s="118">
        <v>46.5</v>
      </c>
      <c r="T62" s="118">
        <v>2487.5</v>
      </c>
      <c r="U62" s="118">
        <v>505.6</v>
      </c>
      <c r="V62" s="118">
        <v>10899.5</v>
      </c>
      <c r="W62" s="118">
        <v>1222811</v>
      </c>
      <c r="X62" s="186"/>
      <c r="Y62" s="118">
        <v>8924881</v>
      </c>
      <c r="Z62" s="118">
        <v>30624.799999999999</v>
      </c>
      <c r="AA62" s="380">
        <v>7338.2</v>
      </c>
      <c r="AD62" s="365"/>
      <c r="AE62" s="365"/>
    </row>
    <row r="63" spans="1:40" x14ac:dyDescent="0.3">
      <c r="A63" s="92">
        <v>2023</v>
      </c>
      <c r="B63" s="93" t="s">
        <v>31</v>
      </c>
      <c r="C63" s="94" t="s">
        <v>4</v>
      </c>
      <c r="D63" s="102">
        <v>59691202</v>
      </c>
      <c r="E63" s="102">
        <v>1410152</v>
      </c>
      <c r="F63" s="157">
        <v>88591</v>
      </c>
      <c r="G63" s="157">
        <f t="shared" si="17"/>
        <v>21321214</v>
      </c>
      <c r="H63" s="157">
        <f t="shared" si="18"/>
        <v>21321214</v>
      </c>
      <c r="I63" s="157">
        <f t="shared" si="19"/>
        <v>0</v>
      </c>
      <c r="J63" s="157">
        <v>6120053</v>
      </c>
      <c r="K63" s="157"/>
      <c r="L63" s="157">
        <v>9849830</v>
      </c>
      <c r="M63" s="157"/>
      <c r="N63" s="157">
        <v>5351331</v>
      </c>
      <c r="O63" s="157"/>
      <c r="P63" s="157">
        <v>225962.30000000002</v>
      </c>
      <c r="Q63" s="157">
        <f t="shared" si="20"/>
        <v>141309.29999999999</v>
      </c>
      <c r="R63" s="157">
        <v>141309.29999999999</v>
      </c>
      <c r="S63" s="157">
        <v>0</v>
      </c>
      <c r="T63" s="157">
        <v>3175.1</v>
      </c>
      <c r="U63" s="157"/>
      <c r="V63" s="157">
        <v>10899.5</v>
      </c>
      <c r="W63" s="157">
        <v>1094067</v>
      </c>
      <c r="X63" s="185"/>
      <c r="Y63" s="157">
        <v>9022913</v>
      </c>
      <c r="Z63" s="157">
        <v>32859.200000000004</v>
      </c>
      <c r="AA63" s="381">
        <v>7287.8</v>
      </c>
      <c r="AD63" s="365"/>
      <c r="AE63" s="365"/>
    </row>
    <row r="64" spans="1:40" x14ac:dyDescent="0.3">
      <c r="A64" s="46" t="s">
        <v>81</v>
      </c>
      <c r="D64" s="166">
        <f t="shared" ref="D64:J64" si="21">SUM(D52:D63)</f>
        <v>798305082</v>
      </c>
      <c r="E64" s="166">
        <f t="shared" si="21"/>
        <v>29055525</v>
      </c>
      <c r="F64" s="166">
        <f t="shared" si="21"/>
        <v>3471796</v>
      </c>
      <c r="G64" s="166">
        <f t="shared" si="21"/>
        <v>292520061</v>
      </c>
      <c r="H64" s="166">
        <f t="shared" si="21"/>
        <v>181603783</v>
      </c>
      <c r="I64" s="166">
        <f t="shared" si="21"/>
        <v>110916278</v>
      </c>
      <c r="J64" s="166">
        <f t="shared" si="21"/>
        <v>52153706</v>
      </c>
      <c r="K64" s="166">
        <f t="shared" ref="K64:X64" si="22">SUM(K52:K63)</f>
        <v>31248140</v>
      </c>
      <c r="L64" s="166">
        <f t="shared" si="22"/>
        <v>83897574</v>
      </c>
      <c r="M64" s="166">
        <f t="shared" si="22"/>
        <v>51793422</v>
      </c>
      <c r="N64" s="166">
        <f t="shared" si="22"/>
        <v>45552503</v>
      </c>
      <c r="O64" s="166">
        <f t="shared" si="22"/>
        <v>27874716</v>
      </c>
      <c r="P64" s="166">
        <f t="shared" si="22"/>
        <v>2600356.1999999997</v>
      </c>
      <c r="Q64" s="166">
        <f t="shared" si="22"/>
        <v>1912180.7</v>
      </c>
      <c r="R64" s="166">
        <f t="shared" si="22"/>
        <v>1189635.2</v>
      </c>
      <c r="S64" s="166">
        <f t="shared" si="22"/>
        <v>722545.50000000012</v>
      </c>
      <c r="T64" s="166">
        <f t="shared" si="22"/>
        <v>25775.4</v>
      </c>
      <c r="U64" s="166">
        <f t="shared" si="22"/>
        <v>13072.6</v>
      </c>
      <c r="V64" s="166">
        <f t="shared" si="22"/>
        <v>130794</v>
      </c>
      <c r="W64" s="166">
        <f t="shared" si="22"/>
        <v>12655009</v>
      </c>
      <c r="X64" s="166">
        <f t="shared" si="22"/>
        <v>0</v>
      </c>
      <c r="Y64" s="166">
        <f>SUM(Y52:Y63)</f>
        <v>119325851</v>
      </c>
      <c r="Z64" s="166">
        <f>SUM(Z52:Z63)</f>
        <v>373265.5</v>
      </c>
      <c r="AA64" s="166">
        <f>SUM(AA52:AA63)</f>
        <v>86079</v>
      </c>
    </row>
    <row r="65" spans="1:40" x14ac:dyDescent="0.3">
      <c r="A65" s="272"/>
      <c r="B65" s="272"/>
      <c r="C65" s="272"/>
      <c r="D65" s="272"/>
      <c r="E65" s="272"/>
      <c r="F65" s="272"/>
      <c r="G65" s="272"/>
      <c r="H65" s="272"/>
      <c r="I65" s="272"/>
      <c r="J65" s="272"/>
      <c r="K65" s="272"/>
      <c r="L65" s="272"/>
      <c r="M65" s="272"/>
      <c r="N65" s="272"/>
      <c r="O65" s="365"/>
      <c r="P65" s="365"/>
      <c r="Q65" s="365"/>
      <c r="R65" s="365"/>
      <c r="S65" s="365"/>
      <c r="T65" s="365"/>
      <c r="U65" s="365"/>
      <c r="V65" s="365"/>
      <c r="W65" s="365"/>
      <c r="X65" s="365"/>
      <c r="Y65" s="365"/>
    </row>
    <row r="66" spans="1:40" s="65" customFormat="1" ht="60" x14ac:dyDescent="0.25">
      <c r="A66" s="74" t="s">
        <v>18</v>
      </c>
      <c r="B66" s="74" t="s">
        <v>19</v>
      </c>
      <c r="C66" s="75" t="s">
        <v>0</v>
      </c>
      <c r="D66" s="76" t="s">
        <v>106</v>
      </c>
      <c r="E66" s="77" t="s">
        <v>104</v>
      </c>
      <c r="F66" s="77" t="s">
        <v>129</v>
      </c>
      <c r="G66" s="77" t="s">
        <v>36</v>
      </c>
      <c r="H66" s="78" t="s">
        <v>37</v>
      </c>
      <c r="I66" s="79" t="s">
        <v>38</v>
      </c>
      <c r="J66" s="156" t="s">
        <v>100</v>
      </c>
      <c r="K66" s="80" t="s">
        <v>101</v>
      </c>
      <c r="L66" s="78" t="s">
        <v>82</v>
      </c>
      <c r="M66" s="159" t="s">
        <v>83</v>
      </c>
      <c r="N66" s="156" t="s">
        <v>102</v>
      </c>
      <c r="O66" s="80" t="s">
        <v>103</v>
      </c>
      <c r="P66" s="80" t="s">
        <v>77</v>
      </c>
      <c r="Q66" s="81" t="s">
        <v>33</v>
      </c>
      <c r="R66" s="82" t="s">
        <v>35</v>
      </c>
      <c r="S66" s="83" t="s">
        <v>34</v>
      </c>
      <c r="T66" s="83" t="s">
        <v>126</v>
      </c>
      <c r="U66" s="83" t="s">
        <v>127</v>
      </c>
      <c r="V66" s="83" t="s">
        <v>151</v>
      </c>
      <c r="W66" s="62" t="s">
        <v>158</v>
      </c>
      <c r="X66" s="385"/>
      <c r="Y66" s="75" t="s">
        <v>40</v>
      </c>
      <c r="Z66" s="75" t="s">
        <v>6</v>
      </c>
      <c r="AA66" s="75" t="s">
        <v>7</v>
      </c>
    </row>
    <row r="67" spans="1:40" x14ac:dyDescent="0.3">
      <c r="A67" s="84">
        <v>2022</v>
      </c>
      <c r="B67" s="85" t="s">
        <v>20</v>
      </c>
      <c r="C67" s="86" t="s">
        <v>4</v>
      </c>
      <c r="D67" s="166">
        <v>65330850</v>
      </c>
      <c r="E67" s="166">
        <v>650062</v>
      </c>
      <c r="F67" s="166">
        <v>12285</v>
      </c>
      <c r="G67" s="47">
        <f>H67+I67</f>
        <v>23899912</v>
      </c>
      <c r="H67" s="117">
        <f>J67+L67+N67</f>
        <v>23899912</v>
      </c>
      <c r="I67" s="117"/>
      <c r="J67" s="99">
        <v>6891108</v>
      </c>
      <c r="K67" s="47">
        <v>0</v>
      </c>
      <c r="L67" s="166">
        <v>10997320</v>
      </c>
      <c r="M67" s="227">
        <v>0</v>
      </c>
      <c r="N67" s="39">
        <v>6011484</v>
      </c>
      <c r="O67" s="39">
        <v>0</v>
      </c>
      <c r="P67" s="87">
        <v>219563</v>
      </c>
      <c r="Q67" s="87">
        <f>R67+S67</f>
        <v>143860.5</v>
      </c>
      <c r="R67" s="71">
        <v>143860.5</v>
      </c>
      <c r="S67" s="71">
        <v>0</v>
      </c>
      <c r="T67" s="71">
        <v>1758</v>
      </c>
      <c r="U67" s="71">
        <v>0</v>
      </c>
      <c r="V67" s="71"/>
      <c r="W67" s="71">
        <v>358698</v>
      </c>
      <c r="X67" s="71"/>
      <c r="Y67" s="87">
        <v>10568362</v>
      </c>
      <c r="Z67" s="87">
        <v>35649.5</v>
      </c>
      <c r="AA67" s="119">
        <v>8104.2</v>
      </c>
      <c r="AC67" s="344"/>
      <c r="AD67" s="344"/>
      <c r="AE67" s="344"/>
      <c r="AF67" s="344"/>
      <c r="AG67" s="344"/>
      <c r="AH67" s="344"/>
      <c r="AI67" s="344"/>
      <c r="AJ67" s="344"/>
      <c r="AK67" s="344"/>
      <c r="AL67" s="344"/>
      <c r="AM67" s="344"/>
      <c r="AN67" s="344"/>
    </row>
    <row r="68" spans="1:40" x14ac:dyDescent="0.3">
      <c r="A68" s="88">
        <v>2022</v>
      </c>
      <c r="B68" s="89" t="s">
        <v>21</v>
      </c>
      <c r="C68" s="90" t="s">
        <v>4</v>
      </c>
      <c r="D68" s="166">
        <v>64307946</v>
      </c>
      <c r="E68" s="166">
        <v>1141917</v>
      </c>
      <c r="F68" s="166">
        <v>60158</v>
      </c>
      <c r="G68" s="39">
        <f t="shared" ref="G68:G78" si="23">H68+I68</f>
        <v>23099281</v>
      </c>
      <c r="H68" s="118">
        <f t="shared" ref="H68:H78" si="24">J68+L68+N68</f>
        <v>23099281</v>
      </c>
      <c r="I68" s="72"/>
      <c r="J68" s="68">
        <v>6656354</v>
      </c>
      <c r="K68" s="39">
        <v>0</v>
      </c>
      <c r="L68" s="166">
        <v>10605221</v>
      </c>
      <c r="M68" s="227">
        <v>0</v>
      </c>
      <c r="N68" s="39">
        <v>5837706</v>
      </c>
      <c r="O68" s="39">
        <v>0</v>
      </c>
      <c r="P68" s="91">
        <v>225280.5</v>
      </c>
      <c r="Q68" s="91">
        <f t="shared" ref="Q68:Q78" si="25">R68+S68</f>
        <v>143245.79999999999</v>
      </c>
      <c r="R68" s="72">
        <v>143245.79999999999</v>
      </c>
      <c r="S68" s="72">
        <v>0</v>
      </c>
      <c r="T68" s="72">
        <v>2700.9</v>
      </c>
      <c r="U68" s="72">
        <v>0</v>
      </c>
      <c r="V68" s="72"/>
      <c r="W68" s="72">
        <v>442604</v>
      </c>
      <c r="X68" s="72"/>
      <c r="Y68" s="39">
        <v>8422055</v>
      </c>
      <c r="Z68" s="39">
        <v>30807.899999999998</v>
      </c>
      <c r="AA68" s="48">
        <v>8075.4000000000005</v>
      </c>
      <c r="AC68" s="344"/>
      <c r="AD68" s="344"/>
      <c r="AE68" s="344"/>
      <c r="AF68" s="344"/>
      <c r="AG68" s="344"/>
      <c r="AH68" s="344"/>
      <c r="AI68" s="344"/>
      <c r="AJ68" s="344"/>
      <c r="AK68" s="344"/>
      <c r="AL68" s="344"/>
      <c r="AM68" s="344"/>
      <c r="AN68" s="344"/>
    </row>
    <row r="69" spans="1:40" x14ac:dyDescent="0.3">
      <c r="A69" s="88">
        <v>2022</v>
      </c>
      <c r="B69" s="89" t="s">
        <v>22</v>
      </c>
      <c r="C69" s="90" t="s">
        <v>4</v>
      </c>
      <c r="D69" s="166">
        <v>58342384</v>
      </c>
      <c r="E69" s="166">
        <v>1420059</v>
      </c>
      <c r="F69" s="166">
        <v>117419</v>
      </c>
      <c r="G69" s="39">
        <f t="shared" si="23"/>
        <v>21385634</v>
      </c>
      <c r="H69" s="118">
        <f t="shared" si="24"/>
        <v>21385634</v>
      </c>
      <c r="I69" s="72"/>
      <c r="J69" s="68">
        <v>6180516</v>
      </c>
      <c r="K69" s="39">
        <v>0</v>
      </c>
      <c r="L69" s="166">
        <v>9829262</v>
      </c>
      <c r="M69" s="227">
        <v>0</v>
      </c>
      <c r="N69" s="39">
        <v>5375856</v>
      </c>
      <c r="O69" s="39">
        <v>0</v>
      </c>
      <c r="P69" s="91">
        <v>213204.1</v>
      </c>
      <c r="Q69" s="91">
        <f t="shared" si="25"/>
        <v>137318.70000000001</v>
      </c>
      <c r="R69" s="72">
        <v>137318.70000000001</v>
      </c>
      <c r="S69" s="72">
        <v>0</v>
      </c>
      <c r="T69" s="72">
        <v>3629.3</v>
      </c>
      <c r="U69" s="72">
        <v>0</v>
      </c>
      <c r="V69" s="72"/>
      <c r="W69" s="72">
        <v>346027</v>
      </c>
      <c r="X69" s="72"/>
      <c r="Y69" s="39">
        <v>8920982</v>
      </c>
      <c r="Z69" s="39">
        <v>33673.5</v>
      </c>
      <c r="AA69" s="48">
        <v>8534.6</v>
      </c>
    </row>
    <row r="70" spans="1:40" x14ac:dyDescent="0.3">
      <c r="A70" s="88">
        <v>2022</v>
      </c>
      <c r="B70" s="89" t="s">
        <v>23</v>
      </c>
      <c r="C70" s="90" t="s">
        <v>4</v>
      </c>
      <c r="D70" s="166">
        <v>62312130</v>
      </c>
      <c r="E70" s="166">
        <v>1651107</v>
      </c>
      <c r="F70" s="166">
        <v>238672</v>
      </c>
      <c r="G70" s="39">
        <f t="shared" si="23"/>
        <v>23098967</v>
      </c>
      <c r="H70" s="118">
        <f t="shared" si="24"/>
        <v>23098967</v>
      </c>
      <c r="I70" s="72"/>
      <c r="J70" s="68">
        <v>6686818</v>
      </c>
      <c r="K70" s="39">
        <v>0</v>
      </c>
      <c r="L70" s="166">
        <v>10629805</v>
      </c>
      <c r="M70" s="227">
        <v>0</v>
      </c>
      <c r="N70" s="39">
        <v>5782344</v>
      </c>
      <c r="O70" s="39">
        <v>0</v>
      </c>
      <c r="P70" s="91">
        <v>215200.3</v>
      </c>
      <c r="Q70" s="91">
        <f t="shared" si="25"/>
        <v>142612.09999999998</v>
      </c>
      <c r="R70" s="72">
        <v>142612.09999999998</v>
      </c>
      <c r="S70" s="72">
        <v>0</v>
      </c>
      <c r="T70" s="72">
        <v>2908.2</v>
      </c>
      <c r="U70" s="72">
        <v>0</v>
      </c>
      <c r="V70" s="72"/>
      <c r="W70" s="72">
        <v>350937</v>
      </c>
      <c r="X70" s="72"/>
      <c r="Y70" s="39">
        <v>9884174</v>
      </c>
      <c r="Z70" s="39">
        <v>33543.1</v>
      </c>
      <c r="AA70" s="48">
        <v>8477</v>
      </c>
    </row>
    <row r="71" spans="1:40" x14ac:dyDescent="0.3">
      <c r="A71" s="88">
        <v>2022</v>
      </c>
      <c r="B71" s="89" t="s">
        <v>24</v>
      </c>
      <c r="C71" s="90" t="s">
        <v>4</v>
      </c>
      <c r="D71" s="166">
        <v>62562465</v>
      </c>
      <c r="E71" s="166">
        <v>2332260</v>
      </c>
      <c r="F71" s="166">
        <v>399099</v>
      </c>
      <c r="G71" s="39">
        <f t="shared" si="23"/>
        <v>23157644</v>
      </c>
      <c r="H71" s="118">
        <f t="shared" si="24"/>
        <v>23106503</v>
      </c>
      <c r="I71" s="72">
        <f t="shared" ref="I71:I78" si="26">K71+M71+O71</f>
        <v>51141</v>
      </c>
      <c r="J71" s="68">
        <v>6633224</v>
      </c>
      <c r="K71" s="39">
        <v>15227</v>
      </c>
      <c r="L71" s="166">
        <v>10718044</v>
      </c>
      <c r="M71" s="227">
        <v>23759</v>
      </c>
      <c r="N71" s="39">
        <v>5755235</v>
      </c>
      <c r="O71" s="39">
        <v>12155</v>
      </c>
      <c r="P71" s="91">
        <v>218457.9</v>
      </c>
      <c r="Q71" s="91">
        <f t="shared" si="25"/>
        <v>168674.69999999998</v>
      </c>
      <c r="R71" s="72">
        <v>168413.3</v>
      </c>
      <c r="S71" s="72">
        <v>261.39999999999998</v>
      </c>
      <c r="T71" s="72">
        <v>3286.3</v>
      </c>
      <c r="U71" s="72">
        <v>0</v>
      </c>
      <c r="V71" s="72"/>
      <c r="W71" s="72">
        <v>622042</v>
      </c>
      <c r="X71" s="72"/>
      <c r="Y71" s="39">
        <v>10716754</v>
      </c>
      <c r="Z71" s="39">
        <v>35973.300000000003</v>
      </c>
      <c r="AA71" s="48">
        <v>8477</v>
      </c>
    </row>
    <row r="72" spans="1:40" x14ac:dyDescent="0.3">
      <c r="A72" s="88">
        <v>2022</v>
      </c>
      <c r="B72" s="89" t="s">
        <v>25</v>
      </c>
      <c r="C72" s="90" t="s">
        <v>4</v>
      </c>
      <c r="D72" s="166">
        <v>72016651</v>
      </c>
      <c r="E72" s="166">
        <v>3119826</v>
      </c>
      <c r="F72" s="166">
        <v>425457</v>
      </c>
      <c r="G72" s="39">
        <f t="shared" si="23"/>
        <v>26538123</v>
      </c>
      <c r="H72" s="118">
        <f t="shared" si="24"/>
        <v>15124832</v>
      </c>
      <c r="I72" s="39">
        <f t="shared" si="26"/>
        <v>11413291</v>
      </c>
      <c r="J72" s="39">
        <v>4271249</v>
      </c>
      <c r="K72" s="39">
        <v>3252922</v>
      </c>
      <c r="L72" s="39">
        <v>7056419</v>
      </c>
      <c r="M72" s="39">
        <v>5347724</v>
      </c>
      <c r="N72" s="39">
        <v>3797164</v>
      </c>
      <c r="O72" s="39">
        <v>2812645</v>
      </c>
      <c r="P72" s="39">
        <v>216968.8</v>
      </c>
      <c r="Q72" s="39">
        <f t="shared" si="25"/>
        <v>186641.2</v>
      </c>
      <c r="R72" s="39">
        <v>112720.1</v>
      </c>
      <c r="S72" s="39">
        <v>73921.099999999991</v>
      </c>
      <c r="T72" s="39">
        <v>2353.5</v>
      </c>
      <c r="U72" s="39">
        <v>2280.9</v>
      </c>
      <c r="V72" s="39">
        <v>10899.5</v>
      </c>
      <c r="W72" s="39">
        <v>723965</v>
      </c>
      <c r="X72" s="39"/>
      <c r="Y72" s="39">
        <v>11867474</v>
      </c>
      <c r="Z72" s="39">
        <v>33668.400000000001</v>
      </c>
      <c r="AA72" s="48">
        <v>8477.6</v>
      </c>
    </row>
    <row r="73" spans="1:40" x14ac:dyDescent="0.3">
      <c r="A73" s="88">
        <v>2022</v>
      </c>
      <c r="B73" s="89" t="s">
        <v>26</v>
      </c>
      <c r="C73" s="90" t="s">
        <v>4</v>
      </c>
      <c r="D73" s="166">
        <v>81538092</v>
      </c>
      <c r="E73" s="166">
        <v>3921486</v>
      </c>
      <c r="F73" s="166">
        <v>507481</v>
      </c>
      <c r="G73" s="39">
        <f t="shared" si="23"/>
        <v>30643063</v>
      </c>
      <c r="H73" s="118">
        <f t="shared" si="24"/>
        <v>262936</v>
      </c>
      <c r="I73" s="39">
        <f t="shared" si="26"/>
        <v>30380127</v>
      </c>
      <c r="J73" s="39">
        <v>72720</v>
      </c>
      <c r="K73" s="39">
        <v>8592680</v>
      </c>
      <c r="L73" s="39">
        <v>110846</v>
      </c>
      <c r="M73" s="39">
        <v>14184883</v>
      </c>
      <c r="N73" s="39">
        <v>79370</v>
      </c>
      <c r="O73" s="39">
        <v>7602564</v>
      </c>
      <c r="P73" s="39">
        <v>222370.5</v>
      </c>
      <c r="Q73" s="39">
        <f t="shared" si="25"/>
        <v>193214.69999999998</v>
      </c>
      <c r="R73" s="39">
        <v>2211.3000000000002</v>
      </c>
      <c r="S73" s="39">
        <v>191003.4</v>
      </c>
      <c r="T73" s="39">
        <v>0</v>
      </c>
      <c r="U73" s="39">
        <v>3047.1000000000004</v>
      </c>
      <c r="V73" s="39">
        <v>10899.5</v>
      </c>
      <c r="W73" s="39">
        <v>782411</v>
      </c>
      <c r="X73" s="39"/>
      <c r="Y73" s="39">
        <v>12356321</v>
      </c>
      <c r="Z73" s="39">
        <v>31235.199999999997</v>
      </c>
      <c r="AA73" s="48">
        <v>8586.7999999999993</v>
      </c>
    </row>
    <row r="74" spans="1:40" x14ac:dyDescent="0.3">
      <c r="A74" s="88">
        <v>2022</v>
      </c>
      <c r="B74" s="89" t="s">
        <v>27</v>
      </c>
      <c r="C74" s="90" t="s">
        <v>4</v>
      </c>
      <c r="D74" s="166">
        <v>80517085</v>
      </c>
      <c r="E74" s="166">
        <v>3944538</v>
      </c>
      <c r="F74" s="166">
        <v>424903</v>
      </c>
      <c r="G74" s="39">
        <f t="shared" si="23"/>
        <v>29470988</v>
      </c>
      <c r="H74" s="118">
        <f t="shared" si="24"/>
        <v>213587</v>
      </c>
      <c r="I74" s="39">
        <f t="shared" si="26"/>
        <v>29257401</v>
      </c>
      <c r="J74" s="39">
        <v>61653</v>
      </c>
      <c r="K74" s="39">
        <v>8294008</v>
      </c>
      <c r="L74" s="39">
        <v>96896</v>
      </c>
      <c r="M74" s="39">
        <v>13614512</v>
      </c>
      <c r="N74" s="39">
        <v>55038</v>
      </c>
      <c r="O74" s="39">
        <v>7348881</v>
      </c>
      <c r="P74" s="39">
        <v>226766.6</v>
      </c>
      <c r="Q74" s="39">
        <f t="shared" si="25"/>
        <v>187430.1</v>
      </c>
      <c r="R74" s="39">
        <v>1388.5</v>
      </c>
      <c r="S74" s="39">
        <v>186041.60000000001</v>
      </c>
      <c r="T74" s="39">
        <v>0</v>
      </c>
      <c r="U74" s="39">
        <v>3516.2</v>
      </c>
      <c r="V74" s="39">
        <v>10899.5</v>
      </c>
      <c r="W74" s="39">
        <v>835507</v>
      </c>
      <c r="X74" s="39"/>
      <c r="Y74" s="39">
        <v>13404710</v>
      </c>
      <c r="Z74" s="39">
        <v>34793.4</v>
      </c>
      <c r="AA74" s="48">
        <v>7524.7999999999993</v>
      </c>
    </row>
    <row r="75" spans="1:40" x14ac:dyDescent="0.3">
      <c r="A75" s="88">
        <v>2022</v>
      </c>
      <c r="B75" s="89" t="s">
        <v>28</v>
      </c>
      <c r="C75" s="90" t="s">
        <v>4</v>
      </c>
      <c r="D75" s="166">
        <v>81584868</v>
      </c>
      <c r="E75" s="166">
        <v>3414006</v>
      </c>
      <c r="F75" s="166">
        <v>277557</v>
      </c>
      <c r="G75" s="39">
        <f t="shared" si="23"/>
        <v>29988652</v>
      </c>
      <c r="H75" s="118">
        <f t="shared" si="24"/>
        <v>52578</v>
      </c>
      <c r="I75" s="39">
        <f t="shared" si="26"/>
        <v>29936074</v>
      </c>
      <c r="J75" s="39">
        <v>15127</v>
      </c>
      <c r="K75" s="39">
        <v>8457101</v>
      </c>
      <c r="L75" s="39">
        <v>25158</v>
      </c>
      <c r="M75" s="39">
        <v>13975094</v>
      </c>
      <c r="N75" s="39">
        <v>12293</v>
      </c>
      <c r="O75" s="39">
        <v>7503879</v>
      </c>
      <c r="P75" s="39">
        <v>216264.1</v>
      </c>
      <c r="Q75" s="39">
        <f t="shared" si="25"/>
        <v>178651.69999999998</v>
      </c>
      <c r="R75" s="39">
        <v>584.29999999999995</v>
      </c>
      <c r="S75" s="39">
        <v>178067.4</v>
      </c>
      <c r="T75" s="39">
        <v>0</v>
      </c>
      <c r="U75" s="39">
        <v>3085.8</v>
      </c>
      <c r="V75" s="39">
        <v>10899.5</v>
      </c>
      <c r="W75" s="39">
        <v>823774</v>
      </c>
      <c r="X75" s="39"/>
      <c r="Y75" s="39">
        <v>12787768</v>
      </c>
      <c r="Z75" s="39">
        <v>31436.400000000001</v>
      </c>
      <c r="AA75" s="48">
        <v>7503.2000000000007</v>
      </c>
    </row>
    <row r="76" spans="1:40" x14ac:dyDescent="0.3">
      <c r="A76" s="88">
        <v>2022</v>
      </c>
      <c r="B76" s="89" t="s">
        <v>29</v>
      </c>
      <c r="C76" s="90" t="s">
        <v>4</v>
      </c>
      <c r="D76" s="166">
        <v>66731954</v>
      </c>
      <c r="E76" s="166">
        <v>2622202</v>
      </c>
      <c r="F76" s="166">
        <v>233177</v>
      </c>
      <c r="G76" s="39">
        <f t="shared" si="23"/>
        <v>24525918</v>
      </c>
      <c r="H76" s="118">
        <f t="shared" si="24"/>
        <v>9928033</v>
      </c>
      <c r="I76" s="39">
        <f t="shared" si="26"/>
        <v>14597885</v>
      </c>
      <c r="J76" s="39">
        <v>2879197</v>
      </c>
      <c r="K76" s="39">
        <v>4078894</v>
      </c>
      <c r="L76" s="39">
        <v>4622764</v>
      </c>
      <c r="M76" s="39">
        <v>6837414</v>
      </c>
      <c r="N76" s="39">
        <v>2426072</v>
      </c>
      <c r="O76" s="39">
        <v>3681577</v>
      </c>
      <c r="P76" s="39">
        <v>216951.8</v>
      </c>
      <c r="Q76" s="39">
        <f t="shared" si="25"/>
        <v>167510.70000000001</v>
      </c>
      <c r="R76" s="39">
        <v>74682.599999999991</v>
      </c>
      <c r="S76" s="39">
        <v>92828.1</v>
      </c>
      <c r="T76" s="39">
        <v>3007.9</v>
      </c>
      <c r="U76" s="39">
        <v>3013.3</v>
      </c>
      <c r="V76" s="39">
        <v>10899.5</v>
      </c>
      <c r="W76" s="39">
        <v>719044</v>
      </c>
      <c r="X76" s="39"/>
      <c r="Y76" s="39">
        <v>10763268</v>
      </c>
      <c r="Z76" s="39">
        <v>31420.5</v>
      </c>
      <c r="AA76" s="48">
        <v>7541</v>
      </c>
    </row>
    <row r="77" spans="1:40" x14ac:dyDescent="0.3">
      <c r="A77" s="88">
        <v>2022</v>
      </c>
      <c r="B77" s="89" t="s">
        <v>30</v>
      </c>
      <c r="C77" s="90" t="s">
        <v>4</v>
      </c>
      <c r="D77" s="166">
        <v>59592357</v>
      </c>
      <c r="E77" s="166">
        <v>2380223</v>
      </c>
      <c r="F77" s="166">
        <v>271158</v>
      </c>
      <c r="G77" s="39">
        <f t="shared" si="23"/>
        <v>21797253</v>
      </c>
      <c r="H77" s="118">
        <f t="shared" si="24"/>
        <v>21787246</v>
      </c>
      <c r="I77" s="39">
        <f t="shared" si="26"/>
        <v>10007</v>
      </c>
      <c r="J77" s="39">
        <v>6215705</v>
      </c>
      <c r="K77" s="39">
        <v>3016</v>
      </c>
      <c r="L77" s="39">
        <v>10162844</v>
      </c>
      <c r="M77" s="39">
        <v>4621</v>
      </c>
      <c r="N77" s="39">
        <v>5408697</v>
      </c>
      <c r="O77" s="39">
        <v>2370</v>
      </c>
      <c r="P77" s="39">
        <v>211338.1</v>
      </c>
      <c r="Q77" s="39">
        <f t="shared" si="25"/>
        <v>149222.6</v>
      </c>
      <c r="R77" s="39">
        <v>149124.9</v>
      </c>
      <c r="S77" s="39">
        <v>97.7</v>
      </c>
      <c r="T77" s="39">
        <v>3315</v>
      </c>
      <c r="U77" s="39">
        <v>0</v>
      </c>
      <c r="V77" s="39">
        <v>10899.5</v>
      </c>
      <c r="W77" s="39">
        <v>777835</v>
      </c>
      <c r="X77" s="39"/>
      <c r="Y77" s="39">
        <v>8469933</v>
      </c>
      <c r="Z77" s="39">
        <v>29058.7</v>
      </c>
      <c r="AA77" s="48">
        <v>7541</v>
      </c>
    </row>
    <row r="78" spans="1:40" x14ac:dyDescent="0.3">
      <c r="A78" s="92">
        <v>2022</v>
      </c>
      <c r="B78" s="93" t="s">
        <v>31</v>
      </c>
      <c r="C78" s="94" t="s">
        <v>4</v>
      </c>
      <c r="D78" s="102">
        <v>61902936</v>
      </c>
      <c r="E78" s="102">
        <v>1349149</v>
      </c>
      <c r="F78" s="102">
        <v>79661</v>
      </c>
      <c r="G78" s="40">
        <f t="shared" si="23"/>
        <v>22176563</v>
      </c>
      <c r="H78" s="157">
        <f t="shared" si="24"/>
        <v>22173104</v>
      </c>
      <c r="I78" s="40">
        <f t="shared" si="26"/>
        <v>3459</v>
      </c>
      <c r="J78" s="40">
        <v>6370237</v>
      </c>
      <c r="K78" s="40">
        <v>878</v>
      </c>
      <c r="L78" s="40">
        <v>10245141</v>
      </c>
      <c r="M78" s="40">
        <v>1625</v>
      </c>
      <c r="N78" s="40">
        <v>5557726</v>
      </c>
      <c r="O78" s="40">
        <v>956</v>
      </c>
      <c r="P78" s="40">
        <v>219839.6</v>
      </c>
      <c r="Q78" s="40">
        <f t="shared" si="25"/>
        <v>145814.5</v>
      </c>
      <c r="R78" s="40">
        <v>145801.1</v>
      </c>
      <c r="S78" s="40">
        <v>13.4</v>
      </c>
      <c r="T78" s="40">
        <v>2840.4</v>
      </c>
      <c r="U78" s="40">
        <v>0</v>
      </c>
      <c r="V78" s="40">
        <v>10899.5</v>
      </c>
      <c r="W78" s="40">
        <v>780078</v>
      </c>
      <c r="X78" s="40"/>
      <c r="Y78" s="40">
        <v>9109869</v>
      </c>
      <c r="Z78" s="40">
        <v>32128.3</v>
      </c>
      <c r="AA78" s="49">
        <v>7562.6</v>
      </c>
    </row>
    <row r="79" spans="1:40" x14ac:dyDescent="0.3">
      <c r="A79" s="46" t="s">
        <v>81</v>
      </c>
      <c r="D79" s="166">
        <f t="shared" ref="D79:X79" si="27">SUM(D67:D78)</f>
        <v>816739718</v>
      </c>
      <c r="E79" s="166">
        <f t="shared" si="27"/>
        <v>27946835</v>
      </c>
      <c r="F79" s="166">
        <f t="shared" si="27"/>
        <v>3047027</v>
      </c>
      <c r="G79" s="166">
        <f t="shared" si="27"/>
        <v>299781998</v>
      </c>
      <c r="H79" s="166">
        <f t="shared" si="27"/>
        <v>184132613</v>
      </c>
      <c r="I79" s="166">
        <f t="shared" si="27"/>
        <v>115649385</v>
      </c>
      <c r="J79" s="166">
        <f t="shared" si="27"/>
        <v>52933908</v>
      </c>
      <c r="K79" s="166">
        <f t="shared" si="27"/>
        <v>32694726</v>
      </c>
      <c r="L79" s="166">
        <f t="shared" si="27"/>
        <v>85099720</v>
      </c>
      <c r="M79" s="166">
        <f t="shared" si="27"/>
        <v>53989632</v>
      </c>
      <c r="N79" s="166">
        <f t="shared" si="27"/>
        <v>46098985</v>
      </c>
      <c r="O79" s="166">
        <f t="shared" si="27"/>
        <v>28965027</v>
      </c>
      <c r="P79" s="166">
        <f t="shared" si="27"/>
        <v>2622205.3000000003</v>
      </c>
      <c r="Q79" s="166">
        <f t="shared" si="27"/>
        <v>1944197.3</v>
      </c>
      <c r="R79" s="166">
        <f t="shared" si="27"/>
        <v>1221963.2</v>
      </c>
      <c r="S79" s="166">
        <f t="shared" si="27"/>
        <v>722234.1</v>
      </c>
      <c r="T79" s="166">
        <f t="shared" si="27"/>
        <v>25799.500000000004</v>
      </c>
      <c r="U79" s="166">
        <f t="shared" si="27"/>
        <v>14943.3</v>
      </c>
      <c r="V79" s="166">
        <f t="shared" si="27"/>
        <v>76296.5</v>
      </c>
      <c r="W79" s="166">
        <f t="shared" si="27"/>
        <v>7562922</v>
      </c>
      <c r="X79" s="166">
        <f t="shared" si="27"/>
        <v>0</v>
      </c>
      <c r="Y79" s="166">
        <f>SUM(Y67:Y78)</f>
        <v>127271670</v>
      </c>
      <c r="Z79" s="166">
        <f>SUM(Z67:Z78)</f>
        <v>393388.2</v>
      </c>
      <c r="AA79" s="166">
        <f>SUM(AA67:AA78)</f>
        <v>96405.2</v>
      </c>
    </row>
    <row r="80" spans="1:40" x14ac:dyDescent="0.3">
      <c r="A80" s="272"/>
      <c r="B80" s="272"/>
      <c r="C80" s="272"/>
      <c r="D80" s="272"/>
      <c r="E80" s="272"/>
      <c r="F80" s="272"/>
      <c r="G80" s="272"/>
      <c r="H80" s="272"/>
      <c r="I80" s="272"/>
      <c r="J80" s="272"/>
      <c r="K80" s="272"/>
      <c r="L80" s="272"/>
      <c r="M80" s="272"/>
      <c r="N80" s="272"/>
      <c r="O80" s="365"/>
      <c r="P80" s="365"/>
      <c r="Q80" s="365"/>
      <c r="R80" s="365"/>
      <c r="S80" s="365"/>
      <c r="T80" s="365"/>
      <c r="U80" s="365"/>
      <c r="V80" s="365"/>
      <c r="W80" s="365"/>
      <c r="X80" s="365"/>
      <c r="Y80" s="365"/>
    </row>
    <row r="81" spans="1:40" s="65" customFormat="1" ht="60" x14ac:dyDescent="0.25">
      <c r="A81" s="115" t="s">
        <v>18</v>
      </c>
      <c r="B81" s="116" t="s">
        <v>19</v>
      </c>
      <c r="C81" s="369" t="s">
        <v>0</v>
      </c>
      <c r="D81" s="370" t="s">
        <v>106</v>
      </c>
      <c r="E81" s="371" t="s">
        <v>115</v>
      </c>
      <c r="F81" s="371"/>
      <c r="G81" s="371" t="s">
        <v>36</v>
      </c>
      <c r="H81" s="372" t="s">
        <v>37</v>
      </c>
      <c r="I81" s="159" t="s">
        <v>38</v>
      </c>
      <c r="J81" s="373" t="s">
        <v>100</v>
      </c>
      <c r="K81" s="374" t="s">
        <v>101</v>
      </c>
      <c r="L81" s="372" t="s">
        <v>82</v>
      </c>
      <c r="M81" s="159" t="s">
        <v>83</v>
      </c>
      <c r="N81" s="373" t="s">
        <v>102</v>
      </c>
      <c r="O81" s="374" t="s">
        <v>103</v>
      </c>
      <c r="P81" s="374" t="s">
        <v>77</v>
      </c>
      <c r="Q81" s="375" t="s">
        <v>33</v>
      </c>
      <c r="R81" s="376" t="s">
        <v>35</v>
      </c>
      <c r="S81" s="377" t="s">
        <v>34</v>
      </c>
      <c r="T81" s="377" t="s">
        <v>126</v>
      </c>
      <c r="U81" s="377" t="s">
        <v>127</v>
      </c>
      <c r="V81" s="377"/>
      <c r="W81" s="62" t="s">
        <v>158</v>
      </c>
      <c r="X81" s="385"/>
      <c r="Y81" s="369" t="s">
        <v>40</v>
      </c>
      <c r="Z81" s="369" t="s">
        <v>6</v>
      </c>
      <c r="AA81" s="378" t="s">
        <v>7</v>
      </c>
    </row>
    <row r="82" spans="1:40" x14ac:dyDescent="0.3">
      <c r="A82" s="84">
        <v>2021</v>
      </c>
      <c r="B82" s="85" t="s">
        <v>20</v>
      </c>
      <c r="C82" s="86" t="s">
        <v>4</v>
      </c>
      <c r="D82" s="68">
        <v>61645963</v>
      </c>
      <c r="E82" s="68">
        <v>60035</v>
      </c>
      <c r="F82" s="68"/>
      <c r="G82" s="47">
        <f>H82+I82</f>
        <v>20864484</v>
      </c>
      <c r="H82" s="117">
        <f>J82+L82+N82</f>
        <v>20864484</v>
      </c>
      <c r="I82" s="117">
        <f>K82+M82+O82</f>
        <v>0</v>
      </c>
      <c r="J82" s="99">
        <v>6007450</v>
      </c>
      <c r="K82" s="47"/>
      <c r="L82" s="68">
        <v>9579970</v>
      </c>
      <c r="M82" s="379"/>
      <c r="N82" s="379">
        <v>5277064</v>
      </c>
      <c r="O82" s="379"/>
      <c r="P82" s="87">
        <v>204844.3</v>
      </c>
      <c r="Q82" s="87">
        <f>R82+S82</f>
        <v>131286.79999999999</v>
      </c>
      <c r="R82" s="71">
        <v>131286.79999999999</v>
      </c>
      <c r="S82" s="71"/>
      <c r="T82" s="71"/>
      <c r="U82" s="71"/>
      <c r="V82" s="71"/>
      <c r="W82" s="71">
        <v>331197</v>
      </c>
      <c r="X82" s="71"/>
      <c r="Y82" s="87">
        <v>8524266</v>
      </c>
      <c r="Z82" s="87">
        <v>29143.1</v>
      </c>
      <c r="AA82" s="119">
        <v>7292.2</v>
      </c>
      <c r="AC82" s="327"/>
      <c r="AD82" s="327"/>
      <c r="AE82" s="327"/>
      <c r="AF82" s="327"/>
      <c r="AG82" s="327"/>
      <c r="AH82" s="327"/>
      <c r="AI82" s="327"/>
      <c r="AJ82" s="327"/>
      <c r="AK82" s="327"/>
      <c r="AL82" s="327"/>
      <c r="AM82" s="327"/>
      <c r="AN82" s="327"/>
    </row>
    <row r="83" spans="1:40" x14ac:dyDescent="0.3">
      <c r="A83" s="88">
        <v>2021</v>
      </c>
      <c r="B83" s="89" t="s">
        <v>21</v>
      </c>
      <c r="C83" s="90" t="s">
        <v>4</v>
      </c>
      <c r="D83" s="68">
        <v>57674766</v>
      </c>
      <c r="E83" s="68">
        <v>416943</v>
      </c>
      <c r="F83" s="68"/>
      <c r="G83" s="39">
        <f t="shared" ref="G83:G93" si="28">H83+I83</f>
        <v>20539341</v>
      </c>
      <c r="H83" s="118">
        <f>J83+L83+N83</f>
        <v>20539341</v>
      </c>
      <c r="I83" s="72">
        <f t="shared" ref="I83:I93" si="29">K83+M83+O83</f>
        <v>0</v>
      </c>
      <c r="J83" s="68">
        <v>5912371</v>
      </c>
      <c r="K83" s="39"/>
      <c r="L83" s="68">
        <v>9403142</v>
      </c>
      <c r="M83" s="379"/>
      <c r="N83" s="379">
        <v>5223828</v>
      </c>
      <c r="O83" s="379"/>
      <c r="P83" s="91">
        <v>209251.1</v>
      </c>
      <c r="Q83" s="91">
        <f t="shared" ref="Q83:Q93" si="30">R83+S83</f>
        <v>135986.6</v>
      </c>
      <c r="R83" s="72">
        <v>135986.6</v>
      </c>
      <c r="S83" s="72"/>
      <c r="T83" s="72"/>
      <c r="U83" s="72"/>
      <c r="V83" s="72"/>
      <c r="W83" s="72">
        <v>358226</v>
      </c>
      <c r="X83" s="72"/>
      <c r="Y83" s="39">
        <v>7533506</v>
      </c>
      <c r="Z83" s="39">
        <v>29442.2</v>
      </c>
      <c r="AA83" s="48">
        <v>7635.4</v>
      </c>
      <c r="AC83" s="327"/>
      <c r="AD83" s="327"/>
      <c r="AE83" s="327"/>
      <c r="AF83" s="327"/>
      <c r="AG83" s="327"/>
      <c r="AH83" s="327"/>
      <c r="AI83" s="327"/>
      <c r="AJ83" s="327"/>
      <c r="AK83" s="327"/>
      <c r="AL83" s="327"/>
      <c r="AM83" s="327"/>
      <c r="AN83" s="327"/>
    </row>
    <row r="84" spans="1:40" x14ac:dyDescent="0.3">
      <c r="A84" s="88">
        <v>2021</v>
      </c>
      <c r="B84" s="89" t="s">
        <v>22</v>
      </c>
      <c r="C84" s="90" t="s">
        <v>4</v>
      </c>
      <c r="D84" s="68">
        <v>59471368</v>
      </c>
      <c r="E84" s="68">
        <v>564701</v>
      </c>
      <c r="F84" s="118"/>
      <c r="G84" s="118">
        <f t="shared" si="28"/>
        <v>21370474</v>
      </c>
      <c r="H84" s="118">
        <f>J84+L84+N84</f>
        <v>21370474</v>
      </c>
      <c r="I84" s="118">
        <f t="shared" si="29"/>
        <v>0</v>
      </c>
      <c r="J84" s="118">
        <v>6158247</v>
      </c>
      <c r="K84" s="118"/>
      <c r="L84" s="118">
        <v>9788137</v>
      </c>
      <c r="M84" s="118"/>
      <c r="N84" s="118">
        <v>5424090</v>
      </c>
      <c r="O84" s="118"/>
      <c r="P84" s="118">
        <v>209278.8</v>
      </c>
      <c r="Q84" s="118">
        <f t="shared" si="30"/>
        <v>141431</v>
      </c>
      <c r="R84" s="118">
        <v>141431</v>
      </c>
      <c r="S84" s="118"/>
      <c r="T84" s="118"/>
      <c r="U84" s="118"/>
      <c r="V84" s="118"/>
      <c r="W84" s="118">
        <v>373908</v>
      </c>
      <c r="X84" s="118"/>
      <c r="Y84" s="118">
        <v>8054212</v>
      </c>
      <c r="Z84" s="118">
        <v>28637.8</v>
      </c>
      <c r="AA84" s="380">
        <v>7552</v>
      </c>
    </row>
    <row r="85" spans="1:40" x14ac:dyDescent="0.3">
      <c r="A85" s="88">
        <v>2021</v>
      </c>
      <c r="B85" s="89" t="s">
        <v>23</v>
      </c>
      <c r="C85" s="90" t="s">
        <v>4</v>
      </c>
      <c r="D85" s="68">
        <v>64050456</v>
      </c>
      <c r="E85" s="68">
        <v>624230</v>
      </c>
      <c r="F85" s="118"/>
      <c r="G85" s="118">
        <f t="shared" si="28"/>
        <v>23791694</v>
      </c>
      <c r="H85" s="118">
        <f>J85+L85+N85</f>
        <v>23791694</v>
      </c>
      <c r="I85" s="118">
        <f t="shared" si="29"/>
        <v>0</v>
      </c>
      <c r="J85" s="118">
        <v>6851219</v>
      </c>
      <c r="K85" s="118"/>
      <c r="L85" s="118">
        <v>10967124</v>
      </c>
      <c r="M85" s="118"/>
      <c r="N85" s="118">
        <v>5973351</v>
      </c>
      <c r="O85" s="118"/>
      <c r="P85" s="118">
        <v>211765.8</v>
      </c>
      <c r="Q85" s="118">
        <f t="shared" si="30"/>
        <v>152771.79999999999</v>
      </c>
      <c r="R85" s="118">
        <v>152771.79999999999</v>
      </c>
      <c r="S85" s="118"/>
      <c r="T85" s="118"/>
      <c r="U85" s="118"/>
      <c r="V85" s="118"/>
      <c r="W85" s="118">
        <v>370644</v>
      </c>
      <c r="X85" s="118"/>
      <c r="Y85" s="118">
        <v>8896153</v>
      </c>
      <c r="Z85" s="118">
        <v>28601.200000000001</v>
      </c>
      <c r="AA85" s="380">
        <v>7552</v>
      </c>
    </row>
    <row r="86" spans="1:40" x14ac:dyDescent="0.3">
      <c r="A86" s="88">
        <v>2021</v>
      </c>
      <c r="B86" s="89" t="s">
        <v>24</v>
      </c>
      <c r="C86" s="90" t="s">
        <v>4</v>
      </c>
      <c r="D86" s="68">
        <v>57295284</v>
      </c>
      <c r="E86" s="68">
        <v>2430108</v>
      </c>
      <c r="F86" s="118"/>
      <c r="G86" s="118">
        <f t="shared" si="28"/>
        <v>21110387</v>
      </c>
      <c r="H86" s="118">
        <f>J86+L86+N86</f>
        <v>20455531</v>
      </c>
      <c r="I86" s="118">
        <f t="shared" si="29"/>
        <v>654856</v>
      </c>
      <c r="J86" s="118">
        <v>5868263</v>
      </c>
      <c r="K86" s="118">
        <v>172456</v>
      </c>
      <c r="L86" s="118">
        <v>9525245</v>
      </c>
      <c r="M86" s="118">
        <v>296609</v>
      </c>
      <c r="N86" s="118">
        <v>5062023</v>
      </c>
      <c r="O86" s="118">
        <v>185791</v>
      </c>
      <c r="P86" s="118">
        <v>200903.8</v>
      </c>
      <c r="Q86" s="118">
        <f t="shared" si="30"/>
        <v>150921.70000000001</v>
      </c>
      <c r="R86" s="118">
        <v>144122.5</v>
      </c>
      <c r="S86" s="118">
        <v>6799.2</v>
      </c>
      <c r="T86" s="118"/>
      <c r="U86" s="118"/>
      <c r="V86" s="118"/>
      <c r="W86" s="118">
        <v>222215</v>
      </c>
      <c r="X86" s="118"/>
      <c r="Y86" s="118">
        <v>9415619</v>
      </c>
      <c r="Z86" s="118">
        <v>29530.600000000002</v>
      </c>
      <c r="AA86" s="380">
        <v>7436.8</v>
      </c>
    </row>
    <row r="87" spans="1:40" x14ac:dyDescent="0.3">
      <c r="A87" s="88">
        <v>2021</v>
      </c>
      <c r="B87" s="89" t="s">
        <v>25</v>
      </c>
      <c r="C87" s="90" t="s">
        <v>4</v>
      </c>
      <c r="D87" s="68">
        <v>65401857</v>
      </c>
      <c r="E87" s="68">
        <v>1086689</v>
      </c>
      <c r="F87" s="118"/>
      <c r="G87" s="118">
        <f t="shared" si="28"/>
        <v>23832091</v>
      </c>
      <c r="H87" s="118">
        <f>J87+L87+N87</f>
        <v>41889</v>
      </c>
      <c r="I87" s="118">
        <f t="shared" si="29"/>
        <v>23790202</v>
      </c>
      <c r="J87" s="118">
        <v>15508</v>
      </c>
      <c r="K87" s="118">
        <v>6826241</v>
      </c>
      <c r="L87" s="118">
        <v>18013</v>
      </c>
      <c r="M87" s="118">
        <v>11116277</v>
      </c>
      <c r="N87" s="118">
        <v>8368</v>
      </c>
      <c r="O87" s="118">
        <v>5847684</v>
      </c>
      <c r="P87" s="118">
        <v>200597.6</v>
      </c>
      <c r="Q87" s="118">
        <f t="shared" si="30"/>
        <v>168879.8</v>
      </c>
      <c r="R87" s="118">
        <v>345.9</v>
      </c>
      <c r="S87" s="118">
        <v>168533.9</v>
      </c>
      <c r="T87" s="118"/>
      <c r="U87" s="118"/>
      <c r="V87" s="118"/>
      <c r="W87" s="118">
        <v>406971</v>
      </c>
      <c r="X87" s="118"/>
      <c r="Y87" s="118">
        <v>10951222</v>
      </c>
      <c r="Z87" s="118">
        <v>31087</v>
      </c>
      <c r="AA87" s="380">
        <v>7436.8</v>
      </c>
    </row>
    <row r="88" spans="1:40" x14ac:dyDescent="0.3">
      <c r="A88" s="88">
        <v>2021</v>
      </c>
      <c r="B88" s="89" t="s">
        <v>26</v>
      </c>
      <c r="C88" s="90" t="s">
        <v>4</v>
      </c>
      <c r="D88" s="68">
        <v>78253468</v>
      </c>
      <c r="E88" s="68">
        <v>2450151</v>
      </c>
      <c r="F88" s="118"/>
      <c r="G88" s="118">
        <f t="shared" si="28"/>
        <v>29659443</v>
      </c>
      <c r="H88" s="118"/>
      <c r="I88" s="118">
        <f t="shared" si="29"/>
        <v>29659443</v>
      </c>
      <c r="J88" s="118"/>
      <c r="K88" s="118">
        <v>8419542</v>
      </c>
      <c r="L88" s="118"/>
      <c r="M88" s="118">
        <v>13863860</v>
      </c>
      <c r="N88" s="118"/>
      <c r="O88" s="118">
        <v>7376041</v>
      </c>
      <c r="P88" s="118">
        <v>208117.5</v>
      </c>
      <c r="Q88" s="118">
        <f t="shared" si="30"/>
        <v>181256.4</v>
      </c>
      <c r="R88" s="118"/>
      <c r="S88" s="118">
        <v>181256.4</v>
      </c>
      <c r="T88" s="118"/>
      <c r="U88" s="118"/>
      <c r="V88" s="118"/>
      <c r="W88" s="118">
        <v>422464</v>
      </c>
      <c r="X88" s="118"/>
      <c r="Y88" s="118">
        <v>12792254</v>
      </c>
      <c r="Z88" s="118">
        <v>32007.200000000001</v>
      </c>
      <c r="AA88" s="380">
        <v>7343.2</v>
      </c>
    </row>
    <row r="89" spans="1:40" x14ac:dyDescent="0.3">
      <c r="A89" s="88">
        <v>2021</v>
      </c>
      <c r="B89" s="89" t="s">
        <v>27</v>
      </c>
      <c r="C89" s="90" t="s">
        <v>4</v>
      </c>
      <c r="D89" s="68">
        <v>79233436</v>
      </c>
      <c r="E89" s="68">
        <v>4730958</v>
      </c>
      <c r="F89" s="118"/>
      <c r="G89" s="118">
        <f t="shared" si="28"/>
        <v>29754197</v>
      </c>
      <c r="H89" s="118"/>
      <c r="I89" s="118">
        <f t="shared" si="29"/>
        <v>29754197</v>
      </c>
      <c r="J89" s="118"/>
      <c r="K89" s="118">
        <v>8395499</v>
      </c>
      <c r="L89" s="118"/>
      <c r="M89" s="118">
        <v>13933922</v>
      </c>
      <c r="N89" s="118"/>
      <c r="O89" s="118">
        <v>7424776</v>
      </c>
      <c r="P89" s="118">
        <v>206301.9</v>
      </c>
      <c r="Q89" s="118">
        <f t="shared" si="30"/>
        <v>185972.4</v>
      </c>
      <c r="R89" s="118"/>
      <c r="S89" s="118">
        <v>185972.4</v>
      </c>
      <c r="T89" s="118"/>
      <c r="U89" s="118"/>
      <c r="V89" s="118"/>
      <c r="W89" s="118">
        <v>404735</v>
      </c>
      <c r="X89" s="118"/>
      <c r="Y89" s="118">
        <v>13312274</v>
      </c>
      <c r="Z89" s="118">
        <v>32909.4</v>
      </c>
      <c r="AA89" s="380">
        <v>7343.2</v>
      </c>
    </row>
    <row r="90" spans="1:40" x14ac:dyDescent="0.3">
      <c r="A90" s="88">
        <v>2021</v>
      </c>
      <c r="B90" s="89" t="s">
        <v>28</v>
      </c>
      <c r="C90" s="90" t="s">
        <v>4</v>
      </c>
      <c r="D90" s="68">
        <v>78138130</v>
      </c>
      <c r="E90" s="68">
        <v>2970437</v>
      </c>
      <c r="F90" s="118"/>
      <c r="G90" s="118">
        <f t="shared" si="28"/>
        <v>29228119</v>
      </c>
      <c r="H90" s="118"/>
      <c r="I90" s="118">
        <f t="shared" si="29"/>
        <v>29228119</v>
      </c>
      <c r="J90" s="118">
        <v>0</v>
      </c>
      <c r="K90" s="118">
        <v>8303211</v>
      </c>
      <c r="L90" s="118">
        <v>0</v>
      </c>
      <c r="M90" s="118">
        <v>13688631</v>
      </c>
      <c r="N90" s="118">
        <v>0</v>
      </c>
      <c r="O90" s="118">
        <v>7236277</v>
      </c>
      <c r="P90" s="118">
        <v>194221</v>
      </c>
      <c r="Q90" s="118">
        <f t="shared" si="30"/>
        <v>171276.79999999999</v>
      </c>
      <c r="R90" s="118">
        <v>0</v>
      </c>
      <c r="S90" s="118">
        <v>171276.79999999999</v>
      </c>
      <c r="T90" s="118">
        <v>0</v>
      </c>
      <c r="U90" s="118">
        <v>1776.4</v>
      </c>
      <c r="V90" s="118"/>
      <c r="W90" s="118">
        <v>397502</v>
      </c>
      <c r="X90" s="118"/>
      <c r="Y90" s="118">
        <v>12368713</v>
      </c>
      <c r="Z90" s="118">
        <v>30105.800000000003</v>
      </c>
      <c r="AA90" s="380">
        <v>6461.2000000000007</v>
      </c>
    </row>
    <row r="91" spans="1:40" x14ac:dyDescent="0.3">
      <c r="A91" s="88">
        <v>2021</v>
      </c>
      <c r="B91" s="89" t="s">
        <v>29</v>
      </c>
      <c r="C91" s="90" t="s">
        <v>4</v>
      </c>
      <c r="D91" s="68">
        <v>71134607</v>
      </c>
      <c r="E91" s="68">
        <v>2742099</v>
      </c>
      <c r="F91" s="118"/>
      <c r="G91" s="118">
        <f t="shared" si="28"/>
        <v>26640900</v>
      </c>
      <c r="H91" s="118">
        <f>J91+L91+N91</f>
        <v>9855363</v>
      </c>
      <c r="I91" s="118">
        <f t="shared" si="29"/>
        <v>16785537</v>
      </c>
      <c r="J91" s="118">
        <v>2837740</v>
      </c>
      <c r="K91" s="118">
        <v>4723136</v>
      </c>
      <c r="L91" s="118">
        <v>4618828</v>
      </c>
      <c r="M91" s="118">
        <v>7921808</v>
      </c>
      <c r="N91" s="118">
        <v>2398795</v>
      </c>
      <c r="O91" s="118">
        <v>4140593</v>
      </c>
      <c r="P91" s="118">
        <v>216036</v>
      </c>
      <c r="Q91" s="118">
        <f t="shared" si="30"/>
        <v>172611.6</v>
      </c>
      <c r="R91" s="118">
        <v>67973.3</v>
      </c>
      <c r="S91" s="118">
        <v>104638.3</v>
      </c>
      <c r="T91" s="118">
        <v>1830.7</v>
      </c>
      <c r="U91" s="118">
        <v>1953.8999999999999</v>
      </c>
      <c r="V91" s="118"/>
      <c r="W91" s="118">
        <v>412294</v>
      </c>
      <c r="X91" s="118"/>
      <c r="Y91" s="118">
        <v>12370261</v>
      </c>
      <c r="Z91" s="118">
        <v>33129.300000000003</v>
      </c>
      <c r="AA91" s="380">
        <v>7987.6</v>
      </c>
    </row>
    <row r="92" spans="1:40" x14ac:dyDescent="0.3">
      <c r="A92" s="88">
        <v>2021</v>
      </c>
      <c r="B92" s="89" t="s">
        <v>30</v>
      </c>
      <c r="C92" s="90" t="s">
        <v>4</v>
      </c>
      <c r="D92" s="68">
        <v>57996060</v>
      </c>
      <c r="E92" s="68">
        <v>1487978</v>
      </c>
      <c r="F92" s="118"/>
      <c r="G92" s="118">
        <f t="shared" si="28"/>
        <v>21050416</v>
      </c>
      <c r="H92" s="118">
        <f>J92+L92+N92</f>
        <v>20928472</v>
      </c>
      <c r="I92" s="118">
        <f t="shared" si="29"/>
        <v>121944</v>
      </c>
      <c r="J92" s="118">
        <v>5981874</v>
      </c>
      <c r="K92" s="118">
        <v>30331</v>
      </c>
      <c r="L92" s="118">
        <v>9732360</v>
      </c>
      <c r="M92" s="118">
        <v>51961</v>
      </c>
      <c r="N92" s="118">
        <v>5214238</v>
      </c>
      <c r="O92" s="118">
        <v>39652</v>
      </c>
      <c r="P92" s="118">
        <v>199601.7</v>
      </c>
      <c r="Q92" s="118">
        <f t="shared" si="30"/>
        <v>141957.80000000002</v>
      </c>
      <c r="R92" s="118">
        <v>140924.1</v>
      </c>
      <c r="S92" s="118">
        <v>1033.7</v>
      </c>
      <c r="T92" s="118">
        <v>2635.9</v>
      </c>
      <c r="U92" s="118">
        <v>0</v>
      </c>
      <c r="V92" s="118"/>
      <c r="W92" s="118">
        <v>279459</v>
      </c>
      <c r="X92" s="118"/>
      <c r="Y92" s="118">
        <v>10661415</v>
      </c>
      <c r="Z92" s="118">
        <v>34345.699999999997</v>
      </c>
      <c r="AA92" s="380">
        <v>9206.7999999999993</v>
      </c>
    </row>
    <row r="93" spans="1:40" x14ac:dyDescent="0.3">
      <c r="A93" s="92">
        <v>2021</v>
      </c>
      <c r="B93" s="93" t="s">
        <v>31</v>
      </c>
      <c r="C93" s="94" t="s">
        <v>4</v>
      </c>
      <c r="D93" s="102">
        <v>62832998</v>
      </c>
      <c r="E93" s="102">
        <v>1095078</v>
      </c>
      <c r="F93" s="157"/>
      <c r="G93" s="157">
        <f t="shared" si="28"/>
        <v>22286522</v>
      </c>
      <c r="H93" s="157">
        <f>J93+L93+N93</f>
        <v>22082453</v>
      </c>
      <c r="I93" s="157">
        <f t="shared" si="29"/>
        <v>204069</v>
      </c>
      <c r="J93" s="157">
        <v>6376303</v>
      </c>
      <c r="K93" s="157">
        <v>56195</v>
      </c>
      <c r="L93" s="157">
        <v>10188491</v>
      </c>
      <c r="M93" s="157">
        <v>93200</v>
      </c>
      <c r="N93" s="157">
        <v>5517659</v>
      </c>
      <c r="O93" s="157">
        <v>54674</v>
      </c>
      <c r="P93" s="157">
        <v>211921.5</v>
      </c>
      <c r="Q93" s="157">
        <f t="shared" si="30"/>
        <v>141646.5</v>
      </c>
      <c r="R93" s="157">
        <v>140445.20000000001</v>
      </c>
      <c r="S93" s="157">
        <v>1201.3</v>
      </c>
      <c r="T93" s="157">
        <v>2970.4</v>
      </c>
      <c r="U93" s="157">
        <v>0</v>
      </c>
      <c r="V93" s="157"/>
      <c r="W93" s="157">
        <v>355480</v>
      </c>
      <c r="X93" s="157"/>
      <c r="Y93" s="157">
        <v>9189731</v>
      </c>
      <c r="Z93" s="157">
        <v>32263.1</v>
      </c>
      <c r="AA93" s="381">
        <v>7124.2000000000007</v>
      </c>
    </row>
    <row r="94" spans="1:40" x14ac:dyDescent="0.3">
      <c r="A94" s="46" t="s">
        <v>81</v>
      </c>
      <c r="D94" s="166">
        <f t="shared" ref="D94:X94" si="31">SUM(D82:D93)</f>
        <v>793128393</v>
      </c>
      <c r="E94" s="166">
        <f t="shared" si="31"/>
        <v>20659407</v>
      </c>
      <c r="F94" s="166">
        <f t="shared" si="31"/>
        <v>0</v>
      </c>
      <c r="G94" s="166">
        <f t="shared" si="31"/>
        <v>290128068</v>
      </c>
      <c r="H94" s="166">
        <f t="shared" si="31"/>
        <v>159929701</v>
      </c>
      <c r="I94" s="166">
        <f t="shared" si="31"/>
        <v>130198367</v>
      </c>
      <c r="J94" s="166">
        <f t="shared" si="31"/>
        <v>46008975</v>
      </c>
      <c r="K94" s="166">
        <f t="shared" si="31"/>
        <v>36926611</v>
      </c>
      <c r="L94" s="166">
        <f t="shared" si="31"/>
        <v>73821310</v>
      </c>
      <c r="M94" s="166">
        <f t="shared" si="31"/>
        <v>60966268</v>
      </c>
      <c r="N94" s="166">
        <f t="shared" si="31"/>
        <v>40099416</v>
      </c>
      <c r="O94" s="166">
        <f t="shared" si="31"/>
        <v>32305488</v>
      </c>
      <c r="P94" s="166">
        <f t="shared" si="31"/>
        <v>2472841</v>
      </c>
      <c r="Q94" s="166">
        <f t="shared" si="31"/>
        <v>1875999.2</v>
      </c>
      <c r="R94" s="166">
        <f t="shared" si="31"/>
        <v>1055287.2</v>
      </c>
      <c r="S94" s="166">
        <f t="shared" si="31"/>
        <v>820712</v>
      </c>
      <c r="T94" s="166">
        <f t="shared" si="31"/>
        <v>7437</v>
      </c>
      <c r="U94" s="166">
        <f t="shared" si="31"/>
        <v>3730.3</v>
      </c>
      <c r="V94" s="166">
        <f t="shared" si="31"/>
        <v>0</v>
      </c>
      <c r="W94" s="166">
        <f t="shared" si="31"/>
        <v>4335095</v>
      </c>
      <c r="X94" s="166">
        <f t="shared" si="31"/>
        <v>0</v>
      </c>
      <c r="Y94" s="166">
        <f>SUM(Y82:Y93)</f>
        <v>124069626</v>
      </c>
      <c r="Z94" s="166">
        <f>SUM(Z82:Z93)</f>
        <v>371202.39999999997</v>
      </c>
      <c r="AA94" s="166">
        <f>SUM(AA82:AA93)</f>
        <v>90371.400000000009</v>
      </c>
    </row>
    <row r="95" spans="1:40" x14ac:dyDescent="0.3">
      <c r="A95" s="272"/>
      <c r="B95" s="272"/>
      <c r="C95" s="272"/>
      <c r="D95" s="272"/>
      <c r="E95" s="272"/>
      <c r="F95" s="272"/>
      <c r="G95" s="272"/>
      <c r="H95" s="272"/>
      <c r="I95" s="272"/>
      <c r="J95" s="272"/>
      <c r="K95" s="272"/>
      <c r="L95" s="272"/>
      <c r="M95" s="272"/>
      <c r="N95" s="272"/>
      <c r="O95" s="365"/>
      <c r="P95" s="365"/>
      <c r="Q95" s="365"/>
      <c r="R95" s="365"/>
      <c r="S95" s="365"/>
      <c r="T95" s="365"/>
      <c r="U95" s="365"/>
      <c r="V95" s="365"/>
      <c r="W95" s="365"/>
      <c r="X95" s="365"/>
      <c r="Y95" s="365"/>
    </row>
    <row r="96" spans="1:40" s="65" customFormat="1" ht="60" x14ac:dyDescent="0.25">
      <c r="A96" s="74" t="s">
        <v>18</v>
      </c>
      <c r="B96" s="74" t="s">
        <v>19</v>
      </c>
      <c r="C96" s="75" t="s">
        <v>0</v>
      </c>
      <c r="D96" s="76" t="s">
        <v>106</v>
      </c>
      <c r="E96" s="77" t="s">
        <v>115</v>
      </c>
      <c r="F96" s="77"/>
      <c r="G96" s="77" t="s">
        <v>36</v>
      </c>
      <c r="H96" s="78" t="s">
        <v>37</v>
      </c>
      <c r="I96" s="79" t="s">
        <v>38</v>
      </c>
      <c r="J96" s="156" t="s">
        <v>100</v>
      </c>
      <c r="K96" s="80" t="s">
        <v>101</v>
      </c>
      <c r="L96" s="78" t="s">
        <v>82</v>
      </c>
      <c r="M96" s="159" t="s">
        <v>83</v>
      </c>
      <c r="N96" s="156" t="s">
        <v>102</v>
      </c>
      <c r="O96" s="80" t="s">
        <v>103</v>
      </c>
      <c r="P96" s="80" t="s">
        <v>77</v>
      </c>
      <c r="Q96" s="81" t="s">
        <v>33</v>
      </c>
      <c r="R96" s="82" t="s">
        <v>35</v>
      </c>
      <c r="S96" s="83" t="s">
        <v>34</v>
      </c>
      <c r="T96" s="83" t="s">
        <v>126</v>
      </c>
      <c r="U96" s="83" t="s">
        <v>127</v>
      </c>
      <c r="V96" s="83"/>
      <c r="W96" s="62" t="s">
        <v>158</v>
      </c>
      <c r="X96" s="385"/>
      <c r="Y96" s="75" t="s">
        <v>40</v>
      </c>
      <c r="Z96" s="75" t="s">
        <v>6</v>
      </c>
      <c r="AA96" s="75" t="s">
        <v>7</v>
      </c>
    </row>
    <row r="97" spans="1:40" x14ac:dyDescent="0.3">
      <c r="A97" s="84">
        <v>2020</v>
      </c>
      <c r="B97" s="85" t="s">
        <v>20</v>
      </c>
      <c r="C97" s="86" t="s">
        <v>4</v>
      </c>
      <c r="D97" s="166">
        <v>62946224</v>
      </c>
      <c r="E97" s="166"/>
      <c r="F97" s="166"/>
      <c r="G97" s="47">
        <f>H97+I97</f>
        <v>21893143</v>
      </c>
      <c r="H97" s="117">
        <f>J97+L97+N97</f>
        <v>21893143</v>
      </c>
      <c r="I97" s="117">
        <f>K97+M97+O97</f>
        <v>0</v>
      </c>
      <c r="J97" s="99">
        <v>6345014</v>
      </c>
      <c r="K97" s="47"/>
      <c r="L97" s="166">
        <v>10108567</v>
      </c>
      <c r="M97" s="227"/>
      <c r="N97" s="227">
        <v>5439562</v>
      </c>
      <c r="O97" s="227"/>
      <c r="P97" s="87">
        <v>217334.8</v>
      </c>
      <c r="Q97" s="87">
        <f>R97+S97</f>
        <v>139459</v>
      </c>
      <c r="R97" s="71">
        <v>139459</v>
      </c>
      <c r="S97" s="71"/>
      <c r="T97" s="71"/>
      <c r="U97" s="71"/>
      <c r="V97" s="71"/>
      <c r="W97" s="71">
        <v>381045</v>
      </c>
      <c r="X97" s="71"/>
      <c r="Y97" s="87">
        <v>7469595</v>
      </c>
      <c r="Z97" s="87">
        <v>27469.8</v>
      </c>
      <c r="AA97" s="119">
        <v>6898.2</v>
      </c>
      <c r="AC97" s="317"/>
      <c r="AD97" s="317"/>
      <c r="AE97" s="317"/>
      <c r="AF97" s="317"/>
      <c r="AG97" s="317"/>
      <c r="AH97" s="317"/>
      <c r="AI97" s="317"/>
      <c r="AJ97" s="317"/>
      <c r="AK97" s="317"/>
      <c r="AL97" s="317"/>
      <c r="AM97" s="317"/>
      <c r="AN97" s="317"/>
    </row>
    <row r="98" spans="1:40" x14ac:dyDescent="0.3">
      <c r="A98" s="88">
        <v>2020</v>
      </c>
      <c r="B98" s="89" t="s">
        <v>21</v>
      </c>
      <c r="C98" s="90" t="s">
        <v>4</v>
      </c>
      <c r="D98" s="166">
        <v>63890583</v>
      </c>
      <c r="E98" s="166"/>
      <c r="F98" s="166"/>
      <c r="G98" s="39">
        <f t="shared" ref="G98:G108" si="32">H98+I98</f>
        <v>23445380</v>
      </c>
      <c r="H98" s="118">
        <f t="shared" ref="H98:H108" si="33">J98+L98+N98</f>
        <v>23445380</v>
      </c>
      <c r="I98" s="72">
        <f t="shared" ref="I98:I108" si="34">K98+M98+O98</f>
        <v>0</v>
      </c>
      <c r="J98" s="68">
        <v>6865810</v>
      </c>
      <c r="K98" s="39"/>
      <c r="L98" s="166">
        <v>10786340</v>
      </c>
      <c r="M98" s="227"/>
      <c r="N98" s="227">
        <v>5793230</v>
      </c>
      <c r="O98" s="227"/>
      <c r="P98" s="91">
        <v>218907.1</v>
      </c>
      <c r="Q98" s="91">
        <f t="shared" ref="Q98:Q108" si="35">R98+S98</f>
        <v>142192.6</v>
      </c>
      <c r="R98" s="72">
        <v>142192.6</v>
      </c>
      <c r="S98" s="72"/>
      <c r="T98" s="72"/>
      <c r="U98" s="72"/>
      <c r="V98" s="72"/>
      <c r="W98" s="72">
        <v>426810</v>
      </c>
      <c r="X98" s="72"/>
      <c r="Y98" s="39">
        <v>7715044</v>
      </c>
      <c r="Z98" s="39">
        <v>27297</v>
      </c>
      <c r="AA98" s="48">
        <v>6898.2</v>
      </c>
      <c r="AC98" s="316"/>
      <c r="AD98" s="316"/>
      <c r="AE98" s="316"/>
      <c r="AF98" s="316"/>
      <c r="AG98" s="316"/>
      <c r="AH98" s="316"/>
      <c r="AI98" s="316"/>
      <c r="AJ98" s="316"/>
      <c r="AK98" s="316"/>
      <c r="AL98" s="316"/>
      <c r="AM98" s="316"/>
      <c r="AN98" s="316"/>
    </row>
    <row r="99" spans="1:40" x14ac:dyDescent="0.3">
      <c r="A99" s="88">
        <v>2020</v>
      </c>
      <c r="B99" s="89" t="s">
        <v>22</v>
      </c>
      <c r="C99" s="90" t="s">
        <v>4</v>
      </c>
      <c r="D99" s="166">
        <v>58477749</v>
      </c>
      <c r="E99" s="166"/>
      <c r="F99" s="166"/>
      <c r="G99" s="39">
        <f t="shared" si="32"/>
        <v>21655255</v>
      </c>
      <c r="H99" s="118">
        <f t="shared" si="33"/>
        <v>21655255</v>
      </c>
      <c r="I99" s="72">
        <f t="shared" si="34"/>
        <v>0</v>
      </c>
      <c r="J99" s="68">
        <v>6343788</v>
      </c>
      <c r="K99" s="39"/>
      <c r="L99" s="166">
        <v>9946788</v>
      </c>
      <c r="M99" s="227"/>
      <c r="N99" s="227">
        <v>5364679</v>
      </c>
      <c r="O99" s="227"/>
      <c r="P99" s="91">
        <v>218449.7</v>
      </c>
      <c r="Q99" s="91">
        <f t="shared" si="35"/>
        <v>142757.29999999999</v>
      </c>
      <c r="R99" s="72">
        <v>142757.29999999999</v>
      </c>
      <c r="S99" s="72"/>
      <c r="T99" s="72"/>
      <c r="U99" s="72"/>
      <c r="V99" s="72"/>
      <c r="W99" s="72">
        <v>395818</v>
      </c>
      <c r="X99" s="72"/>
      <c r="Y99" s="39">
        <v>7208703</v>
      </c>
      <c r="Z99" s="39">
        <v>27700.6</v>
      </c>
      <c r="AA99" s="48">
        <v>6839.4</v>
      </c>
    </row>
    <row r="100" spans="1:40" x14ac:dyDescent="0.3">
      <c r="A100" s="88">
        <v>2020</v>
      </c>
      <c r="B100" s="89" t="s">
        <v>23</v>
      </c>
      <c r="C100" s="90" t="s">
        <v>4</v>
      </c>
      <c r="D100" s="166">
        <v>57849963</v>
      </c>
      <c r="E100" s="166"/>
      <c r="F100" s="166"/>
      <c r="G100" s="39">
        <f t="shared" si="32"/>
        <v>21159591</v>
      </c>
      <c r="H100" s="118">
        <f t="shared" si="33"/>
        <v>21159591</v>
      </c>
      <c r="I100" s="72">
        <f t="shared" si="34"/>
        <v>0</v>
      </c>
      <c r="J100" s="68">
        <v>6123780</v>
      </c>
      <c r="K100" s="39"/>
      <c r="L100" s="166">
        <v>9705754</v>
      </c>
      <c r="M100" s="227"/>
      <c r="N100" s="227">
        <v>5330057</v>
      </c>
      <c r="O100" s="227"/>
      <c r="P100" s="91">
        <v>218507.9</v>
      </c>
      <c r="Q100" s="91">
        <f t="shared" si="35"/>
        <v>139866.20000000001</v>
      </c>
      <c r="R100" s="72">
        <v>139866.20000000001</v>
      </c>
      <c r="S100" s="72"/>
      <c r="T100" s="72"/>
      <c r="U100" s="72"/>
      <c r="V100" s="72"/>
      <c r="W100" s="72">
        <v>367353</v>
      </c>
      <c r="X100" s="72"/>
      <c r="Y100" s="39">
        <v>7019826</v>
      </c>
      <c r="Z100" s="39">
        <v>27045.4</v>
      </c>
      <c r="AA100" s="48">
        <v>6263.4</v>
      </c>
    </row>
    <row r="101" spans="1:40" x14ac:dyDescent="0.3">
      <c r="A101" s="88">
        <v>2020</v>
      </c>
      <c r="B101" s="89" t="s">
        <v>24</v>
      </c>
      <c r="C101" s="90" t="s">
        <v>4</v>
      </c>
      <c r="D101" s="166">
        <v>53823203</v>
      </c>
      <c r="E101" s="166"/>
      <c r="F101" s="166"/>
      <c r="G101" s="39">
        <f t="shared" si="32"/>
        <v>19458313</v>
      </c>
      <c r="H101" s="118">
        <f t="shared" si="33"/>
        <v>19458313</v>
      </c>
      <c r="I101" s="72">
        <f t="shared" si="34"/>
        <v>0</v>
      </c>
      <c r="J101" s="68">
        <v>5565000</v>
      </c>
      <c r="K101" s="39"/>
      <c r="L101" s="166">
        <v>8966058</v>
      </c>
      <c r="M101" s="227"/>
      <c r="N101" s="227">
        <v>4927255</v>
      </c>
      <c r="O101" s="227"/>
      <c r="P101" s="91">
        <v>216697.5</v>
      </c>
      <c r="Q101" s="91">
        <f t="shared" si="35"/>
        <v>139818.4</v>
      </c>
      <c r="R101" s="72">
        <v>139818.4</v>
      </c>
      <c r="S101" s="72"/>
      <c r="T101" s="72"/>
      <c r="U101" s="72"/>
      <c r="V101" s="72"/>
      <c r="W101" s="72">
        <v>361923</v>
      </c>
      <c r="X101" s="72"/>
      <c r="Y101" s="39">
        <v>6750714</v>
      </c>
      <c r="Z101" s="39">
        <v>27213.4</v>
      </c>
      <c r="AA101" s="48">
        <v>6201</v>
      </c>
    </row>
    <row r="102" spans="1:40" x14ac:dyDescent="0.3">
      <c r="A102" s="88">
        <v>2020</v>
      </c>
      <c r="B102" s="89" t="s">
        <v>25</v>
      </c>
      <c r="C102" s="90" t="s">
        <v>4</v>
      </c>
      <c r="D102" s="166">
        <v>65062259</v>
      </c>
      <c r="E102" s="166"/>
      <c r="F102" s="166"/>
      <c r="G102" s="39">
        <f t="shared" si="32"/>
        <v>23505414</v>
      </c>
      <c r="H102" s="118">
        <f t="shared" si="33"/>
        <v>13311</v>
      </c>
      <c r="I102" s="72">
        <f t="shared" si="34"/>
        <v>23492103</v>
      </c>
      <c r="J102" s="39">
        <v>3638</v>
      </c>
      <c r="K102" s="39">
        <v>6714519</v>
      </c>
      <c r="L102" s="118">
        <v>5986</v>
      </c>
      <c r="M102" s="118">
        <v>10920919</v>
      </c>
      <c r="N102" s="118">
        <v>3687</v>
      </c>
      <c r="O102" s="118">
        <v>5856665</v>
      </c>
      <c r="P102" s="91">
        <v>218341.1</v>
      </c>
      <c r="Q102" s="91">
        <f t="shared" si="35"/>
        <v>167152</v>
      </c>
      <c r="R102" s="72">
        <v>94.8</v>
      </c>
      <c r="S102" s="72">
        <v>167057.20000000001</v>
      </c>
      <c r="T102" s="72"/>
      <c r="U102" s="72"/>
      <c r="V102" s="72"/>
      <c r="W102" s="72">
        <v>439726</v>
      </c>
      <c r="X102" s="72"/>
      <c r="Y102" s="39">
        <v>8280466</v>
      </c>
      <c r="Z102" s="39">
        <v>27338.2</v>
      </c>
      <c r="AA102" s="48">
        <v>6201</v>
      </c>
    </row>
    <row r="103" spans="1:40" x14ac:dyDescent="0.3">
      <c r="A103" s="88">
        <v>2020</v>
      </c>
      <c r="B103" s="89" t="s">
        <v>26</v>
      </c>
      <c r="C103" s="90" t="s">
        <v>4</v>
      </c>
      <c r="D103" s="166">
        <v>79404635</v>
      </c>
      <c r="E103" s="166"/>
      <c r="F103" s="166"/>
      <c r="G103" s="39">
        <f t="shared" si="32"/>
        <v>30377707</v>
      </c>
      <c r="H103" s="118">
        <f t="shared" si="33"/>
        <v>0</v>
      </c>
      <c r="I103" s="72">
        <f t="shared" si="34"/>
        <v>30377707</v>
      </c>
      <c r="J103" s="39"/>
      <c r="K103" s="39">
        <v>8761930</v>
      </c>
      <c r="L103" s="118"/>
      <c r="M103" s="118">
        <v>14147675</v>
      </c>
      <c r="N103" s="118"/>
      <c r="O103" s="118">
        <v>7468102</v>
      </c>
      <c r="P103" s="91">
        <v>220889.7</v>
      </c>
      <c r="Q103" s="91">
        <f t="shared" si="35"/>
        <v>187119.1</v>
      </c>
      <c r="R103" s="72"/>
      <c r="S103" s="72">
        <v>187119.1</v>
      </c>
      <c r="T103" s="72"/>
      <c r="U103" s="72"/>
      <c r="V103" s="72"/>
      <c r="W103" s="72">
        <v>485602</v>
      </c>
      <c r="X103" s="72"/>
      <c r="Y103" s="39">
        <v>11124502</v>
      </c>
      <c r="Z103" s="39">
        <v>29685.4</v>
      </c>
      <c r="AA103" s="48">
        <v>6201</v>
      </c>
    </row>
    <row r="104" spans="1:40" x14ac:dyDescent="0.3">
      <c r="A104" s="88">
        <v>2020</v>
      </c>
      <c r="B104" s="89" t="s">
        <v>27</v>
      </c>
      <c r="C104" s="90" t="s">
        <v>4</v>
      </c>
      <c r="D104" s="166">
        <v>80673221</v>
      </c>
      <c r="E104" s="166"/>
      <c r="F104" s="166"/>
      <c r="G104" s="39">
        <f t="shared" si="32"/>
        <v>29602762</v>
      </c>
      <c r="H104" s="118">
        <f t="shared" si="33"/>
        <v>0</v>
      </c>
      <c r="I104" s="72">
        <f t="shared" si="34"/>
        <v>29602762</v>
      </c>
      <c r="J104" s="39"/>
      <c r="K104" s="39">
        <v>8433358</v>
      </c>
      <c r="L104" s="118"/>
      <c r="M104" s="118">
        <v>13811496</v>
      </c>
      <c r="N104" s="118"/>
      <c r="O104" s="118">
        <v>7357908</v>
      </c>
      <c r="P104" s="91">
        <v>211454.4</v>
      </c>
      <c r="Q104" s="91">
        <f t="shared" si="35"/>
        <v>182944.5</v>
      </c>
      <c r="R104" s="72"/>
      <c r="S104" s="72">
        <v>182944.5</v>
      </c>
      <c r="T104" s="72"/>
      <c r="U104" s="72"/>
      <c r="V104" s="72"/>
      <c r="W104" s="72">
        <v>529693</v>
      </c>
      <c r="X104" s="72"/>
      <c r="Y104" s="39">
        <v>11865071</v>
      </c>
      <c r="Z104" s="39">
        <v>29367.8</v>
      </c>
      <c r="AA104" s="48">
        <v>6201</v>
      </c>
    </row>
    <row r="105" spans="1:40" x14ac:dyDescent="0.3">
      <c r="A105" s="88">
        <v>2020</v>
      </c>
      <c r="B105" s="89" t="s">
        <v>28</v>
      </c>
      <c r="C105" s="90" t="s">
        <v>4</v>
      </c>
      <c r="D105" s="166">
        <v>74164375</v>
      </c>
      <c r="E105" s="166">
        <v>112982</v>
      </c>
      <c r="F105" s="166"/>
      <c r="G105" s="39">
        <f t="shared" si="32"/>
        <v>27193697</v>
      </c>
      <c r="H105" s="118">
        <f t="shared" si="33"/>
        <v>0</v>
      </c>
      <c r="I105" s="72">
        <f t="shared" si="34"/>
        <v>27193697</v>
      </c>
      <c r="J105" s="39"/>
      <c r="K105" s="39">
        <v>7740445</v>
      </c>
      <c r="L105" s="118"/>
      <c r="M105" s="118">
        <v>12694562</v>
      </c>
      <c r="N105" s="118"/>
      <c r="O105" s="118">
        <v>6758690</v>
      </c>
      <c r="P105" s="91">
        <v>216658.2</v>
      </c>
      <c r="Q105" s="91">
        <f t="shared" si="35"/>
        <v>185851.6</v>
      </c>
      <c r="R105" s="72"/>
      <c r="S105" s="72">
        <v>185851.6</v>
      </c>
      <c r="T105" s="72"/>
      <c r="U105" s="72"/>
      <c r="V105" s="72"/>
      <c r="W105" s="72">
        <v>497071</v>
      </c>
      <c r="X105" s="72"/>
      <c r="Y105" s="39">
        <v>10480272</v>
      </c>
      <c r="Z105" s="39">
        <v>29450.400000000001</v>
      </c>
      <c r="AA105" s="48">
        <v>6222</v>
      </c>
    </row>
    <row r="106" spans="1:40" x14ac:dyDescent="0.3">
      <c r="A106" s="88">
        <v>2020</v>
      </c>
      <c r="B106" s="89" t="s">
        <v>29</v>
      </c>
      <c r="C106" s="90" t="s">
        <v>4</v>
      </c>
      <c r="D106" s="166">
        <v>61158012</v>
      </c>
      <c r="E106" s="166">
        <v>77346</v>
      </c>
      <c r="F106" s="166"/>
      <c r="G106" s="39">
        <f t="shared" si="32"/>
        <v>22878424</v>
      </c>
      <c r="H106" s="118">
        <f t="shared" si="33"/>
        <v>22878424</v>
      </c>
      <c r="I106" s="72">
        <f t="shared" si="34"/>
        <v>0</v>
      </c>
      <c r="J106" s="68">
        <v>6544146</v>
      </c>
      <c r="K106" s="39"/>
      <c r="L106" s="166">
        <v>10664722</v>
      </c>
      <c r="M106" s="118"/>
      <c r="N106" s="118">
        <v>5669556</v>
      </c>
      <c r="O106" s="118"/>
      <c r="P106" s="91">
        <v>211087.3</v>
      </c>
      <c r="Q106" s="91">
        <f t="shared" si="35"/>
        <v>159241.79999999999</v>
      </c>
      <c r="R106" s="72">
        <v>159241.79999999999</v>
      </c>
      <c r="S106" s="72"/>
      <c r="T106" s="72"/>
      <c r="U106" s="72"/>
      <c r="V106" s="72"/>
      <c r="W106" s="72">
        <v>451163</v>
      </c>
      <c r="X106" s="72"/>
      <c r="Y106" s="39">
        <v>9155772</v>
      </c>
      <c r="Z106" s="39">
        <v>29661.9</v>
      </c>
      <c r="AA106" s="48">
        <v>7096.8</v>
      </c>
    </row>
    <row r="107" spans="1:40" x14ac:dyDescent="0.3">
      <c r="A107" s="88">
        <v>2020</v>
      </c>
      <c r="B107" s="89" t="s">
        <v>30</v>
      </c>
      <c r="C107" s="90" t="s">
        <v>4</v>
      </c>
      <c r="D107" s="166">
        <v>57379840</v>
      </c>
      <c r="E107" s="166">
        <v>67923</v>
      </c>
      <c r="F107" s="166"/>
      <c r="G107" s="39">
        <f t="shared" si="32"/>
        <v>20963398</v>
      </c>
      <c r="H107" s="118">
        <f t="shared" si="33"/>
        <v>20963398</v>
      </c>
      <c r="I107" s="72">
        <f t="shared" si="34"/>
        <v>0</v>
      </c>
      <c r="J107" s="68">
        <v>6023597</v>
      </c>
      <c r="K107" s="39"/>
      <c r="L107" s="166">
        <v>9711524</v>
      </c>
      <c r="M107" s="227"/>
      <c r="N107" s="227">
        <v>5228277</v>
      </c>
      <c r="O107" s="227"/>
      <c r="P107" s="91">
        <v>207633.9</v>
      </c>
      <c r="Q107" s="91">
        <f t="shared" si="35"/>
        <v>146513.20000000001</v>
      </c>
      <c r="R107" s="72">
        <v>146513.20000000001</v>
      </c>
      <c r="S107" s="72"/>
      <c r="T107" s="72"/>
      <c r="U107" s="72"/>
      <c r="V107" s="72"/>
      <c r="W107" s="72">
        <v>437550</v>
      </c>
      <c r="X107" s="72"/>
      <c r="Y107" s="39">
        <v>7948901</v>
      </c>
      <c r="Z107" s="39">
        <v>28565.7</v>
      </c>
      <c r="AA107" s="48">
        <v>6647.4</v>
      </c>
    </row>
    <row r="108" spans="1:40" x14ac:dyDescent="0.3">
      <c r="A108" s="92">
        <v>2020</v>
      </c>
      <c r="B108" s="93" t="s">
        <v>31</v>
      </c>
      <c r="C108" s="94" t="s">
        <v>4</v>
      </c>
      <c r="D108" s="102">
        <v>61702159</v>
      </c>
      <c r="E108" s="102">
        <v>48402</v>
      </c>
      <c r="F108" s="102"/>
      <c r="G108" s="40">
        <f t="shared" si="32"/>
        <v>21350770</v>
      </c>
      <c r="H108" s="157">
        <f t="shared" si="33"/>
        <v>21350770</v>
      </c>
      <c r="I108" s="73">
        <f t="shared" si="34"/>
        <v>0</v>
      </c>
      <c r="J108" s="102">
        <v>6163524</v>
      </c>
      <c r="K108" s="40"/>
      <c r="L108" s="102">
        <v>9838828</v>
      </c>
      <c r="M108" s="228"/>
      <c r="N108" s="228">
        <v>5348418</v>
      </c>
      <c r="O108" s="228"/>
      <c r="P108" s="95">
        <v>211058.7</v>
      </c>
      <c r="Q108" s="95">
        <f t="shared" si="35"/>
        <v>139801.1</v>
      </c>
      <c r="R108" s="73">
        <v>139801.1</v>
      </c>
      <c r="S108" s="73"/>
      <c r="T108" s="73"/>
      <c r="U108" s="73"/>
      <c r="V108" s="73"/>
      <c r="W108" s="73">
        <v>502325</v>
      </c>
      <c r="X108" s="73"/>
      <c r="Y108" s="40">
        <v>8236528</v>
      </c>
      <c r="Z108" s="40">
        <v>28589.7</v>
      </c>
      <c r="AA108" s="49">
        <v>6647.4</v>
      </c>
    </row>
    <row r="109" spans="1:40" x14ac:dyDescent="0.3">
      <c r="A109" s="46" t="s">
        <v>81</v>
      </c>
      <c r="D109" s="166">
        <f>SUM(D97:D108)</f>
        <v>776532223</v>
      </c>
      <c r="E109" s="166"/>
      <c r="F109" s="166"/>
      <c r="G109" s="166">
        <f>SUM(G97:G108)</f>
        <v>283483854</v>
      </c>
      <c r="H109" s="166">
        <f>SUM(H97:H108)</f>
        <v>172817585</v>
      </c>
      <c r="I109" s="166">
        <f>SUM(I97:I108)</f>
        <v>110666269</v>
      </c>
      <c r="J109" s="166">
        <f>SUM(J97:J108)</f>
        <v>49978297</v>
      </c>
      <c r="K109" s="166">
        <f t="shared" ref="K109:AA109" si="36">SUM(K97:K108)</f>
        <v>31650252</v>
      </c>
      <c r="L109" s="166">
        <f t="shared" si="36"/>
        <v>79734567</v>
      </c>
      <c r="M109" s="166">
        <f t="shared" si="36"/>
        <v>51574652</v>
      </c>
      <c r="N109" s="166">
        <f t="shared" si="36"/>
        <v>43104721</v>
      </c>
      <c r="O109" s="166">
        <f t="shared" si="36"/>
        <v>27441365</v>
      </c>
      <c r="P109" s="166">
        <f t="shared" si="36"/>
        <v>2587020.2999999998</v>
      </c>
      <c r="Q109" s="166">
        <f t="shared" si="36"/>
        <v>1872716.8000000003</v>
      </c>
      <c r="R109" s="166">
        <f t="shared" si="36"/>
        <v>1149744.4000000001</v>
      </c>
      <c r="S109" s="166">
        <f t="shared" si="36"/>
        <v>722972.4</v>
      </c>
      <c r="T109" s="166">
        <f t="shared" si="36"/>
        <v>0</v>
      </c>
      <c r="U109" s="166">
        <f t="shared" si="36"/>
        <v>0</v>
      </c>
      <c r="V109" s="166">
        <f t="shared" si="36"/>
        <v>0</v>
      </c>
      <c r="W109" s="166">
        <f t="shared" si="36"/>
        <v>5276079</v>
      </c>
      <c r="X109" s="166">
        <f t="shared" si="36"/>
        <v>0</v>
      </c>
      <c r="Y109" s="166">
        <f t="shared" si="36"/>
        <v>103255394</v>
      </c>
      <c r="Z109" s="166">
        <f t="shared" si="36"/>
        <v>339385.3</v>
      </c>
      <c r="AA109" s="166">
        <f t="shared" si="36"/>
        <v>78316.799999999988</v>
      </c>
    </row>
    <row r="110" spans="1:40" x14ac:dyDescent="0.3">
      <c r="A110" s="272"/>
      <c r="B110" s="272"/>
      <c r="C110" s="272"/>
      <c r="D110" s="272"/>
      <c r="E110" s="272"/>
      <c r="F110" s="272"/>
      <c r="G110" s="272"/>
      <c r="H110" s="272"/>
      <c r="I110" s="272"/>
      <c r="J110" s="272"/>
      <c r="K110" s="272"/>
      <c r="L110" s="272"/>
      <c r="M110" s="272"/>
      <c r="N110" s="272"/>
      <c r="O110" s="272"/>
      <c r="P110" s="272"/>
      <c r="Q110" s="316"/>
      <c r="R110" s="316"/>
      <c r="S110" s="316"/>
      <c r="T110" s="365"/>
      <c r="U110" s="365"/>
      <c r="V110" s="365"/>
      <c r="W110" s="365"/>
      <c r="X110" s="365"/>
      <c r="Y110" s="316"/>
      <c r="Z110" s="316"/>
      <c r="AA110" s="316"/>
    </row>
    <row r="111" spans="1:40" x14ac:dyDescent="0.3">
      <c r="A111" s="548" t="s">
        <v>76</v>
      </c>
      <c r="B111" s="548"/>
      <c r="C111" s="548"/>
      <c r="D111" s="548"/>
      <c r="E111" s="548"/>
      <c r="F111" s="548"/>
      <c r="G111" s="548"/>
      <c r="H111" s="548"/>
      <c r="I111" s="548"/>
      <c r="J111" s="548"/>
      <c r="K111" s="548"/>
      <c r="L111" s="548"/>
      <c r="M111" s="548"/>
      <c r="N111" s="548"/>
      <c r="O111" s="548"/>
      <c r="P111" s="548"/>
      <c r="Q111" s="548"/>
    </row>
    <row r="112" spans="1:40" x14ac:dyDescent="0.3">
      <c r="A112" s="41" t="s">
        <v>113</v>
      </c>
      <c r="D112" s="45"/>
      <c r="E112" s="45"/>
      <c r="F112" s="45"/>
      <c r="G112" s="45"/>
      <c r="H112" s="45"/>
      <c r="I112" s="45"/>
      <c r="J112" s="45"/>
      <c r="K112" s="45"/>
      <c r="L112" s="45"/>
      <c r="M112" s="45"/>
      <c r="N112" s="45"/>
      <c r="O112" s="45"/>
      <c r="P112" s="45"/>
      <c r="Q112" s="45"/>
    </row>
  </sheetData>
  <mergeCells count="5">
    <mergeCell ref="A111:Q111"/>
    <mergeCell ref="A1:I1"/>
    <mergeCell ref="A2:I2"/>
    <mergeCell ref="A3:I3"/>
    <mergeCell ref="A4:I4"/>
  </mergeCells>
  <printOptions horizontalCentered="1"/>
  <pageMargins left="0.25" right="0.25" top="0.5" bottom="0.75" header="0.3" footer="0.3"/>
  <pageSetup scale="40" orientation="landscape" r:id="rId1"/>
  <rowBreaks count="1" manualBreakCount="1">
    <brk id="6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103CF-C2F3-45A7-8CED-5EC497E9D6B0}">
  <sheetPr codeName="Sheet10">
    <pageSetUpPr fitToPage="1"/>
  </sheetPr>
  <dimension ref="A1:AH113"/>
  <sheetViews>
    <sheetView zoomScaleNormal="100" workbookViewId="0">
      <selection sqref="A1:K1"/>
    </sheetView>
  </sheetViews>
  <sheetFormatPr defaultColWidth="9.109375" defaultRowHeight="14.4" x14ac:dyDescent="0.3"/>
  <cols>
    <col min="1" max="2" width="7" style="63" customWidth="1"/>
    <col min="3" max="3" width="9.109375" style="63"/>
    <col min="4" max="7" width="10.44140625" style="46" customWidth="1"/>
    <col min="8" max="8" width="9.44140625" style="46" bestFit="1" customWidth="1"/>
    <col min="9" max="9" width="11.6640625" style="46" customWidth="1"/>
    <col min="10" max="10" width="11" style="46" customWidth="1"/>
    <col min="11" max="11" width="8.88671875" style="46" customWidth="1"/>
    <col min="12" max="12" width="10.109375" style="46" customWidth="1"/>
    <col min="13" max="13" width="10.5546875" style="46" customWidth="1"/>
    <col min="14" max="14" width="9.44140625" style="46" bestFit="1" customWidth="1"/>
    <col min="15" max="15" width="9.44140625" style="46" customWidth="1"/>
    <col min="16" max="16" width="9.44140625" style="46" bestFit="1" customWidth="1"/>
    <col min="17" max="18" width="9.88671875" style="46" customWidth="1"/>
    <col min="19" max="19" width="9.109375" style="46"/>
    <col min="20" max="20" width="4.109375" style="46" customWidth="1"/>
    <col min="21" max="16384" width="9.109375" style="46"/>
  </cols>
  <sheetData>
    <row r="1" spans="1:32" ht="18" x14ac:dyDescent="0.35">
      <c r="A1" s="542" t="s">
        <v>122</v>
      </c>
      <c r="B1" s="542"/>
      <c r="C1" s="542"/>
      <c r="D1" s="542"/>
      <c r="E1" s="542"/>
      <c r="F1" s="542"/>
      <c r="G1" s="542"/>
      <c r="H1" s="542"/>
      <c r="I1" s="542"/>
      <c r="J1" s="542"/>
      <c r="K1" s="542"/>
    </row>
    <row r="2" spans="1:32" ht="18" x14ac:dyDescent="0.35">
      <c r="A2" s="542" t="s">
        <v>163</v>
      </c>
      <c r="B2" s="542"/>
      <c r="C2" s="542"/>
      <c r="D2" s="542"/>
      <c r="E2" s="542"/>
      <c r="F2" s="542"/>
      <c r="G2" s="542"/>
      <c r="H2" s="542"/>
      <c r="I2" s="542"/>
      <c r="J2" s="542"/>
      <c r="K2" s="542"/>
    </row>
    <row r="3" spans="1:32" ht="18" x14ac:dyDescent="0.35">
      <c r="A3" s="542" t="s">
        <v>166</v>
      </c>
      <c r="B3" s="542"/>
      <c r="C3" s="542"/>
      <c r="D3" s="542"/>
      <c r="E3" s="542"/>
      <c r="F3" s="542"/>
      <c r="G3" s="542"/>
      <c r="H3" s="542"/>
      <c r="I3" s="542"/>
      <c r="J3" s="542"/>
      <c r="K3" s="542"/>
    </row>
    <row r="4" spans="1:32" ht="18" x14ac:dyDescent="0.35">
      <c r="A4" s="542" t="s">
        <v>123</v>
      </c>
      <c r="B4" s="542"/>
      <c r="C4" s="542"/>
      <c r="D4" s="542"/>
      <c r="E4" s="542"/>
      <c r="F4" s="542"/>
      <c r="G4" s="542"/>
      <c r="H4" s="542"/>
      <c r="I4" s="542"/>
      <c r="J4" s="542"/>
      <c r="K4" s="542"/>
    </row>
    <row r="6" spans="1:32" s="65" customFormat="1" ht="51" customHeight="1" x14ac:dyDescent="0.25">
      <c r="A6" s="74" t="s">
        <v>18</v>
      </c>
      <c r="B6" s="74" t="s">
        <v>19</v>
      </c>
      <c r="C6" s="106" t="s">
        <v>0</v>
      </c>
      <c r="D6" s="415" t="s">
        <v>11</v>
      </c>
      <c r="E6" s="97" t="s">
        <v>98</v>
      </c>
      <c r="F6" s="499" t="s">
        <v>158</v>
      </c>
      <c r="G6" s="499" t="s">
        <v>159</v>
      </c>
      <c r="H6" s="498" t="s">
        <v>43</v>
      </c>
      <c r="I6" s="158" t="s">
        <v>44</v>
      </c>
      <c r="J6" s="201" t="s">
        <v>45</v>
      </c>
      <c r="K6" s="159" t="s">
        <v>108</v>
      </c>
      <c r="L6" s="156" t="s">
        <v>101</v>
      </c>
      <c r="M6" s="78" t="s">
        <v>82</v>
      </c>
      <c r="N6" s="78" t="s">
        <v>83</v>
      </c>
      <c r="O6" s="159" t="s">
        <v>102</v>
      </c>
      <c r="P6" s="156" t="s">
        <v>103</v>
      </c>
      <c r="Q6" s="76" t="s">
        <v>95</v>
      </c>
      <c r="R6" s="414" t="s">
        <v>41</v>
      </c>
      <c r="S6" s="414" t="s">
        <v>42</v>
      </c>
    </row>
    <row r="7" spans="1:32" x14ac:dyDescent="0.3">
      <c r="A7" s="121">
        <v>2027</v>
      </c>
      <c r="B7" s="122" t="s">
        <v>20</v>
      </c>
      <c r="C7" s="123" t="s">
        <v>5</v>
      </c>
      <c r="D7" s="399">
        <v>558314.4572513306</v>
      </c>
      <c r="E7" s="399">
        <v>322.568141571571</v>
      </c>
      <c r="F7" s="399">
        <v>16932.520935130498</v>
      </c>
      <c r="G7" s="399">
        <v>8141.9807534291403</v>
      </c>
      <c r="H7" s="202">
        <f t="shared" ref="H7:H18" si="0">I7+J7</f>
        <v>165966.46459779079</v>
      </c>
      <c r="I7" s="188">
        <f t="shared" ref="I7:I18" si="1">K7+M7+O7</f>
        <v>165966.46459779079</v>
      </c>
      <c r="J7" s="188">
        <f t="shared" ref="J7:J18" si="2">L7+N7+P7</f>
        <v>0</v>
      </c>
      <c r="K7" s="399">
        <v>36221.798829709856</v>
      </c>
      <c r="L7" s="399">
        <v>0</v>
      </c>
      <c r="M7" s="399">
        <v>71420.345991320675</v>
      </c>
      <c r="N7" s="399">
        <v>0</v>
      </c>
      <c r="O7" s="399">
        <v>58324.319776760254</v>
      </c>
      <c r="P7" s="399">
        <v>0</v>
      </c>
      <c r="Q7" s="188">
        <f>R7+S7</f>
        <v>477</v>
      </c>
      <c r="R7" s="399">
        <v>48.599780999999822</v>
      </c>
      <c r="S7" s="400">
        <v>428.40021900000016</v>
      </c>
    </row>
    <row r="8" spans="1:32" x14ac:dyDescent="0.3">
      <c r="A8" s="125">
        <v>2027</v>
      </c>
      <c r="B8" s="126" t="s">
        <v>21</v>
      </c>
      <c r="C8" s="127" t="s">
        <v>5</v>
      </c>
      <c r="D8" s="399">
        <v>477366.76326516643</v>
      </c>
      <c r="E8" s="399">
        <v>245.591653241991</v>
      </c>
      <c r="F8" s="399">
        <v>15985.1018106992</v>
      </c>
      <c r="G8" s="399">
        <v>7686.4154949479898</v>
      </c>
      <c r="H8" s="203">
        <f t="shared" si="0"/>
        <v>145047.7450241418</v>
      </c>
      <c r="I8" s="188">
        <f t="shared" si="1"/>
        <v>145047.7450241418</v>
      </c>
      <c r="J8" s="188">
        <f t="shared" si="2"/>
        <v>0</v>
      </c>
      <c r="K8" s="399">
        <v>32267.855269837022</v>
      </c>
      <c r="L8" s="399">
        <v>0</v>
      </c>
      <c r="M8" s="399">
        <v>60243.290623156885</v>
      </c>
      <c r="N8" s="399">
        <v>0</v>
      </c>
      <c r="O8" s="399">
        <v>52536.599131147894</v>
      </c>
      <c r="P8" s="399">
        <v>0</v>
      </c>
      <c r="Q8" s="188">
        <f t="shared" ref="Q8:Q18" si="3">R8+S8</f>
        <v>428</v>
      </c>
      <c r="R8" s="399">
        <v>35.383473333333491</v>
      </c>
      <c r="S8" s="401">
        <v>392.61652666666652</v>
      </c>
      <c r="U8" s="344"/>
      <c r="V8" s="344"/>
      <c r="W8" s="344"/>
      <c r="X8" s="344"/>
      <c r="Y8" s="344"/>
      <c r="Z8" s="344"/>
      <c r="AA8" s="344"/>
      <c r="AB8" s="344"/>
      <c r="AC8" s="344"/>
      <c r="AD8" s="344"/>
      <c r="AE8" s="344"/>
      <c r="AF8" s="344"/>
    </row>
    <row r="9" spans="1:32" x14ac:dyDescent="0.3">
      <c r="A9" s="125">
        <v>2027</v>
      </c>
      <c r="B9" s="126" t="s">
        <v>22</v>
      </c>
      <c r="C9" s="127" t="s">
        <v>5</v>
      </c>
      <c r="D9" s="399">
        <v>505700.34445056994</v>
      </c>
      <c r="E9" s="399">
        <v>992.44686739207702</v>
      </c>
      <c r="F9" s="399">
        <v>10143.041933820599</v>
      </c>
      <c r="G9" s="399">
        <v>4877.2685722804099</v>
      </c>
      <c r="H9" s="203">
        <f t="shared" si="0"/>
        <v>149586.04922185701</v>
      </c>
      <c r="I9" s="188">
        <f t="shared" si="1"/>
        <v>149586.04922185701</v>
      </c>
      <c r="J9" s="188">
        <f t="shared" si="2"/>
        <v>0</v>
      </c>
      <c r="K9" s="399">
        <v>34271.745520580094</v>
      </c>
      <c r="L9" s="399">
        <v>0</v>
      </c>
      <c r="M9" s="399">
        <v>59890.118272515843</v>
      </c>
      <c r="N9" s="399">
        <v>0</v>
      </c>
      <c r="O9" s="399">
        <v>55424.185428761084</v>
      </c>
      <c r="P9" s="399">
        <v>0</v>
      </c>
      <c r="Q9" s="188">
        <f t="shared" si="3"/>
        <v>444</v>
      </c>
      <c r="R9" s="399">
        <v>45.051644000000131</v>
      </c>
      <c r="S9" s="401">
        <v>398.94835599999988</v>
      </c>
    </row>
    <row r="10" spans="1:32" x14ac:dyDescent="0.3">
      <c r="A10" s="125">
        <v>2027</v>
      </c>
      <c r="B10" s="126" t="s">
        <v>23</v>
      </c>
      <c r="C10" s="127" t="s">
        <v>5</v>
      </c>
      <c r="D10" s="399">
        <v>451015.05824616016</v>
      </c>
      <c r="E10" s="399">
        <v>1055.67755423423</v>
      </c>
      <c r="F10" s="399">
        <v>8101.4002680960602</v>
      </c>
      <c r="G10" s="399">
        <v>3895.5478225224701</v>
      </c>
      <c r="H10" s="203">
        <f t="shared" si="0"/>
        <v>129507.5157314759</v>
      </c>
      <c r="I10" s="188">
        <f t="shared" si="1"/>
        <v>129507.5157314759</v>
      </c>
      <c r="J10" s="188">
        <f t="shared" si="2"/>
        <v>0</v>
      </c>
      <c r="K10" s="399">
        <v>31631.055282428722</v>
      </c>
      <c r="L10" s="399">
        <v>0</v>
      </c>
      <c r="M10" s="399">
        <v>53474.884358990232</v>
      </c>
      <c r="N10" s="399">
        <v>0</v>
      </c>
      <c r="O10" s="399">
        <v>44401.576090056951</v>
      </c>
      <c r="P10" s="399">
        <v>0</v>
      </c>
      <c r="Q10" s="188">
        <f t="shared" si="3"/>
        <v>475</v>
      </c>
      <c r="R10" s="399">
        <v>45.501199999999997</v>
      </c>
      <c r="S10" s="401">
        <v>429.49880000000002</v>
      </c>
      <c r="U10" s="344"/>
      <c r="V10" s="344"/>
      <c r="W10" s="344"/>
      <c r="X10" s="344"/>
      <c r="Y10" s="344"/>
      <c r="Z10" s="344"/>
      <c r="AA10" s="344"/>
      <c r="AB10" s="344"/>
      <c r="AC10" s="344"/>
      <c r="AD10" s="344"/>
      <c r="AE10" s="344"/>
      <c r="AF10" s="344"/>
    </row>
    <row r="11" spans="1:32" x14ac:dyDescent="0.3">
      <c r="A11" s="125">
        <v>2027</v>
      </c>
      <c r="B11" s="126" t="s">
        <v>24</v>
      </c>
      <c r="C11" s="127" t="s">
        <v>5</v>
      </c>
      <c r="D11" s="399">
        <v>463806.85060281621</v>
      </c>
      <c r="E11" s="399">
        <v>1155.56371170952</v>
      </c>
      <c r="F11" s="399">
        <v>3631.41525320562</v>
      </c>
      <c r="G11" s="399">
        <v>1746.1613195448999</v>
      </c>
      <c r="H11" s="203">
        <f t="shared" si="0"/>
        <v>130551.76676913933</v>
      </c>
      <c r="I11" s="188">
        <f t="shared" si="1"/>
        <v>107490.14530741563</v>
      </c>
      <c r="J11" s="188">
        <f t="shared" si="2"/>
        <v>23061.621461723706</v>
      </c>
      <c r="K11" s="399">
        <v>26913.55180323825</v>
      </c>
      <c r="L11" s="399">
        <v>5774.2050873751368</v>
      </c>
      <c r="M11" s="399">
        <v>45771.890492252693</v>
      </c>
      <c r="N11" s="399">
        <v>9820.1933684331816</v>
      </c>
      <c r="O11" s="399">
        <v>34804.703011924692</v>
      </c>
      <c r="P11" s="399">
        <v>7467.2230059153899</v>
      </c>
      <c r="Q11" s="188">
        <f t="shared" si="3"/>
        <v>453</v>
      </c>
      <c r="R11" s="399">
        <v>45.20305800000002</v>
      </c>
      <c r="S11" s="401">
        <v>407.796942</v>
      </c>
    </row>
    <row r="12" spans="1:32" x14ac:dyDescent="0.3">
      <c r="A12" s="125">
        <v>2027</v>
      </c>
      <c r="B12" s="126" t="s">
        <v>25</v>
      </c>
      <c r="C12" s="127" t="s">
        <v>5</v>
      </c>
      <c r="D12" s="399">
        <v>467069.61133558047</v>
      </c>
      <c r="E12" s="399">
        <v>1213.2960779566999</v>
      </c>
      <c r="F12" s="399">
        <v>3226.8107140493998</v>
      </c>
      <c r="G12" s="399">
        <v>1551.6077511081301</v>
      </c>
      <c r="H12" s="203">
        <f t="shared" si="0"/>
        <v>129492.525911626</v>
      </c>
      <c r="I12" s="188">
        <f t="shared" si="1"/>
        <v>0</v>
      </c>
      <c r="J12" s="188">
        <f t="shared" si="2"/>
        <v>129492.525911626</v>
      </c>
      <c r="K12" s="399">
        <v>0</v>
      </c>
      <c r="L12" s="399">
        <v>33332.670642500008</v>
      </c>
      <c r="M12" s="399">
        <v>0</v>
      </c>
      <c r="N12" s="399">
        <v>57212.649397156092</v>
      </c>
      <c r="O12" s="399">
        <v>0</v>
      </c>
      <c r="P12" s="399">
        <v>38947.205871969898</v>
      </c>
      <c r="Q12" s="186">
        <f t="shared" si="3"/>
        <v>472</v>
      </c>
      <c r="R12" s="399">
        <v>44.984431999999998</v>
      </c>
      <c r="S12" s="401">
        <v>427.01556799999997</v>
      </c>
    </row>
    <row r="13" spans="1:32" x14ac:dyDescent="0.3">
      <c r="A13" s="125">
        <v>2027</v>
      </c>
      <c r="B13" s="126" t="s">
        <v>26</v>
      </c>
      <c r="C13" s="127" t="s">
        <v>5</v>
      </c>
      <c r="D13" s="399">
        <v>469173.35763500712</v>
      </c>
      <c r="E13" s="399">
        <v>1117.0754675447299</v>
      </c>
      <c r="F13" s="399">
        <v>3351.4145898249399</v>
      </c>
      <c r="G13" s="399">
        <v>1611.52336333467</v>
      </c>
      <c r="H13" s="203">
        <f t="shared" si="0"/>
        <v>125446.36735261316</v>
      </c>
      <c r="I13" s="188">
        <f t="shared" si="1"/>
        <v>0</v>
      </c>
      <c r="J13" s="188">
        <f t="shared" si="2"/>
        <v>125446.36735261316</v>
      </c>
      <c r="K13" s="399">
        <v>0</v>
      </c>
      <c r="L13" s="399">
        <v>32752.28728056097</v>
      </c>
      <c r="M13" s="399">
        <v>0</v>
      </c>
      <c r="N13" s="399">
        <v>56173.123189218415</v>
      </c>
      <c r="O13" s="399">
        <v>0</v>
      </c>
      <c r="P13" s="399">
        <v>36520.956882833772</v>
      </c>
      <c r="Q13" s="186">
        <f t="shared" si="3"/>
        <v>475</v>
      </c>
      <c r="R13" s="399">
        <v>40.561041666666817</v>
      </c>
      <c r="S13" s="401">
        <v>434.43895833333318</v>
      </c>
    </row>
    <row r="14" spans="1:32" x14ac:dyDescent="0.3">
      <c r="A14" s="125">
        <v>2027</v>
      </c>
      <c r="B14" s="126" t="s">
        <v>27</v>
      </c>
      <c r="C14" s="127" t="s">
        <v>5</v>
      </c>
      <c r="D14" s="399">
        <v>444611.6998346934</v>
      </c>
      <c r="E14" s="399">
        <v>1640.3323108326999</v>
      </c>
      <c r="F14" s="399">
        <v>3564.1005157176801</v>
      </c>
      <c r="G14" s="399">
        <v>1713.79311523861</v>
      </c>
      <c r="H14" s="203">
        <f t="shared" si="0"/>
        <v>135323.09425417916</v>
      </c>
      <c r="I14" s="188">
        <f t="shared" si="1"/>
        <v>0</v>
      </c>
      <c r="J14" s="188">
        <f t="shared" si="2"/>
        <v>135323.09425417916</v>
      </c>
      <c r="K14" s="399">
        <v>0</v>
      </c>
      <c r="L14" s="399">
        <v>35196.646511912892</v>
      </c>
      <c r="M14" s="399">
        <v>0</v>
      </c>
      <c r="N14" s="399">
        <v>60816.146779219634</v>
      </c>
      <c r="O14" s="399">
        <v>0</v>
      </c>
      <c r="P14" s="399">
        <v>39310.300963046633</v>
      </c>
      <c r="Q14" s="186">
        <f t="shared" si="3"/>
        <v>451</v>
      </c>
      <c r="R14" s="399">
        <v>49.327072666666822</v>
      </c>
      <c r="S14" s="401">
        <v>401.67292733333318</v>
      </c>
      <c r="U14" s="344"/>
      <c r="V14" s="344"/>
      <c r="W14" s="344"/>
      <c r="X14" s="344"/>
      <c r="Y14" s="344"/>
      <c r="Z14" s="344"/>
      <c r="AA14" s="344"/>
      <c r="AB14" s="344"/>
      <c r="AC14" s="344"/>
      <c r="AD14" s="344"/>
      <c r="AE14" s="344"/>
      <c r="AF14" s="344"/>
    </row>
    <row r="15" spans="1:32" x14ac:dyDescent="0.3">
      <c r="A15" s="125">
        <v>2027</v>
      </c>
      <c r="B15" s="126" t="s">
        <v>28</v>
      </c>
      <c r="C15" s="127" t="s">
        <v>5</v>
      </c>
      <c r="D15" s="399">
        <v>416652.41380168812</v>
      </c>
      <c r="E15" s="399">
        <v>1653.1617255542999</v>
      </c>
      <c r="F15" s="399">
        <v>3107.21963787402</v>
      </c>
      <c r="G15" s="399">
        <v>1494.1025370745999</v>
      </c>
      <c r="H15" s="203">
        <f t="shared" si="0"/>
        <v>114901.9543074598</v>
      </c>
      <c r="I15" s="188">
        <f t="shared" si="1"/>
        <v>0</v>
      </c>
      <c r="J15" s="188">
        <f t="shared" si="2"/>
        <v>114901.9543074598</v>
      </c>
      <c r="K15" s="399">
        <v>0</v>
      </c>
      <c r="L15" s="399">
        <v>28474.929367253812</v>
      </c>
      <c r="M15" s="399">
        <v>0</v>
      </c>
      <c r="N15" s="399">
        <v>49146.949905263275</v>
      </c>
      <c r="O15" s="399">
        <v>0</v>
      </c>
      <c r="P15" s="399">
        <v>37280.075034942725</v>
      </c>
      <c r="Q15" s="186">
        <f t="shared" si="3"/>
        <v>466</v>
      </c>
      <c r="R15" s="399">
        <v>41.659623333333187</v>
      </c>
      <c r="S15" s="401">
        <v>424.34037666666683</v>
      </c>
    </row>
    <row r="16" spans="1:32" x14ac:dyDescent="0.3">
      <c r="A16" s="125">
        <v>2027</v>
      </c>
      <c r="B16" s="126" t="s">
        <v>29</v>
      </c>
      <c r="C16" s="127" t="s">
        <v>5</v>
      </c>
      <c r="D16" s="399">
        <v>429255.60128391348</v>
      </c>
      <c r="E16" s="399">
        <v>890.72793638513303</v>
      </c>
      <c r="F16" s="399">
        <v>3518.9853193161898</v>
      </c>
      <c r="G16" s="399">
        <v>1692.09953150141</v>
      </c>
      <c r="H16" s="203">
        <f t="shared" si="0"/>
        <v>123440.57425081535</v>
      </c>
      <c r="I16" s="188">
        <f t="shared" si="1"/>
        <v>122793.04614515361</v>
      </c>
      <c r="J16" s="188">
        <f t="shared" si="2"/>
        <v>647.52810566173935</v>
      </c>
      <c r="K16" s="399">
        <v>29285.155912102146</v>
      </c>
      <c r="L16" s="399">
        <v>154.43025584165477</v>
      </c>
      <c r="M16" s="399">
        <v>50367.103401975539</v>
      </c>
      <c r="N16" s="399">
        <v>265.60229652579056</v>
      </c>
      <c r="O16" s="399">
        <v>43140.786831075922</v>
      </c>
      <c r="P16" s="399">
        <v>227.4955532942941</v>
      </c>
      <c r="Q16" s="188">
        <f t="shared" si="3"/>
        <v>453</v>
      </c>
      <c r="R16" s="399">
        <v>43.608497999999983</v>
      </c>
      <c r="S16" s="401">
        <v>409.391502</v>
      </c>
    </row>
    <row r="17" spans="1:32" x14ac:dyDescent="0.3">
      <c r="A17" s="125">
        <v>2027</v>
      </c>
      <c r="B17" s="126" t="s">
        <v>30</v>
      </c>
      <c r="C17" s="127" t="s">
        <v>5</v>
      </c>
      <c r="D17" s="399">
        <v>443882.35052661475</v>
      </c>
      <c r="E17" s="399">
        <v>581.90559630098699</v>
      </c>
      <c r="F17" s="399">
        <v>9737.7212804358096</v>
      </c>
      <c r="G17" s="399">
        <v>4682.3706612446404</v>
      </c>
      <c r="H17" s="203">
        <f t="shared" si="0"/>
        <v>129370.50144207507</v>
      </c>
      <c r="I17" s="188">
        <f t="shared" si="1"/>
        <v>129370.50144207507</v>
      </c>
      <c r="J17" s="188">
        <f t="shared" si="2"/>
        <v>0</v>
      </c>
      <c r="K17" s="399">
        <v>29472.1166326973</v>
      </c>
      <c r="L17" s="399">
        <v>0</v>
      </c>
      <c r="M17" s="399">
        <v>52016.351775721312</v>
      </c>
      <c r="N17" s="399">
        <v>0</v>
      </c>
      <c r="O17" s="399">
        <v>47882.033033656458</v>
      </c>
      <c r="P17" s="399">
        <v>0</v>
      </c>
      <c r="Q17" s="188">
        <f t="shared" si="3"/>
        <v>447</v>
      </c>
      <c r="R17" s="399">
        <v>43.017193999999854</v>
      </c>
      <c r="S17" s="401">
        <v>403.98280600000015</v>
      </c>
    </row>
    <row r="18" spans="1:32" x14ac:dyDescent="0.3">
      <c r="A18" s="130">
        <v>2027</v>
      </c>
      <c r="B18" s="131" t="s">
        <v>31</v>
      </c>
      <c r="C18" s="132" t="s">
        <v>5</v>
      </c>
      <c r="D18" s="412">
        <v>507769.69891747698</v>
      </c>
      <c r="E18" s="412">
        <v>567.24340804773396</v>
      </c>
      <c r="F18" s="412">
        <v>8911.3254606370901</v>
      </c>
      <c r="G18" s="412">
        <v>4284.9993019950198</v>
      </c>
      <c r="H18" s="204">
        <f t="shared" si="0"/>
        <v>150456.44964413147</v>
      </c>
      <c r="I18" s="178">
        <f t="shared" si="1"/>
        <v>150334.27900702044</v>
      </c>
      <c r="J18" s="178">
        <f t="shared" si="2"/>
        <v>122.17063711103999</v>
      </c>
      <c r="K18" s="412">
        <v>32446.410245185594</v>
      </c>
      <c r="L18" s="412">
        <v>26.367895850522459</v>
      </c>
      <c r="M18" s="412">
        <v>64393.965878893687</v>
      </c>
      <c r="N18" s="412">
        <v>52.330392572432736</v>
      </c>
      <c r="O18" s="412">
        <v>53493.902882941155</v>
      </c>
      <c r="P18" s="412">
        <v>43.472348688084807</v>
      </c>
      <c r="Q18" s="465">
        <f t="shared" si="3"/>
        <v>473</v>
      </c>
      <c r="R18" s="412">
        <v>45.811153666666499</v>
      </c>
      <c r="S18" s="418">
        <v>427.18884633333352</v>
      </c>
    </row>
    <row r="19" spans="1:32" x14ac:dyDescent="0.3">
      <c r="A19" s="549" t="s">
        <v>85</v>
      </c>
      <c r="B19" s="545"/>
      <c r="C19" s="545"/>
      <c r="D19" s="166">
        <f>SUM(D7:D18)</f>
        <v>5634618.2071510181</v>
      </c>
      <c r="E19" s="166">
        <f>SUM(E7:E18)</f>
        <v>11435.590450771673</v>
      </c>
      <c r="F19" s="166">
        <f>SUM(F7:F18)</f>
        <v>90211.057718807104</v>
      </c>
      <c r="G19" s="166">
        <f>SUM(G7:G18)</f>
        <v>43377.870224221988</v>
      </c>
      <c r="H19" s="166">
        <f>SUM(H7:H18)</f>
        <v>1629091.0085073048</v>
      </c>
      <c r="I19" s="166">
        <f t="shared" ref="I19:P19" si="4">SUM(I7:I18)</f>
        <v>1100095.7464769301</v>
      </c>
      <c r="J19" s="166">
        <f t="shared" si="4"/>
        <v>528995.26203037461</v>
      </c>
      <c r="K19" s="166">
        <f t="shared" si="4"/>
        <v>252509.68949577899</v>
      </c>
      <c r="L19" s="166">
        <f t="shared" si="4"/>
        <v>135711.53704129503</v>
      </c>
      <c r="M19" s="166">
        <f t="shared" si="4"/>
        <v>457577.95079482684</v>
      </c>
      <c r="N19" s="166">
        <f t="shared" si="4"/>
        <v>233486.99532838882</v>
      </c>
      <c r="O19" s="166">
        <f t="shared" si="4"/>
        <v>390008.10618632438</v>
      </c>
      <c r="P19" s="166">
        <f t="shared" si="4"/>
        <v>159796.72966069076</v>
      </c>
      <c r="Q19" s="166">
        <f>SUM(Q7:Q18)</f>
        <v>5514</v>
      </c>
      <c r="R19" s="166">
        <f>SUM(R7:R18)</f>
        <v>528.70817166666666</v>
      </c>
      <c r="S19" s="166">
        <f>SUM(S7:S18)</f>
        <v>4985.2918283333338</v>
      </c>
    </row>
    <row r="20" spans="1:32" x14ac:dyDescent="0.3">
      <c r="A20" s="285"/>
      <c r="B20" s="285"/>
      <c r="C20" s="285"/>
      <c r="D20" s="285"/>
      <c r="E20" s="285"/>
      <c r="F20" s="285"/>
      <c r="G20" s="285"/>
      <c r="H20" s="285"/>
      <c r="I20" s="285"/>
      <c r="J20" s="285"/>
      <c r="K20" s="285"/>
      <c r="L20" s="285"/>
      <c r="M20" s="285"/>
      <c r="N20" s="285"/>
      <c r="O20" s="285"/>
      <c r="P20" s="285"/>
      <c r="Q20" s="285"/>
      <c r="R20" s="285"/>
    </row>
    <row r="21" spans="1:32" s="65" customFormat="1" ht="51" customHeight="1" x14ac:dyDescent="0.25">
      <c r="A21" s="74" t="s">
        <v>18</v>
      </c>
      <c r="B21" s="74" t="s">
        <v>19</v>
      </c>
      <c r="C21" s="106" t="s">
        <v>0</v>
      </c>
      <c r="D21" s="415" t="s">
        <v>11</v>
      </c>
      <c r="E21" s="97" t="s">
        <v>98</v>
      </c>
      <c r="F21" s="497" t="s">
        <v>158</v>
      </c>
      <c r="G21" s="385" t="s">
        <v>159</v>
      </c>
      <c r="H21" s="106" t="s">
        <v>43</v>
      </c>
      <c r="I21" s="158" t="s">
        <v>44</v>
      </c>
      <c r="J21" s="201" t="s">
        <v>45</v>
      </c>
      <c r="K21" s="159" t="s">
        <v>108</v>
      </c>
      <c r="L21" s="156" t="s">
        <v>101</v>
      </c>
      <c r="M21" s="78" t="s">
        <v>82</v>
      </c>
      <c r="N21" s="78" t="s">
        <v>83</v>
      </c>
      <c r="O21" s="159" t="s">
        <v>102</v>
      </c>
      <c r="P21" s="156" t="s">
        <v>103</v>
      </c>
      <c r="Q21" s="76" t="s">
        <v>95</v>
      </c>
      <c r="R21" s="414" t="s">
        <v>41</v>
      </c>
      <c r="S21" s="414" t="s">
        <v>42</v>
      </c>
    </row>
    <row r="22" spans="1:32" x14ac:dyDescent="0.3">
      <c r="A22" s="121">
        <v>2026</v>
      </c>
      <c r="B22" s="122" t="s">
        <v>20</v>
      </c>
      <c r="C22" s="123" t="s">
        <v>5</v>
      </c>
      <c r="D22" s="399">
        <v>617687.82205093</v>
      </c>
      <c r="E22" s="399">
        <v>324.18908700660398</v>
      </c>
      <c r="F22" s="399">
        <v>15386.078362181999</v>
      </c>
      <c r="G22" s="399">
        <v>7398.3758458393104</v>
      </c>
      <c r="H22" s="202">
        <f t="shared" ref="H22:H33" si="5">I22+J22</f>
        <v>183633.80801629802</v>
      </c>
      <c r="I22" s="188">
        <f t="shared" ref="I22:I33" si="6">K22+M22+O22</f>
        <v>183633.80801629802</v>
      </c>
      <c r="J22" s="188">
        <f t="shared" ref="J22:J33" si="7">L22+N22+P22</f>
        <v>0</v>
      </c>
      <c r="K22" s="399">
        <v>40083.739560020804</v>
      </c>
      <c r="L22" s="399">
        <v>0</v>
      </c>
      <c r="M22" s="399">
        <v>79023.310125726814</v>
      </c>
      <c r="N22" s="399">
        <v>0</v>
      </c>
      <c r="O22" s="399">
        <v>64526.758330550401</v>
      </c>
      <c r="P22" s="399">
        <v>0</v>
      </c>
      <c r="Q22" s="188">
        <f t="shared" ref="Q22:Q33" si="8">R22+S22</f>
        <v>488</v>
      </c>
      <c r="R22" s="399">
        <v>49.720530666666491</v>
      </c>
      <c r="S22" s="400">
        <v>438.27946933333351</v>
      </c>
    </row>
    <row r="23" spans="1:32" x14ac:dyDescent="0.3">
      <c r="A23" s="125">
        <v>2026</v>
      </c>
      <c r="B23" s="126" t="s">
        <v>21</v>
      </c>
      <c r="C23" s="127" t="s">
        <v>5</v>
      </c>
      <c r="D23" s="399">
        <v>527082.37014711462</v>
      </c>
      <c r="E23" s="399">
        <v>246.82578215275501</v>
      </c>
      <c r="F23" s="399">
        <v>14525.186771014</v>
      </c>
      <c r="G23" s="399">
        <v>6984.4172396204303</v>
      </c>
      <c r="H23" s="203">
        <f t="shared" si="5"/>
        <v>160165.51868597834</v>
      </c>
      <c r="I23" s="188">
        <f t="shared" si="6"/>
        <v>160165.51868597834</v>
      </c>
      <c r="J23" s="188">
        <f t="shared" si="7"/>
        <v>0</v>
      </c>
      <c r="K23" s="399">
        <v>35634.676099408025</v>
      </c>
      <c r="L23" s="399">
        <v>0</v>
      </c>
      <c r="M23" s="399">
        <v>66522.792340029628</v>
      </c>
      <c r="N23" s="399">
        <v>0</v>
      </c>
      <c r="O23" s="399">
        <v>58008.050246540697</v>
      </c>
      <c r="P23" s="399">
        <v>0</v>
      </c>
      <c r="Q23" s="188">
        <f t="shared" si="8"/>
        <v>437</v>
      </c>
      <c r="R23" s="399">
        <v>36.127518333333491</v>
      </c>
      <c r="S23" s="401">
        <v>400.87248166666649</v>
      </c>
      <c r="U23" s="307"/>
      <c r="V23" s="307"/>
      <c r="W23" s="307"/>
      <c r="X23" s="307"/>
      <c r="Y23" s="307"/>
      <c r="Z23" s="307"/>
      <c r="AA23" s="307"/>
      <c r="AB23" s="307"/>
      <c r="AC23" s="307"/>
      <c r="AD23" s="307"/>
      <c r="AE23" s="307"/>
      <c r="AF23" s="307"/>
    </row>
    <row r="24" spans="1:32" x14ac:dyDescent="0.3">
      <c r="A24" s="125">
        <v>2026</v>
      </c>
      <c r="B24" s="126" t="s">
        <v>22</v>
      </c>
      <c r="C24" s="127" t="s">
        <v>5</v>
      </c>
      <c r="D24" s="399">
        <v>557951.49294145324</v>
      </c>
      <c r="E24" s="399">
        <v>997.43403757997703</v>
      </c>
      <c r="F24" s="399">
        <v>9216.6806479993702</v>
      </c>
      <c r="G24" s="399">
        <v>4431.8289482117998</v>
      </c>
      <c r="H24" s="203">
        <f t="shared" si="5"/>
        <v>165105.36826366768</v>
      </c>
      <c r="I24" s="188">
        <f t="shared" si="6"/>
        <v>165105.36826366768</v>
      </c>
      <c r="J24" s="188">
        <f t="shared" si="7"/>
        <v>0</v>
      </c>
      <c r="K24" s="399">
        <v>37840.131927998096</v>
      </c>
      <c r="L24" s="399">
        <v>0</v>
      </c>
      <c r="M24" s="399">
        <v>66113.648539112779</v>
      </c>
      <c r="N24" s="399">
        <v>0</v>
      </c>
      <c r="O24" s="399">
        <v>61151.587796556807</v>
      </c>
      <c r="P24" s="399">
        <v>0</v>
      </c>
      <c r="Q24" s="188">
        <f t="shared" si="8"/>
        <v>453</v>
      </c>
      <c r="R24" s="399">
        <v>45.964853000000133</v>
      </c>
      <c r="S24" s="401">
        <v>407.03514699999988</v>
      </c>
    </row>
    <row r="25" spans="1:32" x14ac:dyDescent="0.3">
      <c r="A25" s="125">
        <v>2026</v>
      </c>
      <c r="B25" s="126" t="s">
        <v>23</v>
      </c>
      <c r="C25" s="127" t="s">
        <v>5</v>
      </c>
      <c r="D25" s="399">
        <v>499024.83275453176</v>
      </c>
      <c r="E25" s="399">
        <v>1060.9824665670701</v>
      </c>
      <c r="F25" s="399">
        <v>7361.5015652934799</v>
      </c>
      <c r="G25" s="399">
        <v>3539.7684899124602</v>
      </c>
      <c r="H25" s="203">
        <f t="shared" si="5"/>
        <v>143357.92181468612</v>
      </c>
      <c r="I25" s="188">
        <f t="shared" si="6"/>
        <v>143357.92181468612</v>
      </c>
      <c r="J25" s="188">
        <f t="shared" si="7"/>
        <v>0</v>
      </c>
      <c r="K25" s="399">
        <v>35025.509908595763</v>
      </c>
      <c r="L25" s="399">
        <v>0</v>
      </c>
      <c r="M25" s="399">
        <v>59202.60056237645</v>
      </c>
      <c r="N25" s="399">
        <v>0</v>
      </c>
      <c r="O25" s="399">
        <v>49129.811343713911</v>
      </c>
      <c r="P25" s="399">
        <v>0</v>
      </c>
      <c r="Q25" s="188">
        <f t="shared" si="8"/>
        <v>486</v>
      </c>
      <c r="R25" s="399">
        <v>46.554911999999995</v>
      </c>
      <c r="S25" s="401">
        <v>439.445088</v>
      </c>
      <c r="U25" s="306"/>
      <c r="V25" s="306"/>
      <c r="W25" s="306"/>
      <c r="X25" s="306"/>
      <c r="Y25" s="306"/>
      <c r="Z25" s="306"/>
      <c r="AA25" s="306"/>
      <c r="AB25" s="306"/>
      <c r="AC25" s="306"/>
      <c r="AD25" s="306"/>
      <c r="AE25" s="306"/>
      <c r="AF25" s="306"/>
    </row>
    <row r="26" spans="1:32" x14ac:dyDescent="0.3">
      <c r="A26" s="125">
        <v>2026</v>
      </c>
      <c r="B26" s="126" t="s">
        <v>24</v>
      </c>
      <c r="C26" s="127" t="s">
        <v>5</v>
      </c>
      <c r="D26" s="399">
        <v>511528.21582694008</v>
      </c>
      <c r="E26" s="399">
        <v>1161.37056453218</v>
      </c>
      <c r="F26" s="399">
        <v>3299.7590769560002</v>
      </c>
      <c r="G26" s="399">
        <v>1586.68487689791</v>
      </c>
      <c r="H26" s="203">
        <f t="shared" si="5"/>
        <v>144053.7457955167</v>
      </c>
      <c r="I26" s="188">
        <f t="shared" si="6"/>
        <v>118607.03574406085</v>
      </c>
      <c r="J26" s="188">
        <f t="shared" si="7"/>
        <v>25446.710051455866</v>
      </c>
      <c r="K26" s="399">
        <v>29704.67500951968</v>
      </c>
      <c r="L26" s="399">
        <v>6373.0304648291049</v>
      </c>
      <c r="M26" s="399">
        <v>50514.010764763116</v>
      </c>
      <c r="N26" s="399">
        <v>10837.598102028393</v>
      </c>
      <c r="O26" s="399">
        <v>38388.34996977805</v>
      </c>
      <c r="P26" s="399">
        <v>8236.0814845983696</v>
      </c>
      <c r="Q26" s="188">
        <f t="shared" si="8"/>
        <v>462</v>
      </c>
      <c r="R26" s="399">
        <v>46.101132000000021</v>
      </c>
      <c r="S26" s="401">
        <v>415.89886799999999</v>
      </c>
    </row>
    <row r="27" spans="1:32" x14ac:dyDescent="0.3">
      <c r="A27" s="125">
        <v>2026</v>
      </c>
      <c r="B27" s="126" t="s">
        <v>25</v>
      </c>
      <c r="C27" s="127" t="s">
        <v>5</v>
      </c>
      <c r="D27" s="399">
        <v>516862.12357699039</v>
      </c>
      <c r="E27" s="399">
        <v>1219.3930431725701</v>
      </c>
      <c r="F27" s="399">
        <v>2932.1069613022601</v>
      </c>
      <c r="G27" s="399">
        <v>1409.8998334257501</v>
      </c>
      <c r="H27" s="203">
        <f t="shared" si="5"/>
        <v>143369.99967828771</v>
      </c>
      <c r="I27" s="188">
        <f t="shared" si="6"/>
        <v>0</v>
      </c>
      <c r="J27" s="188">
        <f t="shared" si="7"/>
        <v>143369.99967828771</v>
      </c>
      <c r="K27" s="399">
        <v>0</v>
      </c>
      <c r="L27" s="399">
        <v>36913.901730097532</v>
      </c>
      <c r="M27" s="399">
        <v>0</v>
      </c>
      <c r="N27" s="399">
        <v>63352.290744062899</v>
      </c>
      <c r="O27" s="399">
        <v>0</v>
      </c>
      <c r="P27" s="399">
        <v>43103.807204127268</v>
      </c>
      <c r="Q27" s="186">
        <f t="shared" si="8"/>
        <v>483</v>
      </c>
      <c r="R27" s="399">
        <v>46.032798</v>
      </c>
      <c r="S27" s="401">
        <v>436.96720199999999</v>
      </c>
    </row>
    <row r="28" spans="1:32" x14ac:dyDescent="0.3">
      <c r="A28" s="125">
        <v>2026</v>
      </c>
      <c r="B28" s="126" t="s">
        <v>26</v>
      </c>
      <c r="C28" s="127" t="s">
        <v>5</v>
      </c>
      <c r="D28" s="399">
        <v>518047.12873336981</v>
      </c>
      <c r="E28" s="399">
        <v>1122.68891210526</v>
      </c>
      <c r="F28" s="399">
        <v>3045.3307986894301</v>
      </c>
      <c r="G28" s="399">
        <v>1464.3433689375299</v>
      </c>
      <c r="H28" s="203">
        <f t="shared" si="5"/>
        <v>138570.93335900403</v>
      </c>
      <c r="I28" s="188">
        <f t="shared" si="6"/>
        <v>0</v>
      </c>
      <c r="J28" s="188">
        <f t="shared" si="7"/>
        <v>138570.93335900403</v>
      </c>
      <c r="K28" s="399">
        <v>0</v>
      </c>
      <c r="L28" s="399">
        <v>36185.683155501159</v>
      </c>
      <c r="M28" s="399">
        <v>0</v>
      </c>
      <c r="N28" s="399">
        <v>62056.45223804401</v>
      </c>
      <c r="O28" s="399">
        <v>0</v>
      </c>
      <c r="P28" s="399">
        <v>40328.797965458849</v>
      </c>
      <c r="Q28" s="186">
        <f t="shared" si="8"/>
        <v>485</v>
      </c>
      <c r="R28" s="399">
        <v>41.41495833333348</v>
      </c>
      <c r="S28" s="401">
        <v>443.58504166666654</v>
      </c>
    </row>
    <row r="29" spans="1:32" x14ac:dyDescent="0.3">
      <c r="A29" s="125">
        <v>2026</v>
      </c>
      <c r="B29" s="126" t="s">
        <v>27</v>
      </c>
      <c r="C29" s="127" t="s">
        <v>5</v>
      </c>
      <c r="D29" s="399">
        <v>491465.54693379818</v>
      </c>
      <c r="E29" s="399">
        <v>1648.5751867665399</v>
      </c>
      <c r="F29" s="399">
        <v>3238.5921762985699</v>
      </c>
      <c r="G29" s="399">
        <v>1557.2728519662601</v>
      </c>
      <c r="H29" s="203">
        <f t="shared" si="5"/>
        <v>149688.13982730542</v>
      </c>
      <c r="I29" s="188">
        <f t="shared" si="6"/>
        <v>0</v>
      </c>
      <c r="J29" s="188">
        <f t="shared" si="7"/>
        <v>149688.13982730542</v>
      </c>
      <c r="K29" s="399">
        <v>0</v>
      </c>
      <c r="L29" s="399">
        <v>38945.463191390823</v>
      </c>
      <c r="M29" s="399">
        <v>0</v>
      </c>
      <c r="N29" s="399">
        <v>67285.450018958451</v>
      </c>
      <c r="O29" s="399">
        <v>0</v>
      </c>
      <c r="P29" s="399">
        <v>43457.226616956141</v>
      </c>
      <c r="Q29" s="186">
        <f t="shared" si="8"/>
        <v>461</v>
      </c>
      <c r="R29" s="399">
        <v>50.420799333333491</v>
      </c>
      <c r="S29" s="401">
        <v>410.57920066666651</v>
      </c>
      <c r="U29" s="308"/>
      <c r="V29" s="308"/>
      <c r="W29" s="308"/>
      <c r="X29" s="308"/>
      <c r="Y29" s="308"/>
      <c r="Z29" s="308"/>
      <c r="AA29" s="308"/>
      <c r="AB29" s="308"/>
      <c r="AC29" s="308"/>
      <c r="AD29" s="308"/>
      <c r="AE29" s="308"/>
      <c r="AF29" s="308"/>
    </row>
    <row r="30" spans="1:32" x14ac:dyDescent="0.3">
      <c r="A30" s="125">
        <v>2026</v>
      </c>
      <c r="B30" s="126" t="s">
        <v>28</v>
      </c>
      <c r="C30" s="127" t="s">
        <v>5</v>
      </c>
      <c r="D30" s="399">
        <v>461206.4126351478</v>
      </c>
      <c r="E30" s="399">
        <v>1661.46907090884</v>
      </c>
      <c r="F30" s="399">
        <v>2823.43810587894</v>
      </c>
      <c r="G30" s="399">
        <v>1357.6465550897301</v>
      </c>
      <c r="H30" s="203">
        <f t="shared" si="5"/>
        <v>127268.31712294355</v>
      </c>
      <c r="I30" s="188">
        <f t="shared" si="6"/>
        <v>0</v>
      </c>
      <c r="J30" s="188">
        <f t="shared" si="7"/>
        <v>127268.31712294355</v>
      </c>
      <c r="K30" s="399">
        <v>0</v>
      </c>
      <c r="L30" s="399">
        <v>31552.321212912382</v>
      </c>
      <c r="M30" s="399">
        <v>0</v>
      </c>
      <c r="N30" s="399">
        <v>54448.276591309696</v>
      </c>
      <c r="O30" s="399">
        <v>0</v>
      </c>
      <c r="P30" s="399">
        <v>41267.719318721473</v>
      </c>
      <c r="Q30" s="186">
        <f t="shared" si="8"/>
        <v>477</v>
      </c>
      <c r="R30" s="399">
        <v>42.643004999999853</v>
      </c>
      <c r="S30" s="401">
        <v>434.35699500000015</v>
      </c>
    </row>
    <row r="31" spans="1:32" x14ac:dyDescent="0.3">
      <c r="A31" s="125">
        <v>2026</v>
      </c>
      <c r="B31" s="126" t="s">
        <v>29</v>
      </c>
      <c r="C31" s="127" t="s">
        <v>5</v>
      </c>
      <c r="D31" s="399">
        <v>474446.02470439801</v>
      </c>
      <c r="E31" s="399">
        <v>895.20395616596295</v>
      </c>
      <c r="F31" s="399">
        <v>3197.5973386239002</v>
      </c>
      <c r="G31" s="399">
        <v>1537.5605373844101</v>
      </c>
      <c r="H31" s="203">
        <f t="shared" si="5"/>
        <v>136485.62816035829</v>
      </c>
      <c r="I31" s="188">
        <f t="shared" si="6"/>
        <v>135769.67005023838</v>
      </c>
      <c r="J31" s="188">
        <f t="shared" si="7"/>
        <v>715.95811011990338</v>
      </c>
      <c r="K31" s="399">
        <v>32392.650021511658</v>
      </c>
      <c r="L31" s="399">
        <v>170.81709399894217</v>
      </c>
      <c r="M31" s="399">
        <v>55694.477176909568</v>
      </c>
      <c r="N31" s="399">
        <v>293.69529003746925</v>
      </c>
      <c r="O31" s="399">
        <v>47682.542851817161</v>
      </c>
      <c r="P31" s="399">
        <v>251.44572608349196</v>
      </c>
      <c r="Q31" s="188">
        <f t="shared" si="8"/>
        <v>463</v>
      </c>
      <c r="R31" s="399">
        <v>44.571157999999983</v>
      </c>
      <c r="S31" s="401">
        <v>418.42884200000003</v>
      </c>
    </row>
    <row r="32" spans="1:32" x14ac:dyDescent="0.3">
      <c r="A32" s="125">
        <v>2026</v>
      </c>
      <c r="B32" s="126" t="s">
        <v>30</v>
      </c>
      <c r="C32" s="127" t="s">
        <v>5</v>
      </c>
      <c r="D32" s="399">
        <v>489681.55224684085</v>
      </c>
      <c r="E32" s="399">
        <v>584.82974502611796</v>
      </c>
      <c r="F32" s="399">
        <v>8848.3778206365096</v>
      </c>
      <c r="G32" s="399">
        <v>4254.7310108573902</v>
      </c>
      <c r="H32" s="203">
        <f t="shared" si="5"/>
        <v>142749.98056457331</v>
      </c>
      <c r="I32" s="188">
        <f t="shared" si="6"/>
        <v>142749.98056457331</v>
      </c>
      <c r="J32" s="188">
        <f t="shared" si="7"/>
        <v>0</v>
      </c>
      <c r="K32" s="399">
        <v>32530.515545296523</v>
      </c>
      <c r="L32" s="399">
        <v>0</v>
      </c>
      <c r="M32" s="399">
        <v>57397.026296857824</v>
      </c>
      <c r="N32" s="399">
        <v>0</v>
      </c>
      <c r="O32" s="399">
        <v>52822.438722418963</v>
      </c>
      <c r="P32" s="399">
        <v>0</v>
      </c>
      <c r="Q32" s="188">
        <f t="shared" si="8"/>
        <v>456</v>
      </c>
      <c r="R32" s="399">
        <v>43.883311999999847</v>
      </c>
      <c r="S32" s="401">
        <v>412.11668800000012</v>
      </c>
    </row>
    <row r="33" spans="1:34" x14ac:dyDescent="0.3">
      <c r="A33" s="130">
        <v>2026</v>
      </c>
      <c r="B33" s="131" t="s">
        <v>31</v>
      </c>
      <c r="C33" s="132" t="s">
        <v>5</v>
      </c>
      <c r="D33" s="412">
        <v>560713.14095498936</v>
      </c>
      <c r="E33" s="412">
        <v>570.09387743490799</v>
      </c>
      <c r="F33" s="412">
        <v>8097.4565083100997</v>
      </c>
      <c r="G33" s="412">
        <v>3893.6514707390302</v>
      </c>
      <c r="H33" s="204">
        <f t="shared" si="5"/>
        <v>166181.50772715954</v>
      </c>
      <c r="I33" s="178">
        <f t="shared" si="6"/>
        <v>166046.56834288509</v>
      </c>
      <c r="J33" s="178">
        <f t="shared" si="7"/>
        <v>134.93938427445937</v>
      </c>
      <c r="K33" s="412">
        <v>35852.492984153418</v>
      </c>
      <c r="L33" s="412">
        <v>29.13588263983738</v>
      </c>
      <c r="M33" s="412">
        <v>71122.542789180196</v>
      </c>
      <c r="N33" s="412">
        <v>57.798437075722298</v>
      </c>
      <c r="O33" s="412">
        <v>59071.532569551484</v>
      </c>
      <c r="P33" s="412">
        <v>48.005064558899697</v>
      </c>
      <c r="Q33" s="178">
        <f t="shared" si="8"/>
        <v>483</v>
      </c>
      <c r="R33" s="412">
        <v>46.779676999999829</v>
      </c>
      <c r="S33" s="418">
        <v>436.22032300000018</v>
      </c>
    </row>
    <row r="34" spans="1:34" x14ac:dyDescent="0.3">
      <c r="A34" s="549" t="s">
        <v>85</v>
      </c>
      <c r="B34" s="545"/>
      <c r="C34" s="545"/>
      <c r="D34" s="275">
        <f t="shared" ref="D34:S34" si="9">SUM(D22:D33)</f>
        <v>6225696.6635065032</v>
      </c>
      <c r="E34" s="275">
        <f t="shared" si="9"/>
        <v>11493.055729418784</v>
      </c>
      <c r="F34" s="275">
        <f t="shared" si="9"/>
        <v>81972.106133184556</v>
      </c>
      <c r="G34" s="275">
        <f t="shared" si="9"/>
        <v>39416.181028882012</v>
      </c>
      <c r="H34" s="275">
        <f t="shared" si="9"/>
        <v>1800630.8690157789</v>
      </c>
      <c r="I34" s="275">
        <f t="shared" si="9"/>
        <v>1215435.8714823877</v>
      </c>
      <c r="J34" s="275">
        <f t="shared" si="9"/>
        <v>585194.997533391</v>
      </c>
      <c r="K34" s="275">
        <f t="shared" si="9"/>
        <v>279064.39105650398</v>
      </c>
      <c r="L34" s="275">
        <f t="shared" si="9"/>
        <v>150170.35273136981</v>
      </c>
      <c r="M34" s="275">
        <f t="shared" si="9"/>
        <v>505590.40859495633</v>
      </c>
      <c r="N34" s="275">
        <f t="shared" si="9"/>
        <v>258331.56142151661</v>
      </c>
      <c r="O34" s="275">
        <f t="shared" si="9"/>
        <v>430781.07183092745</v>
      </c>
      <c r="P34" s="275">
        <f t="shared" si="9"/>
        <v>176693.08338050451</v>
      </c>
      <c r="Q34" s="275">
        <f>SUM(Q22:Q33)</f>
        <v>5634</v>
      </c>
      <c r="R34" s="275">
        <f t="shared" si="9"/>
        <v>540.21465366666666</v>
      </c>
      <c r="S34" s="275">
        <f t="shared" si="9"/>
        <v>5093.785346333334</v>
      </c>
    </row>
    <row r="35" spans="1:34" x14ac:dyDescent="0.3">
      <c r="A35" s="388"/>
      <c r="B35" s="383"/>
      <c r="C35" s="383"/>
      <c r="D35" s="166"/>
      <c r="E35" s="166"/>
      <c r="F35" s="166"/>
      <c r="G35" s="166"/>
      <c r="H35" s="166"/>
      <c r="I35" s="166"/>
      <c r="J35" s="166"/>
      <c r="K35" s="166"/>
      <c r="L35" s="166"/>
      <c r="M35" s="166"/>
      <c r="N35" s="166"/>
      <c r="O35" s="166"/>
      <c r="P35" s="166"/>
      <c r="Q35" s="166"/>
      <c r="R35" s="166"/>
      <c r="S35" s="166"/>
    </row>
    <row r="36" spans="1:34" ht="36.6" x14ac:dyDescent="0.3">
      <c r="A36" s="74" t="s">
        <v>18</v>
      </c>
      <c r="B36" s="74" t="s">
        <v>19</v>
      </c>
      <c r="C36" s="106" t="s">
        <v>0</v>
      </c>
      <c r="D36" s="106" t="s">
        <v>11</v>
      </c>
      <c r="E36" s="97" t="s">
        <v>98</v>
      </c>
      <c r="F36" s="62" t="s">
        <v>158</v>
      </c>
      <c r="G36" s="385" t="s">
        <v>159</v>
      </c>
      <c r="H36" s="106" t="s">
        <v>43</v>
      </c>
      <c r="I36" s="158" t="s">
        <v>44</v>
      </c>
      <c r="J36" s="201" t="s">
        <v>45</v>
      </c>
      <c r="K36" s="159" t="s">
        <v>108</v>
      </c>
      <c r="L36" s="156" t="s">
        <v>107</v>
      </c>
      <c r="M36" s="78" t="s">
        <v>82</v>
      </c>
      <c r="N36" s="78" t="s">
        <v>83</v>
      </c>
      <c r="O36" s="159" t="s">
        <v>102</v>
      </c>
      <c r="P36" s="156" t="s">
        <v>103</v>
      </c>
      <c r="Q36" s="76" t="s">
        <v>95</v>
      </c>
      <c r="R36" s="106" t="s">
        <v>41</v>
      </c>
      <c r="S36" s="106" t="s">
        <v>42</v>
      </c>
    </row>
    <row r="37" spans="1:34" s="65" customFormat="1" x14ac:dyDescent="0.3">
      <c r="A37" s="121">
        <v>2024</v>
      </c>
      <c r="B37" s="122" t="s">
        <v>20</v>
      </c>
      <c r="C37" s="123" t="s">
        <v>5</v>
      </c>
      <c r="D37" s="103">
        <v>696013</v>
      </c>
      <c r="E37" s="103">
        <v>352</v>
      </c>
      <c r="F37" s="103">
        <v>14487</v>
      </c>
      <c r="G37" s="103">
        <v>4829</v>
      </c>
      <c r="H37" s="135">
        <f>I37+J37</f>
        <v>193072</v>
      </c>
      <c r="I37" s="135">
        <f>K37+M37+O37</f>
        <v>193072</v>
      </c>
      <c r="J37" s="135">
        <f>L37+N37+P37</f>
        <v>0</v>
      </c>
      <c r="K37" s="135">
        <v>40541</v>
      </c>
      <c r="L37" s="135"/>
      <c r="M37" s="135">
        <v>83072</v>
      </c>
      <c r="N37" s="135"/>
      <c r="O37" s="136">
        <v>69459</v>
      </c>
      <c r="P37" s="136"/>
      <c r="Q37" s="477">
        <v>490.87</v>
      </c>
      <c r="R37" s="124">
        <v>48.991390959768957</v>
      </c>
      <c r="S37" s="120">
        <v>441.87860904023103</v>
      </c>
      <c r="V37" s="46"/>
      <c r="W37" s="46"/>
      <c r="X37" s="46"/>
    </row>
    <row r="38" spans="1:34" x14ac:dyDescent="0.3">
      <c r="A38" s="125">
        <v>2024</v>
      </c>
      <c r="B38" s="126" t="s">
        <v>21</v>
      </c>
      <c r="C38" s="127" t="s">
        <v>5</v>
      </c>
      <c r="D38" s="104">
        <v>715524</v>
      </c>
      <c r="E38" s="104">
        <v>268</v>
      </c>
      <c r="F38" s="104">
        <v>16742</v>
      </c>
      <c r="G38" s="104">
        <v>5580</v>
      </c>
      <c r="H38" s="136">
        <f t="shared" ref="H38:H48" si="10">I38+J38</f>
        <v>216016</v>
      </c>
      <c r="I38" s="136">
        <f t="shared" ref="I38:I48" si="11">K38+M38+O38</f>
        <v>216016</v>
      </c>
      <c r="J38" s="136">
        <f t="shared" ref="J38:J48" si="12">L38+N38+P38</f>
        <v>0</v>
      </c>
      <c r="K38" s="136">
        <v>47253</v>
      </c>
      <c r="L38" s="136"/>
      <c r="M38" s="136">
        <v>90302</v>
      </c>
      <c r="N38" s="136"/>
      <c r="O38" s="136">
        <v>78461</v>
      </c>
      <c r="P38" s="136"/>
      <c r="Q38" s="477">
        <v>504.18</v>
      </c>
      <c r="R38" s="128">
        <v>45.807562794348506</v>
      </c>
      <c r="S38" s="129">
        <v>458.37243720565152</v>
      </c>
      <c r="V38" s="65"/>
      <c r="W38" s="65"/>
      <c r="Y38" s="344"/>
      <c r="Z38" s="344"/>
      <c r="AA38" s="344"/>
      <c r="AB38" s="344"/>
      <c r="AC38" s="344"/>
      <c r="AD38" s="344"/>
      <c r="AE38" s="344"/>
      <c r="AF38" s="344"/>
      <c r="AG38" s="344"/>
      <c r="AH38" s="344"/>
    </row>
    <row r="39" spans="1:34" x14ac:dyDescent="0.3">
      <c r="A39" s="125">
        <v>2024</v>
      </c>
      <c r="B39" s="126" t="s">
        <v>22</v>
      </c>
      <c r="C39" s="127" t="s">
        <v>5</v>
      </c>
      <c r="D39" s="104">
        <v>644405</v>
      </c>
      <c r="E39" s="104">
        <v>1083</v>
      </c>
      <c r="F39" s="104">
        <v>10623</v>
      </c>
      <c r="G39" s="104">
        <v>3541</v>
      </c>
      <c r="H39" s="136">
        <f t="shared" si="10"/>
        <v>190530</v>
      </c>
      <c r="I39" s="136">
        <f t="shared" si="11"/>
        <v>190530</v>
      </c>
      <c r="J39" s="136">
        <f t="shared" si="12"/>
        <v>0</v>
      </c>
      <c r="K39" s="136">
        <v>43027</v>
      </c>
      <c r="L39" s="136"/>
      <c r="M39" s="136">
        <v>76132</v>
      </c>
      <c r="N39" s="136"/>
      <c r="O39" s="136">
        <v>71371</v>
      </c>
      <c r="P39" s="136"/>
      <c r="Q39" s="477">
        <v>470.62</v>
      </c>
      <c r="R39" s="128">
        <v>44.460022310534754</v>
      </c>
      <c r="S39" s="129">
        <v>426.15997768946522</v>
      </c>
      <c r="U39" s="344"/>
      <c r="V39" s="365"/>
      <c r="W39" s="365"/>
      <c r="Y39" s="344"/>
      <c r="Z39" s="344"/>
      <c r="AA39" s="344"/>
      <c r="AB39" s="344"/>
      <c r="AC39" s="344"/>
      <c r="AD39" s="344"/>
      <c r="AE39" s="344"/>
      <c r="AF39" s="344"/>
    </row>
    <row r="40" spans="1:34" x14ac:dyDescent="0.3">
      <c r="A40" s="125">
        <v>2024</v>
      </c>
      <c r="B40" s="126" t="s">
        <v>23</v>
      </c>
      <c r="C40" s="127" t="s">
        <v>5</v>
      </c>
      <c r="D40" s="104">
        <v>585570</v>
      </c>
      <c r="E40" s="104">
        <v>1152</v>
      </c>
      <c r="F40" s="104">
        <v>8485</v>
      </c>
      <c r="G40" s="104">
        <v>2828</v>
      </c>
      <c r="H40" s="136">
        <f t="shared" si="10"/>
        <v>163606</v>
      </c>
      <c r="I40" s="136">
        <f t="shared" si="11"/>
        <v>163606</v>
      </c>
      <c r="J40" s="136">
        <f t="shared" si="12"/>
        <v>0</v>
      </c>
      <c r="K40" s="136">
        <v>38934</v>
      </c>
      <c r="L40" s="136"/>
      <c r="M40" s="136">
        <v>65856</v>
      </c>
      <c r="N40" s="136"/>
      <c r="O40" s="136">
        <v>58816</v>
      </c>
      <c r="P40" s="136"/>
      <c r="Q40" s="477">
        <v>464.13</v>
      </c>
      <c r="R40" s="128">
        <v>45.748641581632654</v>
      </c>
      <c r="S40" s="129">
        <v>418.38135841836731</v>
      </c>
      <c r="V40" s="365"/>
      <c r="W40" s="365"/>
    </row>
    <row r="41" spans="1:34" x14ac:dyDescent="0.3">
      <c r="A41" s="125">
        <v>2024</v>
      </c>
      <c r="B41" s="126" t="s">
        <v>24</v>
      </c>
      <c r="C41" s="127" t="s">
        <v>5</v>
      </c>
      <c r="D41" s="104">
        <v>596834</v>
      </c>
      <c r="E41" s="104">
        <v>1261</v>
      </c>
      <c r="F41" s="104">
        <v>3804</v>
      </c>
      <c r="G41" s="104">
        <v>1267</v>
      </c>
      <c r="H41" s="136">
        <f t="shared" si="10"/>
        <v>168594</v>
      </c>
      <c r="I41" s="136">
        <f t="shared" si="11"/>
        <v>168594</v>
      </c>
      <c r="J41" s="136">
        <f t="shared" si="12"/>
        <v>0</v>
      </c>
      <c r="K41" s="136">
        <v>41542</v>
      </c>
      <c r="L41" s="136"/>
      <c r="M41" s="136">
        <v>71040</v>
      </c>
      <c r="N41" s="136"/>
      <c r="O41" s="136">
        <v>56012</v>
      </c>
      <c r="P41" s="136"/>
      <c r="Q41" s="477">
        <v>495.71000000000004</v>
      </c>
      <c r="R41" s="128">
        <v>46.049023240371852</v>
      </c>
      <c r="S41" s="129">
        <v>449.66097675962817</v>
      </c>
      <c r="U41" s="344"/>
      <c r="Y41" s="344"/>
      <c r="Z41" s="344"/>
      <c r="AA41" s="344"/>
      <c r="AB41" s="344"/>
      <c r="AC41" s="344"/>
      <c r="AD41" s="344"/>
      <c r="AE41" s="344"/>
      <c r="AF41" s="344"/>
    </row>
    <row r="42" spans="1:34" x14ac:dyDescent="0.3">
      <c r="A42" s="125">
        <v>2024</v>
      </c>
      <c r="B42" s="126" t="s">
        <v>25</v>
      </c>
      <c r="C42" s="127" t="s">
        <v>5</v>
      </c>
      <c r="D42" s="104">
        <v>635238</v>
      </c>
      <c r="E42" s="104">
        <v>1324</v>
      </c>
      <c r="F42" s="104">
        <v>3380</v>
      </c>
      <c r="G42" s="104">
        <v>1126</v>
      </c>
      <c r="H42" s="136">
        <f t="shared" si="10"/>
        <v>170835</v>
      </c>
      <c r="I42" s="136">
        <f t="shared" si="11"/>
        <v>100353</v>
      </c>
      <c r="J42" s="136">
        <f t="shared" si="12"/>
        <v>70482</v>
      </c>
      <c r="K42" s="136">
        <v>25364</v>
      </c>
      <c r="L42" s="136">
        <v>18430</v>
      </c>
      <c r="M42" s="136">
        <v>43149</v>
      </c>
      <c r="N42" s="136">
        <v>31969</v>
      </c>
      <c r="O42" s="136">
        <v>31840</v>
      </c>
      <c r="P42" s="136">
        <v>20083</v>
      </c>
      <c r="Q42" s="118">
        <v>531.89</v>
      </c>
      <c r="R42" s="128">
        <v>48.647269797992315</v>
      </c>
      <c r="S42" s="129">
        <v>483.24273020200769</v>
      </c>
      <c r="V42" s="365"/>
      <c r="W42" s="365"/>
    </row>
    <row r="43" spans="1:34" x14ac:dyDescent="0.3">
      <c r="A43" s="125">
        <v>2024</v>
      </c>
      <c r="B43" s="126" t="s">
        <v>26</v>
      </c>
      <c r="C43" s="127" t="s">
        <v>5</v>
      </c>
      <c r="D43" s="104">
        <v>527103</v>
      </c>
      <c r="E43" s="104">
        <v>1219</v>
      </c>
      <c r="F43" s="104">
        <v>3511</v>
      </c>
      <c r="G43" s="104">
        <v>1169</v>
      </c>
      <c r="H43" s="136">
        <f t="shared" si="10"/>
        <v>149489</v>
      </c>
      <c r="I43" s="136">
        <f t="shared" si="11"/>
        <v>38</v>
      </c>
      <c r="J43" s="136">
        <f t="shared" si="12"/>
        <v>149451</v>
      </c>
      <c r="K43" s="136">
        <v>10</v>
      </c>
      <c r="L43" s="136">
        <v>39094</v>
      </c>
      <c r="M43" s="136">
        <v>17</v>
      </c>
      <c r="N43" s="136">
        <v>67189</v>
      </c>
      <c r="O43" s="136">
        <v>11</v>
      </c>
      <c r="P43" s="136">
        <v>43168</v>
      </c>
      <c r="Q43" s="118">
        <v>436.46999999999997</v>
      </c>
      <c r="R43" s="128">
        <v>44.209486773683018</v>
      </c>
      <c r="S43" s="129">
        <v>392.26051322631696</v>
      </c>
    </row>
    <row r="44" spans="1:34" x14ac:dyDescent="0.3">
      <c r="A44" s="125">
        <v>2024</v>
      </c>
      <c r="B44" s="126" t="s">
        <v>27</v>
      </c>
      <c r="C44" s="127" t="s">
        <v>5</v>
      </c>
      <c r="D44" s="104">
        <v>607290</v>
      </c>
      <c r="E44" s="104">
        <v>1790</v>
      </c>
      <c r="F44" s="104">
        <v>3733</v>
      </c>
      <c r="G44" s="104">
        <v>1244</v>
      </c>
      <c r="H44" s="136">
        <f t="shared" si="10"/>
        <v>171785</v>
      </c>
      <c r="I44" s="136">
        <f t="shared" si="11"/>
        <v>0</v>
      </c>
      <c r="J44" s="136">
        <f t="shared" si="12"/>
        <v>171785</v>
      </c>
      <c r="K44" s="136"/>
      <c r="L44" s="136">
        <v>44260</v>
      </c>
      <c r="M44" s="136"/>
      <c r="N44" s="136">
        <v>76821</v>
      </c>
      <c r="O44" s="136"/>
      <c r="P44" s="136">
        <v>50704</v>
      </c>
      <c r="Q44" s="118">
        <v>498.54</v>
      </c>
      <c r="R44" s="128">
        <v>46.867627655363506</v>
      </c>
      <c r="S44" s="129">
        <v>451.67237234463653</v>
      </c>
    </row>
    <row r="45" spans="1:34" x14ac:dyDescent="0.3">
      <c r="A45" s="125">
        <v>2024</v>
      </c>
      <c r="B45" s="126" t="s">
        <v>28</v>
      </c>
      <c r="C45" s="127" t="s">
        <v>5</v>
      </c>
      <c r="D45" s="104">
        <v>633346</v>
      </c>
      <c r="E45" s="104">
        <v>1804</v>
      </c>
      <c r="F45" s="104">
        <v>3254</v>
      </c>
      <c r="G45" s="104">
        <v>1085</v>
      </c>
      <c r="H45" s="136">
        <f t="shared" si="10"/>
        <v>173375</v>
      </c>
      <c r="I45" s="136">
        <f t="shared" si="11"/>
        <v>0</v>
      </c>
      <c r="J45" s="136">
        <f t="shared" si="12"/>
        <v>173375</v>
      </c>
      <c r="K45" s="136"/>
      <c r="L45" s="136">
        <v>43126</v>
      </c>
      <c r="M45" s="136"/>
      <c r="N45" s="136">
        <v>75006</v>
      </c>
      <c r="O45" s="136"/>
      <c r="P45" s="136">
        <v>55243</v>
      </c>
      <c r="Q45" s="118">
        <v>517.89</v>
      </c>
      <c r="R45" s="128">
        <v>49.021245939231797</v>
      </c>
      <c r="S45" s="129">
        <v>468.8687540607682</v>
      </c>
      <c r="U45" s="344"/>
      <c r="Y45" s="344"/>
      <c r="Z45" s="344"/>
      <c r="AA45" s="344"/>
      <c r="AB45" s="344"/>
      <c r="AC45" s="344"/>
      <c r="AD45" s="344"/>
      <c r="AE45" s="344"/>
      <c r="AF45" s="344"/>
    </row>
    <row r="46" spans="1:34" x14ac:dyDescent="0.3">
      <c r="A46" s="125">
        <v>2024</v>
      </c>
      <c r="B46" s="126" t="s">
        <v>29</v>
      </c>
      <c r="C46" s="127" t="s">
        <v>5</v>
      </c>
      <c r="D46" s="104">
        <v>582175</v>
      </c>
      <c r="E46" s="104">
        <v>1341</v>
      </c>
      <c r="F46" s="104">
        <v>3269</v>
      </c>
      <c r="G46" s="104">
        <v>1088</v>
      </c>
      <c r="H46" s="136">
        <f t="shared" si="10"/>
        <v>169286</v>
      </c>
      <c r="I46" s="136">
        <f t="shared" si="11"/>
        <v>66947</v>
      </c>
      <c r="J46" s="136">
        <f t="shared" si="12"/>
        <v>102339</v>
      </c>
      <c r="K46" s="136">
        <v>16957</v>
      </c>
      <c r="L46" s="136">
        <v>23435</v>
      </c>
      <c r="M46" s="136">
        <v>29599</v>
      </c>
      <c r="N46" s="136">
        <v>40298</v>
      </c>
      <c r="O46" s="136">
        <v>20391</v>
      </c>
      <c r="P46" s="136">
        <v>38606</v>
      </c>
      <c r="Q46" s="477">
        <v>462.67</v>
      </c>
      <c r="R46" s="128">
        <v>43.025321218144391</v>
      </c>
      <c r="S46" s="129">
        <v>419.64467878185565</v>
      </c>
      <c r="V46" s="365"/>
      <c r="W46" s="365"/>
    </row>
    <row r="47" spans="1:34" x14ac:dyDescent="0.3">
      <c r="A47" s="125">
        <v>2024</v>
      </c>
      <c r="B47" s="126" t="s">
        <v>30</v>
      </c>
      <c r="C47" s="127" t="s">
        <v>5</v>
      </c>
      <c r="D47" s="104">
        <v>637998</v>
      </c>
      <c r="E47" s="104">
        <v>1051</v>
      </c>
      <c r="F47" s="104">
        <v>5834</v>
      </c>
      <c r="G47" s="104">
        <v>1943</v>
      </c>
      <c r="H47" s="136">
        <f t="shared" si="10"/>
        <v>185032</v>
      </c>
      <c r="I47" s="136">
        <f t="shared" si="11"/>
        <v>185006</v>
      </c>
      <c r="J47" s="136">
        <f t="shared" si="12"/>
        <v>26</v>
      </c>
      <c r="K47" s="136">
        <v>41699</v>
      </c>
      <c r="L47" s="136">
        <v>7</v>
      </c>
      <c r="M47" s="136">
        <v>72851</v>
      </c>
      <c r="N47" s="136">
        <v>12</v>
      </c>
      <c r="O47" s="136">
        <v>70456</v>
      </c>
      <c r="P47" s="136">
        <v>7</v>
      </c>
      <c r="Q47" s="477">
        <v>507.77</v>
      </c>
      <c r="R47" s="128">
        <v>47.297316011692111</v>
      </c>
      <c r="S47" s="129">
        <v>460.47268398830789</v>
      </c>
    </row>
    <row r="48" spans="1:34" x14ac:dyDescent="0.3">
      <c r="A48" s="130">
        <v>2024</v>
      </c>
      <c r="B48" s="131" t="s">
        <v>31</v>
      </c>
      <c r="C48" s="132" t="s">
        <v>5</v>
      </c>
      <c r="D48" s="105">
        <v>647080</v>
      </c>
      <c r="E48" s="105">
        <v>389</v>
      </c>
      <c r="F48" s="105">
        <v>13952</v>
      </c>
      <c r="G48" s="105">
        <v>4651</v>
      </c>
      <c r="H48" s="137">
        <f t="shared" si="10"/>
        <v>186296</v>
      </c>
      <c r="I48" s="137">
        <f t="shared" si="11"/>
        <v>186296</v>
      </c>
      <c r="J48" s="137">
        <f t="shared" si="12"/>
        <v>0</v>
      </c>
      <c r="K48" s="137">
        <v>39246</v>
      </c>
      <c r="L48" s="137"/>
      <c r="M48" s="137">
        <v>80104</v>
      </c>
      <c r="N48" s="137"/>
      <c r="O48" s="137">
        <v>66946</v>
      </c>
      <c r="P48" s="137"/>
      <c r="Q48" s="478">
        <v>457.28</v>
      </c>
      <c r="R48" s="133">
        <v>47.831948238677207</v>
      </c>
      <c r="S48" s="134">
        <v>409.44805176132274</v>
      </c>
    </row>
    <row r="49" spans="1:34" x14ac:dyDescent="0.3">
      <c r="A49" s="549" t="s">
        <v>81</v>
      </c>
      <c r="B49" s="545"/>
      <c r="C49" s="545"/>
      <c r="D49" s="166">
        <f t="shared" ref="D49:Q49" si="13">SUM(D37:D48)</f>
        <v>7508576</v>
      </c>
      <c r="E49" s="166">
        <f t="shared" si="13"/>
        <v>13034</v>
      </c>
      <c r="F49" s="166">
        <f t="shared" si="13"/>
        <v>91074</v>
      </c>
      <c r="G49" s="166">
        <f t="shared" si="13"/>
        <v>30351</v>
      </c>
      <c r="H49" s="166">
        <f t="shared" si="13"/>
        <v>2137916</v>
      </c>
      <c r="I49" s="166">
        <f t="shared" si="13"/>
        <v>1470458</v>
      </c>
      <c r="J49" s="166">
        <f t="shared" si="13"/>
        <v>667458</v>
      </c>
      <c r="K49" s="166">
        <f t="shared" si="13"/>
        <v>334573</v>
      </c>
      <c r="L49" s="166">
        <f t="shared" si="13"/>
        <v>168352</v>
      </c>
      <c r="M49" s="166">
        <f t="shared" si="13"/>
        <v>612122</v>
      </c>
      <c r="N49" s="166">
        <f t="shared" si="13"/>
        <v>291295</v>
      </c>
      <c r="O49" s="166">
        <f t="shared" si="13"/>
        <v>523763</v>
      </c>
      <c r="P49" s="166">
        <f t="shared" si="13"/>
        <v>207811</v>
      </c>
      <c r="Q49" s="166">
        <f t="shared" si="13"/>
        <v>5838.0199999999995</v>
      </c>
      <c r="R49" s="166">
        <f>SUM(R37:R48)</f>
        <v>557.95685652144095</v>
      </c>
      <c r="S49" s="166">
        <f>SUM(S37:S48)</f>
        <v>5280.0631434785591</v>
      </c>
    </row>
    <row r="50" spans="1:34" x14ac:dyDescent="0.3">
      <c r="A50" s="388"/>
      <c r="B50" s="383"/>
      <c r="C50" s="383"/>
      <c r="D50" s="166"/>
      <c r="E50" s="166"/>
      <c r="F50" s="166"/>
      <c r="G50" s="166"/>
      <c r="H50" s="166"/>
      <c r="I50" s="166"/>
      <c r="J50" s="166"/>
      <c r="K50" s="166"/>
      <c r="L50" s="166"/>
      <c r="M50" s="166"/>
      <c r="N50" s="166"/>
      <c r="O50" s="166"/>
      <c r="P50" s="166"/>
      <c r="Q50" s="166"/>
      <c r="R50" s="166"/>
      <c r="S50" s="166"/>
    </row>
    <row r="51" spans="1:34" ht="36.6" x14ac:dyDescent="0.3">
      <c r="A51" s="74" t="s">
        <v>18</v>
      </c>
      <c r="B51" s="74" t="s">
        <v>19</v>
      </c>
      <c r="C51" s="106" t="s">
        <v>0</v>
      </c>
      <c r="D51" s="106" t="s">
        <v>11</v>
      </c>
      <c r="E51" s="97" t="s">
        <v>98</v>
      </c>
      <c r="F51" s="62" t="s">
        <v>158</v>
      </c>
      <c r="G51" s="385"/>
      <c r="H51" s="106" t="s">
        <v>43</v>
      </c>
      <c r="I51" s="158" t="s">
        <v>44</v>
      </c>
      <c r="J51" s="201" t="s">
        <v>45</v>
      </c>
      <c r="K51" s="159" t="s">
        <v>108</v>
      </c>
      <c r="L51" s="156" t="s">
        <v>107</v>
      </c>
      <c r="M51" s="78" t="s">
        <v>82</v>
      </c>
      <c r="N51" s="78" t="s">
        <v>83</v>
      </c>
      <c r="O51" s="159" t="s">
        <v>102</v>
      </c>
      <c r="P51" s="156" t="s">
        <v>103</v>
      </c>
      <c r="Q51" s="76" t="s">
        <v>95</v>
      </c>
      <c r="R51" s="106" t="s">
        <v>41</v>
      </c>
      <c r="S51" s="106" t="s">
        <v>42</v>
      </c>
    </row>
    <row r="52" spans="1:34" x14ac:dyDescent="0.3">
      <c r="A52" s="121">
        <v>2023</v>
      </c>
      <c r="B52" s="122" t="s">
        <v>20</v>
      </c>
      <c r="C52" s="123" t="s">
        <v>5</v>
      </c>
      <c r="D52" s="103">
        <v>821312</v>
      </c>
      <c r="E52" s="103">
        <v>176</v>
      </c>
      <c r="F52" s="103">
        <v>21125</v>
      </c>
      <c r="G52" s="529"/>
      <c r="H52" s="135">
        <f>I52+J52</f>
        <v>249255</v>
      </c>
      <c r="I52" s="135">
        <f>K52+M52+O52</f>
        <v>249255</v>
      </c>
      <c r="J52" s="135">
        <f>L52+N52+P52</f>
        <v>0</v>
      </c>
      <c r="K52" s="135">
        <v>53867</v>
      </c>
      <c r="L52" s="135"/>
      <c r="M52" s="135">
        <v>107628</v>
      </c>
      <c r="N52" s="135"/>
      <c r="O52" s="136">
        <v>87760</v>
      </c>
      <c r="P52" s="136"/>
      <c r="Q52" s="226">
        <v>522.28</v>
      </c>
      <c r="R52" s="124">
        <v>53.150639747634067</v>
      </c>
      <c r="S52" s="120">
        <v>469.12936025236593</v>
      </c>
    </row>
    <row r="53" spans="1:34" s="65" customFormat="1" x14ac:dyDescent="0.3">
      <c r="A53" s="125">
        <v>2023</v>
      </c>
      <c r="B53" s="126" t="s">
        <v>21</v>
      </c>
      <c r="C53" s="127" t="s">
        <v>5</v>
      </c>
      <c r="D53" s="104">
        <v>754303</v>
      </c>
      <c r="E53" s="104">
        <v>140</v>
      </c>
      <c r="F53" s="104">
        <v>20003</v>
      </c>
      <c r="G53" s="530"/>
      <c r="H53" s="136">
        <f t="shared" ref="H53:H63" si="14">I53+J53</f>
        <v>229468</v>
      </c>
      <c r="I53" s="136">
        <f t="shared" ref="I53:I63" si="15">K53+M53+O53</f>
        <v>229468</v>
      </c>
      <c r="J53" s="136">
        <f t="shared" ref="J53:J63" si="16">L53+N53+P53</f>
        <v>0</v>
      </c>
      <c r="K53" s="136">
        <v>50866</v>
      </c>
      <c r="L53" s="136"/>
      <c r="M53" s="136">
        <v>96074</v>
      </c>
      <c r="N53" s="136"/>
      <c r="O53" s="136">
        <v>82528</v>
      </c>
      <c r="P53" s="136"/>
      <c r="Q53" s="226">
        <v>479.90999999999997</v>
      </c>
      <c r="R53" s="128">
        <v>46.394250871080132</v>
      </c>
      <c r="S53" s="129">
        <v>433.51574912891982</v>
      </c>
      <c r="X53" s="46"/>
    </row>
    <row r="54" spans="1:34" x14ac:dyDescent="0.3">
      <c r="A54" s="125">
        <v>2023</v>
      </c>
      <c r="B54" s="126" t="s">
        <v>22</v>
      </c>
      <c r="C54" s="127" t="s">
        <v>5</v>
      </c>
      <c r="D54" s="104">
        <v>701487</v>
      </c>
      <c r="E54" s="104">
        <v>697</v>
      </c>
      <c r="F54" s="104">
        <v>20063</v>
      </c>
      <c r="G54" s="530"/>
      <c r="H54" s="136">
        <f t="shared" si="14"/>
        <v>210104</v>
      </c>
      <c r="I54" s="136">
        <f t="shared" si="15"/>
        <v>210104</v>
      </c>
      <c r="J54" s="136">
        <f t="shared" si="16"/>
        <v>0</v>
      </c>
      <c r="K54" s="136">
        <v>47878</v>
      </c>
      <c r="L54" s="136"/>
      <c r="M54" s="136">
        <v>84453</v>
      </c>
      <c r="N54" s="136"/>
      <c r="O54" s="136">
        <v>77773</v>
      </c>
      <c r="P54" s="136"/>
      <c r="Q54" s="226">
        <v>470.19</v>
      </c>
      <c r="R54" s="128">
        <v>47.334784524975511</v>
      </c>
      <c r="S54" s="129">
        <v>422.85521547502447</v>
      </c>
      <c r="V54" s="327"/>
      <c r="W54" s="327"/>
      <c r="Y54" s="327"/>
      <c r="Z54" s="327"/>
      <c r="AA54" s="327"/>
      <c r="AB54" s="327"/>
      <c r="AC54" s="327"/>
      <c r="AD54" s="327"/>
      <c r="AE54" s="327"/>
      <c r="AF54" s="327"/>
      <c r="AG54" s="327"/>
      <c r="AH54" s="327"/>
    </row>
    <row r="55" spans="1:34" x14ac:dyDescent="0.3">
      <c r="A55" s="125">
        <v>2023</v>
      </c>
      <c r="B55" s="126" t="s">
        <v>23</v>
      </c>
      <c r="C55" s="127" t="s">
        <v>5</v>
      </c>
      <c r="D55" s="104">
        <v>715570</v>
      </c>
      <c r="E55" s="104">
        <v>1149</v>
      </c>
      <c r="F55" s="104">
        <v>10258</v>
      </c>
      <c r="G55" s="530"/>
      <c r="H55" s="136">
        <f t="shared" si="14"/>
        <v>201179</v>
      </c>
      <c r="I55" s="136">
        <f t="shared" si="15"/>
        <v>201179</v>
      </c>
      <c r="J55" s="136">
        <f t="shared" si="16"/>
        <v>0</v>
      </c>
      <c r="K55" s="136">
        <v>48087</v>
      </c>
      <c r="L55" s="136"/>
      <c r="M55" s="136">
        <v>81214</v>
      </c>
      <c r="N55" s="136"/>
      <c r="O55" s="136">
        <v>71878</v>
      </c>
      <c r="P55" s="136"/>
      <c r="Q55" s="226">
        <v>546.12</v>
      </c>
      <c r="R55" s="128">
        <v>48.353688781664651</v>
      </c>
      <c r="S55" s="129">
        <v>497.76631121833537</v>
      </c>
      <c r="U55" s="327"/>
      <c r="V55" s="327"/>
      <c r="W55" s="327"/>
      <c r="Y55" s="327"/>
      <c r="Z55" s="327"/>
      <c r="AA55" s="327"/>
      <c r="AB55" s="327"/>
      <c r="AC55" s="327"/>
      <c r="AD55" s="327"/>
      <c r="AE55" s="327"/>
      <c r="AF55" s="327"/>
    </row>
    <row r="56" spans="1:34" x14ac:dyDescent="0.3">
      <c r="A56" s="125">
        <v>2023</v>
      </c>
      <c r="B56" s="126" t="s">
        <v>24</v>
      </c>
      <c r="C56" s="127" t="s">
        <v>5</v>
      </c>
      <c r="D56" s="104">
        <v>544688</v>
      </c>
      <c r="E56" s="104">
        <v>1399</v>
      </c>
      <c r="F56" s="104">
        <v>4817</v>
      </c>
      <c r="G56" s="530"/>
      <c r="H56" s="136">
        <f t="shared" si="14"/>
        <v>153515</v>
      </c>
      <c r="I56" s="136">
        <f t="shared" si="15"/>
        <v>153515</v>
      </c>
      <c r="J56" s="136">
        <f t="shared" si="16"/>
        <v>0</v>
      </c>
      <c r="K56" s="136">
        <v>38393</v>
      </c>
      <c r="L56" s="136"/>
      <c r="M56" s="136">
        <v>65499</v>
      </c>
      <c r="N56" s="136"/>
      <c r="O56" s="136">
        <v>49623</v>
      </c>
      <c r="P56" s="136"/>
      <c r="Q56" s="226">
        <v>440.42999999999995</v>
      </c>
      <c r="R56" s="128">
        <v>44.921687962340279</v>
      </c>
      <c r="S56" s="129">
        <v>395.50831203765966</v>
      </c>
    </row>
    <row r="57" spans="1:34" x14ac:dyDescent="0.3">
      <c r="A57" s="125">
        <v>2023</v>
      </c>
      <c r="B57" s="126" t="s">
        <v>25</v>
      </c>
      <c r="C57" s="127" t="s">
        <v>5</v>
      </c>
      <c r="D57" s="104">
        <v>655651</v>
      </c>
      <c r="E57" s="104">
        <v>1586</v>
      </c>
      <c r="F57" s="104">
        <v>5172</v>
      </c>
      <c r="G57" s="530"/>
      <c r="H57" s="136">
        <f t="shared" si="14"/>
        <v>181618</v>
      </c>
      <c r="I57" s="136">
        <f t="shared" si="15"/>
        <v>112322</v>
      </c>
      <c r="J57" s="136">
        <f t="shared" si="16"/>
        <v>69296</v>
      </c>
      <c r="K57" s="136">
        <v>28610</v>
      </c>
      <c r="L57" s="136">
        <v>18320</v>
      </c>
      <c r="M57" s="136">
        <v>48438</v>
      </c>
      <c r="N57" s="136">
        <v>31716</v>
      </c>
      <c r="O57" s="136">
        <v>35274</v>
      </c>
      <c r="P57" s="136">
        <v>19260</v>
      </c>
      <c r="Q57" s="118">
        <v>536.25</v>
      </c>
      <c r="R57" s="128">
        <v>50.243599189537669</v>
      </c>
      <c r="S57" s="129">
        <v>486.00640081046231</v>
      </c>
      <c r="U57" s="327"/>
      <c r="V57" s="327"/>
      <c r="W57" s="327"/>
      <c r="Y57" s="327"/>
      <c r="Z57" s="327"/>
      <c r="AA57" s="327"/>
      <c r="AB57" s="327"/>
      <c r="AC57" s="327"/>
      <c r="AD57" s="327"/>
      <c r="AE57" s="327"/>
      <c r="AF57" s="327"/>
    </row>
    <row r="58" spans="1:34" x14ac:dyDescent="0.3">
      <c r="A58" s="125">
        <v>2023</v>
      </c>
      <c r="B58" s="126" t="s">
        <v>26</v>
      </c>
      <c r="C58" s="127" t="s">
        <v>5</v>
      </c>
      <c r="D58" s="104">
        <v>611955</v>
      </c>
      <c r="E58" s="104">
        <v>1716</v>
      </c>
      <c r="F58" s="104">
        <v>4542</v>
      </c>
      <c r="G58" s="530"/>
      <c r="H58" s="136">
        <f t="shared" si="14"/>
        <v>168978</v>
      </c>
      <c r="I58" s="136">
        <f t="shared" si="15"/>
        <v>0</v>
      </c>
      <c r="J58" s="136">
        <f t="shared" si="16"/>
        <v>168978</v>
      </c>
      <c r="K58" s="136"/>
      <c r="L58" s="136">
        <v>44645</v>
      </c>
      <c r="M58" s="136"/>
      <c r="N58" s="136">
        <v>76220</v>
      </c>
      <c r="O58" s="136"/>
      <c r="P58" s="136">
        <v>48113</v>
      </c>
      <c r="Q58" s="118">
        <v>504.06</v>
      </c>
      <c r="R58" s="128">
        <v>47.06227474536432</v>
      </c>
      <c r="S58" s="129">
        <v>456.99772525463567</v>
      </c>
    </row>
    <row r="59" spans="1:34" x14ac:dyDescent="0.3">
      <c r="A59" s="125">
        <v>2023</v>
      </c>
      <c r="B59" s="126" t="s">
        <v>27</v>
      </c>
      <c r="C59" s="127" t="s">
        <v>5</v>
      </c>
      <c r="D59" s="104">
        <v>587419</v>
      </c>
      <c r="E59" s="104">
        <v>2001</v>
      </c>
      <c r="F59" s="104">
        <v>5260</v>
      </c>
      <c r="G59" s="530"/>
      <c r="H59" s="136">
        <f t="shared" si="14"/>
        <v>168506</v>
      </c>
      <c r="I59" s="136">
        <f t="shared" si="15"/>
        <v>0</v>
      </c>
      <c r="J59" s="136">
        <f t="shared" si="16"/>
        <v>168506</v>
      </c>
      <c r="K59" s="136"/>
      <c r="L59" s="136">
        <v>44122</v>
      </c>
      <c r="M59" s="136"/>
      <c r="N59" s="136">
        <v>75518</v>
      </c>
      <c r="O59" s="136"/>
      <c r="P59" s="136">
        <v>48866</v>
      </c>
      <c r="Q59" s="118">
        <v>457.32000000000005</v>
      </c>
      <c r="R59" s="128">
        <v>45.8077970742956</v>
      </c>
      <c r="S59" s="129">
        <v>411.51220292570446</v>
      </c>
    </row>
    <row r="60" spans="1:34" x14ac:dyDescent="0.3">
      <c r="A60" s="125">
        <v>2023</v>
      </c>
      <c r="B60" s="126" t="s">
        <v>28</v>
      </c>
      <c r="C60" s="127" t="s">
        <v>5</v>
      </c>
      <c r="D60" s="104">
        <v>652202</v>
      </c>
      <c r="E60" s="104">
        <v>1743</v>
      </c>
      <c r="F60" s="104">
        <v>4903</v>
      </c>
      <c r="G60" s="530"/>
      <c r="H60" s="136">
        <f t="shared" si="14"/>
        <v>184503</v>
      </c>
      <c r="I60" s="136">
        <f>K60+M60+O60</f>
        <v>0</v>
      </c>
      <c r="J60" s="136">
        <f t="shared" si="16"/>
        <v>184503</v>
      </c>
      <c r="K60" s="136"/>
      <c r="L60" s="136">
        <v>46562</v>
      </c>
      <c r="M60" s="136"/>
      <c r="N60" s="136">
        <v>79447</v>
      </c>
      <c r="O60" s="136"/>
      <c r="P60" s="136">
        <v>58494</v>
      </c>
      <c r="Q60" s="118">
        <v>515.15</v>
      </c>
      <c r="R60" s="128">
        <v>49.651824328634305</v>
      </c>
      <c r="S60" s="129">
        <v>465.49817567136569</v>
      </c>
    </row>
    <row r="61" spans="1:34" x14ac:dyDescent="0.3">
      <c r="A61" s="125">
        <v>2023</v>
      </c>
      <c r="B61" s="126" t="s">
        <v>29</v>
      </c>
      <c r="C61" s="127" t="s">
        <v>5</v>
      </c>
      <c r="D61" s="104">
        <v>586965</v>
      </c>
      <c r="E61" s="104">
        <v>972</v>
      </c>
      <c r="F61" s="104">
        <v>4914</v>
      </c>
      <c r="G61" s="530"/>
      <c r="H61" s="136">
        <f t="shared" si="14"/>
        <v>162879</v>
      </c>
      <c r="I61" s="136">
        <f t="shared" si="15"/>
        <v>64345</v>
      </c>
      <c r="J61" s="136">
        <f t="shared" si="16"/>
        <v>98534</v>
      </c>
      <c r="K61" s="136">
        <v>16372</v>
      </c>
      <c r="L61" s="136">
        <v>22425</v>
      </c>
      <c r="M61" s="136">
        <v>28422</v>
      </c>
      <c r="N61" s="136">
        <v>38138</v>
      </c>
      <c r="O61" s="136">
        <v>19551</v>
      </c>
      <c r="P61" s="136">
        <v>37971</v>
      </c>
      <c r="Q61" s="477">
        <v>491.88</v>
      </c>
      <c r="R61" s="128">
        <v>47.027627209426889</v>
      </c>
      <c r="S61" s="129">
        <v>444.8523727905731</v>
      </c>
      <c r="U61" s="327"/>
      <c r="V61" s="327"/>
      <c r="W61" s="327"/>
      <c r="Y61" s="327"/>
      <c r="Z61" s="327"/>
      <c r="AA61" s="327"/>
      <c r="AB61" s="327"/>
      <c r="AC61" s="327"/>
      <c r="AD61" s="327"/>
      <c r="AE61" s="327"/>
      <c r="AF61" s="327"/>
    </row>
    <row r="62" spans="1:34" x14ac:dyDescent="0.3">
      <c r="A62" s="125">
        <v>2023</v>
      </c>
      <c r="B62" s="126" t="s">
        <v>30</v>
      </c>
      <c r="C62" s="127" t="s">
        <v>5</v>
      </c>
      <c r="D62" s="104">
        <v>629924</v>
      </c>
      <c r="E62" s="104">
        <v>635</v>
      </c>
      <c r="F62" s="104">
        <v>13598</v>
      </c>
      <c r="G62" s="530"/>
      <c r="H62" s="136">
        <f t="shared" si="14"/>
        <v>183147</v>
      </c>
      <c r="I62" s="136">
        <f t="shared" si="15"/>
        <v>183147</v>
      </c>
      <c r="J62" s="136">
        <f t="shared" si="16"/>
        <v>0</v>
      </c>
      <c r="K62" s="136">
        <v>41987</v>
      </c>
      <c r="L62" s="136"/>
      <c r="M62" s="136">
        <v>71591</v>
      </c>
      <c r="N62" s="136"/>
      <c r="O62" s="136">
        <v>69569</v>
      </c>
      <c r="P62" s="136"/>
      <c r="Q62" s="477">
        <v>487.47</v>
      </c>
      <c r="R62" s="128">
        <v>47.018382978723409</v>
      </c>
      <c r="S62" s="129">
        <v>440.4516170212766</v>
      </c>
    </row>
    <row r="63" spans="1:34" x14ac:dyDescent="0.3">
      <c r="A63" s="130">
        <v>2023</v>
      </c>
      <c r="B63" s="131" t="s">
        <v>31</v>
      </c>
      <c r="C63" s="132" t="s">
        <v>5</v>
      </c>
      <c r="D63" s="105">
        <v>692858</v>
      </c>
      <c r="E63" s="105">
        <v>619</v>
      </c>
      <c r="F63" s="105">
        <v>16773</v>
      </c>
      <c r="G63" s="531"/>
      <c r="H63" s="137">
        <f t="shared" si="14"/>
        <v>203353</v>
      </c>
      <c r="I63" s="137">
        <f t="shared" si="15"/>
        <v>203353</v>
      </c>
      <c r="J63" s="137">
        <f t="shared" si="16"/>
        <v>0</v>
      </c>
      <c r="K63" s="137">
        <v>43106</v>
      </c>
      <c r="L63" s="137"/>
      <c r="M63" s="137">
        <v>86016</v>
      </c>
      <c r="N63" s="137"/>
      <c r="O63" s="137">
        <v>74231</v>
      </c>
      <c r="P63" s="137"/>
      <c r="Q63" s="478">
        <v>501.07</v>
      </c>
      <c r="R63" s="133">
        <v>46.605800959705519</v>
      </c>
      <c r="S63" s="134">
        <v>454.46419904029449</v>
      </c>
    </row>
    <row r="64" spans="1:34" x14ac:dyDescent="0.3">
      <c r="A64" s="549" t="s">
        <v>81</v>
      </c>
      <c r="B64" s="545"/>
      <c r="C64" s="545"/>
      <c r="D64" s="166">
        <f t="shared" ref="D64:Q64" si="17">SUM(D52:D63)</f>
        <v>7954334</v>
      </c>
      <c r="E64" s="166">
        <f t="shared" si="17"/>
        <v>12833</v>
      </c>
      <c r="F64" s="166">
        <f t="shared" si="17"/>
        <v>131428</v>
      </c>
      <c r="G64" s="166">
        <f t="shared" si="17"/>
        <v>0</v>
      </c>
      <c r="H64" s="166">
        <f t="shared" si="17"/>
        <v>2296505</v>
      </c>
      <c r="I64" s="166">
        <f t="shared" si="17"/>
        <v>1606688</v>
      </c>
      <c r="J64" s="166">
        <f t="shared" si="17"/>
        <v>689817</v>
      </c>
      <c r="K64" s="166">
        <f t="shared" si="17"/>
        <v>369166</v>
      </c>
      <c r="L64" s="166">
        <f t="shared" si="17"/>
        <v>176074</v>
      </c>
      <c r="M64" s="166">
        <f t="shared" si="17"/>
        <v>669335</v>
      </c>
      <c r="N64" s="166">
        <f t="shared" si="17"/>
        <v>301039</v>
      </c>
      <c r="O64" s="166">
        <f t="shared" si="17"/>
        <v>568187</v>
      </c>
      <c r="P64" s="166">
        <f t="shared" si="17"/>
        <v>212704</v>
      </c>
      <c r="Q64" s="166">
        <f t="shared" si="17"/>
        <v>5952.13</v>
      </c>
      <c r="R64" s="166">
        <f>SUM(R52:R63)</f>
        <v>573.57235837338237</v>
      </c>
      <c r="S64" s="166">
        <f>SUM(S52:S63)</f>
        <v>5378.5576416266167</v>
      </c>
    </row>
    <row r="65" spans="1:34" x14ac:dyDescent="0.3">
      <c r="A65" s="266"/>
      <c r="B65" s="266"/>
      <c r="C65" s="266"/>
      <c r="D65" s="266"/>
      <c r="E65" s="285"/>
      <c r="F65" s="285"/>
      <c r="G65" s="285"/>
      <c r="H65" s="266"/>
      <c r="I65" s="266"/>
      <c r="J65" s="266"/>
      <c r="K65" s="266"/>
      <c r="L65" s="266"/>
      <c r="M65" s="266"/>
      <c r="N65" s="266"/>
      <c r="O65" s="285"/>
      <c r="P65" s="285"/>
      <c r="Q65" s="479"/>
      <c r="R65" s="266"/>
    </row>
    <row r="66" spans="1:34" ht="36.6" x14ac:dyDescent="0.3">
      <c r="A66" s="74" t="s">
        <v>18</v>
      </c>
      <c r="B66" s="74" t="s">
        <v>19</v>
      </c>
      <c r="C66" s="106" t="s">
        <v>0</v>
      </c>
      <c r="D66" s="106" t="s">
        <v>11</v>
      </c>
      <c r="E66" s="97" t="s">
        <v>98</v>
      </c>
      <c r="F66" s="62" t="s">
        <v>158</v>
      </c>
      <c r="G66" s="385"/>
      <c r="H66" s="106" t="s">
        <v>43</v>
      </c>
      <c r="I66" s="158" t="s">
        <v>44</v>
      </c>
      <c r="J66" s="201" t="s">
        <v>45</v>
      </c>
      <c r="K66" s="159" t="s">
        <v>108</v>
      </c>
      <c r="L66" s="156" t="s">
        <v>107</v>
      </c>
      <c r="M66" s="78" t="s">
        <v>82</v>
      </c>
      <c r="N66" s="78" t="s">
        <v>83</v>
      </c>
      <c r="O66" s="159" t="s">
        <v>102</v>
      </c>
      <c r="P66" s="156" t="s">
        <v>103</v>
      </c>
      <c r="Q66" s="76" t="s">
        <v>95</v>
      </c>
      <c r="R66" s="106" t="s">
        <v>41</v>
      </c>
      <c r="S66" s="106" t="s">
        <v>42</v>
      </c>
    </row>
    <row r="67" spans="1:34" x14ac:dyDescent="0.3">
      <c r="A67" s="121">
        <v>2022</v>
      </c>
      <c r="B67" s="122" t="s">
        <v>20</v>
      </c>
      <c r="C67" s="123" t="s">
        <v>5</v>
      </c>
      <c r="D67" s="103">
        <v>1032800</v>
      </c>
      <c r="E67" s="103">
        <v>341</v>
      </c>
      <c r="F67" s="103">
        <v>23147</v>
      </c>
      <c r="G67" s="103"/>
      <c r="H67" s="135">
        <f>I67+J67</f>
        <v>314601</v>
      </c>
      <c r="I67" s="135">
        <f>K67+M67+O67</f>
        <v>314601</v>
      </c>
      <c r="J67" s="135">
        <f>L67+N67+P67</f>
        <v>0</v>
      </c>
      <c r="K67" s="135">
        <v>70445</v>
      </c>
      <c r="L67" s="135">
        <v>0</v>
      </c>
      <c r="M67" s="135">
        <v>135265</v>
      </c>
      <c r="N67" s="135">
        <v>0</v>
      </c>
      <c r="O67" s="136">
        <v>108891</v>
      </c>
      <c r="P67" s="136">
        <v>0</v>
      </c>
      <c r="Q67" s="477">
        <v>582.54</v>
      </c>
      <c r="R67" s="124">
        <v>64.078947368421055</v>
      </c>
      <c r="S67" s="120">
        <f>Q67-R67</f>
        <v>518.46105263157892</v>
      </c>
    </row>
    <row r="68" spans="1:34" s="65" customFormat="1" x14ac:dyDescent="0.3">
      <c r="A68" s="125">
        <v>2022</v>
      </c>
      <c r="B68" s="126" t="s">
        <v>21</v>
      </c>
      <c r="C68" s="127" t="s">
        <v>5</v>
      </c>
      <c r="D68" s="104">
        <v>837552</v>
      </c>
      <c r="E68" s="104">
        <v>380</v>
      </c>
      <c r="F68" s="104">
        <v>28534</v>
      </c>
      <c r="G68" s="104"/>
      <c r="H68" s="136">
        <f t="shared" ref="H68:H78" si="18">I68+J68</f>
        <v>256931</v>
      </c>
      <c r="I68" s="136">
        <f t="shared" ref="I68:I78" si="19">K68+M68+O68</f>
        <v>256931</v>
      </c>
      <c r="J68" s="136">
        <f t="shared" ref="J68:J78" si="20">L68+N68+P68</f>
        <v>0</v>
      </c>
      <c r="K68" s="136">
        <v>58834</v>
      </c>
      <c r="L68" s="136">
        <v>0</v>
      </c>
      <c r="M68" s="136">
        <v>107010</v>
      </c>
      <c r="N68" s="136">
        <v>0</v>
      </c>
      <c r="O68" s="136">
        <v>91087</v>
      </c>
      <c r="P68" s="136">
        <v>0</v>
      </c>
      <c r="Q68" s="477">
        <v>477.48</v>
      </c>
      <c r="R68" s="128">
        <v>36.085526315789473</v>
      </c>
      <c r="S68" s="129">
        <f t="shared" ref="S68:S78" si="21">Q68-R68</f>
        <v>441.39447368421054</v>
      </c>
    </row>
    <row r="69" spans="1:34" x14ac:dyDescent="0.3">
      <c r="A69" s="125">
        <v>2022</v>
      </c>
      <c r="B69" s="126" t="s">
        <v>22</v>
      </c>
      <c r="C69" s="127" t="s">
        <v>5</v>
      </c>
      <c r="D69" s="104">
        <v>831979</v>
      </c>
      <c r="E69" s="104">
        <v>804</v>
      </c>
      <c r="F69" s="104">
        <v>25855</v>
      </c>
      <c r="G69" s="104"/>
      <c r="H69" s="136">
        <f t="shared" si="18"/>
        <v>249396</v>
      </c>
      <c r="I69" s="136">
        <f t="shared" si="19"/>
        <v>249395</v>
      </c>
      <c r="J69" s="136">
        <f t="shared" si="20"/>
        <v>1</v>
      </c>
      <c r="K69" s="136">
        <v>58292</v>
      </c>
      <c r="L69" s="136">
        <v>0</v>
      </c>
      <c r="M69" s="136">
        <v>100409</v>
      </c>
      <c r="N69" s="136">
        <v>0</v>
      </c>
      <c r="O69" s="136">
        <v>90694</v>
      </c>
      <c r="P69" s="136">
        <v>1</v>
      </c>
      <c r="Q69" s="477">
        <v>495.26</v>
      </c>
      <c r="R69" s="128">
        <v>48.486842105263158</v>
      </c>
      <c r="S69" s="129">
        <f t="shared" si="21"/>
        <v>446.77315789473681</v>
      </c>
      <c r="V69" s="319"/>
      <c r="W69" s="319"/>
      <c r="X69" s="319"/>
      <c r="Y69" s="319"/>
      <c r="Z69" s="319"/>
      <c r="AA69" s="319"/>
      <c r="AB69" s="319"/>
      <c r="AC69" s="319"/>
      <c r="AD69" s="319"/>
      <c r="AE69" s="319"/>
      <c r="AF69" s="319"/>
      <c r="AG69" s="319"/>
      <c r="AH69" s="318"/>
    </row>
    <row r="70" spans="1:34" x14ac:dyDescent="0.3">
      <c r="A70" s="125">
        <v>2022</v>
      </c>
      <c r="B70" s="126" t="s">
        <v>23</v>
      </c>
      <c r="C70" s="127" t="s">
        <v>5</v>
      </c>
      <c r="D70" s="104">
        <v>713224</v>
      </c>
      <c r="E70" s="104">
        <v>1134</v>
      </c>
      <c r="F70" s="104">
        <v>21390</v>
      </c>
      <c r="G70" s="104"/>
      <c r="H70" s="136">
        <f t="shared" si="18"/>
        <v>214403</v>
      </c>
      <c r="I70" s="136">
        <f t="shared" si="19"/>
        <v>214402</v>
      </c>
      <c r="J70" s="136">
        <f t="shared" si="20"/>
        <v>1</v>
      </c>
      <c r="K70" s="136">
        <v>54445</v>
      </c>
      <c r="L70" s="136">
        <v>0</v>
      </c>
      <c r="M70" s="136">
        <v>91675</v>
      </c>
      <c r="N70" s="136">
        <v>0</v>
      </c>
      <c r="O70" s="136">
        <v>68282</v>
      </c>
      <c r="P70" s="136">
        <v>1</v>
      </c>
      <c r="Q70" s="477">
        <v>487.52</v>
      </c>
      <c r="R70" s="128">
        <v>49.671052631578952</v>
      </c>
      <c r="S70" s="129">
        <f t="shared" si="21"/>
        <v>437.84894736842102</v>
      </c>
      <c r="U70" s="317"/>
      <c r="V70" s="317"/>
      <c r="W70" s="317"/>
      <c r="X70" s="317"/>
      <c r="Y70" s="317"/>
      <c r="Z70" s="317"/>
      <c r="AA70" s="317"/>
      <c r="AB70" s="317"/>
      <c r="AC70" s="317"/>
      <c r="AD70" s="317"/>
      <c r="AE70" s="317"/>
      <c r="AF70" s="317"/>
    </row>
    <row r="71" spans="1:34" x14ac:dyDescent="0.3">
      <c r="A71" s="125">
        <v>2022</v>
      </c>
      <c r="B71" s="126" t="s">
        <v>24</v>
      </c>
      <c r="C71" s="127" t="s">
        <v>5</v>
      </c>
      <c r="D71" s="104">
        <v>781489</v>
      </c>
      <c r="E71" s="104">
        <v>1159</v>
      </c>
      <c r="F71" s="104">
        <v>13499</v>
      </c>
      <c r="G71" s="104"/>
      <c r="H71" s="136">
        <f t="shared" si="18"/>
        <v>223229</v>
      </c>
      <c r="I71" s="136">
        <f t="shared" si="19"/>
        <v>222047</v>
      </c>
      <c r="J71" s="136">
        <f t="shared" si="20"/>
        <v>1182</v>
      </c>
      <c r="K71" s="136">
        <v>56374</v>
      </c>
      <c r="L71" s="136">
        <v>303</v>
      </c>
      <c r="M71" s="136">
        <v>95191</v>
      </c>
      <c r="N71" s="136">
        <v>520</v>
      </c>
      <c r="O71" s="136">
        <v>70482</v>
      </c>
      <c r="P71" s="136">
        <v>359</v>
      </c>
      <c r="Q71" s="477">
        <v>551.59</v>
      </c>
      <c r="R71" s="128">
        <v>60.42763157894737</v>
      </c>
      <c r="S71" s="129">
        <f t="shared" si="21"/>
        <v>491.16236842105263</v>
      </c>
    </row>
    <row r="72" spans="1:34" x14ac:dyDescent="0.3">
      <c r="A72" s="125">
        <v>2022</v>
      </c>
      <c r="B72" s="126" t="s">
        <v>25</v>
      </c>
      <c r="C72" s="127" t="s">
        <v>5</v>
      </c>
      <c r="D72" s="104">
        <v>718714</v>
      </c>
      <c r="E72" s="104">
        <v>1656</v>
      </c>
      <c r="F72" s="104">
        <v>7710</v>
      </c>
      <c r="G72" s="104"/>
      <c r="H72" s="136">
        <f t="shared" si="18"/>
        <v>203728</v>
      </c>
      <c r="I72" s="136">
        <f t="shared" si="19"/>
        <v>83506</v>
      </c>
      <c r="J72" s="136">
        <f t="shared" si="20"/>
        <v>120222</v>
      </c>
      <c r="K72" s="136">
        <v>20948</v>
      </c>
      <c r="L72" s="136">
        <v>31942</v>
      </c>
      <c r="M72" s="136">
        <v>35514</v>
      </c>
      <c r="N72" s="136">
        <v>54765</v>
      </c>
      <c r="O72" s="136">
        <v>27044</v>
      </c>
      <c r="P72" s="136">
        <v>33515</v>
      </c>
      <c r="Q72" s="118">
        <v>519.5</v>
      </c>
      <c r="R72" s="128">
        <v>50.42763157894737</v>
      </c>
      <c r="S72" s="129">
        <f t="shared" si="21"/>
        <v>469.0723684210526</v>
      </c>
      <c r="U72" s="317"/>
      <c r="V72" s="317"/>
      <c r="W72" s="317"/>
      <c r="X72" s="317"/>
      <c r="Y72" s="317"/>
      <c r="Z72" s="317"/>
      <c r="AA72" s="317"/>
      <c r="AB72" s="317"/>
      <c r="AC72" s="317"/>
      <c r="AD72" s="317"/>
      <c r="AE72" s="317"/>
      <c r="AF72" s="317"/>
    </row>
    <row r="73" spans="1:34" x14ac:dyDescent="0.3">
      <c r="A73" s="125">
        <v>2022</v>
      </c>
      <c r="B73" s="126" t="s">
        <v>26</v>
      </c>
      <c r="C73" s="127" t="s">
        <v>5</v>
      </c>
      <c r="D73" s="104">
        <v>768432</v>
      </c>
      <c r="E73" s="104">
        <v>1770</v>
      </c>
      <c r="F73" s="104">
        <v>7571</v>
      </c>
      <c r="G73" s="104"/>
      <c r="H73" s="136">
        <f t="shared" si="18"/>
        <v>214685</v>
      </c>
      <c r="I73" s="136">
        <f t="shared" si="19"/>
        <v>89</v>
      </c>
      <c r="J73" s="136">
        <f t="shared" si="20"/>
        <v>214596</v>
      </c>
      <c r="K73" s="136">
        <v>19</v>
      </c>
      <c r="L73" s="136">
        <v>56786</v>
      </c>
      <c r="M73" s="136">
        <v>32</v>
      </c>
      <c r="N73" s="136">
        <v>97098</v>
      </c>
      <c r="O73" s="136">
        <v>38</v>
      </c>
      <c r="P73" s="136">
        <v>60712</v>
      </c>
      <c r="Q73" s="118">
        <v>547.79999999999995</v>
      </c>
      <c r="R73" s="128">
        <v>51.842105263157897</v>
      </c>
      <c r="S73" s="129">
        <f t="shared" si="21"/>
        <v>495.95789473684204</v>
      </c>
    </row>
    <row r="74" spans="1:34" x14ac:dyDescent="0.3">
      <c r="A74" s="125">
        <v>2022</v>
      </c>
      <c r="B74" s="126" t="s">
        <v>27</v>
      </c>
      <c r="C74" s="127" t="s">
        <v>5</v>
      </c>
      <c r="D74" s="104">
        <v>723859</v>
      </c>
      <c r="E74" s="104">
        <v>1837</v>
      </c>
      <c r="F74" s="104">
        <v>5183</v>
      </c>
      <c r="G74" s="104"/>
      <c r="H74" s="136">
        <f t="shared" si="18"/>
        <v>213681</v>
      </c>
      <c r="I74" s="136">
        <f t="shared" si="19"/>
        <v>1436</v>
      </c>
      <c r="J74" s="136">
        <f t="shared" si="20"/>
        <v>212245</v>
      </c>
      <c r="K74" s="136">
        <v>373</v>
      </c>
      <c r="L74" s="136">
        <v>55514</v>
      </c>
      <c r="M74" s="136">
        <v>661</v>
      </c>
      <c r="N74" s="136">
        <v>95480</v>
      </c>
      <c r="O74" s="136">
        <v>402</v>
      </c>
      <c r="P74" s="136">
        <v>61251</v>
      </c>
      <c r="Q74" s="118">
        <v>481.33</v>
      </c>
      <c r="R74" s="128">
        <v>49.111842105263158</v>
      </c>
      <c r="S74" s="129">
        <f t="shared" si="21"/>
        <v>432.21815789473681</v>
      </c>
    </row>
    <row r="75" spans="1:34" x14ac:dyDescent="0.3">
      <c r="A75" s="125">
        <v>2022</v>
      </c>
      <c r="B75" s="126" t="s">
        <v>28</v>
      </c>
      <c r="C75" s="127" t="s">
        <v>5</v>
      </c>
      <c r="D75" s="104">
        <v>754549</v>
      </c>
      <c r="E75" s="104">
        <v>1676</v>
      </c>
      <c r="F75" s="104">
        <v>5683</v>
      </c>
      <c r="G75" s="104"/>
      <c r="H75" s="136">
        <f t="shared" si="18"/>
        <v>216068</v>
      </c>
      <c r="I75" s="136">
        <f t="shared" si="19"/>
        <v>1500</v>
      </c>
      <c r="J75" s="136">
        <f t="shared" si="20"/>
        <v>214568</v>
      </c>
      <c r="K75" s="136">
        <v>368</v>
      </c>
      <c r="L75" s="136">
        <v>54125</v>
      </c>
      <c r="M75" s="136">
        <v>647</v>
      </c>
      <c r="N75" s="136">
        <v>92819</v>
      </c>
      <c r="O75" s="136">
        <v>485</v>
      </c>
      <c r="P75" s="136">
        <v>67624</v>
      </c>
      <c r="Q75" s="118">
        <v>538.21</v>
      </c>
      <c r="R75" s="128">
        <v>52.73026315789474</v>
      </c>
      <c r="S75" s="129">
        <f t="shared" si="21"/>
        <v>485.4797368421053</v>
      </c>
    </row>
    <row r="76" spans="1:34" x14ac:dyDescent="0.3">
      <c r="A76" s="125">
        <v>2022</v>
      </c>
      <c r="B76" s="126" t="s">
        <v>29</v>
      </c>
      <c r="C76" s="127" t="s">
        <v>5</v>
      </c>
      <c r="D76" s="104">
        <v>727523</v>
      </c>
      <c r="E76" s="104">
        <v>1396</v>
      </c>
      <c r="F76" s="104">
        <v>5405</v>
      </c>
      <c r="G76" s="104"/>
      <c r="H76" s="136">
        <f t="shared" si="18"/>
        <v>206909</v>
      </c>
      <c r="I76" s="136">
        <f t="shared" si="19"/>
        <v>108512</v>
      </c>
      <c r="J76" s="136">
        <f t="shared" si="20"/>
        <v>98397</v>
      </c>
      <c r="K76" s="136">
        <v>27503</v>
      </c>
      <c r="L76" s="136">
        <v>22546</v>
      </c>
      <c r="M76" s="136">
        <v>46862</v>
      </c>
      <c r="N76" s="136">
        <v>38360</v>
      </c>
      <c r="O76" s="136">
        <v>34147</v>
      </c>
      <c r="P76" s="136">
        <v>37491</v>
      </c>
      <c r="Q76" s="477">
        <v>526.76</v>
      </c>
      <c r="R76" s="128">
        <v>47.763157894736842</v>
      </c>
      <c r="S76" s="129">
        <f t="shared" si="21"/>
        <v>478.99684210526317</v>
      </c>
      <c r="U76" s="317"/>
      <c r="V76" s="317"/>
      <c r="W76" s="317"/>
      <c r="X76" s="317"/>
      <c r="Y76" s="317"/>
      <c r="Z76" s="317"/>
      <c r="AA76" s="317"/>
      <c r="AB76" s="317"/>
      <c r="AC76" s="317"/>
      <c r="AD76" s="317"/>
      <c r="AE76" s="317"/>
      <c r="AF76" s="317"/>
    </row>
    <row r="77" spans="1:34" x14ac:dyDescent="0.3">
      <c r="A77" s="125">
        <v>2022</v>
      </c>
      <c r="B77" s="126" t="s">
        <v>30</v>
      </c>
      <c r="C77" s="127" t="s">
        <v>5</v>
      </c>
      <c r="D77" s="104">
        <v>706663</v>
      </c>
      <c r="E77" s="104">
        <v>1043</v>
      </c>
      <c r="F77" s="104">
        <v>13115</v>
      </c>
      <c r="G77" s="104"/>
      <c r="H77" s="136">
        <f t="shared" si="18"/>
        <v>206497</v>
      </c>
      <c r="I77" s="136">
        <f t="shared" si="19"/>
        <v>206492</v>
      </c>
      <c r="J77" s="136">
        <f t="shared" si="20"/>
        <v>5</v>
      </c>
      <c r="K77" s="136">
        <v>47642</v>
      </c>
      <c r="L77" s="136">
        <v>2</v>
      </c>
      <c r="M77" s="136">
        <v>83023</v>
      </c>
      <c r="N77" s="136">
        <v>2</v>
      </c>
      <c r="O77" s="136">
        <v>75827</v>
      </c>
      <c r="P77" s="136">
        <v>1</v>
      </c>
      <c r="Q77" s="477">
        <v>491.38</v>
      </c>
      <c r="R77" s="128">
        <v>50.394736842105267</v>
      </c>
      <c r="S77" s="129">
        <f t="shared" si="21"/>
        <v>440.98526315789474</v>
      </c>
    </row>
    <row r="78" spans="1:34" x14ac:dyDescent="0.3">
      <c r="A78" s="130">
        <v>2022</v>
      </c>
      <c r="B78" s="131" t="s">
        <v>31</v>
      </c>
      <c r="C78" s="132" t="s">
        <v>5</v>
      </c>
      <c r="D78" s="105">
        <v>813467</v>
      </c>
      <c r="E78" s="105">
        <v>458</v>
      </c>
      <c r="F78" s="105">
        <v>19811</v>
      </c>
      <c r="G78" s="105"/>
      <c r="H78" s="137">
        <f t="shared" si="18"/>
        <v>243338</v>
      </c>
      <c r="I78" s="137">
        <f t="shared" si="19"/>
        <v>242019</v>
      </c>
      <c r="J78" s="137">
        <f t="shared" si="20"/>
        <v>1319</v>
      </c>
      <c r="K78" s="137">
        <v>52831</v>
      </c>
      <c r="L78" s="137">
        <v>351</v>
      </c>
      <c r="M78" s="137">
        <v>103374</v>
      </c>
      <c r="N78" s="137">
        <v>587</v>
      </c>
      <c r="O78" s="137">
        <v>85814</v>
      </c>
      <c r="P78" s="137">
        <v>381</v>
      </c>
      <c r="Q78" s="478">
        <v>531.05999999999995</v>
      </c>
      <c r="R78" s="133">
        <v>51.05263157894737</v>
      </c>
      <c r="S78" s="134">
        <f t="shared" si="21"/>
        <v>480.00736842105255</v>
      </c>
    </row>
    <row r="79" spans="1:34" x14ac:dyDescent="0.3">
      <c r="A79" s="549" t="s">
        <v>81</v>
      </c>
      <c r="B79" s="545"/>
      <c r="C79" s="545"/>
      <c r="D79" s="166">
        <f t="shared" ref="D79:Q79" si="22">SUM(D67:D78)</f>
        <v>9410251</v>
      </c>
      <c r="E79" s="166">
        <f t="shared" si="22"/>
        <v>13654</v>
      </c>
      <c r="F79" s="166">
        <f t="shared" si="22"/>
        <v>176903</v>
      </c>
      <c r="G79" s="166">
        <f t="shared" si="22"/>
        <v>0</v>
      </c>
      <c r="H79" s="166">
        <f t="shared" si="22"/>
        <v>2763466</v>
      </c>
      <c r="I79" s="166">
        <f t="shared" si="22"/>
        <v>1900930</v>
      </c>
      <c r="J79" s="166">
        <f t="shared" si="22"/>
        <v>862536</v>
      </c>
      <c r="K79" s="166">
        <f t="shared" si="22"/>
        <v>448074</v>
      </c>
      <c r="L79" s="166">
        <f t="shared" si="22"/>
        <v>221569</v>
      </c>
      <c r="M79" s="166">
        <f t="shared" si="22"/>
        <v>799663</v>
      </c>
      <c r="N79" s="166">
        <f t="shared" si="22"/>
        <v>379631</v>
      </c>
      <c r="O79" s="166">
        <f t="shared" si="22"/>
        <v>653193</v>
      </c>
      <c r="P79" s="166">
        <f t="shared" si="22"/>
        <v>261336</v>
      </c>
      <c r="Q79" s="166">
        <f t="shared" si="22"/>
        <v>6230.43</v>
      </c>
      <c r="R79" s="166">
        <f>SUM(R67:R78)</f>
        <v>612.07236842105272</v>
      </c>
      <c r="S79" s="166">
        <f>SUM(S67:S78)</f>
        <v>5618.3576315789478</v>
      </c>
    </row>
    <row r="80" spans="1:34" x14ac:dyDescent="0.3">
      <c r="A80" s="388"/>
      <c r="B80" s="489"/>
      <c r="C80" s="489"/>
      <c r="D80" s="166"/>
      <c r="E80" s="166"/>
      <c r="F80" s="166"/>
      <c r="G80" s="166"/>
      <c r="H80" s="166"/>
      <c r="I80" s="166"/>
      <c r="J80" s="166"/>
      <c r="K80" s="166"/>
      <c r="L80" s="166"/>
      <c r="M80" s="166"/>
      <c r="N80" s="166"/>
      <c r="O80" s="166"/>
      <c r="P80" s="166"/>
      <c r="Q80" s="166"/>
      <c r="R80" s="166"/>
      <c r="S80" s="166"/>
    </row>
    <row r="81" spans="1:19" ht="36.6" x14ac:dyDescent="0.3">
      <c r="A81" s="74" t="s">
        <v>18</v>
      </c>
      <c r="B81" s="74" t="s">
        <v>19</v>
      </c>
      <c r="C81" s="106" t="s">
        <v>0</v>
      </c>
      <c r="D81" s="106" t="s">
        <v>11</v>
      </c>
      <c r="E81" s="97" t="s">
        <v>98</v>
      </c>
      <c r="F81" s="62" t="s">
        <v>158</v>
      </c>
      <c r="G81" s="385"/>
      <c r="H81" s="106" t="s">
        <v>43</v>
      </c>
      <c r="I81" s="158" t="s">
        <v>44</v>
      </c>
      <c r="J81" s="201" t="s">
        <v>45</v>
      </c>
      <c r="K81" s="159" t="s">
        <v>108</v>
      </c>
      <c r="L81" s="156" t="s">
        <v>107</v>
      </c>
      <c r="M81" s="78" t="s">
        <v>82</v>
      </c>
      <c r="N81" s="78" t="s">
        <v>83</v>
      </c>
      <c r="O81" s="159" t="s">
        <v>102</v>
      </c>
      <c r="P81" s="156" t="s">
        <v>103</v>
      </c>
      <c r="Q81" s="76" t="s">
        <v>95</v>
      </c>
      <c r="R81" s="106" t="s">
        <v>41</v>
      </c>
      <c r="S81" s="106" t="s">
        <v>42</v>
      </c>
    </row>
    <row r="82" spans="1:19" x14ac:dyDescent="0.3">
      <c r="A82" s="121">
        <v>2021</v>
      </c>
      <c r="B82" s="122" t="s">
        <v>20</v>
      </c>
      <c r="C82" s="123" t="s">
        <v>5</v>
      </c>
      <c r="D82" s="103">
        <v>1004158</v>
      </c>
      <c r="E82" s="103">
        <v>435</v>
      </c>
      <c r="F82" s="103">
        <v>17783</v>
      </c>
      <c r="G82" s="103"/>
      <c r="H82" s="135">
        <f>I82+J82</f>
        <v>287684</v>
      </c>
      <c r="I82" s="135">
        <f>K82+M82+O82</f>
        <v>287684</v>
      </c>
      <c r="J82" s="135">
        <f>L82+N82+P82</f>
        <v>0</v>
      </c>
      <c r="K82" s="135">
        <v>63943</v>
      </c>
      <c r="L82" s="135"/>
      <c r="M82" s="135">
        <v>123637</v>
      </c>
      <c r="N82" s="135"/>
      <c r="O82" s="136">
        <v>100104</v>
      </c>
      <c r="P82" s="136"/>
      <c r="Q82" s="226">
        <v>549</v>
      </c>
      <c r="R82" s="124">
        <v>58</v>
      </c>
      <c r="S82" s="120">
        <f>Q82-R82</f>
        <v>491</v>
      </c>
    </row>
    <row r="83" spans="1:19" s="339" customFormat="1" x14ac:dyDescent="0.3">
      <c r="A83" s="125">
        <v>2021</v>
      </c>
      <c r="B83" s="126" t="s">
        <v>21</v>
      </c>
      <c r="C83" s="127" t="s">
        <v>5</v>
      </c>
      <c r="D83" s="104">
        <v>908048</v>
      </c>
      <c r="E83" s="104">
        <v>375</v>
      </c>
      <c r="F83" s="104">
        <v>18908</v>
      </c>
      <c r="G83" s="104"/>
      <c r="H83" s="136">
        <f t="shared" ref="H83:H93" si="23">I83+J83</f>
        <v>275520</v>
      </c>
      <c r="I83" s="136">
        <f t="shared" ref="I83:I93" si="24">K83+M83+O83</f>
        <v>275520</v>
      </c>
      <c r="J83" s="136">
        <f t="shared" ref="J83:J93" si="25">L83+N83+P83</f>
        <v>0</v>
      </c>
      <c r="K83" s="136">
        <v>63654</v>
      </c>
      <c r="L83" s="136"/>
      <c r="M83" s="136">
        <v>114272</v>
      </c>
      <c r="N83" s="136"/>
      <c r="O83" s="136">
        <v>97594</v>
      </c>
      <c r="P83" s="136"/>
      <c r="Q83" s="226">
        <v>549</v>
      </c>
      <c r="R83" s="128">
        <v>58</v>
      </c>
      <c r="S83" s="129">
        <f t="shared" ref="S83:S93" si="26">Q83-R83</f>
        <v>491</v>
      </c>
    </row>
    <row r="84" spans="1:19" x14ac:dyDescent="0.3">
      <c r="A84" s="125">
        <v>2021</v>
      </c>
      <c r="B84" s="126" t="s">
        <v>22</v>
      </c>
      <c r="C84" s="127" t="s">
        <v>5</v>
      </c>
      <c r="D84" s="104">
        <v>911191</v>
      </c>
      <c r="E84" s="104">
        <v>527</v>
      </c>
      <c r="F84" s="104">
        <v>16540</v>
      </c>
      <c r="G84" s="104"/>
      <c r="H84" s="136">
        <f t="shared" si="23"/>
        <v>272312</v>
      </c>
      <c r="I84" s="136">
        <f t="shared" si="24"/>
        <v>272312</v>
      </c>
      <c r="J84" s="136">
        <f t="shared" si="25"/>
        <v>0</v>
      </c>
      <c r="K84" s="136">
        <v>64847</v>
      </c>
      <c r="L84" s="136"/>
      <c r="M84" s="136">
        <v>110147</v>
      </c>
      <c r="N84" s="136"/>
      <c r="O84" s="136">
        <v>97318</v>
      </c>
      <c r="P84" s="136"/>
      <c r="Q84" s="226">
        <v>549</v>
      </c>
      <c r="R84" s="128">
        <v>58</v>
      </c>
      <c r="S84" s="129">
        <f t="shared" si="26"/>
        <v>491</v>
      </c>
    </row>
    <row r="85" spans="1:19" x14ac:dyDescent="0.3">
      <c r="A85" s="125">
        <v>2021</v>
      </c>
      <c r="B85" s="126" t="s">
        <v>23</v>
      </c>
      <c r="C85" s="127" t="s">
        <v>5</v>
      </c>
      <c r="D85" s="104">
        <v>881905</v>
      </c>
      <c r="E85" s="104">
        <v>1464</v>
      </c>
      <c r="F85" s="104">
        <v>14405</v>
      </c>
      <c r="G85" s="104"/>
      <c r="H85" s="136">
        <f t="shared" si="23"/>
        <v>257151</v>
      </c>
      <c r="I85" s="136">
        <f t="shared" si="24"/>
        <v>257151</v>
      </c>
      <c r="J85" s="136">
        <f t="shared" si="25"/>
        <v>0</v>
      </c>
      <c r="K85" s="136">
        <v>64309</v>
      </c>
      <c r="L85" s="136"/>
      <c r="M85" s="136">
        <v>108029</v>
      </c>
      <c r="N85" s="136"/>
      <c r="O85" s="136">
        <v>84813</v>
      </c>
      <c r="P85" s="136"/>
      <c r="Q85" s="226">
        <v>554</v>
      </c>
      <c r="R85" s="128">
        <v>63</v>
      </c>
      <c r="S85" s="129">
        <f t="shared" si="26"/>
        <v>491</v>
      </c>
    </row>
    <row r="86" spans="1:19" x14ac:dyDescent="0.3">
      <c r="A86" s="125">
        <v>2021</v>
      </c>
      <c r="B86" s="126" t="s">
        <v>24</v>
      </c>
      <c r="C86" s="127" t="s">
        <v>5</v>
      </c>
      <c r="D86" s="104">
        <v>763759</v>
      </c>
      <c r="E86" s="104">
        <v>1332</v>
      </c>
      <c r="F86" s="104">
        <v>8294</v>
      </c>
      <c r="G86" s="104"/>
      <c r="H86" s="136">
        <f t="shared" si="23"/>
        <v>221350</v>
      </c>
      <c r="I86" s="136">
        <f t="shared" si="24"/>
        <v>221350</v>
      </c>
      <c r="J86" s="136">
        <f t="shared" si="25"/>
        <v>0</v>
      </c>
      <c r="K86" s="136">
        <v>57003</v>
      </c>
      <c r="L86" s="136"/>
      <c r="M86" s="136">
        <v>96523</v>
      </c>
      <c r="N86" s="136"/>
      <c r="O86" s="136">
        <v>67824</v>
      </c>
      <c r="P86" s="136"/>
      <c r="Q86" s="226">
        <v>543</v>
      </c>
      <c r="R86" s="128">
        <v>53</v>
      </c>
      <c r="S86" s="129">
        <f t="shared" si="26"/>
        <v>490</v>
      </c>
    </row>
    <row r="87" spans="1:19" x14ac:dyDescent="0.3">
      <c r="A87" s="125">
        <v>2021</v>
      </c>
      <c r="B87" s="126" t="s">
        <v>25</v>
      </c>
      <c r="C87" s="127" t="s">
        <v>5</v>
      </c>
      <c r="D87" s="104">
        <v>823362</v>
      </c>
      <c r="E87" s="104">
        <v>1618</v>
      </c>
      <c r="F87" s="104">
        <v>6595</v>
      </c>
      <c r="G87" s="104"/>
      <c r="H87" s="136">
        <f t="shared" si="23"/>
        <v>231262</v>
      </c>
      <c r="I87" s="136">
        <f t="shared" si="24"/>
        <v>0</v>
      </c>
      <c r="J87" s="136">
        <f t="shared" si="25"/>
        <v>231262</v>
      </c>
      <c r="K87" s="136"/>
      <c r="L87" s="136">
        <v>60908</v>
      </c>
      <c r="M87" s="136"/>
      <c r="N87" s="136">
        <v>103763</v>
      </c>
      <c r="O87" s="136"/>
      <c r="P87" s="136">
        <v>66591</v>
      </c>
      <c r="Q87" s="118">
        <v>541</v>
      </c>
      <c r="R87" s="128">
        <v>51</v>
      </c>
      <c r="S87" s="129">
        <f t="shared" si="26"/>
        <v>490</v>
      </c>
    </row>
    <row r="88" spans="1:19" x14ac:dyDescent="0.3">
      <c r="A88" s="125">
        <v>2021</v>
      </c>
      <c r="B88" s="126" t="s">
        <v>26</v>
      </c>
      <c r="C88" s="127" t="s">
        <v>5</v>
      </c>
      <c r="D88" s="104">
        <v>851321</v>
      </c>
      <c r="E88" s="104">
        <v>1909</v>
      </c>
      <c r="F88" s="104">
        <v>6446</v>
      </c>
      <c r="G88" s="104"/>
      <c r="H88" s="136">
        <f t="shared" si="23"/>
        <v>254237</v>
      </c>
      <c r="I88" s="136">
        <f t="shared" si="24"/>
        <v>0</v>
      </c>
      <c r="J88" s="136">
        <f t="shared" si="25"/>
        <v>254237</v>
      </c>
      <c r="K88" s="136"/>
      <c r="L88" s="136">
        <v>67353</v>
      </c>
      <c r="M88" s="136"/>
      <c r="N88" s="136">
        <v>115166</v>
      </c>
      <c r="O88" s="136"/>
      <c r="P88" s="136">
        <v>71718</v>
      </c>
      <c r="Q88" s="118">
        <v>541</v>
      </c>
      <c r="R88" s="128">
        <v>51</v>
      </c>
      <c r="S88" s="129">
        <f t="shared" si="26"/>
        <v>490</v>
      </c>
    </row>
    <row r="89" spans="1:19" x14ac:dyDescent="0.3">
      <c r="A89" s="125">
        <v>2021</v>
      </c>
      <c r="B89" s="126" t="s">
        <v>27</v>
      </c>
      <c r="C89" s="127" t="s">
        <v>5</v>
      </c>
      <c r="D89" s="104">
        <v>828303</v>
      </c>
      <c r="E89" s="104">
        <v>1895</v>
      </c>
      <c r="F89" s="104">
        <v>5049</v>
      </c>
      <c r="G89" s="104"/>
      <c r="H89" s="136">
        <f t="shared" si="23"/>
        <v>243647</v>
      </c>
      <c r="I89" s="136">
        <f t="shared" si="24"/>
        <v>0</v>
      </c>
      <c r="J89" s="136">
        <f t="shared" si="25"/>
        <v>243647</v>
      </c>
      <c r="K89" s="136"/>
      <c r="L89" s="136">
        <v>62911</v>
      </c>
      <c r="M89" s="136"/>
      <c r="N89" s="136">
        <v>108837</v>
      </c>
      <c r="O89" s="136"/>
      <c r="P89" s="136">
        <v>71899</v>
      </c>
      <c r="Q89" s="118">
        <v>539</v>
      </c>
      <c r="R89" s="128">
        <v>51</v>
      </c>
      <c r="S89" s="129">
        <f t="shared" si="26"/>
        <v>488</v>
      </c>
    </row>
    <row r="90" spans="1:19" x14ac:dyDescent="0.3">
      <c r="A90" s="125">
        <v>2021</v>
      </c>
      <c r="B90" s="126" t="s">
        <v>28</v>
      </c>
      <c r="C90" s="127" t="s">
        <v>5</v>
      </c>
      <c r="D90" s="104">
        <v>822477</v>
      </c>
      <c r="E90" s="104">
        <v>1961</v>
      </c>
      <c r="F90" s="104">
        <v>6429</v>
      </c>
      <c r="G90" s="104"/>
      <c r="H90" s="136">
        <f t="shared" si="23"/>
        <v>237195</v>
      </c>
      <c r="I90" s="136">
        <f t="shared" si="24"/>
        <v>273</v>
      </c>
      <c r="J90" s="136">
        <f t="shared" si="25"/>
        <v>236922</v>
      </c>
      <c r="K90" s="136">
        <v>68</v>
      </c>
      <c r="L90" s="136">
        <v>59342</v>
      </c>
      <c r="M90" s="136">
        <v>127</v>
      </c>
      <c r="N90" s="136">
        <v>101739</v>
      </c>
      <c r="O90" s="136">
        <v>78</v>
      </c>
      <c r="P90" s="136">
        <v>75841</v>
      </c>
      <c r="Q90" s="118">
        <v>492.61</v>
      </c>
      <c r="R90" s="128">
        <v>43.15789473684211</v>
      </c>
      <c r="S90" s="129">
        <f t="shared" si="26"/>
        <v>449.45210526315793</v>
      </c>
    </row>
    <row r="91" spans="1:19" x14ac:dyDescent="0.3">
      <c r="A91" s="125">
        <v>2021</v>
      </c>
      <c r="B91" s="126" t="s">
        <v>29</v>
      </c>
      <c r="C91" s="127" t="s">
        <v>5</v>
      </c>
      <c r="D91" s="104">
        <v>773799</v>
      </c>
      <c r="E91" s="104">
        <v>1193</v>
      </c>
      <c r="F91" s="104">
        <v>5722</v>
      </c>
      <c r="G91" s="104"/>
      <c r="H91" s="136">
        <f t="shared" si="23"/>
        <v>232872</v>
      </c>
      <c r="I91" s="136">
        <f t="shared" si="24"/>
        <v>120184</v>
      </c>
      <c r="J91" s="136">
        <f t="shared" si="25"/>
        <v>112688</v>
      </c>
      <c r="K91" s="136">
        <v>28379</v>
      </c>
      <c r="L91" s="136">
        <v>27349</v>
      </c>
      <c r="M91" s="136">
        <v>48955</v>
      </c>
      <c r="N91" s="136">
        <v>47268</v>
      </c>
      <c r="O91" s="136">
        <v>42850</v>
      </c>
      <c r="P91" s="136">
        <v>38071</v>
      </c>
      <c r="Q91" s="477">
        <v>473.66</v>
      </c>
      <c r="R91" s="128">
        <v>49.934210526315795</v>
      </c>
      <c r="S91" s="129">
        <f t="shared" si="26"/>
        <v>423.72578947368424</v>
      </c>
    </row>
    <row r="92" spans="1:19" x14ac:dyDescent="0.3">
      <c r="A92" s="125">
        <v>2021</v>
      </c>
      <c r="B92" s="126" t="s">
        <v>30</v>
      </c>
      <c r="C92" s="127" t="s">
        <v>5</v>
      </c>
      <c r="D92" s="104">
        <v>861040</v>
      </c>
      <c r="E92" s="104">
        <v>783</v>
      </c>
      <c r="F92" s="104">
        <v>9770</v>
      </c>
      <c r="G92" s="104"/>
      <c r="H92" s="136">
        <f t="shared" si="23"/>
        <v>252040</v>
      </c>
      <c r="I92" s="136">
        <f t="shared" si="24"/>
        <v>251665</v>
      </c>
      <c r="J92" s="136">
        <f t="shared" si="25"/>
        <v>375</v>
      </c>
      <c r="K92" s="136">
        <v>57630</v>
      </c>
      <c r="L92" s="136">
        <v>97</v>
      </c>
      <c r="M92" s="136">
        <v>102987</v>
      </c>
      <c r="N92" s="136">
        <v>160</v>
      </c>
      <c r="O92" s="136">
        <v>91048</v>
      </c>
      <c r="P92" s="136">
        <v>118</v>
      </c>
      <c r="Q92" s="477">
        <v>556.5</v>
      </c>
      <c r="R92" s="128">
        <v>51.25</v>
      </c>
      <c r="S92" s="129">
        <f t="shared" si="26"/>
        <v>505.25</v>
      </c>
    </row>
    <row r="93" spans="1:19" x14ac:dyDescent="0.3">
      <c r="A93" s="130">
        <v>2021</v>
      </c>
      <c r="B93" s="131" t="s">
        <v>31</v>
      </c>
      <c r="C93" s="132" t="s">
        <v>5</v>
      </c>
      <c r="D93" s="105">
        <v>910361</v>
      </c>
      <c r="E93" s="105">
        <v>590</v>
      </c>
      <c r="F93" s="105">
        <v>18146</v>
      </c>
      <c r="G93" s="105"/>
      <c r="H93" s="137">
        <f t="shared" si="23"/>
        <v>275144</v>
      </c>
      <c r="I93" s="137">
        <f t="shared" si="24"/>
        <v>275144</v>
      </c>
      <c r="J93" s="137">
        <f t="shared" si="25"/>
        <v>0</v>
      </c>
      <c r="K93" s="137">
        <v>60856</v>
      </c>
      <c r="L93" s="137">
        <v>0</v>
      </c>
      <c r="M93" s="137">
        <v>119370</v>
      </c>
      <c r="N93" s="137">
        <v>0</v>
      </c>
      <c r="O93" s="137">
        <v>94918</v>
      </c>
      <c r="P93" s="137">
        <v>0</v>
      </c>
      <c r="Q93" s="478">
        <v>538.54</v>
      </c>
      <c r="R93" s="133">
        <v>52.10526315789474</v>
      </c>
      <c r="S93" s="134">
        <f t="shared" si="26"/>
        <v>486.43473684210522</v>
      </c>
    </row>
    <row r="94" spans="1:19" x14ac:dyDescent="0.3">
      <c r="A94" s="549" t="s">
        <v>81</v>
      </c>
      <c r="B94" s="545"/>
      <c r="C94" s="545"/>
      <c r="D94" s="166">
        <f t="shared" ref="D94:Q94" si="27">SUM(D82:D93)</f>
        <v>10339724</v>
      </c>
      <c r="E94" s="166">
        <f t="shared" si="27"/>
        <v>14082</v>
      </c>
      <c r="F94" s="166">
        <f t="shared" si="27"/>
        <v>134087</v>
      </c>
      <c r="G94" s="166">
        <f t="shared" si="27"/>
        <v>0</v>
      </c>
      <c r="H94" s="166">
        <f t="shared" si="27"/>
        <v>3040414</v>
      </c>
      <c r="I94" s="166">
        <f t="shared" si="27"/>
        <v>1961283</v>
      </c>
      <c r="J94" s="166">
        <f t="shared" si="27"/>
        <v>1079131</v>
      </c>
      <c r="K94" s="166">
        <f t="shared" si="27"/>
        <v>460689</v>
      </c>
      <c r="L94" s="166">
        <f t="shared" si="27"/>
        <v>277960</v>
      </c>
      <c r="M94" s="166">
        <f t="shared" si="27"/>
        <v>824047</v>
      </c>
      <c r="N94" s="166">
        <f t="shared" si="27"/>
        <v>476933</v>
      </c>
      <c r="O94" s="166">
        <f t="shared" si="27"/>
        <v>676547</v>
      </c>
      <c r="P94" s="166">
        <f t="shared" si="27"/>
        <v>324238</v>
      </c>
      <c r="Q94" s="166">
        <f t="shared" si="27"/>
        <v>6426.3099999999995</v>
      </c>
      <c r="R94" s="166">
        <f>SUM(R82:R93)</f>
        <v>639.44736842105272</v>
      </c>
      <c r="S94" s="166">
        <f>SUM(S82:S93)</f>
        <v>5786.862631578947</v>
      </c>
    </row>
    <row r="95" spans="1:19" x14ac:dyDescent="0.3">
      <c r="A95" s="285"/>
      <c r="B95" s="285"/>
      <c r="C95" s="285"/>
      <c r="D95" s="285"/>
      <c r="E95" s="285"/>
      <c r="F95" s="285"/>
      <c r="G95" s="285"/>
      <c r="H95" s="285"/>
      <c r="I95" s="285"/>
      <c r="J95" s="285"/>
      <c r="K95" s="285"/>
      <c r="L95" s="285"/>
      <c r="M95" s="285"/>
      <c r="N95" s="285"/>
      <c r="O95" s="285"/>
      <c r="P95" s="285"/>
      <c r="Q95" s="479"/>
      <c r="R95" s="285"/>
    </row>
    <row r="96" spans="1:19" ht="36.6" x14ac:dyDescent="0.3">
      <c r="A96" s="74" t="s">
        <v>18</v>
      </c>
      <c r="B96" s="74" t="s">
        <v>19</v>
      </c>
      <c r="C96" s="106" t="s">
        <v>0</v>
      </c>
      <c r="D96" s="106" t="s">
        <v>11</v>
      </c>
      <c r="E96" s="97" t="s">
        <v>98</v>
      </c>
      <c r="F96" s="62" t="s">
        <v>158</v>
      </c>
      <c r="G96" s="385"/>
      <c r="H96" s="106" t="s">
        <v>43</v>
      </c>
      <c r="I96" s="158" t="s">
        <v>44</v>
      </c>
      <c r="J96" s="201" t="s">
        <v>45</v>
      </c>
      <c r="K96" s="159" t="s">
        <v>108</v>
      </c>
      <c r="L96" s="156" t="s">
        <v>107</v>
      </c>
      <c r="M96" s="78" t="s">
        <v>82</v>
      </c>
      <c r="N96" s="78" t="s">
        <v>83</v>
      </c>
      <c r="O96" s="159" t="s">
        <v>102</v>
      </c>
      <c r="P96" s="156" t="s">
        <v>103</v>
      </c>
      <c r="Q96" s="76" t="s">
        <v>95</v>
      </c>
      <c r="R96" s="106" t="s">
        <v>41</v>
      </c>
      <c r="S96" s="106" t="s">
        <v>42</v>
      </c>
    </row>
    <row r="97" spans="1:19" x14ac:dyDescent="0.3">
      <c r="A97" s="121">
        <v>2020</v>
      </c>
      <c r="B97" s="122" t="s">
        <v>20</v>
      </c>
      <c r="C97" s="123" t="s">
        <v>5</v>
      </c>
      <c r="D97" s="103">
        <v>1039104</v>
      </c>
      <c r="E97" s="103"/>
      <c r="F97" s="103">
        <v>23273</v>
      </c>
      <c r="G97" s="103"/>
      <c r="H97" s="135">
        <f>I97+J97</f>
        <v>299163</v>
      </c>
      <c r="I97" s="135">
        <f>K97+M97+O97</f>
        <v>299163</v>
      </c>
      <c r="J97" s="135">
        <f>L97+N97+P97</f>
        <v>0</v>
      </c>
      <c r="K97" s="135">
        <v>66552</v>
      </c>
      <c r="L97" s="135"/>
      <c r="M97" s="135">
        <v>128423</v>
      </c>
      <c r="N97" s="135"/>
      <c r="O97" s="136">
        <v>104188</v>
      </c>
      <c r="P97" s="136"/>
      <c r="Q97" s="226">
        <v>547</v>
      </c>
      <c r="R97" s="124">
        <v>58</v>
      </c>
      <c r="S97" s="120">
        <f>Q97-R97</f>
        <v>489</v>
      </c>
    </row>
    <row r="98" spans="1:19" x14ac:dyDescent="0.3">
      <c r="A98" s="125">
        <v>2020</v>
      </c>
      <c r="B98" s="126" t="s">
        <v>21</v>
      </c>
      <c r="C98" s="127" t="s">
        <v>5</v>
      </c>
      <c r="D98" s="104">
        <v>976772</v>
      </c>
      <c r="E98" s="104"/>
      <c r="F98" s="104">
        <v>23867</v>
      </c>
      <c r="G98" s="104"/>
      <c r="H98" s="136">
        <f t="shared" ref="H98:H108" si="28">I98+J98</f>
        <v>295596</v>
      </c>
      <c r="I98" s="136">
        <f t="shared" ref="I98:I108" si="29">K98+M98+O98</f>
        <v>295596</v>
      </c>
      <c r="J98" s="136">
        <f t="shared" ref="J98:J108" si="30">L98+N98+P98</f>
        <v>0</v>
      </c>
      <c r="K98" s="136">
        <v>67269</v>
      </c>
      <c r="L98" s="136"/>
      <c r="M98" s="136">
        <v>122480</v>
      </c>
      <c r="N98" s="136"/>
      <c r="O98" s="136">
        <v>105847</v>
      </c>
      <c r="P98" s="136"/>
      <c r="Q98" s="226">
        <v>547</v>
      </c>
      <c r="R98" s="128">
        <v>58</v>
      </c>
      <c r="S98" s="129">
        <f t="shared" ref="S98:S108" si="31">Q98-R98</f>
        <v>489</v>
      </c>
    </row>
    <row r="99" spans="1:19" x14ac:dyDescent="0.3">
      <c r="A99" s="125">
        <v>2020</v>
      </c>
      <c r="B99" s="126" t="s">
        <v>22</v>
      </c>
      <c r="C99" s="127" t="s">
        <v>5</v>
      </c>
      <c r="D99" s="104">
        <v>915872</v>
      </c>
      <c r="E99" s="104"/>
      <c r="F99" s="104">
        <v>21266</v>
      </c>
      <c r="G99" s="104"/>
      <c r="H99" s="136">
        <f t="shared" si="28"/>
        <v>272180</v>
      </c>
      <c r="I99" s="136">
        <f t="shared" si="29"/>
        <v>272180</v>
      </c>
      <c r="J99" s="136">
        <f t="shared" si="30"/>
        <v>0</v>
      </c>
      <c r="K99" s="136">
        <v>65093</v>
      </c>
      <c r="L99" s="136"/>
      <c r="M99" s="136">
        <v>110593</v>
      </c>
      <c r="N99" s="136"/>
      <c r="O99" s="136">
        <v>96494</v>
      </c>
      <c r="P99" s="136"/>
      <c r="Q99" s="226">
        <v>547</v>
      </c>
      <c r="R99" s="128">
        <v>58</v>
      </c>
      <c r="S99" s="129">
        <f t="shared" si="31"/>
        <v>489</v>
      </c>
    </row>
    <row r="100" spans="1:19" x14ac:dyDescent="0.3">
      <c r="A100" s="125">
        <v>2020</v>
      </c>
      <c r="B100" s="126" t="s">
        <v>23</v>
      </c>
      <c r="C100" s="127" t="s">
        <v>5</v>
      </c>
      <c r="D100" s="104">
        <v>891076</v>
      </c>
      <c r="E100" s="104"/>
      <c r="F100" s="104">
        <v>16661</v>
      </c>
      <c r="G100" s="104"/>
      <c r="H100" s="136">
        <f t="shared" si="28"/>
        <v>260152</v>
      </c>
      <c r="I100" s="136">
        <f t="shared" si="29"/>
        <v>260152</v>
      </c>
      <c r="J100" s="136">
        <f t="shared" si="30"/>
        <v>0</v>
      </c>
      <c r="K100" s="136">
        <v>65337</v>
      </c>
      <c r="L100" s="136"/>
      <c r="M100" s="136">
        <v>109375</v>
      </c>
      <c r="N100" s="136"/>
      <c r="O100" s="136">
        <v>85440</v>
      </c>
      <c r="P100" s="136"/>
      <c r="Q100" s="226">
        <v>546</v>
      </c>
      <c r="R100" s="128">
        <v>57</v>
      </c>
      <c r="S100" s="129">
        <f t="shared" si="31"/>
        <v>489</v>
      </c>
    </row>
    <row r="101" spans="1:19" x14ac:dyDescent="0.3">
      <c r="A101" s="125">
        <v>2020</v>
      </c>
      <c r="B101" s="126" t="s">
        <v>24</v>
      </c>
      <c r="C101" s="127" t="s">
        <v>5</v>
      </c>
      <c r="D101" s="104">
        <v>807647</v>
      </c>
      <c r="E101" s="104"/>
      <c r="F101" s="104">
        <v>11797</v>
      </c>
      <c r="G101" s="104"/>
      <c r="H101" s="136">
        <f t="shared" si="28"/>
        <v>231285</v>
      </c>
      <c r="I101" s="136">
        <f t="shared" si="29"/>
        <v>231285</v>
      </c>
      <c r="J101" s="136">
        <f t="shared" si="30"/>
        <v>0</v>
      </c>
      <c r="K101" s="136">
        <v>59525</v>
      </c>
      <c r="L101" s="136"/>
      <c r="M101" s="136">
        <v>100533</v>
      </c>
      <c r="N101" s="136"/>
      <c r="O101" s="136">
        <v>71227</v>
      </c>
      <c r="P101" s="136"/>
      <c r="Q101" s="226">
        <v>548</v>
      </c>
      <c r="R101" s="128">
        <v>58</v>
      </c>
      <c r="S101" s="129">
        <f t="shared" si="31"/>
        <v>490</v>
      </c>
    </row>
    <row r="102" spans="1:19" x14ac:dyDescent="0.3">
      <c r="A102" s="125">
        <v>2020</v>
      </c>
      <c r="B102" s="126" t="s">
        <v>25</v>
      </c>
      <c r="C102" s="127" t="s">
        <v>5</v>
      </c>
      <c r="D102" s="104">
        <v>836643</v>
      </c>
      <c r="E102" s="104"/>
      <c r="F102" s="104">
        <v>4601</v>
      </c>
      <c r="G102" s="104"/>
      <c r="H102" s="136">
        <f t="shared" si="28"/>
        <v>236484</v>
      </c>
      <c r="I102" s="136">
        <f t="shared" si="29"/>
        <v>0</v>
      </c>
      <c r="J102" s="136">
        <f t="shared" si="30"/>
        <v>236484</v>
      </c>
      <c r="K102" s="136"/>
      <c r="L102" s="136">
        <v>62379</v>
      </c>
      <c r="M102" s="136"/>
      <c r="N102" s="136">
        <v>106406</v>
      </c>
      <c r="O102" s="136"/>
      <c r="P102" s="136">
        <v>67699</v>
      </c>
      <c r="Q102" s="118">
        <v>548</v>
      </c>
      <c r="R102" s="128">
        <v>58</v>
      </c>
      <c r="S102" s="129">
        <f t="shared" si="31"/>
        <v>490</v>
      </c>
    </row>
    <row r="103" spans="1:19" x14ac:dyDescent="0.3">
      <c r="A103" s="125">
        <v>2020</v>
      </c>
      <c r="B103" s="126" t="s">
        <v>26</v>
      </c>
      <c r="C103" s="127" t="s">
        <v>5</v>
      </c>
      <c r="D103" s="104">
        <v>894552</v>
      </c>
      <c r="E103" s="104"/>
      <c r="F103" s="104">
        <v>3494</v>
      </c>
      <c r="G103" s="104"/>
      <c r="H103" s="136">
        <f t="shared" si="28"/>
        <v>269927</v>
      </c>
      <c r="I103" s="136">
        <f t="shared" si="29"/>
        <v>0</v>
      </c>
      <c r="J103" s="136">
        <f t="shared" si="30"/>
        <v>269927</v>
      </c>
      <c r="K103" s="136"/>
      <c r="L103" s="136">
        <v>71826</v>
      </c>
      <c r="M103" s="136"/>
      <c r="N103" s="136">
        <v>122486</v>
      </c>
      <c r="O103" s="136"/>
      <c r="P103" s="136">
        <v>75615</v>
      </c>
      <c r="Q103" s="118">
        <v>548</v>
      </c>
      <c r="R103" s="128">
        <v>58</v>
      </c>
      <c r="S103" s="129">
        <f t="shared" si="31"/>
        <v>490</v>
      </c>
    </row>
    <row r="104" spans="1:19" x14ac:dyDescent="0.3">
      <c r="A104" s="125">
        <v>2020</v>
      </c>
      <c r="B104" s="126" t="s">
        <v>27</v>
      </c>
      <c r="C104" s="127" t="s">
        <v>5</v>
      </c>
      <c r="D104" s="104">
        <v>890743</v>
      </c>
      <c r="E104" s="104">
        <v>127</v>
      </c>
      <c r="F104" s="104">
        <v>3553</v>
      </c>
      <c r="G104" s="104"/>
      <c r="H104" s="136">
        <f t="shared" si="28"/>
        <v>261262</v>
      </c>
      <c r="I104" s="136">
        <f t="shared" si="29"/>
        <v>0</v>
      </c>
      <c r="J104" s="136">
        <f t="shared" si="30"/>
        <v>261262</v>
      </c>
      <c r="K104" s="136"/>
      <c r="L104" s="136">
        <v>68273</v>
      </c>
      <c r="M104" s="136"/>
      <c r="N104" s="136">
        <v>116647</v>
      </c>
      <c r="O104" s="136"/>
      <c r="P104" s="136">
        <v>76342</v>
      </c>
      <c r="Q104" s="118">
        <v>546</v>
      </c>
      <c r="R104" s="128">
        <v>58</v>
      </c>
      <c r="S104" s="129">
        <f t="shared" si="31"/>
        <v>488</v>
      </c>
    </row>
    <row r="105" spans="1:19" x14ac:dyDescent="0.3">
      <c r="A105" s="125">
        <v>2020</v>
      </c>
      <c r="B105" s="126" t="s">
        <v>28</v>
      </c>
      <c r="C105" s="127" t="s">
        <v>5</v>
      </c>
      <c r="D105" s="104">
        <v>867709</v>
      </c>
      <c r="E105" s="104">
        <v>1821</v>
      </c>
      <c r="F105" s="104">
        <v>3251</v>
      </c>
      <c r="G105" s="104"/>
      <c r="H105" s="136">
        <f t="shared" si="28"/>
        <v>250015</v>
      </c>
      <c r="I105" s="136">
        <f t="shared" si="29"/>
        <v>0</v>
      </c>
      <c r="J105" s="136">
        <f t="shared" si="30"/>
        <v>250015</v>
      </c>
      <c r="K105" s="136"/>
      <c r="L105" s="136">
        <v>62976</v>
      </c>
      <c r="M105" s="136"/>
      <c r="N105" s="136">
        <v>107332</v>
      </c>
      <c r="O105" s="136"/>
      <c r="P105" s="136">
        <v>79707</v>
      </c>
      <c r="Q105" s="118">
        <v>549</v>
      </c>
      <c r="R105" s="128">
        <v>58</v>
      </c>
      <c r="S105" s="129">
        <f t="shared" si="31"/>
        <v>491</v>
      </c>
    </row>
    <row r="106" spans="1:19" x14ac:dyDescent="0.3">
      <c r="A106" s="125">
        <v>2020</v>
      </c>
      <c r="B106" s="126" t="s">
        <v>29</v>
      </c>
      <c r="C106" s="127" t="s">
        <v>5</v>
      </c>
      <c r="D106" s="104">
        <v>829239</v>
      </c>
      <c r="E106" s="104">
        <v>1223</v>
      </c>
      <c r="F106" s="104">
        <v>2894</v>
      </c>
      <c r="G106" s="104"/>
      <c r="H106" s="136">
        <f t="shared" si="28"/>
        <v>247029</v>
      </c>
      <c r="I106" s="136">
        <f t="shared" si="29"/>
        <v>247029</v>
      </c>
      <c r="J106" s="136">
        <f t="shared" si="30"/>
        <v>0</v>
      </c>
      <c r="K106" s="136">
        <v>59666</v>
      </c>
      <c r="L106" s="136"/>
      <c r="M106" s="136">
        <v>100944</v>
      </c>
      <c r="N106" s="136"/>
      <c r="O106" s="136">
        <v>86419</v>
      </c>
      <c r="P106" s="136"/>
      <c r="Q106" s="226">
        <v>549</v>
      </c>
      <c r="R106" s="128">
        <v>58</v>
      </c>
      <c r="S106" s="129">
        <f t="shared" si="31"/>
        <v>491</v>
      </c>
    </row>
    <row r="107" spans="1:19" x14ac:dyDescent="0.3">
      <c r="A107" s="125">
        <v>2020</v>
      </c>
      <c r="B107" s="126" t="s">
        <v>30</v>
      </c>
      <c r="C107" s="127" t="s">
        <v>5</v>
      </c>
      <c r="D107" s="104">
        <v>841648</v>
      </c>
      <c r="E107" s="104">
        <v>1008</v>
      </c>
      <c r="F107" s="104">
        <v>2649</v>
      </c>
      <c r="G107" s="104"/>
      <c r="H107" s="136">
        <f t="shared" si="28"/>
        <v>250412</v>
      </c>
      <c r="I107" s="136">
        <f t="shared" si="29"/>
        <v>250412</v>
      </c>
      <c r="J107" s="136">
        <f t="shared" si="30"/>
        <v>0</v>
      </c>
      <c r="K107" s="136">
        <v>56888</v>
      </c>
      <c r="L107" s="136"/>
      <c r="M107" s="136">
        <v>103400</v>
      </c>
      <c r="N107" s="136"/>
      <c r="O107" s="136">
        <v>90124</v>
      </c>
      <c r="P107" s="136"/>
      <c r="Q107" s="226">
        <v>549</v>
      </c>
      <c r="R107" s="128">
        <v>58</v>
      </c>
      <c r="S107" s="129">
        <f t="shared" si="31"/>
        <v>491</v>
      </c>
    </row>
    <row r="108" spans="1:19" x14ac:dyDescent="0.3">
      <c r="A108" s="130">
        <v>2020</v>
      </c>
      <c r="B108" s="131" t="s">
        <v>31</v>
      </c>
      <c r="C108" s="132" t="s">
        <v>5</v>
      </c>
      <c r="D108" s="105">
        <v>967835</v>
      </c>
      <c r="E108" s="105">
        <v>642</v>
      </c>
      <c r="F108" s="105">
        <v>11131</v>
      </c>
      <c r="G108" s="105"/>
      <c r="H108" s="137">
        <f t="shared" si="28"/>
        <v>282991</v>
      </c>
      <c r="I108" s="137">
        <f t="shared" si="29"/>
        <v>282991</v>
      </c>
      <c r="J108" s="137">
        <f t="shared" si="30"/>
        <v>0</v>
      </c>
      <c r="K108" s="137">
        <v>62197</v>
      </c>
      <c r="L108" s="137"/>
      <c r="M108" s="137">
        <v>122504</v>
      </c>
      <c r="N108" s="137"/>
      <c r="O108" s="137">
        <v>98290</v>
      </c>
      <c r="P108" s="137"/>
      <c r="Q108" s="222">
        <v>549</v>
      </c>
      <c r="R108" s="133">
        <v>58</v>
      </c>
      <c r="S108" s="134">
        <f t="shared" si="31"/>
        <v>491</v>
      </c>
    </row>
    <row r="109" spans="1:19" x14ac:dyDescent="0.3">
      <c r="A109" s="549" t="s">
        <v>81</v>
      </c>
      <c r="B109" s="545"/>
      <c r="C109" s="545"/>
      <c r="D109" s="166">
        <f t="shared" ref="D109:N109" si="32">SUM(D97:D108)</f>
        <v>10758840</v>
      </c>
      <c r="E109" s="166">
        <f t="shared" si="32"/>
        <v>4821</v>
      </c>
      <c r="F109" s="166">
        <f t="shared" si="32"/>
        <v>128437</v>
      </c>
      <c r="G109" s="166">
        <f t="shared" si="32"/>
        <v>0</v>
      </c>
      <c r="H109" s="166">
        <f t="shared" si="32"/>
        <v>3156496</v>
      </c>
      <c r="I109" s="166">
        <f>SUM(I97:I108)</f>
        <v>2138808</v>
      </c>
      <c r="J109" s="166">
        <f t="shared" si="32"/>
        <v>1017688</v>
      </c>
      <c r="K109" s="166">
        <f t="shared" si="32"/>
        <v>502527</v>
      </c>
      <c r="L109" s="166">
        <f t="shared" si="32"/>
        <v>265454</v>
      </c>
      <c r="M109" s="166">
        <f t="shared" si="32"/>
        <v>898252</v>
      </c>
      <c r="N109" s="166">
        <f t="shared" si="32"/>
        <v>452871</v>
      </c>
      <c r="O109" s="166"/>
      <c r="P109" s="166"/>
      <c r="Q109" s="166">
        <f>SUM(Q97:Q108)</f>
        <v>6573</v>
      </c>
      <c r="R109" s="166">
        <f>SUM(R97:R108)</f>
        <v>695</v>
      </c>
      <c r="S109" s="166">
        <f>SUM(S97:S108)</f>
        <v>5878</v>
      </c>
    </row>
    <row r="110" spans="1:19" x14ac:dyDescent="0.3">
      <c r="A110" s="285"/>
      <c r="B110" s="285"/>
      <c r="C110" s="285"/>
      <c r="D110" s="285"/>
      <c r="E110" s="285"/>
      <c r="F110" s="285"/>
      <c r="G110" s="285"/>
      <c r="H110" s="285"/>
      <c r="I110" s="285"/>
      <c r="J110" s="285"/>
      <c r="K110" s="285"/>
      <c r="L110" s="285"/>
      <c r="M110" s="285"/>
      <c r="N110" s="285"/>
      <c r="O110" s="285"/>
      <c r="P110" s="285"/>
      <c r="Q110" s="285"/>
      <c r="R110" s="285"/>
    </row>
    <row r="111" spans="1:19" x14ac:dyDescent="0.3">
      <c r="A111" s="340" t="s">
        <v>78</v>
      </c>
      <c r="B111" s="338"/>
      <c r="C111" s="338"/>
      <c r="D111" s="339"/>
      <c r="E111" s="339"/>
      <c r="F111" s="339"/>
      <c r="G111" s="339"/>
      <c r="H111" s="339"/>
      <c r="I111" s="339"/>
      <c r="J111" s="339"/>
      <c r="K111" s="339"/>
      <c r="L111" s="339"/>
      <c r="M111" s="339"/>
      <c r="N111" s="339"/>
      <c r="O111" s="339"/>
      <c r="P111" s="339"/>
      <c r="Q111" s="339"/>
      <c r="R111" s="339"/>
      <c r="S111" s="339"/>
    </row>
    <row r="112" spans="1:19" x14ac:dyDescent="0.3">
      <c r="A112" s="41" t="s">
        <v>113</v>
      </c>
    </row>
    <row r="113" spans="1:1" x14ac:dyDescent="0.3">
      <c r="A113" s="475" t="s">
        <v>137</v>
      </c>
    </row>
  </sheetData>
  <mergeCells count="11">
    <mergeCell ref="A49:C49"/>
    <mergeCell ref="A64:C64"/>
    <mergeCell ref="A34:C34"/>
    <mergeCell ref="A109:C109"/>
    <mergeCell ref="A94:C94"/>
    <mergeCell ref="A79:C79"/>
    <mergeCell ref="A1:K1"/>
    <mergeCell ref="A2:K2"/>
    <mergeCell ref="A3:K3"/>
    <mergeCell ref="A4:K4"/>
    <mergeCell ref="A19:C19"/>
  </mergeCells>
  <phoneticPr fontId="17" type="noConversion"/>
  <printOptions horizontalCentered="1"/>
  <pageMargins left="0.25" right="0.25" top="0.5" bottom="0.75" header="0.3" footer="0.3"/>
  <pageSetup scale="71" fitToHeight="0" orientation="landscape" r:id="rId1"/>
  <rowBreaks count="3" manualBreakCount="3">
    <brk id="35" max="17" man="1"/>
    <brk id="65" max="17" man="1"/>
    <brk id="95"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0E546-BDAC-4AEC-83EA-65A951F865D1}">
  <sheetPr codeName="Sheet26">
    <pageSetUpPr fitToPage="1"/>
  </sheetPr>
  <dimension ref="A1:AT117"/>
  <sheetViews>
    <sheetView zoomScaleNormal="100" workbookViewId="0">
      <selection sqref="A1:K1"/>
    </sheetView>
  </sheetViews>
  <sheetFormatPr defaultColWidth="8.88671875" defaultRowHeight="14.4" x14ac:dyDescent="0.3"/>
  <cols>
    <col min="1" max="2" width="6.44140625" style="3" customWidth="1"/>
    <col min="3" max="3" width="9.109375" style="3" customWidth="1"/>
    <col min="4" max="8" width="11.109375" style="343" customWidth="1"/>
    <col min="9" max="9" width="12.44140625" style="343" customWidth="1"/>
    <col min="10" max="10" width="11.5546875" style="343" customWidth="1"/>
    <col min="11" max="11" width="12.109375" style="343" customWidth="1"/>
    <col min="12" max="12" width="11.33203125" style="343" customWidth="1"/>
    <col min="13" max="13" width="11.5546875" style="343" customWidth="1"/>
    <col min="14" max="14" width="11.88671875" style="343" customWidth="1"/>
    <col min="15" max="15" width="11.44140625" style="343" customWidth="1"/>
    <col min="16" max="16" width="9.88671875" style="343" customWidth="1"/>
    <col min="17" max="17" width="11.5546875" style="343" customWidth="1"/>
    <col min="18" max="18" width="11.88671875" style="343" customWidth="1"/>
    <col min="19" max="19" width="10.5546875" style="343" customWidth="1"/>
    <col min="20" max="20" width="11" style="343" customWidth="1"/>
    <col min="21" max="23" width="10.5546875" style="343" customWidth="1"/>
    <col min="24" max="24" width="9" style="343" customWidth="1"/>
    <col min="25" max="25" width="9" style="343" bestFit="1" customWidth="1"/>
    <col min="26" max="27" width="10.33203125" style="343" customWidth="1"/>
    <col min="28" max="28" width="9.109375" style="343" bestFit="1" customWidth="1"/>
    <col min="29" max="29" width="9.44140625" style="343" bestFit="1" customWidth="1"/>
    <col min="30" max="30" width="8.33203125" style="343" bestFit="1" customWidth="1"/>
    <col min="31" max="33" width="8.88671875" style="343"/>
    <col min="34" max="34" width="3.88671875" style="343" customWidth="1"/>
    <col min="35" max="16384" width="8.88671875" style="343"/>
  </cols>
  <sheetData>
    <row r="1" spans="1:46" ht="18" x14ac:dyDescent="0.35">
      <c r="A1" s="542" t="s">
        <v>122</v>
      </c>
      <c r="B1" s="542"/>
      <c r="C1" s="542"/>
      <c r="D1" s="542"/>
      <c r="E1" s="542"/>
      <c r="F1" s="542"/>
      <c r="G1" s="542"/>
      <c r="H1" s="542"/>
      <c r="I1" s="542"/>
      <c r="J1" s="542"/>
      <c r="K1" s="542"/>
    </row>
    <row r="2" spans="1:46" ht="18" x14ac:dyDescent="0.35">
      <c r="A2" s="542" t="s">
        <v>163</v>
      </c>
      <c r="B2" s="542"/>
      <c r="C2" s="542"/>
      <c r="D2" s="542"/>
      <c r="E2" s="542"/>
      <c r="F2" s="542"/>
      <c r="G2" s="542"/>
      <c r="H2" s="542"/>
      <c r="I2" s="542"/>
      <c r="J2" s="542"/>
      <c r="K2" s="542"/>
    </row>
    <row r="3" spans="1:46" ht="18" x14ac:dyDescent="0.35">
      <c r="A3" s="542" t="s">
        <v>166</v>
      </c>
      <c r="B3" s="542"/>
      <c r="C3" s="542"/>
      <c r="D3" s="542"/>
      <c r="E3" s="542"/>
      <c r="F3" s="542"/>
      <c r="G3" s="542"/>
      <c r="H3" s="542"/>
      <c r="I3" s="542"/>
      <c r="J3" s="542"/>
      <c r="K3" s="542"/>
    </row>
    <row r="4" spans="1:46" ht="18" x14ac:dyDescent="0.35">
      <c r="A4" s="542" t="s">
        <v>123</v>
      </c>
      <c r="B4" s="542"/>
      <c r="C4" s="542"/>
      <c r="D4" s="542"/>
      <c r="E4" s="542"/>
      <c r="F4" s="542"/>
      <c r="G4" s="542"/>
      <c r="H4" s="542"/>
      <c r="I4" s="542"/>
      <c r="J4" s="542"/>
      <c r="K4" s="542"/>
    </row>
    <row r="6" spans="1:46" s="330" customFormat="1" ht="48" x14ac:dyDescent="0.25">
      <c r="A6" s="6" t="s">
        <v>18</v>
      </c>
      <c r="B6" s="6" t="s">
        <v>19</v>
      </c>
      <c r="C6" s="161" t="s">
        <v>0</v>
      </c>
      <c r="D6" s="443" t="s">
        <v>11</v>
      </c>
      <c r="E6" s="459" t="s">
        <v>98</v>
      </c>
      <c r="F6" s="499" t="s">
        <v>158</v>
      </c>
      <c r="G6" s="499" t="s">
        <v>159</v>
      </c>
      <c r="H6" s="443" t="s">
        <v>109</v>
      </c>
      <c r="I6" s="443" t="s">
        <v>110</v>
      </c>
      <c r="J6" s="445" t="s">
        <v>1</v>
      </c>
      <c r="K6" s="445" t="s">
        <v>2</v>
      </c>
      <c r="L6" s="443" t="s">
        <v>46</v>
      </c>
      <c r="M6" s="460" t="s">
        <v>37</v>
      </c>
      <c r="N6" s="461" t="s">
        <v>38</v>
      </c>
      <c r="O6" s="429" t="s">
        <v>100</v>
      </c>
      <c r="P6" s="430" t="s">
        <v>107</v>
      </c>
      <c r="Q6" s="431" t="s">
        <v>82</v>
      </c>
      <c r="R6" s="431" t="s">
        <v>83</v>
      </c>
      <c r="S6" s="429" t="s">
        <v>102</v>
      </c>
      <c r="T6" s="430" t="s">
        <v>103</v>
      </c>
      <c r="U6" s="447" t="s">
        <v>3</v>
      </c>
      <c r="V6" s="431" t="s">
        <v>126</v>
      </c>
      <c r="W6" s="431" t="s">
        <v>127</v>
      </c>
      <c r="X6" s="447" t="s">
        <v>53</v>
      </c>
      <c r="Y6" s="447" t="s">
        <v>54</v>
      </c>
      <c r="Z6" s="447" t="s">
        <v>55</v>
      </c>
      <c r="AA6" s="447" t="s">
        <v>150</v>
      </c>
      <c r="AB6" s="447" t="s">
        <v>47</v>
      </c>
      <c r="AC6" s="447" t="s">
        <v>58</v>
      </c>
      <c r="AD6" s="447" t="s">
        <v>59</v>
      </c>
      <c r="AE6" s="448" t="s">
        <v>51</v>
      </c>
      <c r="AF6" s="448" t="s">
        <v>57</v>
      </c>
      <c r="AG6" s="448" t="s">
        <v>56</v>
      </c>
    </row>
    <row r="7" spans="1:46" x14ac:dyDescent="0.3">
      <c r="A7" s="16">
        <v>2027</v>
      </c>
      <c r="B7" s="17" t="s">
        <v>20</v>
      </c>
      <c r="C7" s="21" t="s">
        <v>121</v>
      </c>
      <c r="D7" s="454">
        <v>58173530.210919477</v>
      </c>
      <c r="E7" s="455">
        <v>26692.513715047498</v>
      </c>
      <c r="F7" s="455">
        <v>643874.73757905827</v>
      </c>
      <c r="G7" s="455">
        <v>124655.292690606</v>
      </c>
      <c r="H7" s="455">
        <v>386970.01750069897</v>
      </c>
      <c r="I7" s="455">
        <v>4281.0539083369904</v>
      </c>
      <c r="J7" s="451"/>
      <c r="K7" s="451"/>
      <c r="L7" s="451">
        <f>SUM(M7:N7)</f>
        <v>21219932.875093073</v>
      </c>
      <c r="M7" s="451">
        <f>SUM(O7+Q7+S7)</f>
        <v>21204697.294203606</v>
      </c>
      <c r="N7" s="451">
        <f>SUM(P7+R7+T7)</f>
        <v>15235.580889468332</v>
      </c>
      <c r="O7" s="454">
        <v>6127196.7611327544</v>
      </c>
      <c r="P7" s="454">
        <v>4401.9752902398977</v>
      </c>
      <c r="Q7" s="454">
        <v>9881191.6919171829</v>
      </c>
      <c r="R7" s="454">
        <v>7100.0043460807192</v>
      </c>
      <c r="S7" s="454">
        <v>5196308.8411536682</v>
      </c>
      <c r="T7" s="454">
        <v>3733.6012531477145</v>
      </c>
      <c r="U7" s="454">
        <v>242197.05137482285</v>
      </c>
      <c r="V7" s="454">
        <v>2640.1940307810528</v>
      </c>
      <c r="W7" s="454">
        <v>0</v>
      </c>
      <c r="X7" s="451">
        <v>548.55638444572185</v>
      </c>
      <c r="Y7" s="451">
        <v>88024.023444126709</v>
      </c>
      <c r="Z7" s="451">
        <v>487.00592964288563</v>
      </c>
      <c r="AA7" s="451">
        <v>1320</v>
      </c>
      <c r="AB7" s="451">
        <f>SUM(AC7:AD7)</f>
        <v>160200.17274432574</v>
      </c>
      <c r="AC7" s="454">
        <v>160085.18609197016</v>
      </c>
      <c r="AD7" s="454">
        <v>114.9866523555721</v>
      </c>
      <c r="AE7" s="451">
        <v>3959.5511674834202</v>
      </c>
      <c r="AF7" s="454"/>
      <c r="AG7" s="422"/>
      <c r="AI7" s="344"/>
      <c r="AJ7" s="344"/>
      <c r="AK7" s="344"/>
      <c r="AL7" s="344"/>
      <c r="AM7" s="344"/>
      <c r="AN7" s="344"/>
      <c r="AO7" s="344"/>
      <c r="AP7" s="344"/>
      <c r="AQ7" s="344"/>
      <c r="AR7" s="344"/>
      <c r="AS7" s="344"/>
      <c r="AT7" s="344"/>
    </row>
    <row r="8" spans="1:46" x14ac:dyDescent="0.3">
      <c r="A8" s="19">
        <v>2027</v>
      </c>
      <c r="B8" s="20" t="s">
        <v>21</v>
      </c>
      <c r="C8" s="21" t="s">
        <v>121</v>
      </c>
      <c r="D8" s="456">
        <v>42639383.12967439</v>
      </c>
      <c r="E8" s="457">
        <v>57785.516679602602</v>
      </c>
      <c r="F8" s="457">
        <v>675271.36250148667</v>
      </c>
      <c r="G8" s="457">
        <v>130753.23982156601</v>
      </c>
      <c r="H8" s="457">
        <v>855196.45674231404</v>
      </c>
      <c r="I8" s="457">
        <v>50994.493521724398</v>
      </c>
      <c r="J8" s="38"/>
      <c r="K8" s="38"/>
      <c r="L8" s="38">
        <f t="shared" ref="L8:L18" si="0">SUM(M8:N8)</f>
        <v>15624039.896918453</v>
      </c>
      <c r="M8" s="38">
        <f t="shared" ref="M8:M18" si="1">SUM(O8+Q8+S8)</f>
        <v>15620817.095693059</v>
      </c>
      <c r="N8" s="38">
        <f t="shared" ref="N8:N18" si="2">SUM(P8+R8+T8)</f>
        <v>3222.8012253943461</v>
      </c>
      <c r="O8" s="456">
        <v>4488954.3066219371</v>
      </c>
      <c r="P8" s="456">
        <v>926.010019589075</v>
      </c>
      <c r="Q8" s="456">
        <v>7223142.474020103</v>
      </c>
      <c r="R8" s="456">
        <v>1490.3125988349836</v>
      </c>
      <c r="S8" s="456">
        <v>3908720.3150510183</v>
      </c>
      <c r="T8" s="456">
        <v>806.47860697028796</v>
      </c>
      <c r="U8" s="456">
        <v>170656.36152982997</v>
      </c>
      <c r="V8" s="456">
        <v>2030.7460261399631</v>
      </c>
      <c r="W8" s="456">
        <v>0</v>
      </c>
      <c r="X8" s="38">
        <v>382.46026872209262</v>
      </c>
      <c r="Y8" s="38">
        <v>64492.943658086166</v>
      </c>
      <c r="Z8" s="38">
        <v>328.26409717493254</v>
      </c>
      <c r="AA8" s="38">
        <v>1320</v>
      </c>
      <c r="AB8" s="38">
        <f t="shared" ref="AB8:AB18" si="3">SUM(AC8:AD8)</f>
        <v>113069.90267379522</v>
      </c>
      <c r="AC8" s="456">
        <v>113046.58490905572</v>
      </c>
      <c r="AD8" s="456">
        <v>23.317764739509954</v>
      </c>
      <c r="AE8" s="38">
        <v>3413.3611991928501</v>
      </c>
      <c r="AF8" s="456"/>
      <c r="AG8" s="423"/>
    </row>
    <row r="9" spans="1:46" x14ac:dyDescent="0.3">
      <c r="A9" s="19">
        <v>2027</v>
      </c>
      <c r="B9" s="20" t="s">
        <v>22</v>
      </c>
      <c r="C9" s="21" t="s">
        <v>121</v>
      </c>
      <c r="D9" s="456">
        <v>47061133.594363637</v>
      </c>
      <c r="E9" s="457">
        <v>109144.412970451</v>
      </c>
      <c r="F9" s="457">
        <v>542447.3783427591</v>
      </c>
      <c r="G9" s="457">
        <v>104966.817190086</v>
      </c>
      <c r="H9" s="457">
        <v>1005527.3629796</v>
      </c>
      <c r="I9" s="457">
        <v>82931.679676332802</v>
      </c>
      <c r="J9" s="38"/>
      <c r="K9" s="38"/>
      <c r="L9" s="38">
        <f t="shared" si="0"/>
        <v>17292711.65121435</v>
      </c>
      <c r="M9" s="38">
        <f t="shared" si="1"/>
        <v>17292711.65121435</v>
      </c>
      <c r="N9" s="38">
        <f t="shared" si="2"/>
        <v>0</v>
      </c>
      <c r="O9" s="456">
        <v>5010428.798827027</v>
      </c>
      <c r="P9" s="456">
        <v>0</v>
      </c>
      <c r="Q9" s="456">
        <v>7950812.8660644786</v>
      </c>
      <c r="R9" s="456">
        <v>0</v>
      </c>
      <c r="S9" s="456">
        <v>4331469.9863228444</v>
      </c>
      <c r="T9" s="456">
        <v>0</v>
      </c>
      <c r="U9" s="456">
        <v>199552.37977100813</v>
      </c>
      <c r="V9" s="456">
        <v>2555.3621670182165</v>
      </c>
      <c r="W9" s="456">
        <v>0</v>
      </c>
      <c r="X9" s="38">
        <v>455.57683793130957</v>
      </c>
      <c r="Y9" s="38">
        <v>81089.316438687616</v>
      </c>
      <c r="Z9" s="38">
        <v>401.33598138561047</v>
      </c>
      <c r="AA9" s="38">
        <v>1320</v>
      </c>
      <c r="AB9" s="38">
        <f t="shared" si="3"/>
        <v>129826.32796552572</v>
      </c>
      <c r="AC9" s="456">
        <v>129826.32796552572</v>
      </c>
      <c r="AD9" s="456">
        <v>0</v>
      </c>
      <c r="AE9" s="38">
        <v>3525.59642548285</v>
      </c>
      <c r="AF9" s="456"/>
      <c r="AG9" s="423"/>
    </row>
    <row r="10" spans="1:46" x14ac:dyDescent="0.3">
      <c r="A10" s="19">
        <v>2027</v>
      </c>
      <c r="B10" s="20" t="s">
        <v>23</v>
      </c>
      <c r="C10" s="21" t="s">
        <v>121</v>
      </c>
      <c r="D10" s="456">
        <v>51343651.091249131</v>
      </c>
      <c r="E10" s="457">
        <v>129656.814336752</v>
      </c>
      <c r="F10" s="457">
        <v>530670.08519093273</v>
      </c>
      <c r="G10" s="457">
        <v>102683.51326478799</v>
      </c>
      <c r="H10" s="457">
        <v>1199886.9908759899</v>
      </c>
      <c r="I10" s="457">
        <v>111980.85006553101</v>
      </c>
      <c r="J10" s="38"/>
      <c r="K10" s="38"/>
      <c r="L10" s="38">
        <f t="shared" si="0"/>
        <v>18924225.325995836</v>
      </c>
      <c r="M10" s="38">
        <f t="shared" si="1"/>
        <v>18918462.723638892</v>
      </c>
      <c r="N10" s="38">
        <f t="shared" si="2"/>
        <v>5762.6023569445824</v>
      </c>
      <c r="O10" s="456">
        <v>5510527.9745022319</v>
      </c>
      <c r="P10" s="456">
        <v>1678.3483566977479</v>
      </c>
      <c r="Q10" s="456">
        <v>8716971.3817283344</v>
      </c>
      <c r="R10" s="456">
        <v>2655.3381379415714</v>
      </c>
      <c r="S10" s="456">
        <v>4690963.3674083278</v>
      </c>
      <c r="T10" s="456">
        <v>1428.9158623052629</v>
      </c>
      <c r="U10" s="456">
        <v>227428.58355773197</v>
      </c>
      <c r="V10" s="456">
        <v>3038.6374022171149</v>
      </c>
      <c r="W10" s="456">
        <v>0</v>
      </c>
      <c r="X10" s="38">
        <v>515.49999413881926</v>
      </c>
      <c r="Y10" s="38">
        <v>88780.034640643935</v>
      </c>
      <c r="Z10" s="38">
        <v>454.59912851350447</v>
      </c>
      <c r="AA10" s="38">
        <v>1320</v>
      </c>
      <c r="AB10" s="38">
        <f t="shared" si="3"/>
        <v>151234.68072228151</v>
      </c>
      <c r="AC10" s="456">
        <v>151188.63586157042</v>
      </c>
      <c r="AD10" s="456">
        <v>46.044860711093229</v>
      </c>
      <c r="AE10" s="38">
        <v>3889.3712885557802</v>
      </c>
      <c r="AF10" s="456"/>
      <c r="AG10" s="423"/>
    </row>
    <row r="11" spans="1:46" x14ac:dyDescent="0.3">
      <c r="A11" s="19">
        <v>2027</v>
      </c>
      <c r="B11" s="20" t="s">
        <v>24</v>
      </c>
      <c r="C11" s="21" t="s">
        <v>121</v>
      </c>
      <c r="D11" s="456">
        <v>51569076.029249601</v>
      </c>
      <c r="E11" s="457">
        <v>140446.352117615</v>
      </c>
      <c r="F11" s="457">
        <v>516116.18283437856</v>
      </c>
      <c r="G11" s="457">
        <v>99848.044562386203</v>
      </c>
      <c r="H11" s="457">
        <v>1565264.83558716</v>
      </c>
      <c r="I11" s="457">
        <v>135084.34918393099</v>
      </c>
      <c r="J11" s="38"/>
      <c r="K11" s="38"/>
      <c r="L11" s="38">
        <f t="shared" si="0"/>
        <v>19599596.854679585</v>
      </c>
      <c r="M11" s="38">
        <f t="shared" si="1"/>
        <v>18579897.086242449</v>
      </c>
      <c r="N11" s="38">
        <f t="shared" si="2"/>
        <v>1019699.7684371341</v>
      </c>
      <c r="O11" s="456">
        <v>5389589.1612041462</v>
      </c>
      <c r="P11" s="456">
        <v>295770.55400094419</v>
      </c>
      <c r="Q11" s="456">
        <v>8689090.8471408077</v>
      </c>
      <c r="R11" s="456">
        <v>476901.43459078704</v>
      </c>
      <c r="S11" s="456">
        <v>4501217.0778974937</v>
      </c>
      <c r="T11" s="456">
        <v>247027.77984540281</v>
      </c>
      <c r="U11" s="456">
        <v>230902.58835363138</v>
      </c>
      <c r="V11" s="456">
        <v>3574.247903498419</v>
      </c>
      <c r="W11" s="456">
        <v>332.50490278703899</v>
      </c>
      <c r="X11" s="38">
        <v>538.10274755820353</v>
      </c>
      <c r="Y11" s="38">
        <v>94990.015275391648</v>
      </c>
      <c r="Z11" s="38">
        <v>464.95567069144414</v>
      </c>
      <c r="AA11" s="38">
        <v>1320</v>
      </c>
      <c r="AB11" s="38">
        <f t="shared" si="3"/>
        <v>165340.48759465927</v>
      </c>
      <c r="AC11" s="456">
        <v>156739.02178804443</v>
      </c>
      <c r="AD11" s="456">
        <v>8601.4658066148331</v>
      </c>
      <c r="AE11" s="38">
        <v>3699.9561833381399</v>
      </c>
      <c r="AF11" s="456"/>
      <c r="AG11" s="423"/>
    </row>
    <row r="12" spans="1:46" x14ac:dyDescent="0.3">
      <c r="A12" s="19">
        <v>2027</v>
      </c>
      <c r="B12" s="20" t="s">
        <v>25</v>
      </c>
      <c r="C12" s="21" t="s">
        <v>121</v>
      </c>
      <c r="D12" s="456">
        <v>53775828.080286637</v>
      </c>
      <c r="E12" s="457">
        <v>177626.912367568</v>
      </c>
      <c r="F12" s="457">
        <v>531852.60910808574</v>
      </c>
      <c r="G12" s="457">
        <v>102870.039112064</v>
      </c>
      <c r="H12" s="457">
        <v>1780657.7084136601</v>
      </c>
      <c r="I12" s="457">
        <v>94468.974656217193</v>
      </c>
      <c r="J12" s="38"/>
      <c r="K12" s="38"/>
      <c r="L12" s="38">
        <f t="shared" si="0"/>
        <v>20603916.48634069</v>
      </c>
      <c r="M12" s="38">
        <f t="shared" si="1"/>
        <v>0</v>
      </c>
      <c r="N12" s="38">
        <f t="shared" si="2"/>
        <v>20603916.48634069</v>
      </c>
      <c r="O12" s="456">
        <v>0</v>
      </c>
      <c r="P12" s="456">
        <v>5887849.3083976544</v>
      </c>
      <c r="Q12" s="456">
        <v>0</v>
      </c>
      <c r="R12" s="456">
        <v>9814299.7116521262</v>
      </c>
      <c r="S12" s="456">
        <v>0</v>
      </c>
      <c r="T12" s="456">
        <v>4901767.4662909089</v>
      </c>
      <c r="U12" s="456">
        <v>223207.06135133223</v>
      </c>
      <c r="V12" s="456">
        <v>0</v>
      </c>
      <c r="W12" s="456">
        <v>3083.3870908659483</v>
      </c>
      <c r="X12" s="38">
        <v>475.8653854763362</v>
      </c>
      <c r="Y12" s="38">
        <v>91449.281949810931</v>
      </c>
      <c r="Z12" s="38">
        <v>399.13784411749373</v>
      </c>
      <c r="AA12" s="38">
        <v>1320</v>
      </c>
      <c r="AB12" s="38">
        <f t="shared" si="3"/>
        <v>176431.24575722317</v>
      </c>
      <c r="AC12" s="456">
        <v>0</v>
      </c>
      <c r="AD12" s="456">
        <v>176431.24575722317</v>
      </c>
      <c r="AE12" s="38">
        <v>3684.9146728163701</v>
      </c>
      <c r="AF12" s="456"/>
      <c r="AG12" s="423"/>
    </row>
    <row r="13" spans="1:46" x14ac:dyDescent="0.3">
      <c r="A13" s="19">
        <v>2027</v>
      </c>
      <c r="B13" s="20" t="s">
        <v>26</v>
      </c>
      <c r="C13" s="21" t="s">
        <v>121</v>
      </c>
      <c r="D13" s="456">
        <v>64695871.288218081</v>
      </c>
      <c r="E13" s="457">
        <v>172133.17370642701</v>
      </c>
      <c r="F13" s="457">
        <v>565432.65113288595</v>
      </c>
      <c r="G13" s="457">
        <v>109378.446540958</v>
      </c>
      <c r="H13" s="457">
        <v>1931049.4398400499</v>
      </c>
      <c r="I13" s="457">
        <v>72883.469627101294</v>
      </c>
      <c r="J13" s="38"/>
      <c r="K13" s="38"/>
      <c r="L13" s="38">
        <f t="shared" si="0"/>
        <v>24772346.566865679</v>
      </c>
      <c r="M13" s="38">
        <f t="shared" si="1"/>
        <v>0</v>
      </c>
      <c r="N13" s="38">
        <f t="shared" si="2"/>
        <v>24772346.566865679</v>
      </c>
      <c r="O13" s="456">
        <v>0</v>
      </c>
      <c r="P13" s="456">
        <v>7044262.7911716569</v>
      </c>
      <c r="Q13" s="456">
        <v>0</v>
      </c>
      <c r="R13" s="456">
        <v>11803025.045178836</v>
      </c>
      <c r="S13" s="456">
        <v>0</v>
      </c>
      <c r="T13" s="456">
        <v>5925058.7305151857</v>
      </c>
      <c r="U13" s="456">
        <v>243059.60900434834</v>
      </c>
      <c r="V13" s="456">
        <v>0</v>
      </c>
      <c r="W13" s="456">
        <v>4345.7495861787593</v>
      </c>
      <c r="X13" s="38">
        <v>526.2561332128771</v>
      </c>
      <c r="Y13" s="38">
        <v>120406.76489482021</v>
      </c>
      <c r="Z13" s="38">
        <v>433.5149857763891</v>
      </c>
      <c r="AA13" s="38">
        <v>1320</v>
      </c>
      <c r="AB13" s="38">
        <f t="shared" si="3"/>
        <v>196086.22033991278</v>
      </c>
      <c r="AC13" s="456">
        <v>0</v>
      </c>
      <c r="AD13" s="456">
        <v>196086.22033991278</v>
      </c>
      <c r="AE13" s="38">
        <v>3883.3297780340199</v>
      </c>
      <c r="AF13" s="456"/>
      <c r="AG13" s="423"/>
    </row>
    <row r="14" spans="1:46" x14ac:dyDescent="0.3">
      <c r="A14" s="19">
        <v>2027</v>
      </c>
      <c r="B14" s="20" t="s">
        <v>27</v>
      </c>
      <c r="C14" s="21" t="s">
        <v>121</v>
      </c>
      <c r="D14" s="456">
        <v>57614259.507416636</v>
      </c>
      <c r="E14" s="457">
        <v>181185.24217927901</v>
      </c>
      <c r="F14" s="457">
        <v>630432.21456480923</v>
      </c>
      <c r="G14" s="457">
        <v>121974.630098051</v>
      </c>
      <c r="H14" s="457">
        <v>1782331.75780691</v>
      </c>
      <c r="I14" s="457">
        <v>58198.169178185199</v>
      </c>
      <c r="J14" s="38"/>
      <c r="K14" s="38"/>
      <c r="L14" s="38">
        <f t="shared" si="0"/>
        <v>22441701.358670492</v>
      </c>
      <c r="M14" s="38">
        <f t="shared" si="1"/>
        <v>0</v>
      </c>
      <c r="N14" s="38">
        <f t="shared" si="2"/>
        <v>22441701.358670492</v>
      </c>
      <c r="O14" s="456">
        <v>0</v>
      </c>
      <c r="P14" s="456">
        <v>6359898.9431443131</v>
      </c>
      <c r="Q14" s="456">
        <v>0</v>
      </c>
      <c r="R14" s="456">
        <v>10657639.483077249</v>
      </c>
      <c r="S14" s="456">
        <v>0</v>
      </c>
      <c r="T14" s="456">
        <v>5424162.932448932</v>
      </c>
      <c r="U14" s="456">
        <v>211176.56726552281</v>
      </c>
      <c r="V14" s="456">
        <v>0</v>
      </c>
      <c r="W14" s="456">
        <v>3993.9282409718339</v>
      </c>
      <c r="X14" s="38">
        <v>455.39658185045363</v>
      </c>
      <c r="Y14" s="38">
        <v>98187.930983361817</v>
      </c>
      <c r="Z14" s="38">
        <v>370.30697386662268</v>
      </c>
      <c r="AA14" s="38">
        <v>1320</v>
      </c>
      <c r="AB14" s="38">
        <f t="shared" si="3"/>
        <v>171352.90598049128</v>
      </c>
      <c r="AC14" s="456">
        <v>0</v>
      </c>
      <c r="AD14" s="456">
        <v>171352.90598049128</v>
      </c>
      <c r="AE14" s="38">
        <v>3679.8869991351999</v>
      </c>
      <c r="AF14" s="456"/>
      <c r="AG14" s="423"/>
    </row>
    <row r="15" spans="1:46" x14ac:dyDescent="0.3">
      <c r="A15" s="19">
        <v>2027</v>
      </c>
      <c r="B15" s="20" t="s">
        <v>28</v>
      </c>
      <c r="C15" s="21" t="s">
        <v>121</v>
      </c>
      <c r="D15" s="456">
        <v>54922032.403948717</v>
      </c>
      <c r="E15" s="457">
        <v>171137.97767873699</v>
      </c>
      <c r="F15" s="457">
        <v>614296.70152046753</v>
      </c>
      <c r="G15" s="457">
        <v>118840.58212810601</v>
      </c>
      <c r="H15" s="457">
        <v>1436192.0969346899</v>
      </c>
      <c r="I15" s="457">
        <v>52931.505428461802</v>
      </c>
      <c r="J15" s="38"/>
      <c r="K15" s="38"/>
      <c r="L15" s="38">
        <f t="shared" si="0"/>
        <v>21048090.188123852</v>
      </c>
      <c r="M15" s="38">
        <f t="shared" si="1"/>
        <v>0</v>
      </c>
      <c r="N15" s="38">
        <f t="shared" si="2"/>
        <v>21048090.188123852</v>
      </c>
      <c r="O15" s="456">
        <v>0</v>
      </c>
      <c r="P15" s="456">
        <v>5922646.7748863464</v>
      </c>
      <c r="Q15" s="456">
        <v>0</v>
      </c>
      <c r="R15" s="456">
        <v>10021641.930164004</v>
      </c>
      <c r="S15" s="456">
        <v>0</v>
      </c>
      <c r="T15" s="456">
        <v>5103801.4830735046</v>
      </c>
      <c r="U15" s="456">
        <v>212148.15045872022</v>
      </c>
      <c r="V15" s="456">
        <v>0</v>
      </c>
      <c r="W15" s="456">
        <v>3505.8943591734069</v>
      </c>
      <c r="X15" s="38">
        <v>509.12305872131117</v>
      </c>
      <c r="Y15" s="38">
        <v>118804.95824715773</v>
      </c>
      <c r="Z15" s="38">
        <v>439.64446928482226</v>
      </c>
      <c r="AA15" s="38">
        <v>1320</v>
      </c>
      <c r="AB15" s="38">
        <f t="shared" si="3"/>
        <v>171748.85368582857</v>
      </c>
      <c r="AC15" s="456">
        <v>0</v>
      </c>
      <c r="AD15" s="456">
        <v>171748.85368582857</v>
      </c>
      <c r="AE15" s="38">
        <v>3870.2882675122501</v>
      </c>
      <c r="AF15" s="456"/>
      <c r="AG15" s="423"/>
    </row>
    <row r="16" spans="1:46" x14ac:dyDescent="0.3">
      <c r="A16" s="19">
        <v>2027</v>
      </c>
      <c r="B16" s="20" t="s">
        <v>29</v>
      </c>
      <c r="C16" s="21" t="s">
        <v>121</v>
      </c>
      <c r="D16" s="456">
        <v>47580869.153918669</v>
      </c>
      <c r="E16" s="457">
        <v>81442.957426226596</v>
      </c>
      <c r="F16" s="457">
        <v>629826.79314444168</v>
      </c>
      <c r="G16" s="457">
        <v>121887.573209997</v>
      </c>
      <c r="H16" s="457">
        <v>1205392.9641062201</v>
      </c>
      <c r="I16" s="457">
        <v>77043.130767837007</v>
      </c>
      <c r="J16" s="38"/>
      <c r="K16" s="38"/>
      <c r="L16" s="38">
        <f t="shared" si="0"/>
        <v>18324195.504223492</v>
      </c>
      <c r="M16" s="38">
        <f t="shared" si="1"/>
        <v>18110490.556793168</v>
      </c>
      <c r="N16" s="38">
        <f t="shared" si="2"/>
        <v>213704.9474303227</v>
      </c>
      <c r="O16" s="456">
        <v>5142460.4494837336</v>
      </c>
      <c r="P16" s="456">
        <v>60677.891973297752</v>
      </c>
      <c r="Q16" s="456">
        <v>8558575.0106422212</v>
      </c>
      <c r="R16" s="456">
        <v>100998.20206434652</v>
      </c>
      <c r="S16" s="456">
        <v>4409455.0966672134</v>
      </c>
      <c r="T16" s="456">
        <v>52028.853392678444</v>
      </c>
      <c r="U16" s="456">
        <v>202694.69535617728</v>
      </c>
      <c r="V16" s="456">
        <v>2287.4262247140937</v>
      </c>
      <c r="W16" s="456">
        <v>36.882539485111401</v>
      </c>
      <c r="X16" s="38">
        <v>486.32334823041219</v>
      </c>
      <c r="Y16" s="38">
        <v>101219.57335930508</v>
      </c>
      <c r="Z16" s="38">
        <v>414.698775146326</v>
      </c>
      <c r="AA16" s="38">
        <v>1320</v>
      </c>
      <c r="AB16" s="38">
        <f t="shared" si="3"/>
        <v>149087.9663646782</v>
      </c>
      <c r="AC16" s="456">
        <v>147349.36060858154</v>
      </c>
      <c r="AD16" s="456">
        <v>1738.6057560966667</v>
      </c>
      <c r="AE16" s="38">
        <v>3648.8039780916702</v>
      </c>
      <c r="AF16" s="456"/>
      <c r="AG16" s="423"/>
    </row>
    <row r="17" spans="1:46" x14ac:dyDescent="0.3">
      <c r="A17" s="19">
        <v>2027</v>
      </c>
      <c r="B17" s="20" t="s">
        <v>30</v>
      </c>
      <c r="C17" s="21" t="s">
        <v>121</v>
      </c>
      <c r="D17" s="456">
        <v>45426584.621530905</v>
      </c>
      <c r="E17" s="457">
        <v>66195.198029609106</v>
      </c>
      <c r="F17" s="457">
        <v>603244.12834703492</v>
      </c>
      <c r="G17" s="457">
        <v>116756.216121252</v>
      </c>
      <c r="H17" s="457">
        <v>660442.48491711402</v>
      </c>
      <c r="I17" s="457">
        <v>13985.459303511299</v>
      </c>
      <c r="J17" s="38"/>
      <c r="K17" s="38"/>
      <c r="L17" s="38">
        <f t="shared" si="0"/>
        <v>17270909.649088152</v>
      </c>
      <c r="M17" s="38">
        <f t="shared" si="1"/>
        <v>17269633.913086034</v>
      </c>
      <c r="N17" s="38">
        <f t="shared" si="2"/>
        <v>1275.7360021171091</v>
      </c>
      <c r="O17" s="456">
        <v>4951664.0626895027</v>
      </c>
      <c r="P17" s="456">
        <v>365.76061614041231</v>
      </c>
      <c r="Q17" s="456">
        <v>8097327.0979906116</v>
      </c>
      <c r="R17" s="456">
        <v>598.19918266901198</v>
      </c>
      <c r="S17" s="456">
        <v>4220642.7524059191</v>
      </c>
      <c r="T17" s="456">
        <v>311.77620330768485</v>
      </c>
      <c r="U17" s="456">
        <v>204585.64228070455</v>
      </c>
      <c r="V17" s="456">
        <v>3210.4227248773905</v>
      </c>
      <c r="W17" s="456">
        <v>0</v>
      </c>
      <c r="X17" s="38">
        <v>525.56623193904977</v>
      </c>
      <c r="Y17" s="38">
        <v>101215.92889472333</v>
      </c>
      <c r="Z17" s="38">
        <v>454.02623999279859</v>
      </c>
      <c r="AA17" s="38">
        <v>1320</v>
      </c>
      <c r="AB17" s="38">
        <f t="shared" si="3"/>
        <v>139283.38445395636</v>
      </c>
      <c r="AC17" s="456">
        <v>139273.09740188325</v>
      </c>
      <c r="AD17" s="456">
        <v>10.287052073105325</v>
      </c>
      <c r="AE17" s="38">
        <v>3619.7347938887301</v>
      </c>
      <c r="AF17" s="456"/>
      <c r="AG17" s="423"/>
    </row>
    <row r="18" spans="1:46" x14ac:dyDescent="0.3">
      <c r="A18" s="22">
        <v>2027</v>
      </c>
      <c r="B18" s="23" t="s">
        <v>31</v>
      </c>
      <c r="C18" s="24" t="s">
        <v>121</v>
      </c>
      <c r="D18" s="458">
        <v>53581453.552318275</v>
      </c>
      <c r="E18" s="404">
        <v>51873.905653244001</v>
      </c>
      <c r="F18" s="404">
        <v>565034.34256794199</v>
      </c>
      <c r="G18" s="404">
        <v>109346.209633897</v>
      </c>
      <c r="H18" s="404">
        <v>466423.81647154799</v>
      </c>
      <c r="I18" s="404">
        <v>9514.6724805421709</v>
      </c>
      <c r="J18" s="449"/>
      <c r="K18" s="449"/>
      <c r="L18" s="449">
        <f t="shared" si="0"/>
        <v>19669089.420444474</v>
      </c>
      <c r="M18" s="449">
        <f t="shared" si="1"/>
        <v>19660768.673948135</v>
      </c>
      <c r="N18" s="449">
        <f t="shared" si="2"/>
        <v>8320.746496337837</v>
      </c>
      <c r="O18" s="458">
        <v>5645111.67791944</v>
      </c>
      <c r="P18" s="458">
        <v>2388.8940646865412</v>
      </c>
      <c r="Q18" s="458">
        <v>9202080.2788910866</v>
      </c>
      <c r="R18" s="458">
        <v>3894.7005192932706</v>
      </c>
      <c r="S18" s="458">
        <v>4813576.7171376077</v>
      </c>
      <c r="T18" s="458">
        <v>2037.1519123580263</v>
      </c>
      <c r="U18" s="458">
        <v>231606.407764576</v>
      </c>
      <c r="V18" s="458">
        <v>2940.0970623527455</v>
      </c>
      <c r="W18" s="458">
        <v>0</v>
      </c>
      <c r="X18" s="450">
        <v>536.5310692528052</v>
      </c>
      <c r="Y18" s="450">
        <v>98572.046654309641</v>
      </c>
      <c r="Z18" s="450">
        <v>465.66193061334332</v>
      </c>
      <c r="AA18" s="450">
        <v>1320</v>
      </c>
      <c r="AB18" s="449">
        <f t="shared" si="3"/>
        <v>152457.10884044753</v>
      </c>
      <c r="AC18" s="458">
        <v>152392.63124805407</v>
      </c>
      <c r="AD18" s="458">
        <v>64.477592393455865</v>
      </c>
      <c r="AE18" s="449">
        <v>3844.2052464687199</v>
      </c>
      <c r="AF18" s="458"/>
      <c r="AG18" s="435"/>
    </row>
    <row r="19" spans="1:46" x14ac:dyDescent="0.3">
      <c r="A19" s="545" t="s">
        <v>85</v>
      </c>
      <c r="B19" s="545"/>
      <c r="C19" s="545"/>
      <c r="D19" s="171">
        <f t="shared" ref="D19:Q19" si="4">SUM(D7:D18)</f>
        <v>628383672.66309428</v>
      </c>
      <c r="E19" s="171">
        <f t="shared" si="4"/>
        <v>1365320.9768605586</v>
      </c>
      <c r="F19" s="171">
        <f t="shared" si="4"/>
        <v>7048499.1868342813</v>
      </c>
      <c r="G19" s="171">
        <f t="shared" si="4"/>
        <v>1363960.6043737573</v>
      </c>
      <c r="H19" s="171">
        <f t="shared" si="4"/>
        <v>14275335.932175955</v>
      </c>
      <c r="I19" s="171">
        <f t="shared" si="4"/>
        <v>764297.80779771227</v>
      </c>
      <c r="J19" s="171">
        <f t="shared" si="4"/>
        <v>0</v>
      </c>
      <c r="K19" s="171">
        <f t="shared" si="4"/>
        <v>0</v>
      </c>
      <c r="L19" s="171">
        <f t="shared" si="4"/>
        <v>236790755.7776581</v>
      </c>
      <c r="M19" s="171">
        <f t="shared" si="4"/>
        <v>146657478.9948197</v>
      </c>
      <c r="N19" s="171">
        <f t="shared" si="4"/>
        <v>90133276.782838434</v>
      </c>
      <c r="O19" s="166">
        <f t="shared" si="4"/>
        <v>42265933.192380771</v>
      </c>
      <c r="P19" s="166">
        <f t="shared" si="4"/>
        <v>25580867.251921568</v>
      </c>
      <c r="Q19" s="166">
        <f t="shared" si="4"/>
        <v>68319191.648394823</v>
      </c>
      <c r="R19" s="166">
        <f>SUM(R7:R18)</f>
        <v>42890244.361512162</v>
      </c>
      <c r="S19" s="166">
        <f t="shared" ref="S19:Y19" si="5">SUM(S7:S18)</f>
        <v>36072354.154044084</v>
      </c>
      <c r="T19" s="166">
        <f t="shared" si="5"/>
        <v>21662165.169404704</v>
      </c>
      <c r="U19" s="171">
        <f t="shared" si="5"/>
        <v>2599215.0980684054</v>
      </c>
      <c r="V19" s="171">
        <f t="shared" si="5"/>
        <v>22277.133541598996</v>
      </c>
      <c r="W19" s="171">
        <f t="shared" si="5"/>
        <v>15298.346719462101</v>
      </c>
      <c r="X19" s="171">
        <f t="shared" si="5"/>
        <v>5955.258041479392</v>
      </c>
      <c r="Y19" s="171">
        <f t="shared" si="5"/>
        <v>1147232.8184404247</v>
      </c>
      <c r="Z19" s="171">
        <f t="shared" ref="Z19:AG19" si="6">SUM(Z7:Z18)</f>
        <v>5113.1520262061731</v>
      </c>
      <c r="AA19" s="171">
        <f t="shared" si="6"/>
        <v>15840</v>
      </c>
      <c r="AB19" s="171">
        <f t="shared" si="6"/>
        <v>1876119.2571231253</v>
      </c>
      <c r="AC19" s="171">
        <f t="shared" si="6"/>
        <v>1149900.8458746851</v>
      </c>
      <c r="AD19" s="171">
        <f t="shared" si="6"/>
        <v>726218.41124843992</v>
      </c>
      <c r="AE19" s="171">
        <f t="shared" si="6"/>
        <v>44719.000000000007</v>
      </c>
      <c r="AF19" s="162">
        <f t="shared" si="6"/>
        <v>0</v>
      </c>
      <c r="AG19" s="171">
        <f t="shared" si="6"/>
        <v>0</v>
      </c>
    </row>
    <row r="20" spans="1:46" x14ac:dyDescent="0.3">
      <c r="A20" s="360" t="s">
        <v>119</v>
      </c>
      <c r="B20" s="361"/>
      <c r="C20" s="361"/>
      <c r="D20" s="171"/>
      <c r="E20" s="171"/>
      <c r="F20" s="171"/>
      <c r="G20" s="171"/>
      <c r="H20" s="171"/>
      <c r="I20" s="171"/>
      <c r="J20" s="171"/>
      <c r="K20" s="171"/>
      <c r="L20" s="171"/>
      <c r="M20" s="171"/>
      <c r="N20" s="171"/>
      <c r="O20" s="166"/>
      <c r="P20" s="166"/>
      <c r="Q20" s="166"/>
      <c r="R20" s="166"/>
      <c r="S20" s="166"/>
      <c r="T20" s="166"/>
      <c r="U20" s="171"/>
      <c r="V20" s="171"/>
      <c r="W20" s="171"/>
      <c r="X20" s="171"/>
      <c r="Y20" s="171"/>
      <c r="Z20" s="171"/>
      <c r="AA20" s="171"/>
      <c r="AB20" s="171"/>
      <c r="AC20" s="171"/>
      <c r="AD20" s="171"/>
      <c r="AE20" s="171"/>
      <c r="AF20" s="162"/>
      <c r="AG20" s="171"/>
    </row>
    <row r="21" spans="1:46" x14ac:dyDescent="0.3">
      <c r="A21" s="344"/>
      <c r="B21" s="344"/>
      <c r="C21" s="285"/>
      <c r="D21" s="285"/>
      <c r="E21" s="285"/>
      <c r="F21" s="285"/>
      <c r="G21" s="285"/>
      <c r="H21" s="285"/>
      <c r="I21" s="285"/>
      <c r="J21" s="285"/>
      <c r="K21" s="285"/>
      <c r="L21" s="285"/>
      <c r="M21" s="285"/>
      <c r="N21" s="285"/>
      <c r="O21" s="285"/>
      <c r="P21" s="285"/>
      <c r="Q21" s="285"/>
      <c r="R21" s="285"/>
      <c r="S21" s="285"/>
      <c r="T21" s="285"/>
      <c r="U21" s="285"/>
      <c r="V21" s="285"/>
      <c r="W21" s="285"/>
      <c r="X21" s="285"/>
      <c r="Y21" s="285"/>
      <c r="Z21" s="285"/>
      <c r="AA21" s="285"/>
      <c r="AB21" s="285"/>
      <c r="AC21" s="285"/>
      <c r="AD21" s="285"/>
      <c r="AE21" s="285"/>
      <c r="AF21" s="285"/>
      <c r="AG21" s="285"/>
      <c r="AH21" s="285"/>
      <c r="AI21" s="344"/>
      <c r="AJ21" s="344"/>
      <c r="AK21" s="344"/>
      <c r="AL21" s="344"/>
      <c r="AM21" s="344"/>
      <c r="AN21" s="344"/>
      <c r="AO21" s="344"/>
      <c r="AP21" s="344"/>
      <c r="AQ21" s="344"/>
      <c r="AR21" s="344"/>
      <c r="AS21" s="344"/>
      <c r="AT21" s="344"/>
    </row>
    <row r="22" spans="1:46" s="330" customFormat="1" ht="48" x14ac:dyDescent="0.25">
      <c r="A22" s="6" t="s">
        <v>18</v>
      </c>
      <c r="B22" s="6" t="s">
        <v>19</v>
      </c>
      <c r="C22" s="161" t="s">
        <v>0</v>
      </c>
      <c r="D22" s="443" t="s">
        <v>11</v>
      </c>
      <c r="E22" s="444" t="s">
        <v>98</v>
      </c>
      <c r="F22" s="499" t="s">
        <v>158</v>
      </c>
      <c r="G22" s="499" t="s">
        <v>159</v>
      </c>
      <c r="H22" s="443" t="s">
        <v>109</v>
      </c>
      <c r="I22" s="443" t="s">
        <v>110</v>
      </c>
      <c r="J22" s="445" t="s">
        <v>1</v>
      </c>
      <c r="K22" s="445" t="s">
        <v>2</v>
      </c>
      <c r="L22" s="443" t="s">
        <v>46</v>
      </c>
      <c r="M22" s="446" t="s">
        <v>37</v>
      </c>
      <c r="N22" s="446" t="s">
        <v>38</v>
      </c>
      <c r="O22" s="420" t="s">
        <v>100</v>
      </c>
      <c r="P22" s="420" t="s">
        <v>107</v>
      </c>
      <c r="Q22" s="420" t="s">
        <v>82</v>
      </c>
      <c r="R22" s="420" t="s">
        <v>83</v>
      </c>
      <c r="S22" s="420" t="s">
        <v>102</v>
      </c>
      <c r="T22" s="420" t="s">
        <v>103</v>
      </c>
      <c r="U22" s="447" t="s">
        <v>3</v>
      </c>
      <c r="V22" s="420" t="s">
        <v>126</v>
      </c>
      <c r="W22" s="420" t="s">
        <v>127</v>
      </c>
      <c r="X22" s="447" t="s">
        <v>53</v>
      </c>
      <c r="Y22" s="447" t="s">
        <v>54</v>
      </c>
      <c r="Z22" s="447" t="s">
        <v>55</v>
      </c>
      <c r="AA22" s="447" t="s">
        <v>150</v>
      </c>
      <c r="AB22" s="447" t="s">
        <v>47</v>
      </c>
      <c r="AC22" s="447" t="s">
        <v>58</v>
      </c>
      <c r="AD22" s="447" t="s">
        <v>59</v>
      </c>
      <c r="AE22" s="448" t="s">
        <v>51</v>
      </c>
      <c r="AF22" s="448" t="s">
        <v>57</v>
      </c>
      <c r="AG22" s="448" t="s">
        <v>56</v>
      </c>
    </row>
    <row r="23" spans="1:46" x14ac:dyDescent="0.3">
      <c r="A23" s="16">
        <v>2026</v>
      </c>
      <c r="B23" s="17" t="s">
        <v>20</v>
      </c>
      <c r="C23" s="21" t="s">
        <v>121</v>
      </c>
      <c r="D23" s="454">
        <v>59157619.137877323</v>
      </c>
      <c r="E23" s="455">
        <v>26826.646949796501</v>
      </c>
      <c r="F23" s="455">
        <v>583913.50463879097</v>
      </c>
      <c r="G23" s="455">
        <v>113270.55840923999</v>
      </c>
      <c r="H23" s="455">
        <v>388914.59045296401</v>
      </c>
      <c r="I23" s="455">
        <v>4302.56674204722</v>
      </c>
      <c r="J23" s="451"/>
      <c r="K23" s="451"/>
      <c r="L23" s="397">
        <f>SUM(M23:N23)</f>
        <v>21581688.378554452</v>
      </c>
      <c r="M23" s="452">
        <f>SUM(O23+Q23+S23)</f>
        <v>21566192.695457995</v>
      </c>
      <c r="N23" s="451">
        <f>SUM(P23+R23+T23)</f>
        <v>15495.683096457071</v>
      </c>
      <c r="O23" s="454">
        <v>6232352.781038234</v>
      </c>
      <c r="P23" s="454">
        <v>4477.6368692272317</v>
      </c>
      <c r="Q23" s="454">
        <v>10049633.824331589</v>
      </c>
      <c r="R23" s="454">
        <v>7221.2013799540364</v>
      </c>
      <c r="S23" s="454">
        <v>5284206.090088171</v>
      </c>
      <c r="T23" s="454">
        <v>3796.8448472758023</v>
      </c>
      <c r="U23" s="454">
        <v>246293.93343734628</v>
      </c>
      <c r="V23" s="454">
        <v>2670.1150451468525</v>
      </c>
      <c r="W23" s="454">
        <v>0</v>
      </c>
      <c r="X23" s="451">
        <v>556.80644250581088</v>
      </c>
      <c r="Y23" s="451">
        <v>89316.788264507006</v>
      </c>
      <c r="Z23" s="451">
        <v>495.25598770297472</v>
      </c>
      <c r="AA23" s="451">
        <v>1320</v>
      </c>
      <c r="AB23" s="451">
        <f>SUM(AC23:AD23)</f>
        <v>162909.37417234003</v>
      </c>
      <c r="AC23" s="454">
        <v>162792.43960415773</v>
      </c>
      <c r="AD23" s="454">
        <v>116.93456818231445</v>
      </c>
      <c r="AE23" s="451">
        <v>3937</v>
      </c>
      <c r="AF23" s="454"/>
      <c r="AG23" s="422"/>
      <c r="AI23" s="344"/>
      <c r="AJ23" s="344"/>
      <c r="AK23" s="344"/>
      <c r="AL23" s="344"/>
      <c r="AM23" s="344"/>
      <c r="AN23" s="344"/>
      <c r="AO23" s="344"/>
      <c r="AP23" s="344"/>
      <c r="AQ23" s="344"/>
      <c r="AR23" s="344"/>
      <c r="AS23" s="344"/>
      <c r="AT23" s="344"/>
    </row>
    <row r="24" spans="1:46" x14ac:dyDescent="0.3">
      <c r="A24" s="19">
        <v>2026</v>
      </c>
      <c r="B24" s="20" t="s">
        <v>21</v>
      </c>
      <c r="C24" s="21" t="s">
        <v>121</v>
      </c>
      <c r="D24" s="456">
        <v>45611391.072254933</v>
      </c>
      <c r="E24" s="457">
        <v>58075.896160404598</v>
      </c>
      <c r="F24" s="457">
        <v>612442.68426982185</v>
      </c>
      <c r="G24" s="457">
        <v>118811.58167239399</v>
      </c>
      <c r="H24" s="457">
        <v>859493.92637418502</v>
      </c>
      <c r="I24" s="457">
        <v>51250.747258014402</v>
      </c>
      <c r="J24" s="38"/>
      <c r="K24" s="38"/>
      <c r="L24" s="174">
        <f t="shared" ref="L24:L34" si="7">SUM(M24:N24)</f>
        <v>16746331.942818213</v>
      </c>
      <c r="M24" s="206">
        <f t="shared" ref="M24:M34" si="8">SUM(O24+Q24+S24)</f>
        <v>16742877.201236665</v>
      </c>
      <c r="N24" s="38">
        <f t="shared" ref="N24:N34" si="9">SUM(P24+R24+T24)</f>
        <v>3454.7415815473623</v>
      </c>
      <c r="O24" s="456">
        <v>4818318.1679716026</v>
      </c>
      <c r="P24" s="456">
        <v>994.09262133915115</v>
      </c>
      <c r="Q24" s="456">
        <v>7743409.455692241</v>
      </c>
      <c r="R24" s="456">
        <v>1597.8566674882652</v>
      </c>
      <c r="S24" s="456">
        <v>4181149.5775728226</v>
      </c>
      <c r="T24" s="456">
        <v>862.79229271994586</v>
      </c>
      <c r="U24" s="456">
        <v>182551.04140352219</v>
      </c>
      <c r="V24" s="456">
        <v>2156.2822420670032</v>
      </c>
      <c r="W24" s="456">
        <v>0</v>
      </c>
      <c r="X24" s="38">
        <v>405.38418556040733</v>
      </c>
      <c r="Y24" s="38">
        <v>68219.841618082166</v>
      </c>
      <c r="Z24" s="38">
        <v>351.18801401324725</v>
      </c>
      <c r="AA24" s="38">
        <v>1320</v>
      </c>
      <c r="AB24" s="38">
        <f t="shared" ref="AB24:AB34" si="10">SUM(AC24:AD24)</f>
        <v>120949.09896446548</v>
      </c>
      <c r="AC24" s="456">
        <v>120924.15283249256</v>
      </c>
      <c r="AD24" s="456">
        <v>24.946131972917932</v>
      </c>
      <c r="AE24" s="38">
        <v>3481</v>
      </c>
      <c r="AF24" s="456"/>
      <c r="AG24" s="423"/>
    </row>
    <row r="25" spans="1:46" x14ac:dyDescent="0.3">
      <c r="A25" s="19">
        <v>2026</v>
      </c>
      <c r="B25" s="20" t="s">
        <v>22</v>
      </c>
      <c r="C25" s="21" t="s">
        <v>121</v>
      </c>
      <c r="D25" s="456">
        <v>46614980.897241123</v>
      </c>
      <c r="E25" s="457">
        <v>109692.877357237</v>
      </c>
      <c r="F25" s="457">
        <v>491749.4787824222</v>
      </c>
      <c r="G25" s="457">
        <v>95380.226069275406</v>
      </c>
      <c r="H25" s="457">
        <v>1010580.2643011099</v>
      </c>
      <c r="I25" s="457">
        <v>83348.421785259095</v>
      </c>
      <c r="J25" s="38"/>
      <c r="K25" s="38"/>
      <c r="L25" s="174">
        <f t="shared" si="7"/>
        <v>17120058.963368356</v>
      </c>
      <c r="M25" s="206">
        <f t="shared" si="8"/>
        <v>17120058.963368356</v>
      </c>
      <c r="N25" s="38">
        <f t="shared" si="9"/>
        <v>0</v>
      </c>
      <c r="O25" s="456">
        <v>4959238.987031959</v>
      </c>
      <c r="P25" s="456">
        <v>0</v>
      </c>
      <c r="Q25" s="456">
        <v>7870523.4999701399</v>
      </c>
      <c r="R25" s="456">
        <v>0</v>
      </c>
      <c r="S25" s="456">
        <v>4290296.4763662592</v>
      </c>
      <c r="T25" s="456">
        <v>0</v>
      </c>
      <c r="U25" s="456">
        <v>197660.35674340074</v>
      </c>
      <c r="V25" s="456">
        <v>2519.4304702927766</v>
      </c>
      <c r="W25" s="456">
        <v>0</v>
      </c>
      <c r="X25" s="38">
        <v>451.76485608526701</v>
      </c>
      <c r="Y25" s="38">
        <v>80436.297607665969</v>
      </c>
      <c r="Z25" s="38">
        <v>397.52399953956791</v>
      </c>
      <c r="AA25" s="38">
        <v>1320</v>
      </c>
      <c r="AB25" s="38">
        <f t="shared" si="10"/>
        <v>128595.73700486154</v>
      </c>
      <c r="AC25" s="456">
        <v>128595.73700486154</v>
      </c>
      <c r="AD25" s="456">
        <v>0</v>
      </c>
      <c r="AE25" s="38">
        <v>3460</v>
      </c>
      <c r="AF25" s="456"/>
      <c r="AG25" s="423"/>
    </row>
    <row r="26" spans="1:46" x14ac:dyDescent="0.3">
      <c r="A26" s="19">
        <v>2026</v>
      </c>
      <c r="B26" s="20" t="s">
        <v>23</v>
      </c>
      <c r="C26" s="21" t="s">
        <v>121</v>
      </c>
      <c r="D26" s="456">
        <v>50717088.357734084</v>
      </c>
      <c r="E26" s="457">
        <v>130308.356117339</v>
      </c>
      <c r="F26" s="457">
        <v>481047.80263965495</v>
      </c>
      <c r="G26" s="457">
        <v>93305.455676024198</v>
      </c>
      <c r="H26" s="457">
        <v>1205916.5737447101</v>
      </c>
      <c r="I26" s="457">
        <v>112543.567905056</v>
      </c>
      <c r="J26" s="38"/>
      <c r="K26" s="38"/>
      <c r="L26" s="174">
        <f t="shared" si="7"/>
        <v>18680715.6865298</v>
      </c>
      <c r="M26" s="206">
        <f t="shared" si="8"/>
        <v>18675027.354612894</v>
      </c>
      <c r="N26" s="38">
        <f t="shared" si="9"/>
        <v>5688.3319169074412</v>
      </c>
      <c r="O26" s="456">
        <v>5438167.847933515</v>
      </c>
      <c r="P26" s="456">
        <v>1656.2717847398424</v>
      </c>
      <c r="Q26" s="456">
        <v>8603629.8410047591</v>
      </c>
      <c r="R26" s="456">
        <v>2620.758421207277</v>
      </c>
      <c r="S26" s="456">
        <v>4633229.6656746194</v>
      </c>
      <c r="T26" s="456">
        <v>1411.3017109603215</v>
      </c>
      <c r="U26" s="456">
        <v>224653.25181160177</v>
      </c>
      <c r="V26" s="456">
        <v>2987.8255524790252</v>
      </c>
      <c r="W26" s="456">
        <v>0</v>
      </c>
      <c r="X26" s="38">
        <v>509.94353893958896</v>
      </c>
      <c r="Y26" s="38">
        <v>87843.11449979445</v>
      </c>
      <c r="Z26" s="38">
        <v>449.04267331427417</v>
      </c>
      <c r="AA26" s="38">
        <v>1320</v>
      </c>
      <c r="AB26" s="38">
        <f t="shared" si="10"/>
        <v>149389.45057100884</v>
      </c>
      <c r="AC26" s="456">
        <v>149343.96850549389</v>
      </c>
      <c r="AD26" s="456">
        <v>45.482065514955067</v>
      </c>
      <c r="AE26" s="38">
        <v>3811</v>
      </c>
      <c r="AF26" s="456"/>
      <c r="AG26" s="423"/>
    </row>
    <row r="27" spans="1:46" x14ac:dyDescent="0.3">
      <c r="A27" s="19">
        <v>2026</v>
      </c>
      <c r="B27" s="20" t="s">
        <v>24</v>
      </c>
      <c r="C27" s="21" t="s">
        <v>121</v>
      </c>
      <c r="D27" s="456">
        <v>48286210.410422124</v>
      </c>
      <c r="E27" s="457">
        <v>141152.11268101999</v>
      </c>
      <c r="F27" s="457">
        <v>467823.1042624106</v>
      </c>
      <c r="G27" s="457">
        <v>90728.949565930001</v>
      </c>
      <c r="H27" s="457">
        <v>1573130.4880273</v>
      </c>
      <c r="I27" s="457">
        <v>135763.16500897601</v>
      </c>
      <c r="J27" s="38"/>
      <c r="K27" s="38"/>
      <c r="L27" s="174">
        <f t="shared" si="7"/>
        <v>18287617.594532225</v>
      </c>
      <c r="M27" s="206">
        <f t="shared" si="8"/>
        <v>17336290.31325841</v>
      </c>
      <c r="N27" s="38">
        <f t="shared" si="9"/>
        <v>951327.2812738145</v>
      </c>
      <c r="O27" s="456">
        <v>5024567.7095009601</v>
      </c>
      <c r="P27" s="456">
        <v>275701.97198363423</v>
      </c>
      <c r="Q27" s="456">
        <v>8101176.9706049338</v>
      </c>
      <c r="R27" s="456">
        <v>444578.40865539969</v>
      </c>
      <c r="S27" s="456">
        <v>4210545.6331525156</v>
      </c>
      <c r="T27" s="456">
        <v>231046.90063478067</v>
      </c>
      <c r="U27" s="456">
        <v>216204.31465806349</v>
      </c>
      <c r="V27" s="456">
        <v>3335.9421712342091</v>
      </c>
      <c r="W27" s="456">
        <v>309.65786694204297</v>
      </c>
      <c r="X27" s="38">
        <v>508.45408738462618</v>
      </c>
      <c r="Y27" s="38">
        <v>89653.170067717758</v>
      </c>
      <c r="Z27" s="38">
        <v>435.30701051786679</v>
      </c>
      <c r="AA27" s="38">
        <v>1320</v>
      </c>
      <c r="AB27" s="38">
        <f t="shared" si="10"/>
        <v>154815.7425990951</v>
      </c>
      <c r="AC27" s="456">
        <v>146762.76335317909</v>
      </c>
      <c r="AD27" s="456">
        <v>8052.9792459160026</v>
      </c>
      <c r="AE27" s="38">
        <v>3530</v>
      </c>
      <c r="AF27" s="456"/>
      <c r="AG27" s="423"/>
    </row>
    <row r="28" spans="1:46" x14ac:dyDescent="0.3">
      <c r="A28" s="19">
        <v>2026</v>
      </c>
      <c r="B28" s="20" t="s">
        <v>25</v>
      </c>
      <c r="C28" s="21" t="s">
        <v>121</v>
      </c>
      <c r="D28" s="456">
        <v>53268890.630210228</v>
      </c>
      <c r="E28" s="457">
        <v>178519.50991715299</v>
      </c>
      <c r="F28" s="457">
        <v>482122.32696619694</v>
      </c>
      <c r="G28" s="457">
        <v>93474.946167945498</v>
      </c>
      <c r="H28" s="457">
        <v>1789605.73709916</v>
      </c>
      <c r="I28" s="457">
        <v>94943.693121826305</v>
      </c>
      <c r="J28" s="38"/>
      <c r="K28" s="38"/>
      <c r="L28" s="174">
        <f t="shared" si="7"/>
        <v>20394569.235796928</v>
      </c>
      <c r="M28" s="206">
        <f t="shared" si="8"/>
        <v>0</v>
      </c>
      <c r="N28" s="38">
        <f t="shared" si="9"/>
        <v>20394569.235796928</v>
      </c>
      <c r="O28" s="456">
        <v>0</v>
      </c>
      <c r="P28" s="456">
        <v>5826554.8459830713</v>
      </c>
      <c r="Q28" s="456">
        <v>0</v>
      </c>
      <c r="R28" s="456">
        <v>9713758.4690426439</v>
      </c>
      <c r="S28" s="456">
        <v>0</v>
      </c>
      <c r="T28" s="456">
        <v>4854255.9207712114</v>
      </c>
      <c r="U28" s="456">
        <v>221103.16061094409</v>
      </c>
      <c r="V28" s="456">
        <v>0</v>
      </c>
      <c r="W28" s="456">
        <v>3040.3436259668083</v>
      </c>
      <c r="X28" s="38">
        <v>472.09642783516904</v>
      </c>
      <c r="Y28" s="38">
        <v>90692.424336846845</v>
      </c>
      <c r="Z28" s="38">
        <v>395.36888647632662</v>
      </c>
      <c r="AA28" s="38">
        <v>1320</v>
      </c>
      <c r="AB28" s="38">
        <f t="shared" si="10"/>
        <v>174768.32436897454</v>
      </c>
      <c r="AC28" s="456">
        <v>0</v>
      </c>
      <c r="AD28" s="456">
        <v>174768.32436897454</v>
      </c>
      <c r="AE28" s="38">
        <v>3616</v>
      </c>
      <c r="AF28" s="456"/>
      <c r="AG28" s="423"/>
    </row>
    <row r="29" spans="1:46" x14ac:dyDescent="0.3">
      <c r="A29" s="19">
        <v>2026</v>
      </c>
      <c r="B29" s="20" t="s">
        <v>26</v>
      </c>
      <c r="C29" s="21" t="s">
        <v>121</v>
      </c>
      <c r="D29" s="456">
        <v>63055563.184168428</v>
      </c>
      <c r="E29" s="457">
        <v>172998.164529072</v>
      </c>
      <c r="F29" s="457">
        <v>512635.51280416624</v>
      </c>
      <c r="G29" s="457">
        <v>99388.942500660298</v>
      </c>
      <c r="H29" s="457">
        <v>1940753.2058693899</v>
      </c>
      <c r="I29" s="457">
        <v>73249.718218192298</v>
      </c>
      <c r="J29" s="38"/>
      <c r="K29" s="38"/>
      <c r="L29" s="174">
        <f t="shared" si="7"/>
        <v>24110895.968490299</v>
      </c>
      <c r="M29" s="206">
        <f t="shared" si="8"/>
        <v>0</v>
      </c>
      <c r="N29" s="38">
        <f t="shared" si="9"/>
        <v>24110895.968490299</v>
      </c>
      <c r="O29" s="456">
        <v>0</v>
      </c>
      <c r="P29" s="456">
        <v>6853704.5298245475</v>
      </c>
      <c r="Q29" s="456">
        <v>0</v>
      </c>
      <c r="R29" s="456">
        <v>11485165.225751748</v>
      </c>
      <c r="S29" s="456">
        <v>0</v>
      </c>
      <c r="T29" s="456">
        <v>5772026.2129140012</v>
      </c>
      <c r="U29" s="456">
        <v>236897.67214513043</v>
      </c>
      <c r="V29" s="456">
        <v>0</v>
      </c>
      <c r="W29" s="456">
        <v>4216.6696973865292</v>
      </c>
      <c r="X29" s="38">
        <v>515.24388385362295</v>
      </c>
      <c r="Y29" s="38">
        <v>117701.35006187433</v>
      </c>
      <c r="Z29" s="38">
        <v>422.502736417135</v>
      </c>
      <c r="AA29" s="38">
        <v>1320</v>
      </c>
      <c r="AB29" s="38">
        <f t="shared" si="10"/>
        <v>191115.97679812301</v>
      </c>
      <c r="AC29" s="456">
        <v>0</v>
      </c>
      <c r="AD29" s="456">
        <v>191115.97679812301</v>
      </c>
      <c r="AE29" s="38">
        <v>3780</v>
      </c>
      <c r="AF29" s="456"/>
      <c r="AG29" s="423"/>
    </row>
    <row r="30" spans="1:46" x14ac:dyDescent="0.3">
      <c r="A30" s="19">
        <v>2026</v>
      </c>
      <c r="B30" s="20" t="s">
        <v>27</v>
      </c>
      <c r="C30" s="21" t="s">
        <v>121</v>
      </c>
      <c r="D30" s="456">
        <v>63036638.906409085</v>
      </c>
      <c r="E30" s="457">
        <v>182095.72078319499</v>
      </c>
      <c r="F30" s="457">
        <v>571698.68362808507</v>
      </c>
      <c r="G30" s="457">
        <v>110834.72000870699</v>
      </c>
      <c r="H30" s="457">
        <v>1791288.19880091</v>
      </c>
      <c r="I30" s="457">
        <v>58490.622289633298</v>
      </c>
      <c r="J30" s="38"/>
      <c r="K30" s="38"/>
      <c r="L30" s="174">
        <f t="shared" si="7"/>
        <v>24655373.331709877</v>
      </c>
      <c r="M30" s="206">
        <f t="shared" si="8"/>
        <v>0</v>
      </c>
      <c r="N30" s="38">
        <f t="shared" si="9"/>
        <v>24655373.331709877</v>
      </c>
      <c r="O30" s="456">
        <v>0</v>
      </c>
      <c r="P30" s="456">
        <v>6994800.5791807631</v>
      </c>
      <c r="Q30" s="456">
        <v>0</v>
      </c>
      <c r="R30" s="456">
        <v>11720091.663946252</v>
      </c>
      <c r="S30" s="456">
        <v>0</v>
      </c>
      <c r="T30" s="456">
        <v>5940481.088582864</v>
      </c>
      <c r="U30" s="456">
        <v>231050.37335137618</v>
      </c>
      <c r="V30" s="456">
        <v>0</v>
      </c>
      <c r="W30" s="456">
        <v>4339.9884535200435</v>
      </c>
      <c r="X30" s="38">
        <v>490.31567840360867</v>
      </c>
      <c r="Y30" s="38">
        <v>106254.62406926294</v>
      </c>
      <c r="Z30" s="38">
        <v>405.22607041977773</v>
      </c>
      <c r="AA30" s="38">
        <v>1320</v>
      </c>
      <c r="AB30" s="38">
        <f t="shared" si="10"/>
        <v>187476.78640222005</v>
      </c>
      <c r="AC30" s="456">
        <v>0</v>
      </c>
      <c r="AD30" s="456">
        <v>187476.78640222005</v>
      </c>
      <c r="AE30" s="38">
        <v>3795</v>
      </c>
      <c r="AF30" s="456"/>
      <c r="AG30" s="423"/>
    </row>
    <row r="31" spans="1:46" x14ac:dyDescent="0.3">
      <c r="A31" s="19">
        <v>2026</v>
      </c>
      <c r="B31" s="20" t="s">
        <v>28</v>
      </c>
      <c r="C31" s="21" t="s">
        <v>121</v>
      </c>
      <c r="D31" s="456">
        <v>51211796.528697498</v>
      </c>
      <c r="E31" s="457">
        <v>171997.96751631901</v>
      </c>
      <c r="F31" s="457">
        <v>557036.8226408544</v>
      </c>
      <c r="G31" s="457">
        <v>107986.903795094</v>
      </c>
      <c r="H31" s="457">
        <v>1443409.14264793</v>
      </c>
      <c r="I31" s="457">
        <v>53197.492892926399</v>
      </c>
      <c r="J31" s="38"/>
      <c r="K31" s="38"/>
      <c r="L31" s="174">
        <f t="shared" si="7"/>
        <v>19560182.830560893</v>
      </c>
      <c r="M31" s="206">
        <f t="shared" si="8"/>
        <v>0</v>
      </c>
      <c r="N31" s="38">
        <f t="shared" si="9"/>
        <v>19560182.830560893</v>
      </c>
      <c r="O31" s="456">
        <v>0</v>
      </c>
      <c r="P31" s="456">
        <v>5495655.2871219544</v>
      </c>
      <c r="Q31" s="456">
        <v>0</v>
      </c>
      <c r="R31" s="456">
        <v>9306636.42097787</v>
      </c>
      <c r="S31" s="456">
        <v>0</v>
      </c>
      <c r="T31" s="456">
        <v>4757891.1224610712</v>
      </c>
      <c r="U31" s="456">
        <v>197817.47304933821</v>
      </c>
      <c r="V31" s="456">
        <v>0</v>
      </c>
      <c r="W31" s="456">
        <v>3257.6325626812368</v>
      </c>
      <c r="X31" s="38">
        <v>479.37760830833588</v>
      </c>
      <c r="Y31" s="38">
        <v>111395.61720428105</v>
      </c>
      <c r="Z31" s="38">
        <v>409.89901887184692</v>
      </c>
      <c r="AA31" s="38">
        <v>1320</v>
      </c>
      <c r="AB31" s="38">
        <f t="shared" si="10"/>
        <v>160148.46971381607</v>
      </c>
      <c r="AC31" s="456">
        <v>0</v>
      </c>
      <c r="AD31" s="456">
        <v>160148.46971381607</v>
      </c>
      <c r="AE31" s="38">
        <v>3685</v>
      </c>
      <c r="AF31" s="456"/>
      <c r="AG31" s="423"/>
    </row>
    <row r="32" spans="1:46" x14ac:dyDescent="0.3">
      <c r="A32" s="19">
        <v>2026</v>
      </c>
      <c r="B32" s="20" t="s">
        <v>29</v>
      </c>
      <c r="C32" s="21" t="s">
        <v>121</v>
      </c>
      <c r="D32" s="456">
        <v>47638987.072737679</v>
      </c>
      <c r="E32" s="457">
        <v>81852.218518820795</v>
      </c>
      <c r="F32" s="457">
        <v>571148.55518285185</v>
      </c>
      <c r="G32" s="457">
        <v>110755.614002774</v>
      </c>
      <c r="H32" s="457">
        <v>1211450.21518213</v>
      </c>
      <c r="I32" s="457">
        <v>77430.282178730602</v>
      </c>
      <c r="J32" s="38"/>
      <c r="K32" s="38"/>
      <c r="L32" s="174">
        <f t="shared" si="7"/>
        <v>18343629.857476126</v>
      </c>
      <c r="M32" s="206">
        <f t="shared" si="8"/>
        <v>18129697.884409223</v>
      </c>
      <c r="N32" s="38">
        <f t="shared" si="9"/>
        <v>213931.9730669022</v>
      </c>
      <c r="O32" s="456">
        <v>5147461.9464745903</v>
      </c>
      <c r="P32" s="456">
        <v>60737.008372043951</v>
      </c>
      <c r="Q32" s="456">
        <v>8567397.5734813027</v>
      </c>
      <c r="R32" s="456">
        <v>101102.48247153501</v>
      </c>
      <c r="S32" s="456">
        <v>4414838.3644533297</v>
      </c>
      <c r="T32" s="456">
        <v>52092.482223323241</v>
      </c>
      <c r="U32" s="456">
        <v>202942.31768133794</v>
      </c>
      <c r="V32" s="456">
        <v>2278.1713805875238</v>
      </c>
      <c r="W32" s="456">
        <v>36.728333912665498</v>
      </c>
      <c r="X32" s="38">
        <v>486.83076484304297</v>
      </c>
      <c r="Y32" s="38">
        <v>101318.9937457648</v>
      </c>
      <c r="Z32" s="38">
        <v>415.20619175895672</v>
      </c>
      <c r="AA32" s="38">
        <v>1320</v>
      </c>
      <c r="AB32" s="38">
        <f t="shared" si="10"/>
        <v>149270.07403253476</v>
      </c>
      <c r="AC32" s="456">
        <v>147529.34095536475</v>
      </c>
      <c r="AD32" s="456">
        <v>1740.733077170011</v>
      </c>
      <c r="AE32" s="38">
        <v>3600</v>
      </c>
      <c r="AF32" s="456"/>
      <c r="AG32" s="423"/>
    </row>
    <row r="33" spans="1:46" x14ac:dyDescent="0.3">
      <c r="A33" s="19">
        <v>2026</v>
      </c>
      <c r="B33" s="20" t="s">
        <v>30</v>
      </c>
      <c r="C33" s="21" t="s">
        <v>121</v>
      </c>
      <c r="D33" s="456">
        <v>45005845.594475508</v>
      </c>
      <c r="E33" s="457">
        <v>66527.837215687599</v>
      </c>
      <c r="F33" s="457">
        <v>546993.6779961976</v>
      </c>
      <c r="G33" s="457">
        <v>106092.902373818</v>
      </c>
      <c r="H33" s="457">
        <v>663761.29137398396</v>
      </c>
      <c r="I33" s="457">
        <v>14055.7379934787</v>
      </c>
      <c r="J33" s="38"/>
      <c r="K33" s="38"/>
      <c r="L33" s="174">
        <f t="shared" si="7"/>
        <v>17105566.34082504</v>
      </c>
      <c r="M33" s="206">
        <f t="shared" si="8"/>
        <v>17104302.840227734</v>
      </c>
      <c r="N33" s="38">
        <f t="shared" si="9"/>
        <v>1263.5005973056359</v>
      </c>
      <c r="O33" s="456">
        <v>4902839.3268021392</v>
      </c>
      <c r="P33" s="456">
        <v>362.14731830070633</v>
      </c>
      <c r="Q33" s="456">
        <v>8019909.9934232086</v>
      </c>
      <c r="R33" s="456">
        <v>592.46989296358447</v>
      </c>
      <c r="S33" s="456">
        <v>4181553.5200023875</v>
      </c>
      <c r="T33" s="456">
        <v>308.88338604134509</v>
      </c>
      <c r="U33" s="456">
        <v>202690.35255352026</v>
      </c>
      <c r="V33" s="456">
        <v>3164.6526319425802</v>
      </c>
      <c r="W33" s="456">
        <v>0</v>
      </c>
      <c r="X33" s="38">
        <v>521.34463719589985</v>
      </c>
      <c r="Y33" s="38">
        <v>100489.31259499866</v>
      </c>
      <c r="Z33" s="38">
        <v>449.81314960615254</v>
      </c>
      <c r="AA33" s="38">
        <v>1320</v>
      </c>
      <c r="AB33" s="38">
        <f t="shared" si="10"/>
        <v>137993.41614261174</v>
      </c>
      <c r="AC33" s="456">
        <v>137983.22454819366</v>
      </c>
      <c r="AD33" s="456">
        <v>10.191594418065797</v>
      </c>
      <c r="AE33" s="38">
        <v>3553</v>
      </c>
      <c r="AF33" s="456"/>
      <c r="AG33" s="423"/>
    </row>
    <row r="34" spans="1:46" x14ac:dyDescent="0.3">
      <c r="A34" s="22">
        <v>2026</v>
      </c>
      <c r="B34" s="23" t="s">
        <v>31</v>
      </c>
      <c r="C34" s="24" t="s">
        <v>121</v>
      </c>
      <c r="D34" s="458">
        <v>54182218.429933861</v>
      </c>
      <c r="E34" s="404">
        <v>52134.578545973898</v>
      </c>
      <c r="F34" s="404">
        <v>512273.58165309753</v>
      </c>
      <c r="G34" s="404">
        <v>99359.649781631393</v>
      </c>
      <c r="H34" s="404">
        <v>468767.65474527498</v>
      </c>
      <c r="I34" s="404">
        <v>9562.4849050675093</v>
      </c>
      <c r="J34" s="449"/>
      <c r="K34" s="449"/>
      <c r="L34" s="453">
        <f t="shared" si="7"/>
        <v>19891659.784171205</v>
      </c>
      <c r="M34" s="450">
        <f t="shared" si="8"/>
        <v>19883244.74203077</v>
      </c>
      <c r="N34" s="449">
        <f t="shared" si="9"/>
        <v>8415.0421404368135</v>
      </c>
      <c r="O34" s="458">
        <v>5709605.780483352</v>
      </c>
      <c r="P34" s="458">
        <v>2416.2296473146489</v>
      </c>
      <c r="Q34" s="458">
        <v>9306093.1779144444</v>
      </c>
      <c r="R34" s="458">
        <v>3938.7859950594384</v>
      </c>
      <c r="S34" s="458">
        <v>4867545.7836329713</v>
      </c>
      <c r="T34" s="458">
        <v>2060.0264980627258</v>
      </c>
      <c r="U34" s="458">
        <v>234203.36321147915</v>
      </c>
      <c r="V34" s="458">
        <v>2957.2097679900758</v>
      </c>
      <c r="W34" s="458">
        <v>0</v>
      </c>
      <c r="X34" s="450">
        <v>541.76029061951363</v>
      </c>
      <c r="Y34" s="450">
        <v>99464.182497568778</v>
      </c>
      <c r="Z34" s="450">
        <v>470.89115198005169</v>
      </c>
      <c r="AA34" s="450">
        <v>1320</v>
      </c>
      <c r="AB34" s="449">
        <f t="shared" si="10"/>
        <v>154166.14325953103</v>
      </c>
      <c r="AC34" s="458">
        <v>154100.94160622201</v>
      </c>
      <c r="AD34" s="458">
        <v>65.201653309008208</v>
      </c>
      <c r="AE34" s="449">
        <v>3812</v>
      </c>
      <c r="AF34" s="458"/>
      <c r="AG34" s="435"/>
    </row>
    <row r="35" spans="1:46" x14ac:dyDescent="0.3">
      <c r="A35" s="545" t="s">
        <v>85</v>
      </c>
      <c r="B35" s="545"/>
      <c r="C35" s="545"/>
      <c r="D35" s="331">
        <f>SUM(D23:D34)</f>
        <v>627787230.22216189</v>
      </c>
      <c r="E35" s="331">
        <f>SUM(E23:E34)</f>
        <v>1372181.8862920185</v>
      </c>
      <c r="F35" s="331">
        <f t="shared" ref="F35:K35" si="11">SUM(F23:F34)</f>
        <v>6390885.7354645506</v>
      </c>
      <c r="G35" s="331">
        <f t="shared" si="11"/>
        <v>1239390.4500234937</v>
      </c>
      <c r="H35" s="331">
        <f t="shared" si="11"/>
        <v>14347071.288619047</v>
      </c>
      <c r="I35" s="331">
        <f t="shared" si="11"/>
        <v>768138.50029920775</v>
      </c>
      <c r="J35" s="331">
        <f t="shared" si="11"/>
        <v>0</v>
      </c>
      <c r="K35" s="331">
        <f t="shared" si="11"/>
        <v>0</v>
      </c>
      <c r="L35" s="331">
        <f t="shared" ref="L35:R35" si="12">SUM(L23:L34)</f>
        <v>236478289.9148334</v>
      </c>
      <c r="M35" s="331">
        <f t="shared" si="12"/>
        <v>146557691.99460202</v>
      </c>
      <c r="N35" s="331">
        <f t="shared" si="12"/>
        <v>89920597.920231372</v>
      </c>
      <c r="O35" s="275">
        <f t="shared" si="12"/>
        <v>42232552.547236353</v>
      </c>
      <c r="P35" s="275">
        <f t="shared" si="12"/>
        <v>25517060.600706935</v>
      </c>
      <c r="Q35" s="275">
        <f t="shared" si="12"/>
        <v>68261774.336422607</v>
      </c>
      <c r="R35" s="275">
        <f t="shared" si="12"/>
        <v>42787303.74320212</v>
      </c>
      <c r="S35" s="275">
        <f>SUM(S23:S34)</f>
        <v>36063365.110943079</v>
      </c>
      <c r="T35" s="275">
        <f>SUM(T23:T34)</f>
        <v>21616233.576322313</v>
      </c>
      <c r="U35" s="331">
        <f t="shared" ref="U35:AG35" si="13">SUM(U23:U34)</f>
        <v>2594067.6106570605</v>
      </c>
      <c r="V35" s="331">
        <f t="shared" si="13"/>
        <v>22069.629261740047</v>
      </c>
      <c r="W35" s="331">
        <f t="shared" si="13"/>
        <v>15201.020540409325</v>
      </c>
      <c r="X35" s="331">
        <f t="shared" si="13"/>
        <v>5939.3224015348933</v>
      </c>
      <c r="Y35" s="331">
        <f t="shared" si="13"/>
        <v>1142785.7165683648</v>
      </c>
      <c r="Z35" s="331">
        <f t="shared" si="13"/>
        <v>5097.2248906181776</v>
      </c>
      <c r="AA35" s="171">
        <f t="shared" si="13"/>
        <v>15840</v>
      </c>
      <c r="AB35" s="331">
        <f t="shared" si="13"/>
        <v>1871598.5940295823</v>
      </c>
      <c r="AC35" s="331">
        <f t="shared" si="13"/>
        <v>1148032.5684099651</v>
      </c>
      <c r="AD35" s="331">
        <f t="shared" si="13"/>
        <v>723566.02561961685</v>
      </c>
      <c r="AE35" s="331">
        <f t="shared" si="13"/>
        <v>44060</v>
      </c>
      <c r="AF35" s="472">
        <f t="shared" si="13"/>
        <v>0</v>
      </c>
      <c r="AG35" s="331">
        <f t="shared" si="13"/>
        <v>0</v>
      </c>
    </row>
    <row r="36" spans="1:46" x14ac:dyDescent="0.3">
      <c r="A36" s="360" t="s">
        <v>120</v>
      </c>
      <c r="B36" s="361"/>
      <c r="C36" s="361"/>
      <c r="D36" s="171"/>
      <c r="E36" s="171"/>
      <c r="F36" s="171"/>
      <c r="G36" s="171"/>
      <c r="H36" s="171"/>
      <c r="I36" s="171"/>
      <c r="J36" s="171"/>
      <c r="K36" s="171"/>
      <c r="L36" s="171"/>
      <c r="M36" s="171"/>
      <c r="N36" s="171"/>
      <c r="O36" s="166"/>
      <c r="P36" s="166"/>
      <c r="Q36" s="166"/>
      <c r="R36" s="166"/>
      <c r="S36" s="166"/>
      <c r="T36" s="166"/>
      <c r="U36" s="171"/>
      <c r="V36" s="171"/>
      <c r="W36" s="171"/>
      <c r="X36" s="171"/>
      <c r="Y36" s="171"/>
      <c r="Z36" s="171"/>
      <c r="AA36" s="171"/>
      <c r="AB36" s="171"/>
      <c r="AC36" s="171"/>
      <c r="AD36" s="171"/>
      <c r="AE36" s="171"/>
      <c r="AF36" s="162"/>
      <c r="AG36" s="171"/>
    </row>
    <row r="37" spans="1:46" x14ac:dyDescent="0.3">
      <c r="A37" s="344"/>
      <c r="B37" s="344"/>
      <c r="C37" s="285"/>
      <c r="D37" s="285"/>
      <c r="E37" s="285"/>
      <c r="F37" s="285"/>
      <c r="G37" s="285"/>
      <c r="H37" s="285"/>
      <c r="I37" s="285"/>
      <c r="J37" s="285"/>
      <c r="K37" s="285"/>
      <c r="L37" s="285"/>
      <c r="M37" s="285"/>
      <c r="N37" s="285"/>
      <c r="O37" s="285"/>
      <c r="P37" s="285"/>
      <c r="Q37" s="285"/>
      <c r="R37" s="285"/>
      <c r="S37" s="285"/>
      <c r="T37" s="285"/>
      <c r="U37" s="285"/>
      <c r="V37" s="285"/>
      <c r="W37" s="285"/>
      <c r="X37" s="285"/>
      <c r="Y37" s="285"/>
      <c r="Z37" s="285"/>
      <c r="AA37" s="285"/>
      <c r="AB37" s="285"/>
      <c r="AC37" s="285"/>
      <c r="AD37" s="285"/>
      <c r="AE37" s="285"/>
      <c r="AF37" s="285"/>
      <c r="AG37" s="285"/>
      <c r="AH37" s="285"/>
      <c r="AI37" s="344"/>
      <c r="AJ37" s="344"/>
      <c r="AK37" s="344"/>
      <c r="AL37" s="344"/>
      <c r="AM37" s="344"/>
      <c r="AN37" s="344"/>
      <c r="AO37" s="344"/>
      <c r="AP37" s="344"/>
      <c r="AQ37" s="344"/>
      <c r="AR37" s="344"/>
      <c r="AS37" s="344"/>
      <c r="AT37" s="344"/>
    </row>
    <row r="38" spans="1:46" s="330" customFormat="1" ht="48" x14ac:dyDescent="0.25">
      <c r="A38" s="6" t="s">
        <v>18</v>
      </c>
      <c r="B38" s="6" t="s">
        <v>19</v>
      </c>
      <c r="C38" s="161" t="s">
        <v>0</v>
      </c>
      <c r="D38" s="76" t="s">
        <v>128</v>
      </c>
      <c r="E38" s="97" t="s">
        <v>98</v>
      </c>
      <c r="F38" s="499" t="s">
        <v>158</v>
      </c>
      <c r="G38" s="499" t="s">
        <v>159</v>
      </c>
      <c r="H38" s="12" t="s">
        <v>104</v>
      </c>
      <c r="I38" s="12" t="s">
        <v>129</v>
      </c>
      <c r="J38" s="107" t="s">
        <v>1</v>
      </c>
      <c r="K38" s="107" t="s">
        <v>2</v>
      </c>
      <c r="L38" s="108" t="s">
        <v>46</v>
      </c>
      <c r="M38" s="13" t="s">
        <v>37</v>
      </c>
      <c r="N38" s="32" t="s">
        <v>38</v>
      </c>
      <c r="O38" s="159" t="s">
        <v>100</v>
      </c>
      <c r="P38" s="156" t="s">
        <v>107</v>
      </c>
      <c r="Q38" s="78" t="s">
        <v>82</v>
      </c>
      <c r="R38" s="78" t="s">
        <v>83</v>
      </c>
      <c r="S38" s="159" t="s">
        <v>102</v>
      </c>
      <c r="T38" s="156" t="s">
        <v>103</v>
      </c>
      <c r="U38" s="34" t="s">
        <v>3</v>
      </c>
      <c r="V38" s="83" t="s">
        <v>126</v>
      </c>
      <c r="W38" s="83" t="s">
        <v>127</v>
      </c>
      <c r="X38" s="34" t="s">
        <v>53</v>
      </c>
      <c r="Y38" s="34" t="s">
        <v>54</v>
      </c>
      <c r="Z38" s="34" t="s">
        <v>55</v>
      </c>
      <c r="AA38" s="447" t="s">
        <v>150</v>
      </c>
      <c r="AB38" s="34" t="s">
        <v>47</v>
      </c>
      <c r="AC38" s="34" t="s">
        <v>58</v>
      </c>
      <c r="AD38" s="34" t="s">
        <v>59</v>
      </c>
      <c r="AE38" s="35" t="s">
        <v>51</v>
      </c>
      <c r="AF38" s="35" t="s">
        <v>57</v>
      </c>
      <c r="AG38" s="35" t="s">
        <v>56</v>
      </c>
    </row>
    <row r="39" spans="1:46" x14ac:dyDescent="0.3">
      <c r="A39" s="16">
        <v>2024</v>
      </c>
      <c r="B39" s="17" t="s">
        <v>20</v>
      </c>
      <c r="C39" s="21" t="s">
        <v>121</v>
      </c>
      <c r="D39" s="109">
        <v>52222590</v>
      </c>
      <c r="E39" s="109">
        <v>30249</v>
      </c>
      <c r="F39" s="109">
        <v>605882</v>
      </c>
      <c r="G39" s="109">
        <v>101840</v>
      </c>
      <c r="H39" s="109">
        <v>340921</v>
      </c>
      <c r="I39" s="109">
        <v>2297</v>
      </c>
      <c r="J39" s="500"/>
      <c r="K39" s="500"/>
      <c r="L39" s="109">
        <f>M39+N39</f>
        <v>18299598</v>
      </c>
      <c r="M39" s="109">
        <f>O39+Q39+S39</f>
        <v>18299592</v>
      </c>
      <c r="N39" s="109">
        <f t="shared" ref="N39:N50" si="14">P39+R39+T39</f>
        <v>6</v>
      </c>
      <c r="O39" s="109">
        <v>5347986</v>
      </c>
      <c r="P39" s="109"/>
      <c r="Q39" s="109">
        <v>8534528</v>
      </c>
      <c r="R39" s="109"/>
      <c r="S39" s="109">
        <v>4417078</v>
      </c>
      <c r="T39" s="109">
        <v>6</v>
      </c>
      <c r="U39" s="109">
        <v>222347.49999999997</v>
      </c>
      <c r="V39" s="109">
        <v>2223.1</v>
      </c>
      <c r="W39" s="109"/>
      <c r="X39" s="109">
        <v>404.5</v>
      </c>
      <c r="Y39" s="109">
        <v>62689</v>
      </c>
      <c r="Z39" s="109">
        <v>404.5</v>
      </c>
      <c r="AA39" s="492">
        <v>1320</v>
      </c>
      <c r="AB39" s="109">
        <f>AC39+AD39</f>
        <v>141105.1</v>
      </c>
      <c r="AC39" s="109">
        <v>141105.1</v>
      </c>
      <c r="AD39" s="109">
        <v>0</v>
      </c>
      <c r="AE39" s="109">
        <v>3622.96</v>
      </c>
      <c r="AF39" s="500"/>
      <c r="AG39" s="501"/>
      <c r="AI39" s="365"/>
      <c r="AJ39" s="365"/>
      <c r="AK39" s="365"/>
      <c r="AL39" s="365"/>
      <c r="AM39" s="365"/>
      <c r="AN39" s="365"/>
      <c r="AO39" s="365"/>
      <c r="AP39" s="365"/>
      <c r="AQ39" s="365"/>
      <c r="AR39" s="365"/>
      <c r="AS39" s="365"/>
      <c r="AT39" s="365"/>
    </row>
    <row r="40" spans="1:46" x14ac:dyDescent="0.3">
      <c r="A40" s="19">
        <v>2024</v>
      </c>
      <c r="B40" s="20" t="s">
        <v>21</v>
      </c>
      <c r="C40" s="21" t="s">
        <v>121</v>
      </c>
      <c r="D40" s="110">
        <v>53169458</v>
      </c>
      <c r="E40" s="110">
        <v>55179</v>
      </c>
      <c r="F40" s="110">
        <v>643132</v>
      </c>
      <c r="G40" s="110">
        <v>118158</v>
      </c>
      <c r="H40" s="110">
        <v>351269</v>
      </c>
      <c r="I40" s="110">
        <v>1866</v>
      </c>
      <c r="J40" s="502"/>
      <c r="K40" s="502"/>
      <c r="L40" s="110">
        <f t="shared" ref="L40:L50" si="15">M40+N40</f>
        <v>20196926</v>
      </c>
      <c r="M40" s="110">
        <f t="shared" ref="M40:M50" si="16">O40+Q40+S40</f>
        <v>20196925</v>
      </c>
      <c r="N40" s="110">
        <f t="shared" si="14"/>
        <v>1</v>
      </c>
      <c r="O40" s="110">
        <v>5958964</v>
      </c>
      <c r="P40" s="110"/>
      <c r="Q40" s="110">
        <v>9381534</v>
      </c>
      <c r="R40" s="110"/>
      <c r="S40" s="110">
        <v>4856427</v>
      </c>
      <c r="T40" s="110">
        <v>1</v>
      </c>
      <c r="U40" s="110">
        <v>221377.5</v>
      </c>
      <c r="V40" s="110">
        <v>2706</v>
      </c>
      <c r="W40" s="110"/>
      <c r="X40" s="110">
        <v>404.5</v>
      </c>
      <c r="Y40" s="110">
        <v>60949</v>
      </c>
      <c r="Z40" s="110">
        <v>404.5</v>
      </c>
      <c r="AA40" s="110">
        <v>1320</v>
      </c>
      <c r="AB40" s="110">
        <f t="shared" ref="AB40:AB50" si="17">AC40+AD40</f>
        <v>145215.80000000002</v>
      </c>
      <c r="AC40" s="110">
        <v>145215.80000000002</v>
      </c>
      <c r="AD40" s="110">
        <v>0</v>
      </c>
      <c r="AE40" s="110">
        <v>3593.14</v>
      </c>
      <c r="AF40" s="502"/>
      <c r="AG40" s="503"/>
      <c r="AJ40" s="365"/>
      <c r="AL40" s="365"/>
    </row>
    <row r="41" spans="1:46" x14ac:dyDescent="0.3">
      <c r="A41" s="19">
        <v>2024</v>
      </c>
      <c r="B41" s="20" t="s">
        <v>22</v>
      </c>
      <c r="C41" s="21" t="s">
        <v>121</v>
      </c>
      <c r="D41" s="110">
        <v>48278034</v>
      </c>
      <c r="E41" s="110">
        <v>125185</v>
      </c>
      <c r="F41" s="110">
        <v>525175</v>
      </c>
      <c r="G41" s="110">
        <v>87572</v>
      </c>
      <c r="H41" s="110">
        <v>831457</v>
      </c>
      <c r="I41" s="110">
        <v>48126</v>
      </c>
      <c r="J41" s="502"/>
      <c r="K41" s="502"/>
      <c r="L41" s="110">
        <f t="shared" si="15"/>
        <v>18405670</v>
      </c>
      <c r="M41" s="110">
        <f t="shared" si="16"/>
        <v>18405667</v>
      </c>
      <c r="N41" s="110">
        <f t="shared" si="14"/>
        <v>3</v>
      </c>
      <c r="O41" s="110">
        <v>5421674</v>
      </c>
      <c r="P41" s="110"/>
      <c r="Q41" s="110">
        <v>8550619</v>
      </c>
      <c r="R41" s="110"/>
      <c r="S41" s="110">
        <v>4433374</v>
      </c>
      <c r="T41" s="110">
        <v>3</v>
      </c>
      <c r="U41" s="110">
        <v>222769.2</v>
      </c>
      <c r="V41" s="110">
        <v>2752.5</v>
      </c>
      <c r="W41" s="110"/>
      <c r="X41" s="110">
        <v>404.5</v>
      </c>
      <c r="Y41" s="110">
        <v>65834</v>
      </c>
      <c r="Z41" s="110">
        <v>404.5</v>
      </c>
      <c r="AA41" s="110">
        <v>1320</v>
      </c>
      <c r="AB41" s="110">
        <f t="shared" si="17"/>
        <v>144970</v>
      </c>
      <c r="AC41" s="110">
        <v>144970</v>
      </c>
      <c r="AD41" s="110">
        <v>0</v>
      </c>
      <c r="AE41" s="110">
        <v>3460.7999999999997</v>
      </c>
      <c r="AF41" s="502"/>
      <c r="AG41" s="503"/>
      <c r="AJ41" s="365"/>
      <c r="AL41" s="365"/>
    </row>
    <row r="42" spans="1:46" x14ac:dyDescent="0.3">
      <c r="A42" s="19">
        <v>2024</v>
      </c>
      <c r="B42" s="20" t="s">
        <v>23</v>
      </c>
      <c r="C42" s="21" t="s">
        <v>121</v>
      </c>
      <c r="D42" s="110">
        <v>47202389</v>
      </c>
      <c r="E42" s="110">
        <v>132698</v>
      </c>
      <c r="F42" s="110">
        <v>513543</v>
      </c>
      <c r="G42" s="110">
        <v>79502</v>
      </c>
      <c r="H42" s="110">
        <v>971531</v>
      </c>
      <c r="I42" s="110">
        <v>97554</v>
      </c>
      <c r="J42" s="502"/>
      <c r="K42" s="502"/>
      <c r="L42" s="110">
        <f t="shared" si="15"/>
        <v>17959302</v>
      </c>
      <c r="M42" s="110">
        <f t="shared" si="16"/>
        <v>17959297</v>
      </c>
      <c r="N42" s="110">
        <f t="shared" si="14"/>
        <v>5</v>
      </c>
      <c r="O42" s="110">
        <v>5317972</v>
      </c>
      <c r="P42" s="110"/>
      <c r="Q42" s="110">
        <v>8350080</v>
      </c>
      <c r="R42" s="110"/>
      <c r="S42" s="110">
        <v>4291245</v>
      </c>
      <c r="T42" s="110">
        <v>5</v>
      </c>
      <c r="U42" s="110">
        <v>221299.5</v>
      </c>
      <c r="V42" s="110">
        <v>2846.2999999999997</v>
      </c>
      <c r="W42" s="110"/>
      <c r="X42" s="110">
        <v>403.4</v>
      </c>
      <c r="Y42" s="110">
        <v>63556</v>
      </c>
      <c r="Z42" s="110">
        <v>403.4</v>
      </c>
      <c r="AA42" s="110">
        <v>1320</v>
      </c>
      <c r="AB42" s="110">
        <f t="shared" si="17"/>
        <v>140792.09999999998</v>
      </c>
      <c r="AC42" s="110">
        <v>140792.09999999998</v>
      </c>
      <c r="AD42" s="110">
        <v>0</v>
      </c>
      <c r="AE42" s="110">
        <v>3510.0599999999995</v>
      </c>
      <c r="AF42" s="502"/>
      <c r="AG42" s="503"/>
      <c r="AJ42" s="365"/>
      <c r="AL42" s="365"/>
    </row>
    <row r="43" spans="1:46" x14ac:dyDescent="0.3">
      <c r="A43" s="19">
        <v>2024</v>
      </c>
      <c r="B43" s="20" t="s">
        <v>24</v>
      </c>
      <c r="C43" s="21" t="s">
        <v>121</v>
      </c>
      <c r="D43" s="110">
        <v>48689955</v>
      </c>
      <c r="E43" s="110">
        <v>147863</v>
      </c>
      <c r="F43" s="110">
        <v>501424</v>
      </c>
      <c r="G43" s="110">
        <v>78684</v>
      </c>
      <c r="H43" s="110">
        <v>1146199</v>
      </c>
      <c r="I43" s="110">
        <v>196376</v>
      </c>
      <c r="J43" s="502"/>
      <c r="K43" s="502"/>
      <c r="L43" s="110">
        <f t="shared" si="15"/>
        <v>19355666</v>
      </c>
      <c r="M43" s="110">
        <f t="shared" si="16"/>
        <v>19355661</v>
      </c>
      <c r="N43" s="110">
        <f t="shared" si="14"/>
        <v>5</v>
      </c>
      <c r="O43" s="110">
        <v>5668332</v>
      </c>
      <c r="P43" s="110"/>
      <c r="Q43" s="110">
        <v>9151083</v>
      </c>
      <c r="R43" s="110"/>
      <c r="S43" s="110">
        <v>4536246</v>
      </c>
      <c r="T43" s="110">
        <v>5</v>
      </c>
      <c r="U43" s="110">
        <v>221519.69999999998</v>
      </c>
      <c r="V43" s="110">
        <v>3391.2999999999997</v>
      </c>
      <c r="W43" s="110"/>
      <c r="X43" s="110">
        <v>403.4</v>
      </c>
      <c r="Y43" s="110">
        <v>74163</v>
      </c>
      <c r="Z43" s="110">
        <v>403.4</v>
      </c>
      <c r="AA43" s="110">
        <v>1320</v>
      </c>
      <c r="AB43" s="110">
        <f t="shared" si="17"/>
        <v>150154.29999999999</v>
      </c>
      <c r="AC43" s="110">
        <v>150154.29999999999</v>
      </c>
      <c r="AD43" s="110">
        <v>0</v>
      </c>
      <c r="AE43" s="110">
        <v>3642.0200000000004</v>
      </c>
      <c r="AF43" s="502"/>
      <c r="AG43" s="503"/>
      <c r="AJ43" s="365"/>
      <c r="AL43" s="365"/>
    </row>
    <row r="44" spans="1:46" x14ac:dyDescent="0.3">
      <c r="A44" s="19">
        <v>2024</v>
      </c>
      <c r="B44" s="20" t="s">
        <v>25</v>
      </c>
      <c r="C44" s="21" t="s">
        <v>121</v>
      </c>
      <c r="D44" s="110">
        <v>54714787</v>
      </c>
      <c r="E44" s="110">
        <v>194160</v>
      </c>
      <c r="F44" s="110">
        <v>519427</v>
      </c>
      <c r="G44" s="110">
        <v>79364</v>
      </c>
      <c r="H44" s="110">
        <v>1476587</v>
      </c>
      <c r="I44" s="110">
        <v>297773</v>
      </c>
      <c r="J44" s="502"/>
      <c r="K44" s="502"/>
      <c r="L44" s="110">
        <f t="shared" si="15"/>
        <v>21943688</v>
      </c>
      <c r="M44" s="110">
        <f t="shared" si="16"/>
        <v>10591744</v>
      </c>
      <c r="N44" s="110">
        <f t="shared" si="14"/>
        <v>11351944</v>
      </c>
      <c r="O44" s="110">
        <v>3078683</v>
      </c>
      <c r="P44" s="110">
        <v>3332943</v>
      </c>
      <c r="Q44" s="110">
        <v>5040631</v>
      </c>
      <c r="R44" s="110">
        <v>5450426</v>
      </c>
      <c r="S44" s="110">
        <v>2472430</v>
      </c>
      <c r="T44" s="110">
        <v>2568575</v>
      </c>
      <c r="U44" s="110">
        <v>224085.6</v>
      </c>
      <c r="V44" s="110">
        <v>4319.5</v>
      </c>
      <c r="W44" s="110">
        <v>3153.3</v>
      </c>
      <c r="X44" s="110">
        <v>406.1</v>
      </c>
      <c r="Y44" s="110">
        <v>93847</v>
      </c>
      <c r="Z44" s="110">
        <v>406.1</v>
      </c>
      <c r="AA44" s="110">
        <v>1320</v>
      </c>
      <c r="AB44" s="110">
        <f t="shared" si="17"/>
        <v>173206.2</v>
      </c>
      <c r="AC44" s="110">
        <v>85258.1</v>
      </c>
      <c r="AD44" s="110">
        <v>87948.1</v>
      </c>
      <c r="AE44" s="110">
        <v>3756.6</v>
      </c>
      <c r="AF44" s="502"/>
      <c r="AG44" s="503"/>
      <c r="AJ44" s="365"/>
      <c r="AL44" s="365"/>
    </row>
    <row r="45" spans="1:46" x14ac:dyDescent="0.3">
      <c r="A45" s="19">
        <v>2024</v>
      </c>
      <c r="B45" s="20" t="s">
        <v>26</v>
      </c>
      <c r="C45" s="21" t="s">
        <v>121</v>
      </c>
      <c r="D45" s="110">
        <v>55741707</v>
      </c>
      <c r="E45" s="110">
        <v>186118</v>
      </c>
      <c r="F45" s="110">
        <v>549456</v>
      </c>
      <c r="G45" s="110">
        <v>87463</v>
      </c>
      <c r="H45" s="110">
        <v>1586157</v>
      </c>
      <c r="I45" s="110">
        <v>242194</v>
      </c>
      <c r="J45" s="502"/>
      <c r="K45" s="502"/>
      <c r="L45" s="110">
        <f t="shared" si="15"/>
        <v>22045460</v>
      </c>
      <c r="M45" s="110">
        <f t="shared" si="16"/>
        <v>187</v>
      </c>
      <c r="N45" s="110">
        <f t="shared" si="14"/>
        <v>22045273</v>
      </c>
      <c r="O45" s="110">
        <v>46</v>
      </c>
      <c r="P45" s="110">
        <v>6377885</v>
      </c>
      <c r="Q45" s="110">
        <v>87</v>
      </c>
      <c r="R45" s="110">
        <v>10577018</v>
      </c>
      <c r="S45" s="110">
        <v>54</v>
      </c>
      <c r="T45" s="110">
        <v>5090370</v>
      </c>
      <c r="U45" s="110">
        <v>224589.70000000004</v>
      </c>
      <c r="V45" s="110">
        <v>0.2</v>
      </c>
      <c r="W45" s="110">
        <v>3836.1</v>
      </c>
      <c r="X45" s="110">
        <v>406.1</v>
      </c>
      <c r="Y45" s="110">
        <v>92937</v>
      </c>
      <c r="Z45" s="110">
        <v>406.1</v>
      </c>
      <c r="AA45" s="110">
        <v>1320</v>
      </c>
      <c r="AB45" s="110">
        <f t="shared" si="17"/>
        <v>173597.2</v>
      </c>
      <c r="AC45" s="110">
        <v>1</v>
      </c>
      <c r="AD45" s="110">
        <v>173596.2</v>
      </c>
      <c r="AE45" s="110">
        <v>3459.81</v>
      </c>
      <c r="AF45" s="502"/>
      <c r="AG45" s="503"/>
      <c r="AJ45" s="365"/>
      <c r="AL45" s="365"/>
    </row>
    <row r="46" spans="1:46" x14ac:dyDescent="0.3">
      <c r="A46" s="19">
        <v>2024</v>
      </c>
      <c r="B46" s="20" t="s">
        <v>27</v>
      </c>
      <c r="C46" s="21" t="s">
        <v>121</v>
      </c>
      <c r="D46" s="110">
        <v>59815868</v>
      </c>
      <c r="E46" s="110">
        <v>198308</v>
      </c>
      <c r="F46" s="110">
        <v>606195</v>
      </c>
      <c r="G46" s="110">
        <v>98749</v>
      </c>
      <c r="H46" s="110">
        <v>1776078</v>
      </c>
      <c r="I46" s="110">
        <v>216202</v>
      </c>
      <c r="J46" s="502"/>
      <c r="K46" s="502"/>
      <c r="L46" s="110">
        <f t="shared" si="15"/>
        <v>24508564</v>
      </c>
      <c r="M46" s="110">
        <f t="shared" si="16"/>
        <v>0</v>
      </c>
      <c r="N46" s="110">
        <f t="shared" si="14"/>
        <v>24508564</v>
      </c>
      <c r="O46" s="110"/>
      <c r="P46" s="110">
        <v>7031975</v>
      </c>
      <c r="Q46" s="110"/>
      <c r="R46" s="110">
        <v>11776284</v>
      </c>
      <c r="S46" s="110"/>
      <c r="T46" s="110">
        <v>5700305</v>
      </c>
      <c r="U46" s="110">
        <v>223642.30000000002</v>
      </c>
      <c r="V46" s="110"/>
      <c r="W46" s="110">
        <v>4009.3999999999996</v>
      </c>
      <c r="X46" s="110">
        <v>406.1</v>
      </c>
      <c r="Y46" s="110">
        <v>100705</v>
      </c>
      <c r="Z46" s="110">
        <v>406.1</v>
      </c>
      <c r="AA46" s="110">
        <v>1320</v>
      </c>
      <c r="AB46" s="110">
        <f t="shared" si="17"/>
        <v>178729.09999999998</v>
      </c>
      <c r="AC46" s="110">
        <v>0</v>
      </c>
      <c r="AD46" s="110">
        <v>178729.09999999998</v>
      </c>
      <c r="AE46" s="110">
        <v>3622.58</v>
      </c>
      <c r="AF46" s="502"/>
      <c r="AG46" s="503"/>
      <c r="AJ46" s="365"/>
      <c r="AL46" s="365"/>
    </row>
    <row r="47" spans="1:46" x14ac:dyDescent="0.3">
      <c r="A47" s="19">
        <v>2024</v>
      </c>
      <c r="B47" s="20" t="s">
        <v>28</v>
      </c>
      <c r="C47" s="21" t="s">
        <v>121</v>
      </c>
      <c r="D47" s="110">
        <v>59434984</v>
      </c>
      <c r="E47" s="110">
        <v>191556</v>
      </c>
      <c r="F47" s="110">
        <v>594422</v>
      </c>
      <c r="G47" s="110">
        <v>95856</v>
      </c>
      <c r="H47" s="110">
        <v>1587803</v>
      </c>
      <c r="I47" s="110">
        <v>215356</v>
      </c>
      <c r="J47" s="502"/>
      <c r="K47" s="502"/>
      <c r="L47" s="110">
        <f t="shared" si="15"/>
        <v>23553506</v>
      </c>
      <c r="M47" s="110">
        <f t="shared" si="16"/>
        <v>0</v>
      </c>
      <c r="N47" s="110">
        <f t="shared" si="14"/>
        <v>23553506</v>
      </c>
      <c r="O47" s="110"/>
      <c r="P47" s="110">
        <v>6766119</v>
      </c>
      <c r="Q47" s="110"/>
      <c r="R47" s="110">
        <v>11337133</v>
      </c>
      <c r="S47" s="110"/>
      <c r="T47" s="110">
        <v>5450254</v>
      </c>
      <c r="U47" s="110">
        <v>219417.59999999998</v>
      </c>
      <c r="V47" s="110"/>
      <c r="W47" s="110">
        <v>3722.1</v>
      </c>
      <c r="X47" s="110">
        <v>570.1</v>
      </c>
      <c r="Y47" s="110">
        <v>173337</v>
      </c>
      <c r="Z47" s="110">
        <v>570.1</v>
      </c>
      <c r="AA47" s="110">
        <v>1320</v>
      </c>
      <c r="AB47" s="110">
        <f t="shared" si="17"/>
        <v>182072.50000000003</v>
      </c>
      <c r="AC47" s="110">
        <v>0</v>
      </c>
      <c r="AD47" s="110">
        <v>182072.50000000003</v>
      </c>
      <c r="AE47" s="110">
        <v>3735.07</v>
      </c>
      <c r="AF47" s="502"/>
      <c r="AG47" s="503"/>
      <c r="AJ47" s="365"/>
      <c r="AL47" s="365"/>
    </row>
    <row r="48" spans="1:46" x14ac:dyDescent="0.3">
      <c r="A48" s="19">
        <v>2024</v>
      </c>
      <c r="B48" s="20" t="s">
        <v>29</v>
      </c>
      <c r="C48" s="21" t="s">
        <v>121</v>
      </c>
      <c r="D48" s="110">
        <v>50479193</v>
      </c>
      <c r="E48" s="110">
        <v>139117</v>
      </c>
      <c r="F48" s="110">
        <v>519441</v>
      </c>
      <c r="G48" s="110">
        <v>80642</v>
      </c>
      <c r="H48" s="110">
        <v>1586234</v>
      </c>
      <c r="I48" s="110">
        <v>203855</v>
      </c>
      <c r="J48" s="502"/>
      <c r="K48" s="502"/>
      <c r="L48" s="110">
        <f t="shared" si="15"/>
        <v>20510540</v>
      </c>
      <c r="M48" s="110">
        <f t="shared" si="16"/>
        <v>10094202</v>
      </c>
      <c r="N48" s="110">
        <f t="shared" si="14"/>
        <v>10416338</v>
      </c>
      <c r="O48" s="110">
        <v>2924133</v>
      </c>
      <c r="P48" s="110">
        <v>2996613</v>
      </c>
      <c r="Q48" s="110">
        <v>4824289</v>
      </c>
      <c r="R48" s="110">
        <v>5009790</v>
      </c>
      <c r="S48" s="110">
        <v>2345780</v>
      </c>
      <c r="T48" s="110">
        <v>2409935</v>
      </c>
      <c r="U48" s="110">
        <v>222175.69999999998</v>
      </c>
      <c r="V48" s="110">
        <v>4000.7</v>
      </c>
      <c r="W48" s="110">
        <v>5335</v>
      </c>
      <c r="X48" s="110">
        <v>570.1</v>
      </c>
      <c r="Y48" s="110">
        <v>132427</v>
      </c>
      <c r="Z48" s="110">
        <v>570.1</v>
      </c>
      <c r="AA48" s="110">
        <v>1320</v>
      </c>
      <c r="AB48" s="110">
        <f t="shared" si="17"/>
        <v>163945.10000000003</v>
      </c>
      <c r="AC48" s="110">
        <v>78823.700000000012</v>
      </c>
      <c r="AD48" s="110">
        <v>85121.400000000009</v>
      </c>
      <c r="AE48" s="110">
        <v>3497.72</v>
      </c>
      <c r="AF48" s="502"/>
      <c r="AG48" s="503"/>
      <c r="AJ48" s="365"/>
      <c r="AL48" s="365"/>
    </row>
    <row r="49" spans="1:46" x14ac:dyDescent="0.3">
      <c r="A49" s="19">
        <v>2024</v>
      </c>
      <c r="B49" s="20" t="s">
        <v>30</v>
      </c>
      <c r="C49" s="21" t="s">
        <v>121</v>
      </c>
      <c r="D49" s="110">
        <v>47467219</v>
      </c>
      <c r="E49" s="110">
        <v>87972</v>
      </c>
      <c r="F49" s="110">
        <v>536519</v>
      </c>
      <c r="G49" s="110">
        <v>86312</v>
      </c>
      <c r="H49" s="110">
        <v>1320531</v>
      </c>
      <c r="I49" s="110">
        <v>224434</v>
      </c>
      <c r="J49" s="502"/>
      <c r="K49" s="502"/>
      <c r="L49" s="110">
        <f t="shared" si="15"/>
        <v>18980127</v>
      </c>
      <c r="M49" s="110">
        <f t="shared" si="16"/>
        <v>18979031</v>
      </c>
      <c r="N49" s="110">
        <f t="shared" si="14"/>
        <v>1096</v>
      </c>
      <c r="O49" s="110">
        <v>5546344</v>
      </c>
      <c r="P49" s="110">
        <v>345</v>
      </c>
      <c r="Q49" s="110">
        <v>8951826</v>
      </c>
      <c r="R49" s="110">
        <v>518</v>
      </c>
      <c r="S49" s="110">
        <v>4480861</v>
      </c>
      <c r="T49" s="110">
        <v>233</v>
      </c>
      <c r="U49" s="110">
        <v>220490.7</v>
      </c>
      <c r="V49" s="110">
        <v>3957.6000000000004</v>
      </c>
      <c r="W49" s="110">
        <v>0.2</v>
      </c>
      <c r="X49" s="110">
        <v>570.1</v>
      </c>
      <c r="Y49" s="110">
        <v>149493</v>
      </c>
      <c r="Z49" s="110">
        <v>570.1</v>
      </c>
      <c r="AA49" s="110">
        <v>1320</v>
      </c>
      <c r="AB49" s="110">
        <f t="shared" si="17"/>
        <v>155369.30000000002</v>
      </c>
      <c r="AC49" s="110">
        <v>155362.6</v>
      </c>
      <c r="AD49" s="110">
        <v>6.7</v>
      </c>
      <c r="AE49" s="110">
        <v>3544.17</v>
      </c>
      <c r="AF49" s="502"/>
      <c r="AG49" s="503"/>
      <c r="AJ49" s="365"/>
      <c r="AL49" s="365"/>
    </row>
    <row r="50" spans="1:46" x14ac:dyDescent="0.3">
      <c r="A50" s="22">
        <v>2024</v>
      </c>
      <c r="B50" s="23" t="s">
        <v>31</v>
      </c>
      <c r="C50" s="24" t="s">
        <v>121</v>
      </c>
      <c r="D50" s="111">
        <v>51306123</v>
      </c>
      <c r="E50" s="111">
        <v>42066</v>
      </c>
      <c r="F50" s="111">
        <v>576691</v>
      </c>
      <c r="G50" s="111">
        <v>97923</v>
      </c>
      <c r="H50" s="111">
        <v>540727</v>
      </c>
      <c r="I50" s="111">
        <v>37305</v>
      </c>
      <c r="J50" s="504"/>
      <c r="K50" s="504"/>
      <c r="L50" s="111">
        <f t="shared" si="15"/>
        <v>18733714</v>
      </c>
      <c r="M50" s="111">
        <f t="shared" si="16"/>
        <v>18733712</v>
      </c>
      <c r="N50" s="111">
        <f t="shared" si="14"/>
        <v>2</v>
      </c>
      <c r="O50" s="111">
        <v>5459565</v>
      </c>
      <c r="P50" s="111"/>
      <c r="Q50" s="111">
        <v>8761378</v>
      </c>
      <c r="R50" s="111"/>
      <c r="S50" s="111">
        <v>4512769</v>
      </c>
      <c r="T50" s="111">
        <v>2</v>
      </c>
      <c r="U50" s="111">
        <v>218201.19999999998</v>
      </c>
      <c r="V50" s="111">
        <v>3606.2999999999997</v>
      </c>
      <c r="W50" s="111"/>
      <c r="X50" s="111">
        <v>570.4</v>
      </c>
      <c r="Y50" s="111">
        <v>149087</v>
      </c>
      <c r="Z50" s="111">
        <v>570.4</v>
      </c>
      <c r="AA50" s="491">
        <v>1320</v>
      </c>
      <c r="AB50" s="111">
        <f t="shared" si="17"/>
        <v>145248.30000000002</v>
      </c>
      <c r="AC50" s="111">
        <v>145248.30000000002</v>
      </c>
      <c r="AD50" s="111">
        <v>0</v>
      </c>
      <c r="AE50" s="111">
        <v>3618.15</v>
      </c>
      <c r="AF50" s="504"/>
      <c r="AG50" s="505"/>
      <c r="AJ50" s="365"/>
      <c r="AL50" s="365"/>
    </row>
    <row r="51" spans="1:46" ht="15" customHeight="1" x14ac:dyDescent="0.3">
      <c r="A51" s="545" t="s">
        <v>81</v>
      </c>
      <c r="B51" s="545"/>
      <c r="C51" s="545"/>
      <c r="D51" s="171">
        <f t="shared" ref="D51:AG51" si="18">SUM(D39:D50)</f>
        <v>628522307</v>
      </c>
      <c r="E51" s="171">
        <f t="shared" si="18"/>
        <v>1530471</v>
      </c>
      <c r="F51" s="171">
        <f t="shared" si="18"/>
        <v>6691307</v>
      </c>
      <c r="G51" s="171">
        <f t="shared" si="18"/>
        <v>1092065</v>
      </c>
      <c r="H51" s="171">
        <f t="shared" si="18"/>
        <v>13515494</v>
      </c>
      <c r="I51" s="171">
        <f t="shared" si="18"/>
        <v>1783338</v>
      </c>
      <c r="J51" s="171">
        <f t="shared" si="18"/>
        <v>0</v>
      </c>
      <c r="K51" s="171">
        <f t="shared" si="18"/>
        <v>0</v>
      </c>
      <c r="L51" s="171">
        <f t="shared" si="18"/>
        <v>244492761</v>
      </c>
      <c r="M51" s="171">
        <f t="shared" si="18"/>
        <v>152616018</v>
      </c>
      <c r="N51" s="171">
        <f t="shared" si="18"/>
        <v>91876743</v>
      </c>
      <c r="O51" s="166">
        <f t="shared" si="18"/>
        <v>44723699</v>
      </c>
      <c r="P51" s="166">
        <f t="shared" si="18"/>
        <v>26505880</v>
      </c>
      <c r="Q51" s="166">
        <f t="shared" si="18"/>
        <v>71546055</v>
      </c>
      <c r="R51" s="166">
        <f t="shared" si="18"/>
        <v>44151169</v>
      </c>
      <c r="S51" s="166">
        <f t="shared" si="18"/>
        <v>36346264</v>
      </c>
      <c r="T51" s="166">
        <f t="shared" si="18"/>
        <v>21219694</v>
      </c>
      <c r="U51" s="171">
        <f t="shared" si="18"/>
        <v>2661916.2000000007</v>
      </c>
      <c r="V51" s="171">
        <f t="shared" si="18"/>
        <v>29803.499999999996</v>
      </c>
      <c r="W51" s="171">
        <f t="shared" si="18"/>
        <v>20056.100000000002</v>
      </c>
      <c r="X51" s="171">
        <f t="shared" si="18"/>
        <v>5519.3</v>
      </c>
      <c r="Y51" s="171">
        <f t="shared" si="18"/>
        <v>1219024</v>
      </c>
      <c r="Z51" s="171">
        <f t="shared" si="18"/>
        <v>5519.3</v>
      </c>
      <c r="AA51" s="171">
        <f t="shared" si="18"/>
        <v>15840</v>
      </c>
      <c r="AB51" s="171">
        <f t="shared" si="18"/>
        <v>1894405</v>
      </c>
      <c r="AC51" s="171">
        <f t="shared" si="18"/>
        <v>1186931</v>
      </c>
      <c r="AD51" s="171">
        <f t="shared" si="18"/>
        <v>707474</v>
      </c>
      <c r="AE51" s="171">
        <f t="shared" si="18"/>
        <v>43063.08</v>
      </c>
      <c r="AF51" s="162">
        <f t="shared" si="18"/>
        <v>0</v>
      </c>
      <c r="AG51" s="171">
        <f t="shared" si="18"/>
        <v>0</v>
      </c>
      <c r="AJ51" s="365"/>
      <c r="AL51" s="365"/>
    </row>
    <row r="52" spans="1:46" ht="15" customHeight="1" x14ac:dyDescent="0.3">
      <c r="A52" s="476" t="s">
        <v>131</v>
      </c>
      <c r="B52" s="367"/>
      <c r="C52" s="367"/>
      <c r="D52" s="171"/>
      <c r="E52" s="171"/>
      <c r="F52" s="171"/>
      <c r="G52" s="171"/>
      <c r="H52" s="171"/>
      <c r="I52" s="171"/>
      <c r="J52" s="171"/>
      <c r="K52" s="171"/>
      <c r="L52" s="171"/>
      <c r="M52" s="171"/>
      <c r="N52" s="171"/>
      <c r="O52" s="166"/>
      <c r="P52" s="166"/>
      <c r="Q52" s="166"/>
      <c r="R52" s="166"/>
      <c r="S52" s="166"/>
      <c r="T52" s="166"/>
      <c r="U52" s="171"/>
      <c r="V52" s="171"/>
      <c r="W52" s="171"/>
      <c r="X52" s="171"/>
      <c r="Y52" s="171"/>
      <c r="Z52" s="171"/>
      <c r="AA52" s="171"/>
      <c r="AB52" s="171"/>
      <c r="AC52" s="171"/>
      <c r="AD52" s="171"/>
      <c r="AE52" s="171"/>
      <c r="AF52" s="162"/>
      <c r="AG52" s="171"/>
      <c r="AJ52" s="365"/>
      <c r="AL52" s="365"/>
    </row>
    <row r="53" spans="1:46" x14ac:dyDescent="0.3">
      <c r="A53" s="365"/>
      <c r="B53" s="365"/>
      <c r="C53" s="285"/>
      <c r="D53" s="285"/>
      <c r="E53" s="285"/>
      <c r="F53" s="285"/>
      <c r="G53" s="285"/>
      <c r="H53" s="285"/>
      <c r="I53" s="285"/>
      <c r="J53" s="285"/>
      <c r="K53" s="285"/>
      <c r="L53" s="285"/>
      <c r="M53" s="285"/>
      <c r="N53" s="285"/>
      <c r="O53" s="285"/>
      <c r="P53" s="285"/>
      <c r="Q53" s="285"/>
      <c r="R53" s="285"/>
      <c r="S53" s="285"/>
      <c r="T53" s="285"/>
      <c r="U53" s="285"/>
      <c r="V53" s="285"/>
      <c r="W53" s="285"/>
      <c r="X53" s="285"/>
      <c r="Y53" s="285"/>
      <c r="Z53" s="285"/>
      <c r="AA53" s="285"/>
      <c r="AB53" s="285"/>
      <c r="AC53" s="285"/>
      <c r="AD53" s="285"/>
      <c r="AE53" s="285"/>
      <c r="AF53" s="285"/>
      <c r="AG53" s="285"/>
      <c r="AH53" s="285"/>
      <c r="AI53" s="285"/>
      <c r="AJ53" s="365"/>
      <c r="AL53" s="365"/>
    </row>
    <row r="54" spans="1:46" s="330" customFormat="1" ht="48" x14ac:dyDescent="0.25">
      <c r="A54" s="6" t="s">
        <v>18</v>
      </c>
      <c r="B54" s="6" t="s">
        <v>19</v>
      </c>
      <c r="C54" s="161" t="s">
        <v>0</v>
      </c>
      <c r="D54" s="76" t="s">
        <v>128</v>
      </c>
      <c r="E54" s="97" t="s">
        <v>98</v>
      </c>
      <c r="F54" s="499" t="s">
        <v>158</v>
      </c>
      <c r="G54" s="499"/>
      <c r="H54" s="12" t="s">
        <v>104</v>
      </c>
      <c r="I54" s="12" t="s">
        <v>129</v>
      </c>
      <c r="J54" s="107" t="s">
        <v>1</v>
      </c>
      <c r="K54" s="107" t="s">
        <v>2</v>
      </c>
      <c r="L54" s="108" t="s">
        <v>46</v>
      </c>
      <c r="M54" s="13" t="s">
        <v>37</v>
      </c>
      <c r="N54" s="32" t="s">
        <v>38</v>
      </c>
      <c r="O54" s="159" t="s">
        <v>100</v>
      </c>
      <c r="P54" s="156" t="s">
        <v>107</v>
      </c>
      <c r="Q54" s="78" t="s">
        <v>82</v>
      </c>
      <c r="R54" s="78" t="s">
        <v>83</v>
      </c>
      <c r="S54" s="159" t="s">
        <v>102</v>
      </c>
      <c r="T54" s="156" t="s">
        <v>103</v>
      </c>
      <c r="U54" s="34" t="s">
        <v>3</v>
      </c>
      <c r="V54" s="83" t="s">
        <v>126</v>
      </c>
      <c r="W54" s="83" t="s">
        <v>127</v>
      </c>
      <c r="X54" s="34" t="s">
        <v>53</v>
      </c>
      <c r="Y54" s="34" t="s">
        <v>54</v>
      </c>
      <c r="Z54" s="34" t="s">
        <v>55</v>
      </c>
      <c r="AA54" s="447" t="s">
        <v>150</v>
      </c>
      <c r="AB54" s="34" t="s">
        <v>47</v>
      </c>
      <c r="AC54" s="34" t="s">
        <v>58</v>
      </c>
      <c r="AD54" s="34" t="s">
        <v>59</v>
      </c>
      <c r="AE54" s="35" t="s">
        <v>51</v>
      </c>
      <c r="AF54" s="35" t="s">
        <v>57</v>
      </c>
      <c r="AG54" s="35" t="s">
        <v>56</v>
      </c>
      <c r="AJ54" s="365"/>
      <c r="AL54" s="365"/>
    </row>
    <row r="55" spans="1:46" x14ac:dyDescent="0.3">
      <c r="A55" s="16">
        <v>2023</v>
      </c>
      <c r="B55" s="17" t="s">
        <v>20</v>
      </c>
      <c r="C55" s="21" t="s">
        <v>121</v>
      </c>
      <c r="D55" s="109">
        <v>54042973</v>
      </c>
      <c r="E55" s="109">
        <v>15620</v>
      </c>
      <c r="F55" s="109">
        <v>809336</v>
      </c>
      <c r="G55" s="500"/>
      <c r="H55" s="109">
        <v>437558</v>
      </c>
      <c r="I55" s="109">
        <v>333</v>
      </c>
      <c r="J55" s="500"/>
      <c r="K55" s="500"/>
      <c r="L55" s="109">
        <f>M55+N55</f>
        <v>20202160</v>
      </c>
      <c r="M55" s="109">
        <f t="shared" ref="M55:M66" si="19">O55+Q55+S55</f>
        <v>20202156</v>
      </c>
      <c r="N55" s="109">
        <f t="shared" ref="N55:N66" si="20">P55+R55+T55</f>
        <v>4</v>
      </c>
      <c r="O55" s="109">
        <v>5874252</v>
      </c>
      <c r="P55" s="109"/>
      <c r="Q55" s="109">
        <v>9398421</v>
      </c>
      <c r="R55" s="109"/>
      <c r="S55" s="109">
        <v>4929483</v>
      </c>
      <c r="T55" s="109">
        <v>4</v>
      </c>
      <c r="U55" s="109">
        <v>211403.7</v>
      </c>
      <c r="V55" s="109">
        <v>2643.8</v>
      </c>
      <c r="W55" s="109"/>
      <c r="X55" s="109">
        <v>393.5</v>
      </c>
      <c r="Y55" s="109">
        <v>63804</v>
      </c>
      <c r="Z55" s="109">
        <v>393.5</v>
      </c>
      <c r="AA55" s="492">
        <v>1320</v>
      </c>
      <c r="AB55" s="109">
        <f>AC55+AD55</f>
        <v>140118.29999999999</v>
      </c>
      <c r="AC55" s="109">
        <v>140118.29999999999</v>
      </c>
      <c r="AD55" s="109">
        <v>0</v>
      </c>
      <c r="AE55" s="109">
        <v>3653.5699999999997</v>
      </c>
      <c r="AF55" s="109"/>
      <c r="AG55" s="236"/>
      <c r="AI55" s="365"/>
      <c r="AJ55" s="365"/>
      <c r="AK55" s="365"/>
      <c r="AL55" s="365"/>
      <c r="AM55" s="365"/>
      <c r="AN55" s="365"/>
      <c r="AO55" s="365"/>
      <c r="AP55" s="365"/>
      <c r="AQ55" s="365"/>
      <c r="AR55" s="365"/>
      <c r="AS55" s="365"/>
      <c r="AT55" s="365"/>
    </row>
    <row r="56" spans="1:46" x14ac:dyDescent="0.3">
      <c r="A56" s="19">
        <v>2023</v>
      </c>
      <c r="B56" s="20" t="s">
        <v>21</v>
      </c>
      <c r="C56" s="21" t="s">
        <v>121</v>
      </c>
      <c r="D56" s="110">
        <v>50778135</v>
      </c>
      <c r="E56" s="110">
        <v>23911</v>
      </c>
      <c r="F56" s="110">
        <v>739846</v>
      </c>
      <c r="G56" s="502"/>
      <c r="H56" s="110">
        <v>344770</v>
      </c>
      <c r="I56" s="110">
        <v>4145</v>
      </c>
      <c r="J56" s="502"/>
      <c r="K56" s="502"/>
      <c r="L56" s="110">
        <f t="shared" ref="L56:L66" si="21">M56+N56</f>
        <v>19239547</v>
      </c>
      <c r="M56" s="110">
        <f t="shared" si="19"/>
        <v>19239543</v>
      </c>
      <c r="N56" s="110">
        <f t="shared" si="20"/>
        <v>4</v>
      </c>
      <c r="O56" s="110">
        <v>5657036</v>
      </c>
      <c r="P56" s="110"/>
      <c r="Q56" s="110">
        <v>8916560</v>
      </c>
      <c r="R56" s="110"/>
      <c r="S56" s="110">
        <v>4665947</v>
      </c>
      <c r="T56" s="110">
        <v>4</v>
      </c>
      <c r="U56" s="110">
        <v>211375.90000000002</v>
      </c>
      <c r="V56" s="110">
        <v>2119.9</v>
      </c>
      <c r="W56" s="110"/>
      <c r="X56" s="110">
        <v>394.4</v>
      </c>
      <c r="Y56" s="110">
        <v>57466</v>
      </c>
      <c r="Z56" s="110">
        <v>394.4</v>
      </c>
      <c r="AA56" s="110">
        <v>1320</v>
      </c>
      <c r="AB56" s="110">
        <f t="shared" ref="AB56:AB66" si="22">AC56+AD56</f>
        <v>141717.59999999998</v>
      </c>
      <c r="AC56" s="110">
        <v>141717.59999999998</v>
      </c>
      <c r="AD56" s="110">
        <v>0</v>
      </c>
      <c r="AE56" s="110">
        <v>3347.83</v>
      </c>
      <c r="AF56" s="110"/>
      <c r="AG56" s="237"/>
      <c r="AJ56" s="365"/>
      <c r="AL56" s="365"/>
    </row>
    <row r="57" spans="1:46" x14ac:dyDescent="0.3">
      <c r="A57" s="19">
        <v>2023</v>
      </c>
      <c r="B57" s="20" t="s">
        <v>22</v>
      </c>
      <c r="C57" s="21" t="s">
        <v>121</v>
      </c>
      <c r="D57" s="110">
        <v>48730568</v>
      </c>
      <c r="E57" s="110">
        <v>71132</v>
      </c>
      <c r="F57" s="110">
        <v>722218</v>
      </c>
      <c r="G57" s="502"/>
      <c r="H57" s="110">
        <v>880913</v>
      </c>
      <c r="I57" s="110">
        <v>116094</v>
      </c>
      <c r="J57" s="502"/>
      <c r="K57" s="502"/>
      <c r="L57" s="110">
        <f t="shared" si="21"/>
        <v>18517214</v>
      </c>
      <c r="M57" s="110">
        <f t="shared" si="19"/>
        <v>18517208</v>
      </c>
      <c r="N57" s="110">
        <f t="shared" si="20"/>
        <v>6</v>
      </c>
      <c r="O57" s="110">
        <v>5458725</v>
      </c>
      <c r="P57" s="110"/>
      <c r="Q57" s="110">
        <v>8566738</v>
      </c>
      <c r="R57" s="110"/>
      <c r="S57" s="110">
        <v>4491745</v>
      </c>
      <c r="T57" s="110">
        <v>6</v>
      </c>
      <c r="U57" s="110">
        <v>210554.1</v>
      </c>
      <c r="V57" s="110">
        <v>2065.4</v>
      </c>
      <c r="W57" s="110"/>
      <c r="X57" s="110">
        <v>394.4</v>
      </c>
      <c r="Y57" s="110">
        <v>67970</v>
      </c>
      <c r="Z57" s="110">
        <v>394.4</v>
      </c>
      <c r="AA57" s="110">
        <v>1320</v>
      </c>
      <c r="AB57" s="110">
        <f t="shared" si="22"/>
        <v>135566.1</v>
      </c>
      <c r="AC57" s="110">
        <v>135566.1</v>
      </c>
      <c r="AD57" s="110">
        <v>0</v>
      </c>
      <c r="AE57" s="110">
        <v>3371.65</v>
      </c>
      <c r="AF57" s="110"/>
      <c r="AG57" s="237"/>
      <c r="AJ57" s="365"/>
      <c r="AL57" s="365"/>
    </row>
    <row r="58" spans="1:46" x14ac:dyDescent="0.3">
      <c r="A58" s="19">
        <v>2023</v>
      </c>
      <c r="B58" s="20" t="s">
        <v>23</v>
      </c>
      <c r="C58" s="21" t="s">
        <v>121</v>
      </c>
      <c r="D58" s="110">
        <v>50101310</v>
      </c>
      <c r="E58" s="110">
        <v>115752</v>
      </c>
      <c r="F58" s="110">
        <v>653989</v>
      </c>
      <c r="G58" s="502"/>
      <c r="H58" s="110">
        <v>1023389</v>
      </c>
      <c r="I58" s="110">
        <v>160562</v>
      </c>
      <c r="J58" s="502"/>
      <c r="K58" s="502"/>
      <c r="L58" s="110">
        <f t="shared" si="21"/>
        <v>19244021</v>
      </c>
      <c r="M58" s="110">
        <f t="shared" si="19"/>
        <v>19244015</v>
      </c>
      <c r="N58" s="110">
        <f t="shared" si="20"/>
        <v>6</v>
      </c>
      <c r="O58" s="110">
        <v>5681863</v>
      </c>
      <c r="P58" s="110"/>
      <c r="Q58" s="110">
        <v>8959103</v>
      </c>
      <c r="R58" s="110"/>
      <c r="S58" s="110">
        <v>4603049</v>
      </c>
      <c r="T58" s="110">
        <v>6</v>
      </c>
      <c r="U58" s="110">
        <v>226712.69999999998</v>
      </c>
      <c r="V58" s="110">
        <v>3116.1</v>
      </c>
      <c r="W58" s="110"/>
      <c r="X58" s="110">
        <v>394.7</v>
      </c>
      <c r="Y58" s="110">
        <v>62648</v>
      </c>
      <c r="Z58" s="110">
        <v>394.7</v>
      </c>
      <c r="AA58" s="110">
        <v>1320</v>
      </c>
      <c r="AB58" s="110">
        <f t="shared" si="22"/>
        <v>151030.1</v>
      </c>
      <c r="AC58" s="110">
        <v>151030.1</v>
      </c>
      <c r="AD58" s="110">
        <v>0</v>
      </c>
      <c r="AE58" s="110">
        <v>3641.6600000000003</v>
      </c>
      <c r="AF58" s="110"/>
      <c r="AG58" s="237"/>
      <c r="AJ58" s="365"/>
      <c r="AL58" s="365"/>
    </row>
    <row r="59" spans="1:46" x14ac:dyDescent="0.3">
      <c r="A59" s="19">
        <v>2023</v>
      </c>
      <c r="B59" s="20" t="s">
        <v>24</v>
      </c>
      <c r="C59" s="21" t="s">
        <v>121</v>
      </c>
      <c r="D59" s="110">
        <v>44211487</v>
      </c>
      <c r="E59" s="110">
        <v>149978</v>
      </c>
      <c r="F59" s="110">
        <v>574551</v>
      </c>
      <c r="G59" s="502"/>
      <c r="H59" s="110">
        <v>1239708</v>
      </c>
      <c r="I59" s="110">
        <v>180319</v>
      </c>
      <c r="J59" s="502"/>
      <c r="K59" s="502"/>
      <c r="L59" s="110">
        <f t="shared" si="21"/>
        <v>17488369</v>
      </c>
      <c r="M59" s="110">
        <f t="shared" si="19"/>
        <v>17488366</v>
      </c>
      <c r="N59" s="110">
        <f t="shared" si="20"/>
        <v>3</v>
      </c>
      <c r="O59" s="110">
        <v>5115173</v>
      </c>
      <c r="P59" s="110"/>
      <c r="Q59" s="110">
        <v>8269366</v>
      </c>
      <c r="R59" s="110"/>
      <c r="S59" s="110">
        <v>4103827</v>
      </c>
      <c r="T59" s="110">
        <v>3</v>
      </c>
      <c r="U59" s="110">
        <v>214524.19999999998</v>
      </c>
      <c r="V59" s="110">
        <v>3118.9999999999995</v>
      </c>
      <c r="W59" s="110"/>
      <c r="X59" s="110">
        <v>394.7</v>
      </c>
      <c r="Y59" s="110">
        <v>64475</v>
      </c>
      <c r="Z59" s="110">
        <v>394.7</v>
      </c>
      <c r="AA59" s="110">
        <v>1320</v>
      </c>
      <c r="AB59" s="110">
        <f t="shared" si="22"/>
        <v>148344.79999999999</v>
      </c>
      <c r="AC59" s="110">
        <v>148344.79999999999</v>
      </c>
      <c r="AD59" s="110">
        <v>0</v>
      </c>
      <c r="AE59" s="110">
        <v>3288.2499999999995</v>
      </c>
      <c r="AF59" s="110"/>
      <c r="AG59" s="237"/>
      <c r="AJ59" s="365"/>
      <c r="AL59" s="365"/>
    </row>
    <row r="60" spans="1:46" x14ac:dyDescent="0.3">
      <c r="A60" s="19">
        <v>2023</v>
      </c>
      <c r="B60" s="20" t="s">
        <v>25</v>
      </c>
      <c r="C60" s="21" t="s">
        <v>121</v>
      </c>
      <c r="D60" s="110">
        <v>54432835</v>
      </c>
      <c r="E60" s="110">
        <v>181872</v>
      </c>
      <c r="F60" s="110">
        <v>666109</v>
      </c>
      <c r="G60" s="502"/>
      <c r="H60" s="110">
        <v>1668671</v>
      </c>
      <c r="I60" s="110">
        <v>257357</v>
      </c>
      <c r="J60" s="502"/>
      <c r="K60" s="502"/>
      <c r="L60" s="110">
        <f t="shared" si="21"/>
        <v>21916552</v>
      </c>
      <c r="M60" s="110">
        <f t="shared" si="19"/>
        <v>10874134</v>
      </c>
      <c r="N60" s="110">
        <f t="shared" si="20"/>
        <v>11042418</v>
      </c>
      <c r="O60" s="110">
        <v>3136675</v>
      </c>
      <c r="P60" s="110">
        <v>3192656</v>
      </c>
      <c r="Q60" s="110">
        <v>5207109</v>
      </c>
      <c r="R60" s="110">
        <v>5326717</v>
      </c>
      <c r="S60" s="110">
        <v>2530350</v>
      </c>
      <c r="T60" s="110">
        <v>2523045</v>
      </c>
      <c r="U60" s="110">
        <v>214566.30000000002</v>
      </c>
      <c r="V60" s="110">
        <v>4082.5</v>
      </c>
      <c r="W60" s="110">
        <v>3179.8</v>
      </c>
      <c r="X60" s="110">
        <v>391.9</v>
      </c>
      <c r="Y60" s="110">
        <v>76760</v>
      </c>
      <c r="Z60" s="110">
        <v>391.9</v>
      </c>
      <c r="AA60" s="110">
        <v>1320</v>
      </c>
      <c r="AB60" s="110">
        <f t="shared" si="22"/>
        <v>168427.2</v>
      </c>
      <c r="AC60" s="110">
        <v>91001.5</v>
      </c>
      <c r="AD60" s="110">
        <v>77425.7</v>
      </c>
      <c r="AE60" s="110">
        <v>3712.26</v>
      </c>
      <c r="AF60" s="110"/>
      <c r="AG60" s="237"/>
      <c r="AJ60" s="365"/>
      <c r="AL60" s="365"/>
    </row>
    <row r="61" spans="1:46" x14ac:dyDescent="0.3">
      <c r="A61" s="19">
        <v>2023</v>
      </c>
      <c r="B61" s="20" t="s">
        <v>26</v>
      </c>
      <c r="C61" s="21" t="s">
        <v>121</v>
      </c>
      <c r="D61" s="110">
        <v>59284565</v>
      </c>
      <c r="E61" s="110">
        <v>192079</v>
      </c>
      <c r="F61" s="110">
        <v>696185</v>
      </c>
      <c r="G61" s="502"/>
      <c r="H61" s="110">
        <v>1802943</v>
      </c>
      <c r="I61" s="110">
        <v>173238</v>
      </c>
      <c r="J61" s="502"/>
      <c r="K61" s="502"/>
      <c r="L61" s="110">
        <f t="shared" si="21"/>
        <v>23424183</v>
      </c>
      <c r="M61" s="110">
        <f t="shared" si="19"/>
        <v>589</v>
      </c>
      <c r="N61" s="110">
        <f t="shared" si="20"/>
        <v>23423594</v>
      </c>
      <c r="O61" s="110">
        <v>154</v>
      </c>
      <c r="P61" s="110">
        <v>6755351</v>
      </c>
      <c r="Q61" s="110">
        <v>270</v>
      </c>
      <c r="R61" s="110">
        <v>11252187</v>
      </c>
      <c r="S61" s="110">
        <v>165</v>
      </c>
      <c r="T61" s="110">
        <v>5416056</v>
      </c>
      <c r="U61" s="110">
        <v>207475.5</v>
      </c>
      <c r="V61" s="110"/>
      <c r="W61" s="110">
        <v>3831.8999999999996</v>
      </c>
      <c r="X61" s="110">
        <v>387.4</v>
      </c>
      <c r="Y61" s="110">
        <v>97726</v>
      </c>
      <c r="Z61" s="110">
        <v>387.4</v>
      </c>
      <c r="AA61" s="110">
        <v>1320</v>
      </c>
      <c r="AB61" s="110">
        <f t="shared" si="22"/>
        <v>172285.6</v>
      </c>
      <c r="AC61" s="110">
        <v>3.1</v>
      </c>
      <c r="AD61" s="110">
        <v>172282.5</v>
      </c>
      <c r="AE61" s="110">
        <v>3652.54</v>
      </c>
      <c r="AF61" s="110"/>
      <c r="AG61" s="237"/>
      <c r="AJ61" s="365"/>
      <c r="AL61" s="365"/>
    </row>
    <row r="62" spans="1:46" x14ac:dyDescent="0.3">
      <c r="A62" s="19">
        <v>2023</v>
      </c>
      <c r="B62" s="20" t="s">
        <v>27</v>
      </c>
      <c r="C62" s="21" t="s">
        <v>121</v>
      </c>
      <c r="D62" s="110">
        <v>59436782</v>
      </c>
      <c r="E62" s="110">
        <v>198677</v>
      </c>
      <c r="F62" s="110">
        <v>737804</v>
      </c>
      <c r="G62" s="502"/>
      <c r="H62" s="110">
        <v>1979095</v>
      </c>
      <c r="I62" s="110">
        <v>189760</v>
      </c>
      <c r="J62" s="502"/>
      <c r="K62" s="502"/>
      <c r="L62" s="110">
        <f t="shared" si="21"/>
        <v>24308001</v>
      </c>
      <c r="M62" s="110">
        <f t="shared" si="19"/>
        <v>0</v>
      </c>
      <c r="N62" s="110">
        <f t="shared" si="20"/>
        <v>24308001</v>
      </c>
      <c r="O62" s="110"/>
      <c r="P62" s="110">
        <v>6947900</v>
      </c>
      <c r="Q62" s="110"/>
      <c r="R62" s="110">
        <v>11681824</v>
      </c>
      <c r="S62" s="110"/>
      <c r="T62" s="110">
        <v>5678277</v>
      </c>
      <c r="U62" s="110">
        <v>223266.00000000003</v>
      </c>
      <c r="V62" s="110"/>
      <c r="W62" s="110">
        <v>3500.9</v>
      </c>
      <c r="X62" s="110">
        <v>385.2</v>
      </c>
      <c r="Y62" s="110">
        <v>81500</v>
      </c>
      <c r="Z62" s="110">
        <v>385.2</v>
      </c>
      <c r="AA62" s="110">
        <v>1320</v>
      </c>
      <c r="AB62" s="110">
        <f t="shared" si="22"/>
        <v>182142.70000000004</v>
      </c>
      <c r="AC62" s="110">
        <v>0</v>
      </c>
      <c r="AD62" s="110">
        <v>182142.70000000004</v>
      </c>
      <c r="AE62" s="110">
        <v>3485.2400000000002</v>
      </c>
      <c r="AF62" s="110"/>
      <c r="AG62" s="237"/>
      <c r="AJ62" s="365"/>
      <c r="AL62" s="365"/>
    </row>
    <row r="63" spans="1:46" x14ac:dyDescent="0.3">
      <c r="A63" s="19">
        <v>2023</v>
      </c>
      <c r="B63" s="20" t="s">
        <v>28</v>
      </c>
      <c r="C63" s="21" t="s">
        <v>121</v>
      </c>
      <c r="D63" s="110">
        <v>61482442</v>
      </c>
      <c r="E63" s="110">
        <v>192844</v>
      </c>
      <c r="F63" s="110">
        <v>727799</v>
      </c>
      <c r="G63" s="502"/>
      <c r="H63" s="110">
        <v>1890346</v>
      </c>
      <c r="I63" s="110">
        <v>212377</v>
      </c>
      <c r="J63" s="502"/>
      <c r="K63" s="502"/>
      <c r="L63" s="110">
        <f t="shared" si="21"/>
        <v>24263703</v>
      </c>
      <c r="M63" s="110">
        <f t="shared" si="19"/>
        <v>0</v>
      </c>
      <c r="N63" s="110">
        <f t="shared" si="20"/>
        <v>24263703</v>
      </c>
      <c r="O63" s="110"/>
      <c r="P63" s="110">
        <v>6930370</v>
      </c>
      <c r="Q63" s="110"/>
      <c r="R63" s="110">
        <v>11638763</v>
      </c>
      <c r="S63" s="110"/>
      <c r="T63" s="110">
        <v>5694570</v>
      </c>
      <c r="U63" s="110">
        <v>223744.09999999998</v>
      </c>
      <c r="V63" s="110"/>
      <c r="W63" s="110">
        <v>3854.3999999999996</v>
      </c>
      <c r="X63" s="110">
        <v>401.4</v>
      </c>
      <c r="Y63" s="110">
        <v>94768</v>
      </c>
      <c r="Z63" s="110">
        <v>401.4</v>
      </c>
      <c r="AA63" s="110">
        <v>1320</v>
      </c>
      <c r="AB63" s="110">
        <f t="shared" si="22"/>
        <v>189118.5</v>
      </c>
      <c r="AC63" s="110">
        <v>0</v>
      </c>
      <c r="AD63" s="110">
        <v>189118.5</v>
      </c>
      <c r="AE63" s="110">
        <v>3755.4300000000003</v>
      </c>
      <c r="AF63" s="110"/>
      <c r="AG63" s="237"/>
      <c r="AJ63" s="365"/>
      <c r="AL63" s="365"/>
    </row>
    <row r="64" spans="1:46" x14ac:dyDescent="0.3">
      <c r="A64" s="19">
        <v>2023</v>
      </c>
      <c r="B64" s="20" t="s">
        <v>29</v>
      </c>
      <c r="C64" s="21" t="s">
        <v>121</v>
      </c>
      <c r="D64" s="110">
        <v>48961170</v>
      </c>
      <c r="E64" s="110">
        <v>95088</v>
      </c>
      <c r="F64" s="110">
        <v>706759</v>
      </c>
      <c r="G64" s="502"/>
      <c r="H64" s="110">
        <v>1156152</v>
      </c>
      <c r="I64" s="110">
        <v>133206</v>
      </c>
      <c r="J64" s="502"/>
      <c r="K64" s="502"/>
      <c r="L64" s="110">
        <f t="shared" si="21"/>
        <v>19368540</v>
      </c>
      <c r="M64" s="110">
        <f t="shared" si="19"/>
        <v>9678538</v>
      </c>
      <c r="N64" s="110">
        <f t="shared" si="20"/>
        <v>9690002</v>
      </c>
      <c r="O64" s="110">
        <v>2836410</v>
      </c>
      <c r="P64" s="110">
        <v>2803357</v>
      </c>
      <c r="Q64" s="110">
        <v>4594620</v>
      </c>
      <c r="R64" s="110">
        <v>4617739</v>
      </c>
      <c r="S64" s="110">
        <v>2247508</v>
      </c>
      <c r="T64" s="110">
        <v>2268906</v>
      </c>
      <c r="U64" s="110">
        <v>224046.59999999998</v>
      </c>
      <c r="V64" s="110">
        <v>2640.6</v>
      </c>
      <c r="W64" s="110">
        <v>3261.2999999999997</v>
      </c>
      <c r="X64" s="110">
        <v>401.4</v>
      </c>
      <c r="Y64" s="110">
        <v>65973</v>
      </c>
      <c r="Z64" s="110">
        <v>401.4</v>
      </c>
      <c r="AA64" s="110">
        <v>1320</v>
      </c>
      <c r="AB64" s="110">
        <f t="shared" si="22"/>
        <v>160960</v>
      </c>
      <c r="AC64" s="110">
        <v>80552.700000000012</v>
      </c>
      <c r="AD64" s="110">
        <v>80407.3</v>
      </c>
      <c r="AE64" s="110">
        <v>3340.8500000000004</v>
      </c>
      <c r="AF64" s="110"/>
      <c r="AG64" s="237"/>
      <c r="AJ64" s="365"/>
      <c r="AL64" s="365"/>
    </row>
    <row r="65" spans="1:46" x14ac:dyDescent="0.3">
      <c r="A65" s="19">
        <v>2023</v>
      </c>
      <c r="B65" s="20" t="s">
        <v>30</v>
      </c>
      <c r="C65" s="21" t="s">
        <v>121</v>
      </c>
      <c r="D65" s="110">
        <v>48641748</v>
      </c>
      <c r="E65" s="110">
        <v>72391</v>
      </c>
      <c r="F65" s="110">
        <v>675480</v>
      </c>
      <c r="G65" s="502"/>
      <c r="H65" s="110">
        <v>713486</v>
      </c>
      <c r="I65" s="110">
        <v>29134</v>
      </c>
      <c r="J65" s="502"/>
      <c r="K65" s="502"/>
      <c r="L65" s="110">
        <f t="shared" si="21"/>
        <v>18971998</v>
      </c>
      <c r="M65" s="110">
        <f t="shared" si="19"/>
        <v>18971870</v>
      </c>
      <c r="N65" s="110">
        <f t="shared" si="20"/>
        <v>128</v>
      </c>
      <c r="O65" s="110">
        <v>5594933</v>
      </c>
      <c r="P65" s="110">
        <v>29</v>
      </c>
      <c r="Q65" s="110">
        <v>8873451</v>
      </c>
      <c r="R65" s="110">
        <v>70</v>
      </c>
      <c r="S65" s="110">
        <v>4503486</v>
      </c>
      <c r="T65" s="110">
        <v>29</v>
      </c>
      <c r="U65" s="110">
        <v>222081.1</v>
      </c>
      <c r="V65" s="110">
        <v>3452.8999999999996</v>
      </c>
      <c r="W65" s="110">
        <v>64.099999999999994</v>
      </c>
      <c r="X65" s="110">
        <v>403.5</v>
      </c>
      <c r="Y65" s="110">
        <v>68146</v>
      </c>
      <c r="Z65" s="110">
        <v>403.5</v>
      </c>
      <c r="AA65" s="110">
        <v>1320</v>
      </c>
      <c r="AB65" s="110">
        <f t="shared" si="22"/>
        <v>151086</v>
      </c>
      <c r="AC65" s="110">
        <v>151006.79999999999</v>
      </c>
      <c r="AD65" s="110">
        <v>79.2</v>
      </c>
      <c r="AE65" s="110">
        <v>3589.5</v>
      </c>
      <c r="AF65" s="110"/>
      <c r="AG65" s="237"/>
      <c r="AJ65" s="365"/>
      <c r="AL65" s="365"/>
    </row>
    <row r="66" spans="1:46" x14ac:dyDescent="0.3">
      <c r="A66" s="22">
        <v>2023</v>
      </c>
      <c r="B66" s="23" t="s">
        <v>31</v>
      </c>
      <c r="C66" s="24" t="s">
        <v>121</v>
      </c>
      <c r="D66" s="111">
        <v>50706001</v>
      </c>
      <c r="E66" s="111">
        <v>59508</v>
      </c>
      <c r="F66" s="111">
        <v>651248</v>
      </c>
      <c r="G66" s="504"/>
      <c r="H66" s="111">
        <v>641753</v>
      </c>
      <c r="I66" s="111">
        <v>19382</v>
      </c>
      <c r="J66" s="504"/>
      <c r="K66" s="504"/>
      <c r="L66" s="111">
        <f t="shared" si="21"/>
        <v>18908433</v>
      </c>
      <c r="M66" s="111">
        <f t="shared" si="19"/>
        <v>18907942</v>
      </c>
      <c r="N66" s="111">
        <f t="shared" si="20"/>
        <v>491</v>
      </c>
      <c r="O66" s="111">
        <v>5523297</v>
      </c>
      <c r="P66" s="111">
        <v>27</v>
      </c>
      <c r="Q66" s="111">
        <v>8829485</v>
      </c>
      <c r="R66" s="111">
        <v>149</v>
      </c>
      <c r="S66" s="111">
        <v>4555160</v>
      </c>
      <c r="T66" s="111">
        <v>315</v>
      </c>
      <c r="U66" s="111">
        <v>222434.6</v>
      </c>
      <c r="V66" s="111">
        <v>2901.2999999999997</v>
      </c>
      <c r="W66" s="111"/>
      <c r="X66" s="111">
        <v>404.5</v>
      </c>
      <c r="Y66" s="111">
        <v>67859</v>
      </c>
      <c r="Z66" s="111">
        <v>404.5</v>
      </c>
      <c r="AA66" s="491">
        <v>1320</v>
      </c>
      <c r="AB66" s="111">
        <f t="shared" si="22"/>
        <v>145887</v>
      </c>
      <c r="AC66" s="111">
        <v>145885</v>
      </c>
      <c r="AD66" s="111">
        <v>2</v>
      </c>
      <c r="AE66" s="111">
        <v>3629.63</v>
      </c>
      <c r="AF66" s="111"/>
      <c r="AG66" s="238"/>
      <c r="AJ66" s="365"/>
      <c r="AL66" s="365"/>
    </row>
    <row r="67" spans="1:46" ht="15" customHeight="1" x14ac:dyDescent="0.3">
      <c r="A67" s="545" t="s">
        <v>81</v>
      </c>
      <c r="B67" s="545"/>
      <c r="C67" s="545"/>
      <c r="D67" s="171">
        <f t="shared" ref="D67:X67" si="23">SUM(D55:D66)</f>
        <v>630810016</v>
      </c>
      <c r="E67" s="171">
        <f t="shared" si="23"/>
        <v>1368852</v>
      </c>
      <c r="F67" s="171">
        <f t="shared" si="23"/>
        <v>8361324</v>
      </c>
      <c r="G67" s="171">
        <f t="shared" si="23"/>
        <v>0</v>
      </c>
      <c r="H67" s="171">
        <f t="shared" si="23"/>
        <v>13778784</v>
      </c>
      <c r="I67" s="171">
        <f t="shared" si="23"/>
        <v>1475907</v>
      </c>
      <c r="J67" s="171">
        <f t="shared" si="23"/>
        <v>0</v>
      </c>
      <c r="K67" s="171">
        <f t="shared" si="23"/>
        <v>0</v>
      </c>
      <c r="L67" s="171">
        <f t="shared" si="23"/>
        <v>245852721</v>
      </c>
      <c r="M67" s="171">
        <f t="shared" si="23"/>
        <v>153124361</v>
      </c>
      <c r="N67" s="171">
        <f t="shared" si="23"/>
        <v>92728360</v>
      </c>
      <c r="O67" s="166">
        <f t="shared" si="23"/>
        <v>44878518</v>
      </c>
      <c r="P67" s="166">
        <f t="shared" si="23"/>
        <v>26629690</v>
      </c>
      <c r="Q67" s="166">
        <f t="shared" si="23"/>
        <v>71615123</v>
      </c>
      <c r="R67" s="166">
        <f t="shared" si="23"/>
        <v>44517449</v>
      </c>
      <c r="S67" s="166">
        <f t="shared" si="23"/>
        <v>36630720</v>
      </c>
      <c r="T67" s="166">
        <f t="shared" si="23"/>
        <v>21581221</v>
      </c>
      <c r="U67" s="171">
        <f t="shared" si="23"/>
        <v>2612184.8000000003</v>
      </c>
      <c r="V67" s="171">
        <f t="shared" si="23"/>
        <v>26141.499999999996</v>
      </c>
      <c r="W67" s="171">
        <f t="shared" si="23"/>
        <v>17692.399999999998</v>
      </c>
      <c r="X67" s="171">
        <f t="shared" si="23"/>
        <v>4747</v>
      </c>
      <c r="Y67" s="171">
        <f t="shared" ref="Y67:AG67" si="24">SUM(Y55:Y66)</f>
        <v>869095</v>
      </c>
      <c r="Z67" s="171">
        <f t="shared" si="24"/>
        <v>4747</v>
      </c>
      <c r="AA67" s="171">
        <f t="shared" si="24"/>
        <v>15840</v>
      </c>
      <c r="AB67" s="171">
        <f t="shared" si="24"/>
        <v>1886683.9</v>
      </c>
      <c r="AC67" s="171">
        <f t="shared" si="24"/>
        <v>1185226</v>
      </c>
      <c r="AD67" s="171">
        <f t="shared" si="24"/>
        <v>701457.9</v>
      </c>
      <c r="AE67" s="171">
        <f t="shared" si="24"/>
        <v>42468.41</v>
      </c>
      <c r="AF67" s="162">
        <f t="shared" si="24"/>
        <v>0</v>
      </c>
      <c r="AG67" s="171">
        <f t="shared" si="24"/>
        <v>0</v>
      </c>
    </row>
    <row r="68" spans="1:46" ht="15" customHeight="1" x14ac:dyDescent="0.3">
      <c r="A68" s="476" t="s">
        <v>131</v>
      </c>
      <c r="B68" s="367"/>
      <c r="C68" s="367"/>
      <c r="D68" s="171"/>
      <c r="E68" s="171"/>
      <c r="F68" s="171"/>
      <c r="G68" s="171"/>
      <c r="H68" s="171"/>
      <c r="I68" s="171"/>
      <c r="J68" s="171"/>
      <c r="K68" s="171"/>
      <c r="L68" s="171"/>
      <c r="M68" s="171"/>
      <c r="N68" s="171"/>
      <c r="O68" s="166"/>
      <c r="P68" s="166"/>
      <c r="Q68" s="166"/>
      <c r="R68" s="166"/>
      <c r="S68" s="166"/>
      <c r="T68" s="166"/>
      <c r="U68" s="171"/>
      <c r="V68" s="171"/>
      <c r="W68" s="171"/>
      <c r="X68" s="171"/>
      <c r="Y68" s="171"/>
      <c r="Z68" s="171"/>
      <c r="AA68" s="171"/>
      <c r="AB68" s="171"/>
      <c r="AC68" s="171"/>
      <c r="AD68" s="171"/>
      <c r="AE68" s="171"/>
      <c r="AF68" s="162"/>
      <c r="AG68" s="171"/>
    </row>
    <row r="69" spans="1:46" x14ac:dyDescent="0.3">
      <c r="A69" s="365"/>
      <c r="B69" s="365"/>
      <c r="C69" s="285"/>
      <c r="D69" s="285"/>
      <c r="E69" s="285"/>
      <c r="F69" s="285"/>
      <c r="G69" s="285"/>
      <c r="H69" s="285"/>
      <c r="I69" s="285"/>
      <c r="J69" s="285"/>
      <c r="K69" s="285"/>
      <c r="L69" s="285"/>
      <c r="M69" s="285"/>
      <c r="N69" s="285"/>
      <c r="O69" s="285"/>
      <c r="P69" s="285"/>
      <c r="Q69" s="285"/>
      <c r="R69" s="285"/>
      <c r="S69" s="285"/>
      <c r="T69" s="285"/>
      <c r="U69" s="285"/>
      <c r="V69" s="285"/>
      <c r="W69" s="285"/>
      <c r="X69" s="285"/>
      <c r="Y69" s="285"/>
      <c r="Z69" s="285"/>
      <c r="AA69" s="285"/>
      <c r="AB69" s="285"/>
      <c r="AC69" s="285"/>
      <c r="AD69" s="285"/>
      <c r="AE69" s="285"/>
      <c r="AF69" s="285"/>
      <c r="AG69" s="285"/>
      <c r="AH69" s="285"/>
      <c r="AI69" s="285"/>
    </row>
    <row r="70" spans="1:46" s="330" customFormat="1" ht="48" x14ac:dyDescent="0.25">
      <c r="A70" s="6" t="s">
        <v>18</v>
      </c>
      <c r="B70" s="6" t="s">
        <v>19</v>
      </c>
      <c r="C70" s="161" t="s">
        <v>0</v>
      </c>
      <c r="D70" s="76" t="s">
        <v>128</v>
      </c>
      <c r="E70" s="97" t="s">
        <v>98</v>
      </c>
      <c r="F70" s="499" t="s">
        <v>158</v>
      </c>
      <c r="G70" s="499"/>
      <c r="H70" s="12" t="s">
        <v>104</v>
      </c>
      <c r="I70" s="12" t="s">
        <v>129</v>
      </c>
      <c r="J70" s="107" t="s">
        <v>1</v>
      </c>
      <c r="K70" s="107" t="s">
        <v>2</v>
      </c>
      <c r="L70" s="108" t="s">
        <v>46</v>
      </c>
      <c r="M70" s="13" t="s">
        <v>37</v>
      </c>
      <c r="N70" s="32" t="s">
        <v>38</v>
      </c>
      <c r="O70" s="159" t="s">
        <v>100</v>
      </c>
      <c r="P70" s="156" t="s">
        <v>107</v>
      </c>
      <c r="Q70" s="78" t="s">
        <v>82</v>
      </c>
      <c r="R70" s="78" t="s">
        <v>83</v>
      </c>
      <c r="S70" s="159" t="s">
        <v>102</v>
      </c>
      <c r="T70" s="156" t="s">
        <v>103</v>
      </c>
      <c r="U70" s="34" t="s">
        <v>3</v>
      </c>
      <c r="V70" s="83" t="s">
        <v>126</v>
      </c>
      <c r="W70" s="83" t="s">
        <v>127</v>
      </c>
      <c r="X70" s="34" t="s">
        <v>53</v>
      </c>
      <c r="Y70" s="34" t="s">
        <v>54</v>
      </c>
      <c r="Z70" s="34" t="s">
        <v>55</v>
      </c>
      <c r="AA70" s="447" t="s">
        <v>150</v>
      </c>
      <c r="AB70" s="34" t="s">
        <v>47</v>
      </c>
      <c r="AC70" s="34" t="s">
        <v>58</v>
      </c>
      <c r="AD70" s="34" t="s">
        <v>59</v>
      </c>
      <c r="AE70" s="35" t="s">
        <v>51</v>
      </c>
      <c r="AF70" s="35" t="s">
        <v>57</v>
      </c>
      <c r="AG70" s="35" t="s">
        <v>56</v>
      </c>
    </row>
    <row r="71" spans="1:46" x14ac:dyDescent="0.3">
      <c r="A71" s="16">
        <v>2022</v>
      </c>
      <c r="B71" s="17" t="s">
        <v>20</v>
      </c>
      <c r="C71" s="21" t="s">
        <v>121</v>
      </c>
      <c r="D71" s="109">
        <v>54738202</v>
      </c>
      <c r="E71" s="109">
        <v>33108</v>
      </c>
      <c r="F71" s="109">
        <v>862357</v>
      </c>
      <c r="G71" s="109"/>
      <c r="H71" s="109">
        <v>163173</v>
      </c>
      <c r="I71" s="109">
        <v>3369</v>
      </c>
      <c r="J71" s="109"/>
      <c r="K71" s="109"/>
      <c r="L71" s="109">
        <f>M71+N71</f>
        <v>20797597</v>
      </c>
      <c r="M71" s="109">
        <f t="shared" ref="M71:M82" si="25">O71+Q71+S71</f>
        <v>20762162</v>
      </c>
      <c r="N71" s="109">
        <f t="shared" ref="N71:N82" si="26">P71+R71+T71</f>
        <v>35435</v>
      </c>
      <c r="O71" s="109">
        <v>6049685</v>
      </c>
      <c r="P71" s="109">
        <v>9716</v>
      </c>
      <c r="Q71" s="109">
        <v>9662154</v>
      </c>
      <c r="R71" s="109">
        <v>17110</v>
      </c>
      <c r="S71" s="109">
        <v>5050323</v>
      </c>
      <c r="T71" s="109">
        <v>8609</v>
      </c>
      <c r="U71" s="109">
        <v>216193.6</v>
      </c>
      <c r="V71" s="109">
        <v>3487.8</v>
      </c>
      <c r="W71" s="109">
        <v>0</v>
      </c>
      <c r="X71" s="109">
        <v>680.3</v>
      </c>
      <c r="Y71" s="109">
        <v>177040</v>
      </c>
      <c r="Z71" s="109">
        <v>533.29999999999995</v>
      </c>
      <c r="AA71" s="451"/>
      <c r="AB71" s="109">
        <v>145424.00000000003</v>
      </c>
      <c r="AC71" s="109">
        <v>145146.40000000002</v>
      </c>
      <c r="AD71" s="109">
        <v>277.60000000000002</v>
      </c>
      <c r="AE71" s="109">
        <v>3734.19</v>
      </c>
      <c r="AF71" s="109"/>
      <c r="AG71" s="236"/>
      <c r="AI71" s="344"/>
      <c r="AJ71" s="344"/>
      <c r="AK71" s="344"/>
      <c r="AL71" s="344"/>
      <c r="AM71" s="344"/>
      <c r="AN71" s="344"/>
      <c r="AO71" s="344"/>
      <c r="AP71" s="344"/>
      <c r="AQ71" s="344"/>
      <c r="AR71" s="344"/>
      <c r="AS71" s="344"/>
      <c r="AT71" s="344"/>
    </row>
    <row r="72" spans="1:46" x14ac:dyDescent="0.3">
      <c r="A72" s="19">
        <v>2022</v>
      </c>
      <c r="B72" s="20" t="s">
        <v>21</v>
      </c>
      <c r="C72" s="21" t="s">
        <v>121</v>
      </c>
      <c r="D72" s="110">
        <v>58450463</v>
      </c>
      <c r="E72" s="110">
        <v>62612</v>
      </c>
      <c r="F72" s="110">
        <v>910804</v>
      </c>
      <c r="G72" s="110"/>
      <c r="H72" s="110">
        <v>271532</v>
      </c>
      <c r="I72" s="110">
        <v>13515</v>
      </c>
      <c r="J72" s="110"/>
      <c r="K72" s="110"/>
      <c r="L72" s="110">
        <f t="shared" ref="L72:L82" si="27">M72+N72</f>
        <v>21956890</v>
      </c>
      <c r="M72" s="110">
        <f t="shared" si="25"/>
        <v>21956889</v>
      </c>
      <c r="N72" s="110">
        <f t="shared" si="26"/>
        <v>1</v>
      </c>
      <c r="O72" s="110">
        <v>6416566</v>
      </c>
      <c r="P72" s="110">
        <v>0</v>
      </c>
      <c r="Q72" s="110">
        <v>10175346</v>
      </c>
      <c r="R72" s="110">
        <v>0</v>
      </c>
      <c r="S72" s="110">
        <v>5364977</v>
      </c>
      <c r="T72" s="110">
        <v>1</v>
      </c>
      <c r="U72" s="110">
        <v>243725.6</v>
      </c>
      <c r="V72" s="110">
        <v>4287.3</v>
      </c>
      <c r="W72" s="110">
        <v>0</v>
      </c>
      <c r="X72" s="110">
        <v>663.90000000000009</v>
      </c>
      <c r="Y72" s="110">
        <v>163722</v>
      </c>
      <c r="Z72" s="110">
        <v>531.6</v>
      </c>
      <c r="AA72" s="38"/>
      <c r="AB72" s="110">
        <v>164588.6</v>
      </c>
      <c r="AC72" s="110">
        <v>164588.6</v>
      </c>
      <c r="AD72" s="110">
        <v>0</v>
      </c>
      <c r="AE72" s="110">
        <v>3697.73</v>
      </c>
      <c r="AF72" s="110"/>
      <c r="AG72" s="237"/>
    </row>
    <row r="73" spans="1:46" x14ac:dyDescent="0.3">
      <c r="A73" s="19">
        <v>2022</v>
      </c>
      <c r="B73" s="20" t="s">
        <v>22</v>
      </c>
      <c r="C73" s="21" t="s">
        <v>121</v>
      </c>
      <c r="D73" s="110">
        <v>49907352</v>
      </c>
      <c r="E73" s="110">
        <v>87779</v>
      </c>
      <c r="F73" s="110">
        <v>768691</v>
      </c>
      <c r="G73" s="110"/>
      <c r="H73" s="110">
        <v>336846</v>
      </c>
      <c r="I73" s="110">
        <v>40989</v>
      </c>
      <c r="J73" s="110"/>
      <c r="K73" s="110"/>
      <c r="L73" s="110">
        <f t="shared" si="27"/>
        <v>18922820</v>
      </c>
      <c r="M73" s="110">
        <f t="shared" si="25"/>
        <v>18922816</v>
      </c>
      <c r="N73" s="110">
        <f t="shared" si="26"/>
        <v>4</v>
      </c>
      <c r="O73" s="110">
        <v>5547258</v>
      </c>
      <c r="P73" s="110">
        <v>0</v>
      </c>
      <c r="Q73" s="110">
        <v>8748642</v>
      </c>
      <c r="R73" s="110">
        <v>0</v>
      </c>
      <c r="S73" s="110">
        <v>4626916</v>
      </c>
      <c r="T73" s="110">
        <v>4</v>
      </c>
      <c r="U73" s="110">
        <v>211963.30000000002</v>
      </c>
      <c r="V73" s="110">
        <v>3109.2000000000003</v>
      </c>
      <c r="W73" s="110">
        <v>0</v>
      </c>
      <c r="X73" s="110">
        <v>660.8</v>
      </c>
      <c r="Y73" s="110">
        <v>168549</v>
      </c>
      <c r="Z73" s="110">
        <v>530.6</v>
      </c>
      <c r="AA73" s="38"/>
      <c r="AB73" s="110">
        <v>142374.19999999998</v>
      </c>
      <c r="AC73" s="110">
        <v>142374.19999999998</v>
      </c>
      <c r="AD73" s="110">
        <v>0</v>
      </c>
      <c r="AE73" s="110">
        <v>3345.56</v>
      </c>
      <c r="AF73" s="110"/>
      <c r="AG73" s="237"/>
    </row>
    <row r="74" spans="1:46" x14ac:dyDescent="0.3">
      <c r="A74" s="19">
        <v>2022</v>
      </c>
      <c r="B74" s="20" t="s">
        <v>23</v>
      </c>
      <c r="C74" s="21" t="s">
        <v>121</v>
      </c>
      <c r="D74" s="110">
        <v>49271950</v>
      </c>
      <c r="E74" s="110">
        <v>122672</v>
      </c>
      <c r="F74" s="110">
        <v>754746</v>
      </c>
      <c r="G74" s="110"/>
      <c r="H74" s="110">
        <v>386447</v>
      </c>
      <c r="I74" s="110">
        <v>75722</v>
      </c>
      <c r="J74" s="110"/>
      <c r="K74" s="110"/>
      <c r="L74" s="110">
        <f t="shared" si="27"/>
        <v>18835043</v>
      </c>
      <c r="M74" s="110">
        <f t="shared" si="25"/>
        <v>18822105</v>
      </c>
      <c r="N74" s="110">
        <f t="shared" si="26"/>
        <v>12938</v>
      </c>
      <c r="O74" s="110">
        <v>5568014</v>
      </c>
      <c r="P74" s="110">
        <v>3418</v>
      </c>
      <c r="Q74" s="110">
        <v>8708988</v>
      </c>
      <c r="R74" s="110">
        <v>6179</v>
      </c>
      <c r="S74" s="110">
        <v>4545103</v>
      </c>
      <c r="T74" s="110">
        <v>3341</v>
      </c>
      <c r="U74" s="110">
        <v>212017.2</v>
      </c>
      <c r="V74" s="110">
        <v>3185.7</v>
      </c>
      <c r="W74" s="110">
        <v>0</v>
      </c>
      <c r="X74" s="110">
        <v>660.09999999999991</v>
      </c>
      <c r="Y74" s="110">
        <v>183498</v>
      </c>
      <c r="Z74" s="110">
        <v>529.9</v>
      </c>
      <c r="AA74" s="38"/>
      <c r="AB74" s="110">
        <v>139867.69999999998</v>
      </c>
      <c r="AC74" s="110">
        <v>139760.9</v>
      </c>
      <c r="AD74" s="110">
        <v>106.8</v>
      </c>
      <c r="AE74" s="110">
        <v>3547.32</v>
      </c>
      <c r="AF74" s="110"/>
      <c r="AG74" s="237"/>
    </row>
    <row r="75" spans="1:46" x14ac:dyDescent="0.3">
      <c r="A75" s="19">
        <v>2022</v>
      </c>
      <c r="B75" s="20" t="s">
        <v>24</v>
      </c>
      <c r="C75" s="21" t="s">
        <v>121</v>
      </c>
      <c r="D75" s="110">
        <v>47152776</v>
      </c>
      <c r="E75" s="110">
        <v>135122</v>
      </c>
      <c r="F75" s="110">
        <v>687947</v>
      </c>
      <c r="G75" s="110"/>
      <c r="H75" s="110">
        <v>1058289</v>
      </c>
      <c r="I75" s="110">
        <v>192663</v>
      </c>
      <c r="J75" s="110"/>
      <c r="K75" s="110"/>
      <c r="L75" s="110">
        <f t="shared" si="27"/>
        <v>18850374</v>
      </c>
      <c r="M75" s="110">
        <f t="shared" si="25"/>
        <v>18814079</v>
      </c>
      <c r="N75" s="110">
        <f t="shared" si="26"/>
        <v>36295</v>
      </c>
      <c r="O75" s="110">
        <v>5544396</v>
      </c>
      <c r="P75" s="110">
        <v>10689</v>
      </c>
      <c r="Q75" s="110">
        <v>8854603</v>
      </c>
      <c r="R75" s="110">
        <v>17847</v>
      </c>
      <c r="S75" s="110">
        <v>4415080</v>
      </c>
      <c r="T75" s="110">
        <v>7759</v>
      </c>
      <c r="U75" s="110">
        <v>213307.9</v>
      </c>
      <c r="V75" s="110">
        <v>3594.8999999999996</v>
      </c>
      <c r="W75" s="110">
        <v>64.8</v>
      </c>
      <c r="X75" s="110">
        <v>666.3</v>
      </c>
      <c r="Y75" s="110">
        <v>152866</v>
      </c>
      <c r="Z75" s="110">
        <v>536.1</v>
      </c>
      <c r="AA75" s="38"/>
      <c r="AB75" s="110">
        <v>164233.79999999999</v>
      </c>
      <c r="AC75" s="110">
        <v>164018.29999999999</v>
      </c>
      <c r="AD75" s="110">
        <v>215.5</v>
      </c>
      <c r="AE75" s="110">
        <v>3338.8700000000003</v>
      </c>
      <c r="AF75" s="110"/>
      <c r="AG75" s="237"/>
    </row>
    <row r="76" spans="1:46" x14ac:dyDescent="0.3">
      <c r="A76" s="19">
        <v>2022</v>
      </c>
      <c r="B76" s="20" t="s">
        <v>25</v>
      </c>
      <c r="C76" s="21" t="s">
        <v>121</v>
      </c>
      <c r="D76" s="110">
        <v>52304354</v>
      </c>
      <c r="E76" s="110">
        <v>141664</v>
      </c>
      <c r="F76" s="110">
        <v>708481</v>
      </c>
      <c r="G76" s="110"/>
      <c r="H76" s="110">
        <v>1356881</v>
      </c>
      <c r="I76" s="110">
        <v>160036</v>
      </c>
      <c r="J76" s="110"/>
      <c r="K76" s="110"/>
      <c r="L76" s="110">
        <f t="shared" si="27"/>
        <v>20880176</v>
      </c>
      <c r="M76" s="110">
        <f t="shared" si="25"/>
        <v>8832930</v>
      </c>
      <c r="N76" s="110">
        <f t="shared" si="26"/>
        <v>12047246</v>
      </c>
      <c r="O76" s="110">
        <v>2573668</v>
      </c>
      <c r="P76" s="110">
        <v>3479417</v>
      </c>
      <c r="Q76" s="110">
        <v>4176463</v>
      </c>
      <c r="R76" s="110">
        <v>5799314</v>
      </c>
      <c r="S76" s="110">
        <v>2082799</v>
      </c>
      <c r="T76" s="110">
        <v>2768515</v>
      </c>
      <c r="U76" s="110">
        <v>211236.7</v>
      </c>
      <c r="V76" s="110">
        <v>3831.6</v>
      </c>
      <c r="W76" s="110">
        <v>2837.8</v>
      </c>
      <c r="X76" s="110">
        <v>518.4</v>
      </c>
      <c r="Y76" s="110">
        <v>133106</v>
      </c>
      <c r="Z76" s="110">
        <v>388.2</v>
      </c>
      <c r="AA76" s="110">
        <v>1770</v>
      </c>
      <c r="AB76" s="110">
        <v>173153.2</v>
      </c>
      <c r="AC76" s="110">
        <v>84337.3</v>
      </c>
      <c r="AD76" s="110">
        <v>88815.9</v>
      </c>
      <c r="AE76" s="110">
        <v>3500.1800000000003</v>
      </c>
      <c r="AF76" s="110"/>
      <c r="AG76" s="237"/>
      <c r="AJ76" s="171"/>
    </row>
    <row r="77" spans="1:46" x14ac:dyDescent="0.3">
      <c r="A77" s="19">
        <v>2022</v>
      </c>
      <c r="B77" s="20" t="s">
        <v>26</v>
      </c>
      <c r="C77" s="21" t="s">
        <v>121</v>
      </c>
      <c r="D77" s="110">
        <v>60027397</v>
      </c>
      <c r="E77" s="110">
        <v>223042</v>
      </c>
      <c r="F77" s="110">
        <v>834782</v>
      </c>
      <c r="G77" s="110"/>
      <c r="H77" s="110">
        <v>1748921</v>
      </c>
      <c r="I77" s="110">
        <v>196475</v>
      </c>
      <c r="J77" s="110"/>
      <c r="K77" s="110"/>
      <c r="L77" s="110">
        <f t="shared" si="27"/>
        <v>24292331</v>
      </c>
      <c r="M77" s="110">
        <f t="shared" si="25"/>
        <v>106400</v>
      </c>
      <c r="N77" s="110">
        <f t="shared" si="26"/>
        <v>24185931</v>
      </c>
      <c r="O77" s="110">
        <v>16153</v>
      </c>
      <c r="P77" s="110">
        <v>6925131</v>
      </c>
      <c r="Q77" s="110">
        <v>42233</v>
      </c>
      <c r="R77" s="110">
        <v>11611761</v>
      </c>
      <c r="S77" s="110">
        <v>48014</v>
      </c>
      <c r="T77" s="110">
        <v>5649039</v>
      </c>
      <c r="U77" s="110">
        <v>217100.4</v>
      </c>
      <c r="V77" s="110">
        <v>837.8</v>
      </c>
      <c r="W77" s="110">
        <v>4183.8</v>
      </c>
      <c r="X77" s="110">
        <v>519.09999999999991</v>
      </c>
      <c r="Y77" s="110">
        <v>166589</v>
      </c>
      <c r="Z77" s="110">
        <v>388.9</v>
      </c>
      <c r="AA77" s="110">
        <v>1770</v>
      </c>
      <c r="AB77" s="110">
        <v>177987.3</v>
      </c>
      <c r="AC77" s="110">
        <v>2098.9</v>
      </c>
      <c r="AD77" s="110">
        <v>175888.4</v>
      </c>
      <c r="AE77" s="110">
        <v>3609.14</v>
      </c>
      <c r="AF77" s="110"/>
      <c r="AG77" s="237"/>
      <c r="AJ77" s="171"/>
    </row>
    <row r="78" spans="1:46" x14ac:dyDescent="0.3">
      <c r="A78" s="19">
        <v>2022</v>
      </c>
      <c r="B78" s="20" t="s">
        <v>27</v>
      </c>
      <c r="C78" s="21" t="s">
        <v>121</v>
      </c>
      <c r="D78" s="110">
        <v>57405780</v>
      </c>
      <c r="E78" s="110">
        <v>195904</v>
      </c>
      <c r="F78" s="110">
        <v>833144</v>
      </c>
      <c r="G78" s="110"/>
      <c r="H78" s="110">
        <v>1816429</v>
      </c>
      <c r="I78" s="110">
        <v>174968</v>
      </c>
      <c r="J78" s="110"/>
      <c r="K78" s="110"/>
      <c r="L78" s="110">
        <f t="shared" si="27"/>
        <v>23295524</v>
      </c>
      <c r="M78" s="110">
        <f t="shared" si="25"/>
        <v>926</v>
      </c>
      <c r="N78" s="110">
        <f t="shared" si="26"/>
        <v>23294598</v>
      </c>
      <c r="O78" s="110">
        <v>304</v>
      </c>
      <c r="P78" s="110">
        <v>6697926</v>
      </c>
      <c r="Q78" s="110">
        <v>466</v>
      </c>
      <c r="R78" s="110">
        <v>11162236</v>
      </c>
      <c r="S78" s="110">
        <v>156</v>
      </c>
      <c r="T78" s="110">
        <v>5434436</v>
      </c>
      <c r="U78" s="110">
        <v>213137.7</v>
      </c>
      <c r="V78" s="110">
        <v>0</v>
      </c>
      <c r="W78" s="110">
        <v>3772.2</v>
      </c>
      <c r="X78" s="110">
        <v>519.09999999999991</v>
      </c>
      <c r="Y78" s="110">
        <v>142682</v>
      </c>
      <c r="Z78" s="110">
        <v>388.9</v>
      </c>
      <c r="AA78" s="110">
        <v>1690</v>
      </c>
      <c r="AB78" s="110">
        <v>169002.5</v>
      </c>
      <c r="AC78" s="110">
        <v>16.5</v>
      </c>
      <c r="AD78" s="110">
        <v>168986</v>
      </c>
      <c r="AE78" s="110">
        <v>3446.88</v>
      </c>
      <c r="AF78" s="110"/>
      <c r="AG78" s="237"/>
      <c r="AJ78" s="171"/>
    </row>
    <row r="79" spans="1:46" x14ac:dyDescent="0.3">
      <c r="A79" s="19">
        <v>2022</v>
      </c>
      <c r="B79" s="20" t="s">
        <v>28</v>
      </c>
      <c r="C79" s="21" t="s">
        <v>121</v>
      </c>
      <c r="D79" s="110">
        <v>57556311</v>
      </c>
      <c r="E79" s="110">
        <v>180140</v>
      </c>
      <c r="F79" s="110">
        <v>1019095</v>
      </c>
      <c r="G79" s="110"/>
      <c r="H79" s="110">
        <v>1562421</v>
      </c>
      <c r="I79" s="110">
        <v>113237</v>
      </c>
      <c r="J79" s="110"/>
      <c r="K79" s="110"/>
      <c r="L79" s="110">
        <f t="shared" si="27"/>
        <v>23295653</v>
      </c>
      <c r="M79" s="110">
        <f t="shared" si="25"/>
        <v>30359</v>
      </c>
      <c r="N79" s="110">
        <f t="shared" si="26"/>
        <v>23265294</v>
      </c>
      <c r="O79" s="110">
        <v>9509</v>
      </c>
      <c r="P79" s="110">
        <v>6673344</v>
      </c>
      <c r="Q79" s="110">
        <v>14653</v>
      </c>
      <c r="R79" s="110">
        <v>11173435</v>
      </c>
      <c r="S79" s="110">
        <v>6197</v>
      </c>
      <c r="T79" s="110">
        <v>5418515</v>
      </c>
      <c r="U79" s="110">
        <v>212849</v>
      </c>
      <c r="V79" s="110">
        <v>88.7</v>
      </c>
      <c r="W79" s="110">
        <v>3641.7</v>
      </c>
      <c r="X79" s="110">
        <v>519.09999999999991</v>
      </c>
      <c r="Y79" s="110">
        <v>149483</v>
      </c>
      <c r="Z79" s="110">
        <v>388.9</v>
      </c>
      <c r="AA79" s="110">
        <v>1690</v>
      </c>
      <c r="AB79" s="110">
        <v>166332.40000000002</v>
      </c>
      <c r="AC79" s="110">
        <v>509.6</v>
      </c>
      <c r="AD79" s="110">
        <v>165822.80000000002</v>
      </c>
      <c r="AE79" s="110">
        <v>3695.2</v>
      </c>
      <c r="AF79" s="110"/>
      <c r="AG79" s="237"/>
      <c r="AJ79" s="171"/>
    </row>
    <row r="80" spans="1:46" x14ac:dyDescent="0.3">
      <c r="A80" s="19">
        <v>2022</v>
      </c>
      <c r="B80" s="20" t="s">
        <v>29</v>
      </c>
      <c r="C80" s="21" t="s">
        <v>121</v>
      </c>
      <c r="D80" s="110">
        <v>47092592</v>
      </c>
      <c r="E80" s="110">
        <v>109832</v>
      </c>
      <c r="F80" s="110">
        <v>843712</v>
      </c>
      <c r="G80" s="110"/>
      <c r="H80" s="110">
        <v>1200362</v>
      </c>
      <c r="I80" s="110">
        <v>100202</v>
      </c>
      <c r="J80" s="110"/>
      <c r="K80" s="110"/>
      <c r="L80" s="110">
        <f t="shared" si="27"/>
        <v>18690172</v>
      </c>
      <c r="M80" s="110">
        <f t="shared" si="25"/>
        <v>9728773</v>
      </c>
      <c r="N80" s="110">
        <f t="shared" si="26"/>
        <v>8961399</v>
      </c>
      <c r="O80" s="110">
        <v>2856000</v>
      </c>
      <c r="P80" s="110">
        <v>2578525</v>
      </c>
      <c r="Q80" s="110">
        <v>4591407</v>
      </c>
      <c r="R80" s="110">
        <v>4248043</v>
      </c>
      <c r="S80" s="110">
        <v>2281366</v>
      </c>
      <c r="T80" s="110">
        <v>2134831</v>
      </c>
      <c r="U80" s="110">
        <v>214382.2</v>
      </c>
      <c r="V80" s="110">
        <v>3117.8</v>
      </c>
      <c r="W80" s="110">
        <v>4173.3999999999996</v>
      </c>
      <c r="X80" s="110">
        <v>520.29999999999995</v>
      </c>
      <c r="Y80" s="110">
        <v>114103</v>
      </c>
      <c r="Z80" s="110">
        <v>390.1</v>
      </c>
      <c r="AA80" s="110">
        <v>1690</v>
      </c>
      <c r="AB80" s="110">
        <v>152812.9</v>
      </c>
      <c r="AC80" s="110">
        <v>84415.2</v>
      </c>
      <c r="AD80" s="110">
        <v>68397.7</v>
      </c>
      <c r="AE80" s="110">
        <v>3429.14</v>
      </c>
      <c r="AF80" s="110"/>
      <c r="AG80" s="237"/>
      <c r="AJ80" s="171"/>
    </row>
    <row r="81" spans="1:46" x14ac:dyDescent="0.3">
      <c r="A81" s="19">
        <v>2022</v>
      </c>
      <c r="B81" s="20" t="s">
        <v>30</v>
      </c>
      <c r="C81" s="21" t="s">
        <v>121</v>
      </c>
      <c r="D81" s="110">
        <v>46259955</v>
      </c>
      <c r="E81" s="110">
        <v>73514</v>
      </c>
      <c r="F81" s="110">
        <v>697175</v>
      </c>
      <c r="G81" s="110"/>
      <c r="H81" s="110">
        <v>1027151</v>
      </c>
      <c r="I81" s="110">
        <v>131413</v>
      </c>
      <c r="J81" s="110"/>
      <c r="K81" s="110"/>
      <c r="L81" s="110">
        <f t="shared" si="27"/>
        <v>17799025</v>
      </c>
      <c r="M81" s="110">
        <f t="shared" si="25"/>
        <v>17777841</v>
      </c>
      <c r="N81" s="110">
        <f t="shared" si="26"/>
        <v>21184</v>
      </c>
      <c r="O81" s="110">
        <v>5191663</v>
      </c>
      <c r="P81" s="110">
        <v>6726</v>
      </c>
      <c r="Q81" s="110">
        <v>8342940</v>
      </c>
      <c r="R81" s="110">
        <v>9762</v>
      </c>
      <c r="S81" s="110">
        <v>4243238</v>
      </c>
      <c r="T81" s="110">
        <v>4696</v>
      </c>
      <c r="U81" s="110">
        <v>214517.3</v>
      </c>
      <c r="V81" s="110">
        <v>3949.1000000000004</v>
      </c>
      <c r="W81" s="110">
        <v>0</v>
      </c>
      <c r="X81" s="110">
        <v>521.5</v>
      </c>
      <c r="Y81" s="110">
        <v>124683</v>
      </c>
      <c r="Z81" s="110">
        <v>391.3</v>
      </c>
      <c r="AA81" s="110">
        <v>1320</v>
      </c>
      <c r="AB81" s="110">
        <v>145008.20000000001</v>
      </c>
      <c r="AC81" s="110">
        <v>144858.30000000002</v>
      </c>
      <c r="AD81" s="110">
        <v>149.9</v>
      </c>
      <c r="AE81" s="110">
        <v>3466.4300000000003</v>
      </c>
      <c r="AF81" s="110"/>
      <c r="AG81" s="237"/>
      <c r="AJ81" s="171"/>
    </row>
    <row r="82" spans="1:46" x14ac:dyDescent="0.3">
      <c r="A82" s="22">
        <v>2022</v>
      </c>
      <c r="B82" s="23" t="s">
        <v>31</v>
      </c>
      <c r="C82" s="24" t="s">
        <v>121</v>
      </c>
      <c r="D82" s="111">
        <v>51249092</v>
      </c>
      <c r="E82" s="111">
        <v>29449</v>
      </c>
      <c r="F82" s="111">
        <v>784075</v>
      </c>
      <c r="G82" s="111"/>
      <c r="H82" s="111">
        <v>669817</v>
      </c>
      <c r="I82" s="111">
        <v>42661</v>
      </c>
      <c r="J82" s="111"/>
      <c r="K82" s="111"/>
      <c r="L82" s="111">
        <f t="shared" si="27"/>
        <v>19229202</v>
      </c>
      <c r="M82" s="111">
        <f t="shared" si="25"/>
        <v>19189396</v>
      </c>
      <c r="N82" s="111">
        <f t="shared" si="26"/>
        <v>39806</v>
      </c>
      <c r="O82" s="111">
        <v>5593158</v>
      </c>
      <c r="P82" s="111">
        <v>10930</v>
      </c>
      <c r="Q82" s="111">
        <v>8952312</v>
      </c>
      <c r="R82" s="111">
        <v>19049</v>
      </c>
      <c r="S82" s="111">
        <v>4643926</v>
      </c>
      <c r="T82" s="111">
        <v>9827</v>
      </c>
      <c r="U82" s="111">
        <v>215252.4</v>
      </c>
      <c r="V82" s="111">
        <v>3135.1</v>
      </c>
      <c r="W82" s="111">
        <v>0</v>
      </c>
      <c r="X82" s="111">
        <v>523.70000000000005</v>
      </c>
      <c r="Y82" s="111">
        <v>93645</v>
      </c>
      <c r="Z82" s="111">
        <v>393.5</v>
      </c>
      <c r="AA82" s="491">
        <v>1690</v>
      </c>
      <c r="AB82" s="111">
        <v>143397.29999999999</v>
      </c>
      <c r="AC82" s="111">
        <v>143081</v>
      </c>
      <c r="AD82" s="111">
        <v>316.3</v>
      </c>
      <c r="AE82" s="111">
        <v>3552.6000000000004</v>
      </c>
      <c r="AF82" s="111"/>
      <c r="AG82" s="238"/>
      <c r="AJ82" s="171"/>
    </row>
    <row r="83" spans="1:46" ht="15" customHeight="1" x14ac:dyDescent="0.3">
      <c r="A83" s="545" t="s">
        <v>81</v>
      </c>
      <c r="B83" s="545"/>
      <c r="C83" s="545"/>
      <c r="D83" s="171">
        <f t="shared" ref="D83:AG83" si="28">SUM(D71:D82)</f>
        <v>631416224</v>
      </c>
      <c r="E83" s="171">
        <f t="shared" si="28"/>
        <v>1394838</v>
      </c>
      <c r="F83" s="171">
        <f t="shared" si="28"/>
        <v>9705009</v>
      </c>
      <c r="G83" s="171">
        <f t="shared" si="28"/>
        <v>0</v>
      </c>
      <c r="H83" s="171">
        <f t="shared" si="28"/>
        <v>11598269</v>
      </c>
      <c r="I83" s="171">
        <f t="shared" si="28"/>
        <v>1245250</v>
      </c>
      <c r="J83" s="171">
        <f t="shared" si="28"/>
        <v>0</v>
      </c>
      <c r="K83" s="171">
        <f t="shared" si="28"/>
        <v>0</v>
      </c>
      <c r="L83" s="171">
        <f t="shared" si="28"/>
        <v>246844807</v>
      </c>
      <c r="M83" s="171">
        <f t="shared" si="28"/>
        <v>154944676</v>
      </c>
      <c r="N83" s="171">
        <f t="shared" si="28"/>
        <v>91900131</v>
      </c>
      <c r="O83" s="166">
        <f t="shared" si="28"/>
        <v>45366374</v>
      </c>
      <c r="P83" s="166">
        <f t="shared" si="28"/>
        <v>26395822</v>
      </c>
      <c r="Q83" s="166">
        <f t="shared" si="28"/>
        <v>72270207</v>
      </c>
      <c r="R83" s="166">
        <f t="shared" si="28"/>
        <v>44064736</v>
      </c>
      <c r="S83" s="166">
        <f t="shared" si="28"/>
        <v>37308095</v>
      </c>
      <c r="T83" s="166">
        <f t="shared" si="28"/>
        <v>21439573</v>
      </c>
      <c r="U83" s="171">
        <f t="shared" si="28"/>
        <v>2595683.2999999993</v>
      </c>
      <c r="V83" s="171">
        <f t="shared" si="28"/>
        <v>32625</v>
      </c>
      <c r="W83" s="171">
        <f t="shared" si="28"/>
        <v>18673.699999999997</v>
      </c>
      <c r="X83" s="171">
        <f t="shared" si="28"/>
        <v>6972.6</v>
      </c>
      <c r="Y83" s="171">
        <f t="shared" si="28"/>
        <v>1769966</v>
      </c>
      <c r="Z83" s="171">
        <f t="shared" si="28"/>
        <v>5391.3</v>
      </c>
      <c r="AA83" s="171">
        <f t="shared" si="28"/>
        <v>11620</v>
      </c>
      <c r="AB83" s="171">
        <f t="shared" si="28"/>
        <v>1884182.1</v>
      </c>
      <c r="AC83" s="171">
        <f t="shared" si="28"/>
        <v>1215205.2</v>
      </c>
      <c r="AD83" s="171">
        <f t="shared" si="28"/>
        <v>668976.9</v>
      </c>
      <c r="AE83" s="171">
        <f t="shared" si="28"/>
        <v>42363.24</v>
      </c>
      <c r="AF83" s="162">
        <f t="shared" si="28"/>
        <v>0</v>
      </c>
      <c r="AG83" s="171">
        <f t="shared" si="28"/>
        <v>0</v>
      </c>
    </row>
    <row r="84" spans="1:46" x14ac:dyDescent="0.3">
      <c r="A84" s="365"/>
      <c r="B84" s="365"/>
      <c r="C84" s="285"/>
      <c r="D84" s="285"/>
      <c r="E84" s="285"/>
      <c r="F84" s="285"/>
      <c r="G84" s="285"/>
      <c r="H84" s="285"/>
      <c r="I84" s="285"/>
      <c r="J84" s="285"/>
      <c r="K84" s="285"/>
      <c r="L84" s="285"/>
      <c r="M84" s="285"/>
      <c r="N84" s="285"/>
      <c r="O84" s="285"/>
      <c r="P84" s="285"/>
      <c r="Q84" s="285"/>
      <c r="R84" s="285"/>
      <c r="S84" s="285"/>
      <c r="T84" s="285"/>
      <c r="U84" s="285"/>
      <c r="V84" s="285"/>
      <c r="W84" s="285"/>
      <c r="X84" s="285"/>
      <c r="Y84" s="285"/>
      <c r="Z84" s="285"/>
      <c r="AA84" s="285"/>
      <c r="AB84" s="285"/>
      <c r="AC84" s="285"/>
      <c r="AD84" s="285"/>
      <c r="AE84" s="285"/>
      <c r="AF84" s="285"/>
      <c r="AG84" s="285"/>
      <c r="AH84" s="285"/>
      <c r="AI84" s="285"/>
    </row>
    <row r="85" spans="1:46" s="330" customFormat="1" ht="48" x14ac:dyDescent="0.25">
      <c r="A85" s="6" t="s">
        <v>18</v>
      </c>
      <c r="B85" s="6" t="s">
        <v>19</v>
      </c>
      <c r="C85" s="161" t="s">
        <v>0</v>
      </c>
      <c r="D85" s="12" t="s">
        <v>128</v>
      </c>
      <c r="E85" s="12" t="s">
        <v>98</v>
      </c>
      <c r="F85" s="499" t="s">
        <v>158</v>
      </c>
      <c r="G85" s="499"/>
      <c r="H85" s="12" t="s">
        <v>130</v>
      </c>
      <c r="I85" s="12"/>
      <c r="J85" s="107" t="s">
        <v>1</v>
      </c>
      <c r="K85" s="107" t="s">
        <v>2</v>
      </c>
      <c r="L85" s="108" t="s">
        <v>46</v>
      </c>
      <c r="M85" s="13" t="s">
        <v>37</v>
      </c>
      <c r="N85" s="32" t="s">
        <v>38</v>
      </c>
      <c r="O85" s="159" t="s">
        <v>100</v>
      </c>
      <c r="P85" s="156" t="s">
        <v>107</v>
      </c>
      <c r="Q85" s="78" t="s">
        <v>82</v>
      </c>
      <c r="R85" s="78" t="s">
        <v>83</v>
      </c>
      <c r="S85" s="159" t="s">
        <v>102</v>
      </c>
      <c r="T85" s="156" t="s">
        <v>103</v>
      </c>
      <c r="U85" s="34" t="s">
        <v>3</v>
      </c>
      <c r="V85" s="83" t="s">
        <v>126</v>
      </c>
      <c r="W85" s="83" t="s">
        <v>127</v>
      </c>
      <c r="X85" s="34" t="s">
        <v>53</v>
      </c>
      <c r="Y85" s="34" t="s">
        <v>54</v>
      </c>
      <c r="Z85" s="34" t="s">
        <v>55</v>
      </c>
      <c r="AA85" s="34"/>
      <c r="AB85" s="34" t="s">
        <v>47</v>
      </c>
      <c r="AC85" s="34" t="s">
        <v>58</v>
      </c>
      <c r="AD85" s="34" t="s">
        <v>59</v>
      </c>
      <c r="AE85" s="35" t="s">
        <v>51</v>
      </c>
      <c r="AF85" s="35" t="s">
        <v>57</v>
      </c>
      <c r="AG85" s="35" t="s">
        <v>56</v>
      </c>
    </row>
    <row r="86" spans="1:46" x14ac:dyDescent="0.3">
      <c r="A86" s="16">
        <v>2021</v>
      </c>
      <c r="B86" s="17" t="s">
        <v>20</v>
      </c>
      <c r="C86" s="21" t="s">
        <v>121</v>
      </c>
      <c r="D86" s="109">
        <v>51426001</v>
      </c>
      <c r="E86" s="109">
        <v>21893</v>
      </c>
      <c r="F86" s="109">
        <v>892607</v>
      </c>
      <c r="G86" s="109"/>
      <c r="H86" s="109">
        <v>42789</v>
      </c>
      <c r="I86" s="109"/>
      <c r="J86" s="109">
        <v>51426001</v>
      </c>
      <c r="K86" s="109"/>
      <c r="L86" s="109">
        <f>M86+N86</f>
        <v>18256872</v>
      </c>
      <c r="M86" s="109">
        <f t="shared" ref="M86:M97" si="29">O86+Q86+S86</f>
        <v>18256872</v>
      </c>
      <c r="N86" s="109">
        <f t="shared" ref="N86:N97" si="30">P86+R86+T86</f>
        <v>0</v>
      </c>
      <c r="O86" s="109">
        <v>5298427</v>
      </c>
      <c r="P86" s="109"/>
      <c r="Q86" s="109">
        <v>8517669</v>
      </c>
      <c r="R86" s="109"/>
      <c r="S86" s="109">
        <v>4440776</v>
      </c>
      <c r="T86" s="109"/>
      <c r="U86" s="109">
        <v>138014.9</v>
      </c>
      <c r="V86" s="109"/>
      <c r="W86" s="109"/>
      <c r="X86" s="109">
        <v>1275.2</v>
      </c>
      <c r="Y86" s="109">
        <v>397662</v>
      </c>
      <c r="Z86" s="109">
        <v>903.5</v>
      </c>
      <c r="AA86" s="109"/>
      <c r="AB86" s="109">
        <v>132062.9</v>
      </c>
      <c r="AC86" s="109">
        <v>132062.9</v>
      </c>
      <c r="AD86" s="109"/>
      <c r="AE86" s="109">
        <v>3480</v>
      </c>
      <c r="AF86" s="109"/>
      <c r="AG86" s="236"/>
      <c r="AI86" s="344"/>
      <c r="AJ86" s="344"/>
      <c r="AK86" s="344"/>
      <c r="AL86" s="344"/>
      <c r="AM86" s="344"/>
      <c r="AN86" s="344"/>
      <c r="AO86" s="344"/>
      <c r="AP86" s="344"/>
      <c r="AQ86" s="344"/>
      <c r="AR86" s="344"/>
      <c r="AS86" s="344"/>
      <c r="AT86" s="344"/>
    </row>
    <row r="87" spans="1:46" x14ac:dyDescent="0.3">
      <c r="A87" s="19">
        <v>2021</v>
      </c>
      <c r="B87" s="20" t="s">
        <v>21</v>
      </c>
      <c r="C87" s="21" t="s">
        <v>121</v>
      </c>
      <c r="D87" s="110">
        <v>48713222</v>
      </c>
      <c r="E87" s="110">
        <v>25622</v>
      </c>
      <c r="F87" s="110">
        <v>857731</v>
      </c>
      <c r="G87" s="110"/>
      <c r="H87" s="110">
        <v>172621</v>
      </c>
      <c r="I87" s="110"/>
      <c r="J87" s="110">
        <v>48713222</v>
      </c>
      <c r="K87" s="110"/>
      <c r="L87" s="110">
        <f t="shared" ref="L87:L97" si="31">M87+N87</f>
        <v>18244166</v>
      </c>
      <c r="M87" s="110">
        <f t="shared" si="29"/>
        <v>18244166</v>
      </c>
      <c r="N87" s="110">
        <f t="shared" si="30"/>
        <v>0</v>
      </c>
      <c r="O87" s="110">
        <v>5322331</v>
      </c>
      <c r="P87" s="110"/>
      <c r="Q87" s="110">
        <v>8451349</v>
      </c>
      <c r="R87" s="110"/>
      <c r="S87" s="110">
        <v>4470486</v>
      </c>
      <c r="T87" s="110"/>
      <c r="U87" s="110">
        <v>142205.70000000001</v>
      </c>
      <c r="V87" s="110"/>
      <c r="W87" s="110"/>
      <c r="X87" s="110">
        <v>929.6</v>
      </c>
      <c r="Y87" s="110">
        <v>173165</v>
      </c>
      <c r="Z87" s="110">
        <v>557.9</v>
      </c>
      <c r="AA87" s="110"/>
      <c r="AB87" s="110">
        <v>135710.6</v>
      </c>
      <c r="AC87" s="110">
        <v>135710.6</v>
      </c>
      <c r="AD87" s="110"/>
      <c r="AE87" s="110">
        <v>3475</v>
      </c>
      <c r="AF87" s="110"/>
      <c r="AG87" s="237"/>
    </row>
    <row r="88" spans="1:46" x14ac:dyDescent="0.3">
      <c r="A88" s="19">
        <v>2021</v>
      </c>
      <c r="B88" s="20" t="s">
        <v>22</v>
      </c>
      <c r="C88" s="21" t="s">
        <v>121</v>
      </c>
      <c r="D88" s="110">
        <v>48082948</v>
      </c>
      <c r="E88" s="110">
        <v>65825</v>
      </c>
      <c r="F88" s="110">
        <v>783011</v>
      </c>
      <c r="G88" s="110"/>
      <c r="H88" s="110">
        <v>232107</v>
      </c>
      <c r="I88" s="110"/>
      <c r="J88" s="110">
        <v>48082948</v>
      </c>
      <c r="K88" s="110"/>
      <c r="L88" s="110">
        <f t="shared" si="31"/>
        <v>18303154</v>
      </c>
      <c r="M88" s="110">
        <f t="shared" si="29"/>
        <v>18303154</v>
      </c>
      <c r="N88" s="110">
        <f t="shared" si="30"/>
        <v>0</v>
      </c>
      <c r="O88" s="110">
        <v>5367888</v>
      </c>
      <c r="P88" s="110"/>
      <c r="Q88" s="110">
        <v>8475422</v>
      </c>
      <c r="R88" s="110"/>
      <c r="S88" s="110">
        <v>4459844</v>
      </c>
      <c r="T88" s="110"/>
      <c r="U88" s="110">
        <v>142597.4</v>
      </c>
      <c r="V88" s="110"/>
      <c r="W88" s="110"/>
      <c r="X88" s="110">
        <v>929.6</v>
      </c>
      <c r="Y88" s="110">
        <v>175134</v>
      </c>
      <c r="Z88" s="110">
        <v>557.9</v>
      </c>
      <c r="AA88" s="110"/>
      <c r="AB88" s="110">
        <v>136451.79999999999</v>
      </c>
      <c r="AC88" s="110">
        <v>136451.79999999999</v>
      </c>
      <c r="AD88" s="110"/>
      <c r="AE88" s="110">
        <v>3462</v>
      </c>
      <c r="AF88" s="110"/>
      <c r="AG88" s="237"/>
    </row>
    <row r="89" spans="1:46" x14ac:dyDescent="0.3">
      <c r="A89" s="19">
        <v>2021</v>
      </c>
      <c r="B89" s="20" t="s">
        <v>23</v>
      </c>
      <c r="C89" s="21" t="s">
        <v>121</v>
      </c>
      <c r="D89" s="110">
        <v>48167315</v>
      </c>
      <c r="E89" s="110">
        <v>112309</v>
      </c>
      <c r="F89" s="110">
        <v>738625</v>
      </c>
      <c r="G89" s="110"/>
      <c r="H89" s="110">
        <v>261724</v>
      </c>
      <c r="I89" s="110"/>
      <c r="J89" s="110">
        <v>48167315</v>
      </c>
      <c r="K89" s="110"/>
      <c r="L89" s="110">
        <f t="shared" si="31"/>
        <v>18868221</v>
      </c>
      <c r="M89" s="110">
        <f t="shared" si="29"/>
        <v>18868221</v>
      </c>
      <c r="N89" s="110">
        <f t="shared" si="30"/>
        <v>0</v>
      </c>
      <c r="O89" s="110">
        <v>5554639</v>
      </c>
      <c r="P89" s="110"/>
      <c r="Q89" s="110">
        <v>8796430</v>
      </c>
      <c r="R89" s="110"/>
      <c r="S89" s="110">
        <v>4517152</v>
      </c>
      <c r="T89" s="110"/>
      <c r="U89" s="110">
        <v>145127.9</v>
      </c>
      <c r="V89" s="110"/>
      <c r="W89" s="110"/>
      <c r="X89" s="110">
        <v>928.1</v>
      </c>
      <c r="Y89" s="110">
        <v>193367</v>
      </c>
      <c r="Z89" s="110">
        <v>556.4</v>
      </c>
      <c r="AA89" s="110"/>
      <c r="AB89" s="110">
        <v>139121.9</v>
      </c>
      <c r="AC89" s="110">
        <v>139121.9</v>
      </c>
      <c r="AD89" s="110"/>
      <c r="AE89" s="110">
        <v>3432</v>
      </c>
      <c r="AF89" s="110"/>
      <c r="AG89" s="237"/>
    </row>
    <row r="90" spans="1:46" x14ac:dyDescent="0.3">
      <c r="A90" s="19">
        <v>2021</v>
      </c>
      <c r="B90" s="20" t="s">
        <v>24</v>
      </c>
      <c r="C90" s="21" t="s">
        <v>121</v>
      </c>
      <c r="D90" s="110">
        <v>42923235</v>
      </c>
      <c r="E90" s="110">
        <v>148253</v>
      </c>
      <c r="F90" s="110">
        <v>585941</v>
      </c>
      <c r="G90" s="110"/>
      <c r="H90" s="110">
        <v>244960</v>
      </c>
      <c r="I90" s="110"/>
      <c r="J90" s="110">
        <v>42784280</v>
      </c>
      <c r="K90" s="110">
        <v>138955</v>
      </c>
      <c r="L90" s="110">
        <f t="shared" si="31"/>
        <v>16995121</v>
      </c>
      <c r="M90" s="110">
        <f t="shared" si="29"/>
        <v>16951543</v>
      </c>
      <c r="N90" s="110">
        <f t="shared" si="30"/>
        <v>43578</v>
      </c>
      <c r="O90" s="110">
        <v>4984912</v>
      </c>
      <c r="P90" s="110">
        <v>11419</v>
      </c>
      <c r="Q90" s="110">
        <v>8024452</v>
      </c>
      <c r="R90" s="110">
        <v>19551</v>
      </c>
      <c r="S90" s="110">
        <v>3942179</v>
      </c>
      <c r="T90" s="110">
        <v>12608</v>
      </c>
      <c r="U90" s="110">
        <v>150193.79999999999</v>
      </c>
      <c r="V90" s="110"/>
      <c r="W90" s="110"/>
      <c r="X90" s="110">
        <v>747.5</v>
      </c>
      <c r="Y90" s="110">
        <v>162979</v>
      </c>
      <c r="Z90" s="110">
        <v>556.4</v>
      </c>
      <c r="AA90" s="110"/>
      <c r="AB90" s="110">
        <v>141091.9</v>
      </c>
      <c r="AC90" s="110">
        <v>140567.5</v>
      </c>
      <c r="AD90" s="110">
        <v>524.4</v>
      </c>
      <c r="AE90" s="110">
        <v>3413</v>
      </c>
      <c r="AF90" s="110"/>
      <c r="AG90" s="237"/>
    </row>
    <row r="91" spans="1:46" x14ac:dyDescent="0.3">
      <c r="A91" s="19">
        <v>2021</v>
      </c>
      <c r="B91" s="20" t="s">
        <v>25</v>
      </c>
      <c r="C91" s="21" t="s">
        <v>121</v>
      </c>
      <c r="D91" s="110">
        <v>53308676</v>
      </c>
      <c r="E91" s="110">
        <v>175752</v>
      </c>
      <c r="F91" s="110">
        <v>783260</v>
      </c>
      <c r="G91" s="110"/>
      <c r="H91" s="110">
        <v>303049</v>
      </c>
      <c r="I91" s="110"/>
      <c r="J91" s="110">
        <v>96000</v>
      </c>
      <c r="K91" s="110">
        <v>53212676</v>
      </c>
      <c r="L91" s="110">
        <f t="shared" si="31"/>
        <v>21083579</v>
      </c>
      <c r="M91" s="110">
        <f t="shared" si="29"/>
        <v>37287</v>
      </c>
      <c r="N91" s="110">
        <f t="shared" si="30"/>
        <v>21046292</v>
      </c>
      <c r="O91" s="110">
        <v>11066</v>
      </c>
      <c r="P91" s="110">
        <v>6109877</v>
      </c>
      <c r="Q91" s="110">
        <v>17089</v>
      </c>
      <c r="R91" s="110">
        <v>10080502</v>
      </c>
      <c r="S91" s="110">
        <v>9132</v>
      </c>
      <c r="T91" s="110">
        <v>4855913</v>
      </c>
      <c r="U91" s="110">
        <v>177864.1</v>
      </c>
      <c r="V91" s="110"/>
      <c r="W91" s="110"/>
      <c r="X91" s="110">
        <v>747.5</v>
      </c>
      <c r="Y91" s="110">
        <v>220975</v>
      </c>
      <c r="Z91" s="110">
        <v>556.4</v>
      </c>
      <c r="AA91" s="110"/>
      <c r="AB91" s="110">
        <v>172092.6</v>
      </c>
      <c r="AC91" s="110">
        <v>322</v>
      </c>
      <c r="AD91" s="110">
        <v>171770.6</v>
      </c>
      <c r="AE91" s="110">
        <v>3447</v>
      </c>
      <c r="AF91" s="110"/>
      <c r="AG91" s="237"/>
    </row>
    <row r="92" spans="1:46" x14ac:dyDescent="0.3">
      <c r="A92" s="19">
        <v>2021</v>
      </c>
      <c r="B92" s="20" t="s">
        <v>26</v>
      </c>
      <c r="C92" s="21" t="s">
        <v>121</v>
      </c>
      <c r="D92" s="110">
        <v>60096965</v>
      </c>
      <c r="E92" s="110">
        <v>185405</v>
      </c>
      <c r="F92" s="110">
        <v>879547</v>
      </c>
      <c r="G92" s="110"/>
      <c r="H92" s="110">
        <v>655788</v>
      </c>
      <c r="I92" s="110"/>
      <c r="J92" s="110"/>
      <c r="K92" s="110">
        <v>60096965</v>
      </c>
      <c r="L92" s="110">
        <f t="shared" si="31"/>
        <v>24914683</v>
      </c>
      <c r="M92" s="110">
        <f t="shared" si="29"/>
        <v>0</v>
      </c>
      <c r="N92" s="110">
        <f t="shared" si="30"/>
        <v>24914683</v>
      </c>
      <c r="O92" s="110"/>
      <c r="P92" s="110">
        <v>7181722</v>
      </c>
      <c r="Q92" s="110"/>
      <c r="R92" s="110">
        <v>11965017</v>
      </c>
      <c r="S92" s="110"/>
      <c r="T92" s="110">
        <v>5767944</v>
      </c>
      <c r="U92" s="110">
        <v>180762.8</v>
      </c>
      <c r="V92" s="110"/>
      <c r="W92" s="110"/>
      <c r="X92" s="110">
        <v>747.5</v>
      </c>
      <c r="Y92" s="110">
        <v>243064</v>
      </c>
      <c r="Z92" s="110">
        <v>556.4</v>
      </c>
      <c r="AA92" s="110"/>
      <c r="AB92" s="110">
        <v>175744.3</v>
      </c>
      <c r="AC92" s="110"/>
      <c r="AD92" s="110">
        <v>175744.3</v>
      </c>
      <c r="AE92" s="110">
        <v>3443</v>
      </c>
      <c r="AF92" s="110"/>
      <c r="AG92" s="237"/>
    </row>
    <row r="93" spans="1:46" x14ac:dyDescent="0.3">
      <c r="A93" s="19">
        <v>2021</v>
      </c>
      <c r="B93" s="20" t="s">
        <v>27</v>
      </c>
      <c r="C93" s="21" t="s">
        <v>121</v>
      </c>
      <c r="D93" s="110">
        <v>59363378</v>
      </c>
      <c r="E93" s="110">
        <v>169076</v>
      </c>
      <c r="F93" s="110">
        <v>876933</v>
      </c>
      <c r="G93" s="110"/>
      <c r="H93" s="110">
        <v>815647</v>
      </c>
      <c r="I93" s="110"/>
      <c r="J93" s="110"/>
      <c r="K93" s="110">
        <v>59363378</v>
      </c>
      <c r="L93" s="110">
        <f t="shared" si="31"/>
        <v>24700430</v>
      </c>
      <c r="M93" s="110">
        <f t="shared" si="29"/>
        <v>0</v>
      </c>
      <c r="N93" s="110">
        <f t="shared" si="30"/>
        <v>24700430</v>
      </c>
      <c r="O93" s="110"/>
      <c r="P93" s="110">
        <v>7076948</v>
      </c>
      <c r="Q93" s="110"/>
      <c r="R93" s="110">
        <v>11933701</v>
      </c>
      <c r="S93" s="110"/>
      <c r="T93" s="110">
        <v>5689781</v>
      </c>
      <c r="U93" s="110">
        <v>182541.2</v>
      </c>
      <c r="V93" s="110"/>
      <c r="W93" s="110"/>
      <c r="X93" s="110">
        <v>757</v>
      </c>
      <c r="Y93" s="110">
        <v>239506</v>
      </c>
      <c r="Z93" s="110">
        <v>565.9</v>
      </c>
      <c r="AA93" s="110"/>
      <c r="AB93" s="110">
        <v>177983.1</v>
      </c>
      <c r="AC93" s="110"/>
      <c r="AD93" s="110">
        <v>177983.1</v>
      </c>
      <c r="AE93" s="110">
        <v>3451</v>
      </c>
      <c r="AF93" s="110"/>
      <c r="AG93" s="237"/>
    </row>
    <row r="94" spans="1:46" x14ac:dyDescent="0.3">
      <c r="A94" s="19">
        <v>2021</v>
      </c>
      <c r="B94" s="20" t="s">
        <v>28</v>
      </c>
      <c r="C94" s="21" t="s">
        <v>121</v>
      </c>
      <c r="D94" s="110">
        <v>58450226</v>
      </c>
      <c r="E94" s="110">
        <v>161341</v>
      </c>
      <c r="F94" s="110">
        <v>920867</v>
      </c>
      <c r="G94" s="110"/>
      <c r="H94" s="110">
        <v>828014</v>
      </c>
      <c r="I94" s="110"/>
      <c r="J94" s="110"/>
      <c r="K94" s="110"/>
      <c r="L94" s="110">
        <f t="shared" si="31"/>
        <v>23654658</v>
      </c>
      <c r="M94" s="110">
        <f t="shared" si="29"/>
        <v>0</v>
      </c>
      <c r="N94" s="110">
        <f t="shared" si="30"/>
        <v>23654658</v>
      </c>
      <c r="O94" s="110">
        <v>0</v>
      </c>
      <c r="P94" s="110">
        <v>6824513</v>
      </c>
      <c r="Q94" s="110">
        <v>0</v>
      </c>
      <c r="R94" s="110">
        <v>11382032</v>
      </c>
      <c r="S94" s="110">
        <v>0</v>
      </c>
      <c r="T94" s="110">
        <v>5448113</v>
      </c>
      <c r="U94" s="110">
        <v>195399.9</v>
      </c>
      <c r="V94" s="110">
        <v>0</v>
      </c>
      <c r="W94" s="110">
        <v>3505.9</v>
      </c>
      <c r="X94" s="110">
        <v>702.19999999999993</v>
      </c>
      <c r="Y94" s="110">
        <v>251605</v>
      </c>
      <c r="Z94" s="110">
        <v>536.29999999999995</v>
      </c>
      <c r="AA94" s="110"/>
      <c r="AB94" s="110">
        <v>162528</v>
      </c>
      <c r="AC94" s="110">
        <v>0</v>
      </c>
      <c r="AD94" s="110">
        <v>162528</v>
      </c>
      <c r="AE94" s="110">
        <v>3524.2799999999997</v>
      </c>
      <c r="AF94" s="110"/>
      <c r="AG94" s="237"/>
    </row>
    <row r="95" spans="1:46" x14ac:dyDescent="0.3">
      <c r="A95" s="19">
        <v>2021</v>
      </c>
      <c r="B95" s="20" t="s">
        <v>29</v>
      </c>
      <c r="C95" s="21" t="s">
        <v>121</v>
      </c>
      <c r="D95" s="110">
        <v>50114302</v>
      </c>
      <c r="E95" s="110">
        <v>114792</v>
      </c>
      <c r="F95" s="110">
        <v>793514</v>
      </c>
      <c r="G95" s="110"/>
      <c r="H95" s="110">
        <v>658231</v>
      </c>
      <c r="I95" s="110"/>
      <c r="J95" s="110"/>
      <c r="K95" s="110"/>
      <c r="L95" s="110">
        <f t="shared" si="31"/>
        <v>20420542</v>
      </c>
      <c r="M95" s="110">
        <f t="shared" si="29"/>
        <v>9926143</v>
      </c>
      <c r="N95" s="110">
        <f t="shared" si="30"/>
        <v>10494399</v>
      </c>
      <c r="O95" s="110">
        <v>2885476</v>
      </c>
      <c r="P95" s="110">
        <v>3015481</v>
      </c>
      <c r="Q95" s="110">
        <v>4732933</v>
      </c>
      <c r="R95" s="110">
        <v>5068032</v>
      </c>
      <c r="S95" s="110">
        <v>2307734</v>
      </c>
      <c r="T95" s="110">
        <v>2410886</v>
      </c>
      <c r="U95" s="110">
        <v>211185.5</v>
      </c>
      <c r="V95" s="110">
        <v>3540.6</v>
      </c>
      <c r="W95" s="110">
        <v>4311.2</v>
      </c>
      <c r="X95" s="110">
        <v>701.8</v>
      </c>
      <c r="Y95" s="110">
        <v>197001</v>
      </c>
      <c r="Z95" s="110">
        <v>535.9</v>
      </c>
      <c r="AA95" s="110"/>
      <c r="AB95" s="110">
        <v>161245.70000000001</v>
      </c>
      <c r="AC95" s="110">
        <v>82312.599999999991</v>
      </c>
      <c r="AD95" s="110">
        <v>78933.100000000006</v>
      </c>
      <c r="AE95" s="110">
        <v>3339.57</v>
      </c>
      <c r="AF95" s="110"/>
      <c r="AG95" s="237"/>
    </row>
    <row r="96" spans="1:46" x14ac:dyDescent="0.3">
      <c r="A96" s="19">
        <v>2021</v>
      </c>
      <c r="B96" s="20" t="s">
        <v>30</v>
      </c>
      <c r="C96" s="21" t="s">
        <v>121</v>
      </c>
      <c r="D96" s="110">
        <v>39091999</v>
      </c>
      <c r="E96" s="110">
        <v>83451</v>
      </c>
      <c r="F96" s="110">
        <v>615072</v>
      </c>
      <c r="G96" s="110"/>
      <c r="H96" s="110">
        <v>345347</v>
      </c>
      <c r="I96" s="110"/>
      <c r="J96" s="110"/>
      <c r="K96" s="110"/>
      <c r="L96" s="110">
        <f t="shared" si="31"/>
        <v>15285709</v>
      </c>
      <c r="M96" s="110">
        <f t="shared" si="29"/>
        <v>15215360</v>
      </c>
      <c r="N96" s="110">
        <f t="shared" si="30"/>
        <v>70349</v>
      </c>
      <c r="O96" s="110">
        <v>4416109</v>
      </c>
      <c r="P96" s="110">
        <v>20398</v>
      </c>
      <c r="Q96" s="110">
        <v>7129614</v>
      </c>
      <c r="R96" s="110">
        <v>33057</v>
      </c>
      <c r="S96" s="110">
        <v>3669637</v>
      </c>
      <c r="T96" s="110">
        <v>16894</v>
      </c>
      <c r="U96" s="110">
        <v>173051.1</v>
      </c>
      <c r="V96" s="110">
        <v>3529.8999999999996</v>
      </c>
      <c r="W96" s="110">
        <v>1.4</v>
      </c>
      <c r="X96" s="110">
        <v>685.7</v>
      </c>
      <c r="Y96" s="110">
        <v>172938</v>
      </c>
      <c r="Z96" s="110">
        <v>535.9</v>
      </c>
      <c r="AA96" s="110"/>
      <c r="AB96" s="110">
        <v>118250.1</v>
      </c>
      <c r="AC96" s="110">
        <v>117717.5</v>
      </c>
      <c r="AD96" s="110">
        <v>532.6</v>
      </c>
      <c r="AE96" s="110">
        <v>2825.23</v>
      </c>
      <c r="AF96" s="110"/>
      <c r="AG96" s="237"/>
    </row>
    <row r="97" spans="1:46" x14ac:dyDescent="0.3">
      <c r="A97" s="22">
        <v>2021</v>
      </c>
      <c r="B97" s="23" t="s">
        <v>31</v>
      </c>
      <c r="C97" s="24" t="s">
        <v>121</v>
      </c>
      <c r="D97" s="111">
        <v>52179407</v>
      </c>
      <c r="E97" s="111">
        <v>58532</v>
      </c>
      <c r="F97" s="111">
        <v>842181</v>
      </c>
      <c r="G97" s="111"/>
      <c r="H97" s="111">
        <v>262839</v>
      </c>
      <c r="I97" s="111"/>
      <c r="J97" s="111"/>
      <c r="K97" s="111"/>
      <c r="L97" s="111">
        <f t="shared" si="31"/>
        <v>19426554</v>
      </c>
      <c r="M97" s="111">
        <f t="shared" si="29"/>
        <v>19420686</v>
      </c>
      <c r="N97" s="111">
        <f t="shared" si="30"/>
        <v>5868</v>
      </c>
      <c r="O97" s="111">
        <v>5689964</v>
      </c>
      <c r="P97" s="111">
        <v>1635</v>
      </c>
      <c r="Q97" s="111">
        <v>9071493</v>
      </c>
      <c r="R97" s="111">
        <v>2790</v>
      </c>
      <c r="S97" s="111">
        <v>4659229</v>
      </c>
      <c r="T97" s="111">
        <v>1443</v>
      </c>
      <c r="U97" s="111">
        <v>214651.4</v>
      </c>
      <c r="V97" s="111">
        <v>3750</v>
      </c>
      <c r="W97" s="111">
        <v>0</v>
      </c>
      <c r="X97" s="111">
        <v>682.9</v>
      </c>
      <c r="Y97" s="111">
        <v>189564</v>
      </c>
      <c r="Z97" s="111">
        <v>535.9</v>
      </c>
      <c r="AA97" s="111"/>
      <c r="AB97" s="111">
        <v>142909.29999999999</v>
      </c>
      <c r="AC97" s="111">
        <v>142868.9</v>
      </c>
      <c r="AD97" s="111">
        <v>40.4</v>
      </c>
      <c r="AE97" s="111">
        <v>3770.27</v>
      </c>
      <c r="AF97" s="111"/>
      <c r="AG97" s="238"/>
    </row>
    <row r="98" spans="1:46" ht="15" customHeight="1" x14ac:dyDescent="0.3">
      <c r="A98" s="545" t="s">
        <v>81</v>
      </c>
      <c r="B98" s="545"/>
      <c r="C98" s="545"/>
      <c r="D98" s="171">
        <f t="shared" ref="D98:AG98" si="32">SUM(D86:D97)</f>
        <v>611917674</v>
      </c>
      <c r="E98" s="171">
        <f t="shared" si="32"/>
        <v>1322251</v>
      </c>
      <c r="F98" s="171">
        <f t="shared" si="32"/>
        <v>9569289</v>
      </c>
      <c r="G98" s="171">
        <f t="shared" si="32"/>
        <v>0</v>
      </c>
      <c r="H98" s="171">
        <f t="shared" si="32"/>
        <v>4823116</v>
      </c>
      <c r="I98" s="171">
        <f t="shared" si="32"/>
        <v>0</v>
      </c>
      <c r="J98" s="171">
        <f t="shared" si="32"/>
        <v>239269766</v>
      </c>
      <c r="K98" s="171">
        <f t="shared" si="32"/>
        <v>172811974</v>
      </c>
      <c r="L98" s="171">
        <f t="shared" si="32"/>
        <v>240153689</v>
      </c>
      <c r="M98" s="171">
        <f t="shared" si="32"/>
        <v>135223432</v>
      </c>
      <c r="N98" s="171">
        <f t="shared" si="32"/>
        <v>104930257</v>
      </c>
      <c r="O98" s="166">
        <f t="shared" si="32"/>
        <v>39530812</v>
      </c>
      <c r="P98" s="166">
        <f t="shared" si="32"/>
        <v>30241993</v>
      </c>
      <c r="Q98" s="166">
        <f t="shared" si="32"/>
        <v>63216451</v>
      </c>
      <c r="R98" s="166">
        <f t="shared" si="32"/>
        <v>50484682</v>
      </c>
      <c r="S98" s="166">
        <f>SUM(S86:S97)</f>
        <v>32476169</v>
      </c>
      <c r="T98" s="166">
        <f>SUM(T86:T97)</f>
        <v>24203582</v>
      </c>
      <c r="U98" s="171">
        <f t="shared" si="32"/>
        <v>2053595.6999999997</v>
      </c>
      <c r="V98" s="171">
        <f t="shared" si="32"/>
        <v>10820.5</v>
      </c>
      <c r="W98" s="171">
        <f t="shared" si="32"/>
        <v>7818.5</v>
      </c>
      <c r="X98" s="171">
        <f t="shared" si="32"/>
        <v>9834.6</v>
      </c>
      <c r="Y98" s="171">
        <f t="shared" si="32"/>
        <v>2616960</v>
      </c>
      <c r="Z98" s="171">
        <f t="shared" si="32"/>
        <v>6954.7999999999993</v>
      </c>
      <c r="AA98" s="171"/>
      <c r="AB98" s="171">
        <f t="shared" si="32"/>
        <v>1795192.2000000002</v>
      </c>
      <c r="AC98" s="171">
        <f t="shared" si="32"/>
        <v>1027135.7</v>
      </c>
      <c r="AD98" s="171">
        <f t="shared" si="32"/>
        <v>768056.5</v>
      </c>
      <c r="AE98" s="171">
        <f t="shared" si="32"/>
        <v>41062.35</v>
      </c>
      <c r="AF98" s="162">
        <f t="shared" si="32"/>
        <v>0</v>
      </c>
      <c r="AG98" s="171">
        <f t="shared" si="32"/>
        <v>0</v>
      </c>
    </row>
    <row r="99" spans="1:46" ht="15" customHeight="1" x14ac:dyDescent="0.3">
      <c r="A99" s="365"/>
      <c r="B99" s="365"/>
      <c r="C99" s="285"/>
      <c r="D99" s="285"/>
      <c r="E99" s="285"/>
      <c r="F99" s="285"/>
      <c r="G99" s="285"/>
      <c r="H99" s="285"/>
      <c r="I99" s="285"/>
      <c r="J99" s="285"/>
      <c r="K99" s="285"/>
      <c r="L99" s="285"/>
      <c r="M99" s="285"/>
      <c r="N99" s="285"/>
      <c r="O99" s="285"/>
      <c r="P99" s="285"/>
      <c r="Q99" s="285"/>
      <c r="R99" s="285"/>
      <c r="S99" s="285"/>
      <c r="T99" s="285"/>
      <c r="U99" s="285"/>
      <c r="V99" s="285"/>
      <c r="W99" s="285"/>
      <c r="X99" s="285"/>
      <c r="Y99" s="285"/>
      <c r="Z99" s="285"/>
      <c r="AA99" s="285"/>
      <c r="AB99" s="285"/>
      <c r="AC99" s="285"/>
      <c r="AD99" s="285"/>
      <c r="AE99" s="285"/>
      <c r="AF99" s="285"/>
      <c r="AG99" s="285"/>
      <c r="AH99" s="285"/>
      <c r="AI99" s="285"/>
    </row>
    <row r="100" spans="1:46" s="330" customFormat="1" ht="48" x14ac:dyDescent="0.25">
      <c r="A100" s="6" t="s">
        <v>18</v>
      </c>
      <c r="B100" s="6" t="s">
        <v>19</v>
      </c>
      <c r="C100" s="161" t="s">
        <v>0</v>
      </c>
      <c r="D100" s="12" t="s">
        <v>128</v>
      </c>
      <c r="E100" s="362" t="s">
        <v>98</v>
      </c>
      <c r="F100" s="499" t="s">
        <v>158</v>
      </c>
      <c r="G100" s="499"/>
      <c r="H100" s="12" t="s">
        <v>115</v>
      </c>
      <c r="I100" s="12"/>
      <c r="J100" s="107" t="s">
        <v>1</v>
      </c>
      <c r="K100" s="107" t="s">
        <v>2</v>
      </c>
      <c r="L100" s="108" t="s">
        <v>46</v>
      </c>
      <c r="M100" s="13" t="s">
        <v>37</v>
      </c>
      <c r="N100" s="32" t="s">
        <v>38</v>
      </c>
      <c r="O100" s="159" t="s">
        <v>100</v>
      </c>
      <c r="P100" s="156" t="s">
        <v>107</v>
      </c>
      <c r="Q100" s="78" t="s">
        <v>82</v>
      </c>
      <c r="R100" s="78" t="s">
        <v>83</v>
      </c>
      <c r="S100" s="159" t="s">
        <v>102</v>
      </c>
      <c r="T100" s="156" t="s">
        <v>103</v>
      </c>
      <c r="U100" s="34" t="s">
        <v>3</v>
      </c>
      <c r="V100" s="83" t="s">
        <v>126</v>
      </c>
      <c r="W100" s="83" t="s">
        <v>127</v>
      </c>
      <c r="X100" s="34" t="s">
        <v>53</v>
      </c>
      <c r="Y100" s="34" t="s">
        <v>54</v>
      </c>
      <c r="Z100" s="34" t="s">
        <v>55</v>
      </c>
      <c r="AA100" s="34"/>
      <c r="AB100" s="34" t="s">
        <v>47</v>
      </c>
      <c r="AC100" s="34" t="s">
        <v>58</v>
      </c>
      <c r="AD100" s="34" t="s">
        <v>59</v>
      </c>
      <c r="AE100" s="35" t="s">
        <v>51</v>
      </c>
      <c r="AF100" s="35" t="s">
        <v>57</v>
      </c>
      <c r="AG100" s="35" t="s">
        <v>56</v>
      </c>
    </row>
    <row r="101" spans="1:46" x14ac:dyDescent="0.3">
      <c r="A101" s="16">
        <v>2020</v>
      </c>
      <c r="B101" s="17" t="s">
        <v>20</v>
      </c>
      <c r="C101" s="21" t="s">
        <v>121</v>
      </c>
      <c r="D101" s="109">
        <v>54159717</v>
      </c>
      <c r="E101" s="109">
        <v>0</v>
      </c>
      <c r="F101" s="109">
        <v>899929</v>
      </c>
      <c r="G101" s="109"/>
      <c r="H101" s="109">
        <v>0</v>
      </c>
      <c r="I101" s="109">
        <v>0</v>
      </c>
      <c r="J101" s="109">
        <v>54159717</v>
      </c>
      <c r="K101" s="109">
        <v>0</v>
      </c>
      <c r="L101" s="109">
        <f>M101+N101</f>
        <v>19826886</v>
      </c>
      <c r="M101" s="109">
        <f t="shared" ref="M101:M112" si="33">O101+Q101+S101</f>
        <v>19826886</v>
      </c>
      <c r="N101" s="109">
        <f t="shared" ref="N101:N112" si="34">P101+R101+T101</f>
        <v>0</v>
      </c>
      <c r="O101" s="109">
        <v>5812056</v>
      </c>
      <c r="P101" s="109">
        <v>0</v>
      </c>
      <c r="Q101" s="109">
        <v>9235660</v>
      </c>
      <c r="R101" s="109">
        <v>0</v>
      </c>
      <c r="S101" s="109">
        <v>4779170</v>
      </c>
      <c r="T101" s="109">
        <v>0</v>
      </c>
      <c r="U101" s="109">
        <v>219781.7</v>
      </c>
      <c r="V101" s="109"/>
      <c r="W101" s="109"/>
      <c r="X101" s="109">
        <v>0</v>
      </c>
      <c r="Y101" s="109">
        <v>0</v>
      </c>
      <c r="Z101" s="109">
        <v>0</v>
      </c>
      <c r="AA101" s="109"/>
      <c r="AB101" s="109">
        <v>144582.39999999999</v>
      </c>
      <c r="AC101" s="109">
        <v>144582.39999999999</v>
      </c>
      <c r="AD101" s="109">
        <v>0</v>
      </c>
      <c r="AE101" s="109">
        <v>3622</v>
      </c>
      <c r="AF101" s="109">
        <v>251</v>
      </c>
      <c r="AG101" s="236">
        <v>3371</v>
      </c>
      <c r="AI101" s="344"/>
      <c r="AJ101" s="344"/>
      <c r="AK101" s="344"/>
      <c r="AL101" s="344"/>
      <c r="AM101" s="344"/>
      <c r="AN101" s="344"/>
      <c r="AO101" s="344"/>
      <c r="AP101" s="344"/>
      <c r="AQ101" s="344"/>
      <c r="AR101" s="344"/>
      <c r="AS101" s="344"/>
      <c r="AT101" s="344"/>
    </row>
    <row r="102" spans="1:46" x14ac:dyDescent="0.3">
      <c r="A102" s="19">
        <v>2020</v>
      </c>
      <c r="B102" s="20" t="s">
        <v>21</v>
      </c>
      <c r="C102" s="21" t="s">
        <v>121</v>
      </c>
      <c r="D102" s="110">
        <v>53288200</v>
      </c>
      <c r="E102" s="110">
        <v>0</v>
      </c>
      <c r="F102" s="110">
        <v>889160</v>
      </c>
      <c r="G102" s="110"/>
      <c r="H102" s="110">
        <v>0</v>
      </c>
      <c r="I102" s="110">
        <v>0</v>
      </c>
      <c r="J102" s="110">
        <v>53288200</v>
      </c>
      <c r="K102" s="110">
        <v>0</v>
      </c>
      <c r="L102" s="110">
        <f t="shared" ref="L102:L112" si="35">M102+N102</f>
        <v>20567870</v>
      </c>
      <c r="M102" s="110">
        <f t="shared" si="33"/>
        <v>20567870</v>
      </c>
      <c r="N102" s="110">
        <f t="shared" si="34"/>
        <v>0</v>
      </c>
      <c r="O102" s="110">
        <v>6051768</v>
      </c>
      <c r="P102" s="110">
        <v>0</v>
      </c>
      <c r="Q102" s="110">
        <v>9529404</v>
      </c>
      <c r="R102" s="110">
        <v>0</v>
      </c>
      <c r="S102" s="110">
        <v>4986698</v>
      </c>
      <c r="T102" s="110">
        <v>0</v>
      </c>
      <c r="U102" s="110">
        <v>216978.7</v>
      </c>
      <c r="V102" s="110"/>
      <c r="W102" s="110"/>
      <c r="X102" s="110">
        <v>0</v>
      </c>
      <c r="Y102" s="110">
        <v>0</v>
      </c>
      <c r="Z102" s="110">
        <v>0</v>
      </c>
      <c r="AA102" s="110"/>
      <c r="AB102" s="110">
        <v>143847.5</v>
      </c>
      <c r="AC102" s="110">
        <v>143847.5</v>
      </c>
      <c r="AD102" s="110">
        <v>0</v>
      </c>
      <c r="AE102" s="110">
        <v>3612</v>
      </c>
      <c r="AF102" s="110">
        <v>250</v>
      </c>
      <c r="AG102" s="237">
        <v>3362</v>
      </c>
    </row>
    <row r="103" spans="1:46" x14ac:dyDescent="0.3">
      <c r="A103" s="19">
        <v>2020</v>
      </c>
      <c r="B103" s="20" t="s">
        <v>22</v>
      </c>
      <c r="C103" s="21" t="s">
        <v>121</v>
      </c>
      <c r="D103" s="110">
        <v>47863436</v>
      </c>
      <c r="E103" s="110">
        <v>0</v>
      </c>
      <c r="F103" s="110">
        <v>817516</v>
      </c>
      <c r="G103" s="110"/>
      <c r="H103" s="110">
        <v>0</v>
      </c>
      <c r="I103" s="110">
        <v>0</v>
      </c>
      <c r="J103" s="110">
        <v>47863436</v>
      </c>
      <c r="K103" s="110">
        <v>0</v>
      </c>
      <c r="L103" s="110">
        <f t="shared" si="35"/>
        <v>18568553</v>
      </c>
      <c r="M103" s="110">
        <f t="shared" si="33"/>
        <v>18568553</v>
      </c>
      <c r="N103" s="110">
        <f t="shared" si="34"/>
        <v>0</v>
      </c>
      <c r="O103" s="110">
        <v>5498157</v>
      </c>
      <c r="P103" s="110">
        <v>0</v>
      </c>
      <c r="Q103" s="110">
        <v>8572106</v>
      </c>
      <c r="R103" s="110">
        <v>0</v>
      </c>
      <c r="S103" s="110">
        <v>4498290</v>
      </c>
      <c r="T103" s="110">
        <v>0</v>
      </c>
      <c r="U103" s="110">
        <v>215256.3</v>
      </c>
      <c r="V103" s="110"/>
      <c r="W103" s="110"/>
      <c r="X103" s="110">
        <v>0</v>
      </c>
      <c r="Y103" s="110">
        <v>0</v>
      </c>
      <c r="Z103" s="110">
        <v>0</v>
      </c>
      <c r="AA103" s="110"/>
      <c r="AB103" s="110">
        <v>141045.79999999999</v>
      </c>
      <c r="AC103" s="110">
        <v>141045.79999999999</v>
      </c>
      <c r="AD103" s="110">
        <v>0</v>
      </c>
      <c r="AE103" s="110">
        <v>3623</v>
      </c>
      <c r="AF103" s="110">
        <v>246</v>
      </c>
      <c r="AG103" s="237">
        <v>3377</v>
      </c>
    </row>
    <row r="104" spans="1:46" x14ac:dyDescent="0.3">
      <c r="A104" s="19">
        <v>2020</v>
      </c>
      <c r="B104" s="20" t="s">
        <v>23</v>
      </c>
      <c r="C104" s="21" t="s">
        <v>121</v>
      </c>
      <c r="D104" s="110">
        <v>43309447</v>
      </c>
      <c r="E104" s="110">
        <v>0</v>
      </c>
      <c r="F104" s="110">
        <v>705527</v>
      </c>
      <c r="G104" s="110"/>
      <c r="H104" s="110">
        <v>0</v>
      </c>
      <c r="I104" s="110">
        <v>0</v>
      </c>
      <c r="J104" s="110">
        <v>43309447</v>
      </c>
      <c r="K104" s="110">
        <v>0</v>
      </c>
      <c r="L104" s="110">
        <f t="shared" si="35"/>
        <v>16410508</v>
      </c>
      <c r="M104" s="110">
        <f t="shared" si="33"/>
        <v>16410508</v>
      </c>
      <c r="N104" s="110">
        <f t="shared" si="34"/>
        <v>0</v>
      </c>
      <c r="O104" s="110">
        <v>4869301</v>
      </c>
      <c r="P104" s="110">
        <v>0</v>
      </c>
      <c r="Q104" s="110">
        <v>7596452</v>
      </c>
      <c r="R104" s="110">
        <v>0</v>
      </c>
      <c r="S104" s="110">
        <v>3944755</v>
      </c>
      <c r="T104" s="110">
        <v>0</v>
      </c>
      <c r="U104" s="110">
        <v>215091.3</v>
      </c>
      <c r="V104" s="110"/>
      <c r="W104" s="110"/>
      <c r="X104" s="110">
        <v>0</v>
      </c>
      <c r="Y104" s="110">
        <v>0</v>
      </c>
      <c r="Z104" s="110">
        <v>0</v>
      </c>
      <c r="AA104" s="110"/>
      <c r="AB104" s="110">
        <v>127159.8</v>
      </c>
      <c r="AC104" s="110">
        <v>127159.8</v>
      </c>
      <c r="AD104" s="110">
        <v>0</v>
      </c>
      <c r="AE104" s="110">
        <v>3611</v>
      </c>
      <c r="AF104" s="110">
        <v>247</v>
      </c>
      <c r="AG104" s="237">
        <v>3364</v>
      </c>
    </row>
    <row r="105" spans="1:46" x14ac:dyDescent="0.3">
      <c r="A105" s="19">
        <v>2020</v>
      </c>
      <c r="B105" s="20" t="s">
        <v>24</v>
      </c>
      <c r="C105" s="21" t="s">
        <v>121</v>
      </c>
      <c r="D105" s="110">
        <v>37939799</v>
      </c>
      <c r="E105" s="110">
        <v>0</v>
      </c>
      <c r="F105" s="110">
        <v>618121</v>
      </c>
      <c r="G105" s="110"/>
      <c r="H105" s="110">
        <v>0</v>
      </c>
      <c r="I105" s="110">
        <v>0</v>
      </c>
      <c r="J105" s="110">
        <v>37928595</v>
      </c>
      <c r="K105" s="110">
        <v>11204</v>
      </c>
      <c r="L105" s="110">
        <f t="shared" si="35"/>
        <v>14399773</v>
      </c>
      <c r="M105" s="110">
        <f t="shared" si="33"/>
        <v>14395747</v>
      </c>
      <c r="N105" s="110">
        <f t="shared" si="34"/>
        <v>4026</v>
      </c>
      <c r="O105" s="110">
        <v>4246552</v>
      </c>
      <c r="P105" s="110">
        <v>1180</v>
      </c>
      <c r="Q105" s="110">
        <v>6741833</v>
      </c>
      <c r="R105" s="110">
        <v>2031</v>
      </c>
      <c r="S105" s="110">
        <v>3407362</v>
      </c>
      <c r="T105" s="110">
        <v>815</v>
      </c>
      <c r="U105" s="110">
        <v>213853.7</v>
      </c>
      <c r="V105" s="110"/>
      <c r="W105" s="110"/>
      <c r="X105" s="110">
        <v>0</v>
      </c>
      <c r="Y105" s="110">
        <v>0</v>
      </c>
      <c r="Z105" s="110">
        <v>0</v>
      </c>
      <c r="AA105" s="110"/>
      <c r="AB105" s="110">
        <v>122132.6</v>
      </c>
      <c r="AC105" s="110">
        <v>122049.60000000001</v>
      </c>
      <c r="AD105" s="110">
        <v>83</v>
      </c>
      <c r="AE105" s="110">
        <v>3597</v>
      </c>
      <c r="AF105" s="110">
        <v>242</v>
      </c>
      <c r="AG105" s="237">
        <v>3355</v>
      </c>
    </row>
    <row r="106" spans="1:46" x14ac:dyDescent="0.3">
      <c r="A106" s="19">
        <v>2020</v>
      </c>
      <c r="B106" s="20" t="s">
        <v>25</v>
      </c>
      <c r="C106" s="21" t="s">
        <v>121</v>
      </c>
      <c r="D106" s="110">
        <v>46815542</v>
      </c>
      <c r="E106" s="110">
        <v>0</v>
      </c>
      <c r="F106" s="110">
        <v>765360</v>
      </c>
      <c r="G106" s="110"/>
      <c r="H106" s="110">
        <v>0</v>
      </c>
      <c r="I106" s="110">
        <v>0</v>
      </c>
      <c r="J106" s="110">
        <v>26730</v>
      </c>
      <c r="K106" s="110">
        <v>46788812</v>
      </c>
      <c r="L106" s="110">
        <f t="shared" si="35"/>
        <v>18622251</v>
      </c>
      <c r="M106" s="110">
        <f t="shared" si="33"/>
        <v>9809</v>
      </c>
      <c r="N106" s="110">
        <f t="shared" si="34"/>
        <v>18612442</v>
      </c>
      <c r="O106" s="110">
        <v>2626</v>
      </c>
      <c r="P106" s="110">
        <v>5445770</v>
      </c>
      <c r="Q106" s="110">
        <v>4465</v>
      </c>
      <c r="R106" s="110">
        <v>8899020</v>
      </c>
      <c r="S106" s="110">
        <v>2718</v>
      </c>
      <c r="T106" s="110">
        <v>4267652</v>
      </c>
      <c r="U106" s="110">
        <v>214673.5</v>
      </c>
      <c r="V106" s="110"/>
      <c r="W106" s="110"/>
      <c r="X106" s="110">
        <v>0</v>
      </c>
      <c r="Y106" s="110">
        <v>0</v>
      </c>
      <c r="Z106" s="110">
        <v>0</v>
      </c>
      <c r="AA106" s="110"/>
      <c r="AB106" s="110">
        <v>155726.70000000001</v>
      </c>
      <c r="AC106" s="110">
        <v>86.2</v>
      </c>
      <c r="AD106" s="110">
        <v>155640.5</v>
      </c>
      <c r="AE106" s="110">
        <v>3585</v>
      </c>
      <c r="AF106" s="110">
        <v>243</v>
      </c>
      <c r="AG106" s="237">
        <v>3342</v>
      </c>
      <c r="AH106" s="171"/>
    </row>
    <row r="107" spans="1:46" x14ac:dyDescent="0.3">
      <c r="A107" s="19">
        <v>2020</v>
      </c>
      <c r="B107" s="20" t="s">
        <v>26</v>
      </c>
      <c r="C107" s="21" t="s">
        <v>121</v>
      </c>
      <c r="D107" s="110">
        <v>57855104</v>
      </c>
      <c r="E107" s="110">
        <v>0</v>
      </c>
      <c r="F107" s="110">
        <v>879074</v>
      </c>
      <c r="G107" s="110"/>
      <c r="H107" s="110">
        <v>0</v>
      </c>
      <c r="I107" s="110">
        <v>0</v>
      </c>
      <c r="J107" s="110">
        <v>79464</v>
      </c>
      <c r="K107" s="110">
        <v>57775640</v>
      </c>
      <c r="L107" s="110">
        <f t="shared" si="35"/>
        <v>24040586</v>
      </c>
      <c r="M107" s="110">
        <f t="shared" si="33"/>
        <v>25858</v>
      </c>
      <c r="N107" s="110">
        <f t="shared" si="34"/>
        <v>24014728</v>
      </c>
      <c r="O107" s="110">
        <v>7836</v>
      </c>
      <c r="P107" s="110">
        <v>7032702</v>
      </c>
      <c r="Q107" s="110">
        <v>11493</v>
      </c>
      <c r="R107" s="110">
        <v>11530618</v>
      </c>
      <c r="S107" s="110">
        <v>6529</v>
      </c>
      <c r="T107" s="110">
        <v>5451408</v>
      </c>
      <c r="U107" s="110">
        <v>214254.59999999998</v>
      </c>
      <c r="V107" s="110"/>
      <c r="W107" s="110"/>
      <c r="X107" s="110">
        <v>0</v>
      </c>
      <c r="Y107" s="110">
        <v>0</v>
      </c>
      <c r="Z107" s="110">
        <v>0</v>
      </c>
      <c r="AA107" s="110"/>
      <c r="AB107" s="110">
        <v>169067.8</v>
      </c>
      <c r="AC107" s="110">
        <v>192</v>
      </c>
      <c r="AD107" s="110">
        <v>168875.8</v>
      </c>
      <c r="AE107" s="110">
        <v>3588</v>
      </c>
      <c r="AF107" s="110">
        <v>240</v>
      </c>
      <c r="AG107" s="237">
        <v>3348</v>
      </c>
    </row>
    <row r="108" spans="1:46" x14ac:dyDescent="0.3">
      <c r="A108" s="19">
        <v>2020</v>
      </c>
      <c r="B108" s="20" t="s">
        <v>27</v>
      </c>
      <c r="C108" s="21" t="s">
        <v>121</v>
      </c>
      <c r="D108" s="110">
        <v>57265928</v>
      </c>
      <c r="E108" s="110">
        <v>22564</v>
      </c>
      <c r="F108" s="110">
        <v>888379</v>
      </c>
      <c r="G108" s="110"/>
      <c r="H108" s="110">
        <v>0</v>
      </c>
      <c r="I108" s="110">
        <v>0</v>
      </c>
      <c r="J108" s="110">
        <v>0</v>
      </c>
      <c r="K108" s="110">
        <v>57265928</v>
      </c>
      <c r="L108" s="110">
        <f t="shared" si="35"/>
        <v>23350826</v>
      </c>
      <c r="M108" s="110">
        <f t="shared" si="33"/>
        <v>0</v>
      </c>
      <c r="N108" s="110">
        <f t="shared" si="34"/>
        <v>23350826</v>
      </c>
      <c r="O108" s="110">
        <v>0</v>
      </c>
      <c r="P108" s="110">
        <v>6754608</v>
      </c>
      <c r="Q108" s="110">
        <v>0</v>
      </c>
      <c r="R108" s="110">
        <v>11236400</v>
      </c>
      <c r="S108" s="110">
        <v>0</v>
      </c>
      <c r="T108" s="110">
        <v>5359818</v>
      </c>
      <c r="U108" s="110">
        <v>210117.9</v>
      </c>
      <c r="V108" s="110"/>
      <c r="W108" s="110"/>
      <c r="X108" s="110">
        <v>0</v>
      </c>
      <c r="Y108" s="110">
        <v>0</v>
      </c>
      <c r="Z108" s="110">
        <v>0</v>
      </c>
      <c r="AA108" s="110"/>
      <c r="AB108" s="110">
        <v>164966.79999999999</v>
      </c>
      <c r="AC108" s="110">
        <v>0</v>
      </c>
      <c r="AD108" s="110">
        <v>164966.79999999999</v>
      </c>
      <c r="AE108" s="110">
        <v>3575</v>
      </c>
      <c r="AF108" s="110">
        <v>236</v>
      </c>
      <c r="AG108" s="237">
        <v>3339</v>
      </c>
    </row>
    <row r="109" spans="1:46" x14ac:dyDescent="0.3">
      <c r="A109" s="19">
        <v>2020</v>
      </c>
      <c r="B109" s="20" t="s">
        <v>28</v>
      </c>
      <c r="C109" s="21" t="s">
        <v>121</v>
      </c>
      <c r="D109" s="110">
        <v>52071003</v>
      </c>
      <c r="E109" s="110">
        <v>67412</v>
      </c>
      <c r="F109" s="110">
        <v>724226</v>
      </c>
      <c r="G109" s="110"/>
      <c r="H109" s="110">
        <v>187843</v>
      </c>
      <c r="I109" s="110">
        <v>0</v>
      </c>
      <c r="J109" s="110">
        <v>649</v>
      </c>
      <c r="K109" s="110">
        <v>52070354</v>
      </c>
      <c r="L109" s="110">
        <f t="shared" si="35"/>
        <v>20775421</v>
      </c>
      <c r="M109" s="110">
        <f t="shared" si="33"/>
        <v>237</v>
      </c>
      <c r="N109" s="110">
        <f t="shared" si="34"/>
        <v>20775184</v>
      </c>
      <c r="O109" s="110">
        <v>55</v>
      </c>
      <c r="P109" s="110">
        <v>6005213</v>
      </c>
      <c r="Q109" s="110">
        <v>119</v>
      </c>
      <c r="R109" s="110">
        <v>9971594</v>
      </c>
      <c r="S109" s="110">
        <v>63</v>
      </c>
      <c r="T109" s="110">
        <v>4798377</v>
      </c>
      <c r="U109" s="110">
        <v>209470.8</v>
      </c>
      <c r="V109" s="110"/>
      <c r="W109" s="110"/>
      <c r="X109" s="110">
        <v>0</v>
      </c>
      <c r="Y109" s="110">
        <v>0</v>
      </c>
      <c r="Z109" s="110">
        <v>0</v>
      </c>
      <c r="AA109" s="110"/>
      <c r="AB109" s="110">
        <v>167743.90000000002</v>
      </c>
      <c r="AC109" s="110">
        <v>10.6</v>
      </c>
      <c r="AD109" s="110">
        <v>167733.29999999999</v>
      </c>
      <c r="AE109" s="110">
        <v>3556</v>
      </c>
      <c r="AF109" s="110">
        <v>231</v>
      </c>
      <c r="AG109" s="237">
        <v>3325</v>
      </c>
    </row>
    <row r="110" spans="1:46" x14ac:dyDescent="0.3">
      <c r="A110" s="19">
        <v>2020</v>
      </c>
      <c r="B110" s="20" t="s">
        <v>29</v>
      </c>
      <c r="C110" s="21" t="s">
        <v>121</v>
      </c>
      <c r="D110" s="110">
        <v>44075110</v>
      </c>
      <c r="E110" s="110">
        <v>53389</v>
      </c>
      <c r="F110" s="110">
        <v>673703</v>
      </c>
      <c r="G110" s="110"/>
      <c r="H110" s="110">
        <v>104307</v>
      </c>
      <c r="I110" s="110">
        <v>0</v>
      </c>
      <c r="J110" s="110">
        <v>43926109</v>
      </c>
      <c r="K110" s="110">
        <v>149001</v>
      </c>
      <c r="L110" s="110">
        <f t="shared" si="35"/>
        <v>17832092</v>
      </c>
      <c r="M110" s="110">
        <f t="shared" si="33"/>
        <v>17763199</v>
      </c>
      <c r="N110" s="110">
        <f t="shared" si="34"/>
        <v>68893</v>
      </c>
      <c r="O110" s="110">
        <v>5164961</v>
      </c>
      <c r="P110" s="110">
        <v>20557</v>
      </c>
      <c r="Q110" s="110">
        <v>8416357</v>
      </c>
      <c r="R110" s="110">
        <v>35211</v>
      </c>
      <c r="S110" s="110">
        <v>4181881</v>
      </c>
      <c r="T110" s="110">
        <v>13125</v>
      </c>
      <c r="U110" s="110">
        <v>206636.79999999999</v>
      </c>
      <c r="V110" s="110"/>
      <c r="W110" s="110"/>
      <c r="X110" s="110">
        <v>0</v>
      </c>
      <c r="Y110" s="110">
        <v>0</v>
      </c>
      <c r="Z110" s="110">
        <v>0</v>
      </c>
      <c r="AA110" s="110"/>
      <c r="AB110" s="110">
        <v>143938.90000000002</v>
      </c>
      <c r="AC110" s="110">
        <v>143159.6</v>
      </c>
      <c r="AD110" s="110">
        <v>779.3</v>
      </c>
      <c r="AE110" s="110">
        <v>3555</v>
      </c>
      <c r="AF110" s="110">
        <v>228</v>
      </c>
      <c r="AG110" s="237">
        <v>3327</v>
      </c>
    </row>
    <row r="111" spans="1:46" x14ac:dyDescent="0.3">
      <c r="A111" s="19">
        <v>2020</v>
      </c>
      <c r="B111" s="20" t="s">
        <v>30</v>
      </c>
      <c r="C111" s="21" t="s">
        <v>121</v>
      </c>
      <c r="D111" s="110">
        <v>43121354</v>
      </c>
      <c r="E111" s="110">
        <v>40472</v>
      </c>
      <c r="F111" s="110">
        <v>659533</v>
      </c>
      <c r="G111" s="110"/>
      <c r="H111" s="110">
        <v>86484</v>
      </c>
      <c r="I111" s="110">
        <v>0</v>
      </c>
      <c r="J111" s="110">
        <v>43121354</v>
      </c>
      <c r="K111" s="110">
        <v>0</v>
      </c>
      <c r="L111" s="110">
        <f t="shared" si="35"/>
        <v>16736554</v>
      </c>
      <c r="M111" s="110">
        <f t="shared" si="33"/>
        <v>16736554</v>
      </c>
      <c r="N111" s="110">
        <f t="shared" si="34"/>
        <v>0</v>
      </c>
      <c r="O111" s="110">
        <v>4875623</v>
      </c>
      <c r="P111" s="110">
        <v>0</v>
      </c>
      <c r="Q111" s="110">
        <v>7842183</v>
      </c>
      <c r="R111" s="110">
        <v>0</v>
      </c>
      <c r="S111" s="110">
        <v>4018748</v>
      </c>
      <c r="T111" s="110">
        <v>0</v>
      </c>
      <c r="U111" s="110">
        <v>206385.7</v>
      </c>
      <c r="V111" s="110"/>
      <c r="W111" s="110"/>
      <c r="X111" s="110">
        <v>0</v>
      </c>
      <c r="Y111" s="110">
        <v>0</v>
      </c>
      <c r="Z111" s="110">
        <v>0</v>
      </c>
      <c r="AA111" s="110"/>
      <c r="AB111" s="110">
        <v>136825.29999999999</v>
      </c>
      <c r="AC111" s="110">
        <v>136825.29999999999</v>
      </c>
      <c r="AD111" s="110">
        <v>0</v>
      </c>
      <c r="AE111" s="110">
        <v>3503</v>
      </c>
      <c r="AF111" s="110">
        <v>214</v>
      </c>
      <c r="AG111" s="237">
        <v>3289</v>
      </c>
    </row>
    <row r="112" spans="1:46" x14ac:dyDescent="0.3">
      <c r="A112" s="22">
        <v>2020</v>
      </c>
      <c r="B112" s="23" t="s">
        <v>31</v>
      </c>
      <c r="C112" s="24" t="s">
        <v>121</v>
      </c>
      <c r="D112" s="111">
        <v>49266340</v>
      </c>
      <c r="E112" s="111">
        <v>34705</v>
      </c>
      <c r="F112" s="111">
        <v>852301</v>
      </c>
      <c r="G112" s="111"/>
      <c r="H112" s="111">
        <v>61918</v>
      </c>
      <c r="I112" s="111">
        <v>0</v>
      </c>
      <c r="J112" s="111">
        <v>49266340</v>
      </c>
      <c r="K112" s="111">
        <v>0</v>
      </c>
      <c r="L112" s="111">
        <f t="shared" si="35"/>
        <v>17903593</v>
      </c>
      <c r="M112" s="111">
        <f t="shared" si="33"/>
        <v>17903593</v>
      </c>
      <c r="N112" s="111">
        <f t="shared" si="34"/>
        <v>0</v>
      </c>
      <c r="O112" s="111">
        <v>5198988</v>
      </c>
      <c r="P112" s="111">
        <v>0</v>
      </c>
      <c r="Q112" s="111">
        <v>8371470</v>
      </c>
      <c r="R112" s="111">
        <v>0</v>
      </c>
      <c r="S112" s="111">
        <v>4333135</v>
      </c>
      <c r="T112" s="111">
        <v>0</v>
      </c>
      <c r="U112" s="111">
        <v>207205.4</v>
      </c>
      <c r="V112" s="111"/>
      <c r="W112" s="111"/>
      <c r="X112" s="111">
        <v>0</v>
      </c>
      <c r="Y112" s="111">
        <v>0</v>
      </c>
      <c r="Z112" s="111">
        <v>0</v>
      </c>
      <c r="AA112" s="111"/>
      <c r="AB112" s="111">
        <v>133960.4</v>
      </c>
      <c r="AC112" s="111">
        <v>133960.4</v>
      </c>
      <c r="AD112" s="111">
        <v>0</v>
      </c>
      <c r="AE112" s="111">
        <v>3508</v>
      </c>
      <c r="AF112" s="111">
        <v>214</v>
      </c>
      <c r="AG112" s="238">
        <v>3294</v>
      </c>
    </row>
    <row r="113" spans="1:35" ht="15" customHeight="1" x14ac:dyDescent="0.3">
      <c r="A113" s="545" t="s">
        <v>81</v>
      </c>
      <c r="B113" s="545"/>
      <c r="C113" s="545"/>
      <c r="D113" s="171">
        <f t="shared" ref="D113:AG113" si="36">SUM(D101:D112)</f>
        <v>587030980</v>
      </c>
      <c r="E113" s="171">
        <f t="shared" si="36"/>
        <v>218542</v>
      </c>
      <c r="F113" s="171">
        <f t="shared" si="36"/>
        <v>9372829</v>
      </c>
      <c r="G113" s="171">
        <f t="shared" si="36"/>
        <v>0</v>
      </c>
      <c r="H113" s="171">
        <f t="shared" si="36"/>
        <v>440552</v>
      </c>
      <c r="I113" s="171">
        <f t="shared" si="36"/>
        <v>0</v>
      </c>
      <c r="J113" s="171">
        <f t="shared" si="36"/>
        <v>372970041</v>
      </c>
      <c r="K113" s="171">
        <f t="shared" si="36"/>
        <v>214060939</v>
      </c>
      <c r="L113" s="171">
        <f t="shared" si="36"/>
        <v>229034913</v>
      </c>
      <c r="M113" s="171">
        <f t="shared" si="36"/>
        <v>142208814</v>
      </c>
      <c r="N113" s="171">
        <f t="shared" si="36"/>
        <v>86826099</v>
      </c>
      <c r="O113" s="166">
        <f t="shared" si="36"/>
        <v>41727923</v>
      </c>
      <c r="P113" s="166">
        <f t="shared" si="36"/>
        <v>25260030</v>
      </c>
      <c r="Q113" s="166">
        <f t="shared" si="36"/>
        <v>66321542</v>
      </c>
      <c r="R113" s="166">
        <f t="shared" si="36"/>
        <v>41674874</v>
      </c>
      <c r="S113" s="166">
        <f t="shared" si="36"/>
        <v>34159349</v>
      </c>
      <c r="T113" s="166">
        <f t="shared" si="36"/>
        <v>19891195</v>
      </c>
      <c r="U113" s="166">
        <f t="shared" si="36"/>
        <v>2549706.4</v>
      </c>
      <c r="V113" s="166">
        <f t="shared" si="36"/>
        <v>0</v>
      </c>
      <c r="W113" s="166">
        <f t="shared" si="36"/>
        <v>0</v>
      </c>
      <c r="X113" s="166">
        <f t="shared" si="36"/>
        <v>0</v>
      </c>
      <c r="Y113" s="171">
        <f t="shared" si="36"/>
        <v>0</v>
      </c>
      <c r="Z113" s="171">
        <f t="shared" si="36"/>
        <v>0</v>
      </c>
      <c r="AA113" s="171"/>
      <c r="AB113" s="171">
        <f t="shared" si="36"/>
        <v>1750997.9000000001</v>
      </c>
      <c r="AC113" s="171">
        <f t="shared" si="36"/>
        <v>1092919.1999999997</v>
      </c>
      <c r="AD113" s="171">
        <f t="shared" si="36"/>
        <v>658078.69999999995</v>
      </c>
      <c r="AE113" s="171">
        <f t="shared" si="36"/>
        <v>42935</v>
      </c>
      <c r="AF113" s="162">
        <f t="shared" si="36"/>
        <v>2842</v>
      </c>
      <c r="AG113" s="171">
        <f t="shared" si="36"/>
        <v>40093</v>
      </c>
    </row>
    <row r="114" spans="1:35" x14ac:dyDescent="0.3">
      <c r="A114" s="365"/>
      <c r="B114" s="365"/>
      <c r="C114" s="285"/>
      <c r="D114" s="285"/>
      <c r="E114" s="285"/>
      <c r="F114" s="285"/>
      <c r="G114" s="285"/>
      <c r="H114" s="285"/>
      <c r="I114" s="285"/>
      <c r="J114" s="285"/>
      <c r="K114" s="285"/>
      <c r="L114" s="285"/>
      <c r="M114" s="285"/>
      <c r="N114" s="285"/>
      <c r="O114" s="285"/>
      <c r="P114" s="285"/>
      <c r="Q114" s="285"/>
      <c r="R114" s="285"/>
      <c r="S114" s="285"/>
      <c r="T114" s="285"/>
      <c r="U114" s="285"/>
      <c r="V114" s="285"/>
      <c r="W114" s="285"/>
      <c r="X114" s="285"/>
      <c r="Y114" s="285"/>
      <c r="Z114" s="285"/>
      <c r="AA114" s="285"/>
      <c r="AB114" s="285"/>
      <c r="AC114" s="285"/>
      <c r="AD114" s="285"/>
      <c r="AE114" s="285"/>
      <c r="AF114" s="285"/>
      <c r="AG114" s="285"/>
      <c r="AH114" s="285"/>
      <c r="AI114" s="285"/>
    </row>
    <row r="115" spans="1:35" x14ac:dyDescent="0.3">
      <c r="A115" s="41" t="s">
        <v>113</v>
      </c>
    </row>
    <row r="116" spans="1:35" x14ac:dyDescent="0.3">
      <c r="A116" s="41" t="s">
        <v>148</v>
      </c>
    </row>
    <row r="117" spans="1:35" x14ac:dyDescent="0.3">
      <c r="A117" s="475" t="s">
        <v>137</v>
      </c>
    </row>
  </sheetData>
  <mergeCells count="11">
    <mergeCell ref="A1:K1"/>
    <mergeCell ref="A2:K2"/>
    <mergeCell ref="A3:K3"/>
    <mergeCell ref="A4:K4"/>
    <mergeCell ref="A19:C19"/>
    <mergeCell ref="A35:C35"/>
    <mergeCell ref="A83:C83"/>
    <mergeCell ref="A98:C98"/>
    <mergeCell ref="A113:C113"/>
    <mergeCell ref="A67:C67"/>
    <mergeCell ref="A51:C51"/>
  </mergeCells>
  <printOptions horizontalCentered="1"/>
  <pageMargins left="0.25" right="0.25" top="0.5" bottom="0.75" header="0.3" footer="0.3"/>
  <pageSetup scale="39" fitToHeight="0" orientation="landscape" r:id="rId1"/>
  <rowBreaks count="1" manualBreakCount="1">
    <brk id="69" max="30"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44AC1-374F-4DB2-87A8-729E467E3198}">
  <sheetPr codeName="Sheet13"/>
  <dimension ref="A1:K113"/>
  <sheetViews>
    <sheetView zoomScaleNormal="100" workbookViewId="0">
      <selection sqref="A1:K1"/>
    </sheetView>
  </sheetViews>
  <sheetFormatPr defaultRowHeight="14.4" x14ac:dyDescent="0.3"/>
  <cols>
    <col min="1" max="1" width="9.109375" style="3" customWidth="1"/>
    <col min="2" max="2" width="6.5546875" style="3" customWidth="1"/>
    <col min="3" max="3" width="15.44140625" style="3" customWidth="1"/>
    <col min="4" max="4" width="12.109375" customWidth="1"/>
    <col min="5" max="5" width="11.109375" style="329" customWidth="1"/>
    <col min="6" max="7" width="11.109375" style="343" customWidth="1"/>
    <col min="8" max="8" width="10.88671875" customWidth="1"/>
    <col min="9" max="9" width="10.109375" customWidth="1"/>
  </cols>
  <sheetData>
    <row r="1" spans="1:11" s="343" customFormat="1" ht="18" x14ac:dyDescent="0.35">
      <c r="A1" s="542" t="s">
        <v>122</v>
      </c>
      <c r="B1" s="542"/>
      <c r="C1" s="542"/>
      <c r="D1" s="542"/>
      <c r="E1" s="542"/>
      <c r="F1" s="542"/>
      <c r="G1" s="542"/>
      <c r="H1" s="542"/>
      <c r="I1" s="542"/>
      <c r="J1" s="542"/>
      <c r="K1" s="542"/>
    </row>
    <row r="2" spans="1:11" s="343" customFormat="1" ht="18" x14ac:dyDescent="0.35">
      <c r="A2" s="542" t="s">
        <v>163</v>
      </c>
      <c r="B2" s="542"/>
      <c r="C2" s="542"/>
      <c r="D2" s="542"/>
      <c r="E2" s="542"/>
      <c r="F2" s="542"/>
      <c r="G2" s="542"/>
      <c r="H2" s="542"/>
      <c r="I2" s="542"/>
      <c r="J2" s="542"/>
      <c r="K2" s="542"/>
    </row>
    <row r="3" spans="1:11" s="343" customFormat="1" ht="18" x14ac:dyDescent="0.35">
      <c r="A3" s="542" t="s">
        <v>166</v>
      </c>
      <c r="B3" s="542"/>
      <c r="C3" s="542"/>
      <c r="D3" s="542"/>
      <c r="E3" s="542"/>
      <c r="F3" s="542"/>
      <c r="G3" s="542"/>
      <c r="H3" s="542"/>
      <c r="I3" s="542"/>
      <c r="J3" s="542"/>
      <c r="K3" s="542"/>
    </row>
    <row r="4" spans="1:11" s="343" customFormat="1" ht="18" x14ac:dyDescent="0.35">
      <c r="A4" s="542" t="s">
        <v>123</v>
      </c>
      <c r="B4" s="542"/>
      <c r="C4" s="542"/>
      <c r="D4" s="542"/>
      <c r="E4" s="542"/>
      <c r="F4" s="542"/>
      <c r="G4" s="542"/>
      <c r="H4" s="542"/>
      <c r="I4" s="542"/>
      <c r="J4" s="542"/>
      <c r="K4" s="542"/>
    </row>
    <row r="5" spans="1:11" s="343" customFormat="1" x14ac:dyDescent="0.3">
      <c r="A5" s="3"/>
      <c r="B5" s="3"/>
      <c r="C5" s="3"/>
    </row>
    <row r="6" spans="1:11" s="330" customFormat="1" ht="24" x14ac:dyDescent="0.25">
      <c r="A6" s="6" t="s">
        <v>18</v>
      </c>
      <c r="B6" s="6" t="s">
        <v>19</v>
      </c>
      <c r="C6" s="7" t="s">
        <v>0</v>
      </c>
      <c r="D6" s="392" t="s">
        <v>11</v>
      </c>
      <c r="E6" s="392" t="s">
        <v>98</v>
      </c>
      <c r="F6" s="499" t="s">
        <v>158</v>
      </c>
      <c r="G6" s="499" t="s">
        <v>159</v>
      </c>
      <c r="H6" s="112" t="s">
        <v>9</v>
      </c>
      <c r="I6" s="8" t="s">
        <v>10</v>
      </c>
    </row>
    <row r="7" spans="1:11" s="343" customFormat="1" x14ac:dyDescent="0.3">
      <c r="A7" s="16">
        <v>2027</v>
      </c>
      <c r="B7" s="17" t="s">
        <v>20</v>
      </c>
      <c r="C7" s="18" t="s">
        <v>60</v>
      </c>
      <c r="D7" s="408">
        <v>20888964.693192426</v>
      </c>
      <c r="E7" s="399">
        <v>3067.1465052274102</v>
      </c>
      <c r="F7" s="399">
        <v>159426.83748582401</v>
      </c>
      <c r="G7" s="399">
        <v>50992.187616695701</v>
      </c>
      <c r="H7" s="207"/>
      <c r="I7" s="208"/>
    </row>
    <row r="8" spans="1:11" s="343" customFormat="1" x14ac:dyDescent="0.3">
      <c r="A8" s="19">
        <v>2027</v>
      </c>
      <c r="B8" s="20" t="s">
        <v>21</v>
      </c>
      <c r="C8" s="21" t="s">
        <v>60</v>
      </c>
      <c r="D8" s="408">
        <v>15003021.441806419</v>
      </c>
      <c r="E8" s="399">
        <v>7183.5558573282497</v>
      </c>
      <c r="F8" s="399">
        <v>152646.418941115</v>
      </c>
      <c r="G8" s="399">
        <v>48815.9877955103</v>
      </c>
      <c r="H8" s="209"/>
      <c r="I8" s="210"/>
    </row>
    <row r="9" spans="1:11" s="343" customFormat="1" x14ac:dyDescent="0.3">
      <c r="A9" s="19">
        <v>2027</v>
      </c>
      <c r="B9" s="20" t="s">
        <v>22</v>
      </c>
      <c r="C9" s="21" t="s">
        <v>60</v>
      </c>
      <c r="D9" s="408">
        <v>16104031.076175682</v>
      </c>
      <c r="E9" s="399">
        <v>13855.767899324301</v>
      </c>
      <c r="F9" s="399">
        <v>129326.9967531</v>
      </c>
      <c r="G9" s="399">
        <v>41376.8596990386</v>
      </c>
      <c r="H9" s="209"/>
      <c r="I9" s="210"/>
    </row>
    <row r="10" spans="1:11" s="343" customFormat="1" x14ac:dyDescent="0.3">
      <c r="A10" s="19">
        <v>2027</v>
      </c>
      <c r="B10" s="20" t="s">
        <v>23</v>
      </c>
      <c r="C10" s="21" t="s">
        <v>60</v>
      </c>
      <c r="D10" s="408">
        <v>17242053.426264089</v>
      </c>
      <c r="E10" s="399">
        <v>14766.656344557599</v>
      </c>
      <c r="F10" s="399">
        <v>128746.071029721</v>
      </c>
      <c r="G10" s="399">
        <v>41192.135592892097</v>
      </c>
      <c r="H10" s="209"/>
      <c r="I10" s="210"/>
    </row>
    <row r="11" spans="1:11" s="343" customFormat="1" x14ac:dyDescent="0.3">
      <c r="A11" s="19">
        <v>2027</v>
      </c>
      <c r="B11" s="20" t="s">
        <v>24</v>
      </c>
      <c r="C11" s="21" t="s">
        <v>60</v>
      </c>
      <c r="D11" s="408">
        <v>16360110.181856962</v>
      </c>
      <c r="E11" s="399">
        <v>16512.373133460598</v>
      </c>
      <c r="F11" s="399">
        <v>133444.588492251</v>
      </c>
      <c r="G11" s="399">
        <v>42684.565089880598</v>
      </c>
      <c r="H11" s="209"/>
      <c r="I11" s="210"/>
    </row>
    <row r="12" spans="1:11" s="343" customFormat="1" x14ac:dyDescent="0.3">
      <c r="A12" s="19">
        <v>2027</v>
      </c>
      <c r="B12" s="20" t="s">
        <v>25</v>
      </c>
      <c r="C12" s="21" t="s">
        <v>60</v>
      </c>
      <c r="D12" s="408">
        <v>16675322.223970965</v>
      </c>
      <c r="E12" s="399">
        <v>21430.620905661199</v>
      </c>
      <c r="F12" s="399">
        <v>153493.36619406601</v>
      </c>
      <c r="G12" s="399">
        <v>49116.454830020601</v>
      </c>
      <c r="H12" s="209"/>
      <c r="I12" s="210"/>
    </row>
    <row r="13" spans="1:11" s="343" customFormat="1" x14ac:dyDescent="0.3">
      <c r="A13" s="19">
        <v>2027</v>
      </c>
      <c r="B13" s="20" t="s">
        <v>26</v>
      </c>
      <c r="C13" s="21" t="s">
        <v>60</v>
      </c>
      <c r="D13" s="408">
        <v>19894814.503008772</v>
      </c>
      <c r="E13" s="399">
        <v>20598.541722289101</v>
      </c>
      <c r="F13" s="399">
        <v>162527.01982960899</v>
      </c>
      <c r="G13" s="399">
        <v>51987.489541094401</v>
      </c>
      <c r="H13" s="209"/>
      <c r="I13" s="210"/>
    </row>
    <row r="14" spans="1:11" s="343" customFormat="1" x14ac:dyDescent="0.3">
      <c r="A14" s="19">
        <v>2027</v>
      </c>
      <c r="B14" s="20" t="s">
        <v>27</v>
      </c>
      <c r="C14" s="21" t="s">
        <v>60</v>
      </c>
      <c r="D14" s="408">
        <v>17895392.120488361</v>
      </c>
      <c r="E14" s="399">
        <v>21236.346911305602</v>
      </c>
      <c r="F14" s="399">
        <v>172885.10199314801</v>
      </c>
      <c r="G14" s="399">
        <v>55281.728576054702</v>
      </c>
      <c r="H14" s="209"/>
      <c r="I14" s="210"/>
    </row>
    <row r="15" spans="1:11" s="343" customFormat="1" x14ac:dyDescent="0.3">
      <c r="A15" s="19">
        <v>2027</v>
      </c>
      <c r="B15" s="20" t="s">
        <v>28</v>
      </c>
      <c r="C15" s="21" t="s">
        <v>60</v>
      </c>
      <c r="D15" s="408">
        <v>16880423.966092139</v>
      </c>
      <c r="E15" s="399">
        <v>20100.943708444302</v>
      </c>
      <c r="F15" s="399">
        <v>166005.027334882</v>
      </c>
      <c r="G15" s="399">
        <v>53078.9905059421</v>
      </c>
      <c r="H15" s="209"/>
      <c r="I15" s="210"/>
    </row>
    <row r="16" spans="1:11" s="343" customFormat="1" x14ac:dyDescent="0.3">
      <c r="A16" s="19">
        <v>2027</v>
      </c>
      <c r="B16" s="20" t="s">
        <v>29</v>
      </c>
      <c r="C16" s="21" t="s">
        <v>60</v>
      </c>
      <c r="D16" s="408">
        <v>14473597.921198757</v>
      </c>
      <c r="E16" s="399">
        <v>9577.1580896718406</v>
      </c>
      <c r="F16" s="399">
        <v>144502.25035260001</v>
      </c>
      <c r="G16" s="399">
        <v>46231.514659214103</v>
      </c>
      <c r="H16" s="209"/>
      <c r="I16" s="210"/>
    </row>
    <row r="17" spans="1:10" s="343" customFormat="1" x14ac:dyDescent="0.3">
      <c r="A17" s="19">
        <v>2027</v>
      </c>
      <c r="B17" s="20" t="s">
        <v>30</v>
      </c>
      <c r="C17" s="21" t="s">
        <v>60</v>
      </c>
      <c r="D17" s="408">
        <v>14502156.047335699</v>
      </c>
      <c r="E17" s="399">
        <v>7872.6787052311502</v>
      </c>
      <c r="F17" s="399">
        <v>148968.72180891101</v>
      </c>
      <c r="G17" s="399">
        <v>47700.42006697</v>
      </c>
      <c r="H17" s="209"/>
      <c r="I17" s="210"/>
    </row>
    <row r="18" spans="1:10" s="343" customFormat="1" x14ac:dyDescent="0.3">
      <c r="A18" s="22">
        <v>2027</v>
      </c>
      <c r="B18" s="23" t="s">
        <v>31</v>
      </c>
      <c r="C18" s="24" t="s">
        <v>60</v>
      </c>
      <c r="D18" s="409">
        <v>18083511.005114298</v>
      </c>
      <c r="E18" s="403">
        <v>6193.8581502336601</v>
      </c>
      <c r="F18" s="412">
        <v>154633.624071928</v>
      </c>
      <c r="G18" s="412">
        <v>49483.106104175698</v>
      </c>
      <c r="H18" s="211"/>
      <c r="I18" s="212"/>
    </row>
    <row r="19" spans="1:10" s="343" customFormat="1" x14ac:dyDescent="0.3">
      <c r="A19" s="550" t="s">
        <v>96</v>
      </c>
      <c r="B19" s="550"/>
      <c r="C19" s="550"/>
      <c r="D19" s="171">
        <f t="shared" ref="D19:I19" si="0">SUM(D7:D18)</f>
        <v>204003398.60650453</v>
      </c>
      <c r="E19" s="171">
        <f t="shared" si="0"/>
        <v>162395.64793273501</v>
      </c>
      <c r="F19" s="171">
        <f t="shared" si="0"/>
        <v>1806606.0242871549</v>
      </c>
      <c r="G19" s="171">
        <f t="shared" si="0"/>
        <v>577941.44007748889</v>
      </c>
      <c r="H19" s="171">
        <f t="shared" si="0"/>
        <v>0</v>
      </c>
      <c r="I19" s="171">
        <f t="shared" si="0"/>
        <v>0</v>
      </c>
    </row>
    <row r="20" spans="1:10" s="343" customFormat="1" x14ac:dyDescent="0.3">
      <c r="A20" s="255"/>
      <c r="B20" s="255"/>
      <c r="C20" s="255"/>
      <c r="D20" s="255"/>
      <c r="E20" s="255"/>
      <c r="F20" s="255"/>
      <c r="G20" s="255"/>
      <c r="H20" s="255"/>
      <c r="I20" s="255"/>
      <c r="J20" s="255"/>
    </row>
    <row r="21" spans="1:10" s="2" customFormat="1" ht="24" x14ac:dyDescent="0.25">
      <c r="A21" s="6" t="s">
        <v>18</v>
      </c>
      <c r="B21" s="6" t="s">
        <v>19</v>
      </c>
      <c r="C21" s="7" t="s">
        <v>0</v>
      </c>
      <c r="D21" s="392" t="s">
        <v>11</v>
      </c>
      <c r="E21" s="392" t="s">
        <v>98</v>
      </c>
      <c r="F21" s="499" t="s">
        <v>158</v>
      </c>
      <c r="G21" s="499" t="s">
        <v>159</v>
      </c>
      <c r="H21" s="112" t="s">
        <v>9</v>
      </c>
      <c r="I21" s="8" t="s">
        <v>10</v>
      </c>
    </row>
    <row r="22" spans="1:10" s="200" customFormat="1" x14ac:dyDescent="0.3">
      <c r="A22" s="16">
        <v>2026</v>
      </c>
      <c r="B22" s="17" t="s">
        <v>20</v>
      </c>
      <c r="C22" s="18" t="s">
        <v>60</v>
      </c>
      <c r="D22" s="408">
        <v>21228323.416328214</v>
      </c>
      <c r="E22" s="399">
        <v>3082.5593017360902</v>
      </c>
      <c r="F22" s="399">
        <v>144076.66269711801</v>
      </c>
      <c r="G22" s="399">
        <v>45940.578288144803</v>
      </c>
      <c r="H22" s="207"/>
      <c r="I22" s="208"/>
    </row>
    <row r="23" spans="1:10" s="200" customFormat="1" x14ac:dyDescent="0.3">
      <c r="A23" s="19">
        <v>2026</v>
      </c>
      <c r="B23" s="20" t="s">
        <v>21</v>
      </c>
      <c r="C23" s="21" t="s">
        <v>60</v>
      </c>
      <c r="D23" s="408">
        <v>16040917.259091768</v>
      </c>
      <c r="E23" s="399">
        <v>7219.6541279680896</v>
      </c>
      <c r="F23" s="399">
        <v>137986.827389855</v>
      </c>
      <c r="G23" s="399">
        <v>43998.760991311799</v>
      </c>
      <c r="H23" s="209"/>
      <c r="I23" s="210"/>
    </row>
    <row r="24" spans="1:10" s="200" customFormat="1" x14ac:dyDescent="0.3">
      <c r="A24" s="19">
        <v>2026</v>
      </c>
      <c r="B24" s="20" t="s">
        <v>22</v>
      </c>
      <c r="C24" s="21" t="s">
        <v>60</v>
      </c>
      <c r="D24" s="408">
        <v>15936813.715421632</v>
      </c>
      <c r="E24" s="399">
        <v>13925.3948736928</v>
      </c>
      <c r="F24" s="399">
        <v>116814.512148838</v>
      </c>
      <c r="G24" s="399">
        <v>37247.713405513801</v>
      </c>
      <c r="H24" s="209"/>
      <c r="I24" s="210"/>
    </row>
    <row r="25" spans="1:10" s="200" customFormat="1" x14ac:dyDescent="0.3">
      <c r="A25" s="19">
        <v>2026</v>
      </c>
      <c r="B25" s="20" t="s">
        <v>23</v>
      </c>
      <c r="C25" s="21" t="s">
        <v>60</v>
      </c>
      <c r="D25" s="408">
        <v>17016980.305446055</v>
      </c>
      <c r="E25" s="399">
        <v>14840.8606477966</v>
      </c>
      <c r="F25" s="399">
        <v>116284.071784942</v>
      </c>
      <c r="G25" s="399">
        <v>37078.576110072798</v>
      </c>
      <c r="H25" s="209"/>
      <c r="I25" s="210"/>
    </row>
    <row r="26" spans="1:10" s="200" customFormat="1" x14ac:dyDescent="0.3">
      <c r="A26" s="19">
        <v>2026</v>
      </c>
      <c r="B26" s="20" t="s">
        <v>24</v>
      </c>
      <c r="C26" s="21" t="s">
        <v>60</v>
      </c>
      <c r="D26" s="408">
        <v>15304322.450237984</v>
      </c>
      <c r="E26" s="399">
        <v>16595.349882875002</v>
      </c>
      <c r="F26" s="399">
        <v>120582.39225436399</v>
      </c>
      <c r="G26" s="399">
        <v>38449.147334700101</v>
      </c>
      <c r="H26" s="209"/>
      <c r="I26" s="210"/>
    </row>
    <row r="27" spans="1:10" s="200" customFormat="1" x14ac:dyDescent="0.3">
      <c r="A27" s="19">
        <v>2026</v>
      </c>
      <c r="B27" s="20" t="s">
        <v>25</v>
      </c>
      <c r="C27" s="21" t="s">
        <v>60</v>
      </c>
      <c r="D27" s="408">
        <v>16507416.804660577</v>
      </c>
      <c r="E27" s="399">
        <v>21538.312468001201</v>
      </c>
      <c r="F27" s="399">
        <v>138603.48257873699</v>
      </c>
      <c r="G27" s="399">
        <v>44195.388921548998</v>
      </c>
      <c r="H27" s="209"/>
      <c r="I27" s="210"/>
    </row>
    <row r="28" spans="1:10" s="200" customFormat="1" x14ac:dyDescent="0.3">
      <c r="A28" s="19">
        <v>2026</v>
      </c>
      <c r="B28" s="20" t="s">
        <v>26</v>
      </c>
      <c r="C28" s="21" t="s">
        <v>60</v>
      </c>
      <c r="D28" s="408">
        <v>19374217.895012736</v>
      </c>
      <c r="E28" s="399">
        <v>20702.051982200101</v>
      </c>
      <c r="F28" s="399">
        <v>146859.64802229701</v>
      </c>
      <c r="G28" s="399">
        <v>46827.966660506798</v>
      </c>
      <c r="H28" s="209"/>
      <c r="I28" s="210"/>
    </row>
    <row r="29" spans="1:10" s="200" customFormat="1" x14ac:dyDescent="0.3">
      <c r="A29" s="19">
        <v>2026</v>
      </c>
      <c r="B29" s="20" t="s">
        <v>27</v>
      </c>
      <c r="C29" s="21" t="s">
        <v>60</v>
      </c>
      <c r="D29" s="408">
        <v>19568269.803451125</v>
      </c>
      <c r="E29" s="399">
        <v>21343.062222417699</v>
      </c>
      <c r="F29" s="399">
        <v>156314.78404044901</v>
      </c>
      <c r="G29" s="399">
        <v>49842.850600316699</v>
      </c>
      <c r="H29" s="209"/>
      <c r="I29" s="210"/>
    </row>
    <row r="30" spans="1:10" s="200" customFormat="1" x14ac:dyDescent="0.3">
      <c r="A30" s="19">
        <v>2026</v>
      </c>
      <c r="B30" s="20" t="s">
        <v>28</v>
      </c>
      <c r="C30" s="21" t="s">
        <v>60</v>
      </c>
      <c r="D30" s="408">
        <v>15722209.889833797</v>
      </c>
      <c r="E30" s="399">
        <v>20201.9534758234</v>
      </c>
      <c r="F30" s="399">
        <v>150108.04727557799</v>
      </c>
      <c r="G30" s="399">
        <v>47863.757866471897</v>
      </c>
      <c r="H30" s="209"/>
      <c r="I30" s="210"/>
    </row>
    <row r="31" spans="1:10" s="200" customFormat="1" x14ac:dyDescent="0.3">
      <c r="A31" s="19">
        <v>2026</v>
      </c>
      <c r="B31" s="20" t="s">
        <v>29</v>
      </c>
      <c r="C31" s="21" t="s">
        <v>60</v>
      </c>
      <c r="D31" s="408">
        <v>14478109.678637434</v>
      </c>
      <c r="E31" s="399">
        <v>9625.284512233</v>
      </c>
      <c r="F31" s="399">
        <v>130524.130589808</v>
      </c>
      <c r="G31" s="399">
        <v>41619.190281071598</v>
      </c>
      <c r="H31" s="209"/>
      <c r="I31" s="210"/>
    </row>
    <row r="32" spans="1:10" s="200" customFormat="1" x14ac:dyDescent="0.3">
      <c r="A32" s="19">
        <v>2026</v>
      </c>
      <c r="B32" s="20" t="s">
        <v>30</v>
      </c>
      <c r="C32" s="21" t="s">
        <v>60</v>
      </c>
      <c r="D32" s="408">
        <v>14353271.406657128</v>
      </c>
      <c r="E32" s="399">
        <v>7912.2399047549197</v>
      </c>
      <c r="F32" s="399">
        <v>134357.767765239</v>
      </c>
      <c r="G32" s="399">
        <v>42841.591643576998</v>
      </c>
      <c r="H32" s="209"/>
      <c r="I32" s="210"/>
    </row>
    <row r="33" spans="1:10" s="200" customFormat="1" x14ac:dyDescent="0.3">
      <c r="A33" s="22">
        <v>2026</v>
      </c>
      <c r="B33" s="23" t="s">
        <v>31</v>
      </c>
      <c r="C33" s="24" t="s">
        <v>60</v>
      </c>
      <c r="D33" s="409">
        <v>18270544.565896735</v>
      </c>
      <c r="E33" s="403">
        <v>6224.9830655614596</v>
      </c>
      <c r="F33" s="412">
        <v>139624.17843047599</v>
      </c>
      <c r="G33" s="412">
        <v>44520.850080958196</v>
      </c>
      <c r="H33" s="211"/>
      <c r="I33" s="212"/>
    </row>
    <row r="34" spans="1:10" s="200" customFormat="1" x14ac:dyDescent="0.3">
      <c r="A34" s="550" t="s">
        <v>96</v>
      </c>
      <c r="B34" s="550"/>
      <c r="C34" s="550"/>
      <c r="D34" s="331">
        <f t="shared" ref="D34:I34" si="1">SUM(D22:D33)</f>
        <v>203801397.1906752</v>
      </c>
      <c r="E34" s="331">
        <f t="shared" si="1"/>
        <v>163211.70646506033</v>
      </c>
      <c r="F34" s="331">
        <f t="shared" si="1"/>
        <v>1632136.504977701</v>
      </c>
      <c r="G34" s="331">
        <f t="shared" si="1"/>
        <v>520426.37218419451</v>
      </c>
      <c r="H34" s="331">
        <f t="shared" si="1"/>
        <v>0</v>
      </c>
      <c r="I34" s="171">
        <f t="shared" si="1"/>
        <v>0</v>
      </c>
    </row>
    <row r="35" spans="1:10" s="200" customFormat="1" x14ac:dyDescent="0.3">
      <c r="A35" s="255"/>
      <c r="B35" s="255"/>
      <c r="C35" s="255"/>
      <c r="D35" s="255"/>
      <c r="E35" s="255"/>
      <c r="F35" s="255"/>
      <c r="G35" s="255"/>
      <c r="H35" s="255"/>
      <c r="I35" s="255"/>
      <c r="J35" s="255"/>
    </row>
    <row r="36" spans="1:10" s="330" customFormat="1" ht="24" x14ac:dyDescent="0.25">
      <c r="A36" s="6" t="s">
        <v>18</v>
      </c>
      <c r="B36" s="6" t="s">
        <v>19</v>
      </c>
      <c r="C36" s="7" t="s">
        <v>0</v>
      </c>
      <c r="D36" s="8" t="s">
        <v>111</v>
      </c>
      <c r="E36" s="8" t="s">
        <v>98</v>
      </c>
      <c r="F36" s="499" t="s">
        <v>158</v>
      </c>
      <c r="G36" s="499" t="s">
        <v>159</v>
      </c>
      <c r="H36" s="112" t="s">
        <v>9</v>
      </c>
      <c r="I36" s="8" t="s">
        <v>10</v>
      </c>
    </row>
    <row r="37" spans="1:10" s="343" customFormat="1" x14ac:dyDescent="0.3">
      <c r="A37" s="16">
        <v>2024</v>
      </c>
      <c r="B37" s="17" t="s">
        <v>20</v>
      </c>
      <c r="C37" s="18" t="s">
        <v>60</v>
      </c>
      <c r="D37" s="239">
        <v>17619940</v>
      </c>
      <c r="E37" s="239">
        <v>3419</v>
      </c>
      <c r="F37" s="239">
        <v>156375</v>
      </c>
      <c r="G37" s="239">
        <v>38092</v>
      </c>
      <c r="H37" s="239"/>
      <c r="I37" s="240"/>
    </row>
    <row r="38" spans="1:10" s="343" customFormat="1" x14ac:dyDescent="0.3">
      <c r="A38" s="19">
        <v>2024</v>
      </c>
      <c r="B38" s="20" t="s">
        <v>21</v>
      </c>
      <c r="C38" s="21" t="s">
        <v>60</v>
      </c>
      <c r="D38" s="241">
        <v>17987441</v>
      </c>
      <c r="E38" s="241">
        <v>7353</v>
      </c>
      <c r="F38" s="241">
        <v>152638</v>
      </c>
      <c r="G38" s="241">
        <v>36945</v>
      </c>
      <c r="H38" s="241"/>
      <c r="I38" s="242"/>
    </row>
    <row r="39" spans="1:10" s="343" customFormat="1" x14ac:dyDescent="0.3">
      <c r="A39" s="19">
        <v>2024</v>
      </c>
      <c r="B39" s="20" t="s">
        <v>22</v>
      </c>
      <c r="C39" s="21" t="s">
        <v>60</v>
      </c>
      <c r="D39" s="241">
        <v>15616171</v>
      </c>
      <c r="E39" s="241">
        <v>14944</v>
      </c>
      <c r="F39" s="241">
        <v>130599</v>
      </c>
      <c r="G39" s="241">
        <v>31129</v>
      </c>
      <c r="H39" s="241"/>
      <c r="I39" s="242"/>
    </row>
    <row r="40" spans="1:10" s="343" customFormat="1" x14ac:dyDescent="0.3">
      <c r="A40" s="19">
        <v>2024</v>
      </c>
      <c r="B40" s="20" t="s">
        <v>23</v>
      </c>
      <c r="C40" s="21" t="s">
        <v>60</v>
      </c>
      <c r="D40" s="241">
        <v>15307384</v>
      </c>
      <c r="E40" s="241">
        <v>16236</v>
      </c>
      <c r="F40" s="241">
        <v>126616</v>
      </c>
      <c r="G40" s="241">
        <v>29679</v>
      </c>
      <c r="H40" s="241"/>
      <c r="I40" s="242"/>
    </row>
    <row r="41" spans="1:10" s="343" customFormat="1" x14ac:dyDescent="0.3">
      <c r="A41" s="19">
        <v>2024</v>
      </c>
      <c r="B41" s="20" t="s">
        <v>24</v>
      </c>
      <c r="C41" s="21" t="s">
        <v>60</v>
      </c>
      <c r="D41" s="241">
        <v>14717565</v>
      </c>
      <c r="E41" s="241">
        <v>17574</v>
      </c>
      <c r="F41" s="241">
        <v>133317</v>
      </c>
      <c r="G41" s="241">
        <v>31725</v>
      </c>
      <c r="H41" s="241"/>
      <c r="I41" s="242"/>
    </row>
    <row r="42" spans="1:10" s="343" customFormat="1" x14ac:dyDescent="0.3">
      <c r="A42" s="19">
        <v>2024</v>
      </c>
      <c r="B42" s="20" t="s">
        <v>25</v>
      </c>
      <c r="C42" s="21" t="s">
        <v>60</v>
      </c>
      <c r="D42" s="241">
        <v>16182549</v>
      </c>
      <c r="E42" s="241">
        <v>23422</v>
      </c>
      <c r="F42" s="241">
        <v>155099</v>
      </c>
      <c r="G42" s="241">
        <v>38040</v>
      </c>
      <c r="H42" s="241"/>
      <c r="I42" s="242"/>
    </row>
    <row r="43" spans="1:10" s="343" customFormat="1" x14ac:dyDescent="0.3">
      <c r="A43" s="19">
        <v>2024</v>
      </c>
      <c r="B43" s="20" t="s">
        <v>26</v>
      </c>
      <c r="C43" s="21" t="s">
        <v>60</v>
      </c>
      <c r="D43" s="241">
        <v>17311686</v>
      </c>
      <c r="E43" s="241">
        <v>22376</v>
      </c>
      <c r="F43" s="241">
        <v>160472</v>
      </c>
      <c r="G43" s="241">
        <v>39443</v>
      </c>
      <c r="H43" s="241"/>
      <c r="I43" s="242"/>
    </row>
    <row r="44" spans="1:10" s="343" customFormat="1" x14ac:dyDescent="0.3">
      <c r="A44" s="19">
        <v>2024</v>
      </c>
      <c r="B44" s="20" t="s">
        <v>27</v>
      </c>
      <c r="C44" s="21" t="s">
        <v>60</v>
      </c>
      <c r="D44" s="241">
        <v>18003023</v>
      </c>
      <c r="E44" s="241">
        <v>23227</v>
      </c>
      <c r="F44" s="241">
        <v>171046</v>
      </c>
      <c r="G44" s="241">
        <v>42605</v>
      </c>
      <c r="H44" s="241"/>
      <c r="I44" s="242"/>
    </row>
    <row r="45" spans="1:10" s="343" customFormat="1" x14ac:dyDescent="0.3">
      <c r="A45" s="19">
        <v>2024</v>
      </c>
      <c r="B45" s="20" t="s">
        <v>28</v>
      </c>
      <c r="C45" s="21" t="s">
        <v>60</v>
      </c>
      <c r="D45" s="241">
        <v>17865327</v>
      </c>
      <c r="E45" s="241">
        <v>22414</v>
      </c>
      <c r="F45" s="241">
        <v>163789</v>
      </c>
      <c r="G45" s="241">
        <v>39097</v>
      </c>
      <c r="H45" s="241"/>
      <c r="I45" s="242"/>
    </row>
    <row r="46" spans="1:10" s="343" customFormat="1" x14ac:dyDescent="0.3">
      <c r="A46" s="19">
        <v>2024</v>
      </c>
      <c r="B46" s="20" t="s">
        <v>29</v>
      </c>
      <c r="C46" s="21" t="s">
        <v>60</v>
      </c>
      <c r="D46" s="241">
        <v>14895089</v>
      </c>
      <c r="E46" s="241">
        <v>16683</v>
      </c>
      <c r="F46" s="241">
        <v>128588</v>
      </c>
      <c r="G46" s="241">
        <v>30612</v>
      </c>
      <c r="H46" s="241"/>
      <c r="I46" s="242"/>
    </row>
    <row r="47" spans="1:10" s="343" customFormat="1" x14ac:dyDescent="0.3">
      <c r="A47" s="19">
        <v>2024</v>
      </c>
      <c r="B47" s="20" t="s">
        <v>30</v>
      </c>
      <c r="C47" s="21" t="s">
        <v>60</v>
      </c>
      <c r="D47" s="241">
        <v>14493045</v>
      </c>
      <c r="E47" s="241">
        <v>9830</v>
      </c>
      <c r="F47" s="241">
        <v>127742</v>
      </c>
      <c r="G47" s="241">
        <v>30628</v>
      </c>
      <c r="H47" s="241"/>
      <c r="I47" s="242"/>
    </row>
    <row r="48" spans="1:10" s="343" customFormat="1" x14ac:dyDescent="0.3">
      <c r="A48" s="22">
        <v>2024</v>
      </c>
      <c r="B48" s="23" t="s">
        <v>31</v>
      </c>
      <c r="C48" s="24" t="s">
        <v>60</v>
      </c>
      <c r="D48" s="243">
        <v>17412427</v>
      </c>
      <c r="E48" s="243">
        <v>5153</v>
      </c>
      <c r="F48" s="243">
        <v>135967</v>
      </c>
      <c r="G48" s="243">
        <v>33757</v>
      </c>
      <c r="H48" s="243"/>
      <c r="I48" s="244"/>
    </row>
    <row r="49" spans="1:10" s="343" customFormat="1" ht="15" customHeight="1" x14ac:dyDescent="0.3">
      <c r="A49" s="545" t="s">
        <v>81</v>
      </c>
      <c r="B49" s="545"/>
      <c r="C49" s="545"/>
      <c r="D49" s="171">
        <f t="shared" ref="D49:I49" si="2">SUM(D37:D48)</f>
        <v>197411647</v>
      </c>
      <c r="E49" s="171">
        <f t="shared" si="2"/>
        <v>182631</v>
      </c>
      <c r="F49" s="171">
        <f t="shared" si="2"/>
        <v>1742248</v>
      </c>
      <c r="G49" s="171">
        <f t="shared" si="2"/>
        <v>421752</v>
      </c>
      <c r="H49" s="171">
        <f t="shared" si="2"/>
        <v>0</v>
      </c>
      <c r="I49" s="171">
        <f t="shared" si="2"/>
        <v>0</v>
      </c>
    </row>
    <row r="50" spans="1:10" s="343" customFormat="1" x14ac:dyDescent="0.3">
      <c r="A50" s="255"/>
      <c r="B50" s="255"/>
      <c r="C50" s="255"/>
      <c r="D50" s="255"/>
      <c r="E50" s="255"/>
      <c r="F50" s="255"/>
      <c r="G50" s="255"/>
      <c r="H50" s="255"/>
      <c r="I50" s="255"/>
      <c r="J50" s="255"/>
    </row>
    <row r="51" spans="1:10" s="330" customFormat="1" ht="24" x14ac:dyDescent="0.25">
      <c r="A51" s="6" t="s">
        <v>18</v>
      </c>
      <c r="B51" s="6" t="s">
        <v>19</v>
      </c>
      <c r="C51" s="7" t="s">
        <v>0</v>
      </c>
      <c r="D51" s="8" t="s">
        <v>111</v>
      </c>
      <c r="E51" s="8" t="s">
        <v>98</v>
      </c>
      <c r="F51" s="499" t="s">
        <v>158</v>
      </c>
      <c r="G51" s="499"/>
      <c r="H51" s="112" t="s">
        <v>9</v>
      </c>
      <c r="I51" s="8" t="s">
        <v>10</v>
      </c>
    </row>
    <row r="52" spans="1:10" s="343" customFormat="1" x14ac:dyDescent="0.3">
      <c r="A52" s="16">
        <v>2023</v>
      </c>
      <c r="B52" s="17" t="s">
        <v>20</v>
      </c>
      <c r="C52" s="18" t="s">
        <v>60</v>
      </c>
      <c r="D52" s="239">
        <v>17062486</v>
      </c>
      <c r="E52" s="239">
        <v>3034</v>
      </c>
      <c r="F52" s="239">
        <v>224343</v>
      </c>
      <c r="G52" s="239"/>
      <c r="H52" s="239"/>
      <c r="I52" s="240"/>
    </row>
    <row r="53" spans="1:10" s="343" customFormat="1" x14ac:dyDescent="0.3">
      <c r="A53" s="19">
        <v>2023</v>
      </c>
      <c r="B53" s="20" t="s">
        <v>21</v>
      </c>
      <c r="C53" s="21" t="s">
        <v>60</v>
      </c>
      <c r="D53" s="241">
        <v>15930999</v>
      </c>
      <c r="E53" s="241">
        <v>5388</v>
      </c>
      <c r="F53" s="241">
        <v>211760</v>
      </c>
      <c r="G53" s="241"/>
      <c r="H53" s="241"/>
      <c r="I53" s="242"/>
    </row>
    <row r="54" spans="1:10" s="343" customFormat="1" x14ac:dyDescent="0.3">
      <c r="A54" s="19">
        <v>2023</v>
      </c>
      <c r="B54" s="20" t="s">
        <v>22</v>
      </c>
      <c r="C54" s="21" t="s">
        <v>60</v>
      </c>
      <c r="D54" s="241">
        <v>15603139</v>
      </c>
      <c r="E54" s="241">
        <v>10859</v>
      </c>
      <c r="F54" s="241">
        <v>198732</v>
      </c>
      <c r="G54" s="241"/>
      <c r="H54" s="241"/>
      <c r="I54" s="242"/>
    </row>
    <row r="55" spans="1:10" s="343" customFormat="1" x14ac:dyDescent="0.3">
      <c r="A55" s="19">
        <v>2023</v>
      </c>
      <c r="B55" s="20" t="s">
        <v>23</v>
      </c>
      <c r="C55" s="21" t="s">
        <v>60</v>
      </c>
      <c r="D55" s="241">
        <v>15428220</v>
      </c>
      <c r="E55" s="241">
        <v>17444</v>
      </c>
      <c r="F55" s="241">
        <v>199501</v>
      </c>
      <c r="G55" s="241"/>
      <c r="H55" s="241"/>
      <c r="I55" s="242"/>
    </row>
    <row r="56" spans="1:10" s="343" customFormat="1" x14ac:dyDescent="0.3">
      <c r="A56" s="19">
        <v>2023</v>
      </c>
      <c r="B56" s="20" t="s">
        <v>24</v>
      </c>
      <c r="C56" s="21" t="s">
        <v>60</v>
      </c>
      <c r="D56" s="241">
        <v>13101127</v>
      </c>
      <c r="E56" s="241">
        <v>17961</v>
      </c>
      <c r="F56" s="241">
        <v>158017</v>
      </c>
      <c r="G56" s="241"/>
      <c r="H56" s="241"/>
      <c r="I56" s="242"/>
    </row>
    <row r="57" spans="1:10" s="343" customFormat="1" x14ac:dyDescent="0.3">
      <c r="A57" s="19">
        <v>2023</v>
      </c>
      <c r="B57" s="20" t="s">
        <v>25</v>
      </c>
      <c r="C57" s="21" t="s">
        <v>60</v>
      </c>
      <c r="D57" s="241">
        <v>16151125</v>
      </c>
      <c r="E57" s="241">
        <v>21206</v>
      </c>
      <c r="F57" s="241">
        <v>200281</v>
      </c>
      <c r="G57" s="241"/>
      <c r="H57" s="241"/>
      <c r="I57" s="242"/>
    </row>
    <row r="58" spans="1:10" s="343" customFormat="1" x14ac:dyDescent="0.3">
      <c r="A58" s="19">
        <v>2023</v>
      </c>
      <c r="B58" s="20" t="s">
        <v>26</v>
      </c>
      <c r="C58" s="21" t="s">
        <v>60</v>
      </c>
      <c r="D58" s="241">
        <v>17584344</v>
      </c>
      <c r="E58" s="241">
        <v>21657</v>
      </c>
      <c r="F58" s="241">
        <v>225573</v>
      </c>
      <c r="G58" s="241"/>
      <c r="H58" s="241"/>
      <c r="I58" s="242"/>
    </row>
    <row r="59" spans="1:10" s="343" customFormat="1" x14ac:dyDescent="0.3">
      <c r="A59" s="19">
        <v>2023</v>
      </c>
      <c r="B59" s="20" t="s">
        <v>27</v>
      </c>
      <c r="C59" s="21" t="s">
        <v>60</v>
      </c>
      <c r="D59" s="241">
        <v>17565075</v>
      </c>
      <c r="E59" s="241">
        <v>23891</v>
      </c>
      <c r="F59" s="241">
        <v>220423</v>
      </c>
      <c r="G59" s="241"/>
      <c r="H59" s="241"/>
      <c r="I59" s="242"/>
    </row>
    <row r="60" spans="1:10" s="343" customFormat="1" x14ac:dyDescent="0.3">
      <c r="A60" s="19">
        <v>2023</v>
      </c>
      <c r="B60" s="20" t="s">
        <v>28</v>
      </c>
      <c r="C60" s="21" t="s">
        <v>60</v>
      </c>
      <c r="D60" s="241">
        <v>18000349</v>
      </c>
      <c r="E60" s="241">
        <v>22236</v>
      </c>
      <c r="F60" s="241">
        <v>217069</v>
      </c>
      <c r="G60" s="241"/>
      <c r="H60" s="241"/>
      <c r="I60" s="242"/>
    </row>
    <row r="61" spans="1:10" s="343" customFormat="1" x14ac:dyDescent="0.3">
      <c r="A61" s="19">
        <v>2023</v>
      </c>
      <c r="B61" s="20" t="s">
        <v>29</v>
      </c>
      <c r="C61" s="21" t="s">
        <v>60</v>
      </c>
      <c r="D61" s="241">
        <v>14415073</v>
      </c>
      <c r="E61" s="241">
        <v>10831</v>
      </c>
      <c r="F61" s="241">
        <v>176692</v>
      </c>
      <c r="G61" s="241"/>
      <c r="H61" s="241"/>
      <c r="I61" s="242"/>
    </row>
    <row r="62" spans="1:10" s="343" customFormat="1" x14ac:dyDescent="0.3">
      <c r="A62" s="19">
        <v>2023</v>
      </c>
      <c r="B62" s="20" t="s">
        <v>30</v>
      </c>
      <c r="C62" s="21" t="s">
        <v>60</v>
      </c>
      <c r="D62" s="241">
        <v>15087518</v>
      </c>
      <c r="E62" s="241">
        <v>8934</v>
      </c>
      <c r="F62" s="241">
        <v>186105</v>
      </c>
      <c r="G62" s="241"/>
      <c r="H62" s="241"/>
      <c r="I62" s="242"/>
    </row>
    <row r="63" spans="1:10" s="343" customFormat="1" x14ac:dyDescent="0.3">
      <c r="A63" s="22">
        <v>2023</v>
      </c>
      <c r="B63" s="23" t="s">
        <v>31</v>
      </c>
      <c r="C63" s="24" t="s">
        <v>60</v>
      </c>
      <c r="D63" s="243">
        <v>16515364</v>
      </c>
      <c r="E63" s="243">
        <v>6604</v>
      </c>
      <c r="F63" s="243">
        <v>191223</v>
      </c>
      <c r="G63" s="243"/>
      <c r="H63" s="243"/>
      <c r="I63" s="244"/>
    </row>
    <row r="64" spans="1:10" s="343" customFormat="1" ht="15" customHeight="1" x14ac:dyDescent="0.3">
      <c r="A64" s="545" t="s">
        <v>81</v>
      </c>
      <c r="B64" s="545"/>
      <c r="C64" s="545"/>
      <c r="D64" s="171">
        <f t="shared" ref="D64:I64" si="3">SUM(D52:D63)</f>
        <v>192444819</v>
      </c>
      <c r="E64" s="171">
        <f t="shared" si="3"/>
        <v>170045</v>
      </c>
      <c r="F64" s="171">
        <f t="shared" si="3"/>
        <v>2409719</v>
      </c>
      <c r="G64" s="171">
        <f t="shared" si="3"/>
        <v>0</v>
      </c>
      <c r="H64" s="171">
        <f t="shared" si="3"/>
        <v>0</v>
      </c>
      <c r="I64" s="171">
        <f t="shared" si="3"/>
        <v>0</v>
      </c>
    </row>
    <row r="65" spans="1:10" s="343" customFormat="1" x14ac:dyDescent="0.3">
      <c r="A65" s="255"/>
      <c r="B65" s="255"/>
      <c r="C65" s="255"/>
      <c r="D65" s="255"/>
      <c r="E65" s="255"/>
      <c r="F65" s="255"/>
      <c r="G65" s="255"/>
      <c r="H65" s="255"/>
      <c r="I65" s="255"/>
      <c r="J65" s="255"/>
    </row>
    <row r="66" spans="1:10" s="330" customFormat="1" ht="24" x14ac:dyDescent="0.25">
      <c r="A66" s="6" t="s">
        <v>18</v>
      </c>
      <c r="B66" s="6" t="s">
        <v>19</v>
      </c>
      <c r="C66" s="7" t="s">
        <v>0</v>
      </c>
      <c r="D66" s="8" t="s">
        <v>111</v>
      </c>
      <c r="E66" s="8" t="s">
        <v>98</v>
      </c>
      <c r="F66" s="499" t="s">
        <v>158</v>
      </c>
      <c r="G66" s="499"/>
      <c r="H66" s="112" t="s">
        <v>9</v>
      </c>
      <c r="I66" s="8" t="s">
        <v>10</v>
      </c>
    </row>
    <row r="67" spans="1:10" s="343" customFormat="1" x14ac:dyDescent="0.3">
      <c r="A67" s="16">
        <v>2022</v>
      </c>
      <c r="B67" s="17" t="s">
        <v>20</v>
      </c>
      <c r="C67" s="18" t="s">
        <v>60</v>
      </c>
      <c r="D67" s="239">
        <v>19743084</v>
      </c>
      <c r="E67" s="239">
        <v>8184</v>
      </c>
      <c r="F67" s="239">
        <v>238330</v>
      </c>
      <c r="G67" s="239"/>
      <c r="H67" s="239"/>
      <c r="I67" s="240"/>
    </row>
    <row r="68" spans="1:10" s="343" customFormat="1" x14ac:dyDescent="0.3">
      <c r="A68" s="19">
        <v>2022</v>
      </c>
      <c r="B68" s="20" t="s">
        <v>21</v>
      </c>
      <c r="C68" s="21" t="s">
        <v>60</v>
      </c>
      <c r="D68" s="241">
        <v>18145479</v>
      </c>
      <c r="E68" s="241">
        <v>13701</v>
      </c>
      <c r="F68" s="241">
        <v>215132</v>
      </c>
      <c r="G68" s="241"/>
      <c r="H68" s="241"/>
      <c r="I68" s="242"/>
    </row>
    <row r="69" spans="1:10" s="343" customFormat="1" x14ac:dyDescent="0.3">
      <c r="A69" s="19">
        <v>2022</v>
      </c>
      <c r="B69" s="20" t="s">
        <v>22</v>
      </c>
      <c r="C69" s="21" t="s">
        <v>60</v>
      </c>
      <c r="D69" s="241">
        <v>16713127</v>
      </c>
      <c r="E69" s="241">
        <v>19843</v>
      </c>
      <c r="F69" s="241">
        <v>190626</v>
      </c>
      <c r="G69" s="241"/>
      <c r="H69" s="241"/>
      <c r="I69" s="242"/>
    </row>
    <row r="70" spans="1:10" s="343" customFormat="1" x14ac:dyDescent="0.3">
      <c r="A70" s="19">
        <v>2022</v>
      </c>
      <c r="B70" s="20" t="s">
        <v>23</v>
      </c>
      <c r="C70" s="21" t="s">
        <v>60</v>
      </c>
      <c r="D70" s="241">
        <v>16045725</v>
      </c>
      <c r="E70" s="241">
        <v>23123</v>
      </c>
      <c r="F70" s="241">
        <v>208893</v>
      </c>
      <c r="G70" s="241"/>
      <c r="H70" s="241"/>
      <c r="I70" s="242"/>
    </row>
    <row r="71" spans="1:10" s="343" customFormat="1" x14ac:dyDescent="0.3">
      <c r="A71" s="19">
        <v>2022</v>
      </c>
      <c r="B71" s="20" t="s">
        <v>24</v>
      </c>
      <c r="C71" s="21" t="s">
        <v>60</v>
      </c>
      <c r="D71" s="241">
        <v>14243361</v>
      </c>
      <c r="E71" s="241">
        <v>25649</v>
      </c>
      <c r="F71" s="241">
        <v>184993</v>
      </c>
      <c r="G71" s="241"/>
      <c r="H71" s="241"/>
      <c r="I71" s="242"/>
    </row>
    <row r="72" spans="1:10" s="343" customFormat="1" x14ac:dyDescent="0.3">
      <c r="A72" s="19">
        <v>2022</v>
      </c>
      <c r="B72" s="20" t="s">
        <v>25</v>
      </c>
      <c r="C72" s="21" t="s">
        <v>60</v>
      </c>
      <c r="D72" s="241">
        <v>15328380</v>
      </c>
      <c r="E72" s="241">
        <v>29840</v>
      </c>
      <c r="F72" s="241">
        <v>200293</v>
      </c>
      <c r="G72" s="241"/>
      <c r="H72" s="241"/>
      <c r="I72" s="242"/>
    </row>
    <row r="73" spans="1:10" s="343" customFormat="1" x14ac:dyDescent="0.3">
      <c r="A73" s="19">
        <v>2022</v>
      </c>
      <c r="B73" s="20" t="s">
        <v>26</v>
      </c>
      <c r="C73" s="21" t="s">
        <v>60</v>
      </c>
      <c r="D73" s="241">
        <v>17437178</v>
      </c>
      <c r="E73" s="241">
        <v>35792</v>
      </c>
      <c r="F73" s="241">
        <v>244628</v>
      </c>
      <c r="G73" s="241"/>
      <c r="H73" s="241"/>
      <c r="I73" s="242"/>
    </row>
    <row r="74" spans="1:10" s="343" customFormat="1" x14ac:dyDescent="0.3">
      <c r="A74" s="19">
        <v>2022</v>
      </c>
      <c r="B74" s="20" t="s">
        <v>27</v>
      </c>
      <c r="C74" s="21" t="s">
        <v>60</v>
      </c>
      <c r="D74" s="241">
        <v>16440307</v>
      </c>
      <c r="E74" s="241">
        <v>27498</v>
      </c>
      <c r="F74" s="241">
        <v>225259</v>
      </c>
      <c r="G74" s="241"/>
      <c r="H74" s="241"/>
      <c r="I74" s="242"/>
    </row>
    <row r="75" spans="1:10" s="343" customFormat="1" x14ac:dyDescent="0.3">
      <c r="A75" s="19">
        <v>2022</v>
      </c>
      <c r="B75" s="20" t="s">
        <v>28</v>
      </c>
      <c r="C75" s="21" t="s">
        <v>60</v>
      </c>
      <c r="D75" s="241">
        <v>16276995</v>
      </c>
      <c r="E75" s="241">
        <v>25426</v>
      </c>
      <c r="F75" s="241">
        <v>223330</v>
      </c>
      <c r="G75" s="241"/>
      <c r="H75" s="241"/>
      <c r="I75" s="242"/>
    </row>
    <row r="76" spans="1:10" s="343" customFormat="1" x14ac:dyDescent="0.3">
      <c r="A76" s="19">
        <v>2022</v>
      </c>
      <c r="B76" s="20" t="s">
        <v>29</v>
      </c>
      <c r="C76" s="21" t="s">
        <v>60</v>
      </c>
      <c r="D76" s="241">
        <v>13202682</v>
      </c>
      <c r="E76" s="241">
        <v>19627</v>
      </c>
      <c r="F76" s="241">
        <v>176201</v>
      </c>
      <c r="G76" s="241"/>
      <c r="H76" s="241"/>
      <c r="I76" s="242"/>
    </row>
    <row r="77" spans="1:10" s="343" customFormat="1" x14ac:dyDescent="0.3">
      <c r="A77" s="19">
        <v>2022</v>
      </c>
      <c r="B77" s="20" t="s">
        <v>30</v>
      </c>
      <c r="C77" s="21" t="s">
        <v>60</v>
      </c>
      <c r="D77" s="241">
        <v>13362023</v>
      </c>
      <c r="E77" s="241">
        <v>14793</v>
      </c>
      <c r="F77" s="241">
        <v>178538</v>
      </c>
      <c r="G77" s="241"/>
      <c r="H77" s="241"/>
      <c r="I77" s="242"/>
    </row>
    <row r="78" spans="1:10" s="343" customFormat="1" x14ac:dyDescent="0.3">
      <c r="A78" s="22">
        <v>2022</v>
      </c>
      <c r="B78" s="23" t="s">
        <v>31</v>
      </c>
      <c r="C78" s="24" t="s">
        <v>60</v>
      </c>
      <c r="D78" s="243">
        <v>15580207</v>
      </c>
      <c r="E78" s="243">
        <v>5710</v>
      </c>
      <c r="F78" s="243">
        <v>205243</v>
      </c>
      <c r="G78" s="243"/>
      <c r="H78" s="243"/>
      <c r="I78" s="244"/>
    </row>
    <row r="79" spans="1:10" s="343" customFormat="1" ht="15" customHeight="1" x14ac:dyDescent="0.3">
      <c r="A79" s="545" t="s">
        <v>81</v>
      </c>
      <c r="B79" s="545"/>
      <c r="C79" s="545"/>
      <c r="D79" s="171">
        <f t="shared" ref="D79:I79" si="4">SUM(D67:D78)</f>
        <v>192518548</v>
      </c>
      <c r="E79" s="171">
        <f t="shared" si="4"/>
        <v>249186</v>
      </c>
      <c r="F79" s="171">
        <f t="shared" si="4"/>
        <v>2491466</v>
      </c>
      <c r="G79" s="171">
        <f t="shared" si="4"/>
        <v>0</v>
      </c>
      <c r="H79" s="171">
        <f t="shared" si="4"/>
        <v>0</v>
      </c>
      <c r="I79" s="171">
        <f t="shared" si="4"/>
        <v>0</v>
      </c>
    </row>
    <row r="80" spans="1:10" s="343" customFormat="1" x14ac:dyDescent="0.3">
      <c r="A80" s="255"/>
      <c r="B80" s="255"/>
      <c r="C80" s="255"/>
      <c r="D80" s="255"/>
      <c r="E80" s="255"/>
      <c r="F80" s="255"/>
      <c r="G80" s="255"/>
      <c r="H80" s="255"/>
      <c r="I80" s="255"/>
      <c r="J80" s="255"/>
    </row>
    <row r="81" spans="1:10" s="330" customFormat="1" ht="24" x14ac:dyDescent="0.25">
      <c r="A81" s="6" t="s">
        <v>18</v>
      </c>
      <c r="B81" s="6" t="s">
        <v>19</v>
      </c>
      <c r="C81" s="7" t="s">
        <v>0</v>
      </c>
      <c r="D81" s="8" t="s">
        <v>111</v>
      </c>
      <c r="E81" s="8" t="s">
        <v>98</v>
      </c>
      <c r="F81" s="499" t="s">
        <v>158</v>
      </c>
      <c r="G81" s="499"/>
      <c r="H81" s="112" t="s">
        <v>9</v>
      </c>
      <c r="I81" s="8" t="s">
        <v>10</v>
      </c>
    </row>
    <row r="82" spans="1:10" s="329" customFormat="1" x14ac:dyDescent="0.3">
      <c r="A82" s="16">
        <v>2021</v>
      </c>
      <c r="B82" s="17" t="s">
        <v>20</v>
      </c>
      <c r="C82" s="18" t="s">
        <v>60</v>
      </c>
      <c r="D82" s="239">
        <v>18411910</v>
      </c>
      <c r="E82" s="239">
        <v>6653</v>
      </c>
      <c r="F82" s="239">
        <v>200725</v>
      </c>
      <c r="G82" s="239"/>
      <c r="H82" s="239">
        <v>18411910</v>
      </c>
      <c r="I82" s="240"/>
    </row>
    <row r="83" spans="1:10" s="329" customFormat="1" x14ac:dyDescent="0.3">
      <c r="A83" s="19">
        <v>2021</v>
      </c>
      <c r="B83" s="20" t="s">
        <v>21</v>
      </c>
      <c r="C83" s="21" t="s">
        <v>60</v>
      </c>
      <c r="D83" s="241">
        <v>17324184</v>
      </c>
      <c r="E83" s="241">
        <v>5786</v>
      </c>
      <c r="F83" s="241">
        <v>188065</v>
      </c>
      <c r="G83" s="241"/>
      <c r="H83" s="241">
        <v>17324184</v>
      </c>
      <c r="I83" s="242"/>
    </row>
    <row r="84" spans="1:10" s="329" customFormat="1" x14ac:dyDescent="0.3">
      <c r="A84" s="19">
        <v>2021</v>
      </c>
      <c r="B84" s="20" t="s">
        <v>22</v>
      </c>
      <c r="C84" s="21" t="s">
        <v>60</v>
      </c>
      <c r="D84" s="241">
        <v>17098248</v>
      </c>
      <c r="E84" s="241">
        <v>15193</v>
      </c>
      <c r="F84" s="241">
        <v>182699</v>
      </c>
      <c r="G84" s="241"/>
      <c r="H84" s="241">
        <v>17098248</v>
      </c>
      <c r="I84" s="242"/>
    </row>
    <row r="85" spans="1:10" s="329" customFormat="1" x14ac:dyDescent="0.3">
      <c r="A85" s="19">
        <v>2021</v>
      </c>
      <c r="B85" s="20" t="s">
        <v>23</v>
      </c>
      <c r="C85" s="21" t="s">
        <v>60</v>
      </c>
      <c r="D85" s="241">
        <v>16141275</v>
      </c>
      <c r="E85" s="241">
        <v>32911</v>
      </c>
      <c r="F85" s="241">
        <v>180938</v>
      </c>
      <c r="G85" s="241"/>
      <c r="H85" s="241">
        <v>16141275</v>
      </c>
      <c r="I85" s="242"/>
    </row>
    <row r="86" spans="1:10" s="329" customFormat="1" x14ac:dyDescent="0.3">
      <c r="A86" s="19">
        <v>2021</v>
      </c>
      <c r="B86" s="20" t="s">
        <v>24</v>
      </c>
      <c r="C86" s="21" t="s">
        <v>60</v>
      </c>
      <c r="D86" s="241">
        <v>13711900</v>
      </c>
      <c r="E86" s="241">
        <v>36681</v>
      </c>
      <c r="F86" s="241">
        <v>146822</v>
      </c>
      <c r="G86" s="241"/>
      <c r="H86" s="241">
        <v>13705069</v>
      </c>
      <c r="I86" s="242">
        <v>6831</v>
      </c>
    </row>
    <row r="87" spans="1:10" s="329" customFormat="1" x14ac:dyDescent="0.3">
      <c r="A87" s="19">
        <v>2021</v>
      </c>
      <c r="B87" s="20" t="s">
        <v>25</v>
      </c>
      <c r="C87" s="21" t="s">
        <v>60</v>
      </c>
      <c r="D87" s="241">
        <v>16299126</v>
      </c>
      <c r="E87" s="241">
        <v>44520</v>
      </c>
      <c r="F87" s="241">
        <v>179450</v>
      </c>
      <c r="G87" s="241"/>
      <c r="H87" s="241">
        <v>14358</v>
      </c>
      <c r="I87" s="242">
        <v>16284768</v>
      </c>
    </row>
    <row r="88" spans="1:10" s="329" customFormat="1" x14ac:dyDescent="0.3">
      <c r="A88" s="19">
        <v>2021</v>
      </c>
      <c r="B88" s="20" t="s">
        <v>26</v>
      </c>
      <c r="C88" s="21" t="s">
        <v>60</v>
      </c>
      <c r="D88" s="241">
        <v>18084864</v>
      </c>
      <c r="E88" s="241">
        <v>49862</v>
      </c>
      <c r="F88" s="241">
        <v>212095</v>
      </c>
      <c r="G88" s="241"/>
      <c r="H88" s="241">
        <v>194</v>
      </c>
      <c r="I88" s="242">
        <v>18084670</v>
      </c>
    </row>
    <row r="89" spans="1:10" s="329" customFormat="1" x14ac:dyDescent="0.3">
      <c r="A89" s="19">
        <v>2021</v>
      </c>
      <c r="B89" s="20" t="s">
        <v>27</v>
      </c>
      <c r="C89" s="21" t="s">
        <v>60</v>
      </c>
      <c r="D89" s="241">
        <v>18296884</v>
      </c>
      <c r="E89" s="241">
        <v>43970</v>
      </c>
      <c r="F89" s="241">
        <v>215369</v>
      </c>
      <c r="G89" s="241"/>
      <c r="H89" s="241"/>
      <c r="I89" s="242">
        <v>18296884</v>
      </c>
    </row>
    <row r="90" spans="1:10" s="329" customFormat="1" x14ac:dyDescent="0.3">
      <c r="A90" s="19">
        <v>2021</v>
      </c>
      <c r="B90" s="20" t="s">
        <v>28</v>
      </c>
      <c r="C90" s="21" t="s">
        <v>60</v>
      </c>
      <c r="D90" s="241">
        <v>18001507</v>
      </c>
      <c r="E90" s="241">
        <v>41787</v>
      </c>
      <c r="F90" s="241">
        <v>214044</v>
      </c>
      <c r="G90" s="241"/>
      <c r="H90" s="241"/>
      <c r="I90" s="242"/>
    </row>
    <row r="91" spans="1:10" s="329" customFormat="1" x14ac:dyDescent="0.3">
      <c r="A91" s="19">
        <v>2021</v>
      </c>
      <c r="B91" s="20" t="s">
        <v>29</v>
      </c>
      <c r="C91" s="21" t="s">
        <v>60</v>
      </c>
      <c r="D91" s="241">
        <v>15191592</v>
      </c>
      <c r="E91" s="241">
        <v>31890</v>
      </c>
      <c r="F91" s="241">
        <v>171439</v>
      </c>
      <c r="G91" s="241"/>
      <c r="H91" s="241"/>
      <c r="I91" s="242"/>
    </row>
    <row r="92" spans="1:10" s="329" customFormat="1" x14ac:dyDescent="0.3">
      <c r="A92" s="19">
        <v>2021</v>
      </c>
      <c r="B92" s="20" t="s">
        <v>30</v>
      </c>
      <c r="C92" s="21" t="s">
        <v>60</v>
      </c>
      <c r="D92" s="241">
        <v>14705507</v>
      </c>
      <c r="E92" s="241">
        <v>19454</v>
      </c>
      <c r="F92" s="241">
        <v>164676</v>
      </c>
      <c r="G92" s="241"/>
      <c r="H92" s="241"/>
      <c r="I92" s="242"/>
    </row>
    <row r="93" spans="1:10" s="329" customFormat="1" x14ac:dyDescent="0.3">
      <c r="A93" s="22">
        <v>2021</v>
      </c>
      <c r="B93" s="23" t="s">
        <v>31</v>
      </c>
      <c r="C93" s="24" t="s">
        <v>60</v>
      </c>
      <c r="D93" s="243">
        <v>16696920</v>
      </c>
      <c r="E93" s="243">
        <v>9888</v>
      </c>
      <c r="F93" s="243">
        <v>196923</v>
      </c>
      <c r="G93" s="243"/>
      <c r="H93" s="243"/>
      <c r="I93" s="244"/>
    </row>
    <row r="94" spans="1:10" s="329" customFormat="1" ht="15" customHeight="1" x14ac:dyDescent="0.3">
      <c r="A94" s="545" t="s">
        <v>81</v>
      </c>
      <c r="B94" s="545"/>
      <c r="C94" s="545"/>
      <c r="D94" s="171">
        <f t="shared" ref="D94:I94" si="5">SUM(D82:D93)</f>
        <v>199963917</v>
      </c>
      <c r="E94" s="171">
        <f t="shared" si="5"/>
        <v>338595</v>
      </c>
      <c r="F94" s="171">
        <f t="shared" si="5"/>
        <v>2253245</v>
      </c>
      <c r="G94" s="171">
        <f t="shared" si="5"/>
        <v>0</v>
      </c>
      <c r="H94" s="171">
        <f t="shared" si="5"/>
        <v>82695238</v>
      </c>
      <c r="I94" s="171">
        <f t="shared" si="5"/>
        <v>52673153</v>
      </c>
    </row>
    <row r="95" spans="1:10" s="329" customFormat="1" x14ac:dyDescent="0.3">
      <c r="A95" s="255"/>
      <c r="B95" s="255"/>
      <c r="C95" s="255"/>
      <c r="D95" s="255"/>
      <c r="E95" s="255"/>
      <c r="F95" s="255"/>
      <c r="G95" s="255"/>
      <c r="H95" s="255"/>
      <c r="I95" s="255"/>
      <c r="J95" s="255"/>
    </row>
    <row r="96" spans="1:10" s="2" customFormat="1" ht="24" x14ac:dyDescent="0.25">
      <c r="A96" s="6" t="s">
        <v>18</v>
      </c>
      <c r="B96" s="6" t="s">
        <v>19</v>
      </c>
      <c r="C96" s="7" t="s">
        <v>0</v>
      </c>
      <c r="D96" s="8" t="s">
        <v>11</v>
      </c>
      <c r="E96" s="8" t="s">
        <v>98</v>
      </c>
      <c r="F96" s="499" t="s">
        <v>158</v>
      </c>
      <c r="G96" s="499"/>
      <c r="H96" s="112" t="s">
        <v>9</v>
      </c>
      <c r="I96" s="8" t="s">
        <v>10</v>
      </c>
    </row>
    <row r="97" spans="1:10" s="320" customFormat="1" x14ac:dyDescent="0.3">
      <c r="A97" s="16">
        <v>2020</v>
      </c>
      <c r="B97" s="17" t="s">
        <v>20</v>
      </c>
      <c r="C97" s="18" t="s">
        <v>60</v>
      </c>
      <c r="D97" s="239">
        <v>17834050</v>
      </c>
      <c r="E97" s="239"/>
      <c r="F97" s="239">
        <v>217533</v>
      </c>
      <c r="G97" s="239"/>
      <c r="H97" s="239">
        <v>17834050</v>
      </c>
      <c r="I97" s="240"/>
    </row>
    <row r="98" spans="1:10" s="320" customFormat="1" x14ac:dyDescent="0.3">
      <c r="A98" s="19">
        <v>2020</v>
      </c>
      <c r="B98" s="20" t="s">
        <v>21</v>
      </c>
      <c r="C98" s="21" t="s">
        <v>60</v>
      </c>
      <c r="D98" s="241">
        <v>17580823</v>
      </c>
      <c r="E98" s="241"/>
      <c r="F98" s="241">
        <v>209657</v>
      </c>
      <c r="G98" s="241"/>
      <c r="H98" s="241">
        <v>17580823</v>
      </c>
      <c r="I98" s="242"/>
    </row>
    <row r="99" spans="1:10" s="320" customFormat="1" x14ac:dyDescent="0.3">
      <c r="A99" s="19">
        <v>2020</v>
      </c>
      <c r="B99" s="20" t="s">
        <v>22</v>
      </c>
      <c r="C99" s="21" t="s">
        <v>60</v>
      </c>
      <c r="D99" s="241">
        <v>15767005</v>
      </c>
      <c r="E99" s="241"/>
      <c r="F99" s="241">
        <v>186810</v>
      </c>
      <c r="G99" s="241"/>
      <c r="H99" s="241">
        <v>15767005</v>
      </c>
      <c r="I99" s="242"/>
    </row>
    <row r="100" spans="1:10" s="320" customFormat="1" x14ac:dyDescent="0.3">
      <c r="A100" s="19">
        <v>2020</v>
      </c>
      <c r="B100" s="20" t="s">
        <v>23</v>
      </c>
      <c r="C100" s="21" t="s">
        <v>60</v>
      </c>
      <c r="D100" s="241">
        <v>14332279</v>
      </c>
      <c r="E100" s="241"/>
      <c r="F100" s="241">
        <v>163755</v>
      </c>
      <c r="G100" s="241"/>
      <c r="H100" s="241">
        <v>14332279</v>
      </c>
      <c r="I100" s="242"/>
    </row>
    <row r="101" spans="1:10" s="320" customFormat="1" x14ac:dyDescent="0.3">
      <c r="A101" s="19">
        <v>2020</v>
      </c>
      <c r="B101" s="20" t="s">
        <v>24</v>
      </c>
      <c r="C101" s="21" t="s">
        <v>60</v>
      </c>
      <c r="D101" s="241">
        <v>12448576</v>
      </c>
      <c r="E101" s="241"/>
      <c r="F101" s="241">
        <v>137557</v>
      </c>
      <c r="G101" s="241"/>
      <c r="H101" s="241">
        <v>12418825</v>
      </c>
      <c r="I101" s="242">
        <v>29751</v>
      </c>
    </row>
    <row r="102" spans="1:10" s="320" customFormat="1" x14ac:dyDescent="0.3">
      <c r="A102" s="19">
        <v>2020</v>
      </c>
      <c r="B102" s="20" t="s">
        <v>25</v>
      </c>
      <c r="C102" s="21" t="s">
        <v>60</v>
      </c>
      <c r="D102" s="241">
        <v>14243226</v>
      </c>
      <c r="E102" s="241"/>
      <c r="F102" s="241">
        <v>160979</v>
      </c>
      <c r="G102" s="241"/>
      <c r="H102" s="241">
        <v>20704</v>
      </c>
      <c r="I102" s="242">
        <v>14222522</v>
      </c>
    </row>
    <row r="103" spans="1:10" s="320" customFormat="1" x14ac:dyDescent="0.3">
      <c r="A103" s="19">
        <v>2020</v>
      </c>
      <c r="B103" s="20" t="s">
        <v>26</v>
      </c>
      <c r="C103" s="21" t="s">
        <v>60</v>
      </c>
      <c r="D103" s="241">
        <v>17594765</v>
      </c>
      <c r="E103" s="241"/>
      <c r="F103" s="241">
        <v>208942</v>
      </c>
      <c r="G103" s="241"/>
      <c r="H103" s="241">
        <v>6840</v>
      </c>
      <c r="I103" s="242">
        <v>17587925</v>
      </c>
    </row>
    <row r="104" spans="1:10" s="320" customFormat="1" x14ac:dyDescent="0.3">
      <c r="A104" s="19">
        <v>2020</v>
      </c>
      <c r="B104" s="20" t="s">
        <v>27</v>
      </c>
      <c r="C104" s="21" t="s">
        <v>60</v>
      </c>
      <c r="D104" s="241">
        <v>17499071</v>
      </c>
      <c r="E104" s="241">
        <v>8881</v>
      </c>
      <c r="F104" s="241">
        <v>208053</v>
      </c>
      <c r="G104" s="241"/>
      <c r="H104" s="241"/>
      <c r="I104" s="242">
        <v>17499071</v>
      </c>
    </row>
    <row r="105" spans="1:10" s="320" customFormat="1" x14ac:dyDescent="0.3">
      <c r="A105" s="19">
        <v>2020</v>
      </c>
      <c r="B105" s="20" t="s">
        <v>28</v>
      </c>
      <c r="C105" s="21" t="s">
        <v>60</v>
      </c>
      <c r="D105" s="241">
        <v>15802735</v>
      </c>
      <c r="E105" s="241">
        <v>19633</v>
      </c>
      <c r="F105" s="241">
        <v>185783</v>
      </c>
      <c r="G105" s="241"/>
      <c r="H105" s="241">
        <v>176</v>
      </c>
      <c r="I105" s="242">
        <v>15802559</v>
      </c>
    </row>
    <row r="106" spans="1:10" s="320" customFormat="1" x14ac:dyDescent="0.3">
      <c r="A106" s="19">
        <v>2020</v>
      </c>
      <c r="B106" s="20" t="s">
        <v>29</v>
      </c>
      <c r="C106" s="21" t="s">
        <v>60</v>
      </c>
      <c r="D106" s="241">
        <v>13616104</v>
      </c>
      <c r="E106" s="241">
        <v>20656</v>
      </c>
      <c r="F106" s="241">
        <v>159172</v>
      </c>
      <c r="G106" s="241"/>
      <c r="H106" s="241">
        <v>13598844</v>
      </c>
      <c r="I106" s="242">
        <v>17260</v>
      </c>
    </row>
    <row r="107" spans="1:10" s="320" customFormat="1" x14ac:dyDescent="0.3">
      <c r="A107" s="19">
        <v>2020</v>
      </c>
      <c r="B107" s="20" t="s">
        <v>30</v>
      </c>
      <c r="C107" s="21" t="s">
        <v>60</v>
      </c>
      <c r="D107" s="241">
        <v>13912293</v>
      </c>
      <c r="E107" s="241">
        <v>15180</v>
      </c>
      <c r="F107" s="241">
        <v>164612</v>
      </c>
      <c r="G107" s="241"/>
      <c r="H107" s="241">
        <v>13912293</v>
      </c>
      <c r="I107" s="242"/>
    </row>
    <row r="108" spans="1:10" s="320" customFormat="1" x14ac:dyDescent="0.3">
      <c r="A108" s="22">
        <v>2020</v>
      </c>
      <c r="B108" s="23" t="s">
        <v>31</v>
      </c>
      <c r="C108" s="24" t="s">
        <v>60</v>
      </c>
      <c r="D108" s="243">
        <v>16570297</v>
      </c>
      <c r="E108" s="243">
        <v>9942</v>
      </c>
      <c r="F108" s="243">
        <v>184722</v>
      </c>
      <c r="G108" s="243"/>
      <c r="H108" s="243">
        <v>16570297</v>
      </c>
      <c r="I108" s="244"/>
    </row>
    <row r="109" spans="1:10" s="320" customFormat="1" ht="15" customHeight="1" x14ac:dyDescent="0.3">
      <c r="A109" s="545" t="s">
        <v>81</v>
      </c>
      <c r="B109" s="545"/>
      <c r="C109" s="545"/>
      <c r="D109" s="171">
        <f t="shared" ref="D109:I109" si="6">SUM(D97:D108)</f>
        <v>187201224</v>
      </c>
      <c r="E109" s="171">
        <f t="shared" si="6"/>
        <v>74292</v>
      </c>
      <c r="F109" s="171">
        <f t="shared" si="6"/>
        <v>2187575</v>
      </c>
      <c r="G109" s="171">
        <f t="shared" si="6"/>
        <v>0</v>
      </c>
      <c r="H109" s="171">
        <f t="shared" si="6"/>
        <v>122042136</v>
      </c>
      <c r="I109" s="171">
        <f t="shared" si="6"/>
        <v>65159088</v>
      </c>
    </row>
    <row r="110" spans="1:10" s="320" customFormat="1" x14ac:dyDescent="0.3">
      <c r="A110" s="255"/>
      <c r="B110" s="255"/>
      <c r="C110" s="255"/>
      <c r="D110" s="255"/>
      <c r="E110" s="255"/>
      <c r="F110" s="255"/>
      <c r="G110" s="255"/>
      <c r="H110" s="255"/>
      <c r="I110" s="255"/>
      <c r="J110" s="255"/>
    </row>
    <row r="111" spans="1:10" s="269" customFormat="1" x14ac:dyDescent="0.3">
      <c r="A111" s="475" t="s">
        <v>137</v>
      </c>
      <c r="B111" s="255"/>
      <c r="C111" s="255"/>
      <c r="D111" s="255"/>
      <c r="E111" s="255"/>
      <c r="F111" s="255"/>
      <c r="G111" s="255"/>
      <c r="H111" s="255"/>
      <c r="I111" s="255"/>
      <c r="J111" s="255"/>
    </row>
    <row r="112" spans="1:10" s="200" customFormat="1" x14ac:dyDescent="0.3">
      <c r="A112" s="3"/>
      <c r="B112" s="3"/>
      <c r="C112" s="3"/>
      <c r="E112" s="329"/>
      <c r="F112" s="343"/>
      <c r="G112" s="343"/>
    </row>
    <row r="113" spans="1:9" s="155" customFormat="1" x14ac:dyDescent="0.3">
      <c r="A113" s="3"/>
      <c r="B113" s="3"/>
      <c r="C113" s="3"/>
      <c r="E113" s="329"/>
      <c r="F113" s="343"/>
      <c r="G113" s="343"/>
      <c r="I113" s="163"/>
    </row>
  </sheetData>
  <mergeCells count="11">
    <mergeCell ref="A64:C64"/>
    <mergeCell ref="A49:C49"/>
    <mergeCell ref="A34:C34"/>
    <mergeCell ref="A109:C109"/>
    <mergeCell ref="A94:C94"/>
    <mergeCell ref="A79:C79"/>
    <mergeCell ref="A1:K1"/>
    <mergeCell ref="A2:K2"/>
    <mergeCell ref="A3:K3"/>
    <mergeCell ref="A4:K4"/>
    <mergeCell ref="A19:C19"/>
  </mergeCells>
  <printOptions horizontalCentered="1"/>
  <pageMargins left="0.25" right="0.25" top="0.5" bottom="0.75" header="0.3" footer="0.3"/>
  <pageSetup scale="72" orientation="portrait" r:id="rId1"/>
  <rowBreaks count="1" manualBreakCount="1">
    <brk id="50" max="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DB78E-5189-40D1-9671-8BB0AB5EF620}">
  <sheetPr codeName="Sheet27"/>
  <dimension ref="A1:I83"/>
  <sheetViews>
    <sheetView zoomScaleNormal="100" workbookViewId="0">
      <selection sqref="A1:I1"/>
    </sheetView>
  </sheetViews>
  <sheetFormatPr defaultColWidth="9.109375" defaultRowHeight="14.4" x14ac:dyDescent="0.3"/>
  <cols>
    <col min="1" max="1" width="9.109375" style="3" customWidth="1"/>
    <col min="2" max="2" width="6.5546875" style="3" customWidth="1"/>
    <col min="3" max="3" width="15.44140625" style="3" customWidth="1"/>
    <col min="4" max="5" width="12.109375" style="343" customWidth="1"/>
    <col min="6" max="6" width="10.88671875" style="343" customWidth="1"/>
    <col min="7" max="7" width="6.109375" style="343" customWidth="1"/>
    <col min="8" max="8" width="11.33203125" style="343" customWidth="1"/>
    <col min="9" max="9" width="4.44140625" style="343" customWidth="1"/>
    <col min="10" max="16384" width="9.109375" style="343"/>
  </cols>
  <sheetData>
    <row r="1" spans="1:9" ht="18" x14ac:dyDescent="0.35">
      <c r="A1" s="542" t="s">
        <v>122</v>
      </c>
      <c r="B1" s="542"/>
      <c r="C1" s="542"/>
      <c r="D1" s="542"/>
      <c r="E1" s="542"/>
      <c r="F1" s="542"/>
      <c r="G1" s="542"/>
      <c r="H1" s="542"/>
      <c r="I1" s="542"/>
    </row>
    <row r="2" spans="1:9" ht="18" x14ac:dyDescent="0.35">
      <c r="A2" s="542" t="s">
        <v>163</v>
      </c>
      <c r="B2" s="542"/>
      <c r="C2" s="542"/>
      <c r="D2" s="542"/>
      <c r="E2" s="542"/>
      <c r="F2" s="542"/>
      <c r="G2" s="542"/>
      <c r="H2" s="542"/>
      <c r="I2" s="542"/>
    </row>
    <row r="3" spans="1:9" ht="18" x14ac:dyDescent="0.35">
      <c r="A3" s="542" t="s">
        <v>166</v>
      </c>
      <c r="B3" s="542"/>
      <c r="C3" s="542"/>
      <c r="D3" s="542"/>
      <c r="E3" s="542"/>
      <c r="F3" s="542"/>
      <c r="G3" s="542"/>
      <c r="H3" s="542"/>
      <c r="I3" s="542"/>
    </row>
    <row r="4" spans="1:9" ht="18" x14ac:dyDescent="0.35">
      <c r="A4" s="542" t="s">
        <v>123</v>
      </c>
      <c r="B4" s="542"/>
      <c r="C4" s="542"/>
      <c r="D4" s="542"/>
      <c r="E4" s="542"/>
      <c r="F4" s="542"/>
      <c r="G4" s="542"/>
      <c r="H4" s="542"/>
      <c r="I4" s="542"/>
    </row>
    <row r="6" spans="1:9" s="330" customFormat="1" ht="12" x14ac:dyDescent="0.25">
      <c r="A6" s="6" t="s">
        <v>18</v>
      </c>
      <c r="B6" s="6" t="s">
        <v>19</v>
      </c>
      <c r="C6" s="7" t="s">
        <v>0</v>
      </c>
      <c r="D6" s="288" t="s">
        <v>11</v>
      </c>
      <c r="E6" s="288" t="s">
        <v>158</v>
      </c>
      <c r="F6" s="391"/>
      <c r="G6" s="391"/>
    </row>
    <row r="7" spans="1:9" x14ac:dyDescent="0.3">
      <c r="A7" s="16">
        <v>2027</v>
      </c>
      <c r="B7" s="17" t="s">
        <v>20</v>
      </c>
      <c r="C7" s="18" t="s">
        <v>149</v>
      </c>
      <c r="D7" s="207">
        <v>0</v>
      </c>
      <c r="E7" s="208">
        <v>0</v>
      </c>
      <c r="F7" s="209"/>
      <c r="G7" s="209"/>
    </row>
    <row r="8" spans="1:9" x14ac:dyDescent="0.3">
      <c r="A8" s="19">
        <v>2027</v>
      </c>
      <c r="B8" s="20" t="s">
        <v>21</v>
      </c>
      <c r="C8" s="21" t="s">
        <v>149</v>
      </c>
      <c r="D8" s="209">
        <v>0</v>
      </c>
      <c r="E8" s="210">
        <v>0</v>
      </c>
      <c r="F8" s="209"/>
      <c r="G8" s="209"/>
    </row>
    <row r="9" spans="1:9" x14ac:dyDescent="0.3">
      <c r="A9" s="19">
        <v>2027</v>
      </c>
      <c r="B9" s="20" t="s">
        <v>22</v>
      </c>
      <c r="C9" s="21" t="s">
        <v>149</v>
      </c>
      <c r="D9" s="209">
        <v>0</v>
      </c>
      <c r="E9" s="210">
        <v>0</v>
      </c>
      <c r="F9" s="209"/>
      <c r="G9" s="209"/>
    </row>
    <row r="10" spans="1:9" x14ac:dyDescent="0.3">
      <c r="A10" s="19">
        <v>2027</v>
      </c>
      <c r="B10" s="20" t="s">
        <v>23</v>
      </c>
      <c r="C10" s="21" t="s">
        <v>149</v>
      </c>
      <c r="D10" s="209">
        <v>0</v>
      </c>
      <c r="E10" s="210">
        <v>0</v>
      </c>
      <c r="F10" s="209"/>
      <c r="G10" s="209"/>
    </row>
    <row r="11" spans="1:9" x14ac:dyDescent="0.3">
      <c r="A11" s="19">
        <v>2027</v>
      </c>
      <c r="B11" s="20" t="s">
        <v>24</v>
      </c>
      <c r="C11" s="21" t="s">
        <v>149</v>
      </c>
      <c r="D11" s="209">
        <v>0</v>
      </c>
      <c r="E11" s="210">
        <v>0</v>
      </c>
      <c r="F11" s="209"/>
      <c r="G11" s="209"/>
    </row>
    <row r="12" spans="1:9" x14ac:dyDescent="0.3">
      <c r="A12" s="19">
        <v>2027</v>
      </c>
      <c r="B12" s="20" t="s">
        <v>25</v>
      </c>
      <c r="C12" s="21" t="s">
        <v>149</v>
      </c>
      <c r="D12" s="209">
        <v>0</v>
      </c>
      <c r="E12" s="210">
        <v>0</v>
      </c>
      <c r="F12" s="209"/>
      <c r="G12" s="209"/>
    </row>
    <row r="13" spans="1:9" x14ac:dyDescent="0.3">
      <c r="A13" s="19">
        <v>2027</v>
      </c>
      <c r="B13" s="20" t="s">
        <v>26</v>
      </c>
      <c r="C13" s="21" t="s">
        <v>149</v>
      </c>
      <c r="D13" s="209">
        <v>0</v>
      </c>
      <c r="E13" s="210">
        <v>0</v>
      </c>
      <c r="F13" s="209"/>
      <c r="G13" s="209"/>
    </row>
    <row r="14" spans="1:9" x14ac:dyDescent="0.3">
      <c r="A14" s="19">
        <v>2027</v>
      </c>
      <c r="B14" s="20" t="s">
        <v>27</v>
      </c>
      <c r="C14" s="21" t="s">
        <v>149</v>
      </c>
      <c r="D14" s="209">
        <v>0</v>
      </c>
      <c r="E14" s="210">
        <v>0</v>
      </c>
      <c r="F14" s="209"/>
      <c r="G14" s="209"/>
    </row>
    <row r="15" spans="1:9" x14ac:dyDescent="0.3">
      <c r="A15" s="19">
        <v>2027</v>
      </c>
      <c r="B15" s="20" t="s">
        <v>28</v>
      </c>
      <c r="C15" s="21" t="s">
        <v>149</v>
      </c>
      <c r="D15" s="209">
        <v>0</v>
      </c>
      <c r="E15" s="210">
        <v>0</v>
      </c>
      <c r="F15" s="209"/>
      <c r="G15" s="209"/>
    </row>
    <row r="16" spans="1:9" x14ac:dyDescent="0.3">
      <c r="A16" s="19">
        <v>2027</v>
      </c>
      <c r="B16" s="20" t="s">
        <v>29</v>
      </c>
      <c r="C16" s="21" t="s">
        <v>149</v>
      </c>
      <c r="D16" s="209">
        <v>0</v>
      </c>
      <c r="E16" s="210">
        <v>0</v>
      </c>
      <c r="F16" s="209"/>
      <c r="G16" s="209"/>
    </row>
    <row r="17" spans="1:8" x14ac:dyDescent="0.3">
      <c r="A17" s="19">
        <v>2027</v>
      </c>
      <c r="B17" s="20" t="s">
        <v>30</v>
      </c>
      <c r="C17" s="21" t="s">
        <v>149</v>
      </c>
      <c r="D17" s="209">
        <v>0</v>
      </c>
      <c r="E17" s="210">
        <v>0</v>
      </c>
      <c r="F17" s="209"/>
      <c r="G17" s="209"/>
    </row>
    <row r="18" spans="1:8" x14ac:dyDescent="0.3">
      <c r="A18" s="22">
        <v>2027</v>
      </c>
      <c r="B18" s="23" t="s">
        <v>31</v>
      </c>
      <c r="C18" s="24" t="s">
        <v>149</v>
      </c>
      <c r="D18" s="211">
        <v>0</v>
      </c>
      <c r="E18" s="212">
        <v>0</v>
      </c>
      <c r="F18" s="209"/>
      <c r="G18" s="209"/>
    </row>
    <row r="19" spans="1:8" x14ac:dyDescent="0.3">
      <c r="A19" s="550" t="s">
        <v>96</v>
      </c>
      <c r="B19" s="550"/>
      <c r="C19" s="550"/>
      <c r="D19" s="171">
        <f>SUM(D7:D18)</f>
        <v>0</v>
      </c>
      <c r="E19" s="171">
        <f>SUM(E7:E18)</f>
        <v>0</v>
      </c>
      <c r="F19" s="4"/>
      <c r="G19" s="4"/>
    </row>
    <row r="20" spans="1:8" x14ac:dyDescent="0.3">
      <c r="A20" s="255"/>
      <c r="B20" s="255"/>
      <c r="C20" s="255"/>
      <c r="D20" s="255"/>
      <c r="E20" s="255"/>
      <c r="F20" s="389"/>
      <c r="G20" s="389"/>
      <c r="H20" s="255"/>
    </row>
    <row r="21" spans="1:8" s="330" customFormat="1" ht="12" x14ac:dyDescent="0.25">
      <c r="A21" s="6" t="s">
        <v>18</v>
      </c>
      <c r="B21" s="6" t="s">
        <v>19</v>
      </c>
      <c r="C21" s="7" t="s">
        <v>0</v>
      </c>
      <c r="D21" s="288" t="s">
        <v>11</v>
      </c>
      <c r="E21" s="288" t="s">
        <v>158</v>
      </c>
      <c r="F21" s="391"/>
      <c r="G21" s="391"/>
    </row>
    <row r="22" spans="1:8" x14ac:dyDescent="0.3">
      <c r="A22" s="16">
        <v>2026</v>
      </c>
      <c r="B22" s="17" t="s">
        <v>20</v>
      </c>
      <c r="C22" s="18" t="s">
        <v>149</v>
      </c>
      <c r="D22" s="207">
        <v>0</v>
      </c>
      <c r="E22" s="208">
        <v>0</v>
      </c>
      <c r="F22" s="209"/>
      <c r="G22" s="209"/>
    </row>
    <row r="23" spans="1:8" x14ac:dyDescent="0.3">
      <c r="A23" s="19">
        <v>2026</v>
      </c>
      <c r="B23" s="20" t="s">
        <v>21</v>
      </c>
      <c r="C23" s="21" t="s">
        <v>149</v>
      </c>
      <c r="D23" s="209">
        <v>0</v>
      </c>
      <c r="E23" s="210">
        <v>0</v>
      </c>
      <c r="F23" s="209"/>
      <c r="G23" s="209"/>
    </row>
    <row r="24" spans="1:8" x14ac:dyDescent="0.3">
      <c r="A24" s="19">
        <v>2026</v>
      </c>
      <c r="B24" s="20" t="s">
        <v>22</v>
      </c>
      <c r="C24" s="21" t="s">
        <v>149</v>
      </c>
      <c r="D24" s="209">
        <v>0</v>
      </c>
      <c r="E24" s="210">
        <v>0</v>
      </c>
      <c r="F24" s="209"/>
      <c r="G24" s="209"/>
    </row>
    <row r="25" spans="1:8" x14ac:dyDescent="0.3">
      <c r="A25" s="19">
        <v>2026</v>
      </c>
      <c r="B25" s="20" t="s">
        <v>23</v>
      </c>
      <c r="C25" s="21" t="s">
        <v>149</v>
      </c>
      <c r="D25" s="209">
        <v>0</v>
      </c>
      <c r="E25" s="210">
        <v>0</v>
      </c>
      <c r="F25" s="209"/>
      <c r="G25" s="209"/>
    </row>
    <row r="26" spans="1:8" x14ac:dyDescent="0.3">
      <c r="A26" s="19">
        <v>2026</v>
      </c>
      <c r="B26" s="20" t="s">
        <v>24</v>
      </c>
      <c r="C26" s="21" t="s">
        <v>149</v>
      </c>
      <c r="D26" s="209">
        <v>0</v>
      </c>
      <c r="E26" s="210">
        <v>0</v>
      </c>
      <c r="F26" s="209"/>
      <c r="G26" s="209"/>
    </row>
    <row r="27" spans="1:8" x14ac:dyDescent="0.3">
      <c r="A27" s="19">
        <v>2026</v>
      </c>
      <c r="B27" s="20" t="s">
        <v>25</v>
      </c>
      <c r="C27" s="21" t="s">
        <v>149</v>
      </c>
      <c r="D27" s="209">
        <v>0</v>
      </c>
      <c r="E27" s="210">
        <v>0</v>
      </c>
      <c r="F27" s="209"/>
      <c r="G27" s="209"/>
    </row>
    <row r="28" spans="1:8" x14ac:dyDescent="0.3">
      <c r="A28" s="19">
        <v>2026</v>
      </c>
      <c r="B28" s="20" t="s">
        <v>26</v>
      </c>
      <c r="C28" s="21" t="s">
        <v>149</v>
      </c>
      <c r="D28" s="209">
        <v>0</v>
      </c>
      <c r="E28" s="210">
        <v>0</v>
      </c>
      <c r="F28" s="209"/>
      <c r="G28" s="209"/>
    </row>
    <row r="29" spans="1:8" x14ac:dyDescent="0.3">
      <c r="A29" s="19">
        <v>2026</v>
      </c>
      <c r="B29" s="20" t="s">
        <v>27</v>
      </c>
      <c r="C29" s="21" t="s">
        <v>149</v>
      </c>
      <c r="D29" s="209">
        <v>0</v>
      </c>
      <c r="E29" s="210">
        <v>0</v>
      </c>
      <c r="F29" s="209"/>
      <c r="G29" s="209"/>
    </row>
    <row r="30" spans="1:8" x14ac:dyDescent="0.3">
      <c r="A30" s="19">
        <v>2026</v>
      </c>
      <c r="B30" s="20" t="s">
        <v>28</v>
      </c>
      <c r="C30" s="21" t="s">
        <v>149</v>
      </c>
      <c r="D30" s="209">
        <v>0</v>
      </c>
      <c r="E30" s="210">
        <v>0</v>
      </c>
      <c r="F30" s="209"/>
      <c r="G30" s="209"/>
    </row>
    <row r="31" spans="1:8" x14ac:dyDescent="0.3">
      <c r="A31" s="19">
        <v>2026</v>
      </c>
      <c r="B31" s="20" t="s">
        <v>29</v>
      </c>
      <c r="C31" s="21" t="s">
        <v>149</v>
      </c>
      <c r="D31" s="209">
        <v>0</v>
      </c>
      <c r="E31" s="210">
        <v>0</v>
      </c>
      <c r="F31" s="209"/>
      <c r="G31" s="209"/>
    </row>
    <row r="32" spans="1:8" x14ac:dyDescent="0.3">
      <c r="A32" s="19">
        <v>2026</v>
      </c>
      <c r="B32" s="20" t="s">
        <v>30</v>
      </c>
      <c r="C32" s="21" t="s">
        <v>149</v>
      </c>
      <c r="D32" s="209">
        <v>0</v>
      </c>
      <c r="E32" s="210">
        <v>0</v>
      </c>
      <c r="F32" s="209"/>
      <c r="G32" s="209"/>
    </row>
    <row r="33" spans="1:8" x14ac:dyDescent="0.3">
      <c r="A33" s="22">
        <v>2026</v>
      </c>
      <c r="B33" s="23" t="s">
        <v>31</v>
      </c>
      <c r="C33" s="24" t="s">
        <v>149</v>
      </c>
      <c r="D33" s="211">
        <v>0</v>
      </c>
      <c r="E33" s="212">
        <v>0</v>
      </c>
      <c r="F33" s="209"/>
      <c r="G33" s="209"/>
    </row>
    <row r="34" spans="1:8" x14ac:dyDescent="0.3">
      <c r="A34" s="550" t="s">
        <v>96</v>
      </c>
      <c r="B34" s="550"/>
      <c r="C34" s="550"/>
      <c r="D34" s="171">
        <f>SUM(D22:D33)</f>
        <v>0</v>
      </c>
      <c r="E34" s="171">
        <f>SUM(E22:E33)</f>
        <v>0</v>
      </c>
      <c r="F34" s="4"/>
      <c r="G34" s="4"/>
    </row>
    <row r="35" spans="1:8" x14ac:dyDescent="0.3">
      <c r="A35" s="255"/>
      <c r="B35" s="255"/>
      <c r="C35" s="255"/>
      <c r="D35" s="255"/>
      <c r="E35" s="255"/>
      <c r="F35" s="255"/>
      <c r="G35" s="255"/>
      <c r="H35" s="255"/>
    </row>
    <row r="36" spans="1:8" s="330" customFormat="1" ht="12" x14ac:dyDescent="0.25">
      <c r="A36" s="6" t="s">
        <v>18</v>
      </c>
      <c r="B36" s="6" t="s">
        <v>19</v>
      </c>
      <c r="C36" s="7" t="s">
        <v>0</v>
      </c>
      <c r="D36" s="288" t="s">
        <v>135</v>
      </c>
      <c r="E36" s="288" t="s">
        <v>158</v>
      </c>
      <c r="F36" s="391"/>
      <c r="G36" s="391"/>
    </row>
    <row r="37" spans="1:8" x14ac:dyDescent="0.3">
      <c r="A37" s="16">
        <v>2024</v>
      </c>
      <c r="B37" s="17" t="s">
        <v>20</v>
      </c>
      <c r="C37" s="18" t="s">
        <v>149</v>
      </c>
      <c r="D37" s="239">
        <v>26336</v>
      </c>
      <c r="E37" s="240"/>
      <c r="F37" s="241"/>
      <c r="G37" s="241"/>
    </row>
    <row r="38" spans="1:8" x14ac:dyDescent="0.3">
      <c r="A38" s="19">
        <v>2024</v>
      </c>
      <c r="B38" s="20" t="s">
        <v>21</v>
      </c>
      <c r="C38" s="21" t="s">
        <v>149</v>
      </c>
      <c r="D38" s="241"/>
      <c r="E38" s="242"/>
      <c r="F38" s="241"/>
      <c r="G38" s="241"/>
    </row>
    <row r="39" spans="1:8" x14ac:dyDescent="0.3">
      <c r="A39" s="19">
        <v>2024</v>
      </c>
      <c r="B39" s="20" t="s">
        <v>22</v>
      </c>
      <c r="C39" s="21" t="s">
        <v>149</v>
      </c>
      <c r="D39" s="241"/>
      <c r="E39" s="242"/>
      <c r="F39" s="241"/>
      <c r="G39" s="241"/>
    </row>
    <row r="40" spans="1:8" x14ac:dyDescent="0.3">
      <c r="A40" s="19">
        <v>2024</v>
      </c>
      <c r="B40" s="20" t="s">
        <v>23</v>
      </c>
      <c r="C40" s="21" t="s">
        <v>149</v>
      </c>
      <c r="D40" s="241"/>
      <c r="E40" s="242"/>
      <c r="F40" s="241"/>
      <c r="G40" s="241"/>
    </row>
    <row r="41" spans="1:8" x14ac:dyDescent="0.3">
      <c r="A41" s="19">
        <v>2024</v>
      </c>
      <c r="B41" s="20" t="s">
        <v>24</v>
      </c>
      <c r="C41" s="21" t="s">
        <v>149</v>
      </c>
      <c r="D41" s="241"/>
      <c r="E41" s="242"/>
      <c r="F41" s="241"/>
      <c r="G41" s="241"/>
    </row>
    <row r="42" spans="1:8" x14ac:dyDescent="0.3">
      <c r="A42" s="19">
        <v>2024</v>
      </c>
      <c r="B42" s="20" t="s">
        <v>25</v>
      </c>
      <c r="C42" s="21" t="s">
        <v>149</v>
      </c>
      <c r="D42" s="241"/>
      <c r="E42" s="242"/>
      <c r="F42" s="241"/>
      <c r="G42" s="241"/>
    </row>
    <row r="43" spans="1:8" x14ac:dyDescent="0.3">
      <c r="A43" s="19">
        <v>2024</v>
      </c>
      <c r="B43" s="20" t="s">
        <v>26</v>
      </c>
      <c r="C43" s="21" t="s">
        <v>149</v>
      </c>
      <c r="D43" s="241"/>
      <c r="E43" s="242"/>
      <c r="F43" s="241"/>
      <c r="G43" s="241"/>
    </row>
    <row r="44" spans="1:8" x14ac:dyDescent="0.3">
      <c r="A44" s="19">
        <v>2024</v>
      </c>
      <c r="B44" s="20" t="s">
        <v>27</v>
      </c>
      <c r="C44" s="21" t="s">
        <v>149</v>
      </c>
      <c r="D44" s="241"/>
      <c r="E44" s="242"/>
      <c r="F44" s="241"/>
      <c r="G44" s="241"/>
    </row>
    <row r="45" spans="1:8" x14ac:dyDescent="0.3">
      <c r="A45" s="19">
        <v>2024</v>
      </c>
      <c r="B45" s="20" t="s">
        <v>28</v>
      </c>
      <c r="C45" s="21" t="s">
        <v>149</v>
      </c>
      <c r="D45" s="241"/>
      <c r="E45" s="242"/>
      <c r="F45" s="241"/>
      <c r="G45" s="241"/>
    </row>
    <row r="46" spans="1:8" x14ac:dyDescent="0.3">
      <c r="A46" s="19">
        <v>2024</v>
      </c>
      <c r="B46" s="20" t="s">
        <v>29</v>
      </c>
      <c r="C46" s="21" t="s">
        <v>149</v>
      </c>
      <c r="D46" s="241"/>
      <c r="E46" s="242"/>
      <c r="F46" s="241"/>
      <c r="G46" s="241"/>
    </row>
    <row r="47" spans="1:8" x14ac:dyDescent="0.3">
      <c r="A47" s="19">
        <v>2024</v>
      </c>
      <c r="B47" s="20" t="s">
        <v>30</v>
      </c>
      <c r="C47" s="21" t="s">
        <v>149</v>
      </c>
      <c r="D47" s="241"/>
      <c r="E47" s="242"/>
      <c r="F47" s="241"/>
      <c r="G47" s="241"/>
    </row>
    <row r="48" spans="1:8" x14ac:dyDescent="0.3">
      <c r="A48" s="22">
        <v>2024</v>
      </c>
      <c r="B48" s="23" t="s">
        <v>31</v>
      </c>
      <c r="C48" s="24" t="s">
        <v>149</v>
      </c>
      <c r="D48" s="243"/>
      <c r="E48" s="244"/>
      <c r="F48" s="241"/>
      <c r="G48" s="241"/>
    </row>
    <row r="49" spans="1:8" ht="15" customHeight="1" x14ac:dyDescent="0.3">
      <c r="A49" s="545" t="s">
        <v>81</v>
      </c>
      <c r="B49" s="545"/>
      <c r="C49" s="545"/>
      <c r="D49" s="171">
        <f>SUM(D37:D48)</f>
        <v>26336</v>
      </c>
      <c r="E49" s="171">
        <f>SUM(E37:E48)</f>
        <v>0</v>
      </c>
      <c r="F49" s="4"/>
      <c r="G49" s="4"/>
    </row>
    <row r="50" spans="1:8" x14ac:dyDescent="0.3">
      <c r="A50" s="389"/>
      <c r="B50" s="389"/>
      <c r="C50" s="389"/>
      <c r="D50" s="255"/>
      <c r="E50" s="255"/>
      <c r="F50" s="255"/>
      <c r="G50" s="255"/>
      <c r="H50" s="255"/>
    </row>
    <row r="51" spans="1:8" s="330" customFormat="1" ht="12" x14ac:dyDescent="0.25">
      <c r="A51" s="6" t="s">
        <v>18</v>
      </c>
      <c r="B51" s="6" t="s">
        <v>19</v>
      </c>
      <c r="C51" s="7" t="s">
        <v>0</v>
      </c>
      <c r="D51" s="288" t="s">
        <v>135</v>
      </c>
      <c r="E51" s="288" t="s">
        <v>158</v>
      </c>
      <c r="F51" s="391"/>
      <c r="G51" s="391"/>
    </row>
    <row r="52" spans="1:8" x14ac:dyDescent="0.3">
      <c r="A52" s="16">
        <v>2023</v>
      </c>
      <c r="B52" s="17" t="s">
        <v>20</v>
      </c>
      <c r="C52" s="18" t="s">
        <v>149</v>
      </c>
      <c r="D52" s="239">
        <v>2007219</v>
      </c>
      <c r="E52" s="240">
        <v>2875</v>
      </c>
      <c r="F52" s="241"/>
      <c r="G52" s="241"/>
    </row>
    <row r="53" spans="1:8" x14ac:dyDescent="0.3">
      <c r="A53" s="19">
        <v>2023</v>
      </c>
      <c r="B53" s="20" t="s">
        <v>21</v>
      </c>
      <c r="C53" s="21" t="s">
        <v>149</v>
      </c>
      <c r="D53" s="241">
        <v>1750108</v>
      </c>
      <c r="E53" s="242">
        <v>2779</v>
      </c>
      <c r="F53" s="241"/>
      <c r="G53" s="241"/>
    </row>
    <row r="54" spans="1:8" x14ac:dyDescent="0.3">
      <c r="A54" s="19">
        <v>2023</v>
      </c>
      <c r="B54" s="20" t="s">
        <v>22</v>
      </c>
      <c r="C54" s="21" t="s">
        <v>149</v>
      </c>
      <c r="D54" s="241">
        <v>1420691</v>
      </c>
      <c r="E54" s="242">
        <v>2539</v>
      </c>
      <c r="F54" s="241"/>
      <c r="G54" s="241"/>
    </row>
    <row r="55" spans="1:8" x14ac:dyDescent="0.3">
      <c r="A55" s="19">
        <v>2023</v>
      </c>
      <c r="B55" s="20" t="s">
        <v>23</v>
      </c>
      <c r="C55" s="21" t="s">
        <v>149</v>
      </c>
      <c r="D55" s="241">
        <v>1140208</v>
      </c>
      <c r="E55" s="242">
        <v>120</v>
      </c>
      <c r="F55" s="241"/>
      <c r="G55" s="241"/>
    </row>
    <row r="56" spans="1:8" x14ac:dyDescent="0.3">
      <c r="A56" s="19">
        <v>2023</v>
      </c>
      <c r="B56" s="20" t="s">
        <v>24</v>
      </c>
      <c r="C56" s="21" t="s">
        <v>149</v>
      </c>
      <c r="D56" s="241">
        <v>860735</v>
      </c>
      <c r="E56" s="242">
        <v>166</v>
      </c>
      <c r="F56" s="241"/>
      <c r="G56" s="241"/>
    </row>
    <row r="57" spans="1:8" x14ac:dyDescent="0.3">
      <c r="A57" s="19">
        <v>2023</v>
      </c>
      <c r="B57" s="20" t="s">
        <v>25</v>
      </c>
      <c r="C57" s="21" t="s">
        <v>149</v>
      </c>
      <c r="D57" s="241">
        <v>884672</v>
      </c>
      <c r="E57" s="242">
        <v>148</v>
      </c>
      <c r="F57" s="241"/>
      <c r="G57" s="241"/>
    </row>
    <row r="58" spans="1:8" x14ac:dyDescent="0.3">
      <c r="A58" s="19">
        <v>2023</v>
      </c>
      <c r="B58" s="20" t="s">
        <v>26</v>
      </c>
      <c r="C58" s="21" t="s">
        <v>149</v>
      </c>
      <c r="D58" s="241">
        <v>820185</v>
      </c>
      <c r="E58" s="242">
        <v>94</v>
      </c>
      <c r="F58" s="241"/>
      <c r="G58" s="241"/>
    </row>
    <row r="59" spans="1:8" x14ac:dyDescent="0.3">
      <c r="A59" s="19">
        <v>2023</v>
      </c>
      <c r="B59" s="20" t="s">
        <v>27</v>
      </c>
      <c r="C59" s="21" t="s">
        <v>149</v>
      </c>
      <c r="D59" s="241">
        <v>641393</v>
      </c>
      <c r="E59" s="242">
        <v>64</v>
      </c>
      <c r="F59" s="241"/>
      <c r="G59" s="241"/>
    </row>
    <row r="60" spans="1:8" x14ac:dyDescent="0.3">
      <c r="A60" s="19">
        <v>2023</v>
      </c>
      <c r="B60" s="20" t="s">
        <v>28</v>
      </c>
      <c r="C60" s="21" t="s">
        <v>149</v>
      </c>
      <c r="D60" s="241">
        <v>490270</v>
      </c>
      <c r="E60" s="242">
        <v>103</v>
      </c>
      <c r="F60" s="241"/>
      <c r="G60" s="241"/>
    </row>
    <row r="61" spans="1:8" x14ac:dyDescent="0.3">
      <c r="A61" s="19">
        <v>2023</v>
      </c>
      <c r="B61" s="20" t="s">
        <v>29</v>
      </c>
      <c r="C61" s="21" t="s">
        <v>149</v>
      </c>
      <c r="D61" s="241">
        <v>298789</v>
      </c>
      <c r="E61" s="242"/>
      <c r="F61" s="241"/>
      <c r="G61" s="241"/>
    </row>
    <row r="62" spans="1:8" x14ac:dyDescent="0.3">
      <c r="A62" s="19">
        <v>2023</v>
      </c>
      <c r="B62" s="20" t="s">
        <v>30</v>
      </c>
      <c r="C62" s="21" t="s">
        <v>149</v>
      </c>
      <c r="D62" s="241">
        <v>249196</v>
      </c>
      <c r="E62" s="242"/>
      <c r="F62" s="241"/>
      <c r="G62" s="241"/>
    </row>
    <row r="63" spans="1:8" x14ac:dyDescent="0.3">
      <c r="A63" s="22">
        <v>2023</v>
      </c>
      <c r="B63" s="23" t="s">
        <v>31</v>
      </c>
      <c r="C63" s="24" t="s">
        <v>149</v>
      </c>
      <c r="D63" s="243">
        <v>120710</v>
      </c>
      <c r="E63" s="244"/>
      <c r="F63" s="241"/>
      <c r="G63" s="241"/>
    </row>
    <row r="64" spans="1:8" ht="15" customHeight="1" x14ac:dyDescent="0.3">
      <c r="A64" s="545" t="s">
        <v>81</v>
      </c>
      <c r="B64" s="545"/>
      <c r="C64" s="545"/>
      <c r="D64" s="171">
        <f>SUM(D52:D63)</f>
        <v>10684176</v>
      </c>
      <c r="E64" s="171">
        <f>SUM(E52:E63)</f>
        <v>8888</v>
      </c>
      <c r="F64" s="4"/>
      <c r="G64" s="4"/>
    </row>
    <row r="65" spans="1:8" x14ac:dyDescent="0.3">
      <c r="A65" s="389"/>
      <c r="B65" s="389"/>
      <c r="C65" s="389"/>
      <c r="D65" s="255"/>
      <c r="E65" s="255"/>
      <c r="F65" s="255"/>
      <c r="G65" s="255"/>
      <c r="H65" s="255"/>
    </row>
    <row r="66" spans="1:8" s="330" customFormat="1" ht="12" x14ac:dyDescent="0.25">
      <c r="A66" s="6" t="s">
        <v>18</v>
      </c>
      <c r="B66" s="6" t="s">
        <v>19</v>
      </c>
      <c r="C66" s="7" t="s">
        <v>0</v>
      </c>
      <c r="D66" s="288" t="s">
        <v>135</v>
      </c>
      <c r="E66" s="288" t="s">
        <v>158</v>
      </c>
      <c r="F66" s="391"/>
      <c r="G66" s="391"/>
    </row>
    <row r="67" spans="1:8" x14ac:dyDescent="0.3">
      <c r="A67" s="16">
        <v>2022</v>
      </c>
      <c r="B67" s="17" t="s">
        <v>20</v>
      </c>
      <c r="C67" s="18" t="s">
        <v>149</v>
      </c>
      <c r="D67" s="239">
        <v>44029</v>
      </c>
      <c r="E67" s="240"/>
      <c r="F67" s="241"/>
      <c r="G67" s="241"/>
    </row>
    <row r="68" spans="1:8" x14ac:dyDescent="0.3">
      <c r="A68" s="19">
        <v>2022</v>
      </c>
      <c r="B68" s="20" t="s">
        <v>21</v>
      </c>
      <c r="C68" s="21" t="s">
        <v>149</v>
      </c>
      <c r="D68" s="241">
        <v>249857</v>
      </c>
      <c r="E68" s="242"/>
      <c r="F68" s="241"/>
      <c r="G68" s="241"/>
    </row>
    <row r="69" spans="1:8" x14ac:dyDescent="0.3">
      <c r="A69" s="19">
        <v>2022</v>
      </c>
      <c r="B69" s="20" t="s">
        <v>22</v>
      </c>
      <c r="C69" s="21" t="s">
        <v>149</v>
      </c>
      <c r="D69" s="241">
        <v>471693</v>
      </c>
      <c r="E69" s="242"/>
      <c r="F69" s="241"/>
      <c r="G69" s="241"/>
    </row>
    <row r="70" spans="1:8" x14ac:dyDescent="0.3">
      <c r="A70" s="19">
        <v>2022</v>
      </c>
      <c r="B70" s="20" t="s">
        <v>23</v>
      </c>
      <c r="C70" s="21" t="s">
        <v>149</v>
      </c>
      <c r="D70" s="241">
        <v>987279</v>
      </c>
      <c r="E70" s="242"/>
      <c r="F70" s="241"/>
      <c r="G70" s="241"/>
    </row>
    <row r="71" spans="1:8" x14ac:dyDescent="0.3">
      <c r="A71" s="19">
        <v>2022</v>
      </c>
      <c r="B71" s="20" t="s">
        <v>24</v>
      </c>
      <c r="C71" s="21" t="s">
        <v>149</v>
      </c>
      <c r="D71" s="241">
        <v>1026849</v>
      </c>
      <c r="E71" s="242">
        <v>2363</v>
      </c>
      <c r="F71" s="241"/>
      <c r="G71" s="241"/>
    </row>
    <row r="72" spans="1:8" x14ac:dyDescent="0.3">
      <c r="A72" s="19">
        <v>2022</v>
      </c>
      <c r="B72" s="20" t="s">
        <v>25</v>
      </c>
      <c r="C72" s="21" t="s">
        <v>149</v>
      </c>
      <c r="D72" s="241">
        <v>1267270</v>
      </c>
      <c r="E72" s="242">
        <v>2807</v>
      </c>
      <c r="F72" s="241"/>
      <c r="G72" s="241"/>
    </row>
    <row r="73" spans="1:8" x14ac:dyDescent="0.3">
      <c r="A73" s="19">
        <v>2022</v>
      </c>
      <c r="B73" s="20" t="s">
        <v>26</v>
      </c>
      <c r="C73" s="21" t="s">
        <v>149</v>
      </c>
      <c r="D73" s="241">
        <v>1347515</v>
      </c>
      <c r="E73" s="242">
        <v>4429</v>
      </c>
      <c r="F73" s="241"/>
      <c r="G73" s="241"/>
    </row>
    <row r="74" spans="1:8" x14ac:dyDescent="0.3">
      <c r="A74" s="19">
        <v>2022</v>
      </c>
      <c r="B74" s="20" t="s">
        <v>27</v>
      </c>
      <c r="C74" s="21" t="s">
        <v>149</v>
      </c>
      <c r="D74" s="241">
        <v>1331567</v>
      </c>
      <c r="E74" s="242">
        <v>4174</v>
      </c>
      <c r="F74" s="241"/>
      <c r="G74" s="241"/>
    </row>
    <row r="75" spans="1:8" x14ac:dyDescent="0.3">
      <c r="A75" s="19">
        <v>2022</v>
      </c>
      <c r="B75" s="20" t="s">
        <v>28</v>
      </c>
      <c r="C75" s="21" t="s">
        <v>149</v>
      </c>
      <c r="D75" s="241">
        <v>1536314</v>
      </c>
      <c r="E75" s="242">
        <v>3697</v>
      </c>
      <c r="F75" s="241"/>
      <c r="G75" s="241"/>
    </row>
    <row r="76" spans="1:8" x14ac:dyDescent="0.3">
      <c r="A76" s="19">
        <v>2022</v>
      </c>
      <c r="B76" s="20" t="s">
        <v>29</v>
      </c>
      <c r="C76" s="21" t="s">
        <v>149</v>
      </c>
      <c r="D76" s="241">
        <v>1078561</v>
      </c>
      <c r="E76" s="242">
        <v>2333</v>
      </c>
      <c r="F76" s="241"/>
      <c r="G76" s="241"/>
    </row>
    <row r="77" spans="1:8" x14ac:dyDescent="0.3">
      <c r="A77" s="19">
        <v>2022</v>
      </c>
      <c r="B77" s="20" t="s">
        <v>30</v>
      </c>
      <c r="C77" s="21" t="s">
        <v>149</v>
      </c>
      <c r="D77" s="241">
        <v>1330616</v>
      </c>
      <c r="E77" s="242">
        <v>2133</v>
      </c>
      <c r="F77" s="241"/>
      <c r="G77" s="241"/>
    </row>
    <row r="78" spans="1:8" x14ac:dyDescent="0.3">
      <c r="A78" s="22">
        <v>2022</v>
      </c>
      <c r="B78" s="23" t="s">
        <v>31</v>
      </c>
      <c r="C78" s="24" t="s">
        <v>149</v>
      </c>
      <c r="D78" s="243">
        <v>1950659</v>
      </c>
      <c r="E78" s="244">
        <v>2319</v>
      </c>
      <c r="F78" s="241"/>
      <c r="G78" s="241"/>
    </row>
    <row r="79" spans="1:8" ht="15" customHeight="1" x14ac:dyDescent="0.3">
      <c r="A79" s="545" t="s">
        <v>81</v>
      </c>
      <c r="B79" s="545"/>
      <c r="C79" s="545"/>
      <c r="D79" s="171">
        <f>SUM(D67:D78)</f>
        <v>12622209</v>
      </c>
      <c r="E79" s="171">
        <f>SUM(E67:E78)</f>
        <v>24255</v>
      </c>
      <c r="F79" s="4"/>
      <c r="G79" s="4"/>
    </row>
    <row r="80" spans="1:8" x14ac:dyDescent="0.3">
      <c r="A80" s="389"/>
      <c r="B80" s="389"/>
      <c r="C80" s="389"/>
      <c r="D80" s="255"/>
      <c r="E80" s="255"/>
      <c r="F80" s="255"/>
      <c r="G80" s="255"/>
      <c r="H80" s="255"/>
    </row>
    <row r="81" spans="1:8" ht="15" customHeight="1" x14ac:dyDescent="0.3">
      <c r="A81" s="469" t="s">
        <v>134</v>
      </c>
      <c r="B81" s="468"/>
      <c r="C81" s="468"/>
      <c r="D81" s="171"/>
      <c r="E81" s="171"/>
      <c r="F81" s="171"/>
      <c r="G81" s="171"/>
    </row>
    <row r="82" spans="1:8" x14ac:dyDescent="0.3">
      <c r="A82" s="490"/>
      <c r="B82" s="255"/>
      <c r="C82" s="255"/>
      <c r="D82" s="255"/>
      <c r="E82" s="255"/>
      <c r="F82" s="255"/>
      <c r="G82" s="255"/>
      <c r="H82" s="255"/>
    </row>
    <row r="83" spans="1:8" x14ac:dyDescent="0.3">
      <c r="A83" s="255"/>
      <c r="B83" s="255"/>
      <c r="C83" s="255"/>
      <c r="D83" s="255"/>
      <c r="E83" s="255"/>
      <c r="F83" s="255"/>
      <c r="G83" s="255"/>
      <c r="H83" s="255"/>
    </row>
  </sheetData>
  <mergeCells count="9">
    <mergeCell ref="A79:C79"/>
    <mergeCell ref="A1:I1"/>
    <mergeCell ref="A2:I2"/>
    <mergeCell ref="A3:I3"/>
    <mergeCell ref="A4:I4"/>
    <mergeCell ref="A19:C19"/>
    <mergeCell ref="A34:C34"/>
    <mergeCell ref="A64:C64"/>
    <mergeCell ref="A49:C49"/>
  </mergeCells>
  <printOptions horizontalCentered="1"/>
  <pageMargins left="0.25" right="0.25" top="0.5" bottom="0.75" header="0.3" footer="0.3"/>
  <pageSetup scale="88" orientation="portrait" r:id="rId1"/>
  <rowBreaks count="1" manualBreakCount="1">
    <brk id="50" max="7"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4E4E7-733A-480E-AB3F-B0D700DD2184}">
  <sheetPr codeName="Sheet14">
    <pageSetUpPr fitToPage="1"/>
  </sheetPr>
  <dimension ref="A1:AJ114"/>
  <sheetViews>
    <sheetView zoomScaleNormal="100" workbookViewId="0">
      <selection sqref="A1:J1"/>
    </sheetView>
  </sheetViews>
  <sheetFormatPr defaultRowHeight="14.4" x14ac:dyDescent="0.3"/>
  <cols>
    <col min="1" max="1" width="7.44140625" style="3" customWidth="1"/>
    <col min="2" max="2" width="6.5546875" style="3" customWidth="1"/>
    <col min="3" max="3" width="9.109375" style="3" customWidth="1"/>
    <col min="4" max="4" width="11.109375" bestFit="1" customWidth="1"/>
    <col min="5" max="7" width="11.109375" style="343" customWidth="1"/>
    <col min="8" max="8" width="11.109375" customWidth="1"/>
    <col min="9" max="10" width="10.109375" customWidth="1"/>
    <col min="11" max="11" width="11.44140625" customWidth="1"/>
    <col min="12" max="12" width="11.109375" customWidth="1"/>
    <col min="13" max="13" width="10.5546875" customWidth="1"/>
    <col min="14" max="14" width="11.109375" customWidth="1"/>
    <col min="15" max="16" width="11.109375" style="329" customWidth="1"/>
    <col min="17" max="17" width="10.88671875" style="46" customWidth="1"/>
    <col min="18" max="18" width="11.44140625" style="46" customWidth="1"/>
    <col min="19" max="19" width="11" style="46" customWidth="1"/>
    <col min="20" max="20" width="11" customWidth="1"/>
    <col min="22" max="22" width="12.109375" customWidth="1"/>
    <col min="23" max="23" width="10.109375" customWidth="1"/>
    <col min="24" max="24" width="4.44140625" customWidth="1"/>
  </cols>
  <sheetData>
    <row r="1" spans="1:36" s="343" customFormat="1" ht="18" x14ac:dyDescent="0.35">
      <c r="A1" s="542" t="s">
        <v>122</v>
      </c>
      <c r="B1" s="542"/>
      <c r="C1" s="542"/>
      <c r="D1" s="542"/>
      <c r="E1" s="542"/>
      <c r="F1" s="542"/>
      <c r="G1" s="542"/>
      <c r="H1" s="542"/>
      <c r="I1" s="542"/>
      <c r="J1" s="542"/>
      <c r="Q1" s="46"/>
      <c r="R1" s="46"/>
      <c r="S1" s="46"/>
    </row>
    <row r="2" spans="1:36" s="343" customFormat="1" ht="18" x14ac:dyDescent="0.35">
      <c r="A2" s="542" t="s">
        <v>163</v>
      </c>
      <c r="B2" s="542"/>
      <c r="C2" s="542"/>
      <c r="D2" s="542"/>
      <c r="E2" s="542"/>
      <c r="F2" s="542"/>
      <c r="G2" s="542"/>
      <c r="H2" s="542"/>
      <c r="I2" s="542"/>
      <c r="J2" s="542"/>
      <c r="Q2" s="46"/>
      <c r="R2" s="46"/>
      <c r="S2" s="46"/>
    </row>
    <row r="3" spans="1:36" s="343" customFormat="1" ht="18" x14ac:dyDescent="0.35">
      <c r="A3" s="542" t="s">
        <v>166</v>
      </c>
      <c r="B3" s="542"/>
      <c r="C3" s="542"/>
      <c r="D3" s="542"/>
      <c r="E3" s="542"/>
      <c r="F3" s="542"/>
      <c r="G3" s="542"/>
      <c r="H3" s="542"/>
      <c r="I3" s="542"/>
      <c r="J3" s="542"/>
      <c r="Q3" s="46"/>
      <c r="R3" s="46"/>
      <c r="S3" s="46"/>
    </row>
    <row r="4" spans="1:36" s="343" customFormat="1" ht="18" x14ac:dyDescent="0.35">
      <c r="A4" s="542" t="s">
        <v>123</v>
      </c>
      <c r="B4" s="542"/>
      <c r="C4" s="542"/>
      <c r="D4" s="542"/>
      <c r="E4" s="542"/>
      <c r="F4" s="542"/>
      <c r="G4" s="542"/>
      <c r="H4" s="542"/>
      <c r="I4" s="542"/>
      <c r="J4" s="542"/>
      <c r="Q4" s="46"/>
      <c r="R4" s="46"/>
      <c r="S4" s="46"/>
    </row>
    <row r="5" spans="1:36" s="343" customFormat="1" x14ac:dyDescent="0.3">
      <c r="A5" s="3"/>
      <c r="B5" s="3"/>
      <c r="C5" s="3"/>
      <c r="Q5" s="46"/>
      <c r="R5" s="46"/>
      <c r="S5" s="46"/>
    </row>
    <row r="6" spans="1:36" s="330" customFormat="1" ht="36" x14ac:dyDescent="0.25">
      <c r="A6" s="6" t="s">
        <v>18</v>
      </c>
      <c r="B6" s="6" t="s">
        <v>19</v>
      </c>
      <c r="C6" s="7" t="s">
        <v>0</v>
      </c>
      <c r="D6" s="392" t="s">
        <v>11</v>
      </c>
      <c r="E6" s="392" t="s">
        <v>109</v>
      </c>
      <c r="F6" s="392" t="s">
        <v>110</v>
      </c>
      <c r="G6" s="499" t="s">
        <v>158</v>
      </c>
      <c r="H6" s="419" t="s">
        <v>62</v>
      </c>
      <c r="I6" s="419" t="s">
        <v>64</v>
      </c>
      <c r="J6" s="419" t="s">
        <v>63</v>
      </c>
      <c r="K6" s="429" t="s">
        <v>108</v>
      </c>
      <c r="L6" s="430" t="s">
        <v>101</v>
      </c>
      <c r="M6" s="431" t="s">
        <v>82</v>
      </c>
      <c r="N6" s="431" t="s">
        <v>83</v>
      </c>
      <c r="O6" s="429" t="s">
        <v>112</v>
      </c>
      <c r="P6" s="430" t="s">
        <v>103</v>
      </c>
      <c r="Q6" s="419" t="s">
        <v>3</v>
      </c>
      <c r="R6" s="421" t="s">
        <v>53</v>
      </c>
      <c r="S6" s="421" t="s">
        <v>54</v>
      </c>
      <c r="T6" s="421" t="s">
        <v>65</v>
      </c>
      <c r="U6" s="419" t="s">
        <v>66</v>
      </c>
      <c r="V6" s="419" t="s">
        <v>67</v>
      </c>
      <c r="W6" s="419" t="s">
        <v>68</v>
      </c>
    </row>
    <row r="7" spans="1:36" s="343" customFormat="1" x14ac:dyDescent="0.3">
      <c r="A7" s="16">
        <v>2027</v>
      </c>
      <c r="B7" s="17" t="s">
        <v>20</v>
      </c>
      <c r="C7" s="18" t="s">
        <v>61</v>
      </c>
      <c r="D7" s="408">
        <v>13221233.386989117</v>
      </c>
      <c r="E7" s="399">
        <v>225029.75094833001</v>
      </c>
      <c r="F7" s="399">
        <v>3502.3123972599701</v>
      </c>
      <c r="G7" s="399">
        <v>15122.114361550501</v>
      </c>
      <c r="H7" s="399">
        <f>I7+J7</f>
        <v>4495099.5995734502</v>
      </c>
      <c r="I7" s="399">
        <f>K7+M7+O7</f>
        <v>4495099.5995734502</v>
      </c>
      <c r="J7" s="399">
        <f>L7+N7+P7</f>
        <v>0</v>
      </c>
      <c r="K7" s="408">
        <v>1216468.3833435683</v>
      </c>
      <c r="L7" s="408">
        <v>0</v>
      </c>
      <c r="M7" s="408">
        <v>2052137.0586190622</v>
      </c>
      <c r="N7" s="408">
        <v>0</v>
      </c>
      <c r="O7" s="408">
        <v>1226494.1576108194</v>
      </c>
      <c r="P7" s="408">
        <v>0</v>
      </c>
      <c r="Q7" s="408">
        <v>28325.167828074187</v>
      </c>
      <c r="R7" s="408">
        <v>7669.3312193144402</v>
      </c>
      <c r="S7" s="408">
        <v>4127735.1695849374</v>
      </c>
      <c r="T7" s="399">
        <v>5480.1375175283874</v>
      </c>
      <c r="U7" s="399">
        <f>SUM(V7:W7)</f>
        <v>24764.027212045236</v>
      </c>
      <c r="V7" s="408">
        <v>24764.027212045236</v>
      </c>
      <c r="W7" s="427">
        <v>0</v>
      </c>
      <c r="Y7" s="344"/>
      <c r="Z7" s="344"/>
      <c r="AA7" s="344"/>
      <c r="AB7" s="344"/>
      <c r="AC7" s="344"/>
      <c r="AD7" s="344"/>
      <c r="AE7" s="344"/>
      <c r="AF7" s="344"/>
      <c r="AG7" s="344"/>
      <c r="AH7" s="344"/>
      <c r="AI7" s="344"/>
      <c r="AJ7" s="344"/>
    </row>
    <row r="8" spans="1:36" s="343" customFormat="1" x14ac:dyDescent="0.3">
      <c r="A8" s="19">
        <v>2027</v>
      </c>
      <c r="B8" s="20" t="s">
        <v>21</v>
      </c>
      <c r="C8" s="21" t="s">
        <v>61</v>
      </c>
      <c r="D8" s="408">
        <v>10720740.683507346</v>
      </c>
      <c r="E8" s="399">
        <v>432229.66448570101</v>
      </c>
      <c r="F8" s="399">
        <v>31242.454939975902</v>
      </c>
      <c r="G8" s="399">
        <v>18303.484844345101</v>
      </c>
      <c r="H8" s="399">
        <f t="shared" ref="H8:H18" si="0">I8+J8</f>
        <v>3734423.7392660514</v>
      </c>
      <c r="I8" s="399">
        <f t="shared" ref="I8:I18" si="1">K8+M8+O8</f>
        <v>3734423.7392660514</v>
      </c>
      <c r="J8" s="399">
        <f t="shared" ref="J8:J18" si="2">L8+N8+P8</f>
        <v>0</v>
      </c>
      <c r="K8" s="408">
        <v>996567.67118772736</v>
      </c>
      <c r="L8" s="408">
        <v>0</v>
      </c>
      <c r="M8" s="408">
        <v>1697615.4523971505</v>
      </c>
      <c r="N8" s="408">
        <v>0</v>
      </c>
      <c r="O8" s="408">
        <v>1040240.6156811737</v>
      </c>
      <c r="P8" s="408">
        <v>0</v>
      </c>
      <c r="Q8" s="408">
        <v>21655.523476181253</v>
      </c>
      <c r="R8" s="408">
        <v>7412.6793710455431</v>
      </c>
      <c r="S8" s="408">
        <v>3984892.1648992212</v>
      </c>
      <c r="T8" s="399">
        <v>6264.8846796072876</v>
      </c>
      <c r="U8" s="399">
        <f t="shared" ref="U8:U18" si="3">SUM(V8:W8)</f>
        <v>19249.12429898365</v>
      </c>
      <c r="V8" s="408">
        <v>19249.12429898365</v>
      </c>
      <c r="W8" s="427">
        <v>0</v>
      </c>
    </row>
    <row r="9" spans="1:36" s="343" customFormat="1" x14ac:dyDescent="0.3">
      <c r="A9" s="19">
        <v>2027</v>
      </c>
      <c r="B9" s="20" t="s">
        <v>22</v>
      </c>
      <c r="C9" s="21" t="s">
        <v>61</v>
      </c>
      <c r="D9" s="408">
        <v>12681969.625233438</v>
      </c>
      <c r="E9" s="399">
        <v>537611.32638479501</v>
      </c>
      <c r="F9" s="399">
        <v>53896.1330986295</v>
      </c>
      <c r="G9" s="399">
        <v>15122.114361550501</v>
      </c>
      <c r="H9" s="399">
        <f t="shared" si="0"/>
        <v>4288711.6437104242</v>
      </c>
      <c r="I9" s="399">
        <f t="shared" si="1"/>
        <v>4288711.6437104242</v>
      </c>
      <c r="J9" s="399">
        <f t="shared" si="2"/>
        <v>0</v>
      </c>
      <c r="K9" s="408">
        <v>1160668.8024957429</v>
      </c>
      <c r="L9" s="408">
        <v>0</v>
      </c>
      <c r="M9" s="408">
        <v>1939547.8304627216</v>
      </c>
      <c r="N9" s="408">
        <v>0</v>
      </c>
      <c r="O9" s="408">
        <v>1188495.0107519596</v>
      </c>
      <c r="P9" s="408">
        <v>0</v>
      </c>
      <c r="Q9" s="408">
        <v>26630.986693325794</v>
      </c>
      <c r="R9" s="408">
        <v>8248.9761025037751</v>
      </c>
      <c r="S9" s="408">
        <v>4141068.9056667248</v>
      </c>
      <c r="T9" s="399">
        <v>6623.7570804946527</v>
      </c>
      <c r="U9" s="399">
        <f t="shared" si="3"/>
        <v>23561.669892919068</v>
      </c>
      <c r="V9" s="408">
        <v>23561.669892919068</v>
      </c>
      <c r="W9" s="427">
        <v>0</v>
      </c>
    </row>
    <row r="10" spans="1:36" s="343" customFormat="1" x14ac:dyDescent="0.3">
      <c r="A10" s="19">
        <v>2027</v>
      </c>
      <c r="B10" s="20" t="s">
        <v>23</v>
      </c>
      <c r="C10" s="21" t="s">
        <v>61</v>
      </c>
      <c r="D10" s="408">
        <v>12787557.508657243</v>
      </c>
      <c r="E10" s="399">
        <v>582939.40313285496</v>
      </c>
      <c r="F10" s="399">
        <v>51048.926379246201</v>
      </c>
      <c r="G10" s="399">
        <v>15122.114361550501</v>
      </c>
      <c r="H10" s="399">
        <f t="shared" si="0"/>
        <v>4116258.7235955317</v>
      </c>
      <c r="I10" s="399">
        <f t="shared" si="1"/>
        <v>4116258.7235955317</v>
      </c>
      <c r="J10" s="399">
        <f t="shared" si="2"/>
        <v>0</v>
      </c>
      <c r="K10" s="408">
        <v>1100828.6914258322</v>
      </c>
      <c r="L10" s="408">
        <v>0</v>
      </c>
      <c r="M10" s="408">
        <v>1854485.3871381546</v>
      </c>
      <c r="N10" s="408">
        <v>0</v>
      </c>
      <c r="O10" s="408">
        <v>1160944.6450315448</v>
      </c>
      <c r="P10" s="408">
        <v>0</v>
      </c>
      <c r="Q10" s="408">
        <v>27018.937359683405</v>
      </c>
      <c r="R10" s="408">
        <v>5463.9853137637101</v>
      </c>
      <c r="S10" s="408">
        <v>2900431.1689219447</v>
      </c>
      <c r="T10" s="399">
        <v>4355.4252089565161</v>
      </c>
      <c r="U10" s="399">
        <f t="shared" si="3"/>
        <v>24940.962772401686</v>
      </c>
      <c r="V10" s="408">
        <v>24940.962772401686</v>
      </c>
      <c r="W10" s="427">
        <v>0</v>
      </c>
    </row>
    <row r="11" spans="1:36" s="343" customFormat="1" x14ac:dyDescent="0.3">
      <c r="A11" s="19">
        <v>2027</v>
      </c>
      <c r="B11" s="20" t="s">
        <v>24</v>
      </c>
      <c r="C11" s="21" t="s">
        <v>61</v>
      </c>
      <c r="D11" s="408">
        <v>13443315.449767699</v>
      </c>
      <c r="E11" s="399">
        <v>738330.02190765704</v>
      </c>
      <c r="F11" s="399">
        <v>68614.128857880904</v>
      </c>
      <c r="G11" s="399">
        <v>15122.114361550501</v>
      </c>
      <c r="H11" s="399">
        <f t="shared" si="0"/>
        <v>4327196.8470422048</v>
      </c>
      <c r="I11" s="399">
        <f t="shared" si="1"/>
        <v>3894536.3006948954</v>
      </c>
      <c r="J11" s="399">
        <f t="shared" si="2"/>
        <v>432660.54634730925</v>
      </c>
      <c r="K11" s="408">
        <v>1048632.3967832781</v>
      </c>
      <c r="L11" s="408">
        <v>116497.01804776816</v>
      </c>
      <c r="M11" s="408">
        <v>1750352.7182483508</v>
      </c>
      <c r="N11" s="408">
        <v>194454.1031091953</v>
      </c>
      <c r="O11" s="408">
        <v>1095551.1856632666</v>
      </c>
      <c r="P11" s="408">
        <v>121709.42519034579</v>
      </c>
      <c r="Q11" s="408">
        <v>27493.240604837949</v>
      </c>
      <c r="R11" s="408">
        <v>7501.3292047479672</v>
      </c>
      <c r="S11" s="408">
        <v>3652893.8527984321</v>
      </c>
      <c r="T11" s="399">
        <v>6018.0470440859372</v>
      </c>
      <c r="U11" s="399">
        <f t="shared" si="3"/>
        <v>28101.753532454062</v>
      </c>
      <c r="V11" s="408">
        <v>25291.962236506944</v>
      </c>
      <c r="W11" s="427">
        <v>2809.7912959471191</v>
      </c>
    </row>
    <row r="12" spans="1:36" s="343" customFormat="1" x14ac:dyDescent="0.3">
      <c r="A12" s="19">
        <v>2027</v>
      </c>
      <c r="B12" s="20" t="s">
        <v>25</v>
      </c>
      <c r="C12" s="21" t="s">
        <v>61</v>
      </c>
      <c r="D12" s="408">
        <v>13340085.084518965</v>
      </c>
      <c r="E12" s="399">
        <v>801875.62557507504</v>
      </c>
      <c r="F12" s="399">
        <v>48111.034728595398</v>
      </c>
      <c r="G12" s="399">
        <v>15122.114361550501</v>
      </c>
      <c r="H12" s="399">
        <f t="shared" si="0"/>
        <v>4197629.1295923255</v>
      </c>
      <c r="I12" s="399">
        <f t="shared" si="1"/>
        <v>0</v>
      </c>
      <c r="J12" s="399">
        <f t="shared" si="2"/>
        <v>4197629.1295923255</v>
      </c>
      <c r="K12" s="408">
        <v>0</v>
      </c>
      <c r="L12" s="408">
        <v>1109429.6482716133</v>
      </c>
      <c r="M12" s="408">
        <v>0</v>
      </c>
      <c r="N12" s="408">
        <v>1904776.4206304557</v>
      </c>
      <c r="O12" s="408">
        <v>0</v>
      </c>
      <c r="P12" s="408">
        <v>1183423.0606902572</v>
      </c>
      <c r="Q12" s="408">
        <v>26135.949038742809</v>
      </c>
      <c r="R12" s="408">
        <v>7288.4400315170506</v>
      </c>
      <c r="S12" s="408">
        <v>3815931.3384266505</v>
      </c>
      <c r="T12" s="399">
        <v>5864.2557262364098</v>
      </c>
      <c r="U12" s="399">
        <f t="shared" si="3"/>
        <v>25651.072565682378</v>
      </c>
      <c r="V12" s="408">
        <v>0</v>
      </c>
      <c r="W12" s="427">
        <v>25651.072565682378</v>
      </c>
    </row>
    <row r="13" spans="1:36" s="343" customFormat="1" x14ac:dyDescent="0.3">
      <c r="A13" s="19">
        <v>2027</v>
      </c>
      <c r="B13" s="20" t="s">
        <v>26</v>
      </c>
      <c r="C13" s="21" t="s">
        <v>61</v>
      </c>
      <c r="D13" s="408">
        <v>14965702.550612563</v>
      </c>
      <c r="E13" s="399">
        <v>843516.74170000199</v>
      </c>
      <c r="F13" s="399">
        <v>31663.653131836501</v>
      </c>
      <c r="G13" s="399">
        <v>15122.114361550501</v>
      </c>
      <c r="H13" s="399">
        <f t="shared" si="0"/>
        <v>4799887.3948330581</v>
      </c>
      <c r="I13" s="399">
        <f t="shared" si="1"/>
        <v>0</v>
      </c>
      <c r="J13" s="399">
        <f t="shared" si="2"/>
        <v>4799887.3948330581</v>
      </c>
      <c r="K13" s="408">
        <v>0</v>
      </c>
      <c r="L13" s="408">
        <v>1288761.3026092311</v>
      </c>
      <c r="M13" s="408">
        <v>0</v>
      </c>
      <c r="N13" s="408">
        <v>2173897.6420926377</v>
      </c>
      <c r="O13" s="408">
        <v>0</v>
      </c>
      <c r="P13" s="408">
        <v>1337228.4501311888</v>
      </c>
      <c r="Q13" s="408">
        <v>28461.105879133509</v>
      </c>
      <c r="R13" s="408">
        <v>8172.8635163998988</v>
      </c>
      <c r="S13" s="408">
        <v>4348863.5499124425</v>
      </c>
      <c r="T13" s="399">
        <v>6595.3165246675699</v>
      </c>
      <c r="U13" s="399">
        <f t="shared" si="3"/>
        <v>28505.019982377878</v>
      </c>
      <c r="V13" s="408">
        <v>0</v>
      </c>
      <c r="W13" s="427">
        <v>28505.019982377878</v>
      </c>
    </row>
    <row r="14" spans="1:36" s="343" customFormat="1" x14ac:dyDescent="0.3">
      <c r="A14" s="19">
        <v>2027</v>
      </c>
      <c r="B14" s="20" t="s">
        <v>27</v>
      </c>
      <c r="C14" s="21" t="s">
        <v>61</v>
      </c>
      <c r="D14" s="408">
        <v>13877141.6312974</v>
      </c>
      <c r="E14" s="399">
        <v>747641.18815078004</v>
      </c>
      <c r="F14" s="399">
        <v>27986.954376934402</v>
      </c>
      <c r="G14" s="399">
        <v>27062.858240306301</v>
      </c>
      <c r="H14" s="399">
        <f t="shared" si="0"/>
        <v>4359480.3420013366</v>
      </c>
      <c r="I14" s="399">
        <f t="shared" si="1"/>
        <v>0</v>
      </c>
      <c r="J14" s="399">
        <f t="shared" si="2"/>
        <v>4359480.3420013366</v>
      </c>
      <c r="K14" s="408">
        <v>0</v>
      </c>
      <c r="L14" s="408">
        <v>1160041.2812078053</v>
      </c>
      <c r="M14" s="408">
        <v>0</v>
      </c>
      <c r="N14" s="408">
        <v>1960748.0915471348</v>
      </c>
      <c r="O14" s="408">
        <v>0</v>
      </c>
      <c r="P14" s="408">
        <v>1238690.969246397</v>
      </c>
      <c r="Q14" s="408">
        <v>26205.582431429491</v>
      </c>
      <c r="R14" s="408">
        <v>7269.1036449846088</v>
      </c>
      <c r="S14" s="408">
        <v>3673353.4012264512</v>
      </c>
      <c r="T14" s="399">
        <v>5923.0938625629024</v>
      </c>
      <c r="U14" s="399">
        <f t="shared" si="3"/>
        <v>26205.052936702046</v>
      </c>
      <c r="V14" s="408">
        <v>0</v>
      </c>
      <c r="W14" s="427">
        <v>26205.052936702046</v>
      </c>
    </row>
    <row r="15" spans="1:36" s="343" customFormat="1" x14ac:dyDescent="0.3">
      <c r="A15" s="19">
        <v>2027</v>
      </c>
      <c r="B15" s="20" t="s">
        <v>28</v>
      </c>
      <c r="C15" s="21" t="s">
        <v>61</v>
      </c>
      <c r="D15" s="408">
        <v>12868684.042165043</v>
      </c>
      <c r="E15" s="399">
        <v>589474.67424408603</v>
      </c>
      <c r="F15" s="399">
        <v>23305.9439134696</v>
      </c>
      <c r="G15" s="399">
        <v>3181.3704827946299</v>
      </c>
      <c r="H15" s="399">
        <f t="shared" si="0"/>
        <v>4163762.2453251164</v>
      </c>
      <c r="I15" s="399">
        <f t="shared" si="1"/>
        <v>0</v>
      </c>
      <c r="J15" s="399">
        <f t="shared" si="2"/>
        <v>4163762.2453251164</v>
      </c>
      <c r="K15" s="408">
        <v>0</v>
      </c>
      <c r="L15" s="408">
        <v>1106791.8394565873</v>
      </c>
      <c r="M15" s="408">
        <v>0</v>
      </c>
      <c r="N15" s="408">
        <v>1891901.6627967993</v>
      </c>
      <c r="O15" s="408">
        <v>0</v>
      </c>
      <c r="P15" s="408">
        <v>1165068.74307173</v>
      </c>
      <c r="Q15" s="408">
        <v>24011.660289470932</v>
      </c>
      <c r="R15" s="408">
        <v>7149.2830363091007</v>
      </c>
      <c r="S15" s="408">
        <v>4028949.0477277725</v>
      </c>
      <c r="T15" s="399">
        <v>5923.0246546656617</v>
      </c>
      <c r="U15" s="399">
        <f t="shared" si="3"/>
        <v>23879.308429351182</v>
      </c>
      <c r="V15" s="408">
        <v>0</v>
      </c>
      <c r="W15" s="427">
        <v>23879.308429351182</v>
      </c>
    </row>
    <row r="16" spans="1:36" s="343" customFormat="1" x14ac:dyDescent="0.3">
      <c r="A16" s="19">
        <v>2027</v>
      </c>
      <c r="B16" s="20" t="s">
        <v>29</v>
      </c>
      <c r="C16" s="21" t="s">
        <v>61</v>
      </c>
      <c r="D16" s="408">
        <v>12646286.328682473</v>
      </c>
      <c r="E16" s="399">
        <v>503935.65245102398</v>
      </c>
      <c r="F16" s="399">
        <v>22762.1637888896</v>
      </c>
      <c r="G16" s="399">
        <v>15122.114361550501</v>
      </c>
      <c r="H16" s="399">
        <f t="shared" si="0"/>
        <v>4145849.6870757509</v>
      </c>
      <c r="I16" s="399">
        <f t="shared" si="1"/>
        <v>3931890.6764251455</v>
      </c>
      <c r="J16" s="399">
        <f t="shared" si="2"/>
        <v>213959.01065060531</v>
      </c>
      <c r="K16" s="408">
        <v>1050644.2583967422</v>
      </c>
      <c r="L16" s="408">
        <v>57172.191337905693</v>
      </c>
      <c r="M16" s="408">
        <v>1785705.613342585</v>
      </c>
      <c r="N16" s="408">
        <v>97171.523266101052</v>
      </c>
      <c r="O16" s="408">
        <v>1095540.8046858185</v>
      </c>
      <c r="P16" s="408">
        <v>59615.296046598567</v>
      </c>
      <c r="Q16" s="408">
        <v>24938.716025298632</v>
      </c>
      <c r="R16" s="408">
        <v>6385.7602489096262</v>
      </c>
      <c r="S16" s="408">
        <v>3495585.2966837795</v>
      </c>
      <c r="T16" s="399">
        <v>5125.9038060197554</v>
      </c>
      <c r="U16" s="399">
        <f t="shared" si="3"/>
        <v>24258.021256693599</v>
      </c>
      <c r="V16" s="408">
        <v>23006.113295678155</v>
      </c>
      <c r="W16" s="427">
        <v>1251.9079610154429</v>
      </c>
    </row>
    <row r="17" spans="1:36" s="343" customFormat="1" x14ac:dyDescent="0.3">
      <c r="A17" s="19">
        <v>2027</v>
      </c>
      <c r="B17" s="20" t="s">
        <v>30</v>
      </c>
      <c r="C17" s="21" t="s">
        <v>61</v>
      </c>
      <c r="D17" s="408">
        <v>12669189.529878445</v>
      </c>
      <c r="E17" s="399">
        <v>301806.09026979702</v>
      </c>
      <c r="F17" s="399">
        <v>9147.28048441377</v>
      </c>
      <c r="G17" s="399">
        <v>15122.114361550501</v>
      </c>
      <c r="H17" s="399">
        <f t="shared" si="0"/>
        <v>4154762.3373048911</v>
      </c>
      <c r="I17" s="399">
        <f t="shared" si="1"/>
        <v>4154762.3373048911</v>
      </c>
      <c r="J17" s="399">
        <f t="shared" si="2"/>
        <v>0</v>
      </c>
      <c r="K17" s="408">
        <v>1112621.7676136571</v>
      </c>
      <c r="L17" s="408">
        <v>0</v>
      </c>
      <c r="M17" s="408">
        <v>1907948.2692815727</v>
      </c>
      <c r="N17" s="408">
        <v>0</v>
      </c>
      <c r="O17" s="408">
        <v>1134192.3004096616</v>
      </c>
      <c r="P17" s="408">
        <v>0</v>
      </c>
      <c r="Q17" s="408">
        <v>25890.618591967592</v>
      </c>
      <c r="R17" s="408">
        <v>7642.5555832947921</v>
      </c>
      <c r="S17" s="408">
        <v>3961841.3807727653</v>
      </c>
      <c r="T17" s="399">
        <v>6074.8672165608668</v>
      </c>
      <c r="U17" s="399">
        <f t="shared" si="3"/>
        <v>25409.998155959391</v>
      </c>
      <c r="V17" s="408">
        <v>25409.998155959391</v>
      </c>
      <c r="W17" s="427">
        <v>0</v>
      </c>
    </row>
    <row r="18" spans="1:36" s="343" customFormat="1" x14ac:dyDescent="0.3">
      <c r="A18" s="22">
        <v>2027</v>
      </c>
      <c r="B18" s="23" t="s">
        <v>31</v>
      </c>
      <c r="C18" s="24" t="s">
        <v>61</v>
      </c>
      <c r="D18" s="409">
        <v>13225731.497602629</v>
      </c>
      <c r="E18" s="403">
        <v>198424.117762662</v>
      </c>
      <c r="F18" s="403">
        <v>1789.3831517486301</v>
      </c>
      <c r="G18" s="412">
        <v>15122.114361550501</v>
      </c>
      <c r="H18" s="412">
        <f t="shared" si="0"/>
        <v>4385106.8334284434</v>
      </c>
      <c r="I18" s="412">
        <f t="shared" si="1"/>
        <v>4385106.8334284434</v>
      </c>
      <c r="J18" s="412">
        <f t="shared" si="2"/>
        <v>0</v>
      </c>
      <c r="K18" s="409">
        <v>1187210.3144877455</v>
      </c>
      <c r="L18" s="409">
        <v>0</v>
      </c>
      <c r="M18" s="409">
        <v>2015247.1998479054</v>
      </c>
      <c r="N18" s="409">
        <v>0</v>
      </c>
      <c r="O18" s="409">
        <v>1182649.3190927925</v>
      </c>
      <c r="P18" s="409">
        <v>0</v>
      </c>
      <c r="Q18" s="409">
        <v>28250.87053178667</v>
      </c>
      <c r="R18" s="409">
        <v>6835.1985222917656</v>
      </c>
      <c r="S18" s="409">
        <v>3542437.2358210403</v>
      </c>
      <c r="T18" s="403">
        <v>5435.4182676212622</v>
      </c>
      <c r="U18" s="412">
        <f t="shared" si="3"/>
        <v>25435.316668113235</v>
      </c>
      <c r="V18" s="409">
        <v>25435.316668113235</v>
      </c>
      <c r="W18" s="428">
        <v>0</v>
      </c>
    </row>
    <row r="19" spans="1:36" s="343" customFormat="1" x14ac:dyDescent="0.3">
      <c r="A19" s="545"/>
      <c r="B19" s="545"/>
      <c r="C19" s="545"/>
      <c r="D19" s="171">
        <f t="shared" ref="D19:W19" si="4">SUM(D7:D18)</f>
        <v>156447637.31891236</v>
      </c>
      <c r="E19" s="171">
        <f t="shared" si="4"/>
        <v>6502814.2570127659</v>
      </c>
      <c r="F19" s="171">
        <f t="shared" si="4"/>
        <v>373070.36924888036</v>
      </c>
      <c r="G19" s="171">
        <f t="shared" si="4"/>
        <v>184646.74282140055</v>
      </c>
      <c r="H19" s="171">
        <f t="shared" si="4"/>
        <v>51168168.522748582</v>
      </c>
      <c r="I19" s="171">
        <f t="shared" si="4"/>
        <v>33000789.853998829</v>
      </c>
      <c r="J19" s="171">
        <f t="shared" si="4"/>
        <v>18167378.66874975</v>
      </c>
      <c r="K19" s="166">
        <f t="shared" si="4"/>
        <v>8873642.285734294</v>
      </c>
      <c r="L19" s="166">
        <f t="shared" si="4"/>
        <v>4838693.2809309112</v>
      </c>
      <c r="M19" s="166">
        <f t="shared" si="4"/>
        <v>15003039.529337501</v>
      </c>
      <c r="N19" s="166">
        <f t="shared" si="4"/>
        <v>8222949.4434423242</v>
      </c>
      <c r="O19" s="166">
        <f t="shared" si="4"/>
        <v>9124108.0389270373</v>
      </c>
      <c r="P19" s="166">
        <f t="shared" si="4"/>
        <v>5105735.944376518</v>
      </c>
      <c r="Q19" s="171">
        <f t="shared" si="4"/>
        <v>315018.35874993226</v>
      </c>
      <c r="R19" s="166">
        <f t="shared" si="4"/>
        <v>87039.505795082281</v>
      </c>
      <c r="S19" s="166">
        <f t="shared" si="4"/>
        <v>45673982.512442157</v>
      </c>
      <c r="T19" s="166">
        <f t="shared" si="4"/>
        <v>69684.1315890072</v>
      </c>
      <c r="U19" s="171">
        <f t="shared" si="4"/>
        <v>299961.3277036834</v>
      </c>
      <c r="V19" s="25">
        <f t="shared" si="4"/>
        <v>191659.17453260737</v>
      </c>
      <c r="W19" s="25">
        <f t="shared" si="4"/>
        <v>108302.15317107605</v>
      </c>
    </row>
    <row r="20" spans="1:36" s="343" customFormat="1" x14ac:dyDescent="0.3">
      <c r="A20" s="352" t="s">
        <v>119</v>
      </c>
      <c r="B20" s="353"/>
      <c r="C20" s="353"/>
      <c r="D20" s="171"/>
      <c r="E20" s="171"/>
      <c r="F20" s="171"/>
      <c r="G20" s="171"/>
      <c r="H20" s="171"/>
      <c r="I20" s="171"/>
      <c r="J20" s="171"/>
      <c r="K20" s="166"/>
      <c r="L20" s="166"/>
      <c r="M20" s="166"/>
      <c r="N20" s="166"/>
      <c r="O20" s="166"/>
      <c r="P20" s="166"/>
      <c r="Q20" s="171"/>
      <c r="R20" s="166"/>
      <c r="S20" s="166"/>
      <c r="T20" s="166"/>
      <c r="U20" s="171"/>
      <c r="V20" s="171"/>
      <c r="W20" s="171"/>
    </row>
    <row r="21" spans="1:36" s="343" customFormat="1" x14ac:dyDescent="0.3">
      <c r="A21" s="344"/>
      <c r="B21" s="344"/>
      <c r="C21" s="344"/>
      <c r="D21" s="344"/>
      <c r="E21" s="344"/>
      <c r="F21" s="344"/>
      <c r="G21" s="365"/>
      <c r="H21" s="344"/>
      <c r="I21" s="344"/>
      <c r="J21" s="344"/>
      <c r="K21" s="344"/>
      <c r="L21" s="344"/>
      <c r="M21" s="344"/>
      <c r="N21" s="344"/>
      <c r="O21" s="344"/>
      <c r="P21" s="344"/>
      <c r="Q21" s="344"/>
      <c r="R21" s="344"/>
      <c r="S21" s="344"/>
      <c r="T21" s="344"/>
      <c r="U21" s="344"/>
      <c r="V21" s="257"/>
      <c r="W21" s="257"/>
      <c r="X21" s="285"/>
      <c r="Y21" s="285"/>
    </row>
    <row r="22" spans="1:36" s="2" customFormat="1" ht="36" x14ac:dyDescent="0.25">
      <c r="A22" s="6" t="s">
        <v>18</v>
      </c>
      <c r="B22" s="6" t="s">
        <v>19</v>
      </c>
      <c r="C22" s="7" t="s">
        <v>0</v>
      </c>
      <c r="D22" s="112" t="s">
        <v>11</v>
      </c>
      <c r="E22" s="112" t="s">
        <v>109</v>
      </c>
      <c r="F22" s="112" t="s">
        <v>110</v>
      </c>
      <c r="G22" s="499" t="s">
        <v>158</v>
      </c>
      <c r="H22" s="419" t="s">
        <v>62</v>
      </c>
      <c r="I22" s="419" t="s">
        <v>64</v>
      </c>
      <c r="J22" s="419" t="s">
        <v>63</v>
      </c>
      <c r="K22" s="420" t="s">
        <v>108</v>
      </c>
      <c r="L22" s="420" t="s">
        <v>101</v>
      </c>
      <c r="M22" s="420" t="s">
        <v>82</v>
      </c>
      <c r="N22" s="420" t="s">
        <v>83</v>
      </c>
      <c r="O22" s="420" t="s">
        <v>112</v>
      </c>
      <c r="P22" s="420" t="s">
        <v>103</v>
      </c>
      <c r="Q22" s="419" t="s">
        <v>3</v>
      </c>
      <c r="R22" s="421" t="s">
        <v>53</v>
      </c>
      <c r="S22" s="421" t="s">
        <v>54</v>
      </c>
      <c r="T22" s="421" t="s">
        <v>65</v>
      </c>
      <c r="U22" s="419" t="s">
        <v>66</v>
      </c>
      <c r="V22" s="419" t="s">
        <v>67</v>
      </c>
      <c r="W22" s="419" t="s">
        <v>68</v>
      </c>
    </row>
    <row r="23" spans="1:36" s="200" customFormat="1" x14ac:dyDescent="0.3">
      <c r="A23" s="16">
        <v>2026</v>
      </c>
      <c r="B23" s="17" t="s">
        <v>20</v>
      </c>
      <c r="C23" s="18" t="s">
        <v>61</v>
      </c>
      <c r="D23" s="408">
        <v>13481876.7513109</v>
      </c>
      <c r="E23" s="399">
        <v>226160.55371691499</v>
      </c>
      <c r="F23" s="399">
        <v>3519.9119570451999</v>
      </c>
      <c r="G23" s="399">
        <v>13741.015732983</v>
      </c>
      <c r="H23" s="399">
        <f>I23+J23</f>
        <v>4585421.5669230688</v>
      </c>
      <c r="I23" s="399">
        <f>K23+M23+O23</f>
        <v>4585421.5669230688</v>
      </c>
      <c r="J23" s="399">
        <f>L23+N23+P23</f>
        <v>0</v>
      </c>
      <c r="K23" s="408">
        <v>1241376.9033788536</v>
      </c>
      <c r="L23" s="408">
        <v>0</v>
      </c>
      <c r="M23" s="408">
        <v>2093371.4029553568</v>
      </c>
      <c r="N23" s="408">
        <v>0</v>
      </c>
      <c r="O23" s="408">
        <v>1250673.2605888583</v>
      </c>
      <c r="P23" s="408">
        <v>0</v>
      </c>
      <c r="Q23" s="408">
        <v>28883.570120930897</v>
      </c>
      <c r="R23" s="408">
        <v>7820.5243971814425</v>
      </c>
      <c r="S23" s="408">
        <v>4209109.3311430197</v>
      </c>
      <c r="T23" s="399">
        <v>5588.1729358366565</v>
      </c>
      <c r="U23" s="399">
        <f>SUM(V23:W23)</f>
        <v>25252.225187058335</v>
      </c>
      <c r="V23" s="408">
        <v>25252.225187058335</v>
      </c>
      <c r="W23" s="422">
        <v>0</v>
      </c>
      <c r="Y23" s="309"/>
      <c r="Z23" s="309"/>
      <c r="AA23" s="309"/>
      <c r="AB23" s="309"/>
      <c r="AC23" s="309"/>
      <c r="AD23" s="309"/>
      <c r="AE23" s="309"/>
      <c r="AF23" s="309"/>
      <c r="AG23" s="309"/>
      <c r="AH23" s="309"/>
      <c r="AI23" s="309"/>
      <c r="AJ23" s="309"/>
    </row>
    <row r="24" spans="1:36" s="200" customFormat="1" x14ac:dyDescent="0.3">
      <c r="A24" s="19">
        <v>2026</v>
      </c>
      <c r="B24" s="20" t="s">
        <v>21</v>
      </c>
      <c r="C24" s="21" t="s">
        <v>61</v>
      </c>
      <c r="D24" s="408">
        <v>11215578.029896408</v>
      </c>
      <c r="E24" s="399">
        <v>434401.67284995102</v>
      </c>
      <c r="F24" s="399">
        <v>31399.452200980799</v>
      </c>
      <c r="G24" s="399">
        <v>16631.832507102899</v>
      </c>
      <c r="H24" s="399">
        <f t="shared" ref="H24:H34" si="5">I24+J24</f>
        <v>3913761.2438551914</v>
      </c>
      <c r="I24" s="399">
        <f t="shared" ref="I24:I34" si="6">K24+M24+O24</f>
        <v>3913761.2438551914</v>
      </c>
      <c r="J24" s="399">
        <f t="shared" ref="J24:J34" si="7">L24+N24+P24</f>
        <v>0</v>
      </c>
      <c r="K24" s="408">
        <v>1046069.4324973963</v>
      </c>
      <c r="L24" s="408">
        <v>0</v>
      </c>
      <c r="M24" s="408">
        <v>1779436.7980649264</v>
      </c>
      <c r="N24" s="408">
        <v>0</v>
      </c>
      <c r="O24" s="408">
        <v>1088255.0132928689</v>
      </c>
      <c r="P24" s="408">
        <v>0</v>
      </c>
      <c r="Q24" s="408">
        <v>22655.077712961262</v>
      </c>
      <c r="R24" s="408">
        <v>7754.8264948206788</v>
      </c>
      <c r="S24" s="408">
        <v>4168822.8766604713</v>
      </c>
      <c r="T24" s="399">
        <v>6554.0530311055672</v>
      </c>
      <c r="U24" s="399">
        <f t="shared" ref="U24:U34" si="8">SUM(V24:W24)</f>
        <v>20137.606342306994</v>
      </c>
      <c r="V24" s="408">
        <v>20137.606342306994</v>
      </c>
      <c r="W24" s="423">
        <v>0</v>
      </c>
    </row>
    <row r="25" spans="1:36" s="200" customFormat="1" x14ac:dyDescent="0.3">
      <c r="A25" s="19">
        <v>2026</v>
      </c>
      <c r="B25" s="20" t="s">
        <v>22</v>
      </c>
      <c r="C25" s="21" t="s">
        <v>61</v>
      </c>
      <c r="D25" s="408">
        <v>12751722.505205452</v>
      </c>
      <c r="E25" s="399">
        <v>540312.89083898999</v>
      </c>
      <c r="F25" s="399">
        <v>54166.967938321097</v>
      </c>
      <c r="G25" s="399">
        <v>13741.015732983</v>
      </c>
      <c r="H25" s="399">
        <f t="shared" si="5"/>
        <v>4312377.3183668852</v>
      </c>
      <c r="I25" s="399">
        <f t="shared" si="6"/>
        <v>4312377.3183668852</v>
      </c>
      <c r="J25" s="399">
        <f t="shared" si="7"/>
        <v>0</v>
      </c>
      <c r="K25" s="408">
        <v>1167086.3194217291</v>
      </c>
      <c r="L25" s="408">
        <v>0</v>
      </c>
      <c r="M25" s="408">
        <v>1950259.0737956595</v>
      </c>
      <c r="N25" s="408">
        <v>0</v>
      </c>
      <c r="O25" s="408">
        <v>1195031.9251494971</v>
      </c>
      <c r="P25" s="408">
        <v>0</v>
      </c>
      <c r="Q25" s="408">
        <v>26777.461418723324</v>
      </c>
      <c r="R25" s="408">
        <v>8294.346802558528</v>
      </c>
      <c r="S25" s="408">
        <v>4163845.4530697465</v>
      </c>
      <c r="T25" s="399">
        <v>6660.1888135970748</v>
      </c>
      <c r="U25" s="399">
        <f t="shared" si="8"/>
        <v>23691.262880487098</v>
      </c>
      <c r="V25" s="408">
        <v>23691.262880487098</v>
      </c>
      <c r="W25" s="423">
        <v>0</v>
      </c>
    </row>
    <row r="26" spans="1:36" s="200" customFormat="1" x14ac:dyDescent="0.3">
      <c r="A26" s="19">
        <v>2026</v>
      </c>
      <c r="B26" s="20" t="s">
        <v>23</v>
      </c>
      <c r="C26" s="21" t="s">
        <v>61</v>
      </c>
      <c r="D26" s="408">
        <v>12818000.314135894</v>
      </c>
      <c r="E26" s="399">
        <v>585868.74686719105</v>
      </c>
      <c r="F26" s="399">
        <v>51305.453647483599</v>
      </c>
      <c r="G26" s="399">
        <v>13741.015732983</v>
      </c>
      <c r="H26" s="399">
        <f t="shared" si="5"/>
        <v>4125313.1550232335</v>
      </c>
      <c r="I26" s="399">
        <f t="shared" si="6"/>
        <v>4125313.1550232335</v>
      </c>
      <c r="J26" s="399">
        <f t="shared" si="7"/>
        <v>0</v>
      </c>
      <c r="K26" s="408">
        <v>1103159.095634239</v>
      </c>
      <c r="L26" s="408">
        <v>0</v>
      </c>
      <c r="M26" s="408">
        <v>1858476.3503206945</v>
      </c>
      <c r="N26" s="408">
        <v>0</v>
      </c>
      <c r="O26" s="408">
        <v>1163677.7090682997</v>
      </c>
      <c r="P26" s="408">
        <v>0</v>
      </c>
      <c r="Q26" s="408">
        <v>27083.260218346903</v>
      </c>
      <c r="R26" s="408">
        <v>5476.9931959908281</v>
      </c>
      <c r="S26" s="408">
        <v>2907336.1045845938</v>
      </c>
      <c r="T26" s="399">
        <v>4365.7939883206218</v>
      </c>
      <c r="U26" s="399">
        <f t="shared" si="8"/>
        <v>25000.338683525955</v>
      </c>
      <c r="V26" s="408">
        <v>25000.338683525955</v>
      </c>
      <c r="W26" s="423">
        <v>0</v>
      </c>
    </row>
    <row r="27" spans="1:36" s="200" customFormat="1" x14ac:dyDescent="0.3">
      <c r="A27" s="19">
        <v>2026</v>
      </c>
      <c r="B27" s="20" t="s">
        <v>24</v>
      </c>
      <c r="C27" s="21" t="s">
        <v>61</v>
      </c>
      <c r="D27" s="408">
        <v>13123172.735503908</v>
      </c>
      <c r="E27" s="399">
        <v>742040.22302277095</v>
      </c>
      <c r="F27" s="399">
        <v>68958.923475257194</v>
      </c>
      <c r="G27" s="399">
        <v>13741.015732983</v>
      </c>
      <c r="H27" s="399">
        <f t="shared" si="5"/>
        <v>4214643.9382656263</v>
      </c>
      <c r="I27" s="399">
        <f t="shared" si="6"/>
        <v>3793237.144572888</v>
      </c>
      <c r="J27" s="399">
        <f t="shared" si="7"/>
        <v>421406.79369273811</v>
      </c>
      <c r="K27" s="408">
        <v>1020680.1444995461</v>
      </c>
      <c r="L27" s="408">
        <v>113391.68385366669</v>
      </c>
      <c r="M27" s="408">
        <v>1703750.8653725693</v>
      </c>
      <c r="N27" s="408">
        <v>189276.90573079756</v>
      </c>
      <c r="O27" s="408">
        <v>1068806.1347007728</v>
      </c>
      <c r="P27" s="408">
        <v>118738.20410827383</v>
      </c>
      <c r="Q27" s="408">
        <v>26838.509210337168</v>
      </c>
      <c r="R27" s="408">
        <v>7322.6905421972233</v>
      </c>
      <c r="S27" s="408">
        <v>3565902.8603366273</v>
      </c>
      <c r="T27" s="399">
        <v>5874.7316601347147</v>
      </c>
      <c r="U27" s="399">
        <f t="shared" si="8"/>
        <v>27432.530848134225</v>
      </c>
      <c r="V27" s="408">
        <v>24689.652674575736</v>
      </c>
      <c r="W27" s="423">
        <v>2742.8781735584876</v>
      </c>
    </row>
    <row r="28" spans="1:36" s="200" customFormat="1" x14ac:dyDescent="0.3">
      <c r="A28" s="19">
        <v>2026</v>
      </c>
      <c r="B28" s="20" t="s">
        <v>25</v>
      </c>
      <c r="C28" s="21" t="s">
        <v>61</v>
      </c>
      <c r="D28" s="408">
        <v>13406618.327691643</v>
      </c>
      <c r="E28" s="399">
        <v>805905.15133173403</v>
      </c>
      <c r="F28" s="399">
        <v>48352.798722206498</v>
      </c>
      <c r="G28" s="399">
        <v>13741.015732983</v>
      </c>
      <c r="H28" s="399">
        <f t="shared" si="5"/>
        <v>4218551.3292781524</v>
      </c>
      <c r="I28" s="399">
        <f t="shared" si="6"/>
        <v>0</v>
      </c>
      <c r="J28" s="399">
        <f t="shared" si="7"/>
        <v>4218551.3292781524</v>
      </c>
      <c r="K28" s="408">
        <v>0</v>
      </c>
      <c r="L28" s="408">
        <v>1114957.993318462</v>
      </c>
      <c r="M28" s="408">
        <v>0</v>
      </c>
      <c r="N28" s="408">
        <v>1914269.278651607</v>
      </c>
      <c r="O28" s="408">
        <v>0</v>
      </c>
      <c r="P28" s="408">
        <v>1189324.0573080834</v>
      </c>
      <c r="Q28" s="408">
        <v>26266.301239791461</v>
      </c>
      <c r="R28" s="408">
        <v>7324.7908905928407</v>
      </c>
      <c r="S28" s="408">
        <v>3834963.1726361946</v>
      </c>
      <c r="T28" s="399">
        <v>5893.5035121229657</v>
      </c>
      <c r="U28" s="399">
        <f t="shared" si="8"/>
        <v>25779.006460994115</v>
      </c>
      <c r="V28" s="408">
        <v>0</v>
      </c>
      <c r="W28" s="423">
        <v>25779.006460994115</v>
      </c>
    </row>
    <row r="29" spans="1:36" s="200" customFormat="1" x14ac:dyDescent="0.3">
      <c r="A29" s="19">
        <v>2026</v>
      </c>
      <c r="B29" s="20" t="s">
        <v>26</v>
      </c>
      <c r="C29" s="21" t="s">
        <v>61</v>
      </c>
      <c r="D29" s="408">
        <v>14904125.335907124</v>
      </c>
      <c r="E29" s="399">
        <v>847755.51929648395</v>
      </c>
      <c r="F29" s="399">
        <v>31822.766966669798</v>
      </c>
      <c r="G29" s="399">
        <v>13741.015732983</v>
      </c>
      <c r="H29" s="399">
        <f t="shared" si="5"/>
        <v>4776700.7342059407</v>
      </c>
      <c r="I29" s="399">
        <f t="shared" si="6"/>
        <v>0</v>
      </c>
      <c r="J29" s="399">
        <f t="shared" si="7"/>
        <v>4776700.7342059407</v>
      </c>
      <c r="K29" s="408">
        <v>0</v>
      </c>
      <c r="L29" s="408">
        <v>1282245.7314620614</v>
      </c>
      <c r="M29" s="408">
        <v>0</v>
      </c>
      <c r="N29" s="408">
        <v>2163040.5793613545</v>
      </c>
      <c r="O29" s="408">
        <v>0</v>
      </c>
      <c r="P29" s="408">
        <v>1331414.4233825251</v>
      </c>
      <c r="Q29" s="408">
        <v>28344.001077568286</v>
      </c>
      <c r="R29" s="408">
        <v>8139.2358153410523</v>
      </c>
      <c r="S29" s="408">
        <v>4330969.9091941416</v>
      </c>
      <c r="T29" s="399">
        <v>6568.1797283617279</v>
      </c>
      <c r="U29" s="399">
        <f t="shared" si="8"/>
        <v>28387.734493794793</v>
      </c>
      <c r="V29" s="408">
        <v>0</v>
      </c>
      <c r="W29" s="423">
        <v>28387.734493794793</v>
      </c>
    </row>
    <row r="30" spans="1:36" s="200" customFormat="1" x14ac:dyDescent="0.3">
      <c r="A30" s="19">
        <v>2026</v>
      </c>
      <c r="B30" s="20" t="s">
        <v>27</v>
      </c>
      <c r="C30" s="21" t="s">
        <v>61</v>
      </c>
      <c r="D30" s="408">
        <v>14638833.592908615</v>
      </c>
      <c r="E30" s="399">
        <v>751398.17904601002</v>
      </c>
      <c r="F30" s="399">
        <v>28127.592338627499</v>
      </c>
      <c r="G30" s="399">
        <v>24591.214691846199</v>
      </c>
      <c r="H30" s="399">
        <f t="shared" si="5"/>
        <v>4617643.2780735455</v>
      </c>
      <c r="I30" s="399">
        <f t="shared" si="6"/>
        <v>0</v>
      </c>
      <c r="J30" s="399">
        <f t="shared" si="7"/>
        <v>4617643.2780735455</v>
      </c>
      <c r="K30" s="408">
        <v>0</v>
      </c>
      <c r="L30" s="408">
        <v>1230445.0385004729</v>
      </c>
      <c r="M30" s="408">
        <v>0</v>
      </c>
      <c r="N30" s="408">
        <v>2079351.4570746643</v>
      </c>
      <c r="O30" s="408">
        <v>0</v>
      </c>
      <c r="P30" s="408">
        <v>1307846.7824984083</v>
      </c>
      <c r="Q30" s="408">
        <v>27643.960882676427</v>
      </c>
      <c r="R30" s="408">
        <v>7668.0919929896654</v>
      </c>
      <c r="S30" s="408">
        <v>3874977.3258220679</v>
      </c>
      <c r="T30" s="399">
        <v>6248.2020947083356</v>
      </c>
      <c r="U30" s="399">
        <f t="shared" si="8"/>
        <v>27643.402324912204</v>
      </c>
      <c r="V30" s="408">
        <v>0</v>
      </c>
      <c r="W30" s="423">
        <v>27643.402324912204</v>
      </c>
    </row>
    <row r="31" spans="1:36" s="200" customFormat="1" x14ac:dyDescent="0.3">
      <c r="A31" s="19">
        <v>2026</v>
      </c>
      <c r="B31" s="20" t="s">
        <v>28</v>
      </c>
      <c r="C31" s="21" t="s">
        <v>61</v>
      </c>
      <c r="D31" s="408">
        <v>12529954.017587977</v>
      </c>
      <c r="E31" s="399">
        <v>592436.85853676999</v>
      </c>
      <c r="F31" s="399">
        <v>23423.0592095172</v>
      </c>
      <c r="G31" s="399">
        <v>2890.8167741198499</v>
      </c>
      <c r="H31" s="399">
        <f t="shared" si="5"/>
        <v>4046147.7903614463</v>
      </c>
      <c r="I31" s="399">
        <f t="shared" si="6"/>
        <v>0</v>
      </c>
      <c r="J31" s="399">
        <f t="shared" si="7"/>
        <v>4046147.7903614463</v>
      </c>
      <c r="K31" s="408">
        <v>0</v>
      </c>
      <c r="L31" s="408">
        <v>1074379.85174452</v>
      </c>
      <c r="M31" s="408">
        <v>0</v>
      </c>
      <c r="N31" s="408">
        <v>1837514.1527103011</v>
      </c>
      <c r="O31" s="408">
        <v>0</v>
      </c>
      <c r="P31" s="408">
        <v>1134253.785906625</v>
      </c>
      <c r="Q31" s="408">
        <v>23379.624391057481</v>
      </c>
      <c r="R31" s="408">
        <v>6961.0993175494659</v>
      </c>
      <c r="S31" s="408">
        <v>3922898.8870831435</v>
      </c>
      <c r="T31" s="399">
        <v>5767.1185588852632</v>
      </c>
      <c r="U31" s="399">
        <f t="shared" si="8"/>
        <v>23250.756301981008</v>
      </c>
      <c r="V31" s="408">
        <v>0</v>
      </c>
      <c r="W31" s="423">
        <v>23250.756301981008</v>
      </c>
    </row>
    <row r="32" spans="1:36" s="200" customFormat="1" x14ac:dyDescent="0.3">
      <c r="A32" s="19">
        <v>2026</v>
      </c>
      <c r="B32" s="20" t="s">
        <v>29</v>
      </c>
      <c r="C32" s="21" t="s">
        <v>61</v>
      </c>
      <c r="D32" s="408">
        <v>12728776.633781584</v>
      </c>
      <c r="E32" s="399">
        <v>506467.99241309002</v>
      </c>
      <c r="F32" s="399">
        <v>22876.546521497101</v>
      </c>
      <c r="G32" s="399">
        <v>13741.015732983</v>
      </c>
      <c r="H32" s="399">
        <f t="shared" si="5"/>
        <v>4173230.8167817267</v>
      </c>
      <c r="I32" s="399">
        <f t="shared" si="6"/>
        <v>3957858.7207892556</v>
      </c>
      <c r="J32" s="399">
        <f t="shared" si="7"/>
        <v>215372.0959924713</v>
      </c>
      <c r="K32" s="408">
        <v>1057639.3250666407</v>
      </c>
      <c r="L32" s="408">
        <v>57552.837105373277</v>
      </c>
      <c r="M32" s="408">
        <v>1797532.2290520498</v>
      </c>
      <c r="N32" s="408">
        <v>97815.084139172584</v>
      </c>
      <c r="O32" s="408">
        <v>1102687.1666705648</v>
      </c>
      <c r="P32" s="408">
        <v>60004.174747925426</v>
      </c>
      <c r="Q32" s="408">
        <v>25101.388468436435</v>
      </c>
      <c r="R32" s="408">
        <v>6427.4138456677201</v>
      </c>
      <c r="S32" s="408">
        <v>3518386.6068968349</v>
      </c>
      <c r="T32" s="399">
        <v>5159.339500727081</v>
      </c>
      <c r="U32" s="399">
        <f t="shared" si="8"/>
        <v>24416.253604321762</v>
      </c>
      <c r="V32" s="408">
        <v>23156.179588309926</v>
      </c>
      <c r="W32" s="423">
        <v>1260.0740160118371</v>
      </c>
    </row>
    <row r="33" spans="1:36" s="200" customFormat="1" x14ac:dyDescent="0.3">
      <c r="A33" s="19">
        <v>2026</v>
      </c>
      <c r="B33" s="20" t="s">
        <v>30</v>
      </c>
      <c r="C33" s="21" t="s">
        <v>61</v>
      </c>
      <c r="D33" s="408">
        <v>12677681.962064989</v>
      </c>
      <c r="E33" s="399">
        <v>303322.70378874103</v>
      </c>
      <c r="F33" s="399">
        <v>9193.2467180037893</v>
      </c>
      <c r="G33" s="399">
        <v>13741.015732983</v>
      </c>
      <c r="H33" s="399">
        <f t="shared" si="5"/>
        <v>4156968.9743520049</v>
      </c>
      <c r="I33" s="399">
        <f t="shared" si="6"/>
        <v>4156968.9743520049</v>
      </c>
      <c r="J33" s="399">
        <f t="shared" si="7"/>
        <v>0</v>
      </c>
      <c r="K33" s="408">
        <v>1113056.4535138486</v>
      </c>
      <c r="L33" s="408">
        <v>0</v>
      </c>
      <c r="M33" s="408">
        <v>1908959.9467602374</v>
      </c>
      <c r="N33" s="408">
        <v>0</v>
      </c>
      <c r="O33" s="408">
        <v>1134952.5740779191</v>
      </c>
      <c r="P33" s="408">
        <v>0</v>
      </c>
      <c r="Q33" s="408">
        <v>25907.973634461938</v>
      </c>
      <c r="R33" s="408">
        <v>7647.678553858138</v>
      </c>
      <c r="S33" s="408">
        <v>3964497.0888731694</v>
      </c>
      <c r="T33" s="399">
        <v>6078.9393316521464</v>
      </c>
      <c r="U33" s="399">
        <f t="shared" si="8"/>
        <v>25427.031028164103</v>
      </c>
      <c r="V33" s="408">
        <v>25427.031028164103</v>
      </c>
      <c r="W33" s="423">
        <v>0</v>
      </c>
    </row>
    <row r="34" spans="1:36" s="200" customFormat="1" x14ac:dyDescent="0.3">
      <c r="A34" s="22">
        <v>2026</v>
      </c>
      <c r="B34" s="23" t="s">
        <v>31</v>
      </c>
      <c r="C34" s="24" t="s">
        <v>61</v>
      </c>
      <c r="D34" s="424">
        <v>13378670.520679539</v>
      </c>
      <c r="E34" s="412">
        <v>199421.22388207199</v>
      </c>
      <c r="F34" s="412">
        <v>1798.3750268830499</v>
      </c>
      <c r="G34" s="412">
        <v>13741.015732983</v>
      </c>
      <c r="H34" s="412">
        <f t="shared" si="5"/>
        <v>4436390.1757906824</v>
      </c>
      <c r="I34" s="412">
        <f t="shared" si="6"/>
        <v>4436390.1757906824</v>
      </c>
      <c r="J34" s="412">
        <f t="shared" si="7"/>
        <v>0</v>
      </c>
      <c r="K34" s="424">
        <v>1201272.3868191319</v>
      </c>
      <c r="L34" s="424">
        <v>0</v>
      </c>
      <c r="M34" s="424">
        <v>2038792.6114555467</v>
      </c>
      <c r="N34" s="424">
        <v>0</v>
      </c>
      <c r="O34" s="424">
        <v>1196325.1775160041</v>
      </c>
      <c r="P34" s="424">
        <v>0</v>
      </c>
      <c r="Q34" s="424">
        <v>28577.556472824177</v>
      </c>
      <c r="R34" s="424">
        <v>6914.2390339432777</v>
      </c>
      <c r="S34" s="424">
        <v>3583401.0864977264</v>
      </c>
      <c r="T34" s="412">
        <v>5498.2720734780551</v>
      </c>
      <c r="U34" s="412">
        <f t="shared" si="8"/>
        <v>25729.444254445847</v>
      </c>
      <c r="V34" s="424">
        <v>25729.444254445847</v>
      </c>
      <c r="W34" s="425">
        <v>0</v>
      </c>
    </row>
    <row r="35" spans="1:36" s="200" customFormat="1" x14ac:dyDescent="0.3">
      <c r="A35" s="545"/>
      <c r="B35" s="545"/>
      <c r="C35" s="545"/>
      <c r="D35" s="331">
        <f t="shared" ref="D35:P35" si="9">SUM(D23:D34)</f>
        <v>157655010.72667405</v>
      </c>
      <c r="E35" s="331">
        <f t="shared" si="9"/>
        <v>6535491.7155907173</v>
      </c>
      <c r="F35" s="331">
        <f t="shared" si="9"/>
        <v>374945.09472249279</v>
      </c>
      <c r="G35" s="331">
        <f t="shared" si="9"/>
        <v>167783.00556991596</v>
      </c>
      <c r="H35" s="331">
        <f t="shared" si="9"/>
        <v>51577150.321277499</v>
      </c>
      <c r="I35" s="331">
        <f t="shared" si="9"/>
        <v>33281328.299673211</v>
      </c>
      <c r="J35" s="331">
        <f t="shared" si="9"/>
        <v>18295822.021604296</v>
      </c>
      <c r="K35" s="275">
        <f t="shared" si="9"/>
        <v>8950340.0608313847</v>
      </c>
      <c r="L35" s="275">
        <f t="shared" si="9"/>
        <v>4872973.1359845567</v>
      </c>
      <c r="M35" s="275">
        <f t="shared" si="9"/>
        <v>15130579.277777042</v>
      </c>
      <c r="N35" s="275">
        <f t="shared" si="9"/>
        <v>8281267.4576678975</v>
      </c>
      <c r="O35" s="275">
        <f t="shared" si="9"/>
        <v>9200408.9610647839</v>
      </c>
      <c r="P35" s="275">
        <f t="shared" si="9"/>
        <v>5141581.4279518407</v>
      </c>
      <c r="Q35" s="331">
        <f t="shared" ref="Q35:W35" si="10">SUM(Q23:Q34)</f>
        <v>317458.68484811572</v>
      </c>
      <c r="R35" s="275">
        <f t="shared" si="10"/>
        <v>87751.930882690853</v>
      </c>
      <c r="S35" s="275">
        <f t="shared" si="10"/>
        <v>46045110.702797733</v>
      </c>
      <c r="T35" s="275">
        <f t="shared" si="10"/>
        <v>70256.495228930202</v>
      </c>
      <c r="U35" s="331">
        <f t="shared" si="10"/>
        <v>302147.59241012647</v>
      </c>
      <c r="V35" s="331">
        <f t="shared" si="10"/>
        <v>193083.74063887401</v>
      </c>
      <c r="W35" s="331">
        <f t="shared" si="10"/>
        <v>109063.85177125245</v>
      </c>
    </row>
    <row r="36" spans="1:36" s="343" customFormat="1" x14ac:dyDescent="0.3">
      <c r="A36" s="352" t="s">
        <v>119</v>
      </c>
      <c r="B36" s="353"/>
      <c r="C36" s="353"/>
      <c r="D36" s="171"/>
      <c r="E36" s="171"/>
      <c r="F36" s="171"/>
      <c r="G36" s="171"/>
      <c r="H36" s="171"/>
      <c r="I36" s="171"/>
      <c r="J36" s="171"/>
      <c r="K36" s="166"/>
      <c r="L36" s="166"/>
      <c r="M36" s="166"/>
      <c r="N36" s="166"/>
      <c r="O36" s="166"/>
      <c r="P36" s="166"/>
      <c r="Q36" s="171"/>
      <c r="R36" s="166"/>
      <c r="S36" s="166"/>
      <c r="T36" s="166"/>
      <c r="U36" s="171"/>
      <c r="V36" s="171"/>
      <c r="W36" s="171"/>
    </row>
    <row r="37" spans="1:36" s="200" customFormat="1" x14ac:dyDescent="0.3">
      <c r="A37" s="281"/>
      <c r="B37" s="281"/>
      <c r="C37" s="281"/>
      <c r="D37" s="281"/>
      <c r="E37" s="344"/>
      <c r="F37" s="344"/>
      <c r="G37" s="365"/>
      <c r="H37" s="282"/>
      <c r="I37" s="282"/>
      <c r="J37" s="282"/>
      <c r="K37" s="282"/>
      <c r="L37" s="282"/>
      <c r="M37" s="282"/>
      <c r="N37" s="282"/>
      <c r="O37" s="327"/>
      <c r="P37" s="327"/>
      <c r="Q37" s="282"/>
      <c r="R37" s="282"/>
      <c r="S37" s="282"/>
      <c r="T37" s="282"/>
      <c r="U37" s="282"/>
      <c r="V37" s="257"/>
      <c r="W37" s="257"/>
      <c r="X37" s="268"/>
      <c r="Y37" s="267"/>
    </row>
    <row r="38" spans="1:36" s="330" customFormat="1" ht="36" x14ac:dyDescent="0.25">
      <c r="A38" s="6" t="s">
        <v>18</v>
      </c>
      <c r="B38" s="6" t="s">
        <v>19</v>
      </c>
      <c r="C38" s="7" t="s">
        <v>0</v>
      </c>
      <c r="D38" s="112" t="s">
        <v>11</v>
      </c>
      <c r="E38" s="112" t="s">
        <v>104</v>
      </c>
      <c r="F38" s="112" t="s">
        <v>129</v>
      </c>
      <c r="G38" s="499" t="s">
        <v>158</v>
      </c>
      <c r="H38" s="164" t="s">
        <v>62</v>
      </c>
      <c r="I38" s="164" t="s">
        <v>64</v>
      </c>
      <c r="J38" s="229" t="s">
        <v>63</v>
      </c>
      <c r="K38" s="159" t="s">
        <v>108</v>
      </c>
      <c r="L38" s="156" t="s">
        <v>101</v>
      </c>
      <c r="M38" s="78" t="s">
        <v>82</v>
      </c>
      <c r="N38" s="78" t="s">
        <v>83</v>
      </c>
      <c r="O38" s="159" t="s">
        <v>112</v>
      </c>
      <c r="P38" s="156" t="s">
        <v>103</v>
      </c>
      <c r="Q38" s="164" t="s">
        <v>3</v>
      </c>
      <c r="R38" s="292" t="s">
        <v>53</v>
      </c>
      <c r="S38" s="292" t="s">
        <v>54</v>
      </c>
      <c r="T38" s="292" t="s">
        <v>65</v>
      </c>
      <c r="U38" s="164" t="s">
        <v>66</v>
      </c>
      <c r="V38" s="164" t="s">
        <v>67</v>
      </c>
      <c r="W38" s="164" t="s">
        <v>68</v>
      </c>
    </row>
    <row r="39" spans="1:36" s="343" customFormat="1" x14ac:dyDescent="0.3">
      <c r="A39" s="16">
        <v>2024</v>
      </c>
      <c r="B39" s="17" t="s">
        <v>20</v>
      </c>
      <c r="C39" s="18" t="s">
        <v>61</v>
      </c>
      <c r="D39" s="225">
        <v>13932270</v>
      </c>
      <c r="E39" s="225">
        <v>168806</v>
      </c>
      <c r="F39" s="225">
        <v>2463</v>
      </c>
      <c r="G39" s="225">
        <v>17260</v>
      </c>
      <c r="H39" s="225">
        <f>I39+J39</f>
        <v>4383223</v>
      </c>
      <c r="I39" s="225">
        <f>K39+M39+O39</f>
        <v>4383223</v>
      </c>
      <c r="J39" s="225">
        <f>L39+N39+P39</f>
        <v>0</v>
      </c>
      <c r="K39" s="225">
        <v>1214082</v>
      </c>
      <c r="L39" s="225"/>
      <c r="M39" s="225">
        <v>2004823</v>
      </c>
      <c r="N39" s="225"/>
      <c r="O39" s="225">
        <v>1164318</v>
      </c>
      <c r="P39" s="225"/>
      <c r="Q39" s="225">
        <v>30849.199999999997</v>
      </c>
      <c r="R39" s="225">
        <v>12067.099999999999</v>
      </c>
      <c r="S39" s="225">
        <v>4716126</v>
      </c>
      <c r="T39" s="225">
        <v>10657.3</v>
      </c>
      <c r="U39" s="225">
        <f>SUM(V39:W39)</f>
        <v>25795.899999999998</v>
      </c>
      <c r="V39" s="225">
        <v>25795.899999999998</v>
      </c>
      <c r="W39" s="230">
        <v>0</v>
      </c>
      <c r="Y39" s="365"/>
      <c r="Z39" s="365"/>
      <c r="AA39" s="365"/>
      <c r="AB39" s="365"/>
      <c r="AC39" s="365"/>
      <c r="AD39" s="365"/>
      <c r="AE39" s="365"/>
      <c r="AF39" s="365"/>
      <c r="AG39" s="365"/>
      <c r="AH39" s="365"/>
      <c r="AI39" s="365"/>
      <c r="AJ39" s="365"/>
    </row>
    <row r="40" spans="1:36" s="343" customFormat="1" x14ac:dyDescent="0.3">
      <c r="A40" s="19">
        <v>2024</v>
      </c>
      <c r="B40" s="20" t="s">
        <v>21</v>
      </c>
      <c r="C40" s="21" t="s">
        <v>61</v>
      </c>
      <c r="D40" s="225">
        <v>13779172</v>
      </c>
      <c r="E40" s="225">
        <v>146661</v>
      </c>
      <c r="F40" s="225">
        <v>1918</v>
      </c>
      <c r="G40" s="225">
        <v>14260</v>
      </c>
      <c r="H40" s="225">
        <f t="shared" ref="H40:H50" si="11">I40+J40</f>
        <v>4708963</v>
      </c>
      <c r="I40" s="225">
        <f t="shared" ref="I40:I50" si="12">K40+M40+O40</f>
        <v>4708963</v>
      </c>
      <c r="J40" s="225">
        <f t="shared" ref="J40:J50" si="13">L40+N40+P40</f>
        <v>0</v>
      </c>
      <c r="K40" s="225">
        <v>1295721</v>
      </c>
      <c r="L40" s="225"/>
      <c r="M40" s="225">
        <v>2144579</v>
      </c>
      <c r="N40" s="225"/>
      <c r="O40" s="225">
        <v>1268663</v>
      </c>
      <c r="P40" s="225"/>
      <c r="Q40" s="225">
        <v>28675</v>
      </c>
      <c r="R40" s="225">
        <v>8265.5</v>
      </c>
      <c r="S40" s="225">
        <v>4449477</v>
      </c>
      <c r="T40" s="225">
        <v>6855.7</v>
      </c>
      <c r="U40" s="225">
        <f t="shared" ref="U40:U50" si="14">SUM(V40:W40)</f>
        <v>23983.200000000001</v>
      </c>
      <c r="V40" s="225">
        <v>23983.200000000001</v>
      </c>
      <c r="W40" s="230">
        <v>0</v>
      </c>
      <c r="AA40" s="365"/>
      <c r="AB40" s="365"/>
    </row>
    <row r="41" spans="1:36" s="343" customFormat="1" x14ac:dyDescent="0.3">
      <c r="A41" s="19">
        <v>2024</v>
      </c>
      <c r="B41" s="20" t="s">
        <v>22</v>
      </c>
      <c r="C41" s="21" t="s">
        <v>61</v>
      </c>
      <c r="D41" s="225">
        <v>14409094</v>
      </c>
      <c r="E41" s="225">
        <v>422673</v>
      </c>
      <c r="F41" s="225">
        <v>40614</v>
      </c>
      <c r="G41" s="225">
        <v>14260</v>
      </c>
      <c r="H41" s="225">
        <f t="shared" si="11"/>
        <v>4994726</v>
      </c>
      <c r="I41" s="225">
        <f t="shared" si="12"/>
        <v>4994726</v>
      </c>
      <c r="J41" s="225">
        <f t="shared" si="13"/>
        <v>0</v>
      </c>
      <c r="K41" s="225">
        <v>1376790</v>
      </c>
      <c r="L41" s="225"/>
      <c r="M41" s="225">
        <v>2284021</v>
      </c>
      <c r="N41" s="225"/>
      <c r="O41" s="225">
        <v>1333915</v>
      </c>
      <c r="P41" s="225"/>
      <c r="Q41" s="225">
        <v>31788.6</v>
      </c>
      <c r="R41" s="225">
        <v>8265.5</v>
      </c>
      <c r="S41" s="225">
        <v>4019500</v>
      </c>
      <c r="T41" s="225">
        <v>6855.7</v>
      </c>
      <c r="U41" s="225">
        <f t="shared" si="14"/>
        <v>26459.8</v>
      </c>
      <c r="V41" s="225">
        <v>26459.8</v>
      </c>
      <c r="W41" s="230">
        <v>0</v>
      </c>
      <c r="AA41" s="365"/>
      <c r="AB41" s="365"/>
    </row>
    <row r="42" spans="1:36" s="343" customFormat="1" x14ac:dyDescent="0.3">
      <c r="A42" s="19">
        <v>2024</v>
      </c>
      <c r="B42" s="20" t="s">
        <v>23</v>
      </c>
      <c r="C42" s="21" t="s">
        <v>61</v>
      </c>
      <c r="D42" s="225">
        <v>14775281</v>
      </c>
      <c r="E42" s="225">
        <v>533162</v>
      </c>
      <c r="F42" s="225">
        <v>85601</v>
      </c>
      <c r="G42" s="225">
        <v>14260</v>
      </c>
      <c r="H42" s="225">
        <f t="shared" si="11"/>
        <v>4995773</v>
      </c>
      <c r="I42" s="225">
        <f t="shared" si="12"/>
        <v>4995773</v>
      </c>
      <c r="J42" s="225">
        <f t="shared" si="13"/>
        <v>0</v>
      </c>
      <c r="K42" s="225">
        <v>1371889</v>
      </c>
      <c r="L42" s="225"/>
      <c r="M42" s="225">
        <v>2282607</v>
      </c>
      <c r="N42" s="225"/>
      <c r="O42" s="225">
        <v>1341277</v>
      </c>
      <c r="P42" s="225"/>
      <c r="Q42" s="225">
        <v>30217.4</v>
      </c>
      <c r="R42" s="225">
        <v>8265.5</v>
      </c>
      <c r="S42" s="225">
        <v>3991161</v>
      </c>
      <c r="T42" s="225">
        <v>6855.7</v>
      </c>
      <c r="U42" s="225">
        <f t="shared" si="14"/>
        <v>24868.5</v>
      </c>
      <c r="V42" s="225">
        <v>24868.5</v>
      </c>
      <c r="W42" s="230">
        <v>0</v>
      </c>
      <c r="AA42" s="365"/>
      <c r="AB42" s="365"/>
    </row>
    <row r="43" spans="1:36" s="343" customFormat="1" x14ac:dyDescent="0.3">
      <c r="A43" s="19">
        <v>2024</v>
      </c>
      <c r="B43" s="20" t="s">
        <v>24</v>
      </c>
      <c r="C43" s="21" t="s">
        <v>61</v>
      </c>
      <c r="D43" s="225">
        <v>14792210</v>
      </c>
      <c r="E43" s="225">
        <v>548884</v>
      </c>
      <c r="F43" s="225">
        <v>68691</v>
      </c>
      <c r="G43" s="225">
        <v>14260</v>
      </c>
      <c r="H43" s="225">
        <f t="shared" si="11"/>
        <v>5212951</v>
      </c>
      <c r="I43" s="225">
        <f t="shared" si="12"/>
        <v>5212951</v>
      </c>
      <c r="J43" s="225">
        <f t="shared" si="13"/>
        <v>0</v>
      </c>
      <c r="K43" s="225">
        <v>1429973</v>
      </c>
      <c r="L43" s="225"/>
      <c r="M43" s="225">
        <v>2392052</v>
      </c>
      <c r="N43" s="225"/>
      <c r="O43" s="225">
        <v>1390926</v>
      </c>
      <c r="P43" s="225"/>
      <c r="Q43" s="225">
        <v>30281.4</v>
      </c>
      <c r="R43" s="225">
        <v>8265.5</v>
      </c>
      <c r="S43" s="225">
        <v>4122343</v>
      </c>
      <c r="T43" s="225">
        <v>6855.7</v>
      </c>
      <c r="U43" s="225">
        <f t="shared" si="14"/>
        <v>29891.199999999997</v>
      </c>
      <c r="V43" s="225">
        <v>29891.199999999997</v>
      </c>
      <c r="W43" s="230">
        <v>0</v>
      </c>
      <c r="AA43" s="365"/>
      <c r="AB43" s="365"/>
    </row>
    <row r="44" spans="1:36" s="343" customFormat="1" x14ac:dyDescent="0.3">
      <c r="A44" s="19">
        <v>2024</v>
      </c>
      <c r="B44" s="20" t="s">
        <v>25</v>
      </c>
      <c r="C44" s="21" t="s">
        <v>61</v>
      </c>
      <c r="D44" s="225">
        <v>15167294</v>
      </c>
      <c r="E44" s="225">
        <v>638734</v>
      </c>
      <c r="F44" s="225">
        <v>93153</v>
      </c>
      <c r="G44" s="225">
        <v>14260</v>
      </c>
      <c r="H44" s="225">
        <f t="shared" si="11"/>
        <v>5311393</v>
      </c>
      <c r="I44" s="225">
        <f t="shared" si="12"/>
        <v>2657608</v>
      </c>
      <c r="J44" s="225">
        <f t="shared" si="13"/>
        <v>2653785</v>
      </c>
      <c r="K44" s="225">
        <v>729278</v>
      </c>
      <c r="L44" s="225">
        <v>719757</v>
      </c>
      <c r="M44" s="225">
        <v>1223970</v>
      </c>
      <c r="N44" s="225">
        <v>1215066</v>
      </c>
      <c r="O44" s="225">
        <v>704360</v>
      </c>
      <c r="P44" s="225">
        <v>718962</v>
      </c>
      <c r="Q44" s="225">
        <v>31202.300000000003</v>
      </c>
      <c r="R44" s="225">
        <v>8495.9</v>
      </c>
      <c r="S44" s="225">
        <v>4583384</v>
      </c>
      <c r="T44" s="225">
        <v>7086.1</v>
      </c>
      <c r="U44" s="225">
        <f t="shared" si="14"/>
        <v>27693.399999999998</v>
      </c>
      <c r="V44" s="225">
        <v>13206.8</v>
      </c>
      <c r="W44" s="230">
        <v>14486.599999999999</v>
      </c>
      <c r="AA44" s="365"/>
      <c r="AB44" s="365"/>
    </row>
    <row r="45" spans="1:36" s="343" customFormat="1" x14ac:dyDescent="0.3">
      <c r="A45" s="19">
        <v>2024</v>
      </c>
      <c r="B45" s="20" t="s">
        <v>26</v>
      </c>
      <c r="C45" s="21" t="s">
        <v>61</v>
      </c>
      <c r="D45" s="225">
        <v>14892728</v>
      </c>
      <c r="E45" s="225">
        <v>662979</v>
      </c>
      <c r="F45" s="225">
        <v>69514</v>
      </c>
      <c r="G45" s="225">
        <v>14260</v>
      </c>
      <c r="H45" s="225">
        <f t="shared" si="11"/>
        <v>4954821</v>
      </c>
      <c r="I45" s="225">
        <f t="shared" si="12"/>
        <v>41485</v>
      </c>
      <c r="J45" s="225">
        <f t="shared" si="13"/>
        <v>4913336</v>
      </c>
      <c r="K45" s="225">
        <v>11098</v>
      </c>
      <c r="L45" s="225">
        <v>1347840</v>
      </c>
      <c r="M45" s="225">
        <v>19102</v>
      </c>
      <c r="N45" s="225">
        <v>2261231</v>
      </c>
      <c r="O45" s="225">
        <v>11285</v>
      </c>
      <c r="P45" s="225">
        <v>1304265</v>
      </c>
      <c r="Q45" s="225">
        <v>27384.9</v>
      </c>
      <c r="R45" s="225">
        <v>8495.9</v>
      </c>
      <c r="S45" s="225">
        <v>4192001</v>
      </c>
      <c r="T45" s="225">
        <v>7086.1</v>
      </c>
      <c r="U45" s="225">
        <f t="shared" si="14"/>
        <v>26040.2</v>
      </c>
      <c r="V45" s="225">
        <v>141.80000000000001</v>
      </c>
      <c r="W45" s="230">
        <v>25898.400000000001</v>
      </c>
      <c r="AA45" s="365"/>
      <c r="AB45" s="365"/>
    </row>
    <row r="46" spans="1:36" s="343" customFormat="1" x14ac:dyDescent="0.3">
      <c r="A46" s="19">
        <v>2024</v>
      </c>
      <c r="B46" s="20" t="s">
        <v>27</v>
      </c>
      <c r="C46" s="21" t="s">
        <v>61</v>
      </c>
      <c r="D46" s="225">
        <v>16293716</v>
      </c>
      <c r="E46" s="225">
        <v>750414</v>
      </c>
      <c r="F46" s="225">
        <v>58088</v>
      </c>
      <c r="G46" s="225">
        <v>14260</v>
      </c>
      <c r="H46" s="225">
        <f t="shared" si="11"/>
        <v>5702497</v>
      </c>
      <c r="I46" s="225">
        <f t="shared" si="12"/>
        <v>0</v>
      </c>
      <c r="J46" s="225">
        <f t="shared" si="13"/>
        <v>5702497</v>
      </c>
      <c r="K46" s="225"/>
      <c r="L46" s="225">
        <v>1545741</v>
      </c>
      <c r="M46" s="225"/>
      <c r="N46" s="225">
        <v>2633184</v>
      </c>
      <c r="O46" s="225"/>
      <c r="P46" s="225">
        <v>1523572</v>
      </c>
      <c r="Q46" s="225">
        <v>30621.9</v>
      </c>
      <c r="R46" s="225">
        <v>8495.9</v>
      </c>
      <c r="S46" s="225">
        <v>4270094</v>
      </c>
      <c r="T46" s="225">
        <v>7086.1</v>
      </c>
      <c r="U46" s="225">
        <f t="shared" si="14"/>
        <v>28779.8</v>
      </c>
      <c r="V46" s="225">
        <v>0</v>
      </c>
      <c r="W46" s="230">
        <v>28779.8</v>
      </c>
      <c r="AA46" s="365"/>
      <c r="AB46" s="365"/>
    </row>
    <row r="47" spans="1:36" s="343" customFormat="1" x14ac:dyDescent="0.3">
      <c r="A47" s="19">
        <v>2024</v>
      </c>
      <c r="B47" s="20" t="s">
        <v>28</v>
      </c>
      <c r="C47" s="21" t="s">
        <v>61</v>
      </c>
      <c r="D47" s="225">
        <v>13846659</v>
      </c>
      <c r="E47" s="225">
        <v>598896</v>
      </c>
      <c r="F47" s="225">
        <v>59150</v>
      </c>
      <c r="G47" s="225">
        <v>14260</v>
      </c>
      <c r="H47" s="225">
        <f t="shared" si="11"/>
        <v>4644864</v>
      </c>
      <c r="I47" s="225">
        <f t="shared" si="12"/>
        <v>0</v>
      </c>
      <c r="J47" s="225">
        <f t="shared" si="13"/>
        <v>4644864</v>
      </c>
      <c r="K47" s="225"/>
      <c r="L47" s="225">
        <v>1268527</v>
      </c>
      <c r="M47" s="225"/>
      <c r="N47" s="225">
        <v>2145064</v>
      </c>
      <c r="O47" s="225"/>
      <c r="P47" s="225">
        <v>1231273</v>
      </c>
      <c r="Q47" s="225">
        <v>25667.399999999998</v>
      </c>
      <c r="R47" s="225">
        <v>8266.2999999999993</v>
      </c>
      <c r="S47" s="225">
        <v>4569015</v>
      </c>
      <c r="T47" s="225">
        <v>7017.5</v>
      </c>
      <c r="U47" s="225">
        <f t="shared" si="14"/>
        <v>23971.8</v>
      </c>
      <c r="V47" s="225">
        <v>0</v>
      </c>
      <c r="W47" s="230">
        <v>23971.8</v>
      </c>
      <c r="AA47" s="365"/>
      <c r="AB47" s="365"/>
    </row>
    <row r="48" spans="1:36" s="343" customFormat="1" x14ac:dyDescent="0.3">
      <c r="A48" s="19">
        <v>2024</v>
      </c>
      <c r="B48" s="20" t="s">
        <v>29</v>
      </c>
      <c r="C48" s="21" t="s">
        <v>61</v>
      </c>
      <c r="D48" s="225">
        <v>12057108</v>
      </c>
      <c r="E48" s="225">
        <v>668656</v>
      </c>
      <c r="F48" s="225">
        <v>54077</v>
      </c>
      <c r="G48" s="225">
        <v>14260</v>
      </c>
      <c r="H48" s="225">
        <f t="shared" si="11"/>
        <v>4155501</v>
      </c>
      <c r="I48" s="225">
        <f t="shared" si="12"/>
        <v>1955321</v>
      </c>
      <c r="J48" s="225">
        <f t="shared" si="13"/>
        <v>2200180</v>
      </c>
      <c r="K48" s="225">
        <v>535398</v>
      </c>
      <c r="L48" s="225">
        <v>609711</v>
      </c>
      <c r="M48" s="225">
        <v>894251</v>
      </c>
      <c r="N48" s="225">
        <v>1020861</v>
      </c>
      <c r="O48" s="225">
        <v>525672</v>
      </c>
      <c r="P48" s="225">
        <v>569608</v>
      </c>
      <c r="Q48" s="225">
        <v>23602.5</v>
      </c>
      <c r="R48" s="225">
        <v>7285.6</v>
      </c>
      <c r="S48" s="225">
        <v>3385112</v>
      </c>
      <c r="T48" s="225">
        <v>6036.8</v>
      </c>
      <c r="U48" s="225">
        <f t="shared" si="14"/>
        <v>20981.5</v>
      </c>
      <c r="V48" s="225">
        <v>8727</v>
      </c>
      <c r="W48" s="230">
        <v>12254.5</v>
      </c>
      <c r="AA48" s="365"/>
      <c r="AB48" s="365"/>
    </row>
    <row r="49" spans="1:36" s="343" customFormat="1" x14ac:dyDescent="0.3">
      <c r="A49" s="19">
        <v>2024</v>
      </c>
      <c r="B49" s="20" t="s">
        <v>30</v>
      </c>
      <c r="C49" s="21" t="s">
        <v>61</v>
      </c>
      <c r="D49" s="225">
        <v>12327141</v>
      </c>
      <c r="E49" s="225">
        <v>514516</v>
      </c>
      <c r="F49" s="225">
        <v>35696</v>
      </c>
      <c r="G49" s="225">
        <v>14260</v>
      </c>
      <c r="H49" s="225">
        <f t="shared" si="11"/>
        <v>4266128</v>
      </c>
      <c r="I49" s="225">
        <f t="shared" si="12"/>
        <v>4254491</v>
      </c>
      <c r="J49" s="225">
        <f t="shared" si="13"/>
        <v>11637</v>
      </c>
      <c r="K49" s="225">
        <v>1162852</v>
      </c>
      <c r="L49" s="225">
        <v>2850</v>
      </c>
      <c r="M49" s="225">
        <v>1962911</v>
      </c>
      <c r="N49" s="225">
        <v>5467</v>
      </c>
      <c r="O49" s="225">
        <v>1128728</v>
      </c>
      <c r="P49" s="225">
        <v>3320</v>
      </c>
      <c r="Q49" s="225">
        <v>26708.1</v>
      </c>
      <c r="R49" s="225">
        <v>7285.6</v>
      </c>
      <c r="S49" s="225">
        <v>3313734</v>
      </c>
      <c r="T49" s="225">
        <v>6036.8</v>
      </c>
      <c r="U49" s="225">
        <f t="shared" si="14"/>
        <v>22596.3</v>
      </c>
      <c r="V49" s="225">
        <v>22555</v>
      </c>
      <c r="W49" s="230">
        <v>41.3</v>
      </c>
      <c r="AA49" s="365"/>
      <c r="AB49" s="365"/>
    </row>
    <row r="50" spans="1:36" s="343" customFormat="1" x14ac:dyDescent="0.3">
      <c r="A50" s="22">
        <v>2024</v>
      </c>
      <c r="B50" s="23" t="s">
        <v>31</v>
      </c>
      <c r="C50" s="24" t="s">
        <v>61</v>
      </c>
      <c r="D50" s="231">
        <v>11272592</v>
      </c>
      <c r="E50" s="231">
        <v>201886</v>
      </c>
      <c r="F50" s="231">
        <v>11109</v>
      </c>
      <c r="G50" s="231">
        <v>14260</v>
      </c>
      <c r="H50" s="231">
        <f t="shared" si="11"/>
        <v>3585694</v>
      </c>
      <c r="I50" s="231">
        <f t="shared" si="12"/>
        <v>3585694</v>
      </c>
      <c r="J50" s="231">
        <f t="shared" si="13"/>
        <v>0</v>
      </c>
      <c r="K50" s="231">
        <v>991068</v>
      </c>
      <c r="L50" s="231"/>
      <c r="M50" s="231">
        <v>1636580</v>
      </c>
      <c r="N50" s="231"/>
      <c r="O50" s="231">
        <v>958046</v>
      </c>
      <c r="P50" s="231"/>
      <c r="Q50" s="231">
        <v>23602.5</v>
      </c>
      <c r="R50" s="231">
        <v>7285.6</v>
      </c>
      <c r="S50" s="231">
        <v>3625981</v>
      </c>
      <c r="T50" s="231">
        <v>6036.8</v>
      </c>
      <c r="U50" s="231">
        <f t="shared" si="14"/>
        <v>19281.3</v>
      </c>
      <c r="V50" s="231">
        <v>19281.3</v>
      </c>
      <c r="W50" s="232">
        <v>0</v>
      </c>
      <c r="AA50" s="365"/>
      <c r="AB50" s="365"/>
    </row>
    <row r="51" spans="1:36" s="343" customFormat="1" x14ac:dyDescent="0.3">
      <c r="A51" s="545"/>
      <c r="B51" s="545"/>
      <c r="C51" s="545"/>
      <c r="D51" s="171">
        <f>SUM(D39:D50)</f>
        <v>167545265</v>
      </c>
      <c r="E51" s="171">
        <f>SUM(E39:E50)</f>
        <v>5856267</v>
      </c>
      <c r="F51" s="171">
        <f>SUM(F39:F50)</f>
        <v>580074</v>
      </c>
      <c r="G51" s="171">
        <f>SUM(G39:G50)</f>
        <v>174120</v>
      </c>
      <c r="H51" s="171">
        <f t="shared" ref="H51:W51" si="15">SUM(H39:H50)</f>
        <v>56916534</v>
      </c>
      <c r="I51" s="171">
        <f t="shared" si="15"/>
        <v>36790235</v>
      </c>
      <c r="J51" s="171">
        <f t="shared" si="15"/>
        <v>20126299</v>
      </c>
      <c r="K51" s="166">
        <f t="shared" si="15"/>
        <v>10118149</v>
      </c>
      <c r="L51" s="166">
        <f t="shared" si="15"/>
        <v>5494426</v>
      </c>
      <c r="M51" s="166">
        <f t="shared" si="15"/>
        <v>16844896</v>
      </c>
      <c r="N51" s="166">
        <f t="shared" si="15"/>
        <v>9280873</v>
      </c>
      <c r="O51" s="166">
        <f t="shared" si="15"/>
        <v>9827190</v>
      </c>
      <c r="P51" s="166">
        <f t="shared" si="15"/>
        <v>5351000</v>
      </c>
      <c r="Q51" s="166">
        <f t="shared" si="15"/>
        <v>340601.19999999995</v>
      </c>
      <c r="R51" s="166">
        <f t="shared" si="15"/>
        <v>100739.90000000002</v>
      </c>
      <c r="S51" s="166">
        <f t="shared" si="15"/>
        <v>49237928</v>
      </c>
      <c r="T51" s="166">
        <f t="shared" si="15"/>
        <v>84466.3</v>
      </c>
      <c r="U51" s="171">
        <f t="shared" si="15"/>
        <v>300342.89999999997</v>
      </c>
      <c r="V51" s="171">
        <f t="shared" si="15"/>
        <v>194910.49999999997</v>
      </c>
      <c r="W51" s="171">
        <f t="shared" si="15"/>
        <v>105432.40000000001</v>
      </c>
    </row>
    <row r="52" spans="1:36" s="343" customFormat="1" x14ac:dyDescent="0.3">
      <c r="A52" s="365"/>
      <c r="B52" s="365"/>
      <c r="C52" s="365"/>
      <c r="D52" s="365"/>
      <c r="E52" s="365"/>
      <c r="F52" s="365"/>
      <c r="G52" s="365"/>
      <c r="H52" s="365"/>
      <c r="I52" s="365"/>
      <c r="J52" s="365"/>
      <c r="K52" s="365"/>
      <c r="L52" s="365"/>
      <c r="M52" s="365"/>
      <c r="N52" s="365"/>
      <c r="O52" s="365"/>
      <c r="P52" s="365"/>
      <c r="Q52" s="365"/>
      <c r="R52" s="365"/>
      <c r="S52" s="365"/>
      <c r="T52" s="365"/>
      <c r="U52" s="365"/>
      <c r="V52" s="257"/>
      <c r="W52" s="257"/>
      <c r="X52" s="285"/>
      <c r="Y52" s="285"/>
    </row>
    <row r="53" spans="1:36" s="330" customFormat="1" ht="36" x14ac:dyDescent="0.25">
      <c r="A53" s="6" t="s">
        <v>18</v>
      </c>
      <c r="B53" s="6" t="s">
        <v>19</v>
      </c>
      <c r="C53" s="7" t="s">
        <v>0</v>
      </c>
      <c r="D53" s="112" t="s">
        <v>11</v>
      </c>
      <c r="E53" s="112" t="s">
        <v>104</v>
      </c>
      <c r="F53" s="112" t="s">
        <v>129</v>
      </c>
      <c r="G53" s="499" t="s">
        <v>158</v>
      </c>
      <c r="H53" s="164" t="s">
        <v>62</v>
      </c>
      <c r="I53" s="164" t="s">
        <v>64</v>
      </c>
      <c r="J53" s="229" t="s">
        <v>63</v>
      </c>
      <c r="K53" s="159" t="s">
        <v>108</v>
      </c>
      <c r="L53" s="156" t="s">
        <v>101</v>
      </c>
      <c r="M53" s="78" t="s">
        <v>82</v>
      </c>
      <c r="N53" s="78" t="s">
        <v>83</v>
      </c>
      <c r="O53" s="159" t="s">
        <v>112</v>
      </c>
      <c r="P53" s="156" t="s">
        <v>103</v>
      </c>
      <c r="Q53" s="164" t="s">
        <v>3</v>
      </c>
      <c r="R53" s="292" t="s">
        <v>53</v>
      </c>
      <c r="S53" s="292" t="s">
        <v>54</v>
      </c>
      <c r="T53" s="292" t="s">
        <v>65</v>
      </c>
      <c r="U53" s="164" t="s">
        <v>66</v>
      </c>
      <c r="V53" s="164" t="s">
        <v>67</v>
      </c>
      <c r="W53" s="164" t="s">
        <v>68</v>
      </c>
    </row>
    <row r="54" spans="1:36" s="343" customFormat="1" x14ac:dyDescent="0.3">
      <c r="A54" s="16">
        <v>2023</v>
      </c>
      <c r="B54" s="17" t="s">
        <v>20</v>
      </c>
      <c r="C54" s="18" t="s">
        <v>61</v>
      </c>
      <c r="D54" s="225">
        <v>14208921</v>
      </c>
      <c r="E54" s="225">
        <v>211629</v>
      </c>
      <c r="F54" s="225"/>
      <c r="G54" s="225">
        <v>14260</v>
      </c>
      <c r="H54" s="225">
        <f>I54+J54</f>
        <v>4906271</v>
      </c>
      <c r="I54" s="225">
        <f>K54+M54+O54</f>
        <v>4906271</v>
      </c>
      <c r="J54" s="225">
        <f>L54+N54+P54</f>
        <v>0</v>
      </c>
      <c r="K54" s="225">
        <v>1365790</v>
      </c>
      <c r="L54" s="225"/>
      <c r="M54" s="225">
        <v>2237637</v>
      </c>
      <c r="N54" s="225"/>
      <c r="O54" s="225">
        <v>1302844</v>
      </c>
      <c r="P54" s="225"/>
      <c r="Q54" s="225">
        <v>32912.399999999994</v>
      </c>
      <c r="R54" s="225">
        <v>12091.4</v>
      </c>
      <c r="S54" s="225">
        <v>5572838</v>
      </c>
      <c r="T54" s="225">
        <v>6820.4</v>
      </c>
      <c r="U54" s="225">
        <f>SUM(V54:W54)</f>
        <v>26167.599999999999</v>
      </c>
      <c r="V54" s="225">
        <v>26167.599999999999</v>
      </c>
      <c r="W54" s="230">
        <v>0</v>
      </c>
      <c r="Y54" s="365"/>
      <c r="Z54" s="365"/>
      <c r="AA54" s="365"/>
      <c r="AB54" s="365"/>
      <c r="AC54" s="365"/>
      <c r="AD54" s="365"/>
      <c r="AE54" s="365"/>
      <c r="AF54" s="365"/>
      <c r="AG54" s="365"/>
      <c r="AH54" s="365"/>
      <c r="AI54" s="365"/>
      <c r="AJ54" s="365"/>
    </row>
    <row r="55" spans="1:36" s="343" customFormat="1" x14ac:dyDescent="0.3">
      <c r="A55" s="19">
        <v>2023</v>
      </c>
      <c r="B55" s="20" t="s">
        <v>21</v>
      </c>
      <c r="C55" s="21" t="s">
        <v>61</v>
      </c>
      <c r="D55" s="225">
        <v>14462577</v>
      </c>
      <c r="E55" s="225">
        <v>192256</v>
      </c>
      <c r="F55" s="225">
        <v>3387</v>
      </c>
      <c r="G55" s="225">
        <v>14260</v>
      </c>
      <c r="H55" s="225">
        <f t="shared" ref="H55:H65" si="16">I55+J55</f>
        <v>5041288</v>
      </c>
      <c r="I55" s="225">
        <f t="shared" ref="I55:I65" si="17">K55+M55+O55</f>
        <v>5041288</v>
      </c>
      <c r="J55" s="225">
        <f t="shared" ref="J55:J65" si="18">L55+N55+P55</f>
        <v>0</v>
      </c>
      <c r="K55" s="225">
        <v>1409076</v>
      </c>
      <c r="L55" s="225"/>
      <c r="M55" s="225">
        <v>2297901</v>
      </c>
      <c r="N55" s="225"/>
      <c r="O55" s="225">
        <v>1334311</v>
      </c>
      <c r="P55" s="225"/>
      <c r="Q55" s="225">
        <v>33099.599999999999</v>
      </c>
      <c r="R55" s="225">
        <v>10769.8</v>
      </c>
      <c r="S55" s="225">
        <v>5205457</v>
      </c>
      <c r="T55" s="225">
        <v>6820.4</v>
      </c>
      <c r="U55" s="225">
        <f t="shared" ref="U55:U65" si="19">SUM(V55:W55)</f>
        <v>26198.2</v>
      </c>
      <c r="V55" s="225">
        <v>26198.2</v>
      </c>
      <c r="W55" s="230">
        <v>0</v>
      </c>
      <c r="AA55" s="365"/>
      <c r="AB55" s="365"/>
    </row>
    <row r="56" spans="1:36" s="343" customFormat="1" x14ac:dyDescent="0.3">
      <c r="A56" s="19">
        <v>2023</v>
      </c>
      <c r="B56" s="20" t="s">
        <v>22</v>
      </c>
      <c r="C56" s="21" t="s">
        <v>61</v>
      </c>
      <c r="D56" s="225">
        <v>15010419</v>
      </c>
      <c r="E56" s="225">
        <v>439568</v>
      </c>
      <c r="F56" s="225">
        <v>54808</v>
      </c>
      <c r="G56" s="225">
        <v>14260</v>
      </c>
      <c r="H56" s="225">
        <f t="shared" si="16"/>
        <v>5292076</v>
      </c>
      <c r="I56" s="225">
        <f t="shared" si="17"/>
        <v>5292076</v>
      </c>
      <c r="J56" s="225">
        <f t="shared" si="18"/>
        <v>0</v>
      </c>
      <c r="K56" s="225">
        <v>1468878</v>
      </c>
      <c r="L56" s="225"/>
      <c r="M56" s="225">
        <v>2414605</v>
      </c>
      <c r="N56" s="225"/>
      <c r="O56" s="225">
        <v>1408593</v>
      </c>
      <c r="P56" s="225"/>
      <c r="Q56" s="225">
        <v>33099.599999999999</v>
      </c>
      <c r="R56" s="225">
        <v>10769.8</v>
      </c>
      <c r="S56" s="225">
        <v>5347718</v>
      </c>
      <c r="T56" s="225">
        <v>6820.4</v>
      </c>
      <c r="U56" s="225">
        <f t="shared" si="19"/>
        <v>27707</v>
      </c>
      <c r="V56" s="225">
        <v>27707</v>
      </c>
      <c r="W56" s="230">
        <v>0</v>
      </c>
      <c r="AA56" s="365"/>
      <c r="AB56" s="365"/>
    </row>
    <row r="57" spans="1:36" s="343" customFormat="1" x14ac:dyDescent="0.3">
      <c r="A57" s="19">
        <v>2023</v>
      </c>
      <c r="B57" s="20" t="s">
        <v>23</v>
      </c>
      <c r="C57" s="21" t="s">
        <v>61</v>
      </c>
      <c r="D57" s="225">
        <v>17608273</v>
      </c>
      <c r="E57" s="225">
        <v>527536</v>
      </c>
      <c r="F57" s="225">
        <v>71810</v>
      </c>
      <c r="G57" s="225">
        <v>14260</v>
      </c>
      <c r="H57" s="225">
        <f t="shared" si="16"/>
        <v>6120857</v>
      </c>
      <c r="I57" s="225">
        <f t="shared" si="17"/>
        <v>6120857</v>
      </c>
      <c r="J57" s="225">
        <f t="shared" si="18"/>
        <v>0</v>
      </c>
      <c r="K57" s="225">
        <v>1690057</v>
      </c>
      <c r="L57" s="225"/>
      <c r="M57" s="225">
        <v>2796628</v>
      </c>
      <c r="N57" s="225"/>
      <c r="O57" s="225">
        <v>1634172</v>
      </c>
      <c r="P57" s="225"/>
      <c r="Q57" s="225">
        <v>37000</v>
      </c>
      <c r="R57" s="225">
        <v>10769.8</v>
      </c>
      <c r="S57" s="225">
        <v>5909260</v>
      </c>
      <c r="T57" s="225">
        <v>6820.4</v>
      </c>
      <c r="U57" s="225">
        <f t="shared" si="19"/>
        <v>31503</v>
      </c>
      <c r="V57" s="225">
        <v>31503</v>
      </c>
      <c r="W57" s="230">
        <v>0</v>
      </c>
      <c r="AA57" s="365"/>
      <c r="AB57" s="365"/>
    </row>
    <row r="58" spans="1:36" s="343" customFormat="1" x14ac:dyDescent="0.3">
      <c r="A58" s="19">
        <v>2023</v>
      </c>
      <c r="B58" s="20" t="s">
        <v>24</v>
      </c>
      <c r="C58" s="21" t="s">
        <v>61</v>
      </c>
      <c r="D58" s="225">
        <v>15110783</v>
      </c>
      <c r="E58" s="225">
        <v>594754</v>
      </c>
      <c r="F58" s="225">
        <v>74290</v>
      </c>
      <c r="G58" s="225">
        <v>14260</v>
      </c>
      <c r="H58" s="225">
        <f t="shared" si="16"/>
        <v>5159098</v>
      </c>
      <c r="I58" s="225">
        <f t="shared" si="17"/>
        <v>5159098</v>
      </c>
      <c r="J58" s="225">
        <f t="shared" si="18"/>
        <v>0</v>
      </c>
      <c r="K58" s="225">
        <v>1418774</v>
      </c>
      <c r="L58" s="225"/>
      <c r="M58" s="225">
        <v>2362796</v>
      </c>
      <c r="N58" s="225"/>
      <c r="O58" s="225">
        <v>1377528</v>
      </c>
      <c r="P58" s="225"/>
      <c r="Q58" s="225">
        <v>31988.400000000001</v>
      </c>
      <c r="R58" s="225">
        <v>10769.8</v>
      </c>
      <c r="S58" s="225">
        <v>4883411</v>
      </c>
      <c r="T58" s="225">
        <v>6820.4</v>
      </c>
      <c r="U58" s="225">
        <f>SUM(V58:W58)</f>
        <v>28215.199999999997</v>
      </c>
      <c r="V58" s="225">
        <v>28215.199999999997</v>
      </c>
      <c r="W58" s="230">
        <v>0</v>
      </c>
      <c r="AA58" s="365"/>
      <c r="AB58" s="365"/>
    </row>
    <row r="59" spans="1:36" s="343" customFormat="1" x14ac:dyDescent="0.3">
      <c r="A59" s="19">
        <v>2023</v>
      </c>
      <c r="B59" s="20" t="s">
        <v>25</v>
      </c>
      <c r="C59" s="21" t="s">
        <v>61</v>
      </c>
      <c r="D59" s="225">
        <v>16990249</v>
      </c>
      <c r="E59" s="225">
        <v>858082</v>
      </c>
      <c r="F59" s="225">
        <v>118737</v>
      </c>
      <c r="G59" s="225">
        <v>14260</v>
      </c>
      <c r="H59" s="225">
        <f t="shared" si="16"/>
        <v>6027301</v>
      </c>
      <c r="I59" s="225">
        <f t="shared" si="17"/>
        <v>3463119</v>
      </c>
      <c r="J59" s="225">
        <f t="shared" si="18"/>
        <v>2564182</v>
      </c>
      <c r="K59" s="225">
        <v>949198</v>
      </c>
      <c r="L59" s="225">
        <v>699150</v>
      </c>
      <c r="M59" s="225">
        <v>1600790</v>
      </c>
      <c r="N59" s="225">
        <v>1171675</v>
      </c>
      <c r="O59" s="225">
        <v>913131</v>
      </c>
      <c r="P59" s="225">
        <v>693357</v>
      </c>
      <c r="Q59" s="225">
        <v>32961.800000000003</v>
      </c>
      <c r="R59" s="225">
        <v>10769.8</v>
      </c>
      <c r="S59" s="225">
        <v>5444514</v>
      </c>
      <c r="T59" s="225">
        <v>6820.4</v>
      </c>
      <c r="U59" s="225">
        <f t="shared" si="19"/>
        <v>30444.800000000003</v>
      </c>
      <c r="V59" s="225">
        <v>17927.900000000001</v>
      </c>
      <c r="W59" s="230">
        <v>12516.9</v>
      </c>
      <c r="AA59" s="365"/>
      <c r="AB59" s="365"/>
    </row>
    <row r="60" spans="1:36" s="343" customFormat="1" x14ac:dyDescent="0.3">
      <c r="A60" s="19">
        <v>2023</v>
      </c>
      <c r="B60" s="20" t="s">
        <v>26</v>
      </c>
      <c r="C60" s="21" t="s">
        <v>61</v>
      </c>
      <c r="D60" s="225">
        <v>16676760</v>
      </c>
      <c r="E60" s="225">
        <v>836020</v>
      </c>
      <c r="F60" s="225">
        <v>76492</v>
      </c>
      <c r="G60" s="225">
        <v>14260</v>
      </c>
      <c r="H60" s="225">
        <f t="shared" si="16"/>
        <v>5800112</v>
      </c>
      <c r="I60" s="225">
        <f t="shared" si="17"/>
        <v>0</v>
      </c>
      <c r="J60" s="225">
        <f t="shared" si="18"/>
        <v>5800112</v>
      </c>
      <c r="K60" s="225"/>
      <c r="L60" s="225">
        <v>1589877</v>
      </c>
      <c r="M60" s="225"/>
      <c r="N60" s="225">
        <v>2667183</v>
      </c>
      <c r="O60" s="225"/>
      <c r="P60" s="225">
        <v>1543052</v>
      </c>
      <c r="Q60" s="225">
        <v>31250.399999999998</v>
      </c>
      <c r="R60" s="225">
        <v>10653.599999999999</v>
      </c>
      <c r="S60" s="225">
        <v>5765443</v>
      </c>
      <c r="T60" s="225">
        <v>6826</v>
      </c>
      <c r="U60" s="225">
        <f t="shared" si="19"/>
        <v>29832.799999999999</v>
      </c>
      <c r="V60" s="225">
        <v>0</v>
      </c>
      <c r="W60" s="230">
        <v>29832.799999999999</v>
      </c>
      <c r="AA60" s="365"/>
      <c r="AB60" s="365"/>
    </row>
    <row r="61" spans="1:36" s="343" customFormat="1" x14ac:dyDescent="0.3">
      <c r="A61" s="19">
        <v>2023</v>
      </c>
      <c r="B61" s="20" t="s">
        <v>27</v>
      </c>
      <c r="C61" s="21" t="s">
        <v>61</v>
      </c>
      <c r="D61" s="225">
        <v>18089488</v>
      </c>
      <c r="E61" s="225">
        <v>914005</v>
      </c>
      <c r="F61" s="225">
        <v>51842</v>
      </c>
      <c r="G61" s="225">
        <v>14260</v>
      </c>
      <c r="H61" s="225">
        <f t="shared" si="16"/>
        <v>6192458</v>
      </c>
      <c r="I61" s="225">
        <f t="shared" si="17"/>
        <v>0</v>
      </c>
      <c r="J61" s="225">
        <f t="shared" si="18"/>
        <v>6192458</v>
      </c>
      <c r="K61" s="225"/>
      <c r="L61" s="225">
        <v>1689840</v>
      </c>
      <c r="M61" s="225"/>
      <c r="N61" s="225">
        <v>2852057</v>
      </c>
      <c r="O61" s="225"/>
      <c r="P61" s="225">
        <v>1650561</v>
      </c>
      <c r="Q61" s="225">
        <v>33624.699999999997</v>
      </c>
      <c r="R61" s="225">
        <v>10608.2</v>
      </c>
      <c r="S61" s="225">
        <v>5206072</v>
      </c>
      <c r="T61" s="225">
        <v>6787.6</v>
      </c>
      <c r="U61" s="225">
        <f t="shared" si="19"/>
        <v>31928.6</v>
      </c>
      <c r="V61" s="225">
        <v>0</v>
      </c>
      <c r="W61" s="230">
        <v>31928.6</v>
      </c>
      <c r="AA61" s="365"/>
      <c r="AB61" s="365"/>
    </row>
    <row r="62" spans="1:36" s="343" customFormat="1" x14ac:dyDescent="0.3">
      <c r="A62" s="19">
        <v>2023</v>
      </c>
      <c r="B62" s="20" t="s">
        <v>28</v>
      </c>
      <c r="C62" s="21" t="s">
        <v>61</v>
      </c>
      <c r="D62" s="225">
        <v>18643740</v>
      </c>
      <c r="E62" s="225">
        <v>787824</v>
      </c>
      <c r="F62" s="225">
        <v>48674</v>
      </c>
      <c r="G62" s="225">
        <v>14260</v>
      </c>
      <c r="H62" s="225">
        <f t="shared" si="16"/>
        <v>6554153</v>
      </c>
      <c r="I62" s="225">
        <f t="shared" si="17"/>
        <v>0</v>
      </c>
      <c r="J62" s="225">
        <f t="shared" si="18"/>
        <v>6554153</v>
      </c>
      <c r="K62" s="225"/>
      <c r="L62" s="225">
        <v>1808686</v>
      </c>
      <c r="M62" s="225"/>
      <c r="N62" s="225">
        <v>3018535</v>
      </c>
      <c r="O62" s="225"/>
      <c r="P62" s="225">
        <v>1726932</v>
      </c>
      <c r="Q62" s="225">
        <v>35511.1</v>
      </c>
      <c r="R62" s="225">
        <v>10660</v>
      </c>
      <c r="S62" s="225">
        <v>5877911</v>
      </c>
      <c r="T62" s="225">
        <v>6804.4</v>
      </c>
      <c r="U62" s="225">
        <f t="shared" si="19"/>
        <v>33928.200000000004</v>
      </c>
      <c r="V62" s="225">
        <v>0</v>
      </c>
      <c r="W62" s="230">
        <v>33928.200000000004</v>
      </c>
      <c r="AA62" s="365"/>
      <c r="AB62" s="365"/>
    </row>
    <row r="63" spans="1:36" s="343" customFormat="1" x14ac:dyDescent="0.3">
      <c r="A63" s="19">
        <v>2023</v>
      </c>
      <c r="B63" s="20" t="s">
        <v>29</v>
      </c>
      <c r="C63" s="21" t="s">
        <v>61</v>
      </c>
      <c r="D63" s="225">
        <v>16770731</v>
      </c>
      <c r="E63" s="225">
        <v>537901</v>
      </c>
      <c r="F63" s="225">
        <v>32890</v>
      </c>
      <c r="G63" s="225">
        <v>14260</v>
      </c>
      <c r="H63" s="225">
        <f t="shared" si="16"/>
        <v>5682624</v>
      </c>
      <c r="I63" s="225">
        <f t="shared" si="17"/>
        <v>2653204</v>
      </c>
      <c r="J63" s="225">
        <f t="shared" si="18"/>
        <v>3029420</v>
      </c>
      <c r="K63" s="225">
        <v>726608</v>
      </c>
      <c r="L63" s="225">
        <v>841422</v>
      </c>
      <c r="M63" s="225">
        <v>1212470</v>
      </c>
      <c r="N63" s="225">
        <v>1397594</v>
      </c>
      <c r="O63" s="225">
        <v>714126</v>
      </c>
      <c r="P63" s="225">
        <v>790404</v>
      </c>
      <c r="Q63" s="225">
        <v>33867.300000000003</v>
      </c>
      <c r="R63" s="225">
        <v>10573</v>
      </c>
      <c r="S63" s="225">
        <v>5138758</v>
      </c>
      <c r="T63" s="225">
        <v>6746.8</v>
      </c>
      <c r="U63" s="225">
        <f t="shared" si="19"/>
        <v>30641.7</v>
      </c>
      <c r="V63" s="225">
        <v>13522.5</v>
      </c>
      <c r="W63" s="230">
        <v>17119.2</v>
      </c>
      <c r="AA63" s="365"/>
      <c r="AB63" s="365"/>
    </row>
    <row r="64" spans="1:36" s="343" customFormat="1" x14ac:dyDescent="0.3">
      <c r="A64" s="19">
        <v>2023</v>
      </c>
      <c r="B64" s="20" t="s">
        <v>30</v>
      </c>
      <c r="C64" s="21" t="s">
        <v>61</v>
      </c>
      <c r="D64" s="225">
        <v>15455296</v>
      </c>
      <c r="E64" s="225">
        <v>414566</v>
      </c>
      <c r="F64" s="225">
        <v>25422</v>
      </c>
      <c r="G64" s="225">
        <v>14260</v>
      </c>
      <c r="H64" s="225">
        <f t="shared" si="16"/>
        <v>5411963</v>
      </c>
      <c r="I64" s="225">
        <f t="shared" si="17"/>
        <v>5411963</v>
      </c>
      <c r="J64" s="225">
        <f t="shared" si="18"/>
        <v>0</v>
      </c>
      <c r="K64" s="225">
        <v>1510359</v>
      </c>
      <c r="L64" s="225"/>
      <c r="M64" s="225">
        <v>2471802</v>
      </c>
      <c r="N64" s="225"/>
      <c r="O64" s="225">
        <v>1429802</v>
      </c>
      <c r="P64" s="225"/>
      <c r="Q64" s="225">
        <v>32342.5</v>
      </c>
      <c r="R64" s="225">
        <v>10566.699999999999</v>
      </c>
      <c r="S64" s="225">
        <v>5069638</v>
      </c>
      <c r="T64" s="225">
        <v>6740.5</v>
      </c>
      <c r="U64" s="225">
        <f t="shared" si="19"/>
        <v>28549.299999999996</v>
      </c>
      <c r="V64" s="225">
        <v>28549.299999999996</v>
      </c>
      <c r="W64" s="230">
        <v>0</v>
      </c>
      <c r="AA64" s="365"/>
      <c r="AB64" s="365"/>
    </row>
    <row r="65" spans="1:36" s="343" customFormat="1" x14ac:dyDescent="0.3">
      <c r="A65" s="22">
        <v>2023</v>
      </c>
      <c r="B65" s="23" t="s">
        <v>31</v>
      </c>
      <c r="C65" s="24" t="s">
        <v>61</v>
      </c>
      <c r="D65" s="231">
        <v>16239426</v>
      </c>
      <c r="E65" s="231">
        <v>386195</v>
      </c>
      <c r="F65" s="231">
        <v>27633</v>
      </c>
      <c r="G65" s="231">
        <v>14260</v>
      </c>
      <c r="H65" s="231">
        <f t="shared" si="16"/>
        <v>5509381</v>
      </c>
      <c r="I65" s="231">
        <f t="shared" si="17"/>
        <v>5509381</v>
      </c>
      <c r="J65" s="231">
        <f t="shared" si="18"/>
        <v>0</v>
      </c>
      <c r="K65" s="231">
        <v>1521814</v>
      </c>
      <c r="L65" s="231"/>
      <c r="M65" s="231">
        <v>2525844</v>
      </c>
      <c r="N65" s="231"/>
      <c r="O65" s="231">
        <v>1461723</v>
      </c>
      <c r="P65" s="231"/>
      <c r="Q65" s="231">
        <v>36489.800000000003</v>
      </c>
      <c r="R65" s="231">
        <v>8419.5</v>
      </c>
      <c r="S65" s="231">
        <v>4407223</v>
      </c>
      <c r="T65" s="231">
        <v>6855.7</v>
      </c>
      <c r="U65" s="231">
        <f t="shared" si="19"/>
        <v>29577.699999999997</v>
      </c>
      <c r="V65" s="231">
        <v>29577.699999999997</v>
      </c>
      <c r="W65" s="232">
        <v>0</v>
      </c>
      <c r="AA65" s="365"/>
      <c r="AB65" s="365"/>
    </row>
    <row r="66" spans="1:36" s="343" customFormat="1" x14ac:dyDescent="0.3">
      <c r="A66" s="545"/>
      <c r="B66" s="545"/>
      <c r="C66" s="545"/>
      <c r="D66" s="171">
        <f t="shared" ref="D66:I66" si="20">SUM(D54:D65)</f>
        <v>195266663</v>
      </c>
      <c r="E66" s="171">
        <f t="shared" si="20"/>
        <v>6700336</v>
      </c>
      <c r="F66" s="171">
        <f t="shared" si="20"/>
        <v>585985</v>
      </c>
      <c r="G66" s="171">
        <f t="shared" si="20"/>
        <v>171120</v>
      </c>
      <c r="H66" s="171">
        <f t="shared" si="20"/>
        <v>67697582</v>
      </c>
      <c r="I66" s="171">
        <f t="shared" si="20"/>
        <v>43557257</v>
      </c>
      <c r="J66" s="171">
        <f t="shared" ref="J66:W66" si="21">SUM(J54:J65)</f>
        <v>24140325</v>
      </c>
      <c r="K66" s="166">
        <f t="shared" si="21"/>
        <v>12060554</v>
      </c>
      <c r="L66" s="166">
        <f t="shared" si="21"/>
        <v>6628975</v>
      </c>
      <c r="M66" s="166">
        <f t="shared" si="21"/>
        <v>19920473</v>
      </c>
      <c r="N66" s="166">
        <f t="shared" si="21"/>
        <v>11107044</v>
      </c>
      <c r="O66" s="166">
        <f t="shared" si="21"/>
        <v>11576230</v>
      </c>
      <c r="P66" s="166">
        <f t="shared" si="21"/>
        <v>6404306</v>
      </c>
      <c r="Q66" s="166">
        <f t="shared" si="21"/>
        <v>404147.59999999992</v>
      </c>
      <c r="R66" s="166">
        <f t="shared" si="21"/>
        <v>127421.4</v>
      </c>
      <c r="S66" s="166">
        <f t="shared" si="21"/>
        <v>63828243</v>
      </c>
      <c r="T66" s="166">
        <f t="shared" si="21"/>
        <v>81683.399999999994</v>
      </c>
      <c r="U66" s="171">
        <f t="shared" si="21"/>
        <v>354694.1</v>
      </c>
      <c r="V66" s="171">
        <f t="shared" si="21"/>
        <v>229368.39999999997</v>
      </c>
      <c r="W66" s="171">
        <f t="shared" si="21"/>
        <v>125325.7</v>
      </c>
      <c r="AB66" s="365"/>
    </row>
    <row r="67" spans="1:36" s="343" customFormat="1" x14ac:dyDescent="0.3">
      <c r="A67" s="365"/>
      <c r="B67" s="365"/>
      <c r="C67" s="365"/>
      <c r="D67" s="365"/>
      <c r="E67" s="365"/>
      <c r="F67" s="365"/>
      <c r="G67" s="365"/>
      <c r="H67" s="365"/>
      <c r="I67" s="365"/>
      <c r="J67" s="365"/>
      <c r="K67" s="365"/>
      <c r="L67" s="365"/>
      <c r="M67" s="365"/>
      <c r="N67" s="365"/>
      <c r="O67" s="365"/>
      <c r="P67" s="365"/>
      <c r="Q67" s="365"/>
      <c r="R67" s="365"/>
      <c r="S67" s="365"/>
      <c r="T67" s="365"/>
      <c r="U67" s="365"/>
      <c r="V67" s="257"/>
      <c r="W67" s="257"/>
      <c r="X67" s="285"/>
      <c r="Y67" s="285"/>
    </row>
    <row r="68" spans="1:36" s="330" customFormat="1" ht="36" x14ac:dyDescent="0.25">
      <c r="A68" s="6" t="s">
        <v>18</v>
      </c>
      <c r="B68" s="6" t="s">
        <v>19</v>
      </c>
      <c r="C68" s="7" t="s">
        <v>0</v>
      </c>
      <c r="D68" s="112" t="s">
        <v>11</v>
      </c>
      <c r="E68" s="112" t="s">
        <v>104</v>
      </c>
      <c r="F68" s="112" t="s">
        <v>129</v>
      </c>
      <c r="G68" s="499" t="s">
        <v>158</v>
      </c>
      <c r="H68" s="164" t="s">
        <v>62</v>
      </c>
      <c r="I68" s="164" t="s">
        <v>64</v>
      </c>
      <c r="J68" s="229" t="s">
        <v>63</v>
      </c>
      <c r="K68" s="159" t="s">
        <v>108</v>
      </c>
      <c r="L68" s="156" t="s">
        <v>101</v>
      </c>
      <c r="M68" s="78" t="s">
        <v>82</v>
      </c>
      <c r="N68" s="78" t="s">
        <v>83</v>
      </c>
      <c r="O68" s="159" t="s">
        <v>112</v>
      </c>
      <c r="P68" s="156" t="s">
        <v>103</v>
      </c>
      <c r="Q68" s="164" t="s">
        <v>3</v>
      </c>
      <c r="R68" s="292" t="s">
        <v>53</v>
      </c>
      <c r="S68" s="292" t="s">
        <v>54</v>
      </c>
      <c r="T68" s="292" t="s">
        <v>65</v>
      </c>
      <c r="U68" s="164" t="s">
        <v>66</v>
      </c>
      <c r="V68" s="164" t="s">
        <v>67</v>
      </c>
      <c r="W68" s="164" t="s">
        <v>68</v>
      </c>
    </row>
    <row r="69" spans="1:36" s="343" customFormat="1" x14ac:dyDescent="0.3">
      <c r="A69" s="16">
        <v>2022</v>
      </c>
      <c r="B69" s="17" t="s">
        <v>20</v>
      </c>
      <c r="C69" s="18" t="s">
        <v>61</v>
      </c>
      <c r="D69" s="225">
        <v>16113580</v>
      </c>
      <c r="E69" s="225">
        <v>204146</v>
      </c>
      <c r="F69" s="225">
        <v>3424</v>
      </c>
      <c r="G69" s="225">
        <v>14260</v>
      </c>
      <c r="H69" s="225">
        <f>I69+J69</f>
        <v>5665599</v>
      </c>
      <c r="I69" s="225">
        <f>K69+M69+O69</f>
        <v>5665599</v>
      </c>
      <c r="J69" s="225">
        <f>L69+N69+P69</f>
        <v>0</v>
      </c>
      <c r="K69" s="225">
        <v>1563303</v>
      </c>
      <c r="L69" s="225">
        <v>0</v>
      </c>
      <c r="M69" s="225">
        <v>2588713</v>
      </c>
      <c r="N69" s="225">
        <v>0</v>
      </c>
      <c r="O69" s="225">
        <v>1513583</v>
      </c>
      <c r="P69" s="225">
        <v>0</v>
      </c>
      <c r="Q69" s="225">
        <v>32972.6</v>
      </c>
      <c r="R69" s="225">
        <v>10009.4</v>
      </c>
      <c r="S69" s="225">
        <v>5469858</v>
      </c>
      <c r="T69" s="225">
        <v>5852.8</v>
      </c>
      <c r="U69" s="225">
        <f>SUM(V69:W69)</f>
        <v>27967.9</v>
      </c>
      <c r="V69" s="225">
        <v>27967.9</v>
      </c>
      <c r="W69" s="230">
        <v>0</v>
      </c>
      <c r="Y69" s="344"/>
      <c r="Z69" s="344"/>
      <c r="AA69" s="344"/>
      <c r="AB69" s="344"/>
      <c r="AC69" s="344"/>
      <c r="AD69" s="344"/>
      <c r="AE69" s="344"/>
      <c r="AF69" s="344"/>
      <c r="AG69" s="344"/>
      <c r="AH69" s="344"/>
      <c r="AI69" s="344"/>
      <c r="AJ69" s="344"/>
    </row>
    <row r="70" spans="1:36" s="343" customFormat="1" x14ac:dyDescent="0.3">
      <c r="A70" s="19">
        <v>2022</v>
      </c>
      <c r="B70" s="20" t="s">
        <v>21</v>
      </c>
      <c r="C70" s="21" t="s">
        <v>61</v>
      </c>
      <c r="D70" s="225">
        <v>16689698</v>
      </c>
      <c r="E70" s="225">
        <v>352623</v>
      </c>
      <c r="F70" s="225">
        <v>15336</v>
      </c>
      <c r="G70" s="225">
        <v>14260</v>
      </c>
      <c r="H70" s="225">
        <f t="shared" ref="H70:H80" si="22">I70+J70</f>
        <v>5723398</v>
      </c>
      <c r="I70" s="225">
        <f t="shared" ref="I70:I80" si="23">K70+M70+O70</f>
        <v>5723398</v>
      </c>
      <c r="J70" s="225">
        <f t="shared" ref="J70:J80" si="24">L70+N70+P70</f>
        <v>0</v>
      </c>
      <c r="K70" s="225">
        <v>1596122</v>
      </c>
      <c r="L70" s="225">
        <v>0</v>
      </c>
      <c r="M70" s="225">
        <v>2608542</v>
      </c>
      <c r="N70" s="225">
        <v>0</v>
      </c>
      <c r="O70" s="225">
        <v>1518734</v>
      </c>
      <c r="P70" s="225">
        <v>0</v>
      </c>
      <c r="Q70" s="225">
        <v>35637.9</v>
      </c>
      <c r="R70" s="225">
        <v>10009.4</v>
      </c>
      <c r="S70" s="225">
        <v>4705029</v>
      </c>
      <c r="T70" s="225">
        <v>5852.8</v>
      </c>
      <c r="U70" s="225">
        <f t="shared" ref="U70:U80" si="25">SUM(V70:W70)</f>
        <v>29865.100000000002</v>
      </c>
      <c r="V70" s="225">
        <v>29865.100000000002</v>
      </c>
      <c r="W70" s="230">
        <v>0</v>
      </c>
    </row>
    <row r="71" spans="1:36" s="343" customFormat="1" x14ac:dyDescent="0.3">
      <c r="A71" s="19">
        <v>2022</v>
      </c>
      <c r="B71" s="20" t="s">
        <v>22</v>
      </c>
      <c r="C71" s="21" t="s">
        <v>61</v>
      </c>
      <c r="D71" s="225">
        <v>15023396</v>
      </c>
      <c r="E71" s="225">
        <v>446522</v>
      </c>
      <c r="F71" s="225">
        <v>27634</v>
      </c>
      <c r="G71" s="225">
        <v>14260</v>
      </c>
      <c r="H71" s="225">
        <f t="shared" si="22"/>
        <v>5290018</v>
      </c>
      <c r="I71" s="225">
        <f t="shared" si="23"/>
        <v>5290018</v>
      </c>
      <c r="J71" s="225">
        <f t="shared" si="24"/>
        <v>0</v>
      </c>
      <c r="K71" s="225">
        <v>1466217</v>
      </c>
      <c r="L71" s="225">
        <v>0</v>
      </c>
      <c r="M71" s="225">
        <v>2410674</v>
      </c>
      <c r="N71" s="225">
        <v>0</v>
      </c>
      <c r="O71" s="225">
        <v>1413127</v>
      </c>
      <c r="P71" s="225">
        <v>0</v>
      </c>
      <c r="Q71" s="225">
        <v>32321.100000000002</v>
      </c>
      <c r="R71" s="225">
        <v>10009.4</v>
      </c>
      <c r="S71" s="225">
        <v>4754320</v>
      </c>
      <c r="T71" s="225">
        <v>5852.8</v>
      </c>
      <c r="U71" s="225">
        <f t="shared" si="25"/>
        <v>27147.9</v>
      </c>
      <c r="V71" s="225">
        <v>27147.9</v>
      </c>
      <c r="W71" s="230">
        <v>0</v>
      </c>
    </row>
    <row r="72" spans="1:36" s="343" customFormat="1" x14ac:dyDescent="0.3">
      <c r="A72" s="19">
        <v>2022</v>
      </c>
      <c r="B72" s="20" t="s">
        <v>23</v>
      </c>
      <c r="C72" s="21" t="s">
        <v>61</v>
      </c>
      <c r="D72" s="225">
        <v>17841395</v>
      </c>
      <c r="E72" s="225">
        <v>533603</v>
      </c>
      <c r="F72" s="225">
        <v>55994</v>
      </c>
      <c r="G72" s="225">
        <v>14260</v>
      </c>
      <c r="H72" s="225">
        <f t="shared" si="22"/>
        <v>6262808</v>
      </c>
      <c r="I72" s="225">
        <f t="shared" si="23"/>
        <v>6262808</v>
      </c>
      <c r="J72" s="225">
        <f t="shared" si="24"/>
        <v>0</v>
      </c>
      <c r="K72" s="225">
        <v>1733427</v>
      </c>
      <c r="L72" s="225">
        <v>0</v>
      </c>
      <c r="M72" s="225">
        <v>2862010</v>
      </c>
      <c r="N72" s="225">
        <v>0</v>
      </c>
      <c r="O72" s="225">
        <v>1667371</v>
      </c>
      <c r="P72" s="225">
        <v>0</v>
      </c>
      <c r="Q72" s="225">
        <v>35991.1</v>
      </c>
      <c r="R72" s="225">
        <v>10009.4</v>
      </c>
      <c r="S72" s="225">
        <v>5288083</v>
      </c>
      <c r="T72" s="225">
        <v>5852.8</v>
      </c>
      <c r="U72" s="225">
        <f t="shared" si="25"/>
        <v>30623.5</v>
      </c>
      <c r="V72" s="225">
        <v>30623.5</v>
      </c>
      <c r="W72" s="230">
        <v>0</v>
      </c>
    </row>
    <row r="73" spans="1:36" s="343" customFormat="1" x14ac:dyDescent="0.3">
      <c r="A73" s="19">
        <v>2022</v>
      </c>
      <c r="B73" s="20" t="s">
        <v>24</v>
      </c>
      <c r="C73" s="21" t="s">
        <v>61</v>
      </c>
      <c r="D73" s="225">
        <v>16422524</v>
      </c>
      <c r="E73" s="225">
        <v>579959</v>
      </c>
      <c r="F73" s="225">
        <v>74017</v>
      </c>
      <c r="G73" s="225">
        <v>14260</v>
      </c>
      <c r="H73" s="225">
        <f t="shared" si="22"/>
        <v>5783384</v>
      </c>
      <c r="I73" s="225">
        <f t="shared" si="23"/>
        <v>5755080</v>
      </c>
      <c r="J73" s="225">
        <f t="shared" si="24"/>
        <v>28304</v>
      </c>
      <c r="K73" s="225">
        <v>1589558</v>
      </c>
      <c r="L73" s="225">
        <v>7699</v>
      </c>
      <c r="M73" s="225">
        <v>2632355</v>
      </c>
      <c r="N73" s="225">
        <v>13096</v>
      </c>
      <c r="O73" s="225">
        <v>1533167</v>
      </c>
      <c r="P73" s="225">
        <v>7509</v>
      </c>
      <c r="Q73" s="225">
        <v>34578.1</v>
      </c>
      <c r="R73" s="225">
        <v>10009.4</v>
      </c>
      <c r="S73" s="225">
        <v>4637188</v>
      </c>
      <c r="T73" s="225">
        <v>5852.8</v>
      </c>
      <c r="U73" s="225">
        <f t="shared" si="25"/>
        <v>31036.799999999999</v>
      </c>
      <c r="V73" s="225">
        <v>30933.599999999999</v>
      </c>
      <c r="W73" s="230">
        <v>103.2</v>
      </c>
    </row>
    <row r="74" spans="1:36" s="343" customFormat="1" x14ac:dyDescent="0.3">
      <c r="A74" s="19">
        <v>2022</v>
      </c>
      <c r="B74" s="20" t="s">
        <v>25</v>
      </c>
      <c r="C74" s="21" t="s">
        <v>61</v>
      </c>
      <c r="D74" s="225">
        <v>16540207</v>
      </c>
      <c r="E74" s="225">
        <v>691662</v>
      </c>
      <c r="F74" s="225">
        <v>73406</v>
      </c>
      <c r="G74" s="225">
        <v>14260</v>
      </c>
      <c r="H74" s="225">
        <f t="shared" si="22"/>
        <v>5611859</v>
      </c>
      <c r="I74" s="225">
        <f t="shared" si="23"/>
        <v>3338804</v>
      </c>
      <c r="J74" s="225">
        <f t="shared" si="24"/>
        <v>2273055</v>
      </c>
      <c r="K74" s="225">
        <v>922151</v>
      </c>
      <c r="L74" s="225">
        <v>619404</v>
      </c>
      <c r="M74" s="225">
        <v>1539175</v>
      </c>
      <c r="N74" s="225">
        <v>1038105</v>
      </c>
      <c r="O74" s="225">
        <v>877478</v>
      </c>
      <c r="P74" s="225">
        <v>615546</v>
      </c>
      <c r="Q74" s="225">
        <v>32234.100000000002</v>
      </c>
      <c r="R74" s="225">
        <v>10009.4</v>
      </c>
      <c r="S74" s="225">
        <v>5019398</v>
      </c>
      <c r="T74" s="225">
        <v>5852.8</v>
      </c>
      <c r="U74" s="225">
        <f t="shared" si="25"/>
        <v>30129.599999999999</v>
      </c>
      <c r="V74" s="225">
        <v>19178.699999999997</v>
      </c>
      <c r="W74" s="230">
        <v>10950.900000000001</v>
      </c>
    </row>
    <row r="75" spans="1:36" s="343" customFormat="1" x14ac:dyDescent="0.3">
      <c r="A75" s="19">
        <v>2022</v>
      </c>
      <c r="B75" s="20" t="s">
        <v>26</v>
      </c>
      <c r="C75" s="21" t="s">
        <v>61</v>
      </c>
      <c r="D75" s="225">
        <v>17992109</v>
      </c>
      <c r="E75" s="225">
        <v>891220</v>
      </c>
      <c r="F75" s="225">
        <v>76625</v>
      </c>
      <c r="G75" s="225">
        <v>14260</v>
      </c>
      <c r="H75" s="225">
        <f t="shared" si="22"/>
        <v>6426501</v>
      </c>
      <c r="I75" s="225">
        <f t="shared" si="23"/>
        <v>0</v>
      </c>
      <c r="J75" s="225">
        <f t="shared" si="24"/>
        <v>6426501</v>
      </c>
      <c r="K75" s="225">
        <v>0</v>
      </c>
      <c r="L75" s="225">
        <v>1775435</v>
      </c>
      <c r="M75" s="225">
        <v>0</v>
      </c>
      <c r="N75" s="225">
        <v>2959210</v>
      </c>
      <c r="O75" s="225">
        <v>0</v>
      </c>
      <c r="P75" s="225">
        <v>1691856</v>
      </c>
      <c r="Q75" s="225">
        <v>34811.1</v>
      </c>
      <c r="R75" s="225">
        <v>9936.6</v>
      </c>
      <c r="S75" s="225">
        <v>5248894</v>
      </c>
      <c r="T75" s="225">
        <v>5852.8</v>
      </c>
      <c r="U75" s="225">
        <f t="shared" si="25"/>
        <v>32652.1</v>
      </c>
      <c r="V75" s="225">
        <v>0</v>
      </c>
      <c r="W75" s="230">
        <v>32652.1</v>
      </c>
    </row>
    <row r="76" spans="1:36" s="343" customFormat="1" x14ac:dyDescent="0.3">
      <c r="A76" s="19">
        <v>2022</v>
      </c>
      <c r="B76" s="20" t="s">
        <v>27</v>
      </c>
      <c r="C76" s="21" t="s">
        <v>61</v>
      </c>
      <c r="D76" s="225">
        <v>17914606</v>
      </c>
      <c r="E76" s="225">
        <v>859365</v>
      </c>
      <c r="F76" s="225">
        <v>49731</v>
      </c>
      <c r="G76" s="225">
        <v>14260</v>
      </c>
      <c r="H76" s="225">
        <f t="shared" si="22"/>
        <v>6104716</v>
      </c>
      <c r="I76" s="225">
        <f t="shared" si="23"/>
        <v>0</v>
      </c>
      <c r="J76" s="225">
        <f t="shared" si="24"/>
        <v>6104716</v>
      </c>
      <c r="K76" s="225">
        <v>0</v>
      </c>
      <c r="L76" s="225">
        <v>1691454</v>
      </c>
      <c r="M76" s="225">
        <v>0</v>
      </c>
      <c r="N76" s="225">
        <v>2800177</v>
      </c>
      <c r="O76" s="225">
        <v>0</v>
      </c>
      <c r="P76" s="225">
        <v>1613085</v>
      </c>
      <c r="Q76" s="225">
        <v>34081.199999999997</v>
      </c>
      <c r="R76" s="225">
        <v>11010.6</v>
      </c>
      <c r="S76" s="225">
        <v>5536414</v>
      </c>
      <c r="T76" s="225">
        <v>6926.8</v>
      </c>
      <c r="U76" s="225">
        <f t="shared" si="25"/>
        <v>31835.5</v>
      </c>
      <c r="V76" s="225">
        <v>0</v>
      </c>
      <c r="W76" s="230">
        <v>31835.5</v>
      </c>
    </row>
    <row r="77" spans="1:36" s="343" customFormat="1" x14ac:dyDescent="0.3">
      <c r="A77" s="19">
        <v>2022</v>
      </c>
      <c r="B77" s="20" t="s">
        <v>28</v>
      </c>
      <c r="C77" s="21" t="s">
        <v>61</v>
      </c>
      <c r="D77" s="225">
        <v>19082556</v>
      </c>
      <c r="E77" s="225">
        <v>744587</v>
      </c>
      <c r="F77" s="225">
        <v>39510</v>
      </c>
      <c r="G77" s="225">
        <v>14260</v>
      </c>
      <c r="H77" s="225">
        <f t="shared" si="22"/>
        <v>6688525</v>
      </c>
      <c r="I77" s="225">
        <f t="shared" si="23"/>
        <v>25882</v>
      </c>
      <c r="J77" s="225">
        <f t="shared" si="24"/>
        <v>6662643</v>
      </c>
      <c r="K77" s="225">
        <v>7262</v>
      </c>
      <c r="L77" s="225">
        <v>1825264</v>
      </c>
      <c r="M77" s="225">
        <v>11909</v>
      </c>
      <c r="N77" s="225">
        <v>3069785</v>
      </c>
      <c r="O77" s="225">
        <v>6711</v>
      </c>
      <c r="P77" s="225">
        <v>1767594</v>
      </c>
      <c r="Q77" s="225">
        <v>35062.9</v>
      </c>
      <c r="R77" s="225">
        <v>10886.699999999999</v>
      </c>
      <c r="S77" s="225">
        <v>6169626</v>
      </c>
      <c r="T77" s="225">
        <v>6937.3</v>
      </c>
      <c r="U77" s="225">
        <f t="shared" si="25"/>
        <v>31977.800000000003</v>
      </c>
      <c r="V77" s="225">
        <v>266.89999999999998</v>
      </c>
      <c r="W77" s="230">
        <v>31710.9</v>
      </c>
    </row>
    <row r="78" spans="1:36" s="343" customFormat="1" x14ac:dyDescent="0.3">
      <c r="A78" s="19">
        <v>2022</v>
      </c>
      <c r="B78" s="20" t="s">
        <v>29</v>
      </c>
      <c r="C78" s="21" t="s">
        <v>61</v>
      </c>
      <c r="D78" s="225">
        <v>17120446</v>
      </c>
      <c r="E78" s="225">
        <v>615287</v>
      </c>
      <c r="F78" s="225">
        <v>40044</v>
      </c>
      <c r="G78" s="225">
        <v>14260</v>
      </c>
      <c r="H78" s="225">
        <f t="shared" si="22"/>
        <v>6020188</v>
      </c>
      <c r="I78" s="225">
        <f t="shared" si="23"/>
        <v>2507210</v>
      </c>
      <c r="J78" s="225">
        <f t="shared" si="24"/>
        <v>3512978</v>
      </c>
      <c r="K78" s="225">
        <v>699528</v>
      </c>
      <c r="L78" s="225">
        <v>969432</v>
      </c>
      <c r="M78" s="225">
        <v>1138933</v>
      </c>
      <c r="N78" s="225">
        <v>1619357</v>
      </c>
      <c r="O78" s="225">
        <v>668749</v>
      </c>
      <c r="P78" s="225">
        <v>924189</v>
      </c>
      <c r="Q78" s="225">
        <v>35085.9</v>
      </c>
      <c r="R78" s="225">
        <v>10791.5</v>
      </c>
      <c r="S78" s="225">
        <v>5670464</v>
      </c>
      <c r="T78" s="225">
        <v>6842.1</v>
      </c>
      <c r="U78" s="225">
        <f t="shared" si="25"/>
        <v>31341.9</v>
      </c>
      <c r="V78" s="225">
        <v>13391.400000000001</v>
      </c>
      <c r="W78" s="230">
        <v>17950.5</v>
      </c>
    </row>
    <row r="79" spans="1:36" s="343" customFormat="1" x14ac:dyDescent="0.3">
      <c r="A79" s="19">
        <v>2022</v>
      </c>
      <c r="B79" s="20" t="s">
        <v>30</v>
      </c>
      <c r="C79" s="21" t="s">
        <v>61</v>
      </c>
      <c r="D79" s="225">
        <v>13254108</v>
      </c>
      <c r="E79" s="225">
        <v>557409</v>
      </c>
      <c r="F79" s="225">
        <v>40148</v>
      </c>
      <c r="G79" s="225">
        <v>14260</v>
      </c>
      <c r="H79" s="225">
        <f t="shared" si="22"/>
        <v>4479771</v>
      </c>
      <c r="I79" s="225">
        <f t="shared" si="23"/>
        <v>4479771</v>
      </c>
      <c r="J79" s="225">
        <f t="shared" si="24"/>
        <v>0</v>
      </c>
      <c r="K79" s="225">
        <v>1236033</v>
      </c>
      <c r="L79" s="225">
        <v>0</v>
      </c>
      <c r="M79" s="225">
        <v>2058918</v>
      </c>
      <c r="N79" s="225">
        <v>0</v>
      </c>
      <c r="O79" s="225">
        <v>1184820</v>
      </c>
      <c r="P79" s="225">
        <v>0</v>
      </c>
      <c r="Q79" s="225">
        <v>28526.600000000002</v>
      </c>
      <c r="R79" s="225">
        <v>10786.6</v>
      </c>
      <c r="S79" s="225">
        <v>5396700</v>
      </c>
      <c r="T79" s="225">
        <v>6837.2</v>
      </c>
      <c r="U79" s="225">
        <f t="shared" si="25"/>
        <v>24167.4</v>
      </c>
      <c r="V79" s="225">
        <v>24167.4</v>
      </c>
      <c r="W79" s="230">
        <v>0</v>
      </c>
    </row>
    <row r="80" spans="1:36" s="343" customFormat="1" x14ac:dyDescent="0.3">
      <c r="A80" s="22">
        <v>2022</v>
      </c>
      <c r="B80" s="23" t="s">
        <v>31</v>
      </c>
      <c r="C80" s="24" t="s">
        <v>61</v>
      </c>
      <c r="D80" s="231">
        <v>17835265</v>
      </c>
      <c r="E80" s="231">
        <v>317172</v>
      </c>
      <c r="F80" s="231">
        <v>13807</v>
      </c>
      <c r="G80" s="231">
        <v>14260</v>
      </c>
      <c r="H80" s="231">
        <f t="shared" si="22"/>
        <v>6088009</v>
      </c>
      <c r="I80" s="231">
        <f t="shared" si="23"/>
        <v>6088009</v>
      </c>
      <c r="J80" s="231">
        <f t="shared" si="24"/>
        <v>0</v>
      </c>
      <c r="K80" s="231">
        <v>1690550</v>
      </c>
      <c r="L80" s="231">
        <v>0</v>
      </c>
      <c r="M80" s="231">
        <v>2784328</v>
      </c>
      <c r="N80" s="231">
        <v>0</v>
      </c>
      <c r="O80" s="231">
        <v>1613131</v>
      </c>
      <c r="P80" s="231">
        <v>0</v>
      </c>
      <c r="Q80" s="231">
        <v>38588.6</v>
      </c>
      <c r="R80" s="231">
        <v>10769.8</v>
      </c>
      <c r="S80" s="231">
        <v>4940729</v>
      </c>
      <c r="T80" s="231">
        <v>6820.4</v>
      </c>
      <c r="U80" s="231">
        <f t="shared" si="25"/>
        <v>32445.4</v>
      </c>
      <c r="V80" s="231">
        <v>32445.4</v>
      </c>
      <c r="W80" s="232">
        <v>0</v>
      </c>
    </row>
    <row r="81" spans="1:36" s="343" customFormat="1" x14ac:dyDescent="0.3">
      <c r="A81" s="545"/>
      <c r="B81" s="545"/>
      <c r="C81" s="545"/>
      <c r="D81" s="171">
        <f t="shared" ref="D81:W81" si="26">SUM(D69:D80)</f>
        <v>201829890</v>
      </c>
      <c r="E81" s="171">
        <f t="shared" si="26"/>
        <v>6793555</v>
      </c>
      <c r="F81" s="171">
        <f t="shared" si="26"/>
        <v>509676</v>
      </c>
      <c r="G81" s="171">
        <f t="shared" si="26"/>
        <v>171120</v>
      </c>
      <c r="H81" s="171">
        <f t="shared" si="26"/>
        <v>70144776</v>
      </c>
      <c r="I81" s="171">
        <f t="shared" si="26"/>
        <v>45136579</v>
      </c>
      <c r="J81" s="171">
        <f t="shared" si="26"/>
        <v>25008197</v>
      </c>
      <c r="K81" s="166">
        <f t="shared" si="26"/>
        <v>12504151</v>
      </c>
      <c r="L81" s="166">
        <f t="shared" si="26"/>
        <v>6888688</v>
      </c>
      <c r="M81" s="166">
        <f t="shared" si="26"/>
        <v>20635557</v>
      </c>
      <c r="N81" s="166">
        <f t="shared" si="26"/>
        <v>11499730</v>
      </c>
      <c r="O81" s="166">
        <f t="shared" si="26"/>
        <v>11996871</v>
      </c>
      <c r="P81" s="166">
        <f t="shared" si="26"/>
        <v>6619779</v>
      </c>
      <c r="Q81" s="166">
        <f t="shared" si="26"/>
        <v>409891.2</v>
      </c>
      <c r="R81" s="166">
        <f t="shared" si="26"/>
        <v>124238.20000000001</v>
      </c>
      <c r="S81" s="166">
        <f t="shared" si="26"/>
        <v>62836703</v>
      </c>
      <c r="T81" s="166">
        <f t="shared" si="26"/>
        <v>75333.400000000009</v>
      </c>
      <c r="U81" s="171">
        <f t="shared" si="26"/>
        <v>361190.90000000008</v>
      </c>
      <c r="V81" s="171">
        <f t="shared" si="26"/>
        <v>235987.8</v>
      </c>
      <c r="W81" s="171">
        <f t="shared" si="26"/>
        <v>125203.1</v>
      </c>
    </row>
    <row r="82" spans="1:36" s="343" customFormat="1" x14ac:dyDescent="0.3">
      <c r="A82" s="344"/>
      <c r="B82" s="344"/>
      <c r="C82" s="344"/>
      <c r="D82" s="344"/>
      <c r="E82" s="344"/>
      <c r="F82" s="344"/>
      <c r="G82" s="365"/>
      <c r="H82" s="344"/>
      <c r="I82" s="344"/>
      <c r="J82" s="344"/>
      <c r="K82" s="344"/>
      <c r="L82" s="344"/>
      <c r="M82" s="344"/>
      <c r="N82" s="344"/>
      <c r="O82" s="344"/>
      <c r="P82" s="344"/>
      <c r="Q82" s="344"/>
      <c r="R82" s="344"/>
      <c r="S82" s="344"/>
      <c r="T82" s="344"/>
      <c r="U82" s="344"/>
      <c r="V82" s="257"/>
      <c r="W82" s="257"/>
      <c r="X82" s="285"/>
      <c r="Y82" s="285"/>
    </row>
    <row r="83" spans="1:36" s="330" customFormat="1" ht="36" x14ac:dyDescent="0.25">
      <c r="A83" s="6" t="s">
        <v>18</v>
      </c>
      <c r="B83" s="6" t="s">
        <v>19</v>
      </c>
      <c r="C83" s="7" t="s">
        <v>0</v>
      </c>
      <c r="D83" s="112" t="s">
        <v>11</v>
      </c>
      <c r="E83" s="112" t="s">
        <v>115</v>
      </c>
      <c r="F83" s="112"/>
      <c r="G83" s="499" t="s">
        <v>158</v>
      </c>
      <c r="H83" s="164" t="s">
        <v>62</v>
      </c>
      <c r="I83" s="164" t="s">
        <v>64</v>
      </c>
      <c r="J83" s="229" t="s">
        <v>63</v>
      </c>
      <c r="K83" s="159" t="s">
        <v>108</v>
      </c>
      <c r="L83" s="156" t="s">
        <v>101</v>
      </c>
      <c r="M83" s="78" t="s">
        <v>82</v>
      </c>
      <c r="N83" s="78" t="s">
        <v>83</v>
      </c>
      <c r="O83" s="159" t="s">
        <v>112</v>
      </c>
      <c r="P83" s="156" t="s">
        <v>103</v>
      </c>
      <c r="Q83" s="164" t="s">
        <v>3</v>
      </c>
      <c r="R83" s="292" t="s">
        <v>53</v>
      </c>
      <c r="S83" s="292" t="s">
        <v>54</v>
      </c>
      <c r="T83" s="292" t="s">
        <v>65</v>
      </c>
      <c r="U83" s="164" t="s">
        <v>66</v>
      </c>
      <c r="V83" s="164" t="s">
        <v>67</v>
      </c>
      <c r="W83" s="164" t="s">
        <v>68</v>
      </c>
    </row>
    <row r="84" spans="1:36" s="329" customFormat="1" x14ac:dyDescent="0.3">
      <c r="A84" s="16">
        <v>2021</v>
      </c>
      <c r="B84" s="17" t="s">
        <v>20</v>
      </c>
      <c r="C84" s="18" t="s">
        <v>61</v>
      </c>
      <c r="D84" s="225">
        <v>16291303</v>
      </c>
      <c r="E84" s="225"/>
      <c r="F84" s="225"/>
      <c r="G84" s="225">
        <v>14260</v>
      </c>
      <c r="H84" s="225">
        <f>I84+J84</f>
        <v>5340258</v>
      </c>
      <c r="I84" s="225">
        <f>K84+M84+O84</f>
        <v>5340258</v>
      </c>
      <c r="J84" s="225">
        <f>L84+N84+P84</f>
        <v>0</v>
      </c>
      <c r="K84" s="225">
        <v>1491897</v>
      </c>
      <c r="L84" s="225"/>
      <c r="M84" s="225">
        <v>2447291</v>
      </c>
      <c r="N84" s="225"/>
      <c r="O84" s="225">
        <v>1401070</v>
      </c>
      <c r="P84" s="225"/>
      <c r="Q84" s="225">
        <v>28159.7</v>
      </c>
      <c r="R84" s="225">
        <v>11852.8</v>
      </c>
      <c r="S84" s="225">
        <v>6116766</v>
      </c>
      <c r="T84" s="225">
        <v>7319.6</v>
      </c>
      <c r="U84" s="225">
        <f>SUM(V84:W84)</f>
        <v>27898.799999999999</v>
      </c>
      <c r="V84" s="225">
        <v>27898.799999999999</v>
      </c>
      <c r="W84" s="230"/>
      <c r="Y84" s="327"/>
      <c r="Z84" s="327"/>
      <c r="AA84" s="327"/>
      <c r="AB84" s="327"/>
      <c r="AC84" s="327"/>
      <c r="AD84" s="327"/>
      <c r="AE84" s="327"/>
      <c r="AF84" s="327"/>
      <c r="AG84" s="327"/>
      <c r="AH84" s="327"/>
      <c r="AI84" s="327"/>
      <c r="AJ84" s="327"/>
    </row>
    <row r="85" spans="1:36" s="329" customFormat="1" x14ac:dyDescent="0.3">
      <c r="A85" s="19">
        <v>2021</v>
      </c>
      <c r="B85" s="20" t="s">
        <v>21</v>
      </c>
      <c r="C85" s="21" t="s">
        <v>61</v>
      </c>
      <c r="D85" s="225">
        <v>15480691</v>
      </c>
      <c r="E85" s="225">
        <v>96041</v>
      </c>
      <c r="F85" s="225"/>
      <c r="G85" s="225">
        <v>14260</v>
      </c>
      <c r="H85" s="225">
        <f t="shared" ref="H85:H95" si="27">I85+J85</f>
        <v>5345579</v>
      </c>
      <c r="I85" s="225">
        <f t="shared" ref="I85:I95" si="28">K85+M85+O85</f>
        <v>5345579</v>
      </c>
      <c r="J85" s="225">
        <f t="shared" ref="J85:J95" si="29">L85+N85+P85</f>
        <v>0</v>
      </c>
      <c r="K85" s="225">
        <v>1490197</v>
      </c>
      <c r="L85" s="225"/>
      <c r="M85" s="225">
        <v>2437193</v>
      </c>
      <c r="N85" s="225"/>
      <c r="O85" s="225">
        <v>1418189</v>
      </c>
      <c r="P85" s="225"/>
      <c r="Q85" s="225">
        <v>28682.5</v>
      </c>
      <c r="R85" s="225">
        <v>11712.8</v>
      </c>
      <c r="S85" s="225">
        <v>5308698</v>
      </c>
      <c r="T85" s="225">
        <v>7319.6</v>
      </c>
      <c r="U85" s="225">
        <f>SUM(V85:W85)</f>
        <v>28481.5</v>
      </c>
      <c r="V85" s="225">
        <v>28481.5</v>
      </c>
      <c r="W85" s="230"/>
    </row>
    <row r="86" spans="1:36" s="329" customFormat="1" x14ac:dyDescent="0.3">
      <c r="A86" s="19">
        <v>2021</v>
      </c>
      <c r="B86" s="20" t="s">
        <v>22</v>
      </c>
      <c r="C86" s="21" t="s">
        <v>61</v>
      </c>
      <c r="D86" s="225">
        <v>16968577</v>
      </c>
      <c r="E86" s="225">
        <v>155915</v>
      </c>
      <c r="F86" s="225"/>
      <c r="G86" s="225">
        <v>14260</v>
      </c>
      <c r="H86" s="225">
        <f t="shared" si="27"/>
        <v>5829360</v>
      </c>
      <c r="I86" s="225">
        <f t="shared" si="28"/>
        <v>5829360</v>
      </c>
      <c r="J86" s="225">
        <f t="shared" si="29"/>
        <v>0</v>
      </c>
      <c r="K86" s="225">
        <v>1618301</v>
      </c>
      <c r="L86" s="225"/>
      <c r="M86" s="225">
        <v>2666321</v>
      </c>
      <c r="N86" s="225"/>
      <c r="O86" s="225">
        <v>1544738</v>
      </c>
      <c r="P86" s="225"/>
      <c r="Q86" s="225">
        <v>28648.400000000001</v>
      </c>
      <c r="R86" s="225">
        <v>11684.8</v>
      </c>
      <c r="S86" s="225">
        <v>5469914</v>
      </c>
      <c r="T86" s="225">
        <v>7319.6</v>
      </c>
      <c r="U86" s="225">
        <f>SUM(V86:W86)</f>
        <v>28609.200000000001</v>
      </c>
      <c r="V86" s="225">
        <v>28609.200000000001</v>
      </c>
      <c r="W86" s="230"/>
    </row>
    <row r="87" spans="1:36" s="329" customFormat="1" x14ac:dyDescent="0.3">
      <c r="A87" s="19">
        <v>2021</v>
      </c>
      <c r="B87" s="20" t="s">
        <v>23</v>
      </c>
      <c r="C87" s="21" t="s">
        <v>61</v>
      </c>
      <c r="D87" s="225">
        <v>15490653</v>
      </c>
      <c r="E87" s="225">
        <v>151710</v>
      </c>
      <c r="F87" s="225"/>
      <c r="G87" s="225">
        <v>14260</v>
      </c>
      <c r="H87" s="225">
        <f t="shared" si="27"/>
        <v>5521666</v>
      </c>
      <c r="I87" s="225">
        <f t="shared" si="28"/>
        <v>5521666</v>
      </c>
      <c r="J87" s="225">
        <f t="shared" si="29"/>
        <v>0</v>
      </c>
      <c r="K87" s="225">
        <v>1525604</v>
      </c>
      <c r="L87" s="225"/>
      <c r="M87" s="225">
        <v>2531677</v>
      </c>
      <c r="N87" s="225"/>
      <c r="O87" s="225">
        <v>1464385</v>
      </c>
      <c r="P87" s="225"/>
      <c r="Q87" s="225">
        <v>27761.7</v>
      </c>
      <c r="R87" s="225">
        <v>11584</v>
      </c>
      <c r="S87" s="225">
        <v>5725544</v>
      </c>
      <c r="T87" s="225">
        <v>7319.6</v>
      </c>
      <c r="U87" s="225">
        <f>SUM(V87:W87)</f>
        <v>27523.200000000001</v>
      </c>
      <c r="V87" s="225">
        <v>27523.200000000001</v>
      </c>
      <c r="W87" s="230"/>
    </row>
    <row r="88" spans="1:36" s="329" customFormat="1" x14ac:dyDescent="0.3">
      <c r="A88" s="19">
        <v>2021</v>
      </c>
      <c r="B88" s="20" t="s">
        <v>24</v>
      </c>
      <c r="C88" s="21" t="s">
        <v>61</v>
      </c>
      <c r="D88" s="225">
        <v>17249545</v>
      </c>
      <c r="E88" s="225">
        <v>233233</v>
      </c>
      <c r="F88" s="225"/>
      <c r="G88" s="225">
        <v>14260</v>
      </c>
      <c r="H88" s="225">
        <f t="shared" si="27"/>
        <v>5960724</v>
      </c>
      <c r="I88" s="225">
        <f t="shared" si="28"/>
        <v>4838484</v>
      </c>
      <c r="J88" s="225">
        <f t="shared" si="29"/>
        <v>1122240</v>
      </c>
      <c r="K88" s="225">
        <v>1338745</v>
      </c>
      <c r="L88" s="225">
        <v>307951</v>
      </c>
      <c r="M88" s="225">
        <v>2217791</v>
      </c>
      <c r="N88" s="225">
        <v>522839</v>
      </c>
      <c r="O88" s="225">
        <v>1281948</v>
      </c>
      <c r="P88" s="225">
        <v>291450</v>
      </c>
      <c r="Q88" s="225">
        <v>31796.2</v>
      </c>
      <c r="R88" s="225">
        <v>11584</v>
      </c>
      <c r="S88" s="225">
        <v>5751251</v>
      </c>
      <c r="T88" s="225">
        <v>7319.6</v>
      </c>
      <c r="U88" s="225">
        <f>SUM(V88:W88)</f>
        <v>31569.8</v>
      </c>
      <c r="V88" s="225">
        <v>25661.1</v>
      </c>
      <c r="W88" s="230">
        <v>5908.7</v>
      </c>
    </row>
    <row r="89" spans="1:36" s="329" customFormat="1" x14ac:dyDescent="0.3">
      <c r="A89" s="19">
        <v>2021</v>
      </c>
      <c r="B89" s="20" t="s">
        <v>25</v>
      </c>
      <c r="C89" s="21" t="s">
        <v>61</v>
      </c>
      <c r="D89" s="225">
        <v>15071404</v>
      </c>
      <c r="E89" s="225">
        <v>234907</v>
      </c>
      <c r="F89" s="225"/>
      <c r="G89" s="225">
        <v>14260</v>
      </c>
      <c r="H89" s="225">
        <f t="shared" si="27"/>
        <v>5131821</v>
      </c>
      <c r="I89" s="225">
        <f t="shared" si="28"/>
        <v>0</v>
      </c>
      <c r="J89" s="225">
        <f t="shared" si="29"/>
        <v>5131821</v>
      </c>
      <c r="K89" s="225"/>
      <c r="L89" s="225">
        <v>1415380</v>
      </c>
      <c r="M89" s="225"/>
      <c r="N89" s="225">
        <v>2354302</v>
      </c>
      <c r="O89" s="225"/>
      <c r="P89" s="225">
        <v>1362139</v>
      </c>
      <c r="Q89" s="225">
        <v>26814.3</v>
      </c>
      <c r="R89" s="225">
        <v>11584</v>
      </c>
      <c r="S89" s="225">
        <v>5700230</v>
      </c>
      <c r="T89" s="225">
        <v>7319.6</v>
      </c>
      <c r="U89" s="225">
        <f t="shared" ref="U89:U95" si="30">SUM(V89:W89)</f>
        <v>26662.5</v>
      </c>
      <c r="V89" s="225"/>
      <c r="W89" s="230">
        <v>26662.5</v>
      </c>
    </row>
    <row r="90" spans="1:36" s="329" customFormat="1" x14ac:dyDescent="0.3">
      <c r="A90" s="19">
        <v>2021</v>
      </c>
      <c r="B90" s="20" t="s">
        <v>26</v>
      </c>
      <c r="C90" s="21" t="s">
        <v>61</v>
      </c>
      <c r="D90" s="225">
        <v>20544691</v>
      </c>
      <c r="E90" s="225">
        <v>582325</v>
      </c>
      <c r="F90" s="225"/>
      <c r="G90" s="225">
        <v>14260</v>
      </c>
      <c r="H90" s="225">
        <f t="shared" si="27"/>
        <v>7386084</v>
      </c>
      <c r="I90" s="225">
        <f t="shared" si="28"/>
        <v>169306</v>
      </c>
      <c r="J90" s="225">
        <f t="shared" si="29"/>
        <v>7216778</v>
      </c>
      <c r="K90" s="225">
        <v>45416</v>
      </c>
      <c r="L90" s="225">
        <v>1985340</v>
      </c>
      <c r="M90" s="225">
        <v>80047</v>
      </c>
      <c r="N90" s="225">
        <v>3326223</v>
      </c>
      <c r="O90" s="225">
        <v>43843</v>
      </c>
      <c r="P90" s="225">
        <v>1905215</v>
      </c>
      <c r="Q90" s="225">
        <v>36616</v>
      </c>
      <c r="R90" s="225">
        <v>10975.5</v>
      </c>
      <c r="S90" s="225">
        <v>6108373</v>
      </c>
      <c r="T90" s="225">
        <v>6720.9</v>
      </c>
      <c r="U90" s="225">
        <f t="shared" si="30"/>
        <v>36554.400000000001</v>
      </c>
      <c r="V90" s="225">
        <v>977.9</v>
      </c>
      <c r="W90" s="230">
        <v>35576.5</v>
      </c>
    </row>
    <row r="91" spans="1:36" s="329" customFormat="1" x14ac:dyDescent="0.3">
      <c r="A91" s="19">
        <v>2021</v>
      </c>
      <c r="B91" s="20" t="s">
        <v>27</v>
      </c>
      <c r="C91" s="21" t="s">
        <v>61</v>
      </c>
      <c r="D91" s="225">
        <v>20069476</v>
      </c>
      <c r="E91" s="225">
        <v>744226</v>
      </c>
      <c r="F91" s="225"/>
      <c r="G91" s="225">
        <v>14260</v>
      </c>
      <c r="H91" s="225">
        <f t="shared" si="27"/>
        <v>7090779</v>
      </c>
      <c r="I91" s="225">
        <f t="shared" si="28"/>
        <v>0</v>
      </c>
      <c r="J91" s="225">
        <f t="shared" si="29"/>
        <v>7090779</v>
      </c>
      <c r="K91" s="225"/>
      <c r="L91" s="225">
        <v>1950136</v>
      </c>
      <c r="M91" s="225"/>
      <c r="N91" s="225">
        <v>3270721</v>
      </c>
      <c r="O91" s="225"/>
      <c r="P91" s="225">
        <v>1869922</v>
      </c>
      <c r="Q91" s="225">
        <v>35081.4</v>
      </c>
      <c r="R91" s="225">
        <v>10940.5</v>
      </c>
      <c r="S91" s="225">
        <v>6042983</v>
      </c>
      <c r="T91" s="225">
        <v>6732.1</v>
      </c>
      <c r="U91" s="225">
        <f t="shared" si="30"/>
        <v>34914.199999999997</v>
      </c>
      <c r="V91" s="225"/>
      <c r="W91" s="230">
        <v>34914.199999999997</v>
      </c>
    </row>
    <row r="92" spans="1:36" s="329" customFormat="1" x14ac:dyDescent="0.3">
      <c r="A92" s="19">
        <v>2021</v>
      </c>
      <c r="B92" s="20" t="s">
        <v>28</v>
      </c>
      <c r="C92" s="21" t="s">
        <v>61</v>
      </c>
      <c r="D92" s="225">
        <v>16498643</v>
      </c>
      <c r="E92" s="225">
        <v>695438</v>
      </c>
      <c r="F92" s="225"/>
      <c r="G92" s="225">
        <v>14260</v>
      </c>
      <c r="H92" s="225">
        <f t="shared" si="27"/>
        <v>5757797</v>
      </c>
      <c r="I92" s="225">
        <f t="shared" si="28"/>
        <v>0</v>
      </c>
      <c r="J92" s="225">
        <f t="shared" si="29"/>
        <v>5757797</v>
      </c>
      <c r="K92" s="225">
        <v>0</v>
      </c>
      <c r="L92" s="225">
        <v>1587272</v>
      </c>
      <c r="M92" s="225">
        <v>0</v>
      </c>
      <c r="N92" s="225">
        <v>2661254</v>
      </c>
      <c r="O92" s="225">
        <v>0</v>
      </c>
      <c r="P92" s="225">
        <v>1509271</v>
      </c>
      <c r="Q92" s="225">
        <v>29260.7</v>
      </c>
      <c r="R92" s="225">
        <v>9959.7999999999993</v>
      </c>
      <c r="S92" s="225">
        <v>6118582</v>
      </c>
      <c r="T92" s="225">
        <v>5786.4</v>
      </c>
      <c r="U92" s="225">
        <f t="shared" si="30"/>
        <v>28062.199999999997</v>
      </c>
      <c r="V92" s="225">
        <v>0</v>
      </c>
      <c r="W92" s="230">
        <v>28062.199999999997</v>
      </c>
    </row>
    <row r="93" spans="1:36" s="329" customFormat="1" x14ac:dyDescent="0.3">
      <c r="A93" s="19">
        <v>2021</v>
      </c>
      <c r="B93" s="20" t="s">
        <v>29</v>
      </c>
      <c r="C93" s="21" t="s">
        <v>61</v>
      </c>
      <c r="D93" s="225">
        <v>19045623</v>
      </c>
      <c r="E93" s="225">
        <v>508588</v>
      </c>
      <c r="F93" s="225"/>
      <c r="G93" s="225">
        <v>14260</v>
      </c>
      <c r="H93" s="225">
        <f t="shared" si="27"/>
        <v>6808294</v>
      </c>
      <c r="I93" s="225">
        <f t="shared" si="28"/>
        <v>2527178</v>
      </c>
      <c r="J93" s="225">
        <f t="shared" si="29"/>
        <v>4281116</v>
      </c>
      <c r="K93" s="225">
        <v>696106</v>
      </c>
      <c r="L93" s="225">
        <v>1188901</v>
      </c>
      <c r="M93" s="225">
        <v>1156804</v>
      </c>
      <c r="N93" s="225">
        <v>1980607</v>
      </c>
      <c r="O93" s="225">
        <v>674268</v>
      </c>
      <c r="P93" s="225">
        <v>1111608</v>
      </c>
      <c r="Q93" s="225">
        <v>38080.299999999996</v>
      </c>
      <c r="R93" s="225">
        <v>10962.2</v>
      </c>
      <c r="S93" s="225">
        <v>5734122</v>
      </c>
      <c r="T93" s="225">
        <v>6805.6</v>
      </c>
      <c r="U93" s="225">
        <f t="shared" si="30"/>
        <v>34668.1</v>
      </c>
      <c r="V93" s="225">
        <v>13393.5</v>
      </c>
      <c r="W93" s="230">
        <v>21274.6</v>
      </c>
    </row>
    <row r="94" spans="1:36" s="329" customFormat="1" x14ac:dyDescent="0.3">
      <c r="A94" s="19">
        <v>2021</v>
      </c>
      <c r="B94" s="20" t="s">
        <v>30</v>
      </c>
      <c r="C94" s="21" t="s">
        <v>61</v>
      </c>
      <c r="D94" s="225">
        <v>17036221</v>
      </c>
      <c r="E94" s="225">
        <v>331660</v>
      </c>
      <c r="F94" s="225"/>
      <c r="G94" s="225">
        <v>14260</v>
      </c>
      <c r="H94" s="225">
        <f t="shared" si="27"/>
        <v>5836421</v>
      </c>
      <c r="I94" s="225">
        <f t="shared" si="28"/>
        <v>5775098</v>
      </c>
      <c r="J94" s="225">
        <f t="shared" si="29"/>
        <v>61323</v>
      </c>
      <c r="K94" s="225">
        <v>1597830</v>
      </c>
      <c r="L94" s="225">
        <v>16163</v>
      </c>
      <c r="M94" s="225">
        <v>2651619</v>
      </c>
      <c r="N94" s="225">
        <v>28732</v>
      </c>
      <c r="O94" s="225">
        <v>1525649</v>
      </c>
      <c r="P94" s="225">
        <v>16428</v>
      </c>
      <c r="Q94" s="225">
        <v>34378.699999999997</v>
      </c>
      <c r="R94" s="225">
        <v>9971</v>
      </c>
      <c r="S94" s="225">
        <v>5096421</v>
      </c>
      <c r="T94" s="225">
        <v>5814.4</v>
      </c>
      <c r="U94" s="225">
        <f t="shared" si="30"/>
        <v>30696.5</v>
      </c>
      <c r="V94" s="225">
        <v>30473.3</v>
      </c>
      <c r="W94" s="230">
        <v>223.2</v>
      </c>
    </row>
    <row r="95" spans="1:36" s="329" customFormat="1" x14ac:dyDescent="0.3">
      <c r="A95" s="22">
        <v>2021</v>
      </c>
      <c r="B95" s="23" t="s">
        <v>31</v>
      </c>
      <c r="C95" s="24" t="s">
        <v>61</v>
      </c>
      <c r="D95" s="231">
        <v>17443813</v>
      </c>
      <c r="E95" s="231">
        <v>291224</v>
      </c>
      <c r="F95" s="231"/>
      <c r="G95" s="231">
        <v>14260</v>
      </c>
      <c r="H95" s="231">
        <f t="shared" si="27"/>
        <v>6017543</v>
      </c>
      <c r="I95" s="231">
        <f t="shared" si="28"/>
        <v>6017543</v>
      </c>
      <c r="J95" s="231">
        <f t="shared" si="29"/>
        <v>0</v>
      </c>
      <c r="K95" s="231">
        <v>1673743</v>
      </c>
      <c r="L95" s="231">
        <v>0</v>
      </c>
      <c r="M95" s="231">
        <v>2765243</v>
      </c>
      <c r="N95" s="231">
        <v>0</v>
      </c>
      <c r="O95" s="231">
        <v>1578557</v>
      </c>
      <c r="P95" s="231">
        <v>0</v>
      </c>
      <c r="Q95" s="231">
        <v>36417.1</v>
      </c>
      <c r="R95" s="231">
        <v>10009.4</v>
      </c>
      <c r="S95" s="231">
        <v>5192509</v>
      </c>
      <c r="T95" s="231">
        <v>5852.8</v>
      </c>
      <c r="U95" s="231">
        <f t="shared" si="30"/>
        <v>30526.800000000003</v>
      </c>
      <c r="V95" s="231">
        <v>30526.800000000003</v>
      </c>
      <c r="W95" s="232">
        <v>0</v>
      </c>
    </row>
    <row r="96" spans="1:36" s="329" customFormat="1" x14ac:dyDescent="0.3">
      <c r="A96" s="545"/>
      <c r="B96" s="545"/>
      <c r="C96" s="545"/>
      <c r="D96" s="171">
        <f t="shared" ref="D96:W96" si="31">SUM(D84:D95)</f>
        <v>207190640</v>
      </c>
      <c r="E96" s="171">
        <f t="shared" si="31"/>
        <v>4025267</v>
      </c>
      <c r="F96" s="171">
        <f t="shared" si="31"/>
        <v>0</v>
      </c>
      <c r="G96" s="171">
        <f t="shared" si="31"/>
        <v>171120</v>
      </c>
      <c r="H96" s="171">
        <f t="shared" si="31"/>
        <v>72026326</v>
      </c>
      <c r="I96" s="171">
        <f t="shared" si="31"/>
        <v>41364472</v>
      </c>
      <c r="J96" s="171">
        <f t="shared" si="31"/>
        <v>30661854</v>
      </c>
      <c r="K96" s="166">
        <f t="shared" si="31"/>
        <v>11477839</v>
      </c>
      <c r="L96" s="166">
        <f t="shared" si="31"/>
        <v>8451143</v>
      </c>
      <c r="M96" s="166">
        <f t="shared" si="31"/>
        <v>18953986</v>
      </c>
      <c r="N96" s="166">
        <f t="shared" si="31"/>
        <v>14144678</v>
      </c>
      <c r="O96" s="166">
        <f t="shared" si="31"/>
        <v>10932647</v>
      </c>
      <c r="P96" s="166">
        <f t="shared" si="31"/>
        <v>8066033</v>
      </c>
      <c r="Q96" s="166">
        <f t="shared" si="31"/>
        <v>381696.99999999994</v>
      </c>
      <c r="R96" s="166">
        <f t="shared" si="31"/>
        <v>132820.79999999999</v>
      </c>
      <c r="S96" s="166">
        <f t="shared" si="31"/>
        <v>68365393</v>
      </c>
      <c r="T96" s="166">
        <f t="shared" si="31"/>
        <v>81629.8</v>
      </c>
      <c r="U96" s="171">
        <f t="shared" si="31"/>
        <v>366167.19999999995</v>
      </c>
      <c r="V96" s="171">
        <f t="shared" si="31"/>
        <v>213545.3</v>
      </c>
      <c r="W96" s="171">
        <f t="shared" si="31"/>
        <v>152621.9</v>
      </c>
    </row>
    <row r="97" spans="1:36" s="329" customFormat="1" x14ac:dyDescent="0.3">
      <c r="A97" s="327"/>
      <c r="B97" s="327"/>
      <c r="C97" s="327"/>
      <c r="D97" s="327"/>
      <c r="E97" s="344"/>
      <c r="F97" s="344"/>
      <c r="G97" s="365"/>
      <c r="H97" s="327"/>
      <c r="I97" s="327"/>
      <c r="J97" s="327"/>
      <c r="K97" s="327"/>
      <c r="L97" s="327"/>
      <c r="M97" s="327"/>
      <c r="N97" s="327"/>
      <c r="O97" s="327"/>
      <c r="P97" s="327"/>
      <c r="Q97" s="327"/>
      <c r="R97" s="327"/>
      <c r="S97" s="327"/>
      <c r="T97" s="327"/>
      <c r="U97" s="327"/>
      <c r="V97" s="257"/>
      <c r="W97" s="257"/>
      <c r="X97" s="285"/>
      <c r="Y97" s="285"/>
    </row>
    <row r="98" spans="1:36" s="2" customFormat="1" ht="36" x14ac:dyDescent="0.25">
      <c r="A98" s="6" t="s">
        <v>18</v>
      </c>
      <c r="B98" s="6" t="s">
        <v>19</v>
      </c>
      <c r="C98" s="7" t="s">
        <v>0</v>
      </c>
      <c r="D98" s="112" t="s">
        <v>11</v>
      </c>
      <c r="E98" s="112"/>
      <c r="F98" s="112"/>
      <c r="G98" s="499" t="s">
        <v>158</v>
      </c>
      <c r="H98" s="164" t="s">
        <v>62</v>
      </c>
      <c r="I98" s="164" t="s">
        <v>64</v>
      </c>
      <c r="J98" s="229" t="s">
        <v>63</v>
      </c>
      <c r="K98" s="159" t="s">
        <v>108</v>
      </c>
      <c r="L98" s="156" t="s">
        <v>101</v>
      </c>
      <c r="M98" s="78" t="s">
        <v>82</v>
      </c>
      <c r="N98" s="78" t="s">
        <v>83</v>
      </c>
      <c r="O98" s="159" t="s">
        <v>112</v>
      </c>
      <c r="P98" s="156" t="s">
        <v>103</v>
      </c>
      <c r="Q98" s="164" t="s">
        <v>3</v>
      </c>
      <c r="R98" s="292" t="s">
        <v>53</v>
      </c>
      <c r="S98" s="292" t="s">
        <v>54</v>
      </c>
      <c r="T98" s="292" t="s">
        <v>65</v>
      </c>
      <c r="U98" s="164" t="s">
        <v>66</v>
      </c>
      <c r="V98" s="164" t="s">
        <v>67</v>
      </c>
      <c r="W98" s="164" t="s">
        <v>68</v>
      </c>
    </row>
    <row r="99" spans="1:36" s="321" customFormat="1" x14ac:dyDescent="0.3">
      <c r="A99" s="16">
        <v>2020</v>
      </c>
      <c r="B99" s="17" t="s">
        <v>20</v>
      </c>
      <c r="C99" s="18" t="s">
        <v>61</v>
      </c>
      <c r="D99" s="225">
        <v>19322733</v>
      </c>
      <c r="E99" s="225"/>
      <c r="F99" s="225"/>
      <c r="G99" s="225">
        <v>89012</v>
      </c>
      <c r="H99" s="225">
        <f>I99+J99</f>
        <v>6473752</v>
      </c>
      <c r="I99" s="225">
        <f>K99+M99+O99</f>
        <v>6473752</v>
      </c>
      <c r="J99" s="225">
        <f>L99+N99+P99</f>
        <v>0</v>
      </c>
      <c r="K99" s="225">
        <v>1794797</v>
      </c>
      <c r="L99" s="225"/>
      <c r="M99" s="225">
        <v>2968540</v>
      </c>
      <c r="N99" s="225"/>
      <c r="O99" s="225">
        <v>1710415</v>
      </c>
      <c r="P99" s="225"/>
      <c r="Q99" s="225">
        <v>40077.1</v>
      </c>
      <c r="R99" s="225">
        <v>15637.8</v>
      </c>
      <c r="S99" s="225">
        <v>7503876</v>
      </c>
      <c r="T99" s="225">
        <v>8190.2</v>
      </c>
      <c r="U99" s="225">
        <f>SUM(V99:W99)</f>
        <v>32594.9</v>
      </c>
      <c r="V99" s="225">
        <v>32594.9</v>
      </c>
      <c r="W99" s="230"/>
      <c r="Y99" s="325"/>
      <c r="Z99" s="325"/>
      <c r="AA99" s="325"/>
      <c r="AB99" s="325"/>
      <c r="AC99" s="325"/>
      <c r="AD99" s="325"/>
      <c r="AE99" s="325"/>
      <c r="AF99" s="325"/>
      <c r="AG99" s="325"/>
      <c r="AH99" s="325"/>
      <c r="AI99" s="325"/>
      <c r="AJ99" s="325"/>
    </row>
    <row r="100" spans="1:36" s="321" customFormat="1" x14ac:dyDescent="0.3">
      <c r="A100" s="19">
        <v>2020</v>
      </c>
      <c r="B100" s="20" t="s">
        <v>21</v>
      </c>
      <c r="C100" s="21" t="s">
        <v>61</v>
      </c>
      <c r="D100" s="225">
        <v>17532962</v>
      </c>
      <c r="E100" s="225"/>
      <c r="F100" s="225"/>
      <c r="G100" s="225">
        <v>29275</v>
      </c>
      <c r="H100" s="225">
        <f t="shared" ref="H100:H110" si="32">I100+J100</f>
        <v>6153077</v>
      </c>
      <c r="I100" s="225">
        <f t="shared" ref="I100:I110" si="33">K100+M100+O100</f>
        <v>6153077</v>
      </c>
      <c r="J100" s="225">
        <f t="shared" ref="J100:J110" si="34">L100+N100+P100</f>
        <v>0</v>
      </c>
      <c r="K100" s="225">
        <v>1726071</v>
      </c>
      <c r="L100" s="225"/>
      <c r="M100" s="225">
        <v>2812111</v>
      </c>
      <c r="N100" s="225"/>
      <c r="O100" s="225">
        <v>1614895</v>
      </c>
      <c r="P100" s="225"/>
      <c r="Q100" s="225">
        <v>38631.1</v>
      </c>
      <c r="R100" s="225">
        <v>15637.8</v>
      </c>
      <c r="S100" s="225">
        <v>7212077</v>
      </c>
      <c r="T100" s="225">
        <v>8190.2</v>
      </c>
      <c r="U100" s="225">
        <f t="shared" ref="U100:U110" si="35">SUM(V100:W100)</f>
        <v>31494.1</v>
      </c>
      <c r="V100" s="225">
        <v>31494.1</v>
      </c>
      <c r="W100" s="230"/>
    </row>
    <row r="101" spans="1:36" s="321" customFormat="1" x14ac:dyDescent="0.3">
      <c r="A101" s="19">
        <v>2020</v>
      </c>
      <c r="B101" s="20" t="s">
        <v>22</v>
      </c>
      <c r="C101" s="21" t="s">
        <v>61</v>
      </c>
      <c r="D101" s="225">
        <v>18326717</v>
      </c>
      <c r="E101" s="225"/>
      <c r="F101" s="225"/>
      <c r="G101" s="225">
        <v>29275</v>
      </c>
      <c r="H101" s="225">
        <f t="shared" si="32"/>
        <v>6325124</v>
      </c>
      <c r="I101" s="225">
        <f t="shared" si="33"/>
        <v>6325124</v>
      </c>
      <c r="J101" s="225">
        <f t="shared" si="34"/>
        <v>0</v>
      </c>
      <c r="K101" s="225">
        <v>1766467</v>
      </c>
      <c r="L101" s="225"/>
      <c r="M101" s="225">
        <v>2886184</v>
      </c>
      <c r="N101" s="225"/>
      <c r="O101" s="225">
        <v>1672473</v>
      </c>
      <c r="P101" s="225"/>
      <c r="Q101" s="225">
        <v>39515.9</v>
      </c>
      <c r="R101" s="225">
        <v>15505</v>
      </c>
      <c r="S101" s="225">
        <v>6980317</v>
      </c>
      <c r="T101" s="225">
        <v>8113.4</v>
      </c>
      <c r="U101" s="225">
        <f t="shared" si="35"/>
        <v>32593.200000000001</v>
      </c>
      <c r="V101" s="225">
        <v>32593.200000000001</v>
      </c>
      <c r="W101" s="230"/>
    </row>
    <row r="102" spans="1:36" s="321" customFormat="1" x14ac:dyDescent="0.3">
      <c r="A102" s="19">
        <v>2020</v>
      </c>
      <c r="B102" s="20" t="s">
        <v>23</v>
      </c>
      <c r="C102" s="21" t="s">
        <v>61</v>
      </c>
      <c r="D102" s="225">
        <v>17032901</v>
      </c>
      <c r="E102" s="225"/>
      <c r="F102" s="225"/>
      <c r="G102" s="225">
        <v>29275</v>
      </c>
      <c r="H102" s="225">
        <f t="shared" si="32"/>
        <v>5876330</v>
      </c>
      <c r="I102" s="225">
        <f t="shared" si="33"/>
        <v>5876330</v>
      </c>
      <c r="J102" s="225">
        <f t="shared" si="34"/>
        <v>0</v>
      </c>
      <c r="K102" s="225">
        <v>1635123</v>
      </c>
      <c r="L102" s="225"/>
      <c r="M102" s="225">
        <v>2705068</v>
      </c>
      <c r="N102" s="225"/>
      <c r="O102" s="225">
        <v>1536139</v>
      </c>
      <c r="P102" s="225"/>
      <c r="Q102" s="225">
        <v>39515.9</v>
      </c>
      <c r="R102" s="225">
        <v>15505</v>
      </c>
      <c r="S102" s="225">
        <v>7166681</v>
      </c>
      <c r="T102" s="225">
        <v>8113.4</v>
      </c>
      <c r="U102" s="225">
        <f t="shared" si="35"/>
        <v>30105.4</v>
      </c>
      <c r="V102" s="225">
        <v>30105.4</v>
      </c>
      <c r="W102" s="230"/>
    </row>
    <row r="103" spans="1:36" s="321" customFormat="1" x14ac:dyDescent="0.3">
      <c r="A103" s="19">
        <v>2020</v>
      </c>
      <c r="B103" s="20" t="s">
        <v>24</v>
      </c>
      <c r="C103" s="21" t="s">
        <v>61</v>
      </c>
      <c r="D103" s="225">
        <v>16677644</v>
      </c>
      <c r="E103" s="225"/>
      <c r="F103" s="225"/>
      <c r="G103" s="225">
        <v>29275</v>
      </c>
      <c r="H103" s="225">
        <f t="shared" si="32"/>
        <v>5686544</v>
      </c>
      <c r="I103" s="225">
        <f t="shared" si="33"/>
        <v>5686544</v>
      </c>
      <c r="J103" s="225">
        <f t="shared" si="34"/>
        <v>0</v>
      </c>
      <c r="K103" s="225">
        <v>1571760</v>
      </c>
      <c r="L103" s="225"/>
      <c r="M103" s="225">
        <v>2599204</v>
      </c>
      <c r="N103" s="225"/>
      <c r="O103" s="225">
        <v>1515580</v>
      </c>
      <c r="P103" s="225"/>
      <c r="Q103" s="225">
        <v>39607.1</v>
      </c>
      <c r="R103" s="225">
        <v>15505</v>
      </c>
      <c r="S103" s="225">
        <v>6104212</v>
      </c>
      <c r="T103" s="225">
        <v>8113.4</v>
      </c>
      <c r="U103" s="225">
        <f t="shared" si="35"/>
        <v>32934</v>
      </c>
      <c r="V103" s="225">
        <v>32934</v>
      </c>
      <c r="W103" s="230"/>
    </row>
    <row r="104" spans="1:36" s="321" customFormat="1" x14ac:dyDescent="0.3">
      <c r="A104" s="19">
        <v>2020</v>
      </c>
      <c r="B104" s="20" t="s">
        <v>25</v>
      </c>
      <c r="C104" s="21" t="s">
        <v>61</v>
      </c>
      <c r="D104" s="225">
        <v>19067049</v>
      </c>
      <c r="E104" s="225"/>
      <c r="F104" s="225"/>
      <c r="G104" s="225">
        <v>29275</v>
      </c>
      <c r="H104" s="225">
        <f t="shared" si="32"/>
        <v>6575050</v>
      </c>
      <c r="I104" s="225">
        <f t="shared" si="33"/>
        <v>0</v>
      </c>
      <c r="J104" s="225">
        <f t="shared" si="34"/>
        <v>6575050</v>
      </c>
      <c r="K104" s="225"/>
      <c r="L104" s="225">
        <v>1840513</v>
      </c>
      <c r="M104" s="225"/>
      <c r="N104" s="225">
        <v>3012698</v>
      </c>
      <c r="O104" s="225"/>
      <c r="P104" s="225">
        <v>1721839</v>
      </c>
      <c r="Q104" s="225">
        <v>39695.9</v>
      </c>
      <c r="R104" s="225">
        <v>15505</v>
      </c>
      <c r="S104" s="225">
        <v>6624087</v>
      </c>
      <c r="T104" s="225">
        <v>8113.4</v>
      </c>
      <c r="U104" s="225">
        <f t="shared" si="35"/>
        <v>34991.800000000003</v>
      </c>
      <c r="V104" s="225"/>
      <c r="W104" s="230">
        <v>34991.800000000003</v>
      </c>
    </row>
    <row r="105" spans="1:36" s="321" customFormat="1" x14ac:dyDescent="0.3">
      <c r="A105" s="19">
        <v>2020</v>
      </c>
      <c r="B105" s="20" t="s">
        <v>26</v>
      </c>
      <c r="C105" s="21" t="s">
        <v>61</v>
      </c>
      <c r="D105" s="225">
        <v>19874207</v>
      </c>
      <c r="E105" s="225"/>
      <c r="F105" s="225"/>
      <c r="G105" s="225">
        <v>29275</v>
      </c>
      <c r="H105" s="225">
        <f t="shared" si="32"/>
        <v>7075665</v>
      </c>
      <c r="I105" s="225">
        <f t="shared" si="33"/>
        <v>0</v>
      </c>
      <c r="J105" s="225">
        <f t="shared" si="34"/>
        <v>7075665</v>
      </c>
      <c r="K105" s="225"/>
      <c r="L105" s="225">
        <v>1957477</v>
      </c>
      <c r="M105" s="225"/>
      <c r="N105" s="225">
        <v>3247733</v>
      </c>
      <c r="O105" s="225"/>
      <c r="P105" s="225">
        <v>1870455</v>
      </c>
      <c r="Q105" s="225">
        <v>37444</v>
      </c>
      <c r="R105" s="225">
        <v>13440.4</v>
      </c>
      <c r="S105" s="225">
        <v>6615643</v>
      </c>
      <c r="T105" s="225">
        <v>8487.2000000000007</v>
      </c>
      <c r="U105" s="225">
        <f t="shared" si="35"/>
        <v>34897.5</v>
      </c>
      <c r="V105" s="225"/>
      <c r="W105" s="230">
        <v>34897.5</v>
      </c>
    </row>
    <row r="106" spans="1:36" s="321" customFormat="1" x14ac:dyDescent="0.3">
      <c r="A106" s="19">
        <v>2020</v>
      </c>
      <c r="B106" s="20" t="s">
        <v>27</v>
      </c>
      <c r="C106" s="21" t="s">
        <v>61</v>
      </c>
      <c r="D106" s="225">
        <v>18230071</v>
      </c>
      <c r="E106" s="225"/>
      <c r="F106" s="225"/>
      <c r="G106" s="225">
        <v>29275</v>
      </c>
      <c r="H106" s="225">
        <f t="shared" si="32"/>
        <v>6523264</v>
      </c>
      <c r="I106" s="225">
        <f t="shared" si="33"/>
        <v>0</v>
      </c>
      <c r="J106" s="225">
        <f t="shared" si="34"/>
        <v>6523264</v>
      </c>
      <c r="K106" s="225"/>
      <c r="L106" s="225">
        <v>1810890</v>
      </c>
      <c r="M106" s="225"/>
      <c r="N106" s="225">
        <v>3006673</v>
      </c>
      <c r="O106" s="225"/>
      <c r="P106" s="225">
        <v>1705701</v>
      </c>
      <c r="Q106" s="225">
        <v>36330</v>
      </c>
      <c r="R106" s="225">
        <v>13272.8</v>
      </c>
      <c r="S106" s="225">
        <v>6617549</v>
      </c>
      <c r="T106" s="225">
        <v>8431.6</v>
      </c>
      <c r="U106" s="225">
        <f t="shared" si="35"/>
        <v>33019.9</v>
      </c>
      <c r="V106" s="225"/>
      <c r="W106" s="230">
        <v>33019.9</v>
      </c>
    </row>
    <row r="107" spans="1:36" s="321" customFormat="1" x14ac:dyDescent="0.3">
      <c r="A107" s="19">
        <v>2020</v>
      </c>
      <c r="B107" s="20" t="s">
        <v>28</v>
      </c>
      <c r="C107" s="21" t="s">
        <v>61</v>
      </c>
      <c r="D107" s="225">
        <v>18520569</v>
      </c>
      <c r="E107" s="225"/>
      <c r="F107" s="225"/>
      <c r="G107" s="225">
        <v>29275</v>
      </c>
      <c r="H107" s="225">
        <f t="shared" si="32"/>
        <v>6183010</v>
      </c>
      <c r="I107" s="225">
        <f t="shared" si="33"/>
        <v>0</v>
      </c>
      <c r="J107" s="225">
        <f t="shared" si="34"/>
        <v>6183010</v>
      </c>
      <c r="K107" s="225"/>
      <c r="L107" s="225">
        <v>1704851</v>
      </c>
      <c r="M107" s="225"/>
      <c r="N107" s="225">
        <v>2853844</v>
      </c>
      <c r="O107" s="225"/>
      <c r="P107" s="225">
        <v>1624315</v>
      </c>
      <c r="Q107" s="225">
        <v>36052.699999999997</v>
      </c>
      <c r="R107" s="225">
        <v>13211.6</v>
      </c>
      <c r="S107" s="225">
        <v>6340986</v>
      </c>
      <c r="T107" s="225">
        <v>8370.4</v>
      </c>
      <c r="U107" s="225">
        <f t="shared" si="35"/>
        <v>32782.400000000001</v>
      </c>
      <c r="V107" s="225"/>
      <c r="W107" s="230">
        <v>32782.400000000001</v>
      </c>
    </row>
    <row r="108" spans="1:36" s="321" customFormat="1" x14ac:dyDescent="0.3">
      <c r="A108" s="19">
        <v>2020</v>
      </c>
      <c r="B108" s="20" t="s">
        <v>29</v>
      </c>
      <c r="C108" s="21" t="s">
        <v>61</v>
      </c>
      <c r="D108" s="225">
        <v>16898643</v>
      </c>
      <c r="E108" s="225"/>
      <c r="F108" s="225"/>
      <c r="G108" s="225">
        <v>14260</v>
      </c>
      <c r="H108" s="225">
        <f t="shared" si="32"/>
        <v>6013289</v>
      </c>
      <c r="I108" s="225">
        <f t="shared" si="33"/>
        <v>6013289</v>
      </c>
      <c r="J108" s="225">
        <f t="shared" si="34"/>
        <v>0</v>
      </c>
      <c r="K108" s="225">
        <v>1673690</v>
      </c>
      <c r="L108" s="225"/>
      <c r="M108" s="225">
        <v>2770208</v>
      </c>
      <c r="N108" s="225"/>
      <c r="O108" s="225">
        <v>1569391</v>
      </c>
      <c r="P108" s="225"/>
      <c r="Q108" s="225">
        <v>34512.9</v>
      </c>
      <c r="R108" s="225">
        <v>11922.8</v>
      </c>
      <c r="S108" s="225">
        <v>5644723</v>
      </c>
      <c r="T108" s="225">
        <v>7358.8</v>
      </c>
      <c r="U108" s="225">
        <f t="shared" si="35"/>
        <v>30281.1</v>
      </c>
      <c r="V108" s="225">
        <v>30281.1</v>
      </c>
      <c r="W108" s="230"/>
    </row>
    <row r="109" spans="1:36" s="321" customFormat="1" x14ac:dyDescent="0.3">
      <c r="A109" s="19">
        <v>2020</v>
      </c>
      <c r="B109" s="20" t="s">
        <v>30</v>
      </c>
      <c r="C109" s="21" t="s">
        <v>61</v>
      </c>
      <c r="D109" s="225">
        <v>14996505</v>
      </c>
      <c r="E109" s="225"/>
      <c r="F109" s="225"/>
      <c r="G109" s="225">
        <v>14260</v>
      </c>
      <c r="H109" s="225">
        <f t="shared" si="32"/>
        <v>5155740</v>
      </c>
      <c r="I109" s="225">
        <f t="shared" si="33"/>
        <v>5155740</v>
      </c>
      <c r="J109" s="225">
        <f t="shared" si="34"/>
        <v>0</v>
      </c>
      <c r="K109" s="225">
        <v>1430764</v>
      </c>
      <c r="L109" s="225"/>
      <c r="M109" s="225">
        <v>2365926</v>
      </c>
      <c r="N109" s="225"/>
      <c r="O109" s="225">
        <v>1359050</v>
      </c>
      <c r="P109" s="225"/>
      <c r="Q109" s="225">
        <v>32671.3</v>
      </c>
      <c r="R109" s="225">
        <v>11894.8</v>
      </c>
      <c r="S109" s="225">
        <v>5596998</v>
      </c>
      <c r="T109" s="225">
        <v>7330.8</v>
      </c>
      <c r="U109" s="225">
        <f t="shared" si="35"/>
        <v>28188.799999999999</v>
      </c>
      <c r="V109" s="225">
        <v>28188.799999999999</v>
      </c>
      <c r="W109" s="230"/>
    </row>
    <row r="110" spans="1:36" s="321" customFormat="1" x14ac:dyDescent="0.3">
      <c r="A110" s="22">
        <v>2020</v>
      </c>
      <c r="B110" s="23" t="s">
        <v>31</v>
      </c>
      <c r="C110" s="24" t="s">
        <v>61</v>
      </c>
      <c r="D110" s="231">
        <v>17134696</v>
      </c>
      <c r="E110" s="231"/>
      <c r="F110" s="231"/>
      <c r="G110" s="231">
        <v>14260</v>
      </c>
      <c r="H110" s="231">
        <f t="shared" si="32"/>
        <v>5651174</v>
      </c>
      <c r="I110" s="231">
        <f t="shared" si="33"/>
        <v>5651174</v>
      </c>
      <c r="J110" s="231">
        <f t="shared" si="34"/>
        <v>0</v>
      </c>
      <c r="K110" s="231">
        <v>1579111</v>
      </c>
      <c r="L110" s="231"/>
      <c r="M110" s="231">
        <v>2583155</v>
      </c>
      <c r="N110" s="231"/>
      <c r="O110" s="231">
        <v>1488908</v>
      </c>
      <c r="P110" s="231"/>
      <c r="Q110" s="231">
        <v>34334.5</v>
      </c>
      <c r="R110" s="231">
        <v>11883.6</v>
      </c>
      <c r="S110" s="231">
        <v>5535042</v>
      </c>
      <c r="T110" s="231">
        <v>7319.6</v>
      </c>
      <c r="U110" s="231">
        <f t="shared" si="35"/>
        <v>28567.200000000001</v>
      </c>
      <c r="V110" s="231">
        <v>28567.200000000001</v>
      </c>
      <c r="W110" s="232"/>
    </row>
    <row r="111" spans="1:36" s="321" customFormat="1" x14ac:dyDescent="0.3">
      <c r="A111" s="545"/>
      <c r="B111" s="545"/>
      <c r="C111" s="545"/>
      <c r="D111" s="171">
        <f t="shared" ref="D111:W111" si="36">SUM(D99:D110)</f>
        <v>213614697</v>
      </c>
      <c r="E111" s="171">
        <f t="shared" si="36"/>
        <v>0</v>
      </c>
      <c r="F111" s="171">
        <f t="shared" si="36"/>
        <v>0</v>
      </c>
      <c r="G111" s="171">
        <f t="shared" si="36"/>
        <v>365992</v>
      </c>
      <c r="H111" s="171">
        <f t="shared" si="36"/>
        <v>73692019</v>
      </c>
      <c r="I111" s="171">
        <f t="shared" si="36"/>
        <v>47335030</v>
      </c>
      <c r="J111" s="171">
        <f t="shared" si="36"/>
        <v>26356989</v>
      </c>
      <c r="K111" s="166">
        <f t="shared" si="36"/>
        <v>13177783</v>
      </c>
      <c r="L111" s="166">
        <f t="shared" si="36"/>
        <v>7313731</v>
      </c>
      <c r="M111" s="166">
        <f t="shared" si="36"/>
        <v>21690396</v>
      </c>
      <c r="N111" s="166">
        <f t="shared" si="36"/>
        <v>12120948</v>
      </c>
      <c r="O111" s="166">
        <f t="shared" si="36"/>
        <v>12466851</v>
      </c>
      <c r="P111" s="166">
        <f t="shared" si="36"/>
        <v>6922310</v>
      </c>
      <c r="Q111" s="171">
        <f t="shared" si="36"/>
        <v>448388.4</v>
      </c>
      <c r="R111" s="166">
        <f t="shared" si="36"/>
        <v>168921.59999999998</v>
      </c>
      <c r="S111" s="166">
        <f t="shared" si="36"/>
        <v>77942191</v>
      </c>
      <c r="T111" s="166">
        <f t="shared" si="36"/>
        <v>96132.400000000009</v>
      </c>
      <c r="U111" s="171">
        <f t="shared" si="36"/>
        <v>382450.30000000005</v>
      </c>
      <c r="V111" s="171">
        <f t="shared" si="36"/>
        <v>246758.7</v>
      </c>
      <c r="W111" s="171">
        <f t="shared" si="36"/>
        <v>135691.6</v>
      </c>
    </row>
    <row r="112" spans="1:36" s="321" customFormat="1" x14ac:dyDescent="0.3">
      <c r="A112" s="322"/>
      <c r="B112" s="322"/>
      <c r="C112" s="322"/>
      <c r="D112" s="322"/>
      <c r="E112" s="344"/>
      <c r="F112" s="344"/>
      <c r="G112" s="365"/>
      <c r="H112" s="322"/>
      <c r="I112" s="322"/>
      <c r="J112" s="322"/>
      <c r="K112" s="322"/>
      <c r="L112" s="322"/>
      <c r="M112" s="322"/>
      <c r="N112" s="322"/>
      <c r="O112" s="327"/>
      <c r="P112" s="327"/>
      <c r="Q112" s="322"/>
      <c r="R112" s="322"/>
      <c r="S112" s="322"/>
      <c r="T112" s="322"/>
      <c r="U112" s="322"/>
      <c r="V112" s="257"/>
      <c r="W112" s="257"/>
      <c r="X112" s="285"/>
      <c r="Y112" s="285"/>
    </row>
    <row r="113" spans="1:22" x14ac:dyDescent="0.3">
      <c r="A113" s="551" t="s">
        <v>76</v>
      </c>
      <c r="B113" s="551"/>
      <c r="C113" s="551"/>
      <c r="D113" s="551"/>
      <c r="E113" s="551"/>
      <c r="F113" s="551"/>
      <c r="G113" s="551"/>
      <c r="H113" s="551"/>
      <c r="I113" s="551"/>
      <c r="J113" s="551"/>
      <c r="K113" s="551"/>
      <c r="L113" s="551"/>
      <c r="M113" s="551"/>
      <c r="N113" s="551"/>
      <c r="O113" s="551"/>
      <c r="P113" s="551"/>
      <c r="Q113" s="551"/>
      <c r="R113" s="551"/>
      <c r="S113" s="551"/>
      <c r="T113" s="551"/>
      <c r="U113" s="551"/>
      <c r="V113" s="551"/>
    </row>
    <row r="114" spans="1:22" x14ac:dyDescent="0.3">
      <c r="A114" s="41" t="s">
        <v>113</v>
      </c>
      <c r="B114" s="113"/>
      <c r="C114" s="113"/>
      <c r="D114" s="113"/>
      <c r="E114" s="351"/>
      <c r="F114" s="351"/>
      <c r="G114" s="494"/>
      <c r="H114" s="113"/>
      <c r="I114" s="113"/>
      <c r="J114" s="113"/>
      <c r="K114" s="113"/>
      <c r="L114" s="113"/>
      <c r="M114" s="113"/>
      <c r="N114" s="113"/>
      <c r="O114" s="336"/>
      <c r="P114" s="336"/>
      <c r="Q114" s="113"/>
      <c r="R114" s="113"/>
      <c r="S114" s="113"/>
      <c r="T114" s="113"/>
      <c r="U114" s="113"/>
      <c r="V114" s="113"/>
    </row>
  </sheetData>
  <mergeCells count="12">
    <mergeCell ref="A1:J1"/>
    <mergeCell ref="A2:J2"/>
    <mergeCell ref="A3:J3"/>
    <mergeCell ref="A4:J4"/>
    <mergeCell ref="A19:C19"/>
    <mergeCell ref="A113:V113"/>
    <mergeCell ref="A35:C35"/>
    <mergeCell ref="A111:C111"/>
    <mergeCell ref="A66:C66"/>
    <mergeCell ref="A51:C51"/>
    <mergeCell ref="A96:C96"/>
    <mergeCell ref="A81:C81"/>
  </mergeCells>
  <printOptions horizontalCentered="1"/>
  <pageMargins left="0.25" right="0.25" top="0.5" bottom="0.75" header="0.3" footer="0.3"/>
  <pageSetup scale="55" fitToHeight="0" orientation="landscape" r:id="rId1"/>
  <rowBreaks count="2" manualBreakCount="2">
    <brk id="52" max="22" man="1"/>
    <brk id="97" max="22"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AA6AD-0EE1-4DC8-8087-994E0EF9B69C}">
  <sheetPr codeName="Sheet15"/>
  <dimension ref="A1:U113"/>
  <sheetViews>
    <sheetView zoomScale="85" zoomScaleNormal="85" workbookViewId="0">
      <selection sqref="A1:K1"/>
    </sheetView>
  </sheetViews>
  <sheetFormatPr defaultRowHeight="14.4" x14ac:dyDescent="0.3"/>
  <cols>
    <col min="4" max="4" width="14.44140625" customWidth="1"/>
    <col min="5" max="6" width="14.44140625" style="343" customWidth="1"/>
    <col min="7" max="7" width="11.5546875" customWidth="1"/>
    <col min="8" max="8" width="11.109375" customWidth="1"/>
  </cols>
  <sheetData>
    <row r="1" spans="1:11" s="343" customFormat="1" ht="18" x14ac:dyDescent="0.35">
      <c r="A1" s="542" t="s">
        <v>122</v>
      </c>
      <c r="B1" s="542"/>
      <c r="C1" s="542"/>
      <c r="D1" s="542"/>
      <c r="E1" s="542"/>
      <c r="F1" s="542"/>
      <c r="G1" s="542"/>
      <c r="H1" s="542"/>
      <c r="I1" s="542"/>
      <c r="J1" s="542"/>
      <c r="K1" s="542"/>
    </row>
    <row r="2" spans="1:11" s="343" customFormat="1" ht="18" x14ac:dyDescent="0.35">
      <c r="A2" s="542" t="s">
        <v>163</v>
      </c>
      <c r="B2" s="542"/>
      <c r="C2" s="542"/>
      <c r="D2" s="542"/>
      <c r="E2" s="542"/>
      <c r="F2" s="542"/>
      <c r="G2" s="542"/>
      <c r="H2" s="542"/>
      <c r="I2" s="542"/>
      <c r="J2" s="542"/>
      <c r="K2" s="542"/>
    </row>
    <row r="3" spans="1:11" s="343" customFormat="1" ht="18" x14ac:dyDescent="0.35">
      <c r="A3" s="542" t="s">
        <v>166</v>
      </c>
      <c r="B3" s="542"/>
      <c r="C3" s="542"/>
      <c r="D3" s="542"/>
      <c r="E3" s="542"/>
      <c r="F3" s="542"/>
      <c r="G3" s="542"/>
      <c r="H3" s="542"/>
      <c r="I3" s="542"/>
      <c r="J3" s="542"/>
      <c r="K3" s="542"/>
    </row>
    <row r="4" spans="1:11" s="343" customFormat="1" ht="18" x14ac:dyDescent="0.35">
      <c r="A4" s="542" t="s">
        <v>123</v>
      </c>
      <c r="B4" s="542"/>
      <c r="C4" s="542"/>
      <c r="D4" s="542"/>
      <c r="E4" s="542"/>
      <c r="F4" s="542"/>
      <c r="G4" s="542"/>
      <c r="H4" s="542"/>
      <c r="I4" s="542"/>
      <c r="J4" s="542"/>
      <c r="K4" s="542"/>
    </row>
    <row r="5" spans="1:11" s="343" customFormat="1" x14ac:dyDescent="0.3"/>
    <row r="6" spans="1:11" s="343" customFormat="1" ht="24.6" x14ac:dyDescent="0.3">
      <c r="A6" s="6" t="s">
        <v>18</v>
      </c>
      <c r="B6" s="6" t="s">
        <v>19</v>
      </c>
      <c r="C6" s="7" t="s">
        <v>0</v>
      </c>
      <c r="D6" s="8" t="s">
        <v>11</v>
      </c>
      <c r="E6" s="499" t="s">
        <v>158</v>
      </c>
      <c r="F6" s="499" t="s">
        <v>159</v>
      </c>
      <c r="G6" s="112" t="s">
        <v>9</v>
      </c>
      <c r="H6" s="392" t="s">
        <v>10</v>
      </c>
    </row>
    <row r="7" spans="1:11" s="343" customFormat="1" x14ac:dyDescent="0.3">
      <c r="A7" s="16">
        <v>2027</v>
      </c>
      <c r="B7" s="17" t="s">
        <v>20</v>
      </c>
      <c r="C7" s="18" t="s">
        <v>89</v>
      </c>
      <c r="D7" s="207">
        <f>G7+H7</f>
        <v>0</v>
      </c>
      <c r="E7" s="209"/>
      <c r="F7" s="209"/>
      <c r="G7" s="399">
        <v>0</v>
      </c>
      <c r="H7" s="406"/>
    </row>
    <row r="8" spans="1:11" s="343" customFormat="1" x14ac:dyDescent="0.3">
      <c r="A8" s="19">
        <v>2027</v>
      </c>
      <c r="B8" s="20" t="s">
        <v>21</v>
      </c>
      <c r="C8" s="21" t="s">
        <v>89</v>
      </c>
      <c r="D8" s="209">
        <f t="shared" ref="D8:D18" si="0">G8+H8</f>
        <v>0</v>
      </c>
      <c r="E8" s="209"/>
      <c r="F8" s="209"/>
      <c r="G8" s="399">
        <v>0</v>
      </c>
      <c r="H8" s="406"/>
    </row>
    <row r="9" spans="1:11" s="343" customFormat="1" x14ac:dyDescent="0.3">
      <c r="A9" s="19">
        <v>2027</v>
      </c>
      <c r="B9" s="20" t="s">
        <v>22</v>
      </c>
      <c r="C9" s="21" t="s">
        <v>89</v>
      </c>
      <c r="D9" s="209">
        <f t="shared" si="0"/>
        <v>0</v>
      </c>
      <c r="E9" s="209"/>
      <c r="F9" s="209"/>
      <c r="G9" s="399">
        <v>0</v>
      </c>
      <c r="H9" s="406"/>
    </row>
    <row r="10" spans="1:11" s="343" customFormat="1" x14ac:dyDescent="0.3">
      <c r="A10" s="19">
        <v>2027</v>
      </c>
      <c r="B10" s="20" t="s">
        <v>23</v>
      </c>
      <c r="C10" s="21" t="s">
        <v>89</v>
      </c>
      <c r="D10" s="209">
        <f t="shared" si="0"/>
        <v>0</v>
      </c>
      <c r="E10" s="209"/>
      <c r="F10" s="209"/>
      <c r="G10" s="399">
        <v>0</v>
      </c>
      <c r="H10" s="406"/>
    </row>
    <row r="11" spans="1:11" s="343" customFormat="1" x14ac:dyDescent="0.3">
      <c r="A11" s="19">
        <v>2027</v>
      </c>
      <c r="B11" s="20" t="s">
        <v>24</v>
      </c>
      <c r="C11" s="21" t="s">
        <v>89</v>
      </c>
      <c r="D11" s="209">
        <f t="shared" si="0"/>
        <v>0</v>
      </c>
      <c r="E11" s="209"/>
      <c r="F11" s="209"/>
      <c r="G11" s="399">
        <v>0</v>
      </c>
      <c r="H11" s="406"/>
    </row>
    <row r="12" spans="1:11" s="343" customFormat="1" x14ac:dyDescent="0.3">
      <c r="A12" s="19">
        <v>2027</v>
      </c>
      <c r="B12" s="20" t="s">
        <v>25</v>
      </c>
      <c r="C12" s="21" t="s">
        <v>89</v>
      </c>
      <c r="D12" s="209">
        <f t="shared" si="0"/>
        <v>0</v>
      </c>
      <c r="E12" s="209"/>
      <c r="F12" s="209"/>
      <c r="G12" s="399"/>
      <c r="H12" s="406">
        <v>0</v>
      </c>
    </row>
    <row r="13" spans="1:11" s="343" customFormat="1" x14ac:dyDescent="0.3">
      <c r="A13" s="19">
        <v>2027</v>
      </c>
      <c r="B13" s="20" t="s">
        <v>26</v>
      </c>
      <c r="C13" s="21" t="s">
        <v>89</v>
      </c>
      <c r="D13" s="209">
        <f t="shared" si="0"/>
        <v>0</v>
      </c>
      <c r="E13" s="209"/>
      <c r="F13" s="209"/>
      <c r="G13" s="399"/>
      <c r="H13" s="406">
        <v>0</v>
      </c>
    </row>
    <row r="14" spans="1:11" s="343" customFormat="1" x14ac:dyDescent="0.3">
      <c r="A14" s="19">
        <v>2027</v>
      </c>
      <c r="B14" s="20" t="s">
        <v>27</v>
      </c>
      <c r="C14" s="21" t="s">
        <v>89</v>
      </c>
      <c r="D14" s="209">
        <f t="shared" si="0"/>
        <v>0</v>
      </c>
      <c r="E14" s="209"/>
      <c r="F14" s="209"/>
      <c r="G14" s="399"/>
      <c r="H14" s="406">
        <v>0</v>
      </c>
    </row>
    <row r="15" spans="1:11" s="343" customFormat="1" x14ac:dyDescent="0.3">
      <c r="A15" s="19">
        <v>2027</v>
      </c>
      <c r="B15" s="20" t="s">
        <v>28</v>
      </c>
      <c r="C15" s="21" t="s">
        <v>89</v>
      </c>
      <c r="D15" s="209">
        <f t="shared" si="0"/>
        <v>0</v>
      </c>
      <c r="E15" s="209"/>
      <c r="F15" s="209"/>
      <c r="G15" s="399"/>
      <c r="H15" s="406">
        <v>0</v>
      </c>
    </row>
    <row r="16" spans="1:11" s="343" customFormat="1" x14ac:dyDescent="0.3">
      <c r="A16" s="19">
        <v>2027</v>
      </c>
      <c r="B16" s="20" t="s">
        <v>29</v>
      </c>
      <c r="C16" s="21" t="s">
        <v>89</v>
      </c>
      <c r="D16" s="209">
        <f t="shared" si="0"/>
        <v>0</v>
      </c>
      <c r="E16" s="209"/>
      <c r="F16" s="209"/>
      <c r="G16" s="399">
        <v>0</v>
      </c>
      <c r="H16" s="406"/>
    </row>
    <row r="17" spans="1:21" s="343" customFormat="1" x14ac:dyDescent="0.3">
      <c r="A17" s="19">
        <v>2027</v>
      </c>
      <c r="B17" s="20" t="s">
        <v>30</v>
      </c>
      <c r="C17" s="21" t="s">
        <v>89</v>
      </c>
      <c r="D17" s="209">
        <f t="shared" si="0"/>
        <v>0</v>
      </c>
      <c r="E17" s="209"/>
      <c r="F17" s="209"/>
      <c r="G17" s="399">
        <v>0</v>
      </c>
      <c r="H17" s="406"/>
    </row>
    <row r="18" spans="1:21" s="343" customFormat="1" x14ac:dyDescent="0.3">
      <c r="A18" s="22">
        <v>2027</v>
      </c>
      <c r="B18" s="23" t="s">
        <v>31</v>
      </c>
      <c r="C18" s="24" t="s">
        <v>89</v>
      </c>
      <c r="D18" s="211">
        <f t="shared" si="0"/>
        <v>0</v>
      </c>
      <c r="E18" s="211"/>
      <c r="F18" s="211"/>
      <c r="G18" s="403">
        <v>0</v>
      </c>
      <c r="H18" s="407"/>
    </row>
    <row r="19" spans="1:21" s="343" customFormat="1" x14ac:dyDescent="0.3">
      <c r="A19" s="545" t="s">
        <v>93</v>
      </c>
      <c r="B19" s="545"/>
      <c r="C19" s="545"/>
      <c r="D19" s="171">
        <f>SUM(D7:D18)</f>
        <v>0</v>
      </c>
      <c r="E19" s="171">
        <f>SUM(E7:E18)</f>
        <v>0</v>
      </c>
      <c r="F19" s="171">
        <f>SUM(F7:F18)</f>
        <v>0</v>
      </c>
      <c r="G19" s="171">
        <f>SUM(G7:G18)</f>
        <v>0</v>
      </c>
      <c r="H19" s="171">
        <f>SUM(H7:H18)</f>
        <v>0</v>
      </c>
    </row>
    <row r="20" spans="1:21" s="343" customFormat="1" x14ac:dyDescent="0.3">
      <c r="A20" s="495" t="s">
        <v>154</v>
      </c>
      <c r="J20" s="344"/>
      <c r="K20" s="344"/>
      <c r="L20" s="344"/>
      <c r="M20" s="344"/>
      <c r="N20" s="344"/>
      <c r="O20" s="344"/>
      <c r="P20" s="344"/>
      <c r="Q20" s="344"/>
      <c r="R20" s="344"/>
      <c r="S20" s="344"/>
      <c r="T20" s="344"/>
      <c r="U20" s="344"/>
    </row>
    <row r="21" spans="1:21" ht="24.6" x14ac:dyDescent="0.3">
      <c r="A21" s="6" t="s">
        <v>18</v>
      </c>
      <c r="B21" s="6" t="s">
        <v>19</v>
      </c>
      <c r="C21" s="7" t="s">
        <v>0</v>
      </c>
      <c r="D21" s="8" t="s">
        <v>11</v>
      </c>
      <c r="E21" s="499" t="s">
        <v>158</v>
      </c>
      <c r="F21" s="499" t="s">
        <v>159</v>
      </c>
      <c r="G21" s="112" t="s">
        <v>9</v>
      </c>
      <c r="H21" s="392" t="s">
        <v>10</v>
      </c>
    </row>
    <row r="22" spans="1:21" x14ac:dyDescent="0.3">
      <c r="A22" s="16">
        <v>2026</v>
      </c>
      <c r="B22" s="17" t="s">
        <v>20</v>
      </c>
      <c r="C22" s="18" t="s">
        <v>89</v>
      </c>
      <c r="D22" s="207">
        <f>G22+H22</f>
        <v>3865.1359044148448</v>
      </c>
      <c r="E22" s="209">
        <v>789.76469364901095</v>
      </c>
      <c r="F22" s="209">
        <v>394.50657814875302</v>
      </c>
      <c r="G22" s="399">
        <v>3865.1359044148448</v>
      </c>
      <c r="H22" s="400">
        <v>0</v>
      </c>
    </row>
    <row r="23" spans="1:21" x14ac:dyDescent="0.3">
      <c r="A23" s="19">
        <v>2026</v>
      </c>
      <c r="B23" s="20" t="s">
        <v>21</v>
      </c>
      <c r="C23" s="21" t="s">
        <v>89</v>
      </c>
      <c r="D23" s="209">
        <f t="shared" ref="D23:D33" si="1">G23+H23</f>
        <v>3379.4003882388356</v>
      </c>
      <c r="E23" s="209">
        <v>718.43525427143595</v>
      </c>
      <c r="F23" s="209">
        <v>358.875796883894</v>
      </c>
      <c r="G23" s="399">
        <v>3379.4003882388356</v>
      </c>
      <c r="H23" s="401">
        <v>0</v>
      </c>
    </row>
    <row r="24" spans="1:21" x14ac:dyDescent="0.3">
      <c r="A24" s="19">
        <v>2026</v>
      </c>
      <c r="B24" s="20" t="s">
        <v>22</v>
      </c>
      <c r="C24" s="21" t="s">
        <v>89</v>
      </c>
      <c r="D24" s="209">
        <f t="shared" si="1"/>
        <v>2979.7655159701208</v>
      </c>
      <c r="E24" s="209">
        <v>701.08485009851199</v>
      </c>
      <c r="F24" s="209">
        <v>350.20885008973897</v>
      </c>
      <c r="G24" s="399">
        <v>2979.7655159701208</v>
      </c>
      <c r="H24" s="401">
        <v>0</v>
      </c>
    </row>
    <row r="25" spans="1:21" x14ac:dyDescent="0.3">
      <c r="A25" s="19">
        <v>2026</v>
      </c>
      <c r="B25" s="20" t="s">
        <v>23</v>
      </c>
      <c r="C25" s="21" t="s">
        <v>89</v>
      </c>
      <c r="D25" s="209">
        <f t="shared" si="1"/>
        <v>2843.464564771401</v>
      </c>
      <c r="E25" s="209">
        <v>703.65528034635201</v>
      </c>
      <c r="F25" s="209">
        <v>351.49284220739202</v>
      </c>
      <c r="G25" s="399">
        <v>2843.464564771401</v>
      </c>
      <c r="H25" s="401">
        <v>0</v>
      </c>
    </row>
    <row r="26" spans="1:21" x14ac:dyDescent="0.3">
      <c r="A26" s="19">
        <v>2026</v>
      </c>
      <c r="B26" s="20" t="s">
        <v>24</v>
      </c>
      <c r="C26" s="21" t="s">
        <v>89</v>
      </c>
      <c r="D26" s="209">
        <f t="shared" si="1"/>
        <v>2540.2061015259101</v>
      </c>
      <c r="E26" s="209">
        <v>674.73794005814602</v>
      </c>
      <c r="F26" s="209">
        <v>337.04793088380001</v>
      </c>
      <c r="G26" s="399">
        <v>2540.2061015259101</v>
      </c>
      <c r="H26" s="401">
        <v>0</v>
      </c>
    </row>
    <row r="27" spans="1:21" x14ac:dyDescent="0.3">
      <c r="A27" s="19">
        <v>2026</v>
      </c>
      <c r="B27" s="20" t="s">
        <v>25</v>
      </c>
      <c r="C27" s="21" t="s">
        <v>89</v>
      </c>
      <c r="D27" s="209">
        <f t="shared" si="1"/>
        <v>2913.6761867318305</v>
      </c>
      <c r="E27" s="209">
        <v>871.375854017949</v>
      </c>
      <c r="F27" s="209">
        <v>435.273327884222</v>
      </c>
      <c r="G27" s="399">
        <v>0</v>
      </c>
      <c r="H27" s="401">
        <v>2913.6761867318305</v>
      </c>
    </row>
    <row r="28" spans="1:21" x14ac:dyDescent="0.3">
      <c r="A28" s="19">
        <v>2026</v>
      </c>
      <c r="B28" s="20" t="s">
        <v>26</v>
      </c>
      <c r="C28" s="21" t="s">
        <v>89</v>
      </c>
      <c r="D28" s="209">
        <f t="shared" si="1"/>
        <v>3455.7364545407545</v>
      </c>
      <c r="E28" s="209">
        <v>823.82289443289801</v>
      </c>
      <c r="F28" s="209">
        <v>411.51947370764901</v>
      </c>
      <c r="G28" s="399">
        <v>0</v>
      </c>
      <c r="H28" s="401">
        <v>3455.7364545407545</v>
      </c>
    </row>
    <row r="29" spans="1:21" x14ac:dyDescent="0.3">
      <c r="A29" s="19">
        <v>2026</v>
      </c>
      <c r="B29" s="20" t="s">
        <v>27</v>
      </c>
      <c r="C29" s="21" t="s">
        <v>89</v>
      </c>
      <c r="D29" s="209">
        <f t="shared" si="1"/>
        <v>3242.1530743005833</v>
      </c>
      <c r="E29" s="209">
        <v>780.76818778156905</v>
      </c>
      <c r="F29" s="209">
        <v>390.01260573696902</v>
      </c>
      <c r="G29" s="399">
        <v>0</v>
      </c>
      <c r="H29" s="401">
        <v>3242.1530743005833</v>
      </c>
    </row>
    <row r="30" spans="1:21" x14ac:dyDescent="0.3">
      <c r="A30" s="19">
        <v>2026</v>
      </c>
      <c r="B30" s="20" t="s">
        <v>28</v>
      </c>
      <c r="C30" s="21" t="s">
        <v>89</v>
      </c>
      <c r="D30" s="209">
        <f t="shared" si="1"/>
        <v>2771.7549176869175</v>
      </c>
      <c r="E30" s="209">
        <v>735.785658444359</v>
      </c>
      <c r="F30" s="209">
        <v>367.54274367804902</v>
      </c>
      <c r="G30" s="399">
        <v>0</v>
      </c>
      <c r="H30" s="401">
        <v>2771.7549176869175</v>
      </c>
    </row>
    <row r="31" spans="1:21" x14ac:dyDescent="0.3">
      <c r="A31" s="19">
        <v>2026</v>
      </c>
      <c r="B31" s="20" t="s">
        <v>29</v>
      </c>
      <c r="C31" s="21" t="s">
        <v>89</v>
      </c>
      <c r="D31" s="209">
        <f t="shared" si="1"/>
        <v>2872.0384383952596</v>
      </c>
      <c r="E31" s="209">
        <v>780.76818778156905</v>
      </c>
      <c r="F31" s="209">
        <v>390.01260573696902</v>
      </c>
      <c r="G31" s="399">
        <v>2872.0384383952596</v>
      </c>
      <c r="H31" s="401">
        <v>0</v>
      </c>
    </row>
    <row r="32" spans="1:21" x14ac:dyDescent="0.3">
      <c r="A32" s="19">
        <v>2026</v>
      </c>
      <c r="B32" s="20" t="s">
        <v>30</v>
      </c>
      <c r="C32" s="21" t="s">
        <v>89</v>
      </c>
      <c r="D32" s="209">
        <f t="shared" si="1"/>
        <v>2920.7906016875004</v>
      </c>
      <c r="E32" s="209">
        <v>1005.68083446762</v>
      </c>
      <c r="F32" s="209">
        <v>502.36191603156902</v>
      </c>
      <c r="G32" s="399">
        <v>2920.7906016875004</v>
      </c>
      <c r="H32" s="401">
        <v>0</v>
      </c>
    </row>
    <row r="33" spans="1:21" x14ac:dyDescent="0.3">
      <c r="A33" s="22">
        <v>2026</v>
      </c>
      <c r="B33" s="23" t="s">
        <v>31</v>
      </c>
      <c r="C33" s="24" t="s">
        <v>89</v>
      </c>
      <c r="D33" s="211">
        <f t="shared" si="1"/>
        <v>3391.8574054390369</v>
      </c>
      <c r="E33" s="211">
        <v>886.79843550499197</v>
      </c>
      <c r="F33" s="211">
        <v>442.97728059013701</v>
      </c>
      <c r="G33" s="404">
        <v>3391.8574054390369</v>
      </c>
      <c r="H33" s="402">
        <v>0</v>
      </c>
    </row>
    <row r="34" spans="1:21" x14ac:dyDescent="0.3">
      <c r="A34" s="545" t="s">
        <v>93</v>
      </c>
      <c r="B34" s="545"/>
      <c r="C34" s="545"/>
      <c r="D34" s="331">
        <f>SUM(D22:D33)</f>
        <v>37175.979553702986</v>
      </c>
      <c r="E34" s="331">
        <f>SUM(E22:E33)</f>
        <v>9472.6780708544138</v>
      </c>
      <c r="F34" s="331">
        <f>SUM(F22:F33)</f>
        <v>4731.8319515791418</v>
      </c>
      <c r="G34" s="331">
        <f>SUM(G22:G33)</f>
        <v>24792.658920442907</v>
      </c>
      <c r="H34" s="331">
        <f>SUM(H22:H33)</f>
        <v>12383.320633260086</v>
      </c>
    </row>
    <row r="35" spans="1:21" s="343" customFormat="1" x14ac:dyDescent="0.3">
      <c r="A35" s="383"/>
      <c r="B35" s="383"/>
      <c r="C35" s="383"/>
      <c r="D35" s="171"/>
      <c r="E35" s="171"/>
      <c r="F35" s="171"/>
      <c r="G35" s="171"/>
      <c r="H35" s="171"/>
    </row>
    <row r="36" spans="1:21" ht="24.6" x14ac:dyDescent="0.3">
      <c r="A36" s="6" t="s">
        <v>18</v>
      </c>
      <c r="B36" s="6" t="s">
        <v>19</v>
      </c>
      <c r="C36" s="7" t="s">
        <v>0</v>
      </c>
      <c r="D36" s="8" t="s">
        <v>11</v>
      </c>
      <c r="E36" s="499" t="s">
        <v>158</v>
      </c>
      <c r="F36" s="499" t="s">
        <v>159</v>
      </c>
      <c r="G36" s="112" t="s">
        <v>9</v>
      </c>
      <c r="H36" s="8" t="s">
        <v>10</v>
      </c>
      <c r="J36" s="323"/>
      <c r="K36" s="323"/>
      <c r="L36" s="323"/>
      <c r="M36" s="323"/>
      <c r="N36" s="323"/>
      <c r="O36" s="323"/>
      <c r="P36" s="323"/>
      <c r="Q36" s="323"/>
      <c r="R36" s="323"/>
      <c r="S36" s="323"/>
      <c r="T36" s="323"/>
      <c r="U36" s="323"/>
    </row>
    <row r="37" spans="1:21" s="343" customFormat="1" x14ac:dyDescent="0.3">
      <c r="A37" s="16">
        <v>2024</v>
      </c>
      <c r="B37" s="17" t="s">
        <v>20</v>
      </c>
      <c r="C37" s="18" t="s">
        <v>89</v>
      </c>
      <c r="D37" s="239">
        <f>G37+H37</f>
        <v>3223</v>
      </c>
      <c r="E37" s="239">
        <v>922</v>
      </c>
      <c r="F37" s="239">
        <v>307</v>
      </c>
      <c r="G37" s="239">
        <v>3223</v>
      </c>
      <c r="H37" s="240"/>
    </row>
    <row r="38" spans="1:21" s="343" customFormat="1" x14ac:dyDescent="0.3">
      <c r="A38" s="19">
        <v>2024</v>
      </c>
      <c r="B38" s="20" t="s">
        <v>21</v>
      </c>
      <c r="C38" s="21" t="s">
        <v>89</v>
      </c>
      <c r="D38" s="241">
        <f t="shared" ref="D38:D48" si="2">G38+H38</f>
        <v>3674</v>
      </c>
      <c r="E38" s="241">
        <v>839</v>
      </c>
      <c r="F38" s="241">
        <v>279</v>
      </c>
      <c r="G38" s="241">
        <v>3674</v>
      </c>
      <c r="H38" s="242"/>
      <c r="J38" s="344"/>
      <c r="K38" s="344"/>
      <c r="L38" s="344"/>
      <c r="M38" s="344"/>
      <c r="N38" s="344"/>
      <c r="O38" s="344"/>
      <c r="P38" s="344"/>
      <c r="Q38" s="344"/>
      <c r="R38" s="344"/>
      <c r="S38" s="344"/>
      <c r="T38" s="344"/>
      <c r="U38" s="344"/>
    </row>
    <row r="39" spans="1:21" s="343" customFormat="1" x14ac:dyDescent="0.3">
      <c r="A39" s="19">
        <v>2024</v>
      </c>
      <c r="B39" s="20" t="s">
        <v>22</v>
      </c>
      <c r="C39" s="21" t="s">
        <v>89</v>
      </c>
      <c r="D39" s="241">
        <f t="shared" si="2"/>
        <v>2525</v>
      </c>
      <c r="E39" s="241">
        <v>818</v>
      </c>
      <c r="F39" s="241">
        <v>273</v>
      </c>
      <c r="G39" s="241">
        <v>2525</v>
      </c>
      <c r="H39" s="242"/>
      <c r="J39" s="344"/>
      <c r="K39" s="344"/>
      <c r="L39" s="344"/>
      <c r="M39" s="344"/>
      <c r="N39" s="344"/>
      <c r="O39" s="344"/>
      <c r="P39" s="344"/>
      <c r="Q39" s="344"/>
      <c r="R39" s="344"/>
      <c r="S39" s="344"/>
      <c r="T39" s="344"/>
      <c r="U39" s="344"/>
    </row>
    <row r="40" spans="1:21" s="343" customFormat="1" x14ac:dyDescent="0.3">
      <c r="A40" s="19">
        <v>2024</v>
      </c>
      <c r="B40" s="20" t="s">
        <v>23</v>
      </c>
      <c r="C40" s="21" t="s">
        <v>89</v>
      </c>
      <c r="D40" s="241">
        <f t="shared" si="2"/>
        <v>2690</v>
      </c>
      <c r="E40" s="241">
        <v>821</v>
      </c>
      <c r="F40" s="241">
        <v>274</v>
      </c>
      <c r="G40" s="241">
        <v>2690</v>
      </c>
      <c r="H40" s="242"/>
    </row>
    <row r="41" spans="1:21" s="343" customFormat="1" x14ac:dyDescent="0.3">
      <c r="A41" s="19">
        <v>2024</v>
      </c>
      <c r="B41" s="20" t="s">
        <v>24</v>
      </c>
      <c r="C41" s="21" t="s">
        <v>89</v>
      </c>
      <c r="D41" s="241">
        <f t="shared" si="2"/>
        <v>2517</v>
      </c>
      <c r="E41" s="241">
        <v>788</v>
      </c>
      <c r="F41" s="241">
        <v>262</v>
      </c>
      <c r="G41" s="241">
        <v>2517</v>
      </c>
      <c r="H41" s="242"/>
    </row>
    <row r="42" spans="1:21" s="343" customFormat="1" x14ac:dyDescent="0.3">
      <c r="A42" s="19">
        <v>2024</v>
      </c>
      <c r="B42" s="20" t="s">
        <v>25</v>
      </c>
      <c r="C42" s="21" t="s">
        <v>89</v>
      </c>
      <c r="D42" s="241">
        <f t="shared" si="2"/>
        <v>3024</v>
      </c>
      <c r="E42" s="241">
        <v>1017</v>
      </c>
      <c r="F42" s="241">
        <v>339</v>
      </c>
      <c r="G42" s="241">
        <v>1982</v>
      </c>
      <c r="H42" s="242">
        <v>1042</v>
      </c>
    </row>
    <row r="43" spans="1:21" s="343" customFormat="1" x14ac:dyDescent="0.3">
      <c r="A43" s="19">
        <v>2024</v>
      </c>
      <c r="B43" s="20" t="s">
        <v>26</v>
      </c>
      <c r="C43" s="21" t="s">
        <v>89</v>
      </c>
      <c r="D43" s="241">
        <f t="shared" si="2"/>
        <v>2950</v>
      </c>
      <c r="E43" s="241">
        <v>962</v>
      </c>
      <c r="F43" s="241">
        <v>320</v>
      </c>
      <c r="G43" s="241"/>
      <c r="H43" s="242">
        <v>2950</v>
      </c>
    </row>
    <row r="44" spans="1:21" s="343" customFormat="1" x14ac:dyDescent="0.3">
      <c r="A44" s="19">
        <v>2024</v>
      </c>
      <c r="B44" s="20" t="s">
        <v>27</v>
      </c>
      <c r="C44" s="21" t="s">
        <v>89</v>
      </c>
      <c r="D44" s="241">
        <f t="shared" si="2"/>
        <v>3098</v>
      </c>
      <c r="E44" s="241">
        <v>911</v>
      </c>
      <c r="F44" s="241">
        <v>304</v>
      </c>
      <c r="G44" s="241"/>
      <c r="H44" s="242">
        <v>3098</v>
      </c>
    </row>
    <row r="45" spans="1:21" s="343" customFormat="1" x14ac:dyDescent="0.3">
      <c r="A45" s="19">
        <v>2024</v>
      </c>
      <c r="B45" s="20" t="s">
        <v>28</v>
      </c>
      <c r="C45" s="21" t="s">
        <v>89</v>
      </c>
      <c r="D45" s="241">
        <f t="shared" si="2"/>
        <v>2871</v>
      </c>
      <c r="E45" s="241">
        <v>859</v>
      </c>
      <c r="F45" s="241">
        <v>286</v>
      </c>
      <c r="G45" s="241"/>
      <c r="H45" s="242">
        <v>2871</v>
      </c>
    </row>
    <row r="46" spans="1:21" s="343" customFormat="1" x14ac:dyDescent="0.3">
      <c r="A46" s="19">
        <v>2024</v>
      </c>
      <c r="B46" s="20" t="s">
        <v>29</v>
      </c>
      <c r="C46" s="21" t="s">
        <v>89</v>
      </c>
      <c r="D46" s="241">
        <f t="shared" si="2"/>
        <v>2232</v>
      </c>
      <c r="E46" s="241">
        <v>665</v>
      </c>
      <c r="F46" s="241">
        <v>221</v>
      </c>
      <c r="G46" s="241">
        <v>631</v>
      </c>
      <c r="H46" s="242">
        <v>1601</v>
      </c>
    </row>
    <row r="47" spans="1:21" s="343" customFormat="1" x14ac:dyDescent="0.3">
      <c r="A47" s="19">
        <v>2024</v>
      </c>
      <c r="B47" s="20" t="s">
        <v>30</v>
      </c>
      <c r="C47" s="21" t="s">
        <v>89</v>
      </c>
      <c r="D47" s="241">
        <f t="shared" si="2"/>
        <v>2661</v>
      </c>
      <c r="E47" s="241">
        <v>746</v>
      </c>
      <c r="F47" s="241">
        <v>248</v>
      </c>
      <c r="G47" s="241">
        <v>2661</v>
      </c>
      <c r="H47" s="242"/>
    </row>
    <row r="48" spans="1:21" s="343" customFormat="1" x14ac:dyDescent="0.3">
      <c r="A48" s="22">
        <v>2024</v>
      </c>
      <c r="B48" s="23" t="s">
        <v>31</v>
      </c>
      <c r="C48" s="24" t="s">
        <v>89</v>
      </c>
      <c r="D48" s="243">
        <f t="shared" si="2"/>
        <v>3155</v>
      </c>
      <c r="E48" s="243">
        <v>965</v>
      </c>
      <c r="F48" s="243">
        <v>322</v>
      </c>
      <c r="G48" s="243">
        <v>3155</v>
      </c>
      <c r="H48" s="244"/>
    </row>
    <row r="49" spans="1:21" s="343" customFormat="1" x14ac:dyDescent="0.3">
      <c r="A49" s="545" t="s">
        <v>81</v>
      </c>
      <c r="B49" s="545"/>
      <c r="C49" s="545"/>
      <c r="D49" s="171">
        <f>SUM(D37:D48)</f>
        <v>34620</v>
      </c>
      <c r="E49" s="171">
        <f>SUM(E37:E48)</f>
        <v>10313</v>
      </c>
      <c r="F49" s="171">
        <f>SUM(F37:F48)</f>
        <v>3435</v>
      </c>
      <c r="G49" s="171">
        <f>SUM(G37:G48)</f>
        <v>23058</v>
      </c>
      <c r="H49" s="171">
        <f>SUM(H37:H48)</f>
        <v>11562</v>
      </c>
    </row>
    <row r="50" spans="1:21" s="343" customFormat="1" x14ac:dyDescent="0.3">
      <c r="A50" s="383"/>
      <c r="B50" s="383"/>
      <c r="C50" s="383"/>
      <c r="D50" s="171"/>
      <c r="E50" s="171"/>
      <c r="F50" s="171"/>
      <c r="G50" s="171"/>
      <c r="H50" s="171"/>
    </row>
    <row r="51" spans="1:21" s="343" customFormat="1" ht="24.6" x14ac:dyDescent="0.3">
      <c r="A51" s="6" t="s">
        <v>18</v>
      </c>
      <c r="B51" s="6" t="s">
        <v>19</v>
      </c>
      <c r="C51" s="7" t="s">
        <v>0</v>
      </c>
      <c r="D51" s="8" t="s">
        <v>11</v>
      </c>
      <c r="E51" s="499" t="s">
        <v>158</v>
      </c>
      <c r="F51" s="499"/>
      <c r="G51" s="112" t="s">
        <v>9</v>
      </c>
      <c r="H51" s="8" t="s">
        <v>10</v>
      </c>
    </row>
    <row r="52" spans="1:21" s="343" customFormat="1" x14ac:dyDescent="0.3">
      <c r="A52" s="16">
        <v>2023</v>
      </c>
      <c r="B52" s="17" t="s">
        <v>20</v>
      </c>
      <c r="C52" s="18" t="s">
        <v>89</v>
      </c>
      <c r="D52" s="239">
        <f>G52+H52</f>
        <v>4450</v>
      </c>
      <c r="E52" s="239">
        <v>1461</v>
      </c>
      <c r="F52" s="239"/>
      <c r="G52" s="239">
        <v>4450</v>
      </c>
      <c r="H52" s="240"/>
    </row>
    <row r="53" spans="1:21" s="329" customFormat="1" x14ac:dyDescent="0.3">
      <c r="A53" s="19">
        <v>2023</v>
      </c>
      <c r="B53" s="20" t="s">
        <v>21</v>
      </c>
      <c r="C53" s="21" t="s">
        <v>89</v>
      </c>
      <c r="D53" s="241">
        <f t="shared" ref="D53:D63" si="3">G53+H53</f>
        <v>3788</v>
      </c>
      <c r="E53" s="241">
        <v>1256</v>
      </c>
      <c r="F53" s="241"/>
      <c r="G53" s="241">
        <v>3788</v>
      </c>
      <c r="H53" s="242"/>
    </row>
    <row r="54" spans="1:21" s="329" customFormat="1" x14ac:dyDescent="0.3">
      <c r="A54" s="19">
        <v>2023</v>
      </c>
      <c r="B54" s="20" t="s">
        <v>22</v>
      </c>
      <c r="C54" s="21" t="s">
        <v>89</v>
      </c>
      <c r="D54" s="241">
        <f t="shared" si="3"/>
        <v>3283</v>
      </c>
      <c r="E54" s="241">
        <v>1131</v>
      </c>
      <c r="F54" s="241"/>
      <c r="G54" s="241">
        <v>3283</v>
      </c>
      <c r="H54" s="242"/>
      <c r="J54" s="327"/>
      <c r="K54" s="327"/>
      <c r="L54" s="327"/>
      <c r="M54" s="327"/>
      <c r="N54" s="327"/>
      <c r="O54" s="327"/>
      <c r="P54" s="327"/>
      <c r="Q54" s="327"/>
      <c r="R54" s="327"/>
      <c r="S54" s="327"/>
      <c r="T54" s="327"/>
      <c r="U54" s="327"/>
    </row>
    <row r="55" spans="1:21" s="329" customFormat="1" x14ac:dyDescent="0.3">
      <c r="A55" s="19">
        <v>2023</v>
      </c>
      <c r="B55" s="20" t="s">
        <v>23</v>
      </c>
      <c r="C55" s="21" t="s">
        <v>89</v>
      </c>
      <c r="D55" s="241">
        <f t="shared" si="3"/>
        <v>2777</v>
      </c>
      <c r="E55" s="241">
        <v>1088</v>
      </c>
      <c r="F55" s="241"/>
      <c r="G55" s="241">
        <v>2777</v>
      </c>
      <c r="H55" s="242"/>
      <c r="J55" s="327"/>
      <c r="K55" s="327"/>
      <c r="L55" s="327"/>
      <c r="M55" s="327"/>
      <c r="N55" s="327"/>
      <c r="O55" s="327"/>
      <c r="P55" s="327"/>
      <c r="Q55" s="327"/>
      <c r="R55" s="327"/>
      <c r="S55" s="327"/>
      <c r="T55" s="327"/>
      <c r="U55" s="327"/>
    </row>
    <row r="56" spans="1:21" s="329" customFormat="1" x14ac:dyDescent="0.3">
      <c r="A56" s="19">
        <v>2023</v>
      </c>
      <c r="B56" s="20" t="s">
        <v>24</v>
      </c>
      <c r="C56" s="21" t="s">
        <v>89</v>
      </c>
      <c r="D56" s="241">
        <f t="shared" si="3"/>
        <v>2097</v>
      </c>
      <c r="E56" s="241">
        <v>990</v>
      </c>
      <c r="F56" s="241"/>
      <c r="G56" s="241">
        <v>2097</v>
      </c>
      <c r="H56" s="242"/>
    </row>
    <row r="57" spans="1:21" s="329" customFormat="1" x14ac:dyDescent="0.3">
      <c r="A57" s="19">
        <v>2023</v>
      </c>
      <c r="B57" s="20" t="s">
        <v>25</v>
      </c>
      <c r="C57" s="21" t="s">
        <v>89</v>
      </c>
      <c r="D57" s="241">
        <f t="shared" si="3"/>
        <v>3061</v>
      </c>
      <c r="E57" s="241">
        <v>1349</v>
      </c>
      <c r="F57" s="241"/>
      <c r="G57" s="241">
        <v>1971</v>
      </c>
      <c r="H57" s="242">
        <v>1090</v>
      </c>
    </row>
    <row r="58" spans="1:21" s="329" customFormat="1" x14ac:dyDescent="0.3">
      <c r="A58" s="19">
        <v>2023</v>
      </c>
      <c r="B58" s="20" t="s">
        <v>26</v>
      </c>
      <c r="C58" s="21" t="s">
        <v>89</v>
      </c>
      <c r="D58" s="241">
        <f t="shared" si="3"/>
        <v>3651</v>
      </c>
      <c r="E58" s="241">
        <v>1446</v>
      </c>
      <c r="F58" s="241"/>
      <c r="G58" s="241"/>
      <c r="H58" s="242">
        <v>3651</v>
      </c>
    </row>
    <row r="59" spans="1:21" s="329" customFormat="1" x14ac:dyDescent="0.3">
      <c r="A59" s="19">
        <v>2023</v>
      </c>
      <c r="B59" s="20" t="s">
        <v>27</v>
      </c>
      <c r="C59" s="21" t="s">
        <v>89</v>
      </c>
      <c r="D59" s="241">
        <f t="shared" si="3"/>
        <v>3187</v>
      </c>
      <c r="E59" s="241">
        <v>1403</v>
      </c>
      <c r="F59" s="241"/>
      <c r="G59" s="241"/>
      <c r="H59" s="242">
        <v>3187</v>
      </c>
    </row>
    <row r="60" spans="1:21" s="329" customFormat="1" x14ac:dyDescent="0.3">
      <c r="A60" s="19">
        <v>2023</v>
      </c>
      <c r="B60" s="20" t="s">
        <v>28</v>
      </c>
      <c r="C60" s="21" t="s">
        <v>89</v>
      </c>
      <c r="D60" s="241">
        <f t="shared" si="3"/>
        <v>3312</v>
      </c>
      <c r="E60" s="241">
        <v>1417</v>
      </c>
      <c r="F60" s="241"/>
      <c r="G60" s="241"/>
      <c r="H60" s="242">
        <v>3312</v>
      </c>
    </row>
    <row r="61" spans="1:21" s="329" customFormat="1" x14ac:dyDescent="0.3">
      <c r="A61" s="19">
        <v>2023</v>
      </c>
      <c r="B61" s="20" t="s">
        <v>29</v>
      </c>
      <c r="C61" s="21" t="s">
        <v>89</v>
      </c>
      <c r="D61" s="241">
        <f t="shared" si="3"/>
        <v>2824</v>
      </c>
      <c r="E61" s="241">
        <v>1215</v>
      </c>
      <c r="F61" s="241"/>
      <c r="G61" s="241">
        <v>926</v>
      </c>
      <c r="H61" s="242">
        <v>1898</v>
      </c>
    </row>
    <row r="62" spans="1:21" s="329" customFormat="1" x14ac:dyDescent="0.3">
      <c r="A62" s="19">
        <v>2023</v>
      </c>
      <c r="B62" s="20" t="s">
        <v>30</v>
      </c>
      <c r="C62" s="21" t="s">
        <v>89</v>
      </c>
      <c r="D62" s="241">
        <f t="shared" si="3"/>
        <v>3483</v>
      </c>
      <c r="E62" s="241">
        <v>1565</v>
      </c>
      <c r="F62" s="241"/>
      <c r="G62" s="241">
        <v>3483</v>
      </c>
      <c r="H62" s="242"/>
    </row>
    <row r="63" spans="1:21" s="329" customFormat="1" x14ac:dyDescent="0.3">
      <c r="A63" s="22">
        <v>2023</v>
      </c>
      <c r="B63" s="23" t="s">
        <v>31</v>
      </c>
      <c r="C63" s="24" t="s">
        <v>89</v>
      </c>
      <c r="D63" s="243">
        <f t="shared" si="3"/>
        <v>3134</v>
      </c>
      <c r="E63" s="243">
        <v>1380</v>
      </c>
      <c r="F63" s="243"/>
      <c r="G63" s="243">
        <v>3134</v>
      </c>
      <c r="H63" s="244"/>
    </row>
    <row r="64" spans="1:21" s="329" customFormat="1" x14ac:dyDescent="0.3">
      <c r="A64" s="545" t="s">
        <v>81</v>
      </c>
      <c r="B64" s="545"/>
      <c r="C64" s="545"/>
      <c r="D64" s="171">
        <f>SUM(D52:D63)</f>
        <v>39047</v>
      </c>
      <c r="E64" s="171">
        <f>SUM(E52:E63)</f>
        <v>15701</v>
      </c>
      <c r="F64" s="171">
        <f>SUM(F52:F63)</f>
        <v>0</v>
      </c>
      <c r="G64" s="171">
        <f>SUM(G52:G63)</f>
        <v>25909</v>
      </c>
      <c r="H64" s="171">
        <f>SUM(H52:H63)</f>
        <v>13138</v>
      </c>
    </row>
    <row r="65" spans="1:21" s="329" customFormat="1" x14ac:dyDescent="0.3">
      <c r="A65"/>
      <c r="B65"/>
      <c r="C65"/>
      <c r="D65"/>
      <c r="E65" s="343"/>
      <c r="F65" s="343"/>
      <c r="G65"/>
      <c r="H65"/>
    </row>
    <row r="66" spans="1:21" s="329" customFormat="1" ht="24.6" x14ac:dyDescent="0.3">
      <c r="A66" s="6" t="s">
        <v>18</v>
      </c>
      <c r="B66" s="6" t="s">
        <v>19</v>
      </c>
      <c r="C66" s="7" t="s">
        <v>0</v>
      </c>
      <c r="D66" s="8" t="s">
        <v>11</v>
      </c>
      <c r="E66" s="499" t="s">
        <v>158</v>
      </c>
      <c r="F66" s="499"/>
      <c r="G66" s="112" t="s">
        <v>9</v>
      </c>
      <c r="H66" s="8" t="s">
        <v>10</v>
      </c>
    </row>
    <row r="67" spans="1:21" s="329" customFormat="1" x14ac:dyDescent="0.3">
      <c r="A67" s="16">
        <v>2022</v>
      </c>
      <c r="B67" s="17" t="s">
        <v>20</v>
      </c>
      <c r="C67" s="18" t="s">
        <v>89</v>
      </c>
      <c r="D67" s="239">
        <f>G67+H67</f>
        <v>4606</v>
      </c>
      <c r="E67" s="239">
        <v>1259</v>
      </c>
      <c r="F67" s="239"/>
      <c r="G67" s="239">
        <v>4606</v>
      </c>
      <c r="H67" s="240"/>
    </row>
    <row r="68" spans="1:21" s="321" customFormat="1" x14ac:dyDescent="0.3">
      <c r="A68" s="19">
        <v>2022</v>
      </c>
      <c r="B68" s="20" t="s">
        <v>21</v>
      </c>
      <c r="C68" s="21" t="s">
        <v>89</v>
      </c>
      <c r="D68" s="241">
        <f t="shared" ref="D68:D78" si="4">G68+H68</f>
        <v>4577</v>
      </c>
      <c r="E68" s="241">
        <v>1346</v>
      </c>
      <c r="F68" s="241"/>
      <c r="G68" s="241">
        <v>4577</v>
      </c>
      <c r="H68" s="242"/>
    </row>
    <row r="69" spans="1:21" s="321" customFormat="1" x14ac:dyDescent="0.3">
      <c r="A69" s="19">
        <v>2022</v>
      </c>
      <c r="B69" s="20" t="s">
        <v>22</v>
      </c>
      <c r="C69" s="21" t="s">
        <v>89</v>
      </c>
      <c r="D69" s="241">
        <f t="shared" si="4"/>
        <v>3814</v>
      </c>
      <c r="E69" s="241">
        <v>1178</v>
      </c>
      <c r="F69" s="241"/>
      <c r="G69" s="241">
        <v>3814</v>
      </c>
      <c r="H69" s="242"/>
      <c r="J69" s="324"/>
      <c r="K69" s="324"/>
      <c r="L69" s="324"/>
      <c r="M69" s="324"/>
      <c r="N69" s="324"/>
      <c r="O69" s="324"/>
      <c r="P69" s="324"/>
      <c r="Q69" s="324"/>
      <c r="R69" s="324"/>
      <c r="S69" s="324"/>
      <c r="T69" s="324"/>
      <c r="U69" s="324"/>
    </row>
    <row r="70" spans="1:21" s="321" customFormat="1" x14ac:dyDescent="0.3">
      <c r="A70" s="19">
        <v>2022</v>
      </c>
      <c r="B70" s="20" t="s">
        <v>23</v>
      </c>
      <c r="C70" s="21" t="s">
        <v>89</v>
      </c>
      <c r="D70" s="241">
        <f t="shared" si="4"/>
        <v>4269</v>
      </c>
      <c r="E70" s="241">
        <v>1293</v>
      </c>
      <c r="F70" s="241"/>
      <c r="G70" s="241">
        <v>4269</v>
      </c>
      <c r="H70" s="242"/>
      <c r="J70" s="324"/>
      <c r="K70" s="324"/>
      <c r="L70" s="324"/>
      <c r="M70" s="324"/>
      <c r="N70" s="324"/>
      <c r="O70" s="324"/>
      <c r="P70" s="324"/>
      <c r="Q70" s="324"/>
      <c r="R70" s="324"/>
      <c r="S70" s="324"/>
      <c r="T70" s="324"/>
      <c r="U70" s="324"/>
    </row>
    <row r="71" spans="1:21" s="321" customFormat="1" x14ac:dyDescent="0.3">
      <c r="A71" s="19">
        <v>2022</v>
      </c>
      <c r="B71" s="20" t="s">
        <v>24</v>
      </c>
      <c r="C71" s="21" t="s">
        <v>89</v>
      </c>
      <c r="D71" s="241">
        <f t="shared" si="4"/>
        <v>3060</v>
      </c>
      <c r="E71" s="241">
        <v>1205</v>
      </c>
      <c r="F71" s="241"/>
      <c r="G71" s="241">
        <v>3060</v>
      </c>
      <c r="H71" s="242"/>
    </row>
    <row r="72" spans="1:21" s="321" customFormat="1" x14ac:dyDescent="0.3">
      <c r="A72" s="19">
        <v>2022</v>
      </c>
      <c r="B72" s="20" t="s">
        <v>25</v>
      </c>
      <c r="C72" s="21" t="s">
        <v>89</v>
      </c>
      <c r="D72" s="241">
        <f t="shared" si="4"/>
        <v>2994</v>
      </c>
      <c r="E72" s="241">
        <v>1206</v>
      </c>
      <c r="F72" s="241"/>
      <c r="G72" s="241">
        <v>1996</v>
      </c>
      <c r="H72" s="242">
        <v>998</v>
      </c>
    </row>
    <row r="73" spans="1:21" s="321" customFormat="1" x14ac:dyDescent="0.3">
      <c r="A73" s="19">
        <v>2022</v>
      </c>
      <c r="B73" s="20" t="s">
        <v>26</v>
      </c>
      <c r="C73" s="21" t="s">
        <v>89</v>
      </c>
      <c r="D73" s="241">
        <f t="shared" si="4"/>
        <v>3112</v>
      </c>
      <c r="E73" s="241">
        <v>1315</v>
      </c>
      <c r="F73" s="241"/>
      <c r="G73" s="241"/>
      <c r="H73" s="242">
        <v>3112</v>
      </c>
    </row>
    <row r="74" spans="1:21" s="321" customFormat="1" x14ac:dyDescent="0.3">
      <c r="A74" s="19">
        <v>2022</v>
      </c>
      <c r="B74" s="20" t="s">
        <v>27</v>
      </c>
      <c r="C74" s="21" t="s">
        <v>89</v>
      </c>
      <c r="D74" s="241">
        <f t="shared" si="4"/>
        <v>2738</v>
      </c>
      <c r="E74" s="241">
        <v>978</v>
      </c>
      <c r="F74" s="241"/>
      <c r="G74" s="241"/>
      <c r="H74" s="242">
        <v>2738</v>
      </c>
    </row>
    <row r="75" spans="1:21" s="321" customFormat="1" x14ac:dyDescent="0.3">
      <c r="A75" s="19">
        <v>2022</v>
      </c>
      <c r="B75" s="20" t="s">
        <v>28</v>
      </c>
      <c r="C75" s="21" t="s">
        <v>89</v>
      </c>
      <c r="D75" s="241">
        <f t="shared" si="4"/>
        <v>3562</v>
      </c>
      <c r="E75" s="241">
        <v>1328</v>
      </c>
      <c r="F75" s="241"/>
      <c r="G75" s="241"/>
      <c r="H75" s="242">
        <v>3562</v>
      </c>
    </row>
    <row r="76" spans="1:21" s="321" customFormat="1" x14ac:dyDescent="0.3">
      <c r="A76" s="19">
        <v>2022</v>
      </c>
      <c r="B76" s="20" t="s">
        <v>29</v>
      </c>
      <c r="C76" s="21" t="s">
        <v>89</v>
      </c>
      <c r="D76" s="241">
        <f t="shared" si="4"/>
        <v>2740</v>
      </c>
      <c r="E76" s="241">
        <v>951</v>
      </c>
      <c r="F76" s="241"/>
      <c r="G76" s="241">
        <v>801</v>
      </c>
      <c r="H76" s="242">
        <v>1939</v>
      </c>
    </row>
    <row r="77" spans="1:21" s="321" customFormat="1" x14ac:dyDescent="0.3">
      <c r="A77" s="19">
        <v>2022</v>
      </c>
      <c r="B77" s="20" t="s">
        <v>30</v>
      </c>
      <c r="C77" s="21" t="s">
        <v>89</v>
      </c>
      <c r="D77" s="241">
        <f t="shared" si="4"/>
        <v>2482</v>
      </c>
      <c r="E77" s="241">
        <v>895</v>
      </c>
      <c r="F77" s="241"/>
      <c r="G77" s="241">
        <v>2482</v>
      </c>
      <c r="H77" s="242"/>
    </row>
    <row r="78" spans="1:21" s="321" customFormat="1" x14ac:dyDescent="0.3">
      <c r="A78" s="22">
        <v>2022</v>
      </c>
      <c r="B78" s="23" t="s">
        <v>31</v>
      </c>
      <c r="C78" s="24" t="s">
        <v>89</v>
      </c>
      <c r="D78" s="243">
        <f t="shared" si="4"/>
        <v>3693</v>
      </c>
      <c r="E78" s="243">
        <v>1299</v>
      </c>
      <c r="F78" s="243"/>
      <c r="G78" s="243">
        <v>3693</v>
      </c>
      <c r="H78" s="244"/>
    </row>
    <row r="79" spans="1:21" s="321" customFormat="1" x14ac:dyDescent="0.3">
      <c r="A79" s="545" t="s">
        <v>81</v>
      </c>
      <c r="B79" s="545"/>
      <c r="C79" s="545"/>
      <c r="D79" s="171">
        <f>SUM(D67:D78)</f>
        <v>41647</v>
      </c>
      <c r="E79" s="171">
        <f>SUM(E67:E78)</f>
        <v>14253</v>
      </c>
      <c r="F79" s="171">
        <f>SUM(F67:F78)</f>
        <v>0</v>
      </c>
      <c r="G79" s="171">
        <f>SUM(G67:G78)</f>
        <v>29298</v>
      </c>
      <c r="H79" s="171">
        <f>SUM(H67:H78)</f>
        <v>12349</v>
      </c>
    </row>
    <row r="80" spans="1:21" s="321" customFormat="1" x14ac:dyDescent="0.3">
      <c r="A80" s="489"/>
      <c r="B80" s="489"/>
      <c r="C80" s="489"/>
      <c r="D80" s="171"/>
      <c r="E80" s="171"/>
      <c r="F80" s="171"/>
      <c r="G80" s="171"/>
      <c r="H80" s="171"/>
    </row>
    <row r="81" spans="1:9" s="321" customFormat="1" ht="24.6" x14ac:dyDescent="0.3">
      <c r="A81" s="6" t="s">
        <v>18</v>
      </c>
      <c r="B81" s="6" t="s">
        <v>19</v>
      </c>
      <c r="C81" s="7" t="s">
        <v>0</v>
      </c>
      <c r="D81" s="8" t="s">
        <v>11</v>
      </c>
      <c r="E81" s="499" t="s">
        <v>158</v>
      </c>
      <c r="F81" s="499"/>
      <c r="G81" s="112" t="s">
        <v>9</v>
      </c>
      <c r="H81" s="8" t="s">
        <v>10</v>
      </c>
    </row>
    <row r="82" spans="1:9" s="321" customFormat="1" x14ac:dyDescent="0.3">
      <c r="A82" s="16">
        <v>2021</v>
      </c>
      <c r="B82" s="17" t="s">
        <v>20</v>
      </c>
      <c r="C82" s="18" t="s">
        <v>89</v>
      </c>
      <c r="D82" s="239">
        <f>G82+H82</f>
        <v>5408</v>
      </c>
      <c r="E82" s="239">
        <v>1271</v>
      </c>
      <c r="F82" s="239"/>
      <c r="G82" s="239">
        <v>5408</v>
      </c>
      <c r="H82" s="240"/>
    </row>
    <row r="83" spans="1:9" s="269" customFormat="1" x14ac:dyDescent="0.3">
      <c r="A83" s="19">
        <v>2021</v>
      </c>
      <c r="B83" s="20" t="s">
        <v>21</v>
      </c>
      <c r="C83" s="21" t="s">
        <v>89</v>
      </c>
      <c r="D83" s="241">
        <f t="shared" ref="D83:D93" si="5">G83+H83</f>
        <v>4919</v>
      </c>
      <c r="E83" s="241">
        <v>1342</v>
      </c>
      <c r="F83" s="241"/>
      <c r="G83" s="241">
        <v>4919</v>
      </c>
      <c r="H83" s="242"/>
    </row>
    <row r="84" spans="1:9" ht="14.1" customHeight="1" x14ac:dyDescent="0.3">
      <c r="A84" s="19">
        <v>2021</v>
      </c>
      <c r="B84" s="20" t="s">
        <v>22</v>
      </c>
      <c r="C84" s="21" t="s">
        <v>89</v>
      </c>
      <c r="D84" s="241">
        <f t="shared" si="5"/>
        <v>5046</v>
      </c>
      <c r="E84" s="241">
        <v>1265</v>
      </c>
      <c r="F84" s="241"/>
      <c r="G84" s="241">
        <v>5046</v>
      </c>
      <c r="H84" s="242"/>
      <c r="I84" s="217"/>
    </row>
    <row r="85" spans="1:9" x14ac:dyDescent="0.3">
      <c r="A85" s="19">
        <v>2021</v>
      </c>
      <c r="B85" s="20" t="s">
        <v>23</v>
      </c>
      <c r="C85" s="21" t="s">
        <v>89</v>
      </c>
      <c r="D85" s="241">
        <f t="shared" si="5"/>
        <v>4376</v>
      </c>
      <c r="E85" s="241">
        <v>1280</v>
      </c>
      <c r="F85" s="241"/>
      <c r="G85" s="241">
        <v>4376</v>
      </c>
      <c r="H85" s="242"/>
    </row>
    <row r="86" spans="1:9" x14ac:dyDescent="0.3">
      <c r="A86" s="19">
        <v>2021</v>
      </c>
      <c r="B86" s="20" t="s">
        <v>24</v>
      </c>
      <c r="C86" s="21" t="s">
        <v>89</v>
      </c>
      <c r="D86" s="241">
        <f t="shared" si="5"/>
        <v>3563</v>
      </c>
      <c r="E86" s="241">
        <v>1236</v>
      </c>
      <c r="F86" s="241"/>
      <c r="G86" s="241">
        <v>3563</v>
      </c>
      <c r="H86" s="242"/>
    </row>
    <row r="87" spans="1:9" x14ac:dyDescent="0.3">
      <c r="A87" s="19">
        <v>2021</v>
      </c>
      <c r="B87" s="20" t="s">
        <v>25</v>
      </c>
      <c r="C87" s="21" t="s">
        <v>89</v>
      </c>
      <c r="D87" s="241">
        <f t="shared" si="5"/>
        <v>3802</v>
      </c>
      <c r="E87" s="241">
        <v>1207</v>
      </c>
      <c r="F87" s="241"/>
      <c r="G87" s="241"/>
      <c r="H87" s="242">
        <v>3802</v>
      </c>
    </row>
    <row r="88" spans="1:9" x14ac:dyDescent="0.3">
      <c r="A88" s="19">
        <v>2021</v>
      </c>
      <c r="B88" s="20" t="s">
        <v>26</v>
      </c>
      <c r="C88" s="21" t="s">
        <v>89</v>
      </c>
      <c r="D88" s="241">
        <f t="shared" si="5"/>
        <v>4251</v>
      </c>
      <c r="E88" s="241">
        <v>1371</v>
      </c>
      <c r="F88" s="241"/>
      <c r="G88" s="241"/>
      <c r="H88" s="242">
        <v>4251</v>
      </c>
    </row>
    <row r="89" spans="1:9" x14ac:dyDescent="0.3">
      <c r="A89" s="19">
        <v>2021</v>
      </c>
      <c r="B89" s="20" t="s">
        <v>27</v>
      </c>
      <c r="C89" s="21" t="s">
        <v>89</v>
      </c>
      <c r="D89" s="241">
        <f t="shared" si="5"/>
        <v>4147</v>
      </c>
      <c r="E89" s="241">
        <v>1251</v>
      </c>
      <c r="F89" s="241"/>
      <c r="G89" s="241"/>
      <c r="H89" s="242">
        <v>4147</v>
      </c>
    </row>
    <row r="90" spans="1:9" x14ac:dyDescent="0.3">
      <c r="A90" s="19">
        <v>2021</v>
      </c>
      <c r="B90" s="20" t="s">
        <v>28</v>
      </c>
      <c r="C90" s="21" t="s">
        <v>89</v>
      </c>
      <c r="D90" s="241">
        <f t="shared" si="5"/>
        <v>4820</v>
      </c>
      <c r="E90" s="241">
        <v>1420</v>
      </c>
      <c r="F90" s="241"/>
      <c r="G90" s="241"/>
      <c r="H90" s="242">
        <v>4820</v>
      </c>
    </row>
    <row r="91" spans="1:9" x14ac:dyDescent="0.3">
      <c r="A91" s="19">
        <v>2021</v>
      </c>
      <c r="B91" s="20" t="s">
        <v>29</v>
      </c>
      <c r="C91" s="21" t="s">
        <v>89</v>
      </c>
      <c r="D91" s="241">
        <f t="shared" si="5"/>
        <v>3605</v>
      </c>
      <c r="E91" s="241">
        <v>1260</v>
      </c>
      <c r="F91" s="241"/>
      <c r="G91" s="241">
        <v>1683</v>
      </c>
      <c r="H91" s="242">
        <v>1922</v>
      </c>
    </row>
    <row r="92" spans="1:9" x14ac:dyDescent="0.3">
      <c r="A92" s="19">
        <v>2021</v>
      </c>
      <c r="B92" s="20" t="s">
        <v>30</v>
      </c>
      <c r="C92" s="21" t="s">
        <v>89</v>
      </c>
      <c r="D92" s="241">
        <f t="shared" si="5"/>
        <v>3769</v>
      </c>
      <c r="E92" s="241">
        <v>1021</v>
      </c>
      <c r="F92" s="241"/>
      <c r="G92" s="241">
        <v>3769</v>
      </c>
      <c r="H92" s="242"/>
    </row>
    <row r="93" spans="1:9" x14ac:dyDescent="0.3">
      <c r="A93" s="22">
        <v>2021</v>
      </c>
      <c r="B93" s="23" t="s">
        <v>31</v>
      </c>
      <c r="C93" s="24" t="s">
        <v>89</v>
      </c>
      <c r="D93" s="243">
        <f t="shared" si="5"/>
        <v>4566</v>
      </c>
      <c r="E93" s="243">
        <v>1313</v>
      </c>
      <c r="F93" s="243"/>
      <c r="G93" s="243">
        <v>4566</v>
      </c>
      <c r="H93" s="244"/>
    </row>
    <row r="94" spans="1:9" x14ac:dyDescent="0.3">
      <c r="A94" s="545" t="s">
        <v>81</v>
      </c>
      <c r="B94" s="545"/>
      <c r="C94" s="545"/>
      <c r="D94" s="171">
        <f>SUM(D82:D93)</f>
        <v>52272</v>
      </c>
      <c r="E94" s="171">
        <f>SUM(E82:E93)</f>
        <v>15237</v>
      </c>
      <c r="F94" s="171">
        <f>SUM(F82:F93)</f>
        <v>0</v>
      </c>
      <c r="G94" s="171">
        <f>SUM(G82:G93)</f>
        <v>33330</v>
      </c>
      <c r="H94" s="171">
        <f>SUM(H82:H93)</f>
        <v>18942</v>
      </c>
    </row>
    <row r="95" spans="1:9" x14ac:dyDescent="0.3">
      <c r="A95" s="343"/>
      <c r="B95" s="343"/>
      <c r="C95" s="343"/>
      <c r="D95" s="343"/>
      <c r="G95" s="343"/>
      <c r="H95" s="343"/>
    </row>
    <row r="96" spans="1:9" ht="24.6" x14ac:dyDescent="0.3">
      <c r="A96" s="6" t="s">
        <v>18</v>
      </c>
      <c r="B96" s="6" t="s">
        <v>19</v>
      </c>
      <c r="C96" s="7" t="s">
        <v>0</v>
      </c>
      <c r="D96" s="8" t="s">
        <v>11</v>
      </c>
      <c r="E96" s="499" t="s">
        <v>158</v>
      </c>
      <c r="F96" s="499"/>
      <c r="G96" s="112" t="s">
        <v>9</v>
      </c>
      <c r="H96" s="8" t="s">
        <v>10</v>
      </c>
    </row>
    <row r="97" spans="1:8" x14ac:dyDescent="0.3">
      <c r="A97" s="16">
        <v>2020</v>
      </c>
      <c r="B97" s="17" t="s">
        <v>20</v>
      </c>
      <c r="C97" s="18" t="s">
        <v>89</v>
      </c>
      <c r="D97" s="239">
        <f>G97+H97</f>
        <v>5969</v>
      </c>
      <c r="E97" s="239">
        <v>1229</v>
      </c>
      <c r="F97" s="239"/>
      <c r="G97" s="239">
        <v>5969</v>
      </c>
      <c r="H97" s="240"/>
    </row>
    <row r="98" spans="1:8" x14ac:dyDescent="0.3">
      <c r="A98" s="19">
        <v>2020</v>
      </c>
      <c r="B98" s="20" t="s">
        <v>21</v>
      </c>
      <c r="C98" s="21" t="s">
        <v>89</v>
      </c>
      <c r="D98" s="241">
        <f t="shared" ref="D98:D108" si="6">G98+H98</f>
        <v>6644</v>
      </c>
      <c r="E98" s="241">
        <v>1413</v>
      </c>
      <c r="F98" s="241"/>
      <c r="G98" s="241">
        <v>6644</v>
      </c>
      <c r="H98" s="242"/>
    </row>
    <row r="99" spans="1:8" x14ac:dyDescent="0.3">
      <c r="A99" s="19">
        <v>2020</v>
      </c>
      <c r="B99" s="20" t="s">
        <v>22</v>
      </c>
      <c r="C99" s="21" t="s">
        <v>89</v>
      </c>
      <c r="D99" s="241">
        <f t="shared" si="6"/>
        <v>4813</v>
      </c>
      <c r="E99" s="241">
        <v>1027</v>
      </c>
      <c r="F99" s="241"/>
      <c r="G99" s="241">
        <v>4813</v>
      </c>
      <c r="H99" s="242"/>
    </row>
    <row r="100" spans="1:8" x14ac:dyDescent="0.3">
      <c r="A100" s="19">
        <v>2020</v>
      </c>
      <c r="B100" s="20" t="s">
        <v>23</v>
      </c>
      <c r="C100" s="21" t="s">
        <v>89</v>
      </c>
      <c r="D100" s="241">
        <f t="shared" si="6"/>
        <v>4323</v>
      </c>
      <c r="E100" s="241">
        <v>1008</v>
      </c>
      <c r="F100" s="241"/>
      <c r="G100" s="241">
        <v>4323</v>
      </c>
      <c r="H100" s="242"/>
    </row>
    <row r="101" spans="1:8" x14ac:dyDescent="0.3">
      <c r="A101" s="19">
        <v>2020</v>
      </c>
      <c r="B101" s="20" t="s">
        <v>24</v>
      </c>
      <c r="C101" s="21" t="s">
        <v>89</v>
      </c>
      <c r="D101" s="241">
        <f t="shared" si="6"/>
        <v>2921</v>
      </c>
      <c r="E101" s="241">
        <v>773</v>
      </c>
      <c r="F101" s="241"/>
      <c r="G101" s="241">
        <v>2921</v>
      </c>
      <c r="H101" s="242"/>
    </row>
    <row r="102" spans="1:8" x14ac:dyDescent="0.3">
      <c r="A102" s="19">
        <v>2020</v>
      </c>
      <c r="B102" s="20" t="s">
        <v>25</v>
      </c>
      <c r="C102" s="21" t="s">
        <v>89</v>
      </c>
      <c r="D102" s="241">
        <f t="shared" si="6"/>
        <v>2972</v>
      </c>
      <c r="E102" s="241">
        <v>1096</v>
      </c>
      <c r="F102" s="241"/>
      <c r="G102" s="241"/>
      <c r="H102" s="242">
        <v>2972</v>
      </c>
    </row>
    <row r="103" spans="1:8" x14ac:dyDescent="0.3">
      <c r="A103" s="19">
        <v>2020</v>
      </c>
      <c r="B103" s="20" t="s">
        <v>26</v>
      </c>
      <c r="C103" s="21" t="s">
        <v>89</v>
      </c>
      <c r="D103" s="241">
        <f t="shared" si="6"/>
        <v>4377</v>
      </c>
      <c r="E103" s="241">
        <v>1529</v>
      </c>
      <c r="F103" s="241"/>
      <c r="G103" s="241"/>
      <c r="H103" s="242">
        <v>4377</v>
      </c>
    </row>
    <row r="104" spans="1:8" x14ac:dyDescent="0.3">
      <c r="A104" s="19">
        <v>2020</v>
      </c>
      <c r="B104" s="20" t="s">
        <v>27</v>
      </c>
      <c r="C104" s="21" t="s">
        <v>89</v>
      </c>
      <c r="D104" s="241">
        <f t="shared" si="6"/>
        <v>4733</v>
      </c>
      <c r="E104" s="241">
        <v>1350</v>
      </c>
      <c r="F104" s="241"/>
      <c r="G104" s="241"/>
      <c r="H104" s="242">
        <v>4733</v>
      </c>
    </row>
    <row r="105" spans="1:8" x14ac:dyDescent="0.3">
      <c r="A105" s="19">
        <v>2020</v>
      </c>
      <c r="B105" s="20" t="s">
        <v>28</v>
      </c>
      <c r="C105" s="21" t="s">
        <v>89</v>
      </c>
      <c r="D105" s="241">
        <f t="shared" si="6"/>
        <v>4266</v>
      </c>
      <c r="E105" s="241">
        <v>1596</v>
      </c>
      <c r="F105" s="241"/>
      <c r="G105" s="241"/>
      <c r="H105" s="242">
        <v>4266</v>
      </c>
    </row>
    <row r="106" spans="1:8" x14ac:dyDescent="0.3">
      <c r="A106" s="19">
        <v>2020</v>
      </c>
      <c r="B106" s="20" t="s">
        <v>29</v>
      </c>
      <c r="C106" s="21" t="s">
        <v>89</v>
      </c>
      <c r="D106" s="241">
        <f t="shared" si="6"/>
        <v>3972</v>
      </c>
      <c r="E106" s="241">
        <v>1084</v>
      </c>
      <c r="F106" s="241"/>
      <c r="G106" s="241">
        <v>3972</v>
      </c>
      <c r="H106" s="242"/>
    </row>
    <row r="107" spans="1:8" x14ac:dyDescent="0.3">
      <c r="A107" s="19">
        <v>2020</v>
      </c>
      <c r="B107" s="20" t="s">
        <v>30</v>
      </c>
      <c r="C107" s="21" t="s">
        <v>89</v>
      </c>
      <c r="D107" s="241">
        <f t="shared" si="6"/>
        <v>4016</v>
      </c>
      <c r="E107" s="241">
        <v>1124</v>
      </c>
      <c r="F107" s="241"/>
      <c r="G107" s="241">
        <v>4016</v>
      </c>
      <c r="H107" s="242"/>
    </row>
    <row r="108" spans="1:8" x14ac:dyDescent="0.3">
      <c r="A108" s="22">
        <v>2020</v>
      </c>
      <c r="B108" s="23" t="s">
        <v>31</v>
      </c>
      <c r="C108" s="24" t="s">
        <v>89</v>
      </c>
      <c r="D108" s="243">
        <f t="shared" si="6"/>
        <v>4405</v>
      </c>
      <c r="E108" s="243">
        <v>1205</v>
      </c>
      <c r="F108" s="243"/>
      <c r="G108" s="243">
        <v>4405</v>
      </c>
      <c r="H108" s="244"/>
    </row>
    <row r="109" spans="1:8" x14ac:dyDescent="0.3">
      <c r="A109" s="545" t="s">
        <v>81</v>
      </c>
      <c r="B109" s="545"/>
      <c r="C109" s="545"/>
      <c r="D109" s="171">
        <f>SUM(D97:D108)</f>
        <v>53411</v>
      </c>
      <c r="E109" s="171">
        <f>SUM(E97:E108)</f>
        <v>14434</v>
      </c>
      <c r="F109" s="171">
        <f>SUM(F97:F108)</f>
        <v>0</v>
      </c>
      <c r="G109" s="171">
        <f>SUM(G97:G108)</f>
        <v>37063</v>
      </c>
      <c r="H109" s="171">
        <f>SUM(H97:H108)</f>
        <v>16348</v>
      </c>
    </row>
    <row r="110" spans="1:8" x14ac:dyDescent="0.3">
      <c r="A110" s="321"/>
      <c r="B110" s="321"/>
      <c r="C110" s="321"/>
      <c r="D110" s="321"/>
      <c r="G110" s="321"/>
      <c r="H110" s="321"/>
    </row>
    <row r="111" spans="1:8" x14ac:dyDescent="0.3">
      <c r="A111" s="269"/>
      <c r="B111" s="269"/>
      <c r="C111" s="269"/>
      <c r="D111" s="269"/>
      <c r="G111" s="269"/>
      <c r="H111" s="269"/>
    </row>
    <row r="112" spans="1:8" x14ac:dyDescent="0.3">
      <c r="A112" s="217">
        <v>0</v>
      </c>
      <c r="B112" s="217">
        <v>0</v>
      </c>
      <c r="C112" s="217">
        <v>0</v>
      </c>
      <c r="D112" s="217">
        <v>0</v>
      </c>
      <c r="E112" s="273"/>
      <c r="F112" s="273"/>
      <c r="G112" s="217">
        <v>0</v>
      </c>
      <c r="H112" s="217"/>
    </row>
    <row r="113" spans="1:8" x14ac:dyDescent="0.3">
      <c r="A113" s="269"/>
      <c r="B113" s="200"/>
      <c r="C113" s="200"/>
      <c r="D113" s="200"/>
      <c r="G113" s="200"/>
      <c r="H113" s="200"/>
    </row>
  </sheetData>
  <mergeCells count="11">
    <mergeCell ref="A49:C49"/>
    <mergeCell ref="A64:C64"/>
    <mergeCell ref="A34:C34"/>
    <mergeCell ref="A109:C109"/>
    <mergeCell ref="A94:C94"/>
    <mergeCell ref="A79:C79"/>
    <mergeCell ref="A1:K1"/>
    <mergeCell ref="A2:K2"/>
    <mergeCell ref="A3:K3"/>
    <mergeCell ref="A4:K4"/>
    <mergeCell ref="A19:C19"/>
  </mergeCells>
  <printOptions horizontalCentered="1"/>
  <pageMargins left="0.25" right="0.25" top="0.5" bottom="0.75" header="0.3" footer="0.3"/>
  <pageSetup scale="75" orientation="portrait" r:id="rId1"/>
  <rowBreaks count="1" manualBreakCount="1">
    <brk id="50" max="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51329-5B85-42B3-A83F-F2172F30EFA0}">
  <sheetPr codeName="Sheet16">
    <pageSetUpPr fitToPage="1"/>
  </sheetPr>
  <dimension ref="A1:AJ111"/>
  <sheetViews>
    <sheetView zoomScaleNormal="100" workbookViewId="0">
      <selection sqref="A1:J1"/>
    </sheetView>
  </sheetViews>
  <sheetFormatPr defaultRowHeight="14.4" x14ac:dyDescent="0.3"/>
  <cols>
    <col min="1" max="1" width="6.44140625" customWidth="1"/>
    <col min="2" max="2" width="7" customWidth="1"/>
    <col min="3" max="3" width="9" customWidth="1"/>
    <col min="4" max="4" width="10.88671875" customWidth="1"/>
    <col min="5" max="5" width="10.88671875" style="343" customWidth="1"/>
    <col min="6" max="6" width="14.109375" customWidth="1"/>
    <col min="7" max="7" width="13.109375" customWidth="1"/>
    <col min="8" max="8" width="10.88671875" customWidth="1"/>
    <col min="9" max="14" width="10.109375" customWidth="1"/>
    <col min="15" max="16" width="10.109375" style="329" customWidth="1"/>
    <col min="17" max="18" width="10.109375" customWidth="1"/>
    <col min="24" max="24" width="4.44140625" customWidth="1"/>
  </cols>
  <sheetData>
    <row r="1" spans="1:36" s="343" customFormat="1" ht="18" x14ac:dyDescent="0.35">
      <c r="A1" s="542" t="s">
        <v>122</v>
      </c>
      <c r="B1" s="542"/>
      <c r="C1" s="542"/>
      <c r="D1" s="542"/>
      <c r="E1" s="542"/>
      <c r="F1" s="542"/>
      <c r="G1" s="542"/>
      <c r="H1" s="542"/>
      <c r="I1" s="542"/>
      <c r="J1" s="542"/>
    </row>
    <row r="2" spans="1:36" s="343" customFormat="1" ht="18" x14ac:dyDescent="0.35">
      <c r="A2" s="542" t="s">
        <v>163</v>
      </c>
      <c r="B2" s="542"/>
      <c r="C2" s="542"/>
      <c r="D2" s="542"/>
      <c r="E2" s="542"/>
      <c r="F2" s="542"/>
      <c r="G2" s="542"/>
      <c r="H2" s="542"/>
      <c r="I2" s="542"/>
      <c r="J2" s="542"/>
    </row>
    <row r="3" spans="1:36" s="343" customFormat="1" ht="18" x14ac:dyDescent="0.35">
      <c r="A3" s="542" t="s">
        <v>166</v>
      </c>
      <c r="B3" s="542"/>
      <c r="C3" s="542"/>
      <c r="D3" s="542"/>
      <c r="E3" s="542"/>
      <c r="F3" s="542"/>
      <c r="G3" s="542"/>
      <c r="H3" s="542"/>
      <c r="I3" s="542"/>
      <c r="J3" s="542"/>
    </row>
    <row r="4" spans="1:36" s="343" customFormat="1" ht="18" x14ac:dyDescent="0.35">
      <c r="A4" s="542" t="s">
        <v>123</v>
      </c>
      <c r="B4" s="542"/>
      <c r="C4" s="542"/>
      <c r="D4" s="542"/>
      <c r="E4" s="542"/>
      <c r="F4" s="542"/>
      <c r="G4" s="542"/>
      <c r="H4" s="542"/>
      <c r="I4" s="542"/>
      <c r="J4" s="542"/>
    </row>
    <row r="5" spans="1:36" s="343" customFormat="1" x14ac:dyDescent="0.3"/>
    <row r="6" spans="1:36" s="142" customFormat="1" ht="51.6" customHeight="1" x14ac:dyDescent="0.3">
      <c r="A6" s="138" t="s">
        <v>18</v>
      </c>
      <c r="B6" s="138" t="s">
        <v>19</v>
      </c>
      <c r="C6" s="160" t="s">
        <v>0</v>
      </c>
      <c r="D6" s="437" t="s">
        <v>11</v>
      </c>
      <c r="E6" s="499" t="s">
        <v>158</v>
      </c>
      <c r="F6" s="438" t="s">
        <v>1</v>
      </c>
      <c r="G6" s="438" t="s">
        <v>2</v>
      </c>
      <c r="H6" s="437" t="s">
        <v>46</v>
      </c>
      <c r="I6" s="439" t="s">
        <v>37</v>
      </c>
      <c r="J6" s="440" t="s">
        <v>38</v>
      </c>
      <c r="K6" s="429" t="s">
        <v>100</v>
      </c>
      <c r="L6" s="430" t="s">
        <v>101</v>
      </c>
      <c r="M6" s="431" t="s">
        <v>82</v>
      </c>
      <c r="N6" s="431" t="s">
        <v>83</v>
      </c>
      <c r="O6" s="429" t="s">
        <v>102</v>
      </c>
      <c r="P6" s="430" t="s">
        <v>103</v>
      </c>
      <c r="Q6" s="437" t="s">
        <v>47</v>
      </c>
      <c r="R6" s="437" t="s">
        <v>48</v>
      </c>
      <c r="S6" s="437" t="s">
        <v>49</v>
      </c>
      <c r="T6" s="437" t="s">
        <v>3</v>
      </c>
      <c r="U6" s="437" t="s">
        <v>51</v>
      </c>
      <c r="V6" s="437" t="s">
        <v>50</v>
      </c>
      <c r="W6" s="437" t="s">
        <v>52</v>
      </c>
    </row>
    <row r="7" spans="1:36" s="168" customFormat="1" ht="13.8" x14ac:dyDescent="0.3">
      <c r="A7" s="143">
        <v>2027</v>
      </c>
      <c r="B7" s="144" t="s">
        <v>20</v>
      </c>
      <c r="C7" s="148" t="s">
        <v>90</v>
      </c>
      <c r="D7" s="205">
        <f>SUM(F7:G7)</f>
        <v>0</v>
      </c>
      <c r="E7" s="205"/>
      <c r="F7" s="205"/>
      <c r="G7" s="205"/>
      <c r="H7" s="205">
        <f>I7+J7</f>
        <v>0</v>
      </c>
      <c r="I7" s="205">
        <f t="shared" ref="I7:I18" si="0">K7+M7+O7</f>
        <v>0</v>
      </c>
      <c r="J7" s="205">
        <f t="shared" ref="J7:J18" si="1">L7+N7+P7</f>
        <v>0</v>
      </c>
      <c r="K7" s="205">
        <f t="shared" ref="K7:P18" si="2">SUM(L7:M7)</f>
        <v>0</v>
      </c>
      <c r="L7" s="205">
        <f t="shared" si="2"/>
        <v>0</v>
      </c>
      <c r="M7" s="205">
        <f t="shared" si="2"/>
        <v>0</v>
      </c>
      <c r="N7" s="205">
        <f t="shared" si="2"/>
        <v>0</v>
      </c>
      <c r="O7" s="205">
        <f t="shared" si="2"/>
        <v>0</v>
      </c>
      <c r="P7" s="205">
        <f t="shared" si="2"/>
        <v>0</v>
      </c>
      <c r="Q7" s="205">
        <f>SUM(R7:S7)</f>
        <v>0</v>
      </c>
      <c r="R7" s="205">
        <f t="shared" ref="R7:T18" si="3">SUM(S7:T7)</f>
        <v>0</v>
      </c>
      <c r="S7" s="205">
        <f t="shared" si="3"/>
        <v>0</v>
      </c>
      <c r="T7" s="205">
        <f t="shared" si="3"/>
        <v>0</v>
      </c>
      <c r="U7" s="205">
        <f>V7+W7</f>
        <v>0</v>
      </c>
      <c r="V7" s="398"/>
      <c r="W7" s="416"/>
      <c r="Y7" s="344"/>
      <c r="Z7" s="344"/>
      <c r="AA7" s="344"/>
      <c r="AB7" s="344"/>
      <c r="AC7" s="344"/>
      <c r="AD7" s="344"/>
      <c r="AE7" s="344"/>
      <c r="AF7" s="344"/>
      <c r="AG7" s="344"/>
      <c r="AH7" s="344"/>
      <c r="AI7" s="344"/>
      <c r="AJ7" s="344"/>
    </row>
    <row r="8" spans="1:36" s="168" customFormat="1" ht="13.8" x14ac:dyDescent="0.3">
      <c r="A8" s="146">
        <v>2027</v>
      </c>
      <c r="B8" s="147" t="s">
        <v>21</v>
      </c>
      <c r="C8" s="148" t="s">
        <v>90</v>
      </c>
      <c r="D8" s="205">
        <f t="shared" ref="D8:D18" si="4">SUM(F8:G8)</f>
        <v>0</v>
      </c>
      <c r="E8" s="205"/>
      <c r="F8" s="205"/>
      <c r="G8" s="205"/>
      <c r="H8" s="205">
        <f t="shared" ref="H8:H18" si="5">I8+J8</f>
        <v>0</v>
      </c>
      <c r="I8" s="205">
        <f t="shared" si="0"/>
        <v>0</v>
      </c>
      <c r="J8" s="205">
        <f t="shared" si="1"/>
        <v>0</v>
      </c>
      <c r="K8" s="205">
        <f t="shared" si="2"/>
        <v>0</v>
      </c>
      <c r="L8" s="205">
        <f t="shared" si="2"/>
        <v>0</v>
      </c>
      <c r="M8" s="205">
        <f t="shared" si="2"/>
        <v>0</v>
      </c>
      <c r="N8" s="205">
        <f t="shared" si="2"/>
        <v>0</v>
      </c>
      <c r="O8" s="205">
        <f t="shared" si="2"/>
        <v>0</v>
      </c>
      <c r="P8" s="205">
        <f t="shared" si="2"/>
        <v>0</v>
      </c>
      <c r="Q8" s="205">
        <f t="shared" ref="Q8:Q18" si="6">SUM(R8:S8)</f>
        <v>0</v>
      </c>
      <c r="R8" s="205">
        <f t="shared" si="3"/>
        <v>0</v>
      </c>
      <c r="S8" s="205">
        <f t="shared" si="3"/>
        <v>0</v>
      </c>
      <c r="T8" s="205">
        <f t="shared" si="3"/>
        <v>0</v>
      </c>
      <c r="U8" s="205">
        <f t="shared" ref="U8:U18" si="7">V8+W8</f>
        <v>0</v>
      </c>
      <c r="V8" s="398"/>
      <c r="W8" s="417"/>
    </row>
    <row r="9" spans="1:36" s="168" customFormat="1" ht="13.8" x14ac:dyDescent="0.3">
      <c r="A9" s="146">
        <v>2027</v>
      </c>
      <c r="B9" s="147" t="s">
        <v>22</v>
      </c>
      <c r="C9" s="148" t="s">
        <v>90</v>
      </c>
      <c r="D9" s="205">
        <f t="shared" si="4"/>
        <v>0</v>
      </c>
      <c r="E9" s="205"/>
      <c r="F9" s="205"/>
      <c r="G9" s="205"/>
      <c r="H9" s="205">
        <f t="shared" si="5"/>
        <v>0</v>
      </c>
      <c r="I9" s="205">
        <f t="shared" si="0"/>
        <v>0</v>
      </c>
      <c r="J9" s="205">
        <f t="shared" si="1"/>
        <v>0</v>
      </c>
      <c r="K9" s="205">
        <f t="shared" si="2"/>
        <v>0</v>
      </c>
      <c r="L9" s="205">
        <f t="shared" si="2"/>
        <v>0</v>
      </c>
      <c r="M9" s="205">
        <f t="shared" si="2"/>
        <v>0</v>
      </c>
      <c r="N9" s="205">
        <f t="shared" si="2"/>
        <v>0</v>
      </c>
      <c r="O9" s="205">
        <f t="shared" si="2"/>
        <v>0</v>
      </c>
      <c r="P9" s="205">
        <f t="shared" si="2"/>
        <v>0</v>
      </c>
      <c r="Q9" s="205">
        <f t="shared" si="6"/>
        <v>0</v>
      </c>
      <c r="R9" s="205">
        <f t="shared" si="3"/>
        <v>0</v>
      </c>
      <c r="S9" s="205">
        <f t="shared" si="3"/>
        <v>0</v>
      </c>
      <c r="T9" s="205">
        <f t="shared" si="3"/>
        <v>0</v>
      </c>
      <c r="U9" s="205">
        <f t="shared" si="7"/>
        <v>0</v>
      </c>
      <c r="V9" s="398"/>
      <c r="W9" s="417"/>
    </row>
    <row r="10" spans="1:36" s="168" customFormat="1" ht="13.8" x14ac:dyDescent="0.3">
      <c r="A10" s="146">
        <v>2027</v>
      </c>
      <c r="B10" s="147" t="s">
        <v>23</v>
      </c>
      <c r="C10" s="148" t="s">
        <v>90</v>
      </c>
      <c r="D10" s="205">
        <f t="shared" si="4"/>
        <v>0</v>
      </c>
      <c r="E10" s="205"/>
      <c r="F10" s="205"/>
      <c r="G10" s="205"/>
      <c r="H10" s="205">
        <f t="shared" si="5"/>
        <v>0</v>
      </c>
      <c r="I10" s="205">
        <f t="shared" si="0"/>
        <v>0</v>
      </c>
      <c r="J10" s="205">
        <f t="shared" si="1"/>
        <v>0</v>
      </c>
      <c r="K10" s="205">
        <f t="shared" si="2"/>
        <v>0</v>
      </c>
      <c r="L10" s="205">
        <f t="shared" si="2"/>
        <v>0</v>
      </c>
      <c r="M10" s="205">
        <f t="shared" si="2"/>
        <v>0</v>
      </c>
      <c r="N10" s="205">
        <f t="shared" si="2"/>
        <v>0</v>
      </c>
      <c r="O10" s="205">
        <f t="shared" si="2"/>
        <v>0</v>
      </c>
      <c r="P10" s="205">
        <f t="shared" si="2"/>
        <v>0</v>
      </c>
      <c r="Q10" s="205">
        <f t="shared" si="6"/>
        <v>0</v>
      </c>
      <c r="R10" s="205">
        <f t="shared" si="3"/>
        <v>0</v>
      </c>
      <c r="S10" s="205">
        <f t="shared" si="3"/>
        <v>0</v>
      </c>
      <c r="T10" s="205">
        <f t="shared" si="3"/>
        <v>0</v>
      </c>
      <c r="U10" s="205">
        <f t="shared" si="7"/>
        <v>0</v>
      </c>
      <c r="V10" s="398"/>
      <c r="W10" s="417"/>
    </row>
    <row r="11" spans="1:36" s="168" customFormat="1" ht="13.8" x14ac:dyDescent="0.3">
      <c r="A11" s="146">
        <v>2027</v>
      </c>
      <c r="B11" s="147" t="s">
        <v>24</v>
      </c>
      <c r="C11" s="148" t="s">
        <v>90</v>
      </c>
      <c r="D11" s="205">
        <f t="shared" si="4"/>
        <v>0</v>
      </c>
      <c r="E11" s="205"/>
      <c r="F11" s="205"/>
      <c r="G11" s="205"/>
      <c r="H11" s="205">
        <f t="shared" si="5"/>
        <v>0</v>
      </c>
      <c r="I11" s="205">
        <f t="shared" si="0"/>
        <v>0</v>
      </c>
      <c r="J11" s="205">
        <f t="shared" si="1"/>
        <v>0</v>
      </c>
      <c r="K11" s="205">
        <f t="shared" si="2"/>
        <v>0</v>
      </c>
      <c r="L11" s="205">
        <f t="shared" si="2"/>
        <v>0</v>
      </c>
      <c r="M11" s="205">
        <f t="shared" si="2"/>
        <v>0</v>
      </c>
      <c r="N11" s="205">
        <f t="shared" si="2"/>
        <v>0</v>
      </c>
      <c r="O11" s="205">
        <f t="shared" si="2"/>
        <v>0</v>
      </c>
      <c r="P11" s="205">
        <f t="shared" si="2"/>
        <v>0</v>
      </c>
      <c r="Q11" s="205">
        <f t="shared" si="6"/>
        <v>0</v>
      </c>
      <c r="R11" s="205">
        <f t="shared" si="3"/>
        <v>0</v>
      </c>
      <c r="S11" s="205">
        <f t="shared" si="3"/>
        <v>0</v>
      </c>
      <c r="T11" s="205">
        <f t="shared" si="3"/>
        <v>0</v>
      </c>
      <c r="U11" s="205">
        <f t="shared" si="7"/>
        <v>0</v>
      </c>
      <c r="V11" s="398"/>
      <c r="W11" s="417"/>
    </row>
    <row r="12" spans="1:36" s="168" customFormat="1" ht="13.8" x14ac:dyDescent="0.3">
      <c r="A12" s="146">
        <v>2027</v>
      </c>
      <c r="B12" s="147" t="s">
        <v>25</v>
      </c>
      <c r="C12" s="148" t="s">
        <v>90</v>
      </c>
      <c r="D12" s="205">
        <f t="shared" si="4"/>
        <v>0</v>
      </c>
      <c r="E12" s="205"/>
      <c r="F12" s="205"/>
      <c r="G12" s="205"/>
      <c r="H12" s="205">
        <f t="shared" si="5"/>
        <v>0</v>
      </c>
      <c r="I12" s="205">
        <f t="shared" si="0"/>
        <v>0</v>
      </c>
      <c r="J12" s="205">
        <f t="shared" si="1"/>
        <v>0</v>
      </c>
      <c r="K12" s="205">
        <f t="shared" si="2"/>
        <v>0</v>
      </c>
      <c r="L12" s="205">
        <f t="shared" si="2"/>
        <v>0</v>
      </c>
      <c r="M12" s="205">
        <f t="shared" si="2"/>
        <v>0</v>
      </c>
      <c r="N12" s="205">
        <f t="shared" si="2"/>
        <v>0</v>
      </c>
      <c r="O12" s="205">
        <f t="shared" si="2"/>
        <v>0</v>
      </c>
      <c r="P12" s="205">
        <f t="shared" si="2"/>
        <v>0</v>
      </c>
      <c r="Q12" s="205">
        <f t="shared" si="6"/>
        <v>0</v>
      </c>
      <c r="R12" s="205">
        <f t="shared" si="3"/>
        <v>0</v>
      </c>
      <c r="S12" s="205">
        <f t="shared" si="3"/>
        <v>0</v>
      </c>
      <c r="T12" s="205">
        <f t="shared" si="3"/>
        <v>0</v>
      </c>
      <c r="U12" s="205">
        <f t="shared" si="7"/>
        <v>0</v>
      </c>
      <c r="V12" s="398"/>
      <c r="W12" s="417"/>
    </row>
    <row r="13" spans="1:36" s="168" customFormat="1" ht="13.8" x14ac:dyDescent="0.3">
      <c r="A13" s="146">
        <v>2027</v>
      </c>
      <c r="B13" s="147" t="s">
        <v>26</v>
      </c>
      <c r="C13" s="148" t="s">
        <v>90</v>
      </c>
      <c r="D13" s="205">
        <f t="shared" si="4"/>
        <v>0</v>
      </c>
      <c r="E13" s="205"/>
      <c r="F13" s="205"/>
      <c r="G13" s="205"/>
      <c r="H13" s="205">
        <f t="shared" si="5"/>
        <v>0</v>
      </c>
      <c r="I13" s="205">
        <f t="shared" si="0"/>
        <v>0</v>
      </c>
      <c r="J13" s="205">
        <f t="shared" si="1"/>
        <v>0</v>
      </c>
      <c r="K13" s="205">
        <f t="shared" si="2"/>
        <v>0</v>
      </c>
      <c r="L13" s="205">
        <f t="shared" si="2"/>
        <v>0</v>
      </c>
      <c r="M13" s="205">
        <f t="shared" si="2"/>
        <v>0</v>
      </c>
      <c r="N13" s="205">
        <f t="shared" si="2"/>
        <v>0</v>
      </c>
      <c r="O13" s="205">
        <f t="shared" si="2"/>
        <v>0</v>
      </c>
      <c r="P13" s="205">
        <f t="shared" si="2"/>
        <v>0</v>
      </c>
      <c r="Q13" s="205">
        <f t="shared" si="6"/>
        <v>0</v>
      </c>
      <c r="R13" s="205">
        <f t="shared" si="3"/>
        <v>0</v>
      </c>
      <c r="S13" s="205">
        <f t="shared" si="3"/>
        <v>0</v>
      </c>
      <c r="T13" s="205">
        <f t="shared" si="3"/>
        <v>0</v>
      </c>
      <c r="U13" s="205">
        <f t="shared" si="7"/>
        <v>0</v>
      </c>
      <c r="V13" s="398"/>
      <c r="W13" s="417"/>
    </row>
    <row r="14" spans="1:36" s="168" customFormat="1" ht="13.8" x14ac:dyDescent="0.3">
      <c r="A14" s="146">
        <v>2027</v>
      </c>
      <c r="B14" s="147" t="s">
        <v>27</v>
      </c>
      <c r="C14" s="148" t="s">
        <v>90</v>
      </c>
      <c r="D14" s="205">
        <f t="shared" si="4"/>
        <v>0</v>
      </c>
      <c r="E14" s="205"/>
      <c r="F14" s="205"/>
      <c r="G14" s="205"/>
      <c r="H14" s="205">
        <f t="shared" si="5"/>
        <v>0</v>
      </c>
      <c r="I14" s="205">
        <f t="shared" si="0"/>
        <v>0</v>
      </c>
      <c r="J14" s="205">
        <f t="shared" si="1"/>
        <v>0</v>
      </c>
      <c r="K14" s="205">
        <f t="shared" si="2"/>
        <v>0</v>
      </c>
      <c r="L14" s="205">
        <f t="shared" si="2"/>
        <v>0</v>
      </c>
      <c r="M14" s="205">
        <f t="shared" si="2"/>
        <v>0</v>
      </c>
      <c r="N14" s="205">
        <f t="shared" si="2"/>
        <v>0</v>
      </c>
      <c r="O14" s="205">
        <f t="shared" si="2"/>
        <v>0</v>
      </c>
      <c r="P14" s="205">
        <f t="shared" si="2"/>
        <v>0</v>
      </c>
      <c r="Q14" s="205">
        <f t="shared" si="6"/>
        <v>0</v>
      </c>
      <c r="R14" s="205">
        <f t="shared" si="3"/>
        <v>0</v>
      </c>
      <c r="S14" s="205">
        <f t="shared" si="3"/>
        <v>0</v>
      </c>
      <c r="T14" s="205">
        <f t="shared" si="3"/>
        <v>0</v>
      </c>
      <c r="U14" s="205">
        <f t="shared" si="7"/>
        <v>0</v>
      </c>
      <c r="V14" s="398"/>
      <c r="W14" s="417"/>
    </row>
    <row r="15" spans="1:36" s="168" customFormat="1" ht="13.8" x14ac:dyDescent="0.3">
      <c r="A15" s="146">
        <v>2027</v>
      </c>
      <c r="B15" s="147" t="s">
        <v>28</v>
      </c>
      <c r="C15" s="148" t="s">
        <v>90</v>
      </c>
      <c r="D15" s="205">
        <f t="shared" si="4"/>
        <v>0</v>
      </c>
      <c r="E15" s="205"/>
      <c r="F15" s="205"/>
      <c r="G15" s="205"/>
      <c r="H15" s="205">
        <f t="shared" si="5"/>
        <v>0</v>
      </c>
      <c r="I15" s="205">
        <f t="shared" si="0"/>
        <v>0</v>
      </c>
      <c r="J15" s="205">
        <f t="shared" si="1"/>
        <v>0</v>
      </c>
      <c r="K15" s="205">
        <f t="shared" si="2"/>
        <v>0</v>
      </c>
      <c r="L15" s="205">
        <f t="shared" si="2"/>
        <v>0</v>
      </c>
      <c r="M15" s="205">
        <f t="shared" si="2"/>
        <v>0</v>
      </c>
      <c r="N15" s="205">
        <f t="shared" si="2"/>
        <v>0</v>
      </c>
      <c r="O15" s="205">
        <f t="shared" si="2"/>
        <v>0</v>
      </c>
      <c r="P15" s="205">
        <f t="shared" si="2"/>
        <v>0</v>
      </c>
      <c r="Q15" s="205">
        <f t="shared" si="6"/>
        <v>0</v>
      </c>
      <c r="R15" s="205">
        <f t="shared" si="3"/>
        <v>0</v>
      </c>
      <c r="S15" s="205">
        <f t="shared" si="3"/>
        <v>0</v>
      </c>
      <c r="T15" s="205">
        <f t="shared" si="3"/>
        <v>0</v>
      </c>
      <c r="U15" s="205">
        <f t="shared" si="7"/>
        <v>0</v>
      </c>
      <c r="V15" s="398"/>
      <c r="W15" s="417"/>
    </row>
    <row r="16" spans="1:36" s="168" customFormat="1" ht="13.8" x14ac:dyDescent="0.3">
      <c r="A16" s="146">
        <v>2027</v>
      </c>
      <c r="B16" s="147" t="s">
        <v>29</v>
      </c>
      <c r="C16" s="148" t="s">
        <v>90</v>
      </c>
      <c r="D16" s="205">
        <f t="shared" si="4"/>
        <v>0</v>
      </c>
      <c r="E16" s="205"/>
      <c r="F16" s="205"/>
      <c r="G16" s="205"/>
      <c r="H16" s="205">
        <f t="shared" si="5"/>
        <v>0</v>
      </c>
      <c r="I16" s="205">
        <f t="shared" si="0"/>
        <v>0</v>
      </c>
      <c r="J16" s="205">
        <f t="shared" si="1"/>
        <v>0</v>
      </c>
      <c r="K16" s="205">
        <f t="shared" si="2"/>
        <v>0</v>
      </c>
      <c r="L16" s="205">
        <f t="shared" si="2"/>
        <v>0</v>
      </c>
      <c r="M16" s="205">
        <f t="shared" si="2"/>
        <v>0</v>
      </c>
      <c r="N16" s="205">
        <f t="shared" si="2"/>
        <v>0</v>
      </c>
      <c r="O16" s="205">
        <f t="shared" si="2"/>
        <v>0</v>
      </c>
      <c r="P16" s="205">
        <f t="shared" si="2"/>
        <v>0</v>
      </c>
      <c r="Q16" s="205">
        <f t="shared" si="6"/>
        <v>0</v>
      </c>
      <c r="R16" s="205">
        <f t="shared" si="3"/>
        <v>0</v>
      </c>
      <c r="S16" s="205">
        <f t="shared" si="3"/>
        <v>0</v>
      </c>
      <c r="T16" s="205">
        <f t="shared" si="3"/>
        <v>0</v>
      </c>
      <c r="U16" s="205">
        <f t="shared" si="7"/>
        <v>0</v>
      </c>
      <c r="V16" s="398"/>
      <c r="W16" s="417"/>
      <c r="X16" s="167"/>
    </row>
    <row r="17" spans="1:36" s="168" customFormat="1" ht="13.8" x14ac:dyDescent="0.3">
      <c r="A17" s="146">
        <v>2027</v>
      </c>
      <c r="B17" s="147" t="s">
        <v>30</v>
      </c>
      <c r="C17" s="148" t="s">
        <v>90</v>
      </c>
      <c r="D17" s="205">
        <f t="shared" si="4"/>
        <v>0</v>
      </c>
      <c r="E17" s="205"/>
      <c r="F17" s="205"/>
      <c r="G17" s="205"/>
      <c r="H17" s="205">
        <f t="shared" si="5"/>
        <v>0</v>
      </c>
      <c r="I17" s="205">
        <f t="shared" si="0"/>
        <v>0</v>
      </c>
      <c r="J17" s="205">
        <f t="shared" si="1"/>
        <v>0</v>
      </c>
      <c r="K17" s="205">
        <f t="shared" si="2"/>
        <v>0</v>
      </c>
      <c r="L17" s="205">
        <f t="shared" si="2"/>
        <v>0</v>
      </c>
      <c r="M17" s="205">
        <f t="shared" si="2"/>
        <v>0</v>
      </c>
      <c r="N17" s="205">
        <f t="shared" si="2"/>
        <v>0</v>
      </c>
      <c r="O17" s="205">
        <f t="shared" si="2"/>
        <v>0</v>
      </c>
      <c r="P17" s="205">
        <f t="shared" si="2"/>
        <v>0</v>
      </c>
      <c r="Q17" s="205">
        <f t="shared" si="6"/>
        <v>0</v>
      </c>
      <c r="R17" s="205">
        <f t="shared" si="3"/>
        <v>0</v>
      </c>
      <c r="S17" s="205">
        <f t="shared" si="3"/>
        <v>0</v>
      </c>
      <c r="T17" s="205">
        <f t="shared" si="3"/>
        <v>0</v>
      </c>
      <c r="U17" s="205">
        <f t="shared" si="7"/>
        <v>0</v>
      </c>
      <c r="V17" s="398"/>
      <c r="W17" s="417"/>
    </row>
    <row r="18" spans="1:36" s="168" customFormat="1" ht="13.8" x14ac:dyDescent="0.3">
      <c r="A18" s="151">
        <v>2027</v>
      </c>
      <c r="B18" s="152" t="s">
        <v>31</v>
      </c>
      <c r="C18" s="153" t="s">
        <v>90</v>
      </c>
      <c r="D18" s="436">
        <f t="shared" si="4"/>
        <v>0</v>
      </c>
      <c r="E18" s="436"/>
      <c r="F18" s="436"/>
      <c r="G18" s="436"/>
      <c r="H18" s="436">
        <f t="shared" si="5"/>
        <v>0</v>
      </c>
      <c r="I18" s="436">
        <f t="shared" si="0"/>
        <v>0</v>
      </c>
      <c r="J18" s="436">
        <f t="shared" si="1"/>
        <v>0</v>
      </c>
      <c r="K18" s="436">
        <f t="shared" si="2"/>
        <v>0</v>
      </c>
      <c r="L18" s="436">
        <f t="shared" si="2"/>
        <v>0</v>
      </c>
      <c r="M18" s="436">
        <f t="shared" si="2"/>
        <v>0</v>
      </c>
      <c r="N18" s="436">
        <f t="shared" si="2"/>
        <v>0</v>
      </c>
      <c r="O18" s="436">
        <f t="shared" si="2"/>
        <v>0</v>
      </c>
      <c r="P18" s="436">
        <f t="shared" si="2"/>
        <v>0</v>
      </c>
      <c r="Q18" s="436">
        <f t="shared" si="6"/>
        <v>0</v>
      </c>
      <c r="R18" s="436">
        <f t="shared" si="3"/>
        <v>0</v>
      </c>
      <c r="S18" s="436">
        <f t="shared" si="3"/>
        <v>0</v>
      </c>
      <c r="T18" s="436">
        <f t="shared" si="3"/>
        <v>0</v>
      </c>
      <c r="U18" s="436">
        <f t="shared" si="7"/>
        <v>0</v>
      </c>
      <c r="V18" s="441"/>
      <c r="W18" s="442"/>
    </row>
    <row r="19" spans="1:36" s="168" customFormat="1" ht="13.8" x14ac:dyDescent="0.3">
      <c r="A19" s="550" t="s">
        <v>93</v>
      </c>
      <c r="B19" s="550"/>
      <c r="C19" s="550"/>
      <c r="D19" s="167">
        <f t="shared" ref="D19:W19" si="8">SUM(D7:D18)</f>
        <v>0</v>
      </c>
      <c r="E19" s="167">
        <f t="shared" si="8"/>
        <v>0</v>
      </c>
      <c r="F19" s="167">
        <f t="shared" si="8"/>
        <v>0</v>
      </c>
      <c r="G19" s="167">
        <f t="shared" si="8"/>
        <v>0</v>
      </c>
      <c r="H19" s="167">
        <f t="shared" si="8"/>
        <v>0</v>
      </c>
      <c r="I19" s="167">
        <f t="shared" si="8"/>
        <v>0</v>
      </c>
      <c r="J19" s="167">
        <f t="shared" si="8"/>
        <v>0</v>
      </c>
      <c r="K19" s="167">
        <f t="shared" si="8"/>
        <v>0</v>
      </c>
      <c r="L19" s="167">
        <f t="shared" si="8"/>
        <v>0</v>
      </c>
      <c r="M19" s="167">
        <f t="shared" si="8"/>
        <v>0</v>
      </c>
      <c r="N19" s="167">
        <f t="shared" si="8"/>
        <v>0</v>
      </c>
      <c r="O19" s="167">
        <f t="shared" si="8"/>
        <v>0</v>
      </c>
      <c r="P19" s="167">
        <f t="shared" si="8"/>
        <v>0</v>
      </c>
      <c r="Q19" s="167">
        <f t="shared" si="8"/>
        <v>0</v>
      </c>
      <c r="R19" s="167">
        <f t="shared" si="8"/>
        <v>0</v>
      </c>
      <c r="S19" s="167">
        <f t="shared" si="8"/>
        <v>0</v>
      </c>
      <c r="T19" s="167">
        <f t="shared" si="8"/>
        <v>0</v>
      </c>
      <c r="U19" s="167">
        <f t="shared" si="8"/>
        <v>0</v>
      </c>
      <c r="V19" s="167">
        <f t="shared" si="8"/>
        <v>0</v>
      </c>
      <c r="W19" s="167">
        <f t="shared" si="8"/>
        <v>0</v>
      </c>
    </row>
    <row r="20" spans="1:36" s="343" customFormat="1" x14ac:dyDescent="0.3">
      <c r="A20" s="495" t="s">
        <v>154</v>
      </c>
      <c r="B20" s="344"/>
      <c r="C20" s="344"/>
      <c r="D20" s="344"/>
      <c r="E20" s="365"/>
      <c r="F20" s="344"/>
      <c r="G20" s="344"/>
      <c r="H20" s="344"/>
      <c r="I20" s="344"/>
      <c r="J20" s="344"/>
      <c r="K20" s="344"/>
      <c r="L20" s="344"/>
      <c r="M20" s="344"/>
      <c r="N20" s="344"/>
      <c r="O20" s="344"/>
      <c r="P20" s="344"/>
      <c r="Q20" s="344"/>
      <c r="R20" s="344"/>
      <c r="S20" s="344"/>
      <c r="T20" s="344"/>
      <c r="U20" s="344"/>
      <c r="V20" s="344"/>
      <c r="W20" s="344"/>
      <c r="X20" s="344"/>
      <c r="Y20" s="344"/>
    </row>
    <row r="21" spans="1:36" s="142" customFormat="1" ht="51.6" customHeight="1" x14ac:dyDescent="0.3">
      <c r="A21" s="138" t="s">
        <v>18</v>
      </c>
      <c r="B21" s="138" t="s">
        <v>19</v>
      </c>
      <c r="C21" s="160" t="s">
        <v>0</v>
      </c>
      <c r="D21" s="437" t="s">
        <v>11</v>
      </c>
      <c r="E21" s="499" t="s">
        <v>158</v>
      </c>
      <c r="F21" s="438" t="s">
        <v>1</v>
      </c>
      <c r="G21" s="438" t="s">
        <v>2</v>
      </c>
      <c r="H21" s="437" t="s">
        <v>46</v>
      </c>
      <c r="I21" s="439" t="s">
        <v>37</v>
      </c>
      <c r="J21" s="440" t="s">
        <v>38</v>
      </c>
      <c r="K21" s="429" t="s">
        <v>100</v>
      </c>
      <c r="L21" s="430" t="s">
        <v>101</v>
      </c>
      <c r="M21" s="431" t="s">
        <v>82</v>
      </c>
      <c r="N21" s="431" t="s">
        <v>83</v>
      </c>
      <c r="O21" s="429" t="s">
        <v>102</v>
      </c>
      <c r="P21" s="430" t="s">
        <v>103</v>
      </c>
      <c r="Q21" s="437" t="s">
        <v>47</v>
      </c>
      <c r="R21" s="437" t="s">
        <v>48</v>
      </c>
      <c r="S21" s="437" t="s">
        <v>49</v>
      </c>
      <c r="T21" s="437" t="s">
        <v>3</v>
      </c>
      <c r="U21" s="437" t="s">
        <v>51</v>
      </c>
      <c r="V21" s="437" t="s">
        <v>50</v>
      </c>
      <c r="W21" s="437" t="s">
        <v>52</v>
      </c>
    </row>
    <row r="22" spans="1:36" s="168" customFormat="1" ht="13.8" x14ac:dyDescent="0.3">
      <c r="A22" s="143">
        <v>2026</v>
      </c>
      <c r="B22" s="144" t="s">
        <v>20</v>
      </c>
      <c r="C22" s="148" t="s">
        <v>90</v>
      </c>
      <c r="D22" s="398">
        <v>83219.545483740949</v>
      </c>
      <c r="E22" s="398">
        <v>1156.3267096479401</v>
      </c>
      <c r="F22" s="205"/>
      <c r="G22" s="205"/>
      <c r="H22" s="205">
        <f>I22+J22</f>
        <v>29391.173935614192</v>
      </c>
      <c r="I22" s="205">
        <f t="shared" ref="I22:I33" si="9">K22+M22+O22</f>
        <v>29391.173935614192</v>
      </c>
      <c r="J22" s="205">
        <f t="shared" ref="J22:J33" si="10">L22+N22+P22</f>
        <v>0</v>
      </c>
      <c r="K22" s="398">
        <v>7682.7174796649888</v>
      </c>
      <c r="L22" s="398">
        <v>0</v>
      </c>
      <c r="M22" s="398">
        <v>13945.182456255954</v>
      </c>
      <c r="N22" s="398">
        <v>0</v>
      </c>
      <c r="O22" s="398">
        <v>7763.2739996932496</v>
      </c>
      <c r="P22" s="398">
        <v>0</v>
      </c>
      <c r="Q22" s="205">
        <f>SUM(R22:S22)</f>
        <v>336.46297964679343</v>
      </c>
      <c r="R22" s="398">
        <v>336.46297964679343</v>
      </c>
      <c r="S22" s="398">
        <v>0</v>
      </c>
      <c r="T22" s="398">
        <v>502.43451515806208</v>
      </c>
      <c r="U22" s="205">
        <v>8.6304567065264397</v>
      </c>
      <c r="V22" s="398"/>
      <c r="W22" s="417"/>
      <c r="Y22" s="310"/>
      <c r="Z22" s="310"/>
      <c r="AA22" s="310"/>
      <c r="AB22" s="310"/>
      <c r="AC22" s="310"/>
      <c r="AD22" s="310"/>
      <c r="AE22" s="310"/>
      <c r="AF22" s="310"/>
      <c r="AG22" s="310"/>
      <c r="AH22" s="310"/>
      <c r="AI22" s="310"/>
      <c r="AJ22" s="310"/>
    </row>
    <row r="23" spans="1:36" s="168" customFormat="1" ht="13.8" x14ac:dyDescent="0.3">
      <c r="A23" s="146">
        <v>2026</v>
      </c>
      <c r="B23" s="147" t="s">
        <v>21</v>
      </c>
      <c r="C23" s="148" t="s">
        <v>90</v>
      </c>
      <c r="D23" s="398">
        <v>66885.950010841072</v>
      </c>
      <c r="E23" s="398">
        <v>1156.3267096479401</v>
      </c>
      <c r="F23" s="205"/>
      <c r="G23" s="205"/>
      <c r="H23" s="205">
        <f t="shared" ref="H23:H33" si="11">I23+J23</f>
        <v>23738.180383914201</v>
      </c>
      <c r="I23" s="205">
        <f t="shared" si="9"/>
        <v>23738.180383914201</v>
      </c>
      <c r="J23" s="205">
        <f t="shared" si="10"/>
        <v>0</v>
      </c>
      <c r="K23" s="398">
        <v>5943.68617581337</v>
      </c>
      <c r="L23" s="398">
        <v>0</v>
      </c>
      <c r="M23" s="398">
        <v>11075.064784061724</v>
      </c>
      <c r="N23" s="398">
        <v>0</v>
      </c>
      <c r="O23" s="398">
        <v>6719.4294240391046</v>
      </c>
      <c r="P23" s="398">
        <v>0</v>
      </c>
      <c r="Q23" s="205">
        <f t="shared" ref="Q23:Q33" si="12">SUM(R23:S23)</f>
        <v>293.71844914663927</v>
      </c>
      <c r="R23" s="398">
        <v>293.71844914663927</v>
      </c>
      <c r="S23" s="398">
        <v>0</v>
      </c>
      <c r="T23" s="398">
        <v>450.0130962067467</v>
      </c>
      <c r="U23" s="205">
        <v>7.6208039187437002</v>
      </c>
      <c r="V23" s="398"/>
      <c r="W23" s="417"/>
    </row>
    <row r="24" spans="1:36" s="168" customFormat="1" ht="13.8" x14ac:dyDescent="0.3">
      <c r="A24" s="146">
        <v>2026</v>
      </c>
      <c r="B24" s="147" t="s">
        <v>22</v>
      </c>
      <c r="C24" s="148" t="s">
        <v>90</v>
      </c>
      <c r="D24" s="398">
        <v>63268.159855318947</v>
      </c>
      <c r="E24" s="398">
        <v>1156.3267096479401</v>
      </c>
      <c r="F24" s="205"/>
      <c r="G24" s="205"/>
      <c r="H24" s="205">
        <f t="shared" si="11"/>
        <v>22345.449396047319</v>
      </c>
      <c r="I24" s="205">
        <f t="shared" si="9"/>
        <v>22345.449396047319</v>
      </c>
      <c r="J24" s="205">
        <f t="shared" si="10"/>
        <v>0</v>
      </c>
      <c r="K24" s="398">
        <v>5222.0062887516988</v>
      </c>
      <c r="L24" s="398">
        <v>0</v>
      </c>
      <c r="M24" s="398">
        <v>9984.6646475671605</v>
      </c>
      <c r="N24" s="398">
        <v>0</v>
      </c>
      <c r="O24" s="398">
        <v>7138.7784597284608</v>
      </c>
      <c r="P24" s="398">
        <v>0</v>
      </c>
      <c r="Q24" s="205">
        <f t="shared" si="12"/>
        <v>323.26928988330422</v>
      </c>
      <c r="R24" s="398">
        <v>323.26928988330422</v>
      </c>
      <c r="S24" s="398">
        <v>0</v>
      </c>
      <c r="T24" s="398">
        <v>455.80268764986187</v>
      </c>
      <c r="U24" s="205">
        <v>7.5654804783172498</v>
      </c>
      <c r="V24" s="398"/>
      <c r="W24" s="417"/>
    </row>
    <row r="25" spans="1:36" s="168" customFormat="1" ht="13.8" x14ac:dyDescent="0.3">
      <c r="A25" s="146">
        <v>2026</v>
      </c>
      <c r="B25" s="147" t="s">
        <v>23</v>
      </c>
      <c r="C25" s="148" t="s">
        <v>90</v>
      </c>
      <c r="D25" s="398">
        <v>61624.615570081703</v>
      </c>
      <c r="E25" s="398">
        <v>1156.3267096479401</v>
      </c>
      <c r="F25" s="205"/>
      <c r="G25" s="205"/>
      <c r="H25" s="205">
        <f t="shared" si="11"/>
        <v>19967.792810864583</v>
      </c>
      <c r="I25" s="205">
        <f t="shared" si="9"/>
        <v>19967.792810864583</v>
      </c>
      <c r="J25" s="205">
        <f t="shared" si="10"/>
        <v>0</v>
      </c>
      <c r="K25" s="398">
        <v>4644.9553985949078</v>
      </c>
      <c r="L25" s="398">
        <v>0</v>
      </c>
      <c r="M25" s="398">
        <v>8535.9130841513652</v>
      </c>
      <c r="N25" s="398">
        <v>0</v>
      </c>
      <c r="O25" s="398">
        <v>6786.9243281183108</v>
      </c>
      <c r="P25" s="398">
        <v>0</v>
      </c>
      <c r="Q25" s="205">
        <f t="shared" si="12"/>
        <v>313.46929670572467</v>
      </c>
      <c r="R25" s="398">
        <v>313.46929670572467</v>
      </c>
      <c r="S25" s="398">
        <v>0</v>
      </c>
      <c r="T25" s="398">
        <v>460.43904434380784</v>
      </c>
      <c r="U25" s="205">
        <v>8.3261777841809508</v>
      </c>
      <c r="V25" s="398"/>
      <c r="W25" s="417"/>
    </row>
    <row r="26" spans="1:36" s="168" customFormat="1" ht="13.8" x14ac:dyDescent="0.3">
      <c r="A26" s="146">
        <v>2026</v>
      </c>
      <c r="B26" s="147" t="s">
        <v>24</v>
      </c>
      <c r="C26" s="148" t="s">
        <v>90</v>
      </c>
      <c r="D26" s="398">
        <v>62401.250574098922</v>
      </c>
      <c r="E26" s="398">
        <v>1156.3267096479401</v>
      </c>
      <c r="F26" s="205"/>
      <c r="G26" s="205"/>
      <c r="H26" s="205">
        <f t="shared" si="11"/>
        <v>22077.292047697021</v>
      </c>
      <c r="I26" s="205">
        <f t="shared" si="9"/>
        <v>9489.3867725960772</v>
      </c>
      <c r="J26" s="205">
        <f t="shared" si="10"/>
        <v>12587.905275100944</v>
      </c>
      <c r="K26" s="398">
        <v>2327.4852331177658</v>
      </c>
      <c r="L26" s="398">
        <v>3087.466487117098</v>
      </c>
      <c r="M26" s="398">
        <v>4008.0409886008151</v>
      </c>
      <c r="N26" s="398">
        <v>5316.7650884385093</v>
      </c>
      <c r="O26" s="398">
        <v>3153.8605508774967</v>
      </c>
      <c r="P26" s="398">
        <v>4183.6736995453357</v>
      </c>
      <c r="Q26" s="205">
        <f t="shared" si="12"/>
        <v>333.50868030212951</v>
      </c>
      <c r="R26" s="398">
        <v>143.35059084998312</v>
      </c>
      <c r="S26" s="398">
        <v>190.15808945214636</v>
      </c>
      <c r="T26" s="398">
        <v>432.00472321151904</v>
      </c>
      <c r="U26" s="205">
        <v>7.7037890793833697</v>
      </c>
      <c r="V26" s="398"/>
      <c r="W26" s="417"/>
    </row>
    <row r="27" spans="1:36" s="168" customFormat="1" ht="13.8" x14ac:dyDescent="0.3">
      <c r="A27" s="146">
        <v>2026</v>
      </c>
      <c r="B27" s="147" t="s">
        <v>25</v>
      </c>
      <c r="C27" s="148" t="s">
        <v>90</v>
      </c>
      <c r="D27" s="398">
        <v>71645.236923260032</v>
      </c>
      <c r="E27" s="398">
        <v>1156.3267096479401</v>
      </c>
      <c r="F27" s="205"/>
      <c r="G27" s="205"/>
      <c r="H27" s="205">
        <f t="shared" si="11"/>
        <v>26240.306840600373</v>
      </c>
      <c r="I27" s="205">
        <f t="shared" si="9"/>
        <v>0</v>
      </c>
      <c r="J27" s="205">
        <f t="shared" si="10"/>
        <v>26240.306840600373</v>
      </c>
      <c r="K27" s="398">
        <v>0</v>
      </c>
      <c r="L27" s="398">
        <v>6621.6677321584621</v>
      </c>
      <c r="M27" s="398">
        <v>0</v>
      </c>
      <c r="N27" s="398">
        <v>11725.172893913044</v>
      </c>
      <c r="O27" s="398">
        <v>0</v>
      </c>
      <c r="P27" s="398">
        <v>7893.4662145288676</v>
      </c>
      <c r="Q27" s="205">
        <f t="shared" si="12"/>
        <v>398.55334666193988</v>
      </c>
      <c r="R27" s="398">
        <v>0</v>
      </c>
      <c r="S27" s="398">
        <v>398.55334666193988</v>
      </c>
      <c r="T27" s="398">
        <v>472.08909429215521</v>
      </c>
      <c r="U27" s="205">
        <v>7.8835902607693402</v>
      </c>
      <c r="V27" s="398"/>
      <c r="W27" s="417"/>
    </row>
    <row r="28" spans="1:36" s="168" customFormat="1" ht="13.8" x14ac:dyDescent="0.3">
      <c r="A28" s="146">
        <v>2026</v>
      </c>
      <c r="B28" s="147" t="s">
        <v>26</v>
      </c>
      <c r="C28" s="148" t="s">
        <v>90</v>
      </c>
      <c r="D28" s="398">
        <v>81560.504528628429</v>
      </c>
      <c r="E28" s="398">
        <v>1156.3267096479401</v>
      </c>
      <c r="F28" s="205"/>
      <c r="G28" s="205"/>
      <c r="H28" s="205">
        <f t="shared" si="11"/>
        <v>29070.529068634442</v>
      </c>
      <c r="I28" s="205">
        <f t="shared" si="9"/>
        <v>0</v>
      </c>
      <c r="J28" s="205">
        <f t="shared" si="10"/>
        <v>29070.529068634442</v>
      </c>
      <c r="K28" s="398">
        <v>0</v>
      </c>
      <c r="L28" s="398">
        <v>7002.4858636447625</v>
      </c>
      <c r="M28" s="398">
        <v>0</v>
      </c>
      <c r="N28" s="398">
        <v>13816.784456507114</v>
      </c>
      <c r="O28" s="398">
        <v>0</v>
      </c>
      <c r="P28" s="398">
        <v>8251.2587484825672</v>
      </c>
      <c r="Q28" s="205">
        <f t="shared" si="12"/>
        <v>426.63163242987355</v>
      </c>
      <c r="R28" s="398">
        <v>0</v>
      </c>
      <c r="S28" s="398">
        <v>426.63163242987355</v>
      </c>
      <c r="T28" s="398">
        <v>493.782259367839</v>
      </c>
      <c r="U28" s="205">
        <v>8.2293617634346603</v>
      </c>
      <c r="V28" s="398"/>
      <c r="W28" s="417"/>
    </row>
    <row r="29" spans="1:36" s="168" customFormat="1" ht="13.8" x14ac:dyDescent="0.3">
      <c r="A29" s="146">
        <v>2026</v>
      </c>
      <c r="B29" s="147" t="s">
        <v>27</v>
      </c>
      <c r="C29" s="148" t="s">
        <v>90</v>
      </c>
      <c r="D29" s="398">
        <v>77066.327756146653</v>
      </c>
      <c r="E29" s="398">
        <v>1156.3267096479401</v>
      </c>
      <c r="F29" s="205"/>
      <c r="G29" s="205"/>
      <c r="H29" s="205">
        <f t="shared" si="11"/>
        <v>28558.392010267507</v>
      </c>
      <c r="I29" s="205">
        <f t="shared" si="9"/>
        <v>0</v>
      </c>
      <c r="J29" s="205">
        <f t="shared" si="10"/>
        <v>28558.392010267507</v>
      </c>
      <c r="K29" s="398">
        <v>0</v>
      </c>
      <c r="L29" s="398">
        <v>7152.3717463924586</v>
      </c>
      <c r="M29" s="398">
        <v>0</v>
      </c>
      <c r="N29" s="398">
        <v>13154.348729593023</v>
      </c>
      <c r="O29" s="398">
        <v>0</v>
      </c>
      <c r="P29" s="398">
        <v>8251.671534282028</v>
      </c>
      <c r="Q29" s="205">
        <f t="shared" si="12"/>
        <v>407.76849538255647</v>
      </c>
      <c r="R29" s="398">
        <v>0</v>
      </c>
      <c r="S29" s="398">
        <v>407.76849538255647</v>
      </c>
      <c r="T29" s="398">
        <v>449.29719836912221</v>
      </c>
      <c r="U29" s="205">
        <v>8.25702348364789</v>
      </c>
      <c r="V29" s="398"/>
      <c r="W29" s="417"/>
    </row>
    <row r="30" spans="1:36" s="168" customFormat="1" ht="13.8" x14ac:dyDescent="0.3">
      <c r="A30" s="146">
        <v>2026</v>
      </c>
      <c r="B30" s="147" t="s">
        <v>28</v>
      </c>
      <c r="C30" s="148" t="s">
        <v>90</v>
      </c>
      <c r="D30" s="398">
        <v>64550.143746437083</v>
      </c>
      <c r="E30" s="398">
        <v>1156.3267096479401</v>
      </c>
      <c r="F30" s="205"/>
      <c r="G30" s="205"/>
      <c r="H30" s="205">
        <f t="shared" si="11"/>
        <v>22382.05229249585</v>
      </c>
      <c r="I30" s="205">
        <f t="shared" si="9"/>
        <v>0</v>
      </c>
      <c r="J30" s="205">
        <f t="shared" si="10"/>
        <v>22382.05229249585</v>
      </c>
      <c r="K30" s="398">
        <v>0</v>
      </c>
      <c r="L30" s="398">
        <v>5113.5978374489987</v>
      </c>
      <c r="M30" s="398">
        <v>0</v>
      </c>
      <c r="N30" s="398">
        <v>10481.41565768603</v>
      </c>
      <c r="O30" s="398">
        <v>0</v>
      </c>
      <c r="P30" s="398">
        <v>6787.0387973608194</v>
      </c>
      <c r="Q30" s="205">
        <f t="shared" si="12"/>
        <v>364.53384985141298</v>
      </c>
      <c r="R30" s="398">
        <v>0</v>
      </c>
      <c r="S30" s="398">
        <v>364.53384985141298</v>
      </c>
      <c r="T30" s="398">
        <v>422.68972171593146</v>
      </c>
      <c r="U30" s="205">
        <v>8.0080680017288604</v>
      </c>
      <c r="V30" s="398"/>
      <c r="W30" s="417"/>
    </row>
    <row r="31" spans="1:36" s="168" customFormat="1" ht="13.8" x14ac:dyDescent="0.3">
      <c r="A31" s="146">
        <v>2026</v>
      </c>
      <c r="B31" s="147" t="s">
        <v>29</v>
      </c>
      <c r="C31" s="148" t="s">
        <v>90</v>
      </c>
      <c r="D31" s="398">
        <v>62472.770260124038</v>
      </c>
      <c r="E31" s="398">
        <v>1156.3267096479401</v>
      </c>
      <c r="F31" s="205"/>
      <c r="G31" s="205"/>
      <c r="H31" s="205">
        <f t="shared" si="11"/>
        <v>23092.913756857582</v>
      </c>
      <c r="I31" s="205">
        <f t="shared" si="9"/>
        <v>23092.913756857582</v>
      </c>
      <c r="J31" s="205">
        <f t="shared" si="10"/>
        <v>0</v>
      </c>
      <c r="K31" s="398">
        <v>5661.7613988777703</v>
      </c>
      <c r="L31" s="398">
        <v>0</v>
      </c>
      <c r="M31" s="398">
        <v>10679.803372995199</v>
      </c>
      <c r="N31" s="398">
        <v>0</v>
      </c>
      <c r="O31" s="398">
        <v>6751.3489849846119</v>
      </c>
      <c r="P31" s="398">
        <v>0</v>
      </c>
      <c r="Q31" s="205">
        <f t="shared" si="12"/>
        <v>319.4284370914815</v>
      </c>
      <c r="R31" s="398">
        <v>319.4284370914815</v>
      </c>
      <c r="S31" s="398">
        <v>0</v>
      </c>
      <c r="T31" s="398">
        <v>404.58649361673508</v>
      </c>
      <c r="U31" s="205">
        <v>7.8144359602362803</v>
      </c>
      <c r="V31" s="398"/>
      <c r="W31" s="417"/>
      <c r="X31" s="167"/>
    </row>
    <row r="32" spans="1:36" s="168" customFormat="1" ht="13.8" x14ac:dyDescent="0.3">
      <c r="A32" s="146">
        <v>2026</v>
      </c>
      <c r="B32" s="147" t="s">
        <v>30</v>
      </c>
      <c r="C32" s="148" t="s">
        <v>90</v>
      </c>
      <c r="D32" s="398">
        <v>60946.946947101205</v>
      </c>
      <c r="E32" s="398">
        <v>1156.3267096479401</v>
      </c>
      <c r="F32" s="205"/>
      <c r="G32" s="205"/>
      <c r="H32" s="205">
        <f t="shared" si="11"/>
        <v>20685.739159878871</v>
      </c>
      <c r="I32" s="205">
        <f t="shared" si="9"/>
        <v>20685.739159878871</v>
      </c>
      <c r="J32" s="205">
        <f t="shared" si="10"/>
        <v>0</v>
      </c>
      <c r="K32" s="398">
        <v>4779.2157918038884</v>
      </c>
      <c r="L32" s="398">
        <v>0</v>
      </c>
      <c r="M32" s="398">
        <v>9357.7129716620093</v>
      </c>
      <c r="N32" s="398">
        <v>0</v>
      </c>
      <c r="O32" s="398">
        <v>6548.8103964129723</v>
      </c>
      <c r="P32" s="398">
        <v>0</v>
      </c>
      <c r="Q32" s="205">
        <f t="shared" si="12"/>
        <v>302.62710841409626</v>
      </c>
      <c r="R32" s="398">
        <v>302.62710841409626</v>
      </c>
      <c r="S32" s="398">
        <v>0</v>
      </c>
      <c r="T32" s="398">
        <v>415.10184957727023</v>
      </c>
      <c r="U32" s="205">
        <v>7.7037890793833697</v>
      </c>
      <c r="V32" s="398"/>
      <c r="W32" s="417"/>
    </row>
    <row r="33" spans="1:36" s="168" customFormat="1" ht="13.8" x14ac:dyDescent="0.3">
      <c r="A33" s="151">
        <v>2026</v>
      </c>
      <c r="B33" s="152" t="s">
        <v>31</v>
      </c>
      <c r="C33" s="153" t="s">
        <v>90</v>
      </c>
      <c r="D33" s="441">
        <v>74163.306273130467</v>
      </c>
      <c r="E33" s="441">
        <v>1156.3267096479401</v>
      </c>
      <c r="F33" s="436"/>
      <c r="G33" s="436"/>
      <c r="H33" s="436">
        <f t="shared" si="11"/>
        <v>25637.513345558495</v>
      </c>
      <c r="I33" s="436">
        <f t="shared" si="9"/>
        <v>25637.513345558495</v>
      </c>
      <c r="J33" s="436">
        <f t="shared" si="10"/>
        <v>0</v>
      </c>
      <c r="K33" s="441">
        <v>6394.2861035630358</v>
      </c>
      <c r="L33" s="441">
        <v>0</v>
      </c>
      <c r="M33" s="441">
        <v>12132.128062200527</v>
      </c>
      <c r="N33" s="441">
        <v>0</v>
      </c>
      <c r="O33" s="441">
        <v>7111.09917979493</v>
      </c>
      <c r="P33" s="441">
        <v>0</v>
      </c>
      <c r="Q33" s="436">
        <f t="shared" si="12"/>
        <v>327.9560531644114</v>
      </c>
      <c r="R33" s="441">
        <v>327.9560531644114</v>
      </c>
      <c r="S33" s="441">
        <v>0</v>
      </c>
      <c r="T33" s="441">
        <v>464.51675064005627</v>
      </c>
      <c r="U33" s="436">
        <v>8.25702348364789</v>
      </c>
      <c r="V33" s="441"/>
      <c r="W33" s="442"/>
    </row>
    <row r="34" spans="1:36" s="168" customFormat="1" ht="13.8" x14ac:dyDescent="0.3">
      <c r="A34" s="550" t="s">
        <v>93</v>
      </c>
      <c r="B34" s="550"/>
      <c r="C34" s="550"/>
      <c r="D34" s="299">
        <f t="shared" ref="D34:W34" si="13">SUM(D22:D33)</f>
        <v>829804.75792890938</v>
      </c>
      <c r="E34" s="299">
        <f t="shared" si="13"/>
        <v>13875.920515775279</v>
      </c>
      <c r="F34" s="299">
        <f t="shared" si="13"/>
        <v>0</v>
      </c>
      <c r="G34" s="299">
        <f t="shared" si="13"/>
        <v>0</v>
      </c>
      <c r="H34" s="299">
        <f t="shared" si="13"/>
        <v>293187.33504843042</v>
      </c>
      <c r="I34" s="299">
        <f t="shared" si="13"/>
        <v>174348.14956133132</v>
      </c>
      <c r="J34" s="299">
        <f t="shared" si="13"/>
        <v>118839.18548709911</v>
      </c>
      <c r="K34" s="299">
        <f t="shared" si="13"/>
        <v>42656.113870187422</v>
      </c>
      <c r="L34" s="299">
        <f t="shared" si="13"/>
        <v>28977.589666761778</v>
      </c>
      <c r="M34" s="299">
        <f t="shared" si="13"/>
        <v>79718.51036749476</v>
      </c>
      <c r="N34" s="299">
        <f t="shared" si="13"/>
        <v>54494.486826137727</v>
      </c>
      <c r="O34" s="299">
        <f t="shared" si="13"/>
        <v>51973.525323649133</v>
      </c>
      <c r="P34" s="299">
        <f t="shared" si="13"/>
        <v>35367.108994199618</v>
      </c>
      <c r="Q34" s="299">
        <f t="shared" si="13"/>
        <v>4147.9276186803627</v>
      </c>
      <c r="R34" s="299">
        <f t="shared" si="13"/>
        <v>2360.2822049024339</v>
      </c>
      <c r="S34" s="299">
        <f t="shared" si="13"/>
        <v>1787.6454137779292</v>
      </c>
      <c r="T34" s="299">
        <f>SUM(T22:T33)</f>
        <v>5422.7574341491081</v>
      </c>
      <c r="U34" s="299">
        <f t="shared" si="13"/>
        <v>95.999999999999986</v>
      </c>
      <c r="V34" s="299">
        <f t="shared" si="13"/>
        <v>0</v>
      </c>
      <c r="W34" s="299">
        <f t="shared" si="13"/>
        <v>0</v>
      </c>
    </row>
    <row r="35" spans="1:36" s="168" customFormat="1" ht="19.649999999999999" customHeight="1" x14ac:dyDescent="0.3">
      <c r="A35" s="390"/>
      <c r="B35" s="390"/>
      <c r="C35" s="390"/>
      <c r="D35" s="167"/>
      <c r="E35" s="167"/>
      <c r="F35" s="167"/>
      <c r="G35" s="167"/>
      <c r="H35" s="167"/>
      <c r="I35" s="167"/>
      <c r="J35" s="167"/>
      <c r="K35" s="167"/>
      <c r="L35" s="167"/>
      <c r="M35" s="167"/>
      <c r="N35" s="167"/>
      <c r="O35" s="167"/>
      <c r="P35" s="167"/>
      <c r="Q35" s="167"/>
      <c r="R35" s="167"/>
      <c r="S35" s="167"/>
      <c r="T35" s="167"/>
      <c r="U35" s="167"/>
      <c r="V35" s="167"/>
      <c r="W35" s="167"/>
    </row>
    <row r="36" spans="1:36" ht="55.2" x14ac:dyDescent="0.3">
      <c r="A36" s="138" t="s">
        <v>18</v>
      </c>
      <c r="B36" s="138" t="s">
        <v>19</v>
      </c>
      <c r="C36" s="160" t="s">
        <v>0</v>
      </c>
      <c r="D36" s="139" t="s">
        <v>11</v>
      </c>
      <c r="E36" s="499" t="s">
        <v>158</v>
      </c>
      <c r="F36" s="138" t="s">
        <v>1</v>
      </c>
      <c r="G36" s="138" t="s">
        <v>2</v>
      </c>
      <c r="H36" s="139" t="s">
        <v>46</v>
      </c>
      <c r="I36" s="140" t="s">
        <v>37</v>
      </c>
      <c r="J36" s="141" t="s">
        <v>38</v>
      </c>
      <c r="K36" s="159" t="s">
        <v>100</v>
      </c>
      <c r="L36" s="156" t="s">
        <v>101</v>
      </c>
      <c r="M36" s="78" t="s">
        <v>82</v>
      </c>
      <c r="N36" s="78" t="s">
        <v>83</v>
      </c>
      <c r="O36" s="159" t="s">
        <v>102</v>
      </c>
      <c r="P36" s="156" t="s">
        <v>103</v>
      </c>
      <c r="Q36" s="139" t="s">
        <v>47</v>
      </c>
      <c r="R36" s="139" t="s">
        <v>48</v>
      </c>
      <c r="S36" s="139" t="s">
        <v>49</v>
      </c>
      <c r="T36" s="139" t="s">
        <v>3</v>
      </c>
      <c r="U36" s="139" t="s">
        <v>51</v>
      </c>
      <c r="V36" s="139" t="s">
        <v>50</v>
      </c>
      <c r="W36" s="139" t="s">
        <v>52</v>
      </c>
      <c r="X36" s="262"/>
      <c r="Y36" s="262"/>
    </row>
    <row r="37" spans="1:36" s="142" customFormat="1" x14ac:dyDescent="0.3">
      <c r="A37" s="143">
        <v>2024</v>
      </c>
      <c r="B37" s="144" t="s">
        <v>20</v>
      </c>
      <c r="C37" s="148" t="s">
        <v>90</v>
      </c>
      <c r="D37" s="145">
        <v>72941</v>
      </c>
      <c r="E37" s="145">
        <v>1200</v>
      </c>
      <c r="F37" s="506"/>
      <c r="G37" s="506"/>
      <c r="H37" s="145">
        <f>I37+J37</f>
        <v>24681</v>
      </c>
      <c r="I37" s="145">
        <f>K37+M37+O37</f>
        <v>24681</v>
      </c>
      <c r="J37" s="145">
        <f>L37+N37+P37</f>
        <v>0</v>
      </c>
      <c r="K37" s="145">
        <v>5933</v>
      </c>
      <c r="L37" s="145"/>
      <c r="M37" s="145">
        <v>12148</v>
      </c>
      <c r="N37" s="145"/>
      <c r="O37" s="145">
        <v>6600</v>
      </c>
      <c r="P37" s="145"/>
      <c r="Q37" s="145">
        <f>SUM(R37:S37)</f>
        <v>332.59999999999997</v>
      </c>
      <c r="R37" s="145">
        <v>332.59999999999997</v>
      </c>
      <c r="S37" s="145"/>
      <c r="T37" s="145">
        <v>484.79999999999995</v>
      </c>
      <c r="U37" s="145">
        <v>8.32</v>
      </c>
      <c r="V37" s="507"/>
      <c r="W37" s="508"/>
    </row>
    <row r="38" spans="1:36" s="168" customFormat="1" x14ac:dyDescent="0.3">
      <c r="A38" s="146">
        <v>2024</v>
      </c>
      <c r="B38" s="147" t="s">
        <v>21</v>
      </c>
      <c r="C38" s="148" t="s">
        <v>90</v>
      </c>
      <c r="D38" s="149">
        <v>74421</v>
      </c>
      <c r="E38" s="149">
        <v>1200</v>
      </c>
      <c r="F38" s="509"/>
      <c r="G38" s="509"/>
      <c r="H38" s="149">
        <f t="shared" ref="H38:H48" si="14">I38+J38</f>
        <v>28929</v>
      </c>
      <c r="I38" s="149">
        <f t="shared" ref="I38:I48" si="15">K38+M38+O38</f>
        <v>28929</v>
      </c>
      <c r="J38" s="149">
        <f t="shared" ref="J38:J48" si="16">L38+N38+P38</f>
        <v>0</v>
      </c>
      <c r="K38" s="149">
        <v>7562</v>
      </c>
      <c r="L38" s="149"/>
      <c r="M38" s="149">
        <v>13433</v>
      </c>
      <c r="N38" s="149"/>
      <c r="O38" s="149">
        <v>7934</v>
      </c>
      <c r="P38" s="149"/>
      <c r="Q38" s="149">
        <f t="shared" ref="Q38:Q48" si="17">SUM(R38:S38)</f>
        <v>337.3</v>
      </c>
      <c r="R38" s="149">
        <v>337.3</v>
      </c>
      <c r="S38" s="149"/>
      <c r="T38" s="149">
        <v>485.9</v>
      </c>
      <c r="U38" s="149">
        <v>8.1300000000000008</v>
      </c>
      <c r="V38" s="510"/>
      <c r="W38" s="511"/>
      <c r="Y38" s="344"/>
      <c r="Z38" s="344"/>
      <c r="AA38" s="344"/>
      <c r="AB38" s="344"/>
      <c r="AC38" s="344"/>
      <c r="AD38" s="344"/>
      <c r="AE38" s="344"/>
      <c r="AF38" s="344"/>
      <c r="AG38" s="344"/>
      <c r="AH38" s="344"/>
      <c r="AI38" s="344"/>
      <c r="AJ38" s="344"/>
    </row>
    <row r="39" spans="1:36" s="168" customFormat="1" x14ac:dyDescent="0.3">
      <c r="A39" s="146">
        <v>2024</v>
      </c>
      <c r="B39" s="147" t="s">
        <v>22</v>
      </c>
      <c r="C39" s="148" t="s">
        <v>90</v>
      </c>
      <c r="D39" s="149">
        <v>60246</v>
      </c>
      <c r="E39" s="149">
        <v>1200</v>
      </c>
      <c r="F39" s="509"/>
      <c r="G39" s="509"/>
      <c r="H39" s="149">
        <f t="shared" si="14"/>
        <v>20997</v>
      </c>
      <c r="I39" s="149">
        <f t="shared" si="15"/>
        <v>20997</v>
      </c>
      <c r="J39" s="149">
        <f t="shared" si="16"/>
        <v>0</v>
      </c>
      <c r="K39" s="149">
        <v>4309</v>
      </c>
      <c r="L39" s="149"/>
      <c r="M39" s="149">
        <v>8893</v>
      </c>
      <c r="N39" s="149"/>
      <c r="O39" s="149">
        <v>7795</v>
      </c>
      <c r="P39" s="149"/>
      <c r="Q39" s="149">
        <f t="shared" si="17"/>
        <v>331</v>
      </c>
      <c r="R39" s="149">
        <v>331</v>
      </c>
      <c r="S39" s="149"/>
      <c r="T39" s="149">
        <v>485.9</v>
      </c>
      <c r="U39" s="149">
        <v>7.82</v>
      </c>
      <c r="V39" s="510"/>
      <c r="W39" s="511"/>
    </row>
    <row r="40" spans="1:36" s="168" customFormat="1" x14ac:dyDescent="0.3">
      <c r="A40" s="146">
        <v>2024</v>
      </c>
      <c r="B40" s="147" t="s">
        <v>23</v>
      </c>
      <c r="C40" s="148" t="s">
        <v>90</v>
      </c>
      <c r="D40" s="149">
        <v>51616</v>
      </c>
      <c r="E40" s="149">
        <v>1200</v>
      </c>
      <c r="F40" s="509"/>
      <c r="G40" s="509"/>
      <c r="H40" s="149">
        <f t="shared" si="14"/>
        <v>18230</v>
      </c>
      <c r="I40" s="149">
        <f t="shared" si="15"/>
        <v>18230</v>
      </c>
      <c r="J40" s="149">
        <f t="shared" si="16"/>
        <v>0</v>
      </c>
      <c r="K40" s="149">
        <v>4186</v>
      </c>
      <c r="L40" s="149"/>
      <c r="M40" s="149">
        <v>8095</v>
      </c>
      <c r="N40" s="149"/>
      <c r="O40" s="149">
        <v>5949</v>
      </c>
      <c r="P40" s="149"/>
      <c r="Q40" s="149">
        <f t="shared" si="17"/>
        <v>339.4</v>
      </c>
      <c r="R40" s="149">
        <v>339.4</v>
      </c>
      <c r="S40" s="149"/>
      <c r="T40" s="149">
        <v>485.9</v>
      </c>
      <c r="U40" s="149">
        <v>7.8199999999999994</v>
      </c>
      <c r="V40" s="510"/>
      <c r="W40" s="511"/>
    </row>
    <row r="41" spans="1:36" s="168" customFormat="1" x14ac:dyDescent="0.3">
      <c r="A41" s="146">
        <v>2024</v>
      </c>
      <c r="B41" s="147" t="s">
        <v>24</v>
      </c>
      <c r="C41" s="148" t="s">
        <v>90</v>
      </c>
      <c r="D41" s="149">
        <v>51861</v>
      </c>
      <c r="E41" s="149">
        <v>1200</v>
      </c>
      <c r="F41" s="509"/>
      <c r="G41" s="509"/>
      <c r="H41" s="149">
        <f t="shared" si="14"/>
        <v>18794</v>
      </c>
      <c r="I41" s="149">
        <f t="shared" si="15"/>
        <v>18794</v>
      </c>
      <c r="J41" s="149">
        <f t="shared" si="16"/>
        <v>0</v>
      </c>
      <c r="K41" s="149">
        <v>4838</v>
      </c>
      <c r="L41" s="149"/>
      <c r="M41" s="149">
        <v>8359</v>
      </c>
      <c r="N41" s="149"/>
      <c r="O41" s="149">
        <v>5597</v>
      </c>
      <c r="P41" s="149"/>
      <c r="Q41" s="149">
        <f t="shared" si="17"/>
        <v>355.3</v>
      </c>
      <c r="R41" s="149">
        <v>355.3</v>
      </c>
      <c r="S41" s="149"/>
      <c r="T41" s="149">
        <v>485.9</v>
      </c>
      <c r="U41" s="149">
        <v>8.02</v>
      </c>
      <c r="V41" s="510"/>
      <c r="W41" s="511"/>
    </row>
    <row r="42" spans="1:36" s="168" customFormat="1" x14ac:dyDescent="0.3">
      <c r="A42" s="146">
        <v>2024</v>
      </c>
      <c r="B42" s="147" t="s">
        <v>25</v>
      </c>
      <c r="C42" s="148" t="s">
        <v>90</v>
      </c>
      <c r="D42" s="149">
        <v>73726</v>
      </c>
      <c r="E42" s="149">
        <v>1200</v>
      </c>
      <c r="F42" s="509"/>
      <c r="G42" s="509"/>
      <c r="H42" s="149">
        <f t="shared" si="14"/>
        <v>25917</v>
      </c>
      <c r="I42" s="149">
        <f t="shared" si="15"/>
        <v>18496</v>
      </c>
      <c r="J42" s="149">
        <f t="shared" si="16"/>
        <v>7421</v>
      </c>
      <c r="K42" s="149">
        <v>4075</v>
      </c>
      <c r="L42" s="149">
        <v>1909</v>
      </c>
      <c r="M42" s="149">
        <v>7661</v>
      </c>
      <c r="N42" s="149">
        <v>4246</v>
      </c>
      <c r="O42" s="149">
        <v>6760</v>
      </c>
      <c r="P42" s="149">
        <v>1266</v>
      </c>
      <c r="Q42" s="149">
        <f t="shared" si="17"/>
        <v>410.8</v>
      </c>
      <c r="R42" s="149">
        <v>305</v>
      </c>
      <c r="S42" s="149">
        <v>105.80000000000001</v>
      </c>
      <c r="T42" s="149">
        <v>490.4</v>
      </c>
      <c r="U42" s="149">
        <v>8.379999999999999</v>
      </c>
      <c r="V42" s="510"/>
      <c r="W42" s="511"/>
    </row>
    <row r="43" spans="1:36" s="168" customFormat="1" x14ac:dyDescent="0.3">
      <c r="A43" s="146">
        <v>2024</v>
      </c>
      <c r="B43" s="147" t="s">
        <v>26</v>
      </c>
      <c r="C43" s="148" t="s">
        <v>90</v>
      </c>
      <c r="D43" s="149">
        <v>72302</v>
      </c>
      <c r="E43" s="149">
        <v>1200</v>
      </c>
      <c r="F43" s="509"/>
      <c r="G43" s="509"/>
      <c r="H43" s="149">
        <f t="shared" si="14"/>
        <v>29779</v>
      </c>
      <c r="I43" s="149">
        <f t="shared" si="15"/>
        <v>0</v>
      </c>
      <c r="J43" s="149">
        <f t="shared" si="16"/>
        <v>29779</v>
      </c>
      <c r="K43" s="149"/>
      <c r="L43" s="149">
        <v>6947</v>
      </c>
      <c r="M43" s="149"/>
      <c r="N43" s="149">
        <v>14404</v>
      </c>
      <c r="O43" s="149"/>
      <c r="P43" s="149">
        <v>8428</v>
      </c>
      <c r="Q43" s="149">
        <f t="shared" si="17"/>
        <v>450.3</v>
      </c>
      <c r="R43" s="149"/>
      <c r="S43" s="149">
        <v>450.3</v>
      </c>
      <c r="T43" s="149">
        <v>492.5</v>
      </c>
      <c r="U43" s="149">
        <v>7.62</v>
      </c>
      <c r="V43" s="510"/>
      <c r="W43" s="511"/>
    </row>
    <row r="44" spans="1:36" s="168" customFormat="1" x14ac:dyDescent="0.3">
      <c r="A44" s="146">
        <v>2024</v>
      </c>
      <c r="B44" s="147" t="s">
        <v>27</v>
      </c>
      <c r="C44" s="148" t="s">
        <v>90</v>
      </c>
      <c r="D44" s="149">
        <v>79862</v>
      </c>
      <c r="E44" s="149">
        <v>1200</v>
      </c>
      <c r="F44" s="509"/>
      <c r="G44" s="509"/>
      <c r="H44" s="149">
        <f t="shared" si="14"/>
        <v>33796</v>
      </c>
      <c r="I44" s="149">
        <f t="shared" si="15"/>
        <v>0</v>
      </c>
      <c r="J44" s="149">
        <f t="shared" si="16"/>
        <v>33796</v>
      </c>
      <c r="K44" s="149"/>
      <c r="L44" s="149">
        <v>7696</v>
      </c>
      <c r="M44" s="149"/>
      <c r="N44" s="149">
        <v>16720</v>
      </c>
      <c r="O44" s="149"/>
      <c r="P44" s="149">
        <v>9380</v>
      </c>
      <c r="Q44" s="149">
        <f t="shared" si="17"/>
        <v>433</v>
      </c>
      <c r="R44" s="149"/>
      <c r="S44" s="149">
        <v>433</v>
      </c>
      <c r="T44" s="149">
        <v>483.6</v>
      </c>
      <c r="U44" s="149">
        <v>8.2200000000000006</v>
      </c>
      <c r="V44" s="510"/>
      <c r="W44" s="511"/>
    </row>
    <row r="45" spans="1:36" s="168" customFormat="1" x14ac:dyDescent="0.3">
      <c r="A45" s="146">
        <v>2024</v>
      </c>
      <c r="B45" s="147" t="s">
        <v>28</v>
      </c>
      <c r="C45" s="148" t="s">
        <v>90</v>
      </c>
      <c r="D45" s="149">
        <v>88012</v>
      </c>
      <c r="E45" s="149">
        <v>1200</v>
      </c>
      <c r="F45" s="509"/>
      <c r="G45" s="509"/>
      <c r="H45" s="149">
        <f t="shared" si="14"/>
        <v>33763</v>
      </c>
      <c r="I45" s="149">
        <f t="shared" si="15"/>
        <v>0</v>
      </c>
      <c r="J45" s="149">
        <f t="shared" si="16"/>
        <v>33763</v>
      </c>
      <c r="K45" s="149"/>
      <c r="L45" s="149">
        <v>8388</v>
      </c>
      <c r="M45" s="149"/>
      <c r="N45" s="149">
        <v>16455</v>
      </c>
      <c r="O45" s="149"/>
      <c r="P45" s="149">
        <v>8920</v>
      </c>
      <c r="Q45" s="149">
        <f t="shared" si="17"/>
        <v>477.4</v>
      </c>
      <c r="R45" s="149"/>
      <c r="S45" s="149">
        <v>477.4</v>
      </c>
      <c r="T45" s="149">
        <v>499.6</v>
      </c>
      <c r="U45" s="149">
        <v>8.52</v>
      </c>
      <c r="V45" s="510"/>
      <c r="W45" s="511"/>
    </row>
    <row r="46" spans="1:36" s="168" customFormat="1" x14ac:dyDescent="0.3">
      <c r="A46" s="146">
        <v>2024</v>
      </c>
      <c r="B46" s="147" t="s">
        <v>29</v>
      </c>
      <c r="C46" s="148" t="s">
        <v>90</v>
      </c>
      <c r="D46" s="149">
        <v>67906</v>
      </c>
      <c r="E46" s="149">
        <v>1200</v>
      </c>
      <c r="F46" s="509"/>
      <c r="G46" s="509"/>
      <c r="H46" s="149">
        <f t="shared" si="14"/>
        <v>27486</v>
      </c>
      <c r="I46" s="149">
        <f t="shared" si="15"/>
        <v>5411</v>
      </c>
      <c r="J46" s="149">
        <f t="shared" si="16"/>
        <v>22075</v>
      </c>
      <c r="K46" s="149">
        <v>1291</v>
      </c>
      <c r="L46" s="149">
        <v>4953</v>
      </c>
      <c r="M46" s="149">
        <v>2657</v>
      </c>
      <c r="N46" s="149">
        <v>10734</v>
      </c>
      <c r="O46" s="149">
        <v>1463</v>
      </c>
      <c r="P46" s="149">
        <v>6388</v>
      </c>
      <c r="Q46" s="149">
        <f t="shared" si="17"/>
        <v>395</v>
      </c>
      <c r="R46" s="149">
        <v>62.6</v>
      </c>
      <c r="S46" s="149">
        <v>332.4</v>
      </c>
      <c r="T46" s="149">
        <v>499.6</v>
      </c>
      <c r="U46" s="149">
        <v>7.51</v>
      </c>
      <c r="V46" s="510"/>
      <c r="W46" s="511"/>
    </row>
    <row r="47" spans="1:36" s="168" customFormat="1" x14ac:dyDescent="0.3">
      <c r="A47" s="146">
        <v>2024</v>
      </c>
      <c r="B47" s="147" t="s">
        <v>30</v>
      </c>
      <c r="C47" s="148" t="s">
        <v>90</v>
      </c>
      <c r="D47" s="149">
        <v>69296</v>
      </c>
      <c r="E47" s="149">
        <v>1200</v>
      </c>
      <c r="F47" s="509"/>
      <c r="G47" s="509"/>
      <c r="H47" s="149">
        <f t="shared" si="14"/>
        <v>25063</v>
      </c>
      <c r="I47" s="149">
        <f t="shared" si="15"/>
        <v>25063</v>
      </c>
      <c r="J47" s="149">
        <f t="shared" si="16"/>
        <v>0</v>
      </c>
      <c r="K47" s="149">
        <v>7009</v>
      </c>
      <c r="L47" s="149"/>
      <c r="M47" s="149">
        <v>11282</v>
      </c>
      <c r="N47" s="149"/>
      <c r="O47" s="149">
        <v>6772</v>
      </c>
      <c r="P47" s="149"/>
      <c r="Q47" s="149">
        <f t="shared" si="17"/>
        <v>369.09999999999997</v>
      </c>
      <c r="R47" s="149">
        <v>369.09999999999997</v>
      </c>
      <c r="S47" s="149"/>
      <c r="T47" s="149">
        <v>499.6</v>
      </c>
      <c r="U47" s="149">
        <v>8.26</v>
      </c>
      <c r="V47" s="510"/>
      <c r="W47" s="511"/>
      <c r="X47" s="167"/>
    </row>
    <row r="48" spans="1:36" s="168" customFormat="1" x14ac:dyDescent="0.3">
      <c r="A48" s="151">
        <v>2024</v>
      </c>
      <c r="B48" s="152" t="s">
        <v>31</v>
      </c>
      <c r="C48" s="153" t="s">
        <v>90</v>
      </c>
      <c r="D48" s="154">
        <v>62576</v>
      </c>
      <c r="E48" s="154">
        <v>1200</v>
      </c>
      <c r="F48" s="512"/>
      <c r="G48" s="512"/>
      <c r="H48" s="154">
        <f t="shared" si="14"/>
        <v>22220</v>
      </c>
      <c r="I48" s="154">
        <f t="shared" si="15"/>
        <v>22220</v>
      </c>
      <c r="J48" s="154">
        <f t="shared" si="16"/>
        <v>0</v>
      </c>
      <c r="K48" s="154">
        <v>6166</v>
      </c>
      <c r="L48" s="154"/>
      <c r="M48" s="154">
        <v>10275</v>
      </c>
      <c r="N48" s="154"/>
      <c r="O48" s="154">
        <v>5779</v>
      </c>
      <c r="P48" s="154"/>
      <c r="Q48" s="154">
        <f t="shared" si="17"/>
        <v>338.9</v>
      </c>
      <c r="R48" s="154">
        <v>338.9</v>
      </c>
      <c r="S48" s="154"/>
      <c r="T48" s="154">
        <v>499.6</v>
      </c>
      <c r="U48" s="154">
        <v>7.9499999999999993</v>
      </c>
      <c r="V48" s="513"/>
      <c r="W48" s="514"/>
    </row>
    <row r="49" spans="1:36" s="168" customFormat="1" ht="13.8" x14ac:dyDescent="0.3">
      <c r="A49" s="550" t="s">
        <v>88</v>
      </c>
      <c r="B49" s="550"/>
      <c r="C49" s="550"/>
      <c r="D49" s="226">
        <f t="shared" ref="D49:W49" si="18">SUM(D37:D48)</f>
        <v>824765</v>
      </c>
      <c r="E49" s="226">
        <f t="shared" si="18"/>
        <v>14400</v>
      </c>
      <c r="F49" s="226">
        <f t="shared" si="18"/>
        <v>0</v>
      </c>
      <c r="G49" s="226">
        <f t="shared" si="18"/>
        <v>0</v>
      </c>
      <c r="H49" s="226">
        <f t="shared" si="18"/>
        <v>309655</v>
      </c>
      <c r="I49" s="226">
        <f t="shared" si="18"/>
        <v>182821</v>
      </c>
      <c r="J49" s="226">
        <f t="shared" si="18"/>
        <v>126834</v>
      </c>
      <c r="K49" s="226">
        <f t="shared" si="18"/>
        <v>45369</v>
      </c>
      <c r="L49" s="226">
        <f t="shared" si="18"/>
        <v>29893</v>
      </c>
      <c r="M49" s="226">
        <f t="shared" si="18"/>
        <v>82803</v>
      </c>
      <c r="N49" s="226">
        <f t="shared" si="18"/>
        <v>62559</v>
      </c>
      <c r="O49" s="226">
        <f t="shared" si="18"/>
        <v>54649</v>
      </c>
      <c r="P49" s="226">
        <f t="shared" si="18"/>
        <v>34382</v>
      </c>
      <c r="Q49" s="226">
        <f t="shared" si="18"/>
        <v>4570.1000000000004</v>
      </c>
      <c r="R49" s="226">
        <f t="shared" si="18"/>
        <v>2771.2</v>
      </c>
      <c r="S49" s="226">
        <f t="shared" si="18"/>
        <v>1798.9</v>
      </c>
      <c r="T49" s="226">
        <f t="shared" si="18"/>
        <v>5893.3000000000011</v>
      </c>
      <c r="U49" s="226">
        <f t="shared" si="18"/>
        <v>96.570000000000007</v>
      </c>
      <c r="V49" s="226">
        <f t="shared" si="18"/>
        <v>0</v>
      </c>
      <c r="W49" s="226">
        <f t="shared" si="18"/>
        <v>0</v>
      </c>
    </row>
    <row r="50" spans="1:36" s="168" customFormat="1" ht="13.8" x14ac:dyDescent="0.3">
      <c r="A50" s="390"/>
      <c r="B50" s="390"/>
      <c r="C50" s="390"/>
      <c r="D50" s="226"/>
      <c r="E50" s="226"/>
      <c r="F50" s="226"/>
      <c r="G50" s="226"/>
      <c r="H50" s="226"/>
      <c r="I50" s="226"/>
      <c r="J50" s="226"/>
      <c r="K50" s="226"/>
      <c r="L50" s="226"/>
      <c r="M50" s="226"/>
      <c r="N50" s="226"/>
      <c r="O50" s="226"/>
      <c r="P50" s="226"/>
      <c r="Q50" s="226"/>
      <c r="R50" s="226"/>
      <c r="S50" s="226"/>
      <c r="T50" s="226"/>
      <c r="U50" s="226"/>
      <c r="V50" s="226"/>
      <c r="W50" s="226"/>
    </row>
    <row r="51" spans="1:36" s="168" customFormat="1" ht="55.2" x14ac:dyDescent="0.3">
      <c r="A51" s="138" t="s">
        <v>18</v>
      </c>
      <c r="B51" s="138" t="s">
        <v>19</v>
      </c>
      <c r="C51" s="160" t="s">
        <v>0</v>
      </c>
      <c r="D51" s="139" t="s">
        <v>11</v>
      </c>
      <c r="E51" s="499" t="s">
        <v>158</v>
      </c>
      <c r="F51" s="138" t="s">
        <v>1</v>
      </c>
      <c r="G51" s="138" t="s">
        <v>2</v>
      </c>
      <c r="H51" s="139" t="s">
        <v>46</v>
      </c>
      <c r="I51" s="140" t="s">
        <v>37</v>
      </c>
      <c r="J51" s="141" t="s">
        <v>38</v>
      </c>
      <c r="K51" s="159" t="s">
        <v>100</v>
      </c>
      <c r="L51" s="156" t="s">
        <v>101</v>
      </c>
      <c r="M51" s="78" t="s">
        <v>82</v>
      </c>
      <c r="N51" s="78" t="s">
        <v>83</v>
      </c>
      <c r="O51" s="159" t="s">
        <v>102</v>
      </c>
      <c r="P51" s="156" t="s">
        <v>103</v>
      </c>
      <c r="Q51" s="139" t="s">
        <v>47</v>
      </c>
      <c r="R51" s="139" t="s">
        <v>48</v>
      </c>
      <c r="S51" s="139" t="s">
        <v>49</v>
      </c>
      <c r="T51" s="139" t="s">
        <v>3</v>
      </c>
      <c r="U51" s="139" t="s">
        <v>51</v>
      </c>
      <c r="V51" s="139" t="s">
        <v>50</v>
      </c>
      <c r="W51" s="139" t="s">
        <v>52</v>
      </c>
    </row>
    <row r="52" spans="1:36" s="343" customFormat="1" x14ac:dyDescent="0.3">
      <c r="A52" s="143">
        <v>2023</v>
      </c>
      <c r="B52" s="144" t="s">
        <v>20</v>
      </c>
      <c r="C52" s="148" t="s">
        <v>90</v>
      </c>
      <c r="D52" s="145">
        <v>90334</v>
      </c>
      <c r="E52" s="145">
        <v>1200</v>
      </c>
      <c r="F52" s="506"/>
      <c r="G52" s="506"/>
      <c r="H52" s="145">
        <f>I52+J52</f>
        <v>34857</v>
      </c>
      <c r="I52" s="145">
        <f>K52+M52+O52</f>
        <v>34857</v>
      </c>
      <c r="J52" s="145">
        <f>L52+N52+P52</f>
        <v>0</v>
      </c>
      <c r="K52" s="145">
        <v>10533</v>
      </c>
      <c r="L52" s="145"/>
      <c r="M52" s="145">
        <v>15848</v>
      </c>
      <c r="N52" s="145"/>
      <c r="O52" s="145">
        <v>8476</v>
      </c>
      <c r="P52" s="145"/>
      <c r="Q52" s="145">
        <f>SUM(R52:S52)</f>
        <v>349.2</v>
      </c>
      <c r="R52" s="145">
        <v>349.2</v>
      </c>
      <c r="S52" s="145"/>
      <c r="T52" s="145">
        <v>502.20000000000005</v>
      </c>
      <c r="U52" s="145">
        <v>8.56</v>
      </c>
      <c r="V52" s="515"/>
      <c r="W52" s="516"/>
      <c r="X52" s="344"/>
      <c r="Y52" s="344"/>
    </row>
    <row r="53" spans="1:36" s="142" customFormat="1" x14ac:dyDescent="0.3">
      <c r="A53" s="146">
        <v>2023</v>
      </c>
      <c r="B53" s="147" t="s">
        <v>21</v>
      </c>
      <c r="C53" s="148" t="s">
        <v>90</v>
      </c>
      <c r="D53" s="149">
        <v>75070</v>
      </c>
      <c r="E53" s="149">
        <v>1200</v>
      </c>
      <c r="F53" s="509"/>
      <c r="G53" s="509"/>
      <c r="H53" s="149">
        <f>I53+J53</f>
        <v>29036</v>
      </c>
      <c r="I53" s="149">
        <f t="shared" ref="I53:I63" si="19">K53+M53+O53</f>
        <v>29036</v>
      </c>
      <c r="J53" s="149">
        <f t="shared" ref="J53:J63" si="20">L53+N53+P53</f>
        <v>0</v>
      </c>
      <c r="K53" s="149">
        <v>8009</v>
      </c>
      <c r="L53" s="149"/>
      <c r="M53" s="149">
        <v>13701</v>
      </c>
      <c r="N53" s="149"/>
      <c r="O53" s="149">
        <v>7326</v>
      </c>
      <c r="P53" s="149"/>
      <c r="Q53" s="149">
        <f t="shared" ref="Q53:Q63" si="21">SUM(R53:S53)</f>
        <v>341.2</v>
      </c>
      <c r="R53" s="149">
        <v>341.2</v>
      </c>
      <c r="S53" s="149"/>
      <c r="T53" s="149">
        <v>502.9</v>
      </c>
      <c r="U53" s="149">
        <v>7.58</v>
      </c>
      <c r="V53" s="517"/>
      <c r="W53" s="518"/>
    </row>
    <row r="54" spans="1:36" s="168" customFormat="1" x14ac:dyDescent="0.3">
      <c r="A54" s="146">
        <v>2023</v>
      </c>
      <c r="B54" s="147" t="s">
        <v>22</v>
      </c>
      <c r="C54" s="148" t="s">
        <v>90</v>
      </c>
      <c r="D54" s="149">
        <v>63533</v>
      </c>
      <c r="E54" s="149">
        <v>1200</v>
      </c>
      <c r="F54" s="509"/>
      <c r="G54" s="509"/>
      <c r="H54" s="149">
        <f t="shared" ref="H54:H63" si="22">I54+J54</f>
        <v>22427</v>
      </c>
      <c r="I54" s="149">
        <f t="shared" si="19"/>
        <v>22427</v>
      </c>
      <c r="J54" s="149">
        <f t="shared" si="20"/>
        <v>0</v>
      </c>
      <c r="K54" s="149">
        <v>5703</v>
      </c>
      <c r="L54" s="149"/>
      <c r="M54" s="149">
        <v>10694</v>
      </c>
      <c r="N54" s="149"/>
      <c r="O54" s="149">
        <v>6030</v>
      </c>
      <c r="P54" s="149"/>
      <c r="Q54" s="149">
        <f t="shared" si="21"/>
        <v>339.2</v>
      </c>
      <c r="R54" s="149">
        <v>339.2</v>
      </c>
      <c r="S54" s="149"/>
      <c r="T54" s="149">
        <v>502.9</v>
      </c>
      <c r="U54" s="149">
        <v>7.6</v>
      </c>
      <c r="V54" s="517"/>
      <c r="W54" s="518"/>
      <c r="Y54" s="327"/>
      <c r="Z54" s="327"/>
      <c r="AA54" s="327"/>
      <c r="AB54" s="327"/>
      <c r="AC54" s="327"/>
      <c r="AD54" s="327"/>
      <c r="AE54" s="327"/>
      <c r="AF54" s="327"/>
      <c r="AG54" s="327"/>
      <c r="AH54" s="327"/>
      <c r="AI54" s="327"/>
      <c r="AJ54" s="327"/>
    </row>
    <row r="55" spans="1:36" s="168" customFormat="1" x14ac:dyDescent="0.3">
      <c r="A55" s="146">
        <v>2023</v>
      </c>
      <c r="B55" s="147" t="s">
        <v>23</v>
      </c>
      <c r="C55" s="148" t="s">
        <v>90</v>
      </c>
      <c r="D55" s="149">
        <v>70737</v>
      </c>
      <c r="E55" s="149">
        <v>1200</v>
      </c>
      <c r="F55" s="509"/>
      <c r="G55" s="509"/>
      <c r="H55" s="149">
        <f t="shared" si="22"/>
        <v>25603</v>
      </c>
      <c r="I55" s="149">
        <f t="shared" si="19"/>
        <v>25603</v>
      </c>
      <c r="J55" s="149">
        <f t="shared" si="20"/>
        <v>0</v>
      </c>
      <c r="K55" s="149">
        <v>6515</v>
      </c>
      <c r="L55" s="149"/>
      <c r="M55" s="149">
        <v>11343</v>
      </c>
      <c r="N55" s="149"/>
      <c r="O55" s="149">
        <v>7745</v>
      </c>
      <c r="P55" s="149"/>
      <c r="Q55" s="149">
        <f t="shared" si="21"/>
        <v>355.9</v>
      </c>
      <c r="R55" s="149">
        <v>355.9</v>
      </c>
      <c r="S55" s="149"/>
      <c r="T55" s="149">
        <v>502.9</v>
      </c>
      <c r="U55" s="149">
        <v>8.370000000000001</v>
      </c>
      <c r="V55" s="517"/>
      <c r="W55" s="518"/>
    </row>
    <row r="56" spans="1:36" s="168" customFormat="1" x14ac:dyDescent="0.3">
      <c r="A56" s="146">
        <v>2023</v>
      </c>
      <c r="B56" s="147" t="s">
        <v>24</v>
      </c>
      <c r="C56" s="148" t="s">
        <v>90</v>
      </c>
      <c r="D56" s="149">
        <v>58107</v>
      </c>
      <c r="E56" s="149">
        <v>1200</v>
      </c>
      <c r="F56" s="509"/>
      <c r="G56" s="509"/>
      <c r="H56" s="149">
        <f t="shared" si="22"/>
        <v>20842</v>
      </c>
      <c r="I56" s="149">
        <f t="shared" si="19"/>
        <v>20842</v>
      </c>
      <c r="J56" s="149">
        <f t="shared" si="20"/>
        <v>0</v>
      </c>
      <c r="K56" s="149">
        <v>5043</v>
      </c>
      <c r="L56" s="149"/>
      <c r="M56" s="149">
        <v>9302</v>
      </c>
      <c r="N56" s="149"/>
      <c r="O56" s="149">
        <v>6497</v>
      </c>
      <c r="P56" s="149"/>
      <c r="Q56" s="149">
        <f t="shared" si="21"/>
        <v>363.40000000000003</v>
      </c>
      <c r="R56" s="149">
        <v>363.40000000000003</v>
      </c>
      <c r="S56" s="149"/>
      <c r="T56" s="149">
        <v>502.9</v>
      </c>
      <c r="U56" s="149">
        <v>7.42</v>
      </c>
      <c r="V56" s="517"/>
      <c r="W56" s="518"/>
    </row>
    <row r="57" spans="1:36" s="168" customFormat="1" x14ac:dyDescent="0.3">
      <c r="A57" s="146">
        <v>2023</v>
      </c>
      <c r="B57" s="147" t="s">
        <v>25</v>
      </c>
      <c r="C57" s="148" t="s">
        <v>90</v>
      </c>
      <c r="D57" s="149">
        <v>68465</v>
      </c>
      <c r="E57" s="149">
        <v>1200</v>
      </c>
      <c r="F57" s="509"/>
      <c r="G57" s="509"/>
      <c r="H57" s="149">
        <f t="shared" si="22"/>
        <v>26320</v>
      </c>
      <c r="I57" s="149">
        <f t="shared" si="19"/>
        <v>19542</v>
      </c>
      <c r="J57" s="149">
        <f t="shared" si="20"/>
        <v>6778</v>
      </c>
      <c r="K57" s="149">
        <v>4796</v>
      </c>
      <c r="L57" s="149">
        <v>1600</v>
      </c>
      <c r="M57" s="149">
        <v>7558</v>
      </c>
      <c r="N57" s="149">
        <v>3777</v>
      </c>
      <c r="O57" s="149">
        <v>7188</v>
      </c>
      <c r="P57" s="149">
        <v>1401</v>
      </c>
      <c r="Q57" s="149">
        <f t="shared" si="21"/>
        <v>409.7</v>
      </c>
      <c r="R57" s="149">
        <v>329</v>
      </c>
      <c r="S57" s="149">
        <v>80.7</v>
      </c>
      <c r="T57" s="149">
        <v>500.5</v>
      </c>
      <c r="U57" s="149">
        <v>8.42</v>
      </c>
      <c r="V57" s="517"/>
      <c r="W57" s="518"/>
    </row>
    <row r="58" spans="1:36" s="168" customFormat="1" x14ac:dyDescent="0.3">
      <c r="A58" s="146">
        <v>2023</v>
      </c>
      <c r="B58" s="147" t="s">
        <v>26</v>
      </c>
      <c r="C58" s="148" t="s">
        <v>90</v>
      </c>
      <c r="D58" s="149">
        <v>84213</v>
      </c>
      <c r="E58" s="149">
        <v>1200</v>
      </c>
      <c r="F58" s="509"/>
      <c r="G58" s="509"/>
      <c r="H58" s="149">
        <f t="shared" si="22"/>
        <v>33423</v>
      </c>
      <c r="I58" s="149">
        <f t="shared" si="19"/>
        <v>0</v>
      </c>
      <c r="J58" s="149">
        <f t="shared" si="20"/>
        <v>33423</v>
      </c>
      <c r="K58" s="149"/>
      <c r="L58" s="149">
        <v>9646</v>
      </c>
      <c r="M58" s="149"/>
      <c r="N58" s="149">
        <v>15942</v>
      </c>
      <c r="O58" s="149"/>
      <c r="P58" s="149">
        <v>7835</v>
      </c>
      <c r="Q58" s="149">
        <f t="shared" si="21"/>
        <v>415.1</v>
      </c>
      <c r="R58" s="149"/>
      <c r="S58" s="149">
        <v>415.1</v>
      </c>
      <c r="T58" s="149">
        <v>474.90000000000003</v>
      </c>
      <c r="U58" s="149">
        <v>8.48</v>
      </c>
      <c r="V58" s="517"/>
      <c r="W58" s="518"/>
    </row>
    <row r="59" spans="1:36" s="168" customFormat="1" x14ac:dyDescent="0.3">
      <c r="A59" s="146">
        <v>2023</v>
      </c>
      <c r="B59" s="147" t="s">
        <v>27</v>
      </c>
      <c r="C59" s="148" t="s">
        <v>90</v>
      </c>
      <c r="D59" s="149">
        <v>72607</v>
      </c>
      <c r="E59" s="149">
        <v>1200</v>
      </c>
      <c r="F59" s="509"/>
      <c r="G59" s="509"/>
      <c r="H59" s="149">
        <f t="shared" si="22"/>
        <v>28154</v>
      </c>
      <c r="I59" s="149">
        <f t="shared" si="19"/>
        <v>0</v>
      </c>
      <c r="J59" s="149">
        <f t="shared" si="20"/>
        <v>28154</v>
      </c>
      <c r="K59" s="149"/>
      <c r="L59" s="149">
        <v>6642</v>
      </c>
      <c r="M59" s="149"/>
      <c r="N59" s="149">
        <v>13199</v>
      </c>
      <c r="O59" s="149"/>
      <c r="P59" s="149">
        <v>8313</v>
      </c>
      <c r="Q59" s="149">
        <f t="shared" si="21"/>
        <v>438.9</v>
      </c>
      <c r="R59" s="149"/>
      <c r="S59" s="149">
        <v>438.9</v>
      </c>
      <c r="T59" s="149">
        <v>470.2</v>
      </c>
      <c r="U59" s="149">
        <v>7.66</v>
      </c>
      <c r="V59" s="517"/>
      <c r="W59" s="518"/>
    </row>
    <row r="60" spans="1:36" s="168" customFormat="1" x14ac:dyDescent="0.3">
      <c r="A60" s="146">
        <v>2023</v>
      </c>
      <c r="B60" s="147" t="s">
        <v>28</v>
      </c>
      <c r="C60" s="148" t="s">
        <v>90</v>
      </c>
      <c r="D60" s="149">
        <v>71960</v>
      </c>
      <c r="E60" s="149">
        <v>1200</v>
      </c>
      <c r="F60" s="509"/>
      <c r="G60" s="509"/>
      <c r="H60" s="149">
        <f t="shared" si="22"/>
        <v>26939</v>
      </c>
      <c r="I60" s="149">
        <f t="shared" si="19"/>
        <v>0</v>
      </c>
      <c r="J60" s="149">
        <f t="shared" si="20"/>
        <v>26939</v>
      </c>
      <c r="K60" s="149"/>
      <c r="L60" s="149">
        <v>6572</v>
      </c>
      <c r="M60" s="149"/>
      <c r="N60" s="149">
        <v>12630</v>
      </c>
      <c r="O60" s="149"/>
      <c r="P60" s="149">
        <v>7737</v>
      </c>
      <c r="Q60" s="149">
        <f t="shared" si="21"/>
        <v>452</v>
      </c>
      <c r="R60" s="149"/>
      <c r="S60" s="149">
        <v>452</v>
      </c>
      <c r="T60" s="149">
        <v>483.5</v>
      </c>
      <c r="U60" s="149">
        <v>7.91</v>
      </c>
      <c r="V60" s="519"/>
      <c r="W60" s="520"/>
    </row>
    <row r="61" spans="1:36" s="168" customFormat="1" x14ac:dyDescent="0.3">
      <c r="A61" s="146">
        <v>2023</v>
      </c>
      <c r="B61" s="147" t="s">
        <v>29</v>
      </c>
      <c r="C61" s="148" t="s">
        <v>90</v>
      </c>
      <c r="D61" s="149">
        <v>75861</v>
      </c>
      <c r="E61" s="149">
        <v>1200</v>
      </c>
      <c r="F61" s="509"/>
      <c r="G61" s="509"/>
      <c r="H61" s="149">
        <f t="shared" si="22"/>
        <v>27489</v>
      </c>
      <c r="I61" s="149">
        <f t="shared" si="19"/>
        <v>6059</v>
      </c>
      <c r="J61" s="149">
        <f t="shared" si="20"/>
        <v>21430</v>
      </c>
      <c r="K61" s="149">
        <v>1541</v>
      </c>
      <c r="L61" s="149">
        <v>5268</v>
      </c>
      <c r="M61" s="149">
        <v>2937</v>
      </c>
      <c r="N61" s="149">
        <v>9853</v>
      </c>
      <c r="O61" s="149">
        <v>1581</v>
      </c>
      <c r="P61" s="149">
        <v>6309</v>
      </c>
      <c r="Q61" s="149">
        <f t="shared" si="21"/>
        <v>411.6</v>
      </c>
      <c r="R61" s="149">
        <v>94</v>
      </c>
      <c r="S61" s="149">
        <v>317.60000000000002</v>
      </c>
      <c r="T61" s="149">
        <v>483.5</v>
      </c>
      <c r="U61" s="149">
        <v>8.1999999999999993</v>
      </c>
      <c r="V61" s="519"/>
      <c r="W61" s="520"/>
    </row>
    <row r="62" spans="1:36" s="168" customFormat="1" x14ac:dyDescent="0.3">
      <c r="A62" s="146">
        <v>2023</v>
      </c>
      <c r="B62" s="147" t="s">
        <v>30</v>
      </c>
      <c r="C62" s="148" t="s">
        <v>90</v>
      </c>
      <c r="D62" s="149">
        <v>64680</v>
      </c>
      <c r="E62" s="149">
        <v>1200</v>
      </c>
      <c r="F62" s="509"/>
      <c r="G62" s="509"/>
      <c r="H62" s="149">
        <f t="shared" si="22"/>
        <v>24973</v>
      </c>
      <c r="I62" s="149">
        <f t="shared" si="19"/>
        <v>24973</v>
      </c>
      <c r="J62" s="149">
        <f t="shared" si="20"/>
        <v>0</v>
      </c>
      <c r="K62" s="149">
        <v>6842</v>
      </c>
      <c r="L62" s="149"/>
      <c r="M62" s="149">
        <v>11631</v>
      </c>
      <c r="N62" s="149"/>
      <c r="O62" s="149">
        <v>6500</v>
      </c>
      <c r="P62" s="149"/>
      <c r="Q62" s="149">
        <f t="shared" si="21"/>
        <v>366.9</v>
      </c>
      <c r="R62" s="149">
        <v>366.9</v>
      </c>
      <c r="S62" s="149"/>
      <c r="T62" s="149">
        <v>484</v>
      </c>
      <c r="U62" s="149">
        <v>8.120000000000001</v>
      </c>
      <c r="V62" s="519"/>
      <c r="W62" s="520"/>
    </row>
    <row r="63" spans="1:36" s="168" customFormat="1" x14ac:dyDescent="0.3">
      <c r="A63" s="151">
        <v>2023</v>
      </c>
      <c r="B63" s="152" t="s">
        <v>31</v>
      </c>
      <c r="C63" s="153" t="s">
        <v>90</v>
      </c>
      <c r="D63" s="154">
        <v>64690</v>
      </c>
      <c r="E63" s="154">
        <v>1200</v>
      </c>
      <c r="F63" s="512"/>
      <c r="G63" s="512"/>
      <c r="H63" s="154">
        <f t="shared" si="22"/>
        <v>23647</v>
      </c>
      <c r="I63" s="154">
        <f t="shared" si="19"/>
        <v>23647</v>
      </c>
      <c r="J63" s="154">
        <f t="shared" si="20"/>
        <v>0</v>
      </c>
      <c r="K63" s="154">
        <v>5206</v>
      </c>
      <c r="L63" s="154"/>
      <c r="M63" s="154">
        <v>11476</v>
      </c>
      <c r="N63" s="154"/>
      <c r="O63" s="154">
        <v>6965</v>
      </c>
      <c r="P63" s="154"/>
      <c r="Q63" s="154">
        <f t="shared" si="21"/>
        <v>339.7</v>
      </c>
      <c r="R63" s="154">
        <v>339.7</v>
      </c>
      <c r="S63" s="154"/>
      <c r="T63" s="154">
        <v>484</v>
      </c>
      <c r="U63" s="154">
        <v>7.68</v>
      </c>
      <c r="V63" s="521"/>
      <c r="W63" s="522"/>
      <c r="X63" s="167"/>
    </row>
    <row r="64" spans="1:36" s="168" customFormat="1" ht="13.8" x14ac:dyDescent="0.3">
      <c r="A64" s="550" t="s">
        <v>88</v>
      </c>
      <c r="B64" s="550"/>
      <c r="C64" s="550"/>
      <c r="D64" s="226">
        <f t="shared" ref="D64:W64" si="23">SUM(D52:D63)</f>
        <v>860257</v>
      </c>
      <c r="E64" s="226">
        <f t="shared" si="23"/>
        <v>14400</v>
      </c>
      <c r="F64" s="226">
        <f t="shared" si="23"/>
        <v>0</v>
      </c>
      <c r="G64" s="226">
        <f t="shared" si="23"/>
        <v>0</v>
      </c>
      <c r="H64" s="226">
        <f t="shared" si="23"/>
        <v>323710</v>
      </c>
      <c r="I64" s="226">
        <f t="shared" si="23"/>
        <v>206986</v>
      </c>
      <c r="J64" s="226">
        <f t="shared" si="23"/>
        <v>116724</v>
      </c>
      <c r="K64" s="226">
        <f t="shared" si="23"/>
        <v>54188</v>
      </c>
      <c r="L64" s="226">
        <f t="shared" si="23"/>
        <v>29728</v>
      </c>
      <c r="M64" s="226">
        <f t="shared" si="23"/>
        <v>94490</v>
      </c>
      <c r="N64" s="226">
        <f t="shared" si="23"/>
        <v>55401</v>
      </c>
      <c r="O64" s="226">
        <f t="shared" si="23"/>
        <v>58308</v>
      </c>
      <c r="P64" s="226">
        <f t="shared" si="23"/>
        <v>31595</v>
      </c>
      <c r="Q64" s="226">
        <f t="shared" si="23"/>
        <v>4582.7999999999993</v>
      </c>
      <c r="R64" s="226">
        <f t="shared" si="23"/>
        <v>2878.5</v>
      </c>
      <c r="S64" s="226">
        <f t="shared" si="23"/>
        <v>1704.3000000000002</v>
      </c>
      <c r="T64" s="226">
        <f t="shared" si="23"/>
        <v>5894.4</v>
      </c>
      <c r="U64" s="226">
        <f t="shared" si="23"/>
        <v>96</v>
      </c>
      <c r="V64" s="226">
        <f t="shared" si="23"/>
        <v>0</v>
      </c>
      <c r="W64" s="226">
        <f t="shared" si="23"/>
        <v>0</v>
      </c>
    </row>
    <row r="65" spans="1:36" s="168" customFormat="1" ht="13.8" x14ac:dyDescent="0.3">
      <c r="A65" s="283"/>
      <c r="B65" s="283"/>
      <c r="C65" s="283"/>
      <c r="D65" s="283"/>
      <c r="E65" s="365"/>
      <c r="F65" s="283"/>
      <c r="G65" s="283"/>
      <c r="H65" s="283"/>
      <c r="I65" s="283"/>
      <c r="J65" s="283"/>
      <c r="K65" s="283"/>
      <c r="L65" s="283"/>
      <c r="M65" s="283"/>
      <c r="N65" s="263"/>
      <c r="O65" s="327"/>
      <c r="P65" s="327"/>
      <c r="Q65" s="263"/>
      <c r="R65" s="263"/>
      <c r="S65" s="263"/>
      <c r="T65" s="263"/>
      <c r="U65" s="263"/>
      <c r="V65" s="263"/>
      <c r="W65" s="262"/>
    </row>
    <row r="66" spans="1:36" s="168" customFormat="1" ht="55.2" x14ac:dyDescent="0.3">
      <c r="A66" s="138" t="s">
        <v>18</v>
      </c>
      <c r="B66" s="138" t="s">
        <v>19</v>
      </c>
      <c r="C66" s="160" t="s">
        <v>0</v>
      </c>
      <c r="D66" s="139" t="s">
        <v>11</v>
      </c>
      <c r="E66" s="499" t="s">
        <v>158</v>
      </c>
      <c r="F66" s="138" t="s">
        <v>1</v>
      </c>
      <c r="G66" s="138" t="s">
        <v>2</v>
      </c>
      <c r="H66" s="139" t="s">
        <v>46</v>
      </c>
      <c r="I66" s="140" t="s">
        <v>37</v>
      </c>
      <c r="J66" s="141" t="s">
        <v>38</v>
      </c>
      <c r="K66" s="159" t="s">
        <v>100</v>
      </c>
      <c r="L66" s="156" t="s">
        <v>101</v>
      </c>
      <c r="M66" s="78" t="s">
        <v>82</v>
      </c>
      <c r="N66" s="78" t="s">
        <v>83</v>
      </c>
      <c r="O66" s="159" t="s">
        <v>102</v>
      </c>
      <c r="P66" s="156" t="s">
        <v>103</v>
      </c>
      <c r="Q66" s="139" t="s">
        <v>47</v>
      </c>
      <c r="R66" s="139" t="s">
        <v>48</v>
      </c>
      <c r="S66" s="139" t="s">
        <v>49</v>
      </c>
      <c r="T66" s="139" t="s">
        <v>3</v>
      </c>
      <c r="U66" s="139" t="s">
        <v>51</v>
      </c>
      <c r="V66" s="139" t="s">
        <v>50</v>
      </c>
      <c r="W66" s="139" t="s">
        <v>52</v>
      </c>
    </row>
    <row r="67" spans="1:36" s="329" customFormat="1" x14ac:dyDescent="0.3">
      <c r="A67" s="143">
        <v>2022</v>
      </c>
      <c r="B67" s="144" t="s">
        <v>20</v>
      </c>
      <c r="C67" s="148" t="s">
        <v>90</v>
      </c>
      <c r="D67" s="145">
        <v>131816</v>
      </c>
      <c r="E67" s="145">
        <v>1200</v>
      </c>
      <c r="F67" s="145"/>
      <c r="G67" s="145"/>
      <c r="H67" s="145">
        <f>I67+J67</f>
        <v>48182</v>
      </c>
      <c r="I67" s="145">
        <f>K67+M67+O67</f>
        <v>48182</v>
      </c>
      <c r="J67" s="145">
        <f>L67+N67+P67</f>
        <v>0</v>
      </c>
      <c r="K67" s="145">
        <v>12826</v>
      </c>
      <c r="L67" s="145"/>
      <c r="M67" s="145">
        <v>22086</v>
      </c>
      <c r="N67" s="145"/>
      <c r="O67" s="145">
        <v>13270</v>
      </c>
      <c r="P67" s="145"/>
      <c r="Q67" s="145">
        <f>SUM(R67:S67)</f>
        <v>603.4</v>
      </c>
      <c r="R67" s="145">
        <v>603.4</v>
      </c>
      <c r="S67" s="145"/>
      <c r="T67" s="145">
        <v>830.4</v>
      </c>
      <c r="U67" s="145">
        <v>12.25</v>
      </c>
      <c r="V67" s="114">
        <f>U67-W67</f>
        <v>0.98684210526315752</v>
      </c>
      <c r="W67" s="295">
        <v>11.263157894736842</v>
      </c>
      <c r="X67" s="327"/>
      <c r="Y67" s="327"/>
    </row>
    <row r="68" spans="1:36" s="142" customFormat="1" x14ac:dyDescent="0.3">
      <c r="A68" s="146">
        <v>2022</v>
      </c>
      <c r="B68" s="147" t="s">
        <v>21</v>
      </c>
      <c r="C68" s="148" t="s">
        <v>90</v>
      </c>
      <c r="D68" s="149">
        <v>23451</v>
      </c>
      <c r="E68" s="149">
        <v>1200</v>
      </c>
      <c r="F68" s="149"/>
      <c r="G68" s="149"/>
      <c r="H68" s="149">
        <f t="shared" ref="H68:H78" si="24">I68+J68</f>
        <v>8633</v>
      </c>
      <c r="I68" s="149">
        <f t="shared" ref="I68:I78" si="25">K68+M68+O68</f>
        <v>8633</v>
      </c>
      <c r="J68" s="149">
        <f t="shared" ref="J68:J78" si="26">L68+N68+P68</f>
        <v>0</v>
      </c>
      <c r="K68" s="149">
        <v>2420</v>
      </c>
      <c r="L68" s="149"/>
      <c r="M68" s="149">
        <v>4210</v>
      </c>
      <c r="N68" s="149"/>
      <c r="O68" s="149">
        <v>2003</v>
      </c>
      <c r="P68" s="149"/>
      <c r="Q68" s="149">
        <f t="shared" ref="Q68:Q78" si="27">SUM(R68:S68)</f>
        <v>99.7</v>
      </c>
      <c r="R68" s="149">
        <v>99.7</v>
      </c>
      <c r="S68" s="149"/>
      <c r="T68" s="149">
        <v>198</v>
      </c>
      <c r="U68" s="149">
        <v>4.66</v>
      </c>
      <c r="V68" s="4">
        <f t="shared" ref="V68:V78" si="28">U68-W68</f>
        <v>1.8421052631578947</v>
      </c>
      <c r="W68" s="296">
        <v>2.8178947368421055</v>
      </c>
    </row>
    <row r="69" spans="1:36" s="168" customFormat="1" x14ac:dyDescent="0.3">
      <c r="A69" s="146">
        <v>2022</v>
      </c>
      <c r="B69" s="147" t="s">
        <v>22</v>
      </c>
      <c r="C69" s="148" t="s">
        <v>90</v>
      </c>
      <c r="D69" s="149">
        <v>110307</v>
      </c>
      <c r="E69" s="149">
        <v>1200</v>
      </c>
      <c r="F69" s="149"/>
      <c r="G69" s="149"/>
      <c r="H69" s="149">
        <f t="shared" si="24"/>
        <v>39387</v>
      </c>
      <c r="I69" s="149">
        <f t="shared" si="25"/>
        <v>39387</v>
      </c>
      <c r="J69" s="149">
        <f t="shared" si="26"/>
        <v>0</v>
      </c>
      <c r="K69" s="149">
        <v>9693</v>
      </c>
      <c r="L69" s="149"/>
      <c r="M69" s="149">
        <v>17375</v>
      </c>
      <c r="N69" s="149"/>
      <c r="O69" s="149">
        <v>12319</v>
      </c>
      <c r="P69" s="149"/>
      <c r="Q69" s="149">
        <f t="shared" si="27"/>
        <v>558.9</v>
      </c>
      <c r="R69" s="149">
        <v>558.9</v>
      </c>
      <c r="S69" s="149"/>
      <c r="T69" s="149">
        <v>766.8</v>
      </c>
      <c r="U69" s="149">
        <v>11.46</v>
      </c>
      <c r="V69" s="4">
        <f t="shared" si="28"/>
        <v>1.0855263157894743</v>
      </c>
      <c r="W69" s="296">
        <v>10.374473684210527</v>
      </c>
      <c r="Y69" s="326"/>
      <c r="Z69" s="326"/>
      <c r="AA69" s="326"/>
      <c r="AB69" s="326"/>
      <c r="AC69" s="326"/>
      <c r="AD69" s="326"/>
      <c r="AE69" s="326"/>
      <c r="AF69" s="326"/>
      <c r="AG69" s="326"/>
      <c r="AH69" s="326"/>
      <c r="AI69" s="326"/>
      <c r="AJ69" s="326"/>
    </row>
    <row r="70" spans="1:36" s="168" customFormat="1" x14ac:dyDescent="0.3">
      <c r="A70" s="146">
        <v>2022</v>
      </c>
      <c r="B70" s="147" t="s">
        <v>23</v>
      </c>
      <c r="C70" s="148" t="s">
        <v>90</v>
      </c>
      <c r="D70" s="149">
        <v>51974</v>
      </c>
      <c r="E70" s="149">
        <v>1200</v>
      </c>
      <c r="F70" s="149"/>
      <c r="G70" s="149"/>
      <c r="H70" s="149">
        <f t="shared" si="24"/>
        <v>16876</v>
      </c>
      <c r="I70" s="149">
        <f t="shared" si="25"/>
        <v>16876</v>
      </c>
      <c r="J70" s="149">
        <f t="shared" si="26"/>
        <v>0</v>
      </c>
      <c r="K70" s="149">
        <v>4420</v>
      </c>
      <c r="L70" s="149"/>
      <c r="M70" s="149">
        <v>6932</v>
      </c>
      <c r="N70" s="149"/>
      <c r="O70" s="149">
        <v>5524</v>
      </c>
      <c r="P70" s="149"/>
      <c r="Q70" s="149">
        <f t="shared" si="27"/>
        <v>288.89999999999998</v>
      </c>
      <c r="R70" s="149">
        <v>288.89999999999998</v>
      </c>
      <c r="S70" s="149"/>
      <c r="T70" s="149">
        <v>408.5</v>
      </c>
      <c r="U70" s="149">
        <v>7.29</v>
      </c>
      <c r="V70" s="4">
        <f t="shared" si="28"/>
        <v>0.95394736842105221</v>
      </c>
      <c r="W70" s="296">
        <v>6.3360526315789478</v>
      </c>
    </row>
    <row r="71" spans="1:36" s="168" customFormat="1" x14ac:dyDescent="0.3">
      <c r="A71" s="146">
        <v>2022</v>
      </c>
      <c r="B71" s="147" t="s">
        <v>24</v>
      </c>
      <c r="C71" s="148" t="s">
        <v>90</v>
      </c>
      <c r="D71" s="149">
        <v>84975</v>
      </c>
      <c r="E71" s="149">
        <v>1200</v>
      </c>
      <c r="F71" s="149"/>
      <c r="G71" s="149"/>
      <c r="H71" s="149">
        <f t="shared" si="24"/>
        <v>31071</v>
      </c>
      <c r="I71" s="149">
        <f t="shared" si="25"/>
        <v>29611</v>
      </c>
      <c r="J71" s="149">
        <f t="shared" si="26"/>
        <v>1460</v>
      </c>
      <c r="K71" s="149">
        <v>8152</v>
      </c>
      <c r="L71" s="149">
        <v>445</v>
      </c>
      <c r="M71" s="149">
        <v>12616</v>
      </c>
      <c r="N71" s="149">
        <v>540</v>
      </c>
      <c r="O71" s="149">
        <v>8843</v>
      </c>
      <c r="P71" s="149">
        <v>475</v>
      </c>
      <c r="Q71" s="149">
        <f t="shared" si="27"/>
        <v>448.2</v>
      </c>
      <c r="R71" s="149">
        <v>427.3</v>
      </c>
      <c r="S71" s="149">
        <v>20.9</v>
      </c>
      <c r="T71" s="149">
        <v>544.9</v>
      </c>
      <c r="U71" s="149">
        <v>7.63</v>
      </c>
      <c r="V71" s="4">
        <f t="shared" si="28"/>
        <v>0.95394736842105221</v>
      </c>
      <c r="W71" s="296">
        <v>6.6760526315789477</v>
      </c>
    </row>
    <row r="72" spans="1:36" s="168" customFormat="1" x14ac:dyDescent="0.3">
      <c r="A72" s="146">
        <v>2022</v>
      </c>
      <c r="B72" s="147" t="s">
        <v>25</v>
      </c>
      <c r="C72" s="148" t="s">
        <v>90</v>
      </c>
      <c r="D72" s="149">
        <v>23086</v>
      </c>
      <c r="E72" s="149">
        <v>1200</v>
      </c>
      <c r="F72" s="149"/>
      <c r="G72" s="149"/>
      <c r="H72" s="149">
        <f t="shared" si="24"/>
        <v>9046</v>
      </c>
      <c r="I72" s="149">
        <f t="shared" si="25"/>
        <v>2849</v>
      </c>
      <c r="J72" s="149">
        <f t="shared" si="26"/>
        <v>6197</v>
      </c>
      <c r="K72" s="149">
        <v>709</v>
      </c>
      <c r="L72" s="149">
        <v>1700</v>
      </c>
      <c r="M72" s="149">
        <v>1166</v>
      </c>
      <c r="N72" s="149">
        <v>2635</v>
      </c>
      <c r="O72" s="149">
        <v>974</v>
      </c>
      <c r="P72" s="149">
        <v>1862</v>
      </c>
      <c r="Q72" s="149">
        <f t="shared" si="27"/>
        <v>125.9</v>
      </c>
      <c r="R72" s="149">
        <v>54.2</v>
      </c>
      <c r="S72" s="149">
        <v>71.7</v>
      </c>
      <c r="T72" s="149">
        <v>157.4</v>
      </c>
      <c r="U72" s="149">
        <v>5.04</v>
      </c>
      <c r="V72" s="4">
        <f t="shared" si="28"/>
        <v>1.0526315789473681</v>
      </c>
      <c r="W72" s="296">
        <v>3.9873684210526319</v>
      </c>
    </row>
    <row r="73" spans="1:36" s="168" customFormat="1" x14ac:dyDescent="0.3">
      <c r="A73" s="146">
        <v>2022</v>
      </c>
      <c r="B73" s="147" t="s">
        <v>26</v>
      </c>
      <c r="C73" s="148" t="s">
        <v>90</v>
      </c>
      <c r="D73" s="149">
        <v>157991</v>
      </c>
      <c r="E73" s="149">
        <v>1200</v>
      </c>
      <c r="F73" s="149"/>
      <c r="G73" s="149"/>
      <c r="H73" s="149">
        <f t="shared" si="24"/>
        <v>54803</v>
      </c>
      <c r="I73" s="149">
        <f t="shared" si="25"/>
        <v>59</v>
      </c>
      <c r="J73" s="149">
        <f t="shared" si="26"/>
        <v>54744</v>
      </c>
      <c r="K73" s="149">
        <v>15</v>
      </c>
      <c r="L73" s="149">
        <v>14819</v>
      </c>
      <c r="M73" s="149">
        <v>6</v>
      </c>
      <c r="N73" s="149">
        <v>24401</v>
      </c>
      <c r="O73" s="149">
        <v>38</v>
      </c>
      <c r="P73" s="149">
        <v>15524</v>
      </c>
      <c r="Q73" s="149">
        <f t="shared" si="27"/>
        <v>799.9</v>
      </c>
      <c r="R73" s="149">
        <v>1.9</v>
      </c>
      <c r="S73" s="149">
        <v>798</v>
      </c>
      <c r="T73" s="149">
        <v>868</v>
      </c>
      <c r="U73" s="149">
        <v>12.39</v>
      </c>
      <c r="V73" s="4">
        <f t="shared" si="28"/>
        <v>0.98684210526315752</v>
      </c>
      <c r="W73" s="296">
        <v>11.403157894736843</v>
      </c>
    </row>
    <row r="74" spans="1:36" s="168" customFormat="1" x14ac:dyDescent="0.3">
      <c r="A74" s="146">
        <v>2022</v>
      </c>
      <c r="B74" s="147" t="s">
        <v>27</v>
      </c>
      <c r="C74" s="148" t="s">
        <v>90</v>
      </c>
      <c r="D74" s="149">
        <v>88228</v>
      </c>
      <c r="E74" s="149">
        <v>1200</v>
      </c>
      <c r="F74" s="149"/>
      <c r="G74" s="149"/>
      <c r="H74" s="149">
        <f t="shared" si="24"/>
        <v>34018</v>
      </c>
      <c r="I74" s="149">
        <f t="shared" si="25"/>
        <v>0</v>
      </c>
      <c r="J74" s="149">
        <f t="shared" si="26"/>
        <v>34018</v>
      </c>
      <c r="K74" s="149"/>
      <c r="L74" s="149">
        <v>9212</v>
      </c>
      <c r="M74" s="149"/>
      <c r="N74" s="149">
        <v>15647</v>
      </c>
      <c r="O74" s="149"/>
      <c r="P74" s="149">
        <v>9159</v>
      </c>
      <c r="Q74" s="149">
        <f t="shared" si="27"/>
        <v>432.5</v>
      </c>
      <c r="R74" s="149"/>
      <c r="S74" s="149">
        <v>432.5</v>
      </c>
      <c r="T74" s="149">
        <v>512.9</v>
      </c>
      <c r="U74" s="149">
        <v>8.1300000000000008</v>
      </c>
      <c r="V74" s="4">
        <f t="shared" si="28"/>
        <v>1.0855263157894735</v>
      </c>
      <c r="W74" s="296">
        <v>7.0444736842105273</v>
      </c>
    </row>
    <row r="75" spans="1:36" s="168" customFormat="1" x14ac:dyDescent="0.3">
      <c r="A75" s="146">
        <v>2022</v>
      </c>
      <c r="B75" s="147" t="s">
        <v>28</v>
      </c>
      <c r="C75" s="148" t="s">
        <v>90</v>
      </c>
      <c r="D75" s="149">
        <v>78216</v>
      </c>
      <c r="E75" s="149">
        <v>1200</v>
      </c>
      <c r="F75" s="149"/>
      <c r="G75" s="149"/>
      <c r="H75" s="149">
        <f t="shared" si="24"/>
        <v>25100</v>
      </c>
      <c r="I75" s="149">
        <f t="shared" si="25"/>
        <v>1779</v>
      </c>
      <c r="J75" s="149">
        <f t="shared" si="26"/>
        <v>23321</v>
      </c>
      <c r="K75" s="149">
        <v>230</v>
      </c>
      <c r="L75" s="149">
        <v>5782</v>
      </c>
      <c r="M75" s="149">
        <v>912</v>
      </c>
      <c r="N75" s="149">
        <v>10788</v>
      </c>
      <c r="O75" s="149">
        <v>637</v>
      </c>
      <c r="P75" s="149">
        <v>6751</v>
      </c>
      <c r="Q75" s="149">
        <f t="shared" si="27"/>
        <v>410.7</v>
      </c>
      <c r="R75" s="149">
        <v>38.200000000000003</v>
      </c>
      <c r="S75" s="149">
        <v>372.5</v>
      </c>
      <c r="T75" s="149">
        <v>513.4</v>
      </c>
      <c r="U75" s="149">
        <v>8.2899999999999991</v>
      </c>
      <c r="V75" s="4">
        <f t="shared" si="28"/>
        <v>0.98684210526315752</v>
      </c>
      <c r="W75" s="296">
        <v>7.3031578947368416</v>
      </c>
    </row>
    <row r="76" spans="1:36" s="168" customFormat="1" x14ac:dyDescent="0.3">
      <c r="A76" s="146">
        <v>2022</v>
      </c>
      <c r="B76" s="147" t="s">
        <v>29</v>
      </c>
      <c r="C76" s="148" t="s">
        <v>90</v>
      </c>
      <c r="D76" s="149">
        <v>64471</v>
      </c>
      <c r="E76" s="149">
        <v>1200</v>
      </c>
      <c r="F76" s="149"/>
      <c r="G76" s="149"/>
      <c r="H76" s="149">
        <f t="shared" si="24"/>
        <v>26074</v>
      </c>
      <c r="I76" s="149">
        <f t="shared" si="25"/>
        <v>24459</v>
      </c>
      <c r="J76" s="149">
        <f t="shared" si="26"/>
        <v>1615</v>
      </c>
      <c r="K76" s="149">
        <v>5702</v>
      </c>
      <c r="L76" s="149">
        <v>257</v>
      </c>
      <c r="M76" s="149">
        <v>12359</v>
      </c>
      <c r="N76" s="149">
        <v>646</v>
      </c>
      <c r="O76" s="149">
        <v>6398</v>
      </c>
      <c r="P76" s="149">
        <v>712</v>
      </c>
      <c r="Q76" s="149">
        <f t="shared" si="27"/>
        <v>365.5</v>
      </c>
      <c r="R76" s="149">
        <v>333.2</v>
      </c>
      <c r="S76" s="149">
        <v>32.299999999999997</v>
      </c>
      <c r="T76" s="149">
        <v>512.6</v>
      </c>
      <c r="U76" s="149">
        <v>7.68</v>
      </c>
      <c r="V76" s="4">
        <f t="shared" si="28"/>
        <v>0.9539473684210531</v>
      </c>
      <c r="W76" s="296">
        <v>6.7260526315789466</v>
      </c>
    </row>
    <row r="77" spans="1:36" s="168" customFormat="1" x14ac:dyDescent="0.3">
      <c r="A77" s="146">
        <v>2022</v>
      </c>
      <c r="B77" s="147" t="s">
        <v>30</v>
      </c>
      <c r="C77" s="148" t="s">
        <v>90</v>
      </c>
      <c r="D77" s="149">
        <v>70020</v>
      </c>
      <c r="E77" s="149">
        <v>1200</v>
      </c>
      <c r="F77" s="149"/>
      <c r="G77" s="149"/>
      <c r="H77" s="149">
        <f t="shared" si="24"/>
        <v>24690</v>
      </c>
      <c r="I77" s="149">
        <f t="shared" si="25"/>
        <v>24690</v>
      </c>
      <c r="J77" s="149">
        <f t="shared" si="26"/>
        <v>0</v>
      </c>
      <c r="K77" s="149">
        <v>6507</v>
      </c>
      <c r="L77" s="149"/>
      <c r="M77" s="149">
        <v>11495</v>
      </c>
      <c r="N77" s="149"/>
      <c r="O77" s="149">
        <v>6688</v>
      </c>
      <c r="P77" s="149"/>
      <c r="Q77" s="149">
        <f t="shared" si="27"/>
        <v>358.4</v>
      </c>
      <c r="R77" s="149">
        <v>358.4</v>
      </c>
      <c r="S77" s="149"/>
      <c r="T77" s="149">
        <v>513</v>
      </c>
      <c r="U77" s="149">
        <v>7.77</v>
      </c>
      <c r="V77" s="4">
        <f t="shared" si="28"/>
        <v>1.0526315789473681</v>
      </c>
      <c r="W77" s="296">
        <v>6.7173684210526314</v>
      </c>
    </row>
    <row r="78" spans="1:36" s="168" customFormat="1" x14ac:dyDescent="0.3">
      <c r="A78" s="151">
        <v>2022</v>
      </c>
      <c r="B78" s="152" t="s">
        <v>31</v>
      </c>
      <c r="C78" s="153" t="s">
        <v>90</v>
      </c>
      <c r="D78" s="154">
        <v>89727</v>
      </c>
      <c r="E78" s="154">
        <v>1200</v>
      </c>
      <c r="F78" s="154"/>
      <c r="G78" s="154"/>
      <c r="H78" s="154">
        <f t="shared" si="24"/>
        <v>34325</v>
      </c>
      <c r="I78" s="154">
        <f t="shared" si="25"/>
        <v>34325</v>
      </c>
      <c r="J78" s="154">
        <f t="shared" si="26"/>
        <v>0</v>
      </c>
      <c r="K78" s="154">
        <v>10471</v>
      </c>
      <c r="L78" s="154"/>
      <c r="M78" s="154">
        <v>15454</v>
      </c>
      <c r="N78" s="154"/>
      <c r="O78" s="154">
        <v>8400</v>
      </c>
      <c r="P78" s="154"/>
      <c r="Q78" s="154">
        <f t="shared" si="27"/>
        <v>351.2</v>
      </c>
      <c r="R78" s="154">
        <v>351.2</v>
      </c>
      <c r="S78" s="154"/>
      <c r="T78" s="154">
        <v>514.20000000000005</v>
      </c>
      <c r="U78" s="154">
        <v>8.6300000000000008</v>
      </c>
      <c r="V78" s="297">
        <f t="shared" si="28"/>
        <v>0.98684210526315752</v>
      </c>
      <c r="W78" s="298">
        <v>7.6431578947368433</v>
      </c>
      <c r="X78" s="167"/>
    </row>
    <row r="79" spans="1:36" s="168" customFormat="1" ht="13.8" x14ac:dyDescent="0.3">
      <c r="A79" s="550" t="s">
        <v>88</v>
      </c>
      <c r="B79" s="550"/>
      <c r="C79" s="550"/>
      <c r="D79" s="226">
        <f t="shared" ref="D79:W79" si="29">SUM(D67:D78)</f>
        <v>974262</v>
      </c>
      <c r="E79" s="226">
        <f t="shared" si="29"/>
        <v>14400</v>
      </c>
      <c r="F79" s="226">
        <f t="shared" si="29"/>
        <v>0</v>
      </c>
      <c r="G79" s="226">
        <f t="shared" si="29"/>
        <v>0</v>
      </c>
      <c r="H79" s="226">
        <f t="shared" si="29"/>
        <v>352205</v>
      </c>
      <c r="I79" s="226">
        <f t="shared" si="29"/>
        <v>230850</v>
      </c>
      <c r="J79" s="226">
        <f t="shared" si="29"/>
        <v>121355</v>
      </c>
      <c r="K79" s="226">
        <f t="shared" si="29"/>
        <v>61145</v>
      </c>
      <c r="L79" s="226">
        <f t="shared" si="29"/>
        <v>32215</v>
      </c>
      <c r="M79" s="226">
        <f t="shared" si="29"/>
        <v>104611</v>
      </c>
      <c r="N79" s="226">
        <f t="shared" si="29"/>
        <v>54657</v>
      </c>
      <c r="O79" s="226">
        <f t="shared" si="29"/>
        <v>65094</v>
      </c>
      <c r="P79" s="226">
        <f t="shared" si="29"/>
        <v>34483</v>
      </c>
      <c r="Q79" s="226">
        <f t="shared" si="29"/>
        <v>4843.2</v>
      </c>
      <c r="R79" s="226">
        <f t="shared" si="29"/>
        <v>3115.2999999999997</v>
      </c>
      <c r="S79" s="226">
        <f t="shared" si="29"/>
        <v>1727.8999999999999</v>
      </c>
      <c r="T79" s="226">
        <f t="shared" si="29"/>
        <v>6340.0999999999995</v>
      </c>
      <c r="U79" s="226">
        <f t="shared" si="29"/>
        <v>101.22000000000001</v>
      </c>
      <c r="V79" s="226">
        <f t="shared" si="29"/>
        <v>12.927631578947366</v>
      </c>
      <c r="W79" s="226">
        <f t="shared" si="29"/>
        <v>88.292368421052643</v>
      </c>
    </row>
    <row r="80" spans="1:36" s="168" customFormat="1" ht="13.8" x14ac:dyDescent="0.3">
      <c r="A80" s="344"/>
      <c r="B80" s="344"/>
      <c r="C80" s="344"/>
      <c r="D80" s="344"/>
      <c r="E80" s="365"/>
      <c r="F80" s="344"/>
      <c r="G80" s="344"/>
      <c r="H80" s="344"/>
      <c r="I80" s="344"/>
      <c r="J80" s="344"/>
      <c r="K80" s="344"/>
      <c r="L80" s="344"/>
      <c r="M80" s="344"/>
      <c r="N80" s="344"/>
      <c r="O80" s="344"/>
      <c r="P80" s="344"/>
      <c r="Q80" s="344"/>
      <c r="R80" s="344"/>
      <c r="S80" s="344"/>
      <c r="T80" s="344"/>
      <c r="U80" s="344"/>
      <c r="V80" s="344"/>
      <c r="W80" s="344"/>
    </row>
    <row r="81" spans="1:25" s="168" customFormat="1" ht="55.2" x14ac:dyDescent="0.3">
      <c r="A81" s="138" t="s">
        <v>18</v>
      </c>
      <c r="B81" s="138" t="s">
        <v>19</v>
      </c>
      <c r="C81" s="160" t="s">
        <v>0</v>
      </c>
      <c r="D81" s="139" t="s">
        <v>11</v>
      </c>
      <c r="E81" s="499" t="s">
        <v>158</v>
      </c>
      <c r="F81" s="138" t="s">
        <v>1</v>
      </c>
      <c r="G81" s="138" t="s">
        <v>2</v>
      </c>
      <c r="H81" s="139" t="s">
        <v>46</v>
      </c>
      <c r="I81" s="140" t="s">
        <v>37</v>
      </c>
      <c r="J81" s="141" t="s">
        <v>38</v>
      </c>
      <c r="K81" s="159" t="s">
        <v>100</v>
      </c>
      <c r="L81" s="156" t="s">
        <v>101</v>
      </c>
      <c r="M81" s="78" t="s">
        <v>82</v>
      </c>
      <c r="N81" s="78" t="s">
        <v>83</v>
      </c>
      <c r="O81" s="159" t="s">
        <v>102</v>
      </c>
      <c r="P81" s="156" t="s">
        <v>103</v>
      </c>
      <c r="Q81" s="139" t="s">
        <v>47</v>
      </c>
      <c r="R81" s="139" t="s">
        <v>48</v>
      </c>
      <c r="S81" s="139" t="s">
        <v>49</v>
      </c>
      <c r="T81" s="139" t="s">
        <v>3</v>
      </c>
      <c r="U81" s="139" t="s">
        <v>51</v>
      </c>
      <c r="V81" s="139" t="s">
        <v>50</v>
      </c>
      <c r="W81" s="139" t="s">
        <v>52</v>
      </c>
    </row>
    <row r="82" spans="1:25" s="321" customFormat="1" x14ac:dyDescent="0.3">
      <c r="A82" s="143">
        <v>2021</v>
      </c>
      <c r="B82" s="144" t="s">
        <v>20</v>
      </c>
      <c r="C82" s="148" t="s">
        <v>90</v>
      </c>
      <c r="D82" s="145">
        <f>F82+G82</f>
        <v>72099</v>
      </c>
      <c r="E82" s="145">
        <v>1200</v>
      </c>
      <c r="F82" s="145">
        <v>72099</v>
      </c>
      <c r="G82" s="145"/>
      <c r="H82" s="145">
        <f>I82+J82</f>
        <v>24131</v>
      </c>
      <c r="I82" s="145">
        <f>K82+M82+O82</f>
        <v>24131</v>
      </c>
      <c r="J82" s="145">
        <f>L82+N82+P82</f>
        <v>0</v>
      </c>
      <c r="K82" s="145">
        <v>7099</v>
      </c>
      <c r="L82" s="145"/>
      <c r="M82" s="145">
        <v>10783</v>
      </c>
      <c r="N82" s="145"/>
      <c r="O82" s="145">
        <v>6249</v>
      </c>
      <c r="P82" s="145"/>
      <c r="Q82" s="145">
        <f>SUM(R82:S82)</f>
        <v>314.39999999999998</v>
      </c>
      <c r="R82" s="145">
        <v>314.39999999999998</v>
      </c>
      <c r="S82" s="145"/>
      <c r="T82" s="145">
        <v>318.89999999999998</v>
      </c>
      <c r="U82" s="145">
        <v>8</v>
      </c>
      <c r="V82" s="426">
        <f>U82-W82</f>
        <v>1</v>
      </c>
      <c r="W82" s="279">
        <v>7</v>
      </c>
      <c r="X82" s="322"/>
      <c r="Y82" s="322"/>
    </row>
    <row r="83" spans="1:25" x14ac:dyDescent="0.3">
      <c r="A83" s="146">
        <v>2021</v>
      </c>
      <c r="B83" s="147" t="s">
        <v>21</v>
      </c>
      <c r="C83" s="148" t="s">
        <v>90</v>
      </c>
      <c r="D83" s="149">
        <f t="shared" ref="D83:D89" si="30">F83+G83</f>
        <v>65641</v>
      </c>
      <c r="E83" s="149">
        <v>1200</v>
      </c>
      <c r="F83" s="149">
        <v>65641</v>
      </c>
      <c r="G83" s="149"/>
      <c r="H83" s="149">
        <f>I83+J83</f>
        <v>23268</v>
      </c>
      <c r="I83" s="149">
        <f t="shared" ref="I83:I93" si="31">K83+M83+O83</f>
        <v>23268</v>
      </c>
      <c r="J83" s="149">
        <f t="shared" ref="J83:J93" si="32">L83+N83+P83</f>
        <v>0</v>
      </c>
      <c r="K83" s="149">
        <v>6484</v>
      </c>
      <c r="L83" s="149"/>
      <c r="M83" s="149">
        <v>10380</v>
      </c>
      <c r="N83" s="149"/>
      <c r="O83" s="149">
        <v>6404</v>
      </c>
      <c r="P83" s="149"/>
      <c r="Q83" s="149">
        <f t="shared" ref="Q83:Q93" si="33">SUM(R83:S83)</f>
        <v>328.9</v>
      </c>
      <c r="R83" s="149">
        <v>328.9</v>
      </c>
      <c r="S83" s="149"/>
      <c r="T83" s="149">
        <v>329.1</v>
      </c>
      <c r="U83" s="149">
        <v>8</v>
      </c>
      <c r="V83" s="277">
        <f t="shared" ref="V83:V93" si="34">U83-W83</f>
        <v>1</v>
      </c>
      <c r="W83" s="280">
        <v>7</v>
      </c>
    </row>
    <row r="84" spans="1:25" x14ac:dyDescent="0.3">
      <c r="A84" s="146">
        <v>2021</v>
      </c>
      <c r="B84" s="147" t="s">
        <v>22</v>
      </c>
      <c r="C84" s="148" t="s">
        <v>90</v>
      </c>
      <c r="D84" s="149">
        <f t="shared" si="30"/>
        <v>60887</v>
      </c>
      <c r="E84" s="149">
        <v>1200</v>
      </c>
      <c r="F84" s="149">
        <v>60887</v>
      </c>
      <c r="G84" s="149"/>
      <c r="H84" s="149">
        <f t="shared" ref="H84:H93" si="35">I84+J84</f>
        <v>20573</v>
      </c>
      <c r="I84" s="149">
        <f t="shared" si="31"/>
        <v>20573</v>
      </c>
      <c r="J84" s="149">
        <f t="shared" si="32"/>
        <v>0</v>
      </c>
      <c r="K84" s="149">
        <v>5625</v>
      </c>
      <c r="L84" s="149"/>
      <c r="M84" s="149">
        <v>8560</v>
      </c>
      <c r="N84" s="149"/>
      <c r="O84" s="149">
        <v>6388</v>
      </c>
      <c r="P84" s="149"/>
      <c r="Q84" s="149">
        <f t="shared" si="33"/>
        <v>314.8</v>
      </c>
      <c r="R84" s="149">
        <v>314.8</v>
      </c>
      <c r="S84" s="149"/>
      <c r="T84" s="149">
        <v>318.10000000000002</v>
      </c>
      <c r="U84" s="149">
        <v>8</v>
      </c>
      <c r="V84" s="277">
        <f t="shared" si="34"/>
        <v>1</v>
      </c>
      <c r="W84" s="280">
        <v>7</v>
      </c>
    </row>
    <row r="85" spans="1:25" x14ac:dyDescent="0.3">
      <c r="A85" s="146">
        <v>2021</v>
      </c>
      <c r="B85" s="147" t="s">
        <v>23</v>
      </c>
      <c r="C85" s="148" t="s">
        <v>90</v>
      </c>
      <c r="D85" s="149">
        <f t="shared" si="30"/>
        <v>56107</v>
      </c>
      <c r="E85" s="149">
        <v>1200</v>
      </c>
      <c r="F85" s="149">
        <v>56107</v>
      </c>
      <c r="G85" s="149"/>
      <c r="H85" s="149">
        <f t="shared" si="35"/>
        <v>19382</v>
      </c>
      <c r="I85" s="149">
        <f t="shared" si="31"/>
        <v>19382</v>
      </c>
      <c r="J85" s="149">
        <f t="shared" si="32"/>
        <v>0</v>
      </c>
      <c r="K85" s="149">
        <v>5018</v>
      </c>
      <c r="L85" s="149"/>
      <c r="M85" s="149">
        <v>8228</v>
      </c>
      <c r="N85" s="149"/>
      <c r="O85" s="149">
        <v>6136</v>
      </c>
      <c r="P85" s="149"/>
      <c r="Q85" s="149">
        <f t="shared" si="33"/>
        <v>352.6</v>
      </c>
      <c r="R85" s="149">
        <v>352.6</v>
      </c>
      <c r="S85" s="149"/>
      <c r="T85" s="149">
        <v>356.6</v>
      </c>
      <c r="U85" s="149">
        <v>8</v>
      </c>
      <c r="V85" s="277">
        <f t="shared" si="34"/>
        <v>1</v>
      </c>
      <c r="W85" s="280">
        <v>7</v>
      </c>
    </row>
    <row r="86" spans="1:25" x14ac:dyDescent="0.3">
      <c r="A86" s="146">
        <v>2021</v>
      </c>
      <c r="B86" s="147" t="s">
        <v>24</v>
      </c>
      <c r="C86" s="148" t="s">
        <v>90</v>
      </c>
      <c r="D86" s="149">
        <f t="shared" si="30"/>
        <v>53948</v>
      </c>
      <c r="E86" s="149">
        <v>1200</v>
      </c>
      <c r="F86" s="149">
        <v>53948</v>
      </c>
      <c r="G86" s="149"/>
      <c r="H86" s="149">
        <f t="shared" si="35"/>
        <v>18962</v>
      </c>
      <c r="I86" s="149">
        <f t="shared" si="31"/>
        <v>18962</v>
      </c>
      <c r="J86" s="149">
        <f t="shared" si="32"/>
        <v>0</v>
      </c>
      <c r="K86" s="149">
        <v>4828</v>
      </c>
      <c r="L86" s="149"/>
      <c r="M86" s="149">
        <v>7676</v>
      </c>
      <c r="N86" s="149"/>
      <c r="O86" s="149">
        <v>6458</v>
      </c>
      <c r="P86" s="149"/>
      <c r="Q86" s="149">
        <f t="shared" si="33"/>
        <v>382.5</v>
      </c>
      <c r="R86" s="149">
        <v>382.5</v>
      </c>
      <c r="S86" s="149"/>
      <c r="T86" s="149">
        <v>388.8</v>
      </c>
      <c r="U86" s="149">
        <v>8</v>
      </c>
      <c r="V86" s="277">
        <f t="shared" si="34"/>
        <v>1</v>
      </c>
      <c r="W86" s="280">
        <v>7</v>
      </c>
    </row>
    <row r="87" spans="1:25" x14ac:dyDescent="0.3">
      <c r="A87" s="146">
        <v>2021</v>
      </c>
      <c r="B87" s="147" t="s">
        <v>25</v>
      </c>
      <c r="C87" s="148" t="s">
        <v>90</v>
      </c>
      <c r="D87" s="149">
        <f t="shared" si="30"/>
        <v>77293</v>
      </c>
      <c r="E87" s="149">
        <v>1200</v>
      </c>
      <c r="F87" s="149"/>
      <c r="G87" s="149">
        <v>77293</v>
      </c>
      <c r="H87" s="149">
        <f t="shared" si="35"/>
        <v>28377</v>
      </c>
      <c r="I87" s="149">
        <f t="shared" si="31"/>
        <v>0</v>
      </c>
      <c r="J87" s="149">
        <f t="shared" si="32"/>
        <v>28377</v>
      </c>
      <c r="K87" s="149"/>
      <c r="L87" s="149">
        <v>7147</v>
      </c>
      <c r="M87" s="149"/>
      <c r="N87" s="149">
        <v>12756</v>
      </c>
      <c r="O87" s="149"/>
      <c r="P87" s="149">
        <v>8474</v>
      </c>
      <c r="Q87" s="149">
        <f t="shared" si="33"/>
        <v>441.1</v>
      </c>
      <c r="R87" s="149"/>
      <c r="S87" s="149">
        <v>441.1</v>
      </c>
      <c r="T87" s="149">
        <v>443.5</v>
      </c>
      <c r="U87" s="149">
        <v>8</v>
      </c>
      <c r="V87" s="277">
        <f t="shared" si="34"/>
        <v>1</v>
      </c>
      <c r="W87" s="280">
        <v>7</v>
      </c>
    </row>
    <row r="88" spans="1:25" x14ac:dyDescent="0.3">
      <c r="A88" s="146">
        <v>2021</v>
      </c>
      <c r="B88" s="147" t="s">
        <v>26</v>
      </c>
      <c r="C88" s="148" t="s">
        <v>90</v>
      </c>
      <c r="D88" s="149">
        <f t="shared" si="30"/>
        <v>90785</v>
      </c>
      <c r="E88" s="149">
        <v>1200</v>
      </c>
      <c r="F88" s="149"/>
      <c r="G88" s="149">
        <v>90785</v>
      </c>
      <c r="H88" s="149">
        <f t="shared" si="35"/>
        <v>35238</v>
      </c>
      <c r="I88" s="149">
        <f t="shared" si="31"/>
        <v>0</v>
      </c>
      <c r="J88" s="149">
        <f t="shared" si="32"/>
        <v>35238</v>
      </c>
      <c r="K88" s="149"/>
      <c r="L88" s="149">
        <v>9266</v>
      </c>
      <c r="M88" s="149"/>
      <c r="N88" s="149">
        <v>15465</v>
      </c>
      <c r="O88" s="149"/>
      <c r="P88" s="149">
        <v>10507</v>
      </c>
      <c r="Q88" s="149">
        <f t="shared" si="33"/>
        <v>446.3</v>
      </c>
      <c r="R88" s="149"/>
      <c r="S88" s="149">
        <v>446.3</v>
      </c>
      <c r="T88" s="149">
        <v>454.3</v>
      </c>
      <c r="U88" s="149">
        <v>8</v>
      </c>
      <c r="V88" s="277">
        <f t="shared" si="34"/>
        <v>1</v>
      </c>
      <c r="W88" s="280">
        <v>7</v>
      </c>
    </row>
    <row r="89" spans="1:25" x14ac:dyDescent="0.3">
      <c r="A89" s="146">
        <v>2021</v>
      </c>
      <c r="B89" s="147" t="s">
        <v>27</v>
      </c>
      <c r="C89" s="148" t="s">
        <v>90</v>
      </c>
      <c r="D89" s="149">
        <f t="shared" si="30"/>
        <v>86088</v>
      </c>
      <c r="E89" s="149">
        <v>1200</v>
      </c>
      <c r="F89" s="149"/>
      <c r="G89" s="149">
        <v>86088</v>
      </c>
      <c r="H89" s="149">
        <f t="shared" si="35"/>
        <v>34065</v>
      </c>
      <c r="I89" s="149">
        <f t="shared" si="31"/>
        <v>0</v>
      </c>
      <c r="J89" s="149">
        <f t="shared" si="32"/>
        <v>34065</v>
      </c>
      <c r="K89" s="149"/>
      <c r="L89" s="149">
        <v>8793</v>
      </c>
      <c r="M89" s="149"/>
      <c r="N89" s="149">
        <v>15310</v>
      </c>
      <c r="O89" s="149"/>
      <c r="P89" s="149">
        <v>9962</v>
      </c>
      <c r="Q89" s="149">
        <f t="shared" si="33"/>
        <v>434.6</v>
      </c>
      <c r="R89" s="149"/>
      <c r="S89" s="149">
        <v>434.6</v>
      </c>
      <c r="T89" s="149">
        <v>442.6</v>
      </c>
      <c r="U89" s="149">
        <v>8</v>
      </c>
      <c r="V89" s="277">
        <f t="shared" si="34"/>
        <v>1</v>
      </c>
      <c r="W89" s="280">
        <v>7</v>
      </c>
    </row>
    <row r="90" spans="1:25" x14ac:dyDescent="0.3">
      <c r="A90" s="146">
        <v>2021</v>
      </c>
      <c r="B90" s="147" t="s">
        <v>28</v>
      </c>
      <c r="C90" s="148" t="s">
        <v>90</v>
      </c>
      <c r="D90" s="149">
        <v>21387</v>
      </c>
      <c r="E90" s="149">
        <v>1200</v>
      </c>
      <c r="F90" s="149"/>
      <c r="G90" s="149"/>
      <c r="H90" s="149">
        <f t="shared" si="35"/>
        <v>8264</v>
      </c>
      <c r="I90" s="149">
        <f t="shared" si="31"/>
        <v>0</v>
      </c>
      <c r="J90" s="149">
        <f t="shared" si="32"/>
        <v>8264</v>
      </c>
      <c r="K90" s="149"/>
      <c r="L90" s="149">
        <v>1975</v>
      </c>
      <c r="M90" s="149"/>
      <c r="N90" s="149">
        <v>3685</v>
      </c>
      <c r="O90" s="149"/>
      <c r="P90" s="149">
        <v>2604</v>
      </c>
      <c r="Q90" s="149">
        <f t="shared" si="33"/>
        <v>109.5</v>
      </c>
      <c r="R90" s="149"/>
      <c r="S90" s="149">
        <v>109.5</v>
      </c>
      <c r="T90" s="149">
        <v>136.69999999999999</v>
      </c>
      <c r="U90" s="149">
        <v>4.54</v>
      </c>
      <c r="V90" s="393">
        <f t="shared" si="34"/>
        <v>1.1184210526315788</v>
      </c>
      <c r="W90" s="394">
        <v>3.4215789473684213</v>
      </c>
    </row>
    <row r="91" spans="1:25" x14ac:dyDescent="0.3">
      <c r="A91" s="146">
        <v>2021</v>
      </c>
      <c r="B91" s="147" t="s">
        <v>29</v>
      </c>
      <c r="C91" s="148" t="s">
        <v>90</v>
      </c>
      <c r="D91" s="149">
        <v>95838</v>
      </c>
      <c r="E91" s="149">
        <v>1200</v>
      </c>
      <c r="F91" s="149"/>
      <c r="G91" s="149"/>
      <c r="H91" s="149">
        <f t="shared" si="35"/>
        <v>34375</v>
      </c>
      <c r="I91" s="149">
        <f t="shared" si="31"/>
        <v>4272</v>
      </c>
      <c r="J91" s="149">
        <f t="shared" si="32"/>
        <v>30103</v>
      </c>
      <c r="K91" s="149">
        <v>1236</v>
      </c>
      <c r="L91" s="149">
        <v>7318</v>
      </c>
      <c r="M91" s="149">
        <v>1955</v>
      </c>
      <c r="N91" s="149">
        <v>13543</v>
      </c>
      <c r="O91" s="149">
        <v>1081</v>
      </c>
      <c r="P91" s="149">
        <v>9242</v>
      </c>
      <c r="Q91" s="149">
        <f t="shared" si="33"/>
        <v>419.1</v>
      </c>
      <c r="R91" s="149">
        <v>65</v>
      </c>
      <c r="S91" s="149">
        <v>354.1</v>
      </c>
      <c r="T91" s="149">
        <v>481.5</v>
      </c>
      <c r="U91" s="149">
        <v>8.93</v>
      </c>
      <c r="V91" s="393">
        <f t="shared" si="34"/>
        <v>0.9539473684210531</v>
      </c>
      <c r="W91" s="394">
        <v>7.9760526315789466</v>
      </c>
    </row>
    <row r="92" spans="1:25" x14ac:dyDescent="0.3">
      <c r="A92" s="146">
        <v>2021</v>
      </c>
      <c r="B92" s="147" t="s">
        <v>30</v>
      </c>
      <c r="C92" s="148" t="s">
        <v>90</v>
      </c>
      <c r="D92" s="149">
        <v>61630</v>
      </c>
      <c r="E92" s="149">
        <v>1200</v>
      </c>
      <c r="F92" s="149"/>
      <c r="G92" s="149"/>
      <c r="H92" s="149">
        <f t="shared" si="35"/>
        <v>20625</v>
      </c>
      <c r="I92" s="149">
        <f t="shared" si="31"/>
        <v>20625</v>
      </c>
      <c r="J92" s="149">
        <f t="shared" si="32"/>
        <v>0</v>
      </c>
      <c r="K92" s="149">
        <v>4926</v>
      </c>
      <c r="L92" s="149"/>
      <c r="M92" s="149">
        <v>8826</v>
      </c>
      <c r="N92" s="149"/>
      <c r="O92" s="149">
        <v>6873</v>
      </c>
      <c r="P92" s="149"/>
      <c r="Q92" s="149">
        <f t="shared" si="33"/>
        <v>349.3</v>
      </c>
      <c r="R92" s="149">
        <v>349.3</v>
      </c>
      <c r="S92" s="149"/>
      <c r="T92" s="149">
        <v>438.1</v>
      </c>
      <c r="U92" s="149">
        <v>6.92</v>
      </c>
      <c r="V92" s="393">
        <f t="shared" si="34"/>
        <v>0</v>
      </c>
      <c r="W92" s="394">
        <v>6.92</v>
      </c>
    </row>
    <row r="93" spans="1:25" x14ac:dyDescent="0.3">
      <c r="A93" s="151">
        <v>2021</v>
      </c>
      <c r="B93" s="152" t="s">
        <v>31</v>
      </c>
      <c r="C93" s="153" t="s">
        <v>90</v>
      </c>
      <c r="D93" s="154">
        <v>76278</v>
      </c>
      <c r="E93" s="154">
        <v>1200</v>
      </c>
      <c r="F93" s="154"/>
      <c r="G93" s="154"/>
      <c r="H93" s="154">
        <f t="shared" si="35"/>
        <v>25598</v>
      </c>
      <c r="I93" s="154">
        <f t="shared" si="31"/>
        <v>25598</v>
      </c>
      <c r="J93" s="154">
        <f t="shared" si="32"/>
        <v>0</v>
      </c>
      <c r="K93" s="154">
        <v>5972</v>
      </c>
      <c r="L93" s="154"/>
      <c r="M93" s="154">
        <v>12388</v>
      </c>
      <c r="N93" s="154"/>
      <c r="O93" s="154">
        <v>7238</v>
      </c>
      <c r="P93" s="154"/>
      <c r="Q93" s="154">
        <f t="shared" si="33"/>
        <v>345.5</v>
      </c>
      <c r="R93" s="154">
        <v>345.5</v>
      </c>
      <c r="S93" s="154"/>
      <c r="T93" s="154">
        <v>475.7</v>
      </c>
      <c r="U93" s="154">
        <v>8.6999999999999993</v>
      </c>
      <c r="V93" s="395">
        <f t="shared" si="34"/>
        <v>1.1184210526315788</v>
      </c>
      <c r="W93" s="396">
        <v>7.5815789473684205</v>
      </c>
    </row>
    <row r="94" spans="1:25" x14ac:dyDescent="0.3">
      <c r="A94" s="550" t="s">
        <v>88</v>
      </c>
      <c r="B94" s="550"/>
      <c r="C94" s="550"/>
      <c r="D94" s="226">
        <f t="shared" ref="D94:W94" si="36">SUM(D82:D93)</f>
        <v>817981</v>
      </c>
      <c r="E94" s="226">
        <f t="shared" si="36"/>
        <v>14400</v>
      </c>
      <c r="F94" s="226">
        <f t="shared" si="36"/>
        <v>308682</v>
      </c>
      <c r="G94" s="226">
        <f t="shared" si="36"/>
        <v>254166</v>
      </c>
      <c r="H94" s="226">
        <f t="shared" si="36"/>
        <v>292858</v>
      </c>
      <c r="I94" s="226">
        <f t="shared" si="36"/>
        <v>156811</v>
      </c>
      <c r="J94" s="226">
        <f t="shared" si="36"/>
        <v>136047</v>
      </c>
      <c r="K94" s="226">
        <f t="shared" si="36"/>
        <v>41188</v>
      </c>
      <c r="L94" s="226">
        <f t="shared" si="36"/>
        <v>34499</v>
      </c>
      <c r="M94" s="226">
        <f t="shared" si="36"/>
        <v>68796</v>
      </c>
      <c r="N94" s="226">
        <f t="shared" si="36"/>
        <v>60759</v>
      </c>
      <c r="O94" s="226">
        <f t="shared" si="36"/>
        <v>46827</v>
      </c>
      <c r="P94" s="226">
        <f t="shared" si="36"/>
        <v>40789</v>
      </c>
      <c r="Q94" s="226">
        <f t="shared" si="36"/>
        <v>4238.6000000000004</v>
      </c>
      <c r="R94" s="226">
        <f t="shared" si="36"/>
        <v>2453</v>
      </c>
      <c r="S94" s="226">
        <f t="shared" si="36"/>
        <v>1785.6</v>
      </c>
      <c r="T94" s="226">
        <f t="shared" si="36"/>
        <v>4583.8999999999996</v>
      </c>
      <c r="U94" s="226">
        <f t="shared" si="36"/>
        <v>93.09</v>
      </c>
      <c r="V94" s="226">
        <f t="shared" si="36"/>
        <v>11.190789473684211</v>
      </c>
      <c r="W94" s="226">
        <f t="shared" si="36"/>
        <v>81.899210526315784</v>
      </c>
    </row>
    <row r="95" spans="1:25" x14ac:dyDescent="0.3">
      <c r="A95" s="327"/>
      <c r="B95" s="327"/>
      <c r="C95" s="327"/>
      <c r="D95" s="327"/>
      <c r="E95" s="365"/>
      <c r="F95" s="327"/>
      <c r="G95" s="327"/>
      <c r="H95" s="327"/>
      <c r="I95" s="327"/>
      <c r="J95" s="327"/>
      <c r="K95" s="327"/>
      <c r="L95" s="327"/>
      <c r="M95" s="327"/>
      <c r="N95" s="327"/>
      <c r="O95" s="327"/>
      <c r="P95" s="327"/>
      <c r="Q95" s="327"/>
      <c r="R95" s="327"/>
      <c r="S95" s="327"/>
      <c r="T95" s="327"/>
      <c r="U95" s="327"/>
      <c r="V95" s="327"/>
      <c r="W95" s="327"/>
    </row>
    <row r="96" spans="1:25" ht="55.2" x14ac:dyDescent="0.3">
      <c r="A96" s="138" t="s">
        <v>18</v>
      </c>
      <c r="B96" s="138" t="s">
        <v>19</v>
      </c>
      <c r="C96" s="160" t="s">
        <v>0</v>
      </c>
      <c r="D96" s="139" t="s">
        <v>11</v>
      </c>
      <c r="E96" s="499" t="s">
        <v>158</v>
      </c>
      <c r="F96" s="138" t="s">
        <v>1</v>
      </c>
      <c r="G96" s="138" t="s">
        <v>2</v>
      </c>
      <c r="H96" s="139" t="s">
        <v>46</v>
      </c>
      <c r="I96" s="140" t="s">
        <v>37</v>
      </c>
      <c r="J96" s="141" t="s">
        <v>38</v>
      </c>
      <c r="K96" s="159" t="s">
        <v>100</v>
      </c>
      <c r="L96" s="156" t="s">
        <v>101</v>
      </c>
      <c r="M96" s="78" t="s">
        <v>82</v>
      </c>
      <c r="N96" s="78" t="s">
        <v>83</v>
      </c>
      <c r="O96" s="159" t="s">
        <v>102</v>
      </c>
      <c r="P96" s="156" t="s">
        <v>103</v>
      </c>
      <c r="Q96" s="139" t="s">
        <v>47</v>
      </c>
      <c r="R96" s="139" t="s">
        <v>48</v>
      </c>
      <c r="S96" s="139" t="s">
        <v>49</v>
      </c>
      <c r="T96" s="139" t="s">
        <v>3</v>
      </c>
      <c r="U96" s="139" t="s">
        <v>51</v>
      </c>
      <c r="V96" s="139" t="s">
        <v>50</v>
      </c>
      <c r="W96" s="139" t="s">
        <v>52</v>
      </c>
    </row>
    <row r="97" spans="1:23" x14ac:dyDescent="0.3">
      <c r="A97" s="143">
        <v>2020</v>
      </c>
      <c r="B97" s="144" t="s">
        <v>20</v>
      </c>
      <c r="C97" s="148" t="s">
        <v>90</v>
      </c>
      <c r="D97" s="145">
        <f>F97+G97</f>
        <v>77435</v>
      </c>
      <c r="E97" s="145">
        <v>1200</v>
      </c>
      <c r="F97" s="145">
        <v>77435</v>
      </c>
      <c r="G97" s="145"/>
      <c r="H97" s="145">
        <f>I97+J97</f>
        <v>27817</v>
      </c>
      <c r="I97" s="145">
        <f>K97+M97+O97</f>
        <v>27817</v>
      </c>
      <c r="J97" s="145">
        <f>L97+N97+P97</f>
        <v>0</v>
      </c>
      <c r="K97" s="145">
        <v>7625</v>
      </c>
      <c r="L97" s="145"/>
      <c r="M97" s="145">
        <v>12992</v>
      </c>
      <c r="N97" s="145"/>
      <c r="O97" s="145">
        <v>7200</v>
      </c>
      <c r="P97" s="145"/>
      <c r="Q97" s="145">
        <f>SUM(R97:S97)</f>
        <v>347</v>
      </c>
      <c r="R97" s="145">
        <v>347</v>
      </c>
      <c r="S97" s="145"/>
      <c r="T97" s="145">
        <v>527.1</v>
      </c>
      <c r="U97" s="145">
        <v>8</v>
      </c>
      <c r="V97" s="426">
        <f>U97-W97</f>
        <v>1</v>
      </c>
      <c r="W97" s="279">
        <v>7</v>
      </c>
    </row>
    <row r="98" spans="1:23" x14ac:dyDescent="0.3">
      <c r="A98" s="146">
        <v>2020</v>
      </c>
      <c r="B98" s="147" t="s">
        <v>21</v>
      </c>
      <c r="C98" s="148" t="s">
        <v>90</v>
      </c>
      <c r="D98" s="149">
        <f t="shared" ref="D98:D108" si="37">F98+G98</f>
        <v>68636</v>
      </c>
      <c r="E98" s="149">
        <v>1200</v>
      </c>
      <c r="F98" s="149">
        <v>68636</v>
      </c>
      <c r="G98" s="149"/>
      <c r="H98" s="149">
        <f t="shared" ref="H98:H108" si="38">I98+J98</f>
        <v>25386</v>
      </c>
      <c r="I98" s="149">
        <f t="shared" ref="I98:I108" si="39">K98+M98+O98</f>
        <v>25386</v>
      </c>
      <c r="J98" s="149">
        <f t="shared" ref="J98:J108" si="40">L98+N98+P98</f>
        <v>0</v>
      </c>
      <c r="K98" s="149">
        <v>7011</v>
      </c>
      <c r="L98" s="149"/>
      <c r="M98" s="149">
        <v>11802</v>
      </c>
      <c r="N98" s="149"/>
      <c r="O98" s="149">
        <v>6573</v>
      </c>
      <c r="P98" s="149"/>
      <c r="Q98" s="149">
        <f t="shared" ref="Q98:Q108" si="41">SUM(R98:S98)</f>
        <v>336.9</v>
      </c>
      <c r="R98" s="149">
        <v>336.9</v>
      </c>
      <c r="S98" s="149"/>
      <c r="T98" s="149">
        <v>527.1</v>
      </c>
      <c r="U98" s="149">
        <v>8</v>
      </c>
      <c r="V98" s="277">
        <f t="shared" ref="V98:V108" si="42">U98-W98</f>
        <v>1</v>
      </c>
      <c r="W98" s="280">
        <v>7</v>
      </c>
    </row>
    <row r="99" spans="1:23" x14ac:dyDescent="0.3">
      <c r="A99" s="146">
        <v>2020</v>
      </c>
      <c r="B99" s="147" t="s">
        <v>22</v>
      </c>
      <c r="C99" s="148" t="s">
        <v>90</v>
      </c>
      <c r="D99" s="149">
        <f t="shared" si="37"/>
        <v>58105</v>
      </c>
      <c r="E99" s="149">
        <v>1200</v>
      </c>
      <c r="F99" s="149">
        <v>58105</v>
      </c>
      <c r="G99" s="149"/>
      <c r="H99" s="149">
        <f t="shared" si="38"/>
        <v>21060</v>
      </c>
      <c r="I99" s="149">
        <f t="shared" si="39"/>
        <v>21060</v>
      </c>
      <c r="J99" s="149">
        <f t="shared" si="40"/>
        <v>0</v>
      </c>
      <c r="K99" s="149">
        <v>4936</v>
      </c>
      <c r="L99" s="149"/>
      <c r="M99" s="149">
        <v>9508</v>
      </c>
      <c r="N99" s="149"/>
      <c r="O99" s="149">
        <v>6616</v>
      </c>
      <c r="P99" s="149"/>
      <c r="Q99" s="149">
        <f t="shared" si="41"/>
        <v>338</v>
      </c>
      <c r="R99" s="149">
        <v>338</v>
      </c>
      <c r="S99" s="149"/>
      <c r="T99" s="149">
        <v>527.1</v>
      </c>
      <c r="U99" s="149">
        <v>8</v>
      </c>
      <c r="V99" s="277">
        <f t="shared" si="42"/>
        <v>1</v>
      </c>
      <c r="W99" s="280">
        <v>7</v>
      </c>
    </row>
    <row r="100" spans="1:23" x14ac:dyDescent="0.3">
      <c r="A100" s="146">
        <v>2020</v>
      </c>
      <c r="B100" s="147" t="s">
        <v>23</v>
      </c>
      <c r="C100" s="148" t="s">
        <v>90</v>
      </c>
      <c r="D100" s="149">
        <f t="shared" si="37"/>
        <v>51302</v>
      </c>
      <c r="E100" s="149">
        <v>1200</v>
      </c>
      <c r="F100" s="149">
        <v>51302</v>
      </c>
      <c r="G100" s="149"/>
      <c r="H100" s="149">
        <f t="shared" si="38"/>
        <v>15515</v>
      </c>
      <c r="I100" s="149">
        <f t="shared" si="39"/>
        <v>15515</v>
      </c>
      <c r="J100" s="149">
        <f t="shared" si="40"/>
        <v>0</v>
      </c>
      <c r="K100" s="149">
        <v>3528</v>
      </c>
      <c r="L100" s="149"/>
      <c r="M100" s="149">
        <v>6377</v>
      </c>
      <c r="N100" s="149"/>
      <c r="O100" s="149">
        <v>5610</v>
      </c>
      <c r="P100" s="149"/>
      <c r="Q100" s="149">
        <f t="shared" si="41"/>
        <v>334.3</v>
      </c>
      <c r="R100" s="149">
        <v>334.3</v>
      </c>
      <c r="S100" s="149"/>
      <c r="T100" s="149">
        <v>527.1</v>
      </c>
      <c r="U100" s="149">
        <v>8</v>
      </c>
      <c r="V100" s="277">
        <f t="shared" si="42"/>
        <v>1</v>
      </c>
      <c r="W100" s="280">
        <v>7</v>
      </c>
    </row>
    <row r="101" spans="1:23" x14ac:dyDescent="0.3">
      <c r="A101" s="146">
        <v>2020</v>
      </c>
      <c r="B101" s="147" t="s">
        <v>24</v>
      </c>
      <c r="C101" s="148" t="s">
        <v>90</v>
      </c>
      <c r="D101" s="149">
        <f t="shared" si="37"/>
        <v>45102</v>
      </c>
      <c r="E101" s="149">
        <v>1200</v>
      </c>
      <c r="F101" s="149">
        <v>45102</v>
      </c>
      <c r="G101" s="149"/>
      <c r="H101" s="149">
        <f t="shared" si="38"/>
        <v>14645</v>
      </c>
      <c r="I101" s="149">
        <f t="shared" si="39"/>
        <v>14645</v>
      </c>
      <c r="J101" s="149">
        <f t="shared" si="40"/>
        <v>0</v>
      </c>
      <c r="K101" s="149">
        <v>2913</v>
      </c>
      <c r="L101" s="149"/>
      <c r="M101" s="149">
        <v>6083</v>
      </c>
      <c r="N101" s="149"/>
      <c r="O101" s="149">
        <v>5649</v>
      </c>
      <c r="P101" s="149"/>
      <c r="Q101" s="149">
        <f t="shared" si="41"/>
        <v>316.60000000000002</v>
      </c>
      <c r="R101" s="149">
        <v>316.60000000000002</v>
      </c>
      <c r="S101" s="149"/>
      <c r="T101" s="149">
        <v>527.1</v>
      </c>
      <c r="U101" s="149">
        <v>8</v>
      </c>
      <c r="V101" s="277">
        <f t="shared" si="42"/>
        <v>1</v>
      </c>
      <c r="W101" s="280">
        <v>7</v>
      </c>
    </row>
    <row r="102" spans="1:23" x14ac:dyDescent="0.3">
      <c r="A102" s="146">
        <v>2020</v>
      </c>
      <c r="B102" s="147" t="s">
        <v>25</v>
      </c>
      <c r="C102" s="148" t="s">
        <v>90</v>
      </c>
      <c r="D102" s="149">
        <f t="shared" si="37"/>
        <v>64217</v>
      </c>
      <c r="E102" s="149">
        <v>1200</v>
      </c>
      <c r="F102" s="149"/>
      <c r="G102" s="149">
        <v>64217</v>
      </c>
      <c r="H102" s="149">
        <f t="shared" si="38"/>
        <v>23872</v>
      </c>
      <c r="I102" s="149">
        <f t="shared" si="39"/>
        <v>0</v>
      </c>
      <c r="J102" s="149">
        <f t="shared" si="40"/>
        <v>23872</v>
      </c>
      <c r="K102" s="149"/>
      <c r="L102" s="149">
        <v>5546</v>
      </c>
      <c r="M102" s="149"/>
      <c r="N102" s="149">
        <v>10362</v>
      </c>
      <c r="O102" s="149"/>
      <c r="P102" s="149">
        <v>7964</v>
      </c>
      <c r="Q102" s="149">
        <f t="shared" si="41"/>
        <v>366.3</v>
      </c>
      <c r="R102" s="149"/>
      <c r="S102" s="149">
        <v>366.3</v>
      </c>
      <c r="T102" s="149">
        <v>528.1</v>
      </c>
      <c r="U102" s="149">
        <v>8</v>
      </c>
      <c r="V102" s="277">
        <f t="shared" si="42"/>
        <v>1</v>
      </c>
      <c r="W102" s="280">
        <v>7</v>
      </c>
    </row>
    <row r="103" spans="1:23" x14ac:dyDescent="0.3">
      <c r="A103" s="146">
        <v>2020</v>
      </c>
      <c r="B103" s="147" t="s">
        <v>26</v>
      </c>
      <c r="C103" s="148" t="s">
        <v>90</v>
      </c>
      <c r="D103" s="149">
        <f t="shared" si="37"/>
        <v>83237</v>
      </c>
      <c r="E103" s="149">
        <v>1200</v>
      </c>
      <c r="F103" s="149"/>
      <c r="G103" s="149">
        <v>83237</v>
      </c>
      <c r="H103" s="149">
        <f t="shared" si="38"/>
        <v>31282</v>
      </c>
      <c r="I103" s="149">
        <f t="shared" si="39"/>
        <v>0</v>
      </c>
      <c r="J103" s="149">
        <f t="shared" si="40"/>
        <v>31282</v>
      </c>
      <c r="K103" s="149"/>
      <c r="L103" s="149">
        <v>7434</v>
      </c>
      <c r="M103" s="149"/>
      <c r="N103" s="149">
        <v>14906</v>
      </c>
      <c r="O103" s="149"/>
      <c r="P103" s="149">
        <v>8942</v>
      </c>
      <c r="Q103" s="149">
        <f t="shared" si="41"/>
        <v>433.9</v>
      </c>
      <c r="R103" s="149"/>
      <c r="S103" s="149">
        <v>433.9</v>
      </c>
      <c r="T103" s="149">
        <v>502.6</v>
      </c>
      <c r="U103" s="149">
        <v>8</v>
      </c>
      <c r="V103" s="277">
        <f t="shared" si="42"/>
        <v>1</v>
      </c>
      <c r="W103" s="280">
        <v>7</v>
      </c>
    </row>
    <row r="104" spans="1:23" x14ac:dyDescent="0.3">
      <c r="A104" s="146">
        <v>2020</v>
      </c>
      <c r="B104" s="147" t="s">
        <v>27</v>
      </c>
      <c r="C104" s="148" t="s">
        <v>90</v>
      </c>
      <c r="D104" s="149">
        <f t="shared" si="37"/>
        <v>71081</v>
      </c>
      <c r="E104" s="149">
        <v>1200</v>
      </c>
      <c r="F104" s="149"/>
      <c r="G104" s="149">
        <v>71081</v>
      </c>
      <c r="H104" s="149">
        <f t="shared" si="38"/>
        <v>26657</v>
      </c>
      <c r="I104" s="149">
        <f t="shared" si="39"/>
        <v>0</v>
      </c>
      <c r="J104" s="149">
        <f t="shared" si="40"/>
        <v>26657</v>
      </c>
      <c r="K104" s="149"/>
      <c r="L104" s="149">
        <v>6954</v>
      </c>
      <c r="M104" s="149"/>
      <c r="N104" s="149">
        <v>12730</v>
      </c>
      <c r="O104" s="149"/>
      <c r="P104" s="149">
        <v>6973</v>
      </c>
      <c r="Q104" s="149">
        <f t="shared" si="41"/>
        <v>425</v>
      </c>
      <c r="R104" s="149"/>
      <c r="S104" s="149">
        <v>425</v>
      </c>
      <c r="T104" s="149">
        <v>480.5</v>
      </c>
      <c r="U104" s="149">
        <v>8</v>
      </c>
      <c r="V104" s="277">
        <f t="shared" si="42"/>
        <v>1</v>
      </c>
      <c r="W104" s="280">
        <v>7</v>
      </c>
    </row>
    <row r="105" spans="1:23" x14ac:dyDescent="0.3">
      <c r="A105" s="146">
        <v>2020</v>
      </c>
      <c r="B105" s="147" t="s">
        <v>28</v>
      </c>
      <c r="C105" s="148" t="s">
        <v>90</v>
      </c>
      <c r="D105" s="149">
        <f t="shared" si="37"/>
        <v>69855</v>
      </c>
      <c r="E105" s="149">
        <v>1200</v>
      </c>
      <c r="F105" s="149"/>
      <c r="G105" s="149">
        <v>69855</v>
      </c>
      <c r="H105" s="149">
        <f t="shared" si="38"/>
        <v>25119</v>
      </c>
      <c r="I105" s="149">
        <f t="shared" si="39"/>
        <v>0</v>
      </c>
      <c r="J105" s="149">
        <f t="shared" si="40"/>
        <v>25119</v>
      </c>
      <c r="K105" s="149"/>
      <c r="L105" s="149">
        <v>6879</v>
      </c>
      <c r="M105" s="149"/>
      <c r="N105" s="149">
        <v>11273</v>
      </c>
      <c r="O105" s="149"/>
      <c r="P105" s="149">
        <v>6967</v>
      </c>
      <c r="Q105" s="149">
        <f t="shared" si="41"/>
        <v>448.3</v>
      </c>
      <c r="R105" s="149"/>
      <c r="S105" s="149">
        <v>448.3</v>
      </c>
      <c r="T105" s="149">
        <v>477.6</v>
      </c>
      <c r="U105" s="149">
        <v>8</v>
      </c>
      <c r="V105" s="277">
        <f t="shared" si="42"/>
        <v>1</v>
      </c>
      <c r="W105" s="280">
        <v>7</v>
      </c>
    </row>
    <row r="106" spans="1:23" x14ac:dyDescent="0.3">
      <c r="A106" s="146">
        <v>2020</v>
      </c>
      <c r="B106" s="147" t="s">
        <v>29</v>
      </c>
      <c r="C106" s="148" t="s">
        <v>90</v>
      </c>
      <c r="D106" s="149">
        <f t="shared" si="37"/>
        <v>58680</v>
      </c>
      <c r="E106" s="149">
        <v>1200</v>
      </c>
      <c r="F106" s="149">
        <v>58680</v>
      </c>
      <c r="G106" s="149"/>
      <c r="H106" s="149">
        <f t="shared" si="38"/>
        <v>20790</v>
      </c>
      <c r="I106" s="149">
        <f t="shared" si="39"/>
        <v>20790</v>
      </c>
      <c r="J106" s="149">
        <f t="shared" si="40"/>
        <v>0</v>
      </c>
      <c r="K106" s="149">
        <v>5458</v>
      </c>
      <c r="L106" s="149"/>
      <c r="M106" s="149">
        <v>9577</v>
      </c>
      <c r="N106" s="149"/>
      <c r="O106" s="149">
        <v>5755</v>
      </c>
      <c r="P106" s="149"/>
      <c r="Q106" s="149">
        <f t="shared" si="41"/>
        <v>368.4</v>
      </c>
      <c r="R106" s="149">
        <v>368.4</v>
      </c>
      <c r="S106" s="149"/>
      <c r="T106" s="149">
        <v>476.3</v>
      </c>
      <c r="U106" s="149">
        <v>8</v>
      </c>
      <c r="V106" s="277">
        <f t="shared" si="42"/>
        <v>1</v>
      </c>
      <c r="W106" s="280">
        <v>7</v>
      </c>
    </row>
    <row r="107" spans="1:23" x14ac:dyDescent="0.3">
      <c r="A107" s="146">
        <v>2020</v>
      </c>
      <c r="B107" s="147" t="s">
        <v>30</v>
      </c>
      <c r="C107" s="148" t="s">
        <v>90</v>
      </c>
      <c r="D107" s="149">
        <f t="shared" si="37"/>
        <v>56003</v>
      </c>
      <c r="E107" s="149">
        <v>1200</v>
      </c>
      <c r="F107" s="149">
        <v>56003</v>
      </c>
      <c r="G107" s="149"/>
      <c r="H107" s="149">
        <f t="shared" si="38"/>
        <v>20407</v>
      </c>
      <c r="I107" s="149">
        <f t="shared" si="39"/>
        <v>20407</v>
      </c>
      <c r="J107" s="149">
        <f t="shared" si="40"/>
        <v>0</v>
      </c>
      <c r="K107" s="149">
        <v>5035</v>
      </c>
      <c r="L107" s="149"/>
      <c r="M107" s="149">
        <v>9653</v>
      </c>
      <c r="N107" s="149"/>
      <c r="O107" s="149">
        <v>5719</v>
      </c>
      <c r="P107" s="149"/>
      <c r="Q107" s="149">
        <f t="shared" si="41"/>
        <v>343.2</v>
      </c>
      <c r="R107" s="149">
        <v>343.2</v>
      </c>
      <c r="S107" s="149"/>
      <c r="T107" s="149">
        <v>476.3</v>
      </c>
      <c r="U107" s="149">
        <v>8</v>
      </c>
      <c r="V107" s="293">
        <f t="shared" si="42"/>
        <v>1</v>
      </c>
      <c r="W107" s="280">
        <v>7</v>
      </c>
    </row>
    <row r="108" spans="1:23" x14ac:dyDescent="0.3">
      <c r="A108" s="151">
        <v>2020</v>
      </c>
      <c r="B108" s="152" t="s">
        <v>31</v>
      </c>
      <c r="C108" s="153" t="s">
        <v>90</v>
      </c>
      <c r="D108" s="154">
        <f t="shared" si="37"/>
        <v>63873</v>
      </c>
      <c r="E108" s="154">
        <v>1200</v>
      </c>
      <c r="F108" s="154">
        <v>63873</v>
      </c>
      <c r="G108" s="154"/>
      <c r="H108" s="154">
        <f t="shared" si="38"/>
        <v>22293</v>
      </c>
      <c r="I108" s="154">
        <f t="shared" si="39"/>
        <v>22293</v>
      </c>
      <c r="J108" s="154">
        <f t="shared" si="40"/>
        <v>0</v>
      </c>
      <c r="K108" s="154">
        <v>5893</v>
      </c>
      <c r="L108" s="154"/>
      <c r="M108" s="154">
        <v>10330</v>
      </c>
      <c r="N108" s="154"/>
      <c r="O108" s="154">
        <v>6070</v>
      </c>
      <c r="P108" s="154"/>
      <c r="Q108" s="154">
        <f t="shared" si="41"/>
        <v>319.7</v>
      </c>
      <c r="R108" s="154">
        <v>319.7</v>
      </c>
      <c r="S108" s="154"/>
      <c r="T108" s="154">
        <v>472.5</v>
      </c>
      <c r="U108" s="154">
        <v>8</v>
      </c>
      <c r="V108" s="276">
        <f t="shared" si="42"/>
        <v>1</v>
      </c>
      <c r="W108" s="278">
        <v>7</v>
      </c>
    </row>
    <row r="109" spans="1:23" x14ac:dyDescent="0.3">
      <c r="A109" s="550" t="s">
        <v>88</v>
      </c>
      <c r="B109" s="550"/>
      <c r="C109" s="550"/>
      <c r="D109" s="226">
        <f t="shared" ref="D109:W109" si="43">SUM(D97:D108)</f>
        <v>767526</v>
      </c>
      <c r="E109" s="226">
        <f t="shared" si="43"/>
        <v>14400</v>
      </c>
      <c r="F109" s="226">
        <f t="shared" si="43"/>
        <v>479136</v>
      </c>
      <c r="G109" s="226">
        <f t="shared" si="43"/>
        <v>288390</v>
      </c>
      <c r="H109" s="226">
        <f t="shared" si="43"/>
        <v>274843</v>
      </c>
      <c r="I109" s="226">
        <f t="shared" si="43"/>
        <v>167913</v>
      </c>
      <c r="J109" s="226">
        <f t="shared" si="43"/>
        <v>106930</v>
      </c>
      <c r="K109" s="226">
        <f t="shared" si="43"/>
        <v>42399</v>
      </c>
      <c r="L109" s="226">
        <f t="shared" si="43"/>
        <v>26813</v>
      </c>
      <c r="M109" s="226">
        <f t="shared" si="43"/>
        <v>76322</v>
      </c>
      <c r="N109" s="226">
        <f t="shared" si="43"/>
        <v>49271</v>
      </c>
      <c r="O109" s="226">
        <f t="shared" si="43"/>
        <v>49192</v>
      </c>
      <c r="P109" s="226">
        <f t="shared" si="43"/>
        <v>30846</v>
      </c>
      <c r="Q109" s="226">
        <f t="shared" si="43"/>
        <v>4377.6000000000004</v>
      </c>
      <c r="R109" s="226">
        <f t="shared" si="43"/>
        <v>2704.1</v>
      </c>
      <c r="S109" s="226">
        <f t="shared" si="43"/>
        <v>1673.5</v>
      </c>
      <c r="T109" s="226">
        <f t="shared" si="43"/>
        <v>6049.4000000000005</v>
      </c>
      <c r="U109" s="226">
        <f t="shared" si="43"/>
        <v>96</v>
      </c>
      <c r="V109" s="226">
        <f t="shared" si="43"/>
        <v>12</v>
      </c>
      <c r="W109" s="226">
        <f t="shared" si="43"/>
        <v>84</v>
      </c>
    </row>
    <row r="110" spans="1:23" x14ac:dyDescent="0.3">
      <c r="A110" s="322"/>
      <c r="B110" s="322"/>
      <c r="C110" s="322"/>
      <c r="D110" s="322"/>
      <c r="E110" s="365"/>
      <c r="F110" s="322"/>
      <c r="G110" s="322"/>
      <c r="H110" s="322"/>
      <c r="I110" s="322"/>
      <c r="J110" s="322"/>
      <c r="K110" s="322"/>
      <c r="L110" s="322"/>
      <c r="M110" s="322"/>
      <c r="N110" s="322"/>
      <c r="O110" s="327"/>
      <c r="P110" s="327"/>
      <c r="Q110" s="322"/>
      <c r="R110" s="322"/>
      <c r="S110" s="322"/>
      <c r="T110" s="322"/>
      <c r="U110" s="322"/>
      <c r="V110" s="322"/>
      <c r="W110" s="322"/>
    </row>
    <row r="111" spans="1:23" x14ac:dyDescent="0.3">
      <c r="A111" s="41" t="s">
        <v>113</v>
      </c>
    </row>
  </sheetData>
  <mergeCells count="11">
    <mergeCell ref="A49:C49"/>
    <mergeCell ref="A64:C64"/>
    <mergeCell ref="A34:C34"/>
    <mergeCell ref="A109:C109"/>
    <mergeCell ref="A94:C94"/>
    <mergeCell ref="A79:C79"/>
    <mergeCell ref="A1:J1"/>
    <mergeCell ref="A2:J2"/>
    <mergeCell ref="A3:J3"/>
    <mergeCell ref="A4:J4"/>
    <mergeCell ref="A19:C19"/>
  </mergeCells>
  <printOptions horizontalCentered="1"/>
  <pageMargins left="0.25" right="0.25" top="0.5" bottom="0.75" header="0.3" footer="0.3"/>
  <pageSetup scale="58" fitToHeight="0" orientation="landscape" r:id="rId1"/>
  <rowBreaks count="2" manualBreakCount="2">
    <brk id="50" max="22" man="1"/>
    <brk id="95" max="22"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A1DE9-BEEA-42EE-BAB6-79B93B705094}">
  <sheetPr codeName="Sheet17"/>
  <dimension ref="A1:P111"/>
  <sheetViews>
    <sheetView zoomScaleNormal="100" workbookViewId="0">
      <selection sqref="A1:I1"/>
    </sheetView>
  </sheetViews>
  <sheetFormatPr defaultRowHeight="14.4" x14ac:dyDescent="0.3"/>
  <cols>
    <col min="1" max="1" width="6.109375" style="3" customWidth="1"/>
    <col min="2" max="2" width="6.33203125" style="3" customWidth="1"/>
    <col min="3" max="3" width="7.88671875" style="3" customWidth="1"/>
    <col min="4" max="4" width="11.33203125" customWidth="1"/>
    <col min="5" max="5" width="10.5546875" customWidth="1"/>
    <col min="6" max="6" width="9.88671875" customWidth="1"/>
    <col min="7" max="7" width="11" customWidth="1"/>
    <col min="8" max="8" width="9.88671875" customWidth="1"/>
    <col min="9" max="9" width="9.5546875" customWidth="1"/>
    <col min="10" max="10" width="12.88671875" customWidth="1"/>
    <col min="11" max="11" width="9.88671875" bestFit="1" customWidth="1"/>
    <col min="12" max="13" width="9.109375" style="329" customWidth="1"/>
    <col min="14" max="14" width="10.44140625" customWidth="1"/>
    <col min="15" max="15" width="9.33203125" customWidth="1"/>
    <col min="16" max="16" width="9.6640625" customWidth="1"/>
    <col min="17" max="17" width="3.44140625" customWidth="1"/>
  </cols>
  <sheetData>
    <row r="1" spans="1:16" s="343" customFormat="1" ht="18" x14ac:dyDescent="0.35">
      <c r="A1" s="542" t="s">
        <v>122</v>
      </c>
      <c r="B1" s="542"/>
      <c r="C1" s="542"/>
      <c r="D1" s="542"/>
      <c r="E1" s="542"/>
      <c r="F1" s="542"/>
      <c r="G1" s="542"/>
      <c r="H1" s="542"/>
      <c r="I1" s="542"/>
    </row>
    <row r="2" spans="1:16" s="343" customFormat="1" ht="18" x14ac:dyDescent="0.35">
      <c r="A2" s="542" t="s">
        <v>163</v>
      </c>
      <c r="B2" s="542"/>
      <c r="C2" s="542"/>
      <c r="D2" s="542"/>
      <c r="E2" s="542"/>
      <c r="F2" s="542"/>
      <c r="G2" s="542"/>
      <c r="H2" s="542"/>
      <c r="I2" s="542"/>
    </row>
    <row r="3" spans="1:16" s="343" customFormat="1" ht="18" x14ac:dyDescent="0.35">
      <c r="A3" s="542" t="s">
        <v>166</v>
      </c>
      <c r="B3" s="542"/>
      <c r="C3" s="542"/>
      <c r="D3" s="542"/>
      <c r="E3" s="542"/>
      <c r="F3" s="542"/>
      <c r="G3" s="542"/>
      <c r="H3" s="542"/>
      <c r="I3" s="542"/>
    </row>
    <row r="4" spans="1:16" s="343" customFormat="1" ht="18" x14ac:dyDescent="0.35">
      <c r="A4" s="542" t="s">
        <v>123</v>
      </c>
      <c r="B4" s="542"/>
      <c r="C4" s="542"/>
      <c r="D4" s="542"/>
      <c r="E4" s="542"/>
      <c r="F4" s="542"/>
      <c r="G4" s="542"/>
      <c r="H4" s="542"/>
      <c r="I4" s="542"/>
    </row>
    <row r="5" spans="1:16" s="343" customFormat="1" x14ac:dyDescent="0.3">
      <c r="A5" s="3"/>
      <c r="B5" s="3"/>
      <c r="C5" s="3"/>
    </row>
    <row r="6" spans="1:16" s="343" customFormat="1" ht="48.6" x14ac:dyDescent="0.3">
      <c r="A6" s="6" t="s">
        <v>18</v>
      </c>
      <c r="B6" s="6" t="s">
        <v>19</v>
      </c>
      <c r="C6" s="7" t="s">
        <v>0</v>
      </c>
      <c r="D6" s="392" t="s">
        <v>11</v>
      </c>
      <c r="E6" s="419" t="s">
        <v>62</v>
      </c>
      <c r="F6" s="419" t="s">
        <v>64</v>
      </c>
      <c r="G6" s="419" t="s">
        <v>63</v>
      </c>
      <c r="H6" s="429" t="s">
        <v>100</v>
      </c>
      <c r="I6" s="430" t="s">
        <v>101</v>
      </c>
      <c r="J6" s="431" t="s">
        <v>82</v>
      </c>
      <c r="K6" s="431" t="s">
        <v>83</v>
      </c>
      <c r="L6" s="429" t="s">
        <v>102</v>
      </c>
      <c r="M6" s="430" t="s">
        <v>103</v>
      </c>
      <c r="N6" s="419" t="s">
        <v>32</v>
      </c>
      <c r="O6" s="419" t="s">
        <v>70</v>
      </c>
      <c r="P6" s="419" t="s">
        <v>71</v>
      </c>
    </row>
    <row r="7" spans="1:16" s="343" customFormat="1" x14ac:dyDescent="0.3">
      <c r="A7" s="16">
        <v>2027</v>
      </c>
      <c r="B7" s="17" t="s">
        <v>20</v>
      </c>
      <c r="C7" s="18" t="s">
        <v>69</v>
      </c>
      <c r="D7" s="399">
        <v>7504687</v>
      </c>
      <c r="E7" s="214">
        <f>F7+G7</f>
        <v>2440286.5639783354</v>
      </c>
      <c r="F7" s="214">
        <f t="shared" ref="F7:F18" si="0">H7+J7+L7</f>
        <v>2440286.5639783354</v>
      </c>
      <c r="G7" s="214">
        <f t="shared" ref="G7:G18" si="1">I7+K7+M7</f>
        <v>0</v>
      </c>
      <c r="H7" s="399">
        <v>667251.72741933307</v>
      </c>
      <c r="I7" s="399">
        <v>0</v>
      </c>
      <c r="J7" s="399">
        <v>1108447.2730246691</v>
      </c>
      <c r="K7" s="399">
        <v>0</v>
      </c>
      <c r="L7" s="399">
        <v>664587.56353433314</v>
      </c>
      <c r="M7" s="399">
        <v>0</v>
      </c>
      <c r="N7" s="214">
        <f>P7+O7</f>
        <v>11102.324109968844</v>
      </c>
      <c r="O7" s="399">
        <v>11102.324109968844</v>
      </c>
      <c r="P7" s="406">
        <v>0</v>
      </c>
    </row>
    <row r="8" spans="1:16" s="343" customFormat="1" x14ac:dyDescent="0.3">
      <c r="A8" s="19">
        <v>2027</v>
      </c>
      <c r="B8" s="20" t="s">
        <v>21</v>
      </c>
      <c r="C8" s="21" t="s">
        <v>69</v>
      </c>
      <c r="D8" s="399">
        <v>7615245</v>
      </c>
      <c r="E8" s="214">
        <f t="shared" ref="E8:E18" si="2">F8+G8</f>
        <v>2440655.5615200023</v>
      </c>
      <c r="F8" s="214">
        <f t="shared" si="0"/>
        <v>2440655.5615200023</v>
      </c>
      <c r="G8" s="214">
        <f t="shared" si="1"/>
        <v>0</v>
      </c>
      <c r="H8" s="399">
        <v>665536.8751899997</v>
      </c>
      <c r="I8" s="399">
        <v>0</v>
      </c>
      <c r="J8" s="399">
        <v>1109325.4312250025</v>
      </c>
      <c r="K8" s="399">
        <v>0</v>
      </c>
      <c r="L8" s="399">
        <v>665793.25510500011</v>
      </c>
      <c r="M8" s="399">
        <v>0</v>
      </c>
      <c r="N8" s="214">
        <f t="shared" ref="N8:N18" si="3">P8+O8</f>
        <v>10634.833069495233</v>
      </c>
      <c r="O8" s="399">
        <v>10634.833069495233</v>
      </c>
      <c r="P8" s="406">
        <v>0</v>
      </c>
    </row>
    <row r="9" spans="1:16" s="343" customFormat="1" x14ac:dyDescent="0.3">
      <c r="A9" s="19">
        <v>2027</v>
      </c>
      <c r="B9" s="20" t="s">
        <v>22</v>
      </c>
      <c r="C9" s="21" t="s">
        <v>69</v>
      </c>
      <c r="D9" s="399">
        <v>8369574</v>
      </c>
      <c r="E9" s="214">
        <f t="shared" si="2"/>
        <v>2745412.7722019968</v>
      </c>
      <c r="F9" s="214">
        <f t="shared" si="0"/>
        <v>2745412.7722019968</v>
      </c>
      <c r="G9" s="214">
        <f t="shared" si="1"/>
        <v>0</v>
      </c>
      <c r="H9" s="399">
        <v>751029.77359999972</v>
      </c>
      <c r="I9" s="399">
        <v>0</v>
      </c>
      <c r="J9" s="399">
        <v>1243679.6383879972</v>
      </c>
      <c r="K9" s="399">
        <v>0</v>
      </c>
      <c r="L9" s="399">
        <v>750703.36021399975</v>
      </c>
      <c r="M9" s="399">
        <v>0</v>
      </c>
      <c r="N9" s="214">
        <f t="shared" si="3"/>
        <v>13241.39229436729</v>
      </c>
      <c r="O9" s="399">
        <v>13241.39229436729</v>
      </c>
      <c r="P9" s="406">
        <v>0</v>
      </c>
    </row>
    <row r="10" spans="1:16" s="343" customFormat="1" x14ac:dyDescent="0.3">
      <c r="A10" s="19">
        <v>2027</v>
      </c>
      <c r="B10" s="20" t="s">
        <v>23</v>
      </c>
      <c r="C10" s="21" t="s">
        <v>69</v>
      </c>
      <c r="D10" s="399">
        <v>7867055</v>
      </c>
      <c r="E10" s="214">
        <f t="shared" si="2"/>
        <v>2604414.7812666642</v>
      </c>
      <c r="F10" s="214">
        <f t="shared" si="0"/>
        <v>2604414.7812666642</v>
      </c>
      <c r="G10" s="214">
        <f t="shared" si="1"/>
        <v>0</v>
      </c>
      <c r="H10" s="399">
        <v>707096.14810333366</v>
      </c>
      <c r="I10" s="399">
        <v>0</v>
      </c>
      <c r="J10" s="399">
        <v>1184057.336291664</v>
      </c>
      <c r="K10" s="399">
        <v>0</v>
      </c>
      <c r="L10" s="399">
        <v>713261.29687166645</v>
      </c>
      <c r="M10" s="399">
        <v>0</v>
      </c>
      <c r="N10" s="214">
        <f t="shared" si="3"/>
        <v>11567.29259114772</v>
      </c>
      <c r="O10" s="399">
        <v>11567.29259114772</v>
      </c>
      <c r="P10" s="406">
        <v>0</v>
      </c>
    </row>
    <row r="11" spans="1:16" s="343" customFormat="1" x14ac:dyDescent="0.3">
      <c r="A11" s="19">
        <v>2027</v>
      </c>
      <c r="B11" s="20" t="s">
        <v>24</v>
      </c>
      <c r="C11" s="21" t="s">
        <v>69</v>
      </c>
      <c r="D11" s="399">
        <v>7410767</v>
      </c>
      <c r="E11" s="214">
        <f t="shared" si="2"/>
        <v>2358427.1926366645</v>
      </c>
      <c r="F11" s="214">
        <f t="shared" si="0"/>
        <v>2358427.1926366645</v>
      </c>
      <c r="G11" s="214">
        <f t="shared" si="1"/>
        <v>0</v>
      </c>
      <c r="H11" s="399">
        <v>638561.08983333351</v>
      </c>
      <c r="I11" s="399">
        <v>0</v>
      </c>
      <c r="J11" s="399">
        <v>1070465.5311046643</v>
      </c>
      <c r="K11" s="399">
        <v>0</v>
      </c>
      <c r="L11" s="399">
        <v>649400.57169866643</v>
      </c>
      <c r="M11" s="399">
        <v>0</v>
      </c>
      <c r="N11" s="214">
        <f t="shared" si="3"/>
        <v>11058.619854877279</v>
      </c>
      <c r="O11" s="399">
        <v>11058.619854877279</v>
      </c>
      <c r="P11" s="406">
        <v>0</v>
      </c>
    </row>
    <row r="12" spans="1:16" s="343" customFormat="1" x14ac:dyDescent="0.3">
      <c r="A12" s="19">
        <v>2027</v>
      </c>
      <c r="B12" s="20" t="s">
        <v>25</v>
      </c>
      <c r="C12" s="21" t="s">
        <v>69</v>
      </c>
      <c r="D12" s="399">
        <v>8382068</v>
      </c>
      <c r="E12" s="214">
        <f t="shared" si="2"/>
        <v>2637389.7559733363</v>
      </c>
      <c r="F12" s="214">
        <f t="shared" si="0"/>
        <v>0</v>
      </c>
      <c r="G12" s="214">
        <f t="shared" si="1"/>
        <v>2637389.7559733363</v>
      </c>
      <c r="H12" s="399">
        <v>0</v>
      </c>
      <c r="I12" s="399">
        <v>717446.34632400004</v>
      </c>
      <c r="J12" s="399">
        <v>0</v>
      </c>
      <c r="K12" s="399">
        <v>1199538.1933213361</v>
      </c>
      <c r="L12" s="399">
        <v>0</v>
      </c>
      <c r="M12" s="399">
        <v>720405.21632799995</v>
      </c>
      <c r="N12" s="214">
        <f t="shared" si="3"/>
        <v>12822.1910768462</v>
      </c>
      <c r="O12" s="399">
        <v>0</v>
      </c>
      <c r="P12" s="406">
        <v>12822.1910768462</v>
      </c>
    </row>
    <row r="13" spans="1:16" s="343" customFormat="1" x14ac:dyDescent="0.3">
      <c r="A13" s="19">
        <v>2027</v>
      </c>
      <c r="B13" s="20" t="s">
        <v>26</v>
      </c>
      <c r="C13" s="21" t="s">
        <v>69</v>
      </c>
      <c r="D13" s="399">
        <v>7925283</v>
      </c>
      <c r="E13" s="214">
        <f t="shared" si="2"/>
        <v>2582638.3888200019</v>
      </c>
      <c r="F13" s="214">
        <f t="shared" si="0"/>
        <v>0</v>
      </c>
      <c r="G13" s="214">
        <f t="shared" si="1"/>
        <v>2582638.3888200019</v>
      </c>
      <c r="H13" s="399">
        <v>0</v>
      </c>
      <c r="I13" s="399">
        <v>703878.7261229998</v>
      </c>
      <c r="J13" s="399">
        <v>0</v>
      </c>
      <c r="K13" s="399">
        <v>1174238.9886510025</v>
      </c>
      <c r="L13" s="399">
        <v>0</v>
      </c>
      <c r="M13" s="399">
        <v>704520.67404599977</v>
      </c>
      <c r="N13" s="214">
        <f t="shared" si="3"/>
        <v>11786.652520743046</v>
      </c>
      <c r="O13" s="399">
        <v>0</v>
      </c>
      <c r="P13" s="406">
        <v>11786.652520743046</v>
      </c>
    </row>
    <row r="14" spans="1:16" s="343" customFormat="1" x14ac:dyDescent="0.3">
      <c r="A14" s="19">
        <v>2027</v>
      </c>
      <c r="B14" s="20" t="s">
        <v>27</v>
      </c>
      <c r="C14" s="21" t="s">
        <v>69</v>
      </c>
      <c r="D14" s="399">
        <v>8435391</v>
      </c>
      <c r="E14" s="214">
        <f t="shared" si="2"/>
        <v>2597259.7006970029</v>
      </c>
      <c r="F14" s="214">
        <f t="shared" si="0"/>
        <v>0</v>
      </c>
      <c r="G14" s="214">
        <f t="shared" si="1"/>
        <v>2597259.7006970029</v>
      </c>
      <c r="H14" s="399">
        <v>0</v>
      </c>
      <c r="I14" s="399">
        <v>707931.75428400002</v>
      </c>
      <c r="J14" s="399">
        <v>0</v>
      </c>
      <c r="K14" s="399">
        <v>1181070.0236770029</v>
      </c>
      <c r="L14" s="399">
        <v>0</v>
      </c>
      <c r="M14" s="399">
        <v>708257.92273600027</v>
      </c>
      <c r="N14" s="214">
        <f t="shared" si="3"/>
        <v>11895.2895830776</v>
      </c>
      <c r="O14" s="399">
        <v>0</v>
      </c>
      <c r="P14" s="406">
        <v>11895.2895830776</v>
      </c>
    </row>
    <row r="15" spans="1:16" s="343" customFormat="1" x14ac:dyDescent="0.3">
      <c r="A15" s="19">
        <v>2027</v>
      </c>
      <c r="B15" s="20" t="s">
        <v>28</v>
      </c>
      <c r="C15" s="21" t="s">
        <v>69</v>
      </c>
      <c r="D15" s="399">
        <v>8025317</v>
      </c>
      <c r="E15" s="214">
        <f t="shared" si="2"/>
        <v>2692632.9589946698</v>
      </c>
      <c r="F15" s="214">
        <f t="shared" si="0"/>
        <v>0</v>
      </c>
      <c r="G15" s="214">
        <f t="shared" si="1"/>
        <v>2692632.9589946698</v>
      </c>
      <c r="H15" s="399">
        <v>0</v>
      </c>
      <c r="I15" s="399">
        <v>733816.26074033359</v>
      </c>
      <c r="J15" s="399">
        <v>0</v>
      </c>
      <c r="K15" s="399">
        <v>1224444.015535336</v>
      </c>
      <c r="L15" s="399">
        <v>0</v>
      </c>
      <c r="M15" s="399">
        <v>734372.68271900003</v>
      </c>
      <c r="N15" s="214">
        <f t="shared" si="3"/>
        <v>11167.692987750201</v>
      </c>
      <c r="O15" s="399">
        <v>0</v>
      </c>
      <c r="P15" s="406">
        <v>11167.692987750201</v>
      </c>
    </row>
    <row r="16" spans="1:16" s="343" customFormat="1" x14ac:dyDescent="0.3">
      <c r="A16" s="19">
        <v>2027</v>
      </c>
      <c r="B16" s="20" t="s">
        <v>29</v>
      </c>
      <c r="C16" s="21" t="s">
        <v>69</v>
      </c>
      <c r="D16" s="399">
        <v>7860598</v>
      </c>
      <c r="E16" s="214">
        <f t="shared" si="2"/>
        <v>2484017.0931826634</v>
      </c>
      <c r="F16" s="214">
        <f t="shared" si="0"/>
        <v>2484017.0931826634</v>
      </c>
      <c r="G16" s="214">
        <f t="shared" si="1"/>
        <v>0</v>
      </c>
      <c r="H16" s="399">
        <v>677059.50773333304</v>
      </c>
      <c r="I16" s="399">
        <v>0</v>
      </c>
      <c r="J16" s="399">
        <v>1129601.9951913306</v>
      </c>
      <c r="K16" s="399">
        <v>0</v>
      </c>
      <c r="L16" s="399">
        <v>677355.59025799995</v>
      </c>
      <c r="M16" s="399">
        <v>0</v>
      </c>
      <c r="N16" s="214">
        <f t="shared" si="3"/>
        <v>10936.784545567902</v>
      </c>
      <c r="O16" s="399">
        <v>10936.784545567902</v>
      </c>
      <c r="P16" s="406">
        <v>0</v>
      </c>
    </row>
    <row r="17" spans="1:16" s="343" customFormat="1" x14ac:dyDescent="0.3">
      <c r="A17" s="19">
        <v>2027</v>
      </c>
      <c r="B17" s="20" t="s">
        <v>30</v>
      </c>
      <c r="C17" s="21" t="s">
        <v>69</v>
      </c>
      <c r="D17" s="399">
        <v>6731130</v>
      </c>
      <c r="E17" s="214">
        <f t="shared" si="2"/>
        <v>2116983.0154900025</v>
      </c>
      <c r="F17" s="214">
        <f t="shared" si="0"/>
        <v>2116983.0154900025</v>
      </c>
      <c r="G17" s="214">
        <f t="shared" si="1"/>
        <v>0</v>
      </c>
      <c r="H17" s="399">
        <v>581562.90087000001</v>
      </c>
      <c r="I17" s="399">
        <v>0</v>
      </c>
      <c r="J17" s="399">
        <v>960422.30921000219</v>
      </c>
      <c r="K17" s="399">
        <v>0</v>
      </c>
      <c r="L17" s="399">
        <v>574997.80541000026</v>
      </c>
      <c r="M17" s="399">
        <v>0</v>
      </c>
      <c r="N17" s="214">
        <f t="shared" si="3"/>
        <v>9515.3236183973804</v>
      </c>
      <c r="O17" s="399">
        <v>9515.3236183973804</v>
      </c>
      <c r="P17" s="406">
        <v>0</v>
      </c>
    </row>
    <row r="18" spans="1:16" s="343" customFormat="1" x14ac:dyDescent="0.3">
      <c r="A18" s="22">
        <v>2027</v>
      </c>
      <c r="B18" s="23" t="s">
        <v>31</v>
      </c>
      <c r="C18" s="24" t="s">
        <v>69</v>
      </c>
      <c r="D18" s="403">
        <v>8217706</v>
      </c>
      <c r="E18" s="433">
        <f t="shared" si="2"/>
        <v>2682859.130938</v>
      </c>
      <c r="F18" s="433">
        <f t="shared" si="0"/>
        <v>2682859.130938</v>
      </c>
      <c r="G18" s="433">
        <f t="shared" si="1"/>
        <v>0</v>
      </c>
      <c r="H18" s="403">
        <v>704703.89955933299</v>
      </c>
      <c r="I18" s="403">
        <v>0</v>
      </c>
      <c r="J18" s="403">
        <v>1236986.6310620001</v>
      </c>
      <c r="K18" s="403">
        <v>0</v>
      </c>
      <c r="L18" s="403">
        <v>741168.60031666688</v>
      </c>
      <c r="M18" s="403">
        <v>0</v>
      </c>
      <c r="N18" s="433">
        <f t="shared" si="3"/>
        <v>14225.104786526063</v>
      </c>
      <c r="O18" s="403">
        <v>14225.104786526063</v>
      </c>
      <c r="P18" s="407">
        <v>0</v>
      </c>
    </row>
    <row r="19" spans="1:16" s="343" customFormat="1" x14ac:dyDescent="0.3">
      <c r="A19" s="545"/>
      <c r="B19" s="545"/>
      <c r="C19" s="545"/>
      <c r="D19" s="171">
        <f t="shared" ref="D19:P19" si="4">SUM(D7:D18)</f>
        <v>94344821</v>
      </c>
      <c r="E19" s="171">
        <f t="shared" si="4"/>
        <v>30382976.915699344</v>
      </c>
      <c r="F19" s="171">
        <f t="shared" si="4"/>
        <v>19873056.111214332</v>
      </c>
      <c r="G19" s="171">
        <f t="shared" si="4"/>
        <v>10509920.804485012</v>
      </c>
      <c r="H19" s="166">
        <f t="shared" si="4"/>
        <v>5392801.9223086657</v>
      </c>
      <c r="I19" s="166">
        <f t="shared" si="4"/>
        <v>2863073.0874713338</v>
      </c>
      <c r="J19" s="166">
        <f t="shared" si="4"/>
        <v>9042986.1454973295</v>
      </c>
      <c r="K19" s="166">
        <f t="shared" si="4"/>
        <v>4779291.2211846774</v>
      </c>
      <c r="L19" s="166">
        <f t="shared" si="4"/>
        <v>5437268.0434083333</v>
      </c>
      <c r="M19" s="166">
        <f t="shared" si="4"/>
        <v>2867556.4958290001</v>
      </c>
      <c r="N19" s="171">
        <f t="shared" si="4"/>
        <v>139953.50103876475</v>
      </c>
      <c r="O19" s="171">
        <f t="shared" si="4"/>
        <v>92281.674870347706</v>
      </c>
      <c r="P19" s="171">
        <f t="shared" si="4"/>
        <v>47671.826168417043</v>
      </c>
    </row>
    <row r="20" spans="1:16" s="343" customFormat="1" x14ac:dyDescent="0.3">
      <c r="A20" s="285">
        <v>0</v>
      </c>
      <c r="B20" s="285"/>
      <c r="C20" s="285"/>
      <c r="D20" s="285"/>
      <c r="E20" s="285"/>
      <c r="F20" s="285"/>
      <c r="G20" s="285"/>
      <c r="H20" s="285"/>
      <c r="I20" s="285"/>
      <c r="J20" s="285"/>
      <c r="K20" s="285"/>
      <c r="L20" s="285"/>
      <c r="M20" s="285"/>
      <c r="N20" s="285"/>
      <c r="O20" s="273"/>
      <c r="P20" s="273"/>
    </row>
    <row r="21" spans="1:16" s="170" customFormat="1" ht="48.6" x14ac:dyDescent="0.3">
      <c r="A21" s="6" t="s">
        <v>18</v>
      </c>
      <c r="B21" s="6" t="s">
        <v>19</v>
      </c>
      <c r="C21" s="7" t="s">
        <v>0</v>
      </c>
      <c r="D21" s="392" t="s">
        <v>11</v>
      </c>
      <c r="E21" s="419" t="s">
        <v>62</v>
      </c>
      <c r="F21" s="419" t="s">
        <v>64</v>
      </c>
      <c r="G21" s="419" t="s">
        <v>63</v>
      </c>
      <c r="H21" s="429" t="s">
        <v>100</v>
      </c>
      <c r="I21" s="430" t="s">
        <v>101</v>
      </c>
      <c r="J21" s="431" t="s">
        <v>82</v>
      </c>
      <c r="K21" s="431" t="s">
        <v>83</v>
      </c>
      <c r="L21" s="429" t="s">
        <v>102</v>
      </c>
      <c r="M21" s="430" t="s">
        <v>103</v>
      </c>
      <c r="N21" s="419" t="s">
        <v>32</v>
      </c>
      <c r="O21" s="419" t="s">
        <v>70</v>
      </c>
      <c r="P21" s="419" t="s">
        <v>71</v>
      </c>
    </row>
    <row r="22" spans="1:16" s="170" customFormat="1" x14ac:dyDescent="0.3">
      <c r="A22" s="16">
        <v>2026</v>
      </c>
      <c r="B22" s="17" t="s">
        <v>20</v>
      </c>
      <c r="C22" s="18" t="s">
        <v>69</v>
      </c>
      <c r="D22" s="399">
        <v>7769897</v>
      </c>
      <c r="E22" s="214">
        <f>F22+G22</f>
        <v>2526524.4576616688</v>
      </c>
      <c r="F22" s="214">
        <f t="shared" ref="F22:F33" si="5">H22+J22+L22</f>
        <v>2526524.4576616688</v>
      </c>
      <c r="G22" s="214">
        <f t="shared" ref="G22:G33" si="6">I22+K22+M22</f>
        <v>0</v>
      </c>
      <c r="H22" s="399">
        <v>690831.90213266644</v>
      </c>
      <c r="I22" s="399">
        <v>0</v>
      </c>
      <c r="J22" s="399">
        <v>1147618.966831336</v>
      </c>
      <c r="K22" s="399">
        <v>0</v>
      </c>
      <c r="L22" s="399">
        <v>688073.58869766642</v>
      </c>
      <c r="M22" s="399">
        <v>0</v>
      </c>
      <c r="N22" s="214">
        <f>P22+O22</f>
        <v>11494.671902382417</v>
      </c>
      <c r="O22" s="399">
        <v>11494.671902382417</v>
      </c>
      <c r="P22" s="400">
        <v>0</v>
      </c>
    </row>
    <row r="23" spans="1:16" s="170" customFormat="1" x14ac:dyDescent="0.3">
      <c r="A23" s="19">
        <v>2026</v>
      </c>
      <c r="B23" s="20" t="s">
        <v>21</v>
      </c>
      <c r="C23" s="21" t="s">
        <v>69</v>
      </c>
      <c r="D23" s="399">
        <v>7584754</v>
      </c>
      <c r="E23" s="214">
        <f t="shared" ref="E23:E33" si="7">F23+G23</f>
        <v>2430883.3179840026</v>
      </c>
      <c r="F23" s="214">
        <f t="shared" si="5"/>
        <v>2430883.3179840026</v>
      </c>
      <c r="G23" s="214">
        <f t="shared" si="6"/>
        <v>0</v>
      </c>
      <c r="H23" s="399">
        <v>662872.10408133303</v>
      </c>
      <c r="I23" s="399">
        <v>0</v>
      </c>
      <c r="J23" s="399">
        <v>1104883.7564366693</v>
      </c>
      <c r="K23" s="399">
        <v>0</v>
      </c>
      <c r="L23" s="399">
        <v>663127.45746600011</v>
      </c>
      <c r="M23" s="399">
        <v>0</v>
      </c>
      <c r="N23" s="214">
        <f t="shared" ref="N23:N33" si="8">P23+O23</f>
        <v>10592.25181372185</v>
      </c>
      <c r="O23" s="399">
        <v>10592.25181372185</v>
      </c>
      <c r="P23" s="401">
        <v>0</v>
      </c>
    </row>
    <row r="24" spans="1:16" s="170" customFormat="1" x14ac:dyDescent="0.3">
      <c r="A24" s="19">
        <v>2026</v>
      </c>
      <c r="B24" s="20" t="s">
        <v>22</v>
      </c>
      <c r="C24" s="21" t="s">
        <v>69</v>
      </c>
      <c r="D24" s="399">
        <v>8325056</v>
      </c>
      <c r="E24" s="214">
        <f t="shared" si="7"/>
        <v>2730809.8442879971</v>
      </c>
      <c r="F24" s="214">
        <f t="shared" si="5"/>
        <v>2730809.8442879971</v>
      </c>
      <c r="G24" s="214">
        <f t="shared" si="6"/>
        <v>0</v>
      </c>
      <c r="H24" s="399">
        <v>747035.02506666642</v>
      </c>
      <c r="I24" s="399">
        <v>0</v>
      </c>
      <c r="J24" s="399">
        <v>1237064.4713386639</v>
      </c>
      <c r="K24" s="399">
        <v>0</v>
      </c>
      <c r="L24" s="399">
        <v>746710.34788266639</v>
      </c>
      <c r="M24" s="399">
        <v>0</v>
      </c>
      <c r="N24" s="214">
        <f t="shared" si="8"/>
        <v>13170.960955548773</v>
      </c>
      <c r="O24" s="399">
        <v>13170.960955548773</v>
      </c>
      <c r="P24" s="401">
        <v>0</v>
      </c>
    </row>
    <row r="25" spans="1:16" s="170" customFormat="1" x14ac:dyDescent="0.3">
      <c r="A25" s="19">
        <v>2026</v>
      </c>
      <c r="B25" s="20" t="s">
        <v>23</v>
      </c>
      <c r="C25" s="21" t="s">
        <v>69</v>
      </c>
      <c r="D25" s="399">
        <v>7618022</v>
      </c>
      <c r="E25" s="214">
        <f t="shared" si="7"/>
        <v>2521971.576506664</v>
      </c>
      <c r="F25" s="214">
        <f t="shared" si="5"/>
        <v>2521971.576506664</v>
      </c>
      <c r="G25" s="214">
        <f t="shared" si="6"/>
        <v>0</v>
      </c>
      <c r="H25" s="399">
        <v>684712.89604133368</v>
      </c>
      <c r="I25" s="399">
        <v>0</v>
      </c>
      <c r="J25" s="399">
        <v>1146575.794516664</v>
      </c>
      <c r="K25" s="399">
        <v>0</v>
      </c>
      <c r="L25" s="399">
        <v>690682.88594866649</v>
      </c>
      <c r="M25" s="399">
        <v>0</v>
      </c>
      <c r="N25" s="214">
        <f t="shared" si="8"/>
        <v>11201.127923956337</v>
      </c>
      <c r="O25" s="399">
        <v>11201.127923956337</v>
      </c>
      <c r="P25" s="401">
        <v>0</v>
      </c>
    </row>
    <row r="26" spans="1:16" s="170" customFormat="1" x14ac:dyDescent="0.3">
      <c r="A26" s="19">
        <v>2026</v>
      </c>
      <c r="B26" s="20" t="s">
        <v>24</v>
      </c>
      <c r="C26" s="21" t="s">
        <v>69</v>
      </c>
      <c r="D26" s="399">
        <v>7382180</v>
      </c>
      <c r="E26" s="214">
        <f t="shared" si="7"/>
        <v>2349329.5704666646</v>
      </c>
      <c r="F26" s="214">
        <f t="shared" si="5"/>
        <v>2349329.5704666646</v>
      </c>
      <c r="G26" s="214">
        <f t="shared" si="6"/>
        <v>0</v>
      </c>
      <c r="H26" s="399">
        <v>636097.84333333361</v>
      </c>
      <c r="I26" s="399">
        <v>0</v>
      </c>
      <c r="J26" s="399">
        <v>1066336.2151866644</v>
      </c>
      <c r="K26" s="399">
        <v>0</v>
      </c>
      <c r="L26" s="399">
        <v>646895.5119466664</v>
      </c>
      <c r="M26" s="399">
        <v>0</v>
      </c>
      <c r="N26" s="214">
        <f t="shared" si="8"/>
        <v>11015.961279079203</v>
      </c>
      <c r="O26" s="399">
        <v>11015.961279079203</v>
      </c>
      <c r="P26" s="401">
        <v>0</v>
      </c>
    </row>
    <row r="27" spans="1:16" s="170" customFormat="1" x14ac:dyDescent="0.3">
      <c r="A27" s="19">
        <v>2026</v>
      </c>
      <c r="B27" s="20" t="s">
        <v>25</v>
      </c>
      <c r="C27" s="21" t="s">
        <v>69</v>
      </c>
      <c r="D27" s="399">
        <v>8281601</v>
      </c>
      <c r="E27" s="214">
        <f t="shared" si="7"/>
        <v>2605778.1493133358</v>
      </c>
      <c r="F27" s="214">
        <f t="shared" si="5"/>
        <v>0</v>
      </c>
      <c r="G27" s="214">
        <f t="shared" si="6"/>
        <v>2605778.1493133358</v>
      </c>
      <c r="H27" s="399">
        <v>0</v>
      </c>
      <c r="I27" s="399">
        <v>708847.07439299999</v>
      </c>
      <c r="J27" s="399">
        <v>0</v>
      </c>
      <c r="K27" s="399">
        <v>1185160.595374336</v>
      </c>
      <c r="L27" s="399">
        <v>0</v>
      </c>
      <c r="M27" s="399">
        <v>711770.4795459999</v>
      </c>
      <c r="N27" s="214">
        <f t="shared" si="8"/>
        <v>12668.505009050341</v>
      </c>
      <c r="O27" s="399">
        <v>0</v>
      </c>
      <c r="P27" s="401">
        <v>12668.505009050341</v>
      </c>
    </row>
    <row r="28" spans="1:16" s="170" customFormat="1" x14ac:dyDescent="0.3">
      <c r="A28" s="19">
        <v>2026</v>
      </c>
      <c r="B28" s="20" t="s">
        <v>26</v>
      </c>
      <c r="C28" s="21" t="s">
        <v>69</v>
      </c>
      <c r="D28" s="399">
        <v>8297685</v>
      </c>
      <c r="E28" s="214">
        <f t="shared" si="7"/>
        <v>2703994.2699000025</v>
      </c>
      <c r="F28" s="214">
        <f t="shared" si="5"/>
        <v>0</v>
      </c>
      <c r="G28" s="214">
        <f t="shared" si="6"/>
        <v>2703994.2699000025</v>
      </c>
      <c r="H28" s="399">
        <v>0</v>
      </c>
      <c r="I28" s="399">
        <v>736953.36148499977</v>
      </c>
      <c r="J28" s="399">
        <v>0</v>
      </c>
      <c r="K28" s="399">
        <v>1229415.4344450028</v>
      </c>
      <c r="L28" s="399">
        <v>0</v>
      </c>
      <c r="M28" s="399">
        <v>737625.4739699997</v>
      </c>
      <c r="N28" s="214">
        <f t="shared" si="8"/>
        <v>12340.49684050169</v>
      </c>
      <c r="O28" s="399">
        <v>0</v>
      </c>
      <c r="P28" s="401">
        <v>12340.49684050169</v>
      </c>
    </row>
    <row r="29" spans="1:16" s="170" customFormat="1" x14ac:dyDescent="0.3">
      <c r="A29" s="19">
        <v>2026</v>
      </c>
      <c r="B29" s="20" t="s">
        <v>27</v>
      </c>
      <c r="C29" s="21" t="s">
        <v>69</v>
      </c>
      <c r="D29" s="399">
        <v>8150788</v>
      </c>
      <c r="E29" s="214">
        <f t="shared" si="7"/>
        <v>2509630.3421293362</v>
      </c>
      <c r="F29" s="214">
        <f t="shared" si="5"/>
        <v>0</v>
      </c>
      <c r="G29" s="214">
        <f t="shared" si="6"/>
        <v>2509630.3421293362</v>
      </c>
      <c r="H29" s="399">
        <v>0</v>
      </c>
      <c r="I29" s="399">
        <v>684046.732112</v>
      </c>
      <c r="J29" s="399">
        <v>0</v>
      </c>
      <c r="K29" s="399">
        <v>1141221.7141026694</v>
      </c>
      <c r="L29" s="399">
        <v>0</v>
      </c>
      <c r="M29" s="399">
        <v>684361.89591466694</v>
      </c>
      <c r="N29" s="214">
        <f t="shared" si="8"/>
        <v>11493.952513911197</v>
      </c>
      <c r="O29" s="399">
        <v>0</v>
      </c>
      <c r="P29" s="401">
        <v>11493.952513911197</v>
      </c>
    </row>
    <row r="30" spans="1:16" s="170" customFormat="1" x14ac:dyDescent="0.3">
      <c r="A30" s="19">
        <v>2026</v>
      </c>
      <c r="B30" s="20" t="s">
        <v>28</v>
      </c>
      <c r="C30" s="21" t="s">
        <v>69</v>
      </c>
      <c r="D30" s="399">
        <v>8036635</v>
      </c>
      <c r="E30" s="214">
        <f t="shared" si="7"/>
        <v>2696430.3441733364</v>
      </c>
      <c r="F30" s="214">
        <f t="shared" si="5"/>
        <v>0</v>
      </c>
      <c r="G30" s="214">
        <f t="shared" si="6"/>
        <v>2696430.3441733364</v>
      </c>
      <c r="H30" s="399">
        <v>0</v>
      </c>
      <c r="I30" s="399">
        <v>734851.15225166688</v>
      </c>
      <c r="J30" s="399">
        <v>0</v>
      </c>
      <c r="K30" s="399">
        <v>1226170.8329766693</v>
      </c>
      <c r="L30" s="399">
        <v>0</v>
      </c>
      <c r="M30" s="399">
        <v>735408.35894499999</v>
      </c>
      <c r="N30" s="214">
        <f t="shared" si="8"/>
        <v>11183.442639662437</v>
      </c>
      <c r="O30" s="399">
        <v>0</v>
      </c>
      <c r="P30" s="401">
        <v>11183.442639662437</v>
      </c>
    </row>
    <row r="31" spans="1:16" s="170" customFormat="1" x14ac:dyDescent="0.3">
      <c r="A31" s="19">
        <v>2026</v>
      </c>
      <c r="B31" s="20" t="s">
        <v>29</v>
      </c>
      <c r="C31" s="21" t="s">
        <v>69</v>
      </c>
      <c r="D31" s="399">
        <v>7829638</v>
      </c>
      <c r="E31" s="214">
        <f t="shared" si="7"/>
        <v>2474233.4648626638</v>
      </c>
      <c r="F31" s="214">
        <f t="shared" si="5"/>
        <v>2474233.4648626638</v>
      </c>
      <c r="G31" s="214">
        <f t="shared" si="6"/>
        <v>0</v>
      </c>
      <c r="H31" s="399">
        <v>674392.81973333308</v>
      </c>
      <c r="I31" s="399">
        <v>0</v>
      </c>
      <c r="J31" s="399">
        <v>1125152.9090313306</v>
      </c>
      <c r="K31" s="399">
        <v>0</v>
      </c>
      <c r="L31" s="399">
        <v>674687.73609799996</v>
      </c>
      <c r="M31" s="399">
        <v>0</v>
      </c>
      <c r="N31" s="214">
        <f t="shared" si="8"/>
        <v>10893.708579905902</v>
      </c>
      <c r="O31" s="399">
        <v>10893.708579905902</v>
      </c>
      <c r="P31" s="401">
        <v>0</v>
      </c>
    </row>
    <row r="32" spans="1:16" s="170" customFormat="1" x14ac:dyDescent="0.3">
      <c r="A32" s="19">
        <v>2026</v>
      </c>
      <c r="B32" s="20" t="s">
        <v>30</v>
      </c>
      <c r="C32" s="21" t="s">
        <v>69</v>
      </c>
      <c r="D32" s="399">
        <v>6774080</v>
      </c>
      <c r="E32" s="214">
        <f t="shared" si="7"/>
        <v>2130491.0625066692</v>
      </c>
      <c r="F32" s="214">
        <f t="shared" si="5"/>
        <v>2130491.0625066692</v>
      </c>
      <c r="G32" s="214">
        <f t="shared" si="6"/>
        <v>0</v>
      </c>
      <c r="H32" s="399">
        <v>585273.73791999999</v>
      </c>
      <c r="I32" s="399">
        <v>0</v>
      </c>
      <c r="J32" s="399">
        <v>966550.57269333547</v>
      </c>
      <c r="K32" s="399">
        <v>0</v>
      </c>
      <c r="L32" s="399">
        <v>578666.75189333363</v>
      </c>
      <c r="M32" s="399">
        <v>0</v>
      </c>
      <c r="N32" s="214">
        <f t="shared" si="8"/>
        <v>9576.0390033936837</v>
      </c>
      <c r="O32" s="399">
        <v>9576.0390033936837</v>
      </c>
      <c r="P32" s="401">
        <v>0</v>
      </c>
    </row>
    <row r="33" spans="1:16" s="170" customFormat="1" x14ac:dyDescent="0.3">
      <c r="A33" s="22">
        <v>2026</v>
      </c>
      <c r="B33" s="23" t="s">
        <v>31</v>
      </c>
      <c r="C33" s="24" t="s">
        <v>69</v>
      </c>
      <c r="D33" s="404">
        <v>8217706</v>
      </c>
      <c r="E33" s="432">
        <f t="shared" si="7"/>
        <v>2682859.130938</v>
      </c>
      <c r="F33" s="432">
        <f t="shared" si="5"/>
        <v>2682859.130938</v>
      </c>
      <c r="G33" s="432">
        <f t="shared" si="6"/>
        <v>0</v>
      </c>
      <c r="H33" s="404">
        <v>704703.89955933299</v>
      </c>
      <c r="I33" s="404">
        <v>0</v>
      </c>
      <c r="J33" s="404">
        <v>1236986.6310620001</v>
      </c>
      <c r="K33" s="404">
        <v>0</v>
      </c>
      <c r="L33" s="404">
        <v>741168.60031666688</v>
      </c>
      <c r="M33" s="404">
        <v>0</v>
      </c>
      <c r="N33" s="432">
        <f t="shared" si="8"/>
        <v>14225.104786526063</v>
      </c>
      <c r="O33" s="404">
        <v>14225.104786526063</v>
      </c>
      <c r="P33" s="402">
        <v>0</v>
      </c>
    </row>
    <row r="34" spans="1:16" s="170" customFormat="1" x14ac:dyDescent="0.3">
      <c r="A34" s="545"/>
      <c r="B34" s="545"/>
      <c r="C34" s="545"/>
      <c r="D34" s="331">
        <f t="shared" ref="D34:P34" si="9">SUM(D22:D33)</f>
        <v>94268042</v>
      </c>
      <c r="E34" s="331">
        <f t="shared" si="9"/>
        <v>30362935.530730341</v>
      </c>
      <c r="F34" s="331">
        <f t="shared" si="9"/>
        <v>19847102.425214328</v>
      </c>
      <c r="G34" s="331">
        <f t="shared" si="9"/>
        <v>10515833.105516011</v>
      </c>
      <c r="H34" s="275">
        <f t="shared" si="9"/>
        <v>5385920.2278679991</v>
      </c>
      <c r="I34" s="275">
        <f t="shared" si="9"/>
        <v>2864698.3202416669</v>
      </c>
      <c r="J34" s="275">
        <f t="shared" si="9"/>
        <v>9031169.3170966655</v>
      </c>
      <c r="K34" s="275">
        <f t="shared" si="9"/>
        <v>4781968.5768986773</v>
      </c>
      <c r="L34" s="275">
        <f t="shared" si="9"/>
        <v>5430012.8802496661</v>
      </c>
      <c r="M34" s="275">
        <f t="shared" si="9"/>
        <v>2869166.2083756663</v>
      </c>
      <c r="N34" s="331">
        <f t="shared" si="9"/>
        <v>139856.22324763989</v>
      </c>
      <c r="O34" s="331">
        <f t="shared" si="9"/>
        <v>92169.826244514232</v>
      </c>
      <c r="P34" s="331">
        <f t="shared" si="9"/>
        <v>47686.397003125661</v>
      </c>
    </row>
    <row r="35" spans="1:16" s="343" customFormat="1" x14ac:dyDescent="0.3">
      <c r="A35" s="383"/>
      <c r="B35" s="383"/>
      <c r="C35" s="383"/>
      <c r="D35" s="171"/>
      <c r="E35" s="171"/>
      <c r="F35" s="171"/>
      <c r="G35" s="171"/>
      <c r="H35" s="166"/>
      <c r="I35" s="166"/>
      <c r="J35" s="166"/>
      <c r="K35" s="166"/>
      <c r="L35" s="166"/>
      <c r="M35" s="166"/>
      <c r="N35" s="171"/>
      <c r="O35" s="171"/>
      <c r="P35" s="171"/>
    </row>
    <row r="36" spans="1:16" s="170" customFormat="1" ht="48.6" x14ac:dyDescent="0.3">
      <c r="A36" s="6" t="s">
        <v>18</v>
      </c>
      <c r="B36" s="6" t="s">
        <v>19</v>
      </c>
      <c r="C36" s="7" t="s">
        <v>0</v>
      </c>
      <c r="D36" s="8" t="s">
        <v>11</v>
      </c>
      <c r="E36" s="11" t="s">
        <v>62</v>
      </c>
      <c r="F36" s="11" t="s">
        <v>64</v>
      </c>
      <c r="G36" s="11" t="s">
        <v>63</v>
      </c>
      <c r="H36" s="159" t="s">
        <v>100</v>
      </c>
      <c r="I36" s="156" t="s">
        <v>101</v>
      </c>
      <c r="J36" s="78" t="s">
        <v>82</v>
      </c>
      <c r="K36" s="78" t="s">
        <v>83</v>
      </c>
      <c r="L36" s="159" t="s">
        <v>102</v>
      </c>
      <c r="M36" s="156" t="s">
        <v>103</v>
      </c>
      <c r="N36" s="11" t="s">
        <v>32</v>
      </c>
      <c r="O36" s="11" t="s">
        <v>70</v>
      </c>
      <c r="P36" s="11" t="s">
        <v>71</v>
      </c>
    </row>
    <row r="37" spans="1:16" s="343" customFormat="1" x14ac:dyDescent="0.3">
      <c r="A37" s="16">
        <v>2024</v>
      </c>
      <c r="B37" s="17" t="s">
        <v>20</v>
      </c>
      <c r="C37" s="18" t="s">
        <v>69</v>
      </c>
      <c r="D37" s="260">
        <v>8048396</v>
      </c>
      <c r="E37" s="260">
        <f>F37+G37</f>
        <v>2380132</v>
      </c>
      <c r="F37" s="260">
        <f>H37+J37+L37</f>
        <v>2380132</v>
      </c>
      <c r="G37" s="260">
        <f>I37+K37+M37</f>
        <v>0</v>
      </c>
      <c r="H37" s="260">
        <v>649015</v>
      </c>
      <c r="I37" s="260"/>
      <c r="J37" s="260">
        <v>1081855</v>
      </c>
      <c r="K37" s="260"/>
      <c r="L37" s="260">
        <v>649262</v>
      </c>
      <c r="M37" s="260"/>
      <c r="N37" s="260">
        <f>P37+O37</f>
        <v>10926.8</v>
      </c>
      <c r="O37" s="260">
        <v>10926.8</v>
      </c>
      <c r="P37" s="258"/>
    </row>
    <row r="38" spans="1:16" s="343" customFormat="1" x14ac:dyDescent="0.3">
      <c r="A38" s="19">
        <v>2024</v>
      </c>
      <c r="B38" s="20" t="s">
        <v>21</v>
      </c>
      <c r="C38" s="21" t="s">
        <v>69</v>
      </c>
      <c r="D38" s="261">
        <v>8170753</v>
      </c>
      <c r="E38" s="261">
        <f>F38+G38</f>
        <v>2660267</v>
      </c>
      <c r="F38" s="261">
        <f t="shared" ref="F38:F48" si="10">H38+J38+L38</f>
        <v>2660267</v>
      </c>
      <c r="G38" s="261">
        <f t="shared" ref="G38:G48" si="11">I38+K38+M38</f>
        <v>0</v>
      </c>
      <c r="H38" s="261">
        <v>725261</v>
      </c>
      <c r="I38" s="261"/>
      <c r="J38" s="261">
        <v>1209050</v>
      </c>
      <c r="K38" s="261"/>
      <c r="L38" s="261">
        <v>725956</v>
      </c>
      <c r="M38" s="261"/>
      <c r="N38" s="261">
        <f t="shared" ref="N38:N48" si="12">P38+O38</f>
        <v>11410.6</v>
      </c>
      <c r="O38" s="261">
        <v>11410.6</v>
      </c>
      <c r="P38" s="254"/>
    </row>
    <row r="39" spans="1:16" s="343" customFormat="1" x14ac:dyDescent="0.3">
      <c r="A39" s="19">
        <v>2024</v>
      </c>
      <c r="B39" s="20" t="s">
        <v>22</v>
      </c>
      <c r="C39" s="21" t="s">
        <v>69</v>
      </c>
      <c r="D39" s="261">
        <v>7881721</v>
      </c>
      <c r="E39" s="261">
        <f t="shared" ref="E39:E48" si="13">F39+G39</f>
        <v>2614117</v>
      </c>
      <c r="F39" s="261">
        <f t="shared" si="10"/>
        <v>2614117</v>
      </c>
      <c r="G39" s="261">
        <f t="shared" si="11"/>
        <v>0</v>
      </c>
      <c r="H39" s="261">
        <v>712787</v>
      </c>
      <c r="I39" s="261"/>
      <c r="J39" s="261">
        <v>1188548</v>
      </c>
      <c r="K39" s="261"/>
      <c r="L39" s="261">
        <v>712782</v>
      </c>
      <c r="M39" s="261"/>
      <c r="N39" s="261">
        <f t="shared" si="12"/>
        <v>13849.9</v>
      </c>
      <c r="O39" s="261">
        <v>13849.9</v>
      </c>
      <c r="P39" s="254"/>
    </row>
    <row r="40" spans="1:16" s="343" customFormat="1" x14ac:dyDescent="0.3">
      <c r="A40" s="19">
        <v>2024</v>
      </c>
      <c r="B40" s="20" t="s">
        <v>23</v>
      </c>
      <c r="C40" s="21" t="s">
        <v>69</v>
      </c>
      <c r="D40" s="261">
        <v>8331126</v>
      </c>
      <c r="E40" s="261">
        <f t="shared" si="13"/>
        <v>2591174</v>
      </c>
      <c r="F40" s="261">
        <f t="shared" si="10"/>
        <v>2591174</v>
      </c>
      <c r="G40" s="261">
        <f t="shared" si="11"/>
        <v>0</v>
      </c>
      <c r="H40" s="261">
        <v>706098</v>
      </c>
      <c r="I40" s="261"/>
      <c r="J40" s="261">
        <v>1178095</v>
      </c>
      <c r="K40" s="261"/>
      <c r="L40" s="261">
        <v>706981</v>
      </c>
      <c r="M40" s="261"/>
      <c r="N40" s="261">
        <f t="shared" si="12"/>
        <v>11350.1</v>
      </c>
      <c r="O40" s="261">
        <v>11350.1</v>
      </c>
      <c r="P40" s="254"/>
    </row>
    <row r="41" spans="1:16" s="343" customFormat="1" x14ac:dyDescent="0.3">
      <c r="A41" s="19">
        <v>2024</v>
      </c>
      <c r="B41" s="20" t="s">
        <v>24</v>
      </c>
      <c r="C41" s="21" t="s">
        <v>69</v>
      </c>
      <c r="D41" s="261">
        <v>8156551</v>
      </c>
      <c r="E41" s="261">
        <f t="shared" si="13"/>
        <v>2742207</v>
      </c>
      <c r="F41" s="261">
        <f t="shared" si="10"/>
        <v>2742207</v>
      </c>
      <c r="G41" s="261">
        <f t="shared" si="11"/>
        <v>0</v>
      </c>
      <c r="H41" s="261">
        <v>747448</v>
      </c>
      <c r="I41" s="261"/>
      <c r="J41" s="261">
        <v>1246792</v>
      </c>
      <c r="K41" s="261"/>
      <c r="L41" s="261">
        <v>747967</v>
      </c>
      <c r="M41" s="261"/>
      <c r="N41" s="261">
        <f t="shared" si="12"/>
        <v>11571.8</v>
      </c>
      <c r="O41" s="261">
        <v>11571.8</v>
      </c>
      <c r="P41" s="254"/>
    </row>
    <row r="42" spans="1:16" s="343" customFormat="1" x14ac:dyDescent="0.3">
      <c r="A42" s="19">
        <v>2024</v>
      </c>
      <c r="B42" s="20" t="s">
        <v>25</v>
      </c>
      <c r="C42" s="21" t="s">
        <v>69</v>
      </c>
      <c r="D42" s="261">
        <v>6522373</v>
      </c>
      <c r="E42" s="261">
        <f t="shared" si="13"/>
        <v>2053921</v>
      </c>
      <c r="F42" s="261">
        <f t="shared" si="10"/>
        <v>2053921</v>
      </c>
      <c r="G42" s="261">
        <f t="shared" si="11"/>
        <v>0</v>
      </c>
      <c r="H42" s="261">
        <v>549809</v>
      </c>
      <c r="I42" s="261"/>
      <c r="J42" s="261">
        <v>938629</v>
      </c>
      <c r="K42" s="261"/>
      <c r="L42" s="261">
        <v>565483</v>
      </c>
      <c r="M42" s="261"/>
      <c r="N42" s="261">
        <f t="shared" si="12"/>
        <v>11551.7</v>
      </c>
      <c r="O42" s="261">
        <v>11551.7</v>
      </c>
      <c r="P42" s="254"/>
    </row>
    <row r="43" spans="1:16" s="343" customFormat="1" x14ac:dyDescent="0.3">
      <c r="A43" s="19">
        <v>2024</v>
      </c>
      <c r="B43" s="20" t="s">
        <v>26</v>
      </c>
      <c r="C43" s="21" t="s">
        <v>69</v>
      </c>
      <c r="D43" s="261">
        <v>7690293</v>
      </c>
      <c r="E43" s="261">
        <f t="shared" si="13"/>
        <v>2353332</v>
      </c>
      <c r="F43" s="261">
        <f t="shared" si="10"/>
        <v>0</v>
      </c>
      <c r="G43" s="261">
        <f t="shared" si="11"/>
        <v>2353332</v>
      </c>
      <c r="H43" s="261"/>
      <c r="I43" s="261">
        <v>642172</v>
      </c>
      <c r="J43" s="261"/>
      <c r="K43" s="261">
        <v>1069710</v>
      </c>
      <c r="L43" s="261"/>
      <c r="M43" s="261">
        <v>641450</v>
      </c>
      <c r="N43" s="261">
        <f t="shared" si="12"/>
        <v>10946.8</v>
      </c>
      <c r="O43" s="261"/>
      <c r="P43" s="254">
        <v>10946.8</v>
      </c>
    </row>
    <row r="44" spans="1:16" s="343" customFormat="1" x14ac:dyDescent="0.3">
      <c r="A44" s="19">
        <v>2024</v>
      </c>
      <c r="B44" s="20" t="s">
        <v>27</v>
      </c>
      <c r="C44" s="21" t="s">
        <v>69</v>
      </c>
      <c r="D44" s="261">
        <v>8159968</v>
      </c>
      <c r="E44" s="261">
        <f t="shared" si="13"/>
        <v>2662089</v>
      </c>
      <c r="F44" s="261">
        <f t="shared" si="10"/>
        <v>0</v>
      </c>
      <c r="G44" s="261">
        <f t="shared" si="11"/>
        <v>2662089</v>
      </c>
      <c r="H44" s="261"/>
      <c r="I44" s="261">
        <v>725437</v>
      </c>
      <c r="J44" s="261"/>
      <c r="K44" s="261">
        <v>1210836</v>
      </c>
      <c r="L44" s="261"/>
      <c r="M44" s="261">
        <v>725816</v>
      </c>
      <c r="N44" s="261">
        <f t="shared" si="12"/>
        <v>11410.6</v>
      </c>
      <c r="O44" s="261"/>
      <c r="P44" s="254">
        <v>11410.6</v>
      </c>
    </row>
    <row r="45" spans="1:16" s="343" customFormat="1" x14ac:dyDescent="0.3">
      <c r="A45" s="19">
        <v>2024</v>
      </c>
      <c r="B45" s="20" t="s">
        <v>28</v>
      </c>
      <c r="C45" s="21" t="s">
        <v>69</v>
      </c>
      <c r="D45" s="261">
        <v>8213617</v>
      </c>
      <c r="E45" s="261">
        <f t="shared" si="13"/>
        <v>2676757</v>
      </c>
      <c r="F45" s="261">
        <f t="shared" si="10"/>
        <v>0</v>
      </c>
      <c r="G45" s="261">
        <f t="shared" si="11"/>
        <v>2676757</v>
      </c>
      <c r="H45" s="261"/>
      <c r="I45" s="261">
        <v>729600</v>
      </c>
      <c r="J45" s="261"/>
      <c r="K45" s="261">
        <v>1217325</v>
      </c>
      <c r="L45" s="261"/>
      <c r="M45" s="261">
        <v>729832</v>
      </c>
      <c r="N45" s="261">
        <f t="shared" si="12"/>
        <v>11249.2</v>
      </c>
      <c r="O45" s="261"/>
      <c r="P45" s="254">
        <v>11249.2</v>
      </c>
    </row>
    <row r="46" spans="1:16" s="343" customFormat="1" x14ac:dyDescent="0.3">
      <c r="A46" s="19">
        <v>2024</v>
      </c>
      <c r="B46" s="20" t="s">
        <v>29</v>
      </c>
      <c r="C46" s="21" t="s">
        <v>69</v>
      </c>
      <c r="D46" s="261">
        <v>7915487</v>
      </c>
      <c r="E46" s="261">
        <f t="shared" si="13"/>
        <v>2424287</v>
      </c>
      <c r="F46" s="261">
        <f t="shared" si="10"/>
        <v>0</v>
      </c>
      <c r="G46" s="261">
        <f t="shared" si="11"/>
        <v>2424287</v>
      </c>
      <c r="H46" s="261"/>
      <c r="I46" s="261">
        <v>660790</v>
      </c>
      <c r="J46" s="261"/>
      <c r="K46" s="261">
        <v>1102340</v>
      </c>
      <c r="L46" s="261"/>
      <c r="M46" s="261">
        <v>661157</v>
      </c>
      <c r="N46" s="261">
        <f t="shared" si="12"/>
        <v>11249.2</v>
      </c>
      <c r="O46" s="261"/>
      <c r="P46" s="254">
        <v>11249.2</v>
      </c>
    </row>
    <row r="47" spans="1:16" s="343" customFormat="1" x14ac:dyDescent="0.3">
      <c r="A47" s="19">
        <v>2024</v>
      </c>
      <c r="B47" s="20" t="s">
        <v>30</v>
      </c>
      <c r="C47" s="21" t="s">
        <v>69</v>
      </c>
      <c r="D47" s="261">
        <v>8287561</v>
      </c>
      <c r="E47" s="261">
        <f t="shared" si="13"/>
        <v>2822097</v>
      </c>
      <c r="F47" s="261">
        <f t="shared" si="10"/>
        <v>2822097</v>
      </c>
      <c r="G47" s="261">
        <f t="shared" si="11"/>
        <v>0</v>
      </c>
      <c r="H47" s="261">
        <v>769074</v>
      </c>
      <c r="I47" s="261"/>
      <c r="J47" s="261">
        <v>1283507</v>
      </c>
      <c r="K47" s="261"/>
      <c r="L47" s="261">
        <v>769516</v>
      </c>
      <c r="M47" s="261"/>
      <c r="N47" s="261">
        <f t="shared" si="12"/>
        <v>11471.1</v>
      </c>
      <c r="O47" s="261">
        <v>11471.1</v>
      </c>
      <c r="P47" s="254"/>
    </row>
    <row r="48" spans="1:16" s="343" customFormat="1" x14ac:dyDescent="0.3">
      <c r="A48" s="22">
        <v>2024</v>
      </c>
      <c r="B48" s="23" t="s">
        <v>31</v>
      </c>
      <c r="C48" s="24" t="s">
        <v>69</v>
      </c>
      <c r="D48" s="256">
        <v>7580194</v>
      </c>
      <c r="E48" s="256">
        <f t="shared" si="13"/>
        <v>2310909</v>
      </c>
      <c r="F48" s="256">
        <f t="shared" si="10"/>
        <v>2310909</v>
      </c>
      <c r="G48" s="256">
        <f t="shared" si="11"/>
        <v>0</v>
      </c>
      <c r="H48" s="256">
        <v>630322</v>
      </c>
      <c r="I48" s="256"/>
      <c r="J48" s="256">
        <v>1050668</v>
      </c>
      <c r="K48" s="256"/>
      <c r="L48" s="256">
        <v>629919</v>
      </c>
      <c r="M48" s="256"/>
      <c r="N48" s="256">
        <f t="shared" si="12"/>
        <v>11531.4</v>
      </c>
      <c r="O48" s="256">
        <v>11531.4</v>
      </c>
      <c r="P48" s="259"/>
    </row>
    <row r="49" spans="1:16" s="343" customFormat="1" x14ac:dyDescent="0.3">
      <c r="A49" s="545"/>
      <c r="B49" s="545"/>
      <c r="C49" s="545"/>
      <c r="D49" s="171">
        <f t="shared" ref="D49:P49" si="14">SUM(D37:D48)</f>
        <v>94958040</v>
      </c>
      <c r="E49" s="171">
        <f t="shared" si="14"/>
        <v>30291289</v>
      </c>
      <c r="F49" s="171">
        <f t="shared" si="14"/>
        <v>20174824</v>
      </c>
      <c r="G49" s="171">
        <f t="shared" si="14"/>
        <v>10116465</v>
      </c>
      <c r="H49" s="171">
        <f t="shared" si="14"/>
        <v>5489814</v>
      </c>
      <c r="I49" s="171">
        <f t="shared" si="14"/>
        <v>2757999</v>
      </c>
      <c r="J49" s="171">
        <f t="shared" si="14"/>
        <v>9177144</v>
      </c>
      <c r="K49" s="171">
        <f t="shared" si="14"/>
        <v>4600211</v>
      </c>
      <c r="L49" s="171">
        <f t="shared" si="14"/>
        <v>5507866</v>
      </c>
      <c r="M49" s="171">
        <f t="shared" si="14"/>
        <v>2758255</v>
      </c>
      <c r="N49" s="171">
        <f t="shared" si="14"/>
        <v>138519.20000000001</v>
      </c>
      <c r="O49" s="171">
        <f t="shared" si="14"/>
        <v>93663.4</v>
      </c>
      <c r="P49" s="171">
        <f t="shared" si="14"/>
        <v>44855.8</v>
      </c>
    </row>
    <row r="50" spans="1:16" s="343" customFormat="1" x14ac:dyDescent="0.3">
      <c r="A50" s="383"/>
      <c r="B50" s="383"/>
      <c r="C50" s="383"/>
      <c r="D50" s="171"/>
      <c r="E50" s="171"/>
      <c r="F50" s="171"/>
      <c r="G50" s="171"/>
      <c r="H50" s="171"/>
      <c r="I50" s="171"/>
      <c r="J50" s="171"/>
      <c r="K50" s="171"/>
      <c r="L50" s="171"/>
      <c r="M50" s="171"/>
      <c r="N50" s="171"/>
      <c r="O50" s="171"/>
      <c r="P50" s="171"/>
    </row>
    <row r="51" spans="1:16" s="343" customFormat="1" ht="48.6" x14ac:dyDescent="0.3">
      <c r="A51" s="6" t="s">
        <v>18</v>
      </c>
      <c r="B51" s="6" t="s">
        <v>19</v>
      </c>
      <c r="C51" s="7" t="s">
        <v>0</v>
      </c>
      <c r="D51" s="8" t="s">
        <v>11</v>
      </c>
      <c r="E51" s="11" t="s">
        <v>62</v>
      </c>
      <c r="F51" s="11" t="s">
        <v>64</v>
      </c>
      <c r="G51" s="11" t="s">
        <v>63</v>
      </c>
      <c r="H51" s="159" t="s">
        <v>100</v>
      </c>
      <c r="I51" s="156" t="s">
        <v>101</v>
      </c>
      <c r="J51" s="78" t="s">
        <v>82</v>
      </c>
      <c r="K51" s="78" t="s">
        <v>83</v>
      </c>
      <c r="L51" s="159" t="s">
        <v>102</v>
      </c>
      <c r="M51" s="156" t="s">
        <v>103</v>
      </c>
      <c r="N51" s="11" t="s">
        <v>32</v>
      </c>
      <c r="O51" s="11" t="s">
        <v>70</v>
      </c>
      <c r="P51" s="11" t="s">
        <v>71</v>
      </c>
    </row>
    <row r="52" spans="1:16" s="343" customFormat="1" x14ac:dyDescent="0.3">
      <c r="A52" s="16">
        <v>2023</v>
      </c>
      <c r="B52" s="17" t="s">
        <v>20</v>
      </c>
      <c r="C52" s="18" t="s">
        <v>69</v>
      </c>
      <c r="D52" s="260">
        <v>6792038</v>
      </c>
      <c r="E52" s="260">
        <f>F52+G52</f>
        <v>2306305</v>
      </c>
      <c r="F52" s="260">
        <f>H52+J52+L52</f>
        <v>2306305</v>
      </c>
      <c r="G52" s="260">
        <f>I52+K52+M52</f>
        <v>0</v>
      </c>
      <c r="H52" s="260">
        <v>633690</v>
      </c>
      <c r="I52" s="260"/>
      <c r="J52" s="260">
        <v>1046193</v>
      </c>
      <c r="K52" s="260"/>
      <c r="L52" s="260">
        <v>626422</v>
      </c>
      <c r="M52" s="260"/>
      <c r="N52" s="260">
        <f>P52+O52</f>
        <v>11370.2</v>
      </c>
      <c r="O52" s="260">
        <v>11370.2</v>
      </c>
      <c r="P52" s="258"/>
    </row>
    <row r="53" spans="1:16" s="329" customFormat="1" x14ac:dyDescent="0.3">
      <c r="A53" s="19">
        <v>2023</v>
      </c>
      <c r="B53" s="20" t="s">
        <v>21</v>
      </c>
      <c r="C53" s="21" t="s">
        <v>69</v>
      </c>
      <c r="D53" s="261">
        <v>8085152</v>
      </c>
      <c r="E53" s="261">
        <f>F53+G53</f>
        <v>2630585</v>
      </c>
      <c r="F53" s="261">
        <f t="shared" ref="F53:F63" si="15">H53+J53+L53</f>
        <v>2630585</v>
      </c>
      <c r="G53" s="261">
        <f t="shared" ref="G53:G63" si="16">I53+K53+M53</f>
        <v>0</v>
      </c>
      <c r="H53" s="261">
        <v>717399</v>
      </c>
      <c r="I53" s="261"/>
      <c r="J53" s="261">
        <v>1195711</v>
      </c>
      <c r="K53" s="261"/>
      <c r="L53" s="261">
        <v>717475</v>
      </c>
      <c r="M53" s="261"/>
      <c r="N53" s="261">
        <f t="shared" ref="N53:N63" si="17">P53+O53</f>
        <v>10987.3</v>
      </c>
      <c r="O53" s="261">
        <v>10987.3</v>
      </c>
      <c r="P53" s="254"/>
    </row>
    <row r="54" spans="1:16" s="329" customFormat="1" x14ac:dyDescent="0.3">
      <c r="A54" s="19">
        <v>2023</v>
      </c>
      <c r="B54" s="20" t="s">
        <v>22</v>
      </c>
      <c r="C54" s="21" t="s">
        <v>69</v>
      </c>
      <c r="D54" s="261">
        <v>6782896</v>
      </c>
      <c r="E54" s="261">
        <f t="shared" ref="E54:E63" si="18">F54+G54</f>
        <v>2221330</v>
      </c>
      <c r="F54" s="261">
        <f t="shared" si="15"/>
        <v>2221330</v>
      </c>
      <c r="G54" s="261">
        <f t="shared" si="16"/>
        <v>0</v>
      </c>
      <c r="H54" s="261">
        <v>602821</v>
      </c>
      <c r="I54" s="261"/>
      <c r="J54" s="261">
        <v>1004520</v>
      </c>
      <c r="K54" s="261"/>
      <c r="L54" s="261">
        <v>613989</v>
      </c>
      <c r="M54" s="261"/>
      <c r="N54" s="261">
        <f t="shared" si="17"/>
        <v>12438.7</v>
      </c>
      <c r="O54" s="261">
        <v>12438.7</v>
      </c>
      <c r="P54" s="254"/>
    </row>
    <row r="55" spans="1:16" s="329" customFormat="1" x14ac:dyDescent="0.3">
      <c r="A55" s="19">
        <v>2023</v>
      </c>
      <c r="B55" s="20" t="s">
        <v>23</v>
      </c>
      <c r="C55" s="21" t="s">
        <v>69</v>
      </c>
      <c r="D55" s="261">
        <v>7515457</v>
      </c>
      <c r="E55" s="261">
        <f t="shared" si="18"/>
        <v>2566410</v>
      </c>
      <c r="F55" s="261">
        <f t="shared" si="15"/>
        <v>2566410</v>
      </c>
      <c r="G55" s="261">
        <f t="shared" si="16"/>
        <v>0</v>
      </c>
      <c r="H55" s="261">
        <v>691313</v>
      </c>
      <c r="I55" s="261"/>
      <c r="J55" s="261">
        <v>1166871</v>
      </c>
      <c r="K55" s="261"/>
      <c r="L55" s="261">
        <v>708226</v>
      </c>
      <c r="M55" s="261"/>
      <c r="N55" s="261">
        <f t="shared" si="17"/>
        <v>12297.5</v>
      </c>
      <c r="O55" s="261">
        <v>12297.5</v>
      </c>
      <c r="P55" s="254"/>
    </row>
    <row r="56" spans="1:16" s="329" customFormat="1" x14ac:dyDescent="0.3">
      <c r="A56" s="19">
        <v>2023</v>
      </c>
      <c r="B56" s="20" t="s">
        <v>24</v>
      </c>
      <c r="C56" s="21" t="s">
        <v>69</v>
      </c>
      <c r="D56" s="261">
        <v>6898578</v>
      </c>
      <c r="E56" s="261">
        <f t="shared" si="18"/>
        <v>2054244</v>
      </c>
      <c r="F56" s="261">
        <f t="shared" si="15"/>
        <v>2054244</v>
      </c>
      <c r="G56" s="261">
        <f t="shared" si="16"/>
        <v>0</v>
      </c>
      <c r="H56" s="261">
        <v>547445</v>
      </c>
      <c r="I56" s="261"/>
      <c r="J56" s="261">
        <v>928922</v>
      </c>
      <c r="K56" s="261"/>
      <c r="L56" s="261">
        <v>577877</v>
      </c>
      <c r="M56" s="261"/>
      <c r="N56" s="261">
        <f t="shared" si="17"/>
        <v>12095.9</v>
      </c>
      <c r="O56" s="261">
        <v>12095.9</v>
      </c>
      <c r="P56" s="254"/>
    </row>
    <row r="57" spans="1:16" s="329" customFormat="1" x14ac:dyDescent="0.3">
      <c r="A57" s="19">
        <v>2023</v>
      </c>
      <c r="B57" s="20" t="s">
        <v>25</v>
      </c>
      <c r="C57" s="21" t="s">
        <v>69</v>
      </c>
      <c r="D57" s="261">
        <v>8135910</v>
      </c>
      <c r="E57" s="261">
        <f t="shared" si="18"/>
        <v>2647466</v>
      </c>
      <c r="F57" s="261">
        <f t="shared" si="15"/>
        <v>2647466</v>
      </c>
      <c r="G57" s="261">
        <f t="shared" si="16"/>
        <v>0</v>
      </c>
      <c r="H57" s="261">
        <v>721092</v>
      </c>
      <c r="I57" s="261"/>
      <c r="J57" s="261">
        <v>1204087</v>
      </c>
      <c r="K57" s="261"/>
      <c r="L57" s="261">
        <v>722287</v>
      </c>
      <c r="M57" s="261"/>
      <c r="N57" s="261">
        <f t="shared" si="17"/>
        <v>11047.8</v>
      </c>
      <c r="O57" s="261">
        <v>11047.8</v>
      </c>
      <c r="P57" s="254"/>
    </row>
    <row r="58" spans="1:16" s="329" customFormat="1" x14ac:dyDescent="0.3">
      <c r="A58" s="19">
        <v>2023</v>
      </c>
      <c r="B58" s="20" t="s">
        <v>26</v>
      </c>
      <c r="C58" s="21" t="s">
        <v>69</v>
      </c>
      <c r="D58" s="261">
        <v>7914246</v>
      </c>
      <c r="E58" s="261">
        <f t="shared" si="18"/>
        <v>2654369</v>
      </c>
      <c r="F58" s="261">
        <f t="shared" si="15"/>
        <v>0</v>
      </c>
      <c r="G58" s="261">
        <f t="shared" si="16"/>
        <v>2654369</v>
      </c>
      <c r="H58" s="261"/>
      <c r="I58" s="261">
        <v>722339</v>
      </c>
      <c r="J58" s="261"/>
      <c r="K58" s="261">
        <v>1206749</v>
      </c>
      <c r="L58" s="261"/>
      <c r="M58" s="261">
        <v>725281</v>
      </c>
      <c r="N58" s="261">
        <f t="shared" si="17"/>
        <v>13426.5</v>
      </c>
      <c r="O58" s="261"/>
      <c r="P58" s="254">
        <v>13426.5</v>
      </c>
    </row>
    <row r="59" spans="1:16" s="329" customFormat="1" x14ac:dyDescent="0.3">
      <c r="A59" s="19">
        <v>2023</v>
      </c>
      <c r="B59" s="20" t="s">
        <v>27</v>
      </c>
      <c r="C59" s="21" t="s">
        <v>69</v>
      </c>
      <c r="D59" s="261">
        <v>8136698</v>
      </c>
      <c r="E59" s="261">
        <f t="shared" si="18"/>
        <v>2407176</v>
      </c>
      <c r="F59" s="261">
        <f t="shared" si="15"/>
        <v>0</v>
      </c>
      <c r="G59" s="261">
        <f t="shared" si="16"/>
        <v>2407176</v>
      </c>
      <c r="H59" s="261"/>
      <c r="I59" s="261">
        <v>655977</v>
      </c>
      <c r="J59" s="261"/>
      <c r="K59" s="261">
        <v>1094497</v>
      </c>
      <c r="L59" s="261"/>
      <c r="M59" s="261">
        <v>656702</v>
      </c>
      <c r="N59" s="261">
        <f t="shared" si="17"/>
        <v>11108.1</v>
      </c>
      <c r="O59" s="261"/>
      <c r="P59" s="254">
        <v>11108.1</v>
      </c>
    </row>
    <row r="60" spans="1:16" s="329" customFormat="1" x14ac:dyDescent="0.3">
      <c r="A60" s="19">
        <v>2023</v>
      </c>
      <c r="B60" s="20" t="s">
        <v>28</v>
      </c>
      <c r="C60" s="21" t="s">
        <v>69</v>
      </c>
      <c r="D60" s="261">
        <v>8082384</v>
      </c>
      <c r="E60" s="261">
        <f t="shared" si="18"/>
        <v>2751549</v>
      </c>
      <c r="F60" s="261">
        <f t="shared" si="15"/>
        <v>0</v>
      </c>
      <c r="G60" s="261">
        <f t="shared" si="16"/>
        <v>2751549</v>
      </c>
      <c r="H60" s="261"/>
      <c r="I60" s="261">
        <v>749700</v>
      </c>
      <c r="J60" s="261"/>
      <c r="K60" s="261">
        <v>1251126</v>
      </c>
      <c r="L60" s="261"/>
      <c r="M60" s="261">
        <v>750723</v>
      </c>
      <c r="N60" s="261">
        <f t="shared" si="17"/>
        <v>11027.5</v>
      </c>
      <c r="O60" s="261"/>
      <c r="P60" s="254">
        <v>11027.5</v>
      </c>
    </row>
    <row r="61" spans="1:16" s="329" customFormat="1" x14ac:dyDescent="0.3">
      <c r="A61" s="19">
        <v>2023</v>
      </c>
      <c r="B61" s="20" t="s">
        <v>29</v>
      </c>
      <c r="C61" s="21" t="s">
        <v>69</v>
      </c>
      <c r="D61" s="261">
        <v>7805202</v>
      </c>
      <c r="E61" s="261">
        <f t="shared" si="18"/>
        <v>2384604</v>
      </c>
      <c r="F61" s="261">
        <f t="shared" si="15"/>
        <v>0</v>
      </c>
      <c r="G61" s="261">
        <f t="shared" si="16"/>
        <v>2384604</v>
      </c>
      <c r="H61" s="261"/>
      <c r="I61" s="261">
        <v>649742</v>
      </c>
      <c r="J61" s="261"/>
      <c r="K61" s="261">
        <v>1084229</v>
      </c>
      <c r="L61" s="261"/>
      <c r="M61" s="261">
        <v>650633</v>
      </c>
      <c r="N61" s="261">
        <f t="shared" si="17"/>
        <v>11067.9</v>
      </c>
      <c r="O61" s="261"/>
      <c r="P61" s="254">
        <v>11067.9</v>
      </c>
    </row>
    <row r="62" spans="1:16" s="329" customFormat="1" x14ac:dyDescent="0.3">
      <c r="A62" s="19">
        <v>2023</v>
      </c>
      <c r="B62" s="20" t="s">
        <v>30</v>
      </c>
      <c r="C62" s="21" t="s">
        <v>69</v>
      </c>
      <c r="D62" s="261">
        <v>8067170</v>
      </c>
      <c r="E62" s="261">
        <f t="shared" si="18"/>
        <v>2626848</v>
      </c>
      <c r="F62" s="261">
        <f t="shared" si="15"/>
        <v>2626848</v>
      </c>
      <c r="G62" s="261">
        <f t="shared" si="16"/>
        <v>0</v>
      </c>
      <c r="H62" s="261">
        <v>716364</v>
      </c>
      <c r="I62" s="261"/>
      <c r="J62" s="261">
        <v>1194125</v>
      </c>
      <c r="K62" s="261"/>
      <c r="L62" s="261">
        <v>716359</v>
      </c>
      <c r="M62" s="261"/>
      <c r="N62" s="261">
        <f t="shared" si="17"/>
        <v>11047.8</v>
      </c>
      <c r="O62" s="261">
        <v>11047.8</v>
      </c>
      <c r="P62" s="254"/>
    </row>
    <row r="63" spans="1:16" s="329" customFormat="1" x14ac:dyDescent="0.3">
      <c r="A63" s="22">
        <v>2023</v>
      </c>
      <c r="B63" s="23" t="s">
        <v>31</v>
      </c>
      <c r="C63" s="24" t="s">
        <v>69</v>
      </c>
      <c r="D63" s="256">
        <v>7769314</v>
      </c>
      <c r="E63" s="256">
        <f t="shared" si="18"/>
        <v>2490858</v>
      </c>
      <c r="F63" s="256">
        <f t="shared" si="15"/>
        <v>2490858</v>
      </c>
      <c r="G63" s="256">
        <f t="shared" si="16"/>
        <v>0</v>
      </c>
      <c r="H63" s="256">
        <v>679267</v>
      </c>
      <c r="I63" s="256"/>
      <c r="J63" s="256">
        <v>1132263</v>
      </c>
      <c r="K63" s="256"/>
      <c r="L63" s="256">
        <v>679328</v>
      </c>
      <c r="M63" s="256"/>
      <c r="N63" s="256">
        <f t="shared" si="17"/>
        <v>10886.3</v>
      </c>
      <c r="O63" s="256">
        <v>10886.3</v>
      </c>
      <c r="P63" s="259"/>
    </row>
    <row r="64" spans="1:16" s="329" customFormat="1" x14ac:dyDescent="0.3">
      <c r="A64" s="545"/>
      <c r="B64" s="545"/>
      <c r="C64" s="545"/>
      <c r="D64" s="171">
        <f t="shared" ref="D64:P64" si="19">SUM(D52:D63)</f>
        <v>91985045</v>
      </c>
      <c r="E64" s="171">
        <f t="shared" si="19"/>
        <v>29741744</v>
      </c>
      <c r="F64" s="171">
        <f t="shared" si="19"/>
        <v>19544046</v>
      </c>
      <c r="G64" s="171">
        <f t="shared" si="19"/>
        <v>10197698</v>
      </c>
      <c r="H64" s="171">
        <f t="shared" si="19"/>
        <v>5309391</v>
      </c>
      <c r="I64" s="171">
        <f t="shared" si="19"/>
        <v>2777758</v>
      </c>
      <c r="J64" s="171">
        <f t="shared" si="19"/>
        <v>8872692</v>
      </c>
      <c r="K64" s="171">
        <f t="shared" si="19"/>
        <v>4636601</v>
      </c>
      <c r="L64" s="171">
        <f t="shared" si="19"/>
        <v>5361963</v>
      </c>
      <c r="M64" s="171">
        <f t="shared" si="19"/>
        <v>2783339</v>
      </c>
      <c r="N64" s="171">
        <f t="shared" si="19"/>
        <v>138801.5</v>
      </c>
      <c r="O64" s="171">
        <f t="shared" si="19"/>
        <v>92171.5</v>
      </c>
      <c r="P64" s="171">
        <f t="shared" si="19"/>
        <v>46630</v>
      </c>
    </row>
    <row r="65" spans="1:16" s="329" customFormat="1" x14ac:dyDescent="0.3">
      <c r="A65" s="284">
        <v>0</v>
      </c>
      <c r="B65" s="284"/>
      <c r="C65" s="284"/>
      <c r="D65" s="284"/>
      <c r="E65" s="284"/>
      <c r="F65" s="284"/>
      <c r="G65" s="284"/>
      <c r="H65" s="284"/>
      <c r="I65" s="284"/>
      <c r="J65" s="284"/>
      <c r="K65" s="284"/>
      <c r="L65" s="285"/>
      <c r="M65" s="285"/>
      <c r="N65" s="284"/>
      <c r="O65" s="215"/>
      <c r="P65" s="215"/>
    </row>
    <row r="66" spans="1:16" s="329" customFormat="1" ht="48.6" x14ac:dyDescent="0.3">
      <c r="A66" s="6" t="s">
        <v>18</v>
      </c>
      <c r="B66" s="6" t="s">
        <v>19</v>
      </c>
      <c r="C66" s="7" t="s">
        <v>0</v>
      </c>
      <c r="D66" s="8" t="s">
        <v>11</v>
      </c>
      <c r="E66" s="11" t="s">
        <v>62</v>
      </c>
      <c r="F66" s="11" t="s">
        <v>64</v>
      </c>
      <c r="G66" s="11" t="s">
        <v>63</v>
      </c>
      <c r="H66" s="159" t="s">
        <v>100</v>
      </c>
      <c r="I66" s="156" t="s">
        <v>101</v>
      </c>
      <c r="J66" s="78" t="s">
        <v>82</v>
      </c>
      <c r="K66" s="78" t="s">
        <v>83</v>
      </c>
      <c r="L66" s="159" t="s">
        <v>102</v>
      </c>
      <c r="M66" s="156" t="s">
        <v>103</v>
      </c>
      <c r="N66" s="11" t="s">
        <v>32</v>
      </c>
      <c r="O66" s="11" t="s">
        <v>70</v>
      </c>
      <c r="P66" s="11" t="s">
        <v>71</v>
      </c>
    </row>
    <row r="67" spans="1:16" s="329" customFormat="1" x14ac:dyDescent="0.3">
      <c r="A67" s="16">
        <v>2022</v>
      </c>
      <c r="B67" s="17" t="s">
        <v>20</v>
      </c>
      <c r="C67" s="18" t="s">
        <v>69</v>
      </c>
      <c r="D67" s="260">
        <v>8302901</v>
      </c>
      <c r="E67" s="260">
        <f>F67+G67</f>
        <v>2824784</v>
      </c>
      <c r="F67" s="260">
        <f>H67+J67+L67</f>
        <v>2824784</v>
      </c>
      <c r="G67" s="260">
        <f>I67+K67+M67</f>
        <v>0</v>
      </c>
      <c r="H67" s="260">
        <v>770475</v>
      </c>
      <c r="I67" s="260"/>
      <c r="J67" s="260">
        <v>1284051</v>
      </c>
      <c r="K67" s="260"/>
      <c r="L67" s="260">
        <v>770258</v>
      </c>
      <c r="M67" s="260"/>
      <c r="N67" s="260">
        <f>P67+O67</f>
        <v>11329.9</v>
      </c>
      <c r="O67" s="260">
        <v>11329.9</v>
      </c>
      <c r="P67" s="258"/>
    </row>
    <row r="68" spans="1:16" s="321" customFormat="1" x14ac:dyDescent="0.3">
      <c r="A68" s="19">
        <v>2022</v>
      </c>
      <c r="B68" s="20" t="s">
        <v>21</v>
      </c>
      <c r="C68" s="21" t="s">
        <v>69</v>
      </c>
      <c r="D68" s="261">
        <v>8295976</v>
      </c>
      <c r="E68" s="261">
        <f>F68+G68</f>
        <v>2576267</v>
      </c>
      <c r="F68" s="261">
        <f t="shared" ref="F68:F78" si="20">H68+J68+L68</f>
        <v>2576267</v>
      </c>
      <c r="G68" s="261">
        <f t="shared" ref="G68:G78" si="21">I68+K68+M68</f>
        <v>0</v>
      </c>
      <c r="H68" s="261">
        <v>702611</v>
      </c>
      <c r="I68" s="261"/>
      <c r="J68" s="261">
        <v>1170994</v>
      </c>
      <c r="K68" s="261"/>
      <c r="L68" s="261">
        <v>702662</v>
      </c>
      <c r="M68" s="261"/>
      <c r="N68" s="261">
        <f t="shared" ref="N68:N78" si="22">P68+O68</f>
        <v>11249.3</v>
      </c>
      <c r="O68" s="261">
        <v>11249.3</v>
      </c>
      <c r="P68" s="254"/>
    </row>
    <row r="69" spans="1:16" s="321" customFormat="1" x14ac:dyDescent="0.3">
      <c r="A69" s="19">
        <v>2022</v>
      </c>
      <c r="B69" s="20" t="s">
        <v>22</v>
      </c>
      <c r="C69" s="21" t="s">
        <v>69</v>
      </c>
      <c r="D69" s="261">
        <v>7412948</v>
      </c>
      <c r="E69" s="261">
        <f t="shared" ref="E69:E78" si="23">F69+G69</f>
        <v>2408546</v>
      </c>
      <c r="F69" s="261">
        <f t="shared" si="20"/>
        <v>2408546</v>
      </c>
      <c r="G69" s="261">
        <f t="shared" si="21"/>
        <v>0</v>
      </c>
      <c r="H69" s="261">
        <v>666354</v>
      </c>
      <c r="I69" s="261"/>
      <c r="J69" s="261">
        <v>1088902</v>
      </c>
      <c r="K69" s="261"/>
      <c r="L69" s="261">
        <v>653290</v>
      </c>
      <c r="M69" s="261"/>
      <c r="N69" s="261">
        <f t="shared" si="22"/>
        <v>11390.4</v>
      </c>
      <c r="O69" s="261">
        <v>11390.4</v>
      </c>
      <c r="P69" s="254"/>
    </row>
    <row r="70" spans="1:16" s="321" customFormat="1" x14ac:dyDescent="0.3">
      <c r="A70" s="19">
        <v>2022</v>
      </c>
      <c r="B70" s="20" t="s">
        <v>23</v>
      </c>
      <c r="C70" s="21" t="s">
        <v>69</v>
      </c>
      <c r="D70" s="261">
        <v>8230940</v>
      </c>
      <c r="E70" s="261">
        <f t="shared" si="23"/>
        <v>2803893</v>
      </c>
      <c r="F70" s="261">
        <f t="shared" si="20"/>
        <v>2803893</v>
      </c>
      <c r="G70" s="261">
        <f t="shared" si="21"/>
        <v>0</v>
      </c>
      <c r="H70" s="261">
        <v>764679</v>
      </c>
      <c r="I70" s="261"/>
      <c r="J70" s="261">
        <v>1274586</v>
      </c>
      <c r="K70" s="261"/>
      <c r="L70" s="261">
        <v>764628</v>
      </c>
      <c r="M70" s="261"/>
      <c r="N70" s="261">
        <f t="shared" si="22"/>
        <v>11209</v>
      </c>
      <c r="O70" s="261">
        <v>11209</v>
      </c>
      <c r="P70" s="254"/>
    </row>
    <row r="71" spans="1:16" s="321" customFormat="1" x14ac:dyDescent="0.3">
      <c r="A71" s="19">
        <v>2022</v>
      </c>
      <c r="B71" s="20" t="s">
        <v>24</v>
      </c>
      <c r="C71" s="21" t="s">
        <v>69</v>
      </c>
      <c r="D71" s="261">
        <v>7989393</v>
      </c>
      <c r="E71" s="261">
        <f t="shared" si="23"/>
        <v>2562639</v>
      </c>
      <c r="F71" s="261">
        <f t="shared" si="20"/>
        <v>2562639</v>
      </c>
      <c r="G71" s="261">
        <f t="shared" si="21"/>
        <v>0</v>
      </c>
      <c r="H71" s="261">
        <v>699119</v>
      </c>
      <c r="I71" s="261"/>
      <c r="J71" s="261">
        <v>1165092</v>
      </c>
      <c r="K71" s="261"/>
      <c r="L71" s="261">
        <v>698428</v>
      </c>
      <c r="M71" s="261"/>
      <c r="N71" s="261">
        <f t="shared" si="22"/>
        <v>11289.6</v>
      </c>
      <c r="O71" s="261">
        <v>11289.6</v>
      </c>
      <c r="P71" s="254"/>
    </row>
    <row r="72" spans="1:16" s="321" customFormat="1" x14ac:dyDescent="0.3">
      <c r="A72" s="19">
        <v>2022</v>
      </c>
      <c r="B72" s="20" t="s">
        <v>25</v>
      </c>
      <c r="C72" s="21" t="s">
        <v>69</v>
      </c>
      <c r="D72" s="261">
        <v>7890906</v>
      </c>
      <c r="E72" s="261">
        <f t="shared" si="23"/>
        <v>2395920</v>
      </c>
      <c r="F72" s="261">
        <f t="shared" si="20"/>
        <v>2395920</v>
      </c>
      <c r="G72" s="261">
        <f t="shared" si="21"/>
        <v>0</v>
      </c>
      <c r="H72" s="261">
        <v>661671</v>
      </c>
      <c r="I72" s="261"/>
      <c r="J72" s="261">
        <v>1084346</v>
      </c>
      <c r="K72" s="261"/>
      <c r="L72" s="261">
        <v>649903</v>
      </c>
      <c r="M72" s="261"/>
      <c r="N72" s="261">
        <f t="shared" si="22"/>
        <v>11309.8</v>
      </c>
      <c r="O72" s="261">
        <v>11309.8</v>
      </c>
      <c r="P72" s="254"/>
    </row>
    <row r="73" spans="1:16" s="321" customFormat="1" x14ac:dyDescent="0.3">
      <c r="A73" s="19">
        <v>2022</v>
      </c>
      <c r="B73" s="20" t="s">
        <v>26</v>
      </c>
      <c r="C73" s="21" t="s">
        <v>69</v>
      </c>
      <c r="D73" s="261">
        <v>7847361</v>
      </c>
      <c r="E73" s="261">
        <f t="shared" si="23"/>
        <v>2638415</v>
      </c>
      <c r="F73" s="261">
        <f t="shared" si="20"/>
        <v>0</v>
      </c>
      <c r="G73" s="261">
        <f t="shared" si="21"/>
        <v>2638415</v>
      </c>
      <c r="H73" s="261"/>
      <c r="I73" s="261">
        <v>719354</v>
      </c>
      <c r="J73" s="261"/>
      <c r="K73" s="261">
        <v>1199974</v>
      </c>
      <c r="L73" s="261"/>
      <c r="M73" s="261">
        <v>719087</v>
      </c>
      <c r="N73" s="261">
        <f t="shared" si="22"/>
        <v>11249.3</v>
      </c>
      <c r="O73" s="261"/>
      <c r="P73" s="254">
        <v>11249.3</v>
      </c>
    </row>
    <row r="74" spans="1:16" s="321" customFormat="1" x14ac:dyDescent="0.3">
      <c r="A74" s="19">
        <v>2022</v>
      </c>
      <c r="B74" s="20" t="s">
        <v>27</v>
      </c>
      <c r="C74" s="21" t="s">
        <v>69</v>
      </c>
      <c r="D74" s="261">
        <v>7902685</v>
      </c>
      <c r="E74" s="261">
        <f t="shared" si="23"/>
        <v>2383607</v>
      </c>
      <c r="F74" s="261">
        <f t="shared" si="20"/>
        <v>0</v>
      </c>
      <c r="G74" s="261">
        <f t="shared" si="21"/>
        <v>2383607</v>
      </c>
      <c r="H74" s="261"/>
      <c r="I74" s="261">
        <v>649994</v>
      </c>
      <c r="J74" s="261"/>
      <c r="K74" s="261">
        <v>1083771</v>
      </c>
      <c r="L74" s="261"/>
      <c r="M74" s="261">
        <v>649842</v>
      </c>
      <c r="N74" s="261">
        <f t="shared" si="22"/>
        <v>10967</v>
      </c>
      <c r="O74" s="261"/>
      <c r="P74" s="254">
        <v>10967</v>
      </c>
    </row>
    <row r="75" spans="1:16" s="321" customFormat="1" x14ac:dyDescent="0.3">
      <c r="A75" s="19">
        <v>2022</v>
      </c>
      <c r="B75" s="20" t="s">
        <v>28</v>
      </c>
      <c r="C75" s="21" t="s">
        <v>69</v>
      </c>
      <c r="D75" s="261">
        <v>8213935</v>
      </c>
      <c r="E75" s="261">
        <f t="shared" si="23"/>
        <v>2794564</v>
      </c>
      <c r="F75" s="261">
        <f t="shared" si="20"/>
        <v>0</v>
      </c>
      <c r="G75" s="261">
        <f t="shared" si="21"/>
        <v>2794564</v>
      </c>
      <c r="H75" s="261"/>
      <c r="I75" s="261">
        <v>761660</v>
      </c>
      <c r="J75" s="261"/>
      <c r="K75" s="261">
        <v>1270806</v>
      </c>
      <c r="L75" s="261"/>
      <c r="M75" s="261">
        <v>762098</v>
      </c>
      <c r="N75" s="261">
        <f t="shared" si="22"/>
        <v>11188.8</v>
      </c>
      <c r="O75" s="261"/>
      <c r="P75" s="254">
        <v>11188.8</v>
      </c>
    </row>
    <row r="76" spans="1:16" s="321" customFormat="1" x14ac:dyDescent="0.3">
      <c r="A76" s="19">
        <v>2022</v>
      </c>
      <c r="B76" s="20" t="s">
        <v>29</v>
      </c>
      <c r="C76" s="21" t="s">
        <v>69</v>
      </c>
      <c r="D76" s="261">
        <v>7975770</v>
      </c>
      <c r="E76" s="261">
        <f t="shared" si="23"/>
        <v>2561484</v>
      </c>
      <c r="F76" s="261">
        <f t="shared" si="20"/>
        <v>0</v>
      </c>
      <c r="G76" s="261">
        <f t="shared" si="21"/>
        <v>2561484</v>
      </c>
      <c r="H76" s="261"/>
      <c r="I76" s="261">
        <v>698100</v>
      </c>
      <c r="J76" s="261"/>
      <c r="K76" s="261">
        <v>1164976</v>
      </c>
      <c r="L76" s="261"/>
      <c r="M76" s="261">
        <v>698408</v>
      </c>
      <c r="N76" s="261">
        <f t="shared" si="22"/>
        <v>11188.8</v>
      </c>
      <c r="O76" s="261"/>
      <c r="P76" s="254">
        <v>11188.8</v>
      </c>
    </row>
    <row r="77" spans="1:16" s="321" customFormat="1" x14ac:dyDescent="0.3">
      <c r="A77" s="19">
        <v>2022</v>
      </c>
      <c r="B77" s="20" t="s">
        <v>30</v>
      </c>
      <c r="C77" s="21" t="s">
        <v>69</v>
      </c>
      <c r="D77" s="261">
        <v>7977846</v>
      </c>
      <c r="E77" s="261">
        <f t="shared" si="23"/>
        <v>2450412</v>
      </c>
      <c r="F77" s="261">
        <f t="shared" si="20"/>
        <v>2450412</v>
      </c>
      <c r="G77" s="261">
        <f t="shared" si="21"/>
        <v>0</v>
      </c>
      <c r="H77" s="261">
        <v>683439</v>
      </c>
      <c r="I77" s="261"/>
      <c r="J77" s="261">
        <v>1106955</v>
      </c>
      <c r="K77" s="261"/>
      <c r="L77" s="261">
        <v>660018</v>
      </c>
      <c r="M77" s="261"/>
      <c r="N77" s="261">
        <f t="shared" si="22"/>
        <v>11410.6</v>
      </c>
      <c r="O77" s="261">
        <v>11410.6</v>
      </c>
      <c r="P77" s="254"/>
    </row>
    <row r="78" spans="1:16" s="321" customFormat="1" x14ac:dyDescent="0.3">
      <c r="A78" s="22">
        <v>2022</v>
      </c>
      <c r="B78" s="23" t="s">
        <v>31</v>
      </c>
      <c r="C78" s="24" t="s">
        <v>69</v>
      </c>
      <c r="D78" s="256">
        <v>3248998</v>
      </c>
      <c r="E78" s="256">
        <f t="shared" si="23"/>
        <v>1099243</v>
      </c>
      <c r="F78" s="256">
        <f t="shared" si="20"/>
        <v>1099243</v>
      </c>
      <c r="G78" s="256">
        <f t="shared" si="21"/>
        <v>0</v>
      </c>
      <c r="H78" s="256">
        <v>267686</v>
      </c>
      <c r="I78" s="256"/>
      <c r="J78" s="256">
        <v>520401</v>
      </c>
      <c r="K78" s="256"/>
      <c r="L78" s="256">
        <v>311156</v>
      </c>
      <c r="M78" s="256"/>
      <c r="N78" s="256">
        <f t="shared" si="22"/>
        <v>11471</v>
      </c>
      <c r="O78" s="256">
        <v>11471</v>
      </c>
      <c r="P78" s="259"/>
    </row>
    <row r="79" spans="1:16" s="321" customFormat="1" x14ac:dyDescent="0.3">
      <c r="A79" s="545"/>
      <c r="B79" s="545"/>
      <c r="C79" s="545"/>
      <c r="D79" s="171">
        <f t="shared" ref="D79:P79" si="24">SUM(D67:D78)</f>
        <v>91289659</v>
      </c>
      <c r="E79" s="171">
        <f t="shared" si="24"/>
        <v>29499774</v>
      </c>
      <c r="F79" s="171">
        <f t="shared" si="24"/>
        <v>19121704</v>
      </c>
      <c r="G79" s="171">
        <f t="shared" si="24"/>
        <v>10378070</v>
      </c>
      <c r="H79" s="171">
        <f t="shared" si="24"/>
        <v>5216034</v>
      </c>
      <c r="I79" s="171">
        <f t="shared" si="24"/>
        <v>2829108</v>
      </c>
      <c r="J79" s="171">
        <f t="shared" si="24"/>
        <v>8695327</v>
      </c>
      <c r="K79" s="171">
        <f t="shared" si="24"/>
        <v>4719527</v>
      </c>
      <c r="L79" s="171">
        <f t="shared" si="24"/>
        <v>5210343</v>
      </c>
      <c r="M79" s="171">
        <f t="shared" si="24"/>
        <v>2829435</v>
      </c>
      <c r="N79" s="171">
        <f t="shared" si="24"/>
        <v>135253.5</v>
      </c>
      <c r="O79" s="171">
        <f t="shared" si="24"/>
        <v>90659.6</v>
      </c>
      <c r="P79" s="171">
        <f t="shared" si="24"/>
        <v>44593.899999999994</v>
      </c>
    </row>
    <row r="80" spans="1:16" s="321" customFormat="1" x14ac:dyDescent="0.3">
      <c r="A80" s="285">
        <v>0</v>
      </c>
      <c r="B80" s="285"/>
      <c r="C80" s="285"/>
      <c r="D80" s="285"/>
      <c r="E80" s="285"/>
      <c r="F80" s="285"/>
      <c r="G80" s="285"/>
      <c r="H80" s="285"/>
      <c r="I80" s="285"/>
      <c r="J80" s="285"/>
      <c r="K80" s="285"/>
      <c r="L80" s="285"/>
      <c r="M80" s="285"/>
      <c r="N80" s="285"/>
      <c r="O80" s="273"/>
      <c r="P80" s="273"/>
    </row>
    <row r="81" spans="1:16" s="321" customFormat="1" ht="48.6" x14ac:dyDescent="0.3">
      <c r="A81" s="6" t="s">
        <v>18</v>
      </c>
      <c r="B81" s="6" t="s">
        <v>19</v>
      </c>
      <c r="C81" s="7" t="s">
        <v>0</v>
      </c>
      <c r="D81" s="8" t="s">
        <v>11</v>
      </c>
      <c r="E81" s="11" t="s">
        <v>62</v>
      </c>
      <c r="F81" s="11" t="s">
        <v>64</v>
      </c>
      <c r="G81" s="11" t="s">
        <v>63</v>
      </c>
      <c r="H81" s="159" t="s">
        <v>100</v>
      </c>
      <c r="I81" s="156" t="s">
        <v>101</v>
      </c>
      <c r="J81" s="78" t="s">
        <v>82</v>
      </c>
      <c r="K81" s="78" t="s">
        <v>83</v>
      </c>
      <c r="L81" s="159" t="s">
        <v>102</v>
      </c>
      <c r="M81" s="156" t="s">
        <v>103</v>
      </c>
      <c r="N81" s="11" t="s">
        <v>32</v>
      </c>
      <c r="O81" s="11" t="s">
        <v>70</v>
      </c>
      <c r="P81" s="11" t="s">
        <v>71</v>
      </c>
    </row>
    <row r="82" spans="1:16" s="321" customFormat="1" x14ac:dyDescent="0.3">
      <c r="A82" s="16">
        <v>2021</v>
      </c>
      <c r="B82" s="17" t="s">
        <v>20</v>
      </c>
      <c r="C82" s="18" t="s">
        <v>69</v>
      </c>
      <c r="D82" s="260">
        <v>8202892</v>
      </c>
      <c r="E82" s="260">
        <f>F82+G82</f>
        <v>2664905</v>
      </c>
      <c r="F82" s="260">
        <f>H82+J82+L82</f>
        <v>2664905</v>
      </c>
      <c r="G82" s="260">
        <f>I82+K82+M82</f>
        <v>0</v>
      </c>
      <c r="H82" s="260">
        <v>731929</v>
      </c>
      <c r="I82" s="260"/>
      <c r="J82" s="260">
        <v>1208652</v>
      </c>
      <c r="K82" s="260"/>
      <c r="L82" s="260">
        <v>724324</v>
      </c>
      <c r="M82" s="260"/>
      <c r="N82" s="260">
        <f>P82+O82</f>
        <v>11471</v>
      </c>
      <c r="O82" s="260">
        <v>11471</v>
      </c>
      <c r="P82" s="258"/>
    </row>
    <row r="83" spans="1:16" s="155" customFormat="1" x14ac:dyDescent="0.3">
      <c r="A83" s="19">
        <v>2021</v>
      </c>
      <c r="B83" s="20" t="s">
        <v>21</v>
      </c>
      <c r="C83" s="21" t="s">
        <v>69</v>
      </c>
      <c r="D83" s="261">
        <v>8221879</v>
      </c>
      <c r="E83" s="261">
        <f>F83+G83</f>
        <v>2429588</v>
      </c>
      <c r="F83" s="261">
        <f t="shared" ref="F83:F93" si="25">H83+J83+L83</f>
        <v>2429588</v>
      </c>
      <c r="G83" s="261">
        <f t="shared" ref="G83:G93" si="26">I83+K83+M83</f>
        <v>0</v>
      </c>
      <c r="H83" s="261">
        <v>662720</v>
      </c>
      <c r="I83" s="261"/>
      <c r="J83" s="261">
        <v>1104380</v>
      </c>
      <c r="K83" s="261"/>
      <c r="L83" s="261">
        <v>662488</v>
      </c>
      <c r="M83" s="261"/>
      <c r="N83" s="261">
        <f t="shared" ref="N83:N93" si="27">P83+O83</f>
        <v>11209</v>
      </c>
      <c r="O83" s="261">
        <v>11209</v>
      </c>
      <c r="P83" s="254"/>
    </row>
    <row r="84" spans="1:16" x14ac:dyDescent="0.3">
      <c r="A84" s="19">
        <v>2021</v>
      </c>
      <c r="B84" s="20" t="s">
        <v>22</v>
      </c>
      <c r="C84" s="21" t="s">
        <v>69</v>
      </c>
      <c r="D84" s="261">
        <v>7230773</v>
      </c>
      <c r="E84" s="261">
        <f t="shared" ref="E84:E93" si="28">F84+G84</f>
        <v>2349059</v>
      </c>
      <c r="F84" s="261">
        <f t="shared" si="25"/>
        <v>2349059</v>
      </c>
      <c r="G84" s="261">
        <f t="shared" si="26"/>
        <v>0</v>
      </c>
      <c r="H84" s="261">
        <v>629471</v>
      </c>
      <c r="I84" s="261"/>
      <c r="J84" s="261">
        <v>1071827</v>
      </c>
      <c r="K84" s="261"/>
      <c r="L84" s="261">
        <v>647761</v>
      </c>
      <c r="M84" s="261"/>
      <c r="N84" s="261">
        <f t="shared" si="27"/>
        <v>11067.8</v>
      </c>
      <c r="O84" s="261">
        <v>11067.8</v>
      </c>
      <c r="P84" s="254"/>
    </row>
    <row r="85" spans="1:16" x14ac:dyDescent="0.3">
      <c r="A85" s="19">
        <v>2021</v>
      </c>
      <c r="B85" s="20" t="s">
        <v>23</v>
      </c>
      <c r="C85" s="21" t="s">
        <v>69</v>
      </c>
      <c r="D85" s="261">
        <v>8165234</v>
      </c>
      <c r="E85" s="261">
        <f t="shared" si="28"/>
        <v>2780649</v>
      </c>
      <c r="F85" s="261">
        <f t="shared" si="25"/>
        <v>2780649</v>
      </c>
      <c r="G85" s="261">
        <f t="shared" si="26"/>
        <v>0</v>
      </c>
      <c r="H85" s="261">
        <v>758208</v>
      </c>
      <c r="I85" s="261"/>
      <c r="J85" s="261">
        <v>1264002</v>
      </c>
      <c r="K85" s="261"/>
      <c r="L85" s="261">
        <v>758439</v>
      </c>
      <c r="M85" s="261"/>
      <c r="N85" s="261">
        <f t="shared" si="27"/>
        <v>11088</v>
      </c>
      <c r="O85" s="261">
        <v>11088</v>
      </c>
      <c r="P85" s="254"/>
    </row>
    <row r="86" spans="1:16" x14ac:dyDescent="0.3">
      <c r="A86" s="19">
        <v>2021</v>
      </c>
      <c r="B86" s="20" t="s">
        <v>24</v>
      </c>
      <c r="C86" s="21" t="s">
        <v>69</v>
      </c>
      <c r="D86" s="261">
        <v>7936750</v>
      </c>
      <c r="E86" s="261">
        <f t="shared" si="28"/>
        <v>2669834</v>
      </c>
      <c r="F86" s="261">
        <f t="shared" si="25"/>
        <v>2669834</v>
      </c>
      <c r="G86" s="261">
        <f t="shared" si="26"/>
        <v>0</v>
      </c>
      <c r="H86" s="261">
        <v>728245</v>
      </c>
      <c r="I86" s="261"/>
      <c r="J86" s="261">
        <v>1213919</v>
      </c>
      <c r="K86" s="261"/>
      <c r="L86" s="261">
        <v>727670</v>
      </c>
      <c r="M86" s="261"/>
      <c r="N86" s="261">
        <f t="shared" si="27"/>
        <v>11188.8</v>
      </c>
      <c r="O86" s="261">
        <v>11188.8</v>
      </c>
      <c r="P86" s="254"/>
    </row>
    <row r="87" spans="1:16" x14ac:dyDescent="0.3">
      <c r="A87" s="19">
        <v>2021</v>
      </c>
      <c r="B87" s="20" t="s">
        <v>25</v>
      </c>
      <c r="C87" s="21" t="s">
        <v>69</v>
      </c>
      <c r="D87" s="261">
        <v>8209882</v>
      </c>
      <c r="E87" s="261">
        <f t="shared" si="28"/>
        <v>2428987</v>
      </c>
      <c r="F87" s="261">
        <f t="shared" si="25"/>
        <v>0</v>
      </c>
      <c r="G87" s="261">
        <f t="shared" si="26"/>
        <v>2428987</v>
      </c>
      <c r="H87" s="261"/>
      <c r="I87" s="261">
        <v>662674</v>
      </c>
      <c r="J87" s="261"/>
      <c r="K87" s="261">
        <v>1104324</v>
      </c>
      <c r="L87" s="261"/>
      <c r="M87" s="261">
        <v>661989</v>
      </c>
      <c r="N87" s="261">
        <f t="shared" si="27"/>
        <v>11188.8</v>
      </c>
      <c r="O87" s="261"/>
      <c r="P87" s="254">
        <v>11188.8</v>
      </c>
    </row>
    <row r="88" spans="1:16" x14ac:dyDescent="0.3">
      <c r="A88" s="19">
        <v>2021</v>
      </c>
      <c r="B88" s="20" t="s">
        <v>26</v>
      </c>
      <c r="C88" s="21" t="s">
        <v>69</v>
      </c>
      <c r="D88" s="261">
        <v>7977251</v>
      </c>
      <c r="E88" s="261">
        <f t="shared" si="28"/>
        <v>2683608</v>
      </c>
      <c r="F88" s="261">
        <f t="shared" si="25"/>
        <v>0</v>
      </c>
      <c r="G88" s="261">
        <f t="shared" si="26"/>
        <v>2683608</v>
      </c>
      <c r="H88" s="261"/>
      <c r="I88" s="261">
        <v>732221</v>
      </c>
      <c r="J88" s="261"/>
      <c r="K88" s="261">
        <v>1220199</v>
      </c>
      <c r="L88" s="261"/>
      <c r="M88" s="261">
        <v>731188</v>
      </c>
      <c r="N88" s="261">
        <f t="shared" si="27"/>
        <v>11188.8</v>
      </c>
      <c r="O88" s="261"/>
      <c r="P88" s="254">
        <v>11188.8</v>
      </c>
    </row>
    <row r="89" spans="1:16" x14ac:dyDescent="0.3">
      <c r="A89" s="19">
        <v>2021</v>
      </c>
      <c r="B89" s="20" t="s">
        <v>27</v>
      </c>
      <c r="C89" s="21" t="s">
        <v>69</v>
      </c>
      <c r="D89" s="261">
        <v>8238360</v>
      </c>
      <c r="E89" s="261">
        <f t="shared" si="28"/>
        <v>2683428</v>
      </c>
      <c r="F89" s="261">
        <f t="shared" si="25"/>
        <v>0</v>
      </c>
      <c r="G89" s="261">
        <f t="shared" si="26"/>
        <v>2683428</v>
      </c>
      <c r="H89" s="261"/>
      <c r="I89" s="261">
        <v>731662</v>
      </c>
      <c r="J89" s="261"/>
      <c r="K89" s="261">
        <v>1220386</v>
      </c>
      <c r="L89" s="261"/>
      <c r="M89" s="261">
        <v>731380</v>
      </c>
      <c r="N89" s="261">
        <f t="shared" si="27"/>
        <v>11209</v>
      </c>
      <c r="O89" s="261"/>
      <c r="P89" s="254">
        <v>11209</v>
      </c>
    </row>
    <row r="90" spans="1:16" x14ac:dyDescent="0.3">
      <c r="A90" s="19">
        <v>2021</v>
      </c>
      <c r="B90" s="20" t="s">
        <v>28</v>
      </c>
      <c r="C90" s="21" t="s">
        <v>69</v>
      </c>
      <c r="D90" s="261">
        <v>6107830</v>
      </c>
      <c r="E90" s="261">
        <f t="shared" si="28"/>
        <v>2037466</v>
      </c>
      <c r="F90" s="261">
        <f t="shared" si="25"/>
        <v>0</v>
      </c>
      <c r="G90" s="261">
        <f t="shared" si="26"/>
        <v>2037466</v>
      </c>
      <c r="H90" s="261"/>
      <c r="I90" s="261">
        <v>550691</v>
      </c>
      <c r="J90" s="261"/>
      <c r="K90" s="261">
        <v>929144</v>
      </c>
      <c r="L90" s="261"/>
      <c r="M90" s="261">
        <v>557631</v>
      </c>
      <c r="N90" s="261">
        <f t="shared" si="27"/>
        <v>11632.3</v>
      </c>
      <c r="O90" s="261"/>
      <c r="P90" s="254">
        <v>11632.3</v>
      </c>
    </row>
    <row r="91" spans="1:16" x14ac:dyDescent="0.3">
      <c r="A91" s="19">
        <v>2021</v>
      </c>
      <c r="B91" s="20" t="s">
        <v>29</v>
      </c>
      <c r="C91" s="21" t="s">
        <v>69</v>
      </c>
      <c r="D91" s="261">
        <v>8185630</v>
      </c>
      <c r="E91" s="261">
        <f t="shared" si="28"/>
        <v>2630477</v>
      </c>
      <c r="F91" s="261">
        <f t="shared" si="25"/>
        <v>0</v>
      </c>
      <c r="G91" s="261">
        <f t="shared" si="26"/>
        <v>2630477</v>
      </c>
      <c r="H91" s="261"/>
      <c r="I91" s="261">
        <v>717283</v>
      </c>
      <c r="J91" s="261"/>
      <c r="K91" s="261">
        <v>1196229</v>
      </c>
      <c r="L91" s="261"/>
      <c r="M91" s="261">
        <v>716965</v>
      </c>
      <c r="N91" s="261">
        <f t="shared" si="27"/>
        <v>11551.7</v>
      </c>
      <c r="O91" s="261"/>
      <c r="P91" s="254">
        <v>11551.7</v>
      </c>
    </row>
    <row r="92" spans="1:16" x14ac:dyDescent="0.3">
      <c r="A92" s="19">
        <v>2021</v>
      </c>
      <c r="B92" s="20" t="s">
        <v>30</v>
      </c>
      <c r="C92" s="21" t="s">
        <v>69</v>
      </c>
      <c r="D92" s="261">
        <v>8429133</v>
      </c>
      <c r="E92" s="261">
        <f t="shared" si="28"/>
        <v>2619303</v>
      </c>
      <c r="F92" s="261">
        <f t="shared" si="25"/>
        <v>2619303</v>
      </c>
      <c r="G92" s="261">
        <f t="shared" si="26"/>
        <v>0</v>
      </c>
      <c r="H92" s="261">
        <v>714198</v>
      </c>
      <c r="I92" s="261"/>
      <c r="J92" s="261">
        <v>1190816</v>
      </c>
      <c r="K92" s="261"/>
      <c r="L92" s="261">
        <v>714289</v>
      </c>
      <c r="M92" s="261"/>
      <c r="N92" s="261">
        <f t="shared" si="27"/>
        <v>11491.2</v>
      </c>
      <c r="O92" s="261">
        <v>11491.2</v>
      </c>
      <c r="P92" s="254"/>
    </row>
    <row r="93" spans="1:16" x14ac:dyDescent="0.3">
      <c r="A93" s="22">
        <v>2021</v>
      </c>
      <c r="B93" s="23" t="s">
        <v>31</v>
      </c>
      <c r="C93" s="24" t="s">
        <v>69</v>
      </c>
      <c r="D93" s="256">
        <v>8100313</v>
      </c>
      <c r="E93" s="256">
        <f t="shared" si="28"/>
        <v>2596029</v>
      </c>
      <c r="F93" s="256">
        <f t="shared" si="25"/>
        <v>2596029</v>
      </c>
      <c r="G93" s="256">
        <f t="shared" si="26"/>
        <v>0</v>
      </c>
      <c r="H93" s="256">
        <v>708322</v>
      </c>
      <c r="I93" s="256"/>
      <c r="J93" s="256">
        <v>1180000</v>
      </c>
      <c r="K93" s="256"/>
      <c r="L93" s="256">
        <v>707707</v>
      </c>
      <c r="M93" s="256"/>
      <c r="N93" s="256">
        <f t="shared" si="27"/>
        <v>11370.2</v>
      </c>
      <c r="O93" s="256">
        <v>11370.2</v>
      </c>
      <c r="P93" s="259"/>
    </row>
    <row r="94" spans="1:16" x14ac:dyDescent="0.3">
      <c r="A94" s="545"/>
      <c r="B94" s="545"/>
      <c r="C94" s="545"/>
      <c r="D94" s="171">
        <f t="shared" ref="D94:P94" si="29">SUM(D82:D93)</f>
        <v>95005927</v>
      </c>
      <c r="E94" s="171">
        <f t="shared" si="29"/>
        <v>30573333</v>
      </c>
      <c r="F94" s="171">
        <f t="shared" si="29"/>
        <v>18109367</v>
      </c>
      <c r="G94" s="171">
        <f t="shared" si="29"/>
        <v>12463966</v>
      </c>
      <c r="H94" s="171">
        <f t="shared" si="29"/>
        <v>4933093</v>
      </c>
      <c r="I94" s="171">
        <f t="shared" si="29"/>
        <v>3394531</v>
      </c>
      <c r="J94" s="171">
        <f t="shared" si="29"/>
        <v>8233596</v>
      </c>
      <c r="K94" s="171">
        <f t="shared" si="29"/>
        <v>5670282</v>
      </c>
      <c r="L94" s="171">
        <f t="shared" si="29"/>
        <v>4942678</v>
      </c>
      <c r="M94" s="171">
        <f t="shared" si="29"/>
        <v>3399153</v>
      </c>
      <c r="N94" s="171">
        <f t="shared" si="29"/>
        <v>135656.6</v>
      </c>
      <c r="O94" s="171">
        <f t="shared" si="29"/>
        <v>78886</v>
      </c>
      <c r="P94" s="171">
        <f t="shared" si="29"/>
        <v>56770.599999999991</v>
      </c>
    </row>
    <row r="95" spans="1:16" x14ac:dyDescent="0.3">
      <c r="A95" s="285">
        <v>0</v>
      </c>
      <c r="B95" s="285"/>
      <c r="C95" s="285"/>
      <c r="D95" s="285"/>
      <c r="E95" s="285"/>
      <c r="F95" s="285"/>
      <c r="G95" s="285"/>
      <c r="H95" s="285"/>
      <c r="I95" s="285"/>
      <c r="J95" s="285"/>
      <c r="K95" s="285"/>
      <c r="L95" s="285"/>
      <c r="M95" s="285"/>
      <c r="N95" s="285"/>
      <c r="O95" s="273"/>
      <c r="P95" s="273"/>
    </row>
    <row r="96" spans="1:16" ht="48.6" x14ac:dyDescent="0.3">
      <c r="A96" s="6" t="s">
        <v>18</v>
      </c>
      <c r="B96" s="6" t="s">
        <v>19</v>
      </c>
      <c r="C96" s="7" t="s">
        <v>0</v>
      </c>
      <c r="D96" s="8" t="s">
        <v>11</v>
      </c>
      <c r="E96" s="11" t="s">
        <v>62</v>
      </c>
      <c r="F96" s="11" t="s">
        <v>64</v>
      </c>
      <c r="G96" s="11" t="s">
        <v>63</v>
      </c>
      <c r="H96" s="159" t="s">
        <v>100</v>
      </c>
      <c r="I96" s="156" t="s">
        <v>101</v>
      </c>
      <c r="J96" s="78" t="s">
        <v>82</v>
      </c>
      <c r="K96" s="78" t="s">
        <v>83</v>
      </c>
      <c r="L96" s="159" t="s">
        <v>102</v>
      </c>
      <c r="M96" s="156" t="s">
        <v>103</v>
      </c>
      <c r="N96" s="11" t="s">
        <v>32</v>
      </c>
      <c r="O96" s="11" t="s">
        <v>70</v>
      </c>
      <c r="P96" s="11" t="s">
        <v>71</v>
      </c>
    </row>
    <row r="97" spans="1:16" x14ac:dyDescent="0.3">
      <c r="A97" s="16">
        <v>2020</v>
      </c>
      <c r="B97" s="17" t="s">
        <v>20</v>
      </c>
      <c r="C97" s="18" t="s">
        <v>69</v>
      </c>
      <c r="D97" s="260">
        <v>8519742</v>
      </c>
      <c r="E97" s="260">
        <f>F97+G97</f>
        <v>2644911</v>
      </c>
      <c r="F97" s="260">
        <f>H97+J97+L97</f>
        <v>2644911</v>
      </c>
      <c r="G97" s="260">
        <f>I97+K97+M97</f>
        <v>0</v>
      </c>
      <c r="H97" s="260">
        <v>721410</v>
      </c>
      <c r="I97" s="260"/>
      <c r="J97" s="260">
        <v>1202327</v>
      </c>
      <c r="K97" s="260"/>
      <c r="L97" s="260">
        <v>721174</v>
      </c>
      <c r="M97" s="260"/>
      <c r="N97" s="260">
        <f t="shared" ref="N97:N108" si="30">P97+O97</f>
        <v>11954.9</v>
      </c>
      <c r="O97" s="260">
        <v>11954.9</v>
      </c>
      <c r="P97" s="258"/>
    </row>
    <row r="98" spans="1:16" x14ac:dyDescent="0.3">
      <c r="A98" s="19">
        <v>2020</v>
      </c>
      <c r="B98" s="20" t="s">
        <v>21</v>
      </c>
      <c r="C98" s="21" t="s">
        <v>69</v>
      </c>
      <c r="D98" s="261">
        <v>8523330</v>
      </c>
      <c r="E98" s="261">
        <f t="shared" ref="E98:E108" si="31">F98+G98</f>
        <v>2773587</v>
      </c>
      <c r="F98" s="261">
        <f t="shared" ref="F98:F108" si="32">H98+J98+L98</f>
        <v>2773587</v>
      </c>
      <c r="G98" s="261">
        <f t="shared" ref="G98:G108" si="33">I98+K98+M98</f>
        <v>0</v>
      </c>
      <c r="H98" s="261">
        <v>756635</v>
      </c>
      <c r="I98" s="261"/>
      <c r="J98" s="261">
        <v>1260645</v>
      </c>
      <c r="K98" s="261"/>
      <c r="L98" s="261">
        <v>756307</v>
      </c>
      <c r="M98" s="261"/>
      <c r="N98" s="261">
        <f t="shared" si="30"/>
        <v>11954.9</v>
      </c>
      <c r="O98" s="261">
        <v>11954.9</v>
      </c>
      <c r="P98" s="254"/>
    </row>
    <row r="99" spans="1:16" x14ac:dyDescent="0.3">
      <c r="A99" s="19">
        <v>2020</v>
      </c>
      <c r="B99" s="20" t="s">
        <v>22</v>
      </c>
      <c r="C99" s="21" t="s">
        <v>69</v>
      </c>
      <c r="D99" s="261">
        <v>7962187</v>
      </c>
      <c r="E99" s="261">
        <f t="shared" si="31"/>
        <v>2516921</v>
      </c>
      <c r="F99" s="261">
        <f t="shared" si="32"/>
        <v>2516921</v>
      </c>
      <c r="G99" s="261">
        <f t="shared" si="33"/>
        <v>0</v>
      </c>
      <c r="H99" s="261">
        <v>686700</v>
      </c>
      <c r="I99" s="261"/>
      <c r="J99" s="261">
        <v>1143828</v>
      </c>
      <c r="K99" s="261"/>
      <c r="L99" s="261">
        <v>686393</v>
      </c>
      <c r="M99" s="261"/>
      <c r="N99" s="261">
        <f t="shared" si="30"/>
        <v>11954.9</v>
      </c>
      <c r="O99" s="261">
        <v>11954.9</v>
      </c>
      <c r="P99" s="254"/>
    </row>
    <row r="100" spans="1:16" x14ac:dyDescent="0.3">
      <c r="A100" s="19">
        <v>2020</v>
      </c>
      <c r="B100" s="20" t="s">
        <v>23</v>
      </c>
      <c r="C100" s="21" t="s">
        <v>69</v>
      </c>
      <c r="D100" s="261">
        <v>8504703</v>
      </c>
      <c r="E100" s="261">
        <f t="shared" si="31"/>
        <v>2771622</v>
      </c>
      <c r="F100" s="261">
        <f t="shared" si="32"/>
        <v>2771622</v>
      </c>
      <c r="G100" s="261">
        <f t="shared" si="33"/>
        <v>0</v>
      </c>
      <c r="H100" s="261">
        <v>756060</v>
      </c>
      <c r="I100" s="261"/>
      <c r="J100" s="261">
        <v>1259864</v>
      </c>
      <c r="K100" s="261"/>
      <c r="L100" s="261">
        <v>755698</v>
      </c>
      <c r="M100" s="261"/>
      <c r="N100" s="261">
        <f t="shared" si="30"/>
        <v>11954.9</v>
      </c>
      <c r="O100" s="261">
        <v>11954.9</v>
      </c>
      <c r="P100" s="254"/>
    </row>
    <row r="101" spans="1:16" x14ac:dyDescent="0.3">
      <c r="A101" s="19">
        <v>2020</v>
      </c>
      <c r="B101" s="20" t="s">
        <v>24</v>
      </c>
      <c r="C101" s="21" t="s">
        <v>69</v>
      </c>
      <c r="D101" s="261">
        <v>7903082</v>
      </c>
      <c r="E101" s="261">
        <f t="shared" si="31"/>
        <v>2658932</v>
      </c>
      <c r="F101" s="261">
        <f t="shared" si="32"/>
        <v>2658932</v>
      </c>
      <c r="G101" s="261">
        <f t="shared" si="33"/>
        <v>0</v>
      </c>
      <c r="H101" s="261">
        <v>726183</v>
      </c>
      <c r="I101" s="261"/>
      <c r="J101" s="261">
        <v>1208456</v>
      </c>
      <c r="K101" s="261"/>
      <c r="L101" s="261">
        <v>724293</v>
      </c>
      <c r="M101" s="261"/>
      <c r="N101" s="261">
        <f t="shared" si="30"/>
        <v>11954.9</v>
      </c>
      <c r="O101" s="261">
        <v>11954.9</v>
      </c>
      <c r="P101" s="254"/>
    </row>
    <row r="102" spans="1:16" x14ac:dyDescent="0.3">
      <c r="A102" s="19">
        <v>2020</v>
      </c>
      <c r="B102" s="20" t="s">
        <v>25</v>
      </c>
      <c r="C102" s="21" t="s">
        <v>69</v>
      </c>
      <c r="D102" s="261">
        <v>7990482</v>
      </c>
      <c r="E102" s="261">
        <f t="shared" si="31"/>
        <v>2363503</v>
      </c>
      <c r="F102" s="261">
        <f t="shared" si="32"/>
        <v>0</v>
      </c>
      <c r="G102" s="261">
        <f t="shared" si="33"/>
        <v>2363503</v>
      </c>
      <c r="H102" s="261"/>
      <c r="I102" s="261">
        <v>644762</v>
      </c>
      <c r="J102" s="261"/>
      <c r="K102" s="261">
        <v>1074745</v>
      </c>
      <c r="L102" s="261"/>
      <c r="M102" s="261">
        <v>643996</v>
      </c>
      <c r="N102" s="261">
        <f t="shared" si="30"/>
        <v>11733.1</v>
      </c>
      <c r="O102" s="261"/>
      <c r="P102" s="254">
        <v>11733.1</v>
      </c>
    </row>
    <row r="103" spans="1:16" x14ac:dyDescent="0.3">
      <c r="A103" s="19">
        <v>2020</v>
      </c>
      <c r="B103" s="20" t="s">
        <v>26</v>
      </c>
      <c r="C103" s="21" t="s">
        <v>69</v>
      </c>
      <c r="D103" s="261">
        <v>8085481</v>
      </c>
      <c r="E103" s="261">
        <f t="shared" si="31"/>
        <v>2721137</v>
      </c>
      <c r="F103" s="261">
        <f t="shared" si="32"/>
        <v>0</v>
      </c>
      <c r="G103" s="261">
        <f t="shared" si="33"/>
        <v>2721137</v>
      </c>
      <c r="H103" s="261"/>
      <c r="I103" s="261">
        <v>741737</v>
      </c>
      <c r="J103" s="261"/>
      <c r="K103" s="261">
        <v>1237542</v>
      </c>
      <c r="L103" s="261"/>
      <c r="M103" s="261">
        <v>741858</v>
      </c>
      <c r="N103" s="261">
        <f t="shared" si="30"/>
        <v>11733.1</v>
      </c>
      <c r="O103" s="261"/>
      <c r="P103" s="254">
        <v>11733.1</v>
      </c>
    </row>
    <row r="104" spans="1:16" x14ac:dyDescent="0.3">
      <c r="A104" s="19">
        <v>2020</v>
      </c>
      <c r="B104" s="20" t="s">
        <v>27</v>
      </c>
      <c r="C104" s="21" t="s">
        <v>69</v>
      </c>
      <c r="D104" s="261">
        <v>8485692</v>
      </c>
      <c r="E104" s="261">
        <f t="shared" si="31"/>
        <v>2892789</v>
      </c>
      <c r="F104" s="261">
        <f t="shared" si="32"/>
        <v>0</v>
      </c>
      <c r="G104" s="261">
        <f t="shared" si="33"/>
        <v>2892789</v>
      </c>
      <c r="H104" s="261"/>
      <c r="I104" s="261">
        <v>789375</v>
      </c>
      <c r="J104" s="261"/>
      <c r="K104" s="261">
        <v>1315294</v>
      </c>
      <c r="L104" s="261"/>
      <c r="M104" s="261">
        <v>788120</v>
      </c>
      <c r="N104" s="261">
        <f t="shared" si="30"/>
        <v>11692.8</v>
      </c>
      <c r="O104" s="261"/>
      <c r="P104" s="254">
        <v>11692.8</v>
      </c>
    </row>
    <row r="105" spans="1:16" x14ac:dyDescent="0.3">
      <c r="A105" s="19">
        <v>2020</v>
      </c>
      <c r="B105" s="20" t="s">
        <v>28</v>
      </c>
      <c r="C105" s="21" t="s">
        <v>69</v>
      </c>
      <c r="D105" s="261">
        <v>8506834</v>
      </c>
      <c r="E105" s="261">
        <f t="shared" si="31"/>
        <v>2646695</v>
      </c>
      <c r="F105" s="261">
        <f t="shared" si="32"/>
        <v>0</v>
      </c>
      <c r="G105" s="261">
        <f t="shared" si="33"/>
        <v>2646695</v>
      </c>
      <c r="H105" s="261"/>
      <c r="I105" s="261">
        <v>722716</v>
      </c>
      <c r="J105" s="261"/>
      <c r="K105" s="261">
        <v>1202856</v>
      </c>
      <c r="L105" s="261"/>
      <c r="M105" s="261">
        <v>721123</v>
      </c>
      <c r="N105" s="261">
        <f t="shared" si="30"/>
        <v>11672.6</v>
      </c>
      <c r="O105" s="261"/>
      <c r="P105" s="254">
        <v>11672.6</v>
      </c>
    </row>
    <row r="106" spans="1:16" x14ac:dyDescent="0.3">
      <c r="A106" s="19">
        <v>2020</v>
      </c>
      <c r="B106" s="20" t="s">
        <v>29</v>
      </c>
      <c r="C106" s="21" t="s">
        <v>69</v>
      </c>
      <c r="D106" s="261">
        <v>8237864</v>
      </c>
      <c r="E106" s="261">
        <f t="shared" si="31"/>
        <v>2645057</v>
      </c>
      <c r="F106" s="261">
        <f t="shared" si="32"/>
        <v>2645057</v>
      </c>
      <c r="G106" s="261">
        <f t="shared" si="33"/>
        <v>0</v>
      </c>
      <c r="H106" s="261">
        <v>721572</v>
      </c>
      <c r="I106" s="261"/>
      <c r="J106" s="261">
        <v>1202594</v>
      </c>
      <c r="K106" s="261"/>
      <c r="L106" s="261">
        <v>720891</v>
      </c>
      <c r="M106" s="261"/>
      <c r="N106" s="261">
        <f t="shared" si="30"/>
        <v>11652.5</v>
      </c>
      <c r="O106" s="261">
        <v>11652.5</v>
      </c>
      <c r="P106" s="254"/>
    </row>
    <row r="107" spans="1:16" x14ac:dyDescent="0.3">
      <c r="A107" s="19">
        <v>2020</v>
      </c>
      <c r="B107" s="20" t="s">
        <v>30</v>
      </c>
      <c r="C107" s="21" t="s">
        <v>69</v>
      </c>
      <c r="D107" s="261">
        <v>8477914</v>
      </c>
      <c r="E107" s="261">
        <f t="shared" si="31"/>
        <v>2759278</v>
      </c>
      <c r="F107" s="261">
        <f t="shared" si="32"/>
        <v>2759278</v>
      </c>
      <c r="G107" s="261">
        <f t="shared" si="33"/>
        <v>0</v>
      </c>
      <c r="H107" s="261">
        <v>752749</v>
      </c>
      <c r="I107" s="261"/>
      <c r="J107" s="261">
        <v>1254254</v>
      </c>
      <c r="K107" s="261"/>
      <c r="L107" s="261">
        <v>752275</v>
      </c>
      <c r="M107" s="261"/>
      <c r="N107" s="261">
        <f t="shared" si="30"/>
        <v>11652.5</v>
      </c>
      <c r="O107" s="261">
        <v>11652.5</v>
      </c>
      <c r="P107" s="254"/>
    </row>
    <row r="108" spans="1:16" x14ac:dyDescent="0.3">
      <c r="A108" s="22">
        <v>2020</v>
      </c>
      <c r="B108" s="23" t="s">
        <v>31</v>
      </c>
      <c r="C108" s="24" t="s">
        <v>69</v>
      </c>
      <c r="D108" s="256">
        <v>5913594</v>
      </c>
      <c r="E108" s="256">
        <f t="shared" si="31"/>
        <v>1658493</v>
      </c>
      <c r="F108" s="256">
        <f t="shared" si="32"/>
        <v>1658493</v>
      </c>
      <c r="G108" s="256">
        <f t="shared" si="33"/>
        <v>0</v>
      </c>
      <c r="H108" s="256">
        <v>454205</v>
      </c>
      <c r="I108" s="256"/>
      <c r="J108" s="256">
        <v>738652</v>
      </c>
      <c r="K108" s="256"/>
      <c r="L108" s="256">
        <v>465636</v>
      </c>
      <c r="M108" s="256"/>
      <c r="N108" s="256">
        <f t="shared" si="30"/>
        <v>11652.5</v>
      </c>
      <c r="O108" s="256">
        <v>11652.5</v>
      </c>
      <c r="P108" s="259"/>
    </row>
    <row r="109" spans="1:16" x14ac:dyDescent="0.3">
      <c r="A109" s="545"/>
      <c r="B109" s="545"/>
      <c r="C109" s="545"/>
      <c r="D109" s="171">
        <f t="shared" ref="D109:P109" si="34">SUM(D97:D108)</f>
        <v>97110905</v>
      </c>
      <c r="E109" s="171">
        <f t="shared" si="34"/>
        <v>31052925</v>
      </c>
      <c r="F109" s="171">
        <f t="shared" si="34"/>
        <v>20428801</v>
      </c>
      <c r="G109" s="171">
        <f t="shared" si="34"/>
        <v>10624124</v>
      </c>
      <c r="H109" s="171">
        <f t="shared" si="34"/>
        <v>5575514</v>
      </c>
      <c r="I109" s="171">
        <f t="shared" si="34"/>
        <v>2898590</v>
      </c>
      <c r="J109" s="171">
        <f t="shared" si="34"/>
        <v>9270620</v>
      </c>
      <c r="K109" s="171">
        <f t="shared" si="34"/>
        <v>4830437</v>
      </c>
      <c r="L109" s="171">
        <f t="shared" si="34"/>
        <v>5582667</v>
      </c>
      <c r="M109" s="171">
        <f t="shared" si="34"/>
        <v>2895097</v>
      </c>
      <c r="N109" s="171">
        <f t="shared" si="34"/>
        <v>141563.60000000003</v>
      </c>
      <c r="O109" s="171">
        <f t="shared" si="34"/>
        <v>94732</v>
      </c>
      <c r="P109" s="171">
        <f t="shared" si="34"/>
        <v>46831.6</v>
      </c>
    </row>
    <row r="110" spans="1:16" x14ac:dyDescent="0.3">
      <c r="A110" s="285">
        <v>0</v>
      </c>
      <c r="B110" s="285"/>
      <c r="C110" s="285"/>
      <c r="D110" s="285"/>
      <c r="E110" s="285"/>
      <c r="F110" s="285"/>
      <c r="G110" s="285"/>
      <c r="H110" s="285"/>
      <c r="I110" s="285"/>
      <c r="J110" s="285"/>
      <c r="K110" s="285"/>
      <c r="L110" s="285"/>
      <c r="M110" s="285"/>
      <c r="N110" s="285"/>
      <c r="O110" s="273"/>
      <c r="P110" s="273"/>
    </row>
    <row r="111" spans="1:16" x14ac:dyDescent="0.3">
      <c r="A111" s="41" t="s">
        <v>113</v>
      </c>
      <c r="D111" s="155"/>
      <c r="E111" s="155"/>
      <c r="F111" s="155"/>
      <c r="G111" s="155"/>
      <c r="H111" s="155"/>
      <c r="I111" s="155"/>
      <c r="J111" s="155"/>
      <c r="K111" s="155"/>
      <c r="N111" s="155"/>
      <c r="O111" s="155"/>
      <c r="P111" s="155"/>
    </row>
  </sheetData>
  <mergeCells count="11">
    <mergeCell ref="A109:C109"/>
    <mergeCell ref="A94:C94"/>
    <mergeCell ref="A79:C79"/>
    <mergeCell ref="A19:C19"/>
    <mergeCell ref="A49:C49"/>
    <mergeCell ref="A64:C64"/>
    <mergeCell ref="A1:I1"/>
    <mergeCell ref="A2:I2"/>
    <mergeCell ref="A3:I3"/>
    <mergeCell ref="A4:I4"/>
    <mergeCell ref="A34:C34"/>
  </mergeCells>
  <printOptions horizontalCentered="1"/>
  <pageMargins left="0.25" right="0.25" top="0.5" bottom="0.75" header="0.3" footer="0.3"/>
  <pageSetup scale="64" orientation="landscape" r:id="rId1"/>
  <rowBreaks count="2" manualBreakCount="2">
    <brk id="35" max="16" man="1"/>
    <brk id="65" max="16"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26C12-DC56-4E6F-83A3-306141D6467C}">
  <sheetPr codeName="Sheet18">
    <pageSetUpPr fitToPage="1"/>
  </sheetPr>
  <dimension ref="A1:AK123"/>
  <sheetViews>
    <sheetView zoomScaleNormal="100" workbookViewId="0">
      <selection sqref="A1:I1"/>
    </sheetView>
  </sheetViews>
  <sheetFormatPr defaultRowHeight="14.4" x14ac:dyDescent="0.3"/>
  <cols>
    <col min="1" max="1" width="9.109375" style="3" customWidth="1"/>
    <col min="2" max="2" width="6.5546875" style="3" customWidth="1"/>
    <col min="3" max="3" width="8" style="3" customWidth="1"/>
    <col min="4" max="4" width="11.44140625" customWidth="1"/>
    <col min="5" max="7" width="11.44140625" style="343" customWidth="1"/>
    <col min="8" max="8" width="12" customWidth="1"/>
    <col min="9" max="9" width="11.44140625" customWidth="1"/>
    <col min="10" max="10" width="11.109375" customWidth="1"/>
    <col min="11" max="11" width="12.44140625" customWidth="1"/>
    <col min="12" max="12" width="11.109375" customWidth="1"/>
    <col min="13" max="13" width="11.5546875" customWidth="1"/>
    <col min="15" max="15" width="10.44140625" customWidth="1"/>
    <col min="16" max="16" width="13.5546875" customWidth="1"/>
    <col min="17" max="17" width="10.44140625" customWidth="1"/>
    <col min="18" max="18" width="11.44140625" style="343" customWidth="1"/>
    <col min="19" max="19" width="10.109375" customWidth="1"/>
    <col min="22" max="22" width="6" customWidth="1"/>
  </cols>
  <sheetData>
    <row r="1" spans="1:37" s="343" customFormat="1" ht="18" x14ac:dyDescent="0.35">
      <c r="A1" s="542" t="s">
        <v>122</v>
      </c>
      <c r="B1" s="542"/>
      <c r="C1" s="542"/>
      <c r="D1" s="542"/>
      <c r="E1" s="542"/>
      <c r="F1" s="542"/>
      <c r="G1" s="542"/>
      <c r="H1" s="542"/>
      <c r="I1" s="542"/>
    </row>
    <row r="2" spans="1:37" s="343" customFormat="1" ht="18" x14ac:dyDescent="0.35">
      <c r="A2" s="542" t="s">
        <v>163</v>
      </c>
      <c r="B2" s="542"/>
      <c r="C2" s="542"/>
      <c r="D2" s="542"/>
      <c r="E2" s="542"/>
      <c r="F2" s="542"/>
      <c r="G2" s="542"/>
      <c r="H2" s="542"/>
      <c r="I2" s="542"/>
    </row>
    <row r="3" spans="1:37" s="343" customFormat="1" ht="18" x14ac:dyDescent="0.35">
      <c r="A3" s="542" t="s">
        <v>166</v>
      </c>
      <c r="B3" s="542"/>
      <c r="C3" s="542"/>
      <c r="D3" s="542"/>
      <c r="E3" s="542"/>
      <c r="F3" s="542"/>
      <c r="G3" s="542"/>
      <c r="H3" s="542"/>
      <c r="I3" s="542"/>
    </row>
    <row r="4" spans="1:37" s="343" customFormat="1" ht="18" x14ac:dyDescent="0.35">
      <c r="A4" s="542" t="s">
        <v>123</v>
      </c>
      <c r="B4" s="542"/>
      <c r="C4" s="542"/>
      <c r="D4" s="542"/>
      <c r="E4" s="542"/>
      <c r="F4" s="542"/>
      <c r="G4" s="542"/>
      <c r="H4" s="542"/>
      <c r="I4" s="542"/>
    </row>
    <row r="5" spans="1:37" s="343" customFormat="1" x14ac:dyDescent="0.3">
      <c r="A5" s="3"/>
      <c r="B5" s="3"/>
      <c r="C5" s="3"/>
    </row>
    <row r="6" spans="1:37" s="343" customFormat="1" ht="60.6" x14ac:dyDescent="0.3">
      <c r="A6" s="6" t="s">
        <v>18</v>
      </c>
      <c r="B6" s="6" t="s">
        <v>19</v>
      </c>
      <c r="C6" s="7" t="s">
        <v>0</v>
      </c>
      <c r="D6" s="392" t="s">
        <v>152</v>
      </c>
      <c r="E6" s="437" t="s">
        <v>136</v>
      </c>
      <c r="F6" s="437" t="s">
        <v>116</v>
      </c>
      <c r="G6" s="437" t="s">
        <v>110</v>
      </c>
      <c r="H6" s="419" t="s">
        <v>153</v>
      </c>
      <c r="I6" s="419" t="s">
        <v>64</v>
      </c>
      <c r="J6" s="419" t="s">
        <v>63</v>
      </c>
      <c r="K6" s="446" t="s">
        <v>39</v>
      </c>
      <c r="L6" s="446" t="s">
        <v>15</v>
      </c>
      <c r="M6" s="446" t="s">
        <v>16</v>
      </c>
      <c r="N6" s="446" t="s">
        <v>77</v>
      </c>
      <c r="O6" s="462" t="s">
        <v>73</v>
      </c>
      <c r="P6" s="462" t="s">
        <v>74</v>
      </c>
      <c r="Q6" s="462" t="s">
        <v>75</v>
      </c>
      <c r="R6" s="462" t="s">
        <v>117</v>
      </c>
      <c r="S6" s="462" t="s">
        <v>84</v>
      </c>
    </row>
    <row r="7" spans="1:37" s="343" customFormat="1" x14ac:dyDescent="0.3">
      <c r="A7" s="16">
        <v>2027</v>
      </c>
      <c r="B7" s="17" t="s">
        <v>20</v>
      </c>
      <c r="C7" s="18" t="s">
        <v>72</v>
      </c>
      <c r="D7" s="408">
        <v>26436255.42203803</v>
      </c>
      <c r="E7" s="408">
        <v>342395.55039777001</v>
      </c>
      <c r="F7" s="399">
        <v>273322.60662203201</v>
      </c>
      <c r="G7" s="188"/>
      <c r="H7" s="213">
        <v>8803219.8998496421</v>
      </c>
      <c r="I7" s="37">
        <f>H7</f>
        <v>8803219.8998496421</v>
      </c>
      <c r="J7" s="37">
        <v>0</v>
      </c>
      <c r="K7" s="399">
        <v>17633035.522188392</v>
      </c>
      <c r="L7" s="37">
        <f>K7</f>
        <v>17633035.522188392</v>
      </c>
      <c r="M7" s="37">
        <v>0</v>
      </c>
      <c r="N7" s="408">
        <v>59870.409075447998</v>
      </c>
      <c r="O7" s="188">
        <f>P7+Q7</f>
        <v>49077.5606849088</v>
      </c>
      <c r="P7" s="408">
        <v>49077.5606849088</v>
      </c>
      <c r="Q7" s="408">
        <v>0</v>
      </c>
      <c r="R7" s="188">
        <v>1000</v>
      </c>
      <c r="S7" s="400">
        <v>9000</v>
      </c>
      <c r="T7" s="344"/>
      <c r="U7" s="344"/>
      <c r="V7" s="344"/>
      <c r="W7" s="344"/>
      <c r="X7" s="344"/>
      <c r="Y7" s="344"/>
      <c r="Z7" s="344"/>
      <c r="AA7" s="344"/>
      <c r="AB7" s="344"/>
      <c r="AC7" s="344"/>
      <c r="AD7" s="344"/>
      <c r="AE7" s="344"/>
      <c r="AF7" s="344"/>
      <c r="AG7" s="171"/>
      <c r="AH7" s="171"/>
      <c r="AI7" s="171"/>
      <c r="AJ7" s="171"/>
      <c r="AK7" s="171"/>
    </row>
    <row r="8" spans="1:37" s="343" customFormat="1" x14ac:dyDescent="0.3">
      <c r="A8" s="19">
        <v>2027</v>
      </c>
      <c r="B8" s="20" t="s">
        <v>21</v>
      </c>
      <c r="C8" s="21" t="s">
        <v>72</v>
      </c>
      <c r="D8" s="408">
        <v>25575683.641290922</v>
      </c>
      <c r="E8" s="408">
        <v>584904.89293403598</v>
      </c>
      <c r="F8" s="399">
        <v>652332.99315852404</v>
      </c>
      <c r="G8" s="188"/>
      <c r="H8" s="213">
        <v>9323624.2074934468</v>
      </c>
      <c r="I8" s="37">
        <f>H8</f>
        <v>9323624.2074934468</v>
      </c>
      <c r="J8" s="37">
        <v>0</v>
      </c>
      <c r="K8" s="399">
        <v>16252059.433797473</v>
      </c>
      <c r="L8" s="37">
        <f>K8</f>
        <v>16252059.433797473</v>
      </c>
      <c r="M8" s="37">
        <v>0</v>
      </c>
      <c r="N8" s="408">
        <v>59870.409075447998</v>
      </c>
      <c r="O8" s="188">
        <f t="shared" ref="O8:O18" si="0">P8+Q8</f>
        <v>53035.802302035372</v>
      </c>
      <c r="P8" s="408">
        <v>53035.802302035372</v>
      </c>
      <c r="Q8" s="408">
        <v>0</v>
      </c>
      <c r="R8" s="188">
        <v>1000</v>
      </c>
      <c r="S8" s="401">
        <v>9000</v>
      </c>
      <c r="U8" s="344"/>
    </row>
    <row r="9" spans="1:37" s="343" customFormat="1" x14ac:dyDescent="0.3">
      <c r="A9" s="19">
        <v>2027</v>
      </c>
      <c r="B9" s="20" t="s">
        <v>22</v>
      </c>
      <c r="C9" s="21" t="s">
        <v>72</v>
      </c>
      <c r="D9" s="408">
        <v>27228995.639216706</v>
      </c>
      <c r="E9" s="408">
        <v>1082475.9464097801</v>
      </c>
      <c r="F9" s="399">
        <v>437325.46236046002</v>
      </c>
      <c r="G9" s="188"/>
      <c r="H9" s="213">
        <v>10322696.71767026</v>
      </c>
      <c r="I9" s="37">
        <f>H9</f>
        <v>10322696.71767026</v>
      </c>
      <c r="J9" s="37">
        <v>0</v>
      </c>
      <c r="K9" s="399">
        <v>16906298.921546448</v>
      </c>
      <c r="L9" s="37">
        <f>K9</f>
        <v>16906298.921546448</v>
      </c>
      <c r="M9" s="37">
        <v>0</v>
      </c>
      <c r="N9" s="408">
        <v>59870.409075447998</v>
      </c>
      <c r="O9" s="188">
        <f t="shared" si="0"/>
        <v>54030.856489685859</v>
      </c>
      <c r="P9" s="408">
        <v>54030.856489685859</v>
      </c>
      <c r="Q9" s="408">
        <v>0</v>
      </c>
      <c r="R9" s="188">
        <v>1000</v>
      </c>
      <c r="S9" s="401">
        <v>9000</v>
      </c>
      <c r="U9" s="344"/>
    </row>
    <row r="10" spans="1:37" s="343" customFormat="1" x14ac:dyDescent="0.3">
      <c r="A10" s="19">
        <v>2027</v>
      </c>
      <c r="B10" s="20" t="s">
        <v>23</v>
      </c>
      <c r="C10" s="21" t="s">
        <v>72</v>
      </c>
      <c r="D10" s="408">
        <v>29294694.786105521</v>
      </c>
      <c r="E10" s="408">
        <v>835484.45607277099</v>
      </c>
      <c r="F10" s="399">
        <v>839107.74516418902</v>
      </c>
      <c r="G10" s="188"/>
      <c r="H10" s="213">
        <v>10178010.137645517</v>
      </c>
      <c r="I10" s="37">
        <f>H10</f>
        <v>10178010.137645517</v>
      </c>
      <c r="J10" s="37">
        <v>0</v>
      </c>
      <c r="K10" s="399">
        <v>19116684.648460004</v>
      </c>
      <c r="L10" s="37">
        <f>K10</f>
        <v>19116684.648460004</v>
      </c>
      <c r="M10" s="37">
        <v>0</v>
      </c>
      <c r="N10" s="408">
        <v>59870.409075447998</v>
      </c>
      <c r="O10" s="188">
        <f t="shared" si="0"/>
        <v>52317.95417281265</v>
      </c>
      <c r="P10" s="408">
        <v>52317.95417281265</v>
      </c>
      <c r="Q10" s="408">
        <v>0</v>
      </c>
      <c r="R10" s="188">
        <v>1000</v>
      </c>
      <c r="S10" s="401">
        <v>9000</v>
      </c>
      <c r="U10" s="344"/>
      <c r="V10" s="171"/>
      <c r="W10" s="171"/>
      <c r="X10" s="171"/>
      <c r="Y10" s="171"/>
      <c r="Z10" s="171"/>
      <c r="AA10" s="171"/>
      <c r="AB10" s="171"/>
      <c r="AC10" s="171"/>
      <c r="AD10" s="171"/>
      <c r="AE10" s="171"/>
      <c r="AF10" s="171"/>
      <c r="AG10" s="171"/>
    </row>
    <row r="11" spans="1:37" s="343" customFormat="1" x14ac:dyDescent="0.3">
      <c r="A11" s="19">
        <v>2027</v>
      </c>
      <c r="B11" s="20" t="s">
        <v>24</v>
      </c>
      <c r="C11" s="21" t="s">
        <v>72</v>
      </c>
      <c r="D11" s="408">
        <v>31234178.5132614</v>
      </c>
      <c r="E11" s="408">
        <v>1060450.8395296501</v>
      </c>
      <c r="F11" s="399">
        <v>1114920.78713253</v>
      </c>
      <c r="G11" s="188"/>
      <c r="H11" s="213">
        <v>11769505.591521092</v>
      </c>
      <c r="I11" s="37">
        <f>H11</f>
        <v>11769505.591521092</v>
      </c>
      <c r="J11" s="37">
        <v>0</v>
      </c>
      <c r="K11" s="399">
        <v>19464672.921740305</v>
      </c>
      <c r="L11" s="37">
        <f>K11</f>
        <v>19464672.921740305</v>
      </c>
      <c r="M11" s="37">
        <v>0</v>
      </c>
      <c r="N11" s="408">
        <v>59870.409075447998</v>
      </c>
      <c r="O11" s="188">
        <f t="shared" si="0"/>
        <v>50631.354285939706</v>
      </c>
      <c r="P11" s="408">
        <v>50631.354285939706</v>
      </c>
      <c r="Q11" s="408">
        <v>0</v>
      </c>
      <c r="R11" s="188">
        <v>1000</v>
      </c>
      <c r="S11" s="401">
        <v>9000</v>
      </c>
      <c r="U11" s="344"/>
      <c r="AA11" s="171"/>
      <c r="AB11" s="171"/>
      <c r="AC11" s="171"/>
      <c r="AD11" s="171"/>
    </row>
    <row r="12" spans="1:37" s="343" customFormat="1" x14ac:dyDescent="0.3">
      <c r="A12" s="19">
        <v>2027</v>
      </c>
      <c r="B12" s="20" t="s">
        <v>25</v>
      </c>
      <c r="C12" s="21" t="s">
        <v>72</v>
      </c>
      <c r="D12" s="408">
        <v>31852319.251249239</v>
      </c>
      <c r="E12" s="408">
        <v>1193685.20763825</v>
      </c>
      <c r="F12" s="399">
        <v>1126836.22010453</v>
      </c>
      <c r="G12" s="188"/>
      <c r="H12" s="213">
        <v>11272266.083499609</v>
      </c>
      <c r="I12" s="37">
        <v>0</v>
      </c>
      <c r="J12" s="37">
        <f>H12</f>
        <v>11272266.083499609</v>
      </c>
      <c r="K12" s="399">
        <v>20580053.167749632</v>
      </c>
      <c r="L12" s="37">
        <v>0</v>
      </c>
      <c r="M12" s="37">
        <f>K12</f>
        <v>20580053.167749632</v>
      </c>
      <c r="N12" s="408">
        <v>59870.409075447998</v>
      </c>
      <c r="O12" s="188">
        <f t="shared" si="0"/>
        <v>51024.277317092223</v>
      </c>
      <c r="P12" s="408">
        <v>0</v>
      </c>
      <c r="Q12" s="408">
        <v>51024.277317092223</v>
      </c>
      <c r="R12" s="188">
        <v>1000</v>
      </c>
      <c r="S12" s="401">
        <v>9000</v>
      </c>
      <c r="U12" s="344"/>
    </row>
    <row r="13" spans="1:37" s="343" customFormat="1" x14ac:dyDescent="0.3">
      <c r="A13" s="19">
        <v>2027</v>
      </c>
      <c r="B13" s="20" t="s">
        <v>26</v>
      </c>
      <c r="C13" s="21" t="s">
        <v>72</v>
      </c>
      <c r="D13" s="408">
        <v>33755658.742690831</v>
      </c>
      <c r="E13" s="408">
        <v>1218441.16185794</v>
      </c>
      <c r="F13" s="399">
        <v>1279467.8192260601</v>
      </c>
      <c r="G13" s="188"/>
      <c r="H13" s="213">
        <v>10463559.829195194</v>
      </c>
      <c r="I13" s="37">
        <v>0</v>
      </c>
      <c r="J13" s="37">
        <f>H13</f>
        <v>10463559.829195194</v>
      </c>
      <c r="K13" s="399">
        <v>23292098.913495634</v>
      </c>
      <c r="L13" s="37">
        <v>0</v>
      </c>
      <c r="M13" s="37">
        <f>K13</f>
        <v>23292098.913495634</v>
      </c>
      <c r="N13" s="408">
        <v>59870.409075447998</v>
      </c>
      <c r="O13" s="188">
        <f t="shared" si="0"/>
        <v>58808.599686860041</v>
      </c>
      <c r="P13" s="408">
        <v>0</v>
      </c>
      <c r="Q13" s="408">
        <v>58808.599686860041</v>
      </c>
      <c r="R13" s="188">
        <v>1000</v>
      </c>
      <c r="S13" s="401">
        <v>9000</v>
      </c>
      <c r="U13" s="344"/>
    </row>
    <row r="14" spans="1:37" s="343" customFormat="1" x14ac:dyDescent="0.3">
      <c r="A14" s="19">
        <v>2027</v>
      </c>
      <c r="B14" s="20" t="s">
        <v>27</v>
      </c>
      <c r="C14" s="21" t="s">
        <v>72</v>
      </c>
      <c r="D14" s="408">
        <v>34016095.954270728</v>
      </c>
      <c r="E14" s="408">
        <v>1175304.28074891</v>
      </c>
      <c r="F14" s="399">
        <v>953514.32842772</v>
      </c>
      <c r="G14" s="188"/>
      <c r="H14" s="213">
        <v>11046675.451157033</v>
      </c>
      <c r="I14" s="37">
        <v>0</v>
      </c>
      <c r="J14" s="37">
        <f>H14</f>
        <v>11046675.451157033</v>
      </c>
      <c r="K14" s="399">
        <v>22969420.503113694</v>
      </c>
      <c r="L14" s="37">
        <v>0</v>
      </c>
      <c r="M14" s="37">
        <f>K14</f>
        <v>22969420.503113694</v>
      </c>
      <c r="N14" s="408">
        <v>58756.909075447998</v>
      </c>
      <c r="O14" s="188">
        <f t="shared" si="0"/>
        <v>65870.052819159959</v>
      </c>
      <c r="P14" s="408">
        <v>0</v>
      </c>
      <c r="Q14" s="408">
        <v>65870.052819159959</v>
      </c>
      <c r="R14" s="188">
        <v>1000</v>
      </c>
      <c r="S14" s="401">
        <v>9000</v>
      </c>
      <c r="U14" s="344"/>
    </row>
    <row r="15" spans="1:37" s="343" customFormat="1" x14ac:dyDescent="0.3">
      <c r="A15" s="19">
        <v>2027</v>
      </c>
      <c r="B15" s="20" t="s">
        <v>28</v>
      </c>
      <c r="C15" s="21" t="s">
        <v>72</v>
      </c>
      <c r="D15" s="408">
        <v>33945308.080423698</v>
      </c>
      <c r="E15" s="408">
        <v>897810.35045638203</v>
      </c>
      <c r="F15" s="399">
        <v>820788.03334674798</v>
      </c>
      <c r="G15" s="188"/>
      <c r="H15" s="213">
        <v>11377417.005662723</v>
      </c>
      <c r="I15" s="37">
        <v>0</v>
      </c>
      <c r="J15" s="37">
        <f>H15</f>
        <v>11377417.005662723</v>
      </c>
      <c r="K15" s="399">
        <v>22567891.074760973</v>
      </c>
      <c r="L15" s="37">
        <v>0</v>
      </c>
      <c r="M15" s="37">
        <f>K15</f>
        <v>22567891.074760973</v>
      </c>
      <c r="N15" s="408">
        <v>58808.599686859998</v>
      </c>
      <c r="O15" s="188">
        <f t="shared" si="0"/>
        <v>63422.348930526663</v>
      </c>
      <c r="P15" s="408">
        <v>0</v>
      </c>
      <c r="Q15" s="408">
        <v>63422.348930526663</v>
      </c>
      <c r="R15" s="188">
        <v>1000</v>
      </c>
      <c r="S15" s="401">
        <v>9000</v>
      </c>
      <c r="U15" s="344"/>
    </row>
    <row r="16" spans="1:37" s="343" customFormat="1" x14ac:dyDescent="0.3">
      <c r="A16" s="19">
        <v>2027</v>
      </c>
      <c r="B16" s="20" t="s">
        <v>29</v>
      </c>
      <c r="C16" s="21" t="s">
        <v>72</v>
      </c>
      <c r="D16" s="408">
        <v>31451592.542796452</v>
      </c>
      <c r="E16" s="408">
        <v>689590.00921940606</v>
      </c>
      <c r="F16" s="399">
        <v>743393.59685410396</v>
      </c>
      <c r="G16" s="188"/>
      <c r="H16" s="213">
        <v>10344637.931792757</v>
      </c>
      <c r="I16" s="37">
        <f>H16</f>
        <v>10344637.931792757</v>
      </c>
      <c r="J16" s="37">
        <v>0</v>
      </c>
      <c r="K16" s="399">
        <v>21106954.611003693</v>
      </c>
      <c r="L16" s="37">
        <f>K16</f>
        <v>21106954.611003693</v>
      </c>
      <c r="M16" s="37">
        <v>0</v>
      </c>
      <c r="N16" s="408">
        <v>58808.599686859998</v>
      </c>
      <c r="O16" s="188">
        <f t="shared" si="0"/>
        <v>54966.372903437543</v>
      </c>
      <c r="P16" s="408">
        <v>54966.372903437543</v>
      </c>
      <c r="Q16" s="408">
        <v>0</v>
      </c>
      <c r="R16" s="188">
        <v>1000</v>
      </c>
      <c r="S16" s="401">
        <v>9000</v>
      </c>
      <c r="U16" s="344"/>
      <c r="V16" s="363"/>
    </row>
    <row r="17" spans="1:37" s="343" customFormat="1" x14ac:dyDescent="0.3">
      <c r="A17" s="19">
        <v>2027</v>
      </c>
      <c r="B17" s="20" t="s">
        <v>30</v>
      </c>
      <c r="C17" s="21" t="s">
        <v>72</v>
      </c>
      <c r="D17" s="408">
        <v>27564847.8627919</v>
      </c>
      <c r="E17" s="408">
        <v>426633.74878713</v>
      </c>
      <c r="F17" s="399">
        <v>350947.604042002</v>
      </c>
      <c r="G17" s="188"/>
      <c r="H17" s="213">
        <v>9942703.5745828282</v>
      </c>
      <c r="I17" s="37">
        <f>H17</f>
        <v>9942703.5745828282</v>
      </c>
      <c r="J17" s="37">
        <v>0</v>
      </c>
      <c r="K17" s="399">
        <v>17622144.28820907</v>
      </c>
      <c r="L17" s="37">
        <f>K17</f>
        <v>17622144.28820907</v>
      </c>
      <c r="M17" s="37">
        <v>0</v>
      </c>
      <c r="N17" s="408">
        <v>58808.599686859998</v>
      </c>
      <c r="O17" s="188">
        <f t="shared" si="0"/>
        <v>48830.921079693711</v>
      </c>
      <c r="P17" s="408">
        <v>48830.921079693711</v>
      </c>
      <c r="Q17" s="408">
        <v>0</v>
      </c>
      <c r="R17" s="188">
        <v>1000</v>
      </c>
      <c r="S17" s="401">
        <v>9000</v>
      </c>
      <c r="U17" s="344"/>
      <c r="V17" s="363"/>
    </row>
    <row r="18" spans="1:37" s="343" customFormat="1" x14ac:dyDescent="0.3">
      <c r="A18" s="22">
        <v>2027</v>
      </c>
      <c r="B18" s="23" t="s">
        <v>31</v>
      </c>
      <c r="C18" s="24" t="s">
        <v>72</v>
      </c>
      <c r="D18" s="458">
        <v>26427684.824347306</v>
      </c>
      <c r="E18" s="458">
        <v>244866.07118964201</v>
      </c>
      <c r="F18" s="404">
        <v>267511.27874475397</v>
      </c>
      <c r="G18" s="453"/>
      <c r="H18" s="463">
        <v>9626303.4201354887</v>
      </c>
      <c r="I18" s="464">
        <f>H18</f>
        <v>9626303.4201354887</v>
      </c>
      <c r="J18" s="464">
        <v>0</v>
      </c>
      <c r="K18" s="399">
        <v>16801381.404211819</v>
      </c>
      <c r="L18" s="464">
        <f>K18</f>
        <v>16801381.404211819</v>
      </c>
      <c r="M18" s="464">
        <v>0</v>
      </c>
      <c r="N18" s="458">
        <v>58808.599686859998</v>
      </c>
      <c r="O18" s="453">
        <f t="shared" si="0"/>
        <v>49432.508011290491</v>
      </c>
      <c r="P18" s="458">
        <v>49432.508011290491</v>
      </c>
      <c r="Q18" s="458">
        <v>0</v>
      </c>
      <c r="R18" s="453">
        <v>1000</v>
      </c>
      <c r="S18" s="402">
        <v>9000</v>
      </c>
      <c r="U18" s="344"/>
    </row>
    <row r="19" spans="1:37" s="343" customFormat="1" x14ac:dyDescent="0.3">
      <c r="A19" s="545"/>
      <c r="B19" s="545"/>
      <c r="C19" s="545"/>
      <c r="D19" s="171">
        <f t="shared" ref="D19:M19" si="1">SUM(D7:D18)</f>
        <v>358783315.26048273</v>
      </c>
      <c r="E19" s="171">
        <f>SUM(E7:E18)</f>
        <v>9752042.5152416658</v>
      </c>
      <c r="F19" s="171">
        <f>SUM(F7:F18)</f>
        <v>8859468.4751836527</v>
      </c>
      <c r="G19" s="171">
        <f>SUM(G7:G18)</f>
        <v>0</v>
      </c>
      <c r="H19" s="171">
        <f t="shared" si="1"/>
        <v>124470619.85020559</v>
      </c>
      <c r="I19" s="171">
        <f t="shared" si="1"/>
        <v>80310701.480691031</v>
      </c>
      <c r="J19" s="171">
        <f t="shared" si="1"/>
        <v>44159918.369514562</v>
      </c>
      <c r="K19" s="426">
        <f t="shared" si="1"/>
        <v>234312695.41027716</v>
      </c>
      <c r="L19" s="171">
        <f t="shared" si="1"/>
        <v>144903231.75115722</v>
      </c>
      <c r="M19" s="171">
        <f t="shared" si="1"/>
        <v>89409463.659119934</v>
      </c>
      <c r="N19" s="275">
        <f t="shared" ref="N19:S19" si="2">SUM(N7:N18)</f>
        <v>713084.17135102395</v>
      </c>
      <c r="O19" s="275">
        <f t="shared" si="2"/>
        <v>651448.60868344305</v>
      </c>
      <c r="P19" s="275">
        <f t="shared" si="2"/>
        <v>412323.32992980414</v>
      </c>
      <c r="Q19" s="275">
        <f t="shared" si="2"/>
        <v>239125.27875363888</v>
      </c>
      <c r="R19" s="275">
        <f t="shared" si="2"/>
        <v>12000</v>
      </c>
      <c r="S19" s="275">
        <f t="shared" si="2"/>
        <v>108000</v>
      </c>
      <c r="V19" s="364"/>
    </row>
    <row r="20" spans="1:37" s="343" customFormat="1" x14ac:dyDescent="0.3">
      <c r="A20" s="541" t="s">
        <v>138</v>
      </c>
      <c r="B20" s="551"/>
      <c r="C20" s="551"/>
      <c r="D20" s="551"/>
      <c r="E20" s="551"/>
      <c r="F20" s="551"/>
      <c r="G20" s="551"/>
      <c r="H20" s="551"/>
      <c r="I20" s="551"/>
      <c r="J20" s="551"/>
      <c r="K20" s="551"/>
      <c r="L20" s="551"/>
      <c r="M20" s="551"/>
      <c r="N20" s="551"/>
      <c r="O20" s="551"/>
      <c r="P20" s="551"/>
      <c r="Q20" s="551"/>
      <c r="R20" s="551"/>
      <c r="S20" s="551"/>
    </row>
    <row r="21" spans="1:37" s="343" customFormat="1" x14ac:dyDescent="0.3">
      <c r="A21" s="354" t="s">
        <v>119</v>
      </c>
      <c r="B21" s="355"/>
      <c r="C21" s="355"/>
      <c r="D21" s="355"/>
      <c r="E21" s="355"/>
      <c r="F21" s="355"/>
      <c r="G21" s="355"/>
      <c r="H21" s="355"/>
      <c r="I21" s="355"/>
      <c r="J21" s="355"/>
      <c r="K21" s="355"/>
      <c r="L21" s="355"/>
      <c r="M21" s="355"/>
      <c r="N21" s="355"/>
      <c r="O21" s="355"/>
      <c r="P21" s="355"/>
      <c r="Q21" s="355"/>
      <c r="R21" s="355"/>
      <c r="S21" s="355"/>
    </row>
    <row r="22" spans="1:37" s="343" customFormat="1" x14ac:dyDescent="0.3">
      <c r="A22" s="285"/>
      <c r="B22" s="285"/>
      <c r="C22" s="285"/>
      <c r="D22" s="285"/>
      <c r="E22" s="285"/>
      <c r="F22" s="285"/>
      <c r="G22" s="285"/>
      <c r="H22" s="285"/>
      <c r="I22" s="285"/>
      <c r="J22" s="285"/>
      <c r="K22" s="285"/>
      <c r="L22" s="285"/>
      <c r="M22" s="285"/>
      <c r="N22" s="285"/>
      <c r="O22" s="285"/>
      <c r="P22" s="346"/>
      <c r="Q22" s="346"/>
      <c r="R22" s="347"/>
      <c r="S22" s="346"/>
    </row>
    <row r="23" spans="1:37" s="165" customFormat="1" ht="60.6" x14ac:dyDescent="0.3">
      <c r="A23" s="6" t="s">
        <v>18</v>
      </c>
      <c r="B23" s="6" t="s">
        <v>19</v>
      </c>
      <c r="C23" s="7" t="s">
        <v>0</v>
      </c>
      <c r="D23" s="392" t="s">
        <v>152</v>
      </c>
      <c r="E23" s="437" t="s">
        <v>136</v>
      </c>
      <c r="F23" s="437" t="s">
        <v>116</v>
      </c>
      <c r="G23" s="437" t="s">
        <v>110</v>
      </c>
      <c r="H23" s="419" t="s">
        <v>62</v>
      </c>
      <c r="I23" s="419" t="s">
        <v>64</v>
      </c>
      <c r="J23" s="419" t="s">
        <v>63</v>
      </c>
      <c r="K23" s="446" t="s">
        <v>39</v>
      </c>
      <c r="L23" s="446" t="s">
        <v>15</v>
      </c>
      <c r="M23" s="446" t="s">
        <v>16</v>
      </c>
      <c r="N23" s="446" t="s">
        <v>77</v>
      </c>
      <c r="O23" s="462" t="s">
        <v>73</v>
      </c>
      <c r="P23" s="462" t="s">
        <v>74</v>
      </c>
      <c r="Q23" s="462" t="s">
        <v>75</v>
      </c>
      <c r="R23" s="462" t="s">
        <v>117</v>
      </c>
      <c r="S23" s="462" t="s">
        <v>84</v>
      </c>
    </row>
    <row r="24" spans="1:37" s="165" customFormat="1" x14ac:dyDescent="0.3">
      <c r="A24" s="16">
        <v>2026</v>
      </c>
      <c r="B24" s="17" t="s">
        <v>20</v>
      </c>
      <c r="C24" s="18" t="s">
        <v>72</v>
      </c>
      <c r="D24" s="408">
        <v>26409822.87774593</v>
      </c>
      <c r="E24" s="408">
        <v>344116.13105303602</v>
      </c>
      <c r="F24" s="399">
        <v>274696.08705731801</v>
      </c>
      <c r="G24" s="188"/>
      <c r="H24" s="213">
        <v>8794414.8385105655</v>
      </c>
      <c r="I24" s="37">
        <f>H24</f>
        <v>8794414.8385105655</v>
      </c>
      <c r="J24" s="37">
        <v>0</v>
      </c>
      <c r="K24" s="399">
        <v>17615408.039235365</v>
      </c>
      <c r="L24" s="37">
        <f>K24</f>
        <v>17615408.039235365</v>
      </c>
      <c r="M24" s="37">
        <v>0</v>
      </c>
      <c r="N24" s="408">
        <v>59818.718464035999</v>
      </c>
      <c r="O24" s="188">
        <f>P24+Q24</f>
        <v>49033.686700449245</v>
      </c>
      <c r="P24" s="408">
        <v>49033.686700449245</v>
      </c>
      <c r="Q24" s="408">
        <v>0</v>
      </c>
      <c r="R24" s="188">
        <v>1000</v>
      </c>
      <c r="S24" s="400">
        <v>9000</v>
      </c>
      <c r="T24" s="311"/>
      <c r="U24" s="342"/>
      <c r="V24" s="365"/>
      <c r="W24" s="365"/>
      <c r="X24" s="365"/>
      <c r="Y24" s="365"/>
      <c r="Z24" s="365"/>
      <c r="AA24" s="365"/>
      <c r="AB24" s="365"/>
      <c r="AC24" s="365"/>
      <c r="AD24" s="365"/>
      <c r="AE24" s="365"/>
      <c r="AF24" s="365"/>
      <c r="AG24" s="365"/>
      <c r="AH24" s="171"/>
      <c r="AI24" s="171"/>
      <c r="AJ24" s="171"/>
      <c r="AK24" s="171"/>
    </row>
    <row r="25" spans="1:37" s="165" customFormat="1" x14ac:dyDescent="0.3">
      <c r="A25" s="19">
        <v>2026</v>
      </c>
      <c r="B25" s="20" t="s">
        <v>21</v>
      </c>
      <c r="C25" s="21" t="s">
        <v>72</v>
      </c>
      <c r="D25" s="408">
        <v>25550356.243058223</v>
      </c>
      <c r="E25" s="408">
        <v>587844.11350154295</v>
      </c>
      <c r="F25" s="399">
        <v>655611.04840052698</v>
      </c>
      <c r="G25" s="188"/>
      <c r="H25" s="213">
        <v>9314428.9980361201</v>
      </c>
      <c r="I25" s="37">
        <f>H25</f>
        <v>9314428.9980361201</v>
      </c>
      <c r="J25" s="37">
        <v>0</v>
      </c>
      <c r="K25" s="399">
        <v>16235927.245022101</v>
      </c>
      <c r="L25" s="37">
        <f>K25</f>
        <v>16235927.245022101</v>
      </c>
      <c r="M25" s="37">
        <v>0</v>
      </c>
      <c r="N25" s="408">
        <v>59818.718464035999</v>
      </c>
      <c r="O25" s="188">
        <f t="shared" ref="O25:O35" si="3">P25+Q25</f>
        <v>52989.566541048327</v>
      </c>
      <c r="P25" s="408">
        <v>52989.566541048327</v>
      </c>
      <c r="Q25" s="408">
        <v>0</v>
      </c>
      <c r="R25" s="188">
        <v>1000</v>
      </c>
      <c r="S25" s="401">
        <v>9000</v>
      </c>
      <c r="U25" s="344"/>
    </row>
    <row r="26" spans="1:37" s="165" customFormat="1" x14ac:dyDescent="0.3">
      <c r="A26" s="19">
        <v>2026</v>
      </c>
      <c r="B26" s="20" t="s">
        <v>22</v>
      </c>
      <c r="C26" s="21" t="s">
        <v>72</v>
      </c>
      <c r="D26" s="408">
        <v>27202265.360917807</v>
      </c>
      <c r="E26" s="408">
        <v>1087915.5240299299</v>
      </c>
      <c r="F26" s="399">
        <v>439523.07774921</v>
      </c>
      <c r="G26" s="188"/>
      <c r="H26" s="213">
        <v>10312660.06367309</v>
      </c>
      <c r="I26" s="37">
        <f>H26</f>
        <v>10312660.06367309</v>
      </c>
      <c r="J26" s="37">
        <v>0</v>
      </c>
      <c r="K26" s="399">
        <v>16889605.29724472</v>
      </c>
      <c r="L26" s="37">
        <f>K26</f>
        <v>16889605.29724472</v>
      </c>
      <c r="M26" s="37">
        <v>0</v>
      </c>
      <c r="N26" s="408">
        <v>59818.718464035999</v>
      </c>
      <c r="O26" s="188">
        <f t="shared" si="3"/>
        <v>53984.106211081045</v>
      </c>
      <c r="P26" s="408">
        <v>53984.106211081045</v>
      </c>
      <c r="Q26" s="408">
        <v>0</v>
      </c>
      <c r="R26" s="188">
        <v>1000</v>
      </c>
      <c r="S26" s="401">
        <v>9000</v>
      </c>
      <c r="U26" s="344"/>
    </row>
    <row r="27" spans="1:37" s="165" customFormat="1" x14ac:dyDescent="0.3">
      <c r="A27" s="19">
        <v>2026</v>
      </c>
      <c r="B27" s="20" t="s">
        <v>23</v>
      </c>
      <c r="C27" s="21" t="s">
        <v>72</v>
      </c>
      <c r="D27" s="408">
        <v>29267854.756028023</v>
      </c>
      <c r="E27" s="408">
        <v>839682.87042489497</v>
      </c>
      <c r="F27" s="399">
        <v>843324.36699918495</v>
      </c>
      <c r="G27" s="188"/>
      <c r="H27" s="213">
        <v>10168614.091708956</v>
      </c>
      <c r="I27" s="37">
        <f>H27</f>
        <v>10168614.091708956</v>
      </c>
      <c r="J27" s="37">
        <v>0</v>
      </c>
      <c r="K27" s="399">
        <v>19099240.664319064</v>
      </c>
      <c r="L27" s="37">
        <f>K27</f>
        <v>19099240.664319064</v>
      </c>
      <c r="M27" s="37">
        <v>0</v>
      </c>
      <c r="N27" s="408">
        <v>59818.718464035999</v>
      </c>
      <c r="O27" s="188">
        <f t="shared" si="3"/>
        <v>52272.50708370089</v>
      </c>
      <c r="P27" s="408">
        <v>52272.50708370089</v>
      </c>
      <c r="Q27" s="408">
        <v>0</v>
      </c>
      <c r="R27" s="188">
        <v>1000</v>
      </c>
      <c r="S27" s="401">
        <v>9000</v>
      </c>
      <c r="U27" s="344"/>
      <c r="V27" s="171"/>
      <c r="W27" s="171"/>
      <c r="X27" s="171"/>
      <c r="Y27" s="171"/>
      <c r="Z27" s="171"/>
      <c r="AA27" s="171"/>
      <c r="AB27" s="171"/>
      <c r="AC27" s="171"/>
      <c r="AD27" s="171"/>
      <c r="AE27" s="171"/>
      <c r="AF27" s="171"/>
      <c r="AG27" s="171"/>
    </row>
    <row r="28" spans="1:37" s="165" customFormat="1" x14ac:dyDescent="0.3">
      <c r="A28" s="19">
        <v>2026</v>
      </c>
      <c r="B28" s="20" t="s">
        <v>24</v>
      </c>
      <c r="C28" s="21" t="s">
        <v>72</v>
      </c>
      <c r="D28" s="408">
        <v>31206613.469528601</v>
      </c>
      <c r="E28" s="408">
        <v>1065779.7382207499</v>
      </c>
      <c r="F28" s="399">
        <v>1120523.4041533</v>
      </c>
      <c r="G28" s="188"/>
      <c r="H28" s="213">
        <v>11759029.25442262</v>
      </c>
      <c r="I28" s="37">
        <f>H28</f>
        <v>11759029.25442262</v>
      </c>
      <c r="J28" s="37">
        <v>0</v>
      </c>
      <c r="K28" s="399">
        <v>19447584.215105973</v>
      </c>
      <c r="L28" s="37">
        <f>K28</f>
        <v>19447584.215105973</v>
      </c>
      <c r="M28" s="37">
        <v>0</v>
      </c>
      <c r="N28" s="408">
        <v>59818.718464035999</v>
      </c>
      <c r="O28" s="188">
        <f t="shared" si="3"/>
        <v>50585.444136298</v>
      </c>
      <c r="P28" s="408">
        <v>50585.444136298</v>
      </c>
      <c r="Q28" s="408">
        <v>0</v>
      </c>
      <c r="R28" s="188">
        <v>1000</v>
      </c>
      <c r="S28" s="401">
        <v>9000</v>
      </c>
      <c r="U28" s="344"/>
      <c r="V28" s="363"/>
      <c r="W28" s="343"/>
      <c r="X28" s="343"/>
      <c r="Y28" s="343"/>
      <c r="Z28" s="343"/>
      <c r="AA28" s="171"/>
      <c r="AB28" s="171"/>
      <c r="AC28" s="171"/>
      <c r="AD28" s="171"/>
      <c r="AE28" s="343"/>
      <c r="AF28" s="343"/>
      <c r="AG28" s="343"/>
    </row>
    <row r="29" spans="1:37" s="165" customFormat="1" x14ac:dyDescent="0.3">
      <c r="A29" s="19">
        <v>2026</v>
      </c>
      <c r="B29" s="20" t="s">
        <v>25</v>
      </c>
      <c r="C29" s="21" t="s">
        <v>72</v>
      </c>
      <c r="D29" s="408">
        <v>31824818.02052984</v>
      </c>
      <c r="E29" s="408">
        <v>1199683.6257670899</v>
      </c>
      <c r="F29" s="399">
        <v>1132498.7136728901</v>
      </c>
      <c r="G29" s="188"/>
      <c r="H29" s="213">
        <v>11262306.783841001</v>
      </c>
      <c r="I29" s="37">
        <v>0</v>
      </c>
      <c r="J29" s="37">
        <f>H29</f>
        <v>11262306.783841001</v>
      </c>
      <c r="K29" s="399">
        <v>20562511.236688841</v>
      </c>
      <c r="L29" s="37">
        <v>0</v>
      </c>
      <c r="M29" s="37">
        <f>K29</f>
        <v>20562511.236688841</v>
      </c>
      <c r="N29" s="408">
        <v>59818.718464035999</v>
      </c>
      <c r="O29" s="188">
        <f t="shared" si="3"/>
        <v>50979.206737450579</v>
      </c>
      <c r="P29" s="408">
        <v>0</v>
      </c>
      <c r="Q29" s="408">
        <v>50979.206737450579</v>
      </c>
      <c r="R29" s="188">
        <v>1000</v>
      </c>
      <c r="S29" s="401">
        <v>9000</v>
      </c>
      <c r="U29" s="344"/>
      <c r="V29" s="363"/>
    </row>
    <row r="30" spans="1:37" s="165" customFormat="1" x14ac:dyDescent="0.3">
      <c r="A30" s="19">
        <v>2026</v>
      </c>
      <c r="B30" s="20" t="s">
        <v>26</v>
      </c>
      <c r="C30" s="21" t="s">
        <v>72</v>
      </c>
      <c r="D30" s="408">
        <v>33726205.100649431</v>
      </c>
      <c r="E30" s="408">
        <v>1224563.9817667699</v>
      </c>
      <c r="F30" s="399">
        <v>1285897.3057548399</v>
      </c>
      <c r="G30" s="188"/>
      <c r="H30" s="213">
        <v>10453445.906700345</v>
      </c>
      <c r="I30" s="37">
        <v>0</v>
      </c>
      <c r="J30" s="37">
        <f>H30</f>
        <v>10453445.906700345</v>
      </c>
      <c r="K30" s="399">
        <v>23272759.193949081</v>
      </c>
      <c r="L30" s="37">
        <v>0</v>
      </c>
      <c r="M30" s="37">
        <f>K30</f>
        <v>23272759.193949081</v>
      </c>
      <c r="N30" s="408">
        <v>59818.718464035999</v>
      </c>
      <c r="O30" s="188">
        <f t="shared" si="3"/>
        <v>58756.909075448006</v>
      </c>
      <c r="P30" s="408">
        <v>0</v>
      </c>
      <c r="Q30" s="408">
        <v>58756.909075448006</v>
      </c>
      <c r="R30" s="188">
        <v>1000</v>
      </c>
      <c r="S30" s="401">
        <v>9000</v>
      </c>
      <c r="U30" s="344"/>
      <c r="V30" s="363"/>
    </row>
    <row r="31" spans="1:37" s="165" customFormat="1" x14ac:dyDescent="0.3">
      <c r="A31" s="19">
        <v>2026</v>
      </c>
      <c r="B31" s="20" t="s">
        <v>27</v>
      </c>
      <c r="C31" s="21" t="s">
        <v>72</v>
      </c>
      <c r="D31" s="408">
        <v>33986998.750816032</v>
      </c>
      <c r="E31" s="408">
        <v>1181210.33241097</v>
      </c>
      <c r="F31" s="399">
        <v>958305.85771629005</v>
      </c>
      <c r="G31" s="188"/>
      <c r="H31" s="213">
        <v>11036127.671803458</v>
      </c>
      <c r="I31" s="37">
        <v>0</v>
      </c>
      <c r="J31" s="37">
        <f>H31</f>
        <v>11036127.671803458</v>
      </c>
      <c r="K31" s="399">
        <v>22950871.079012569</v>
      </c>
      <c r="L31" s="37">
        <v>0</v>
      </c>
      <c r="M31" s="37">
        <f>K31</f>
        <v>22950871.079012569</v>
      </c>
      <c r="N31" s="408">
        <v>58705.218464035999</v>
      </c>
      <c r="O31" s="188">
        <f t="shared" si="3"/>
        <v>65812.498913070638</v>
      </c>
      <c r="P31" s="408">
        <v>0</v>
      </c>
      <c r="Q31" s="408">
        <v>65812.498913070638</v>
      </c>
      <c r="R31" s="188">
        <v>1000</v>
      </c>
      <c r="S31" s="401">
        <v>9000</v>
      </c>
      <c r="U31" s="344"/>
      <c r="V31" s="364"/>
    </row>
    <row r="32" spans="1:37" s="165" customFormat="1" x14ac:dyDescent="0.3">
      <c r="A32" s="19">
        <v>2026</v>
      </c>
      <c r="B32" s="20" t="s">
        <v>28</v>
      </c>
      <c r="C32" s="21" t="s">
        <v>72</v>
      </c>
      <c r="D32" s="408">
        <v>33931044.194452897</v>
      </c>
      <c r="E32" s="408">
        <v>902321.96025767096</v>
      </c>
      <c r="F32" s="399">
        <v>824912.59632838902</v>
      </c>
      <c r="G32" s="188"/>
      <c r="H32" s="213">
        <v>11372266.281603493</v>
      </c>
      <c r="I32" s="37">
        <v>0</v>
      </c>
      <c r="J32" s="37">
        <f>H32</f>
        <v>11372266.281603493</v>
      </c>
      <c r="K32" s="399">
        <v>22558777.912849408</v>
      </c>
      <c r="L32" s="37">
        <v>0</v>
      </c>
      <c r="M32" s="37">
        <f>K32</f>
        <v>22558777.912849408</v>
      </c>
      <c r="N32" s="408">
        <v>58756.909075447998</v>
      </c>
      <c r="O32" s="188">
        <f t="shared" si="3"/>
        <v>63395.363088536084</v>
      </c>
      <c r="P32" s="408">
        <v>0</v>
      </c>
      <c r="Q32" s="408">
        <v>63395.363088536084</v>
      </c>
      <c r="R32" s="188">
        <v>1000</v>
      </c>
      <c r="S32" s="401">
        <v>9000</v>
      </c>
      <c r="U32" s="344"/>
      <c r="V32" s="364"/>
    </row>
    <row r="33" spans="1:31" s="165" customFormat="1" x14ac:dyDescent="0.3">
      <c r="A33" s="19">
        <v>2026</v>
      </c>
      <c r="B33" s="20" t="s">
        <v>29</v>
      </c>
      <c r="C33" s="21" t="s">
        <v>72</v>
      </c>
      <c r="D33" s="408">
        <v>31436703.085237652</v>
      </c>
      <c r="E33" s="408">
        <v>693055.28564764501</v>
      </c>
      <c r="F33" s="399">
        <v>747129.24306945503</v>
      </c>
      <c r="G33" s="188"/>
      <c r="H33" s="213">
        <v>10339493.793483831</v>
      </c>
      <c r="I33" s="37">
        <f>H33</f>
        <v>10339493.793483831</v>
      </c>
      <c r="J33" s="37">
        <v>0</v>
      </c>
      <c r="K33" s="399">
        <v>21097209.291753817</v>
      </c>
      <c r="L33" s="37">
        <f>K33</f>
        <v>21097209.291753817</v>
      </c>
      <c r="M33" s="37">
        <v>0</v>
      </c>
      <c r="N33" s="408">
        <v>58756.909075447998</v>
      </c>
      <c r="O33" s="188">
        <f t="shared" si="3"/>
        <v>54942.203511500607</v>
      </c>
      <c r="P33" s="408">
        <v>54942.203511500607</v>
      </c>
      <c r="Q33" s="408">
        <v>0</v>
      </c>
      <c r="R33" s="188">
        <v>1000</v>
      </c>
      <c r="S33" s="401">
        <v>9000</v>
      </c>
      <c r="U33" s="344"/>
    </row>
    <row r="34" spans="1:31" s="165" customFormat="1" x14ac:dyDescent="0.3">
      <c r="A34" s="19">
        <v>2026</v>
      </c>
      <c r="B34" s="20" t="s">
        <v>30</v>
      </c>
      <c r="C34" s="21" t="s">
        <v>72</v>
      </c>
      <c r="D34" s="408">
        <v>27551483.2388018</v>
      </c>
      <c r="E34" s="408">
        <v>428777.63697199</v>
      </c>
      <c r="F34" s="399">
        <v>352711.15984120802</v>
      </c>
      <c r="G34" s="188"/>
      <c r="H34" s="213">
        <v>9937799.1358100269</v>
      </c>
      <c r="I34" s="37">
        <f>H34</f>
        <v>9937799.1358100269</v>
      </c>
      <c r="J34" s="37">
        <v>0</v>
      </c>
      <c r="K34" s="399">
        <v>17613684.102991775</v>
      </c>
      <c r="L34" s="37">
        <f>K34</f>
        <v>17613684.102991775</v>
      </c>
      <c r="M34" s="37">
        <v>0</v>
      </c>
      <c r="N34" s="408">
        <v>58756.909075447998</v>
      </c>
      <c r="O34" s="188">
        <f t="shared" si="3"/>
        <v>48808.658152678239</v>
      </c>
      <c r="P34" s="408">
        <v>48808.658152678239</v>
      </c>
      <c r="Q34" s="408">
        <v>0</v>
      </c>
      <c r="R34" s="188">
        <v>1000</v>
      </c>
      <c r="S34" s="401">
        <v>9000</v>
      </c>
      <c r="U34" s="344"/>
    </row>
    <row r="35" spans="1:31" s="165" customFormat="1" x14ac:dyDescent="0.3">
      <c r="A35" s="22">
        <v>2026</v>
      </c>
      <c r="B35" s="23" t="s">
        <v>31</v>
      </c>
      <c r="C35" s="24" t="s">
        <v>72</v>
      </c>
      <c r="D35" s="458">
        <v>26414508.998609807</v>
      </c>
      <c r="E35" s="458">
        <v>246096.55395943901</v>
      </c>
      <c r="F35" s="404">
        <v>268855.55652739102</v>
      </c>
      <c r="G35" s="453"/>
      <c r="H35" s="463">
        <v>9621513.6089076884</v>
      </c>
      <c r="I35" s="464">
        <f>H35</f>
        <v>9621513.6089076884</v>
      </c>
      <c r="J35" s="464">
        <v>0</v>
      </c>
      <c r="K35" s="399">
        <v>16792995.389702119</v>
      </c>
      <c r="L35" s="464">
        <f>K35</f>
        <v>16792995.389702119</v>
      </c>
      <c r="M35" s="464">
        <v>0</v>
      </c>
      <c r="N35" s="458">
        <v>58756.909075447998</v>
      </c>
      <c r="O35" s="453">
        <f t="shared" si="3"/>
        <v>49410.174105784128</v>
      </c>
      <c r="P35" s="458">
        <v>49410.174105784128</v>
      </c>
      <c r="Q35" s="458">
        <v>0</v>
      </c>
      <c r="R35" s="453">
        <v>1000</v>
      </c>
      <c r="S35" s="402">
        <v>9000</v>
      </c>
      <c r="U35" s="344"/>
    </row>
    <row r="36" spans="1:31" s="165" customFormat="1" x14ac:dyDescent="0.3">
      <c r="A36" s="545"/>
      <c r="B36" s="545"/>
      <c r="C36" s="545"/>
      <c r="D36" s="331">
        <f t="shared" ref="D36:M36" si="4">SUM(D24:D35)</f>
        <v>358508674.096376</v>
      </c>
      <c r="E36" s="331">
        <f t="shared" si="4"/>
        <v>9801047.7540117279</v>
      </c>
      <c r="F36" s="331">
        <f t="shared" si="4"/>
        <v>8903988.4172700029</v>
      </c>
      <c r="G36" s="331">
        <f t="shared" si="4"/>
        <v>0</v>
      </c>
      <c r="H36" s="331">
        <f t="shared" si="4"/>
        <v>124372100.42850119</v>
      </c>
      <c r="I36" s="331">
        <f t="shared" si="4"/>
        <v>80247953.784552902</v>
      </c>
      <c r="J36" s="331">
        <f t="shared" si="4"/>
        <v>44124146.643948294</v>
      </c>
      <c r="K36" s="114">
        <f t="shared" si="4"/>
        <v>234136573.66787484</v>
      </c>
      <c r="L36" s="331">
        <f t="shared" si="4"/>
        <v>144791654.24537492</v>
      </c>
      <c r="M36" s="331">
        <f t="shared" si="4"/>
        <v>89344919.42249991</v>
      </c>
      <c r="N36" s="275">
        <f t="shared" ref="N36:S36" si="5">SUM(N24:N35)</f>
        <v>712463.88401408005</v>
      </c>
      <c r="O36" s="275">
        <f t="shared" si="5"/>
        <v>650970.32425704587</v>
      </c>
      <c r="P36" s="275">
        <f t="shared" si="5"/>
        <v>412026.34644254041</v>
      </c>
      <c r="Q36" s="275">
        <f t="shared" si="5"/>
        <v>238943.97781450528</v>
      </c>
      <c r="R36" s="275">
        <f t="shared" si="5"/>
        <v>12000</v>
      </c>
      <c r="S36" s="275">
        <f t="shared" si="5"/>
        <v>108000</v>
      </c>
    </row>
    <row r="37" spans="1:31" s="269" customFormat="1" x14ac:dyDescent="0.3">
      <c r="A37" s="541" t="s">
        <v>138</v>
      </c>
      <c r="B37" s="551"/>
      <c r="C37" s="551"/>
      <c r="D37" s="551"/>
      <c r="E37" s="551"/>
      <c r="F37" s="551"/>
      <c r="G37" s="551"/>
      <c r="H37" s="551"/>
      <c r="I37" s="551"/>
      <c r="J37" s="551"/>
      <c r="K37" s="551"/>
      <c r="L37" s="551"/>
      <c r="M37" s="551"/>
      <c r="N37" s="551"/>
      <c r="O37" s="551"/>
      <c r="P37" s="551"/>
      <c r="Q37" s="551"/>
      <c r="R37" s="551"/>
      <c r="S37" s="551"/>
    </row>
    <row r="38" spans="1:31" s="343" customFormat="1" x14ac:dyDescent="0.3">
      <c r="A38" s="354" t="s">
        <v>119</v>
      </c>
      <c r="B38" s="355"/>
      <c r="C38" s="355"/>
      <c r="D38" s="355"/>
      <c r="E38" s="355"/>
      <c r="F38" s="355"/>
      <c r="G38" s="355"/>
      <c r="H38" s="355"/>
      <c r="I38" s="355"/>
      <c r="J38" s="355"/>
      <c r="K38" s="467"/>
      <c r="L38" s="355"/>
      <c r="M38" s="355"/>
      <c r="N38" s="355"/>
      <c r="O38" s="355"/>
      <c r="P38" s="355"/>
      <c r="Q38" s="355"/>
      <c r="R38" s="355"/>
      <c r="S38" s="355"/>
    </row>
    <row r="39" spans="1:31" s="269" customFormat="1" x14ac:dyDescent="0.3">
      <c r="A39" s="285"/>
      <c r="B39" s="285"/>
      <c r="C39" s="285"/>
      <c r="D39" s="285"/>
      <c r="E39" s="285"/>
      <c r="F39" s="285"/>
      <c r="G39" s="285"/>
      <c r="H39" s="285"/>
      <c r="I39" s="285"/>
      <c r="J39" s="285"/>
      <c r="K39" s="285"/>
      <c r="L39" s="285"/>
      <c r="M39" s="285"/>
      <c r="N39" s="285"/>
      <c r="O39" s="285"/>
      <c r="P39" s="271"/>
      <c r="Q39" s="271"/>
      <c r="R39" s="347"/>
      <c r="S39" s="271"/>
    </row>
    <row r="40" spans="1:31" s="343" customFormat="1" ht="60.6" x14ac:dyDescent="0.3">
      <c r="A40" s="6" t="s">
        <v>18</v>
      </c>
      <c r="B40" s="6" t="s">
        <v>19</v>
      </c>
      <c r="C40" s="7" t="s">
        <v>0</v>
      </c>
      <c r="D40" s="112" t="s">
        <v>11</v>
      </c>
      <c r="E40" s="348" t="s">
        <v>104</v>
      </c>
      <c r="F40" s="348"/>
      <c r="G40" s="348" t="s">
        <v>110</v>
      </c>
      <c r="H40" s="11" t="s">
        <v>62</v>
      </c>
      <c r="I40" s="11" t="s">
        <v>64</v>
      </c>
      <c r="J40" s="11" t="s">
        <v>63</v>
      </c>
      <c r="K40" s="169" t="s">
        <v>39</v>
      </c>
      <c r="L40" s="9" t="s">
        <v>15</v>
      </c>
      <c r="M40" s="33" t="s">
        <v>16</v>
      </c>
      <c r="N40" s="474" t="s">
        <v>77</v>
      </c>
      <c r="O40" s="36" t="s">
        <v>73</v>
      </c>
      <c r="P40" s="36" t="s">
        <v>74</v>
      </c>
      <c r="Q40" s="36" t="s">
        <v>75</v>
      </c>
      <c r="R40" s="36" t="s">
        <v>117</v>
      </c>
      <c r="S40" s="36" t="s">
        <v>84</v>
      </c>
      <c r="T40" s="36" t="s">
        <v>91</v>
      </c>
      <c r="U40" s="36" t="s">
        <v>92</v>
      </c>
    </row>
    <row r="41" spans="1:31" s="343" customFormat="1" x14ac:dyDescent="0.3">
      <c r="A41" s="16">
        <v>2024</v>
      </c>
      <c r="B41" s="17" t="s">
        <v>20</v>
      </c>
      <c r="C41" s="18" t="s">
        <v>72</v>
      </c>
      <c r="D41" s="166">
        <v>26629640</v>
      </c>
      <c r="E41" s="166">
        <v>473533</v>
      </c>
      <c r="F41" s="166"/>
      <c r="G41" s="166"/>
      <c r="H41" s="245">
        <v>8819061</v>
      </c>
      <c r="I41" s="246">
        <f>H41</f>
        <v>8819061</v>
      </c>
      <c r="J41" s="42"/>
      <c r="K41" s="166">
        <v>17810579</v>
      </c>
      <c r="L41" s="109">
        <f>K41</f>
        <v>17810579</v>
      </c>
      <c r="M41" s="109"/>
      <c r="N41" s="275">
        <v>61020.600000000006</v>
      </c>
      <c r="O41" s="248">
        <v>50036.6</v>
      </c>
      <c r="P41" s="109">
        <f>O41</f>
        <v>50036.6</v>
      </c>
      <c r="Q41" s="109"/>
      <c r="R41" s="42">
        <v>1000</v>
      </c>
      <c r="S41" s="42">
        <v>9000</v>
      </c>
      <c r="T41" s="523"/>
      <c r="U41" s="524"/>
      <c r="V41" s="365">
        <v>0</v>
      </c>
      <c r="W41" s="365">
        <v>0</v>
      </c>
      <c r="X41" s="365">
        <v>0</v>
      </c>
      <c r="Y41" s="365"/>
      <c r="Z41" s="365"/>
      <c r="AA41" s="365"/>
      <c r="AB41" s="365"/>
      <c r="AC41" s="365">
        <v>0</v>
      </c>
      <c r="AD41" s="365">
        <v>0</v>
      </c>
      <c r="AE41" s="365">
        <v>0</v>
      </c>
    </row>
    <row r="42" spans="1:31" s="343" customFormat="1" x14ac:dyDescent="0.3">
      <c r="A42" s="19">
        <v>2024</v>
      </c>
      <c r="B42" s="20" t="s">
        <v>21</v>
      </c>
      <c r="C42" s="21" t="s">
        <v>72</v>
      </c>
      <c r="D42" s="166">
        <v>26732048</v>
      </c>
      <c r="E42" s="166">
        <v>429533</v>
      </c>
      <c r="F42" s="166"/>
      <c r="G42" s="166"/>
      <c r="H42" s="246">
        <v>9714059</v>
      </c>
      <c r="I42" s="246">
        <f>H42</f>
        <v>9714059</v>
      </c>
      <c r="J42" s="43"/>
      <c r="K42" s="166">
        <v>17017989</v>
      </c>
      <c r="L42" s="110">
        <f>K42</f>
        <v>17017989</v>
      </c>
      <c r="M42" s="110"/>
      <c r="N42" s="275">
        <v>61020.600000000006</v>
      </c>
      <c r="O42" s="250">
        <v>50324.800000000003</v>
      </c>
      <c r="P42" s="110">
        <f>O42</f>
        <v>50324.800000000003</v>
      </c>
      <c r="Q42" s="110"/>
      <c r="R42" s="43">
        <v>1000</v>
      </c>
      <c r="S42" s="43">
        <v>9000</v>
      </c>
      <c r="T42" s="224"/>
      <c r="U42" s="525"/>
    </row>
    <row r="43" spans="1:31" s="343" customFormat="1" x14ac:dyDescent="0.3">
      <c r="A43" s="19">
        <v>2024</v>
      </c>
      <c r="B43" s="20" t="s">
        <v>22</v>
      </c>
      <c r="C43" s="21" t="s">
        <v>72</v>
      </c>
      <c r="D43" s="166">
        <v>26439274</v>
      </c>
      <c r="E43" s="166">
        <v>1334685</v>
      </c>
      <c r="F43" s="166"/>
      <c r="G43" s="166"/>
      <c r="H43" s="246">
        <v>10207033</v>
      </c>
      <c r="I43" s="246">
        <f>H43</f>
        <v>10207033</v>
      </c>
      <c r="J43" s="43"/>
      <c r="K43" s="166">
        <v>16232241</v>
      </c>
      <c r="L43" s="110">
        <f>K43</f>
        <v>16232241</v>
      </c>
      <c r="M43" s="110"/>
      <c r="N43" s="275">
        <v>61020.600000000006</v>
      </c>
      <c r="O43" s="250">
        <v>50328.7</v>
      </c>
      <c r="P43" s="110">
        <f>O43</f>
        <v>50328.7</v>
      </c>
      <c r="Q43" s="110"/>
      <c r="R43" s="43">
        <v>1000</v>
      </c>
      <c r="S43" s="43">
        <v>9000</v>
      </c>
      <c r="T43" s="224"/>
      <c r="U43" s="525"/>
    </row>
    <row r="44" spans="1:31" s="343" customFormat="1" x14ac:dyDescent="0.3">
      <c r="A44" s="19">
        <v>2024</v>
      </c>
      <c r="B44" s="20" t="s">
        <v>23</v>
      </c>
      <c r="C44" s="21" t="s">
        <v>72</v>
      </c>
      <c r="D44" s="166">
        <v>27427409</v>
      </c>
      <c r="E44" s="166">
        <v>1653111</v>
      </c>
      <c r="F44" s="166"/>
      <c r="G44" s="166"/>
      <c r="H44" s="246">
        <v>10058924</v>
      </c>
      <c r="I44" s="246">
        <f>H44</f>
        <v>10058924</v>
      </c>
      <c r="J44" s="43"/>
      <c r="K44" s="166">
        <v>17368485</v>
      </c>
      <c r="L44" s="110">
        <f>K44</f>
        <v>17368485</v>
      </c>
      <c r="M44" s="110"/>
      <c r="N44" s="275">
        <v>61020.600000000006</v>
      </c>
      <c r="O44" s="250">
        <v>50382.899999999994</v>
      </c>
      <c r="P44" s="110">
        <f>O44</f>
        <v>50382.899999999994</v>
      </c>
      <c r="Q44" s="110"/>
      <c r="R44" s="43">
        <v>1000</v>
      </c>
      <c r="S44" s="43">
        <v>9000</v>
      </c>
      <c r="T44" s="224"/>
      <c r="U44" s="525"/>
    </row>
    <row r="45" spans="1:31" s="343" customFormat="1" x14ac:dyDescent="0.3">
      <c r="A45" s="19">
        <v>2024</v>
      </c>
      <c r="B45" s="20" t="s">
        <v>24</v>
      </c>
      <c r="C45" s="21" t="s">
        <v>72</v>
      </c>
      <c r="D45" s="166">
        <v>29657952</v>
      </c>
      <c r="E45" s="166">
        <v>1893950</v>
      </c>
      <c r="F45" s="166"/>
      <c r="G45" s="166"/>
      <c r="H45" s="246">
        <v>13102213</v>
      </c>
      <c r="I45" s="246">
        <f>H45</f>
        <v>13102213</v>
      </c>
      <c r="J45" s="43"/>
      <c r="K45" s="166">
        <v>16555739</v>
      </c>
      <c r="L45" s="110">
        <f>K45</f>
        <v>16555739</v>
      </c>
      <c r="M45" s="110"/>
      <c r="N45" s="275">
        <v>61020.600000000006</v>
      </c>
      <c r="O45" s="250">
        <v>51942.700000000004</v>
      </c>
      <c r="P45" s="110">
        <f>O45</f>
        <v>51942.700000000004</v>
      </c>
      <c r="Q45" s="110"/>
      <c r="R45" s="43">
        <v>1000</v>
      </c>
      <c r="S45" s="43">
        <v>9000</v>
      </c>
      <c r="T45" s="224"/>
      <c r="U45" s="525"/>
    </row>
    <row r="46" spans="1:31" s="343" customFormat="1" x14ac:dyDescent="0.3">
      <c r="A46" s="19">
        <v>2024</v>
      </c>
      <c r="B46" s="20" t="s">
        <v>25</v>
      </c>
      <c r="C46" s="21" t="s">
        <v>72</v>
      </c>
      <c r="D46" s="166">
        <v>32000518</v>
      </c>
      <c r="E46" s="166">
        <v>2298841</v>
      </c>
      <c r="F46" s="166"/>
      <c r="G46" s="166"/>
      <c r="H46" s="246">
        <v>14490275</v>
      </c>
      <c r="I46" s="246"/>
      <c r="J46" s="43">
        <f>H46</f>
        <v>14490275</v>
      </c>
      <c r="K46" s="166">
        <v>17510243</v>
      </c>
      <c r="L46" s="110"/>
      <c r="M46" s="110">
        <f>K46</f>
        <v>17510243</v>
      </c>
      <c r="N46" s="275">
        <v>61020.600000000006</v>
      </c>
      <c r="O46" s="250">
        <v>51410.46</v>
      </c>
      <c r="P46" s="110"/>
      <c r="Q46" s="110">
        <f>O46</f>
        <v>51410.46</v>
      </c>
      <c r="R46" s="43">
        <v>1000</v>
      </c>
      <c r="S46" s="43">
        <v>9000</v>
      </c>
      <c r="T46" s="224"/>
      <c r="U46" s="525"/>
    </row>
    <row r="47" spans="1:31" s="343" customFormat="1" x14ac:dyDescent="0.3">
      <c r="A47" s="19">
        <v>2024</v>
      </c>
      <c r="B47" s="20" t="s">
        <v>26</v>
      </c>
      <c r="C47" s="21" t="s">
        <v>72</v>
      </c>
      <c r="D47" s="166">
        <v>33738651</v>
      </c>
      <c r="E47" s="166">
        <v>2163772</v>
      </c>
      <c r="F47" s="166"/>
      <c r="G47" s="166"/>
      <c r="H47" s="246">
        <v>15902675</v>
      </c>
      <c r="I47" s="43"/>
      <c r="J47" s="43">
        <f>H47</f>
        <v>15902675</v>
      </c>
      <c r="K47" s="166">
        <v>17835976</v>
      </c>
      <c r="L47" s="110"/>
      <c r="M47" s="110">
        <f>K47</f>
        <v>17835976</v>
      </c>
      <c r="N47" s="275">
        <v>61020.600000000006</v>
      </c>
      <c r="O47" s="250">
        <v>56908.59</v>
      </c>
      <c r="P47" s="110"/>
      <c r="Q47" s="110">
        <f>O47</f>
        <v>56908.59</v>
      </c>
      <c r="R47" s="43">
        <v>1000</v>
      </c>
      <c r="S47" s="43">
        <v>9000</v>
      </c>
      <c r="T47" s="224"/>
      <c r="U47" s="525"/>
    </row>
    <row r="48" spans="1:31" s="343" customFormat="1" x14ac:dyDescent="0.3">
      <c r="A48" s="19">
        <v>2024</v>
      </c>
      <c r="B48" s="20" t="s">
        <v>27</v>
      </c>
      <c r="C48" s="21" t="s">
        <v>72</v>
      </c>
      <c r="D48" s="166">
        <v>33841760</v>
      </c>
      <c r="E48" s="166">
        <v>2398974</v>
      </c>
      <c r="F48" s="166"/>
      <c r="G48" s="166"/>
      <c r="H48" s="246">
        <v>15330530</v>
      </c>
      <c r="I48" s="43"/>
      <c r="J48" s="43">
        <f>H48</f>
        <v>15330530</v>
      </c>
      <c r="K48" s="166">
        <v>18511230</v>
      </c>
      <c r="L48" s="110"/>
      <c r="M48" s="110">
        <f>K48</f>
        <v>18511230</v>
      </c>
      <c r="N48" s="275">
        <v>61020.600000000006</v>
      </c>
      <c r="O48" s="250">
        <v>57435.4</v>
      </c>
      <c r="P48" s="110"/>
      <c r="Q48" s="110">
        <f>O48</f>
        <v>57435.4</v>
      </c>
      <c r="R48" s="43">
        <v>1000</v>
      </c>
      <c r="S48" s="43">
        <v>9000</v>
      </c>
      <c r="T48" s="224"/>
      <c r="U48" s="525"/>
    </row>
    <row r="49" spans="1:31" s="343" customFormat="1" x14ac:dyDescent="0.3">
      <c r="A49" s="19">
        <v>2024</v>
      </c>
      <c r="B49" s="20" t="s">
        <v>28</v>
      </c>
      <c r="C49" s="21" t="s">
        <v>72</v>
      </c>
      <c r="D49" s="166">
        <v>35034512</v>
      </c>
      <c r="E49" s="166">
        <v>2108425</v>
      </c>
      <c r="F49" s="166"/>
      <c r="G49" s="166"/>
      <c r="H49" s="246">
        <v>16642315</v>
      </c>
      <c r="I49" s="43"/>
      <c r="J49" s="43">
        <f>H49</f>
        <v>16642315</v>
      </c>
      <c r="K49" s="166">
        <v>18392197</v>
      </c>
      <c r="L49" s="110"/>
      <c r="M49" s="110">
        <f>K49</f>
        <v>18392197</v>
      </c>
      <c r="N49" s="275">
        <v>61318</v>
      </c>
      <c r="O49" s="250">
        <v>67410</v>
      </c>
      <c r="P49" s="110"/>
      <c r="Q49" s="110">
        <f>O49</f>
        <v>67410</v>
      </c>
      <c r="R49" s="43">
        <v>6410</v>
      </c>
      <c r="S49" s="43">
        <v>9000</v>
      </c>
      <c r="T49" s="224"/>
      <c r="U49" s="525"/>
    </row>
    <row r="50" spans="1:31" s="343" customFormat="1" x14ac:dyDescent="0.3">
      <c r="A50" s="19">
        <v>2024</v>
      </c>
      <c r="B50" s="20" t="s">
        <v>29</v>
      </c>
      <c r="C50" s="21" t="s">
        <v>72</v>
      </c>
      <c r="D50" s="166">
        <v>33761580</v>
      </c>
      <c r="E50" s="166">
        <v>2130116</v>
      </c>
      <c r="F50" s="166"/>
      <c r="G50" s="166"/>
      <c r="H50" s="246">
        <v>14532174</v>
      </c>
      <c r="I50" s="43">
        <f>H50</f>
        <v>14532174</v>
      </c>
      <c r="J50" s="43"/>
      <c r="K50" s="166">
        <v>19229406</v>
      </c>
      <c r="L50" s="110">
        <f>K50</f>
        <v>19229406</v>
      </c>
      <c r="M50" s="110"/>
      <c r="N50" s="275">
        <v>61318</v>
      </c>
      <c r="O50" s="250">
        <v>56800.159999999996</v>
      </c>
      <c r="P50" s="110">
        <f>O50</f>
        <v>56800.159999999996</v>
      </c>
      <c r="Q50" s="110"/>
      <c r="R50" s="43">
        <v>1000</v>
      </c>
      <c r="S50" s="43">
        <v>9000</v>
      </c>
      <c r="T50" s="224"/>
      <c r="U50" s="525"/>
    </row>
    <row r="51" spans="1:31" s="343" customFormat="1" x14ac:dyDescent="0.3">
      <c r="A51" s="19">
        <v>2024</v>
      </c>
      <c r="B51" s="20" t="s">
        <v>30</v>
      </c>
      <c r="C51" s="21" t="s">
        <v>72</v>
      </c>
      <c r="D51" s="166">
        <v>32391090</v>
      </c>
      <c r="E51" s="166">
        <v>1667312</v>
      </c>
      <c r="F51" s="166"/>
      <c r="G51" s="166"/>
      <c r="H51" s="246">
        <v>15133829</v>
      </c>
      <c r="I51" s="43">
        <f>H51</f>
        <v>15133829</v>
      </c>
      <c r="J51" s="43"/>
      <c r="K51" s="166">
        <v>17257261</v>
      </c>
      <c r="L51" s="110">
        <f>K51</f>
        <v>17257261</v>
      </c>
      <c r="M51" s="110"/>
      <c r="N51" s="275">
        <v>61318</v>
      </c>
      <c r="O51" s="250">
        <v>52382</v>
      </c>
      <c r="P51" s="110">
        <f>O51</f>
        <v>52382</v>
      </c>
      <c r="Q51" s="110"/>
      <c r="R51" s="43">
        <v>1000</v>
      </c>
      <c r="S51" s="43">
        <v>9000</v>
      </c>
      <c r="T51" s="224"/>
      <c r="U51" s="525"/>
    </row>
    <row r="52" spans="1:31" s="343" customFormat="1" x14ac:dyDescent="0.3">
      <c r="A52" s="22">
        <v>2024</v>
      </c>
      <c r="B52" s="23" t="s">
        <v>31</v>
      </c>
      <c r="C52" s="24" t="s">
        <v>72</v>
      </c>
      <c r="D52" s="102">
        <v>27298087</v>
      </c>
      <c r="E52" s="102">
        <v>592705</v>
      </c>
      <c r="F52" s="102"/>
      <c r="G52" s="102"/>
      <c r="H52" s="247">
        <v>10300959</v>
      </c>
      <c r="I52" s="44">
        <f>H52</f>
        <v>10300959</v>
      </c>
      <c r="J52" s="44"/>
      <c r="K52" s="102">
        <v>16997128</v>
      </c>
      <c r="L52" s="111">
        <f>K52</f>
        <v>16997128</v>
      </c>
      <c r="M52" s="111"/>
      <c r="N52" s="526">
        <v>61318</v>
      </c>
      <c r="O52" s="252">
        <v>50871.799999999996</v>
      </c>
      <c r="P52" s="111">
        <f>O52</f>
        <v>50871.799999999996</v>
      </c>
      <c r="Q52" s="111"/>
      <c r="R52" s="44">
        <v>1000</v>
      </c>
      <c r="S52" s="44">
        <v>9000</v>
      </c>
      <c r="T52" s="527"/>
      <c r="U52" s="528"/>
    </row>
    <row r="53" spans="1:31" s="343" customFormat="1" x14ac:dyDescent="0.3">
      <c r="A53" s="545"/>
      <c r="B53" s="545"/>
      <c r="C53" s="545"/>
      <c r="D53" s="171">
        <f>SUM(D41:D52)</f>
        <v>364952521</v>
      </c>
      <c r="E53" s="171">
        <f>SUM(E41:E52)</f>
        <v>19144957</v>
      </c>
      <c r="F53" s="171">
        <f>SUM(F41:F52)</f>
        <v>0</v>
      </c>
      <c r="G53" s="171">
        <f>SUM(G41:G52)</f>
        <v>0</v>
      </c>
      <c r="H53" s="171">
        <f t="shared" ref="H53:R53" si="6">SUM(H41:H52)</f>
        <v>154234047</v>
      </c>
      <c r="I53" s="171">
        <f t="shared" si="6"/>
        <v>91868252</v>
      </c>
      <c r="J53" s="171">
        <f t="shared" si="6"/>
        <v>62365795</v>
      </c>
      <c r="K53" s="171">
        <f t="shared" si="6"/>
        <v>210718474</v>
      </c>
      <c r="L53" s="171">
        <f t="shared" si="6"/>
        <v>138468828</v>
      </c>
      <c r="M53" s="171">
        <f t="shared" si="6"/>
        <v>72249646</v>
      </c>
      <c r="N53" s="171">
        <f t="shared" si="6"/>
        <v>733436.79999999993</v>
      </c>
      <c r="O53" s="171">
        <f t="shared" si="6"/>
        <v>646234.1100000001</v>
      </c>
      <c r="P53" s="171">
        <f t="shared" si="6"/>
        <v>413069.66</v>
      </c>
      <c r="Q53" s="171">
        <f t="shared" si="6"/>
        <v>233164.44999999998</v>
      </c>
      <c r="R53" s="171">
        <f t="shared" si="6"/>
        <v>17410</v>
      </c>
      <c r="S53" s="171">
        <f>SUM(S41:S52)</f>
        <v>108000</v>
      </c>
      <c r="T53" s="171">
        <f>SUM(T41:T52)</f>
        <v>0</v>
      </c>
      <c r="U53" s="171">
        <f>SUM(U41:U52)</f>
        <v>0</v>
      </c>
    </row>
    <row r="54" spans="1:31" s="343" customFormat="1" ht="15" customHeight="1" x14ac:dyDescent="0.3">
      <c r="A54" s="541" t="s">
        <v>138</v>
      </c>
      <c r="B54" s="551"/>
      <c r="C54" s="551"/>
      <c r="D54" s="551"/>
      <c r="E54" s="551"/>
      <c r="F54" s="551"/>
      <c r="G54" s="551"/>
      <c r="H54" s="551"/>
      <c r="I54" s="551"/>
      <c r="J54" s="551"/>
      <c r="K54" s="551"/>
      <c r="L54" s="551"/>
      <c r="M54" s="551"/>
      <c r="N54" s="551"/>
      <c r="O54" s="551"/>
      <c r="P54" s="551"/>
      <c r="Q54" s="551"/>
      <c r="R54" s="551"/>
      <c r="S54" s="551"/>
      <c r="T54" s="328"/>
      <c r="U54" s="328"/>
    </row>
    <row r="55" spans="1:31" s="343" customFormat="1" x14ac:dyDescent="0.3">
      <c r="A55" s="366" t="s">
        <v>118</v>
      </c>
      <c r="B55" s="367"/>
      <c r="C55" s="367"/>
      <c r="D55" s="367"/>
      <c r="E55" s="367"/>
      <c r="F55" s="367"/>
      <c r="G55" s="367"/>
      <c r="H55" s="367"/>
      <c r="I55" s="367"/>
      <c r="J55" s="367"/>
      <c r="K55" s="466"/>
      <c r="L55" s="367"/>
      <c r="M55" s="367"/>
      <c r="N55" s="367"/>
      <c r="O55" s="367"/>
      <c r="P55" s="367"/>
      <c r="Q55" s="367"/>
      <c r="R55" s="367"/>
      <c r="S55" s="367"/>
      <c r="T55" s="328"/>
      <c r="U55" s="328"/>
    </row>
    <row r="56" spans="1:31" s="343" customFormat="1" x14ac:dyDescent="0.3">
      <c r="A56" s="285"/>
      <c r="B56" s="285"/>
      <c r="C56" s="285"/>
      <c r="D56" s="285"/>
      <c r="E56" s="285"/>
      <c r="F56" s="285"/>
      <c r="G56" s="285"/>
      <c r="H56" s="285"/>
      <c r="I56" s="285"/>
      <c r="J56" s="285"/>
      <c r="K56" s="285"/>
      <c r="L56" s="285"/>
      <c r="M56" s="285"/>
      <c r="N56" s="285"/>
      <c r="O56" s="285"/>
      <c r="P56" s="368"/>
      <c r="Q56" s="368"/>
      <c r="R56" s="368"/>
      <c r="S56" s="368"/>
    </row>
    <row r="57" spans="1:31" s="343" customFormat="1" ht="60.6" x14ac:dyDescent="0.3">
      <c r="A57" s="6" t="s">
        <v>18</v>
      </c>
      <c r="B57" s="6" t="s">
        <v>19</v>
      </c>
      <c r="C57" s="7" t="s">
        <v>0</v>
      </c>
      <c r="D57" s="112" t="s">
        <v>11</v>
      </c>
      <c r="E57" s="348" t="s">
        <v>104</v>
      </c>
      <c r="F57" s="348"/>
      <c r="G57" s="348" t="s">
        <v>110</v>
      </c>
      <c r="H57" s="11" t="s">
        <v>62</v>
      </c>
      <c r="I57" s="11" t="s">
        <v>64</v>
      </c>
      <c r="J57" s="11" t="s">
        <v>63</v>
      </c>
      <c r="K57" s="169" t="s">
        <v>39</v>
      </c>
      <c r="L57" s="9" t="s">
        <v>15</v>
      </c>
      <c r="M57" s="33" t="s">
        <v>16</v>
      </c>
      <c r="N57" s="474" t="s">
        <v>77</v>
      </c>
      <c r="O57" s="36" t="s">
        <v>73</v>
      </c>
      <c r="P57" s="36" t="s">
        <v>74</v>
      </c>
      <c r="Q57" s="36" t="s">
        <v>75</v>
      </c>
      <c r="R57" s="36" t="s">
        <v>117</v>
      </c>
      <c r="S57" s="36" t="s">
        <v>84</v>
      </c>
      <c r="T57" s="36" t="s">
        <v>91</v>
      </c>
      <c r="U57" s="36" t="s">
        <v>92</v>
      </c>
    </row>
    <row r="58" spans="1:31" s="343" customFormat="1" x14ac:dyDescent="0.3">
      <c r="A58" s="16">
        <v>2023</v>
      </c>
      <c r="B58" s="17" t="s">
        <v>20</v>
      </c>
      <c r="C58" s="18" t="s">
        <v>72</v>
      </c>
      <c r="D58" s="166">
        <v>26089823</v>
      </c>
      <c r="E58" s="166">
        <v>545806</v>
      </c>
      <c r="F58" s="166"/>
      <c r="G58" s="166"/>
      <c r="H58" s="245">
        <v>9379359</v>
      </c>
      <c r="I58" s="246">
        <f>H58</f>
        <v>9379359</v>
      </c>
      <c r="J58" s="42"/>
      <c r="K58" s="166">
        <v>16710464</v>
      </c>
      <c r="L58" s="109">
        <f>K58</f>
        <v>16710464</v>
      </c>
      <c r="M58" s="109"/>
      <c r="N58" s="275">
        <v>57568</v>
      </c>
      <c r="O58" s="248">
        <v>49698.7</v>
      </c>
      <c r="P58" s="109">
        <f>O58</f>
        <v>49698.7</v>
      </c>
      <c r="Q58" s="109"/>
      <c r="R58" s="42">
        <v>1000</v>
      </c>
      <c r="S58" s="42">
        <v>9000</v>
      </c>
      <c r="T58" s="523"/>
      <c r="U58" s="524"/>
      <c r="V58" s="365">
        <v>0</v>
      </c>
      <c r="W58" s="365">
        <v>0</v>
      </c>
      <c r="X58" s="365">
        <v>0</v>
      </c>
      <c r="Y58" s="365"/>
      <c r="Z58" s="365"/>
      <c r="AA58" s="365"/>
      <c r="AB58" s="365"/>
      <c r="AC58" s="365">
        <v>0</v>
      </c>
      <c r="AD58" s="365">
        <v>0</v>
      </c>
      <c r="AE58" s="365">
        <v>0</v>
      </c>
    </row>
    <row r="59" spans="1:31" s="343" customFormat="1" x14ac:dyDescent="0.3">
      <c r="A59" s="19">
        <v>2023</v>
      </c>
      <c r="B59" s="20" t="s">
        <v>21</v>
      </c>
      <c r="C59" s="21" t="s">
        <v>72</v>
      </c>
      <c r="D59" s="166">
        <v>25981309</v>
      </c>
      <c r="E59" s="166">
        <v>486295</v>
      </c>
      <c r="F59" s="166"/>
      <c r="G59" s="166"/>
      <c r="H59" s="246">
        <v>9352225</v>
      </c>
      <c r="I59" s="246">
        <f>H59</f>
        <v>9352225</v>
      </c>
      <c r="J59" s="43"/>
      <c r="K59" s="166">
        <v>16629084</v>
      </c>
      <c r="L59" s="110">
        <f>K59</f>
        <v>16629084</v>
      </c>
      <c r="M59" s="110"/>
      <c r="N59" s="275">
        <v>57568</v>
      </c>
      <c r="O59" s="250">
        <v>49712.6</v>
      </c>
      <c r="P59" s="110">
        <f>O59</f>
        <v>49712.6</v>
      </c>
      <c r="Q59" s="110"/>
      <c r="R59" s="43">
        <v>1000</v>
      </c>
      <c r="S59" s="43">
        <v>9000</v>
      </c>
      <c r="T59" s="224"/>
      <c r="U59" s="525"/>
    </row>
    <row r="60" spans="1:31" s="343" customFormat="1" x14ac:dyDescent="0.3">
      <c r="A60" s="19">
        <v>2023</v>
      </c>
      <c r="B60" s="20" t="s">
        <v>22</v>
      </c>
      <c r="C60" s="21" t="s">
        <v>72</v>
      </c>
      <c r="D60" s="166">
        <v>24553486</v>
      </c>
      <c r="E60" s="166">
        <v>1233871</v>
      </c>
      <c r="F60" s="166"/>
      <c r="G60" s="166"/>
      <c r="H60" s="246">
        <v>9034203</v>
      </c>
      <c r="I60" s="246">
        <f>H60</f>
        <v>9034203</v>
      </c>
      <c r="J60" s="43"/>
      <c r="K60" s="166">
        <v>15519283</v>
      </c>
      <c r="L60" s="110">
        <f>K60</f>
        <v>15519283</v>
      </c>
      <c r="M60" s="110"/>
      <c r="N60" s="275">
        <v>57568</v>
      </c>
      <c r="O60" s="250">
        <v>50222</v>
      </c>
      <c r="P60" s="110">
        <f>O60</f>
        <v>50222</v>
      </c>
      <c r="Q60" s="110"/>
      <c r="R60" s="43">
        <v>1000</v>
      </c>
      <c r="S60" s="43">
        <v>9000</v>
      </c>
      <c r="T60" s="224"/>
      <c r="U60" s="525"/>
    </row>
    <row r="61" spans="1:31" s="343" customFormat="1" x14ac:dyDescent="0.3">
      <c r="A61" s="19">
        <v>2023</v>
      </c>
      <c r="B61" s="20" t="s">
        <v>23</v>
      </c>
      <c r="C61" s="21" t="s">
        <v>72</v>
      </c>
      <c r="D61" s="166">
        <v>26857283</v>
      </c>
      <c r="E61" s="166">
        <v>1480777</v>
      </c>
      <c r="F61" s="166"/>
      <c r="G61" s="166"/>
      <c r="H61" s="246">
        <v>10265280</v>
      </c>
      <c r="I61" s="246">
        <f>H61</f>
        <v>10265280</v>
      </c>
      <c r="J61" s="43"/>
      <c r="K61" s="166">
        <v>16592003</v>
      </c>
      <c r="L61" s="110">
        <f>K61</f>
        <v>16592003</v>
      </c>
      <c r="M61" s="110"/>
      <c r="N61" s="275">
        <v>57568</v>
      </c>
      <c r="O61" s="250">
        <v>49774.9</v>
      </c>
      <c r="P61" s="110">
        <f>O61</f>
        <v>49774.9</v>
      </c>
      <c r="Q61" s="110"/>
      <c r="R61" s="43">
        <v>1000</v>
      </c>
      <c r="S61" s="43">
        <v>9000</v>
      </c>
      <c r="T61" s="224"/>
      <c r="U61" s="525"/>
    </row>
    <row r="62" spans="1:31" s="343" customFormat="1" x14ac:dyDescent="0.3">
      <c r="A62" s="19">
        <v>2023</v>
      </c>
      <c r="B62" s="20" t="s">
        <v>24</v>
      </c>
      <c r="C62" s="21" t="s">
        <v>72</v>
      </c>
      <c r="D62" s="166">
        <v>29134741</v>
      </c>
      <c r="E62" s="166">
        <v>1633389</v>
      </c>
      <c r="F62" s="166"/>
      <c r="G62" s="166"/>
      <c r="H62" s="246">
        <v>11255928</v>
      </c>
      <c r="I62" s="246">
        <f>H62</f>
        <v>11255928</v>
      </c>
      <c r="J62" s="43"/>
      <c r="K62" s="166">
        <v>17878813</v>
      </c>
      <c r="L62" s="110">
        <f>K62</f>
        <v>17878813</v>
      </c>
      <c r="M62" s="110"/>
      <c r="N62" s="275">
        <v>57568</v>
      </c>
      <c r="O62" s="250">
        <v>51487.7</v>
      </c>
      <c r="P62" s="110">
        <f>O62</f>
        <v>51487.7</v>
      </c>
      <c r="Q62" s="110"/>
      <c r="R62" s="43">
        <v>1000</v>
      </c>
      <c r="S62" s="43">
        <v>9000</v>
      </c>
      <c r="T62" s="224"/>
      <c r="U62" s="525"/>
    </row>
    <row r="63" spans="1:31" s="343" customFormat="1" x14ac:dyDescent="0.3">
      <c r="A63" s="19">
        <v>2023</v>
      </c>
      <c r="B63" s="20" t="s">
        <v>25</v>
      </c>
      <c r="C63" s="21" t="s">
        <v>72</v>
      </c>
      <c r="D63" s="166">
        <v>30829379</v>
      </c>
      <c r="E63" s="166">
        <v>2458736</v>
      </c>
      <c r="F63" s="166"/>
      <c r="G63" s="166"/>
      <c r="H63" s="246">
        <v>11015095</v>
      </c>
      <c r="I63" s="246"/>
      <c r="J63" s="43">
        <f>H63</f>
        <v>11015095</v>
      </c>
      <c r="K63" s="166">
        <v>19814284</v>
      </c>
      <c r="L63" s="110"/>
      <c r="M63" s="110">
        <f>K63</f>
        <v>19814284</v>
      </c>
      <c r="N63" s="275">
        <v>57568</v>
      </c>
      <c r="O63" s="250">
        <v>50685.65</v>
      </c>
      <c r="P63" s="110"/>
      <c r="Q63" s="110">
        <f>O63</f>
        <v>50685.65</v>
      </c>
      <c r="R63" s="43">
        <v>1000</v>
      </c>
      <c r="S63" s="43">
        <v>9000</v>
      </c>
      <c r="T63" s="224"/>
      <c r="U63" s="525"/>
    </row>
    <row r="64" spans="1:31" s="343" customFormat="1" x14ac:dyDescent="0.3">
      <c r="A64" s="19">
        <v>2023</v>
      </c>
      <c r="B64" s="20" t="s">
        <v>26</v>
      </c>
      <c r="C64" s="21" t="s">
        <v>72</v>
      </c>
      <c r="D64" s="166">
        <v>30952157</v>
      </c>
      <c r="E64" s="166">
        <v>2411206</v>
      </c>
      <c r="F64" s="166"/>
      <c r="G64" s="166"/>
      <c r="H64" s="246">
        <v>10662902</v>
      </c>
      <c r="I64" s="43"/>
      <c r="J64" s="43">
        <f>H64</f>
        <v>10662902</v>
      </c>
      <c r="K64" s="166">
        <v>20289255</v>
      </c>
      <c r="L64" s="110"/>
      <c r="M64" s="110">
        <f>K64</f>
        <v>20289255</v>
      </c>
      <c r="N64" s="275">
        <v>56274.200000000004</v>
      </c>
      <c r="O64" s="250">
        <v>54656.22</v>
      </c>
      <c r="P64" s="110"/>
      <c r="Q64" s="110">
        <f>O64</f>
        <v>54656.22</v>
      </c>
      <c r="R64" s="43">
        <v>1000</v>
      </c>
      <c r="S64" s="43">
        <v>9000</v>
      </c>
      <c r="T64" s="224"/>
      <c r="U64" s="525"/>
    </row>
    <row r="65" spans="1:31" s="343" customFormat="1" x14ac:dyDescent="0.3">
      <c r="A65" s="19">
        <v>2023</v>
      </c>
      <c r="B65" s="20" t="s">
        <v>27</v>
      </c>
      <c r="C65" s="21" t="s">
        <v>72</v>
      </c>
      <c r="D65" s="166">
        <v>33182839</v>
      </c>
      <c r="E65" s="166">
        <v>2615132</v>
      </c>
      <c r="F65" s="166"/>
      <c r="G65" s="166"/>
      <c r="H65" s="246">
        <v>10656575</v>
      </c>
      <c r="I65" s="43"/>
      <c r="J65" s="43">
        <f>H65</f>
        <v>10656575</v>
      </c>
      <c r="K65" s="166">
        <v>22526264</v>
      </c>
      <c r="L65" s="110"/>
      <c r="M65" s="110">
        <f>K65</f>
        <v>22526264</v>
      </c>
      <c r="N65" s="275">
        <v>56185.3</v>
      </c>
      <c r="O65" s="250">
        <v>57834.06</v>
      </c>
      <c r="P65" s="110"/>
      <c r="Q65" s="110">
        <f>O65</f>
        <v>57834.06</v>
      </c>
      <c r="R65" s="43">
        <v>1000</v>
      </c>
      <c r="S65" s="43">
        <v>9000</v>
      </c>
      <c r="T65" s="224"/>
      <c r="U65" s="525"/>
    </row>
    <row r="66" spans="1:31" s="343" customFormat="1" x14ac:dyDescent="0.3">
      <c r="A66" s="19">
        <v>2023</v>
      </c>
      <c r="B66" s="20" t="s">
        <v>28</v>
      </c>
      <c r="C66" s="21" t="s">
        <v>72</v>
      </c>
      <c r="D66" s="166">
        <v>33011563</v>
      </c>
      <c r="E66" s="166">
        <v>2339688</v>
      </c>
      <c r="F66" s="166"/>
      <c r="G66" s="166"/>
      <c r="H66" s="246">
        <v>11981253</v>
      </c>
      <c r="I66" s="43"/>
      <c r="J66" s="43">
        <f>H66</f>
        <v>11981253</v>
      </c>
      <c r="K66" s="166">
        <v>21030310</v>
      </c>
      <c r="L66" s="110"/>
      <c r="M66" s="110">
        <f>K66</f>
        <v>21030310</v>
      </c>
      <c r="N66" s="275">
        <v>61020.600000000006</v>
      </c>
      <c r="O66" s="250">
        <v>67224.600000000006</v>
      </c>
      <c r="P66" s="110"/>
      <c r="Q66" s="110">
        <f>O66</f>
        <v>67224.600000000006</v>
      </c>
      <c r="R66" s="43">
        <v>6224.5</v>
      </c>
      <c r="S66" s="43">
        <v>9000</v>
      </c>
      <c r="T66" s="224"/>
      <c r="U66" s="525"/>
    </row>
    <row r="67" spans="1:31" s="343" customFormat="1" x14ac:dyDescent="0.3">
      <c r="A67" s="19">
        <v>2023</v>
      </c>
      <c r="B67" s="20" t="s">
        <v>29</v>
      </c>
      <c r="C67" s="21" t="s">
        <v>72</v>
      </c>
      <c r="D67" s="166">
        <v>33918727</v>
      </c>
      <c r="E67" s="166">
        <v>1541735</v>
      </c>
      <c r="F67" s="166"/>
      <c r="G67" s="166"/>
      <c r="H67" s="246">
        <v>10699511</v>
      </c>
      <c r="I67" s="43">
        <f>H67</f>
        <v>10699511</v>
      </c>
      <c r="J67" s="43"/>
      <c r="K67" s="166">
        <v>23219216</v>
      </c>
      <c r="L67" s="110">
        <f>K67</f>
        <v>23219216</v>
      </c>
      <c r="M67" s="110"/>
      <c r="N67" s="275">
        <v>61020.600000000006</v>
      </c>
      <c r="O67" s="250">
        <v>56733.11</v>
      </c>
      <c r="P67" s="110">
        <f>O67</f>
        <v>56733.11</v>
      </c>
      <c r="Q67" s="110"/>
      <c r="R67" s="43">
        <v>1000</v>
      </c>
      <c r="S67" s="43">
        <v>9000</v>
      </c>
      <c r="T67" s="224"/>
      <c r="U67" s="525"/>
    </row>
    <row r="68" spans="1:31" s="343" customFormat="1" x14ac:dyDescent="0.3">
      <c r="A68" s="19">
        <v>2023</v>
      </c>
      <c r="B68" s="20" t="s">
        <v>30</v>
      </c>
      <c r="C68" s="21" t="s">
        <v>72</v>
      </c>
      <c r="D68" s="166">
        <v>32093609</v>
      </c>
      <c r="E68" s="166">
        <v>1140264</v>
      </c>
      <c r="F68" s="166"/>
      <c r="G68" s="166"/>
      <c r="H68" s="246">
        <v>11444632</v>
      </c>
      <c r="I68" s="43">
        <f>H68</f>
        <v>11444632</v>
      </c>
      <c r="J68" s="43"/>
      <c r="K68" s="166">
        <v>20648977</v>
      </c>
      <c r="L68" s="110">
        <f>K68</f>
        <v>20648977</v>
      </c>
      <c r="M68" s="110"/>
      <c r="N68" s="275">
        <v>61020.600000000006</v>
      </c>
      <c r="O68" s="250">
        <v>54827.01</v>
      </c>
      <c r="P68" s="110">
        <f>O68</f>
        <v>54827.01</v>
      </c>
      <c r="Q68" s="110"/>
      <c r="R68" s="43">
        <v>1000</v>
      </c>
      <c r="S68" s="43">
        <v>9000</v>
      </c>
      <c r="T68" s="224"/>
      <c r="U68" s="525"/>
    </row>
    <row r="69" spans="1:31" s="343" customFormat="1" x14ac:dyDescent="0.3">
      <c r="A69" s="22">
        <v>2023</v>
      </c>
      <c r="B69" s="23" t="s">
        <v>31</v>
      </c>
      <c r="C69" s="24" t="s">
        <v>72</v>
      </c>
      <c r="D69" s="102">
        <v>27741892</v>
      </c>
      <c r="E69" s="102">
        <v>972536</v>
      </c>
      <c r="F69" s="102"/>
      <c r="G69" s="102"/>
      <c r="H69" s="247">
        <v>10167324</v>
      </c>
      <c r="I69" s="44">
        <f>H69</f>
        <v>10167324</v>
      </c>
      <c r="J69" s="44"/>
      <c r="K69" s="102">
        <v>17574568</v>
      </c>
      <c r="L69" s="111">
        <f>K69</f>
        <v>17574568</v>
      </c>
      <c r="M69" s="111"/>
      <c r="N69" s="526">
        <v>61020.600000000006</v>
      </c>
      <c r="O69" s="252">
        <v>50273.599999999999</v>
      </c>
      <c r="P69" s="111">
        <f>O69</f>
        <v>50273.599999999999</v>
      </c>
      <c r="Q69" s="111"/>
      <c r="R69" s="44">
        <v>1000</v>
      </c>
      <c r="S69" s="44">
        <v>9000</v>
      </c>
      <c r="T69" s="527"/>
      <c r="U69" s="528"/>
    </row>
    <row r="70" spans="1:31" s="343" customFormat="1" x14ac:dyDescent="0.3">
      <c r="A70" s="545"/>
      <c r="B70" s="545"/>
      <c r="C70" s="545"/>
      <c r="D70" s="171">
        <f t="shared" ref="D70:I70" si="7">SUM(D58:D69)</f>
        <v>354346808</v>
      </c>
      <c r="E70" s="171">
        <f t="shared" si="7"/>
        <v>18859435</v>
      </c>
      <c r="F70" s="171">
        <f t="shared" si="7"/>
        <v>0</v>
      </c>
      <c r="G70" s="171">
        <f t="shared" si="7"/>
        <v>0</v>
      </c>
      <c r="H70" s="171">
        <f t="shared" si="7"/>
        <v>125914287</v>
      </c>
      <c r="I70" s="171">
        <f t="shared" si="7"/>
        <v>81598462</v>
      </c>
      <c r="J70" s="171">
        <f t="shared" ref="J70:R70" si="8">SUM(J58:J69)</f>
        <v>44315825</v>
      </c>
      <c r="K70" s="171">
        <f t="shared" si="8"/>
        <v>228432521</v>
      </c>
      <c r="L70" s="171">
        <f t="shared" si="8"/>
        <v>144772408</v>
      </c>
      <c r="M70" s="171">
        <f t="shared" si="8"/>
        <v>83660113</v>
      </c>
      <c r="N70" s="171">
        <f t="shared" si="8"/>
        <v>701949.89999999991</v>
      </c>
      <c r="O70" s="171">
        <f t="shared" si="8"/>
        <v>643130.15</v>
      </c>
      <c r="P70" s="171">
        <f t="shared" si="8"/>
        <v>412729.61999999994</v>
      </c>
      <c r="Q70" s="171">
        <f t="shared" si="8"/>
        <v>230400.53</v>
      </c>
      <c r="R70" s="171">
        <f t="shared" si="8"/>
        <v>17224.5</v>
      </c>
      <c r="S70" s="171">
        <f>SUM(S58:S69)</f>
        <v>108000</v>
      </c>
      <c r="T70" s="171">
        <f>SUM(T58:T69)</f>
        <v>0</v>
      </c>
      <c r="U70" s="171">
        <f>SUM(U58:U69)</f>
        <v>0</v>
      </c>
    </row>
    <row r="71" spans="1:31" s="343" customFormat="1" ht="15" customHeight="1" x14ac:dyDescent="0.3">
      <c r="A71" s="541" t="s">
        <v>138</v>
      </c>
      <c r="B71" s="551"/>
      <c r="C71" s="551"/>
      <c r="D71" s="551"/>
      <c r="E71" s="551"/>
      <c r="F71" s="551"/>
      <c r="G71" s="551"/>
      <c r="H71" s="551"/>
      <c r="I71" s="551"/>
      <c r="J71" s="551"/>
      <c r="K71" s="551"/>
      <c r="L71" s="551"/>
      <c r="M71" s="551"/>
      <c r="N71" s="551"/>
      <c r="O71" s="551"/>
      <c r="P71" s="551"/>
      <c r="Q71" s="551"/>
      <c r="R71" s="551"/>
      <c r="S71" s="551"/>
      <c r="T71" s="328"/>
      <c r="U71" s="328"/>
    </row>
    <row r="72" spans="1:31" s="343" customFormat="1" x14ac:dyDescent="0.3">
      <c r="A72" s="366" t="s">
        <v>118</v>
      </c>
      <c r="B72" s="367"/>
      <c r="C72" s="367"/>
      <c r="D72" s="367"/>
      <c r="E72" s="367"/>
      <c r="F72" s="367"/>
      <c r="G72" s="367"/>
      <c r="H72" s="367"/>
      <c r="I72" s="367"/>
      <c r="J72" s="367"/>
      <c r="K72" s="367"/>
      <c r="L72" s="367"/>
      <c r="M72" s="367"/>
      <c r="N72" s="367"/>
      <c r="O72" s="367"/>
      <c r="P72" s="367"/>
      <c r="Q72" s="367"/>
      <c r="R72" s="367"/>
      <c r="S72" s="367"/>
      <c r="T72" s="328"/>
      <c r="U72" s="328"/>
    </row>
    <row r="73" spans="1:31" s="343" customFormat="1" x14ac:dyDescent="0.3">
      <c r="A73" s="285"/>
      <c r="B73" s="285"/>
      <c r="C73" s="285"/>
      <c r="D73" s="285"/>
      <c r="E73" s="285"/>
      <c r="F73" s="285"/>
      <c r="G73" s="285"/>
      <c r="H73" s="285"/>
      <c r="I73" s="285"/>
      <c r="J73" s="285"/>
      <c r="K73" s="285"/>
      <c r="L73" s="285"/>
      <c r="M73" s="285"/>
      <c r="N73" s="285"/>
      <c r="O73" s="285"/>
      <c r="P73" s="368"/>
      <c r="Q73" s="368"/>
      <c r="R73" s="368"/>
      <c r="S73" s="368"/>
    </row>
    <row r="74" spans="1:31" s="343" customFormat="1" ht="60.6" x14ac:dyDescent="0.3">
      <c r="A74" s="6" t="s">
        <v>18</v>
      </c>
      <c r="B74" s="6" t="s">
        <v>19</v>
      </c>
      <c r="C74" s="7" t="s">
        <v>0</v>
      </c>
      <c r="D74" s="112" t="s">
        <v>11</v>
      </c>
      <c r="E74" s="348" t="s">
        <v>104</v>
      </c>
      <c r="F74" s="348"/>
      <c r="G74" s="348" t="s">
        <v>110</v>
      </c>
      <c r="H74" s="11" t="s">
        <v>62</v>
      </c>
      <c r="I74" s="11" t="s">
        <v>64</v>
      </c>
      <c r="J74" s="11" t="s">
        <v>63</v>
      </c>
      <c r="K74" s="169" t="s">
        <v>39</v>
      </c>
      <c r="L74" s="9" t="s">
        <v>15</v>
      </c>
      <c r="M74" s="33" t="s">
        <v>16</v>
      </c>
      <c r="N74" s="474" t="s">
        <v>77</v>
      </c>
      <c r="O74" s="36" t="s">
        <v>73</v>
      </c>
      <c r="P74" s="36" t="s">
        <v>74</v>
      </c>
      <c r="Q74" s="36" t="s">
        <v>75</v>
      </c>
      <c r="R74" s="36" t="s">
        <v>117</v>
      </c>
      <c r="S74" s="36" t="s">
        <v>84</v>
      </c>
      <c r="T74" s="36" t="s">
        <v>91</v>
      </c>
      <c r="U74" s="36" t="s">
        <v>92</v>
      </c>
    </row>
    <row r="75" spans="1:31" s="343" customFormat="1" x14ac:dyDescent="0.3">
      <c r="A75" s="16">
        <v>2022</v>
      </c>
      <c r="B75" s="17" t="s">
        <v>20</v>
      </c>
      <c r="C75" s="18" t="s">
        <v>72</v>
      </c>
      <c r="D75" s="166">
        <v>26350026</v>
      </c>
      <c r="E75" s="166">
        <v>502546</v>
      </c>
      <c r="F75" s="166"/>
      <c r="G75" s="166"/>
      <c r="H75" s="245">
        <f>D75-K75</f>
        <v>9841728</v>
      </c>
      <c r="I75" s="246">
        <f>H75</f>
        <v>9841728</v>
      </c>
      <c r="J75" s="42"/>
      <c r="K75" s="166">
        <v>16508298</v>
      </c>
      <c r="L75" s="109">
        <f>K75</f>
        <v>16508298</v>
      </c>
      <c r="M75" s="109"/>
      <c r="N75" s="331">
        <v>58335.700000000004</v>
      </c>
      <c r="O75" s="248">
        <v>50062.1</v>
      </c>
      <c r="P75" s="249">
        <v>50062.1</v>
      </c>
      <c r="Q75" s="42"/>
      <c r="R75" s="42">
        <v>1000</v>
      </c>
      <c r="S75" s="42">
        <v>9000</v>
      </c>
      <c r="T75" s="114"/>
      <c r="U75" s="295"/>
      <c r="V75" s="344">
        <v>0</v>
      </c>
      <c r="W75" s="344">
        <v>0</v>
      </c>
      <c r="X75" s="344">
        <v>0</v>
      </c>
      <c r="Y75" s="344"/>
      <c r="Z75" s="344"/>
      <c r="AA75" s="344"/>
      <c r="AB75" s="344"/>
      <c r="AC75" s="344">
        <v>0</v>
      </c>
      <c r="AD75" s="344">
        <v>0</v>
      </c>
      <c r="AE75" s="344">
        <v>0</v>
      </c>
    </row>
    <row r="76" spans="1:31" s="343" customFormat="1" x14ac:dyDescent="0.3">
      <c r="A76" s="19">
        <v>2022</v>
      </c>
      <c r="B76" s="20" t="s">
        <v>21</v>
      </c>
      <c r="C76" s="21" t="s">
        <v>72</v>
      </c>
      <c r="D76" s="166">
        <v>26241502</v>
      </c>
      <c r="E76" s="166">
        <v>977987</v>
      </c>
      <c r="F76" s="166"/>
      <c r="G76" s="166"/>
      <c r="H76" s="246">
        <f t="shared" ref="H76:H86" si="9">D76-K76</f>
        <v>8982060</v>
      </c>
      <c r="I76" s="246">
        <f>H76</f>
        <v>8982060</v>
      </c>
      <c r="J76" s="43"/>
      <c r="K76" s="166">
        <v>17259442</v>
      </c>
      <c r="L76" s="110">
        <f>K76</f>
        <v>17259442</v>
      </c>
      <c r="M76" s="110"/>
      <c r="N76" s="331">
        <v>58335.700000000004</v>
      </c>
      <c r="O76" s="250">
        <v>50555</v>
      </c>
      <c r="P76" s="251">
        <v>50555</v>
      </c>
      <c r="Q76" s="43"/>
      <c r="R76" s="43">
        <v>1000</v>
      </c>
      <c r="S76" s="43">
        <v>9000</v>
      </c>
      <c r="T76" s="4"/>
      <c r="U76" s="296"/>
    </row>
    <row r="77" spans="1:31" s="343" customFormat="1" x14ac:dyDescent="0.3">
      <c r="A77" s="19">
        <v>2022</v>
      </c>
      <c r="B77" s="20" t="s">
        <v>22</v>
      </c>
      <c r="C77" s="21" t="s">
        <v>72</v>
      </c>
      <c r="D77" s="166">
        <v>24749268</v>
      </c>
      <c r="E77" s="166">
        <v>1292986</v>
      </c>
      <c r="F77" s="166"/>
      <c r="G77" s="166"/>
      <c r="H77" s="246">
        <f t="shared" si="9"/>
        <v>8993087</v>
      </c>
      <c r="I77" s="246">
        <f>H77</f>
        <v>8993087</v>
      </c>
      <c r="J77" s="43"/>
      <c r="K77" s="166">
        <v>15756181</v>
      </c>
      <c r="L77" s="110">
        <f>K77</f>
        <v>15756181</v>
      </c>
      <c r="M77" s="110"/>
      <c r="N77" s="331">
        <v>58335.700000000004</v>
      </c>
      <c r="O77" s="250">
        <v>51143.200000000012</v>
      </c>
      <c r="P77" s="251">
        <v>51143.200000000012</v>
      </c>
      <c r="Q77" s="43"/>
      <c r="R77" s="43">
        <v>1000</v>
      </c>
      <c r="S77" s="43">
        <v>9000</v>
      </c>
      <c r="T77" s="4"/>
      <c r="U77" s="296"/>
    </row>
    <row r="78" spans="1:31" s="343" customFormat="1" x14ac:dyDescent="0.3">
      <c r="A78" s="19">
        <v>2022</v>
      </c>
      <c r="B78" s="20" t="s">
        <v>23</v>
      </c>
      <c r="C78" s="21" t="s">
        <v>72</v>
      </c>
      <c r="D78" s="166">
        <v>27240835</v>
      </c>
      <c r="E78" s="166">
        <v>1519661</v>
      </c>
      <c r="F78" s="166"/>
      <c r="G78" s="166"/>
      <c r="H78" s="246">
        <f t="shared" si="9"/>
        <v>10377869</v>
      </c>
      <c r="I78" s="246">
        <f>H78</f>
        <v>10377869</v>
      </c>
      <c r="J78" s="43"/>
      <c r="K78" s="166">
        <v>16862966</v>
      </c>
      <c r="L78" s="110">
        <f>K78</f>
        <v>16862966</v>
      </c>
      <c r="M78" s="110"/>
      <c r="N78" s="331">
        <v>58335.700000000004</v>
      </c>
      <c r="O78" s="250">
        <v>49984.2</v>
      </c>
      <c r="P78" s="251">
        <v>49984.2</v>
      </c>
      <c r="Q78" s="43"/>
      <c r="R78" s="43">
        <v>1000</v>
      </c>
      <c r="S78" s="43">
        <v>9000</v>
      </c>
      <c r="T78" s="4"/>
      <c r="U78" s="296"/>
    </row>
    <row r="79" spans="1:31" s="343" customFormat="1" x14ac:dyDescent="0.3">
      <c r="A79" s="19">
        <v>2022</v>
      </c>
      <c r="B79" s="20" t="s">
        <v>24</v>
      </c>
      <c r="C79" s="21" t="s">
        <v>72</v>
      </c>
      <c r="D79" s="166">
        <v>27989573</v>
      </c>
      <c r="E79" s="166">
        <v>1600255</v>
      </c>
      <c r="F79" s="166"/>
      <c r="G79" s="166"/>
      <c r="H79" s="246">
        <f t="shared" si="9"/>
        <v>10860149</v>
      </c>
      <c r="I79" s="246">
        <f>H79</f>
        <v>10860149</v>
      </c>
      <c r="J79" s="43"/>
      <c r="K79" s="166">
        <v>17129424</v>
      </c>
      <c r="L79" s="110">
        <f>K79</f>
        <v>17129424</v>
      </c>
      <c r="M79" s="110"/>
      <c r="N79" s="331">
        <v>58335.700000000004</v>
      </c>
      <c r="O79" s="250">
        <v>54399.199999999997</v>
      </c>
      <c r="P79" s="251">
        <v>54399.199999999997</v>
      </c>
      <c r="Q79" s="43"/>
      <c r="R79" s="43">
        <v>1000</v>
      </c>
      <c r="S79" s="43">
        <v>9000</v>
      </c>
      <c r="T79" s="4"/>
      <c r="U79" s="296"/>
    </row>
    <row r="80" spans="1:31" s="343" customFormat="1" x14ac:dyDescent="0.3">
      <c r="A80" s="19">
        <v>2022</v>
      </c>
      <c r="B80" s="20" t="s">
        <v>25</v>
      </c>
      <c r="C80" s="21" t="s">
        <v>72</v>
      </c>
      <c r="D80" s="166">
        <v>30158046</v>
      </c>
      <c r="E80" s="166">
        <v>1910276</v>
      </c>
      <c r="F80" s="166"/>
      <c r="G80" s="166"/>
      <c r="H80" s="246">
        <f t="shared" si="9"/>
        <v>9965218</v>
      </c>
      <c r="I80" s="246"/>
      <c r="J80" s="43">
        <f>H80</f>
        <v>9965218</v>
      </c>
      <c r="K80" s="166">
        <v>20192828</v>
      </c>
      <c r="L80" s="110"/>
      <c r="M80" s="110">
        <f>K80</f>
        <v>20192828</v>
      </c>
      <c r="N80" s="331">
        <v>58335.700000000004</v>
      </c>
      <c r="O80" s="250">
        <v>56597</v>
      </c>
      <c r="P80" s="251"/>
      <c r="Q80" s="251">
        <v>56597</v>
      </c>
      <c r="R80" s="43">
        <v>1000</v>
      </c>
      <c r="S80" s="43">
        <v>9000</v>
      </c>
      <c r="T80" s="4"/>
      <c r="U80" s="296"/>
    </row>
    <row r="81" spans="1:31" s="343" customFormat="1" x14ac:dyDescent="0.3">
      <c r="A81" s="19">
        <v>2022</v>
      </c>
      <c r="B81" s="20" t="s">
        <v>26</v>
      </c>
      <c r="C81" s="21" t="s">
        <v>72</v>
      </c>
      <c r="D81" s="166">
        <v>31292151</v>
      </c>
      <c r="E81" s="166">
        <v>2547766</v>
      </c>
      <c r="F81" s="166"/>
      <c r="G81" s="166"/>
      <c r="H81" s="246">
        <f t="shared" si="9"/>
        <v>10978995</v>
      </c>
      <c r="I81" s="43"/>
      <c r="J81" s="43">
        <f>H81</f>
        <v>10978995</v>
      </c>
      <c r="K81" s="166">
        <v>20313156</v>
      </c>
      <c r="L81" s="110"/>
      <c r="M81" s="110">
        <f>K81</f>
        <v>20313156</v>
      </c>
      <c r="N81" s="331">
        <v>58335.700000000004</v>
      </c>
      <c r="O81" s="250">
        <v>57568</v>
      </c>
      <c r="P81" s="251"/>
      <c r="Q81" s="251">
        <v>57568</v>
      </c>
      <c r="R81" s="43">
        <v>1000</v>
      </c>
      <c r="S81" s="43">
        <v>9000</v>
      </c>
      <c r="T81" s="4"/>
      <c r="U81" s="296"/>
    </row>
    <row r="82" spans="1:31" s="343" customFormat="1" x14ac:dyDescent="0.3">
      <c r="A82" s="19">
        <v>2022</v>
      </c>
      <c r="B82" s="20" t="s">
        <v>27</v>
      </c>
      <c r="C82" s="21" t="s">
        <v>72</v>
      </c>
      <c r="D82" s="166">
        <v>34001511</v>
      </c>
      <c r="E82" s="166">
        <v>2650202</v>
      </c>
      <c r="F82" s="166"/>
      <c r="G82" s="166"/>
      <c r="H82" s="246">
        <f t="shared" si="9"/>
        <v>10647486</v>
      </c>
      <c r="I82" s="43"/>
      <c r="J82" s="43">
        <f>H82</f>
        <v>10647486</v>
      </c>
      <c r="K82" s="166">
        <v>23354025</v>
      </c>
      <c r="L82" s="110"/>
      <c r="M82" s="110">
        <f>K82</f>
        <v>23354025</v>
      </c>
      <c r="N82" s="331">
        <v>58335.700000000004</v>
      </c>
      <c r="O82" s="250">
        <v>56274.200000000012</v>
      </c>
      <c r="P82" s="251"/>
      <c r="Q82" s="251">
        <v>56274.200000000012</v>
      </c>
      <c r="R82" s="43">
        <v>1000</v>
      </c>
      <c r="S82" s="43">
        <v>9000</v>
      </c>
      <c r="T82" s="4"/>
      <c r="U82" s="296"/>
    </row>
    <row r="83" spans="1:31" s="343" customFormat="1" x14ac:dyDescent="0.3">
      <c r="A83" s="19">
        <v>2022</v>
      </c>
      <c r="B83" s="20" t="s">
        <v>28</v>
      </c>
      <c r="C83" s="21" t="s">
        <v>72</v>
      </c>
      <c r="D83" s="166">
        <v>34445256</v>
      </c>
      <c r="E83" s="166">
        <v>2164931</v>
      </c>
      <c r="F83" s="166"/>
      <c r="G83" s="166"/>
      <c r="H83" s="246">
        <f t="shared" si="9"/>
        <v>12084025</v>
      </c>
      <c r="I83" s="43"/>
      <c r="J83" s="43">
        <f>H83</f>
        <v>12084025</v>
      </c>
      <c r="K83" s="166">
        <v>22361231</v>
      </c>
      <c r="L83" s="110"/>
      <c r="M83" s="110">
        <f>K83</f>
        <v>22361231</v>
      </c>
      <c r="N83" s="331">
        <v>57568</v>
      </c>
      <c r="O83" s="250">
        <v>55443.500000000007</v>
      </c>
      <c r="P83" s="251"/>
      <c r="Q83" s="251">
        <v>55443.500000000007</v>
      </c>
      <c r="R83" s="43">
        <v>1000</v>
      </c>
      <c r="S83" s="43">
        <v>9000</v>
      </c>
      <c r="T83" s="4"/>
      <c r="U83" s="296"/>
    </row>
    <row r="84" spans="1:31" s="343" customFormat="1" x14ac:dyDescent="0.3">
      <c r="A84" s="19">
        <v>2022</v>
      </c>
      <c r="B84" s="20" t="s">
        <v>29</v>
      </c>
      <c r="C84" s="21" t="s">
        <v>72</v>
      </c>
      <c r="D84" s="166">
        <v>33757151</v>
      </c>
      <c r="E84" s="166">
        <v>1693012</v>
      </c>
      <c r="F84" s="166"/>
      <c r="G84" s="166"/>
      <c r="H84" s="246">
        <f t="shared" si="9"/>
        <v>11687266</v>
      </c>
      <c r="I84" s="43">
        <f>H84</f>
        <v>11687266</v>
      </c>
      <c r="J84" s="43"/>
      <c r="K84" s="166">
        <v>22069885</v>
      </c>
      <c r="L84" s="110">
        <f>K84</f>
        <v>22069885</v>
      </c>
      <c r="M84" s="110"/>
      <c r="N84" s="331">
        <v>57568</v>
      </c>
      <c r="O84" s="250">
        <v>55715.600000000006</v>
      </c>
      <c r="P84" s="251">
        <v>55715.600000000006</v>
      </c>
      <c r="Q84" s="43"/>
      <c r="R84" s="43">
        <v>1000</v>
      </c>
      <c r="S84" s="43">
        <v>9000</v>
      </c>
      <c r="T84" s="4"/>
      <c r="U84" s="296"/>
    </row>
    <row r="85" spans="1:31" s="343" customFormat="1" x14ac:dyDescent="0.3">
      <c r="A85" s="19">
        <v>2022</v>
      </c>
      <c r="B85" s="20" t="s">
        <v>30</v>
      </c>
      <c r="C85" s="21" t="s">
        <v>72</v>
      </c>
      <c r="D85" s="166">
        <v>30634464</v>
      </c>
      <c r="E85" s="166">
        <v>1567573</v>
      </c>
      <c r="F85" s="166"/>
      <c r="G85" s="166"/>
      <c r="H85" s="246">
        <f t="shared" si="9"/>
        <v>10422961</v>
      </c>
      <c r="I85" s="43">
        <f>H85</f>
        <v>10422961</v>
      </c>
      <c r="J85" s="43"/>
      <c r="K85" s="166">
        <v>20211503</v>
      </c>
      <c r="L85" s="110">
        <f>K85</f>
        <v>20211503</v>
      </c>
      <c r="M85" s="110"/>
      <c r="N85" s="331">
        <v>57568</v>
      </c>
      <c r="O85" s="250">
        <v>50814.600000000013</v>
      </c>
      <c r="P85" s="251">
        <v>50814.600000000013</v>
      </c>
      <c r="Q85" s="43"/>
      <c r="R85" s="43">
        <v>1000</v>
      </c>
      <c r="S85" s="43">
        <v>9000</v>
      </c>
      <c r="T85" s="4"/>
      <c r="U85" s="296"/>
    </row>
    <row r="86" spans="1:31" s="343" customFormat="1" x14ac:dyDescent="0.3">
      <c r="A86" s="22">
        <v>2022</v>
      </c>
      <c r="B86" s="23" t="s">
        <v>31</v>
      </c>
      <c r="C86" s="24" t="s">
        <v>72</v>
      </c>
      <c r="D86" s="102">
        <v>27241678</v>
      </c>
      <c r="E86" s="102">
        <v>838172</v>
      </c>
      <c r="F86" s="102"/>
      <c r="G86" s="102"/>
      <c r="H86" s="247">
        <f t="shared" si="9"/>
        <v>9975014</v>
      </c>
      <c r="I86" s="44">
        <f>H86</f>
        <v>9975014</v>
      </c>
      <c r="J86" s="44"/>
      <c r="K86" s="102">
        <v>17266664</v>
      </c>
      <c r="L86" s="111">
        <f>K86</f>
        <v>17266664</v>
      </c>
      <c r="M86" s="111"/>
      <c r="N86" s="294">
        <v>57568</v>
      </c>
      <c r="O86" s="252">
        <v>50617.4</v>
      </c>
      <c r="P86" s="253">
        <v>50617.4</v>
      </c>
      <c r="Q86" s="44"/>
      <c r="R86" s="44">
        <v>1000</v>
      </c>
      <c r="S86" s="44">
        <v>9000</v>
      </c>
      <c r="T86" s="297"/>
      <c r="U86" s="298"/>
    </row>
    <row r="87" spans="1:31" s="343" customFormat="1" x14ac:dyDescent="0.3">
      <c r="A87" s="545"/>
      <c r="B87" s="545"/>
      <c r="C87" s="545"/>
      <c r="D87" s="171">
        <f t="shared" ref="D87:U87" si="10">SUM(D75:D86)</f>
        <v>354101461</v>
      </c>
      <c r="E87" s="171">
        <f t="shared" si="10"/>
        <v>19265367</v>
      </c>
      <c r="F87" s="171"/>
      <c r="G87" s="171"/>
      <c r="H87" s="171">
        <f t="shared" si="10"/>
        <v>124815858</v>
      </c>
      <c r="I87" s="171">
        <f t="shared" si="10"/>
        <v>81140134</v>
      </c>
      <c r="J87" s="171">
        <f t="shared" si="10"/>
        <v>43675724</v>
      </c>
      <c r="K87" s="171">
        <f t="shared" si="10"/>
        <v>229285603</v>
      </c>
      <c r="L87" s="171">
        <f t="shared" si="10"/>
        <v>143064363</v>
      </c>
      <c r="M87" s="171">
        <f t="shared" si="10"/>
        <v>86221240</v>
      </c>
      <c r="N87" s="171">
        <f t="shared" si="10"/>
        <v>696957.60000000009</v>
      </c>
      <c r="O87" s="171">
        <f t="shared" si="10"/>
        <v>639174</v>
      </c>
      <c r="P87" s="171">
        <f t="shared" si="10"/>
        <v>413291.3000000001</v>
      </c>
      <c r="Q87" s="171">
        <f t="shared" si="10"/>
        <v>225882.7</v>
      </c>
      <c r="R87" s="171"/>
      <c r="S87" s="171">
        <f t="shared" si="10"/>
        <v>108000</v>
      </c>
      <c r="T87" s="171">
        <f t="shared" si="10"/>
        <v>0</v>
      </c>
      <c r="U87" s="171">
        <f t="shared" si="10"/>
        <v>0</v>
      </c>
    </row>
    <row r="88" spans="1:31" s="343" customFormat="1" x14ac:dyDescent="0.3">
      <c r="A88" s="541" t="s">
        <v>94</v>
      </c>
      <c r="B88" s="541"/>
      <c r="C88" s="541"/>
      <c r="D88" s="541"/>
      <c r="E88" s="541"/>
      <c r="F88" s="541"/>
      <c r="G88" s="541"/>
      <c r="H88" s="541"/>
      <c r="I88" s="541"/>
      <c r="J88" s="541"/>
      <c r="K88" s="541"/>
      <c r="L88" s="541"/>
      <c r="M88" s="541"/>
      <c r="N88" s="541"/>
      <c r="O88" s="541"/>
      <c r="P88" s="541"/>
      <c r="Q88" s="541"/>
      <c r="R88" s="541"/>
      <c r="S88" s="541"/>
      <c r="T88" s="328"/>
      <c r="U88" s="328"/>
    </row>
    <row r="89" spans="1:31" s="343" customFormat="1" x14ac:dyDescent="0.3">
      <c r="A89" s="349" t="s">
        <v>118</v>
      </c>
      <c r="B89" s="350"/>
      <c r="C89" s="350"/>
      <c r="D89" s="350"/>
      <c r="E89" s="350"/>
      <c r="F89" s="350"/>
      <c r="G89" s="350"/>
      <c r="H89" s="350"/>
      <c r="I89" s="350"/>
      <c r="J89" s="350"/>
      <c r="K89" s="350"/>
      <c r="L89" s="350"/>
      <c r="M89" s="350"/>
      <c r="N89" s="350"/>
      <c r="O89" s="350"/>
      <c r="P89" s="350"/>
      <c r="Q89" s="350"/>
      <c r="R89" s="350"/>
      <c r="S89" s="350"/>
      <c r="T89" s="328"/>
      <c r="U89" s="328"/>
    </row>
    <row r="90" spans="1:31" s="343" customFormat="1" x14ac:dyDescent="0.3">
      <c r="A90" s="285"/>
      <c r="B90" s="285"/>
      <c r="C90" s="285"/>
      <c r="D90" s="285"/>
      <c r="E90" s="285"/>
      <c r="F90" s="285"/>
      <c r="G90" s="285"/>
      <c r="H90" s="285"/>
      <c r="I90" s="285"/>
      <c r="J90" s="285"/>
      <c r="K90" s="285"/>
      <c r="L90" s="285"/>
      <c r="M90" s="285"/>
      <c r="N90" s="285"/>
      <c r="O90" s="285"/>
      <c r="P90" s="345"/>
      <c r="Q90" s="345"/>
      <c r="R90" s="347"/>
      <c r="S90" s="345"/>
    </row>
    <row r="91" spans="1:31" s="329" customFormat="1" ht="60.6" x14ac:dyDescent="0.3">
      <c r="A91" s="6" t="s">
        <v>18</v>
      </c>
      <c r="B91" s="6" t="s">
        <v>19</v>
      </c>
      <c r="C91" s="7" t="s">
        <v>0</v>
      </c>
      <c r="D91" s="112" t="s">
        <v>11</v>
      </c>
      <c r="E91" s="348" t="s">
        <v>104</v>
      </c>
      <c r="F91" s="348"/>
      <c r="G91" s="348" t="s">
        <v>110</v>
      </c>
      <c r="H91" s="11" t="s">
        <v>62</v>
      </c>
      <c r="I91" s="11" t="s">
        <v>64</v>
      </c>
      <c r="J91" s="11" t="s">
        <v>63</v>
      </c>
      <c r="K91" s="169" t="s">
        <v>39</v>
      </c>
      <c r="L91" s="9" t="s">
        <v>15</v>
      </c>
      <c r="M91" s="33" t="s">
        <v>16</v>
      </c>
      <c r="N91" s="474" t="s">
        <v>77</v>
      </c>
      <c r="O91" s="36" t="s">
        <v>73</v>
      </c>
      <c r="P91" s="36" t="s">
        <v>74</v>
      </c>
      <c r="Q91" s="36" t="s">
        <v>75</v>
      </c>
      <c r="R91" s="36" t="s">
        <v>117</v>
      </c>
      <c r="S91" s="36" t="s">
        <v>84</v>
      </c>
      <c r="T91" s="36" t="s">
        <v>91</v>
      </c>
      <c r="U91" s="36" t="s">
        <v>92</v>
      </c>
    </row>
    <row r="92" spans="1:31" s="329" customFormat="1" x14ac:dyDescent="0.3">
      <c r="A92" s="16">
        <v>2021</v>
      </c>
      <c r="B92" s="17" t="s">
        <v>20</v>
      </c>
      <c r="C92" s="18" t="s">
        <v>72</v>
      </c>
      <c r="D92" s="166">
        <v>24527394</v>
      </c>
      <c r="E92" s="166"/>
      <c r="F92" s="166"/>
      <c r="G92" s="166"/>
      <c r="H92" s="245">
        <f>I92+J92</f>
        <v>8656116</v>
      </c>
      <c r="I92" s="42">
        <v>8656116</v>
      </c>
      <c r="J92" s="42"/>
      <c r="K92" s="166">
        <f>D92-H92</f>
        <v>15871278</v>
      </c>
      <c r="L92" s="109">
        <v>15871278</v>
      </c>
      <c r="M92" s="109"/>
      <c r="N92" s="331">
        <v>54376.200000000012</v>
      </c>
      <c r="O92" s="248">
        <v>45091.6</v>
      </c>
      <c r="P92" s="249">
        <v>45091.6</v>
      </c>
      <c r="Q92" s="42"/>
      <c r="R92" s="42"/>
      <c r="S92" s="42">
        <v>9000</v>
      </c>
      <c r="T92" s="114">
        <v>12601</v>
      </c>
      <c r="U92" s="295"/>
      <c r="V92" s="327">
        <v>0</v>
      </c>
      <c r="W92" s="327">
        <v>0</v>
      </c>
      <c r="X92" s="327">
        <v>0</v>
      </c>
      <c r="Y92" s="327"/>
      <c r="Z92" s="327"/>
      <c r="AA92" s="327"/>
      <c r="AB92" s="327"/>
      <c r="AC92" s="327">
        <v>0</v>
      </c>
      <c r="AD92" s="327">
        <v>0</v>
      </c>
      <c r="AE92" s="327">
        <v>0</v>
      </c>
    </row>
    <row r="93" spans="1:31" s="329" customFormat="1" x14ac:dyDescent="0.3">
      <c r="A93" s="19">
        <v>2021</v>
      </c>
      <c r="B93" s="20" t="s">
        <v>21</v>
      </c>
      <c r="C93" s="21" t="s">
        <v>72</v>
      </c>
      <c r="D93" s="166">
        <v>24269862</v>
      </c>
      <c r="E93" s="166"/>
      <c r="F93" s="166"/>
      <c r="G93" s="166"/>
      <c r="H93" s="246">
        <f t="shared" ref="H93:H103" si="11">I93+J93</f>
        <v>7824828</v>
      </c>
      <c r="I93" s="43">
        <v>7824828</v>
      </c>
      <c r="J93" s="43"/>
      <c r="K93" s="166">
        <f t="shared" ref="K93:K99" si="12">D93-H93</f>
        <v>16445034</v>
      </c>
      <c r="L93" s="110">
        <v>16445034</v>
      </c>
      <c r="M93" s="110"/>
      <c r="N93" s="331">
        <v>54376.200000000012</v>
      </c>
      <c r="O93" s="250">
        <v>46701.8</v>
      </c>
      <c r="P93" s="251">
        <v>46701.8</v>
      </c>
      <c r="Q93" s="43"/>
      <c r="R93" s="43"/>
      <c r="S93" s="43">
        <v>9000</v>
      </c>
      <c r="T93" s="4">
        <v>8066</v>
      </c>
      <c r="U93" s="296"/>
    </row>
    <row r="94" spans="1:31" s="329" customFormat="1" x14ac:dyDescent="0.3">
      <c r="A94" s="19">
        <v>2021</v>
      </c>
      <c r="B94" s="20" t="s">
        <v>22</v>
      </c>
      <c r="C94" s="21" t="s">
        <v>72</v>
      </c>
      <c r="D94" s="166">
        <v>23288765</v>
      </c>
      <c r="E94" s="166"/>
      <c r="F94" s="166"/>
      <c r="G94" s="166"/>
      <c r="H94" s="246">
        <f t="shared" si="11"/>
        <v>8294554</v>
      </c>
      <c r="I94" s="43">
        <v>8294554</v>
      </c>
      <c r="J94" s="43"/>
      <c r="K94" s="166">
        <f t="shared" si="12"/>
        <v>14994211</v>
      </c>
      <c r="L94" s="110">
        <v>14994211</v>
      </c>
      <c r="M94" s="110"/>
      <c r="N94" s="331">
        <v>54376.200000000012</v>
      </c>
      <c r="O94" s="250">
        <v>46784.3</v>
      </c>
      <c r="P94" s="251">
        <v>46784.3</v>
      </c>
      <c r="Q94" s="43"/>
      <c r="R94" s="43"/>
      <c r="S94" s="43">
        <v>9000</v>
      </c>
      <c r="T94" s="4">
        <v>36998</v>
      </c>
      <c r="U94" s="296"/>
    </row>
    <row r="95" spans="1:31" s="329" customFormat="1" x14ac:dyDescent="0.3">
      <c r="A95" s="19">
        <v>2021</v>
      </c>
      <c r="B95" s="20" t="s">
        <v>23</v>
      </c>
      <c r="C95" s="21" t="s">
        <v>72</v>
      </c>
      <c r="D95" s="166">
        <v>26269023</v>
      </c>
      <c r="E95" s="166"/>
      <c r="F95" s="166"/>
      <c r="G95" s="166"/>
      <c r="H95" s="246">
        <f t="shared" si="11"/>
        <v>9857653</v>
      </c>
      <c r="I95" s="43">
        <v>9857653</v>
      </c>
      <c r="J95" s="43"/>
      <c r="K95" s="166">
        <f t="shared" si="12"/>
        <v>16411370</v>
      </c>
      <c r="L95" s="110">
        <v>16411370</v>
      </c>
      <c r="M95" s="110"/>
      <c r="N95" s="331">
        <v>54376.200000000012</v>
      </c>
      <c r="O95" s="250">
        <v>46148.5</v>
      </c>
      <c r="P95" s="251">
        <v>46148.5</v>
      </c>
      <c r="Q95" s="43"/>
      <c r="R95" s="43"/>
      <c r="S95" s="43">
        <v>9000</v>
      </c>
      <c r="T95" s="4">
        <v>360230</v>
      </c>
      <c r="U95" s="296"/>
    </row>
    <row r="96" spans="1:31" s="329" customFormat="1" x14ac:dyDescent="0.3">
      <c r="A96" s="19">
        <v>2021</v>
      </c>
      <c r="B96" s="20" t="s">
        <v>24</v>
      </c>
      <c r="C96" s="21" t="s">
        <v>72</v>
      </c>
      <c r="D96" s="166">
        <v>28407452</v>
      </c>
      <c r="E96" s="166"/>
      <c r="F96" s="166"/>
      <c r="G96" s="166"/>
      <c r="H96" s="246">
        <f t="shared" si="11"/>
        <v>10493246</v>
      </c>
      <c r="I96" s="43">
        <v>10493246</v>
      </c>
      <c r="J96" s="43"/>
      <c r="K96" s="166">
        <f t="shared" si="12"/>
        <v>17914206</v>
      </c>
      <c r="L96" s="110">
        <v>17914206</v>
      </c>
      <c r="M96" s="110"/>
      <c r="N96" s="331">
        <v>54376.200000000012</v>
      </c>
      <c r="O96" s="250">
        <v>47018.6</v>
      </c>
      <c r="P96" s="251">
        <v>47018.6</v>
      </c>
      <c r="Q96" s="43"/>
      <c r="R96" s="43"/>
      <c r="S96" s="43">
        <v>9000</v>
      </c>
      <c r="T96" s="4">
        <v>470071</v>
      </c>
      <c r="U96" s="296">
        <v>835964</v>
      </c>
    </row>
    <row r="97" spans="1:31" s="329" customFormat="1" x14ac:dyDescent="0.3">
      <c r="A97" s="19">
        <v>2021</v>
      </c>
      <c r="B97" s="20" t="s">
        <v>25</v>
      </c>
      <c r="C97" s="21" t="s">
        <v>72</v>
      </c>
      <c r="D97" s="166">
        <v>31130411</v>
      </c>
      <c r="E97" s="166"/>
      <c r="F97" s="166"/>
      <c r="G97" s="166"/>
      <c r="H97" s="246">
        <f t="shared" si="11"/>
        <v>9484936</v>
      </c>
      <c r="I97" s="43"/>
      <c r="J97" s="43">
        <v>9484936</v>
      </c>
      <c r="K97" s="166">
        <f t="shared" si="12"/>
        <v>21645475</v>
      </c>
      <c r="L97" s="110"/>
      <c r="M97" s="110">
        <v>21645475</v>
      </c>
      <c r="N97" s="331">
        <v>54376.200000000012</v>
      </c>
      <c r="O97" s="250">
        <v>49159.600000000006</v>
      </c>
      <c r="P97" s="251"/>
      <c r="Q97" s="251">
        <v>49159.600000000006</v>
      </c>
      <c r="R97" s="43"/>
      <c r="S97" s="43">
        <v>9000</v>
      </c>
      <c r="T97" s="4">
        <v>1048214</v>
      </c>
      <c r="U97" s="296"/>
    </row>
    <row r="98" spans="1:31" s="329" customFormat="1" x14ac:dyDescent="0.3">
      <c r="A98" s="19">
        <v>2021</v>
      </c>
      <c r="B98" s="20" t="s">
        <v>26</v>
      </c>
      <c r="C98" s="21" t="s">
        <v>72</v>
      </c>
      <c r="D98" s="166">
        <v>32258358</v>
      </c>
      <c r="E98" s="166">
        <v>1733266</v>
      </c>
      <c r="F98" s="166"/>
      <c r="G98" s="166"/>
      <c r="H98" s="246">
        <f t="shared" si="11"/>
        <v>10761851</v>
      </c>
      <c r="I98" s="43"/>
      <c r="J98" s="43">
        <v>10761851</v>
      </c>
      <c r="K98" s="166">
        <f t="shared" si="12"/>
        <v>21496507</v>
      </c>
      <c r="L98" s="110"/>
      <c r="M98" s="110">
        <v>21496507</v>
      </c>
      <c r="N98" s="331">
        <v>54376.2</v>
      </c>
      <c r="O98" s="250">
        <v>53185.30000000001</v>
      </c>
      <c r="P98" s="251"/>
      <c r="Q98" s="251">
        <v>53185.30000000001</v>
      </c>
      <c r="R98" s="43"/>
      <c r="S98" s="43">
        <v>9000</v>
      </c>
      <c r="T98" s="4">
        <v>446620</v>
      </c>
      <c r="U98" s="296"/>
    </row>
    <row r="99" spans="1:31" s="329" customFormat="1" x14ac:dyDescent="0.3">
      <c r="A99" s="19">
        <v>2021</v>
      </c>
      <c r="B99" s="20" t="s">
        <v>27</v>
      </c>
      <c r="C99" s="21" t="s">
        <v>72</v>
      </c>
      <c r="D99" s="166">
        <v>33816879</v>
      </c>
      <c r="E99" s="166">
        <v>2800526</v>
      </c>
      <c r="F99" s="166"/>
      <c r="G99" s="166"/>
      <c r="H99" s="246">
        <f t="shared" si="11"/>
        <v>10516581</v>
      </c>
      <c r="I99" s="43"/>
      <c r="J99" s="43">
        <v>10516581</v>
      </c>
      <c r="K99" s="166">
        <f t="shared" si="12"/>
        <v>23300298</v>
      </c>
      <c r="L99" s="110"/>
      <c r="M99" s="110">
        <v>23300298</v>
      </c>
      <c r="N99" s="331">
        <v>54376.200000000012</v>
      </c>
      <c r="O99" s="250">
        <v>53650.499999999993</v>
      </c>
      <c r="P99" s="251"/>
      <c r="Q99" s="251">
        <v>53650.499999999993</v>
      </c>
      <c r="R99" s="43"/>
      <c r="S99" s="43">
        <v>9000</v>
      </c>
      <c r="T99" s="4">
        <v>26253</v>
      </c>
      <c r="U99" s="296"/>
    </row>
    <row r="100" spans="1:31" s="329" customFormat="1" x14ac:dyDescent="0.3">
      <c r="A100" s="19">
        <v>2021</v>
      </c>
      <c r="B100" s="20" t="s">
        <v>28</v>
      </c>
      <c r="C100" s="21" t="s">
        <v>72</v>
      </c>
      <c r="D100" s="166">
        <v>35287932</v>
      </c>
      <c r="E100" s="166">
        <v>2259902</v>
      </c>
      <c r="F100" s="166"/>
      <c r="G100" s="166"/>
      <c r="H100" s="246">
        <f t="shared" si="11"/>
        <v>11727453</v>
      </c>
      <c r="I100" s="43"/>
      <c r="J100" s="43">
        <v>11727453</v>
      </c>
      <c r="K100" s="166">
        <f>M100+L100</f>
        <v>23560479</v>
      </c>
      <c r="L100" s="110"/>
      <c r="M100" s="110">
        <v>23560479</v>
      </c>
      <c r="N100" s="331">
        <v>58335.7</v>
      </c>
      <c r="O100" s="250">
        <v>58335.7</v>
      </c>
      <c r="P100" s="251"/>
      <c r="Q100" s="251">
        <v>58335.7</v>
      </c>
      <c r="R100" s="43">
        <v>1000</v>
      </c>
      <c r="S100" s="43">
        <v>9000</v>
      </c>
      <c r="T100" s="4"/>
      <c r="U100" s="296"/>
    </row>
    <row r="101" spans="1:31" s="329" customFormat="1" x14ac:dyDescent="0.3">
      <c r="A101" s="19">
        <v>2021</v>
      </c>
      <c r="B101" s="20" t="s">
        <v>29</v>
      </c>
      <c r="C101" s="21" t="s">
        <v>72</v>
      </c>
      <c r="D101" s="166">
        <v>33005181</v>
      </c>
      <c r="E101" s="166">
        <v>1928969</v>
      </c>
      <c r="F101" s="166"/>
      <c r="G101" s="166"/>
      <c r="H101" s="246">
        <f t="shared" si="11"/>
        <v>12424289</v>
      </c>
      <c r="I101" s="43">
        <v>12424289</v>
      </c>
      <c r="J101" s="43"/>
      <c r="K101" s="166">
        <f>M101+L101</f>
        <v>20580892</v>
      </c>
      <c r="L101" s="110">
        <v>20580892</v>
      </c>
      <c r="M101" s="110"/>
      <c r="N101" s="331">
        <v>58335.7</v>
      </c>
      <c r="O101" s="250">
        <v>53664.400000000009</v>
      </c>
      <c r="P101" s="251">
        <v>53664.400000000009</v>
      </c>
      <c r="Q101" s="43"/>
      <c r="R101" s="43">
        <v>1000</v>
      </c>
      <c r="S101" s="43">
        <v>9000</v>
      </c>
      <c r="T101" s="4"/>
      <c r="U101" s="296"/>
    </row>
    <row r="102" spans="1:31" s="329" customFormat="1" x14ac:dyDescent="0.3">
      <c r="A102" s="19">
        <v>2021</v>
      </c>
      <c r="B102" s="20" t="s">
        <v>30</v>
      </c>
      <c r="C102" s="21" t="s">
        <v>72</v>
      </c>
      <c r="D102" s="166">
        <v>30766447</v>
      </c>
      <c r="E102" s="166">
        <v>928523</v>
      </c>
      <c r="F102" s="166"/>
      <c r="G102" s="166"/>
      <c r="H102" s="246">
        <f t="shared" si="11"/>
        <v>11140562</v>
      </c>
      <c r="I102" s="43">
        <v>11140562</v>
      </c>
      <c r="J102" s="43"/>
      <c r="K102" s="166">
        <f>M102+L102</f>
        <v>19625885</v>
      </c>
      <c r="L102" s="110">
        <v>19625885</v>
      </c>
      <c r="M102" s="110"/>
      <c r="N102" s="331">
        <v>58335.7</v>
      </c>
      <c r="O102" s="250">
        <v>53771.399999999994</v>
      </c>
      <c r="P102" s="251">
        <v>53771.399999999994</v>
      </c>
      <c r="Q102" s="43"/>
      <c r="R102" s="43">
        <v>1000</v>
      </c>
      <c r="S102" s="43">
        <v>9000</v>
      </c>
      <c r="T102" s="4"/>
      <c r="U102" s="296"/>
    </row>
    <row r="103" spans="1:31" s="329" customFormat="1" x14ac:dyDescent="0.3">
      <c r="A103" s="22">
        <v>2021</v>
      </c>
      <c r="B103" s="23" t="s">
        <v>31</v>
      </c>
      <c r="C103" s="24" t="s">
        <v>72</v>
      </c>
      <c r="D103" s="102">
        <v>26586131</v>
      </c>
      <c r="E103" s="102">
        <v>773625</v>
      </c>
      <c r="F103" s="102"/>
      <c r="G103" s="102"/>
      <c r="H103" s="247">
        <f t="shared" si="11"/>
        <v>9620016</v>
      </c>
      <c r="I103" s="44">
        <v>9620016</v>
      </c>
      <c r="J103" s="44"/>
      <c r="K103" s="102">
        <f>M103+L103</f>
        <v>16966115</v>
      </c>
      <c r="L103" s="111">
        <v>16966115</v>
      </c>
      <c r="M103" s="111"/>
      <c r="N103" s="294">
        <v>58335.7</v>
      </c>
      <c r="O103" s="252">
        <v>51079.8</v>
      </c>
      <c r="P103" s="253">
        <v>51079.8</v>
      </c>
      <c r="Q103" s="44"/>
      <c r="R103" s="44">
        <v>1000</v>
      </c>
      <c r="S103" s="44">
        <v>9000</v>
      </c>
      <c r="T103" s="297"/>
      <c r="U103" s="298"/>
    </row>
    <row r="104" spans="1:31" s="329" customFormat="1" x14ac:dyDescent="0.3">
      <c r="A104" s="545"/>
      <c r="B104" s="545"/>
      <c r="C104" s="545"/>
      <c r="D104" s="171">
        <f t="shared" ref="D104:M104" si="13">SUM(D92:D103)</f>
        <v>349613835</v>
      </c>
      <c r="E104" s="171">
        <f t="shared" si="13"/>
        <v>10424811</v>
      </c>
      <c r="F104" s="171"/>
      <c r="G104" s="171"/>
      <c r="H104" s="171">
        <f t="shared" si="13"/>
        <v>120802085</v>
      </c>
      <c r="I104" s="171">
        <f t="shared" si="13"/>
        <v>78311264</v>
      </c>
      <c r="J104" s="171">
        <f t="shared" si="13"/>
        <v>42490821</v>
      </c>
      <c r="K104" s="171">
        <f t="shared" si="13"/>
        <v>228811750</v>
      </c>
      <c r="L104" s="171">
        <f t="shared" si="13"/>
        <v>138808991</v>
      </c>
      <c r="M104" s="171">
        <f t="shared" si="13"/>
        <v>90002759</v>
      </c>
      <c r="N104" s="171">
        <f t="shared" ref="N104:U104" si="14">SUM(N92:N103)</f>
        <v>668352.4</v>
      </c>
      <c r="O104" s="171">
        <f t="shared" si="14"/>
        <v>604591.50000000012</v>
      </c>
      <c r="P104" s="171">
        <f t="shared" si="14"/>
        <v>390260.39999999997</v>
      </c>
      <c r="Q104" s="171">
        <f t="shared" si="14"/>
        <v>214331.10000000003</v>
      </c>
      <c r="R104" s="171"/>
      <c r="S104" s="171">
        <f t="shared" si="14"/>
        <v>108000</v>
      </c>
      <c r="T104" s="171">
        <f t="shared" si="14"/>
        <v>2409053</v>
      </c>
      <c r="U104" s="171">
        <f t="shared" si="14"/>
        <v>835964</v>
      </c>
    </row>
    <row r="105" spans="1:31" s="329" customFormat="1" x14ac:dyDescent="0.3">
      <c r="A105" s="541" t="s">
        <v>94</v>
      </c>
      <c r="B105" s="541"/>
      <c r="C105" s="541"/>
      <c r="D105" s="541"/>
      <c r="E105" s="541"/>
      <c r="F105" s="541"/>
      <c r="G105" s="541"/>
      <c r="H105" s="541"/>
      <c r="I105" s="541"/>
      <c r="J105" s="541"/>
      <c r="K105" s="541"/>
      <c r="L105" s="541"/>
      <c r="M105" s="541"/>
      <c r="N105" s="541"/>
      <c r="O105" s="541"/>
      <c r="P105" s="541"/>
      <c r="Q105" s="541"/>
      <c r="R105" s="541"/>
      <c r="S105" s="541"/>
      <c r="T105" s="328"/>
      <c r="U105" s="328"/>
    </row>
    <row r="106" spans="1:31" s="329" customFormat="1" x14ac:dyDescent="0.3">
      <c r="A106" s="285"/>
      <c r="B106" s="285"/>
      <c r="C106" s="285"/>
      <c r="D106" s="285"/>
      <c r="E106" s="285"/>
      <c r="F106" s="285"/>
      <c r="G106" s="285"/>
      <c r="H106" s="285"/>
      <c r="I106" s="285"/>
      <c r="J106" s="285"/>
      <c r="K106" s="285"/>
      <c r="L106" s="285"/>
      <c r="M106" s="285"/>
      <c r="N106" s="285"/>
      <c r="O106" s="285"/>
      <c r="P106" s="337"/>
      <c r="Q106" s="337"/>
      <c r="R106" s="347"/>
      <c r="S106" s="337"/>
    </row>
    <row r="107" spans="1:31" s="321" customFormat="1" ht="60.6" x14ac:dyDescent="0.3">
      <c r="A107" s="6" t="s">
        <v>18</v>
      </c>
      <c r="B107" s="6" t="s">
        <v>19</v>
      </c>
      <c r="C107" s="7" t="s">
        <v>0</v>
      </c>
      <c r="D107" s="112" t="s">
        <v>11</v>
      </c>
      <c r="E107" s="112"/>
      <c r="F107" s="112"/>
      <c r="G107" s="112"/>
      <c r="H107" s="11" t="s">
        <v>62</v>
      </c>
      <c r="I107" s="11" t="s">
        <v>64</v>
      </c>
      <c r="J107" s="11" t="s">
        <v>63</v>
      </c>
      <c r="K107" s="169" t="s">
        <v>39</v>
      </c>
      <c r="L107" s="9" t="s">
        <v>15</v>
      </c>
      <c r="M107" s="33" t="s">
        <v>16</v>
      </c>
      <c r="N107" s="474" t="s">
        <v>77</v>
      </c>
      <c r="O107" s="36" t="s">
        <v>73</v>
      </c>
      <c r="P107" s="36" t="s">
        <v>74</v>
      </c>
      <c r="Q107" s="36" t="s">
        <v>75</v>
      </c>
      <c r="R107" s="36"/>
      <c r="S107" s="36" t="s">
        <v>84</v>
      </c>
      <c r="T107" s="36" t="s">
        <v>91</v>
      </c>
      <c r="U107" s="36" t="s">
        <v>92</v>
      </c>
    </row>
    <row r="108" spans="1:31" s="321" customFormat="1" x14ac:dyDescent="0.3">
      <c r="A108" s="16">
        <v>2020</v>
      </c>
      <c r="B108" s="17" t="s">
        <v>20</v>
      </c>
      <c r="C108" s="18" t="s">
        <v>72</v>
      </c>
      <c r="D108" s="166">
        <v>26537356</v>
      </c>
      <c r="E108" s="166"/>
      <c r="F108" s="166"/>
      <c r="G108" s="166"/>
      <c r="H108" s="245">
        <f>I108+J108</f>
        <v>9256913</v>
      </c>
      <c r="I108" s="42">
        <v>9256913</v>
      </c>
      <c r="J108" s="42"/>
      <c r="K108" s="166">
        <f>D108-H108</f>
        <v>17280443</v>
      </c>
      <c r="L108" s="109">
        <v>17280443</v>
      </c>
      <c r="M108" s="109"/>
      <c r="N108" s="331">
        <v>60499.4</v>
      </c>
      <c r="O108" s="248">
        <v>51098.1</v>
      </c>
      <c r="P108" s="249">
        <v>51098.1</v>
      </c>
      <c r="Q108" s="42"/>
      <c r="R108" s="42"/>
      <c r="S108" s="42">
        <v>8500</v>
      </c>
      <c r="T108" s="114">
        <v>43148</v>
      </c>
      <c r="U108" s="295">
        <v>40823</v>
      </c>
      <c r="V108" s="327">
        <v>0</v>
      </c>
      <c r="W108" s="327">
        <v>0</v>
      </c>
      <c r="X108" s="327">
        <v>0</v>
      </c>
      <c r="Y108" s="327"/>
      <c r="Z108" s="327"/>
      <c r="AA108" s="327"/>
      <c r="AB108" s="327"/>
      <c r="AC108" s="327">
        <v>0</v>
      </c>
      <c r="AD108" s="327">
        <v>0</v>
      </c>
      <c r="AE108" s="327">
        <v>0</v>
      </c>
    </row>
    <row r="109" spans="1:31" s="321" customFormat="1" x14ac:dyDescent="0.3">
      <c r="A109" s="19">
        <v>2020</v>
      </c>
      <c r="B109" s="20" t="s">
        <v>21</v>
      </c>
      <c r="C109" s="21" t="s">
        <v>72</v>
      </c>
      <c r="D109" s="166">
        <v>26483582</v>
      </c>
      <c r="E109" s="166"/>
      <c r="F109" s="166"/>
      <c r="G109" s="166"/>
      <c r="H109" s="246">
        <f t="shared" ref="H109:H119" si="15">I109+J109</f>
        <v>9725966</v>
      </c>
      <c r="I109" s="43">
        <v>9725966</v>
      </c>
      <c r="J109" s="43"/>
      <c r="K109" s="166">
        <f t="shared" ref="K109:K119" si="16">D109-H109</f>
        <v>16757616</v>
      </c>
      <c r="L109" s="110">
        <v>16757616</v>
      </c>
      <c r="M109" s="110"/>
      <c r="N109" s="331">
        <v>60499.4</v>
      </c>
      <c r="O109" s="250">
        <v>51085.200000000004</v>
      </c>
      <c r="P109" s="251">
        <v>51085.200000000004</v>
      </c>
      <c r="Q109" s="43"/>
      <c r="R109" s="43"/>
      <c r="S109" s="43">
        <v>9000</v>
      </c>
      <c r="T109" s="4">
        <v>7753</v>
      </c>
      <c r="U109" s="296"/>
    </row>
    <row r="110" spans="1:31" s="321" customFormat="1" x14ac:dyDescent="0.3">
      <c r="A110" s="19">
        <v>2020</v>
      </c>
      <c r="B110" s="20" t="s">
        <v>22</v>
      </c>
      <c r="C110" s="21" t="s">
        <v>72</v>
      </c>
      <c r="D110" s="166">
        <v>25827420</v>
      </c>
      <c r="E110" s="166"/>
      <c r="F110" s="166"/>
      <c r="G110" s="166"/>
      <c r="H110" s="246">
        <f t="shared" si="15"/>
        <v>9238799</v>
      </c>
      <c r="I110" s="43">
        <v>9238799</v>
      </c>
      <c r="J110" s="43"/>
      <c r="K110" s="166">
        <f t="shared" si="16"/>
        <v>16588621</v>
      </c>
      <c r="L110" s="110">
        <v>16588621</v>
      </c>
      <c r="M110" s="110"/>
      <c r="N110" s="331">
        <v>60499.399999999994</v>
      </c>
      <c r="O110" s="250">
        <v>51827.900000000009</v>
      </c>
      <c r="P110" s="251">
        <v>51827.900000000009</v>
      </c>
      <c r="Q110" s="43"/>
      <c r="R110" s="43"/>
      <c r="S110" s="43">
        <v>9000</v>
      </c>
      <c r="T110" s="4"/>
      <c r="U110" s="296"/>
    </row>
    <row r="111" spans="1:31" s="321" customFormat="1" x14ac:dyDescent="0.3">
      <c r="A111" s="19">
        <v>2020</v>
      </c>
      <c r="B111" s="20" t="s">
        <v>23</v>
      </c>
      <c r="C111" s="21" t="s">
        <v>72</v>
      </c>
      <c r="D111" s="166">
        <v>26203030</v>
      </c>
      <c r="E111" s="166"/>
      <c r="F111" s="166"/>
      <c r="G111" s="166"/>
      <c r="H111" s="246">
        <f t="shared" si="15"/>
        <v>9413565</v>
      </c>
      <c r="I111" s="43">
        <v>9413565</v>
      </c>
      <c r="J111" s="43"/>
      <c r="K111" s="166">
        <f t="shared" si="16"/>
        <v>16789465</v>
      </c>
      <c r="L111" s="110">
        <v>16789465</v>
      </c>
      <c r="M111" s="110"/>
      <c r="N111" s="331">
        <v>60499.4</v>
      </c>
      <c r="O111" s="250">
        <v>51128.799999999996</v>
      </c>
      <c r="P111" s="251">
        <v>51128.799999999996</v>
      </c>
      <c r="Q111" s="43"/>
      <c r="R111" s="43"/>
      <c r="S111" s="43">
        <v>9000</v>
      </c>
      <c r="T111" s="4">
        <v>73706</v>
      </c>
      <c r="U111" s="296"/>
    </row>
    <row r="112" spans="1:31" s="321" customFormat="1" x14ac:dyDescent="0.3">
      <c r="A112" s="19">
        <v>2020</v>
      </c>
      <c r="B112" s="20" t="s">
        <v>24</v>
      </c>
      <c r="C112" s="21" t="s">
        <v>72</v>
      </c>
      <c r="D112" s="166">
        <v>25546443</v>
      </c>
      <c r="E112" s="166"/>
      <c r="F112" s="166"/>
      <c r="G112" s="166"/>
      <c r="H112" s="246">
        <f t="shared" si="15"/>
        <v>8909497</v>
      </c>
      <c r="I112" s="43">
        <v>8909497</v>
      </c>
      <c r="J112" s="43"/>
      <c r="K112" s="166">
        <f t="shared" si="16"/>
        <v>16636946</v>
      </c>
      <c r="L112" s="110">
        <v>16636946</v>
      </c>
      <c r="M112" s="110"/>
      <c r="N112" s="331">
        <v>60499.400000000009</v>
      </c>
      <c r="O112" s="250">
        <v>41920</v>
      </c>
      <c r="P112" s="251">
        <v>41920</v>
      </c>
      <c r="Q112" s="43"/>
      <c r="R112" s="43"/>
      <c r="S112" s="43">
        <v>9000</v>
      </c>
      <c r="T112" s="4">
        <v>286786</v>
      </c>
      <c r="U112" s="296"/>
    </row>
    <row r="113" spans="1:21" s="321" customFormat="1" x14ac:dyDescent="0.3">
      <c r="A113" s="19">
        <v>2020</v>
      </c>
      <c r="B113" s="20" t="s">
        <v>25</v>
      </c>
      <c r="C113" s="21" t="s">
        <v>72</v>
      </c>
      <c r="D113" s="166">
        <v>27850446</v>
      </c>
      <c r="E113" s="166"/>
      <c r="F113" s="166"/>
      <c r="G113" s="166"/>
      <c r="H113" s="246">
        <f t="shared" si="15"/>
        <v>8129392</v>
      </c>
      <c r="I113" s="43"/>
      <c r="J113" s="43">
        <v>8129392</v>
      </c>
      <c r="K113" s="166">
        <f t="shared" si="16"/>
        <v>19721054</v>
      </c>
      <c r="L113" s="110"/>
      <c r="M113" s="110">
        <v>19721054</v>
      </c>
      <c r="N113" s="331">
        <v>60499.400000000009</v>
      </c>
      <c r="O113" s="250">
        <v>46691.700000000004</v>
      </c>
      <c r="P113" s="251"/>
      <c r="Q113" s="251">
        <v>46691.700000000004</v>
      </c>
      <c r="R113" s="43"/>
      <c r="S113" s="43">
        <v>9000</v>
      </c>
      <c r="T113" s="4">
        <v>416738</v>
      </c>
      <c r="U113" s="296"/>
    </row>
    <row r="114" spans="1:21" s="321" customFormat="1" x14ac:dyDescent="0.3">
      <c r="A114" s="19">
        <v>2020</v>
      </c>
      <c r="B114" s="20" t="s">
        <v>26</v>
      </c>
      <c r="C114" s="21" t="s">
        <v>72</v>
      </c>
      <c r="D114" s="166">
        <v>29303454</v>
      </c>
      <c r="E114" s="166"/>
      <c r="F114" s="166"/>
      <c r="G114" s="166"/>
      <c r="H114" s="246">
        <f t="shared" si="15"/>
        <v>9905298</v>
      </c>
      <c r="I114" s="43"/>
      <c r="J114" s="43">
        <v>9905298</v>
      </c>
      <c r="K114" s="166">
        <f t="shared" si="16"/>
        <v>19398156</v>
      </c>
      <c r="L114" s="110"/>
      <c r="M114" s="110">
        <v>19398156</v>
      </c>
      <c r="N114" s="331">
        <v>60499.4</v>
      </c>
      <c r="O114" s="250">
        <v>51048.3</v>
      </c>
      <c r="P114" s="251"/>
      <c r="Q114" s="251">
        <v>51048.3</v>
      </c>
      <c r="R114" s="43"/>
      <c r="S114" s="43">
        <v>9000</v>
      </c>
      <c r="T114" s="4">
        <v>321867</v>
      </c>
      <c r="U114" s="296">
        <v>75233</v>
      </c>
    </row>
    <row r="115" spans="1:21" s="321" customFormat="1" x14ac:dyDescent="0.3">
      <c r="A115" s="19">
        <v>2020</v>
      </c>
      <c r="B115" s="20" t="s">
        <v>27</v>
      </c>
      <c r="C115" s="21" t="s">
        <v>72</v>
      </c>
      <c r="D115" s="166">
        <v>29623937</v>
      </c>
      <c r="E115" s="166"/>
      <c r="F115" s="166"/>
      <c r="G115" s="166"/>
      <c r="H115" s="246">
        <f t="shared" si="15"/>
        <v>10712476</v>
      </c>
      <c r="I115" s="43"/>
      <c r="J115" s="43">
        <v>10712476</v>
      </c>
      <c r="K115" s="166">
        <f t="shared" si="16"/>
        <v>18911461</v>
      </c>
      <c r="L115" s="110"/>
      <c r="M115" s="110">
        <v>18911461</v>
      </c>
      <c r="N115" s="331">
        <v>59401</v>
      </c>
      <c r="O115" s="250">
        <v>53531.500000000007</v>
      </c>
      <c r="P115" s="251"/>
      <c r="Q115" s="251">
        <v>53531.500000000007</v>
      </c>
      <c r="R115" s="43"/>
      <c r="S115" s="43">
        <v>9000</v>
      </c>
      <c r="T115" s="4"/>
      <c r="U115" s="296"/>
    </row>
    <row r="116" spans="1:21" s="321" customFormat="1" x14ac:dyDescent="0.3">
      <c r="A116" s="19">
        <v>2020</v>
      </c>
      <c r="B116" s="20" t="s">
        <v>28</v>
      </c>
      <c r="C116" s="21" t="s">
        <v>72</v>
      </c>
      <c r="D116" s="166">
        <v>33317348</v>
      </c>
      <c r="E116" s="166"/>
      <c r="F116" s="166"/>
      <c r="G116" s="166"/>
      <c r="H116" s="246">
        <f t="shared" si="15"/>
        <v>10147919</v>
      </c>
      <c r="I116" s="43"/>
      <c r="J116" s="43">
        <v>10147919</v>
      </c>
      <c r="K116" s="166">
        <f t="shared" si="16"/>
        <v>23169429</v>
      </c>
      <c r="L116" s="110"/>
      <c r="M116" s="110">
        <v>23169429</v>
      </c>
      <c r="N116" s="331">
        <v>59401</v>
      </c>
      <c r="O116" s="250">
        <v>54376.200000000012</v>
      </c>
      <c r="P116" s="251"/>
      <c r="Q116" s="251">
        <v>54376.200000000012</v>
      </c>
      <c r="R116" s="43"/>
      <c r="S116" s="43">
        <v>9000</v>
      </c>
      <c r="T116" s="4">
        <v>34161</v>
      </c>
      <c r="U116" s="296"/>
    </row>
    <row r="117" spans="1:21" s="321" customFormat="1" x14ac:dyDescent="0.3">
      <c r="A117" s="19">
        <v>2020</v>
      </c>
      <c r="B117" s="20" t="s">
        <v>29</v>
      </c>
      <c r="C117" s="21" t="s">
        <v>72</v>
      </c>
      <c r="D117" s="166">
        <v>32582656</v>
      </c>
      <c r="E117" s="166"/>
      <c r="F117" s="166"/>
      <c r="G117" s="166"/>
      <c r="H117" s="246">
        <f t="shared" si="15"/>
        <v>10727152</v>
      </c>
      <c r="I117" s="43">
        <v>10727152</v>
      </c>
      <c r="J117" s="43"/>
      <c r="K117" s="166">
        <f t="shared" si="16"/>
        <v>21855504</v>
      </c>
      <c r="L117" s="110">
        <v>21855504</v>
      </c>
      <c r="M117" s="110"/>
      <c r="N117" s="331">
        <v>58578.2</v>
      </c>
      <c r="O117" s="250">
        <v>50880.5</v>
      </c>
      <c r="P117" s="251">
        <v>50880.5</v>
      </c>
      <c r="Q117" s="43"/>
      <c r="R117" s="43"/>
      <c r="S117" s="43">
        <v>9000</v>
      </c>
      <c r="T117" s="4">
        <v>327905</v>
      </c>
      <c r="U117" s="296">
        <v>1093406</v>
      </c>
    </row>
    <row r="118" spans="1:21" s="321" customFormat="1" x14ac:dyDescent="0.3">
      <c r="A118" s="19">
        <v>2020</v>
      </c>
      <c r="B118" s="20" t="s">
        <v>30</v>
      </c>
      <c r="C118" s="21" t="s">
        <v>72</v>
      </c>
      <c r="D118" s="166">
        <v>29424884</v>
      </c>
      <c r="E118" s="166"/>
      <c r="F118" s="166"/>
      <c r="G118" s="166"/>
      <c r="H118" s="246">
        <f t="shared" si="15"/>
        <v>10501631</v>
      </c>
      <c r="I118" s="43">
        <v>10501631</v>
      </c>
      <c r="J118" s="43"/>
      <c r="K118" s="166">
        <f t="shared" si="16"/>
        <v>18923253</v>
      </c>
      <c r="L118" s="110">
        <v>18923253</v>
      </c>
      <c r="M118" s="110"/>
      <c r="N118" s="331">
        <v>54376.200000000012</v>
      </c>
      <c r="O118" s="250">
        <v>47050.6</v>
      </c>
      <c r="P118" s="251">
        <v>47050.6</v>
      </c>
      <c r="Q118" s="43"/>
      <c r="R118" s="43"/>
      <c r="S118" s="43">
        <v>9000</v>
      </c>
      <c r="T118" s="4">
        <v>27931</v>
      </c>
      <c r="U118" s="296">
        <v>1150791</v>
      </c>
    </row>
    <row r="119" spans="1:21" s="321" customFormat="1" x14ac:dyDescent="0.3">
      <c r="A119" s="22">
        <v>2020</v>
      </c>
      <c r="B119" s="23" t="s">
        <v>31</v>
      </c>
      <c r="C119" s="24" t="s">
        <v>72</v>
      </c>
      <c r="D119" s="102">
        <v>26501729</v>
      </c>
      <c r="E119" s="102"/>
      <c r="F119" s="102"/>
      <c r="G119" s="102"/>
      <c r="H119" s="247">
        <f t="shared" si="15"/>
        <v>9024787</v>
      </c>
      <c r="I119" s="44">
        <v>9024787</v>
      </c>
      <c r="J119" s="44"/>
      <c r="K119" s="102">
        <f t="shared" si="16"/>
        <v>17476942</v>
      </c>
      <c r="L119" s="111">
        <v>17476942</v>
      </c>
      <c r="M119" s="111"/>
      <c r="N119" s="294">
        <v>54376.2</v>
      </c>
      <c r="O119" s="252">
        <v>48260.1</v>
      </c>
      <c r="P119" s="253">
        <v>48260.1</v>
      </c>
      <c r="Q119" s="44"/>
      <c r="R119" s="44"/>
      <c r="S119" s="44">
        <v>9000</v>
      </c>
      <c r="T119" s="297">
        <v>550687</v>
      </c>
      <c r="U119" s="298"/>
    </row>
    <row r="120" spans="1:21" s="321" customFormat="1" x14ac:dyDescent="0.3">
      <c r="A120" s="545"/>
      <c r="B120" s="545"/>
      <c r="C120" s="545"/>
      <c r="D120" s="171">
        <f t="shared" ref="D120:M120" si="17">SUM(D108:D119)</f>
        <v>339202285</v>
      </c>
      <c r="E120" s="171"/>
      <c r="F120" s="171"/>
      <c r="G120" s="171"/>
      <c r="H120" s="171">
        <f t="shared" si="17"/>
        <v>115693395</v>
      </c>
      <c r="I120" s="171">
        <f t="shared" si="17"/>
        <v>76798310</v>
      </c>
      <c r="J120" s="171">
        <f t="shared" si="17"/>
        <v>38895085</v>
      </c>
      <c r="K120" s="171">
        <f t="shared" si="17"/>
        <v>223508890</v>
      </c>
      <c r="L120" s="171">
        <f t="shared" si="17"/>
        <v>142308790</v>
      </c>
      <c r="M120" s="171">
        <f t="shared" si="17"/>
        <v>81200100</v>
      </c>
      <c r="N120" s="171">
        <f t="shared" ref="N120:U120" si="18">SUM(N108:N119)</f>
        <v>709628.39999999991</v>
      </c>
      <c r="O120" s="171">
        <f t="shared" si="18"/>
        <v>598898.9</v>
      </c>
      <c r="P120" s="171">
        <f t="shared" si="18"/>
        <v>393251.19999999995</v>
      </c>
      <c r="Q120" s="171">
        <f t="shared" si="18"/>
        <v>205647.7</v>
      </c>
      <c r="R120" s="171"/>
      <c r="S120" s="171">
        <f t="shared" si="18"/>
        <v>107500</v>
      </c>
      <c r="T120" s="171">
        <f t="shared" si="18"/>
        <v>2090682</v>
      </c>
      <c r="U120" s="171">
        <f t="shared" si="18"/>
        <v>2360253</v>
      </c>
    </row>
    <row r="121" spans="1:21" s="321" customFormat="1" x14ac:dyDescent="0.3">
      <c r="A121" s="285"/>
      <c r="B121" s="285"/>
      <c r="C121" s="285"/>
      <c r="D121" s="285"/>
      <c r="E121" s="285"/>
      <c r="F121" s="285"/>
      <c r="G121" s="285"/>
      <c r="H121" s="285"/>
      <c r="I121" s="285"/>
      <c r="J121" s="285"/>
      <c r="K121" s="285"/>
      <c r="L121" s="285"/>
      <c r="M121" s="285"/>
      <c r="N121" s="285"/>
      <c r="O121" s="285"/>
      <c r="P121" s="312"/>
      <c r="Q121" s="312"/>
      <c r="R121" s="347"/>
      <c r="S121" s="312"/>
    </row>
    <row r="122" spans="1:21" s="165" customFormat="1" ht="14.1" customHeight="1" x14ac:dyDescent="0.3">
      <c r="A122" s="270"/>
      <c r="B122" s="270"/>
      <c r="C122" s="270"/>
      <c r="D122" s="270"/>
      <c r="E122" s="344"/>
      <c r="F122" s="344"/>
      <c r="G122" s="344"/>
      <c r="H122" s="270"/>
      <c r="I122" s="270"/>
      <c r="J122" s="270"/>
      <c r="K122" s="270"/>
      <c r="L122" s="270"/>
      <c r="M122" s="270"/>
      <c r="N122" s="270"/>
      <c r="O122" s="270"/>
      <c r="P122" s="216"/>
      <c r="R122" s="343"/>
    </row>
    <row r="123" spans="1:21" x14ac:dyDescent="0.3">
      <c r="A123" s="41"/>
    </row>
  </sheetData>
  <mergeCells count="17">
    <mergeCell ref="A120:C120"/>
    <mergeCell ref="A104:C104"/>
    <mergeCell ref="A105:S105"/>
    <mergeCell ref="A87:C87"/>
    <mergeCell ref="A71:S71"/>
    <mergeCell ref="A88:S88"/>
    <mergeCell ref="A1:I1"/>
    <mergeCell ref="A2:I2"/>
    <mergeCell ref="A3:I3"/>
    <mergeCell ref="A4:I4"/>
    <mergeCell ref="A70:C70"/>
    <mergeCell ref="A53:C53"/>
    <mergeCell ref="A54:S54"/>
    <mergeCell ref="A19:C19"/>
    <mergeCell ref="A20:S20"/>
    <mergeCell ref="A36:C36"/>
    <mergeCell ref="A37:S37"/>
  </mergeCells>
  <printOptions horizontalCentered="1"/>
  <pageMargins left="0.25" right="0.25" top="0.5" bottom="0.75" header="0.3" footer="0.3"/>
  <pageSetup scale="59" fitToHeight="0" orientation="landscape" r:id="rId1"/>
  <rowBreaks count="2" manualBreakCount="2">
    <brk id="39" max="21" man="1"/>
    <brk id="90" max="21"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C71C-9045-4816-9814-D59653480F4C}">
  <dimension ref="A1:G111"/>
  <sheetViews>
    <sheetView zoomScaleNormal="100" workbookViewId="0">
      <selection sqref="A1:G1"/>
    </sheetView>
  </sheetViews>
  <sheetFormatPr defaultColWidth="9.109375" defaultRowHeight="14.4" x14ac:dyDescent="0.3"/>
  <cols>
    <col min="1" max="1" width="9.109375" style="3" customWidth="1"/>
    <col min="2" max="2" width="6.5546875" style="3" customWidth="1"/>
    <col min="3" max="3" width="15.44140625" style="3" customWidth="1"/>
    <col min="4" max="4" width="12.109375" style="343" customWidth="1"/>
    <col min="5" max="5" width="10.109375" style="343" customWidth="1"/>
    <col min="6" max="6" width="9.109375" style="343" customWidth="1"/>
    <col min="7" max="16384" width="9.109375" style="343"/>
  </cols>
  <sheetData>
    <row r="1" spans="1:7" ht="18" x14ac:dyDescent="0.35">
      <c r="A1" s="542" t="s">
        <v>122</v>
      </c>
      <c r="B1" s="542"/>
      <c r="C1" s="542"/>
      <c r="D1" s="542"/>
      <c r="E1" s="542"/>
      <c r="F1" s="542"/>
      <c r="G1" s="542"/>
    </row>
    <row r="2" spans="1:7" ht="18" x14ac:dyDescent="0.35">
      <c r="A2" s="542" t="s">
        <v>163</v>
      </c>
      <c r="B2" s="542"/>
      <c r="C2" s="542"/>
      <c r="D2" s="542"/>
      <c r="E2" s="542"/>
      <c r="F2" s="542"/>
      <c r="G2" s="542"/>
    </row>
    <row r="3" spans="1:7" ht="18" x14ac:dyDescent="0.35">
      <c r="A3" s="542" t="s">
        <v>166</v>
      </c>
      <c r="B3" s="542"/>
      <c r="C3" s="542"/>
      <c r="D3" s="542"/>
      <c r="E3" s="542"/>
      <c r="F3" s="542"/>
      <c r="G3" s="542"/>
    </row>
    <row r="4" spans="1:7" ht="18" x14ac:dyDescent="0.35">
      <c r="A4" s="542" t="s">
        <v>123</v>
      </c>
      <c r="B4" s="542"/>
      <c r="C4" s="542"/>
      <c r="D4" s="542"/>
      <c r="E4" s="542"/>
      <c r="F4" s="542"/>
      <c r="G4" s="542"/>
    </row>
    <row r="6" spans="1:7" s="330" customFormat="1" ht="12" x14ac:dyDescent="0.25">
      <c r="A6" s="6" t="s">
        <v>18</v>
      </c>
      <c r="B6" s="6" t="s">
        <v>19</v>
      </c>
      <c r="C6" s="7" t="s">
        <v>0</v>
      </c>
      <c r="D6" s="392" t="s">
        <v>11</v>
      </c>
      <c r="E6" s="434" t="s">
        <v>156</v>
      </c>
    </row>
    <row r="7" spans="1:7" x14ac:dyDescent="0.3">
      <c r="A7" s="16">
        <v>2027</v>
      </c>
      <c r="B7" s="17" t="s">
        <v>20</v>
      </c>
      <c r="C7" s="18" t="s">
        <v>157</v>
      </c>
      <c r="D7" s="408">
        <v>62237.386107186816</v>
      </c>
      <c r="E7" s="208">
        <v>24</v>
      </c>
    </row>
    <row r="8" spans="1:7" x14ac:dyDescent="0.3">
      <c r="A8" s="19">
        <v>2027</v>
      </c>
      <c r="B8" s="20" t="s">
        <v>21</v>
      </c>
      <c r="C8" s="21" t="s">
        <v>157</v>
      </c>
      <c r="D8" s="408">
        <v>51502.827657505608</v>
      </c>
      <c r="E8" s="210">
        <v>21</v>
      </c>
    </row>
    <row r="9" spans="1:7" x14ac:dyDescent="0.3">
      <c r="A9" s="19">
        <v>2027</v>
      </c>
      <c r="B9" s="20" t="s">
        <v>22</v>
      </c>
      <c r="C9" s="21" t="s">
        <v>157</v>
      </c>
      <c r="D9" s="408">
        <v>54743.177100979679</v>
      </c>
      <c r="E9" s="210">
        <v>21</v>
      </c>
    </row>
    <row r="10" spans="1:7" x14ac:dyDescent="0.3">
      <c r="A10" s="19">
        <v>2027</v>
      </c>
      <c r="B10" s="20" t="s">
        <v>23</v>
      </c>
      <c r="C10" s="21" t="s">
        <v>157</v>
      </c>
      <c r="D10" s="408">
        <v>66086.952780624997</v>
      </c>
      <c r="E10" s="210">
        <v>23</v>
      </c>
    </row>
    <row r="11" spans="1:7" x14ac:dyDescent="0.3">
      <c r="A11" s="19">
        <v>2027</v>
      </c>
      <c r="B11" s="20" t="s">
        <v>24</v>
      </c>
      <c r="C11" s="21" t="s">
        <v>157</v>
      </c>
      <c r="D11" s="408">
        <v>69289.064303458508</v>
      </c>
      <c r="E11" s="210">
        <v>21</v>
      </c>
    </row>
    <row r="12" spans="1:7" x14ac:dyDescent="0.3">
      <c r="A12" s="19">
        <v>2027</v>
      </c>
      <c r="B12" s="20" t="s">
        <v>25</v>
      </c>
      <c r="C12" s="21" t="s">
        <v>157</v>
      </c>
      <c r="D12" s="408">
        <v>62554.838367780045</v>
      </c>
      <c r="E12" s="210">
        <v>23</v>
      </c>
    </row>
    <row r="13" spans="1:7" x14ac:dyDescent="0.3">
      <c r="A13" s="19">
        <v>2027</v>
      </c>
      <c r="B13" s="20" t="s">
        <v>26</v>
      </c>
      <c r="C13" s="21" t="s">
        <v>157</v>
      </c>
      <c r="D13" s="408">
        <v>62204.293447978365</v>
      </c>
      <c r="E13" s="210">
        <v>23</v>
      </c>
    </row>
    <row r="14" spans="1:7" x14ac:dyDescent="0.3">
      <c r="A14" s="19">
        <v>2027</v>
      </c>
      <c r="B14" s="20" t="s">
        <v>27</v>
      </c>
      <c r="C14" s="21" t="s">
        <v>157</v>
      </c>
      <c r="D14" s="408">
        <v>52554.40681863347</v>
      </c>
      <c r="E14" s="210">
        <v>21</v>
      </c>
    </row>
    <row r="15" spans="1:7" x14ac:dyDescent="0.3">
      <c r="A15" s="19">
        <v>2027</v>
      </c>
      <c r="B15" s="20" t="s">
        <v>28</v>
      </c>
      <c r="C15" s="21" t="s">
        <v>157</v>
      </c>
      <c r="D15" s="408">
        <v>68126.114693494979</v>
      </c>
      <c r="E15" s="210">
        <v>23</v>
      </c>
    </row>
    <row r="16" spans="1:7" x14ac:dyDescent="0.3">
      <c r="A16" s="19">
        <v>2027</v>
      </c>
      <c r="B16" s="20" t="s">
        <v>29</v>
      </c>
      <c r="C16" s="21" t="s">
        <v>157</v>
      </c>
      <c r="D16" s="408">
        <v>86484.529180590631</v>
      </c>
      <c r="E16" s="210">
        <v>22</v>
      </c>
    </row>
    <row r="17" spans="1:6" x14ac:dyDescent="0.3">
      <c r="A17" s="19">
        <v>2027</v>
      </c>
      <c r="B17" s="20" t="s">
        <v>30</v>
      </c>
      <c r="C17" s="21" t="s">
        <v>157</v>
      </c>
      <c r="D17" s="408">
        <v>97533.638004191103</v>
      </c>
      <c r="E17" s="210">
        <v>22</v>
      </c>
    </row>
    <row r="18" spans="1:6" x14ac:dyDescent="0.3">
      <c r="A18" s="22">
        <v>2027</v>
      </c>
      <c r="B18" s="23" t="s">
        <v>31</v>
      </c>
      <c r="C18" s="24" t="s">
        <v>157</v>
      </c>
      <c r="D18" s="424">
        <v>55498.856597908096</v>
      </c>
      <c r="E18" s="212">
        <v>22</v>
      </c>
    </row>
    <row r="19" spans="1:6" x14ac:dyDescent="0.3">
      <c r="A19" s="550"/>
      <c r="B19" s="550"/>
      <c r="C19" s="550"/>
      <c r="D19" s="171">
        <f>SUM(D7:D18)</f>
        <v>788816.08506033232</v>
      </c>
      <c r="E19" s="171">
        <f>SUM(E7:E18)</f>
        <v>266</v>
      </c>
    </row>
    <row r="20" spans="1:6" x14ac:dyDescent="0.3">
      <c r="A20" s="255"/>
      <c r="B20" s="255"/>
      <c r="C20" s="255"/>
      <c r="D20" s="255"/>
      <c r="E20" s="255"/>
      <c r="F20" s="255"/>
    </row>
    <row r="21" spans="1:6" s="330" customFormat="1" ht="12" x14ac:dyDescent="0.25">
      <c r="A21" s="6" t="s">
        <v>18</v>
      </c>
      <c r="B21" s="6" t="s">
        <v>19</v>
      </c>
      <c r="C21" s="7" t="s">
        <v>0</v>
      </c>
      <c r="D21" s="392" t="s">
        <v>11</v>
      </c>
      <c r="E21" s="434" t="s">
        <v>156</v>
      </c>
    </row>
    <row r="22" spans="1:6" x14ac:dyDescent="0.3">
      <c r="A22" s="16">
        <v>2026</v>
      </c>
      <c r="B22" s="17" t="s">
        <v>20</v>
      </c>
      <c r="C22" s="18" t="s">
        <v>157</v>
      </c>
      <c r="D22" s="408">
        <v>62237.386107186816</v>
      </c>
      <c r="E22" s="208">
        <v>24</v>
      </c>
    </row>
    <row r="23" spans="1:6" x14ac:dyDescent="0.3">
      <c r="A23" s="19">
        <v>2026</v>
      </c>
      <c r="B23" s="20" t="s">
        <v>21</v>
      </c>
      <c r="C23" s="21" t="s">
        <v>157</v>
      </c>
      <c r="D23" s="408">
        <v>51502.827657505608</v>
      </c>
      <c r="E23" s="210">
        <v>21</v>
      </c>
    </row>
    <row r="24" spans="1:6" x14ac:dyDescent="0.3">
      <c r="A24" s="19">
        <v>2026</v>
      </c>
      <c r="B24" s="20" t="s">
        <v>22</v>
      </c>
      <c r="C24" s="21" t="s">
        <v>157</v>
      </c>
      <c r="D24" s="408">
        <v>54743.177100979679</v>
      </c>
      <c r="E24" s="210">
        <v>21</v>
      </c>
    </row>
    <row r="25" spans="1:6" x14ac:dyDescent="0.3">
      <c r="A25" s="19">
        <v>2026</v>
      </c>
      <c r="B25" s="20" t="s">
        <v>23</v>
      </c>
      <c r="C25" s="21" t="s">
        <v>157</v>
      </c>
      <c r="D25" s="408">
        <v>66086.952780624997</v>
      </c>
      <c r="E25" s="210">
        <v>23</v>
      </c>
    </row>
    <row r="26" spans="1:6" x14ac:dyDescent="0.3">
      <c r="A26" s="19">
        <v>2026</v>
      </c>
      <c r="B26" s="20" t="s">
        <v>24</v>
      </c>
      <c r="C26" s="21" t="s">
        <v>157</v>
      </c>
      <c r="D26" s="408">
        <v>69289.064303458508</v>
      </c>
      <c r="E26" s="210">
        <v>21</v>
      </c>
    </row>
    <row r="27" spans="1:6" x14ac:dyDescent="0.3">
      <c r="A27" s="19">
        <v>2026</v>
      </c>
      <c r="B27" s="20" t="s">
        <v>25</v>
      </c>
      <c r="C27" s="21" t="s">
        <v>157</v>
      </c>
      <c r="D27" s="408">
        <v>62554.838367780045</v>
      </c>
      <c r="E27" s="210">
        <v>23</v>
      </c>
    </row>
    <row r="28" spans="1:6" x14ac:dyDescent="0.3">
      <c r="A28" s="19">
        <v>2026</v>
      </c>
      <c r="B28" s="20" t="s">
        <v>26</v>
      </c>
      <c r="C28" s="21" t="s">
        <v>157</v>
      </c>
      <c r="D28" s="408">
        <v>62204.293447978365</v>
      </c>
      <c r="E28" s="210">
        <v>23</v>
      </c>
    </row>
    <row r="29" spans="1:6" x14ac:dyDescent="0.3">
      <c r="A29" s="19">
        <v>2026</v>
      </c>
      <c r="B29" s="20" t="s">
        <v>27</v>
      </c>
      <c r="C29" s="21" t="s">
        <v>157</v>
      </c>
      <c r="D29" s="408">
        <v>52554.40681863347</v>
      </c>
      <c r="E29" s="210">
        <v>21</v>
      </c>
    </row>
    <row r="30" spans="1:6" x14ac:dyDescent="0.3">
      <c r="A30" s="19">
        <v>2026</v>
      </c>
      <c r="B30" s="20" t="s">
        <v>28</v>
      </c>
      <c r="C30" s="21" t="s">
        <v>157</v>
      </c>
      <c r="D30" s="408">
        <v>68126.114693494979</v>
      </c>
      <c r="E30" s="210">
        <v>23</v>
      </c>
    </row>
    <row r="31" spans="1:6" x14ac:dyDescent="0.3">
      <c r="A31" s="19">
        <v>2026</v>
      </c>
      <c r="B31" s="20" t="s">
        <v>29</v>
      </c>
      <c r="C31" s="21" t="s">
        <v>157</v>
      </c>
      <c r="D31" s="408">
        <v>86484.529180590631</v>
      </c>
      <c r="E31" s="210">
        <v>22</v>
      </c>
    </row>
    <row r="32" spans="1:6" x14ac:dyDescent="0.3">
      <c r="A32" s="19">
        <v>2026</v>
      </c>
      <c r="B32" s="20" t="s">
        <v>30</v>
      </c>
      <c r="C32" s="21" t="s">
        <v>157</v>
      </c>
      <c r="D32" s="408">
        <v>97533.638004191103</v>
      </c>
      <c r="E32" s="210">
        <v>22</v>
      </c>
    </row>
    <row r="33" spans="1:6" x14ac:dyDescent="0.3">
      <c r="A33" s="22">
        <v>2026</v>
      </c>
      <c r="B33" s="23" t="s">
        <v>31</v>
      </c>
      <c r="C33" s="24" t="s">
        <v>157</v>
      </c>
      <c r="D33" s="424">
        <v>55498.856597908096</v>
      </c>
      <c r="E33" s="212">
        <v>22</v>
      </c>
    </row>
    <row r="34" spans="1:6" x14ac:dyDescent="0.3">
      <c r="A34" s="550"/>
      <c r="B34" s="550"/>
      <c r="C34" s="550"/>
      <c r="D34" s="331">
        <f>SUM(D22:D33)</f>
        <v>788816.08506033232</v>
      </c>
      <c r="E34" s="171">
        <f>SUM(E22:E33)</f>
        <v>266</v>
      </c>
    </row>
    <row r="35" spans="1:6" x14ac:dyDescent="0.3">
      <c r="A35" s="255"/>
      <c r="B35" s="255"/>
      <c r="C35" s="255"/>
      <c r="D35" s="255"/>
      <c r="E35" s="255"/>
      <c r="F35" s="255"/>
    </row>
    <row r="36" spans="1:6" s="330" customFormat="1" ht="12" x14ac:dyDescent="0.25">
      <c r="A36" s="6" t="s">
        <v>18</v>
      </c>
      <c r="B36" s="6" t="s">
        <v>19</v>
      </c>
      <c r="C36" s="7" t="s">
        <v>0</v>
      </c>
      <c r="D36" s="392" t="s">
        <v>11</v>
      </c>
      <c r="E36" s="434" t="s">
        <v>156</v>
      </c>
    </row>
    <row r="37" spans="1:6" x14ac:dyDescent="0.3">
      <c r="A37" s="16">
        <v>2024</v>
      </c>
      <c r="B37" s="17" t="s">
        <v>20</v>
      </c>
      <c r="C37" s="18" t="s">
        <v>157</v>
      </c>
      <c r="D37" s="239">
        <v>57319</v>
      </c>
      <c r="E37" s="240">
        <v>22.96</v>
      </c>
    </row>
    <row r="38" spans="1:6" x14ac:dyDescent="0.3">
      <c r="A38" s="19">
        <v>2024</v>
      </c>
      <c r="B38" s="20" t="s">
        <v>21</v>
      </c>
      <c r="C38" s="21" t="s">
        <v>157</v>
      </c>
      <c r="D38" s="241">
        <v>64024</v>
      </c>
      <c r="E38" s="242">
        <v>22.029999999999998</v>
      </c>
    </row>
    <row r="39" spans="1:6" x14ac:dyDescent="0.3">
      <c r="A39" s="19">
        <v>2024</v>
      </c>
      <c r="B39" s="20" t="s">
        <v>22</v>
      </c>
      <c r="C39" s="21" t="s">
        <v>157</v>
      </c>
      <c r="D39" s="241">
        <v>56318</v>
      </c>
      <c r="E39" s="242">
        <v>21.049999999999997</v>
      </c>
    </row>
    <row r="40" spans="1:6" x14ac:dyDescent="0.3">
      <c r="A40" s="19">
        <v>2024</v>
      </c>
      <c r="B40" s="20" t="s">
        <v>23</v>
      </c>
      <c r="C40" s="21" t="s">
        <v>157</v>
      </c>
      <c r="D40" s="241">
        <v>65816</v>
      </c>
      <c r="E40" s="242">
        <v>21.909999999999997</v>
      </c>
    </row>
    <row r="41" spans="1:6" x14ac:dyDescent="0.3">
      <c r="A41" s="19">
        <v>2024</v>
      </c>
      <c r="B41" s="20" t="s">
        <v>24</v>
      </c>
      <c r="C41" s="21" t="s">
        <v>157</v>
      </c>
      <c r="D41" s="241">
        <v>63651</v>
      </c>
      <c r="E41" s="242">
        <v>22.16</v>
      </c>
    </row>
    <row r="42" spans="1:6" x14ac:dyDescent="0.3">
      <c r="A42" s="19">
        <v>2024</v>
      </c>
      <c r="B42" s="20" t="s">
        <v>25</v>
      </c>
      <c r="C42" s="21" t="s">
        <v>157</v>
      </c>
      <c r="D42" s="241">
        <v>53388</v>
      </c>
      <c r="E42" s="242">
        <v>23.06</v>
      </c>
    </row>
    <row r="43" spans="1:6" x14ac:dyDescent="0.3">
      <c r="A43" s="19">
        <v>2024</v>
      </c>
      <c r="B43" s="20" t="s">
        <v>26</v>
      </c>
      <c r="C43" s="21" t="s">
        <v>157</v>
      </c>
      <c r="D43" s="241">
        <v>53836</v>
      </c>
      <c r="E43" s="242">
        <v>21.08</v>
      </c>
    </row>
    <row r="44" spans="1:6" x14ac:dyDescent="0.3">
      <c r="A44" s="19">
        <v>2024</v>
      </c>
      <c r="B44" s="20" t="s">
        <v>27</v>
      </c>
      <c r="C44" s="21" t="s">
        <v>157</v>
      </c>
      <c r="D44" s="241">
        <v>58722</v>
      </c>
      <c r="E44" s="242">
        <v>22.65</v>
      </c>
    </row>
    <row r="45" spans="1:6" x14ac:dyDescent="0.3">
      <c r="A45" s="19">
        <v>2024</v>
      </c>
      <c r="B45" s="20" t="s">
        <v>28</v>
      </c>
      <c r="C45" s="21" t="s">
        <v>157</v>
      </c>
      <c r="D45" s="241">
        <v>77451</v>
      </c>
      <c r="E45" s="242">
        <v>23.41</v>
      </c>
    </row>
    <row r="46" spans="1:6" x14ac:dyDescent="0.3">
      <c r="A46" s="19">
        <v>2024</v>
      </c>
      <c r="B46" s="20" t="s">
        <v>29</v>
      </c>
      <c r="C46" s="21" t="s">
        <v>157</v>
      </c>
      <c r="D46" s="241">
        <v>88734</v>
      </c>
      <c r="E46" s="242">
        <v>20.41</v>
      </c>
    </row>
    <row r="47" spans="1:6" x14ac:dyDescent="0.3">
      <c r="A47" s="19">
        <v>2024</v>
      </c>
      <c r="B47" s="20" t="s">
        <v>30</v>
      </c>
      <c r="C47" s="21" t="s">
        <v>157</v>
      </c>
      <c r="D47" s="241">
        <v>87340</v>
      </c>
      <c r="E47" s="242">
        <v>21.03</v>
      </c>
    </row>
    <row r="48" spans="1:6" x14ac:dyDescent="0.3">
      <c r="A48" s="22">
        <v>2024</v>
      </c>
      <c r="B48" s="23" t="s">
        <v>31</v>
      </c>
      <c r="C48" s="24" t="s">
        <v>157</v>
      </c>
      <c r="D48" s="243">
        <v>61935</v>
      </c>
      <c r="E48" s="244">
        <v>20.27</v>
      </c>
    </row>
    <row r="49" spans="1:6" ht="15" customHeight="1" x14ac:dyDescent="0.3">
      <c r="A49" s="545" t="s">
        <v>81</v>
      </c>
      <c r="B49" s="545"/>
      <c r="C49" s="545"/>
      <c r="D49" s="171">
        <f>SUM(D37:D48)</f>
        <v>788534</v>
      </c>
      <c r="E49" s="171">
        <f>SUM(E37:E48)</f>
        <v>262.02</v>
      </c>
    </row>
    <row r="50" spans="1:6" x14ac:dyDescent="0.3">
      <c r="A50" s="255"/>
      <c r="B50" s="255"/>
      <c r="C50" s="255"/>
      <c r="D50" s="255"/>
      <c r="E50" s="255"/>
      <c r="F50" s="255"/>
    </row>
    <row r="51" spans="1:6" s="330" customFormat="1" ht="12" x14ac:dyDescent="0.25">
      <c r="A51" s="6" t="s">
        <v>18</v>
      </c>
      <c r="B51" s="6" t="s">
        <v>19</v>
      </c>
      <c r="C51" s="7" t="s">
        <v>0</v>
      </c>
      <c r="D51" s="392" t="s">
        <v>11</v>
      </c>
      <c r="E51" s="434" t="s">
        <v>156</v>
      </c>
    </row>
    <row r="52" spans="1:6" x14ac:dyDescent="0.3">
      <c r="A52" s="16">
        <v>2023</v>
      </c>
      <c r="B52" s="17" t="s">
        <v>20</v>
      </c>
      <c r="C52" s="18" t="s">
        <v>157</v>
      </c>
      <c r="D52" s="239">
        <v>59570</v>
      </c>
      <c r="E52" s="240">
        <v>23.409999999999997</v>
      </c>
    </row>
    <row r="53" spans="1:6" x14ac:dyDescent="0.3">
      <c r="A53" s="19">
        <v>2023</v>
      </c>
      <c r="B53" s="20" t="s">
        <v>21</v>
      </c>
      <c r="C53" s="21" t="s">
        <v>157</v>
      </c>
      <c r="D53" s="241">
        <v>54076</v>
      </c>
      <c r="E53" s="242">
        <v>21.31</v>
      </c>
    </row>
    <row r="54" spans="1:6" x14ac:dyDescent="0.3">
      <c r="A54" s="19">
        <v>2023</v>
      </c>
      <c r="B54" s="20" t="s">
        <v>22</v>
      </c>
      <c r="C54" s="21" t="s">
        <v>157</v>
      </c>
      <c r="D54" s="241">
        <v>50694</v>
      </c>
      <c r="E54" s="242">
        <v>20.59</v>
      </c>
    </row>
    <row r="55" spans="1:6" x14ac:dyDescent="0.3">
      <c r="A55" s="19">
        <v>2023</v>
      </c>
      <c r="B55" s="20" t="s">
        <v>23</v>
      </c>
      <c r="C55" s="21" t="s">
        <v>157</v>
      </c>
      <c r="D55" s="241">
        <v>66744</v>
      </c>
      <c r="E55" s="242">
        <v>22.96</v>
      </c>
    </row>
    <row r="56" spans="1:6" x14ac:dyDescent="0.3">
      <c r="A56" s="19">
        <v>2023</v>
      </c>
      <c r="B56" s="20" t="s">
        <v>24</v>
      </c>
      <c r="C56" s="21" t="s">
        <v>157</v>
      </c>
      <c r="D56" s="241">
        <v>60575</v>
      </c>
      <c r="E56" s="242">
        <v>20.430000000000003</v>
      </c>
    </row>
    <row r="57" spans="1:6" x14ac:dyDescent="0.3">
      <c r="A57" s="19">
        <v>2023</v>
      </c>
      <c r="B57" s="20" t="s">
        <v>25</v>
      </c>
      <c r="C57" s="21" t="s">
        <v>157</v>
      </c>
      <c r="D57" s="241">
        <v>58322</v>
      </c>
      <c r="E57" s="242">
        <v>23.14</v>
      </c>
    </row>
    <row r="58" spans="1:6" x14ac:dyDescent="0.3">
      <c r="A58" s="19">
        <v>2023</v>
      </c>
      <c r="B58" s="20" t="s">
        <v>26</v>
      </c>
      <c r="C58" s="21" t="s">
        <v>157</v>
      </c>
      <c r="D58" s="241">
        <v>57302</v>
      </c>
      <c r="E58" s="242">
        <v>22.43</v>
      </c>
    </row>
    <row r="59" spans="1:6" x14ac:dyDescent="0.3">
      <c r="A59" s="19">
        <v>2023</v>
      </c>
      <c r="B59" s="20" t="s">
        <v>27</v>
      </c>
      <c r="C59" s="21" t="s">
        <v>157</v>
      </c>
      <c r="D59" s="241">
        <v>51415</v>
      </c>
      <c r="E59" s="242">
        <v>21.07</v>
      </c>
    </row>
    <row r="60" spans="1:6" x14ac:dyDescent="0.3">
      <c r="A60" s="19">
        <v>2023</v>
      </c>
      <c r="B60" s="20" t="s">
        <v>28</v>
      </c>
      <c r="C60" s="21" t="s">
        <v>157</v>
      </c>
      <c r="D60" s="241">
        <v>73479</v>
      </c>
      <c r="E60" s="242">
        <v>23.08</v>
      </c>
    </row>
    <row r="61" spans="1:6" x14ac:dyDescent="0.3">
      <c r="A61" s="19">
        <v>2023</v>
      </c>
      <c r="B61" s="20" t="s">
        <v>29</v>
      </c>
      <c r="C61" s="21" t="s">
        <v>157</v>
      </c>
      <c r="D61" s="241">
        <v>85411</v>
      </c>
      <c r="E61" s="242">
        <v>21.87</v>
      </c>
    </row>
    <row r="62" spans="1:6" x14ac:dyDescent="0.3">
      <c r="A62" s="19">
        <v>2023</v>
      </c>
      <c r="B62" s="20" t="s">
        <v>30</v>
      </c>
      <c r="C62" s="21" t="s">
        <v>157</v>
      </c>
      <c r="D62" s="241">
        <v>94462</v>
      </c>
      <c r="E62" s="242">
        <v>22.06</v>
      </c>
    </row>
    <row r="63" spans="1:6" x14ac:dyDescent="0.3">
      <c r="A63" s="22">
        <v>2023</v>
      </c>
      <c r="B63" s="23" t="s">
        <v>31</v>
      </c>
      <c r="C63" s="24" t="s">
        <v>157</v>
      </c>
      <c r="D63" s="243">
        <v>52548</v>
      </c>
      <c r="E63" s="244">
        <v>21.7</v>
      </c>
    </row>
    <row r="64" spans="1:6" ht="15" customHeight="1" x14ac:dyDescent="0.3">
      <c r="A64" s="545" t="s">
        <v>81</v>
      </c>
      <c r="B64" s="545"/>
      <c r="C64" s="545"/>
      <c r="D64" s="171">
        <f>SUM(D52:D63)</f>
        <v>764598</v>
      </c>
      <c r="E64" s="171">
        <f>SUM(E52:E63)</f>
        <v>264.05</v>
      </c>
    </row>
    <row r="65" spans="1:6" x14ac:dyDescent="0.3">
      <c r="A65" s="255"/>
      <c r="B65" s="255"/>
      <c r="C65" s="255"/>
      <c r="D65" s="255"/>
      <c r="E65" s="255"/>
      <c r="F65" s="255"/>
    </row>
    <row r="66" spans="1:6" s="330" customFormat="1" ht="12" x14ac:dyDescent="0.25">
      <c r="A66" s="6" t="s">
        <v>18</v>
      </c>
      <c r="B66" s="6" t="s">
        <v>19</v>
      </c>
      <c r="C66" s="7" t="s">
        <v>0</v>
      </c>
      <c r="D66" s="392" t="s">
        <v>11</v>
      </c>
      <c r="E66" s="434" t="s">
        <v>156</v>
      </c>
    </row>
    <row r="67" spans="1:6" x14ac:dyDescent="0.3">
      <c r="A67" s="16">
        <v>2022</v>
      </c>
      <c r="B67" s="17" t="s">
        <v>20</v>
      </c>
      <c r="C67" s="18" t="s">
        <v>155</v>
      </c>
      <c r="D67" s="239">
        <v>26669</v>
      </c>
      <c r="E67" s="240">
        <v>28.32</v>
      </c>
    </row>
    <row r="68" spans="1:6" x14ac:dyDescent="0.3">
      <c r="A68" s="19">
        <v>2022</v>
      </c>
      <c r="B68" s="20" t="s">
        <v>21</v>
      </c>
      <c r="C68" s="21" t="s">
        <v>155</v>
      </c>
      <c r="D68" s="241">
        <v>21410</v>
      </c>
      <c r="E68" s="242">
        <v>23.1</v>
      </c>
    </row>
    <row r="69" spans="1:6" x14ac:dyDescent="0.3">
      <c r="A69" s="19">
        <v>2022</v>
      </c>
      <c r="B69" s="20" t="s">
        <v>22</v>
      </c>
      <c r="C69" s="21" t="s">
        <v>155</v>
      </c>
      <c r="D69" s="241">
        <v>26325</v>
      </c>
      <c r="E69" s="242">
        <v>25.41</v>
      </c>
    </row>
    <row r="70" spans="1:6" x14ac:dyDescent="0.3">
      <c r="A70" s="19">
        <v>2022</v>
      </c>
      <c r="B70" s="20" t="s">
        <v>23</v>
      </c>
      <c r="C70" s="21" t="s">
        <v>155</v>
      </c>
      <c r="D70" s="241">
        <v>33424</v>
      </c>
      <c r="E70" s="242">
        <v>21.08</v>
      </c>
    </row>
    <row r="71" spans="1:6" x14ac:dyDescent="0.3">
      <c r="A71" s="19">
        <v>2022</v>
      </c>
      <c r="B71" s="20" t="s">
        <v>24</v>
      </c>
      <c r="C71" s="21" t="s">
        <v>155</v>
      </c>
      <c r="D71" s="241">
        <v>65900</v>
      </c>
      <c r="E71" s="242">
        <v>26.99</v>
      </c>
    </row>
    <row r="72" spans="1:6" x14ac:dyDescent="0.3">
      <c r="A72" s="19">
        <v>2022</v>
      </c>
      <c r="B72" s="20" t="s">
        <v>25</v>
      </c>
      <c r="C72" s="21" t="s">
        <v>155</v>
      </c>
      <c r="D72" s="241">
        <v>54125</v>
      </c>
      <c r="E72" s="242">
        <v>23.35</v>
      </c>
    </row>
    <row r="73" spans="1:6" x14ac:dyDescent="0.3">
      <c r="A73" s="19">
        <v>2022</v>
      </c>
      <c r="B73" s="20" t="s">
        <v>26</v>
      </c>
      <c r="C73" s="21" t="s">
        <v>155</v>
      </c>
      <c r="D73" s="241">
        <v>66895</v>
      </c>
      <c r="E73" s="242">
        <v>28.67</v>
      </c>
    </row>
    <row r="74" spans="1:6" x14ac:dyDescent="0.3">
      <c r="A74" s="19">
        <v>2022</v>
      </c>
      <c r="B74" s="20" t="s">
        <v>27</v>
      </c>
      <c r="C74" s="21" t="s">
        <v>155</v>
      </c>
      <c r="D74" s="241">
        <v>52668</v>
      </c>
      <c r="E74" s="242">
        <v>22.81</v>
      </c>
    </row>
    <row r="75" spans="1:6" x14ac:dyDescent="0.3">
      <c r="A75" s="19">
        <v>2022</v>
      </c>
      <c r="B75" s="20" t="s">
        <v>28</v>
      </c>
      <c r="C75" s="21" t="s">
        <v>155</v>
      </c>
      <c r="D75" s="241">
        <v>67499</v>
      </c>
      <c r="E75" s="242">
        <v>24.62</v>
      </c>
    </row>
    <row r="76" spans="1:6" x14ac:dyDescent="0.3">
      <c r="A76" s="19">
        <v>2022</v>
      </c>
      <c r="B76" s="20" t="s">
        <v>29</v>
      </c>
      <c r="C76" s="21" t="s">
        <v>155</v>
      </c>
      <c r="D76" s="241">
        <v>95068</v>
      </c>
      <c r="E76" s="242">
        <v>22.62</v>
      </c>
    </row>
    <row r="77" spans="1:6" x14ac:dyDescent="0.3">
      <c r="A77" s="19">
        <v>2022</v>
      </c>
      <c r="B77" s="20" t="s">
        <v>30</v>
      </c>
      <c r="C77" s="21" t="s">
        <v>155</v>
      </c>
      <c r="D77" s="241">
        <v>78978</v>
      </c>
      <c r="E77" s="242">
        <v>20.6</v>
      </c>
    </row>
    <row r="78" spans="1:6" x14ac:dyDescent="0.3">
      <c r="A78" s="22">
        <v>2022</v>
      </c>
      <c r="B78" s="23" t="s">
        <v>31</v>
      </c>
      <c r="C78" s="24" t="s">
        <v>155</v>
      </c>
      <c r="D78" s="243">
        <v>52894</v>
      </c>
      <c r="E78" s="244">
        <v>22.779999999999998</v>
      </c>
    </row>
    <row r="79" spans="1:6" ht="15" customHeight="1" x14ac:dyDescent="0.3">
      <c r="A79" s="545" t="s">
        <v>81</v>
      </c>
      <c r="B79" s="545"/>
      <c r="C79" s="545"/>
      <c r="D79" s="171">
        <f>SUM(D67:D78)</f>
        <v>641855</v>
      </c>
      <c r="E79" s="171">
        <f>SUM(E67:E78)</f>
        <v>290.35000000000002</v>
      </c>
    </row>
    <row r="80" spans="1:6" x14ac:dyDescent="0.3">
      <c r="A80" s="255"/>
      <c r="B80" s="255"/>
      <c r="C80" s="255"/>
      <c r="D80" s="255"/>
      <c r="E80" s="255"/>
      <c r="F80" s="255"/>
    </row>
    <row r="81" spans="1:6" s="330" customFormat="1" ht="12" x14ac:dyDescent="0.25">
      <c r="A81" s="6" t="s">
        <v>18</v>
      </c>
      <c r="B81" s="6" t="s">
        <v>19</v>
      </c>
      <c r="C81" s="7" t="s">
        <v>0</v>
      </c>
      <c r="D81" s="392" t="s">
        <v>11</v>
      </c>
      <c r="E81" s="434" t="s">
        <v>156</v>
      </c>
    </row>
    <row r="82" spans="1:6" x14ac:dyDescent="0.3">
      <c r="A82" s="16">
        <v>2021</v>
      </c>
      <c r="B82" s="17" t="s">
        <v>20</v>
      </c>
      <c r="C82" s="18" t="s">
        <v>157</v>
      </c>
      <c r="D82" s="239">
        <v>22363</v>
      </c>
      <c r="E82" s="240">
        <v>27</v>
      </c>
    </row>
    <row r="83" spans="1:6" x14ac:dyDescent="0.3">
      <c r="A83" s="19">
        <v>2021</v>
      </c>
      <c r="B83" s="20" t="s">
        <v>21</v>
      </c>
      <c r="C83" s="21" t="s">
        <v>157</v>
      </c>
      <c r="D83" s="241">
        <v>19158</v>
      </c>
      <c r="E83" s="242">
        <v>23</v>
      </c>
    </row>
    <row r="84" spans="1:6" x14ac:dyDescent="0.3">
      <c r="A84" s="19">
        <v>2021</v>
      </c>
      <c r="B84" s="20" t="s">
        <v>22</v>
      </c>
      <c r="C84" s="21" t="s">
        <v>157</v>
      </c>
      <c r="D84" s="241">
        <v>20573</v>
      </c>
      <c r="E84" s="242">
        <v>24</v>
      </c>
    </row>
    <row r="85" spans="1:6" x14ac:dyDescent="0.3">
      <c r="A85" s="19">
        <v>2021</v>
      </c>
      <c r="B85" s="20" t="s">
        <v>23</v>
      </c>
      <c r="C85" s="21" t="s">
        <v>157</v>
      </c>
      <c r="D85" s="241">
        <v>43313</v>
      </c>
      <c r="E85" s="242">
        <v>27</v>
      </c>
    </row>
    <row r="86" spans="1:6" x14ac:dyDescent="0.3">
      <c r="A86" s="19">
        <v>2021</v>
      </c>
      <c r="B86" s="20" t="s">
        <v>24</v>
      </c>
      <c r="C86" s="21" t="s">
        <v>157</v>
      </c>
      <c r="D86" s="241">
        <v>49049</v>
      </c>
      <c r="E86" s="242">
        <v>24</v>
      </c>
    </row>
    <row r="87" spans="1:6" x14ac:dyDescent="0.3">
      <c r="A87" s="19">
        <v>2021</v>
      </c>
      <c r="B87" s="20" t="s">
        <v>25</v>
      </c>
      <c r="C87" s="21" t="s">
        <v>157</v>
      </c>
      <c r="D87" s="241">
        <v>58689</v>
      </c>
      <c r="E87" s="242">
        <v>25</v>
      </c>
    </row>
    <row r="88" spans="1:6" x14ac:dyDescent="0.3">
      <c r="A88" s="19">
        <v>2021</v>
      </c>
      <c r="B88" s="20" t="s">
        <v>26</v>
      </c>
      <c r="C88" s="21" t="s">
        <v>157</v>
      </c>
      <c r="D88" s="241">
        <v>51923</v>
      </c>
      <c r="E88" s="242">
        <v>26</v>
      </c>
    </row>
    <row r="89" spans="1:6" x14ac:dyDescent="0.3">
      <c r="A89" s="19">
        <v>2021</v>
      </c>
      <c r="B89" s="20" t="s">
        <v>27</v>
      </c>
      <c r="C89" s="21" t="s">
        <v>157</v>
      </c>
      <c r="D89" s="241">
        <v>52418</v>
      </c>
      <c r="E89" s="242">
        <v>23</v>
      </c>
    </row>
    <row r="90" spans="1:6" x14ac:dyDescent="0.3">
      <c r="A90" s="19">
        <v>2021</v>
      </c>
      <c r="B90" s="20" t="s">
        <v>28</v>
      </c>
      <c r="C90" s="21" t="s">
        <v>157</v>
      </c>
      <c r="D90" s="241">
        <v>74876</v>
      </c>
      <c r="E90" s="242">
        <v>23.76</v>
      </c>
    </row>
    <row r="91" spans="1:6" x14ac:dyDescent="0.3">
      <c r="A91" s="19">
        <v>2021</v>
      </c>
      <c r="B91" s="20" t="s">
        <v>29</v>
      </c>
      <c r="C91" s="21" t="s">
        <v>157</v>
      </c>
      <c r="D91" s="241">
        <v>77417</v>
      </c>
      <c r="E91" s="242">
        <v>22.06</v>
      </c>
    </row>
    <row r="92" spans="1:6" x14ac:dyDescent="0.3">
      <c r="A92" s="19">
        <v>2021</v>
      </c>
      <c r="B92" s="20" t="s">
        <v>30</v>
      </c>
      <c r="C92" s="21" t="s">
        <v>157</v>
      </c>
      <c r="D92" s="241">
        <v>66100</v>
      </c>
      <c r="E92" s="242">
        <v>27.18</v>
      </c>
    </row>
    <row r="93" spans="1:6" x14ac:dyDescent="0.3">
      <c r="A93" s="22">
        <v>2021</v>
      </c>
      <c r="B93" s="23" t="s">
        <v>31</v>
      </c>
      <c r="C93" s="24" t="s">
        <v>157</v>
      </c>
      <c r="D93" s="243">
        <v>45648</v>
      </c>
      <c r="E93" s="244">
        <v>23.83</v>
      </c>
    </row>
    <row r="94" spans="1:6" ht="15" customHeight="1" x14ac:dyDescent="0.3">
      <c r="A94" s="545" t="s">
        <v>81</v>
      </c>
      <c r="B94" s="545"/>
      <c r="C94" s="545"/>
      <c r="D94" s="171">
        <f>SUM(D82:D93)</f>
        <v>581527</v>
      </c>
      <c r="E94" s="171">
        <f>SUM(E82:E93)</f>
        <v>295.83</v>
      </c>
    </row>
    <row r="95" spans="1:6" x14ac:dyDescent="0.3">
      <c r="A95" s="255"/>
      <c r="B95" s="255"/>
      <c r="C95" s="255"/>
      <c r="D95" s="255"/>
      <c r="E95" s="255"/>
      <c r="F95" s="255"/>
    </row>
    <row r="96" spans="1:6" s="330" customFormat="1" ht="12" x14ac:dyDescent="0.25">
      <c r="A96" s="6" t="s">
        <v>18</v>
      </c>
      <c r="B96" s="6" t="s">
        <v>19</v>
      </c>
      <c r="C96" s="7" t="s">
        <v>0</v>
      </c>
      <c r="D96" s="392" t="s">
        <v>11</v>
      </c>
      <c r="E96" s="434" t="s">
        <v>156</v>
      </c>
    </row>
    <row r="97" spans="1:6" x14ac:dyDescent="0.3">
      <c r="A97" s="16">
        <v>2020</v>
      </c>
      <c r="B97" s="17" t="s">
        <v>20</v>
      </c>
      <c r="C97" s="18" t="s">
        <v>157</v>
      </c>
      <c r="D97" s="239">
        <v>24315</v>
      </c>
      <c r="E97" s="240">
        <v>26</v>
      </c>
    </row>
    <row r="98" spans="1:6" x14ac:dyDescent="0.3">
      <c r="A98" s="19">
        <v>2020</v>
      </c>
      <c r="B98" s="20" t="s">
        <v>21</v>
      </c>
      <c r="C98" s="21" t="s">
        <v>157</v>
      </c>
      <c r="D98" s="241">
        <v>18827</v>
      </c>
      <c r="E98" s="242">
        <v>25</v>
      </c>
    </row>
    <row r="99" spans="1:6" x14ac:dyDescent="0.3">
      <c r="A99" s="19">
        <v>2020</v>
      </c>
      <c r="B99" s="20" t="s">
        <v>22</v>
      </c>
      <c r="C99" s="21" t="s">
        <v>157</v>
      </c>
      <c r="D99" s="241">
        <v>21651</v>
      </c>
      <c r="E99" s="242">
        <v>24</v>
      </c>
    </row>
    <row r="100" spans="1:6" x14ac:dyDescent="0.3">
      <c r="A100" s="19">
        <v>2020</v>
      </c>
      <c r="B100" s="20" t="s">
        <v>23</v>
      </c>
      <c r="C100" s="21" t="s">
        <v>157</v>
      </c>
      <c r="D100" s="241">
        <v>20596</v>
      </c>
      <c r="E100" s="242">
        <v>26</v>
      </c>
    </row>
    <row r="101" spans="1:6" x14ac:dyDescent="0.3">
      <c r="A101" s="19">
        <v>2020</v>
      </c>
      <c r="B101" s="20" t="s">
        <v>24</v>
      </c>
      <c r="C101" s="21" t="s">
        <v>157</v>
      </c>
      <c r="D101" s="241">
        <v>18562</v>
      </c>
      <c r="E101" s="242">
        <v>25</v>
      </c>
    </row>
    <row r="102" spans="1:6" x14ac:dyDescent="0.3">
      <c r="A102" s="19">
        <v>2020</v>
      </c>
      <c r="B102" s="20" t="s">
        <v>25</v>
      </c>
      <c r="C102" s="21" t="s">
        <v>157</v>
      </c>
      <c r="D102" s="241">
        <v>13360</v>
      </c>
      <c r="E102" s="242">
        <v>24</v>
      </c>
    </row>
    <row r="103" spans="1:6" x14ac:dyDescent="0.3">
      <c r="A103" s="19">
        <v>2020</v>
      </c>
      <c r="B103" s="20" t="s">
        <v>26</v>
      </c>
      <c r="C103" s="21" t="s">
        <v>157</v>
      </c>
      <c r="D103" s="241">
        <v>19379</v>
      </c>
      <c r="E103" s="242">
        <v>26</v>
      </c>
    </row>
    <row r="104" spans="1:6" x14ac:dyDescent="0.3">
      <c r="A104" s="19">
        <v>2020</v>
      </c>
      <c r="B104" s="20" t="s">
        <v>27</v>
      </c>
      <c r="C104" s="21" t="s">
        <v>157</v>
      </c>
      <c r="D104" s="241">
        <v>30867</v>
      </c>
      <c r="E104" s="242">
        <v>26</v>
      </c>
    </row>
    <row r="105" spans="1:6" x14ac:dyDescent="0.3">
      <c r="A105" s="19">
        <v>2020</v>
      </c>
      <c r="B105" s="20" t="s">
        <v>28</v>
      </c>
      <c r="C105" s="21" t="s">
        <v>157</v>
      </c>
      <c r="D105" s="241">
        <v>31729</v>
      </c>
      <c r="E105" s="242">
        <v>26</v>
      </c>
    </row>
    <row r="106" spans="1:6" x14ac:dyDescent="0.3">
      <c r="A106" s="19">
        <v>2020</v>
      </c>
      <c r="B106" s="20" t="s">
        <v>29</v>
      </c>
      <c r="C106" s="21" t="s">
        <v>157</v>
      </c>
      <c r="D106" s="241">
        <v>33061</v>
      </c>
      <c r="E106" s="242">
        <v>24</v>
      </c>
    </row>
    <row r="107" spans="1:6" x14ac:dyDescent="0.3">
      <c r="A107" s="19">
        <v>2020</v>
      </c>
      <c r="B107" s="20" t="s">
        <v>30</v>
      </c>
      <c r="C107" s="21" t="s">
        <v>157</v>
      </c>
      <c r="D107" s="241">
        <v>42759</v>
      </c>
      <c r="E107" s="242">
        <v>24</v>
      </c>
    </row>
    <row r="108" spans="1:6" x14ac:dyDescent="0.3">
      <c r="A108" s="22">
        <v>2020</v>
      </c>
      <c r="B108" s="23" t="s">
        <v>31</v>
      </c>
      <c r="C108" s="24" t="s">
        <v>157</v>
      </c>
      <c r="D108" s="243">
        <v>31690</v>
      </c>
      <c r="E108" s="244">
        <v>26</v>
      </c>
    </row>
    <row r="109" spans="1:6" ht="15" customHeight="1" x14ac:dyDescent="0.3">
      <c r="A109" s="545" t="s">
        <v>81</v>
      </c>
      <c r="B109" s="545"/>
      <c r="C109" s="545"/>
      <c r="D109" s="171">
        <f>SUM(D97:D108)</f>
        <v>306796</v>
      </c>
      <c r="E109" s="171">
        <f>SUM(E97:E108)</f>
        <v>302</v>
      </c>
    </row>
    <row r="110" spans="1:6" x14ac:dyDescent="0.3">
      <c r="A110" s="255"/>
      <c r="B110" s="255"/>
      <c r="C110" s="255"/>
      <c r="D110" s="255"/>
      <c r="E110" s="255"/>
      <c r="F110" s="255"/>
    </row>
    <row r="111" spans="1:6" x14ac:dyDescent="0.3">
      <c r="A111" s="475"/>
      <c r="B111" s="255"/>
      <c r="C111" s="255"/>
      <c r="D111" s="255"/>
      <c r="E111" s="255"/>
      <c r="F111" s="255"/>
    </row>
  </sheetData>
  <mergeCells count="11">
    <mergeCell ref="A109:C109"/>
    <mergeCell ref="A1:G1"/>
    <mergeCell ref="A2:G2"/>
    <mergeCell ref="A3:G3"/>
    <mergeCell ref="A4:G4"/>
    <mergeCell ref="A19:C19"/>
    <mergeCell ref="A34:C34"/>
    <mergeCell ref="A49:C49"/>
    <mergeCell ref="A64:C64"/>
    <mergeCell ref="A79:C79"/>
    <mergeCell ref="A94:C94"/>
  </mergeCells>
  <printOptions horizontalCentered="1"/>
  <pageMargins left="0.25" right="0.25" top="0.5" bottom="0.75" header="0.3" footer="0.3"/>
  <pageSetup scale="72" orientation="portrait" r:id="rId1"/>
  <rowBreaks count="1" manualBreakCount="1">
    <brk id="50" max="6"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BDF5-714C-4A74-A3E9-EC76EF95CA8C}">
  <dimension ref="A1:G111"/>
  <sheetViews>
    <sheetView zoomScaleNormal="100" workbookViewId="0">
      <selection sqref="A1:G1"/>
    </sheetView>
  </sheetViews>
  <sheetFormatPr defaultColWidth="9.109375" defaultRowHeight="14.4" x14ac:dyDescent="0.3"/>
  <cols>
    <col min="1" max="1" width="9.109375" style="3" customWidth="1"/>
    <col min="2" max="2" width="6.5546875" style="3" customWidth="1"/>
    <col min="3" max="3" width="15.44140625" style="3" customWidth="1"/>
    <col min="4" max="4" width="12.109375" style="343" customWidth="1"/>
    <col min="5" max="5" width="10.109375" style="343" customWidth="1"/>
    <col min="6" max="16384" width="9.109375" style="343"/>
  </cols>
  <sheetData>
    <row r="1" spans="1:7" ht="18" x14ac:dyDescent="0.35">
      <c r="A1" s="542" t="s">
        <v>122</v>
      </c>
      <c r="B1" s="542"/>
      <c r="C1" s="542"/>
      <c r="D1" s="542"/>
      <c r="E1" s="542"/>
      <c r="F1" s="542"/>
      <c r="G1" s="542"/>
    </row>
    <row r="2" spans="1:7" ht="18" x14ac:dyDescent="0.35">
      <c r="A2" s="542" t="s">
        <v>163</v>
      </c>
      <c r="B2" s="542"/>
      <c r="C2" s="542"/>
      <c r="D2" s="542"/>
      <c r="E2" s="542"/>
      <c r="F2" s="542"/>
      <c r="G2" s="542"/>
    </row>
    <row r="3" spans="1:7" ht="18" x14ac:dyDescent="0.35">
      <c r="A3" s="542" t="s">
        <v>166</v>
      </c>
      <c r="B3" s="542"/>
      <c r="C3" s="542"/>
      <c r="D3" s="542"/>
      <c r="E3" s="542"/>
      <c r="F3" s="542"/>
      <c r="G3" s="542"/>
    </row>
    <row r="4" spans="1:7" ht="18" x14ac:dyDescent="0.35">
      <c r="A4" s="542" t="s">
        <v>123</v>
      </c>
      <c r="B4" s="542"/>
      <c r="C4" s="542"/>
      <c r="D4" s="542"/>
      <c r="E4" s="542"/>
      <c r="F4" s="542"/>
      <c r="G4" s="542"/>
    </row>
    <row r="6" spans="1:7" s="330" customFormat="1" ht="12" x14ac:dyDescent="0.25">
      <c r="A6" s="6" t="s">
        <v>18</v>
      </c>
      <c r="B6" s="6" t="s">
        <v>19</v>
      </c>
      <c r="C6" s="7" t="s">
        <v>0</v>
      </c>
      <c r="D6" s="392" t="s">
        <v>11</v>
      </c>
      <c r="E6" s="434" t="s">
        <v>156</v>
      </c>
    </row>
    <row r="7" spans="1:7" x14ac:dyDescent="0.3">
      <c r="A7" s="16">
        <v>2027</v>
      </c>
      <c r="B7" s="17" t="s">
        <v>20</v>
      </c>
      <c r="C7" s="18" t="s">
        <v>155</v>
      </c>
      <c r="D7" s="408">
        <v>113279</v>
      </c>
      <c r="E7" s="208">
        <v>56</v>
      </c>
    </row>
    <row r="8" spans="1:7" x14ac:dyDescent="0.3">
      <c r="A8" s="19">
        <v>2027</v>
      </c>
      <c r="B8" s="20" t="s">
        <v>21</v>
      </c>
      <c r="C8" s="21" t="s">
        <v>155</v>
      </c>
      <c r="D8" s="408">
        <v>102382</v>
      </c>
      <c r="E8" s="210">
        <v>49</v>
      </c>
    </row>
    <row r="9" spans="1:7" x14ac:dyDescent="0.3">
      <c r="A9" s="19">
        <v>2027</v>
      </c>
      <c r="B9" s="20" t="s">
        <v>22</v>
      </c>
      <c r="C9" s="21" t="s">
        <v>155</v>
      </c>
      <c r="D9" s="408">
        <v>106475</v>
      </c>
      <c r="E9" s="210">
        <v>53</v>
      </c>
    </row>
    <row r="10" spans="1:7" x14ac:dyDescent="0.3">
      <c r="A10" s="19">
        <v>2027</v>
      </c>
      <c r="B10" s="20" t="s">
        <v>23</v>
      </c>
      <c r="C10" s="21" t="s">
        <v>155</v>
      </c>
      <c r="D10" s="408">
        <v>98797</v>
      </c>
      <c r="E10" s="210">
        <v>49</v>
      </c>
    </row>
    <row r="11" spans="1:7" x14ac:dyDescent="0.3">
      <c r="A11" s="19">
        <v>2027</v>
      </c>
      <c r="B11" s="20" t="s">
        <v>24</v>
      </c>
      <c r="C11" s="21" t="s">
        <v>155</v>
      </c>
      <c r="D11" s="408">
        <v>95867</v>
      </c>
      <c r="E11" s="210">
        <v>48</v>
      </c>
    </row>
    <row r="12" spans="1:7" x14ac:dyDescent="0.3">
      <c r="A12" s="19">
        <v>2027</v>
      </c>
      <c r="B12" s="20" t="s">
        <v>25</v>
      </c>
      <c r="C12" s="21" t="s">
        <v>155</v>
      </c>
      <c r="D12" s="408">
        <v>112531</v>
      </c>
      <c r="E12" s="210">
        <v>54</v>
      </c>
    </row>
    <row r="13" spans="1:7" x14ac:dyDescent="0.3">
      <c r="A13" s="19">
        <v>2027</v>
      </c>
      <c r="B13" s="20" t="s">
        <v>26</v>
      </c>
      <c r="C13" s="21" t="s">
        <v>155</v>
      </c>
      <c r="D13" s="408">
        <v>112674</v>
      </c>
      <c r="E13" s="210">
        <v>55</v>
      </c>
    </row>
    <row r="14" spans="1:7" x14ac:dyDescent="0.3">
      <c r="A14" s="19">
        <v>2027</v>
      </c>
      <c r="B14" s="20" t="s">
        <v>27</v>
      </c>
      <c r="C14" s="21" t="s">
        <v>155</v>
      </c>
      <c r="D14" s="408">
        <v>297607</v>
      </c>
      <c r="E14" s="210">
        <v>48</v>
      </c>
    </row>
    <row r="15" spans="1:7" x14ac:dyDescent="0.3">
      <c r="A15" s="19">
        <v>2027</v>
      </c>
      <c r="B15" s="20" t="s">
        <v>28</v>
      </c>
      <c r="C15" s="21" t="s">
        <v>155</v>
      </c>
      <c r="D15" s="408">
        <v>107969</v>
      </c>
      <c r="E15" s="210">
        <v>55</v>
      </c>
    </row>
    <row r="16" spans="1:7" x14ac:dyDescent="0.3">
      <c r="A16" s="19">
        <v>2027</v>
      </c>
      <c r="B16" s="20" t="s">
        <v>29</v>
      </c>
      <c r="C16" s="21" t="s">
        <v>155</v>
      </c>
      <c r="D16" s="408">
        <v>99720</v>
      </c>
      <c r="E16" s="210">
        <v>49</v>
      </c>
    </row>
    <row r="17" spans="1:6" x14ac:dyDescent="0.3">
      <c r="A17" s="19">
        <v>2027</v>
      </c>
      <c r="B17" s="20" t="s">
        <v>30</v>
      </c>
      <c r="C17" s="21" t="s">
        <v>155</v>
      </c>
      <c r="D17" s="408">
        <v>105310</v>
      </c>
      <c r="E17" s="210">
        <v>52</v>
      </c>
    </row>
    <row r="18" spans="1:6" x14ac:dyDescent="0.3">
      <c r="A18" s="22">
        <v>2027</v>
      </c>
      <c r="B18" s="23" t="s">
        <v>31</v>
      </c>
      <c r="C18" s="24" t="s">
        <v>155</v>
      </c>
      <c r="D18" s="424">
        <v>101719</v>
      </c>
      <c r="E18" s="212">
        <v>50</v>
      </c>
    </row>
    <row r="19" spans="1:6" x14ac:dyDescent="0.3">
      <c r="A19" s="550"/>
      <c r="B19" s="550"/>
      <c r="C19" s="550"/>
      <c r="D19" s="171">
        <f>SUM(D7:D18)</f>
        <v>1454330</v>
      </c>
      <c r="E19" s="171">
        <f>SUM(E7:E18)</f>
        <v>618</v>
      </c>
    </row>
    <row r="20" spans="1:6" x14ac:dyDescent="0.3">
      <c r="A20" s="255"/>
      <c r="B20" s="255"/>
      <c r="C20" s="255"/>
      <c r="D20" s="255"/>
      <c r="E20" s="255"/>
      <c r="F20" s="255"/>
    </row>
    <row r="21" spans="1:6" s="330" customFormat="1" ht="12" x14ac:dyDescent="0.25">
      <c r="A21" s="6" t="s">
        <v>18</v>
      </c>
      <c r="B21" s="6" t="s">
        <v>19</v>
      </c>
      <c r="C21" s="7" t="s">
        <v>0</v>
      </c>
      <c r="D21" s="392" t="s">
        <v>11</v>
      </c>
      <c r="E21" s="434" t="s">
        <v>156</v>
      </c>
    </row>
    <row r="22" spans="1:6" x14ac:dyDescent="0.3">
      <c r="A22" s="16">
        <v>2026</v>
      </c>
      <c r="B22" s="17" t="s">
        <v>20</v>
      </c>
      <c r="C22" s="18" t="s">
        <v>155</v>
      </c>
      <c r="D22" s="408">
        <v>113279</v>
      </c>
      <c r="E22" s="208">
        <v>56</v>
      </c>
    </row>
    <row r="23" spans="1:6" x14ac:dyDescent="0.3">
      <c r="A23" s="19">
        <v>2026</v>
      </c>
      <c r="B23" s="20" t="s">
        <v>21</v>
      </c>
      <c r="C23" s="21" t="s">
        <v>155</v>
      </c>
      <c r="D23" s="408">
        <v>102382</v>
      </c>
      <c r="E23" s="210">
        <v>49</v>
      </c>
    </row>
    <row r="24" spans="1:6" x14ac:dyDescent="0.3">
      <c r="A24" s="19">
        <v>2026</v>
      </c>
      <c r="B24" s="20" t="s">
        <v>22</v>
      </c>
      <c r="C24" s="21" t="s">
        <v>155</v>
      </c>
      <c r="D24" s="408">
        <v>106475</v>
      </c>
      <c r="E24" s="210">
        <v>53</v>
      </c>
    </row>
    <row r="25" spans="1:6" x14ac:dyDescent="0.3">
      <c r="A25" s="19">
        <v>2026</v>
      </c>
      <c r="B25" s="20" t="s">
        <v>23</v>
      </c>
      <c r="C25" s="21" t="s">
        <v>155</v>
      </c>
      <c r="D25" s="408">
        <v>98797</v>
      </c>
      <c r="E25" s="210">
        <v>49</v>
      </c>
    </row>
    <row r="26" spans="1:6" x14ac:dyDescent="0.3">
      <c r="A26" s="19">
        <v>2026</v>
      </c>
      <c r="B26" s="20" t="s">
        <v>24</v>
      </c>
      <c r="C26" s="21" t="s">
        <v>155</v>
      </c>
      <c r="D26" s="408">
        <v>95867</v>
      </c>
      <c r="E26" s="210">
        <v>48</v>
      </c>
    </row>
    <row r="27" spans="1:6" x14ac:dyDescent="0.3">
      <c r="A27" s="19">
        <v>2026</v>
      </c>
      <c r="B27" s="20" t="s">
        <v>25</v>
      </c>
      <c r="C27" s="21" t="s">
        <v>155</v>
      </c>
      <c r="D27" s="408">
        <v>112531</v>
      </c>
      <c r="E27" s="210">
        <v>54</v>
      </c>
    </row>
    <row r="28" spans="1:6" x14ac:dyDescent="0.3">
      <c r="A28" s="19">
        <v>2026</v>
      </c>
      <c r="B28" s="20" t="s">
        <v>26</v>
      </c>
      <c r="C28" s="21" t="s">
        <v>155</v>
      </c>
      <c r="D28" s="408">
        <v>112674</v>
      </c>
      <c r="E28" s="210">
        <v>55</v>
      </c>
    </row>
    <row r="29" spans="1:6" x14ac:dyDescent="0.3">
      <c r="A29" s="19">
        <v>2026</v>
      </c>
      <c r="B29" s="20" t="s">
        <v>27</v>
      </c>
      <c r="C29" s="21" t="s">
        <v>155</v>
      </c>
      <c r="D29" s="408">
        <v>297607</v>
      </c>
      <c r="E29" s="210">
        <v>48</v>
      </c>
    </row>
    <row r="30" spans="1:6" x14ac:dyDescent="0.3">
      <c r="A30" s="19">
        <v>2026</v>
      </c>
      <c r="B30" s="20" t="s">
        <v>28</v>
      </c>
      <c r="C30" s="21" t="s">
        <v>155</v>
      </c>
      <c r="D30" s="408">
        <v>107969</v>
      </c>
      <c r="E30" s="210">
        <v>55</v>
      </c>
    </row>
    <row r="31" spans="1:6" x14ac:dyDescent="0.3">
      <c r="A31" s="19">
        <v>2026</v>
      </c>
      <c r="B31" s="20" t="s">
        <v>29</v>
      </c>
      <c r="C31" s="21" t="s">
        <v>155</v>
      </c>
      <c r="D31" s="408">
        <v>99720</v>
      </c>
      <c r="E31" s="210">
        <v>49</v>
      </c>
    </row>
    <row r="32" spans="1:6" x14ac:dyDescent="0.3">
      <c r="A32" s="19">
        <v>2026</v>
      </c>
      <c r="B32" s="20" t="s">
        <v>30</v>
      </c>
      <c r="C32" s="21" t="s">
        <v>155</v>
      </c>
      <c r="D32" s="408">
        <v>105310</v>
      </c>
      <c r="E32" s="210">
        <v>52</v>
      </c>
    </row>
    <row r="33" spans="1:6" x14ac:dyDescent="0.3">
      <c r="A33" s="22">
        <v>2026</v>
      </c>
      <c r="B33" s="23" t="s">
        <v>31</v>
      </c>
      <c r="C33" s="24" t="s">
        <v>155</v>
      </c>
      <c r="D33" s="424">
        <v>101719</v>
      </c>
      <c r="E33" s="212">
        <v>50</v>
      </c>
    </row>
    <row r="34" spans="1:6" x14ac:dyDescent="0.3">
      <c r="A34" s="550"/>
      <c r="B34" s="550"/>
      <c r="C34" s="550"/>
      <c r="D34" s="331">
        <f>SUM(D22:D33)</f>
        <v>1454330</v>
      </c>
      <c r="E34" s="171">
        <f>SUM(E22:E33)</f>
        <v>618</v>
      </c>
    </row>
    <row r="35" spans="1:6" x14ac:dyDescent="0.3">
      <c r="A35" s="255"/>
      <c r="B35" s="255"/>
      <c r="C35" s="255"/>
      <c r="D35" s="255"/>
      <c r="E35" s="255"/>
      <c r="F35" s="255"/>
    </row>
    <row r="36" spans="1:6" s="330" customFormat="1" ht="12" x14ac:dyDescent="0.25">
      <c r="A36" s="6" t="s">
        <v>18</v>
      </c>
      <c r="B36" s="6" t="s">
        <v>19</v>
      </c>
      <c r="C36" s="7" t="s">
        <v>0</v>
      </c>
      <c r="D36" s="392" t="s">
        <v>11</v>
      </c>
      <c r="E36" s="434" t="s">
        <v>156</v>
      </c>
    </row>
    <row r="37" spans="1:6" x14ac:dyDescent="0.3">
      <c r="A37" s="16">
        <v>2024</v>
      </c>
      <c r="B37" s="17" t="s">
        <v>20</v>
      </c>
      <c r="C37" s="18" t="s">
        <v>155</v>
      </c>
      <c r="D37" s="239">
        <v>108741</v>
      </c>
      <c r="E37" s="240">
        <v>46.08</v>
      </c>
    </row>
    <row r="38" spans="1:6" x14ac:dyDescent="0.3">
      <c r="A38" s="19">
        <v>2024</v>
      </c>
      <c r="B38" s="20" t="s">
        <v>21</v>
      </c>
      <c r="C38" s="21" t="s">
        <v>155</v>
      </c>
      <c r="D38" s="241">
        <v>140547</v>
      </c>
      <c r="E38" s="242">
        <v>60.58</v>
      </c>
    </row>
    <row r="39" spans="1:6" x14ac:dyDescent="0.3">
      <c r="A39" s="19">
        <v>2024</v>
      </c>
      <c r="B39" s="20" t="s">
        <v>22</v>
      </c>
      <c r="C39" s="21" t="s">
        <v>155</v>
      </c>
      <c r="D39" s="241">
        <v>115201</v>
      </c>
      <c r="E39" s="242">
        <v>48.19</v>
      </c>
    </row>
    <row r="40" spans="1:6" x14ac:dyDescent="0.3">
      <c r="A40" s="19">
        <v>2024</v>
      </c>
      <c r="B40" s="20" t="s">
        <v>23</v>
      </c>
      <c r="C40" s="21" t="s">
        <v>155</v>
      </c>
      <c r="D40" s="241">
        <v>127867</v>
      </c>
      <c r="E40" s="242">
        <v>51.05</v>
      </c>
    </row>
    <row r="41" spans="1:6" x14ac:dyDescent="0.3">
      <c r="A41" s="19">
        <v>2024</v>
      </c>
      <c r="B41" s="20" t="s">
        <v>24</v>
      </c>
      <c r="C41" s="21" t="s">
        <v>155</v>
      </c>
      <c r="D41" s="241">
        <v>122541</v>
      </c>
      <c r="E41" s="242">
        <v>51.4</v>
      </c>
    </row>
    <row r="42" spans="1:6" x14ac:dyDescent="0.3">
      <c r="A42" s="19">
        <v>2024</v>
      </c>
      <c r="B42" s="20" t="s">
        <v>25</v>
      </c>
      <c r="C42" s="21" t="s">
        <v>155</v>
      </c>
      <c r="D42" s="241">
        <v>125165</v>
      </c>
      <c r="E42" s="242">
        <v>55.34</v>
      </c>
    </row>
    <row r="43" spans="1:6" x14ac:dyDescent="0.3">
      <c r="A43" s="19">
        <v>2024</v>
      </c>
      <c r="B43" s="20" t="s">
        <v>26</v>
      </c>
      <c r="C43" s="21" t="s">
        <v>155</v>
      </c>
      <c r="D43" s="241">
        <v>125305</v>
      </c>
      <c r="E43" s="242">
        <v>49.09</v>
      </c>
    </row>
    <row r="44" spans="1:6" x14ac:dyDescent="0.3">
      <c r="A44" s="19">
        <v>2024</v>
      </c>
      <c r="B44" s="20" t="s">
        <v>27</v>
      </c>
      <c r="C44" s="21" t="s">
        <v>155</v>
      </c>
      <c r="D44" s="241">
        <v>122574</v>
      </c>
      <c r="E44" s="242">
        <v>51.33</v>
      </c>
    </row>
    <row r="45" spans="1:6" x14ac:dyDescent="0.3">
      <c r="A45" s="19">
        <v>2024</v>
      </c>
      <c r="B45" s="20" t="s">
        <v>28</v>
      </c>
      <c r="C45" s="21" t="s">
        <v>155</v>
      </c>
      <c r="D45" s="241">
        <v>125905</v>
      </c>
      <c r="E45" s="242">
        <v>54.11</v>
      </c>
    </row>
    <row r="46" spans="1:6" x14ac:dyDescent="0.3">
      <c r="A46" s="19">
        <v>2024</v>
      </c>
      <c r="B46" s="20" t="s">
        <v>29</v>
      </c>
      <c r="C46" s="21" t="s">
        <v>155</v>
      </c>
      <c r="D46" s="241">
        <v>85614</v>
      </c>
      <c r="E46" s="242">
        <v>48.06</v>
      </c>
    </row>
    <row r="47" spans="1:6" x14ac:dyDescent="0.3">
      <c r="A47" s="19">
        <v>2024</v>
      </c>
      <c r="B47" s="20" t="s">
        <v>30</v>
      </c>
      <c r="C47" s="21" t="s">
        <v>155</v>
      </c>
      <c r="D47" s="241">
        <v>85135</v>
      </c>
      <c r="E47" s="242">
        <v>51.47</v>
      </c>
    </row>
    <row r="48" spans="1:6" x14ac:dyDescent="0.3">
      <c r="A48" s="22">
        <v>2024</v>
      </c>
      <c r="B48" s="23" t="s">
        <v>31</v>
      </c>
      <c r="C48" s="24" t="s">
        <v>155</v>
      </c>
      <c r="D48" s="243">
        <v>93536</v>
      </c>
      <c r="E48" s="244">
        <v>53.65</v>
      </c>
    </row>
    <row r="49" spans="1:6" ht="15" customHeight="1" x14ac:dyDescent="0.3">
      <c r="A49" s="545" t="s">
        <v>81</v>
      </c>
      <c r="B49" s="545"/>
      <c r="C49" s="545"/>
      <c r="D49" s="171">
        <f>SUM(D37:D48)</f>
        <v>1378131</v>
      </c>
      <c r="E49" s="171">
        <f>SUM(E37:E48)</f>
        <v>620.35</v>
      </c>
    </row>
    <row r="50" spans="1:6" x14ac:dyDescent="0.3">
      <c r="A50" s="255"/>
      <c r="B50" s="255"/>
      <c r="C50" s="255"/>
      <c r="D50" s="255"/>
      <c r="E50" s="255"/>
      <c r="F50" s="255"/>
    </row>
    <row r="51" spans="1:6" s="330" customFormat="1" ht="12" x14ac:dyDescent="0.25">
      <c r="A51" s="6" t="s">
        <v>18</v>
      </c>
      <c r="B51" s="6" t="s">
        <v>19</v>
      </c>
      <c r="C51" s="7" t="s">
        <v>0</v>
      </c>
      <c r="D51" s="392" t="s">
        <v>11</v>
      </c>
      <c r="E51" s="434" t="s">
        <v>156</v>
      </c>
    </row>
    <row r="52" spans="1:6" x14ac:dyDescent="0.3">
      <c r="A52" s="16">
        <v>2023</v>
      </c>
      <c r="B52" s="17" t="s">
        <v>20</v>
      </c>
      <c r="C52" s="18" t="s">
        <v>155</v>
      </c>
      <c r="D52" s="239">
        <v>130141</v>
      </c>
      <c r="E52" s="240">
        <v>56.37</v>
      </c>
    </row>
    <row r="53" spans="1:6" x14ac:dyDescent="0.3">
      <c r="A53" s="19">
        <v>2023</v>
      </c>
      <c r="B53" s="20" t="s">
        <v>21</v>
      </c>
      <c r="C53" s="21" t="s">
        <v>155</v>
      </c>
      <c r="D53" s="241">
        <v>114437</v>
      </c>
      <c r="E53" s="242">
        <v>49.13</v>
      </c>
    </row>
    <row r="54" spans="1:6" x14ac:dyDescent="0.3">
      <c r="A54" s="19">
        <v>2023</v>
      </c>
      <c r="B54" s="20" t="s">
        <v>22</v>
      </c>
      <c r="C54" s="21" t="s">
        <v>155</v>
      </c>
      <c r="D54" s="241">
        <v>117225</v>
      </c>
      <c r="E54" s="242">
        <v>53.16</v>
      </c>
    </row>
    <row r="55" spans="1:6" x14ac:dyDescent="0.3">
      <c r="A55" s="19">
        <v>2023</v>
      </c>
      <c r="B55" s="20" t="s">
        <v>23</v>
      </c>
      <c r="C55" s="21" t="s">
        <v>155</v>
      </c>
      <c r="D55" s="241">
        <v>121466</v>
      </c>
      <c r="E55" s="242">
        <v>49.84</v>
      </c>
    </row>
    <row r="56" spans="1:6" x14ac:dyDescent="0.3">
      <c r="A56" s="19">
        <v>2023</v>
      </c>
      <c r="B56" s="20" t="s">
        <v>24</v>
      </c>
      <c r="C56" s="21" t="s">
        <v>155</v>
      </c>
      <c r="D56" s="241">
        <v>119908</v>
      </c>
      <c r="E56" s="242">
        <v>48.7</v>
      </c>
    </row>
    <row r="57" spans="1:6" x14ac:dyDescent="0.3">
      <c r="A57" s="19">
        <v>2023</v>
      </c>
      <c r="B57" s="20" t="s">
        <v>25</v>
      </c>
      <c r="C57" s="21" t="s">
        <v>155</v>
      </c>
      <c r="D57" s="241">
        <v>124867</v>
      </c>
      <c r="E57" s="242">
        <v>53.99</v>
      </c>
    </row>
    <row r="58" spans="1:6" x14ac:dyDescent="0.3">
      <c r="A58" s="19">
        <v>2023</v>
      </c>
      <c r="B58" s="20" t="s">
        <v>26</v>
      </c>
      <c r="C58" s="21" t="s">
        <v>155</v>
      </c>
      <c r="D58" s="241">
        <v>128076</v>
      </c>
      <c r="E58" s="242">
        <v>55.19</v>
      </c>
    </row>
    <row r="59" spans="1:6" x14ac:dyDescent="0.3">
      <c r="A59" s="19">
        <v>2023</v>
      </c>
      <c r="B59" s="20" t="s">
        <v>27</v>
      </c>
      <c r="C59" s="21" t="s">
        <v>155</v>
      </c>
      <c r="D59" s="241">
        <v>119132</v>
      </c>
      <c r="E59" s="242">
        <v>48.7</v>
      </c>
    </row>
    <row r="60" spans="1:6" x14ac:dyDescent="0.3">
      <c r="A60" s="19">
        <v>2023</v>
      </c>
      <c r="B60" s="20" t="s">
        <v>28</v>
      </c>
      <c r="C60" s="21" t="s">
        <v>155</v>
      </c>
      <c r="D60" s="241">
        <v>126410</v>
      </c>
      <c r="E60" s="242">
        <v>55.77</v>
      </c>
    </row>
    <row r="61" spans="1:6" x14ac:dyDescent="0.3">
      <c r="A61" s="19">
        <v>2023</v>
      </c>
      <c r="B61" s="20" t="s">
        <v>29</v>
      </c>
      <c r="C61" s="21" t="s">
        <v>155</v>
      </c>
      <c r="D61" s="241">
        <v>116259</v>
      </c>
      <c r="E61" s="242">
        <v>49.36</v>
      </c>
    </row>
    <row r="62" spans="1:6" x14ac:dyDescent="0.3">
      <c r="A62" s="19">
        <v>2023</v>
      </c>
      <c r="B62" s="20" t="s">
        <v>30</v>
      </c>
      <c r="C62" s="21" t="s">
        <v>155</v>
      </c>
      <c r="D62" s="241">
        <v>122319</v>
      </c>
      <c r="E62" s="242">
        <v>52.16</v>
      </c>
    </row>
    <row r="63" spans="1:6" x14ac:dyDescent="0.3">
      <c r="A63" s="22">
        <v>2023</v>
      </c>
      <c r="B63" s="23" t="s">
        <v>31</v>
      </c>
      <c r="C63" s="24" t="s">
        <v>155</v>
      </c>
      <c r="D63" s="243">
        <v>116222</v>
      </c>
      <c r="E63" s="244">
        <v>50.54</v>
      </c>
    </row>
    <row r="64" spans="1:6" ht="15" customHeight="1" x14ac:dyDescent="0.3">
      <c r="A64" s="545" t="s">
        <v>81</v>
      </c>
      <c r="B64" s="545"/>
      <c r="C64" s="545"/>
      <c r="D64" s="171">
        <f>SUM(D52:D63)</f>
        <v>1456462</v>
      </c>
      <c r="E64" s="171">
        <f>SUM(E52:E63)</f>
        <v>622.90999999999985</v>
      </c>
    </row>
    <row r="65" spans="1:6" x14ac:dyDescent="0.3">
      <c r="A65" s="255"/>
      <c r="B65" s="255"/>
      <c r="C65" s="255"/>
      <c r="D65" s="255"/>
      <c r="E65" s="255"/>
      <c r="F65" s="255"/>
    </row>
    <row r="66" spans="1:6" s="330" customFormat="1" ht="12" x14ac:dyDescent="0.25">
      <c r="A66" s="6" t="s">
        <v>18</v>
      </c>
      <c r="B66" s="6" t="s">
        <v>19</v>
      </c>
      <c r="C66" s="7" t="s">
        <v>0</v>
      </c>
      <c r="D66" s="392" t="s">
        <v>11</v>
      </c>
      <c r="E66" s="434" t="s">
        <v>156</v>
      </c>
    </row>
    <row r="67" spans="1:6" x14ac:dyDescent="0.3">
      <c r="A67" s="16">
        <v>2022</v>
      </c>
      <c r="B67" s="17" t="s">
        <v>20</v>
      </c>
      <c r="C67" s="18" t="s">
        <v>155</v>
      </c>
      <c r="D67" s="239">
        <v>111409</v>
      </c>
      <c r="E67" s="240">
        <v>46.17</v>
      </c>
    </row>
    <row r="68" spans="1:6" x14ac:dyDescent="0.3">
      <c r="A68" s="19">
        <v>2022</v>
      </c>
      <c r="B68" s="20" t="s">
        <v>21</v>
      </c>
      <c r="C68" s="21" t="s">
        <v>155</v>
      </c>
      <c r="D68" s="241">
        <v>139218</v>
      </c>
      <c r="E68" s="242">
        <v>58.99</v>
      </c>
    </row>
    <row r="69" spans="1:6" x14ac:dyDescent="0.3">
      <c r="A69" s="19">
        <v>2022</v>
      </c>
      <c r="B69" s="20" t="s">
        <v>22</v>
      </c>
      <c r="C69" s="21" t="s">
        <v>155</v>
      </c>
      <c r="D69" s="241">
        <v>124711</v>
      </c>
      <c r="E69" s="242">
        <v>54.23</v>
      </c>
    </row>
    <row r="70" spans="1:6" x14ac:dyDescent="0.3">
      <c r="A70" s="19">
        <v>2022</v>
      </c>
      <c r="B70" s="20" t="s">
        <v>23</v>
      </c>
      <c r="C70" s="21" t="s">
        <v>155</v>
      </c>
      <c r="D70" s="241">
        <v>117859</v>
      </c>
      <c r="E70" s="242">
        <v>49.22</v>
      </c>
    </row>
    <row r="71" spans="1:6" x14ac:dyDescent="0.3">
      <c r="A71" s="19">
        <v>2022</v>
      </c>
      <c r="B71" s="20" t="s">
        <v>24</v>
      </c>
      <c r="C71" s="21" t="s">
        <v>155</v>
      </c>
      <c r="D71" s="241">
        <v>125344</v>
      </c>
      <c r="E71" s="242">
        <v>54.64</v>
      </c>
    </row>
    <row r="72" spans="1:6" x14ac:dyDescent="0.3">
      <c r="A72" s="19">
        <v>2022</v>
      </c>
      <c r="B72" s="20" t="s">
        <v>25</v>
      </c>
      <c r="C72" s="21" t="s">
        <v>155</v>
      </c>
      <c r="D72" s="241">
        <v>119673</v>
      </c>
      <c r="E72" s="242">
        <v>52.61</v>
      </c>
    </row>
    <row r="73" spans="1:6" x14ac:dyDescent="0.3">
      <c r="A73" s="19">
        <v>2022</v>
      </c>
      <c r="B73" s="20" t="s">
        <v>26</v>
      </c>
      <c r="C73" s="21" t="s">
        <v>155</v>
      </c>
      <c r="D73" s="241">
        <v>125165</v>
      </c>
      <c r="E73" s="242">
        <v>55.75</v>
      </c>
    </row>
    <row r="74" spans="1:6" x14ac:dyDescent="0.3">
      <c r="A74" s="19">
        <v>2022</v>
      </c>
      <c r="B74" s="20" t="s">
        <v>27</v>
      </c>
      <c r="C74" s="21" t="s">
        <v>155</v>
      </c>
      <c r="D74" s="241">
        <v>119778</v>
      </c>
      <c r="E74" s="242">
        <v>50.74</v>
      </c>
    </row>
    <row r="75" spans="1:6" x14ac:dyDescent="0.3">
      <c r="A75" s="19">
        <v>2022</v>
      </c>
      <c r="B75" s="20" t="s">
        <v>28</v>
      </c>
      <c r="C75" s="21" t="s">
        <v>155</v>
      </c>
      <c r="D75" s="241">
        <v>131358</v>
      </c>
      <c r="E75" s="242">
        <v>57.6</v>
      </c>
    </row>
    <row r="76" spans="1:6" x14ac:dyDescent="0.3">
      <c r="A76" s="19">
        <v>2022</v>
      </c>
      <c r="B76" s="20" t="s">
        <v>29</v>
      </c>
      <c r="C76" s="21" t="s">
        <v>155</v>
      </c>
      <c r="D76" s="241">
        <v>119179</v>
      </c>
      <c r="E76" s="242">
        <v>52.73</v>
      </c>
    </row>
    <row r="77" spans="1:6" x14ac:dyDescent="0.3">
      <c r="A77" s="19">
        <v>2022</v>
      </c>
      <c r="B77" s="20" t="s">
        <v>30</v>
      </c>
      <c r="C77" s="21" t="s">
        <v>155</v>
      </c>
      <c r="D77" s="241">
        <v>114900</v>
      </c>
      <c r="E77" s="242">
        <v>48.72</v>
      </c>
    </row>
    <row r="78" spans="1:6" x14ac:dyDescent="0.3">
      <c r="A78" s="22">
        <v>2022</v>
      </c>
      <c r="B78" s="23" t="s">
        <v>31</v>
      </c>
      <c r="C78" s="24" t="s">
        <v>155</v>
      </c>
      <c r="D78" s="243">
        <v>122005</v>
      </c>
      <c r="E78" s="244">
        <v>52.58</v>
      </c>
    </row>
    <row r="79" spans="1:6" ht="15" customHeight="1" x14ac:dyDescent="0.3">
      <c r="A79" s="545" t="s">
        <v>81</v>
      </c>
      <c r="B79" s="545"/>
      <c r="C79" s="545"/>
      <c r="D79" s="171">
        <f>SUM(D67:D78)</f>
        <v>1470599</v>
      </c>
      <c r="E79" s="171">
        <f>SUM(E67:E78)</f>
        <v>633.98000000000013</v>
      </c>
    </row>
    <row r="80" spans="1:6" x14ac:dyDescent="0.3">
      <c r="A80" s="255"/>
      <c r="B80" s="255"/>
      <c r="C80" s="255"/>
      <c r="D80" s="255"/>
      <c r="E80" s="255"/>
      <c r="F80" s="255"/>
    </row>
    <row r="81" spans="1:6" s="330" customFormat="1" ht="12" x14ac:dyDescent="0.25">
      <c r="A81" s="6" t="s">
        <v>18</v>
      </c>
      <c r="B81" s="6" t="s">
        <v>19</v>
      </c>
      <c r="C81" s="7" t="s">
        <v>0</v>
      </c>
      <c r="D81" s="392" t="s">
        <v>11</v>
      </c>
      <c r="E81" s="434" t="s">
        <v>156</v>
      </c>
    </row>
    <row r="82" spans="1:6" x14ac:dyDescent="0.3">
      <c r="A82" s="16">
        <v>2021</v>
      </c>
      <c r="B82" s="17" t="s">
        <v>20</v>
      </c>
      <c r="C82" s="18" t="s">
        <v>155</v>
      </c>
      <c r="D82" s="239">
        <v>132001</v>
      </c>
      <c r="E82" s="240">
        <v>56</v>
      </c>
    </row>
    <row r="83" spans="1:6" x14ac:dyDescent="0.3">
      <c r="A83" s="19">
        <v>2021</v>
      </c>
      <c r="B83" s="20" t="s">
        <v>21</v>
      </c>
      <c r="C83" s="21" t="s">
        <v>155</v>
      </c>
      <c r="D83" s="241">
        <v>122057</v>
      </c>
      <c r="E83" s="242">
        <v>49</v>
      </c>
    </row>
    <row r="84" spans="1:6" x14ac:dyDescent="0.3">
      <c r="A84" s="19">
        <v>2021</v>
      </c>
      <c r="B84" s="20" t="s">
        <v>22</v>
      </c>
      <c r="C84" s="21" t="s">
        <v>155</v>
      </c>
      <c r="D84" s="241">
        <v>131760</v>
      </c>
      <c r="E84" s="242">
        <v>54</v>
      </c>
    </row>
    <row r="85" spans="1:6" x14ac:dyDescent="0.3">
      <c r="A85" s="19">
        <v>2021</v>
      </c>
      <c r="B85" s="20" t="s">
        <v>23</v>
      </c>
      <c r="C85" s="21" t="s">
        <v>155</v>
      </c>
      <c r="D85" s="241">
        <v>125502</v>
      </c>
      <c r="E85" s="242">
        <v>57</v>
      </c>
    </row>
    <row r="86" spans="1:6" x14ac:dyDescent="0.3">
      <c r="A86" s="19">
        <v>2021</v>
      </c>
      <c r="B86" s="20" t="s">
        <v>24</v>
      </c>
      <c r="C86" s="21" t="s">
        <v>155</v>
      </c>
      <c r="D86" s="241">
        <v>127052</v>
      </c>
      <c r="E86" s="242">
        <v>54</v>
      </c>
    </row>
    <row r="87" spans="1:6" x14ac:dyDescent="0.3">
      <c r="A87" s="19">
        <v>2021</v>
      </c>
      <c r="B87" s="20" t="s">
        <v>25</v>
      </c>
      <c r="C87" s="21" t="s">
        <v>155</v>
      </c>
      <c r="D87" s="241">
        <v>125406</v>
      </c>
      <c r="E87" s="242">
        <v>53</v>
      </c>
    </row>
    <row r="88" spans="1:6" x14ac:dyDescent="0.3">
      <c r="A88" s="19">
        <v>2021</v>
      </c>
      <c r="B88" s="20" t="s">
        <v>26</v>
      </c>
      <c r="C88" s="21" t="s">
        <v>155</v>
      </c>
      <c r="D88" s="241">
        <v>127120</v>
      </c>
      <c r="E88" s="242">
        <v>56</v>
      </c>
    </row>
    <row r="89" spans="1:6" x14ac:dyDescent="0.3">
      <c r="A89" s="19">
        <v>2021</v>
      </c>
      <c r="B89" s="20" t="s">
        <v>27</v>
      </c>
      <c r="C89" s="21" t="s">
        <v>155</v>
      </c>
      <c r="D89" s="241">
        <v>48552</v>
      </c>
      <c r="E89" s="242">
        <v>2</v>
      </c>
    </row>
    <row r="90" spans="1:6" x14ac:dyDescent="0.3">
      <c r="A90" s="19">
        <v>2021</v>
      </c>
      <c r="B90" s="20" t="s">
        <v>28</v>
      </c>
      <c r="C90" s="21" t="s">
        <v>155</v>
      </c>
      <c r="D90" s="241">
        <v>145807</v>
      </c>
      <c r="E90" s="242">
        <v>66.06</v>
      </c>
    </row>
    <row r="91" spans="1:6" x14ac:dyDescent="0.3">
      <c r="A91" s="19">
        <v>2021</v>
      </c>
      <c r="B91" s="20" t="s">
        <v>29</v>
      </c>
      <c r="C91" s="21" t="s">
        <v>155</v>
      </c>
      <c r="D91" s="241">
        <v>117245</v>
      </c>
      <c r="E91" s="242">
        <v>46.2</v>
      </c>
    </row>
    <row r="92" spans="1:6" x14ac:dyDescent="0.3">
      <c r="A92" s="19">
        <v>2021</v>
      </c>
      <c r="B92" s="20" t="s">
        <v>30</v>
      </c>
      <c r="C92" s="21" t="s">
        <v>155</v>
      </c>
      <c r="D92" s="241">
        <v>132509</v>
      </c>
      <c r="E92" s="242">
        <v>54.73</v>
      </c>
    </row>
    <row r="93" spans="1:6" x14ac:dyDescent="0.3">
      <c r="A93" s="22">
        <v>2021</v>
      </c>
      <c r="B93" s="23" t="s">
        <v>31</v>
      </c>
      <c r="C93" s="24" t="s">
        <v>155</v>
      </c>
      <c r="D93" s="243">
        <v>123507</v>
      </c>
      <c r="E93" s="244">
        <v>51.49</v>
      </c>
    </row>
    <row r="94" spans="1:6" ht="15" customHeight="1" x14ac:dyDescent="0.3">
      <c r="A94" s="545" t="s">
        <v>81</v>
      </c>
      <c r="B94" s="545"/>
      <c r="C94" s="545"/>
      <c r="D94" s="171">
        <f>SUM(D82:D93)</f>
        <v>1458518</v>
      </c>
      <c r="E94" s="171">
        <f>SUM(E82:E93)</f>
        <v>599.48</v>
      </c>
    </row>
    <row r="95" spans="1:6" x14ac:dyDescent="0.3">
      <c r="A95" s="255"/>
      <c r="B95" s="255"/>
      <c r="C95" s="255"/>
      <c r="D95" s="255"/>
      <c r="E95" s="255"/>
      <c r="F95" s="255"/>
    </row>
    <row r="96" spans="1:6" s="330" customFormat="1" ht="12" x14ac:dyDescent="0.25">
      <c r="A96" s="6" t="s">
        <v>18</v>
      </c>
      <c r="B96" s="6" t="s">
        <v>19</v>
      </c>
      <c r="C96" s="7" t="s">
        <v>0</v>
      </c>
      <c r="D96" s="392" t="s">
        <v>11</v>
      </c>
      <c r="E96" s="434" t="s">
        <v>156</v>
      </c>
    </row>
    <row r="97" spans="1:6" x14ac:dyDescent="0.3">
      <c r="A97" s="16">
        <v>2020</v>
      </c>
      <c r="B97" s="17" t="s">
        <v>20</v>
      </c>
      <c r="C97" s="18" t="s">
        <v>155</v>
      </c>
      <c r="D97" s="239">
        <v>133610</v>
      </c>
      <c r="E97" s="240">
        <v>57</v>
      </c>
    </row>
    <row r="98" spans="1:6" x14ac:dyDescent="0.3">
      <c r="A98" s="19">
        <v>2020</v>
      </c>
      <c r="B98" s="20" t="s">
        <v>21</v>
      </c>
      <c r="C98" s="21" t="s">
        <v>155</v>
      </c>
      <c r="D98" s="241">
        <v>123429</v>
      </c>
      <c r="E98" s="242">
        <v>50</v>
      </c>
    </row>
    <row r="99" spans="1:6" x14ac:dyDescent="0.3">
      <c r="A99" s="19">
        <v>2020</v>
      </c>
      <c r="B99" s="20" t="s">
        <v>22</v>
      </c>
      <c r="C99" s="21" t="s">
        <v>155</v>
      </c>
      <c r="D99" s="241">
        <v>133556</v>
      </c>
      <c r="E99" s="242">
        <v>55</v>
      </c>
    </row>
    <row r="100" spans="1:6" x14ac:dyDescent="0.3">
      <c r="A100" s="19">
        <v>2020</v>
      </c>
      <c r="B100" s="20" t="s">
        <v>23</v>
      </c>
      <c r="C100" s="21" t="s">
        <v>155</v>
      </c>
      <c r="D100" s="241">
        <v>124012</v>
      </c>
      <c r="E100" s="242">
        <v>53</v>
      </c>
    </row>
    <row r="101" spans="1:6" x14ac:dyDescent="0.3">
      <c r="A101" s="19">
        <v>2020</v>
      </c>
      <c r="B101" s="20" t="s">
        <v>24</v>
      </c>
      <c r="C101" s="21" t="s">
        <v>155</v>
      </c>
      <c r="D101" s="241">
        <v>125658</v>
      </c>
      <c r="E101" s="242">
        <v>54</v>
      </c>
    </row>
    <row r="102" spans="1:6" x14ac:dyDescent="0.3">
      <c r="A102" s="19">
        <v>2020</v>
      </c>
      <c r="B102" s="20" t="s">
        <v>25</v>
      </c>
      <c r="C102" s="21" t="s">
        <v>155</v>
      </c>
      <c r="D102" s="241">
        <v>171899</v>
      </c>
      <c r="E102" s="242">
        <v>54</v>
      </c>
    </row>
    <row r="103" spans="1:6" x14ac:dyDescent="0.3">
      <c r="A103" s="19">
        <v>2020</v>
      </c>
      <c r="B103" s="20" t="s">
        <v>26</v>
      </c>
      <c r="C103" s="21" t="s">
        <v>155</v>
      </c>
      <c r="D103" s="241">
        <v>173731</v>
      </c>
      <c r="E103" s="242">
        <v>58</v>
      </c>
    </row>
    <row r="104" spans="1:6" x14ac:dyDescent="0.3">
      <c r="A104" s="19">
        <v>2020</v>
      </c>
      <c r="B104" s="20" t="s">
        <v>27</v>
      </c>
      <c r="C104" s="21" t="s">
        <v>155</v>
      </c>
      <c r="D104" s="241">
        <v>125658</v>
      </c>
      <c r="E104" s="242">
        <v>54</v>
      </c>
    </row>
    <row r="105" spans="1:6" x14ac:dyDescent="0.3">
      <c r="A105" s="19">
        <v>2020</v>
      </c>
      <c r="B105" s="20" t="s">
        <v>28</v>
      </c>
      <c r="C105" s="21" t="s">
        <v>155</v>
      </c>
      <c r="D105" s="241">
        <v>123904</v>
      </c>
      <c r="E105" s="242">
        <v>53</v>
      </c>
    </row>
    <row r="106" spans="1:6" x14ac:dyDescent="0.3">
      <c r="A106" s="19">
        <v>2020</v>
      </c>
      <c r="B106" s="20" t="s">
        <v>29</v>
      </c>
      <c r="C106" s="21" t="s">
        <v>155</v>
      </c>
      <c r="D106" s="241">
        <v>125658</v>
      </c>
      <c r="E106" s="242">
        <v>54</v>
      </c>
    </row>
    <row r="107" spans="1:6" x14ac:dyDescent="0.3">
      <c r="A107" s="19">
        <v>2020</v>
      </c>
      <c r="B107" s="20" t="s">
        <v>30</v>
      </c>
      <c r="C107" s="21" t="s">
        <v>155</v>
      </c>
      <c r="D107" s="241">
        <v>124012</v>
      </c>
      <c r="E107" s="242">
        <v>53</v>
      </c>
    </row>
    <row r="108" spans="1:6" x14ac:dyDescent="0.3">
      <c r="A108" s="22">
        <v>2020</v>
      </c>
      <c r="B108" s="23" t="s">
        <v>31</v>
      </c>
      <c r="C108" s="24" t="s">
        <v>155</v>
      </c>
      <c r="D108" s="243">
        <v>125407</v>
      </c>
      <c r="E108" s="244">
        <v>52</v>
      </c>
    </row>
    <row r="109" spans="1:6" ht="15" customHeight="1" x14ac:dyDescent="0.3">
      <c r="A109" s="545" t="s">
        <v>81</v>
      </c>
      <c r="B109" s="545"/>
      <c r="C109" s="545"/>
      <c r="D109" s="171">
        <f>SUM(D97:D108)</f>
        <v>1610534</v>
      </c>
      <c r="E109" s="171">
        <f>SUM(E97:E108)</f>
        <v>647</v>
      </c>
    </row>
    <row r="110" spans="1:6" x14ac:dyDescent="0.3">
      <c r="A110" s="255"/>
      <c r="B110" s="255"/>
      <c r="C110" s="255"/>
      <c r="D110" s="255"/>
      <c r="E110" s="255"/>
      <c r="F110" s="255"/>
    </row>
    <row r="111" spans="1:6" x14ac:dyDescent="0.3">
      <c r="A111" s="475"/>
      <c r="B111" s="255"/>
      <c r="C111" s="255"/>
      <c r="D111" s="255"/>
      <c r="E111" s="255"/>
      <c r="F111" s="255"/>
    </row>
  </sheetData>
  <mergeCells count="11">
    <mergeCell ref="A109:C109"/>
    <mergeCell ref="A1:G1"/>
    <mergeCell ref="A2:G2"/>
    <mergeCell ref="A3:G3"/>
    <mergeCell ref="A4:G4"/>
    <mergeCell ref="A19:C19"/>
    <mergeCell ref="A34:C34"/>
    <mergeCell ref="A49:C49"/>
    <mergeCell ref="A64:C64"/>
    <mergeCell ref="A79:C79"/>
    <mergeCell ref="A94:C94"/>
  </mergeCells>
  <printOptions horizontalCentered="1"/>
  <pageMargins left="0.25" right="0.25" top="0.5" bottom="0.75" header="0.3" footer="0.3"/>
  <pageSetup scale="72" orientation="portrait" r:id="rId1"/>
  <rowBreaks count="1" manualBreakCount="1">
    <brk id="50" max="6"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Rate Case Filing" ma:contentTypeID="0x01010068F0E1615696FC4B8DE86C000B7FF3880051FDA41996C4924F9FDA9BE4E05333C800D1C2316238074C48B2CC6CB21E93762A" ma:contentTypeVersion="31" ma:contentTypeDescription="" ma:contentTypeScope="" ma:versionID="ab547b6e68db5f42dedc0a237d5372fd">
  <xsd:schema xmlns:xsd="http://www.w3.org/2001/XMLSchema" xmlns:xs="http://www.w3.org/2001/XMLSchema" xmlns:p="http://schemas.microsoft.com/office/2006/metadata/properties" xmlns:ns1="http://schemas.microsoft.com/sharepoint/v3" xmlns:ns2="d13c0d96-04b5-41ef-ba5d-3a9480dd15c7" xmlns:ns3="8b8ac659-70b8-4c40-b747-dc1806313976" targetNamespace="http://schemas.microsoft.com/office/2006/metadata/properties" ma:root="true" ma:fieldsID="d7f33f1c6cfcad3a4798c333ba310af9" ns1:_="" ns2:_="" ns3:_="">
    <xsd:import namespace="http://schemas.microsoft.com/sharepoint/v3"/>
    <xsd:import namespace="d13c0d96-04b5-41ef-ba5d-3a9480dd15c7"/>
    <xsd:import namespace="8b8ac659-70b8-4c40-b747-dc1806313976"/>
    <xsd:element name="properties">
      <xsd:complexType>
        <xsd:sequence>
          <xsd:element name="documentManagement">
            <xsd:complexType>
              <xsd:all>
                <xsd:element ref="ns2:ResponsiblePerson" minOccurs="0"/>
                <xsd:element ref="ns2:ConfidentialFiling" minOccurs="0"/>
                <xsd:element ref="ns2:Filed" minOccurs="0"/>
                <xsd:element ref="ns2:MGESecurityClassification" minOccurs="0"/>
                <xsd:element ref="ns3:Send_x0020_to_x0020_Records" minOccurs="0"/>
                <xsd:element ref="ns2:SourceFolder" minOccurs="0"/>
                <xsd:element ref="ns3:_dlc_DocId" minOccurs="0"/>
                <xsd:element ref="ns3:_dlc_DocIdUrl" minOccurs="0"/>
                <xsd:element ref="ns3:_dlc_DocIdPersistId" minOccurs="0"/>
                <xsd:element ref="ns2:TaxCatchAllLabel" minOccurs="0"/>
                <xsd:element ref="ns3:i050b99383724ce3977e6946252c1882" minOccurs="0"/>
                <xsd:element ref="ns2:TaxCatchAll" minOccurs="0"/>
                <xsd:element ref="ns3:Test_x0020_Year" minOccurs="0"/>
                <xsd:element ref="ns1:DocumentSetDescription" minOccurs="0"/>
                <xsd:element ref="ns3:Docket_x0020_Number" minOccurs="0"/>
                <xsd:element ref="ns3:cd6cb528aa2a47cc91e271077ea1525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22" nillable="true" ma:displayName="Description" ma:description="A description of the Document Set" ma:internalName="DocumentSetDescription">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13c0d96-04b5-41ef-ba5d-3a9480dd15c7" elementFormDefault="qualified">
    <xsd:import namespace="http://schemas.microsoft.com/office/2006/documentManagement/types"/>
    <xsd:import namespace="http://schemas.microsoft.com/office/infopath/2007/PartnerControls"/>
    <xsd:element name="ResponsiblePerson" ma:index="1" nillable="true" ma:displayName="Responsible Person" ma:description="Individual at MGE who is responsible for this document" ma:list="UserInfo" ma:SharePointGroup="0" ma:internalName="ResponsiblePerson"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nfidentialFiling" ma:index="3" nillable="true" ma:displayName="Confidential Filing?" ma:default="No" ma:description="Indicates when a Rate Case document is subject to confidential filing with a Regulatory Authority.  All such documents will be accompanied by an Affadavit and associated with a redacted rendering of the filed document." ma:format="Dropdown" ma:internalName="ConfidentialFiling" ma:readOnly="false">
      <xsd:simpleType>
        <xsd:restriction base="dms:Choice">
          <xsd:enumeration value="Yes"/>
          <xsd:enumeration value="No"/>
        </xsd:restriction>
      </xsd:simpleType>
    </xsd:element>
    <xsd:element name="Filed" ma:index="4" nillable="true" ma:displayName="Filed Date" ma:description="Date item was filed with the initiator.  No default." ma:format="DateOnly" ma:internalName="Filed" ma:readOnly="false">
      <xsd:simpleType>
        <xsd:restriction base="dms:DateTime"/>
      </xsd:simpleType>
    </xsd:element>
    <xsd:element name="MGESecurityClassification" ma:index="5" nillable="true" ma:displayName="Security Classification" ma:default="Internal Use" ma:description="Provides an indication of whether or not this document can be shared inside (or outside) the organization." ma:format="Dropdown" ma:internalName="MGESecurityClassification" ma:readOnly="false">
      <xsd:simpleType>
        <xsd:restriction base="dms:Choice">
          <xsd:enumeration value="Confidential"/>
          <xsd:enumeration value="Internal Use"/>
          <xsd:enumeration value="Public"/>
        </xsd:restriction>
      </xsd:simpleType>
    </xsd:element>
    <xsd:element name="SourceFolder" ma:index="8" nillable="true" ma:displayName="SourceFolder" ma:internalName="SourceFolder">
      <xsd:simpleType>
        <xsd:restriction base="dms:Text">
          <xsd:maxLength value="255"/>
        </xsd:restriction>
      </xsd:simpleType>
    </xsd:element>
    <xsd:element name="TaxCatchAllLabel" ma:index="15" nillable="true" ma:displayName="Taxonomy Catch All Column1" ma:hidden="true" ma:list="{b240180e-13c8-458b-b132-88d136b05095}" ma:internalName="TaxCatchAllLabel" ma:readOnly="true" ma:showField="CatchAllDataLabel" ma:web="051e2afb-be1a-46fd-accd-0a821f6e595a">
      <xsd:complexType>
        <xsd:complexContent>
          <xsd:extension base="dms:MultiChoiceLookup">
            <xsd:sequence>
              <xsd:element name="Value" type="dms:Lookup" maxOccurs="unbounded" minOccurs="0" nillable="true"/>
            </xsd:sequence>
          </xsd:extension>
        </xsd:complexContent>
      </xsd:complexType>
    </xsd:element>
    <xsd:element name="TaxCatchAll" ma:index="17" nillable="true" ma:displayName="Taxonomy Catch All Column" ma:hidden="true" ma:list="{b240180e-13c8-458b-b132-88d136b05095}" ma:internalName="TaxCatchAll" ma:showField="CatchAllData" ma:web="051e2afb-be1a-46fd-accd-0a821f6e595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b8ac659-70b8-4c40-b747-dc1806313976" elementFormDefault="qualified">
    <xsd:import namespace="http://schemas.microsoft.com/office/2006/documentManagement/types"/>
    <xsd:import namespace="http://schemas.microsoft.com/office/infopath/2007/PartnerControls"/>
    <xsd:element name="Send_x0020_to_x0020_Records" ma:index="6" nillable="true" ma:displayName="Send to Records" ma:default="No" ma:description="Choose &quot;Yes&quot; if you are ready for this document to be sent to Records Management." ma:format="Dropdown" ma:internalName="Send_x0020_to_x0020_Records">
      <xsd:simpleType>
        <xsd:restriction base="dms:Choice">
          <xsd:enumeration value="Yes"/>
          <xsd:enumeration value="No"/>
        </xsd:restriction>
      </xsd:simpleType>
    </xsd:element>
    <xsd:element name="_dlc_DocId" ma:index="12" nillable="true" ma:displayName="Document ID Value" ma:description="The value of the document ID assigned to this item." ma:internalName="_dlc_DocId" ma:readOnly="true">
      <xsd:simpleType>
        <xsd:restriction base="dms:Text"/>
      </xsd:simpleType>
    </xsd:element>
    <xsd:element name="_dlc_DocIdUrl" ma:index="1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4" nillable="true" ma:displayName="Persist ID" ma:description="Keep ID on add." ma:hidden="true" ma:internalName="_dlc_DocIdPersistId" ma:readOnly="true">
      <xsd:simpleType>
        <xsd:restriction base="dms:Boolean"/>
      </xsd:simpleType>
    </xsd:element>
    <xsd:element name="i050b99383724ce3977e6946252c1882" ma:index="16" nillable="true" ma:taxonomy="true" ma:internalName="i050b99383724ce3977e6946252c1882" ma:taxonomyFieldName="Rate_x0020_Case_x0020_Document_x0020_Type" ma:displayName="Rate Case Document Type" ma:default="" ma:fieldId="{2050b993-8372-4ce3-977e-6946252c1882}" ma:sspId="33f74db8-dd25-4207-b46b-2164dd096f80" ma:termSetId="af70f87b-c709-4921-bafb-293a3d699c0c" ma:anchorId="ffe714ce-a518-46be-9aaf-58fe57e4f48f" ma:open="false" ma:isKeyword="false">
      <xsd:complexType>
        <xsd:sequence>
          <xsd:element ref="pc:Terms" minOccurs="0" maxOccurs="1"/>
        </xsd:sequence>
      </xsd:complexType>
    </xsd:element>
    <xsd:element name="Test_x0020_Year" ma:index="21" nillable="true" ma:displayName="Test Year" ma:format="Dropdown" ma:internalName="Test_x0020_Year">
      <xsd:simpleType>
        <xsd:restriction base="dms:Choice">
          <xsd:enumeration value="2016"/>
          <xsd:enumeration value="2017"/>
          <xsd:enumeration value="2018"/>
          <xsd:enumeration value="2019"/>
          <xsd:enumeration value="2020"/>
          <xsd:enumeration value="2021"/>
          <xsd:enumeration value="2022"/>
          <xsd:enumeration value="2023"/>
          <xsd:enumeration value="2024"/>
          <xsd:enumeration value="2025"/>
          <xsd:enumeration value="2026-2027"/>
        </xsd:restriction>
      </xsd:simpleType>
    </xsd:element>
    <xsd:element name="Docket_x0020_Number" ma:index="23" nillable="true" ma:displayName="Docket Number" ma:internalName="Docket_x0020_Number">
      <xsd:simpleType>
        <xsd:restriction base="dms:Text">
          <xsd:maxLength value="255"/>
        </xsd:restriction>
      </xsd:simpleType>
    </xsd:element>
    <xsd:element name="cd6cb528aa2a47cc91e271077ea15257" ma:index="24" nillable="true" ma:taxonomy="true" ma:internalName="cd6cb528aa2a47cc91e271077ea15257" ma:taxonomyFieldName="Regulatory_x0020_Entity" ma:displayName="Regulatory Entity" ma:default="" ma:fieldId="{cd6cb528-aa2a-47cc-91e2-71077ea15257}" ma:sspId="33f74db8-dd25-4207-b46b-2164dd096f80" ma:termSetId="8d71faa6-793e-4b92-9f65-e1b707774cee"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mso-contentType ?>
<SharedContentType xmlns="Microsoft.SharePoint.Taxonomy.ContentTypeSync" SourceId="33f74db8-dd25-4207-b46b-2164dd096f80" ContentTypeId="0x01010068F0E1615696FC4B8DE86C000B7FF3880051FDA41996C4924F9FDA9BE4E05333C8" PreviousValue="false"/>
</file>

<file path=customXml/item4.xml><?xml version="1.0" encoding="utf-8"?>
<?mso-contentType ?>
<spe:Receivers xmlns:spe="http://schemas.microsoft.com/sharepoint/events"/>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p:properties xmlns:p="http://schemas.microsoft.com/office/2006/metadata/properties" xmlns:xsi="http://www.w3.org/2001/XMLSchema-instance" xmlns:pc="http://schemas.microsoft.com/office/infopath/2007/PartnerControls">
  <documentManagement>
    <Docket_x0020_Number xmlns="8b8ac659-70b8-4c40-b747-dc1806313976">3270-UR-126</Docket_x0020_Number>
    <Filed xmlns="d13c0d96-04b5-41ef-ba5d-3a9480dd15c7">2025-04-01T05:00:00+00:00</Filed>
    <SourceFolder xmlns="d13c0d96-04b5-41ef-ba5d-3a9480dd15c7" xsi:nil="true"/>
    <cd6cb528aa2a47cc91e271077ea15257 xmlns="8b8ac659-70b8-4c40-b747-dc1806313976">
      <Terms xmlns="http://schemas.microsoft.com/office/infopath/2007/PartnerControls">
        <TermInfo xmlns="http://schemas.microsoft.com/office/infopath/2007/PartnerControls">
          <TermName xmlns="http://schemas.microsoft.com/office/infopath/2007/PartnerControls">Public Service Commission of WI</TermName>
          <TermId xmlns="http://schemas.microsoft.com/office/infopath/2007/PartnerControls">4ae2ebab-39ee-4a8d-8b91-60749db94171</TermId>
        </TermInfo>
      </Terms>
    </cd6cb528aa2a47cc91e271077ea15257>
    <DocumentSetDescription xmlns="http://schemas.microsoft.com/sharepoint/v3" xsi:nil="true"/>
    <MGESecurityClassification xmlns="d13c0d96-04b5-41ef-ba5d-3a9480dd15c7">Internal Use</MGESecurityClassification>
    <Test_x0020_Year xmlns="8b8ac659-70b8-4c40-b747-dc1806313976">2026-2027</Test_x0020_Year>
    <TaxCatchAll xmlns="d13c0d96-04b5-41ef-ba5d-3a9480dd15c7">
      <Value>34</Value>
      <Value>39</Value>
    </TaxCatchAll>
    <i050b99383724ce3977e6946252c1882 xmlns="8b8ac659-70b8-4c40-b747-dc1806313976">
      <Terms xmlns="http://schemas.microsoft.com/office/infopath/2007/PartnerControls">
        <TermInfo xmlns="http://schemas.microsoft.com/office/infopath/2007/PartnerControls">
          <TermName xmlns="http://schemas.microsoft.com/office/infopath/2007/PartnerControls">Data Request</TermName>
          <TermId xmlns="http://schemas.microsoft.com/office/infopath/2007/PartnerControls">5e53f43a-9776-413c-83d6-a813e144d829</TermId>
        </TermInfo>
      </Terms>
    </i050b99383724ce3977e6946252c1882>
    <ResponsiblePerson xmlns="d13c0d96-04b5-41ef-ba5d-3a9480dd15c7">
      <UserInfo>
        <DisplayName/>
        <AccountId>302</AccountId>
        <AccountType/>
      </UserInfo>
    </ResponsiblePerson>
    <Send_x0020_to_x0020_Records xmlns="8b8ac659-70b8-4c40-b747-dc1806313976">No</Send_x0020_to_x0020_Records>
    <ConfidentialFiling xmlns="d13c0d96-04b5-41ef-ba5d-3a9480dd15c7">No</ConfidentialFiling>
  </documentManagement>
</p:properties>
</file>

<file path=customXml/itemProps1.xml><?xml version="1.0" encoding="utf-8"?>
<ds:datastoreItem xmlns:ds="http://schemas.openxmlformats.org/officeDocument/2006/customXml" ds:itemID="{6CFCC534-4950-48A4-9AA1-6CEDDD73B0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13c0d96-04b5-41ef-ba5d-3a9480dd15c7"/>
    <ds:schemaRef ds:uri="8b8ac659-70b8-4c40-b747-dc1806313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A9566D8-CC1D-4BD6-BAD8-FE20D4D45B36}">
  <ds:schemaRefs>
    <ds:schemaRef ds:uri="http://schemas.microsoft.com/office/2006/metadata/longProperties"/>
  </ds:schemaRefs>
</ds:datastoreItem>
</file>

<file path=customXml/itemProps3.xml><?xml version="1.0" encoding="utf-8"?>
<ds:datastoreItem xmlns:ds="http://schemas.openxmlformats.org/officeDocument/2006/customXml" ds:itemID="{F900DAC6-F459-4DAC-9BB0-06848641A9D6}">
  <ds:schemaRefs>
    <ds:schemaRef ds:uri="Microsoft.SharePoint.Taxonomy.ContentTypeSync"/>
  </ds:schemaRefs>
</ds:datastoreItem>
</file>

<file path=customXml/itemProps4.xml><?xml version="1.0" encoding="utf-8"?>
<ds:datastoreItem xmlns:ds="http://schemas.openxmlformats.org/officeDocument/2006/customXml" ds:itemID="{2B55ED23-384C-4CD1-8A6C-C5FE904723B4}">
  <ds:schemaRefs>
    <ds:schemaRef ds:uri="http://schemas.microsoft.com/sharepoint/events"/>
  </ds:schemaRefs>
</ds:datastoreItem>
</file>

<file path=customXml/itemProps5.xml><?xml version="1.0" encoding="utf-8"?>
<ds:datastoreItem xmlns:ds="http://schemas.openxmlformats.org/officeDocument/2006/customXml" ds:itemID="{0381D7C2-5E73-4845-BFD4-B69562FC2906}">
  <ds:schemaRefs>
    <ds:schemaRef ds:uri="http://schemas.microsoft.com/sharepoint/v3/contenttype/forms"/>
  </ds:schemaRefs>
</ds:datastoreItem>
</file>

<file path=customXml/itemProps6.xml><?xml version="1.0" encoding="utf-8"?>
<ds:datastoreItem xmlns:ds="http://schemas.openxmlformats.org/officeDocument/2006/customXml" ds:itemID="{3B82709A-01F5-4D82-8DDD-19CDB4954FBE}">
  <ds:schemaRefs>
    <ds:schemaRef ds:uri="http://schemas.microsoft.com/office/2006/metadata/properties"/>
    <ds:schemaRef ds:uri="http://schemas.microsoft.com/office/infopath/2007/PartnerControls"/>
    <ds:schemaRef ds:uri="8b8ac659-70b8-4c40-b747-dc1806313976"/>
    <ds:schemaRef ds:uri="d13c0d96-04b5-41ef-ba5d-3a9480dd15c7"/>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19</vt:i4>
      </vt:variant>
    </vt:vector>
  </HeadingPairs>
  <TitlesOfParts>
    <vt:vector size="38" baseType="lpstr">
      <vt:lpstr>Cover Sheet</vt:lpstr>
      <vt:lpstr>RG1</vt:lpstr>
      <vt:lpstr>RG2</vt:lpstr>
      <vt:lpstr>RG2a</vt:lpstr>
      <vt:lpstr>RG7</vt:lpstr>
      <vt:lpstr>RW1</vt:lpstr>
      <vt:lpstr>RFB</vt:lpstr>
      <vt:lpstr>CG2</vt:lpstr>
      <vt:lpstr>CG3</vt:lpstr>
      <vt:lpstr>CG4</vt:lpstr>
      <vt:lpstr>CG5</vt:lpstr>
      <vt:lpstr>CG5D</vt:lpstr>
      <vt:lpstr>CG6</vt:lpstr>
      <vt:lpstr>CG7</vt:lpstr>
      <vt:lpstr>CG8</vt:lpstr>
      <vt:lpstr>Cp1</vt:lpstr>
      <vt:lpstr>SP3</vt:lpstr>
      <vt:lpstr>MLS</vt:lpstr>
      <vt:lpstr>GF1</vt:lpstr>
      <vt:lpstr>'CG2'!Print_Area</vt:lpstr>
      <vt:lpstr>'CG3'!Print_Area</vt:lpstr>
      <vt:lpstr>'CG4'!Print_Area</vt:lpstr>
      <vt:lpstr>'CG5'!Print_Area</vt:lpstr>
      <vt:lpstr>CG5D!Print_Area</vt:lpstr>
      <vt:lpstr>'CG6'!Print_Area</vt:lpstr>
      <vt:lpstr>'CG7'!Print_Area</vt:lpstr>
      <vt:lpstr>'CG8'!Print_Area</vt:lpstr>
      <vt:lpstr>'Cover Sheet'!Print_Area</vt:lpstr>
      <vt:lpstr>'Cp1'!Print_Area</vt:lpstr>
      <vt:lpstr>'GF1'!Print_Area</vt:lpstr>
      <vt:lpstr>MLS!Print_Area</vt:lpstr>
      <vt:lpstr>RFB!Print_Area</vt:lpstr>
      <vt:lpstr>'RG1'!Print_Area</vt:lpstr>
      <vt:lpstr>'RG2'!Print_Area</vt:lpstr>
      <vt:lpstr>RG2a!Print_Area</vt:lpstr>
      <vt:lpstr>'RG7'!Print_Area</vt:lpstr>
      <vt:lpstr>'RW1'!Print_Area</vt:lpstr>
      <vt:lpstr>'SP3'!Print_Area</vt:lpstr>
    </vt:vector>
  </TitlesOfParts>
  <Company>Madison Gas and Electric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MGE Initial Data Request No. 21a, d, e, f, g, h, i - HistoricalActualBilledBillingComponentsByRateClass</dc:title>
  <dc:creator>Laura Jean McFadden</dc:creator>
  <cp:lastModifiedBy>Gunderson, Mariah</cp:lastModifiedBy>
  <cp:lastPrinted>2025-03-26T16:41:14Z</cp:lastPrinted>
  <dcterms:created xsi:type="dcterms:W3CDTF">2009-04-13T14:49:29Z</dcterms:created>
  <dcterms:modified xsi:type="dcterms:W3CDTF">2025-03-26T16:41:29Z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gulatory Entity">
    <vt:lpwstr>34</vt:lpwstr>
  </property>
  <property fmtid="{D5CDD505-2E9C-101B-9397-08002B2CF9AE}" pid="3" name="Regulatory_x0020_Entity">
    <vt:lpwstr>34;#Public Service Commission of WI|4ae2ebab-39ee-4a8d-8b91-60749db94171</vt:lpwstr>
  </property>
  <property fmtid="{D5CDD505-2E9C-101B-9397-08002B2CF9AE}" pid="4" name="Rate_x0020_Case_x0020_Document_x0020_Type">
    <vt:lpwstr>39;#Data Request|5e53f43a-9776-413c-83d6-a813e144d829</vt:lpwstr>
  </property>
  <property fmtid="{D5CDD505-2E9C-101B-9397-08002B2CF9AE}" pid="5" name="Rate Case Document Type">
    <vt:lpwstr>39;#Data Request|5e53f43a-9776-413c-83d6-a813e144d829</vt:lpwstr>
  </property>
  <property fmtid="{D5CDD505-2E9C-101B-9397-08002B2CF9AE}" pid="6" name="display_urn:schemas-microsoft-com:office:office#ResponsiblePerson">
    <vt:lpwstr>Smith, Jeff</vt:lpwstr>
  </property>
</Properties>
</file>