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7"/>
  <workbookPr defaultThemeVersion="166925"/>
  <mc:AlternateContent xmlns:mc="http://schemas.openxmlformats.org/markup-compatibility/2006">
    <mc:Choice Requires="x15">
      <x15ac:absPath xmlns:x15ac="http://schemas.microsoft.com/office/spreadsheetml/2010/11/ac" url="/Users/victorfeng/Desktop/"/>
    </mc:Choice>
  </mc:AlternateContent>
  <xr:revisionPtr revIDLastSave="0" documentId="8_{FF18A14B-4994-1C47-9354-F5DB26294264}" xr6:coauthVersionLast="47" xr6:coauthVersionMax="47" xr10:uidLastSave="{00000000-0000-0000-0000-000000000000}"/>
  <bookViews>
    <workbookView xWindow="0" yWindow="500" windowWidth="29040" windowHeight="15840" activeTab="1" xr2:uid="{C4D46E83-E04D-4E33-A997-46ABFDA55645}"/>
  </bookViews>
  <sheets>
    <sheet name="Cover Sheet" sheetId="9" r:id="rId1"/>
    <sheet name="TCM-1.1 Surcharge Allocation" sheetId="1" r:id="rId2"/>
    <sheet name="TCM-1.2 2022 Sales by Class" sheetId="7" r:id="rId3"/>
    <sheet name="TCM-1.2 2021 Sales by Class" sheetId="6" r:id="rId4"/>
    <sheet name="TCM-1.2 Interest Calc" sheetId="8"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s>
  <definedNames>
    <definedName name="_Order1" hidden="1">255</definedName>
    <definedName name="_Order2" hidden="1">255</definedName>
    <definedName name="\B">[1]BILLING!#REF!</definedName>
    <definedName name="\D">#REF!</definedName>
    <definedName name="\E">[1]BILLING!#REF!</definedName>
    <definedName name="\J">#REF!</definedName>
    <definedName name="\K">[1]BILLING!#REF!</definedName>
    <definedName name="\M">[1]BILLING!#REF!</definedName>
    <definedName name="\P">[1]BILLING!#REF!</definedName>
    <definedName name="\S">[1]BILLING!#REF!</definedName>
    <definedName name="\T">[1]BILLING!#REF!</definedName>
    <definedName name="\U">[1]BILLING!#REF!</definedName>
    <definedName name="\Z">[1]BILLING!#REF!</definedName>
    <definedName name="akdsfja">'[2]PGA Calc'!#REF!</definedName>
    <definedName name="anscount" hidden="1">1</definedName>
    <definedName name="Diesel_BGS">#REF!</definedName>
    <definedName name="DLOV_oracle_apps_financials_generalLedger_journals_desktopEntry_di_FinGlDesktopMultibatchEntryPageDef_PeriodName_LedgerId_0">[3]_ADFDI_LOV!$C$30:$DC$30</definedName>
    <definedName name="DLOV_oracle_apps_financials_generalLedger_journals_desktopEntry_di_FinGlDesktopMultibatchEntryPageDef_ReversalPeriodName_LedgerId_0">[3]_ADFDI_LOV!$C$32:$DC$32</definedName>
    <definedName name="fasdjfklasd">[4]Prior!#REF!</definedName>
    <definedName name="gcdmsales">#REF!</definedName>
    <definedName name="gigo">#REF!</definedName>
    <definedName name="ID_sorted">#REF!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LOV_oracle_apps_financials_generalLedger_journals_desktopEntry_di_FinGlDesktopMultibatchEntryPageDef_CurrencyCode" hidden="1">[5]_ADFDI_LOV!$C$18:$E$18</definedName>
    <definedName name="LOV_oracle_apps_financials_generalLedger_journals_desktopEntry_di_FinGlDesktopMultibatchEntryPageDef_LedgerId" hidden="1">[5]_ADFDI_LOV!$C$14:$D$14</definedName>
    <definedName name="LOV_oracle_apps_financials_generalLedger_journals_desktopEntry_di_FinGlDesktopMultibatchEntryPageDef_PeriodName" hidden="1">[5]_ADFDI_LOV!$C$22:$D$22</definedName>
    <definedName name="LOV_oracle_apps_financials_generalLedger_journals_desktopEntry_di_FinGlDesktopMultibatchEntryPageDef_ReversalPeriodName" hidden="1">[5]_ADFDI_LOV!$C$24:$H$24</definedName>
    <definedName name="LOV_oracle_apps_financials_generalLedger_journals_desktopEntry_di_FinGlDesktopMultibatchEntryPageDef_UserCurrencyConversionType" hidden="1">[5]_ADFDI_LOV!$C$20:$G$20</definedName>
    <definedName name="LOV_oracle_apps_financials_generalLedger_journals_desktopEntry_di_FinGlDesktopMultibatchEntryPageDef_UserJeSourceName" hidden="1">[5]_ADFDI_LOV!$C$16:$D$16</definedName>
    <definedName name="m">[4]Prior!#REF!</definedName>
    <definedName name="Mo_Day_Yr">'[6]Gas Trans'!$W$2</definedName>
    <definedName name="Month_table">[7]Misc!#REF!</definedName>
    <definedName name="Month_Yr">[8]InputEst!$C$4</definedName>
    <definedName name="Natural_Gas_BGS">#REF!</definedName>
    <definedName name="NvsAnswerCol">"[Drill1]JRNLLAYOUT!$A$4:$A$54"</definedName>
    <definedName name="NvsASD">"V2012-12-31"</definedName>
    <definedName name="NvsAutoDrillOk">"VN"</definedName>
    <definedName name="NvsDateToNumber">"Y"</definedName>
    <definedName name="NvsElapsedTime">0.0000347222230629995</definedName>
    <definedName name="NvsEndTime">41353.6898148148</definedName>
    <definedName name="NvsInstLang">"VENG"</definedName>
    <definedName name="NvsInstSpec">"%,LACTUALS,UPOSTED_TOTAL_AMT,SYTD,FACCOUNT,V001154,FDEPTID,V0231"</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ParentRef">"[F_WASUM0231.xls]Sheet1!$J$22"</definedName>
    <definedName name="NvsReqBU">"V10100"</definedName>
    <definedName name="NvsReqBUOnly">"VY"</definedName>
    <definedName name="NvsTransLed">"VN"</definedName>
    <definedName name="NvsTreeASD">"V2012-12-31"</definedName>
    <definedName name="o">'[2]PGA Calc'!#REF!</definedName>
    <definedName name="ok">'[2]PGA Calc'!#REF!</definedName>
    <definedName name="OTHER_REPLACEMENT_CAPACITY_COSTS">'[7]Order Reporting Tables'!#REF!</definedName>
    <definedName name="OTHER_STAFF_FUEL_COST_ADJUSTMENTS">'[7]Order Reporting Tables'!#REF!</definedName>
    <definedName name="OUCOLLECT">[4]Prior!#REF!</definedName>
    <definedName name="p">'[2]PGA Calc'!#REF!</definedName>
    <definedName name="PAGE1A">[4]TuSum!#REF!</definedName>
    <definedName name="PAGE3">[4]Prior!#REF!</definedName>
    <definedName name="PORTABLE_GENERATION_Table">'[7]Order Reporting Tables'!#REF!</definedName>
    <definedName name="_xlnm.Print_Area" localSheetId="0">'Cover Sheet'!$A$1:$K$46</definedName>
    <definedName name="_xlnm.Print_Area" localSheetId="1">'TCM-1.1 Surcharge Allocation'!$A$1:$K$60</definedName>
    <definedName name="_xlnm.Print_Area" localSheetId="3">'TCM-1.2 2021 Sales by Class'!$A$1:$L$18</definedName>
    <definedName name="_xlnm.Print_Area" localSheetId="2">'TCM-1.2 2022 Sales by Class'!$A$1:$Q$50</definedName>
    <definedName name="_xlnm.Print_Area" localSheetId="4">'TCM-1.2 Interest Calc'!$A$1:$E$25</definedName>
    <definedName name="Print_Area_MI">#REF!</definedName>
    <definedName name="_xlnm.Print_Titles" localSheetId="0">'Cover Sheet'!$1:$10</definedName>
    <definedName name="_xlnm.Print_Titles">#REF!</definedName>
    <definedName name="RATES">[4]TuSum!#REF!</definedName>
    <definedName name="Sch_D">#REF!</definedName>
    <definedName name="Sch_E">#REF!</definedName>
    <definedName name="Sch_E1">#REF!</definedName>
    <definedName name="sdfds">'[2]PGA Calc'!#REF!</definedName>
    <definedName name="sjkdfklas">'[2]PGA Calc'!#REF!</definedName>
    <definedName name="TAB1136877249">#REF!</definedName>
    <definedName name="Total_BGS">#REF!</definedName>
    <definedName name="TOTAL_ENERGY_SUPPLIED_TO_GRID_Table">'[7]Order Reporting Tables'!#REF!</definedName>
    <definedName name="TOTAL_NET_GENERATION_Table">'[7]Order Reporting Tables'!#REF!</definedName>
    <definedName name="TotalNuclearGeneration518">'[9]FRA-2 Variances'!#REF!</definedName>
    <definedName name="TotalOtherGeneration547">'[9]FRA-2 Variances'!#REF!</definedName>
    <definedName name="TotalPurchasedPower546_547">'[10]FRA-5 Variances'!#REF!</definedName>
    <definedName name="TotalPurchasedPower555_565">'[10]FRA-5 Variances'!#REF!</definedName>
    <definedName name="TotalSteamGeneration501">'[9]FRA-2 Variances'!#REF!</definedName>
    <definedName name="UNBILLED">[4]Prior!#REF!</definedName>
    <definedName name="Utility_Name">[8]Intro!$D$13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40" i="1" l="1"/>
  <c r="C46" i="1" s="1"/>
  <c r="D13" i="6"/>
  <c r="D12" i="1"/>
  <c r="B9" i="8" l="1"/>
  <c r="B12" i="8" s="1"/>
  <c r="C12" i="8" s="1"/>
  <c r="B13" i="8" s="1"/>
  <c r="D12" i="8" l="1"/>
  <c r="D13" i="8" s="1"/>
  <c r="D55" i="1"/>
  <c r="C55" i="1"/>
  <c r="D54" i="1"/>
  <c r="C54" i="1"/>
  <c r="D53" i="1"/>
  <c r="C53" i="1"/>
  <c r="D52" i="1"/>
  <c r="E52" i="1" s="1"/>
  <c r="C52" i="1"/>
  <c r="D51" i="1"/>
  <c r="C51" i="1"/>
  <c r="D50" i="1"/>
  <c r="C50" i="1"/>
  <c r="E55" i="1"/>
  <c r="D45" i="1"/>
  <c r="D44" i="1"/>
  <c r="D43" i="1"/>
  <c r="D42" i="1"/>
  <c r="D41" i="1"/>
  <c r="D40" i="1"/>
  <c r="C45" i="1"/>
  <c r="E45" i="1" s="1"/>
  <c r="C44" i="1"/>
  <c r="C43" i="1"/>
  <c r="E43" i="1" s="1"/>
  <c r="C42" i="1"/>
  <c r="C41" i="1"/>
  <c r="E44" i="1"/>
  <c r="D35" i="1"/>
  <c r="C35" i="1"/>
  <c r="D34" i="1"/>
  <c r="C34" i="1"/>
  <c r="D33" i="1"/>
  <c r="C33" i="1"/>
  <c r="D32" i="1"/>
  <c r="C32" i="1"/>
  <c r="D31" i="1"/>
  <c r="C31" i="1"/>
  <c r="D30" i="1"/>
  <c r="C30" i="1"/>
  <c r="C25" i="1"/>
  <c r="C24" i="1"/>
  <c r="C23" i="1"/>
  <c r="C22" i="1"/>
  <c r="C21" i="1"/>
  <c r="D25" i="1"/>
  <c r="D24" i="1"/>
  <c r="D23" i="1"/>
  <c r="D22" i="1"/>
  <c r="D21" i="1"/>
  <c r="D20" i="1"/>
  <c r="C20" i="1"/>
  <c r="P49" i="7"/>
  <c r="O49" i="7"/>
  <c r="N49" i="7"/>
  <c r="M49" i="7"/>
  <c r="L49" i="7"/>
  <c r="K49" i="7"/>
  <c r="J49" i="7"/>
  <c r="I49" i="7"/>
  <c r="H49" i="7"/>
  <c r="G49" i="7"/>
  <c r="F49" i="7"/>
  <c r="E49" i="7"/>
  <c r="D49" i="7"/>
  <c r="P40" i="7"/>
  <c r="O40" i="7"/>
  <c r="N40" i="7"/>
  <c r="M40" i="7"/>
  <c r="L40" i="7"/>
  <c r="K40" i="7"/>
  <c r="J40" i="7"/>
  <c r="I40" i="7"/>
  <c r="H40" i="7"/>
  <c r="G40" i="7"/>
  <c r="F40" i="7"/>
  <c r="E40" i="7"/>
  <c r="D40" i="7"/>
  <c r="P31" i="7"/>
  <c r="O31" i="7"/>
  <c r="N31" i="7"/>
  <c r="M31" i="7"/>
  <c r="L31" i="7"/>
  <c r="K31" i="7"/>
  <c r="J31" i="7"/>
  <c r="I31" i="7"/>
  <c r="H31" i="7"/>
  <c r="G31" i="7"/>
  <c r="F31" i="7"/>
  <c r="E31" i="7"/>
  <c r="D31" i="7"/>
  <c r="P22" i="7"/>
  <c r="O22" i="7"/>
  <c r="N22" i="7"/>
  <c r="M22" i="7"/>
  <c r="L22" i="7"/>
  <c r="K22" i="7"/>
  <c r="J22" i="7"/>
  <c r="I22" i="7"/>
  <c r="H22" i="7"/>
  <c r="G22" i="7"/>
  <c r="F22" i="7"/>
  <c r="E22" i="7"/>
  <c r="D22" i="7"/>
  <c r="P11" i="7"/>
  <c r="O11" i="7"/>
  <c r="N11" i="7"/>
  <c r="M11" i="7"/>
  <c r="L11" i="7"/>
  <c r="K11" i="7"/>
  <c r="J11" i="7"/>
  <c r="I11" i="7"/>
  <c r="H11" i="7"/>
  <c r="G11" i="7"/>
  <c r="F11" i="7"/>
  <c r="E11" i="7"/>
  <c r="D11" i="7"/>
  <c r="P10" i="7"/>
  <c r="O10" i="7"/>
  <c r="N10" i="7"/>
  <c r="M10" i="7"/>
  <c r="L10" i="7"/>
  <c r="K10" i="7"/>
  <c r="J10" i="7"/>
  <c r="I10" i="7"/>
  <c r="H10" i="7"/>
  <c r="G10" i="7"/>
  <c r="F10" i="7"/>
  <c r="E10" i="7"/>
  <c r="D10" i="7"/>
  <c r="P9" i="7"/>
  <c r="O9" i="7"/>
  <c r="N9" i="7"/>
  <c r="M9" i="7"/>
  <c r="L9" i="7"/>
  <c r="K9" i="7"/>
  <c r="J9" i="7"/>
  <c r="I9" i="7"/>
  <c r="H9" i="7"/>
  <c r="G9" i="7"/>
  <c r="F9" i="7"/>
  <c r="E9" i="7"/>
  <c r="D9" i="7"/>
  <c r="P8" i="7"/>
  <c r="O8" i="7"/>
  <c r="N8" i="7"/>
  <c r="M8" i="7"/>
  <c r="L8" i="7"/>
  <c r="K8" i="7"/>
  <c r="J8" i="7"/>
  <c r="I8" i="7"/>
  <c r="H8" i="7"/>
  <c r="G8" i="7"/>
  <c r="F8" i="7"/>
  <c r="E8" i="7"/>
  <c r="D8" i="7"/>
  <c r="P7" i="7"/>
  <c r="O7" i="7"/>
  <c r="N7" i="7"/>
  <c r="M7" i="7"/>
  <c r="L7" i="7"/>
  <c r="K7" i="7"/>
  <c r="J7" i="7"/>
  <c r="I7" i="7"/>
  <c r="H7" i="7"/>
  <c r="G7" i="7"/>
  <c r="F7" i="7"/>
  <c r="E7" i="7"/>
  <c r="D7" i="7"/>
  <c r="P6" i="7"/>
  <c r="P12" i="7" s="1"/>
  <c r="O6" i="7"/>
  <c r="O12" i="7" s="1"/>
  <c r="N6" i="7"/>
  <c r="N12" i="7" s="1"/>
  <c r="M6" i="7"/>
  <c r="M12" i="7" s="1"/>
  <c r="L6" i="7"/>
  <c r="L12" i="7" s="1"/>
  <c r="K6" i="7"/>
  <c r="K12" i="7" s="1"/>
  <c r="J6" i="7"/>
  <c r="J12" i="7" s="1"/>
  <c r="I6" i="7"/>
  <c r="I12" i="7" s="1"/>
  <c r="H6" i="7"/>
  <c r="H12" i="7" s="1"/>
  <c r="G6" i="7"/>
  <c r="G12" i="7" s="1"/>
  <c r="F6" i="7"/>
  <c r="F12" i="7" s="1"/>
  <c r="E6" i="7"/>
  <c r="E12" i="7" s="1"/>
  <c r="D6" i="7"/>
  <c r="D12" i="7" s="1"/>
  <c r="C7" i="1"/>
  <c r="D11" i="1"/>
  <c r="D10" i="1"/>
  <c r="D9" i="1"/>
  <c r="D8" i="1"/>
  <c r="D7" i="1"/>
  <c r="D6" i="1"/>
  <c r="C13" i="6"/>
  <c r="C11" i="1"/>
  <c r="C10" i="1"/>
  <c r="E10" i="6"/>
  <c r="C9" i="1" s="1"/>
  <c r="E9" i="6"/>
  <c r="C8" i="1" s="1"/>
  <c r="E8" i="6"/>
  <c r="E7" i="6"/>
  <c r="C6" i="1" s="1"/>
  <c r="C13" i="8" l="1"/>
  <c r="E13" i="6"/>
  <c r="E53" i="1"/>
  <c r="E54" i="1"/>
  <c r="E51" i="1"/>
  <c r="E42" i="1"/>
  <c r="C56" i="1"/>
  <c r="E50" i="1"/>
  <c r="E56" i="1" s="1"/>
  <c r="D56" i="1"/>
  <c r="E41" i="1"/>
  <c r="E40" i="1"/>
  <c r="D46" i="1"/>
  <c r="E46" i="1" l="1"/>
  <c r="B14" i="8"/>
  <c r="C14" i="8"/>
  <c r="D14" i="8"/>
  <c r="E7" i="1"/>
  <c r="E8" i="1"/>
  <c r="E9" i="1"/>
  <c r="E10" i="1"/>
  <c r="E11" i="1"/>
  <c r="E6" i="1"/>
  <c r="B15" i="8" l="1"/>
  <c r="D15" i="8" s="1"/>
  <c r="E12" i="1"/>
  <c r="F9" i="1" s="1"/>
  <c r="C15" i="8" l="1"/>
  <c r="F6" i="1"/>
  <c r="F11" i="1"/>
  <c r="F8" i="1"/>
  <c r="F7" i="1"/>
  <c r="F10" i="1"/>
  <c r="B16" i="8" l="1"/>
  <c r="D16" i="8" s="1"/>
  <c r="F12" i="1"/>
  <c r="E31" i="1"/>
  <c r="E32" i="1"/>
  <c r="E33" i="1"/>
  <c r="E34" i="1"/>
  <c r="E35" i="1"/>
  <c r="E30" i="1"/>
  <c r="E21" i="1"/>
  <c r="E22" i="1"/>
  <c r="E23" i="1"/>
  <c r="E24" i="1"/>
  <c r="E25" i="1"/>
  <c r="E20" i="1"/>
  <c r="D36" i="1"/>
  <c r="D26" i="1"/>
  <c r="C36" i="1"/>
  <c r="C26" i="1"/>
  <c r="C12" i="1"/>
  <c r="C16" i="8" l="1"/>
  <c r="B17" i="8"/>
  <c r="C17" i="8" s="1"/>
  <c r="D17" i="8"/>
  <c r="E26" i="1"/>
  <c r="E36" i="1"/>
  <c r="B18" i="8" l="1"/>
  <c r="D18" i="8" s="1"/>
  <c r="C18" i="8"/>
  <c r="B19" i="8" l="1"/>
  <c r="D19" i="8" s="1"/>
  <c r="C19" i="8"/>
  <c r="B20" i="8" l="1"/>
  <c r="D20" i="8" s="1"/>
  <c r="I15" i="1" l="1"/>
  <c r="I16" i="1" s="1"/>
  <c r="G15" i="1"/>
  <c r="G16" i="1" s="1"/>
  <c r="C20" i="8"/>
  <c r="D24" i="8" s="1"/>
  <c r="B21" i="8"/>
  <c r="D21" i="8" s="1"/>
  <c r="H15" i="1" s="1"/>
  <c r="H16" i="1" s="1"/>
  <c r="I9" i="1" l="1"/>
  <c r="F43" i="1" s="1"/>
  <c r="I10" i="1"/>
  <c r="F44" i="1" s="1"/>
  <c r="I11" i="1"/>
  <c r="F45" i="1" s="1"/>
  <c r="I7" i="1"/>
  <c r="F41" i="1" s="1"/>
  <c r="I8" i="1"/>
  <c r="F42" i="1" s="1"/>
  <c r="I6" i="1"/>
  <c r="H9" i="1"/>
  <c r="F33" i="1" s="1"/>
  <c r="H11" i="1"/>
  <c r="F35" i="1" s="1"/>
  <c r="H8" i="1"/>
  <c r="F32" i="1" s="1"/>
  <c r="H6" i="1"/>
  <c r="H10" i="1"/>
  <c r="F34" i="1" s="1"/>
  <c r="H7" i="1"/>
  <c r="F31" i="1" s="1"/>
  <c r="G9" i="1"/>
  <c r="F23" i="1" s="1"/>
  <c r="G7" i="1"/>
  <c r="F21" i="1" s="1"/>
  <c r="G11" i="1"/>
  <c r="F25" i="1" s="1"/>
  <c r="G6" i="1"/>
  <c r="G8" i="1"/>
  <c r="F22" i="1" s="1"/>
  <c r="G10" i="1"/>
  <c r="F24" i="1" s="1"/>
  <c r="C21" i="8"/>
  <c r="G12" i="1" l="1"/>
  <c r="F20" i="1"/>
  <c r="I12" i="1"/>
  <c r="F40" i="1"/>
  <c r="F30" i="1"/>
  <c r="H12" i="1"/>
  <c r="B22" i="8"/>
  <c r="D22" i="8" s="1"/>
  <c r="C22" i="8" l="1"/>
  <c r="B23" i="8" s="1"/>
  <c r="C23" i="8" l="1"/>
  <c r="D23" i="8"/>
  <c r="J15" i="1" s="1"/>
  <c r="J16" i="1" s="1"/>
  <c r="J9" i="1" l="1"/>
  <c r="F53" i="1" s="1"/>
  <c r="J8" i="1"/>
  <c r="F52" i="1" s="1"/>
  <c r="J7" i="1"/>
  <c r="F51" i="1" s="1"/>
  <c r="J6" i="1"/>
  <c r="J10" i="1"/>
  <c r="F54" i="1" s="1"/>
  <c r="J11" i="1"/>
  <c r="F55" i="1" s="1"/>
  <c r="J12" i="1" l="1"/>
  <c r="F50" i="1"/>
</calcChain>
</file>

<file path=xl/sharedStrings.xml><?xml version="1.0" encoding="utf-8"?>
<sst xmlns="http://schemas.openxmlformats.org/spreadsheetml/2006/main" count="243" uniqueCount="118">
  <si>
    <t>Rate Class</t>
  </si>
  <si>
    <t>Residential</t>
  </si>
  <si>
    <t>Small Commercial</t>
  </si>
  <si>
    <t>Medium and Large Commercial &amp; Industrial</t>
  </si>
  <si>
    <t>Contract</t>
  </si>
  <si>
    <t>Miscellaneous</t>
  </si>
  <si>
    <t>Streetlighting</t>
  </si>
  <si>
    <t>Allocation %</t>
  </si>
  <si>
    <t>Forecasted kWh</t>
  </si>
  <si>
    <t>Net Sales for Refund</t>
  </si>
  <si>
    <t>Credit Rate</t>
  </si>
  <si>
    <t>per kWh</t>
  </si>
  <si>
    <t>Madison Gas and Electric Company</t>
  </si>
  <si>
    <t>Electric Fuel Reconciliation Summary</t>
  </si>
  <si>
    <t>Forecasted Renewables</t>
  </si>
  <si>
    <t>Renewables includes sales associated with MGE's Green Power Tomorrow, Shared Solar, and Renewable Energy Rider programs.</t>
  </si>
  <si>
    <t>Total</t>
  </si>
  <si>
    <t>May</t>
  </si>
  <si>
    <t>Medium and Large C&amp;I</t>
  </si>
  <si>
    <t>RER</t>
  </si>
  <si>
    <t>Net Renewable</t>
  </si>
  <si>
    <t>Renewable</t>
  </si>
  <si>
    <t>2021 Sales - kWh</t>
  </si>
  <si>
    <t>2021 Renewable Sales</t>
  </si>
  <si>
    <t>2021 Net of Renewable Sales</t>
  </si>
  <si>
    <t>2021 Electric Sales Estimate</t>
  </si>
  <si>
    <t>KWH</t>
  </si>
  <si>
    <t>Total Sales</t>
  </si>
  <si>
    <t>Undercollection Amount</t>
  </si>
  <si>
    <t>Surcharge Allocation</t>
  </si>
  <si>
    <t>2022 Electric Sales Forecast</t>
  </si>
  <si>
    <t>January</t>
  </si>
  <si>
    <t>February</t>
  </si>
  <si>
    <t>March</t>
  </si>
  <si>
    <t>April</t>
  </si>
  <si>
    <t>June</t>
  </si>
  <si>
    <t>July</t>
  </si>
  <si>
    <t>August</t>
  </si>
  <si>
    <t>September</t>
  </si>
  <si>
    <t>October</t>
  </si>
  <si>
    <t>November</t>
  </si>
  <si>
    <t>December</t>
  </si>
  <si>
    <t xml:space="preserve">UR-124 2022 TY2022 Forecast Total </t>
  </si>
  <si>
    <t>Total Sales KWH with Renewables</t>
  </si>
  <si>
    <t>GPT</t>
  </si>
  <si>
    <t>CS1</t>
  </si>
  <si>
    <t>Sep-Dec 2022</t>
  </si>
  <si>
    <t>Docket 3270-FR-2021</t>
  </si>
  <si>
    <t>Interest Charge</t>
  </si>
  <si>
    <t>Undercollection Amount with Interest</t>
  </si>
  <si>
    <t>a</t>
  </si>
  <si>
    <t>b</t>
  </si>
  <si>
    <t>c</t>
  </si>
  <si>
    <t>d</t>
  </si>
  <si>
    <t>Estimated Interest Earned on Fuel Rules Surcharge</t>
  </si>
  <si>
    <t xml:space="preserve">ESTIMATE </t>
  </si>
  <si>
    <t>Fuel Surcharge</t>
  </si>
  <si>
    <t>WC STI</t>
  </si>
  <si>
    <t>ST Int/Month</t>
  </si>
  <si>
    <t>Interest Calc</t>
  </si>
  <si>
    <t>YTD</t>
  </si>
  <si>
    <t>YTD Interest</t>
  </si>
  <si>
    <t>Jan</t>
  </si>
  <si>
    <t>Feb</t>
  </si>
  <si>
    <t>Mar</t>
  </si>
  <si>
    <t>Apr</t>
  </si>
  <si>
    <t>Jun</t>
  </si>
  <si>
    <t>Jul</t>
  </si>
  <si>
    <t>Aug</t>
  </si>
  <si>
    <t>Sep</t>
  </si>
  <si>
    <t>Oct</t>
  </si>
  <si>
    <t>Nov</t>
  </si>
  <si>
    <t>Dec</t>
  </si>
  <si>
    <t>Check</t>
  </si>
  <si>
    <t>Miscellaneous (1)</t>
  </si>
  <si>
    <t>Streetlighting (1)</t>
  </si>
  <si>
    <t>Docket Number:</t>
  </si>
  <si>
    <t>3270-FR-2021</t>
  </si>
  <si>
    <t>Date  of Request:</t>
  </si>
  <si>
    <t>Requestor:</t>
  </si>
  <si>
    <t>Date of Response:</t>
  </si>
  <si>
    <t>Response</t>
  </si>
  <si>
    <t>Respondents:</t>
  </si>
  <si>
    <t>Carl Weinert and John Krueger</t>
  </si>
  <si>
    <t>Public Service Commission (Commission) staff is reviewing the March 31, 2022 application of Madison Gas and Electric Company (applicant) and needs additional information to process the application. Provide responses to TCM-1.1 and TCM-1.2 and its sub-questions within five days of the date of this request. Provide responses to TCM-1.3 and TCM-1.4 by May 18, 2022. If an extension is needed to provide adequate responses, please contact me immediately.</t>
  </si>
  <si>
    <t>The applicant's responses should include the original numbers and items below and be followed by the responses. Please upload the responses and any supporting documentation directly to the Commission's Electronic Records Filing (ERF) system under the docket number 3270-FR-2021 and using the document type Data Request/Response. When uploading the document, the ERF description must be "Response-Data Request-PSC-Meulemans-1." Commission staff will continue review of the application once responses are received.</t>
  </si>
  <si>
    <t>TCM-1.1</t>
  </si>
  <si>
    <t>Using the fuel numbers as filed in the application, demonstrate what a class-based surcharge allocation, with per kWh surcharge values, would look like if the deferred account balance were recovered in:</t>
  </si>
  <si>
    <t xml:space="preserve">a. </t>
  </si>
  <si>
    <t>September 2022;</t>
  </si>
  <si>
    <t xml:space="preserve">b. </t>
  </si>
  <si>
    <t>October 2022;</t>
  </si>
  <si>
    <t xml:space="preserve">c. </t>
  </si>
  <si>
    <t>September 2022 through December 2022; and</t>
  </si>
  <si>
    <t>d.</t>
  </si>
  <si>
    <t>The calendar year of 2023.</t>
  </si>
  <si>
    <t>TCM-1.2</t>
  </si>
  <si>
    <t>Provide any workbooks, with formulas intact, used to respond to TCM-1.1.</t>
  </si>
  <si>
    <t>TCM-1.3</t>
  </si>
  <si>
    <t>Using the final fuel audit numbers, demonstrate what a class-based surcharge allocation, with per kWh surcharge values, would look like if the deferred account balance were recovered in:</t>
  </si>
  <si>
    <t>a.</t>
  </si>
  <si>
    <t xml:space="preserve">d. </t>
  </si>
  <si>
    <t>MGE will respond to this request by May 18, 2022, unless an extension is requested by MGE and granted by Commission staff.</t>
  </si>
  <si>
    <t>TCM-1.4</t>
  </si>
  <si>
    <t>Provide any workbooks, with formulas intact, used to respond to TCM-1.3.</t>
  </si>
  <si>
    <t>Sep 2022</t>
  </si>
  <si>
    <t>Oct 2022</t>
  </si>
  <si>
    <t>Jan-Dec 2023</t>
  </si>
  <si>
    <t>Per PSC REF #s 434074 and 434075</t>
  </si>
  <si>
    <t>Total Sales KWH Net of Renewables</t>
  </si>
  <si>
    <t>(1)  Part of Streetlighting was included in Miscellaneous in the original response and is now reclassified to accurately account for these two classes.</t>
  </si>
  <si>
    <t>Note:  Actual 2021 sales are a work in progress due to year-end closing; therefore, the sales above are estimated based on billed data.  Unbilled sales are not included.</t>
  </si>
  <si>
    <t>3270-UR-124 REF # 410794</t>
  </si>
  <si>
    <t>Tyler Meulemans</t>
  </si>
  <si>
    <t>May 3, 2022 (PSC REF#: 437399)</t>
  </si>
  <si>
    <t>See Tab TCM-1.1 Surcharge Allocation.</t>
  </si>
  <si>
    <t>See Tabs TCM-1.2 2022 Sales by Class, TCM-1.2 2021 Sales by Class, and TCM-1.2 Interest Calc.</t>
  </si>
  <si>
    <t>MGE-Response-Data Request-PSC-Meulemans-1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</si>
</sst>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1" formatCode="_(* #,##0_);_(* \(#,##0\);_(* &quot;-&quot;_);_(@_)"/>
    <numFmt numFmtId="43" formatCode="_(* #,##0.00_);_(* \(#,##0.00\);_(* &quot;-&quot;??_);_(@_)"/>
    <numFmt numFmtId="164" formatCode="_(&quot;$&quot;* #,##0_);_(&quot;$&quot;* \(#,##0\);_(&quot;$&quot;* &quot;-&quot;_);_(@_)"/>
    <numFmt numFmtId="165" formatCode="_(&quot;$&quot;* #,##0.00_);_(&quot;$&quot;* \(#,##0.00\);_(&quot;$&quot;* &quot;-&quot;??_);_(@_)"/>
    <numFmt numFmtId="166" formatCode="_(* #,##0_);_(* \(#,##0\);_(* &quot;-&quot;??_);_(@_)"/>
    <numFmt numFmtId="167" formatCode="&quot;$&quot;#,##0"/>
    <numFmt numFmtId="168" formatCode="&quot;$&quot;#,##0.00000_);\(&quot;$&quot;#,##0.00000\)"/>
    <numFmt numFmtId="169" formatCode="0.0%"/>
    <numFmt numFmtId="170" formatCode="_(&quot;$&quot;* #,##0_);_(&quot;$&quot;* \(#,##0\);_(&quot;$&quot;* &quot;-&quot;??_);_(@_)"/>
    <numFmt numFmtId="171" formatCode="0.000%"/>
    <numFmt numFmtId="172" formatCode="[$-409]mmmm\ d\,\ yyyy;@"/>
  </numFmts>
  <fonts count="17">
    <font>
      <sz val="11"/>
      <color theme="1"/>
      <name val="Calibri"/>
      <family val="2"/>
      <scheme val="minor"/>
    </font>
    <font>
      <sz val="11"/>
      <color theme="1"/>
      <name val="Calibri"/>
      <family val="2"/>
      <scheme val="minor"/>
    </font>
    <font>
      <b/>
      <sz val="11"/>
      <color theme="1"/>
      <name val="Calibri"/>
      <family val="2"/>
      <scheme val="minor"/>
    </font>
    <font>
      <sz val="10"/>
      <name val="MS Sans Serif"/>
      <family val="2"/>
    </font>
    <font>
      <sz val="10"/>
      <name val="Arial"/>
      <family val="2"/>
    </font>
    <font>
      <sz val="11"/>
      <color indexed="8"/>
      <name val="Calibri"/>
      <family val="2"/>
    </font>
    <font>
      <sz val="10"/>
      <name val="Arial"/>
      <family val="2"/>
    </font>
    <font>
      <sz val="11"/>
      <color rgb="FFFF0000"/>
      <name val="Calibri"/>
      <family val="2"/>
      <scheme val="minor"/>
    </font>
    <font>
      <b/>
      <sz val="11"/>
      <color rgb="FFFF0000"/>
      <name val="Calibri"/>
      <family val="2"/>
      <scheme val="minor"/>
    </font>
    <font>
      <b/>
      <sz val="11"/>
      <name val="Calibri"/>
      <family val="2"/>
      <scheme val="minor"/>
    </font>
    <font>
      <b/>
      <sz val="12"/>
      <color theme="1"/>
      <name val="Calibri"/>
      <family val="2"/>
      <scheme val="minor"/>
    </font>
    <font>
      <sz val="12"/>
      <color theme="1"/>
      <name val="Calibri"/>
      <family val="2"/>
      <scheme val="minor"/>
    </font>
    <font>
      <b/>
      <sz val="12"/>
      <name val="Calibri"/>
      <family val="2"/>
      <scheme val="minor"/>
    </font>
    <font>
      <sz val="12"/>
      <name val="Calibri"/>
      <family val="2"/>
      <scheme val="minor"/>
    </font>
    <font>
      <sz val="11"/>
      <name val="Calibri"/>
      <family val="2"/>
      <scheme val="minor"/>
    </font>
    <font>
      <u/>
      <sz val="11"/>
      <color theme="1"/>
      <name val="Calibri"/>
      <family val="2"/>
      <scheme val="minor"/>
    </font>
    <font>
      <sz val="8"/>
      <name val="Calibri"/>
      <family val="2"/>
      <scheme val="minor"/>
    </font>
  </fonts>
  <fills count="2">
    <fill>
      <patternFill patternType="none"/>
    </fill>
    <fill>
      <patternFill patternType="gray125"/>
    </fill>
  </fills>
  <borders count="21">
    <border>
      <left/>
      <right/>
      <top/>
      <bottom/>
      <diagonal/>
    </border>
    <border>
      <left/>
      <right/>
      <top/>
      <bottom style="medium">
        <color indexed="64"/>
      </bottom>
      <diagonal/>
    </border>
    <border>
      <left/>
      <right/>
      <top/>
      <bottom style="thin">
        <color indexed="64"/>
      </bottom>
      <diagonal/>
    </border>
    <border>
      <left/>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style="medium">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indexed="64"/>
      </top>
      <bottom style="double">
        <color indexed="64"/>
      </bottom>
      <diagonal/>
    </border>
    <border>
      <left/>
      <right/>
      <top/>
      <bottom style="thick">
        <color auto="1"/>
      </bottom>
      <diagonal/>
    </border>
  </borders>
  <cellStyleXfs count="15">
    <xf numFmtId="0" fontId="0" fillId="0" borderId="0"/>
    <xf numFmtId="43" fontId="1" fillId="0" borderId="0" applyFont="0" applyFill="0" applyBorder="0" applyAlignment="0" applyProtection="0"/>
    <xf numFmtId="9" fontId="1" fillId="0" borderId="0" applyFont="0" applyFill="0" applyBorder="0" applyAlignment="0" applyProtection="0"/>
    <xf numFmtId="0" fontId="3" fillId="0" borderId="0"/>
    <xf numFmtId="43" fontId="5" fillId="0" borderId="0" applyFont="0" applyFill="0" applyBorder="0" applyAlignment="0" applyProtection="0"/>
    <xf numFmtId="0" fontId="4" fillId="0" borderId="0"/>
    <xf numFmtId="0" fontId="6" fillId="0" borderId="0"/>
    <xf numFmtId="0" fontId="1" fillId="0" borderId="0"/>
    <xf numFmtId="9" fontId="4" fillId="0" borderId="0" applyFont="0" applyFill="0" applyBorder="0" applyAlignment="0" applyProtection="0"/>
    <xf numFmtId="0" fontId="4" fillId="0" borderId="0"/>
    <xf numFmtId="165" fontId="5" fillId="0" borderId="0" applyFont="0" applyFill="0" applyBorder="0" applyAlignment="0" applyProtection="0"/>
    <xf numFmtId="0" fontId="1" fillId="0" borderId="0"/>
    <xf numFmtId="0" fontId="4" fillId="0" borderId="0"/>
    <xf numFmtId="43" fontId="1" fillId="0" borderId="0" applyFont="0" applyFill="0" applyBorder="0" applyAlignment="0" applyProtection="0"/>
    <xf numFmtId="165" fontId="1" fillId="0" borderId="0" applyFont="0" applyFill="0" applyBorder="0" applyAlignment="0" applyProtection="0"/>
  </cellStyleXfs>
  <cellXfs count="91">
    <xf numFmtId="0" fontId="0" fillId="0" borderId="0" xfId="0"/>
    <xf numFmtId="0" fontId="2" fillId="0" borderId="0" xfId="0" applyFont="1"/>
    <xf numFmtId="0" fontId="2" fillId="0" borderId="1" xfId="0" applyFont="1" applyBorder="1"/>
    <xf numFmtId="0" fontId="2" fillId="0" borderId="1" xfId="0" applyFont="1" applyBorder="1" applyAlignment="1">
      <alignment horizontal="center"/>
    </xf>
    <xf numFmtId="166" fontId="0" fillId="0" borderId="0" xfId="1" applyNumberFormat="1" applyFont="1"/>
    <xf numFmtId="166" fontId="0" fillId="0" borderId="0" xfId="0" applyNumberFormat="1"/>
    <xf numFmtId="0" fontId="0" fillId="0" borderId="1" xfId="0" applyBorder="1"/>
    <xf numFmtId="166" fontId="0" fillId="0" borderId="0" xfId="1" applyNumberFormat="1" applyFont="1" applyBorder="1"/>
    <xf numFmtId="0" fontId="7" fillId="0" borderId="0" xfId="0" applyFont="1"/>
    <xf numFmtId="0" fontId="0" fillId="0" borderId="10" xfId="0" applyBorder="1"/>
    <xf numFmtId="3" fontId="0" fillId="0" borderId="0" xfId="0" applyNumberFormat="1"/>
    <xf numFmtId="169" fontId="0" fillId="0" borderId="0" xfId="2" applyNumberFormat="1" applyFont="1"/>
    <xf numFmtId="0" fontId="8" fillId="0" borderId="0" xfId="0" applyFont="1"/>
    <xf numFmtId="0" fontId="0" fillId="0" borderId="4" xfId="0" applyBorder="1"/>
    <xf numFmtId="0" fontId="0" fillId="0" borderId="11" xfId="0" applyBorder="1"/>
    <xf numFmtId="0" fontId="2" fillId="0" borderId="11" xfId="0" applyFont="1" applyBorder="1"/>
    <xf numFmtId="0" fontId="0" fillId="0" borderId="5" xfId="0" applyBorder="1"/>
    <xf numFmtId="0" fontId="0" fillId="0" borderId="6" xfId="0" applyBorder="1"/>
    <xf numFmtId="166" fontId="2" fillId="0" borderId="0" xfId="1" applyNumberFormat="1" applyFont="1" applyBorder="1"/>
    <xf numFmtId="166" fontId="2" fillId="0" borderId="7" xfId="1" applyNumberFormat="1" applyFont="1" applyBorder="1" applyAlignment="1">
      <alignment wrapText="1"/>
    </xf>
    <xf numFmtId="0" fontId="0" fillId="0" borderId="8" xfId="0" applyBorder="1"/>
    <xf numFmtId="0" fontId="0" fillId="0" borderId="13" xfId="0" applyBorder="1"/>
    <xf numFmtId="0" fontId="0" fillId="0" borderId="3" xfId="0" applyBorder="1"/>
    <xf numFmtId="0" fontId="0" fillId="0" borderId="15" xfId="0" applyBorder="1"/>
    <xf numFmtId="0" fontId="0" fillId="0" borderId="18" xfId="0" applyBorder="1"/>
    <xf numFmtId="0" fontId="0" fillId="0" borderId="2" xfId="0" applyBorder="1"/>
    <xf numFmtId="0" fontId="9" fillId="0" borderId="0" xfId="0" applyFont="1"/>
    <xf numFmtId="0" fontId="0" fillId="0" borderId="0" xfId="0" applyAlignment="1">
      <alignment horizontal="center"/>
    </xf>
    <xf numFmtId="41" fontId="0" fillId="0" borderId="0" xfId="0" applyNumberFormat="1"/>
    <xf numFmtId="0" fontId="0" fillId="0" borderId="0" xfId="0" applyAlignment="1">
      <alignment horizontal="right"/>
    </xf>
    <xf numFmtId="0" fontId="2" fillId="0" borderId="1" xfId="0" applyFont="1" applyBorder="1" applyAlignment="1">
      <alignment horizontal="center" wrapText="1"/>
    </xf>
    <xf numFmtId="0" fontId="8" fillId="0" borderId="0" xfId="0" applyFont="1" applyAlignment="1">
      <alignment horizontal="center"/>
    </xf>
    <xf numFmtId="0" fontId="0" fillId="0" borderId="0" xfId="0" quotePrefix="1"/>
    <xf numFmtId="166" fontId="0" fillId="0" borderId="0" xfId="1" applyNumberFormat="1" applyFont="1" applyFill="1"/>
    <xf numFmtId="0" fontId="0" fillId="0" borderId="0" xfId="0" applyAlignment="1">
      <alignment vertical="top"/>
    </xf>
    <xf numFmtId="0" fontId="9" fillId="0" borderId="0" xfId="0" applyFont="1" applyAlignment="1">
      <alignment horizontal="center" vertical="top" wrapText="1"/>
    </xf>
    <xf numFmtId="0" fontId="14" fillId="0" borderId="0" xfId="0" applyFont="1" applyAlignment="1">
      <alignment horizontal="center" vertical="top" wrapText="1"/>
    </xf>
    <xf numFmtId="0" fontId="9" fillId="0" borderId="0" xfId="0" applyFont="1" applyAlignment="1">
      <alignment vertical="top"/>
    </xf>
    <xf numFmtId="0" fontId="14" fillId="0" borderId="0" xfId="0" applyFont="1" applyAlignment="1">
      <alignment vertical="top"/>
    </xf>
    <xf numFmtId="172" fontId="14" fillId="0" borderId="0" xfId="0" applyNumberFormat="1" applyFont="1" applyAlignment="1">
      <alignment horizontal="left" vertical="top"/>
    </xf>
    <xf numFmtId="0" fontId="0" fillId="0" borderId="20" xfId="0" applyBorder="1" applyAlignment="1">
      <alignment vertical="top"/>
    </xf>
    <xf numFmtId="0" fontId="2" fillId="0" borderId="0" xfId="0" applyFont="1" applyAlignment="1">
      <alignment vertical="top"/>
    </xf>
    <xf numFmtId="0" fontId="15" fillId="0" borderId="0" xfId="0" applyFont="1" applyAlignment="1">
      <alignment vertical="top"/>
    </xf>
    <xf numFmtId="0" fontId="2" fillId="0" borderId="4" xfId="0" applyFont="1" applyBorder="1" applyAlignment="1">
      <alignment horizontal="center"/>
    </xf>
    <xf numFmtId="0" fontId="0" fillId="0" borderId="6" xfId="0" applyBorder="1" applyAlignment="1">
      <alignment horizontal="center"/>
    </xf>
    <xf numFmtId="0" fontId="0" fillId="0" borderId="8" xfId="0" applyBorder="1" applyAlignment="1">
      <alignment horizontal="center"/>
    </xf>
    <xf numFmtId="49" fontId="2" fillId="0" borderId="0" xfId="0" applyNumberFormat="1" applyFont="1" applyAlignment="1">
      <alignment horizontal="center"/>
    </xf>
    <xf numFmtId="167" fontId="0" fillId="0" borderId="0" xfId="1" applyNumberFormat="1" applyFont="1"/>
    <xf numFmtId="10" fontId="0" fillId="0" borderId="0" xfId="2" applyNumberFormat="1" applyFont="1" applyFill="1"/>
    <xf numFmtId="170" fontId="0" fillId="0" borderId="0" xfId="14" applyNumberFormat="1" applyFont="1" applyFill="1"/>
    <xf numFmtId="166" fontId="0" fillId="0" borderId="1" xfId="1" applyNumberFormat="1" applyFont="1" applyFill="1" applyBorder="1"/>
    <xf numFmtId="166" fontId="0" fillId="0" borderId="1" xfId="0" applyNumberFormat="1" applyBorder="1"/>
    <xf numFmtId="10" fontId="0" fillId="0" borderId="1" xfId="2" applyNumberFormat="1" applyFont="1" applyFill="1" applyBorder="1"/>
    <xf numFmtId="170" fontId="0" fillId="0" borderId="1" xfId="14" applyNumberFormat="1" applyFont="1" applyFill="1" applyBorder="1"/>
    <xf numFmtId="10" fontId="0" fillId="0" borderId="0" xfId="0" applyNumberFormat="1"/>
    <xf numFmtId="165" fontId="0" fillId="0" borderId="0" xfId="0" applyNumberFormat="1"/>
    <xf numFmtId="167" fontId="0" fillId="0" borderId="0" xfId="0" applyNumberFormat="1"/>
    <xf numFmtId="167" fontId="0" fillId="0" borderId="2" xfId="0" applyNumberFormat="1" applyBorder="1"/>
    <xf numFmtId="167" fontId="0" fillId="0" borderId="19" xfId="0" applyNumberFormat="1" applyBorder="1"/>
    <xf numFmtId="49" fontId="2" fillId="0" borderId="11" xfId="0" applyNumberFormat="1" applyFont="1" applyBorder="1" applyAlignment="1">
      <alignment horizontal="center"/>
    </xf>
    <xf numFmtId="0" fontId="2" fillId="0" borderId="5" xfId="0" applyFont="1" applyBorder="1" applyAlignment="1">
      <alignment horizontal="center"/>
    </xf>
    <xf numFmtId="0" fontId="2" fillId="0" borderId="9" xfId="0" applyFont="1" applyBorder="1" applyAlignment="1">
      <alignment horizontal="center"/>
    </xf>
    <xf numFmtId="168" fontId="0" fillId="0" borderId="7" xfId="0" applyNumberFormat="1" applyBorder="1"/>
    <xf numFmtId="168" fontId="0" fillId="0" borderId="9" xfId="0" applyNumberFormat="1" applyBorder="1"/>
    <xf numFmtId="0" fontId="0" fillId="0" borderId="9" xfId="0" applyBorder="1"/>
    <xf numFmtId="166" fontId="0" fillId="0" borderId="0" xfId="1" applyNumberFormat="1" applyFont="1" applyFill="1" applyBorder="1"/>
    <xf numFmtId="166" fontId="0" fillId="0" borderId="7" xfId="1" applyNumberFormat="1" applyFont="1" applyFill="1" applyBorder="1"/>
    <xf numFmtId="166" fontId="0" fillId="0" borderId="2" xfId="1" applyNumberFormat="1" applyFont="1" applyFill="1" applyBorder="1"/>
    <xf numFmtId="166" fontId="0" fillId="0" borderId="12" xfId="1" applyNumberFormat="1" applyFont="1" applyFill="1" applyBorder="1"/>
    <xf numFmtId="166" fontId="0" fillId="0" borderId="9" xfId="1" applyNumberFormat="1" applyFont="1" applyFill="1" applyBorder="1"/>
    <xf numFmtId="0" fontId="2" fillId="0" borderId="3" xfId="0" applyFont="1" applyBorder="1"/>
    <xf numFmtId="0" fontId="0" fillId="0" borderId="14" xfId="0" applyBorder="1"/>
    <xf numFmtId="166" fontId="2" fillId="0" borderId="0" xfId="1" applyNumberFormat="1" applyFont="1" applyFill="1" applyBorder="1"/>
    <xf numFmtId="166" fontId="2" fillId="0" borderId="16" xfId="1" applyNumberFormat="1" applyFont="1" applyFill="1" applyBorder="1" applyAlignment="1">
      <alignment wrapText="1"/>
    </xf>
    <xf numFmtId="166" fontId="0" fillId="0" borderId="16" xfId="1" applyNumberFormat="1" applyFont="1" applyFill="1" applyBorder="1"/>
    <xf numFmtId="166" fontId="0" fillId="0" borderId="17" xfId="1" applyNumberFormat="1" applyFont="1" applyFill="1" applyBorder="1"/>
    <xf numFmtId="166" fontId="2" fillId="0" borderId="3" xfId="1" applyNumberFormat="1" applyFont="1" applyFill="1" applyBorder="1"/>
    <xf numFmtId="166" fontId="0" fillId="0" borderId="3" xfId="1" applyNumberFormat="1" applyFont="1" applyFill="1" applyBorder="1"/>
    <xf numFmtId="166" fontId="0" fillId="0" borderId="14" xfId="1" applyNumberFormat="1" applyFont="1" applyFill="1" applyBorder="1"/>
    <xf numFmtId="3" fontId="0" fillId="0" borderId="10" xfId="0" applyNumberFormat="1" applyBorder="1"/>
    <xf numFmtId="166" fontId="0" fillId="0" borderId="10" xfId="1" applyNumberFormat="1" applyFont="1" applyFill="1" applyBorder="1"/>
    <xf numFmtId="164" fontId="2" fillId="0" borderId="0" xfId="0" applyNumberFormat="1" applyFont="1"/>
    <xf numFmtId="171" fontId="0" fillId="0" borderId="0" xfId="2" applyNumberFormat="1" applyFont="1" applyFill="1"/>
    <xf numFmtId="0" fontId="2" fillId="0" borderId="0" xfId="0" applyFont="1" applyAlignment="1">
      <alignment horizontal="center"/>
    </xf>
    <xf numFmtId="0" fontId="10" fillId="0" borderId="0" xfId="0" applyFont="1" applyAlignment="1">
      <alignment horizontal="center" vertical="top" wrapText="1"/>
    </xf>
    <xf numFmtId="0" fontId="11" fillId="0" borderId="0" xfId="0" applyFont="1" applyAlignment="1">
      <alignment horizontal="center" vertical="top" wrapText="1"/>
    </xf>
    <xf numFmtId="0" fontId="12" fillId="0" borderId="0" xfId="0" applyFont="1" applyAlignment="1">
      <alignment horizontal="center" vertical="top" wrapText="1"/>
    </xf>
    <xf numFmtId="0" fontId="13" fillId="0" borderId="0" xfId="0" applyFont="1" applyAlignment="1">
      <alignment horizontal="center" vertical="top" wrapText="1"/>
    </xf>
    <xf numFmtId="0" fontId="2" fillId="0" borderId="0" xfId="0" applyFont="1" applyAlignment="1">
      <alignment vertical="top" wrapText="1"/>
    </xf>
    <xf numFmtId="0" fontId="0" fillId="0" borderId="0" xfId="0" applyAlignment="1">
      <alignment vertical="top" wrapText="1"/>
    </xf>
    <xf numFmtId="0" fontId="2" fillId="0" borderId="0" xfId="0" applyFont="1" applyAlignment="1">
      <alignment horizontal="center" vertical="center"/>
    </xf>
  </cellXfs>
  <cellStyles count="15">
    <cellStyle name="Comma" xfId="1" builtinId="3"/>
    <cellStyle name="Comma 2" xfId="4" xr:uid="{15F181EC-19B8-483B-9933-C856B6A79F13}"/>
    <cellStyle name="Comma 2 2" xfId="13" xr:uid="{DE5761DF-5A5A-4FE0-92FE-E1D451EB2AC9}"/>
    <cellStyle name="Currency" xfId="14" builtinId="4"/>
    <cellStyle name="Currency 2" xfId="10" xr:uid="{1B45C105-89A6-4C27-9AC9-44300A26E31A}"/>
    <cellStyle name="Normal" xfId="0" builtinId="0"/>
    <cellStyle name="Normal 10" xfId="9" xr:uid="{25279E04-EB55-4927-A6B8-494E07401F24}"/>
    <cellStyle name="Normal 2" xfId="6" xr:uid="{5DE06E52-14A5-4B3D-AFBE-D1FD17001AAD}"/>
    <cellStyle name="Normal 2 2" xfId="7" xr:uid="{ED49469B-D612-490C-B74C-92041D37C061}"/>
    <cellStyle name="Normal 2 3" xfId="12" xr:uid="{70E018B0-ED16-4175-842B-6C1BB9C7ED26}"/>
    <cellStyle name="Normal 3" xfId="3" xr:uid="{6EBA6F96-701C-4256-A297-8B9B65A9F88D}"/>
    <cellStyle name="Normal 4" xfId="5" xr:uid="{C34E0655-E573-46BE-982C-1F525EF20762}"/>
    <cellStyle name="Normal 5" xfId="11" xr:uid="{55B5D251-0DB5-4BCA-B36D-E36EE13D1D18}"/>
    <cellStyle name="Percent" xfId="2" builtinId="5"/>
    <cellStyle name="Percent 2" xfId="8" xr:uid="{DD2045D6-FCAF-4E98-BE25-0DD97F564A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externalLink" Target="externalLinks/externalLink8.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externalLink" Target="externalLinks/externalLink10.xml"/><Relationship Id="rId10" Type="http://schemas.openxmlformats.org/officeDocument/2006/relationships/externalLink" Target="externalLinks/externalLink5.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EXCEL/JOINTPLT/COLUMBIA/COLUMBIABILL/JUNE/June%20Bil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ge-cluster_data_server/data/PGADJ/MGEoct9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est/di/JournalEntry_multi-5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ge-cluster_data_server/data/PSCPGA/mge0900pga.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G:/BUDGET/SHARESAV/Shared%20Savings%20ZBA%20Acct/2019%20JE%20Support/Shared%20Savings%20Journal%20Entry%20-%20March%202019.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ge-cluster_data_server/data/GACCOUNT/Risk_Mgt_Gas/GPosition%20Rpt.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Fuel_Cost_Report/2001%20January%20Fuel%20Surcharge/2000%20Fuel%20Credit/UR109_Y2K_Fuel_Credit_Run_3.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ge-cluster_data_server/data/PSCPGA/mge0800pga.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Public/JFROEHLICH/UR-117-2012/SupportInfo/PSCW-2012/2012ReconciliationAudit/2012%20FRA%20Response%204.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Data/Restricted/Fuel%20Budgets/2015%20UR-120/Support/PSCW-2015/FRA/Initial%20Data%20Request/FRA-22%20Emission%20Chemical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BILL"/>
      <sheetName val="INVOICE"/>
      <sheetName val="FAXWPS"/>
      <sheetName val="Module1"/>
      <sheetName val="FAXMAG"/>
      <sheetName val="12 MONTHS"/>
      <sheetName val="SJE071"/>
      <sheetName val="SJE073"/>
      <sheetName val="DEPOSIT&amp;INVENTORY"/>
      <sheetName val="AIR EMISSION"/>
      <sheetName val="BILLING"/>
      <sheetName val="Module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A Calc"/>
      <sheetName val="Sheet G3"/>
      <sheetName val="Sheet G3.01"/>
      <sheetName val="Gas Supply Rate Sht G 3.01"/>
      <sheetName val="Gas Dist Rate Sht G 3"/>
      <sheetName val="Nat Gas Service Cost Components"/>
      <sheetName val="Transition Chg - Components"/>
      <sheetName val="Kris Input - MGE"/>
      <sheetName val="B"/>
      <sheetName val="C"/>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gle Journal"/>
      <sheetName val="Multiple Journals"/>
      <sheetName val="Bulk Journals"/>
      <sheetName val="Sheet3"/>
      <sheetName val="_ADFDI_Parameters"/>
      <sheetName val="_ADFDI_Metadata"/>
      <sheetName val="_ADFDI_WorkbookData"/>
      <sheetName val="_ADFDI_LOV"/>
      <sheetName val="_ADFDI_BCMetadata"/>
      <sheetName val="_ADFDI_DynamicTable"/>
    </sheetNames>
    <sheetDataSet>
      <sheetData sheetId="0"/>
      <sheetData sheetId="1"/>
      <sheetData sheetId="2"/>
      <sheetData sheetId="3"/>
      <sheetData sheetId="4"/>
      <sheetData sheetId="5"/>
      <sheetData sheetId="6"/>
      <sheetData sheetId="7">
        <row r="30">
          <cell r="D30" t="str">
            <v>Oct-07</v>
          </cell>
          <cell r="E30" t="str">
            <v>Nov-07</v>
          </cell>
          <cell r="F30" t="str">
            <v>Dec-07</v>
          </cell>
          <cell r="G30" t="str">
            <v>Jan-08</v>
          </cell>
          <cell r="H30" t="str">
            <v>Feb-08</v>
          </cell>
          <cell r="I30" t="str">
            <v>Mar-08</v>
          </cell>
          <cell r="J30" t="str">
            <v>Apr-08</v>
          </cell>
          <cell r="K30" t="str">
            <v>May-08</v>
          </cell>
          <cell r="L30" t="str">
            <v>Jun-08</v>
          </cell>
          <cell r="M30" t="str">
            <v>Jul-08</v>
          </cell>
          <cell r="N30" t="str">
            <v>Aug-08</v>
          </cell>
          <cell r="O30" t="str">
            <v>Sep-08</v>
          </cell>
          <cell r="P30" t="str">
            <v>Adj_Sep-08</v>
          </cell>
          <cell r="Q30" t="str">
            <v>Oct-08</v>
          </cell>
          <cell r="R30" t="str">
            <v>Nov-08</v>
          </cell>
          <cell r="S30" t="str">
            <v>Dec-08</v>
          </cell>
          <cell r="T30" t="str">
            <v>Jan-09</v>
          </cell>
          <cell r="U30" t="str">
            <v>Feb-09</v>
          </cell>
          <cell r="V30" t="str">
            <v>Mar-09</v>
          </cell>
          <cell r="W30" t="str">
            <v>Apr-09</v>
          </cell>
          <cell r="X30" t="str">
            <v>May-09</v>
          </cell>
          <cell r="Y30" t="str">
            <v>Jun-09</v>
          </cell>
          <cell r="Z30" t="str">
            <v>Jul-09</v>
          </cell>
          <cell r="AA30" t="str">
            <v>Aug-09</v>
          </cell>
          <cell r="AB30" t="str">
            <v>Sep-09</v>
          </cell>
          <cell r="AC30" t="str">
            <v>Adj_Sep-09</v>
          </cell>
          <cell r="AD30" t="str">
            <v>Oct-09</v>
          </cell>
          <cell r="AE30" t="str">
            <v>Nov-09</v>
          </cell>
          <cell r="AF30" t="str">
            <v>Dec-09</v>
          </cell>
          <cell r="AG30" t="str">
            <v>Jan-10</v>
          </cell>
          <cell r="AH30" t="str">
            <v>Feb-10</v>
          </cell>
          <cell r="AI30" t="str">
            <v>Mar-10</v>
          </cell>
          <cell r="AJ30" t="str">
            <v>Apr-10</v>
          </cell>
          <cell r="AK30" t="str">
            <v>May-10</v>
          </cell>
          <cell r="AL30" t="str">
            <v>Jun-10</v>
          </cell>
          <cell r="AM30" t="str">
            <v>Jul-10</v>
          </cell>
          <cell r="AN30" t="str">
            <v>Aug-10</v>
          </cell>
          <cell r="AO30" t="str">
            <v>Sep-10</v>
          </cell>
          <cell r="AP30" t="str">
            <v>Adj_Sep-10</v>
          </cell>
          <cell r="AQ30" t="str">
            <v>Oct-10</v>
          </cell>
          <cell r="AR30" t="str">
            <v>Nov-10</v>
          </cell>
          <cell r="AS30" t="str">
            <v>Dec-10</v>
          </cell>
          <cell r="AT30" t="str">
            <v>Jan-11</v>
          </cell>
          <cell r="AU30" t="str">
            <v>Feb-11</v>
          </cell>
          <cell r="AV30" t="str">
            <v>Mar-11</v>
          </cell>
          <cell r="AW30" t="str">
            <v>Apr-11</v>
          </cell>
          <cell r="AX30" t="str">
            <v>May-11</v>
          </cell>
          <cell r="AY30" t="str">
            <v>Jun-11</v>
          </cell>
          <cell r="AZ30" t="str">
            <v>Jul-11</v>
          </cell>
          <cell r="BA30" t="str">
            <v>Aug-11</v>
          </cell>
          <cell r="BB30" t="str">
            <v>Sep-11</v>
          </cell>
          <cell r="BC30" t="str">
            <v>Adj_Sep-11</v>
          </cell>
          <cell r="BD30" t="str">
            <v>Oct-11</v>
          </cell>
          <cell r="BE30" t="str">
            <v>Nov-11</v>
          </cell>
          <cell r="BF30" t="str">
            <v>Dec-11</v>
          </cell>
          <cell r="BG30" t="str">
            <v>Jan-12</v>
          </cell>
          <cell r="BH30" t="str">
            <v>Feb-12</v>
          </cell>
          <cell r="BI30" t="str">
            <v>Mar-12</v>
          </cell>
          <cell r="BJ30" t="str">
            <v>Apr-12</v>
          </cell>
          <cell r="BK30" t="str">
            <v>May-12</v>
          </cell>
          <cell r="BL30" t="str">
            <v>Jun-12</v>
          </cell>
          <cell r="BM30" t="str">
            <v>Jul-12</v>
          </cell>
          <cell r="BN30" t="str">
            <v>Aug-12</v>
          </cell>
          <cell r="BO30" t="str">
            <v>Sep-12</v>
          </cell>
          <cell r="BP30" t="str">
            <v>Adj_Sep-12</v>
          </cell>
          <cell r="BQ30" t="str">
            <v>Oct-12</v>
          </cell>
          <cell r="BR30" t="str">
            <v>Nov-12</v>
          </cell>
          <cell r="BS30" t="str">
            <v>Dec-12</v>
          </cell>
          <cell r="BT30" t="str">
            <v>Jan-13</v>
          </cell>
          <cell r="BU30" t="str">
            <v>Feb-13</v>
          </cell>
          <cell r="BV30" t="str">
            <v>Mar-13</v>
          </cell>
          <cell r="BW30" t="str">
            <v>Apr-13</v>
          </cell>
          <cell r="BX30" t="str">
            <v>May-13</v>
          </cell>
          <cell r="BY30" t="str">
            <v>Jun-13</v>
          </cell>
          <cell r="BZ30" t="str">
            <v>Jul-13</v>
          </cell>
          <cell r="CA30" t="str">
            <v>Aug-13</v>
          </cell>
          <cell r="CB30" t="str">
            <v>Sep-13</v>
          </cell>
          <cell r="CC30" t="str">
            <v>Adj_Sep-13</v>
          </cell>
          <cell r="CD30" t="str">
            <v>Oct-13</v>
          </cell>
          <cell r="CE30" t="str">
            <v>Nov-13</v>
          </cell>
          <cell r="CF30" t="str">
            <v>Dec-13</v>
          </cell>
          <cell r="CG30" t="str">
            <v>Jan-14</v>
          </cell>
          <cell r="CH30" t="str">
            <v>Feb-14</v>
          </cell>
          <cell r="CI30" t="str">
            <v>Mar-14</v>
          </cell>
          <cell r="CJ30" t="str">
            <v>Apr-14</v>
          </cell>
          <cell r="CK30" t="str">
            <v>May-14</v>
          </cell>
          <cell r="CL30" t="str">
            <v>Jun-14</v>
          </cell>
          <cell r="CM30" t="str">
            <v>Jul-14</v>
          </cell>
          <cell r="CN30" t="str">
            <v>Aug-14</v>
          </cell>
          <cell r="CO30" t="str">
            <v>Sep-14</v>
          </cell>
          <cell r="CP30" t="str">
            <v>Adj_Sep-14</v>
          </cell>
          <cell r="CQ30" t="str">
            <v>Oct-14</v>
          </cell>
          <cell r="CR30" t="str">
            <v>Nov-14</v>
          </cell>
          <cell r="CS30" t="str">
            <v>Dec-14</v>
          </cell>
          <cell r="CT30" t="str">
            <v>Jan-15</v>
          </cell>
          <cell r="CU30" t="str">
            <v>Feb-15</v>
          </cell>
          <cell r="CV30" t="str">
            <v>Mar-15</v>
          </cell>
          <cell r="CW30" t="str">
            <v>Apr-15</v>
          </cell>
          <cell r="CX30" t="str">
            <v>May-15</v>
          </cell>
          <cell r="CY30" t="str">
            <v>Jun-15</v>
          </cell>
          <cell r="CZ30" t="str">
            <v>Jul-15</v>
          </cell>
          <cell r="DA30" t="str">
            <v>Aug-15</v>
          </cell>
          <cell r="DB30" t="str">
            <v>Sep-15</v>
          </cell>
          <cell r="DC30" t="str">
            <v>Adj_Sep-15</v>
          </cell>
        </row>
        <row r="32">
          <cell r="D32" t="str">
            <v>Oct-07</v>
          </cell>
          <cell r="E32" t="str">
            <v>Nov-07</v>
          </cell>
          <cell r="F32" t="str">
            <v>Dec-07</v>
          </cell>
          <cell r="G32" t="str">
            <v>Jan-08</v>
          </cell>
          <cell r="H32" t="str">
            <v>Feb-08</v>
          </cell>
          <cell r="I32" t="str">
            <v>Mar-08</v>
          </cell>
          <cell r="J32" t="str">
            <v>Apr-08</v>
          </cell>
          <cell r="K32" t="str">
            <v>May-08</v>
          </cell>
          <cell r="L32" t="str">
            <v>Jun-08</v>
          </cell>
          <cell r="M32" t="str">
            <v>Jul-08</v>
          </cell>
          <cell r="N32" t="str">
            <v>Aug-08</v>
          </cell>
          <cell r="O32" t="str">
            <v>Sep-08</v>
          </cell>
          <cell r="P32" t="str">
            <v>Adj_Sep-08</v>
          </cell>
          <cell r="Q32" t="str">
            <v>Oct-08</v>
          </cell>
          <cell r="R32" t="str">
            <v>Nov-08</v>
          </cell>
          <cell r="S32" t="str">
            <v>Dec-08</v>
          </cell>
          <cell r="T32" t="str">
            <v>Jan-09</v>
          </cell>
          <cell r="U32" t="str">
            <v>Feb-09</v>
          </cell>
          <cell r="V32" t="str">
            <v>Mar-09</v>
          </cell>
          <cell r="W32" t="str">
            <v>Apr-09</v>
          </cell>
          <cell r="X32" t="str">
            <v>May-09</v>
          </cell>
          <cell r="Y32" t="str">
            <v>Jun-09</v>
          </cell>
          <cell r="Z32" t="str">
            <v>Jul-09</v>
          </cell>
          <cell r="AA32" t="str">
            <v>Aug-09</v>
          </cell>
          <cell r="AB32" t="str">
            <v>Sep-09</v>
          </cell>
          <cell r="AC32" t="str">
            <v>Adj_Sep-09</v>
          </cell>
          <cell r="AD32" t="str">
            <v>Oct-09</v>
          </cell>
          <cell r="AE32" t="str">
            <v>Nov-09</v>
          </cell>
          <cell r="AF32" t="str">
            <v>Dec-09</v>
          </cell>
          <cell r="AG32" t="str">
            <v>Jan-10</v>
          </cell>
          <cell r="AH32" t="str">
            <v>Feb-10</v>
          </cell>
          <cell r="AI32" t="str">
            <v>Mar-10</v>
          </cell>
          <cell r="AJ32" t="str">
            <v>Apr-10</v>
          </cell>
          <cell r="AK32" t="str">
            <v>May-10</v>
          </cell>
          <cell r="AL32" t="str">
            <v>Jun-10</v>
          </cell>
          <cell r="AM32" t="str">
            <v>Jul-10</v>
          </cell>
          <cell r="AN32" t="str">
            <v>Aug-10</v>
          </cell>
          <cell r="AO32" t="str">
            <v>Sep-10</v>
          </cell>
          <cell r="AP32" t="str">
            <v>Adj_Sep-10</v>
          </cell>
          <cell r="AQ32" t="str">
            <v>Oct-10</v>
          </cell>
          <cell r="AR32" t="str">
            <v>Nov-10</v>
          </cell>
          <cell r="AS32" t="str">
            <v>Dec-10</v>
          </cell>
          <cell r="AT32" t="str">
            <v>Jan-11</v>
          </cell>
          <cell r="AU32" t="str">
            <v>Feb-11</v>
          </cell>
          <cell r="AV32" t="str">
            <v>Mar-11</v>
          </cell>
          <cell r="AW32" t="str">
            <v>Apr-11</v>
          </cell>
          <cell r="AX32" t="str">
            <v>May-11</v>
          </cell>
          <cell r="AY32" t="str">
            <v>Jun-11</v>
          </cell>
          <cell r="AZ32" t="str">
            <v>Jul-11</v>
          </cell>
          <cell r="BA32" t="str">
            <v>Aug-11</v>
          </cell>
          <cell r="BB32" t="str">
            <v>Sep-11</v>
          </cell>
          <cell r="BC32" t="str">
            <v>Adj_Sep-11</v>
          </cell>
          <cell r="BD32" t="str">
            <v>Oct-11</v>
          </cell>
          <cell r="BE32" t="str">
            <v>Nov-11</v>
          </cell>
          <cell r="BF32" t="str">
            <v>Dec-11</v>
          </cell>
          <cell r="BG32" t="str">
            <v>Jan-12</v>
          </cell>
          <cell r="BH32" t="str">
            <v>Feb-12</v>
          </cell>
          <cell r="BI32" t="str">
            <v>Mar-12</v>
          </cell>
          <cell r="BJ32" t="str">
            <v>Apr-12</v>
          </cell>
          <cell r="BK32" t="str">
            <v>May-12</v>
          </cell>
          <cell r="BL32" t="str">
            <v>Jun-12</v>
          </cell>
          <cell r="BM32" t="str">
            <v>Jul-12</v>
          </cell>
          <cell r="BN32" t="str">
            <v>Aug-12</v>
          </cell>
          <cell r="BO32" t="str">
            <v>Sep-12</v>
          </cell>
          <cell r="BP32" t="str">
            <v>Adj_Sep-12</v>
          </cell>
          <cell r="BQ32" t="str">
            <v>Oct-12</v>
          </cell>
          <cell r="BR32" t="str">
            <v>Nov-12</v>
          </cell>
          <cell r="BS32" t="str">
            <v>Dec-12</v>
          </cell>
          <cell r="BT32" t="str">
            <v>Jan-13</v>
          </cell>
          <cell r="BU32" t="str">
            <v>Feb-13</v>
          </cell>
          <cell r="BV32" t="str">
            <v>Mar-13</v>
          </cell>
          <cell r="BW32" t="str">
            <v>Apr-13</v>
          </cell>
          <cell r="BX32" t="str">
            <v>May-13</v>
          </cell>
          <cell r="BY32" t="str">
            <v>Jun-13</v>
          </cell>
          <cell r="BZ32" t="str">
            <v>Jul-13</v>
          </cell>
          <cell r="CA32" t="str">
            <v>Aug-13</v>
          </cell>
          <cell r="CB32" t="str">
            <v>Sep-13</v>
          </cell>
          <cell r="CC32" t="str">
            <v>Adj_Sep-13</v>
          </cell>
          <cell r="CD32" t="str">
            <v>Oct-13</v>
          </cell>
          <cell r="CE32" t="str">
            <v>Nov-13</v>
          </cell>
          <cell r="CF32" t="str">
            <v>Dec-13</v>
          </cell>
          <cell r="CG32" t="str">
            <v>Jan-14</v>
          </cell>
          <cell r="CH32" t="str">
            <v>Feb-14</v>
          </cell>
          <cell r="CI32" t="str">
            <v>Mar-14</v>
          </cell>
          <cell r="CJ32" t="str">
            <v>Apr-14</v>
          </cell>
          <cell r="CK32" t="str">
            <v>May-14</v>
          </cell>
          <cell r="CL32" t="str">
            <v>Jun-14</v>
          </cell>
          <cell r="CM32" t="str">
            <v>Jul-14</v>
          </cell>
          <cell r="CN32" t="str">
            <v>Aug-14</v>
          </cell>
          <cell r="CO32" t="str">
            <v>Sep-14</v>
          </cell>
          <cell r="CP32" t="str">
            <v>Adj_Sep-14</v>
          </cell>
          <cell r="CQ32" t="str">
            <v>Oct-14</v>
          </cell>
          <cell r="CR32" t="str">
            <v>Nov-14</v>
          </cell>
          <cell r="CS32" t="str">
            <v>Dec-14</v>
          </cell>
          <cell r="CT32" t="str">
            <v>Jan-15</v>
          </cell>
          <cell r="CU32" t="str">
            <v>Feb-15</v>
          </cell>
          <cell r="CV32" t="str">
            <v>Mar-15</v>
          </cell>
          <cell r="CW32" t="str">
            <v>Apr-15</v>
          </cell>
          <cell r="CX32" t="str">
            <v>May-15</v>
          </cell>
          <cell r="CY32" t="str">
            <v>Jun-15</v>
          </cell>
          <cell r="CZ32" t="str">
            <v>Jul-15</v>
          </cell>
          <cell r="DA32" t="str">
            <v>Aug-15</v>
          </cell>
          <cell r="DB32" t="str">
            <v>Sep-15</v>
          </cell>
          <cell r="DC32" t="str">
            <v>Adj_Sep-15</v>
          </cell>
        </row>
      </sheetData>
      <sheetData sheetId="8"/>
      <sheetData sheetId="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v"/>
      <sheetName val="Prior"/>
      <sheetName val="Unbill"/>
      <sheetName val="TuSum"/>
      <sheetName val="InputEst"/>
      <sheetName val="Intro"/>
      <sheetName val="A"/>
      <sheetName val="B"/>
      <sheetName val="C"/>
      <sheetName val="C1"/>
      <sheetName val="D"/>
      <sheetName val="E"/>
      <sheetName val="E1"/>
      <sheetName val="E (2)"/>
      <sheetName val="E1 (2)"/>
      <sheetName val="E (3)"/>
      <sheetName val="E1 (3)"/>
      <sheetName val="F1.1"/>
      <sheetName val="F1.2"/>
      <sheetName val="F1.3"/>
      <sheetName val="Sheet G3"/>
      <sheetName val="Sheet G3.01"/>
      <sheetName val="Kris Input - MGE"/>
      <sheetName val="Resid"/>
      <sheetName val="CBS Cashout"/>
      <sheetName val="AutoMod"/>
      <sheetName val="Print Mods"/>
      <sheetName val="GotoMod"/>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ultiple Journals"/>
      <sheetName val="Bulk Journals"/>
      <sheetName val="_ADFDI_Parameters"/>
      <sheetName val="_ADFDI_Metadata"/>
      <sheetName val="_ADFDI_WorkbookData"/>
      <sheetName val="_ADFDI_BCMetadata"/>
      <sheetName val="_ADFDI_DynamicTable"/>
      <sheetName val="_ADFDI_LOV"/>
    </sheetNames>
    <sheetDataSet>
      <sheetData sheetId="0"/>
      <sheetData sheetId="1"/>
      <sheetData sheetId="2"/>
      <sheetData sheetId="3"/>
      <sheetData sheetId="4"/>
      <sheetData sheetId="5"/>
      <sheetData sheetId="6"/>
      <sheetData sheetId="7">
        <row r="14">
          <cell r="D14" t="str">
            <v>MGE_FERC_LEDGER</v>
          </cell>
        </row>
        <row r="16">
          <cell r="D16" t="str">
            <v>Spreadsheet</v>
          </cell>
        </row>
        <row r="18">
          <cell r="D18" t="str">
            <v>USD</v>
          </cell>
          <cell r="E18" t="str">
            <v>STAT</v>
          </cell>
        </row>
        <row r="20">
          <cell r="D20" t="str">
            <v>Corporate</v>
          </cell>
          <cell r="E20" t="str">
            <v>Fixed</v>
          </cell>
          <cell r="F20" t="str">
            <v>Spot</v>
          </cell>
          <cell r="G20" t="str">
            <v>User</v>
          </cell>
        </row>
        <row r="22">
          <cell r="D22" t="str">
            <v>Q1A-19</v>
          </cell>
        </row>
        <row r="24">
          <cell r="D24" t="str">
            <v>Apr-19</v>
          </cell>
          <cell r="E24" t="str">
            <v>Q1A-19</v>
          </cell>
          <cell r="F24" t="str">
            <v>Mar-19</v>
          </cell>
          <cell r="G24" t="str">
            <v>Feb-19</v>
          </cell>
          <cell r="H24" t="str">
            <v>Jan-19</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s"/>
      <sheetName val="x"/>
      <sheetName val="Gas Trans"/>
      <sheetName val="Open Positions - Gas Supply"/>
      <sheetName val="Net Exposure"/>
      <sheetName val="Summary"/>
      <sheetName val="184 -Tenaska"/>
      <sheetName val="184 -BP"/>
      <sheetName val="EDF Acct"/>
      <sheetName val="Closed Financial Positions"/>
      <sheetName val="Closed Physical Positions"/>
      <sheetName val="Closed Pos (Apr04 thru Mar05)  "/>
    </sheetNames>
    <sheetDataSet>
      <sheetData sheetId="0"/>
      <sheetData sheetId="1"/>
      <sheetData sheetId="2">
        <row r="2">
          <cell r="W2">
            <v>38798</v>
          </cell>
        </row>
      </sheetData>
      <sheetData sheetId="3"/>
      <sheetData sheetId="4"/>
      <sheetData sheetId="5"/>
      <sheetData sheetId="6"/>
      <sheetData sheetId="7"/>
      <sheetData sheetId="8"/>
      <sheetData sheetId="9"/>
      <sheetData sheetId="10"/>
      <sheetData sheetId="1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rint Menu"/>
      <sheetName val="Adjustments"/>
      <sheetName val="Staff Adjusted Fuel Rules Sales"/>
      <sheetName val="Unit Generation Forecast"/>
      <sheetName val="Unit MMBTU Forecast"/>
      <sheetName val="UR-109 Fuel Rule Costs"/>
      <sheetName val="Forecast Fuel Costs"/>
      <sheetName val="Actual Fuel Costs"/>
      <sheetName val="Fuel Rules Report"/>
      <sheetName val="Misc"/>
      <sheetName val="Misc (2)"/>
      <sheetName val="Order Reporting Tables"/>
      <sheetName val="Summary Report - Fuel Rules"/>
      <sheetName val="Adjusted Sales"/>
      <sheetName val="Monthly Fuel Costs"/>
      <sheetName val="Monthly Fuel Costs-2"/>
      <sheetName val="Surcharge Calculation"/>
      <sheetName val="Module1"/>
      <sheetName val="Module2"/>
      <sheetName val="Module3"/>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refreshError="1"/>
      <sheetData sheetId="12"/>
      <sheetData sheetId="13" refreshError="1"/>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T-Rates"/>
      <sheetName val="Recov"/>
      <sheetName val="Prior"/>
      <sheetName val="Unbill"/>
      <sheetName val="TuSum"/>
      <sheetName val="InputEst"/>
      <sheetName val="Intro"/>
      <sheetName val="A"/>
      <sheetName val="B"/>
      <sheetName val="C"/>
      <sheetName val="C1"/>
      <sheetName val="D"/>
      <sheetName val="F1.1"/>
      <sheetName val="F1.2"/>
      <sheetName val="F1.3"/>
      <sheetName val="Sheet G3"/>
      <sheetName val="Sheet G3.01"/>
      <sheetName val="Kris Input - MGE"/>
      <sheetName val="Resid"/>
      <sheetName val="CBS Cashout"/>
      <sheetName val="AutoMod"/>
      <sheetName val="Print Mods"/>
      <sheetName val="GotoMod"/>
    </sheetNames>
    <sheetDataSet>
      <sheetData sheetId="0" refreshError="1"/>
      <sheetData sheetId="1" refreshError="1"/>
      <sheetData sheetId="2"/>
      <sheetData sheetId="3" refreshError="1"/>
      <sheetData sheetId="4"/>
      <sheetData sheetId="5">
        <row r="4">
          <cell r="C4" t="str">
            <v>August, 2000</v>
          </cell>
        </row>
      </sheetData>
      <sheetData sheetId="6">
        <row r="13">
          <cell r="D13" t="str">
            <v>Madison Gas &amp; Electric</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A-2 Variances"/>
      <sheetName val="FRA-26 EFORs"/>
      <sheetName val="FRA-29 Hedge Contracts"/>
      <sheetName val="FRA-30 Hedge Limits"/>
      <sheetName val="FRA-31(1) ERMP Costs"/>
      <sheetName val="FRA-31(2) Elec OTC Premiums"/>
    </sheetNames>
    <sheetDataSet>
      <sheetData sheetId="0"/>
      <sheetData sheetId="1"/>
      <sheetData sheetId="2" refreshError="1"/>
      <sheetData sheetId="3" refreshError="1"/>
      <sheetData sheetId="4" refreshError="1"/>
      <sheetData sheetId="5"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A-5 Variances"/>
      <sheetName val="FRA-24 MISO MW Set-Point Values"/>
      <sheetName val="FRA-25 RT LMPs"/>
      <sheetName val="FRA-22(1) Columbia Chems"/>
      <sheetName val="FRA-22(2) ERGS Chems"/>
      <sheetName val="FRA-22(3) WCCF Chems"/>
    </sheetNames>
    <sheetDataSet>
      <sheetData sheetId="0"/>
      <sheetData sheetId="1" refreshError="1"/>
      <sheetData sheetId="2" refreshError="1"/>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A6ABB-07CD-4A6E-94BF-5FB17A063E67}">
  <dimension ref="B1:J45"/>
  <sheetViews>
    <sheetView zoomScaleNormal="100" workbookViewId="0"/>
  </sheetViews>
  <sheetFormatPr baseColWidth="10" defaultColWidth="8.83203125" defaultRowHeight="15"/>
  <cols>
    <col min="1" max="1" width="4.83203125" style="34" customWidth="1"/>
    <col min="2" max="2" width="17.33203125" style="34" bestFit="1" customWidth="1"/>
    <col min="3" max="3" width="8.83203125" style="34"/>
    <col min="4" max="4" width="14.5" style="34" customWidth="1"/>
    <col min="5" max="16384" width="8.83203125" style="34"/>
  </cols>
  <sheetData>
    <row r="1" spans="2:10" ht="16">
      <c r="B1" s="84" t="s">
        <v>12</v>
      </c>
      <c r="C1" s="85"/>
      <c r="D1" s="85"/>
      <c r="E1" s="85"/>
      <c r="F1" s="85"/>
      <c r="G1" s="85"/>
      <c r="H1" s="85"/>
      <c r="I1" s="85"/>
      <c r="J1" s="85"/>
    </row>
    <row r="2" spans="2:10" ht="16">
      <c r="B2" s="86" t="s">
        <v>117</v>
      </c>
      <c r="C2" s="87"/>
      <c r="D2" s="87"/>
      <c r="E2" s="87"/>
      <c r="F2" s="87"/>
      <c r="G2" s="87"/>
      <c r="H2" s="87"/>
      <c r="I2" s="87"/>
      <c r="J2" s="87"/>
    </row>
    <row r="3" spans="2:10">
      <c r="B3" s="35"/>
      <c r="C3" s="36"/>
      <c r="D3" s="36"/>
      <c r="E3" s="36"/>
      <c r="F3" s="36"/>
      <c r="G3" s="36"/>
      <c r="H3" s="36"/>
      <c r="I3" s="36"/>
      <c r="J3" s="36"/>
    </row>
    <row r="4" spans="2:10">
      <c r="B4" s="37" t="s">
        <v>76</v>
      </c>
      <c r="C4" s="36"/>
      <c r="D4" s="38" t="s">
        <v>77</v>
      </c>
      <c r="E4" s="36"/>
      <c r="F4" s="36"/>
      <c r="G4" s="36"/>
      <c r="H4" s="36"/>
      <c r="I4" s="36"/>
      <c r="J4" s="36"/>
    </row>
    <row r="5" spans="2:10">
      <c r="B5" s="37" t="s">
        <v>78</v>
      </c>
      <c r="C5" s="36"/>
      <c r="D5" s="38" t="s">
        <v>114</v>
      </c>
      <c r="E5" s="36"/>
      <c r="F5" s="36"/>
      <c r="G5" s="36"/>
      <c r="H5" s="36"/>
      <c r="I5" s="36"/>
      <c r="J5" s="36"/>
    </row>
    <row r="6" spans="2:10">
      <c r="B6" s="37" t="s">
        <v>79</v>
      </c>
      <c r="C6" s="36"/>
      <c r="D6" s="38" t="s">
        <v>113</v>
      </c>
      <c r="E6" s="36"/>
      <c r="F6" s="36"/>
      <c r="G6" s="36"/>
      <c r="H6" s="36"/>
      <c r="I6" s="36"/>
      <c r="J6" s="36"/>
    </row>
    <row r="7" spans="2:10">
      <c r="B7" s="37" t="s">
        <v>80</v>
      </c>
      <c r="C7" s="36"/>
      <c r="D7" s="39">
        <v>44691</v>
      </c>
      <c r="E7" s="36"/>
      <c r="F7" s="36"/>
      <c r="G7" s="36"/>
      <c r="H7" s="36"/>
      <c r="I7" s="36"/>
      <c r="J7" s="36"/>
    </row>
    <row r="8" spans="2:10">
      <c r="B8" s="37" t="s">
        <v>82</v>
      </c>
      <c r="C8" s="36"/>
      <c r="D8" s="38" t="s">
        <v>83</v>
      </c>
      <c r="E8" s="36"/>
      <c r="F8" s="36"/>
      <c r="G8" s="36"/>
      <c r="H8" s="36"/>
      <c r="I8" s="36"/>
      <c r="J8" s="36"/>
    </row>
    <row r="9" spans="2:10" ht="16" thickBot="1">
      <c r="B9" s="40"/>
      <c r="C9" s="40"/>
      <c r="D9" s="40"/>
      <c r="E9" s="40"/>
      <c r="F9" s="40"/>
      <c r="G9" s="40"/>
      <c r="H9" s="40"/>
      <c r="I9" s="40"/>
      <c r="J9" s="40"/>
    </row>
    <row r="10" spans="2:10" ht="16" thickTop="1"/>
    <row r="11" spans="2:10" ht="78" customHeight="1">
      <c r="B11" s="88" t="s">
        <v>84</v>
      </c>
      <c r="C11" s="88"/>
      <c r="D11" s="88"/>
      <c r="E11" s="88"/>
      <c r="F11" s="88"/>
      <c r="G11" s="88"/>
      <c r="H11" s="88"/>
      <c r="I11" s="88"/>
      <c r="J11" s="88"/>
    </row>
    <row r="12" spans="2:10">
      <c r="B12" s="41"/>
      <c r="C12" s="41"/>
      <c r="D12" s="41"/>
      <c r="E12" s="41"/>
      <c r="F12" s="41"/>
      <c r="G12" s="41"/>
      <c r="H12" s="41"/>
      <c r="I12" s="41"/>
      <c r="J12" s="41"/>
    </row>
    <row r="13" spans="2:10" ht="91.5" customHeight="1">
      <c r="B13" s="88" t="s">
        <v>85</v>
      </c>
      <c r="C13" s="88"/>
      <c r="D13" s="88"/>
      <c r="E13" s="88"/>
      <c r="F13" s="88"/>
      <c r="G13" s="88"/>
      <c r="H13" s="88"/>
      <c r="I13" s="88"/>
      <c r="J13" s="88"/>
    </row>
    <row r="15" spans="2:10" ht="49.5" customHeight="1">
      <c r="B15" s="41" t="s">
        <v>86</v>
      </c>
      <c r="C15" s="88" t="s">
        <v>87</v>
      </c>
      <c r="D15" s="89"/>
      <c r="E15" s="89"/>
      <c r="F15" s="89"/>
      <c r="G15" s="89"/>
      <c r="H15" s="89"/>
      <c r="I15" s="89"/>
      <c r="J15" s="89"/>
    </row>
    <row r="16" spans="2:10">
      <c r="C16" s="41" t="s">
        <v>88</v>
      </c>
      <c r="D16" s="41" t="s">
        <v>89</v>
      </c>
    </row>
    <row r="17" spans="2:10">
      <c r="C17" s="41" t="s">
        <v>90</v>
      </c>
      <c r="D17" s="41" t="s">
        <v>91</v>
      </c>
    </row>
    <row r="18" spans="2:10">
      <c r="C18" s="41" t="s">
        <v>92</v>
      </c>
      <c r="D18" s="41" t="s">
        <v>93</v>
      </c>
    </row>
    <row r="19" spans="2:10">
      <c r="C19" s="41" t="s">
        <v>94</v>
      </c>
      <c r="D19" s="41" t="s">
        <v>95</v>
      </c>
    </row>
    <row r="21" spans="2:10">
      <c r="B21" s="42" t="s">
        <v>81</v>
      </c>
    </row>
    <row r="23" spans="2:10">
      <c r="C23" s="34" t="s">
        <v>115</v>
      </c>
    </row>
    <row r="25" spans="2:10" ht="21.75" customHeight="1">
      <c r="B25" s="41" t="s">
        <v>96</v>
      </c>
      <c r="C25" s="88" t="s">
        <v>97</v>
      </c>
      <c r="D25" s="89"/>
      <c r="E25" s="89"/>
      <c r="F25" s="89"/>
      <c r="G25" s="89"/>
      <c r="H25" s="89"/>
      <c r="I25" s="89"/>
      <c r="J25" s="89"/>
    </row>
    <row r="27" spans="2:10">
      <c r="B27" s="42" t="s">
        <v>81</v>
      </c>
    </row>
    <row r="28" spans="2:10">
      <c r="B28" s="42"/>
    </row>
    <row r="29" spans="2:10" ht="34.25" customHeight="1">
      <c r="C29" s="89" t="s">
        <v>116</v>
      </c>
      <c r="D29" s="89"/>
      <c r="E29" s="89"/>
      <c r="F29" s="89"/>
      <c r="G29" s="89"/>
      <c r="H29" s="89"/>
      <c r="I29" s="89"/>
      <c r="J29" s="89"/>
    </row>
    <row r="31" spans="2:10" ht="48" customHeight="1">
      <c r="B31" s="41" t="s">
        <v>98</v>
      </c>
      <c r="C31" s="88" t="s">
        <v>99</v>
      </c>
      <c r="D31" s="89"/>
      <c r="E31" s="89"/>
      <c r="F31" s="89"/>
      <c r="G31" s="89"/>
      <c r="H31" s="89"/>
      <c r="I31" s="89"/>
      <c r="J31" s="89"/>
    </row>
    <row r="32" spans="2:10">
      <c r="C32" s="41" t="s">
        <v>100</v>
      </c>
      <c r="D32" s="41" t="s">
        <v>89</v>
      </c>
    </row>
    <row r="33" spans="2:10">
      <c r="C33" s="41" t="s">
        <v>90</v>
      </c>
      <c r="D33" s="41" t="s">
        <v>91</v>
      </c>
    </row>
    <row r="34" spans="2:10">
      <c r="C34" s="41" t="s">
        <v>92</v>
      </c>
      <c r="D34" s="41" t="s">
        <v>93</v>
      </c>
    </row>
    <row r="35" spans="2:10">
      <c r="C35" s="41" t="s">
        <v>101</v>
      </c>
      <c r="D35" s="41" t="s">
        <v>95</v>
      </c>
    </row>
    <row r="37" spans="2:10">
      <c r="B37" s="42" t="s">
        <v>81</v>
      </c>
    </row>
    <row r="39" spans="2:10" ht="33.5" customHeight="1">
      <c r="C39" s="89" t="s">
        <v>102</v>
      </c>
      <c r="D39" s="89"/>
      <c r="E39" s="89"/>
      <c r="F39" s="89"/>
      <c r="G39" s="89"/>
      <c r="H39" s="89"/>
      <c r="I39" s="89"/>
      <c r="J39" s="89"/>
    </row>
    <row r="41" spans="2:10" ht="21" customHeight="1">
      <c r="B41" s="41" t="s">
        <v>103</v>
      </c>
      <c r="C41" s="88" t="s">
        <v>104</v>
      </c>
      <c r="D41" s="89"/>
      <c r="E41" s="89"/>
      <c r="F41" s="89"/>
      <c r="G41" s="89"/>
      <c r="H41" s="89"/>
      <c r="I41" s="89"/>
      <c r="J41" s="89"/>
    </row>
    <row r="43" spans="2:10">
      <c r="B43" s="42" t="s">
        <v>81</v>
      </c>
    </row>
    <row r="45" spans="2:10" ht="34.25" customHeight="1">
      <c r="C45" s="89" t="s">
        <v>102</v>
      </c>
      <c r="D45" s="89"/>
      <c r="E45" s="89"/>
      <c r="F45" s="89"/>
      <c r="G45" s="89"/>
      <c r="H45" s="89"/>
      <c r="I45" s="89"/>
      <c r="J45" s="89"/>
    </row>
  </sheetData>
  <mergeCells count="11">
    <mergeCell ref="C45:J45"/>
    <mergeCell ref="C15:J15"/>
    <mergeCell ref="C25:J25"/>
    <mergeCell ref="C29:J29"/>
    <mergeCell ref="C31:J31"/>
    <mergeCell ref="C39:J39"/>
    <mergeCell ref="B1:J1"/>
    <mergeCell ref="B2:J2"/>
    <mergeCell ref="B11:J11"/>
    <mergeCell ref="B13:J13"/>
    <mergeCell ref="C41:J41"/>
  </mergeCells>
  <pageMargins left="0.5" right="0.5" top="0.5" bottom="0.75" header="0" footer="0.25"/>
  <pageSetup scale="75" fitToHeight="0" orientation="portrait" verticalDpi="1200" r:id="rId1"/>
  <headerFooter>
    <oddFooter>&amp;L&amp;F     &amp;A</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0FFCE-48D2-4A48-8018-81A72167EFD3}">
  <sheetPr>
    <pageSetUpPr fitToPage="1"/>
  </sheetPr>
  <dimension ref="A1:O59"/>
  <sheetViews>
    <sheetView tabSelected="1" zoomScaleNormal="100" workbookViewId="0"/>
  </sheetViews>
  <sheetFormatPr baseColWidth="10" defaultColWidth="8.83203125" defaultRowHeight="15"/>
  <cols>
    <col min="1" max="1" width="3.6640625" style="27" customWidth="1"/>
    <col min="2" max="2" width="40" bestFit="1" customWidth="1"/>
    <col min="3" max="3" width="24" customWidth="1"/>
    <col min="4" max="4" width="22.6640625" customWidth="1"/>
    <col min="5" max="5" width="20.6640625" customWidth="1"/>
    <col min="6" max="8" width="14.6640625" customWidth="1"/>
    <col min="9" max="9" width="16.83203125" customWidth="1"/>
    <col min="10" max="10" width="14.6640625" customWidth="1"/>
    <col min="11" max="11" width="5.33203125" customWidth="1"/>
    <col min="13" max="13" width="13.33203125" bestFit="1" customWidth="1"/>
    <col min="15" max="15" width="13.5" customWidth="1"/>
  </cols>
  <sheetData>
    <row r="1" spans="2:15">
      <c r="B1" s="1" t="s">
        <v>47</v>
      </c>
    </row>
    <row r="2" spans="2:15" ht="17.25" customHeight="1">
      <c r="B2" s="90" t="s">
        <v>12</v>
      </c>
      <c r="C2" s="90"/>
      <c r="D2" s="90"/>
      <c r="E2" s="90"/>
      <c r="F2" s="90"/>
      <c r="G2" s="90"/>
    </row>
    <row r="3" spans="2:15" ht="20.25" customHeight="1">
      <c r="B3" s="90" t="s">
        <v>13</v>
      </c>
      <c r="C3" s="90"/>
      <c r="D3" s="90"/>
      <c r="E3" s="90"/>
      <c r="F3" s="90"/>
      <c r="G3" s="90"/>
    </row>
    <row r="4" spans="2:15">
      <c r="G4" s="46" t="s">
        <v>105</v>
      </c>
      <c r="H4" s="46" t="s">
        <v>106</v>
      </c>
      <c r="I4" s="46" t="s">
        <v>46</v>
      </c>
      <c r="J4" s="46">
        <v>2023</v>
      </c>
    </row>
    <row r="5" spans="2:15" ht="33" thickBot="1">
      <c r="B5" s="2" t="s">
        <v>0</v>
      </c>
      <c r="C5" s="3" t="s">
        <v>22</v>
      </c>
      <c r="D5" s="30" t="s">
        <v>23</v>
      </c>
      <c r="E5" s="30" t="s">
        <v>24</v>
      </c>
      <c r="F5" s="3" t="s">
        <v>7</v>
      </c>
      <c r="G5" s="30" t="s">
        <v>29</v>
      </c>
      <c r="H5" s="30" t="s">
        <v>29</v>
      </c>
      <c r="I5" s="30" t="s">
        <v>29</v>
      </c>
      <c r="J5" s="30" t="s">
        <v>29</v>
      </c>
    </row>
    <row r="6" spans="2:15">
      <c r="B6" t="s">
        <v>1</v>
      </c>
      <c r="C6" s="33">
        <f>'TCM-1.2 2021 Sales by Class'!E7</f>
        <v>897584653</v>
      </c>
      <c r="D6" s="33">
        <f>'TCM-1.2 2021 Sales by Class'!D7</f>
        <v>63598526</v>
      </c>
      <c r="E6" s="5">
        <f>C6-D6</f>
        <v>833986127</v>
      </c>
      <c r="F6" s="48">
        <f>E6/$E$12</f>
        <v>0.27405525899981181</v>
      </c>
      <c r="G6" s="49">
        <f t="shared" ref="G6:J7" si="0">$F6*G$16</f>
        <v>908824.30980985088</v>
      </c>
      <c r="H6" s="49">
        <f t="shared" si="0"/>
        <v>909581.66340135911</v>
      </c>
      <c r="I6" s="49">
        <f t="shared" si="0"/>
        <v>908824.30980985088</v>
      </c>
      <c r="J6" s="49">
        <f t="shared" si="0"/>
        <v>911098.26449429418</v>
      </c>
    </row>
    <row r="7" spans="2:15">
      <c r="B7" t="s">
        <v>2</v>
      </c>
      <c r="C7" s="33">
        <f>'TCM-1.2 2021 Sales by Class'!E8</f>
        <v>210721722</v>
      </c>
      <c r="D7" s="33">
        <f>'TCM-1.2 2021 Sales by Class'!D8</f>
        <v>2764289</v>
      </c>
      <c r="E7" s="5">
        <f t="shared" ref="E7:E11" si="1">C7-D7</f>
        <v>207957433</v>
      </c>
      <c r="F7" s="48">
        <f t="shared" ref="F7:F11" si="2">E7/$E$12</f>
        <v>6.8336662105832627E-2</v>
      </c>
      <c r="G7" s="49">
        <f t="shared" si="0"/>
        <v>226618.60239319463</v>
      </c>
      <c r="H7" s="49">
        <f t="shared" si="0"/>
        <v>226807.45122852229</v>
      </c>
      <c r="I7" s="49">
        <f t="shared" si="0"/>
        <v>226618.60239319463</v>
      </c>
      <c r="J7" s="49">
        <f t="shared" si="0"/>
        <v>227185.62115241095</v>
      </c>
    </row>
    <row r="8" spans="2:15">
      <c r="B8" t="s">
        <v>3</v>
      </c>
      <c r="C8" s="33">
        <f>'TCM-1.2 2021 Sales by Class'!E9</f>
        <v>1613950317</v>
      </c>
      <c r="D8" s="33">
        <f>'TCM-1.2 2021 Sales by Class'!D9</f>
        <v>45359518</v>
      </c>
      <c r="E8" s="5">
        <f t="shared" si="1"/>
        <v>1568590799</v>
      </c>
      <c r="F8" s="48">
        <f t="shared" si="2"/>
        <v>0.51545288796472599</v>
      </c>
      <c r="G8" s="49">
        <f t="shared" ref="G8:J11" si="3">$F8*G$16</f>
        <v>1709349.1175966018</v>
      </c>
      <c r="H8" s="49">
        <f t="shared" si="3"/>
        <v>1710773.5751945989</v>
      </c>
      <c r="I8" s="49">
        <f t="shared" si="3"/>
        <v>1709349.1175966018</v>
      </c>
      <c r="J8" s="49">
        <f t="shared" si="3"/>
        <v>1713626.0525237948</v>
      </c>
    </row>
    <row r="9" spans="2:15">
      <c r="B9" t="s">
        <v>4</v>
      </c>
      <c r="C9" s="33">
        <f>'TCM-1.2 2021 Sales by Class'!E10</f>
        <v>431670123</v>
      </c>
      <c r="D9" s="33">
        <f>'TCM-1.2 2021 Sales by Class'!D10</f>
        <v>10424813</v>
      </c>
      <c r="E9" s="5">
        <f t="shared" si="1"/>
        <v>421245310</v>
      </c>
      <c r="F9" s="48">
        <f t="shared" si="2"/>
        <v>0.13842495552028053</v>
      </c>
      <c r="G9" s="49">
        <f t="shared" si="3"/>
        <v>459045.97897632257</v>
      </c>
      <c r="H9" s="49">
        <f t="shared" si="3"/>
        <v>459428.51729213621</v>
      </c>
      <c r="I9" s="49">
        <f t="shared" si="3"/>
        <v>459045.97897632257</v>
      </c>
      <c r="J9" s="49">
        <f t="shared" si="3"/>
        <v>460194.55053520453</v>
      </c>
    </row>
    <row r="10" spans="2:15">
      <c r="B10" t="s">
        <v>5</v>
      </c>
      <c r="C10" s="33">
        <f>'TCM-1.2 2021 Sales by Class'!E11</f>
        <v>3805741</v>
      </c>
      <c r="D10" s="33">
        <f>'TCM-1.2 2021 Sales by Class'!D11</f>
        <v>0</v>
      </c>
      <c r="E10" s="5">
        <f t="shared" si="1"/>
        <v>3805741</v>
      </c>
      <c r="F10" s="48">
        <f t="shared" si="2"/>
        <v>1.2506003417502925E-3</v>
      </c>
      <c r="G10" s="49">
        <f t="shared" si="3"/>
        <v>4147.2511660137625</v>
      </c>
      <c r="H10" s="49">
        <f t="shared" si="3"/>
        <v>4150.7072086521075</v>
      </c>
      <c r="I10" s="49">
        <f t="shared" si="3"/>
        <v>4147.2511660137625</v>
      </c>
      <c r="J10" s="49">
        <f t="shared" si="3"/>
        <v>4157.6279364354223</v>
      </c>
    </row>
    <row r="11" spans="2:15" ht="16" thickBot="1">
      <c r="B11" s="6" t="s">
        <v>6</v>
      </c>
      <c r="C11" s="50">
        <f>'TCM-1.2 2021 Sales by Class'!E12</f>
        <v>7546140</v>
      </c>
      <c r="D11" s="50">
        <f>'TCM-1.2 2021 Sales by Class'!D12</f>
        <v>285</v>
      </c>
      <c r="E11" s="51">
        <f t="shared" si="1"/>
        <v>7545855</v>
      </c>
      <c r="F11" s="52">
        <f t="shared" si="2"/>
        <v>2.4796350675987027E-3</v>
      </c>
      <c r="G11" s="53">
        <f t="shared" si="3"/>
        <v>8222.9862587393054</v>
      </c>
      <c r="H11" s="53">
        <f t="shared" si="3"/>
        <v>8229.838747288255</v>
      </c>
      <c r="I11" s="53">
        <f t="shared" si="3"/>
        <v>8222.9862587393054</v>
      </c>
      <c r="J11" s="53">
        <f t="shared" si="3"/>
        <v>8243.5608603661985</v>
      </c>
    </row>
    <row r="12" spans="2:15">
      <c r="C12" s="5">
        <f>SUM(C6:C11)</f>
        <v>3165278696</v>
      </c>
      <c r="D12" s="5">
        <f>SUM(D6:D11)</f>
        <v>122147431</v>
      </c>
      <c r="E12" s="5">
        <f t="shared" ref="E12" si="4">SUM(E6:E11)</f>
        <v>3043131265</v>
      </c>
      <c r="F12" s="54">
        <f>SUM(F6:F11)</f>
        <v>1</v>
      </c>
      <c r="G12" s="49">
        <f>SUM(G6:G11)</f>
        <v>3316208.2462007226</v>
      </c>
      <c r="H12" s="49">
        <f>SUM(H6:H11)</f>
        <v>3318971.753072557</v>
      </c>
      <c r="I12" s="49">
        <f>SUM(I6:I11)</f>
        <v>3316208.2462007226</v>
      </c>
      <c r="J12" s="49">
        <f>SUM(J6:J11)</f>
        <v>3324505.6775025059</v>
      </c>
    </row>
    <row r="13" spans="2:15">
      <c r="E13" s="5"/>
      <c r="G13" s="55"/>
      <c r="H13" s="55"/>
      <c r="I13" s="55"/>
      <c r="J13" s="55"/>
    </row>
    <row r="14" spans="2:15">
      <c r="B14" t="s">
        <v>28</v>
      </c>
      <c r="E14" s="5"/>
      <c r="G14" s="56">
        <v>3291440</v>
      </c>
      <c r="H14" s="56">
        <v>3291440</v>
      </c>
      <c r="I14" s="56">
        <v>3291440</v>
      </c>
      <c r="J14" s="56">
        <v>3291440</v>
      </c>
    </row>
    <row r="15" spans="2:15">
      <c r="B15" t="s">
        <v>48</v>
      </c>
      <c r="D15" s="8"/>
      <c r="E15" s="5"/>
      <c r="G15" s="57">
        <f>'TCM-1.2 Interest Calc'!D20</f>
        <v>24768.246200723013</v>
      </c>
      <c r="H15" s="57">
        <f>'TCM-1.2 Interest Calc'!D21</f>
        <v>27531.753072556949</v>
      </c>
      <c r="I15" s="57">
        <f>'TCM-1.2 Interest Calc'!D20</f>
        <v>24768.246200723013</v>
      </c>
      <c r="J15" s="57">
        <f>'TCM-1.2 Interest Calc'!D23</f>
        <v>33065.677502506398</v>
      </c>
    </row>
    <row r="16" spans="2:15" ht="16" thickBot="1">
      <c r="B16" t="s">
        <v>49</v>
      </c>
      <c r="G16" s="58">
        <f>G14+G15</f>
        <v>3316208.2462007231</v>
      </c>
      <c r="H16" s="58">
        <f>H14+H15</f>
        <v>3318971.753072557</v>
      </c>
      <c r="I16" s="58">
        <f>I14+I15</f>
        <v>3316208.2462007231</v>
      </c>
      <c r="J16" s="58">
        <f>J14+J15</f>
        <v>3324505.6775025064</v>
      </c>
      <c r="M16" s="7"/>
      <c r="O16" s="7"/>
    </row>
    <row r="17" spans="1:15" ht="17" thickTop="1" thickBot="1">
      <c r="C17" s="56"/>
      <c r="M17" s="7"/>
      <c r="O17" s="7"/>
    </row>
    <row r="18" spans="1:15">
      <c r="A18" s="43" t="s">
        <v>50</v>
      </c>
      <c r="B18" s="15"/>
      <c r="C18" s="59" t="s">
        <v>105</v>
      </c>
      <c r="D18" s="59" t="s">
        <v>105</v>
      </c>
      <c r="E18" s="59" t="s">
        <v>105</v>
      </c>
      <c r="F18" s="60" t="s">
        <v>10</v>
      </c>
      <c r="I18" s="31"/>
      <c r="M18" s="7"/>
      <c r="O18" s="7"/>
    </row>
    <row r="19" spans="1:15" ht="16" thickBot="1">
      <c r="A19" s="44"/>
      <c r="B19" s="2" t="s">
        <v>0</v>
      </c>
      <c r="C19" s="3" t="s">
        <v>8</v>
      </c>
      <c r="D19" s="3" t="s">
        <v>14</v>
      </c>
      <c r="E19" s="3" t="s">
        <v>9</v>
      </c>
      <c r="F19" s="61" t="s">
        <v>11</v>
      </c>
      <c r="I19" s="31"/>
      <c r="M19" s="7"/>
      <c r="O19" s="7"/>
    </row>
    <row r="20" spans="1:15">
      <c r="A20" s="44"/>
      <c r="B20" t="s">
        <v>1</v>
      </c>
      <c r="C20" s="5">
        <f>'TCM-1.2 2022 Sales by Class'!L16</f>
        <v>72780150.449863657</v>
      </c>
      <c r="D20" s="5">
        <f>'TCM-1.2 2022 Sales by Class'!L25+'TCM-1.2 2022 Sales by Class'!L34+'TCM-1.2 2022 Sales by Class'!L43</f>
        <v>5784774.7316338699</v>
      </c>
      <c r="E20" s="5">
        <f>C20-D20</f>
        <v>66995375.718229786</v>
      </c>
      <c r="F20" s="62">
        <f t="shared" ref="F20:F25" si="5">ROUND(G6/E20,5)</f>
        <v>1.357E-2</v>
      </c>
      <c r="M20" s="7"/>
      <c r="O20" s="7"/>
    </row>
    <row r="21" spans="1:15">
      <c r="A21" s="44"/>
      <c r="B21" t="s">
        <v>2</v>
      </c>
      <c r="C21" s="5">
        <f>'TCM-1.2 2022 Sales by Class'!L17</f>
        <v>17250274.599425774</v>
      </c>
      <c r="D21" s="5">
        <f>'TCM-1.2 2022 Sales by Class'!L26+'TCM-1.2 2022 Sales by Class'!L35+'TCM-1.2 2022 Sales by Class'!L44</f>
        <v>229824.06543223941</v>
      </c>
      <c r="E21" s="5">
        <f t="shared" ref="E21:E25" si="6">C21-D21</f>
        <v>17020450.533993535</v>
      </c>
      <c r="F21" s="62">
        <f t="shared" si="5"/>
        <v>1.3310000000000001E-2</v>
      </c>
      <c r="M21" s="7"/>
      <c r="O21" s="7"/>
    </row>
    <row r="22" spans="1:15">
      <c r="A22" s="44"/>
      <c r="B22" t="s">
        <v>3</v>
      </c>
      <c r="C22" s="5">
        <f>'TCM-1.2 2022 Sales by Class'!L18</f>
        <v>152115713.88327363</v>
      </c>
      <c r="D22" s="5">
        <f>'TCM-1.2 2022 Sales by Class'!L27+'TCM-1.2 2022 Sales by Class'!L36+'TCM-1.2 2022 Sales by Class'!L45</f>
        <v>6985510.6323932335</v>
      </c>
      <c r="E22" s="5">
        <f t="shared" si="6"/>
        <v>145130203.25088039</v>
      </c>
      <c r="F22" s="62">
        <f t="shared" si="5"/>
        <v>1.1780000000000001E-2</v>
      </c>
      <c r="M22" s="7"/>
      <c r="O22" s="7"/>
    </row>
    <row r="23" spans="1:15">
      <c r="A23" s="44"/>
      <c r="B23" t="s">
        <v>4</v>
      </c>
      <c r="C23" s="5">
        <f>'TCM-1.2 2022 Sales by Class'!L19</f>
        <v>40917523.875991039</v>
      </c>
      <c r="D23" s="5">
        <f>'TCM-1.2 2022 Sales by Class'!L28+'TCM-1.2 2022 Sales by Class'!L37+'TCM-1.2 2022 Sales by Class'!L46</f>
        <v>1887297.6818188301</v>
      </c>
      <c r="E23" s="5">
        <f t="shared" si="6"/>
        <v>39030226.194172211</v>
      </c>
      <c r="F23" s="62">
        <f t="shared" si="5"/>
        <v>1.176E-2</v>
      </c>
      <c r="M23" s="7"/>
    </row>
    <row r="24" spans="1:15">
      <c r="A24" s="44"/>
      <c r="B24" t="s">
        <v>5</v>
      </c>
      <c r="C24" s="5">
        <f>'TCM-1.2 2022 Sales by Class'!L20</f>
        <v>336061.64731868822</v>
      </c>
      <c r="D24" s="5">
        <f>'TCM-1.2 2022 Sales by Class'!L29+'TCM-1.2 2022 Sales by Class'!L38+'TCM-1.2 2022 Sales by Class'!L47</f>
        <v>17044</v>
      </c>
      <c r="E24" s="5">
        <f t="shared" si="6"/>
        <v>319017.64731868822</v>
      </c>
      <c r="F24" s="62">
        <f t="shared" si="5"/>
        <v>1.2999999999999999E-2</v>
      </c>
      <c r="M24" s="7"/>
    </row>
    <row r="25" spans="1:15" ht="16" thickBot="1">
      <c r="A25" s="44"/>
      <c r="B25" s="6" t="s">
        <v>6</v>
      </c>
      <c r="C25" s="51">
        <f>'TCM-1.2 2022 Sales by Class'!L21</f>
        <v>733891.4</v>
      </c>
      <c r="D25" s="51">
        <f>'TCM-1.2 2022 Sales by Class'!L30+'TCM-1.2 2022 Sales by Class'!L39+'TCM-1.2 2022 Sales by Class'!L48</f>
        <v>0</v>
      </c>
      <c r="E25" s="51">
        <f t="shared" si="6"/>
        <v>733891.4</v>
      </c>
      <c r="F25" s="63">
        <f t="shared" si="5"/>
        <v>1.12E-2</v>
      </c>
      <c r="M25" s="7"/>
    </row>
    <row r="26" spans="1:15" ht="16" thickBot="1">
      <c r="A26" s="45"/>
      <c r="B26" s="6"/>
      <c r="C26" s="51">
        <f>SUM(C20:C25)</f>
        <v>284133615.85587275</v>
      </c>
      <c r="D26" s="51">
        <f>SUM(D20:D25)</f>
        <v>14904451.111278173</v>
      </c>
      <c r="E26" s="51">
        <f>SUM(E20:E25)</f>
        <v>269229164.74459457</v>
      </c>
      <c r="F26" s="64"/>
      <c r="M26" s="5"/>
    </row>
    <row r="27" spans="1:15" ht="16" thickBot="1"/>
    <row r="28" spans="1:15">
      <c r="A28" s="43" t="s">
        <v>51</v>
      </c>
      <c r="B28" s="15"/>
      <c r="C28" s="59" t="s">
        <v>106</v>
      </c>
      <c r="D28" s="59" t="s">
        <v>106</v>
      </c>
      <c r="E28" s="59" t="s">
        <v>106</v>
      </c>
      <c r="F28" s="60" t="s">
        <v>10</v>
      </c>
    </row>
    <row r="29" spans="1:15" ht="16" thickBot="1">
      <c r="A29" s="44"/>
      <c r="B29" s="2" t="s">
        <v>0</v>
      </c>
      <c r="C29" s="3" t="s">
        <v>8</v>
      </c>
      <c r="D29" s="3" t="s">
        <v>14</v>
      </c>
      <c r="E29" s="3" t="s">
        <v>9</v>
      </c>
      <c r="F29" s="61" t="s">
        <v>11</v>
      </c>
    </row>
    <row r="30" spans="1:15">
      <c r="A30" s="44"/>
      <c r="B30" t="s">
        <v>1</v>
      </c>
      <c r="C30" s="65">
        <f>'TCM-1.2 2022 Sales by Class'!M16</f>
        <v>58595785.515100867</v>
      </c>
      <c r="D30" s="65">
        <f>'TCM-1.2 2022 Sales by Class'!M25+'TCM-1.2 2022 Sales by Class'!M34+'TCM-1.2 2022 Sales by Class'!M43</f>
        <v>4476144.8467376027</v>
      </c>
      <c r="E30" s="5">
        <f>C30-D30</f>
        <v>54119640.668363266</v>
      </c>
      <c r="F30" s="62">
        <f t="shared" ref="F30:F35" si="7">ROUND(H6/E30,5)</f>
        <v>1.6809999999999999E-2</v>
      </c>
    </row>
    <row r="31" spans="1:15">
      <c r="A31" s="44"/>
      <c r="B31" t="s">
        <v>2</v>
      </c>
      <c r="C31" s="65">
        <f>'TCM-1.2 2022 Sales by Class'!M17</f>
        <v>14462183.049734304</v>
      </c>
      <c r="D31" s="65">
        <f>'TCM-1.2 2022 Sales by Class'!M26+'TCM-1.2 2022 Sales by Class'!M35+'TCM-1.2 2022 Sales by Class'!M44</f>
        <v>196052.23885362325</v>
      </c>
      <c r="E31" s="5">
        <f t="shared" ref="E31:E35" si="8">C31-D31</f>
        <v>14266130.81088068</v>
      </c>
      <c r="F31" s="62">
        <f t="shared" si="7"/>
        <v>1.5900000000000001E-2</v>
      </c>
    </row>
    <row r="32" spans="1:15">
      <c r="A32" s="44"/>
      <c r="B32" t="s">
        <v>3</v>
      </c>
      <c r="C32" s="65">
        <f>'TCM-1.2 2022 Sales by Class'!M18</f>
        <v>133634374.10768305</v>
      </c>
      <c r="D32" s="65">
        <f>'TCM-1.2 2022 Sales by Class'!M27+'TCM-1.2 2022 Sales by Class'!M36+'TCM-1.2 2022 Sales by Class'!M45</f>
        <v>5200396.6720033679</v>
      </c>
      <c r="E32" s="5">
        <f t="shared" si="8"/>
        <v>128433977.43567967</v>
      </c>
      <c r="F32" s="62">
        <f t="shared" si="7"/>
        <v>1.332E-2</v>
      </c>
    </row>
    <row r="33" spans="1:6">
      <c r="A33" s="44"/>
      <c r="B33" t="s">
        <v>4</v>
      </c>
      <c r="C33" s="65">
        <f>'TCM-1.2 2022 Sales by Class'!M19</f>
        <v>36899203.539424673</v>
      </c>
      <c r="D33" s="65">
        <f>'TCM-1.2 2022 Sales by Class'!M28+'TCM-1.2 2022 Sales by Class'!M37+'TCM-1.2 2022 Sales by Class'!M46</f>
        <v>1339210.5952149699</v>
      </c>
      <c r="E33" s="5">
        <f t="shared" si="8"/>
        <v>35559992.944209702</v>
      </c>
      <c r="F33" s="62">
        <f t="shared" si="7"/>
        <v>1.2919999999999999E-2</v>
      </c>
    </row>
    <row r="34" spans="1:6">
      <c r="A34" s="44"/>
      <c r="B34" t="s">
        <v>5</v>
      </c>
      <c r="C34" s="65">
        <f>'TCM-1.2 2022 Sales by Class'!M20</f>
        <v>369984.11303774151</v>
      </c>
      <c r="D34" s="65">
        <f>'TCM-1.2 2022 Sales by Class'!M29+'TCM-1.2 2022 Sales by Class'!M38+'TCM-1.2 2022 Sales by Class'!M47</f>
        <v>17044</v>
      </c>
      <c r="E34" s="5">
        <f t="shared" si="8"/>
        <v>352940.11303774151</v>
      </c>
      <c r="F34" s="62">
        <f t="shared" si="7"/>
        <v>1.176E-2</v>
      </c>
    </row>
    <row r="35" spans="1:6" ht="16" thickBot="1">
      <c r="A35" s="44"/>
      <c r="B35" s="6" t="s">
        <v>6</v>
      </c>
      <c r="C35" s="50">
        <f>'TCM-1.2 2022 Sales by Class'!M21</f>
        <v>733891.4</v>
      </c>
      <c r="D35" s="51">
        <f>'TCM-1.2 2022 Sales by Class'!M30+'TCM-1.2 2022 Sales by Class'!M39+'TCM-1.2 2022 Sales by Class'!M48</f>
        <v>0</v>
      </c>
      <c r="E35" s="51">
        <f t="shared" si="8"/>
        <v>733891.4</v>
      </c>
      <c r="F35" s="63">
        <f t="shared" si="7"/>
        <v>1.1209999999999999E-2</v>
      </c>
    </row>
    <row r="36" spans="1:6" ht="16" thickBot="1">
      <c r="A36" s="45"/>
      <c r="B36" s="6"/>
      <c r="C36" s="51">
        <f>SUM(C30:C35)</f>
        <v>244695421.72498065</v>
      </c>
      <c r="D36" s="51">
        <f>SUM(D30:D35)</f>
        <v>11228848.352809563</v>
      </c>
      <c r="E36" s="51">
        <f>SUM(E30:E35)</f>
        <v>233466573.37217104</v>
      </c>
      <c r="F36" s="64"/>
    </row>
    <row r="37" spans="1:6" ht="16" thickBot="1">
      <c r="E37" s="5"/>
    </row>
    <row r="38" spans="1:6">
      <c r="A38" s="43" t="s">
        <v>52</v>
      </c>
      <c r="B38" s="15"/>
      <c r="C38" s="59" t="s">
        <v>46</v>
      </c>
      <c r="D38" s="59" t="s">
        <v>46</v>
      </c>
      <c r="E38" s="59" t="s">
        <v>46</v>
      </c>
      <c r="F38" s="60" t="s">
        <v>10</v>
      </c>
    </row>
    <row r="39" spans="1:6" ht="16" thickBot="1">
      <c r="A39" s="44"/>
      <c r="B39" s="2" t="s">
        <v>0</v>
      </c>
      <c r="C39" s="3" t="s">
        <v>8</v>
      </c>
      <c r="D39" s="3" t="s">
        <v>14</v>
      </c>
      <c r="E39" s="3" t="s">
        <v>9</v>
      </c>
      <c r="F39" s="61" t="s">
        <v>11</v>
      </c>
    </row>
    <row r="40" spans="1:6">
      <c r="A40" s="44"/>
      <c r="B40" t="s">
        <v>1</v>
      </c>
      <c r="C40" s="65">
        <f>SUM('TCM-1.2 2022 Sales by Class'!L16:O16)</f>
        <v>264075874.06382823</v>
      </c>
      <c r="D40" s="65">
        <f>SUM('TCM-1.2 2022 Sales by Class'!L25:O25,'TCM-1.2 2022 Sales by Class'!L34:O34,'TCM-1.2 2022 Sales by Class'!L43:O43)</f>
        <v>19717785.732828051</v>
      </c>
      <c r="E40" s="5">
        <f>C40-D40</f>
        <v>244358088.33100018</v>
      </c>
      <c r="F40" s="62">
        <f t="shared" ref="F40:F45" si="9">ROUND(I6/E40,5)</f>
        <v>3.7200000000000002E-3</v>
      </c>
    </row>
    <row r="41" spans="1:6">
      <c r="A41" s="44"/>
      <c r="B41" t="s">
        <v>2</v>
      </c>
      <c r="C41" s="65">
        <f>SUM('TCM-1.2 2022 Sales by Class'!L17:O17)</f>
        <v>65542764.283768475</v>
      </c>
      <c r="D41" s="65">
        <f>SUM('TCM-1.2 2022 Sales by Class'!L26:O26,'TCM-1.2 2022 Sales by Class'!L35:O35,'TCM-1.2 2022 Sales by Class'!L44:O44)</f>
        <v>823387.98636257171</v>
      </c>
      <c r="E41" s="5">
        <f t="shared" ref="E41:E45" si="10">C41-D41</f>
        <v>64719376.297405906</v>
      </c>
      <c r="F41" s="62">
        <f t="shared" si="9"/>
        <v>3.5000000000000001E-3</v>
      </c>
    </row>
    <row r="42" spans="1:6">
      <c r="A42" s="44"/>
      <c r="B42" t="s">
        <v>3</v>
      </c>
      <c r="C42" s="65">
        <f>SUM('TCM-1.2 2022 Sales by Class'!L18:O18)</f>
        <v>544713248.03556728</v>
      </c>
      <c r="D42" s="65">
        <f>SUM('TCM-1.2 2022 Sales by Class'!L27:O27,'TCM-1.2 2022 Sales by Class'!L36:O36,'TCM-1.2 2022 Sales by Class'!L45:O45)</f>
        <v>20561039.944158308</v>
      </c>
      <c r="E42" s="5">
        <f t="shared" si="10"/>
        <v>524152208.09140897</v>
      </c>
      <c r="F42" s="62">
        <f t="shared" si="9"/>
        <v>3.2599999999999999E-3</v>
      </c>
    </row>
    <row r="43" spans="1:6">
      <c r="A43" s="44"/>
      <c r="B43" t="s">
        <v>4</v>
      </c>
      <c r="C43" s="65">
        <f>SUM('TCM-1.2 2022 Sales by Class'!L19:O19)</f>
        <v>142042611.88354695</v>
      </c>
      <c r="D43" s="65">
        <f>SUM('TCM-1.2 2022 Sales by Class'!L28:O28,'TCM-1.2 2022 Sales by Class'!L37:O37,'TCM-1.2 2022 Sales by Class'!L46:O46)</f>
        <v>5181558.5739000142</v>
      </c>
      <c r="E43" s="5">
        <f t="shared" si="10"/>
        <v>136861053.30964693</v>
      </c>
      <c r="F43" s="62">
        <f t="shared" si="9"/>
        <v>3.3500000000000001E-3</v>
      </c>
    </row>
    <row r="44" spans="1:6">
      <c r="A44" s="44"/>
      <c r="B44" t="s">
        <v>5</v>
      </c>
      <c r="C44" s="65">
        <f>SUM('TCM-1.2 2022 Sales by Class'!L20:O20)</f>
        <v>1451606.8070759755</v>
      </c>
      <c r="D44">
        <f>SUM('TCM-1.2 2022 Sales by Class'!L29:O29,'TCM-1.2 2022 Sales by Class'!L38:O38,'TCM-1.2 2022 Sales by Class'!L47:O47)</f>
        <v>68176</v>
      </c>
      <c r="E44" s="5">
        <f t="shared" si="10"/>
        <v>1383430.8070759755</v>
      </c>
      <c r="F44" s="62">
        <f t="shared" si="9"/>
        <v>3.0000000000000001E-3</v>
      </c>
    </row>
    <row r="45" spans="1:6" ht="16" thickBot="1">
      <c r="A45" s="44"/>
      <c r="B45" s="6" t="s">
        <v>6</v>
      </c>
      <c r="C45" s="50">
        <f>SUM('TCM-1.2 2022 Sales by Class'!L21:O21)</f>
        <v>2935565.6</v>
      </c>
      <c r="D45" s="51">
        <f>SUM('TCM-1.2 2022 Sales by Class'!L30:O30,'TCM-1.2 2022 Sales by Class'!L39:O39,'TCM-1.2 2022 Sales by Class'!L48:O48)</f>
        <v>0</v>
      </c>
      <c r="E45" s="51">
        <f t="shared" si="10"/>
        <v>2935565.6</v>
      </c>
      <c r="F45" s="63">
        <f t="shared" si="9"/>
        <v>2.8E-3</v>
      </c>
    </row>
    <row r="46" spans="1:6" ht="16" thickBot="1">
      <c r="A46" s="45"/>
      <c r="B46" s="6"/>
      <c r="C46" s="51">
        <f>SUM(C40:C45)</f>
        <v>1020761670.6737869</v>
      </c>
      <c r="D46" s="51">
        <f>SUM(D40:D45)</f>
        <v>46351948.237248942</v>
      </c>
      <c r="E46" s="51">
        <f>SUM(E40:E45)</f>
        <v>974409722.43653798</v>
      </c>
      <c r="F46" s="64"/>
    </row>
    <row r="47" spans="1:6" ht="16" thickBot="1"/>
    <row r="48" spans="1:6">
      <c r="A48" s="43" t="s">
        <v>53</v>
      </c>
      <c r="B48" s="15"/>
      <c r="C48" s="59" t="s">
        <v>107</v>
      </c>
      <c r="D48" s="59" t="s">
        <v>107</v>
      </c>
      <c r="E48" s="59" t="s">
        <v>107</v>
      </c>
      <c r="F48" s="60" t="s">
        <v>10</v>
      </c>
    </row>
    <row r="49" spans="1:6" ht="16" thickBot="1">
      <c r="A49" s="44"/>
      <c r="B49" s="2" t="s">
        <v>0</v>
      </c>
      <c r="C49" s="3" t="s">
        <v>8</v>
      </c>
      <c r="D49" s="3" t="s">
        <v>14</v>
      </c>
      <c r="E49" s="3" t="s">
        <v>9</v>
      </c>
      <c r="F49" s="61" t="s">
        <v>11</v>
      </c>
    </row>
    <row r="50" spans="1:6">
      <c r="A50" s="44"/>
      <c r="B50" t="s">
        <v>1</v>
      </c>
      <c r="C50" s="65">
        <f>'TCM-1.2 2022 Sales by Class'!P16</f>
        <v>847011150.53716505</v>
      </c>
      <c r="D50" s="65">
        <f>'TCM-1.2 2022 Sales by Class'!P25+'TCM-1.2 2022 Sales by Class'!P34+'TCM-1.2 2022 Sales by Class'!P43</f>
        <v>63347367.389861502</v>
      </c>
      <c r="E50" s="5">
        <f>C50-D50</f>
        <v>783663783.14730358</v>
      </c>
      <c r="F50" s="62">
        <f t="shared" ref="F50:F55" si="11">ROUND(J6/E50,5)</f>
        <v>1.16E-3</v>
      </c>
    </row>
    <row r="51" spans="1:6">
      <c r="A51" s="44"/>
      <c r="B51" t="s">
        <v>2</v>
      </c>
      <c r="C51" s="65">
        <f>'TCM-1.2 2022 Sales by Class'!P17</f>
        <v>207154287.61637959</v>
      </c>
      <c r="D51" s="65">
        <f>'TCM-1.2 2022 Sales by Class'!P26+'TCM-1.2 2022 Sales by Class'!P35+'TCM-1.2 2022 Sales by Class'!P44</f>
        <v>2715304.2638955452</v>
      </c>
      <c r="E51" s="5">
        <f t="shared" ref="E51:E55" si="12">C51-D51</f>
        <v>204438983.35248405</v>
      </c>
      <c r="F51" s="62">
        <f t="shared" si="11"/>
        <v>1.1100000000000001E-3</v>
      </c>
    </row>
    <row r="52" spans="1:6">
      <c r="A52" s="44"/>
      <c r="B52" t="s">
        <v>3</v>
      </c>
      <c r="C52" s="65">
        <f>'TCM-1.2 2022 Sales by Class'!P18</f>
        <v>1659532112.4147251</v>
      </c>
      <c r="D52" s="65">
        <f>'TCM-1.2 2022 Sales by Class'!P27+'TCM-1.2 2022 Sales by Class'!P36+'TCM-1.2 2022 Sales by Class'!P45</f>
        <v>74781649.066066995</v>
      </c>
      <c r="E52" s="5">
        <f t="shared" si="12"/>
        <v>1584750463.3486581</v>
      </c>
      <c r="F52" s="62">
        <f t="shared" si="11"/>
        <v>1.08E-3</v>
      </c>
    </row>
    <row r="53" spans="1:6">
      <c r="A53" s="44"/>
      <c r="B53" t="s">
        <v>4</v>
      </c>
      <c r="C53" s="65">
        <f>'TCM-1.2 2022 Sales by Class'!P19</f>
        <v>421344383.89167017</v>
      </c>
      <c r="D53" s="65">
        <f>'TCM-1.2 2022 Sales by Class'!P28+'TCM-1.2 2022 Sales by Class'!P37+'TCM-1.2 2022 Sales by Class'!P46</f>
        <v>19755265.694090299</v>
      </c>
      <c r="E53" s="5">
        <f t="shared" si="12"/>
        <v>401589118.19757986</v>
      </c>
      <c r="F53" s="62">
        <f t="shared" si="11"/>
        <v>1.15E-3</v>
      </c>
    </row>
    <row r="54" spans="1:6">
      <c r="A54" s="44"/>
      <c r="B54" t="s">
        <v>5</v>
      </c>
      <c r="C54" s="65">
        <f>'TCM-1.2 2022 Sales by Class'!P20</f>
        <v>4055542.6338427137</v>
      </c>
      <c r="D54">
        <f>'TCM-1.2 2022 Sales by Class'!P29+'TCM-1.2 2022 Sales by Class'!P38+'TCM-1.2 2022 Sales by Class'!P47</f>
        <v>204528</v>
      </c>
      <c r="E54" s="5">
        <f t="shared" si="12"/>
        <v>3851014.6338427137</v>
      </c>
      <c r="F54" s="62">
        <f t="shared" si="11"/>
        <v>1.08E-3</v>
      </c>
    </row>
    <row r="55" spans="1:6" ht="16" thickBot="1">
      <c r="A55" s="44"/>
      <c r="B55" s="6" t="s">
        <v>6</v>
      </c>
      <c r="C55" s="50">
        <f>'TCM-1.2 2022 Sales by Class'!P21</f>
        <v>8806696.8000000026</v>
      </c>
      <c r="D55" s="51">
        <f>'TCM-1.2 2022 Sales by Class'!P30+'TCM-1.2 2022 Sales by Class'!P39+'TCM-1.2 2022 Sales by Class'!P48</f>
        <v>0</v>
      </c>
      <c r="E55" s="51">
        <f t="shared" si="12"/>
        <v>8806696.8000000026</v>
      </c>
      <c r="F55" s="63">
        <f t="shared" si="11"/>
        <v>9.3999999999999997E-4</v>
      </c>
    </row>
    <row r="56" spans="1:6" ht="16" thickBot="1">
      <c r="A56" s="45"/>
      <c r="B56" s="6"/>
      <c r="C56" s="51">
        <f>SUM(C50:C55)</f>
        <v>3147904173.8937831</v>
      </c>
      <c r="D56" s="51">
        <f>SUM(D50:D55)</f>
        <v>160804114.41391435</v>
      </c>
      <c r="E56" s="51">
        <f>SUM(E50:E55)</f>
        <v>2987100059.4798689</v>
      </c>
      <c r="F56" s="64"/>
    </row>
    <row r="59" spans="1:6">
      <c r="B59" t="s">
        <v>15</v>
      </c>
    </row>
  </sheetData>
  <mergeCells count="2">
    <mergeCell ref="B2:G2"/>
    <mergeCell ref="B3:G3"/>
  </mergeCells>
  <phoneticPr fontId="16" type="noConversion"/>
  <pageMargins left="0.5" right="0.5" top="0.5" bottom="0.75" header="0" footer="0.25"/>
  <pageSetup scale="58" orientation="landscape" horizontalDpi="1200" verticalDpi="1200" r:id="rId1"/>
  <headerFooter>
    <oddFooter>&amp;L&amp;F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DE61D-2C4E-4858-BE05-DBC4E741CBCE}">
  <sheetPr>
    <pageSetUpPr fitToPage="1"/>
  </sheetPr>
  <dimension ref="A1:V61"/>
  <sheetViews>
    <sheetView zoomScaleNormal="100" workbookViewId="0"/>
  </sheetViews>
  <sheetFormatPr baseColWidth="10" defaultColWidth="8.83203125" defaultRowHeight="15"/>
  <cols>
    <col min="1" max="1" width="19.6640625" bestFit="1" customWidth="1"/>
    <col min="2" max="3" width="2.83203125" customWidth="1"/>
    <col min="4" max="4" width="14.83203125" customWidth="1"/>
    <col min="5" max="5" width="14.6640625" customWidth="1"/>
    <col min="6" max="6" width="15.5" customWidth="1"/>
    <col min="7" max="7" width="14.33203125" customWidth="1"/>
    <col min="8" max="8" width="15.5" customWidth="1"/>
    <col min="9" max="9" width="14.33203125" customWidth="1"/>
    <col min="10" max="10" width="16.1640625" customWidth="1"/>
    <col min="11" max="11" width="15.1640625" customWidth="1"/>
    <col min="12" max="12" width="15" customWidth="1"/>
    <col min="13" max="13" width="16.83203125" customWidth="1"/>
    <col min="14" max="14" width="14.5" customWidth="1"/>
    <col min="15" max="15" width="14.6640625" customWidth="1"/>
    <col min="16" max="16" width="16.5" customWidth="1"/>
    <col min="17" max="17" width="5.33203125" customWidth="1"/>
  </cols>
  <sheetData>
    <row r="1" spans="1:20">
      <c r="A1" s="26" t="s">
        <v>30</v>
      </c>
    </row>
    <row r="2" spans="1:20">
      <c r="A2" s="1" t="s">
        <v>108</v>
      </c>
      <c r="D2" s="12"/>
    </row>
    <row r="3" spans="1:20" ht="16" thickBot="1">
      <c r="A3" s="8"/>
    </row>
    <row r="4" spans="1:20">
      <c r="A4" s="13"/>
      <c r="B4" s="14"/>
      <c r="C4" s="14"/>
      <c r="D4" s="15" t="s">
        <v>109</v>
      </c>
      <c r="E4" s="14"/>
      <c r="F4" s="14"/>
      <c r="G4" s="14"/>
      <c r="H4" s="14"/>
      <c r="I4" s="14"/>
      <c r="J4" s="14"/>
      <c r="K4" s="14"/>
      <c r="L4" s="14"/>
      <c r="M4" s="14"/>
      <c r="N4" s="14"/>
      <c r="O4" s="14"/>
      <c r="P4" s="16"/>
    </row>
    <row r="5" spans="1:20" ht="48">
      <c r="A5" s="17"/>
      <c r="D5" s="18" t="s">
        <v>31</v>
      </c>
      <c r="E5" s="18" t="s">
        <v>32</v>
      </c>
      <c r="F5" s="18" t="s">
        <v>33</v>
      </c>
      <c r="G5" s="18" t="s">
        <v>34</v>
      </c>
      <c r="H5" s="18" t="s">
        <v>17</v>
      </c>
      <c r="I5" s="18" t="s">
        <v>35</v>
      </c>
      <c r="J5" s="18" t="s">
        <v>36</v>
      </c>
      <c r="K5" s="18" t="s">
        <v>37</v>
      </c>
      <c r="L5" s="18" t="s">
        <v>38</v>
      </c>
      <c r="M5" s="18" t="s">
        <v>39</v>
      </c>
      <c r="N5" s="18" t="s">
        <v>40</v>
      </c>
      <c r="O5" s="18" t="s">
        <v>41</v>
      </c>
      <c r="P5" s="19" t="s">
        <v>42</v>
      </c>
    </row>
    <row r="6" spans="1:20">
      <c r="A6" s="17" t="s">
        <v>1</v>
      </c>
      <c r="D6" s="65">
        <f t="shared" ref="D6:P11" si="0">D16-D25-D34-D43</f>
        <v>73616041.016113609</v>
      </c>
      <c r="E6" s="65">
        <f t="shared" si="0"/>
        <v>63032509.418249153</v>
      </c>
      <c r="F6" s="65">
        <f t="shared" si="0"/>
        <v>62469047.314954095</v>
      </c>
      <c r="G6" s="65">
        <f t="shared" si="0"/>
        <v>52962717.450058095</v>
      </c>
      <c r="H6" s="65">
        <f t="shared" si="0"/>
        <v>53964441.066550896</v>
      </c>
      <c r="I6" s="65">
        <f t="shared" si="0"/>
        <v>65934889.668798387</v>
      </c>
      <c r="J6" s="65">
        <f t="shared" si="0"/>
        <v>84776529.683316395</v>
      </c>
      <c r="K6" s="65">
        <f t="shared" si="0"/>
        <v>82549519.198262721</v>
      </c>
      <c r="L6" s="65">
        <f t="shared" si="0"/>
        <v>66995375.718229786</v>
      </c>
      <c r="M6" s="65">
        <f t="shared" si="0"/>
        <v>54119640.668363266</v>
      </c>
      <c r="N6" s="65">
        <f t="shared" si="0"/>
        <v>56519150.873682693</v>
      </c>
      <c r="O6" s="65">
        <f t="shared" si="0"/>
        <v>66723921.070724465</v>
      </c>
      <c r="P6" s="66">
        <f t="shared" si="0"/>
        <v>783663783.14730346</v>
      </c>
    </row>
    <row r="7" spans="1:20">
      <c r="A7" s="17" t="s">
        <v>2</v>
      </c>
      <c r="D7" s="65">
        <f t="shared" si="0"/>
        <v>19502021.39101284</v>
      </c>
      <c r="E7" s="65">
        <f t="shared" si="0"/>
        <v>17391416.49892623</v>
      </c>
      <c r="F7" s="65">
        <f t="shared" si="0"/>
        <v>17806552.583961785</v>
      </c>
      <c r="G7" s="65">
        <f t="shared" si="0"/>
        <v>15533489.722004808</v>
      </c>
      <c r="H7" s="65">
        <f t="shared" si="0"/>
        <v>15851361.459585749</v>
      </c>
      <c r="I7" s="65">
        <f t="shared" si="0"/>
        <v>16988304.104485121</v>
      </c>
      <c r="J7" s="65">
        <f t="shared" si="0"/>
        <v>18836962.727984264</v>
      </c>
      <c r="K7" s="65">
        <f t="shared" si="0"/>
        <v>17809498.567117333</v>
      </c>
      <c r="L7" s="65">
        <f t="shared" si="0"/>
        <v>17020450.533993535</v>
      </c>
      <c r="M7" s="65">
        <f t="shared" si="0"/>
        <v>14266130.810880681</v>
      </c>
      <c r="N7" s="65">
        <f t="shared" si="0"/>
        <v>15698857.36945986</v>
      </c>
      <c r="O7" s="65">
        <f t="shared" si="0"/>
        <v>17733937.583071828</v>
      </c>
      <c r="P7" s="66">
        <f t="shared" si="0"/>
        <v>204438983.35248405</v>
      </c>
    </row>
    <row r="8" spans="1:20">
      <c r="A8" s="17" t="s">
        <v>18</v>
      </c>
      <c r="D8" s="65">
        <f t="shared" si="0"/>
        <v>133444208.55779617</v>
      </c>
      <c r="E8" s="65">
        <f t="shared" si="0"/>
        <v>118127674.71102825</v>
      </c>
      <c r="F8" s="65">
        <f t="shared" si="0"/>
        <v>125741927.39663845</v>
      </c>
      <c r="G8" s="65">
        <f t="shared" si="0"/>
        <v>116432136.45149539</v>
      </c>
      <c r="H8" s="65">
        <f t="shared" si="0"/>
        <v>125100237.08601095</v>
      </c>
      <c r="I8" s="65">
        <f t="shared" si="0"/>
        <v>141065418.57511869</v>
      </c>
      <c r="J8" s="65">
        <f t="shared" si="0"/>
        <v>154031403.77039701</v>
      </c>
      <c r="K8" s="65">
        <f t="shared" si="0"/>
        <v>146655248.70876387</v>
      </c>
      <c r="L8" s="65">
        <f t="shared" si="0"/>
        <v>145130203.25088039</v>
      </c>
      <c r="M8" s="65">
        <f t="shared" si="0"/>
        <v>128433977.43567969</v>
      </c>
      <c r="N8" s="65">
        <f t="shared" si="0"/>
        <v>123515919.14997977</v>
      </c>
      <c r="O8" s="65">
        <f t="shared" si="0"/>
        <v>127072108.25486913</v>
      </c>
      <c r="P8" s="66">
        <f t="shared" si="0"/>
        <v>1584750463.3486581</v>
      </c>
    </row>
    <row r="9" spans="1:20">
      <c r="A9" s="17" t="s">
        <v>4</v>
      </c>
      <c r="D9" s="65">
        <f t="shared" si="0"/>
        <v>32149427.823001146</v>
      </c>
      <c r="E9" s="65">
        <f t="shared" si="0"/>
        <v>30534190.04429261</v>
      </c>
      <c r="F9" s="65">
        <f t="shared" si="0"/>
        <v>31335581.100808822</v>
      </c>
      <c r="G9" s="65">
        <f t="shared" si="0"/>
        <v>30575116.769783441</v>
      </c>
      <c r="H9" s="65">
        <f t="shared" si="0"/>
        <v>32896893.395035807</v>
      </c>
      <c r="I9" s="65">
        <f t="shared" si="0"/>
        <v>34185874.634955622</v>
      </c>
      <c r="J9" s="65">
        <f t="shared" si="0"/>
        <v>34185497.09418644</v>
      </c>
      <c r="K9" s="65">
        <f t="shared" si="0"/>
        <v>38865484.02586893</v>
      </c>
      <c r="L9" s="65">
        <f t="shared" si="0"/>
        <v>39030226.194172211</v>
      </c>
      <c r="M9" s="65">
        <f t="shared" si="0"/>
        <v>35559992.944209702</v>
      </c>
      <c r="N9" s="65">
        <f t="shared" si="0"/>
        <v>31737372.790286846</v>
      </c>
      <c r="O9" s="65">
        <f t="shared" si="0"/>
        <v>30533461.380978175</v>
      </c>
      <c r="P9" s="66">
        <f t="shared" si="0"/>
        <v>401589118.19757986</v>
      </c>
    </row>
    <row r="10" spans="1:20">
      <c r="A10" s="17" t="s">
        <v>5</v>
      </c>
      <c r="D10" s="65">
        <f t="shared" si="0"/>
        <v>348219.89051329647</v>
      </c>
      <c r="E10" s="65">
        <f t="shared" si="0"/>
        <v>318062.35373111308</v>
      </c>
      <c r="F10" s="65">
        <f t="shared" si="0"/>
        <v>300661.52965504024</v>
      </c>
      <c r="G10" s="65">
        <f t="shared" si="0"/>
        <v>296319.05725213187</v>
      </c>
      <c r="H10" s="65">
        <f t="shared" si="0"/>
        <v>300635.25228587538</v>
      </c>
      <c r="I10" s="65">
        <f t="shared" si="0"/>
        <v>317587.68557938683</v>
      </c>
      <c r="J10" s="65">
        <f t="shared" si="0"/>
        <v>305536.4340446369</v>
      </c>
      <c r="K10" s="65">
        <f t="shared" si="0"/>
        <v>280561.62370525766</v>
      </c>
      <c r="L10" s="65">
        <f t="shared" si="0"/>
        <v>319017.64731868822</v>
      </c>
      <c r="M10" s="65">
        <f t="shared" si="0"/>
        <v>352940.11303774151</v>
      </c>
      <c r="N10" s="65">
        <f t="shared" si="0"/>
        <v>360389.37333045411</v>
      </c>
      <c r="O10" s="65">
        <f t="shared" si="0"/>
        <v>351083.67338909151</v>
      </c>
      <c r="P10" s="66">
        <f t="shared" si="0"/>
        <v>3851014.6338427137</v>
      </c>
    </row>
    <row r="11" spans="1:20">
      <c r="A11" s="17" t="s">
        <v>6</v>
      </c>
      <c r="D11" s="67">
        <f t="shared" si="0"/>
        <v>733891.4</v>
      </c>
      <c r="E11" s="67">
        <f t="shared" si="0"/>
        <v>733891.4</v>
      </c>
      <c r="F11" s="67">
        <f t="shared" si="0"/>
        <v>733891.4</v>
      </c>
      <c r="G11" s="67">
        <f t="shared" si="0"/>
        <v>733891.4</v>
      </c>
      <c r="H11" s="67">
        <f t="shared" si="0"/>
        <v>733891.4</v>
      </c>
      <c r="I11" s="67">
        <f t="shared" si="0"/>
        <v>733891.4</v>
      </c>
      <c r="J11" s="67">
        <f t="shared" si="0"/>
        <v>733891.4</v>
      </c>
      <c r="K11" s="67">
        <f t="shared" si="0"/>
        <v>733891.4</v>
      </c>
      <c r="L11" s="67">
        <f t="shared" si="0"/>
        <v>733891.4</v>
      </c>
      <c r="M11" s="67">
        <f t="shared" si="0"/>
        <v>733891.4</v>
      </c>
      <c r="N11" s="67">
        <f t="shared" si="0"/>
        <v>733891.4</v>
      </c>
      <c r="O11" s="67">
        <f t="shared" si="0"/>
        <v>733891.4</v>
      </c>
      <c r="P11" s="68">
        <f t="shared" si="0"/>
        <v>8806696.8000000026</v>
      </c>
    </row>
    <row r="12" spans="1:20" ht="16" thickBot="1">
      <c r="A12" s="20" t="s">
        <v>16</v>
      </c>
      <c r="B12" s="6"/>
      <c r="C12" s="6"/>
      <c r="D12" s="50">
        <f>SUM(D6:D11)</f>
        <v>259793810.07843706</v>
      </c>
      <c r="E12" s="50">
        <f t="shared" ref="E12:P12" si="1">SUM(E6:E11)</f>
        <v>230137744.42622736</v>
      </c>
      <c r="F12" s="50">
        <f t="shared" si="1"/>
        <v>238387661.32601821</v>
      </c>
      <c r="G12" s="50">
        <f t="shared" si="1"/>
        <v>216533670.85059386</v>
      </c>
      <c r="H12" s="50">
        <f t="shared" si="1"/>
        <v>228847459.65946925</v>
      </c>
      <c r="I12" s="50">
        <f t="shared" si="1"/>
        <v>259225966.06893721</v>
      </c>
      <c r="J12" s="50">
        <f t="shared" si="1"/>
        <v>292869821.10992873</v>
      </c>
      <c r="K12" s="50">
        <f t="shared" si="1"/>
        <v>286894203.52371812</v>
      </c>
      <c r="L12" s="50">
        <f t="shared" si="1"/>
        <v>269229164.74459457</v>
      </c>
      <c r="M12" s="50">
        <f t="shared" si="1"/>
        <v>233466573.37217107</v>
      </c>
      <c r="N12" s="50">
        <f t="shared" si="1"/>
        <v>228565580.9567396</v>
      </c>
      <c r="O12" s="50">
        <f t="shared" si="1"/>
        <v>243148403.36303267</v>
      </c>
      <c r="P12" s="69">
        <f t="shared" si="1"/>
        <v>2987100059.4798689</v>
      </c>
      <c r="Q12" s="4"/>
    </row>
    <row r="14" spans="1:20">
      <c r="A14" s="21"/>
      <c r="B14" s="22"/>
      <c r="C14" s="22"/>
      <c r="D14" s="70" t="s">
        <v>43</v>
      </c>
      <c r="E14" s="22"/>
      <c r="F14" s="22"/>
      <c r="G14" s="22"/>
      <c r="H14" s="22"/>
      <c r="I14" s="22"/>
      <c r="J14" s="22"/>
      <c r="K14" s="22"/>
      <c r="L14" s="22"/>
      <c r="M14" s="22"/>
      <c r="N14" s="22"/>
      <c r="O14" s="22"/>
      <c r="P14" s="71"/>
    </row>
    <row r="15" spans="1:20" ht="48">
      <c r="A15" s="23"/>
      <c r="D15" s="72" t="s">
        <v>31</v>
      </c>
      <c r="E15" s="72" t="s">
        <v>32</v>
      </c>
      <c r="F15" s="72" t="s">
        <v>33</v>
      </c>
      <c r="G15" s="72" t="s">
        <v>34</v>
      </c>
      <c r="H15" s="72" t="s">
        <v>17</v>
      </c>
      <c r="I15" s="72" t="s">
        <v>35</v>
      </c>
      <c r="J15" s="72" t="s">
        <v>36</v>
      </c>
      <c r="K15" s="72" t="s">
        <v>37</v>
      </c>
      <c r="L15" s="72" t="s">
        <v>38</v>
      </c>
      <c r="M15" s="72" t="s">
        <v>39</v>
      </c>
      <c r="N15" s="72" t="s">
        <v>40</v>
      </c>
      <c r="O15" s="72" t="s">
        <v>41</v>
      </c>
      <c r="P15" s="73" t="s">
        <v>42</v>
      </c>
    </row>
    <row r="16" spans="1:20">
      <c r="A16" s="23" t="s">
        <v>1</v>
      </c>
      <c r="D16" s="65">
        <v>78565953.075352311</v>
      </c>
      <c r="E16" s="65">
        <v>67759394.827118516</v>
      </c>
      <c r="F16" s="65">
        <v>67031225.675966114</v>
      </c>
      <c r="G16" s="65">
        <v>57862185.194358535</v>
      </c>
      <c r="H16" s="65">
        <v>58617808.107304357</v>
      </c>
      <c r="I16" s="65">
        <v>71477216.406987712</v>
      </c>
      <c r="J16" s="65">
        <v>92045427.153465196</v>
      </c>
      <c r="K16" s="65">
        <v>89576066.032784089</v>
      </c>
      <c r="L16" s="65">
        <v>72780150.449863657</v>
      </c>
      <c r="M16" s="65">
        <v>58595785.515100867</v>
      </c>
      <c r="N16" s="65">
        <v>60900787.808807962</v>
      </c>
      <c r="O16" s="65">
        <v>71799150.290055767</v>
      </c>
      <c r="P16" s="74">
        <v>847011150.53716505</v>
      </c>
      <c r="Q16" s="4"/>
      <c r="R16" s="4"/>
      <c r="S16" s="4"/>
      <c r="T16" s="4"/>
    </row>
    <row r="17" spans="1:22">
      <c r="A17" s="23" t="s">
        <v>2</v>
      </c>
      <c r="D17" s="65">
        <v>19755889.854760028</v>
      </c>
      <c r="E17" s="65">
        <v>17644634.283888157</v>
      </c>
      <c r="F17" s="65">
        <v>18054620.977492761</v>
      </c>
      <c r="G17" s="65">
        <v>15759174.37310018</v>
      </c>
      <c r="H17" s="65">
        <v>16055255.140543234</v>
      </c>
      <c r="I17" s="65">
        <v>17194500.511877004</v>
      </c>
      <c r="J17" s="65">
        <v>19091681.721379001</v>
      </c>
      <c r="K17" s="65">
        <v>18055766.469570741</v>
      </c>
      <c r="L17" s="65">
        <v>17250274.599425774</v>
      </c>
      <c r="M17" s="65">
        <v>14462183.049734304</v>
      </c>
      <c r="N17" s="65">
        <v>15886365.524122575</v>
      </c>
      <c r="O17" s="65">
        <v>17943941.110485818</v>
      </c>
      <c r="P17" s="74">
        <v>207154287.61637959</v>
      </c>
      <c r="Q17" s="4"/>
      <c r="R17" s="4"/>
      <c r="S17" s="4"/>
      <c r="T17" s="4"/>
    </row>
    <row r="18" spans="1:22">
      <c r="A18" s="23" t="s">
        <v>18</v>
      </c>
      <c r="D18" s="65">
        <v>137598810.78059801</v>
      </c>
      <c r="E18" s="65">
        <v>123515096.70154163</v>
      </c>
      <c r="F18" s="65">
        <v>132163160.02363124</v>
      </c>
      <c r="G18" s="65">
        <v>123058809.06274396</v>
      </c>
      <c r="H18" s="65">
        <v>132579319.00718488</v>
      </c>
      <c r="I18" s="65">
        <v>149288496.06075725</v>
      </c>
      <c r="J18" s="65">
        <v>162381177.76750618</v>
      </c>
      <c r="K18" s="65">
        <v>154233994.97519439</v>
      </c>
      <c r="L18" s="65">
        <v>152115713.88327363</v>
      </c>
      <c r="M18" s="65">
        <v>133634374.10768305</v>
      </c>
      <c r="N18" s="65">
        <v>128021728.5692637</v>
      </c>
      <c r="O18" s="65">
        <v>130941431.47534691</v>
      </c>
      <c r="P18" s="74">
        <v>1659532112.4147251</v>
      </c>
      <c r="Q18" s="4"/>
      <c r="R18" s="4"/>
      <c r="S18" s="4"/>
      <c r="T18" s="4"/>
    </row>
    <row r="19" spans="1:22">
      <c r="A19" s="23" t="s">
        <v>4</v>
      </c>
      <c r="D19" s="65">
        <v>33065727.593621798</v>
      </c>
      <c r="E19" s="65">
        <v>31890614.656765159</v>
      </c>
      <c r="F19" s="65">
        <v>33057445.420852911</v>
      </c>
      <c r="G19" s="65">
        <v>32402504.571759291</v>
      </c>
      <c r="H19" s="65">
        <v>35024575.190746158</v>
      </c>
      <c r="I19" s="65">
        <v>36487654.922784805</v>
      </c>
      <c r="J19" s="65">
        <v>36474073.110969864</v>
      </c>
      <c r="K19" s="65">
        <v>40899176.540623188</v>
      </c>
      <c r="L19" s="65">
        <v>40917523.875991039</v>
      </c>
      <c r="M19" s="65">
        <v>36899203.539424673</v>
      </c>
      <c r="N19" s="65">
        <v>32864633.150411818</v>
      </c>
      <c r="O19" s="65">
        <v>31361251.317719419</v>
      </c>
      <c r="P19" s="74">
        <v>421344383.89167017</v>
      </c>
      <c r="Q19" s="4"/>
      <c r="R19" s="4"/>
      <c r="S19" s="4"/>
      <c r="T19" s="4"/>
    </row>
    <row r="20" spans="1:22">
      <c r="A20" s="23" t="s">
        <v>5</v>
      </c>
      <c r="D20" s="65">
        <v>365263.89051329647</v>
      </c>
      <c r="E20" s="65">
        <v>335106.35373111308</v>
      </c>
      <c r="F20" s="65">
        <v>317705.52965504024</v>
      </c>
      <c r="G20" s="65">
        <v>313363.05725213187</v>
      </c>
      <c r="H20" s="65">
        <v>317679.25228587538</v>
      </c>
      <c r="I20" s="65">
        <v>334631.68557938683</v>
      </c>
      <c r="J20" s="65">
        <v>322580.4340446369</v>
      </c>
      <c r="K20" s="65">
        <v>297605.62370525766</v>
      </c>
      <c r="L20" s="65">
        <v>336061.64731868822</v>
      </c>
      <c r="M20" s="65">
        <v>369984.11303774151</v>
      </c>
      <c r="N20" s="65">
        <v>377433.37333045411</v>
      </c>
      <c r="O20" s="65">
        <v>368127.67338909151</v>
      </c>
      <c r="P20" s="74">
        <v>4055542.6338427137</v>
      </c>
      <c r="Q20" s="4"/>
      <c r="R20" s="4"/>
      <c r="S20" s="4"/>
      <c r="T20" s="4"/>
    </row>
    <row r="21" spans="1:22">
      <c r="A21" s="23" t="s">
        <v>6</v>
      </c>
      <c r="D21" s="67">
        <v>733891.4</v>
      </c>
      <c r="E21" s="67">
        <v>733891.4</v>
      </c>
      <c r="F21" s="67">
        <v>733891.4</v>
      </c>
      <c r="G21" s="67">
        <v>733891.4</v>
      </c>
      <c r="H21" s="67">
        <v>733891.4</v>
      </c>
      <c r="I21" s="67">
        <v>733891.4</v>
      </c>
      <c r="J21" s="67">
        <v>733891.4</v>
      </c>
      <c r="K21" s="67">
        <v>733891.4</v>
      </c>
      <c r="L21" s="67">
        <v>733891.4</v>
      </c>
      <c r="M21" s="67">
        <v>733891.4</v>
      </c>
      <c r="N21" s="67">
        <v>733891.4</v>
      </c>
      <c r="O21" s="67">
        <v>733891.4</v>
      </c>
      <c r="P21" s="75">
        <v>8806696.8000000026</v>
      </c>
      <c r="Q21" s="4"/>
      <c r="R21" s="4"/>
      <c r="S21" s="4"/>
      <c r="T21" s="4"/>
    </row>
    <row r="22" spans="1:22">
      <c r="A22" s="24" t="s">
        <v>16</v>
      </c>
      <c r="B22" s="25"/>
      <c r="C22" s="25"/>
      <c r="D22" s="67">
        <f>SUM(D16:D21)</f>
        <v>270085536.59484541</v>
      </c>
      <c r="E22" s="67">
        <f t="shared" ref="E22:P22" si="2">SUM(E16:E21)</f>
        <v>241878738.2230446</v>
      </c>
      <c r="F22" s="67">
        <f t="shared" si="2"/>
        <v>251358049.02759805</v>
      </c>
      <c r="G22" s="67">
        <f t="shared" si="2"/>
        <v>230129927.65921411</v>
      </c>
      <c r="H22" s="67">
        <f t="shared" si="2"/>
        <v>243328528.09806451</v>
      </c>
      <c r="I22" s="67">
        <f t="shared" si="2"/>
        <v>275516390.98798609</v>
      </c>
      <c r="J22" s="67">
        <f t="shared" si="2"/>
        <v>311048831.58736485</v>
      </c>
      <c r="K22" s="67">
        <f t="shared" si="2"/>
        <v>303796501.04187763</v>
      </c>
      <c r="L22" s="67">
        <f t="shared" si="2"/>
        <v>284133615.85587275</v>
      </c>
      <c r="M22" s="67">
        <f t="shared" si="2"/>
        <v>244695421.72498065</v>
      </c>
      <c r="N22" s="67">
        <f t="shared" si="2"/>
        <v>238784839.8259365</v>
      </c>
      <c r="O22" s="67">
        <f t="shared" si="2"/>
        <v>253147793.26699701</v>
      </c>
      <c r="P22" s="75">
        <f t="shared" si="2"/>
        <v>3147904173.8937831</v>
      </c>
      <c r="Q22" s="4"/>
      <c r="R22" s="4"/>
      <c r="S22" s="4"/>
      <c r="T22" s="4"/>
    </row>
    <row r="23" spans="1:22">
      <c r="D23" s="33"/>
      <c r="E23" s="33"/>
      <c r="F23" s="33"/>
      <c r="G23" s="33"/>
      <c r="H23" s="33"/>
      <c r="I23" s="33"/>
      <c r="J23" s="33"/>
      <c r="K23" s="33"/>
      <c r="L23" s="33"/>
      <c r="M23" s="33"/>
      <c r="N23" s="33"/>
      <c r="O23" s="33"/>
      <c r="P23" s="33"/>
      <c r="Q23" s="4"/>
      <c r="R23" s="4"/>
      <c r="S23" s="4"/>
      <c r="T23" s="4"/>
    </row>
    <row r="24" spans="1:22">
      <c r="A24" s="21"/>
      <c r="B24" s="22"/>
      <c r="C24" s="22"/>
      <c r="D24" s="76" t="s">
        <v>44</v>
      </c>
      <c r="E24" s="77"/>
      <c r="F24" s="77"/>
      <c r="G24" s="77"/>
      <c r="H24" s="77"/>
      <c r="I24" s="77"/>
      <c r="J24" s="77"/>
      <c r="K24" s="77"/>
      <c r="L24" s="77"/>
      <c r="M24" s="77"/>
      <c r="N24" s="77"/>
      <c r="O24" s="77"/>
      <c r="P24" s="78"/>
      <c r="Q24" s="4"/>
      <c r="R24" s="4"/>
      <c r="S24" s="4"/>
      <c r="T24" s="4"/>
    </row>
    <row r="25" spans="1:22">
      <c r="A25" s="23" t="s">
        <v>1</v>
      </c>
      <c r="D25" s="65">
        <v>4821439.2903962201</v>
      </c>
      <c r="E25" s="65">
        <v>4520001.0444722353</v>
      </c>
      <c r="F25" s="65">
        <v>4103544.7129531703</v>
      </c>
      <c r="G25" s="65">
        <v>4375110.7545901602</v>
      </c>
      <c r="H25" s="65">
        <v>4012137.3957480052</v>
      </c>
      <c r="I25" s="65">
        <v>4841957.0240098387</v>
      </c>
      <c r="J25" s="65">
        <v>6550480.9013142483</v>
      </c>
      <c r="K25" s="65">
        <v>6408085.7398758344</v>
      </c>
      <c r="L25" s="65">
        <v>5261571.7078037411</v>
      </c>
      <c r="M25" s="65">
        <v>4148255.0431358749</v>
      </c>
      <c r="N25" s="65">
        <v>4168513.5165245645</v>
      </c>
      <c r="O25" s="65">
        <v>4914691.5757135777</v>
      </c>
      <c r="P25" s="74">
        <v>58125788.70653744</v>
      </c>
      <c r="Q25" s="4"/>
      <c r="R25" s="4"/>
      <c r="S25" s="4"/>
      <c r="T25" s="4"/>
      <c r="U25" s="4"/>
      <c r="V25" s="4"/>
    </row>
    <row r="26" spans="1:22">
      <c r="A26" s="23" t="s">
        <v>2</v>
      </c>
      <c r="D26" s="65">
        <v>243246.68771874998</v>
      </c>
      <c r="E26" s="65">
        <v>236113.15335625</v>
      </c>
      <c r="F26" s="65">
        <v>210149.82189374999</v>
      </c>
      <c r="G26" s="65">
        <v>182332.25389999998</v>
      </c>
      <c r="H26" s="65">
        <v>150878.57329375</v>
      </c>
      <c r="I26" s="65">
        <v>167510.42172499996</v>
      </c>
      <c r="J26" s="65">
        <v>215036.16228125</v>
      </c>
      <c r="K26" s="65">
        <v>214022.11097499999</v>
      </c>
      <c r="L26" s="65">
        <v>191584.3414375</v>
      </c>
      <c r="M26" s="65">
        <v>163966.7696875</v>
      </c>
      <c r="N26" s="65">
        <v>169227.97740625002</v>
      </c>
      <c r="O26" s="65">
        <v>198044.52161250004</v>
      </c>
      <c r="P26" s="74">
        <v>2342112.7952874992</v>
      </c>
      <c r="Q26" s="4"/>
      <c r="R26" s="4"/>
      <c r="S26" s="4"/>
      <c r="T26" s="4"/>
      <c r="U26" s="4"/>
      <c r="V26" s="4"/>
    </row>
    <row r="27" spans="1:22">
      <c r="A27" s="23" t="s">
        <v>18</v>
      </c>
      <c r="D27" s="65">
        <v>1416613.4095471059</v>
      </c>
      <c r="E27" s="65">
        <v>1349785.0376067986</v>
      </c>
      <c r="F27" s="65">
        <v>1246866.2947204097</v>
      </c>
      <c r="G27" s="65">
        <v>1105921.3839771519</v>
      </c>
      <c r="H27" s="65">
        <v>1012661.1102240215</v>
      </c>
      <c r="I27" s="65">
        <v>1238249.6219536844</v>
      </c>
      <c r="J27" s="65">
        <v>1398296.5146244345</v>
      </c>
      <c r="K27" s="65">
        <v>1451631.0826715026</v>
      </c>
      <c r="L27" s="65">
        <v>1254114.2098139965</v>
      </c>
      <c r="M27" s="65">
        <v>1142564.5295611497</v>
      </c>
      <c r="N27" s="65">
        <v>1114743.9404278141</v>
      </c>
      <c r="O27" s="65">
        <v>1373093.2979969236</v>
      </c>
      <c r="P27" s="74">
        <v>15104540.433124993</v>
      </c>
      <c r="Q27" s="4"/>
      <c r="R27" s="4"/>
      <c r="S27" s="4"/>
      <c r="T27" s="4"/>
      <c r="U27" s="4"/>
      <c r="V27" s="4"/>
    </row>
    <row r="28" spans="1:22">
      <c r="A28" s="23" t="s">
        <v>4</v>
      </c>
      <c r="D28" s="65"/>
      <c r="E28" s="65"/>
      <c r="F28" s="65"/>
      <c r="G28" s="65"/>
      <c r="H28" s="65"/>
      <c r="I28" s="65"/>
      <c r="J28" s="65"/>
      <c r="K28" s="65"/>
      <c r="L28" s="65"/>
      <c r="M28" s="65"/>
      <c r="N28" s="65"/>
      <c r="O28" s="65"/>
      <c r="P28" s="74"/>
      <c r="Q28" s="4"/>
      <c r="R28" s="4"/>
      <c r="S28" s="4"/>
      <c r="T28" s="4"/>
      <c r="U28" s="4"/>
      <c r="V28" s="4"/>
    </row>
    <row r="29" spans="1:22">
      <c r="A29" s="23" t="s">
        <v>5</v>
      </c>
      <c r="D29" s="65">
        <v>17044</v>
      </c>
      <c r="E29" s="65">
        <v>17044</v>
      </c>
      <c r="F29" s="65">
        <v>17044</v>
      </c>
      <c r="G29" s="65">
        <v>17044</v>
      </c>
      <c r="H29" s="65">
        <v>17044</v>
      </c>
      <c r="I29" s="65">
        <v>17044</v>
      </c>
      <c r="J29" s="65">
        <v>17044</v>
      </c>
      <c r="K29" s="65">
        <v>17044</v>
      </c>
      <c r="L29" s="65">
        <v>17044</v>
      </c>
      <c r="M29" s="65">
        <v>17044</v>
      </c>
      <c r="N29" s="65">
        <v>17044</v>
      </c>
      <c r="O29" s="65">
        <v>17044</v>
      </c>
      <c r="P29" s="74">
        <v>204528</v>
      </c>
      <c r="Q29" s="4"/>
      <c r="R29" s="4"/>
      <c r="S29" s="4"/>
      <c r="T29" s="4"/>
      <c r="U29" s="4"/>
      <c r="V29" s="4"/>
    </row>
    <row r="30" spans="1:22">
      <c r="A30" s="23" t="s">
        <v>6</v>
      </c>
      <c r="D30" s="65"/>
      <c r="E30" s="65"/>
      <c r="F30" s="65"/>
      <c r="G30" s="65"/>
      <c r="H30" s="65"/>
      <c r="I30" s="65"/>
      <c r="J30" s="65"/>
      <c r="K30" s="65"/>
      <c r="L30" s="65"/>
      <c r="M30" s="65"/>
      <c r="N30" s="65"/>
      <c r="O30" s="65"/>
      <c r="P30" s="74"/>
      <c r="Q30" s="4"/>
      <c r="R30" s="4"/>
      <c r="S30" s="4"/>
      <c r="T30" s="4"/>
      <c r="U30" s="4"/>
      <c r="V30" s="4"/>
    </row>
    <row r="31" spans="1:22">
      <c r="A31" s="24" t="s">
        <v>16</v>
      </c>
      <c r="B31" s="25"/>
      <c r="C31" s="25"/>
      <c r="D31" s="67">
        <f>SUM(D25:D30)</f>
        <v>6498343.3876620755</v>
      </c>
      <c r="E31" s="67">
        <f t="shared" ref="E31:P31" si="3">SUM(E25:E30)</f>
        <v>6122943.2354352847</v>
      </c>
      <c r="F31" s="67">
        <f t="shared" si="3"/>
        <v>5577604.82956733</v>
      </c>
      <c r="G31" s="67">
        <f t="shared" si="3"/>
        <v>5680408.3924673125</v>
      </c>
      <c r="H31" s="67">
        <f t="shared" si="3"/>
        <v>5192721.079265777</v>
      </c>
      <c r="I31" s="67">
        <f t="shared" si="3"/>
        <v>6264761.0676885229</v>
      </c>
      <c r="J31" s="67">
        <f t="shared" si="3"/>
        <v>8180857.5782199325</v>
      </c>
      <c r="K31" s="67">
        <f t="shared" si="3"/>
        <v>8090782.9335223371</v>
      </c>
      <c r="L31" s="67">
        <f t="shared" si="3"/>
        <v>6724314.2590552373</v>
      </c>
      <c r="M31" s="67">
        <f t="shared" si="3"/>
        <v>5471830.3423845246</v>
      </c>
      <c r="N31" s="67">
        <f t="shared" si="3"/>
        <v>5469529.4343586285</v>
      </c>
      <c r="O31" s="67">
        <f t="shared" si="3"/>
        <v>6502873.3953230008</v>
      </c>
      <c r="P31" s="75">
        <f t="shared" si="3"/>
        <v>75776969.934949934</v>
      </c>
      <c r="Q31" s="4"/>
      <c r="R31" s="4"/>
      <c r="S31" s="4"/>
      <c r="T31" s="4"/>
      <c r="U31" s="4"/>
      <c r="V31" s="4"/>
    </row>
    <row r="32" spans="1:22">
      <c r="D32" s="33"/>
      <c r="E32" s="33"/>
      <c r="F32" s="33"/>
      <c r="G32" s="33"/>
      <c r="H32" s="33"/>
      <c r="I32" s="33"/>
      <c r="J32" s="33"/>
      <c r="K32" s="33"/>
      <c r="L32" s="33"/>
      <c r="M32" s="33"/>
      <c r="N32" s="33"/>
      <c r="O32" s="33"/>
      <c r="P32" s="33"/>
      <c r="Q32" s="4"/>
      <c r="R32" s="4"/>
      <c r="S32" s="4"/>
      <c r="T32" s="4"/>
      <c r="U32" s="4"/>
      <c r="V32" s="4"/>
    </row>
    <row r="33" spans="1:22">
      <c r="A33" s="21"/>
      <c r="B33" s="22"/>
      <c r="C33" s="22"/>
      <c r="D33" s="76" t="s">
        <v>45</v>
      </c>
      <c r="E33" s="77"/>
      <c r="F33" s="77"/>
      <c r="G33" s="77"/>
      <c r="H33" s="77"/>
      <c r="I33" s="77"/>
      <c r="J33" s="77"/>
      <c r="K33" s="77"/>
      <c r="L33" s="77"/>
      <c r="M33" s="77"/>
      <c r="N33" s="77"/>
      <c r="O33" s="77"/>
      <c r="P33" s="78"/>
      <c r="Q33" s="4"/>
      <c r="R33" s="4"/>
      <c r="S33" s="4"/>
      <c r="T33" s="4"/>
      <c r="U33" s="4"/>
      <c r="V33" s="4"/>
    </row>
    <row r="34" spans="1:22">
      <c r="A34" s="23" t="s">
        <v>1</v>
      </c>
      <c r="D34" s="65">
        <v>128472.76884248199</v>
      </c>
      <c r="E34" s="65">
        <v>206884.3643971337</v>
      </c>
      <c r="F34" s="65">
        <v>458633.6480588495</v>
      </c>
      <c r="G34" s="65">
        <v>524356.98971027916</v>
      </c>
      <c r="H34" s="65">
        <v>641229.64500545512</v>
      </c>
      <c r="I34" s="65">
        <v>700369.71417948557</v>
      </c>
      <c r="J34" s="65">
        <v>718416.56883455836</v>
      </c>
      <c r="K34" s="65">
        <v>618461.09464552777</v>
      </c>
      <c r="L34" s="65">
        <v>523203.02383012854</v>
      </c>
      <c r="M34" s="65">
        <v>327889.80360172759</v>
      </c>
      <c r="N34" s="65">
        <v>213123.41860070679</v>
      </c>
      <c r="O34" s="65">
        <v>160537.64361772902</v>
      </c>
      <c r="P34" s="74">
        <v>5221578.6833240632</v>
      </c>
      <c r="Q34" s="4"/>
      <c r="R34" s="4"/>
      <c r="S34" s="4"/>
      <c r="T34" s="4"/>
      <c r="U34" s="4"/>
      <c r="V34" s="4"/>
    </row>
    <row r="35" spans="1:22">
      <c r="A35" s="23" t="s">
        <v>2</v>
      </c>
      <c r="D35" s="65">
        <v>10621.776028437544</v>
      </c>
      <c r="E35" s="65">
        <v>17104.631605677459</v>
      </c>
      <c r="F35" s="65">
        <v>37918.571637225221</v>
      </c>
      <c r="G35" s="65">
        <v>43352.397195370489</v>
      </c>
      <c r="H35" s="65">
        <v>53015.107663735864</v>
      </c>
      <c r="I35" s="65">
        <v>38685.985666883542</v>
      </c>
      <c r="J35" s="65">
        <v>39682.831113486493</v>
      </c>
      <c r="K35" s="65">
        <v>32245.791478408388</v>
      </c>
      <c r="L35" s="65">
        <v>38239.723994739419</v>
      </c>
      <c r="M35" s="65">
        <v>32085.469166123243</v>
      </c>
      <c r="N35" s="65">
        <v>18280.17725646578</v>
      </c>
      <c r="O35" s="65">
        <v>11959.005801493169</v>
      </c>
      <c r="P35" s="74">
        <v>373191.46860804601</v>
      </c>
      <c r="Q35" s="4"/>
      <c r="R35" s="4"/>
      <c r="S35" s="4"/>
      <c r="T35" s="4"/>
      <c r="U35" s="4"/>
      <c r="V35" s="4"/>
    </row>
    <row r="36" spans="1:22">
      <c r="A36" s="23" t="s">
        <v>18</v>
      </c>
      <c r="D36" s="65">
        <v>37696.474094547797</v>
      </c>
      <c r="E36" s="65">
        <v>60704.000959343306</v>
      </c>
      <c r="F36" s="65">
        <v>134572.26452506729</v>
      </c>
      <c r="G36" s="65">
        <v>153856.80449639659</v>
      </c>
      <c r="H36" s="65">
        <v>188149.57379210109</v>
      </c>
      <c r="I36" s="65">
        <v>180127.2706541575</v>
      </c>
      <c r="J36" s="65">
        <v>184768.720173029</v>
      </c>
      <c r="K36" s="65">
        <v>115456.4127121226</v>
      </c>
      <c r="L36" s="65">
        <v>152474.75427063479</v>
      </c>
      <c r="M36" s="65">
        <v>99076.149655242902</v>
      </c>
      <c r="N36" s="65">
        <v>58842.210894595803</v>
      </c>
      <c r="O36" s="65">
        <v>49252.2891257925</v>
      </c>
      <c r="P36" s="74">
        <v>1414976.92535303</v>
      </c>
      <c r="Q36" s="4"/>
      <c r="R36" s="4"/>
      <c r="S36" s="4"/>
      <c r="T36" s="4"/>
      <c r="U36" s="4"/>
      <c r="V36" s="4"/>
    </row>
    <row r="37" spans="1:22">
      <c r="A37" s="23" t="s">
        <v>4</v>
      </c>
      <c r="D37" s="65"/>
      <c r="E37" s="65"/>
      <c r="F37" s="65"/>
      <c r="G37" s="65"/>
      <c r="H37" s="65"/>
      <c r="I37" s="65"/>
      <c r="J37" s="65"/>
      <c r="K37" s="65"/>
      <c r="L37" s="65"/>
      <c r="M37" s="65"/>
      <c r="N37" s="65"/>
      <c r="O37" s="65"/>
      <c r="P37" s="74"/>
      <c r="Q37" s="4"/>
      <c r="R37" s="4"/>
      <c r="S37" s="4"/>
      <c r="T37" s="4"/>
      <c r="U37" s="4"/>
      <c r="V37" s="4"/>
    </row>
    <row r="38" spans="1:22">
      <c r="A38" s="23" t="s">
        <v>5</v>
      </c>
      <c r="D38" s="65"/>
      <c r="E38" s="65"/>
      <c r="F38" s="65"/>
      <c r="G38" s="65"/>
      <c r="H38" s="65"/>
      <c r="I38" s="65"/>
      <c r="J38" s="65"/>
      <c r="K38" s="65"/>
      <c r="L38" s="65"/>
      <c r="M38" s="65"/>
      <c r="N38" s="65"/>
      <c r="O38" s="65"/>
      <c r="P38" s="74"/>
      <c r="Q38" s="4"/>
      <c r="R38" s="4"/>
      <c r="S38" s="4"/>
      <c r="T38" s="4"/>
      <c r="U38" s="4"/>
      <c r="V38" s="4"/>
    </row>
    <row r="39" spans="1:22">
      <c r="A39" s="23" t="s">
        <v>6</v>
      </c>
      <c r="D39" s="67"/>
      <c r="E39" s="67"/>
      <c r="F39" s="67"/>
      <c r="G39" s="67"/>
      <c r="H39" s="67"/>
      <c r="I39" s="67"/>
      <c r="J39" s="67"/>
      <c r="K39" s="67"/>
      <c r="L39" s="67"/>
      <c r="M39" s="67"/>
      <c r="N39" s="67"/>
      <c r="O39" s="67"/>
      <c r="P39" s="75"/>
      <c r="Q39" s="4"/>
      <c r="R39" s="4"/>
      <c r="S39" s="4"/>
      <c r="T39" s="4"/>
      <c r="U39" s="4"/>
      <c r="V39" s="4"/>
    </row>
    <row r="40" spans="1:22">
      <c r="A40" s="24" t="s">
        <v>16</v>
      </c>
      <c r="B40" s="25"/>
      <c r="C40" s="25"/>
      <c r="D40" s="67">
        <f>SUM(D34:D39)</f>
        <v>176791.01896546734</v>
      </c>
      <c r="E40" s="67">
        <f t="shared" ref="E40:P40" si="4">SUM(E34:E39)</f>
        <v>284692.99696215446</v>
      </c>
      <c r="F40" s="67">
        <f t="shared" si="4"/>
        <v>631124.48422114202</v>
      </c>
      <c r="G40" s="67">
        <f t="shared" si="4"/>
        <v>721566.19140204624</v>
      </c>
      <c r="H40" s="67">
        <f t="shared" si="4"/>
        <v>882394.3264612921</v>
      </c>
      <c r="I40" s="67">
        <f t="shared" si="4"/>
        <v>919182.9705005266</v>
      </c>
      <c r="J40" s="67">
        <f t="shared" si="4"/>
        <v>942868.12012107391</v>
      </c>
      <c r="K40" s="67">
        <f t="shared" si="4"/>
        <v>766163.2988360587</v>
      </c>
      <c r="L40" s="67">
        <f t="shared" si="4"/>
        <v>713917.5020955028</v>
      </c>
      <c r="M40" s="67">
        <f t="shared" si="4"/>
        <v>459051.42242309375</v>
      </c>
      <c r="N40" s="67">
        <f t="shared" si="4"/>
        <v>290245.80675176834</v>
      </c>
      <c r="O40" s="67">
        <f t="shared" si="4"/>
        <v>221748.93854501468</v>
      </c>
      <c r="P40" s="75">
        <f t="shared" si="4"/>
        <v>7009747.0772851389</v>
      </c>
      <c r="Q40" s="4"/>
      <c r="R40" s="4"/>
      <c r="S40" s="4"/>
      <c r="T40" s="4"/>
      <c r="U40" s="4"/>
      <c r="V40" s="4"/>
    </row>
    <row r="41" spans="1:22">
      <c r="D41" s="33"/>
      <c r="E41" s="33"/>
      <c r="F41" s="33"/>
      <c r="G41" s="33"/>
      <c r="H41" s="33"/>
      <c r="I41" s="33"/>
      <c r="J41" s="33"/>
      <c r="K41" s="33"/>
      <c r="L41" s="33"/>
      <c r="M41" s="33"/>
      <c r="N41" s="33"/>
      <c r="O41" s="33"/>
      <c r="P41" s="33"/>
      <c r="Q41" s="4"/>
      <c r="R41" s="4"/>
      <c r="S41" s="4"/>
      <c r="T41" s="4"/>
      <c r="U41" s="4"/>
      <c r="V41" s="4"/>
    </row>
    <row r="42" spans="1:22">
      <c r="A42" s="21"/>
      <c r="B42" s="22"/>
      <c r="C42" s="22"/>
      <c r="D42" s="76" t="s">
        <v>19</v>
      </c>
      <c r="E42" s="77"/>
      <c r="F42" s="77"/>
      <c r="G42" s="77"/>
      <c r="H42" s="77"/>
      <c r="I42" s="77"/>
      <c r="J42" s="77"/>
      <c r="K42" s="77"/>
      <c r="L42" s="77"/>
      <c r="M42" s="77"/>
      <c r="N42" s="77"/>
      <c r="O42" s="77"/>
      <c r="P42" s="78"/>
      <c r="Q42" s="4"/>
      <c r="R42" s="4"/>
      <c r="S42" s="4"/>
      <c r="T42" s="4"/>
      <c r="U42" s="4"/>
      <c r="V42" s="4"/>
    </row>
    <row r="43" spans="1:22">
      <c r="A43" s="23" t="s">
        <v>1</v>
      </c>
      <c r="D43" s="65"/>
      <c r="E43" s="65"/>
      <c r="F43" s="65"/>
      <c r="G43" s="65"/>
      <c r="H43" s="65"/>
      <c r="I43" s="65"/>
      <c r="J43" s="65"/>
      <c r="K43" s="65"/>
      <c r="L43" s="65"/>
      <c r="M43" s="65"/>
      <c r="N43" s="65"/>
      <c r="O43" s="65"/>
      <c r="P43" s="74"/>
      <c r="Q43" s="4"/>
      <c r="R43" s="4"/>
      <c r="S43" s="4"/>
      <c r="T43" s="4"/>
      <c r="U43" s="4"/>
      <c r="V43" s="4"/>
    </row>
    <row r="44" spans="1:22">
      <c r="A44" s="23" t="s">
        <v>2</v>
      </c>
      <c r="D44" s="65"/>
      <c r="E44" s="65"/>
      <c r="F44" s="65"/>
      <c r="G44" s="65"/>
      <c r="H44" s="65"/>
      <c r="I44" s="65"/>
      <c r="J44" s="65"/>
      <c r="K44" s="65"/>
      <c r="L44" s="65"/>
      <c r="M44" s="65"/>
      <c r="N44" s="65"/>
      <c r="O44" s="65"/>
      <c r="P44" s="74"/>
      <c r="Q44" s="4"/>
      <c r="R44" s="4"/>
      <c r="S44" s="4"/>
      <c r="T44" s="4"/>
      <c r="U44" s="4"/>
      <c r="V44" s="4"/>
    </row>
    <row r="45" spans="1:22">
      <c r="A45" s="23" t="s">
        <v>18</v>
      </c>
      <c r="D45" s="65">
        <v>2700292.3391601937</v>
      </c>
      <c r="E45" s="65">
        <v>3976932.9519472416</v>
      </c>
      <c r="F45" s="65">
        <v>5039794.0677473154</v>
      </c>
      <c r="G45" s="65">
        <v>5366894.4227750255</v>
      </c>
      <c r="H45" s="65">
        <v>6278271.2371578086</v>
      </c>
      <c r="I45" s="65">
        <v>6804700.5930306939</v>
      </c>
      <c r="J45" s="65">
        <v>6766708.762311711</v>
      </c>
      <c r="K45" s="65">
        <v>6011658.7710469011</v>
      </c>
      <c r="L45" s="65">
        <v>5578921.6683086026</v>
      </c>
      <c r="M45" s="65">
        <v>3958755.9927869751</v>
      </c>
      <c r="N45" s="65">
        <v>3332223.2679615244</v>
      </c>
      <c r="O45" s="65">
        <v>2446977.6333550601</v>
      </c>
      <c r="P45" s="74">
        <v>58262131.707588971</v>
      </c>
      <c r="Q45" s="4"/>
      <c r="R45" s="4"/>
      <c r="S45" s="4"/>
      <c r="T45" s="4"/>
      <c r="U45" s="4"/>
      <c r="V45" s="4"/>
    </row>
    <row r="46" spans="1:22">
      <c r="A46" s="23" t="s">
        <v>4</v>
      </c>
      <c r="D46" s="65">
        <v>916299.77062065201</v>
      </c>
      <c r="E46" s="65">
        <v>1356424.61247255</v>
      </c>
      <c r="F46" s="65">
        <v>1721864.32004409</v>
      </c>
      <c r="G46" s="65">
        <v>1827387.80197585</v>
      </c>
      <c r="H46" s="65">
        <v>2127681.7957103499</v>
      </c>
      <c r="I46" s="65">
        <v>2301780.2878291798</v>
      </c>
      <c r="J46" s="65">
        <v>2288576.01678342</v>
      </c>
      <c r="K46" s="65">
        <v>2033692.51475426</v>
      </c>
      <c r="L46" s="65">
        <v>1887297.6818188301</v>
      </c>
      <c r="M46" s="65">
        <v>1339210.5952149699</v>
      </c>
      <c r="N46" s="65">
        <v>1127260.3601249701</v>
      </c>
      <c r="O46" s="65">
        <v>827789.93674124405</v>
      </c>
      <c r="P46" s="74">
        <v>19755265.694090299</v>
      </c>
      <c r="Q46" s="4"/>
      <c r="R46" s="4"/>
      <c r="S46" s="4"/>
      <c r="T46" s="4"/>
      <c r="U46" s="4"/>
      <c r="V46" s="4"/>
    </row>
    <row r="47" spans="1:22">
      <c r="A47" s="23" t="s">
        <v>5</v>
      </c>
      <c r="D47" s="65"/>
      <c r="E47" s="65"/>
      <c r="F47" s="65"/>
      <c r="G47" s="65"/>
      <c r="H47" s="65"/>
      <c r="I47" s="65"/>
      <c r="J47" s="65"/>
      <c r="K47" s="65"/>
      <c r="L47" s="65"/>
      <c r="M47" s="65"/>
      <c r="N47" s="65"/>
      <c r="O47" s="65"/>
      <c r="P47" s="74"/>
      <c r="Q47" s="4"/>
      <c r="R47" s="4"/>
      <c r="S47" s="4"/>
      <c r="T47" s="4"/>
      <c r="U47" s="4"/>
      <c r="V47" s="4"/>
    </row>
    <row r="48" spans="1:22">
      <c r="A48" s="23" t="s">
        <v>6</v>
      </c>
      <c r="D48" s="67"/>
      <c r="E48" s="67"/>
      <c r="F48" s="67"/>
      <c r="G48" s="67"/>
      <c r="H48" s="67"/>
      <c r="I48" s="67"/>
      <c r="J48" s="67"/>
      <c r="K48" s="67"/>
      <c r="L48" s="67"/>
      <c r="M48" s="67"/>
      <c r="N48" s="67"/>
      <c r="O48" s="67"/>
      <c r="P48" s="75"/>
      <c r="Q48" s="4"/>
      <c r="R48" s="4"/>
      <c r="S48" s="4"/>
      <c r="T48" s="4"/>
      <c r="U48" s="4"/>
      <c r="V48" s="4"/>
    </row>
    <row r="49" spans="1:22">
      <c r="A49" s="24" t="s">
        <v>16</v>
      </c>
      <c r="B49" s="25"/>
      <c r="C49" s="25"/>
      <c r="D49" s="67">
        <f>SUM(D43:D48)</f>
        <v>3616592.1097808457</v>
      </c>
      <c r="E49" s="67">
        <f t="shared" ref="E49:P49" si="5">SUM(E43:E48)</f>
        <v>5333357.5644197911</v>
      </c>
      <c r="F49" s="67">
        <f t="shared" si="5"/>
        <v>6761658.3877914054</v>
      </c>
      <c r="G49" s="67">
        <f t="shared" si="5"/>
        <v>7194282.2247508755</v>
      </c>
      <c r="H49" s="67">
        <f t="shared" si="5"/>
        <v>8405953.0328681581</v>
      </c>
      <c r="I49" s="67">
        <f t="shared" si="5"/>
        <v>9106480.8808598742</v>
      </c>
      <c r="J49" s="67">
        <f t="shared" si="5"/>
        <v>9055284.7790951319</v>
      </c>
      <c r="K49" s="67">
        <f t="shared" si="5"/>
        <v>8045351.2858011611</v>
      </c>
      <c r="L49" s="67">
        <f t="shared" si="5"/>
        <v>7466219.3501274325</v>
      </c>
      <c r="M49" s="67">
        <f t="shared" si="5"/>
        <v>5297966.5880019451</v>
      </c>
      <c r="N49" s="67">
        <f t="shared" si="5"/>
        <v>4459483.6280864943</v>
      </c>
      <c r="O49" s="67">
        <f t="shared" si="5"/>
        <v>3274767.5700963042</v>
      </c>
      <c r="P49" s="75">
        <f t="shared" si="5"/>
        <v>78017397.401679277</v>
      </c>
      <c r="Q49" s="4"/>
      <c r="R49" s="4"/>
      <c r="S49" s="4"/>
      <c r="T49" s="4"/>
      <c r="U49" s="4"/>
      <c r="V49" s="4"/>
    </row>
    <row r="50" spans="1:22">
      <c r="D50" s="4"/>
      <c r="E50" s="4"/>
      <c r="F50" s="4"/>
      <c r="G50" s="4"/>
      <c r="H50" s="4"/>
      <c r="I50" s="4"/>
      <c r="J50" s="4"/>
      <c r="K50" s="4"/>
      <c r="L50" s="4"/>
      <c r="M50" s="4"/>
      <c r="N50" s="4"/>
      <c r="O50" s="4"/>
      <c r="P50" s="4"/>
      <c r="Q50" s="4"/>
      <c r="R50" s="4"/>
      <c r="S50" s="4"/>
      <c r="T50" s="4"/>
      <c r="U50" s="4"/>
      <c r="V50" s="4"/>
    </row>
    <row r="51" spans="1:22">
      <c r="D51" s="4"/>
      <c r="E51" s="4"/>
      <c r="F51" s="4"/>
      <c r="G51" s="4"/>
      <c r="H51" s="4"/>
      <c r="I51" s="4"/>
      <c r="J51" s="4"/>
      <c r="K51" s="4"/>
      <c r="L51" s="4"/>
      <c r="M51" s="4"/>
      <c r="N51" s="4"/>
      <c r="O51" s="4"/>
      <c r="P51" s="4"/>
      <c r="Q51" s="4"/>
      <c r="R51" s="4"/>
      <c r="S51" s="4"/>
      <c r="T51" s="4"/>
      <c r="U51" s="4"/>
      <c r="V51" s="4"/>
    </row>
    <row r="52" spans="1:22">
      <c r="D52" s="4"/>
      <c r="E52" s="4"/>
      <c r="F52" s="4"/>
      <c r="G52" s="4"/>
      <c r="H52" s="4"/>
      <c r="I52" s="4"/>
      <c r="J52" s="4"/>
      <c r="K52" s="4"/>
      <c r="L52" s="4"/>
      <c r="M52" s="4"/>
      <c r="N52" s="4"/>
      <c r="O52" s="4"/>
      <c r="P52" s="4"/>
      <c r="Q52" s="4"/>
      <c r="R52" s="4"/>
      <c r="S52" s="4"/>
      <c r="T52" s="4"/>
      <c r="U52" s="4"/>
      <c r="V52" s="4"/>
    </row>
    <row r="53" spans="1:22">
      <c r="D53" s="4"/>
      <c r="E53" s="4"/>
      <c r="F53" s="4"/>
      <c r="G53" s="4"/>
      <c r="H53" s="4"/>
      <c r="I53" s="4"/>
      <c r="J53" s="4"/>
      <c r="K53" s="4"/>
      <c r="L53" s="4"/>
      <c r="M53" s="4"/>
      <c r="N53" s="4"/>
      <c r="O53" s="4"/>
      <c r="P53" s="4"/>
      <c r="Q53" s="4"/>
      <c r="R53" s="4"/>
      <c r="S53" s="4"/>
      <c r="T53" s="4"/>
      <c r="U53" s="4"/>
      <c r="V53" s="4"/>
    </row>
    <row r="54" spans="1:22">
      <c r="D54" s="4"/>
      <c r="E54" s="4"/>
      <c r="F54" s="4"/>
      <c r="G54" s="4"/>
      <c r="H54" s="4"/>
      <c r="I54" s="4"/>
      <c r="J54" s="4"/>
      <c r="K54" s="4"/>
      <c r="L54" s="4"/>
      <c r="M54" s="4"/>
      <c r="N54" s="4"/>
      <c r="O54" s="4"/>
      <c r="P54" s="4"/>
      <c r="Q54" s="4"/>
      <c r="R54" s="4"/>
      <c r="S54" s="4"/>
      <c r="T54" s="4"/>
      <c r="U54" s="4"/>
      <c r="V54" s="4"/>
    </row>
    <row r="55" spans="1:22">
      <c r="D55" s="4"/>
      <c r="E55" s="4"/>
      <c r="F55" s="4"/>
      <c r="G55" s="4"/>
      <c r="H55" s="4"/>
      <c r="I55" s="4"/>
      <c r="J55" s="4"/>
      <c r="K55" s="4"/>
      <c r="L55" s="4"/>
      <c r="M55" s="4"/>
      <c r="N55" s="4"/>
      <c r="O55" s="4"/>
      <c r="P55" s="4"/>
      <c r="Q55" s="4"/>
      <c r="R55" s="4"/>
      <c r="S55" s="4"/>
      <c r="T55" s="4"/>
      <c r="U55" s="4"/>
      <c r="V55" s="4"/>
    </row>
    <row r="56" spans="1:22">
      <c r="D56" s="4"/>
      <c r="E56" s="4"/>
      <c r="F56" s="4"/>
      <c r="G56" s="4"/>
      <c r="H56" s="4"/>
      <c r="I56" s="4"/>
      <c r="J56" s="4"/>
      <c r="K56" s="4"/>
      <c r="L56" s="4"/>
      <c r="M56" s="4"/>
      <c r="N56" s="4"/>
      <c r="O56" s="4"/>
      <c r="P56" s="4"/>
      <c r="Q56" s="4"/>
      <c r="R56" s="4"/>
      <c r="S56" s="4"/>
      <c r="T56" s="4"/>
      <c r="U56" s="4"/>
      <c r="V56" s="4"/>
    </row>
    <row r="57" spans="1:22">
      <c r="D57" s="4"/>
      <c r="E57" s="4"/>
      <c r="F57" s="4"/>
      <c r="G57" s="4"/>
      <c r="H57" s="4"/>
      <c r="I57" s="4"/>
      <c r="J57" s="4"/>
      <c r="K57" s="4"/>
      <c r="L57" s="4"/>
      <c r="M57" s="4"/>
      <c r="N57" s="4"/>
      <c r="O57" s="4"/>
      <c r="P57" s="4"/>
      <c r="Q57" s="4"/>
      <c r="R57" s="4"/>
      <c r="S57" s="4"/>
      <c r="T57" s="4"/>
      <c r="U57" s="4"/>
      <c r="V57" s="4"/>
    </row>
    <row r="58" spans="1:22">
      <c r="D58" s="4"/>
      <c r="E58" s="4"/>
      <c r="F58" s="4"/>
      <c r="G58" s="4"/>
      <c r="H58" s="4"/>
      <c r="I58" s="4"/>
      <c r="J58" s="4"/>
      <c r="K58" s="4"/>
      <c r="L58" s="4"/>
      <c r="M58" s="4"/>
      <c r="N58" s="4"/>
      <c r="O58" s="4"/>
      <c r="P58" s="4"/>
      <c r="Q58" s="4"/>
      <c r="R58" s="4"/>
      <c r="S58" s="4"/>
      <c r="T58" s="4"/>
      <c r="U58" s="4"/>
      <c r="V58" s="4"/>
    </row>
    <row r="59" spans="1:22">
      <c r="D59" s="4"/>
      <c r="E59" s="4"/>
      <c r="F59" s="4"/>
      <c r="G59" s="4"/>
      <c r="H59" s="4"/>
      <c r="I59" s="4"/>
      <c r="J59" s="4"/>
      <c r="K59" s="4"/>
      <c r="L59" s="4"/>
      <c r="M59" s="4"/>
      <c r="N59" s="4"/>
      <c r="O59" s="4"/>
      <c r="P59" s="4"/>
      <c r="Q59" s="4"/>
      <c r="R59" s="4"/>
      <c r="S59" s="4"/>
      <c r="T59" s="4"/>
      <c r="U59" s="4"/>
      <c r="V59" s="4"/>
    </row>
    <row r="60" spans="1:22">
      <c r="D60" s="4"/>
      <c r="E60" s="4"/>
      <c r="F60" s="4"/>
      <c r="G60" s="4"/>
      <c r="H60" s="4"/>
      <c r="I60" s="4"/>
      <c r="J60" s="4"/>
      <c r="K60" s="4"/>
      <c r="L60" s="4"/>
      <c r="M60" s="4"/>
      <c r="N60" s="4"/>
      <c r="O60" s="4"/>
      <c r="P60" s="4"/>
      <c r="Q60" s="4"/>
      <c r="R60" s="4"/>
      <c r="S60" s="4"/>
      <c r="T60" s="4"/>
      <c r="U60" s="4"/>
      <c r="V60" s="4"/>
    </row>
    <row r="61" spans="1:22">
      <c r="D61" s="4"/>
      <c r="E61" s="4"/>
      <c r="F61" s="4"/>
      <c r="G61" s="4"/>
      <c r="H61" s="4"/>
      <c r="I61" s="4"/>
      <c r="J61" s="4"/>
      <c r="K61" s="4"/>
      <c r="L61" s="4"/>
      <c r="M61" s="4"/>
      <c r="N61" s="4"/>
      <c r="O61" s="4"/>
      <c r="P61" s="4"/>
      <c r="Q61" s="4"/>
      <c r="R61" s="4"/>
      <c r="S61" s="4"/>
      <c r="T61" s="4"/>
      <c r="U61" s="4"/>
      <c r="V61" s="4"/>
    </row>
  </sheetData>
  <pageMargins left="0.5" right="0.5" top="0.5" bottom="0.75" header="0" footer="0.25"/>
  <pageSetup scale="56" orientation="landscape" verticalDpi="1200" r:id="rId1"/>
  <headerFooter>
    <oddFooter>&amp;L&amp;F     &amp;A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C2981-B78B-47E1-B3EF-D089ACBBC473}">
  <sheetPr>
    <pageSetUpPr fitToPage="1"/>
  </sheetPr>
  <dimension ref="A1:I18"/>
  <sheetViews>
    <sheetView zoomScaleNormal="100" workbookViewId="0"/>
  </sheetViews>
  <sheetFormatPr baseColWidth="10" defaultColWidth="8.83203125" defaultRowHeight="15"/>
  <cols>
    <col min="1" max="1" width="19.6640625" bestFit="1" customWidth="1"/>
    <col min="2" max="2" width="2.1640625" customWidth="1"/>
    <col min="3" max="5" width="16.6640625" customWidth="1"/>
    <col min="7" max="7" width="16.1640625" bestFit="1" customWidth="1"/>
    <col min="8" max="8" width="13.6640625" bestFit="1" customWidth="1"/>
    <col min="9" max="9" width="16.1640625" bestFit="1" customWidth="1"/>
    <col min="12" max="12" width="15.83203125" customWidth="1"/>
  </cols>
  <sheetData>
    <row r="1" spans="1:9">
      <c r="A1" s="12" t="s">
        <v>25</v>
      </c>
    </row>
    <row r="2" spans="1:9">
      <c r="A2" s="1" t="s">
        <v>108</v>
      </c>
    </row>
    <row r="3" spans="1:9">
      <c r="A3" s="1"/>
    </row>
    <row r="5" spans="1:9">
      <c r="A5" s="1"/>
      <c r="B5" s="1"/>
      <c r="C5" s="1" t="s">
        <v>26</v>
      </c>
      <c r="D5" s="1" t="s">
        <v>26</v>
      </c>
      <c r="E5" s="1" t="s">
        <v>26</v>
      </c>
    </row>
    <row r="6" spans="1:9">
      <c r="A6" s="1" t="s">
        <v>0</v>
      </c>
      <c r="B6" s="1"/>
      <c r="C6" s="1" t="s">
        <v>20</v>
      </c>
      <c r="D6" s="1" t="s">
        <v>21</v>
      </c>
      <c r="E6" s="1" t="s">
        <v>27</v>
      </c>
    </row>
    <row r="7" spans="1:9">
      <c r="A7" s="9" t="s">
        <v>1</v>
      </c>
      <c r="B7" s="9"/>
      <c r="C7" s="79">
        <v>833986127</v>
      </c>
      <c r="D7" s="80">
        <v>63598526</v>
      </c>
      <c r="E7" s="80">
        <f>C7+D7</f>
        <v>897584653</v>
      </c>
      <c r="G7" s="4"/>
      <c r="H7" s="4"/>
      <c r="I7" s="4"/>
    </row>
    <row r="8" spans="1:9">
      <c r="A8" s="9" t="s">
        <v>2</v>
      </c>
      <c r="B8" s="9"/>
      <c r="C8" s="79">
        <v>207957433</v>
      </c>
      <c r="D8" s="80">
        <v>2764289</v>
      </c>
      <c r="E8" s="80">
        <f t="shared" ref="E8:E10" si="0">C8+D8</f>
        <v>210721722</v>
      </c>
      <c r="G8" s="4"/>
      <c r="H8" s="4"/>
      <c r="I8" s="4"/>
    </row>
    <row r="9" spans="1:9">
      <c r="A9" s="9" t="s">
        <v>18</v>
      </c>
      <c r="B9" s="9"/>
      <c r="C9" s="79">
        <v>1568590799</v>
      </c>
      <c r="D9" s="80">
        <v>45359518</v>
      </c>
      <c r="E9" s="80">
        <f t="shared" si="0"/>
        <v>1613950317</v>
      </c>
      <c r="G9" s="4"/>
      <c r="H9" s="4"/>
      <c r="I9" s="4"/>
    </row>
    <row r="10" spans="1:9">
      <c r="A10" s="9" t="s">
        <v>4</v>
      </c>
      <c r="B10" s="9"/>
      <c r="C10" s="79">
        <v>421245310</v>
      </c>
      <c r="D10" s="80">
        <v>10424813</v>
      </c>
      <c r="E10" s="80">
        <f t="shared" si="0"/>
        <v>431670123</v>
      </c>
      <c r="G10" s="4"/>
      <c r="H10" s="4"/>
      <c r="I10" s="4"/>
    </row>
    <row r="11" spans="1:9">
      <c r="A11" s="9" t="s">
        <v>74</v>
      </c>
      <c r="B11" s="9"/>
      <c r="C11" s="79">
        <v>3805741</v>
      </c>
      <c r="D11" s="80"/>
      <c r="E11" s="80">
        <v>3805741</v>
      </c>
      <c r="G11" s="4"/>
      <c r="H11" s="4"/>
      <c r="I11" s="4"/>
    </row>
    <row r="12" spans="1:9">
      <c r="A12" s="9" t="s">
        <v>75</v>
      </c>
      <c r="B12" s="9"/>
      <c r="C12" s="79">
        <v>7545855</v>
      </c>
      <c r="D12" s="80">
        <v>285</v>
      </c>
      <c r="E12" s="80">
        <v>7546140</v>
      </c>
      <c r="G12" s="4"/>
      <c r="H12" s="4"/>
      <c r="I12" s="4"/>
    </row>
    <row r="13" spans="1:9">
      <c r="A13" s="9" t="s">
        <v>16</v>
      </c>
      <c r="B13" s="9"/>
      <c r="C13" s="79">
        <f>SUM(C7:C12)</f>
        <v>3043131265</v>
      </c>
      <c r="D13" s="80">
        <f>SUM(D7:D9)</f>
        <v>111722333</v>
      </c>
      <c r="E13" s="80">
        <f>SUM(E7:E12)</f>
        <v>3165278696</v>
      </c>
      <c r="G13" s="4"/>
      <c r="H13" s="4"/>
      <c r="I13" s="4"/>
    </row>
    <row r="14" spans="1:9">
      <c r="C14" s="10"/>
      <c r="E14" s="10"/>
    </row>
    <row r="16" spans="1:9">
      <c r="A16" s="32" t="s">
        <v>110</v>
      </c>
      <c r="E16" s="33"/>
    </row>
    <row r="17" spans="1:5">
      <c r="A17" s="8" t="s">
        <v>111</v>
      </c>
      <c r="E17" s="5"/>
    </row>
    <row r="18" spans="1:5">
      <c r="E18" s="11"/>
    </row>
  </sheetData>
  <pageMargins left="0.5" right="0.5" top="0.5" bottom="0.75" header="0" footer="0.25"/>
  <pageSetup scale="79" orientation="landscape"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37B91-401F-4DA8-A129-DDB4459F4945}">
  <sheetPr>
    <pageSetUpPr fitToPage="1"/>
  </sheetPr>
  <dimension ref="A1:D24"/>
  <sheetViews>
    <sheetView zoomScale="110" zoomScaleNormal="110" workbookViewId="0"/>
  </sheetViews>
  <sheetFormatPr baseColWidth="10" defaultColWidth="8.83203125" defaultRowHeight="15"/>
  <cols>
    <col min="1" max="1" width="28.83203125" customWidth="1"/>
    <col min="2" max="2" width="16.6640625" customWidth="1"/>
    <col min="3" max="3" width="14.6640625" customWidth="1"/>
    <col min="4" max="4" width="18.6640625" customWidth="1"/>
    <col min="5" max="5" width="5.33203125" customWidth="1"/>
  </cols>
  <sheetData>
    <row r="1" spans="1:4">
      <c r="A1" s="1" t="s">
        <v>12</v>
      </c>
    </row>
    <row r="2" spans="1:4">
      <c r="A2" s="1" t="s">
        <v>54</v>
      </c>
    </row>
    <row r="3" spans="1:4">
      <c r="A3" s="8"/>
    </row>
    <row r="5" spans="1:4">
      <c r="A5" s="26" t="s">
        <v>55</v>
      </c>
    </row>
    <row r="6" spans="1:4">
      <c r="B6" s="27">
        <v>2022</v>
      </c>
    </row>
    <row r="7" spans="1:4">
      <c r="A7" s="1" t="s">
        <v>56</v>
      </c>
      <c r="B7" s="81">
        <v>3291440</v>
      </c>
    </row>
    <row r="8" spans="1:4">
      <c r="A8" t="s">
        <v>57</v>
      </c>
      <c r="B8" s="48">
        <v>0.01</v>
      </c>
      <c r="C8" t="s">
        <v>112</v>
      </c>
    </row>
    <row r="9" spans="1:4">
      <c r="A9" t="s">
        <v>58</v>
      </c>
      <c r="B9" s="82">
        <f>B8/12</f>
        <v>8.3333333333333339E-4</v>
      </c>
    </row>
    <row r="11" spans="1:4">
      <c r="B11" s="83" t="s">
        <v>59</v>
      </c>
      <c r="C11" s="83" t="s">
        <v>60</v>
      </c>
      <c r="D11" s="83" t="s">
        <v>61</v>
      </c>
    </row>
    <row r="12" spans="1:4">
      <c r="A12" t="s">
        <v>62</v>
      </c>
      <c r="B12" s="56">
        <f>B7*B9</f>
        <v>2742.8666666666668</v>
      </c>
      <c r="C12" s="56">
        <f>B12+B7</f>
        <v>3294182.8666666667</v>
      </c>
      <c r="D12" s="56">
        <f>B12</f>
        <v>2742.8666666666668</v>
      </c>
    </row>
    <row r="13" spans="1:4">
      <c r="A13" t="s">
        <v>63</v>
      </c>
      <c r="B13" s="56">
        <f t="shared" ref="B13:B23" si="0">C12*$B$9</f>
        <v>2745.1523888888892</v>
      </c>
      <c r="C13" s="56">
        <f>C12+B13</f>
        <v>3296928.0190555556</v>
      </c>
      <c r="D13" s="56">
        <f>D12+B13</f>
        <v>5488.0190555555564</v>
      </c>
    </row>
    <row r="14" spans="1:4">
      <c r="A14" t="s">
        <v>64</v>
      </c>
      <c r="B14" s="56">
        <f t="shared" si="0"/>
        <v>2747.4400158796298</v>
      </c>
      <c r="C14" s="56">
        <f t="shared" ref="C14:C22" si="1">C13+B14</f>
        <v>3299675.459071435</v>
      </c>
      <c r="D14" s="56">
        <f t="shared" ref="D14:D22" si="2">D13+B14</f>
        <v>8235.4590714351871</v>
      </c>
    </row>
    <row r="15" spans="1:4">
      <c r="A15" t="s">
        <v>65</v>
      </c>
      <c r="B15" s="56">
        <f t="shared" si="0"/>
        <v>2749.729549226196</v>
      </c>
      <c r="C15" s="56">
        <f t="shared" si="1"/>
        <v>3302425.1886206614</v>
      </c>
      <c r="D15" s="56">
        <f t="shared" si="2"/>
        <v>10985.188620661384</v>
      </c>
    </row>
    <row r="16" spans="1:4">
      <c r="A16" t="s">
        <v>17</v>
      </c>
      <c r="B16" s="56">
        <f t="shared" si="0"/>
        <v>2752.0209905172178</v>
      </c>
      <c r="C16" s="56">
        <f t="shared" si="1"/>
        <v>3305177.2096111784</v>
      </c>
      <c r="D16" s="56">
        <f t="shared" si="2"/>
        <v>13737.209611178601</v>
      </c>
    </row>
    <row r="17" spans="1:4">
      <c r="A17" t="s">
        <v>66</v>
      </c>
      <c r="B17" s="56">
        <f t="shared" si="0"/>
        <v>2754.3143413426487</v>
      </c>
      <c r="C17" s="56">
        <f t="shared" si="1"/>
        <v>3307931.5239525209</v>
      </c>
      <c r="D17" s="56">
        <f t="shared" si="2"/>
        <v>16491.523952521249</v>
      </c>
    </row>
    <row r="18" spans="1:4">
      <c r="A18" t="s">
        <v>67</v>
      </c>
      <c r="B18" s="56">
        <f t="shared" si="0"/>
        <v>2756.6096032937676</v>
      </c>
      <c r="C18" s="56">
        <f t="shared" si="1"/>
        <v>3310688.1335558146</v>
      </c>
      <c r="D18" s="56">
        <f t="shared" si="2"/>
        <v>19248.133555815017</v>
      </c>
    </row>
    <row r="19" spans="1:4">
      <c r="A19" t="s">
        <v>68</v>
      </c>
      <c r="B19" s="56">
        <f t="shared" si="0"/>
        <v>2758.9067779631791</v>
      </c>
      <c r="C19" s="56">
        <f t="shared" si="1"/>
        <v>3313447.0403337777</v>
      </c>
      <c r="D19" s="56">
        <f t="shared" si="2"/>
        <v>22007.040333778197</v>
      </c>
    </row>
    <row r="20" spans="1:4">
      <c r="A20" t="s">
        <v>69</v>
      </c>
      <c r="B20" s="56">
        <f t="shared" si="0"/>
        <v>2761.2058669448147</v>
      </c>
      <c r="C20" s="56">
        <f t="shared" si="1"/>
        <v>3316208.2462007226</v>
      </c>
      <c r="D20" s="56">
        <f t="shared" si="2"/>
        <v>24768.246200723013</v>
      </c>
    </row>
    <row r="21" spans="1:4">
      <c r="A21" t="s">
        <v>70</v>
      </c>
      <c r="B21" s="56">
        <f t="shared" si="0"/>
        <v>2763.5068718339357</v>
      </c>
      <c r="C21" s="56">
        <f t="shared" si="1"/>
        <v>3318971.7530725566</v>
      </c>
      <c r="D21" s="56">
        <f t="shared" si="2"/>
        <v>27531.753072556949</v>
      </c>
    </row>
    <row r="22" spans="1:4">
      <c r="A22" t="s">
        <v>71</v>
      </c>
      <c r="B22" s="56">
        <f t="shared" si="0"/>
        <v>2765.8097942271306</v>
      </c>
      <c r="C22" s="56">
        <f t="shared" si="1"/>
        <v>3321737.5628667837</v>
      </c>
      <c r="D22" s="56">
        <f t="shared" si="2"/>
        <v>30297.562866784079</v>
      </c>
    </row>
    <row r="23" spans="1:4">
      <c r="A23" t="s">
        <v>72</v>
      </c>
      <c r="B23" s="56">
        <f t="shared" si="0"/>
        <v>2768.1146357223201</v>
      </c>
      <c r="C23" s="56">
        <f>C22+B23</f>
        <v>3324505.6775025059</v>
      </c>
      <c r="D23" s="56">
        <f>D22+B23</f>
        <v>33065.677502506398</v>
      </c>
    </row>
    <row r="24" spans="1:4">
      <c r="B24" s="28"/>
      <c r="C24" s="29" t="s">
        <v>73</v>
      </c>
      <c r="D24" s="47">
        <f>C20-B7-D20</f>
        <v>-3.7107383832335472E-10</v>
      </c>
    </row>
  </sheetData>
  <pageMargins left="0.5" right="0.5" top="0.5" bottom="0.75" header="0" footer="0.25"/>
  <pageSetup orientation="portrait" r:id="rId1"/>
  <headerFooter>
    <oddFooter>&amp;L&amp;F     &amp;A</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Cover Sheet</vt:lpstr>
      <vt:lpstr>TCM-1.1 Surcharge Allocation</vt:lpstr>
      <vt:lpstr>TCM-1.2 2022 Sales by Class</vt:lpstr>
      <vt:lpstr>TCM-1.2 2021 Sales by Class</vt:lpstr>
      <vt:lpstr>TCM-1.2 Interest Calc</vt:lpstr>
      <vt:lpstr>'Cover Sheet'!Print_Area</vt:lpstr>
      <vt:lpstr>'TCM-1.1 Surcharge Allocation'!Print_Area</vt:lpstr>
      <vt:lpstr>'TCM-1.2 2021 Sales by Class'!Print_Area</vt:lpstr>
      <vt:lpstr>'TCM-1.2 2022 Sales by Class'!Print_Area</vt:lpstr>
      <vt:lpstr>'TCM-1.2 Interest Calc'!Print_Area</vt:lpstr>
      <vt:lpstr>'Cover Sheet'!Print_Titles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Blair, Tanner</dc:creator>
  <cp:lastModifiedBy>Cheng Feng</cp:lastModifiedBy>
  <cp:lastPrinted>2022-05-10T14:51:15Z</cp:lastPrinted>
  <dcterms:created xsi:type="dcterms:W3CDTF">2020-06-11T16:39:32Z</dcterms:created>
  <dcterms:modified xsi:type="dcterms:W3CDTF">2025-09-17T15:25:18Z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