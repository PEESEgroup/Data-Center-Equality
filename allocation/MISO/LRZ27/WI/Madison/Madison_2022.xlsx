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victorfeng/Desktop/"/>
    </mc:Choice>
  </mc:AlternateContent>
  <xr:revisionPtr revIDLastSave="0" documentId="8_{EB7CFBCE-FC30-E641-A369-77E6BC713AE1}" xr6:coauthVersionLast="47" xr6:coauthVersionMax="47" xr10:uidLastSave="{00000000-0000-0000-0000-000000000000}"/>
  <bookViews>
    <workbookView xWindow="0" yWindow="500" windowWidth="29040" windowHeight="15720" activeTab="1" xr2:uid="{C352236C-EFA6-4BAB-8D5E-7C7085B935B8}"/>
  </bookViews>
  <sheets>
    <sheet name="Cover Sheet" sheetId="1" r:id="rId1"/>
    <sheet name="ACE-1.1" sheetId="2" r:id="rId2"/>
    <sheet name="ACE-1.2" sheetId="3" r:id="rId3"/>
    <sheet name="ACE-1.6"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s>
  <definedNames>
    <definedName name="_Order1" hidden="1">255</definedName>
    <definedName name="_Order2" hidden="1">255</definedName>
    <definedName name="\B" localSheetId="3">[1]BILLING!#REF!</definedName>
    <definedName name="\B">[1]BILLING!#REF!</definedName>
    <definedName name="\D" localSheetId="3">#REF!</definedName>
    <definedName name="\D">#REF!</definedName>
    <definedName name="\E" localSheetId="3">[1]BILLING!#REF!</definedName>
    <definedName name="\E">[1]BILLING!#REF!</definedName>
    <definedName name="\J" localSheetId="3">#REF!</definedName>
    <definedName name="\J">#REF!</definedName>
    <definedName name="\K" localSheetId="3">[1]BILLING!#REF!</definedName>
    <definedName name="\K">[1]BILLING!#REF!</definedName>
    <definedName name="\M" localSheetId="3">[1]BILLING!#REF!</definedName>
    <definedName name="\M">[1]BILLING!#REF!</definedName>
    <definedName name="\P" localSheetId="3">[1]BILLING!#REF!</definedName>
    <definedName name="\P">[1]BILLING!#REF!</definedName>
    <definedName name="\S" localSheetId="3">[1]BILLING!#REF!</definedName>
    <definedName name="\S">[1]BILLING!#REF!</definedName>
    <definedName name="\T" localSheetId="3">[1]BILLING!#REF!</definedName>
    <definedName name="\T">[1]BILLING!#REF!</definedName>
    <definedName name="\U">[1]BILLING!#REF!</definedName>
    <definedName name="\Z">[1]BILLING!#REF!</definedName>
    <definedName name="akdsfja">'[2]PGA Calc'!#REF!</definedName>
    <definedName name="anscount" hidden="1">1</definedName>
    <definedName name="Diesel_BGS">#REF!</definedName>
    <definedName name="fasdjfklasd">[3]Prior!#REF!</definedName>
    <definedName name="gcdmsales">#REF!</definedName>
    <definedName name="gigo">#REF!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[3]Prior!#REF!</definedName>
    <definedName name="Mo_Day_Yr">'[4]Gas Trans'!$W$2</definedName>
    <definedName name="Month_table">[5]Misc!#REF!</definedName>
    <definedName name="Month_Yr">[6]InputEst!$C$4</definedName>
    <definedName name="Natural_Gas_BGS">#REF!</definedName>
    <definedName name="NvsAnswerCol">"[Drill1]JRNLLAYOUT!$A$4:$A$54"</definedName>
    <definedName name="NvsASD">"V2012-12-31"</definedName>
    <definedName name="NvsAutoDrillOk">"VN"</definedName>
    <definedName name="NvsDateToNumber">"Y"</definedName>
    <definedName name="NvsElapsedTime">0.0000347222230629995</definedName>
    <definedName name="NvsEndTime">41353.6898148148</definedName>
    <definedName name="NvsInstLang">"VENG"</definedName>
    <definedName name="NvsInstSpec">"%,LACTUALS,UPOSTED_TOTAL_AMT,SYTD,FACCOUNT,V001154,FDEPTID,V0231"</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ParentRef">"[F_WASUM0231.xls]Sheet1!$J$22"</definedName>
    <definedName name="NvsReqBU">"V10100"</definedName>
    <definedName name="NvsReqBUOnly">"VY"</definedName>
    <definedName name="NvsTransLed">"VN"</definedName>
    <definedName name="NvsTreeASD">"V2012-12-31"</definedName>
    <definedName name="o">'[2]PGA Calc'!#REF!</definedName>
    <definedName name="ok">'[2]PGA Calc'!#REF!</definedName>
    <definedName name="OTHER_REPLACEMENT_CAPACITY_COSTS">'[5]Order Reporting Tables'!#REF!</definedName>
    <definedName name="OTHER_STAFF_FUEL_COST_ADJUSTMENTS">'[5]Order Reporting Tables'!#REF!</definedName>
    <definedName name="OUCOLLECT">[3]Prior!#REF!</definedName>
    <definedName name="p">'[2]PGA Calc'!#REF!</definedName>
    <definedName name="PAGE1A">[3]TuSum!#REF!</definedName>
    <definedName name="PAGE3">[3]Prior!#REF!</definedName>
    <definedName name="PORTABLE_GENERATION_Table">'[5]Order Reporting Tables'!#REF!</definedName>
    <definedName name="_xlnm.Print_Area" localSheetId="1">'ACE-1.1'!$A$1:$N$41</definedName>
    <definedName name="_xlnm.Print_Area" localSheetId="2">'ACE-1.2'!$A$1:$I$89</definedName>
    <definedName name="_xlnm.Print_Area" localSheetId="3">'ACE-1.6'!$A$1:$I$41</definedName>
    <definedName name="_xlnm.Print_Area" localSheetId="0">'Cover Sheet'!$A$1:$J$55</definedName>
    <definedName name="Print_Area_MI" localSheetId="3">#REF!</definedName>
    <definedName name="Print_Area_MI">#REF!</definedName>
    <definedName name="_xlnm.Print_Titles" localSheetId="2">'ACE-1.2'!$1:$4</definedName>
    <definedName name="_xlnm.Print_Titles" localSheetId="3">#REF!</definedName>
    <definedName name="_xlnm.Print_Titles" localSheetId="0">'Cover Sheet'!$1:$12</definedName>
    <definedName name="_xlnm.Print_Titles">#REF!</definedName>
    <definedName name="RATES">[3]TuSum!#REF!</definedName>
    <definedName name="Sch_D">#REF!</definedName>
    <definedName name="Sch_E">#REF!</definedName>
    <definedName name="Sch_E1">#REF!</definedName>
    <definedName name="sdfds">'[2]PGA Calc'!#REF!</definedName>
    <definedName name="sjkdfklas">'[2]PGA Calc'!#REF!</definedName>
    <definedName name="Total_BGS">#REF!</definedName>
    <definedName name="TOTAL_ENERGY_SUPPLIED_TO_GRID_Table">'[5]Order Reporting Tables'!#REF!</definedName>
    <definedName name="TOTAL_NET_GENERATION_Table">'[5]Order Reporting Tables'!#REF!</definedName>
    <definedName name="TotalNuclearGeneration518">'[7]FRA-2 Variances'!#REF!</definedName>
    <definedName name="TotalOtherGeneration547">'[7]FRA-2 Variances'!#REF!</definedName>
    <definedName name="TotalPurchasedPower546_547">'[8]FRA-5 Variances'!#REF!</definedName>
    <definedName name="TotalPurchasedPower555_565">'[8]FRA-5 Variances'!#REF!</definedName>
    <definedName name="TotalSteamGeneration501">'[7]FRA-2 Variances'!#REF!</definedName>
    <definedName name="UNBILLED">[3]Prior!#REF!</definedName>
    <definedName name="Utility_Name">[6]Intro!$D$13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4" l="1"/>
  <c r="D40" i="4"/>
  <c r="G39" i="4"/>
  <c r="D39" i="4"/>
  <c r="G38" i="4"/>
  <c r="D38" i="4"/>
  <c r="G37" i="4"/>
  <c r="D37" i="4"/>
  <c r="G36" i="4"/>
  <c r="D36" i="4"/>
  <c r="G31" i="4"/>
  <c r="D31" i="4"/>
  <c r="G30" i="4"/>
  <c r="D30" i="4"/>
  <c r="G29" i="4"/>
  <c r="D29" i="4"/>
  <c r="G28" i="4"/>
  <c r="D28" i="4"/>
  <c r="G27" i="4"/>
  <c r="D27" i="4"/>
  <c r="D20" i="4"/>
  <c r="B36" i="4" s="1"/>
  <c r="D19" i="4"/>
  <c r="D18" i="4"/>
  <c r="D17" i="4"/>
  <c r="C17" i="4"/>
  <c r="D12" i="4"/>
  <c r="D11" i="4"/>
  <c r="D10" i="4"/>
  <c r="D13" i="4" s="1"/>
  <c r="C10" i="4"/>
  <c r="F36" i="4" l="1"/>
  <c r="H36" i="4" s="1"/>
  <c r="C36" i="4"/>
  <c r="E36" i="4" s="1"/>
  <c r="B30" i="4"/>
  <c r="B28" i="4"/>
  <c r="B31" i="4"/>
  <c r="B27" i="4"/>
  <c r="B29" i="4"/>
  <c r="B40" i="4"/>
  <c r="B39" i="4"/>
  <c r="B37" i="4"/>
  <c r="B38" i="4"/>
  <c r="F38" i="4" l="1"/>
  <c r="H38" i="4" s="1"/>
  <c r="C38" i="4"/>
  <c r="E38" i="4" s="1"/>
  <c r="F30" i="4"/>
  <c r="H30" i="4" s="1"/>
  <c r="C30" i="4"/>
  <c r="E30" i="4" s="1"/>
  <c r="C37" i="4"/>
  <c r="E37" i="4" s="1"/>
  <c r="F37" i="4"/>
  <c r="H37" i="4" s="1"/>
  <c r="C39" i="4"/>
  <c r="E39" i="4" s="1"/>
  <c r="F39" i="4"/>
  <c r="H39" i="4" s="1"/>
  <c r="F40" i="4"/>
  <c r="H40" i="4" s="1"/>
  <c r="C40" i="4"/>
  <c r="E40" i="4" s="1"/>
  <c r="F29" i="4"/>
  <c r="H29" i="4" s="1"/>
  <c r="C29" i="4"/>
  <c r="E29" i="4" s="1"/>
  <c r="C27" i="4"/>
  <c r="E27" i="4" s="1"/>
  <c r="F27" i="4"/>
  <c r="H27" i="4" s="1"/>
  <c r="C31" i="4"/>
  <c r="E31" i="4" s="1"/>
  <c r="F31" i="4"/>
  <c r="H31" i="4" s="1"/>
  <c r="F28" i="4"/>
  <c r="H28" i="4" s="1"/>
  <c r="C28" i="4"/>
  <c r="E28" i="4" s="1"/>
  <c r="B87" i="3" l="1"/>
  <c r="B86" i="3"/>
  <c r="B85" i="3"/>
  <c r="B84" i="3"/>
  <c r="B83" i="3"/>
  <c r="B82" i="3"/>
  <c r="B78" i="3"/>
  <c r="B70" i="3"/>
  <c r="B69" i="3"/>
  <c r="B68" i="3"/>
  <c r="B67" i="3"/>
  <c r="B66" i="3"/>
  <c r="B65" i="3"/>
  <c r="B61" i="3"/>
  <c r="B53" i="3"/>
  <c r="B52" i="3"/>
  <c r="B51" i="3"/>
  <c r="B50" i="3"/>
  <c r="B49" i="3"/>
  <c r="B48" i="3"/>
  <c r="B44" i="3"/>
  <c r="B36" i="3"/>
  <c r="B35" i="3"/>
  <c r="B34" i="3"/>
  <c r="B33" i="3"/>
  <c r="B32" i="3"/>
  <c r="B31" i="3"/>
  <c r="B27" i="3"/>
  <c r="B19" i="3"/>
  <c r="B18" i="3"/>
  <c r="B17" i="3"/>
  <c r="B16" i="3"/>
  <c r="B15" i="3"/>
  <c r="B14" i="3"/>
  <c r="B10" i="3"/>
  <c r="B40" i="2"/>
  <c r="C35" i="2" s="1"/>
  <c r="C39" i="2"/>
  <c r="C38" i="2"/>
  <c r="M28" i="2"/>
  <c r="L28" i="2"/>
  <c r="K28" i="2"/>
  <c r="J28" i="2"/>
  <c r="I28" i="2"/>
  <c r="H28" i="2"/>
  <c r="G28" i="2"/>
  <c r="F28" i="2"/>
  <c r="E28" i="2"/>
  <c r="D28" i="2"/>
  <c r="C28" i="2"/>
  <c r="B28" i="2"/>
  <c r="E16" i="2"/>
  <c r="D16" i="2"/>
  <c r="C16" i="2"/>
  <c r="B16" i="2"/>
  <c r="G19" i="3" l="1"/>
  <c r="H19" i="3" s="1"/>
  <c r="D70" i="3"/>
  <c r="E70" i="3" s="1"/>
  <c r="B88" i="3"/>
  <c r="D84" i="3" s="1"/>
  <c r="E84" i="3" s="1"/>
  <c r="B71" i="3"/>
  <c r="G53" i="3"/>
  <c r="H53" i="3" s="1"/>
  <c r="B54" i="3"/>
  <c r="D52" i="3" s="1"/>
  <c r="E52" i="3" s="1"/>
  <c r="B37" i="3"/>
  <c r="D31" i="3" s="1"/>
  <c r="E31" i="3" s="1"/>
  <c r="D66" i="3"/>
  <c r="E66" i="3" s="1"/>
  <c r="D51" i="3"/>
  <c r="E51" i="3" s="1"/>
  <c r="C36" i="2"/>
  <c r="G84" i="3" s="1"/>
  <c r="H84" i="3" s="1"/>
  <c r="G35" i="3"/>
  <c r="H35" i="3" s="1"/>
  <c r="D67" i="3"/>
  <c r="E67" i="3" s="1"/>
  <c r="G36" i="3"/>
  <c r="H36" i="3" s="1"/>
  <c r="G18" i="3"/>
  <c r="H18" i="3" s="1"/>
  <c r="C37" i="2"/>
  <c r="G34" i="3" s="1"/>
  <c r="H34" i="3" s="1"/>
  <c r="G17" i="3"/>
  <c r="H17" i="3" s="1"/>
  <c r="G32" i="3"/>
  <c r="H32" i="3" s="1"/>
  <c r="D49" i="3"/>
  <c r="E49" i="3" s="1"/>
  <c r="G70" i="3"/>
  <c r="H70" i="3" s="1"/>
  <c r="D69" i="3"/>
  <c r="E69" i="3" s="1"/>
  <c r="G87" i="3"/>
  <c r="H87" i="3" s="1"/>
  <c r="G66" i="3"/>
  <c r="H66" i="3" s="1"/>
  <c r="D68" i="3"/>
  <c r="E68" i="3" s="1"/>
  <c r="G52" i="3"/>
  <c r="H52" i="3" s="1"/>
  <c r="G69" i="3"/>
  <c r="H69" i="3" s="1"/>
  <c r="B20" i="3"/>
  <c r="D16" i="3" s="1"/>
  <c r="E16" i="3" s="1"/>
  <c r="D65" i="3"/>
  <c r="G86" i="3"/>
  <c r="H86" i="3" s="1"/>
  <c r="G49" i="3"/>
  <c r="H49" i="3" s="1"/>
  <c r="C40" i="2"/>
  <c r="D53" i="3"/>
  <c r="E53" i="3" s="1"/>
  <c r="C34" i="2"/>
  <c r="G82" i="3" s="1"/>
  <c r="G15" i="3"/>
  <c r="H15" i="3" s="1"/>
  <c r="G83" i="3"/>
  <c r="H83" i="3" s="1"/>
  <c r="D14" i="3" l="1"/>
  <c r="E14" i="3" s="1"/>
  <c r="D48" i="3"/>
  <c r="E48" i="3" s="1"/>
  <c r="D50" i="3"/>
  <c r="E50" i="3" s="1"/>
  <c r="D87" i="3"/>
  <c r="E87" i="3" s="1"/>
  <c r="D82" i="3"/>
  <c r="E82" i="3" s="1"/>
  <c r="D83" i="3"/>
  <c r="E83" i="3" s="1"/>
  <c r="D85" i="3"/>
  <c r="E85" i="3" s="1"/>
  <c r="D86" i="3"/>
  <c r="E86" i="3" s="1"/>
  <c r="G50" i="3"/>
  <c r="H50" i="3" s="1"/>
  <c r="G67" i="3"/>
  <c r="H67" i="3" s="1"/>
  <c r="D35" i="3"/>
  <c r="E35" i="3" s="1"/>
  <c r="D33" i="3"/>
  <c r="E33" i="3" s="1"/>
  <c r="G68" i="3"/>
  <c r="H68" i="3" s="1"/>
  <c r="D34" i="3"/>
  <c r="E34" i="3" s="1"/>
  <c r="D15" i="3"/>
  <c r="E15" i="3" s="1"/>
  <c r="D32" i="3"/>
  <c r="E32" i="3" s="1"/>
  <c r="G65" i="3"/>
  <c r="D17" i="3"/>
  <c r="E17" i="3" s="1"/>
  <c r="D19" i="3"/>
  <c r="E19" i="3" s="1"/>
  <c r="D36" i="3"/>
  <c r="E36" i="3" s="1"/>
  <c r="G85" i="3"/>
  <c r="H85" i="3" s="1"/>
  <c r="H82" i="3"/>
  <c r="E65" i="3"/>
  <c r="D71" i="3"/>
  <c r="G31" i="3"/>
  <c r="G14" i="3"/>
  <c r="G33" i="3"/>
  <c r="H33" i="3" s="1"/>
  <c r="G16" i="3"/>
  <c r="H16" i="3" s="1"/>
  <c r="D18" i="3"/>
  <c r="E18" i="3" s="1"/>
  <c r="G48" i="3"/>
  <c r="D88" i="3"/>
  <c r="G51" i="3"/>
  <c r="H51" i="3" s="1"/>
  <c r="G88" i="3" l="1"/>
  <c r="D54" i="3"/>
  <c r="G71" i="3"/>
  <c r="D37" i="3"/>
  <c r="H65" i="3"/>
  <c r="G20" i="3"/>
  <c r="H14" i="3"/>
  <c r="D20" i="3"/>
  <c r="H31" i="3"/>
  <c r="G37" i="3"/>
  <c r="H48" i="3"/>
  <c r="G54" i="3"/>
</calcChain>
</file>

<file path=xl/sharedStrings.xml><?xml version="1.0" encoding="utf-8"?>
<sst xmlns="http://schemas.openxmlformats.org/spreadsheetml/2006/main" count="238" uniqueCount="99">
  <si>
    <t>Madison Gas and Electric Company</t>
  </si>
  <si>
    <t>Docket Number:</t>
  </si>
  <si>
    <t>Requestor:</t>
  </si>
  <si>
    <t>Date of Response:</t>
  </si>
  <si>
    <t>Respondent:</t>
  </si>
  <si>
    <t>Response</t>
  </si>
  <si>
    <t>Date of Request:</t>
  </si>
  <si>
    <t>3270-FR-2022</t>
  </si>
  <si>
    <t>May 10, 2023 (PSC REF # 467696)</t>
  </si>
  <si>
    <t>Andrew Eiter</t>
  </si>
  <si>
    <t>Carl Weinert</t>
  </si>
  <si>
    <t>In the application filing, the applicant indicated its request to recover a deferred account balance over a 12-month period (October 2023 to September 2024). Provide the monthly sales volumes the applicant proposes to use for the development of the surcharge rate. In your response, be sure to indicate if the sales are based on a Commission authorized sales forecast, or if the sales will be subject to change based on the Commission's final decision in docket 3270-UR-125.</t>
  </si>
  <si>
    <t>2022 Fuel Reconciliation Audit (3270-FR-2022)</t>
  </si>
  <si>
    <t>ACE-1.1 - Monthly Electric Sales Volumes used for the Development of the Surcharge Rate</t>
  </si>
  <si>
    <t xml:space="preserve">Authorized 2023 Electric Sales Forecast per 3270-UR-124 Reopener </t>
  </si>
  <si>
    <t>Total Sales KWH Net of Renewables</t>
  </si>
  <si>
    <t>September</t>
  </si>
  <si>
    <t>October</t>
  </si>
  <si>
    <t>November</t>
  </si>
  <si>
    <t>December</t>
  </si>
  <si>
    <t>Residential</t>
  </si>
  <si>
    <t>Small Commercial</t>
  </si>
  <si>
    <t>Medium and Large C&amp;I</t>
  </si>
  <si>
    <t>Contract</t>
  </si>
  <si>
    <t>Miscellaneous</t>
  </si>
  <si>
    <t>Streetlighting</t>
  </si>
  <si>
    <t>Total</t>
  </si>
  <si>
    <t>Company Submitted 2024 Electric Sales Forecast per 3270-UR-125 Submission</t>
  </si>
  <si>
    <t>January</t>
  </si>
  <si>
    <t>February</t>
  </si>
  <si>
    <t>March</t>
  </si>
  <si>
    <t>April</t>
  </si>
  <si>
    <t>May</t>
  </si>
  <si>
    <t>June</t>
  </si>
  <si>
    <t>July</t>
  </si>
  <si>
    <t>August</t>
  </si>
  <si>
    <t>2022 Calendar Electric Sales</t>
  </si>
  <si>
    <t>Amount</t>
  </si>
  <si>
    <t>Percent</t>
  </si>
  <si>
    <t>ACE-1.2 - Flat-Rate and Class-Based Surcharge Allocations</t>
  </si>
  <si>
    <t>Surcharge Allocations for Recovery Period of September 2023</t>
  </si>
  <si>
    <t>Deferred Account Balance</t>
  </si>
  <si>
    <t>Interest</t>
  </si>
  <si>
    <t>Recovery</t>
  </si>
  <si>
    <t>Flat</t>
  </si>
  <si>
    <t>Class-Based</t>
  </si>
  <si>
    <t>kWh</t>
  </si>
  <si>
    <t>Allocation</t>
  </si>
  <si>
    <t>Rate</t>
  </si>
  <si>
    <t>Surcharge Allocations for Recovery Period of October 2023</t>
  </si>
  <si>
    <t>Surcharge Allocations for Recovery Period of October 2023 through December 2023</t>
  </si>
  <si>
    <t>Surcharge Allocations for Recovery Period of October 2023 through September 2024</t>
  </si>
  <si>
    <t>Surcharge Allocations for Recovery Period of the Calendar Year of 2024</t>
  </si>
  <si>
    <t>See Tab ACE-1.2 for the requested sucharge allocations and per kilowatt-hour (kWh) surcharge values.</t>
  </si>
  <si>
    <t>PSCW-ACE-1.1</t>
  </si>
  <si>
    <t>PSCW-ACE-1.2</t>
  </si>
  <si>
    <t>May 18, 2023</t>
  </si>
  <si>
    <t>PSCW-ACE-1.3</t>
  </si>
  <si>
    <t xml:space="preserve">Provide any workbooks, with formulas intact, used to respond to PSCW-ACE-1.2. </t>
  </si>
  <si>
    <t>PSCW-ACE-1.4</t>
  </si>
  <si>
    <t>Using the final fuel audit numbers, demonstrate what a flat-rate and class-based surcharge allocation, with per kWh surcharge values, would look like if the deferred account balance were recovered in:
a.   September 2023;
b.   October 2023;
c.   October 2023 through December 2023;
d.   October 2023 through September 2024; and
e.   The calendar year of 2024.</t>
  </si>
  <si>
    <t>PSCW-ACE-1.5</t>
  </si>
  <si>
    <t xml:space="preserve">Provide any workbooks, with formulas intact, used to respond to PSCW-ACE-1.4. </t>
  </si>
  <si>
    <t>PSCW-ACE-1.6</t>
  </si>
  <si>
    <t>Provide the bill impacts from the calculated fuel surcharge amounts for the average residential customer using 500 kWh monthly, and the average general service customer using 1,100 kWh, for the following time periods: 
a.   September 2023; 
b.   October 2023; 
c.   October 2023 through December 2023; 
d.   October 2023 through September 2024; and 
e.   The calendar year of 2024.</t>
  </si>
  <si>
    <t>See Tab ACE-1.6 for the requested bill impacts.</t>
  </si>
  <si>
    <t>ACE-1.6 - Average Monthly Bill Impacts for Residential and General Service Customers</t>
  </si>
  <si>
    <t>Authorized Electric Rates per 3270-UR-124 Reopener</t>
  </si>
  <si>
    <t>Average Monthly Bills for Residential Customers</t>
  </si>
  <si>
    <t>Rg-1 Rate</t>
  </si>
  <si>
    <t>Billing Units</t>
  </si>
  <si>
    <t>Monthly Charge</t>
  </si>
  <si>
    <t>Grid Connection</t>
  </si>
  <si>
    <t>Distribution Service</t>
  </si>
  <si>
    <t>Electricity Service</t>
  </si>
  <si>
    <t>Average Monthly Bill</t>
  </si>
  <si>
    <t>Average Monthly Bills for General Service Customers</t>
  </si>
  <si>
    <t>Cg-5 Rate</t>
  </si>
  <si>
    <t>Estimated Bill Impacts</t>
  </si>
  <si>
    <t>Estimated Residential Bill Impacts</t>
  </si>
  <si>
    <t>Current</t>
  </si>
  <si>
    <t>Flat-Rate Surcharge</t>
  </si>
  <si>
    <t>Class-Based Surcharge</t>
  </si>
  <si>
    <t>Recovery Period</t>
  </si>
  <si>
    <t>Monthly Bill</t>
  </si>
  <si>
    <t>Increase</t>
  </si>
  <si>
    <t>September 2023</t>
  </si>
  <si>
    <t>October 2023</t>
  </si>
  <si>
    <t>October 2023 through December 2023</t>
  </si>
  <si>
    <t>October 2023 through September 2024</t>
  </si>
  <si>
    <t>The calendar year of 2024</t>
  </si>
  <si>
    <t>Estimated General Service Bill Impacts</t>
  </si>
  <si>
    <t>See Tab ACE-1.1 for the requested monthly electric sales volumes.  All sales volumes used in this response are net of renewables. The monthly electric sales volumes for 2023 are based on the Commission authorized sales forecast that is included in MGE's response to data request PSC-Field-1.36 (PSC REF # 463133).  The monthly electric sales volumes for 2024 are based on MGE's filed sales forecast that is included in MGE's response to data request PSC-Field-4 (PSC REF # 467538) and are subject to change based on the Commission's final decision in docket 3270-UR-125.  Also included are the actual electric sales volumes by rate class for the 2022 Fuel Plan Year for use in the development of a class-based surcharge allocation as requested in ACE-1.2 and ACE-1.4.</t>
  </si>
  <si>
    <t>For your consideration, MGE would like to respectfully inform you that some of the fuel surcharge scenarios in ACE-1.2 will require significant lead time to configure MGE's billing system.  Any single-month recovery period, other than the month of October, will require a minimum lead time of 2 months between the date of the written order and the effective date of the fuel surcharge.  Specifically, for scenario a, MGE would need a written order issued on or before June 30 to configure a September fuel surcharge.  Additionally, MGE would require a minimum lead time of 1 month for any multi-month recovery period utilizing the class-based methodology.</t>
  </si>
  <si>
    <t>See Tab ACE-1.2.</t>
  </si>
  <si>
    <t>As of the date of this response, PSCW staff has not notified MGE of any audit adjustments.  If any audit adjustments that affect the surcharge amount are provided, MGE will respond to this request.</t>
  </si>
  <si>
    <t>If MGE responds to ACE-1.4 as described above, the response will include any supporting workbooks with formulas intact.</t>
  </si>
  <si>
    <t>Using the fuel numbers as filed in the application, demonstrate what a flat-rate and class-based surcharge allocation, with per kilowatt-hour (kWh) surcharge values, would look like if the deferred account balance were recovered in: 
	a.   September 2023; 
	b.   October 2023;
	c.   October 2023 through December 2023; 
	d.   October 2023 through September 2024; and 
	e.   The calendar year of 2024.</t>
  </si>
  <si>
    <t>MGE-Response-Data Request-PSC-Eiter-1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</si>
</sst>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quot;$&quot;#,##0_);\(&quot;$&quot;#,##0\)"/>
    <numFmt numFmtId="165" formatCode="_(* #,##0_);_(* \(#,##0\);_(* &quot;-&quot;??_);_(@_)"/>
    <numFmt numFmtId="166" formatCode="&quot;$&quot;#,##0.00000_);\(&quot;$&quot;#,##0.00000\)"/>
    <numFmt numFmtId="167" formatCode="&quot;$&quot;#,##0.00000"/>
    <numFmt numFmtId="168" formatCode="0.000"/>
    <numFmt numFmtId="169" formatCode="&quot;$&quot;#,##0.00"/>
  </numFmts>
  <fonts count="12" x14ac:knownFonts="1">
    <font>
      <sz val="11"/>
      <color theme="1"/>
      <name val="Calibri"/>
      <family val="2"/>
      <scheme val="minor"/>
    </font>
    <font>
      <sz val="11"/>
      <name val="Calibri"/>
      <family val="2"/>
      <scheme val="minor"/>
    </font>
    <font>
      <b/>
      <sz val="12"/>
      <name val="Calibri"/>
      <family val="2"/>
      <scheme val="minor"/>
    </font>
    <font>
      <sz val="12"/>
      <name val="Calibri"/>
      <family val="2"/>
      <scheme val="minor"/>
    </font>
    <font>
      <b/>
      <sz val="11"/>
      <name val="Calibri"/>
      <family val="2"/>
      <scheme val="minor"/>
    </font>
    <font>
      <u/>
      <sz val="11"/>
      <name val="Calibri"/>
      <family val="2"/>
      <scheme val="minor"/>
    </font>
    <font>
      <sz val="11"/>
      <color theme="1"/>
      <name val="Calibri"/>
      <family val="2"/>
      <scheme val="minor"/>
    </font>
    <font>
      <b/>
      <sz val="11"/>
      <color theme="1"/>
      <name val="Calibri"/>
      <family val="2"/>
      <scheme val="minor"/>
    </font>
    <font>
      <sz val="12"/>
      <color theme="1"/>
      <name val="Calibri"/>
      <family val="2"/>
    </font>
    <font>
      <sz val="11"/>
      <color theme="1"/>
      <name val="Calibri"/>
      <family val="2"/>
    </font>
    <font>
      <b/>
      <sz val="11"/>
      <color theme="1"/>
      <name val="Calibri"/>
      <family val="2"/>
    </font>
    <font>
      <b/>
      <sz val="11"/>
      <color rgb="FFFF0000"/>
      <name val="Calibri"/>
      <family val="2"/>
      <scheme val="minor"/>
    </font>
  </fonts>
  <fills count="2">
    <fill>
      <patternFill patternType="none"/>
    </fill>
    <fill>
      <patternFill patternType="gray125"/>
    </fill>
  </fills>
  <borders count="19">
    <border>
      <left/>
      <right/>
      <top/>
      <bottom/>
      <diagonal/>
    </border>
    <border>
      <left/>
      <right/>
      <top/>
      <bottom style="thick">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indexed="64"/>
      </bottom>
      <diagonal/>
    </border>
    <border>
      <left/>
      <right style="medium">
        <color auto="1"/>
      </right>
      <top/>
      <bottom style="thin">
        <color indexed="64"/>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right/>
      <top style="thin">
        <color auto="1"/>
      </top>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right style="thin">
        <color indexed="64"/>
      </right>
      <top/>
      <bottom style="medium">
        <color indexed="64"/>
      </bottom>
      <diagonal/>
    </border>
  </borders>
  <cellStyleXfs count="6">
    <xf numFmtId="0" fontId="0" fillId="0" borderId="0"/>
    <xf numFmtId="0" fontId="6" fillId="0" borderId="0"/>
    <xf numFmtId="0" fontId="8" fillId="0" borderId="0"/>
    <xf numFmtId="0" fontId="6" fillId="0" borderId="0"/>
    <xf numFmtId="43" fontId="8" fillId="0" borderId="0" applyFont="0" applyFill="0" applyBorder="0" applyAlignment="0" applyProtection="0"/>
    <xf numFmtId="9" fontId="8" fillId="0" borderId="0" applyFont="0" applyFill="0" applyBorder="0" applyAlignment="0" applyProtection="0"/>
  </cellStyleXfs>
  <cellXfs count="70">
    <xf numFmtId="0" fontId="0" fillId="0" borderId="0" xfId="0"/>
    <xf numFmtId="0" fontId="1" fillId="0" borderId="0" xfId="0" applyFont="1"/>
    <xf numFmtId="49" fontId="1" fillId="0" borderId="0" xfId="0" applyNumberFormat="1" applyFont="1"/>
    <xf numFmtId="0" fontId="4" fillId="0" borderId="0" xfId="0" applyFont="1" applyAlignment="1">
      <alignment horizontal="center" wrapText="1"/>
    </xf>
    <xf numFmtId="0" fontId="1" fillId="0" borderId="0" xfId="0" applyFont="1" applyAlignment="1">
      <alignment horizontal="center" wrapText="1"/>
    </xf>
    <xf numFmtId="0" fontId="4" fillId="0" borderId="0" xfId="0" applyFont="1"/>
    <xf numFmtId="0" fontId="1" fillId="0" borderId="1" xfId="0" applyFont="1" applyBorder="1"/>
    <xf numFmtId="0" fontId="5" fillId="0" borderId="0" xfId="0" applyFont="1"/>
    <xf numFmtId="0" fontId="2" fillId="0" borderId="0" xfId="0" applyFont="1" applyAlignment="1">
      <alignment vertical="top"/>
    </xf>
    <xf numFmtId="0" fontId="1" fillId="0" borderId="0" xfId="0" applyFont="1" applyAlignment="1">
      <alignment vertical="top"/>
    </xf>
    <xf numFmtId="0" fontId="7" fillId="0" borderId="0" xfId="1" applyFont="1"/>
    <xf numFmtId="0" fontId="9" fillId="0" borderId="0" xfId="2" applyFont="1"/>
    <xf numFmtId="0" fontId="4" fillId="0" borderId="0" xfId="3" applyFont="1"/>
    <xf numFmtId="0" fontId="10" fillId="0" borderId="2" xfId="2" applyFont="1" applyBorder="1"/>
    <xf numFmtId="0" fontId="10" fillId="0" borderId="3" xfId="2" applyFont="1" applyBorder="1"/>
    <xf numFmtId="0" fontId="9" fillId="0" borderId="3" xfId="2" applyFont="1" applyBorder="1"/>
    <xf numFmtId="0" fontId="9" fillId="0" borderId="4" xfId="2" applyFont="1" applyBorder="1"/>
    <xf numFmtId="0" fontId="10" fillId="0" borderId="5" xfId="2" applyFont="1" applyBorder="1"/>
    <xf numFmtId="0" fontId="10" fillId="0" borderId="0" xfId="2" applyFont="1" applyAlignment="1">
      <alignment horizontal="center"/>
    </xf>
    <xf numFmtId="0" fontId="10" fillId="0" borderId="6" xfId="2" applyFont="1" applyBorder="1" applyAlignment="1">
      <alignment horizontal="center"/>
    </xf>
    <xf numFmtId="0" fontId="9" fillId="0" borderId="5" xfId="2" applyFont="1" applyBorder="1"/>
    <xf numFmtId="0" fontId="9" fillId="0" borderId="9" xfId="2" applyFont="1" applyBorder="1"/>
    <xf numFmtId="0" fontId="10" fillId="0" borderId="3" xfId="2" applyFont="1" applyBorder="1" applyAlignment="1">
      <alignment horizontal="left"/>
    </xf>
    <xf numFmtId="0" fontId="10" fillId="0" borderId="4" xfId="2" applyFont="1" applyBorder="1" applyAlignment="1">
      <alignment horizontal="center"/>
    </xf>
    <xf numFmtId="164" fontId="9" fillId="0" borderId="0" xfId="2" applyNumberFormat="1" applyFont="1"/>
    <xf numFmtId="0" fontId="10" fillId="0" borderId="2" xfId="2" quotePrefix="1" applyFont="1" applyBorder="1"/>
    <xf numFmtId="0" fontId="10" fillId="0" borderId="5" xfId="2" quotePrefix="1" applyFont="1" applyBorder="1"/>
    <xf numFmtId="0" fontId="9" fillId="0" borderId="6" xfId="2" applyFont="1" applyBorder="1"/>
    <xf numFmtId="3" fontId="9" fillId="0" borderId="0" xfId="2" applyNumberFormat="1" applyFont="1"/>
    <xf numFmtId="0" fontId="1" fillId="0" borderId="0" xfId="0" applyFont="1" applyAlignment="1">
      <alignment horizontal="left" vertical="top" wrapText="1"/>
    </xf>
    <xf numFmtId="0" fontId="11" fillId="0" borderId="0" xfId="0" applyFont="1"/>
    <xf numFmtId="165" fontId="9" fillId="0" borderId="0" xfId="4" applyNumberFormat="1" applyFont="1" applyFill="1" applyBorder="1"/>
    <xf numFmtId="165" fontId="9" fillId="0" borderId="6" xfId="4" applyNumberFormat="1" applyFont="1" applyFill="1" applyBorder="1"/>
    <xf numFmtId="165" fontId="9" fillId="0" borderId="7" xfId="4" applyNumberFormat="1" applyFont="1" applyFill="1" applyBorder="1"/>
    <xf numFmtId="165" fontId="9" fillId="0" borderId="8" xfId="4" applyNumberFormat="1" applyFont="1" applyFill="1" applyBorder="1"/>
    <xf numFmtId="165" fontId="9" fillId="0" borderId="10" xfId="4" applyNumberFormat="1" applyFont="1" applyFill="1" applyBorder="1"/>
    <xf numFmtId="165" fontId="9" fillId="0" borderId="11" xfId="4" applyNumberFormat="1" applyFont="1" applyFill="1" applyBorder="1"/>
    <xf numFmtId="10" fontId="9" fillId="0" borderId="6" xfId="5" applyNumberFormat="1" applyFont="1" applyFill="1" applyBorder="1"/>
    <xf numFmtId="10" fontId="9" fillId="0" borderId="8" xfId="5" applyNumberFormat="1" applyFont="1" applyFill="1" applyBorder="1"/>
    <xf numFmtId="10" fontId="9" fillId="0" borderId="11" xfId="5" applyNumberFormat="1" applyFont="1" applyFill="1" applyBorder="1"/>
    <xf numFmtId="164" fontId="9" fillId="0" borderId="12" xfId="2" applyNumberFormat="1" applyFont="1" applyBorder="1"/>
    <xf numFmtId="164" fontId="10" fillId="0" borderId="0" xfId="2" applyNumberFormat="1" applyFont="1" applyAlignment="1">
      <alignment horizontal="center"/>
    </xf>
    <xf numFmtId="166" fontId="9" fillId="0" borderId="0" xfId="2" applyNumberFormat="1" applyFont="1"/>
    <xf numFmtId="166" fontId="9" fillId="0" borderId="6" xfId="2" applyNumberFormat="1" applyFont="1" applyBorder="1"/>
    <xf numFmtId="3" fontId="9" fillId="0" borderId="13" xfId="2" applyNumberFormat="1" applyFont="1" applyBorder="1"/>
    <xf numFmtId="164" fontId="9" fillId="0" borderId="13" xfId="2" applyNumberFormat="1" applyFont="1" applyBorder="1"/>
    <xf numFmtId="0" fontId="9" fillId="0" borderId="13" xfId="2" applyFont="1" applyBorder="1"/>
    <xf numFmtId="0" fontId="9" fillId="0" borderId="14" xfId="2" applyFont="1" applyBorder="1"/>
    <xf numFmtId="167" fontId="9" fillId="0" borderId="0" xfId="2" applyNumberFormat="1" applyFont="1"/>
    <xf numFmtId="168" fontId="9" fillId="0" borderId="0" xfId="2" applyNumberFormat="1" applyFont="1"/>
    <xf numFmtId="169" fontId="9" fillId="0" borderId="6" xfId="2" applyNumberFormat="1" applyFont="1" applyBorder="1"/>
    <xf numFmtId="169" fontId="9" fillId="0" borderId="14" xfId="2" applyNumberFormat="1" applyFont="1" applyBorder="1"/>
    <xf numFmtId="17" fontId="9" fillId="0" borderId="5" xfId="2" quotePrefix="1" applyNumberFormat="1" applyFont="1" applyBorder="1"/>
    <xf numFmtId="169" fontId="9" fillId="0" borderId="0" xfId="2" applyNumberFormat="1" applyFont="1"/>
    <xf numFmtId="169" fontId="9" fillId="0" borderId="15" xfId="2" applyNumberFormat="1" applyFont="1" applyBorder="1"/>
    <xf numFmtId="10" fontId="9" fillId="0" borderId="16" xfId="5" applyNumberFormat="1" applyFont="1" applyFill="1" applyBorder="1"/>
    <xf numFmtId="0" fontId="9" fillId="0" borderId="5" xfId="2" quotePrefix="1" applyFont="1" applyBorder="1"/>
    <xf numFmtId="169" fontId="9" fillId="0" borderId="10" xfId="2" applyNumberFormat="1" applyFont="1" applyBorder="1"/>
    <xf numFmtId="169" fontId="9" fillId="0" borderId="17" xfId="2" applyNumberFormat="1" applyFont="1" applyBorder="1"/>
    <xf numFmtId="10" fontId="9" fillId="0" borderId="18" xfId="5" applyNumberFormat="1" applyFont="1" applyFill="1" applyBorder="1"/>
    <xf numFmtId="0" fontId="1" fillId="0" borderId="0" xfId="0" applyFont="1" applyAlignment="1">
      <alignment horizontal="left" vertical="top" wrapText="1"/>
    </xf>
    <xf numFmtId="0" fontId="4" fillId="0" borderId="0" xfId="0" applyFont="1" applyAlignment="1">
      <alignment horizontal="center" wrapText="1"/>
    </xf>
    <xf numFmtId="0" fontId="1" fillId="0" borderId="0" xfId="0" applyFont="1" applyAlignment="1">
      <alignment horizontal="center" wrapText="1"/>
    </xf>
    <xf numFmtId="0" fontId="2" fillId="0" borderId="0" xfId="0" applyFont="1" applyAlignment="1">
      <alignment horizontal="center" wrapText="1"/>
    </xf>
    <xf numFmtId="0" fontId="3" fillId="0" borderId="0" xfId="0" applyFont="1" applyAlignment="1">
      <alignment horizontal="center" wrapText="1"/>
    </xf>
    <xf numFmtId="0" fontId="2" fillId="0" borderId="0" xfId="0" applyFon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0" fontId="10" fillId="0" borderId="0" xfId="2" applyFont="1" applyAlignment="1">
      <alignment horizontal="center"/>
    </xf>
    <xf numFmtId="0" fontId="10" fillId="0" borderId="6" xfId="2" applyFont="1" applyBorder="1" applyAlignment="1">
      <alignment horizontal="center"/>
    </xf>
  </cellXfs>
  <cellStyles count="6">
    <cellStyle name="Comma 2" xfId="4" xr:uid="{39091BB0-5DD5-44D1-A1A0-A27B1E789CC9}"/>
    <cellStyle name="Normal" xfId="0" builtinId="0"/>
    <cellStyle name="Normal 13 2" xfId="1" xr:uid="{AEFC3E82-DF77-4047-9D9A-8AC301AA08F5}"/>
    <cellStyle name="Normal 14 2" xfId="3" xr:uid="{55DBD278-65C8-4B08-9D4C-A1669887F00F}"/>
    <cellStyle name="Normal 2" xfId="2" xr:uid="{75D8294D-C848-48CF-86A1-909FCE8DF32B}"/>
    <cellStyle name="Percent 2" xfId="5" xr:uid="{48CE0206-9467-4544-BDCC-F086D1DA6E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styles" Target="styles.xml"/><Relationship Id="rId10"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EXCEL/JOINTPLT/COLUMBIA/COLUMBIABILL/JUNE/June%20Bil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ge-cluster_data_server/data/PGADJ/MGEoct9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ge-cluster_data_server/data/PSCPGA/mge0900pg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ge-cluster_data_server/data/GACCOUNT/Risk_Mgt_Gas/GPosition%20Rpt.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Fuel_Cost_Report/2001%20January%20Fuel%20Surcharge/2000%20Fuel%20Credit/UR109_Y2K_Fuel_Credit_Run_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ge-cluster_data_server/data/PSCPGA/mge0800pg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ublic/JFROEHLICH/UR-117-2012/SupportInfo/PSCW-2012/2012ReconciliationAudit/2012%20FRA%20Response%204.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ata/Restricted/Fuel%20Budgets/2015%20UR-120/Support/PSCW-2015/FRA/Initial%20Data%20Request/FRA-22%20Emission%20Chemical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Data/Restricted/Fuel%20Budgets/2022%20UR-124/Support/PSCW-2022/FRA/Eiter-1/MGE-Response-Data%20Request-PSC-Eiter-1.1,%202,%20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BILL"/>
      <sheetName val="INVOICE"/>
      <sheetName val="FAXWPS"/>
      <sheetName val="Module1"/>
      <sheetName val="FAXMAG"/>
      <sheetName val="12 MONTHS"/>
      <sheetName val="SJE071"/>
      <sheetName val="SJE073"/>
      <sheetName val="DEPOSIT&amp;INVENTORY"/>
      <sheetName val="AIR EMISSION"/>
      <sheetName val="BILLING"/>
      <sheetName val="Module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A Calc"/>
      <sheetName val="Sheet G3"/>
      <sheetName val="Sheet G3.01"/>
      <sheetName val="Gas Supply Rate Sht G 3.01"/>
      <sheetName val="Gas Dist Rate Sht G 3"/>
      <sheetName val="Nat Gas Service Cost Components"/>
      <sheetName val="Transition Chg - Components"/>
      <sheetName val="Kris Input - MGE"/>
      <sheetName val="B"/>
      <sheetName val="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v"/>
      <sheetName val="Prior"/>
      <sheetName val="Unbill"/>
      <sheetName val="TuSum"/>
      <sheetName val="InputEst"/>
      <sheetName val="Intro"/>
      <sheetName val="A"/>
      <sheetName val="B"/>
      <sheetName val="C"/>
      <sheetName val="C1"/>
      <sheetName val="D"/>
      <sheetName val="E"/>
      <sheetName val="E1"/>
      <sheetName val="E (2)"/>
      <sheetName val="E1 (2)"/>
      <sheetName val="E (3)"/>
      <sheetName val="E1 (3)"/>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x"/>
      <sheetName val="Gas Trans"/>
      <sheetName val="Open Positions - Gas Supply"/>
      <sheetName val="Net Exposure"/>
      <sheetName val="Summary"/>
      <sheetName val="184 -Tenaska"/>
      <sheetName val="184 -BP"/>
      <sheetName val="EDF Acct"/>
      <sheetName val="Closed Financial Positions"/>
      <sheetName val="Closed Physical Positions"/>
      <sheetName val="Closed Pos (Apr04 thru Mar05)  "/>
    </sheetNames>
    <sheetDataSet>
      <sheetData sheetId="0"/>
      <sheetData sheetId="1"/>
      <sheetData sheetId="2">
        <row r="2">
          <cell r="W2">
            <v>38798</v>
          </cell>
        </row>
      </sheetData>
      <sheetData sheetId="3"/>
      <sheetData sheetId="4"/>
      <sheetData sheetId="5"/>
      <sheetData sheetId="6"/>
      <sheetData sheetId="7"/>
      <sheetData sheetId="8"/>
      <sheetData sheetId="9"/>
      <sheetData sheetId="10"/>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nt Menu"/>
      <sheetName val="Adjustments"/>
      <sheetName val="Staff Adjusted Fuel Rules Sales"/>
      <sheetName val="Unit Generation Forecast"/>
      <sheetName val="Unit MMBTU Forecast"/>
      <sheetName val="UR-109 Fuel Rule Costs"/>
      <sheetName val="Forecast Fuel Costs"/>
      <sheetName val="Actual Fuel Costs"/>
      <sheetName val="Fuel Rules Report"/>
      <sheetName val="Misc"/>
      <sheetName val="Misc (2)"/>
      <sheetName val="Order Reporting Tables"/>
      <sheetName val="Summary Report - Fuel Rules"/>
      <sheetName val="Adjusted Sales"/>
      <sheetName val="Monthly Fuel Costs"/>
      <sheetName val="Monthly Fuel Costs-2"/>
      <sheetName val="Surcharge Calculation"/>
      <sheetName val="Module1"/>
      <sheetName val="Module2"/>
      <sheetName val="Module3"/>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sheetData sheetId="13" refreshError="1"/>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T-Rates"/>
      <sheetName val="Recov"/>
      <sheetName val="Prior"/>
      <sheetName val="Unbill"/>
      <sheetName val="TuSum"/>
      <sheetName val="InputEst"/>
      <sheetName val="Intro"/>
      <sheetName val="A"/>
      <sheetName val="B"/>
      <sheetName val="C"/>
      <sheetName val="C1"/>
      <sheetName val="D"/>
      <sheetName val="F1.1"/>
      <sheetName val="F1.2"/>
      <sheetName val="F1.3"/>
      <sheetName val="Sheet G3"/>
      <sheetName val="Sheet G3.01"/>
      <sheetName val="Kris Input - MGE"/>
      <sheetName val="Resid"/>
      <sheetName val="CBS Cashout"/>
      <sheetName val="AutoMod"/>
      <sheetName val="Print Mods"/>
      <sheetName val="GotoMod"/>
    </sheetNames>
    <sheetDataSet>
      <sheetData sheetId="0" refreshError="1"/>
      <sheetData sheetId="1" refreshError="1"/>
      <sheetData sheetId="2"/>
      <sheetData sheetId="3" refreshError="1"/>
      <sheetData sheetId="4"/>
      <sheetData sheetId="5">
        <row r="4">
          <cell r="C4" t="str">
            <v>August, 2000</v>
          </cell>
        </row>
      </sheetData>
      <sheetData sheetId="6">
        <row r="13">
          <cell r="D13" t="str">
            <v>Madison Gas &amp; Electric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2 Variances"/>
      <sheetName val="FRA-26 EFORs"/>
      <sheetName val="FRA-29 Hedge Contracts"/>
      <sheetName val="FRA-30 Hedge Limits"/>
      <sheetName val="FRA-31(1) ERMP Costs"/>
      <sheetName val="FRA-31(2) Elec OTC Premiums"/>
    </sheetNames>
    <sheetDataSet>
      <sheetData sheetId="0"/>
      <sheetData sheetId="1"/>
      <sheetData sheetId="2" refreshError="1"/>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A-5 Variances"/>
      <sheetName val="FRA-24 MISO MW Set-Point Values"/>
      <sheetName val="FRA-25 RT LMPs"/>
      <sheetName val="FRA-22(1) Columbia Chems"/>
      <sheetName val="FRA-22(2) ERGS Chems"/>
      <sheetName val="FRA-22(3) WCCF Chems"/>
    </sheetNames>
    <sheetDataSet>
      <sheetData sheetId="0"/>
      <sheetData sheetId="1" refreshError="1"/>
      <sheetData sheetId="2" refreshError="1"/>
      <sheetData sheetId="3"/>
      <sheetData sheetId="4"/>
      <sheetData sheetId="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ACE-1.1"/>
      <sheetName val="ACE-1.2"/>
      <sheetName val="ACE-1.6"/>
    </sheetNames>
    <sheetDataSet>
      <sheetData sheetId="0"/>
      <sheetData sheetId="1"/>
      <sheetData sheetId="2">
        <row r="15">
          <cell r="E15">
            <v>3.2719999999999999E-2</v>
          </cell>
          <cell r="H15">
            <v>3.5639999999999998E-2</v>
          </cell>
        </row>
        <row r="16">
          <cell r="E16">
            <v>3.2719999999999999E-2</v>
          </cell>
          <cell r="H16">
            <v>3.5869999999999999E-2</v>
          </cell>
        </row>
        <row r="32">
          <cell r="E32">
            <v>3.7760000000000002E-2</v>
          </cell>
          <cell r="H32">
            <v>4.4159999999999998E-2</v>
          </cell>
        </row>
        <row r="33">
          <cell r="E33">
            <v>3.7760000000000002E-2</v>
          </cell>
          <cell r="H33">
            <v>4.283E-2</v>
          </cell>
        </row>
        <row r="49">
          <cell r="E49">
            <v>1.251E-2</v>
          </cell>
          <cell r="H49">
            <v>1.349E-2</v>
          </cell>
        </row>
        <row r="50">
          <cell r="E50">
            <v>1.251E-2</v>
          </cell>
          <cell r="H50">
            <v>1.282E-2</v>
          </cell>
        </row>
        <row r="66">
          <cell r="E66">
            <v>2.9499999999999999E-3</v>
          </cell>
          <cell r="H66">
            <v>3.0799999999999998E-3</v>
          </cell>
        </row>
        <row r="67">
          <cell r="E67">
            <v>2.9499999999999999E-3</v>
          </cell>
          <cell r="H67">
            <v>2.7100000000000002E-3</v>
          </cell>
        </row>
        <row r="83">
          <cell r="E83">
            <v>2.97E-3</v>
          </cell>
          <cell r="H83">
            <v>3.0999999999999999E-3</v>
          </cell>
        </row>
        <row r="84">
          <cell r="E84">
            <v>2.97E-3</v>
          </cell>
          <cell r="H84">
            <v>2.63E-3</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F9720-D143-4A99-AF1C-DE408A3DFB89}">
  <sheetPr>
    <pageSetUpPr fitToPage="1"/>
  </sheetPr>
  <dimension ref="A1:I54"/>
  <sheetViews>
    <sheetView zoomScaleNormal="100" workbookViewId="0"/>
  </sheetViews>
  <sheetFormatPr baseColWidth="10" defaultColWidth="9.1640625" defaultRowHeight="15" x14ac:dyDescent="0.2"/>
  <cols>
    <col min="1" max="1" width="17.5" style="1" customWidth="1"/>
    <col min="2" max="2" width="12" style="1" customWidth="1"/>
    <col min="3" max="3" width="9.5" style="1" bestFit="1" customWidth="1"/>
    <col min="4" max="8" width="9.1640625" style="1"/>
    <col min="9" max="9" width="12.5" style="1" customWidth="1"/>
    <col min="10" max="10" width="4" style="1" customWidth="1"/>
    <col min="11" max="16384" width="9.1640625" style="1"/>
  </cols>
  <sheetData>
    <row r="1" spans="1:9" x14ac:dyDescent="0.2">
      <c r="A1" s="30"/>
    </row>
    <row r="2" spans="1:9" x14ac:dyDescent="0.2">
      <c r="A2" s="61" t="s">
        <v>0</v>
      </c>
      <c r="B2" s="62"/>
      <c r="C2" s="62"/>
      <c r="D2" s="62"/>
      <c r="E2" s="62"/>
      <c r="F2" s="62"/>
      <c r="G2" s="62"/>
      <c r="H2" s="62"/>
      <c r="I2" s="62"/>
    </row>
    <row r="3" spans="1:9" x14ac:dyDescent="0.2">
      <c r="A3" s="3"/>
      <c r="B3" s="4"/>
      <c r="C3" s="4"/>
      <c r="D3" s="4"/>
      <c r="E3" s="4"/>
      <c r="F3" s="4"/>
      <c r="G3" s="4"/>
      <c r="H3" s="4"/>
      <c r="I3" s="4"/>
    </row>
    <row r="4" spans="1:9" ht="16" x14ac:dyDescent="0.2">
      <c r="A4" s="63" t="s">
        <v>98</v>
      </c>
      <c r="B4" s="64"/>
      <c r="C4" s="64"/>
      <c r="D4" s="64"/>
      <c r="E4" s="64"/>
      <c r="F4" s="64"/>
      <c r="G4" s="64"/>
      <c r="H4" s="64"/>
      <c r="I4" s="64"/>
    </row>
    <row r="5" spans="1:9" x14ac:dyDescent="0.2">
      <c r="A5" s="3"/>
      <c r="B5" s="4"/>
      <c r="C5" s="4"/>
      <c r="D5" s="4"/>
      <c r="E5" s="4"/>
      <c r="F5" s="4"/>
      <c r="G5" s="4"/>
      <c r="H5" s="4"/>
      <c r="I5" s="4"/>
    </row>
    <row r="6" spans="1:9" x14ac:dyDescent="0.2">
      <c r="A6" s="5" t="s">
        <v>1</v>
      </c>
      <c r="B6" s="4"/>
      <c r="C6" s="1" t="s">
        <v>7</v>
      </c>
      <c r="D6" s="4"/>
      <c r="E6" s="4"/>
      <c r="F6" s="4"/>
      <c r="G6" s="4"/>
      <c r="H6" s="4"/>
      <c r="I6" s="4"/>
    </row>
    <row r="7" spans="1:9" x14ac:dyDescent="0.2">
      <c r="A7" s="5" t="s">
        <v>6</v>
      </c>
      <c r="B7" s="4"/>
      <c r="C7" s="2" t="s">
        <v>8</v>
      </c>
      <c r="D7" s="4"/>
      <c r="E7" s="4"/>
      <c r="F7" s="4"/>
      <c r="G7" s="4"/>
      <c r="H7" s="4"/>
      <c r="I7" s="4"/>
    </row>
    <row r="8" spans="1:9" x14ac:dyDescent="0.2">
      <c r="A8" s="5" t="s">
        <v>2</v>
      </c>
      <c r="B8" s="4"/>
      <c r="C8" s="1" t="s">
        <v>9</v>
      </c>
      <c r="D8" s="4"/>
      <c r="E8" s="4"/>
      <c r="F8" s="4"/>
      <c r="G8" s="4"/>
      <c r="H8" s="4"/>
      <c r="I8" s="4"/>
    </row>
    <row r="9" spans="1:9" x14ac:dyDescent="0.2">
      <c r="A9" s="5" t="s">
        <v>3</v>
      </c>
      <c r="B9" s="4"/>
      <c r="C9" s="2" t="s">
        <v>56</v>
      </c>
      <c r="D9" s="4"/>
      <c r="E9" s="4"/>
      <c r="F9" s="4"/>
      <c r="G9" s="4"/>
      <c r="H9" s="4"/>
      <c r="I9" s="4"/>
    </row>
    <row r="10" spans="1:9" x14ac:dyDescent="0.2">
      <c r="A10" s="5" t="s">
        <v>4</v>
      </c>
      <c r="B10" s="4"/>
      <c r="C10" s="1" t="s">
        <v>10</v>
      </c>
      <c r="D10" s="4"/>
      <c r="E10" s="4"/>
      <c r="F10" s="4"/>
      <c r="G10" s="4"/>
      <c r="H10" s="4"/>
      <c r="I10" s="4"/>
    </row>
    <row r="11" spans="1:9" ht="16" thickBot="1" x14ac:dyDescent="0.25">
      <c r="A11" s="6"/>
      <c r="B11" s="6"/>
      <c r="C11" s="6"/>
      <c r="D11" s="6"/>
      <c r="E11" s="6"/>
      <c r="F11" s="6"/>
      <c r="G11" s="6"/>
      <c r="H11" s="6"/>
      <c r="I11" s="6"/>
    </row>
    <row r="12" spans="1:9" ht="16" thickTop="1" x14ac:dyDescent="0.2"/>
    <row r="13" spans="1:9" ht="116.25" customHeight="1" x14ac:dyDescent="0.2">
      <c r="A13" s="8" t="s">
        <v>54</v>
      </c>
      <c r="B13" s="65" t="s">
        <v>11</v>
      </c>
      <c r="C13" s="66"/>
      <c r="D13" s="66"/>
      <c r="E13" s="66"/>
      <c r="F13" s="66"/>
      <c r="G13" s="66"/>
      <c r="H13" s="66"/>
      <c r="I13" s="66"/>
    </row>
    <row r="14" spans="1:9" x14ac:dyDescent="0.2">
      <c r="B14" s="5"/>
      <c r="C14" s="5"/>
      <c r="D14" s="5"/>
      <c r="E14" s="5"/>
      <c r="F14" s="5"/>
    </row>
    <row r="15" spans="1:9" x14ac:dyDescent="0.2">
      <c r="A15" s="7" t="s">
        <v>5</v>
      </c>
    </row>
    <row r="16" spans="1:9" x14ac:dyDescent="0.2">
      <c r="A16" s="9"/>
      <c r="B16" s="9"/>
      <c r="C16" s="9"/>
      <c r="D16" s="9"/>
      <c r="E16" s="9"/>
      <c r="F16" s="9"/>
      <c r="G16" s="9"/>
      <c r="H16" s="9"/>
      <c r="I16" s="9"/>
    </row>
    <row r="17" spans="1:9" ht="126" customHeight="1" x14ac:dyDescent="0.2">
      <c r="A17" s="60" t="s">
        <v>92</v>
      </c>
      <c r="B17" s="60"/>
      <c r="C17" s="60"/>
      <c r="D17" s="60"/>
      <c r="E17" s="60"/>
      <c r="F17" s="60"/>
      <c r="G17" s="60"/>
      <c r="H17" s="60"/>
      <c r="I17" s="60"/>
    </row>
    <row r="20" spans="1:9" ht="149.25" customHeight="1" x14ac:dyDescent="0.2">
      <c r="A20" s="8" t="s">
        <v>55</v>
      </c>
      <c r="B20" s="65" t="s">
        <v>97</v>
      </c>
      <c r="C20" s="66"/>
      <c r="D20" s="66"/>
      <c r="E20" s="66"/>
      <c r="F20" s="66"/>
      <c r="G20" s="66"/>
      <c r="H20" s="66"/>
      <c r="I20" s="66"/>
    </row>
    <row r="21" spans="1:9" x14ac:dyDescent="0.2">
      <c r="B21" s="5"/>
      <c r="C21" s="5"/>
      <c r="D21" s="5"/>
      <c r="E21" s="5"/>
      <c r="F21" s="5"/>
    </row>
    <row r="22" spans="1:9" x14ac:dyDescent="0.2">
      <c r="A22" s="7" t="s">
        <v>5</v>
      </c>
    </row>
    <row r="23" spans="1:9" x14ac:dyDescent="0.2">
      <c r="A23" s="9"/>
      <c r="B23" s="9"/>
      <c r="C23" s="9"/>
      <c r="D23" s="9"/>
      <c r="E23" s="9"/>
      <c r="F23" s="9"/>
      <c r="G23" s="9"/>
      <c r="H23" s="9"/>
      <c r="I23" s="9"/>
    </row>
    <row r="24" spans="1:9" ht="21" customHeight="1" x14ac:dyDescent="0.2">
      <c r="A24" s="60" t="s">
        <v>53</v>
      </c>
      <c r="B24" s="60"/>
      <c r="C24" s="60"/>
      <c r="D24" s="60"/>
      <c r="E24" s="60"/>
      <c r="F24" s="60"/>
      <c r="G24" s="60"/>
      <c r="H24" s="60"/>
      <c r="I24" s="60"/>
    </row>
    <row r="25" spans="1:9" x14ac:dyDescent="0.2">
      <c r="A25" s="29"/>
      <c r="B25" s="29"/>
      <c r="C25" s="29"/>
      <c r="D25" s="29"/>
      <c r="E25" s="29"/>
      <c r="F25" s="29"/>
      <c r="G25" s="29"/>
      <c r="H25" s="29"/>
      <c r="I25" s="29"/>
    </row>
    <row r="26" spans="1:9" ht="112.5" customHeight="1" x14ac:dyDescent="0.2">
      <c r="A26" s="60" t="s">
        <v>93</v>
      </c>
      <c r="B26" s="67"/>
      <c r="C26" s="67"/>
      <c r="D26" s="67"/>
      <c r="E26" s="67"/>
      <c r="F26" s="67"/>
      <c r="G26" s="67"/>
      <c r="H26" s="67"/>
      <c r="I26" s="67"/>
    </row>
    <row r="29" spans="1:9" ht="35.25" customHeight="1" x14ac:dyDescent="0.2">
      <c r="A29" s="8" t="s">
        <v>57</v>
      </c>
      <c r="B29" s="65" t="s">
        <v>58</v>
      </c>
      <c r="C29" s="66"/>
      <c r="D29" s="66"/>
      <c r="E29" s="66"/>
      <c r="F29" s="66"/>
      <c r="G29" s="66"/>
      <c r="H29" s="66"/>
      <c r="I29" s="66"/>
    </row>
    <row r="30" spans="1:9" x14ac:dyDescent="0.2">
      <c r="B30" s="5"/>
      <c r="C30" s="5"/>
      <c r="D30" s="5"/>
      <c r="E30" s="5"/>
      <c r="F30" s="5"/>
    </row>
    <row r="31" spans="1:9" x14ac:dyDescent="0.2">
      <c r="A31" s="7" t="s">
        <v>5</v>
      </c>
    </row>
    <row r="32" spans="1:9" x14ac:dyDescent="0.2">
      <c r="A32" s="9"/>
      <c r="B32" s="9"/>
      <c r="C32" s="9"/>
      <c r="D32" s="9"/>
      <c r="E32" s="9"/>
      <c r="F32" s="9"/>
      <c r="G32" s="9"/>
      <c r="H32" s="9"/>
      <c r="I32" s="9"/>
    </row>
    <row r="33" spans="1:9" x14ac:dyDescent="0.2">
      <c r="A33" s="60" t="s">
        <v>94</v>
      </c>
      <c r="B33" s="60"/>
      <c r="C33" s="60"/>
      <c r="D33" s="60"/>
      <c r="E33" s="60"/>
      <c r="F33" s="60"/>
      <c r="G33" s="60"/>
      <c r="H33" s="60"/>
      <c r="I33" s="60"/>
    </row>
    <row r="36" spans="1:9" ht="132.75" customHeight="1" x14ac:dyDescent="0.2">
      <c r="A36" s="8" t="s">
        <v>59</v>
      </c>
      <c r="B36" s="65" t="s">
        <v>60</v>
      </c>
      <c r="C36" s="66"/>
      <c r="D36" s="66"/>
      <c r="E36" s="66"/>
      <c r="F36" s="66"/>
      <c r="G36" s="66"/>
      <c r="H36" s="66"/>
      <c r="I36" s="66"/>
    </row>
    <row r="37" spans="1:9" x14ac:dyDescent="0.2">
      <c r="B37" s="5"/>
      <c r="C37" s="5"/>
      <c r="D37" s="5"/>
      <c r="E37" s="5"/>
      <c r="F37" s="5"/>
    </row>
    <row r="38" spans="1:9" x14ac:dyDescent="0.2">
      <c r="A38" s="7" t="s">
        <v>5</v>
      </c>
    </row>
    <row r="39" spans="1:9" x14ac:dyDescent="0.2">
      <c r="A39" s="9"/>
      <c r="B39" s="9"/>
      <c r="C39" s="9"/>
      <c r="D39" s="9"/>
      <c r="E39" s="9"/>
      <c r="F39" s="9"/>
      <c r="G39" s="9"/>
      <c r="H39" s="9"/>
      <c r="I39" s="9"/>
    </row>
    <row r="40" spans="1:9" ht="36.75" customHeight="1" x14ac:dyDescent="0.2">
      <c r="A40" s="60" t="s">
        <v>95</v>
      </c>
      <c r="B40" s="60"/>
      <c r="C40" s="60"/>
      <c r="D40" s="60"/>
      <c r="E40" s="60"/>
      <c r="F40" s="60"/>
      <c r="G40" s="60"/>
      <c r="H40" s="60"/>
      <c r="I40" s="60"/>
    </row>
    <row r="43" spans="1:9" ht="38.25" customHeight="1" x14ac:dyDescent="0.2">
      <c r="A43" s="8" t="s">
        <v>61</v>
      </c>
      <c r="B43" s="65" t="s">
        <v>62</v>
      </c>
      <c r="C43" s="66"/>
      <c r="D43" s="66"/>
      <c r="E43" s="66"/>
      <c r="F43" s="66"/>
      <c r="G43" s="66"/>
      <c r="H43" s="66"/>
      <c r="I43" s="66"/>
    </row>
    <row r="44" spans="1:9" x14ac:dyDescent="0.2">
      <c r="B44" s="5"/>
      <c r="C44" s="5"/>
      <c r="D44" s="5"/>
      <c r="E44" s="5"/>
      <c r="F44" s="5"/>
    </row>
    <row r="45" spans="1:9" x14ac:dyDescent="0.2">
      <c r="A45" s="7" t="s">
        <v>5</v>
      </c>
    </row>
    <row r="46" spans="1:9" x14ac:dyDescent="0.2">
      <c r="A46" s="9"/>
      <c r="B46" s="9"/>
      <c r="C46" s="9"/>
      <c r="D46" s="9"/>
      <c r="E46" s="9"/>
      <c r="F46" s="9"/>
      <c r="G46" s="9"/>
      <c r="H46" s="9"/>
      <c r="I46" s="9"/>
    </row>
    <row r="47" spans="1:9" ht="35.25" customHeight="1" x14ac:dyDescent="0.2">
      <c r="A47" s="60" t="s">
        <v>96</v>
      </c>
      <c r="B47" s="60"/>
      <c r="C47" s="60"/>
      <c r="D47" s="60"/>
      <c r="E47" s="60"/>
      <c r="F47" s="60"/>
      <c r="G47" s="60"/>
      <c r="H47" s="60"/>
      <c r="I47" s="60"/>
    </row>
    <row r="50" spans="1:9" ht="134.25" customHeight="1" x14ac:dyDescent="0.2">
      <c r="A50" s="8" t="s">
        <v>63</v>
      </c>
      <c r="B50" s="65" t="s">
        <v>64</v>
      </c>
      <c r="C50" s="66"/>
      <c r="D50" s="66"/>
      <c r="E50" s="66"/>
      <c r="F50" s="66"/>
      <c r="G50" s="66"/>
      <c r="H50" s="66"/>
      <c r="I50" s="66"/>
    </row>
    <row r="51" spans="1:9" x14ac:dyDescent="0.2">
      <c r="B51" s="5"/>
      <c r="C51" s="5"/>
      <c r="D51" s="5"/>
      <c r="E51" s="5"/>
      <c r="F51" s="5"/>
    </row>
    <row r="52" spans="1:9" x14ac:dyDescent="0.2">
      <c r="A52" s="7" t="s">
        <v>5</v>
      </c>
    </row>
    <row r="53" spans="1:9" x14ac:dyDescent="0.2">
      <c r="A53" s="9"/>
      <c r="B53" s="9"/>
      <c r="C53" s="9"/>
      <c r="D53" s="9"/>
      <c r="E53" s="9"/>
      <c r="F53" s="9"/>
      <c r="G53" s="9"/>
      <c r="H53" s="9"/>
      <c r="I53" s="9"/>
    </row>
    <row r="54" spans="1:9" ht="21.75" customHeight="1" x14ac:dyDescent="0.2">
      <c r="A54" s="60" t="s">
        <v>65</v>
      </c>
      <c r="B54" s="60"/>
      <c r="C54" s="60"/>
      <c r="D54" s="60"/>
      <c r="E54" s="60"/>
      <c r="F54" s="60"/>
      <c r="G54" s="60"/>
      <c r="H54" s="60"/>
      <c r="I54" s="60"/>
    </row>
  </sheetData>
  <mergeCells count="15">
    <mergeCell ref="A47:I47"/>
    <mergeCell ref="B50:I50"/>
    <mergeCell ref="A54:I54"/>
    <mergeCell ref="A26:I26"/>
    <mergeCell ref="B29:I29"/>
    <mergeCell ref="A33:I33"/>
    <mergeCell ref="B36:I36"/>
    <mergeCell ref="A40:I40"/>
    <mergeCell ref="B43:I43"/>
    <mergeCell ref="A24:I24"/>
    <mergeCell ref="A17:I17"/>
    <mergeCell ref="A2:I2"/>
    <mergeCell ref="A4:I4"/>
    <mergeCell ref="B13:I13"/>
    <mergeCell ref="B20:I20"/>
  </mergeCells>
  <pageMargins left="0.5" right="0.5" top="0.5" bottom="0.75" header="0" footer="0.25"/>
  <pageSetup scale="94" fitToHeight="0" orientation="portrait" r:id="rId1"/>
  <headerFooter>
    <oddFooter>&amp;L&amp;F     &amp;A</oddFooter>
  </headerFooter>
  <rowBreaks count="3" manualBreakCount="3">
    <brk id="18" max="9" man="1"/>
    <brk id="34" max="9" man="1"/>
    <brk id="48" max="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4D2D3-85CB-4ADF-8E92-54D237D95E70}">
  <sheetPr>
    <pageSetUpPr fitToPage="1"/>
  </sheetPr>
  <dimension ref="A1:M40"/>
  <sheetViews>
    <sheetView tabSelected="1" topLeftCell="A13" zoomScaleNormal="100" workbookViewId="0"/>
  </sheetViews>
  <sheetFormatPr baseColWidth="10" defaultColWidth="10" defaultRowHeight="15" x14ac:dyDescent="0.2"/>
  <cols>
    <col min="1" max="1" width="21" style="11" customWidth="1"/>
    <col min="2" max="2" width="14.83203125" style="11" bestFit="1" customWidth="1"/>
    <col min="3" max="3" width="12.5" style="11" bestFit="1" customWidth="1"/>
    <col min="4" max="13" width="13.33203125" style="11" bestFit="1" customWidth="1"/>
    <col min="14" max="14" width="3.5" style="11" customWidth="1"/>
    <col min="15" max="19" width="13.33203125" style="11" bestFit="1" customWidth="1"/>
    <col min="20" max="16384" width="10" style="11"/>
  </cols>
  <sheetData>
    <row r="1" spans="1:5" x14ac:dyDescent="0.2">
      <c r="A1" s="10" t="s">
        <v>0</v>
      </c>
    </row>
    <row r="2" spans="1:5" x14ac:dyDescent="0.2">
      <c r="A2" s="12" t="s">
        <v>12</v>
      </c>
    </row>
    <row r="3" spans="1:5" x14ac:dyDescent="0.2">
      <c r="A3" s="10" t="s">
        <v>13</v>
      </c>
    </row>
    <row r="4" spans="1:5" x14ac:dyDescent="0.2">
      <c r="A4" s="10"/>
    </row>
    <row r="6" spans="1:5" x14ac:dyDescent="0.2">
      <c r="A6" s="11" t="s">
        <v>14</v>
      </c>
    </row>
    <row r="7" spans="1:5" ht="16" thickBot="1" x14ac:dyDescent="0.25"/>
    <row r="8" spans="1:5" x14ac:dyDescent="0.2">
      <c r="A8" s="13" t="s">
        <v>15</v>
      </c>
      <c r="B8" s="14"/>
      <c r="C8" s="15"/>
      <c r="D8" s="15"/>
      <c r="E8" s="16"/>
    </row>
    <row r="9" spans="1:5" x14ac:dyDescent="0.2">
      <c r="A9" s="17"/>
      <c r="B9" s="18" t="s">
        <v>16</v>
      </c>
      <c r="C9" s="18" t="s">
        <v>17</v>
      </c>
      <c r="D9" s="18" t="s">
        <v>18</v>
      </c>
      <c r="E9" s="19" t="s">
        <v>19</v>
      </c>
    </row>
    <row r="10" spans="1:5" x14ac:dyDescent="0.2">
      <c r="A10" s="20" t="s">
        <v>20</v>
      </c>
      <c r="B10" s="31">
        <v>66995376</v>
      </c>
      <c r="C10" s="31">
        <v>54119641</v>
      </c>
      <c r="D10" s="31">
        <v>56519151</v>
      </c>
      <c r="E10" s="32">
        <v>66723921</v>
      </c>
    </row>
    <row r="11" spans="1:5" x14ac:dyDescent="0.2">
      <c r="A11" s="20" t="s">
        <v>21</v>
      </c>
      <c r="B11" s="31">
        <v>17020451</v>
      </c>
      <c r="C11" s="31">
        <v>14266131</v>
      </c>
      <c r="D11" s="31">
        <v>15698857</v>
      </c>
      <c r="E11" s="32">
        <v>17733938</v>
      </c>
    </row>
    <row r="12" spans="1:5" x14ac:dyDescent="0.2">
      <c r="A12" s="20" t="s">
        <v>22</v>
      </c>
      <c r="B12" s="31">
        <v>145130203</v>
      </c>
      <c r="C12" s="31">
        <v>128433977</v>
      </c>
      <c r="D12" s="31">
        <v>123515919</v>
      </c>
      <c r="E12" s="32">
        <v>127072108</v>
      </c>
    </row>
    <row r="13" spans="1:5" x14ac:dyDescent="0.2">
      <c r="A13" s="20" t="s">
        <v>23</v>
      </c>
      <c r="B13" s="31">
        <v>39030226</v>
      </c>
      <c r="C13" s="31">
        <v>35559993</v>
      </c>
      <c r="D13" s="31">
        <v>31737373</v>
      </c>
      <c r="E13" s="32">
        <v>30533461</v>
      </c>
    </row>
    <row r="14" spans="1:5" x14ac:dyDescent="0.2">
      <c r="A14" s="20" t="s">
        <v>24</v>
      </c>
      <c r="B14" s="31">
        <v>336062</v>
      </c>
      <c r="C14" s="31">
        <v>369984</v>
      </c>
      <c r="D14" s="31">
        <v>377433</v>
      </c>
      <c r="E14" s="32">
        <v>368128</v>
      </c>
    </row>
    <row r="15" spans="1:5" x14ac:dyDescent="0.2">
      <c r="A15" s="20" t="s">
        <v>25</v>
      </c>
      <c r="B15" s="33">
        <v>733891</v>
      </c>
      <c r="C15" s="33">
        <v>733891</v>
      </c>
      <c r="D15" s="33">
        <v>733891</v>
      </c>
      <c r="E15" s="34">
        <v>733891</v>
      </c>
    </row>
    <row r="16" spans="1:5" ht="16" thickBot="1" x14ac:dyDescent="0.25">
      <c r="A16" s="21" t="s">
        <v>26</v>
      </c>
      <c r="B16" s="35">
        <f t="shared" ref="B16:E16" si="0">SUM(B10:B15)</f>
        <v>269246209</v>
      </c>
      <c r="C16" s="35">
        <f t="shared" si="0"/>
        <v>233483617</v>
      </c>
      <c r="D16" s="35">
        <f t="shared" si="0"/>
        <v>228582624</v>
      </c>
      <c r="E16" s="36">
        <f t="shared" si="0"/>
        <v>243165447</v>
      </c>
    </row>
    <row r="17" spans="1:13" x14ac:dyDescent="0.2">
      <c r="B17" s="28"/>
      <c r="C17" s="28"/>
      <c r="D17" s="28"/>
      <c r="E17" s="28"/>
    </row>
    <row r="18" spans="1:13" x14ac:dyDescent="0.2">
      <c r="A18" s="11" t="s">
        <v>27</v>
      </c>
    </row>
    <row r="19" spans="1:13" ht="16" thickBot="1" x14ac:dyDescent="0.25"/>
    <row r="20" spans="1:13" x14ac:dyDescent="0.2">
      <c r="A20" s="13" t="s">
        <v>15</v>
      </c>
      <c r="B20" s="14"/>
      <c r="C20" s="15"/>
      <c r="D20" s="15"/>
      <c r="E20" s="15"/>
      <c r="F20" s="15"/>
      <c r="G20" s="15"/>
      <c r="H20" s="15"/>
      <c r="I20" s="15"/>
      <c r="J20" s="15"/>
      <c r="K20" s="15"/>
      <c r="L20" s="15"/>
      <c r="M20" s="16"/>
    </row>
    <row r="21" spans="1:13" x14ac:dyDescent="0.2">
      <c r="A21" s="20"/>
      <c r="B21" s="18" t="s">
        <v>28</v>
      </c>
      <c r="C21" s="18" t="s">
        <v>29</v>
      </c>
      <c r="D21" s="18" t="s">
        <v>30</v>
      </c>
      <c r="E21" s="18" t="s">
        <v>31</v>
      </c>
      <c r="F21" s="18" t="s">
        <v>32</v>
      </c>
      <c r="G21" s="18" t="s">
        <v>33</v>
      </c>
      <c r="H21" s="18" t="s">
        <v>34</v>
      </c>
      <c r="I21" s="18" t="s">
        <v>35</v>
      </c>
      <c r="J21" s="18" t="s">
        <v>16</v>
      </c>
      <c r="K21" s="18" t="s">
        <v>17</v>
      </c>
      <c r="L21" s="18" t="s">
        <v>18</v>
      </c>
      <c r="M21" s="19" t="s">
        <v>19</v>
      </c>
    </row>
    <row r="22" spans="1:13" x14ac:dyDescent="0.2">
      <c r="A22" s="20" t="s">
        <v>20</v>
      </c>
      <c r="B22" s="31">
        <v>75649896.233387411</v>
      </c>
      <c r="C22" s="31">
        <v>63038654.520750001</v>
      </c>
      <c r="D22" s="31">
        <v>60469067.068569444</v>
      </c>
      <c r="E22" s="31">
        <v>50878750.227676682</v>
      </c>
      <c r="F22" s="31">
        <v>55632420.132803269</v>
      </c>
      <c r="G22" s="31">
        <v>71100376.743736267</v>
      </c>
      <c r="H22" s="31">
        <v>85065007.650731921</v>
      </c>
      <c r="I22" s="31">
        <v>84305777.196337998</v>
      </c>
      <c r="J22" s="31">
        <v>65621054.548289135</v>
      </c>
      <c r="K22" s="31">
        <v>54577667.891976625</v>
      </c>
      <c r="L22" s="31">
        <v>55896136.970702365</v>
      </c>
      <c r="M22" s="32">
        <v>66347473.061531529</v>
      </c>
    </row>
    <row r="23" spans="1:13" x14ac:dyDescent="0.2">
      <c r="A23" s="20" t="s">
        <v>21</v>
      </c>
      <c r="B23" s="31">
        <v>23138766.078296591</v>
      </c>
      <c r="C23" s="31">
        <v>20378746.477368854</v>
      </c>
      <c r="D23" s="31">
        <v>20352595.855915934</v>
      </c>
      <c r="E23" s="31">
        <v>17450256.771841679</v>
      </c>
      <c r="F23" s="31">
        <v>19057872.028286263</v>
      </c>
      <c r="G23" s="31">
        <v>20707550.613972422</v>
      </c>
      <c r="H23" s="31">
        <v>21396499.581830122</v>
      </c>
      <c r="I23" s="31">
        <v>21019665.863338187</v>
      </c>
      <c r="J23" s="31">
        <v>18102515.03920522</v>
      </c>
      <c r="K23" s="31">
        <v>17379867.505633395</v>
      </c>
      <c r="L23" s="31">
        <v>18124889.565894797</v>
      </c>
      <c r="M23" s="32">
        <v>20314836.981994804</v>
      </c>
    </row>
    <row r="24" spans="1:13" x14ac:dyDescent="0.2">
      <c r="A24" s="20" t="s">
        <v>22</v>
      </c>
      <c r="B24" s="31">
        <v>132163170.96275569</v>
      </c>
      <c r="C24" s="31">
        <v>122143891.48125796</v>
      </c>
      <c r="D24" s="31">
        <v>121038999.16163248</v>
      </c>
      <c r="E24" s="31">
        <v>113807400.44003597</v>
      </c>
      <c r="F24" s="31">
        <v>128515163.72030781</v>
      </c>
      <c r="G24" s="31">
        <v>146016336.91322675</v>
      </c>
      <c r="H24" s="31">
        <v>155904682.71439043</v>
      </c>
      <c r="I24" s="31">
        <v>151806439.82204035</v>
      </c>
      <c r="J24" s="31">
        <v>130507049.24541032</v>
      </c>
      <c r="K24" s="31">
        <v>125536278.68976811</v>
      </c>
      <c r="L24" s="31">
        <v>119590211.43635838</v>
      </c>
      <c r="M24" s="32">
        <v>130049505.56942025</v>
      </c>
    </row>
    <row r="25" spans="1:13" x14ac:dyDescent="0.2">
      <c r="A25" s="20" t="s">
        <v>23</v>
      </c>
      <c r="B25" s="31">
        <v>32062216.743989892</v>
      </c>
      <c r="C25" s="31">
        <v>29856615.941838559</v>
      </c>
      <c r="D25" s="31">
        <v>33005059.488954224</v>
      </c>
      <c r="E25" s="31">
        <v>34171251.150432937</v>
      </c>
      <c r="F25" s="31">
        <v>36377705.727167062</v>
      </c>
      <c r="G25" s="31">
        <v>36759875.418516628</v>
      </c>
      <c r="H25" s="31">
        <v>38973500.85376852</v>
      </c>
      <c r="I25" s="31">
        <v>40017839.242407881</v>
      </c>
      <c r="J25" s="31">
        <v>39326254.25607343</v>
      </c>
      <c r="K25" s="31">
        <v>36789953.675197534</v>
      </c>
      <c r="L25" s="31">
        <v>32245839.479304112</v>
      </c>
      <c r="M25" s="32">
        <v>33185179.604849316</v>
      </c>
    </row>
    <row r="26" spans="1:13" x14ac:dyDescent="0.2">
      <c r="A26" s="20" t="s">
        <v>24</v>
      </c>
      <c r="B26" s="31">
        <v>338109.09432170709</v>
      </c>
      <c r="C26" s="31">
        <v>295082.99342091638</v>
      </c>
      <c r="D26" s="31">
        <v>301785.73524378956</v>
      </c>
      <c r="E26" s="31">
        <v>314163.61010664806</v>
      </c>
      <c r="F26" s="31">
        <v>316442.58295547089</v>
      </c>
      <c r="G26" s="31">
        <v>304880.59845261357</v>
      </c>
      <c r="H26" s="31">
        <v>296962.2161806986</v>
      </c>
      <c r="I26" s="31">
        <v>267594.10159801925</v>
      </c>
      <c r="J26" s="31">
        <v>350416.35033404891</v>
      </c>
      <c r="K26" s="31">
        <v>356463.43427251419</v>
      </c>
      <c r="L26" s="31">
        <v>364312.45231004193</v>
      </c>
      <c r="M26" s="32">
        <v>346096.19941270561</v>
      </c>
    </row>
    <row r="27" spans="1:13" x14ac:dyDescent="0.2">
      <c r="A27" s="20" t="s">
        <v>25</v>
      </c>
      <c r="B27" s="33">
        <v>758951</v>
      </c>
      <c r="C27" s="33">
        <v>556120</v>
      </c>
      <c r="D27" s="33">
        <v>817843</v>
      </c>
      <c r="E27" s="33">
        <v>713452</v>
      </c>
      <c r="F27" s="33">
        <v>727704</v>
      </c>
      <c r="G27" s="33">
        <v>719790</v>
      </c>
      <c r="H27" s="33">
        <v>719670</v>
      </c>
      <c r="I27" s="33">
        <v>719520</v>
      </c>
      <c r="J27" s="33">
        <v>711169</v>
      </c>
      <c r="K27" s="33">
        <v>673055</v>
      </c>
      <c r="L27" s="33">
        <v>734546</v>
      </c>
      <c r="M27" s="34">
        <v>746390</v>
      </c>
    </row>
    <row r="28" spans="1:13" ht="16" thickBot="1" x14ac:dyDescent="0.25">
      <c r="A28" s="21" t="s">
        <v>26</v>
      </c>
      <c r="B28" s="35">
        <f t="shared" ref="B28:M28" si="1">SUM(B22:B27)</f>
        <v>264111110.11275128</v>
      </c>
      <c r="C28" s="35">
        <f t="shared" si="1"/>
        <v>236269111.41463628</v>
      </c>
      <c r="D28" s="35">
        <f t="shared" si="1"/>
        <v>235985350.31031588</v>
      </c>
      <c r="E28" s="35">
        <f t="shared" si="1"/>
        <v>217335274.20009392</v>
      </c>
      <c r="F28" s="35">
        <f t="shared" si="1"/>
        <v>240627308.19151992</v>
      </c>
      <c r="G28" s="35">
        <f t="shared" si="1"/>
        <v>275608810.28790468</v>
      </c>
      <c r="H28" s="35">
        <f t="shared" si="1"/>
        <v>302356323.01690167</v>
      </c>
      <c r="I28" s="35">
        <f t="shared" si="1"/>
        <v>298136836.22572243</v>
      </c>
      <c r="J28" s="35">
        <f t="shared" si="1"/>
        <v>254618458.43931216</v>
      </c>
      <c r="K28" s="35">
        <f t="shared" si="1"/>
        <v>235313286.19684821</v>
      </c>
      <c r="L28" s="35">
        <f t="shared" si="1"/>
        <v>226955935.90456969</v>
      </c>
      <c r="M28" s="36">
        <f t="shared" si="1"/>
        <v>250989481.41720858</v>
      </c>
    </row>
    <row r="29" spans="1:13" x14ac:dyDescent="0.2">
      <c r="B29" s="28"/>
      <c r="C29" s="28"/>
      <c r="D29" s="28"/>
      <c r="E29" s="28"/>
      <c r="F29" s="28"/>
      <c r="G29" s="28"/>
      <c r="H29" s="28"/>
      <c r="I29" s="28"/>
      <c r="J29" s="28"/>
      <c r="K29" s="28"/>
      <c r="L29" s="28"/>
      <c r="M29" s="28"/>
    </row>
    <row r="30" spans="1:13" x14ac:dyDescent="0.2">
      <c r="A30" s="11" t="s">
        <v>36</v>
      </c>
    </row>
    <row r="31" spans="1:13" ht="16" thickBot="1" x14ac:dyDescent="0.25"/>
    <row r="32" spans="1:13" x14ac:dyDescent="0.2">
      <c r="A32" s="13" t="s">
        <v>15</v>
      </c>
      <c r="B32" s="22"/>
      <c r="C32" s="23"/>
    </row>
    <row r="33" spans="1:5" x14ac:dyDescent="0.2">
      <c r="A33" s="20"/>
      <c r="B33" s="18" t="s">
        <v>37</v>
      </c>
      <c r="C33" s="19" t="s">
        <v>38</v>
      </c>
    </row>
    <row r="34" spans="1:5" x14ac:dyDescent="0.2">
      <c r="A34" s="20" t="s">
        <v>20</v>
      </c>
      <c r="B34" s="31">
        <v>822244059</v>
      </c>
      <c r="C34" s="37">
        <f t="shared" ref="C34:C40" si="2">B34/B$40</f>
        <v>0.27110779606224833</v>
      </c>
    </row>
    <row r="35" spans="1:5" x14ac:dyDescent="0.2">
      <c r="A35" s="20" t="s">
        <v>21</v>
      </c>
      <c r="B35" s="31">
        <v>210231502</v>
      </c>
      <c r="C35" s="37">
        <f t="shared" si="2"/>
        <v>6.9316887785596221E-2</v>
      </c>
    </row>
    <row r="36" spans="1:5" x14ac:dyDescent="0.2">
      <c r="A36" s="20" t="s">
        <v>22</v>
      </c>
      <c r="B36" s="31">
        <v>1564365033</v>
      </c>
      <c r="C36" s="37">
        <f t="shared" si="2"/>
        <v>0.51579765361792218</v>
      </c>
    </row>
    <row r="37" spans="1:5" x14ac:dyDescent="0.2">
      <c r="A37" s="20" t="s">
        <v>23</v>
      </c>
      <c r="B37" s="31">
        <v>423335214</v>
      </c>
      <c r="C37" s="37">
        <f t="shared" si="2"/>
        <v>0.13958079186690756</v>
      </c>
      <c r="E37" s="24"/>
    </row>
    <row r="38" spans="1:5" x14ac:dyDescent="0.2">
      <c r="A38" s="20" t="s">
        <v>24</v>
      </c>
      <c r="B38" s="31">
        <v>4013337</v>
      </c>
      <c r="C38" s="37">
        <f t="shared" si="2"/>
        <v>1.3232651996882053E-3</v>
      </c>
      <c r="E38" s="24"/>
    </row>
    <row r="39" spans="1:5" x14ac:dyDescent="0.2">
      <c r="A39" s="20" t="s">
        <v>25</v>
      </c>
      <c r="B39" s="33">
        <v>8715371</v>
      </c>
      <c r="C39" s="38">
        <f t="shared" si="2"/>
        <v>2.8736054676374782E-3</v>
      </c>
      <c r="E39" s="24"/>
    </row>
    <row r="40" spans="1:5" ht="16" thickBot="1" x14ac:dyDescent="0.25">
      <c r="A40" s="21" t="s">
        <v>26</v>
      </c>
      <c r="B40" s="35">
        <f>SUM(B34:B39)</f>
        <v>3032904516</v>
      </c>
      <c r="C40" s="39">
        <f t="shared" si="2"/>
        <v>1</v>
      </c>
    </row>
  </sheetData>
  <pageMargins left="0.5" right="0.5" top="0.5" bottom="0.75" header="0" footer="0.25"/>
  <pageSetup scale="69" orientation="landscape" r:id="rId1"/>
  <headerFooter scaleWithDoc="0">
    <oddFooter>&amp;L&amp;10&amp;F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87845-5266-495A-B157-195855DC81D6}">
  <sheetPr>
    <pageSetUpPr fitToPage="1"/>
  </sheetPr>
  <dimension ref="A1:H88"/>
  <sheetViews>
    <sheetView zoomScaleNormal="100" workbookViewId="0"/>
  </sheetViews>
  <sheetFormatPr baseColWidth="10" defaultColWidth="10" defaultRowHeight="15" x14ac:dyDescent="0.2"/>
  <cols>
    <col min="1" max="1" width="23.6640625" style="11" customWidth="1"/>
    <col min="2" max="2" width="12.6640625" style="11" bestFit="1" customWidth="1"/>
    <col min="3" max="3" width="5.1640625" style="11" customWidth="1"/>
    <col min="4" max="4" width="10.5" style="11" bestFit="1" customWidth="1"/>
    <col min="5" max="5" width="9" style="11" bestFit="1" customWidth="1"/>
    <col min="6" max="6" width="5.1640625" style="11" customWidth="1"/>
    <col min="7" max="7" width="10.5" style="11" bestFit="1" customWidth="1"/>
    <col min="8" max="8" width="9" style="11" bestFit="1" customWidth="1"/>
    <col min="9" max="9" width="2.5" style="11" customWidth="1"/>
    <col min="10" max="16384" width="10" style="11"/>
  </cols>
  <sheetData>
    <row r="1" spans="1:8" x14ac:dyDescent="0.2">
      <c r="A1" s="10" t="s">
        <v>0</v>
      </c>
    </row>
    <row r="2" spans="1:8" x14ac:dyDescent="0.2">
      <c r="A2" s="12" t="s">
        <v>12</v>
      </c>
    </row>
    <row r="3" spans="1:8" x14ac:dyDescent="0.2">
      <c r="A3" s="10" t="s">
        <v>39</v>
      </c>
    </row>
    <row r="5" spans="1:8" ht="16" thickBot="1" x14ac:dyDescent="0.25"/>
    <row r="6" spans="1:8" x14ac:dyDescent="0.2">
      <c r="A6" s="25" t="s">
        <v>40</v>
      </c>
      <c r="B6" s="15"/>
      <c r="C6" s="15"/>
      <c r="D6" s="15"/>
      <c r="E6" s="15"/>
      <c r="F6" s="15"/>
      <c r="G6" s="15"/>
      <c r="H6" s="16"/>
    </row>
    <row r="7" spans="1:8" x14ac:dyDescent="0.2">
      <c r="A7" s="26"/>
      <c r="H7" s="27"/>
    </row>
    <row r="8" spans="1:8" x14ac:dyDescent="0.2">
      <c r="A8" s="20" t="s">
        <v>41</v>
      </c>
      <c r="B8" s="24">
        <v>8742612</v>
      </c>
      <c r="C8" s="24"/>
      <c r="H8" s="27"/>
    </row>
    <row r="9" spans="1:8" x14ac:dyDescent="0.2">
      <c r="A9" s="20" t="s">
        <v>42</v>
      </c>
      <c r="B9" s="24">
        <v>65789</v>
      </c>
      <c r="C9" s="24"/>
      <c r="E9" s="24"/>
      <c r="F9" s="24"/>
      <c r="H9" s="27"/>
    </row>
    <row r="10" spans="1:8" x14ac:dyDescent="0.2">
      <c r="A10" s="20" t="s">
        <v>26</v>
      </c>
      <c r="B10" s="40">
        <f>B8+B9</f>
        <v>8808401</v>
      </c>
      <c r="C10" s="24"/>
      <c r="E10" s="24"/>
      <c r="F10" s="24"/>
      <c r="H10" s="27"/>
    </row>
    <row r="11" spans="1:8" x14ac:dyDescent="0.2">
      <c r="A11" s="20"/>
      <c r="B11" s="24"/>
      <c r="C11" s="24"/>
      <c r="E11" s="24"/>
      <c r="F11" s="24"/>
      <c r="H11" s="27"/>
    </row>
    <row r="12" spans="1:8" x14ac:dyDescent="0.2">
      <c r="A12" s="20"/>
      <c r="B12" s="41" t="s">
        <v>43</v>
      </c>
      <c r="C12" s="41"/>
      <c r="D12" s="68" t="s">
        <v>44</v>
      </c>
      <c r="E12" s="68"/>
      <c r="F12" s="18"/>
      <c r="G12" s="68" t="s">
        <v>45</v>
      </c>
      <c r="H12" s="69"/>
    </row>
    <row r="13" spans="1:8" x14ac:dyDescent="0.2">
      <c r="A13" s="17"/>
      <c r="B13" s="18" t="s">
        <v>46</v>
      </c>
      <c r="C13" s="18"/>
      <c r="D13" s="18" t="s">
        <v>47</v>
      </c>
      <c r="E13" s="18" t="s">
        <v>48</v>
      </c>
      <c r="F13" s="18"/>
      <c r="G13" s="18" t="s">
        <v>47</v>
      </c>
      <c r="H13" s="19" t="s">
        <v>48</v>
      </c>
    </row>
    <row r="14" spans="1:8" x14ac:dyDescent="0.2">
      <c r="A14" s="20" t="s">
        <v>20</v>
      </c>
      <c r="B14" s="28">
        <f>SUM(_xlfn.XLOOKUP(A14,'ACE-1.1'!$A$10:$A$15,'ACE-1.1'!$B$10:$B$15))</f>
        <v>66995376</v>
      </c>
      <c r="C14" s="28"/>
      <c r="D14" s="24">
        <f>B$10*B14/B$20</f>
        <v>2191756.5307438592</v>
      </c>
      <c r="E14" s="42">
        <f>ROUND(D14/B14,5)</f>
        <v>3.2719999999999999E-2</v>
      </c>
      <c r="F14" s="42"/>
      <c r="G14" s="24">
        <f>B$10*_xlfn.XLOOKUP(A14,'ACE-1.1'!$A$34:$A$39,'ACE-1.1'!$C$34:$C$39)</f>
        <v>2388026.1819425044</v>
      </c>
      <c r="H14" s="43">
        <f>ROUND(G14/B14,5)</f>
        <v>3.5639999999999998E-2</v>
      </c>
    </row>
    <row r="15" spans="1:8" x14ac:dyDescent="0.2">
      <c r="A15" s="20" t="s">
        <v>21</v>
      </c>
      <c r="B15" s="28">
        <f>SUM(_xlfn.XLOOKUP(A15,'ACE-1.1'!$A$10:$A$15,'ACE-1.1'!$B$10:$B$15))</f>
        <v>17020451</v>
      </c>
      <c r="C15" s="28"/>
      <c r="D15" s="24">
        <f t="shared" ref="D15:D19" si="0">B$10*B15/B$20</f>
        <v>556824.76706236927</v>
      </c>
      <c r="E15" s="42">
        <f t="shared" ref="E15:E19" si="1">ROUND(D15/B15,5)</f>
        <v>3.2719999999999999E-2</v>
      </c>
      <c r="F15" s="42"/>
      <c r="G15" s="24">
        <f>B$10*_xlfn.XLOOKUP(A15,'ACE-1.1'!$A$34:$A$39,'ACE-1.1'!$C$34:$C$39)</f>
        <v>610570.94368753349</v>
      </c>
      <c r="H15" s="43">
        <f t="shared" ref="H15:H19" si="2">ROUND(G15/B15,5)</f>
        <v>3.5869999999999999E-2</v>
      </c>
    </row>
    <row r="16" spans="1:8" x14ac:dyDescent="0.2">
      <c r="A16" s="20" t="s">
        <v>22</v>
      </c>
      <c r="B16" s="28">
        <f>SUM(_xlfn.XLOOKUP(A16,'ACE-1.1'!$A$10:$A$15,'ACE-1.1'!$B$10:$B$15))</f>
        <v>145130203</v>
      </c>
      <c r="C16" s="28"/>
      <c r="D16" s="24">
        <f t="shared" si="0"/>
        <v>4747940.6673295181</v>
      </c>
      <c r="E16" s="42">
        <f t="shared" si="1"/>
        <v>3.2719999999999999E-2</v>
      </c>
      <c r="F16" s="42"/>
      <c r="G16" s="24">
        <f>B$10*_xlfn.XLOOKUP(A16,'ACE-1.1'!$A$34:$A$39,'ACE-1.1'!$C$34:$C$39)</f>
        <v>4543352.5679257596</v>
      </c>
      <c r="H16" s="43">
        <f t="shared" si="2"/>
        <v>3.1309999999999998E-2</v>
      </c>
    </row>
    <row r="17" spans="1:8" x14ac:dyDescent="0.2">
      <c r="A17" s="20" t="s">
        <v>23</v>
      </c>
      <c r="B17" s="28">
        <f>SUM(_xlfn.XLOOKUP(A17,'ACE-1.1'!$A$10:$A$15,'ACE-1.1'!$B$10:$B$15))</f>
        <v>39030226</v>
      </c>
      <c r="C17" s="28"/>
      <c r="D17" s="24">
        <f t="shared" si="0"/>
        <v>1276875.477673396</v>
      </c>
      <c r="E17" s="42">
        <f t="shared" si="1"/>
        <v>3.2719999999999999E-2</v>
      </c>
      <c r="F17" s="42"/>
      <c r="G17" s="24">
        <f>B$10*_xlfn.XLOOKUP(A17,'ACE-1.1'!$A$34:$A$39,'ACE-1.1'!$C$34:$C$39)</f>
        <v>1229483.5866612603</v>
      </c>
      <c r="H17" s="43">
        <f t="shared" si="2"/>
        <v>3.15E-2</v>
      </c>
    </row>
    <row r="18" spans="1:8" x14ac:dyDescent="0.2">
      <c r="A18" s="20" t="s">
        <v>24</v>
      </c>
      <c r="B18" s="28">
        <f>SUM(_xlfn.XLOOKUP(A18,'ACE-1.1'!$A$10:$A$15,'ACE-1.1'!$B$10:$B$15))</f>
        <v>336062</v>
      </c>
      <c r="C18" s="28"/>
      <c r="D18" s="24">
        <f t="shared" si="0"/>
        <v>10994.282399950151</v>
      </c>
      <c r="E18" s="42">
        <f t="shared" si="1"/>
        <v>3.2719999999999999E-2</v>
      </c>
      <c r="F18" s="42"/>
      <c r="G18" s="24">
        <f>B$10*_xlfn.XLOOKUP(A18,'ACE-1.1'!$A$34:$A$39,'ACE-1.1'!$C$34:$C$39)</f>
        <v>11655.850508198788</v>
      </c>
      <c r="H18" s="43">
        <f t="shared" si="2"/>
        <v>3.4680000000000002E-2</v>
      </c>
    </row>
    <row r="19" spans="1:8" x14ac:dyDescent="0.2">
      <c r="A19" s="20" t="s">
        <v>25</v>
      </c>
      <c r="B19" s="28">
        <f>SUM(_xlfn.XLOOKUP(A19,'ACE-1.1'!$A$10:$A$15,'ACE-1.1'!$B$10:$B$15))</f>
        <v>733891</v>
      </c>
      <c r="C19" s="28"/>
      <c r="D19" s="24">
        <f t="shared" si="0"/>
        <v>24009.274790907082</v>
      </c>
      <c r="E19" s="42">
        <f t="shared" si="1"/>
        <v>3.2719999999999999E-2</v>
      </c>
      <c r="F19" s="42"/>
      <c r="G19" s="24">
        <f>B$10*_xlfn.XLOOKUP(A19,'ACE-1.1'!$A$34:$A$39,'ACE-1.1'!$C$34:$C$39)</f>
        <v>25311.869274743432</v>
      </c>
      <c r="H19" s="43">
        <f t="shared" si="2"/>
        <v>3.449E-2</v>
      </c>
    </row>
    <row r="20" spans="1:8" ht="16" thickBot="1" x14ac:dyDescent="0.25">
      <c r="A20" s="21" t="s">
        <v>26</v>
      </c>
      <c r="B20" s="44">
        <f>SUM(B14:B19)</f>
        <v>269246209</v>
      </c>
      <c r="C20" s="44"/>
      <c r="D20" s="45">
        <f>SUM(D14:D19)</f>
        <v>8808401</v>
      </c>
      <c r="E20" s="46"/>
      <c r="F20" s="46"/>
      <c r="G20" s="45">
        <f>SUM(G14:G19)</f>
        <v>8808400.9999999981</v>
      </c>
      <c r="H20" s="47"/>
    </row>
    <row r="22" spans="1:8" ht="16" thickBot="1" x14ac:dyDescent="0.25"/>
    <row r="23" spans="1:8" x14ac:dyDescent="0.2">
      <c r="A23" s="25" t="s">
        <v>49</v>
      </c>
      <c r="B23" s="15"/>
      <c r="C23" s="15"/>
      <c r="D23" s="15"/>
      <c r="E23" s="15"/>
      <c r="F23" s="15"/>
      <c r="G23" s="15"/>
      <c r="H23" s="16"/>
    </row>
    <row r="24" spans="1:8" x14ac:dyDescent="0.2">
      <c r="A24" s="26"/>
      <c r="H24" s="27"/>
    </row>
    <row r="25" spans="1:8" x14ac:dyDescent="0.2">
      <c r="A25" s="20" t="s">
        <v>41</v>
      </c>
      <c r="B25" s="24">
        <v>8742612</v>
      </c>
      <c r="C25" s="24"/>
      <c r="H25" s="27"/>
    </row>
    <row r="26" spans="1:8" x14ac:dyDescent="0.2">
      <c r="A26" s="20" t="s">
        <v>42</v>
      </c>
      <c r="B26" s="24">
        <v>73129</v>
      </c>
      <c r="C26" s="24"/>
      <c r="E26" s="24"/>
      <c r="F26" s="24"/>
      <c r="H26" s="27"/>
    </row>
    <row r="27" spans="1:8" x14ac:dyDescent="0.2">
      <c r="A27" s="20" t="s">
        <v>26</v>
      </c>
      <c r="B27" s="40">
        <f>B25+B26</f>
        <v>8815741</v>
      </c>
      <c r="C27" s="24"/>
      <c r="E27" s="24"/>
      <c r="F27" s="24"/>
      <c r="H27" s="27"/>
    </row>
    <row r="28" spans="1:8" x14ac:dyDescent="0.2">
      <c r="A28" s="20"/>
      <c r="B28" s="24"/>
      <c r="C28" s="24"/>
      <c r="E28" s="24"/>
      <c r="F28" s="24"/>
      <c r="H28" s="27"/>
    </row>
    <row r="29" spans="1:8" x14ac:dyDescent="0.2">
      <c r="A29" s="20"/>
      <c r="B29" s="41" t="s">
        <v>43</v>
      </c>
      <c r="C29" s="41"/>
      <c r="D29" s="68" t="s">
        <v>44</v>
      </c>
      <c r="E29" s="68"/>
      <c r="F29" s="18"/>
      <c r="G29" s="68" t="s">
        <v>45</v>
      </c>
      <c r="H29" s="69"/>
    </row>
    <row r="30" spans="1:8" x14ac:dyDescent="0.2">
      <c r="A30" s="17"/>
      <c r="B30" s="18" t="s">
        <v>46</v>
      </c>
      <c r="C30" s="18"/>
      <c r="D30" s="18" t="s">
        <v>47</v>
      </c>
      <c r="E30" s="18" t="s">
        <v>48</v>
      </c>
      <c r="F30" s="18"/>
      <c r="G30" s="18" t="s">
        <v>47</v>
      </c>
      <c r="H30" s="19" t="s">
        <v>48</v>
      </c>
    </row>
    <row r="31" spans="1:8" x14ac:dyDescent="0.2">
      <c r="A31" s="20" t="s">
        <v>20</v>
      </c>
      <c r="B31" s="28">
        <f>SUM(_xlfn.XLOOKUP(A31,'ACE-1.1'!$A$10:$A$15,'ACE-1.1'!$C$10:$C$15))</f>
        <v>54119641</v>
      </c>
      <c r="C31" s="28"/>
      <c r="D31" s="24">
        <f>B$27*B31/B$37</f>
        <v>2043418.4813445862</v>
      </c>
      <c r="E31" s="42">
        <f>ROUND(D31/B31,5)</f>
        <v>3.7760000000000002E-2</v>
      </c>
      <c r="F31" s="42"/>
      <c r="G31" s="24">
        <f>B$27*_xlfn.XLOOKUP(A31,'ACE-1.1'!$A$34:$A$39,'ACE-1.1'!$C$34:$C$39)</f>
        <v>2390016.1131656012</v>
      </c>
      <c r="H31" s="43">
        <f>ROUND(G31/B31,5)</f>
        <v>4.4159999999999998E-2</v>
      </c>
    </row>
    <row r="32" spans="1:8" x14ac:dyDescent="0.2">
      <c r="A32" s="20" t="s">
        <v>21</v>
      </c>
      <c r="B32" s="28">
        <f>SUM(_xlfn.XLOOKUP(A32,'ACE-1.1'!$A$10:$A$15,'ACE-1.1'!$C$10:$C$15))</f>
        <v>14266131</v>
      </c>
      <c r="C32" s="28"/>
      <c r="D32" s="24">
        <f t="shared" ref="D32:D36" si="3">B$27*B32/B$37</f>
        <v>538652.42274395213</v>
      </c>
      <c r="E32" s="42">
        <f t="shared" ref="E32:E36" si="4">ROUND(D32/B32,5)</f>
        <v>3.7760000000000002E-2</v>
      </c>
      <c r="F32" s="42"/>
      <c r="G32" s="24">
        <f>B$27*_xlfn.XLOOKUP(A32,'ACE-1.1'!$A$34:$A$39,'ACE-1.1'!$C$34:$C$39)</f>
        <v>611079.72964387981</v>
      </c>
      <c r="H32" s="43">
        <f t="shared" ref="H32:H36" si="5">ROUND(G32/B32,5)</f>
        <v>4.283E-2</v>
      </c>
    </row>
    <row r="33" spans="1:8" x14ac:dyDescent="0.2">
      <c r="A33" s="20" t="s">
        <v>22</v>
      </c>
      <c r="B33" s="28">
        <f>SUM(_xlfn.XLOOKUP(A33,'ACE-1.1'!$A$10:$A$15,'ACE-1.1'!$C$10:$C$15))</f>
        <v>128433977</v>
      </c>
      <c r="C33" s="28"/>
      <c r="D33" s="24">
        <f t="shared" si="3"/>
        <v>4849336.7174106995</v>
      </c>
      <c r="E33" s="42">
        <f t="shared" si="4"/>
        <v>3.7760000000000002E-2</v>
      </c>
      <c r="F33" s="42"/>
      <c r="G33" s="24">
        <f>B$27*_xlfn.XLOOKUP(A33,'ACE-1.1'!$A$34:$A$39,'ACE-1.1'!$C$34:$C$39)</f>
        <v>4547138.5227033151</v>
      </c>
      <c r="H33" s="43">
        <f t="shared" si="5"/>
        <v>3.5400000000000001E-2</v>
      </c>
    </row>
    <row r="34" spans="1:8" x14ac:dyDescent="0.2">
      <c r="A34" s="20" t="s">
        <v>23</v>
      </c>
      <c r="B34" s="28">
        <f>SUM(_xlfn.XLOOKUP(A34,'ACE-1.1'!$A$10:$A$15,'ACE-1.1'!$C$10:$C$15))</f>
        <v>35559993</v>
      </c>
      <c r="C34" s="28"/>
      <c r="D34" s="24">
        <f t="shared" si="3"/>
        <v>1342653.8969961777</v>
      </c>
      <c r="E34" s="42">
        <f t="shared" si="4"/>
        <v>3.7760000000000002E-2</v>
      </c>
      <c r="F34" s="42"/>
      <c r="G34" s="24">
        <f>B$27*_xlfn.XLOOKUP(A34,'ACE-1.1'!$A$34:$A$39,'ACE-1.1'!$C$34:$C$39)</f>
        <v>1230508.1096735634</v>
      </c>
      <c r="H34" s="43">
        <f t="shared" si="5"/>
        <v>3.4599999999999999E-2</v>
      </c>
    </row>
    <row r="35" spans="1:8" x14ac:dyDescent="0.2">
      <c r="A35" s="20" t="s">
        <v>24</v>
      </c>
      <c r="B35" s="28">
        <f>SUM(_xlfn.XLOOKUP(A35,'ACE-1.1'!$A$10:$A$15,'ACE-1.1'!$C$10:$C$15))</f>
        <v>369984</v>
      </c>
      <c r="C35" s="28"/>
      <c r="D35" s="24">
        <f t="shared" si="3"/>
        <v>13969.64446607832</v>
      </c>
      <c r="E35" s="42">
        <f t="shared" si="4"/>
        <v>3.7760000000000002E-2</v>
      </c>
      <c r="F35" s="42"/>
      <c r="G35" s="24">
        <f>B$27*_xlfn.XLOOKUP(A35,'ACE-1.1'!$A$34:$A$39,'ACE-1.1'!$C$34:$C$39)</f>
        <v>11665.5632747645</v>
      </c>
      <c r="H35" s="43">
        <f t="shared" si="5"/>
        <v>3.1530000000000002E-2</v>
      </c>
    </row>
    <row r="36" spans="1:8" x14ac:dyDescent="0.2">
      <c r="A36" s="20" t="s">
        <v>25</v>
      </c>
      <c r="B36" s="28">
        <f>SUM(_xlfn.XLOOKUP(A36,'ACE-1.1'!$A$10:$A$15,'ACE-1.1'!$C$10:$C$15))</f>
        <v>733891</v>
      </c>
      <c r="C36" s="28"/>
      <c r="D36" s="24">
        <f t="shared" si="3"/>
        <v>27709.837038506219</v>
      </c>
      <c r="E36" s="42">
        <f t="shared" si="4"/>
        <v>3.7760000000000002E-2</v>
      </c>
      <c r="F36" s="42"/>
      <c r="G36" s="24">
        <f>B$27*_xlfn.XLOOKUP(A36,'ACE-1.1'!$A$34:$A$39,'ACE-1.1'!$C$34:$C$39)</f>
        <v>25332.96153887589</v>
      </c>
      <c r="H36" s="43">
        <f t="shared" si="5"/>
        <v>3.4520000000000002E-2</v>
      </c>
    </row>
    <row r="37" spans="1:8" ht="16" thickBot="1" x14ac:dyDescent="0.25">
      <c r="A37" s="21" t="s">
        <v>26</v>
      </c>
      <c r="B37" s="44">
        <f>SUM(B31:B36)</f>
        <v>233483617</v>
      </c>
      <c r="C37" s="44"/>
      <c r="D37" s="45">
        <f>SUM(D31:D36)</f>
        <v>8815740.9999999981</v>
      </c>
      <c r="E37" s="46"/>
      <c r="F37" s="46"/>
      <c r="G37" s="45">
        <f>SUM(G31:G36)</f>
        <v>8815741</v>
      </c>
      <c r="H37" s="47"/>
    </row>
    <row r="39" spans="1:8" ht="16" thickBot="1" x14ac:dyDescent="0.25"/>
    <row r="40" spans="1:8" x14ac:dyDescent="0.2">
      <c r="A40" s="25" t="s">
        <v>50</v>
      </c>
      <c r="B40" s="15"/>
      <c r="C40" s="15"/>
      <c r="D40" s="15"/>
      <c r="E40" s="15"/>
      <c r="F40" s="15"/>
      <c r="G40" s="15"/>
      <c r="H40" s="16"/>
    </row>
    <row r="41" spans="1:8" x14ac:dyDescent="0.2">
      <c r="A41" s="26"/>
      <c r="H41" s="27"/>
    </row>
    <row r="42" spans="1:8" x14ac:dyDescent="0.2">
      <c r="A42" s="20" t="s">
        <v>41</v>
      </c>
      <c r="B42" s="24">
        <v>8742612</v>
      </c>
      <c r="C42" s="24"/>
      <c r="H42" s="27"/>
    </row>
    <row r="43" spans="1:8" x14ac:dyDescent="0.2">
      <c r="A43" s="20" t="s">
        <v>42</v>
      </c>
      <c r="B43" s="24">
        <v>80520</v>
      </c>
      <c r="C43" s="24"/>
      <c r="E43" s="24"/>
      <c r="F43" s="24"/>
      <c r="H43" s="27"/>
    </row>
    <row r="44" spans="1:8" x14ac:dyDescent="0.2">
      <c r="A44" s="20" t="s">
        <v>26</v>
      </c>
      <c r="B44" s="40">
        <f>B42+B43</f>
        <v>8823132</v>
      </c>
      <c r="C44" s="24"/>
      <c r="E44" s="24"/>
      <c r="F44" s="24"/>
      <c r="H44" s="27"/>
    </row>
    <row r="45" spans="1:8" x14ac:dyDescent="0.2">
      <c r="A45" s="20"/>
      <c r="B45" s="24"/>
      <c r="C45" s="24"/>
      <c r="E45" s="24"/>
      <c r="F45" s="24"/>
      <c r="H45" s="27"/>
    </row>
    <row r="46" spans="1:8" x14ac:dyDescent="0.2">
      <c r="A46" s="20"/>
      <c r="B46" s="41" t="s">
        <v>43</v>
      </c>
      <c r="C46" s="41"/>
      <c r="D46" s="68" t="s">
        <v>44</v>
      </c>
      <c r="E46" s="68"/>
      <c r="F46" s="18"/>
      <c r="G46" s="68" t="s">
        <v>45</v>
      </c>
      <c r="H46" s="69"/>
    </row>
    <row r="47" spans="1:8" x14ac:dyDescent="0.2">
      <c r="A47" s="17"/>
      <c r="B47" s="18" t="s">
        <v>46</v>
      </c>
      <c r="C47" s="18"/>
      <c r="D47" s="18" t="s">
        <v>47</v>
      </c>
      <c r="E47" s="18" t="s">
        <v>48</v>
      </c>
      <c r="F47" s="18"/>
      <c r="G47" s="18" t="s">
        <v>47</v>
      </c>
      <c r="H47" s="19" t="s">
        <v>48</v>
      </c>
    </row>
    <row r="48" spans="1:8" x14ac:dyDescent="0.2">
      <c r="A48" s="20" t="s">
        <v>20</v>
      </c>
      <c r="B48" s="28">
        <f>SUM(_xlfn.XLOOKUP(A48,'ACE-1.1'!$A$10:$A$15,'ACE-1.1'!$C$10:$E$15))</f>
        <v>177362713</v>
      </c>
      <c r="C48" s="28"/>
      <c r="D48" s="24">
        <f>B$44*B48/B$54</f>
        <v>2218979.4578219745</v>
      </c>
      <c r="E48" s="42">
        <f>ROUND(D48/B48,5)</f>
        <v>1.251E-2</v>
      </c>
      <c r="F48" s="42"/>
      <c r="G48" s="24">
        <f>B$44*_xlfn.XLOOKUP(A48,'ACE-1.1'!$A$34:$A$39,'ACE-1.1'!$C$34:$C$39)</f>
        <v>2392019.8708862974</v>
      </c>
      <c r="H48" s="43">
        <f>ROUND(G48/B48,5)</f>
        <v>1.349E-2</v>
      </c>
    </row>
    <row r="49" spans="1:8" x14ac:dyDescent="0.2">
      <c r="A49" s="20" t="s">
        <v>21</v>
      </c>
      <c r="B49" s="28">
        <f>SUM(_xlfn.XLOOKUP(A49,'ACE-1.1'!$A$10:$A$15,'ACE-1.1'!$C$10:$E$15))</f>
        <v>47698926</v>
      </c>
      <c r="C49" s="28"/>
      <c r="D49" s="24">
        <f t="shared" ref="D49:D53" si="6">B$44*B49/B$54</f>
        <v>596759.79896727495</v>
      </c>
      <c r="E49" s="42">
        <f t="shared" ref="E49:E53" si="7">ROUND(D49/B49,5)</f>
        <v>1.251E-2</v>
      </c>
      <c r="F49" s="42"/>
      <c r="G49" s="24">
        <f>B$44*_xlfn.XLOOKUP(A49,'ACE-1.1'!$A$34:$A$39,'ACE-1.1'!$C$34:$C$39)</f>
        <v>611592.05076150317</v>
      </c>
      <c r="H49" s="43">
        <f t="shared" ref="H49:H53" si="8">ROUND(G49/B49,5)</f>
        <v>1.282E-2</v>
      </c>
    </row>
    <row r="50" spans="1:8" x14ac:dyDescent="0.2">
      <c r="A50" s="20" t="s">
        <v>22</v>
      </c>
      <c r="B50" s="28">
        <f>SUM(_xlfn.XLOOKUP(A50,'ACE-1.1'!$A$10:$A$15,'ACE-1.1'!$C$10:$E$15))</f>
        <v>379022004</v>
      </c>
      <c r="C50" s="28"/>
      <c r="D50" s="24">
        <f t="shared" si="6"/>
        <v>4741932.6571674524</v>
      </c>
      <c r="E50" s="42">
        <f t="shared" si="7"/>
        <v>1.251E-2</v>
      </c>
      <c r="F50" s="42"/>
      <c r="G50" s="24">
        <f>B$44*_xlfn.XLOOKUP(A50,'ACE-1.1'!$A$34:$A$39,'ACE-1.1'!$C$34:$C$39)</f>
        <v>4550950.7831612052</v>
      </c>
      <c r="H50" s="43">
        <f t="shared" si="8"/>
        <v>1.201E-2</v>
      </c>
    </row>
    <row r="51" spans="1:8" x14ac:dyDescent="0.2">
      <c r="A51" s="20" t="s">
        <v>23</v>
      </c>
      <c r="B51" s="28">
        <f>SUM(_xlfn.XLOOKUP(A51,'ACE-1.1'!$A$10:$A$15,'ACE-1.1'!$C$10:$E$15))</f>
        <v>97830827</v>
      </c>
      <c r="C51" s="28"/>
      <c r="D51" s="24">
        <f t="shared" si="6"/>
        <v>1223958.4734742718</v>
      </c>
      <c r="E51" s="42">
        <f t="shared" si="7"/>
        <v>1.251E-2</v>
      </c>
      <c r="F51" s="42"/>
      <c r="G51" s="24">
        <f>B$44*_xlfn.XLOOKUP(A51,'ACE-1.1'!$A$34:$A$39,'ACE-1.1'!$C$34:$C$39)</f>
        <v>1231539.7513062519</v>
      </c>
      <c r="H51" s="43">
        <f t="shared" si="8"/>
        <v>1.259E-2</v>
      </c>
    </row>
    <row r="52" spans="1:8" x14ac:dyDescent="0.2">
      <c r="A52" s="20" t="s">
        <v>24</v>
      </c>
      <c r="B52" s="28">
        <f>SUM(_xlfn.XLOOKUP(A52,'ACE-1.1'!$A$10:$A$15,'ACE-1.1'!$C$10:$E$15))</f>
        <v>1115545</v>
      </c>
      <c r="C52" s="28"/>
      <c r="D52" s="24">
        <f t="shared" si="6"/>
        <v>13956.549251003027</v>
      </c>
      <c r="E52" s="42">
        <f t="shared" si="7"/>
        <v>1.251E-2</v>
      </c>
      <c r="F52" s="42"/>
      <c r="G52" s="24">
        <f>B$44*_xlfn.XLOOKUP(A52,'ACE-1.1'!$A$34:$A$39,'ACE-1.1'!$C$34:$C$39)</f>
        <v>11675.343527855395</v>
      </c>
      <c r="H52" s="43">
        <f t="shared" si="8"/>
        <v>1.047E-2</v>
      </c>
    </row>
    <row r="53" spans="1:8" x14ac:dyDescent="0.2">
      <c r="A53" s="20" t="s">
        <v>25</v>
      </c>
      <c r="B53" s="28">
        <f>SUM(_xlfn.XLOOKUP(A53,'ACE-1.1'!$A$10:$A$15,'ACE-1.1'!$C$10:$E$15))</f>
        <v>2201673</v>
      </c>
      <c r="C53" s="28"/>
      <c r="D53" s="24">
        <f t="shared" si="6"/>
        <v>27545.063318022658</v>
      </c>
      <c r="E53" s="42">
        <f t="shared" si="7"/>
        <v>1.251E-2</v>
      </c>
      <c r="F53" s="42"/>
      <c r="G53" s="24">
        <f>B$44*_xlfn.XLOOKUP(A53,'ACE-1.1'!$A$34:$A$39,'ACE-1.1'!$C$34:$C$39)</f>
        <v>25354.200356887199</v>
      </c>
      <c r="H53" s="43">
        <f t="shared" si="8"/>
        <v>1.1520000000000001E-2</v>
      </c>
    </row>
    <row r="54" spans="1:8" ht="16" thickBot="1" x14ac:dyDescent="0.25">
      <c r="A54" s="21" t="s">
        <v>26</v>
      </c>
      <c r="B54" s="44">
        <f>SUM(B48:B53)</f>
        <v>705231688</v>
      </c>
      <c r="C54" s="44"/>
      <c r="D54" s="45">
        <f>SUM(D48:D53)</f>
        <v>8823132</v>
      </c>
      <c r="E54" s="46"/>
      <c r="F54" s="46"/>
      <c r="G54" s="45">
        <f>SUM(G48:G53)</f>
        <v>8823132.0000000019</v>
      </c>
      <c r="H54" s="47"/>
    </row>
    <row r="56" spans="1:8" ht="16" thickBot="1" x14ac:dyDescent="0.25"/>
    <row r="57" spans="1:8" x14ac:dyDescent="0.2">
      <c r="A57" s="25" t="s">
        <v>51</v>
      </c>
      <c r="B57" s="15"/>
      <c r="C57" s="15"/>
      <c r="D57" s="15"/>
      <c r="E57" s="15"/>
      <c r="F57" s="15"/>
      <c r="G57" s="15"/>
      <c r="H57" s="16"/>
    </row>
    <row r="58" spans="1:8" x14ac:dyDescent="0.2">
      <c r="A58" s="26"/>
      <c r="H58" s="27"/>
    </row>
    <row r="59" spans="1:8" x14ac:dyDescent="0.2">
      <c r="A59" s="20" t="s">
        <v>41</v>
      </c>
      <c r="B59" s="24">
        <v>8742612</v>
      </c>
      <c r="C59" s="24"/>
      <c r="H59" s="27"/>
    </row>
    <row r="60" spans="1:8" x14ac:dyDescent="0.2">
      <c r="A60" s="20" t="s">
        <v>42</v>
      </c>
      <c r="B60" s="24">
        <v>210513</v>
      </c>
      <c r="C60" s="24"/>
      <c r="E60" s="24"/>
      <c r="F60" s="24"/>
      <c r="H60" s="27"/>
    </row>
    <row r="61" spans="1:8" x14ac:dyDescent="0.2">
      <c r="A61" s="20" t="s">
        <v>26</v>
      </c>
      <c r="B61" s="40">
        <f>B59+B60</f>
        <v>8953125</v>
      </c>
      <c r="C61" s="24"/>
      <c r="E61" s="24"/>
      <c r="F61" s="24"/>
      <c r="H61" s="27"/>
    </row>
    <row r="62" spans="1:8" x14ac:dyDescent="0.2">
      <c r="A62" s="20"/>
      <c r="B62" s="24"/>
      <c r="C62" s="24"/>
      <c r="E62" s="24"/>
      <c r="F62" s="24"/>
      <c r="H62" s="27"/>
    </row>
    <row r="63" spans="1:8" x14ac:dyDescent="0.2">
      <c r="A63" s="20"/>
      <c r="B63" s="41" t="s">
        <v>43</v>
      </c>
      <c r="C63" s="41"/>
      <c r="D63" s="68" t="s">
        <v>44</v>
      </c>
      <c r="E63" s="68"/>
      <c r="F63" s="18"/>
      <c r="G63" s="68" t="s">
        <v>45</v>
      </c>
      <c r="H63" s="69"/>
    </row>
    <row r="64" spans="1:8" x14ac:dyDescent="0.2">
      <c r="A64" s="17"/>
      <c r="B64" s="18" t="s">
        <v>46</v>
      </c>
      <c r="C64" s="18"/>
      <c r="D64" s="18" t="s">
        <v>47</v>
      </c>
      <c r="E64" s="18" t="s">
        <v>48</v>
      </c>
      <c r="F64" s="18"/>
      <c r="G64" s="18" t="s">
        <v>47</v>
      </c>
      <c r="H64" s="19" t="s">
        <v>48</v>
      </c>
    </row>
    <row r="65" spans="1:8" x14ac:dyDescent="0.2">
      <c r="A65" s="20" t="s">
        <v>20</v>
      </c>
      <c r="B65" s="28">
        <f>SUM(_xlfn.XLOOKUP(A65,'ACE-1.1'!$A$10:$A$15,'ACE-1.1'!$C$10:$E$15))+SUM(_xlfn.XLOOKUP(A65,'ACE-1.1'!$A$22:$A$27,'ACE-1.1'!$B$22:$J$27))</f>
        <v>789123717.3222822</v>
      </c>
      <c r="C65" s="28"/>
      <c r="D65" s="24">
        <f>B$61*B65/B$71</f>
        <v>2331508.1945165154</v>
      </c>
      <c r="E65" s="42">
        <f>ROUND(D65/B65,5)</f>
        <v>2.9499999999999999E-3</v>
      </c>
      <c r="F65" s="42"/>
      <c r="G65" s="24">
        <f>B$61*_xlfn.XLOOKUP(A65,'ACE-1.1'!$A$34:$A$39,'ACE-1.1'!$C$34:$C$39)</f>
        <v>2427261.9866198171</v>
      </c>
      <c r="H65" s="43">
        <f>ROUND(G65/B65,5)</f>
        <v>3.0799999999999998E-3</v>
      </c>
    </row>
    <row r="66" spans="1:8" x14ac:dyDescent="0.2">
      <c r="A66" s="20" t="s">
        <v>21</v>
      </c>
      <c r="B66" s="28">
        <f>SUM(_xlfn.XLOOKUP(A66,'ACE-1.1'!$A$10:$A$15,'ACE-1.1'!$C$10:$E$15))+SUM(_xlfn.XLOOKUP(A66,'ACE-1.1'!$A$22:$A$27,'ACE-1.1'!$B$22:$J$27))</f>
        <v>229303394.31005529</v>
      </c>
      <c r="C66" s="28"/>
      <c r="D66" s="24">
        <f t="shared" ref="D66:D70" si="9">B$61*B66/B$71</f>
        <v>677489.13272873149</v>
      </c>
      <c r="E66" s="42">
        <f t="shared" ref="E66:E70" si="10">ROUND(D66/B66,5)</f>
        <v>2.9499999999999999E-3</v>
      </c>
      <c r="F66" s="42"/>
      <c r="G66" s="24">
        <f>B$61*_xlfn.XLOOKUP(A66,'ACE-1.1'!$A$34:$A$39,'ACE-1.1'!$C$34:$C$39)</f>
        <v>620602.76095541613</v>
      </c>
      <c r="H66" s="43">
        <f t="shared" ref="H66:H70" si="11">ROUND(G66/B66,5)</f>
        <v>2.7100000000000002E-3</v>
      </c>
    </row>
    <row r="67" spans="1:8" x14ac:dyDescent="0.2">
      <c r="A67" s="20" t="s">
        <v>22</v>
      </c>
      <c r="B67" s="28">
        <f>SUM(_xlfn.XLOOKUP(A67,'ACE-1.1'!$A$10:$A$15,'ACE-1.1'!$C$10:$E$15))+SUM(_xlfn.XLOOKUP(A67,'ACE-1.1'!$A$22:$A$27,'ACE-1.1'!$B$22:$J$27))</f>
        <v>1580925138.4610577</v>
      </c>
      <c r="C67" s="28"/>
      <c r="D67" s="24">
        <f t="shared" si="9"/>
        <v>4670927.8080584612</v>
      </c>
      <c r="E67" s="42">
        <f t="shared" si="10"/>
        <v>2.9499999999999999E-3</v>
      </c>
      <c r="F67" s="42"/>
      <c r="G67" s="24">
        <f>B$61*_xlfn.XLOOKUP(A67,'ACE-1.1'!$A$34:$A$39,'ACE-1.1'!$C$34:$C$39)</f>
        <v>4618000.8675479591</v>
      </c>
      <c r="H67" s="43">
        <f t="shared" si="11"/>
        <v>2.9199999999999999E-3</v>
      </c>
    </row>
    <row r="68" spans="1:8" x14ac:dyDescent="0.2">
      <c r="A68" s="20" t="s">
        <v>23</v>
      </c>
      <c r="B68" s="28">
        <f>SUM(_xlfn.XLOOKUP(A68,'ACE-1.1'!$A$10:$A$15,'ACE-1.1'!$C$10:$E$15))+SUM(_xlfn.XLOOKUP(A68,'ACE-1.1'!$A$22:$A$27,'ACE-1.1'!$B$22:$J$27))</f>
        <v>418381145.82314914</v>
      </c>
      <c r="C68" s="28"/>
      <c r="D68" s="24">
        <f t="shared" si="9"/>
        <v>1236129.4541087768</v>
      </c>
      <c r="E68" s="42">
        <f t="shared" si="10"/>
        <v>2.9499999999999999E-3</v>
      </c>
      <c r="F68" s="42"/>
      <c r="G68" s="24">
        <f>B$61*_xlfn.XLOOKUP(A68,'ACE-1.1'!$A$34:$A$39,'ACE-1.1'!$C$34:$C$39)</f>
        <v>1249684.2771834068</v>
      </c>
      <c r="H68" s="43">
        <f t="shared" si="11"/>
        <v>2.99E-3</v>
      </c>
    </row>
    <row r="69" spans="1:8" x14ac:dyDescent="0.2">
      <c r="A69" s="20" t="s">
        <v>24</v>
      </c>
      <c r="B69" s="28">
        <f>SUM(_xlfn.XLOOKUP(A69,'ACE-1.1'!$A$10:$A$15,'ACE-1.1'!$C$10:$E$15))+SUM(_xlfn.XLOOKUP(A69,'ACE-1.1'!$A$22:$A$27,'ACE-1.1'!$B$22:$J$27))</f>
        <v>3900982.2826139121</v>
      </c>
      <c r="C69" s="28"/>
      <c r="D69" s="24">
        <f t="shared" si="9"/>
        <v>11525.660627006047</v>
      </c>
      <c r="E69" s="42">
        <f t="shared" si="10"/>
        <v>2.9499999999999999E-3</v>
      </c>
      <c r="F69" s="42"/>
      <c r="G69" s="24">
        <f>B$61*_xlfn.XLOOKUP(A69,'ACE-1.1'!$A$34:$A$39,'ACE-1.1'!$C$34:$C$39)</f>
        <v>11847.358740958463</v>
      </c>
      <c r="H69" s="43">
        <f t="shared" si="11"/>
        <v>3.0400000000000002E-3</v>
      </c>
    </row>
    <row r="70" spans="1:8" x14ac:dyDescent="0.2">
      <c r="A70" s="20" t="s">
        <v>25</v>
      </c>
      <c r="B70" s="28">
        <f>SUM(_xlfn.XLOOKUP(A70,'ACE-1.1'!$A$10:$A$15,'ACE-1.1'!$C$10:$E$15))+SUM(_xlfn.XLOOKUP(A70,'ACE-1.1'!$A$22:$A$27,'ACE-1.1'!$B$22:$J$27))</f>
        <v>8645892</v>
      </c>
      <c r="C70" s="28"/>
      <c r="D70" s="24">
        <f t="shared" si="9"/>
        <v>25544.74996050862</v>
      </c>
      <c r="E70" s="42">
        <f t="shared" si="10"/>
        <v>2.9499999999999999E-3</v>
      </c>
      <c r="F70" s="42"/>
      <c r="G70" s="24">
        <f>B$61*_xlfn.XLOOKUP(A70,'ACE-1.1'!$A$34:$A$39,'ACE-1.1'!$C$34:$C$39)</f>
        <v>25727.748952441798</v>
      </c>
      <c r="H70" s="43">
        <f t="shared" si="11"/>
        <v>2.98E-3</v>
      </c>
    </row>
    <row r="71" spans="1:8" ht="16" thickBot="1" x14ac:dyDescent="0.25">
      <c r="A71" s="21" t="s">
        <v>26</v>
      </c>
      <c r="B71" s="44">
        <f>SUM(B65:B70)</f>
        <v>3030280270.1991582</v>
      </c>
      <c r="C71" s="44"/>
      <c r="D71" s="45">
        <f>SUM(D65:D70)</f>
        <v>8953124.9999999981</v>
      </c>
      <c r="E71" s="46"/>
      <c r="F71" s="46"/>
      <c r="G71" s="45">
        <f>SUM(G65:G70)</f>
        <v>8953124.9999999981</v>
      </c>
      <c r="H71" s="47"/>
    </row>
    <row r="73" spans="1:8" ht="16" thickBot="1" x14ac:dyDescent="0.25"/>
    <row r="74" spans="1:8" x14ac:dyDescent="0.2">
      <c r="A74" s="25" t="s">
        <v>52</v>
      </c>
      <c r="B74" s="15"/>
      <c r="C74" s="15"/>
      <c r="D74" s="15"/>
      <c r="E74" s="15"/>
      <c r="F74" s="15"/>
      <c r="G74" s="15"/>
      <c r="H74" s="16"/>
    </row>
    <row r="75" spans="1:8" x14ac:dyDescent="0.2">
      <c r="A75" s="26"/>
      <c r="H75" s="27"/>
    </row>
    <row r="76" spans="1:8" x14ac:dyDescent="0.2">
      <c r="A76" s="20" t="s">
        <v>41</v>
      </c>
      <c r="B76" s="24">
        <v>8742612</v>
      </c>
      <c r="C76" s="24"/>
      <c r="H76" s="27"/>
    </row>
    <row r="77" spans="1:8" x14ac:dyDescent="0.2">
      <c r="A77" s="20" t="s">
        <v>42</v>
      </c>
      <c r="B77" s="24">
        <v>270915</v>
      </c>
      <c r="C77" s="24"/>
      <c r="E77" s="24"/>
      <c r="F77" s="24"/>
      <c r="H77" s="27"/>
    </row>
    <row r="78" spans="1:8" x14ac:dyDescent="0.2">
      <c r="A78" s="20" t="s">
        <v>26</v>
      </c>
      <c r="B78" s="40">
        <f>B76+B77</f>
        <v>9013527</v>
      </c>
      <c r="C78" s="24"/>
      <c r="E78" s="24"/>
      <c r="F78" s="24"/>
      <c r="H78" s="27"/>
    </row>
    <row r="79" spans="1:8" x14ac:dyDescent="0.2">
      <c r="A79" s="20"/>
      <c r="B79" s="24"/>
      <c r="C79" s="24"/>
      <c r="E79" s="24"/>
      <c r="F79" s="24"/>
      <c r="H79" s="27"/>
    </row>
    <row r="80" spans="1:8" x14ac:dyDescent="0.2">
      <c r="A80" s="20"/>
      <c r="B80" s="41" t="s">
        <v>43</v>
      </c>
      <c r="C80" s="41"/>
      <c r="D80" s="68" t="s">
        <v>44</v>
      </c>
      <c r="E80" s="68"/>
      <c r="F80" s="18"/>
      <c r="G80" s="68" t="s">
        <v>45</v>
      </c>
      <c r="H80" s="69"/>
    </row>
    <row r="81" spans="1:8" x14ac:dyDescent="0.2">
      <c r="A81" s="17"/>
      <c r="B81" s="18" t="s">
        <v>46</v>
      </c>
      <c r="C81" s="18"/>
      <c r="D81" s="18" t="s">
        <v>47</v>
      </c>
      <c r="E81" s="18" t="s">
        <v>48</v>
      </c>
      <c r="F81" s="18"/>
      <c r="G81" s="18" t="s">
        <v>47</v>
      </c>
      <c r="H81" s="19" t="s">
        <v>48</v>
      </c>
    </row>
    <row r="82" spans="1:8" x14ac:dyDescent="0.2">
      <c r="A82" s="20" t="s">
        <v>20</v>
      </c>
      <c r="B82" s="28">
        <f>SUM(_xlfn.XLOOKUP(A82,'ACE-1.1'!$A$22:$A$27,'ACE-1.1'!$B$22:$M$27))</f>
        <v>788582282.24649274</v>
      </c>
      <c r="C82" s="28"/>
      <c r="D82" s="24">
        <f>B$78*B82/B$88</f>
        <v>2339430.1577600888</v>
      </c>
      <c r="E82" s="42">
        <f>ROUND(D82/B82,5)</f>
        <v>2.97E-3</v>
      </c>
      <c r="F82" s="42"/>
      <c r="G82" s="24">
        <f>B$78*_xlfn.XLOOKUP(A82,'ACE-1.1'!$A$34:$A$39,'ACE-1.1'!$C$34:$C$39)</f>
        <v>2443637.4397175689</v>
      </c>
      <c r="H82" s="43">
        <f>ROUND(G82/B82,5)</f>
        <v>3.0999999999999999E-3</v>
      </c>
    </row>
    <row r="83" spans="1:8" x14ac:dyDescent="0.2">
      <c r="A83" s="20" t="s">
        <v>21</v>
      </c>
      <c r="B83" s="28">
        <f>SUM(_xlfn.XLOOKUP(A83,'ACE-1.1'!$A$22:$A$27,'ACE-1.1'!$B$22:$M$27))</f>
        <v>237424062.36357826</v>
      </c>
      <c r="C83" s="28"/>
      <c r="D83" s="24">
        <f t="shared" ref="D83:D87" si="12">B$78*B83/B$88</f>
        <v>704348.83483427053</v>
      </c>
      <c r="E83" s="42">
        <f t="shared" ref="E83:E87" si="13">ROUND(D83/B83,5)</f>
        <v>2.97E-3</v>
      </c>
      <c r="F83" s="42"/>
      <c r="G83" s="24">
        <f>B$78*_xlfn.XLOOKUP(A83,'ACE-1.1'!$A$34:$A$39,'ACE-1.1'!$C$34:$C$39)</f>
        <v>624789.63961144176</v>
      </c>
      <c r="H83" s="43">
        <f t="shared" ref="H83:H87" si="14">ROUND(G83/B83,5)</f>
        <v>2.63E-3</v>
      </c>
    </row>
    <row r="84" spans="1:8" x14ac:dyDescent="0.2">
      <c r="A84" s="20" t="s">
        <v>22</v>
      </c>
      <c r="B84" s="28">
        <f>SUM(_xlfn.XLOOKUP(A84,'ACE-1.1'!$A$22:$A$27,'ACE-1.1'!$B$22:$M$27))</f>
        <v>1577079130.1566045</v>
      </c>
      <c r="C84" s="28"/>
      <c r="D84" s="24">
        <f t="shared" si="12"/>
        <v>4678606.8636388239</v>
      </c>
      <c r="E84" s="42">
        <f t="shared" si="13"/>
        <v>2.97E-3</v>
      </c>
      <c r="F84" s="42"/>
      <c r="G84" s="24">
        <f>B$78*_xlfn.XLOOKUP(A84,'ACE-1.1'!$A$34:$A$39,'ACE-1.1'!$C$34:$C$39)</f>
        <v>4649156.0774217891</v>
      </c>
      <c r="H84" s="43">
        <f t="shared" si="14"/>
        <v>2.9499999999999999E-3</v>
      </c>
    </row>
    <row r="85" spans="1:8" x14ac:dyDescent="0.2">
      <c r="A85" s="20" t="s">
        <v>23</v>
      </c>
      <c r="B85" s="28">
        <f>SUM(_xlfn.XLOOKUP(A85,'ACE-1.1'!$A$22:$A$27,'ACE-1.1'!$B$22:$M$27))</f>
        <v>422771291.58250016</v>
      </c>
      <c r="C85" s="28"/>
      <c r="D85" s="24">
        <f t="shared" si="12"/>
        <v>1254205.0863046558</v>
      </c>
      <c r="E85" s="42">
        <f t="shared" si="13"/>
        <v>2.97E-3</v>
      </c>
      <c r="F85" s="42"/>
      <c r="G85" s="24">
        <f>B$78*_xlfn.XLOOKUP(A85,'ACE-1.1'!$A$34:$A$39,'ACE-1.1'!$C$34:$C$39)</f>
        <v>1258115.2361737518</v>
      </c>
      <c r="H85" s="43">
        <f t="shared" si="14"/>
        <v>2.98E-3</v>
      </c>
    </row>
    <row r="86" spans="1:8" x14ac:dyDescent="0.2">
      <c r="A86" s="20" t="s">
        <v>24</v>
      </c>
      <c r="B86" s="28">
        <f>SUM(_xlfn.XLOOKUP(A86,'ACE-1.1'!$A$22:$A$27,'ACE-1.1'!$B$22:$M$27))</f>
        <v>3852309.3686091742</v>
      </c>
      <c r="C86" s="28"/>
      <c r="D86" s="24">
        <f t="shared" si="12"/>
        <v>11428.368246205431</v>
      </c>
      <c r="E86" s="42">
        <f t="shared" si="13"/>
        <v>2.97E-3</v>
      </c>
      <c r="F86" s="42"/>
      <c r="G86" s="24">
        <f>B$78*_xlfn.XLOOKUP(A86,'ACE-1.1'!$A$34:$A$39,'ACE-1.1'!$C$34:$C$39)</f>
        <v>11927.286605550031</v>
      </c>
      <c r="H86" s="43">
        <f t="shared" si="14"/>
        <v>3.0999999999999999E-3</v>
      </c>
    </row>
    <row r="87" spans="1:8" x14ac:dyDescent="0.2">
      <c r="A87" s="20" t="s">
        <v>25</v>
      </c>
      <c r="B87" s="28">
        <f>SUM(_xlfn.XLOOKUP(A87,'ACE-1.1'!$A$22:$A$27,'ACE-1.1'!$B$22:$M$27))</f>
        <v>8598210</v>
      </c>
      <c r="C87" s="28"/>
      <c r="D87" s="24">
        <f t="shared" si="12"/>
        <v>25507.689215957951</v>
      </c>
      <c r="E87" s="42">
        <f t="shared" si="13"/>
        <v>2.97E-3</v>
      </c>
      <c r="F87" s="42"/>
      <c r="G87" s="24">
        <f>B$78*_xlfn.XLOOKUP(A87,'ACE-1.1'!$A$34:$A$39,'ACE-1.1'!$C$34:$C$39)</f>
        <v>25901.320469898037</v>
      </c>
      <c r="H87" s="43">
        <f t="shared" si="14"/>
        <v>3.0100000000000001E-3</v>
      </c>
    </row>
    <row r="88" spans="1:8" ht="16" thickBot="1" x14ac:dyDescent="0.25">
      <c r="A88" s="21" t="s">
        <v>26</v>
      </c>
      <c r="B88" s="44">
        <f>SUM(B82:B87)</f>
        <v>3038307285.7177844</v>
      </c>
      <c r="C88" s="44"/>
      <c r="D88" s="45">
        <f>SUM(D82:D87)</f>
        <v>9013527.0000000019</v>
      </c>
      <c r="E88" s="46"/>
      <c r="F88" s="46"/>
      <c r="G88" s="45">
        <f>SUM(G82:G87)</f>
        <v>9013526.9999999981</v>
      </c>
      <c r="H88" s="47"/>
    </row>
  </sheetData>
  <mergeCells count="10">
    <mergeCell ref="D63:E63"/>
    <mergeCell ref="G63:H63"/>
    <mergeCell ref="D80:E80"/>
    <mergeCell ref="G80:H80"/>
    <mergeCell ref="D12:E12"/>
    <mergeCell ref="G12:H12"/>
    <mergeCell ref="D29:E29"/>
    <mergeCell ref="G29:H29"/>
    <mergeCell ref="D46:E46"/>
    <mergeCell ref="G46:H46"/>
  </mergeCells>
  <pageMargins left="0.5" right="0.5" top="0.5" bottom="0.75" header="0" footer="0.25"/>
  <pageSetup fitToHeight="0" orientation="portrait" r:id="rId1"/>
  <headerFooter scaleWithDoc="0">
    <oddFooter>&amp;L&amp;10&amp;F     &amp;A</oddFooter>
  </headerFooter>
  <rowBreaks count="2" manualBreakCount="2">
    <brk id="38" max="16383" man="1"/>
    <brk id="7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6EBA-5DBA-43CE-84B1-8D64BB43FAF8}">
  <dimension ref="A1:H40"/>
  <sheetViews>
    <sheetView zoomScaleNormal="100" workbookViewId="0"/>
  </sheetViews>
  <sheetFormatPr baseColWidth="10" defaultColWidth="10" defaultRowHeight="15" x14ac:dyDescent="0.2"/>
  <cols>
    <col min="1" max="1" width="34.5" style="11" customWidth="1"/>
    <col min="2" max="2" width="12.6640625" style="11" bestFit="1" customWidth="1"/>
    <col min="3" max="3" width="11.5" style="11" bestFit="1" customWidth="1"/>
    <col min="4" max="4" width="14.83203125" style="11" customWidth="1"/>
    <col min="5" max="5" width="7.6640625" style="11" bestFit="1" customWidth="1"/>
    <col min="6" max="6" width="11.5" style="11" bestFit="1" customWidth="1"/>
    <col min="7" max="7" width="14.83203125" style="11" customWidth="1"/>
    <col min="8" max="8" width="7.6640625" style="11" bestFit="1" customWidth="1"/>
    <col min="9" max="9" width="2.5" style="11" customWidth="1"/>
    <col min="10" max="16384" width="10" style="11"/>
  </cols>
  <sheetData>
    <row r="1" spans="1:4" x14ac:dyDescent="0.2">
      <c r="A1" s="10" t="s">
        <v>0</v>
      </c>
    </row>
    <row r="2" spans="1:4" x14ac:dyDescent="0.2">
      <c r="A2" s="12" t="s">
        <v>12</v>
      </c>
    </row>
    <row r="3" spans="1:4" x14ac:dyDescent="0.2">
      <c r="A3" s="10" t="s">
        <v>66</v>
      </c>
    </row>
    <row r="4" spans="1:4" x14ac:dyDescent="0.2">
      <c r="A4" s="10"/>
    </row>
    <row r="6" spans="1:4" x14ac:dyDescent="0.2">
      <c r="A6" s="11" t="s">
        <v>67</v>
      </c>
    </row>
    <row r="7" spans="1:4" ht="16" thickBot="1" x14ac:dyDescent="0.25"/>
    <row r="8" spans="1:4" x14ac:dyDescent="0.2">
      <c r="A8" s="13" t="s">
        <v>68</v>
      </c>
      <c r="B8" s="15"/>
      <c r="C8" s="15"/>
      <c r="D8" s="16"/>
    </row>
    <row r="9" spans="1:4" x14ac:dyDescent="0.2">
      <c r="A9" s="20"/>
      <c r="B9" s="18" t="s">
        <v>69</v>
      </c>
      <c r="C9" s="18" t="s">
        <v>70</v>
      </c>
      <c r="D9" s="19" t="s">
        <v>71</v>
      </c>
    </row>
    <row r="10" spans="1:4" x14ac:dyDescent="0.2">
      <c r="A10" s="20" t="s">
        <v>72</v>
      </c>
      <c r="B10" s="48">
        <v>4.9314999999999998E-2</v>
      </c>
      <c r="C10" s="49">
        <f>365/12</f>
        <v>30.416666666666668</v>
      </c>
      <c r="D10" s="50">
        <f>ROUND(B10*C10,2)</f>
        <v>1.5</v>
      </c>
    </row>
    <row r="11" spans="1:4" x14ac:dyDescent="0.2">
      <c r="A11" s="20" t="s">
        <v>73</v>
      </c>
      <c r="B11" s="48">
        <v>5.5100000000000003E-2</v>
      </c>
      <c r="C11" s="28">
        <v>500</v>
      </c>
      <c r="D11" s="50">
        <f t="shared" ref="D11:D12" si="0">ROUND(B11*C11,2)</f>
        <v>27.55</v>
      </c>
    </row>
    <row r="12" spans="1:4" x14ac:dyDescent="0.2">
      <c r="A12" s="20" t="s">
        <v>74</v>
      </c>
      <c r="B12" s="48">
        <v>0.11118</v>
      </c>
      <c r="C12" s="28">
        <v>500</v>
      </c>
      <c r="D12" s="50">
        <f t="shared" si="0"/>
        <v>55.59</v>
      </c>
    </row>
    <row r="13" spans="1:4" ht="16" thickBot="1" x14ac:dyDescent="0.25">
      <c r="A13" s="21" t="s">
        <v>75</v>
      </c>
      <c r="B13" s="46"/>
      <c r="C13" s="46"/>
      <c r="D13" s="51">
        <f>SUM(D10:D12)</f>
        <v>84.64</v>
      </c>
    </row>
    <row r="14" spans="1:4" ht="16" thickBot="1" x14ac:dyDescent="0.25"/>
    <row r="15" spans="1:4" x14ac:dyDescent="0.2">
      <c r="A15" s="13" t="s">
        <v>76</v>
      </c>
      <c r="B15" s="15"/>
      <c r="C15" s="15"/>
      <c r="D15" s="16"/>
    </row>
    <row r="16" spans="1:4" x14ac:dyDescent="0.2">
      <c r="A16" s="20"/>
      <c r="B16" s="18" t="s">
        <v>77</v>
      </c>
      <c r="C16" s="18" t="s">
        <v>70</v>
      </c>
      <c r="D16" s="19" t="s">
        <v>71</v>
      </c>
    </row>
    <row r="17" spans="1:8" x14ac:dyDescent="0.2">
      <c r="A17" s="20" t="s">
        <v>72</v>
      </c>
      <c r="B17" s="48">
        <v>0.78583999999999998</v>
      </c>
      <c r="C17" s="49">
        <f>365/12</f>
        <v>30.416666666666668</v>
      </c>
      <c r="D17" s="50">
        <f>ROUND(B17*C17,2)</f>
        <v>23.9</v>
      </c>
    </row>
    <row r="18" spans="1:8" x14ac:dyDescent="0.2">
      <c r="A18" s="20" t="s">
        <v>73</v>
      </c>
      <c r="B18" s="48">
        <v>3.1150000000000001E-2</v>
      </c>
      <c r="C18" s="28">
        <v>1100</v>
      </c>
      <c r="D18" s="50">
        <f t="shared" ref="D18:D19" si="1">ROUND(B18*C18,2)</f>
        <v>34.270000000000003</v>
      </c>
    </row>
    <row r="19" spans="1:8" x14ac:dyDescent="0.2">
      <c r="A19" s="20" t="s">
        <v>74</v>
      </c>
      <c r="B19" s="48">
        <v>0.10704</v>
      </c>
      <c r="C19" s="28">
        <v>1100</v>
      </c>
      <c r="D19" s="50">
        <f t="shared" si="1"/>
        <v>117.74</v>
      </c>
    </row>
    <row r="20" spans="1:8" ht="16" thickBot="1" x14ac:dyDescent="0.25">
      <c r="A20" s="21" t="s">
        <v>75</v>
      </c>
      <c r="B20" s="46"/>
      <c r="C20" s="46"/>
      <c r="D20" s="51">
        <f>SUM(D17:D19)</f>
        <v>175.91</v>
      </c>
    </row>
    <row r="22" spans="1:8" x14ac:dyDescent="0.2">
      <c r="A22" s="11" t="s">
        <v>78</v>
      </c>
    </row>
    <row r="23" spans="1:8" ht="16" thickBot="1" x14ac:dyDescent="0.25"/>
    <row r="24" spans="1:8" x14ac:dyDescent="0.2">
      <c r="A24" s="13" t="s">
        <v>79</v>
      </c>
      <c r="B24" s="15"/>
      <c r="C24" s="15"/>
      <c r="D24" s="15"/>
      <c r="E24" s="15"/>
      <c r="F24" s="15"/>
      <c r="G24" s="15"/>
      <c r="H24" s="16"/>
    </row>
    <row r="25" spans="1:8" ht="15.75" customHeight="1" x14ac:dyDescent="0.2">
      <c r="A25" s="20"/>
      <c r="B25" s="18" t="s">
        <v>80</v>
      </c>
      <c r="C25" s="68" t="s">
        <v>81</v>
      </c>
      <c r="D25" s="68"/>
      <c r="E25" s="68"/>
      <c r="F25" s="68" t="s">
        <v>82</v>
      </c>
      <c r="G25" s="68"/>
      <c r="H25" s="69"/>
    </row>
    <row r="26" spans="1:8" x14ac:dyDescent="0.2">
      <c r="A26" s="17" t="s">
        <v>83</v>
      </c>
      <c r="B26" s="18" t="s">
        <v>84</v>
      </c>
      <c r="C26" s="18" t="s">
        <v>84</v>
      </c>
      <c r="D26" s="18" t="s">
        <v>85</v>
      </c>
      <c r="E26" s="18" t="s">
        <v>38</v>
      </c>
      <c r="F26" s="18" t="s">
        <v>84</v>
      </c>
      <c r="G26" s="18" t="s">
        <v>85</v>
      </c>
      <c r="H26" s="19" t="s">
        <v>38</v>
      </c>
    </row>
    <row r="27" spans="1:8" x14ac:dyDescent="0.2">
      <c r="A27" s="52" t="s">
        <v>86</v>
      </c>
      <c r="B27" s="53">
        <f>D$13</f>
        <v>84.64</v>
      </c>
      <c r="C27" s="54">
        <f>B27+D27</f>
        <v>101</v>
      </c>
      <c r="D27" s="53">
        <f>ROUND(C12*'[9]ACE-1.2'!E15,2)</f>
        <v>16.36</v>
      </c>
      <c r="E27" s="55">
        <f>C27/B27-1</f>
        <v>0.19328922495274092</v>
      </c>
      <c r="F27" s="53">
        <f>B27+G27</f>
        <v>102.46000000000001</v>
      </c>
      <c r="G27" s="53">
        <f>ROUND(C12*'[9]ACE-1.2'!H15,2)</f>
        <v>17.82</v>
      </c>
      <c r="H27" s="37">
        <f>F27/B27-1</f>
        <v>0.21053875236294894</v>
      </c>
    </row>
    <row r="28" spans="1:8" x14ac:dyDescent="0.2">
      <c r="A28" s="56" t="s">
        <v>87</v>
      </c>
      <c r="B28" s="53">
        <f t="shared" ref="B28:B31" si="2">D$13</f>
        <v>84.64</v>
      </c>
      <c r="C28" s="54">
        <f>B28+D28</f>
        <v>103.52</v>
      </c>
      <c r="D28" s="53">
        <f>ROUND(C12*'[9]ACE-1.2'!E32,2)</f>
        <v>18.88</v>
      </c>
      <c r="E28" s="55">
        <f>C28/B28-1</f>
        <v>0.22306238185255189</v>
      </c>
      <c r="F28" s="53">
        <f>B28+G28</f>
        <v>106.72</v>
      </c>
      <c r="G28" s="53">
        <f>ROUND(C12*'[9]ACE-1.2'!H32,2)</f>
        <v>22.08</v>
      </c>
      <c r="H28" s="37">
        <f>F28/B28-1</f>
        <v>0.26086956521739135</v>
      </c>
    </row>
    <row r="29" spans="1:8" x14ac:dyDescent="0.2">
      <c r="A29" s="20" t="s">
        <v>88</v>
      </c>
      <c r="B29" s="53">
        <f t="shared" si="2"/>
        <v>84.64</v>
      </c>
      <c r="C29" s="54">
        <f>B29+D29</f>
        <v>90.9</v>
      </c>
      <c r="D29" s="53">
        <f>ROUND(C12*'[9]ACE-1.2'!E49,2)</f>
        <v>6.26</v>
      </c>
      <c r="E29" s="55">
        <f>C29/B29-1</f>
        <v>7.3960302457466875E-2</v>
      </c>
      <c r="F29" s="53">
        <f>B29+G29</f>
        <v>91.39</v>
      </c>
      <c r="G29" s="53">
        <f>ROUND(C12*'[9]ACE-1.2'!H49,2)</f>
        <v>6.75</v>
      </c>
      <c r="H29" s="37">
        <f>F29/B29-1</f>
        <v>7.9749527410208021E-2</v>
      </c>
    </row>
    <row r="30" spans="1:8" x14ac:dyDescent="0.2">
      <c r="A30" s="20" t="s">
        <v>89</v>
      </c>
      <c r="B30" s="53">
        <f t="shared" si="2"/>
        <v>84.64</v>
      </c>
      <c r="C30" s="54">
        <f>B30+D30</f>
        <v>86.12</v>
      </c>
      <c r="D30" s="53">
        <f>ROUND(C12*'[9]ACE-1.2'!E66,2)</f>
        <v>1.48</v>
      </c>
      <c r="E30" s="55">
        <f>C30/B30-1</f>
        <v>1.7485822306238186E-2</v>
      </c>
      <c r="F30" s="53">
        <f>B30+G30</f>
        <v>86.18</v>
      </c>
      <c r="G30" s="53">
        <f>ROUND(C12*'[9]ACE-1.2'!H66,2)</f>
        <v>1.54</v>
      </c>
      <c r="H30" s="37">
        <f>F30/B30-1</f>
        <v>1.8194706994328902E-2</v>
      </c>
    </row>
    <row r="31" spans="1:8" ht="16" thickBot="1" x14ac:dyDescent="0.25">
      <c r="A31" s="21" t="s">
        <v>90</v>
      </c>
      <c r="B31" s="57">
        <f t="shared" si="2"/>
        <v>84.64</v>
      </c>
      <c r="C31" s="58">
        <f>B31+D31</f>
        <v>86.13</v>
      </c>
      <c r="D31" s="57">
        <f>ROUND(C12*'[9]ACE-1.2'!E83,2)</f>
        <v>1.49</v>
      </c>
      <c r="E31" s="59">
        <f>C31/B31-1</f>
        <v>1.7603969754253157E-2</v>
      </c>
      <c r="F31" s="57">
        <f>B31+G31</f>
        <v>86.19</v>
      </c>
      <c r="G31" s="57">
        <f>ROUND(C12*'[9]ACE-1.2'!H83,2)</f>
        <v>1.55</v>
      </c>
      <c r="H31" s="39">
        <f>F31/B31-1</f>
        <v>1.8312854442344095E-2</v>
      </c>
    </row>
    <row r="32" spans="1:8" ht="16" thickBot="1" x14ac:dyDescent="0.25"/>
    <row r="33" spans="1:8" x14ac:dyDescent="0.2">
      <c r="A33" s="13" t="s">
        <v>91</v>
      </c>
      <c r="B33" s="15"/>
      <c r="C33" s="15"/>
      <c r="D33" s="15"/>
      <c r="E33" s="15"/>
      <c r="F33" s="15"/>
      <c r="G33" s="15"/>
      <c r="H33" s="16"/>
    </row>
    <row r="34" spans="1:8" x14ac:dyDescent="0.2">
      <c r="A34" s="20"/>
      <c r="B34" s="18" t="s">
        <v>80</v>
      </c>
      <c r="C34" s="68" t="s">
        <v>81</v>
      </c>
      <c r="D34" s="68"/>
      <c r="E34" s="68"/>
      <c r="F34" s="68" t="s">
        <v>82</v>
      </c>
      <c r="G34" s="68"/>
      <c r="H34" s="69"/>
    </row>
    <row r="35" spans="1:8" x14ac:dyDescent="0.2">
      <c r="A35" s="17" t="s">
        <v>83</v>
      </c>
      <c r="B35" s="18" t="s">
        <v>84</v>
      </c>
      <c r="C35" s="18" t="s">
        <v>84</v>
      </c>
      <c r="D35" s="18" t="s">
        <v>85</v>
      </c>
      <c r="E35" s="18" t="s">
        <v>38</v>
      </c>
      <c r="F35" s="18" t="s">
        <v>84</v>
      </c>
      <c r="G35" s="18" t="s">
        <v>85</v>
      </c>
      <c r="H35" s="19" t="s">
        <v>38</v>
      </c>
    </row>
    <row r="36" spans="1:8" x14ac:dyDescent="0.2">
      <c r="A36" s="52" t="s">
        <v>86</v>
      </c>
      <c r="B36" s="53">
        <f>D$20</f>
        <v>175.91</v>
      </c>
      <c r="C36" s="54">
        <f>B36+D36</f>
        <v>211.9</v>
      </c>
      <c r="D36" s="53">
        <f>ROUND(C19*'[9]ACE-1.2'!E16,2)</f>
        <v>35.99</v>
      </c>
      <c r="E36" s="55">
        <f>C36/B36-1</f>
        <v>0.20459325791597971</v>
      </c>
      <c r="F36" s="53">
        <f>B36+G36</f>
        <v>215.37</v>
      </c>
      <c r="G36" s="53">
        <f>ROUND(C19*'[9]ACE-1.2'!H16,2)</f>
        <v>39.46</v>
      </c>
      <c r="H36" s="37">
        <f>F36/B36-1</f>
        <v>0.22431925416406129</v>
      </c>
    </row>
    <row r="37" spans="1:8" x14ac:dyDescent="0.2">
      <c r="A37" s="56" t="s">
        <v>87</v>
      </c>
      <c r="B37" s="53">
        <f t="shared" ref="B37:B40" si="3">D$20</f>
        <v>175.91</v>
      </c>
      <c r="C37" s="54">
        <f>B37+D37</f>
        <v>217.45</v>
      </c>
      <c r="D37" s="53">
        <f>ROUND(C19*'[9]ACE-1.2'!E33,2)</f>
        <v>41.54</v>
      </c>
      <c r="E37" s="55">
        <f>C37/B37-1</f>
        <v>0.23614348246262296</v>
      </c>
      <c r="F37" s="53">
        <f>B37+G37</f>
        <v>223.01999999999998</v>
      </c>
      <c r="G37" s="53">
        <f>ROUND(C19*'[9]ACE-1.2'!H33,2)</f>
        <v>47.11</v>
      </c>
      <c r="H37" s="37">
        <f>F37/B37-1</f>
        <v>0.26780740151213678</v>
      </c>
    </row>
    <row r="38" spans="1:8" x14ac:dyDescent="0.2">
      <c r="A38" s="20" t="s">
        <v>88</v>
      </c>
      <c r="B38" s="53">
        <f t="shared" si="3"/>
        <v>175.91</v>
      </c>
      <c r="C38" s="54">
        <f>B38+D38</f>
        <v>189.67</v>
      </c>
      <c r="D38" s="53">
        <f>ROUND(C19*'[9]ACE-1.2'!E50,2)</f>
        <v>13.76</v>
      </c>
      <c r="E38" s="55">
        <f>C38/B38-1</f>
        <v>7.822181797510086E-2</v>
      </c>
      <c r="F38" s="53">
        <f>B38+G38</f>
        <v>190.01</v>
      </c>
      <c r="G38" s="53">
        <f>ROUND(C19*'[9]ACE-1.2'!H50,2)</f>
        <v>14.1</v>
      </c>
      <c r="H38" s="37">
        <f>F38/B38-1</f>
        <v>8.0154624523904205E-2</v>
      </c>
    </row>
    <row r="39" spans="1:8" x14ac:dyDescent="0.2">
      <c r="A39" s="20" t="s">
        <v>89</v>
      </c>
      <c r="B39" s="53">
        <f t="shared" si="3"/>
        <v>175.91</v>
      </c>
      <c r="C39" s="54">
        <f>B39+D39</f>
        <v>179.16</v>
      </c>
      <c r="D39" s="53">
        <f>ROUND(C19*'[9]ACE-1.2'!E67,2)</f>
        <v>3.25</v>
      </c>
      <c r="E39" s="55">
        <f>C39/B39-1</f>
        <v>1.84753567165028E-2</v>
      </c>
      <c r="F39" s="53">
        <f>B39+G39</f>
        <v>178.89</v>
      </c>
      <c r="G39" s="53">
        <f>ROUND(C19*'[9]ACE-1.2'!H67,2)</f>
        <v>2.98</v>
      </c>
      <c r="H39" s="37">
        <f>F39/B39-1</f>
        <v>1.6940480927747137E-2</v>
      </c>
    </row>
    <row r="40" spans="1:8" ht="16" thickBot="1" x14ac:dyDescent="0.25">
      <c r="A40" s="21" t="s">
        <v>90</v>
      </c>
      <c r="B40" s="57">
        <f t="shared" si="3"/>
        <v>175.91</v>
      </c>
      <c r="C40" s="58">
        <f>B40+D40</f>
        <v>179.18</v>
      </c>
      <c r="D40" s="57">
        <f>ROUND(C19*'[9]ACE-1.2'!E84,2)</f>
        <v>3.27</v>
      </c>
      <c r="E40" s="59">
        <f>C40/B40-1</f>
        <v>1.8589051219373598E-2</v>
      </c>
      <c r="F40" s="57">
        <f>B40+G40</f>
        <v>178.79999999999998</v>
      </c>
      <c r="G40" s="57">
        <f>ROUND(C19*'[9]ACE-1.2'!H84,2)</f>
        <v>2.89</v>
      </c>
      <c r="H40" s="39">
        <f>F40/B40-1</f>
        <v>1.6428855664828435E-2</v>
      </c>
    </row>
  </sheetData>
  <mergeCells count="4">
    <mergeCell ref="C25:E25"/>
    <mergeCell ref="F25:H25"/>
    <mergeCell ref="C34:E34"/>
    <mergeCell ref="F34:H34"/>
  </mergeCells>
  <pageMargins left="0.5" right="0.5" top="0.5" bottom="0.75" header="0" footer="0.25"/>
  <pageSetup scale="85" fitToHeight="0" orientation="landscape" r:id="rId1"/>
  <headerFooter scaleWithDoc="0">
    <oddFooter>&amp;L&amp;10&amp;F     &amp;A</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Cover Sheet</vt:lpstr>
      <vt:lpstr>ACE-1.1</vt:lpstr>
      <vt:lpstr>ACE-1.2</vt:lpstr>
      <vt:lpstr>ACE-1.6</vt:lpstr>
      <vt:lpstr>'ACE-1.1'!Print_Area</vt:lpstr>
      <vt:lpstr>'ACE-1.2'!Print_Area</vt:lpstr>
      <vt:lpstr>'ACE-1.6'!Print_Area</vt:lpstr>
      <vt:lpstr>'Cover Sheet'!Print_Area</vt:lpstr>
      <vt:lpstr>'ACE-1.2'!Print_Titles</vt:lpstr>
      <vt:lpstr>'Cover Sheet'!Print_Titles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Rhone, Stacy</dc:creator>
  <cp:lastModifiedBy>Cheng Feng</cp:lastModifiedBy>
  <cp:lastPrinted>2023-05-18T19:31:22Z</cp:lastPrinted>
  <dcterms:created xsi:type="dcterms:W3CDTF">2022-03-09T20:15:40Z</dcterms:created>
  <dcterms:modified xsi:type="dcterms:W3CDTF">2025-09-17T15:23:51Z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