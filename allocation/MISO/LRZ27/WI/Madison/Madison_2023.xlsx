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defaultThemeVersion="166925"/>
  <mc:AlternateContent xmlns:mc="http://schemas.openxmlformats.org/markup-compatibility/2006">
    <mc:Choice Requires="x15">
      <x15ac:absPath xmlns:x15ac="http://schemas.microsoft.com/office/spreadsheetml/2010/11/ac" url="/Users/victorfeng/Desktop/"/>
    </mc:Choice>
  </mc:AlternateContent>
  <xr:revisionPtr revIDLastSave="0" documentId="8_{AD570372-EEC8-D545-B821-A7A3040F5497}" xr6:coauthVersionLast="47" xr6:coauthVersionMax="47" xr10:uidLastSave="{00000000-0000-0000-0000-000000000000}"/>
  <bookViews>
    <workbookView xWindow="0" yWindow="500" windowWidth="38400" windowHeight="21100" activeTab="1" xr2:uid="{C352236C-EFA6-4BAB-8D5E-7C7085B935B8}"/>
  </bookViews>
  <sheets>
    <sheet name="Cover Sheet" sheetId="1" r:id="rId1"/>
    <sheet name="MMG-1.1a" sheetId="5" r:id="rId2"/>
    <sheet name="MMG-1.1b" sheetId="6" r:id="rId3"/>
    <sheet name="MMG-1.3a" sheetId="7" r:id="rId4"/>
    <sheet name="MMG-1.3b" sheetId="8" r:id="rId5"/>
    <sheet name="MMG-1.3c" sheetId="9" r:id="rId6"/>
    <sheet name="MMG-1.3d" sheetId="10" r:id="rId7"/>
    <sheet name="Bill Factor Codes" sheetId="12"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__123Graph_E" hidden="1">'[3]Gas Inputs'!#REF!</definedName>
    <definedName name="_31_Dec_00">#REF!</definedName>
    <definedName name="_31_Jan_01">#REF!</definedName>
    <definedName name="_A77777">#REF!</definedName>
    <definedName name="_Fill" hidden="1">#REF!</definedName>
    <definedName name="_JE1">#REF!</definedName>
    <definedName name="_JE2">#REF!</definedName>
    <definedName name="_JE3">#REF!</definedName>
    <definedName name="_JE4">#REF!</definedName>
    <definedName name="_JE5">#REF!</definedName>
    <definedName name="_JE6">#REF!</definedName>
    <definedName name="_JE7">#REF!</definedName>
    <definedName name="_JE8">#REF!</definedName>
    <definedName name="_JE9">#REF!</definedName>
    <definedName name="_Key1" hidden="1">#REF!</definedName>
    <definedName name="_Key2" hidden="1">#REF!</definedName>
    <definedName name="_Order1" hidden="1">255</definedName>
    <definedName name="_Order2" hidden="1">255</definedName>
    <definedName name="_Regression_Int" hidden="1">1</definedName>
    <definedName name="_Regression_Out" hidden="1">#REF!</definedName>
    <definedName name="_Regression_X" hidden="1">#REF!</definedName>
    <definedName name="_Regression_Y" hidden="1">#REF!</definedName>
    <definedName name="_Sort" hidden="1">#REF!</definedName>
    <definedName name="\A">#REF!</definedName>
    <definedName name="\B" localSheetId="3">[1]BILLING!#REF!</definedName>
    <definedName name="\B" localSheetId="4">[1]BILLING!#REF!</definedName>
    <definedName name="\B" localSheetId="5">[1]BILLING!#REF!</definedName>
    <definedName name="\B" localSheetId="6">[1]BILLING!#REF!</definedName>
    <definedName name="\B">[1]BILLING!#REF!</definedName>
    <definedName name="\C">#REF!</definedName>
    <definedName name="\D" localSheetId="3">#REF!</definedName>
    <definedName name="\D" localSheetId="4">#REF!</definedName>
    <definedName name="\D" localSheetId="5">#REF!</definedName>
    <definedName name="\D" localSheetId="6">#REF!</definedName>
    <definedName name="\D">#REF!</definedName>
    <definedName name="\E" localSheetId="3">[1]BILLING!#REF!</definedName>
    <definedName name="\E" localSheetId="4">[1]BILLING!#REF!</definedName>
    <definedName name="\E" localSheetId="5">[1]BILLING!#REF!</definedName>
    <definedName name="\E" localSheetId="6">[1]BILLING!#REF!</definedName>
    <definedName name="\E">[1]BILLING!#REF!</definedName>
    <definedName name="\J" localSheetId="3">#REF!</definedName>
    <definedName name="\J" localSheetId="4">#REF!</definedName>
    <definedName name="\J" localSheetId="5">#REF!</definedName>
    <definedName name="\J" localSheetId="6">#REF!</definedName>
    <definedName name="\J">#REF!</definedName>
    <definedName name="\K" localSheetId="3">[1]BILLING!#REF!</definedName>
    <definedName name="\K" localSheetId="4">[1]BILLING!#REF!</definedName>
    <definedName name="\K" localSheetId="5">[1]BILLING!#REF!</definedName>
    <definedName name="\K" localSheetId="6">[1]BILLING!#REF!</definedName>
    <definedName name="\K">[1]BILLING!#REF!</definedName>
    <definedName name="\L">'[2]ST Debt_Int'!#REF!</definedName>
    <definedName name="\M" localSheetId="3">[1]BILLING!#REF!</definedName>
    <definedName name="\M" localSheetId="4">[1]BILLING!#REF!</definedName>
    <definedName name="\M" localSheetId="5">[1]BILLING!#REF!</definedName>
    <definedName name="\M" localSheetId="6">[1]BILLING!#REF!</definedName>
    <definedName name="\M">[1]BILLING!#REF!</definedName>
    <definedName name="\P">[1]BILLING!#REF!</definedName>
    <definedName name="\S">[1]BILLING!#REF!</definedName>
    <definedName name="\T">[1]BILLING!#REF!</definedName>
    <definedName name="\U">[1]BILLING!#REF!</definedName>
    <definedName name="\Z">[1]BILLING!#REF!</definedName>
    <definedName name="aBlackAECostRecov_IPL">'[4]Risk Drivers-Input'!#REF!</definedName>
    <definedName name="aBlackAECostRecov_WPL">'[4]Risk Drivers-Input'!#REF!</definedName>
    <definedName name="aBlackAELegalRecov_IPL">'[4]Risk Drivers-Input'!#REF!</definedName>
    <definedName name="aBlackAELegalRecov_WPL">'[4]Risk Drivers-Input'!#REF!</definedName>
    <definedName name="aBlackOthCostRecov_IPL">'[4]Risk Drivers-Input'!#REF!</definedName>
    <definedName name="aBlackOthCostRecov_WPL">'[4]Risk Drivers-Input'!#REF!</definedName>
    <definedName name="aBlackOthLegalRecov_IPL">'[4]Risk Drivers-Input'!#REF!</definedName>
    <definedName name="aBlackOthLegalRecov_WPL">'[4]Risk Drivers-Input'!#REF!</definedName>
    <definedName name="aBoilerLossRecov_6th">'[4]Risk Drivers-Input'!#REF!</definedName>
    <definedName name="aBoilerLossRecov_PC">'[4]Risk Drivers-Input'!#REF!</definedName>
    <definedName name="aCoalPrChinaImpact_05">'[4]Risk Drivers-Input'!#REF!</definedName>
    <definedName name="aCoalPrChinaImpact_06">'[4]Risk Drivers-Input'!#REF!</definedName>
    <definedName name="ActualsTable">#REF!</definedName>
    <definedName name="ActualsTableSA">'[5]Servco AER Expend Model'!#REF!</definedName>
    <definedName name="ActualsTableSI">#REF!</definedName>
    <definedName name="AEC_3yrbs">#REF!</definedName>
    <definedName name="AEC_3yrcf">#REF!</definedName>
    <definedName name="AEC_3yris">#REF!</definedName>
    <definedName name="AEC_3yrkrd">#REF!</definedName>
    <definedName name="AEC_3yrkrs">#REF!</definedName>
    <definedName name="AEC_3yrsu">#REF!</definedName>
    <definedName name="AEC_3yrsummary">#REF!</definedName>
    <definedName name="AEC_AnnualBS">#REF!</definedName>
    <definedName name="AEC_AnnualBS_PrintRows">#REF!</definedName>
    <definedName name="AEC_AnnualCF">#REF!</definedName>
    <definedName name="AEC_AnnualCF_PrintRows">#REF!</definedName>
    <definedName name="AEC_AnnualIS">#REF!</definedName>
    <definedName name="AEC_AnnualIS_PrintRows">#REF!</definedName>
    <definedName name="AEC_AnnualKRD">#REF!</definedName>
    <definedName name="AEC_AnnualKRD_PrintRows">#REF!</definedName>
    <definedName name="AEC_AnnualKRS">#REF!</definedName>
    <definedName name="AEC_AnnualKRS_PrintRows">#REF!</definedName>
    <definedName name="AEC_AnnualSU">#REF!</definedName>
    <definedName name="AEC_AnnualSU_PrintRows">#REF!</definedName>
    <definedName name="AEC_MonthlyBS_PrintRows">#REF!</definedName>
    <definedName name="AEC_MonthlyBS_Year1">#REF!</definedName>
    <definedName name="AEC_MonthlyBS_Year2">#REF!</definedName>
    <definedName name="AEC_MonthlyBS_Year3">#REF!</definedName>
    <definedName name="AEC_MonthlyCF_PrintRows">#REF!</definedName>
    <definedName name="AEC_MonthlyCF_Year1">#REF!</definedName>
    <definedName name="AEC_MonthlyCF_Year2">#REF!</definedName>
    <definedName name="AEC_MonthlyCF_Year3">#REF!</definedName>
    <definedName name="AEC_MonthlyIS_PrintRows">#REF!</definedName>
    <definedName name="AEC_MonthlyIS_Year1">#REF!</definedName>
    <definedName name="AEC_MonthlyIS_Year2">#REF!</definedName>
    <definedName name="AEC_MonthlyIS_Year3">#REF!</definedName>
    <definedName name="AEC_MonthlyKRD_PrintRows">#REF!</definedName>
    <definedName name="AEC_MonthlyKRD_Year1">#REF!</definedName>
    <definedName name="AEC_MonthlyKRD_Year2">#REF!</definedName>
    <definedName name="AEC_MonthlyKRD_Year3">#REF!</definedName>
    <definedName name="AEC_MonthlyKRS_PrintRows">#REF!</definedName>
    <definedName name="AEC_MonthlyKRS_Year1">#REF!</definedName>
    <definedName name="AEC_MonthlyKRS_Year2">#REF!</definedName>
    <definedName name="AEC_MonthlyKRS_Year3">#REF!</definedName>
    <definedName name="AEC_MonthlySU_PrintRows">#REF!</definedName>
    <definedName name="AEC_MonthlySU_Year1">#REF!</definedName>
    <definedName name="AEC_MonthlySU_Year2">#REF!</definedName>
    <definedName name="AEC_MonthlySU_Year3">#REF!</definedName>
    <definedName name="AEC_QuarterlyBS">#REF!</definedName>
    <definedName name="AEC_QuarterlyBS_Year1">#REF!</definedName>
    <definedName name="AEC_QuarterlyBS_Year2">#REF!</definedName>
    <definedName name="AEC_QuarterlyBS_Year3">#REF!</definedName>
    <definedName name="AEC_QuarterlyCF">#REF!</definedName>
    <definedName name="AEC_QuarterlyCF_Year1">#REF!</definedName>
    <definedName name="AEC_QuarterlyCF_Year2">#REF!</definedName>
    <definedName name="AEC_QuarterlyCF_Year3">#REF!</definedName>
    <definedName name="AEC_QuarterlyIS">#REF!</definedName>
    <definedName name="AEC_QuarterlyIS_Year1">#REF!</definedName>
    <definedName name="AEC_QuarterlyIS_Year2">#REF!</definedName>
    <definedName name="AEC_QuarterlyIS_Year3">#REF!</definedName>
    <definedName name="AEC_QuarterlyKRD">#REF!</definedName>
    <definedName name="AEC_QuarterlyKRS">#REF!</definedName>
    <definedName name="AEC_Summary">#REF!</definedName>
    <definedName name="AEC_Summary_PrintRows">#REF!</definedName>
    <definedName name="AEC_VARIANCE_BS">#REF!</definedName>
    <definedName name="AEC_VARIANCE_BS_PrintRows">#REF!</definedName>
    <definedName name="AEC_VARIANCE_CF">#REF!</definedName>
    <definedName name="AEC_VARIANCE_CF_PrintRows">#REF!</definedName>
    <definedName name="AEC_VARIANCE_IS">#REF!</definedName>
    <definedName name="AEC_VARIANCE_IS_PrintRows">#REF!</definedName>
    <definedName name="AEC_VARIANCE_QBS">#REF!</definedName>
    <definedName name="AEC_VARIANCE_QBS_PrintRows">#REF!</definedName>
    <definedName name="AEC_VARIANCE_QCF">#REF!</definedName>
    <definedName name="AEC_VARIANCE_QCF_PrintRows">#REF!</definedName>
    <definedName name="AEC_VARIANCE_QIS">#REF!</definedName>
    <definedName name="AEC_VARIANCE_QIS_PrintRows">#REF!</definedName>
    <definedName name="AER_3yrbs">#REF!</definedName>
    <definedName name="AER_3yrcf">#REF!</definedName>
    <definedName name="AER_3yris">#REF!</definedName>
    <definedName name="AER_3yrkrd">#REF!</definedName>
    <definedName name="AER_3yrkrs">#REF!</definedName>
    <definedName name="AER_3yrsu">#REF!</definedName>
    <definedName name="AER_3yrsummary">#REF!</definedName>
    <definedName name="AER_AnnualBS">#REF!</definedName>
    <definedName name="AER_AnnualBS_PrintRows">#REF!</definedName>
    <definedName name="AER_AnnualCF">#REF!</definedName>
    <definedName name="AER_AnnualCF_PrintRows">#REF!</definedName>
    <definedName name="AER_AnnualIS">#REF!</definedName>
    <definedName name="AER_AnnualIS_PrintRows">#REF!</definedName>
    <definedName name="AER_AnnualKRD">#REF!</definedName>
    <definedName name="AER_AnnualKRD_PrintRows">#REF!</definedName>
    <definedName name="AER_AnnualKRS">#REF!</definedName>
    <definedName name="AER_AnnualKRS_PrintRows">#REF!</definedName>
    <definedName name="AER_AnnualSU">#REF!</definedName>
    <definedName name="AER_AnnualSU_PrintRows">#REF!</definedName>
    <definedName name="AER_MonthlyBS_PrintRows">#REF!</definedName>
    <definedName name="AER_MonthlyBS_PrintRowsx">#REF!</definedName>
    <definedName name="AER_MonthlyBS_Year1">#REF!</definedName>
    <definedName name="AER_MonthlyBS_Year2">#REF!</definedName>
    <definedName name="AER_MonthlyBS_Year3">#REF!</definedName>
    <definedName name="AER_MonthlyCF_PrintRows">#REF!</definedName>
    <definedName name="AER_MonthlyCF_Year1">#REF!</definedName>
    <definedName name="AER_MonthlyCF_Year2">#REF!</definedName>
    <definedName name="AER_MonthlyCF_Year3">#REF!</definedName>
    <definedName name="AER_MonthlyIS_PrintRows">#REF!</definedName>
    <definedName name="AER_MonthlyIS_Year1">#REF!</definedName>
    <definedName name="AER_MonthlyIS_Year2">#REF!</definedName>
    <definedName name="AER_MonthlyIS_Year3">#REF!</definedName>
    <definedName name="AER_MonthlyKRD_PrintRows">#REF!</definedName>
    <definedName name="AER_MonthlyKRD_Year1">#REF!</definedName>
    <definedName name="AER_MonthlyKRD_Year2">#REF!</definedName>
    <definedName name="AER_MonthlyKRD_Year3">#REF!</definedName>
    <definedName name="AER_MonthlyKRS_PrintRows">#REF!</definedName>
    <definedName name="AER_MonthlyKRS_Year1">#REF!</definedName>
    <definedName name="AER_MonthlyKRS_Year2">#REF!</definedName>
    <definedName name="AER_MonthlyKRS_Year3">#REF!</definedName>
    <definedName name="AER_MonthlySU_PrintRows">#REF!</definedName>
    <definedName name="AER_MonthlySU_Year1">#REF!</definedName>
    <definedName name="AER_MonthlySU_Year2">#REF!</definedName>
    <definedName name="AER_MonthlySU_Year3">#REF!</definedName>
    <definedName name="AER_Paste">#REF!</definedName>
    <definedName name="AER_QuarterlyBS">#REF!</definedName>
    <definedName name="AER_QuarterlyBS_Year1">#REF!</definedName>
    <definedName name="AER_QuarterlyBS_Year2">#REF!</definedName>
    <definedName name="AER_QuarterlyBS_Year3">#REF!</definedName>
    <definedName name="AER_QuarterlyCF">#REF!</definedName>
    <definedName name="AER_QuarterlyCF_Year1">#REF!</definedName>
    <definedName name="AER_QuarterlyCF_Year2">#REF!</definedName>
    <definedName name="AER_QuarterlyCF_Year3">#REF!</definedName>
    <definedName name="AER_QuarterlyIS">#REF!</definedName>
    <definedName name="AER_QuarterlyIS_Year1">#REF!</definedName>
    <definedName name="AER_QuarterlyIS_Year2">#REF!</definedName>
    <definedName name="AER_QuarterlyIS_Year3">#REF!</definedName>
    <definedName name="AER_QuarterlyKRD">#REF!</definedName>
    <definedName name="AER_QuarterlyKRS">#REF!</definedName>
    <definedName name="AER_Summary">#REF!</definedName>
    <definedName name="AER_Summary_PrintRows">#REF!</definedName>
    <definedName name="AER_VARIANCE_BS">#REF!</definedName>
    <definedName name="AER_VARIANCE_BS_PrintRows">#REF!</definedName>
    <definedName name="AER_VARIANCE_CF">#REF!</definedName>
    <definedName name="AER_VARIANCE_CF_PrintRows">#REF!</definedName>
    <definedName name="AER_VARIANCE_IS">#REF!</definedName>
    <definedName name="AER_VARIANCE_IS_PrintRows">#REF!</definedName>
    <definedName name="AER_VARIANCE_QBS">#REF!</definedName>
    <definedName name="AER_VARIANCE_QBS_PrintRows">#REF!</definedName>
    <definedName name="AER_VARIANCE_QCF">#REF!</definedName>
    <definedName name="AER_VARIANCE_QCF_PrintRows">#REF!</definedName>
    <definedName name="AER_VARIANCE_QIS">#REF!</definedName>
    <definedName name="AER_VARIANCE_QIS_PrintRows">#REF!</definedName>
    <definedName name="AERAdj_3yrbs">#REF!</definedName>
    <definedName name="AERAdj_3yrcf">#REF!</definedName>
    <definedName name="AERAdj_3yris">#REF!</definedName>
    <definedName name="AERAdj_3yrkrd">#REF!</definedName>
    <definedName name="AERAdj_3yrkrs">#REF!</definedName>
    <definedName name="AERAdj_3yrsu">#REF!</definedName>
    <definedName name="AERAdj_3yrsummary">#REF!</definedName>
    <definedName name="AERAdj_AnnualBS">#REF!</definedName>
    <definedName name="AERAdj_AnnualBS_PrintRows">#REF!</definedName>
    <definedName name="AERAdj_AnnualCF">#REF!</definedName>
    <definedName name="AERAdj_AnnualCF_PrintRows">#REF!</definedName>
    <definedName name="AERAdj_AnnualIS">#REF!</definedName>
    <definedName name="AERAdj_AnnualIS_PrintRows">#REF!</definedName>
    <definedName name="AERAdj_AnnualKRD">#REF!</definedName>
    <definedName name="AERAdj_AnnualKRD_PrintRows">#REF!</definedName>
    <definedName name="AERAdj_AnnualKRS">#REF!</definedName>
    <definedName name="AERAdj_AnnualKRS_PrintRows">#REF!</definedName>
    <definedName name="AERAdj_AnnualSU">#REF!</definedName>
    <definedName name="AERAdj_AnnualSU_PrintRows">#REF!</definedName>
    <definedName name="AERAdj_MonthlyBS_PrintRows">#REF!</definedName>
    <definedName name="AERAdj_MonthlyBS_Year1">#REF!</definedName>
    <definedName name="AERAdj_MonthlyBS_Year2">#REF!</definedName>
    <definedName name="AERAdj_MonthlyBS_Year3">#REF!</definedName>
    <definedName name="AERAdj_MonthlyCF_PrintRows">#REF!</definedName>
    <definedName name="AERAdj_MonthlyCF_Year1">#REF!</definedName>
    <definedName name="AERAdj_MonthlyCF_Year2">#REF!</definedName>
    <definedName name="AERAdj_MonthlyCF_Year3">#REF!</definedName>
    <definedName name="AERAdj_MonthlyIS_PrintRows">#REF!</definedName>
    <definedName name="AERAdj_MonthlyIS_Year1">#REF!</definedName>
    <definedName name="AERAdj_MonthlyIS_Year2">#REF!</definedName>
    <definedName name="AERAdj_MonthlyIS_Year3">#REF!</definedName>
    <definedName name="AERAdj_MonthlyKRD_PrintRows">#REF!</definedName>
    <definedName name="AERAdj_MonthlyKRD_Year1">#REF!</definedName>
    <definedName name="AERAdj_MonthlyKRD_Year2">#REF!</definedName>
    <definedName name="AERAdj_MonthlyKRD_Year3">#REF!</definedName>
    <definedName name="AERAdj_MonthlyKRS_PrintRows">#REF!</definedName>
    <definedName name="AERAdj_MonthlyKRS_Year1">#REF!</definedName>
    <definedName name="AERAdj_MonthlyKRS_Year2">#REF!</definedName>
    <definedName name="AERAdj_MonthlyKRS_Year3">#REF!</definedName>
    <definedName name="AERAdj_MonthlySU_PrintRows">#REF!</definedName>
    <definedName name="AERAdj_MonthlySU_Year1">#REF!</definedName>
    <definedName name="AERAdj_MonthlySU_Year2">#REF!</definedName>
    <definedName name="AERAdj_MonthlySU_Year3">#REF!</definedName>
    <definedName name="AERAdj_QuarterlyBS">#REF!</definedName>
    <definedName name="AERAdj_QuarterlyBS_Year1">#REF!</definedName>
    <definedName name="AERAdj_QuarterlyBS_Year2">#REF!</definedName>
    <definedName name="AERAdj_QuarterlyBS_Year3">#REF!</definedName>
    <definedName name="AERAdj_QuarterlyCF">#REF!</definedName>
    <definedName name="AERAdj_QuarterlyCF_Year1">#REF!</definedName>
    <definedName name="AERAdj_QuarterlyCF_Year2">#REF!</definedName>
    <definedName name="AERAdj_QuarterlyCF_Year3">#REF!</definedName>
    <definedName name="AERAdj_QuarterlyIS">#REF!</definedName>
    <definedName name="AERAdj_QuarterlyIS_Year1">#REF!</definedName>
    <definedName name="AERAdj_QuarterlyIS_Year2">#REF!</definedName>
    <definedName name="AERAdj_QuarterlyIS_Year3">#REF!</definedName>
    <definedName name="AERAdj_QuarterlyKRD">#REF!</definedName>
    <definedName name="AERAdj_QuarterlyKRS">#REF!</definedName>
    <definedName name="AERAdj_Summary">#REF!</definedName>
    <definedName name="AERAdj_Summary_PrintRows">#REF!</definedName>
    <definedName name="AERConsolAlt_OMDetail_annual">#REF!</definedName>
    <definedName name="AERConsolAlt_OMDetail_printrows">#REF!</definedName>
    <definedName name="AERConsolAlt_pension_annual">#REF!</definedName>
    <definedName name="AERConsolAlt_Pension_printrows">#REF!</definedName>
    <definedName name="AERConsolBudget_OMDetail_annual">#REF!</definedName>
    <definedName name="AERConsolBudget_OMDetail_Printrows">#REF!</definedName>
    <definedName name="AERConsolBudget_pension_annual">#REF!</definedName>
    <definedName name="AERConsolBudget_Pension_Printrows">#REF!</definedName>
    <definedName name="aExchgRtBrazilImpact_05">'[4]Risk Drivers-Input'!#REF!</definedName>
    <definedName name="aExchgRtBrazilImpact_06">'[4]Risk Drivers-Input'!#REF!</definedName>
    <definedName name="AFUDC_FERC_Computed_Monthly_Rates">#REF!</definedName>
    <definedName name="AFUDC_Monthly_Rates">#REF!</definedName>
    <definedName name="AFUDC_PowerIowa_Computed_Monthly_Rates">#REF!</definedName>
    <definedName name="AFUDC_PowerIowa_Monthly_Rates">#REF!</definedName>
    <definedName name="aHlthCstRecov">'[4]Risk Drivers-Input'!#REF!</definedName>
    <definedName name="akdsfja">'[6]PGA Calc'!#REF!</definedName>
    <definedName name="aNegoBrazilImpact_05">'[4]Risk Drivers-Input'!#REF!</definedName>
    <definedName name="aNegoBrazilImpact_06">'[4]Risk Drivers-Input'!#REF!</definedName>
    <definedName name="Annual_2008">'[7]WPL EGEAS Production Data'!$C$1012:$N$1056</definedName>
    <definedName name="Annual_2009">'[7]WPL EGEAS Production Data'!$C$1058:$N$1103</definedName>
    <definedName name="Annual_2010">'[7]WPL EGEAS Production Data'!$C$1105:$N$1152</definedName>
    <definedName name="AnnualBS_PrintRows">#REF!</definedName>
    <definedName name="AnnualCF_PrintRows">#REF!</definedName>
    <definedName name="AnnualIS_PrintRows">#REF!</definedName>
    <definedName name="AnnualKRD_PrintRows">#REF!</definedName>
    <definedName name="AnnualKRS_PrintRows">#REF!</definedName>
    <definedName name="AnnualSU_PrintRows">#REF!</definedName>
    <definedName name="anscount" hidden="1">1</definedName>
    <definedName name="aPenExpRecov_IPL">'[4]Risk Drivers-Input'!#REF!</definedName>
    <definedName name="aPenExpRecov_SER">'[4]Risk Drivers-Input'!#REF!</definedName>
    <definedName name="aPenExpRecov_WPL">'[4]Risk Drivers-Input'!#REF!</definedName>
    <definedName name="APN">#REF!</definedName>
    <definedName name="aPolitic1BrazilImpact_05">'[4]Risk Drivers-Input'!#REF!</definedName>
    <definedName name="aPolitic1ChinaImpact_05">'[4]Risk Drivers-Input'!#REF!</definedName>
    <definedName name="aPolitic2BrazilImpact_05">'[4]Risk Drivers-Input'!#REF!</definedName>
    <definedName name="aPolitic2ChinaImpact_05">'[4]Risk Drivers-Input'!#REF!</definedName>
    <definedName name="aPolitic3BrazilImpact_05">'[4]Risk Drivers-Input'!#REF!</definedName>
    <definedName name="aPolitic3ChinaImpact_05">'[4]Risk Drivers-Input'!#REF!</definedName>
    <definedName name="aPPICRelChinaImpact_05">'[4]Risk Drivers-Input'!#REF!</definedName>
    <definedName name="aPPICRelChinaImpact_06">'[4]Risk Drivers-Input'!#REF!</definedName>
    <definedName name="Apr">#REF!</definedName>
    <definedName name="Apr_2006">'[7]WPL EGEAS Production Data'!$C$130:$N$170</definedName>
    <definedName name="Apr_2007">'[7]WPL EGEAS Production Data'!$C$634:$N$674</definedName>
    <definedName name="aRateROE_IA_IPL">'[4]Risk Drivers-Input'!#REF!</definedName>
    <definedName name="AS2DocOpenMode" hidden="1">"AS2DocumentBrowse"</definedName>
    <definedName name="ASD">#REF!</definedName>
    <definedName name="aShutDownCstRecov_DAEC">'[4]Risk Drivers-Input'!#REF!</definedName>
    <definedName name="aShutDownOutCstRecov_DAEC">'[4]Risk Drivers-Input'!#REF!</definedName>
    <definedName name="Asset_Disposition_Input">'[8]WPL Construction'!#REF!</definedName>
    <definedName name="AST">#REF!</definedName>
    <definedName name="Aug_2006">'[7]WPL EGEAS Production Data'!$C$298:$N$338</definedName>
    <definedName name="Aug_2007">'[7]WPL EGEAS Production Data'!$C$802:$N$842</definedName>
    <definedName name="aWeathEconBrazilImpact_05">'[4]Risk Drivers-Input'!#REF!</definedName>
    <definedName name="aWeathEconBrazilImpact_06">'[4]Risk Drivers-Input'!#REF!</definedName>
    <definedName name="Bad_Debt_Expense">'[9]WPL Expend Model:Servco AER Expend Model'!$A$6760</definedName>
    <definedName name="Bad_Debt_Expense_WPL">#REF!</definedName>
    <definedName name="BadDebtExp">#REF!</definedName>
    <definedName name="BadDebtExpSI">#REF!</definedName>
    <definedName name="Below_the_Line___Assumptions">#REF!</definedName>
    <definedName name="Belowtheline">#REF!</definedName>
    <definedName name="BelowthelineSI">#REF!</definedName>
    <definedName name="BlackoutLegalRecover_IPL">'[4]Risk Drivers-Translation'!#REF!</definedName>
    <definedName name="BlackoutLegalRecover_WPL">'[4]Risk Drivers-Translation'!#REF!</definedName>
    <definedName name="BlackoutRecover_IPL">'[4]Risk Drivers-Translation'!#REF!</definedName>
    <definedName name="BlackoutRecover_WPL">'[4]Risk Drivers-Translation'!#REF!</definedName>
    <definedName name="BolierLossCostRecover_6th_IPL">'[4]Risk Drivers-Translation'!#REF!</definedName>
    <definedName name="BolierLossCostRecover_PC_IPL">'[4]Risk Drivers-Translation'!#REF!</definedName>
    <definedName name="bPolitic1Brazil_05">'[4]Risk Drivers-Input'!#REF!</definedName>
    <definedName name="bPolitic1China_05">'[4]Risk Drivers-Input'!#REF!</definedName>
    <definedName name="bPolitic2Brazil_05">'[4]Risk Drivers-Input'!#REF!</definedName>
    <definedName name="bPolitic2China_05">'[4]Risk Drivers-Input'!#REF!</definedName>
    <definedName name="bPolitic3Brazil_05">'[4]Risk Drivers-Input'!#REF!</definedName>
    <definedName name="bPolitic3China_05">'[4]Risk Drivers-Input'!#REF!</definedName>
    <definedName name="bun">#REF!</definedName>
    <definedName name="Bus_Dev_Paste">#REF!</definedName>
    <definedName name="buv">#REF!</definedName>
    <definedName name="CapitalInvestExpend">#REF!</definedName>
    <definedName name="CapitalInvestExpendSI">#REF!</definedName>
    <definedName name="CapitalRetireExpend">#REF!</definedName>
    <definedName name="CapitalRetireExpendSI">#REF!</definedName>
    <definedName name="cashFlow_AEC_05">#REF!</definedName>
    <definedName name="cashFlow_AEC_06">#REF!</definedName>
    <definedName name="cashFlow_AER_05">#REF!</definedName>
    <definedName name="cashFlow_AER_06">#REF!</definedName>
    <definedName name="cashFlow_COR_05">#REF!</definedName>
    <definedName name="cashFlow_COR_06">#REF!</definedName>
    <definedName name="cashFlow_IPL_05">#REF!</definedName>
    <definedName name="cashFlow_IPL_06">#REF!</definedName>
    <definedName name="cashFlow_WPL_05">#REF!</definedName>
    <definedName name="cashFlow_WPL_06">#REF!</definedName>
    <definedName name="CHECKS">#REF!</definedName>
    <definedName name="Clearing_Account_Expenditures">#REF!</definedName>
    <definedName name="Clearing_Account_Loading_Rates">#REF!</definedName>
    <definedName name="Clearing_Balance_EngSup_Dec_Yr1_IPL">#REF!</definedName>
    <definedName name="Clearing_Balance_EngSup_Dec_Yr1_WPL">#REF!</definedName>
    <definedName name="Clearing_Balance_ExemptMat_Dec_Yr1_IPL">#REF!</definedName>
    <definedName name="Clearing_Balance_ExemptMat_Dec_Yr1_WPL">#REF!</definedName>
    <definedName name="Clearing_Balance_Facility_Dec_Yr1_WPL">#REF!</definedName>
    <definedName name="Clearing_Balance_SFH_Dec_Yr1_IPL">#REF!</definedName>
    <definedName name="Clearing_Balance_SFH_Dec_Yr1_WPL">#REF!</definedName>
    <definedName name="Clearing_Balance_TPNW_Dec_Yr1_IPL">#REF!</definedName>
    <definedName name="Clearing_Balance_TPNW_Dec_Yr1_WPL">#REF!</definedName>
    <definedName name="Clearing_Balance_Transport_Dec_Yr1_IPL">#REF!</definedName>
    <definedName name="Clearing_Balance_Transport_Dec_Yr1_WPL">#REF!</definedName>
    <definedName name="ClearingExpend">#REF!</definedName>
    <definedName name="ClearingExpendSI">#REF!</definedName>
    <definedName name="cOMCstOverlay">'[4]Risk Drivers-Input'!#REF!</definedName>
    <definedName name="COMMON_STOCK___Existing_Shares_Outstandin">#REF!</definedName>
    <definedName name="COMMON_STOCK___Existing_Shares_Outstanding___Input_Section">#REF!</definedName>
    <definedName name="COMMON_STOCK___New_Issues">#REF!</definedName>
    <definedName name="CONSOL">#REF!</definedName>
    <definedName name="Consolidated_KRD_PrintROws">#REF!</definedName>
    <definedName name="Consolidating_BS_PrintRows">#REF!</definedName>
    <definedName name="Consolidating_BS_Year1">#REF!</definedName>
    <definedName name="Consolidating_BS_Year2">#REF!</definedName>
    <definedName name="Consolidating_BS_Year3">#REF!</definedName>
    <definedName name="Consolidating_BS_Year4">#REF!</definedName>
    <definedName name="Consolidating_BS_Year5">#REF!</definedName>
    <definedName name="Consolidating_BS_Year6">#REF!</definedName>
    <definedName name="Consolidating_CF_PrintRows">#REF!</definedName>
    <definedName name="Consolidating_CF_Year1">#REF!</definedName>
    <definedName name="Consolidating_CF_Year2">#REF!</definedName>
    <definedName name="Consolidating_CF_Year3">#REF!</definedName>
    <definedName name="Consolidating_CF_Year4">#REF!</definedName>
    <definedName name="Consolidating_CF_Year5">#REF!</definedName>
    <definedName name="Consolidating_CF_Year6">#REF!</definedName>
    <definedName name="Consolidating_IS_PrintRows">#REF!</definedName>
    <definedName name="Consolidating_IS_Year1">#REF!</definedName>
    <definedName name="Consolidating_IS_Year2">#REF!</definedName>
    <definedName name="Consolidating_IS_Year3">#REF!</definedName>
    <definedName name="Consolidating_IS_Year4">#REF!</definedName>
    <definedName name="Consolidating_IS_Year5">#REF!</definedName>
    <definedName name="Consolidating_IS_Year6">#REF!</definedName>
    <definedName name="Consolidating_KRD">#REF!</definedName>
    <definedName name="Consolidating_KRD_PrintRows">#REF!</definedName>
    <definedName name="Consolidating_KRD_Year1">#REF!</definedName>
    <definedName name="Consolidating_KRD_Year2">#REF!</definedName>
    <definedName name="Consolidating_KRD_Year3">#REF!</definedName>
    <definedName name="Consolidating_KRD_Year4">#REF!</definedName>
    <definedName name="Consolidating_KRD_Year5">#REF!</definedName>
    <definedName name="Consolidating_KRD_Year6">#REF!</definedName>
    <definedName name="Consolidating_KRS_PrintRows">#REF!</definedName>
    <definedName name="Consolidating_KRS_Year1">#REF!</definedName>
    <definedName name="Consolidating_KRS_Year2">#REF!</definedName>
    <definedName name="Consolidating_KRS_Year3">#REF!</definedName>
    <definedName name="Consolidating_KRS_Year4">#REF!</definedName>
    <definedName name="Consolidating_KRS_Year5">#REF!</definedName>
    <definedName name="Consolidating_KRS_Year6">#REF!</definedName>
    <definedName name="Consolidating_KRS_Year7">#REF!</definedName>
    <definedName name="Consolidating_MonthlyBS">#REF!</definedName>
    <definedName name="Consolidating_MonthlyBS_PrintRows">#REF!</definedName>
    <definedName name="Consolidating_MonthlyCF">#REF!</definedName>
    <definedName name="Consolidating_MonthlyCF_PrintRows">#REF!</definedName>
    <definedName name="Consolidating_MonthlyIS">#REF!</definedName>
    <definedName name="Consolidating_MonthlyIS_PrintRows">#REF!</definedName>
    <definedName name="Consolidating_MonthlyKRD">#REF!</definedName>
    <definedName name="Consolidating_MonthlyKRD_PrintRows">#REF!</definedName>
    <definedName name="Consolidating_MonthlyKRS">#REF!</definedName>
    <definedName name="Consolidating_MonthlyKRS_PrintRows">#REF!</definedName>
    <definedName name="Consolidating_MonthlySU">#REF!</definedName>
    <definedName name="Consolidating_MonthlySU_PrintRows">#REF!</definedName>
    <definedName name="Consolidating_PrintRows">#REF!</definedName>
    <definedName name="Consolidating_SU_PrintRows">#REF!</definedName>
    <definedName name="Consolidating_SU_Year1">#REF!</definedName>
    <definedName name="Consolidating_SU_Year2">#REF!</definedName>
    <definedName name="Consolidating_SU_Year3">#REF!</definedName>
    <definedName name="Consolidating_SU_Year4">#REF!</definedName>
    <definedName name="Consolidating_SU_Year5">#REF!</definedName>
    <definedName name="Consolidating_SU_Year6">#REF!</definedName>
    <definedName name="Consolidating_Summary">#REF!</definedName>
    <definedName name="Consolidating_SUmmary_PrintRows">#REF!</definedName>
    <definedName name="Consolidating_Summary_Year1">#REF!</definedName>
    <definedName name="Consolidating_Summary_Year2">#REF!</definedName>
    <definedName name="Consolidating_Summary_Year3">#REF!</definedName>
    <definedName name="Consolidating_Summary_Year4">#REF!</definedName>
    <definedName name="Consolidating_Summary_Year5">#REF!</definedName>
    <definedName name="Consolidating_Summary_Year6">#REF!</definedName>
    <definedName name="Construction_Tab_Menu">#REF!</definedName>
    <definedName name="cumeff2cm">#REF!</definedName>
    <definedName name="cumeff2cmly">#REF!</definedName>
    <definedName name="cumeff2cy">#REF!</definedName>
    <definedName name="cumeff2ly">#REF!</definedName>
    <definedName name="cumeff2qtract">#REF!</definedName>
    <definedName name="cumeff2qtrly">#REF!</definedName>
    <definedName name="cumeff2ytdact">#REF!</definedName>
    <definedName name="cumeff2ytdly">#REF!</definedName>
    <definedName name="cumeffcm">#REF!</definedName>
    <definedName name="cumeffcmly">#REF!</definedName>
    <definedName name="cumeffcy">#REF!</definedName>
    <definedName name="cumeffly">#REF!</definedName>
    <definedName name="cumeffqtract">#REF!</definedName>
    <definedName name="cumeffqtrly">#REF!</definedName>
    <definedName name="cumeffytdly">#REF!</definedName>
    <definedName name="cummeffytdact">#REF!</definedName>
    <definedName name="CURRENT">#REF!</definedName>
    <definedName name="DAEC_Smoothing">#REF!</definedName>
    <definedName name="DAECMajorSmoothing">#REF!</definedName>
    <definedName name="DAECMajorSmoothingSI">#REF!</definedName>
    <definedName name="DE">'[10]YTD Dec 04'!$V$3</definedName>
    <definedName name="Dec">#REF!</definedName>
    <definedName name="Dec_2006">'[7]WPL EGEAS Production Data'!$C$466:$N$506</definedName>
    <definedName name="Dec_2007">'[7]WPL EGEAS Production Data'!$C$970:$N$1010</definedName>
    <definedName name="Deferred_Expenditures">#REF!</definedName>
    <definedName name="DeferredExpend">#REF!</definedName>
    <definedName name="DeferredExpendSI">#REF!</definedName>
    <definedName name="Diesel_BGS" localSheetId="3">#REF!</definedName>
    <definedName name="Diesel_BGS" localSheetId="4">#REF!</definedName>
    <definedName name="Diesel_BGS" localSheetId="5">#REF!</definedName>
    <definedName name="Diesel_BGS" localSheetId="6">#REF!</definedName>
    <definedName name="Diesel_BGS">#REF!</definedName>
    <definedName name="DLOV_oracle_apps_financials_generalLedger_journals_desktopEntry_di_FinGlDesktopMultibatchEntryPageDef_PeriodName_LedgerId_0">[11]_ADFDI_LOV!$C$30:$DC$30</definedName>
    <definedName name="DLOV_oracle_apps_financials_generalLedger_journals_desktopEntry_di_FinGlDesktopMultibatchEntryPageDef_ReversalPeriodName_LedgerId_0">[11]_ADFDI_LOV!$C$32:$DC$32</definedName>
    <definedName name="do">'[10]YTD Dec 04'!$V$3</definedName>
    <definedName name="dRateImpact_IA_IPL">'[4]Risk Drivers-Input'!#REF!</definedName>
    <definedName name="DSM_O_M_Expenditures">#REF!</definedName>
    <definedName name="DSMOandM_Expend">#REF!</definedName>
    <definedName name="DSMOandM_ExpendSI">#REF!</definedName>
    <definedName name="EBIT_AEC_05">#REF!</definedName>
    <definedName name="EBIT_AEC_06">#REF!</definedName>
    <definedName name="EBIT_AER_05">#REF!</definedName>
    <definedName name="EBIT_AER_06">#REF!</definedName>
    <definedName name="EBIT_COR_05">#REF!</definedName>
    <definedName name="EBIT_COR_06">#REF!</definedName>
    <definedName name="EBIT_IPL_05">#REF!</definedName>
    <definedName name="EBIT_IPL_06">#REF!</definedName>
    <definedName name="EBIT_WPL_05">#REF!</definedName>
    <definedName name="EBIT_WPL_06">#REF!</definedName>
    <definedName name="Elims_3yrbs">#REF!</definedName>
    <definedName name="Elims_3yrcf">#REF!</definedName>
    <definedName name="Elims_3yris">#REF!</definedName>
    <definedName name="Elims_3yrkrd">#REF!</definedName>
    <definedName name="Elims_3yrkrs">#REF!</definedName>
    <definedName name="Elims_3yrsu">#REF!</definedName>
    <definedName name="Elims_3yrsummary">#REF!</definedName>
    <definedName name="Elims_AnnualBS">#REF!</definedName>
    <definedName name="Elims_AnnualBS_PrintRows">#REF!</definedName>
    <definedName name="Elims_AnnualCF">#REF!</definedName>
    <definedName name="Elims_AnnualCF_PrintRows">#REF!</definedName>
    <definedName name="Elims_AnnualIS">#REF!</definedName>
    <definedName name="Elims_AnnualIS_PrintRows">#REF!</definedName>
    <definedName name="Elims_AnnualKRD">#REF!</definedName>
    <definedName name="Elims_AnnualKRD_PrintRows">#REF!</definedName>
    <definedName name="Elims_AnnualKRS">#REF!</definedName>
    <definedName name="Elims_AnnualKRS_PrintRows">#REF!</definedName>
    <definedName name="Elims_AnnualSU">#REF!</definedName>
    <definedName name="Elims_AnnualSU_PrintRows">#REF!</definedName>
    <definedName name="Elims_MonthlyBS_PrintRows">#REF!</definedName>
    <definedName name="Elims_MonthlyBS_Year1">#REF!</definedName>
    <definedName name="Elims_MonthlyBS_Year2">#REF!</definedName>
    <definedName name="Elims_MonthlyBS_Year3">#REF!</definedName>
    <definedName name="Elims_MonthlyCF_PrintRows">#REF!</definedName>
    <definedName name="Elims_MonthlyCF_Year1">#REF!</definedName>
    <definedName name="Elims_MonthlyCF_Year2">#REF!</definedName>
    <definedName name="Elims_MonthlyCF_Year3">#REF!</definedName>
    <definedName name="Elims_MonthlyIS_PrintRows">#REF!</definedName>
    <definedName name="Elims_MonthlyIS_Year1">#REF!</definedName>
    <definedName name="Elims_MonthlyIS_Year2">#REF!</definedName>
    <definedName name="Elims_MonthlyIS_Year3">#REF!</definedName>
    <definedName name="Elims_MonthlyKRD_PrintRows">#REF!</definedName>
    <definedName name="Elims_MonthlyKRD_Year1">#REF!</definedName>
    <definedName name="Elims_MonthlyKRD_Year2">#REF!</definedName>
    <definedName name="Elims_MonthlyKRD_Year3">#REF!</definedName>
    <definedName name="Elims_MonthlyKRS_PrintRows">#REF!</definedName>
    <definedName name="Elims_MonthlyKRS_Year1">#REF!</definedName>
    <definedName name="Elims_MonthlyKRS_Year2">#REF!</definedName>
    <definedName name="Elims_MonthlyKRS_Year3">#REF!</definedName>
    <definedName name="Elims_MonthlySU_PrintRows">#REF!</definedName>
    <definedName name="Elims_MonthlySU_Year1">#REF!</definedName>
    <definedName name="Elims_MonthlySU_Year2">#REF!</definedName>
    <definedName name="Elims_MonthlySU_Year3">#REF!</definedName>
    <definedName name="Elims_QuarterlyBS">#REF!</definedName>
    <definedName name="Elims_QuarterlyBS_Year1">#REF!</definedName>
    <definedName name="Elims_QuarterlyBS_Year2">#REF!</definedName>
    <definedName name="Elims_QuarterlyBS_Year3">#REF!</definedName>
    <definedName name="Elims_QuarterlyCF">#REF!</definedName>
    <definedName name="Elims_QuarterlyCF_Year1">#REF!</definedName>
    <definedName name="Elims_QuarterlyCF_Year2">#REF!</definedName>
    <definedName name="Elims_QuarterlyCF_Year3">#REF!</definedName>
    <definedName name="Elims_QuarterlyIS">#REF!</definedName>
    <definedName name="Elims_QuarterlyIS_Year1">#REF!</definedName>
    <definedName name="Elims_QuarterlyIS_Year2">#REF!</definedName>
    <definedName name="Elims_QuarterlyIS_Year3">#REF!</definedName>
    <definedName name="Elims_QuarterlyKRD">#REF!</definedName>
    <definedName name="Elims_QuarterlyKRS">#REF!</definedName>
    <definedName name="Elims_Summary">#REF!</definedName>
    <definedName name="Elims_Summary_PrintRows">#REF!</definedName>
    <definedName name="ENTRIES">#REF!</definedName>
    <definedName name="eps_AEC_05">#REF!</definedName>
    <definedName name="eps_AEC_06">#REF!</definedName>
    <definedName name="eps_AER_05">#REF!</definedName>
    <definedName name="eps_AER_06">#REF!</definedName>
    <definedName name="eps_COR_05">#REF!</definedName>
    <definedName name="eps_COR_06">#REF!</definedName>
    <definedName name="eps_IPL_05">#REF!</definedName>
    <definedName name="eps_IPL_06">#REF!</definedName>
    <definedName name="eps_WPL_05">#REF!</definedName>
    <definedName name="eps_WPL_06">#REF!</definedName>
    <definedName name="Facilities_Billings_Assumptions">#REF!</definedName>
    <definedName name="FacilitiesAssumptions">#REF!</definedName>
    <definedName name="FacilitiesAssumptionsSI">#REF!</definedName>
    <definedName name="fasdjfklasd">[12]Prior!#REF!</definedName>
    <definedName name="Feb">#REF!</definedName>
    <definedName name="Feb_2006">'[7]WPL EGEAS Production Data'!$C$46:$N$86</definedName>
    <definedName name="Feb_2007">'[7]WPL EGEAS Production Data'!$C$550:$N$590</definedName>
    <definedName name="FINANCING_ASSUMPTIONS">#REF!</definedName>
    <definedName name="Fuel_Handling_Expenditures__Assumptions">#REF!</definedName>
    <definedName name="FuelHandlingExpend">#REF!</definedName>
    <definedName name="FuelHandlingExpendSI">#REF!</definedName>
    <definedName name="FYf">#REF!</definedName>
    <definedName name="FYR">[13]Detail!$AI$2</definedName>
    <definedName name="gcdmsales" localSheetId="3">#REF!</definedName>
    <definedName name="gcdmsales" localSheetId="4">#REF!</definedName>
    <definedName name="gcdmsales" localSheetId="5">#REF!</definedName>
    <definedName name="gcdmsales" localSheetId="6">#REF!</definedName>
    <definedName name="gcdmsales">#REF!</definedName>
    <definedName name="GENERAL_TAB_MENU">#REF!</definedName>
    <definedName name="gigo" localSheetId="3">#REF!</definedName>
    <definedName name="gigo" localSheetId="4">#REF!</definedName>
    <definedName name="gigo" localSheetId="5">#REF!</definedName>
    <definedName name="gigo" localSheetId="6">#REF!</definedName>
    <definedName name="gigo">#REF!</definedName>
    <definedName name="HealthCostRecover_SER">'[4]Risk Drivers-Translation'!#REF!</definedName>
    <definedName name="Hyperlink_menu">#REF!</definedName>
    <definedName name="iAvgFuelCst_05">'[4]Risk Drivers-Input'!#REF!</definedName>
    <definedName name="iAvgFuelCst_06">'[4]Risk Drivers-Input'!#REF!</definedName>
    <definedName name="iCoalPrChina">'[4]Risk Drivers-Input'!#REF!</definedName>
    <definedName name="ID_sorted">#REF!</definedName>
    <definedName name="iExchgRtBrazil">'[4]Risk Drivers-Input'!#REF!</definedName>
    <definedName name="iLDM">'[4]Risk Drivers-Input'!#REF!</definedName>
    <definedName name="inccm">#REF!</definedName>
    <definedName name="inccmly">#REF!</definedName>
    <definedName name="incdec">#REF!</definedName>
    <definedName name="incexclcm">#REF!</definedName>
    <definedName name="incexclcmly">#REF!</definedName>
    <definedName name="incexclcy">#REF!</definedName>
    <definedName name="incexclly">#REF!</definedName>
    <definedName name="incexclqtract">#REF!</definedName>
    <definedName name="incexclqtrly">#REF!</definedName>
    <definedName name="incexclytd">#REF!</definedName>
    <definedName name="incexclytdly">#REF!</definedName>
    <definedName name="incly">#REF!</definedName>
    <definedName name="incomestatement">#REF!</definedName>
    <definedName name="incomestatemently">#REF!</definedName>
    <definedName name="incqtract">#REF!</definedName>
    <definedName name="incqtrly">#REF!</definedName>
    <definedName name="incty">#REF!</definedName>
    <definedName name="incytd">#REF!</definedName>
    <definedName name="incytdact">#REF!</definedName>
    <definedName name="incytdly">#REF!</definedName>
    <definedName name="iNegoBrazil">'[4]Risk Drivers-Input'!#REF!</definedName>
    <definedName name="INPUT_1">#REF!</definedName>
    <definedName name="INPUT_2">#REF!</definedName>
    <definedName name="INPUT_3">#REF!</definedName>
    <definedName name="INPUT_6">#REF!</definedName>
    <definedName name="INPUT_7">#REF!</definedName>
    <definedName name="INPUT2">[14]Worksheets!#REF!</definedName>
    <definedName name="INPUTS">#REF!</definedName>
    <definedName name="Internal_Purchases">'[15]Inputs-Alloc'!$B$124:$Z$136</definedName>
    <definedName name="Internal_Sales">'[15]Inputs-Alloc'!$B$139:$Z$151</definedName>
    <definedName name="International_Paste">#REF!</definedName>
    <definedName name="INVESTMENT_ASSET___Other__Equity_Method__Input_Section">#REF!</definedName>
    <definedName name="INVESTMENT_ASSET__Cost_Method__Input_Section">#REF!</definedName>
    <definedName name="Investments_Paste">#REF!</definedName>
    <definedName name="IPL_3yr_Variance_BS">#REF!</definedName>
    <definedName name="IPL_3yr_Variance_CF">#REF!</definedName>
    <definedName name="IPL_3yr_Variance_EBIT">#REF!</definedName>
    <definedName name="IPL_3yr_Variance_IS">#REF!</definedName>
    <definedName name="IPL_3yrbs">#REF!</definedName>
    <definedName name="IPL_3yrcf">#REF!</definedName>
    <definedName name="IPL_3yris">#REF!</definedName>
    <definedName name="IPL_3yrkrd">#REF!</definedName>
    <definedName name="IPL_3yrkrs">#REF!</definedName>
    <definedName name="IPL_3yrsu">#REF!</definedName>
    <definedName name="IPL_3yrsummary">#REF!</definedName>
    <definedName name="IPL_Accountspayable">#REF!</definedName>
    <definedName name="IPL_Accountsreceivable">#REF!</definedName>
    <definedName name="IPL_accruedliabilities">#REF!</definedName>
    <definedName name="IPL_Accruedpayroll">#REF!</definedName>
    <definedName name="IPL_accumdeftax">#REF!</definedName>
    <definedName name="IPL_acquisitionadjustment">#REF!</definedName>
    <definedName name="IPL_afudccomm">'[16]IPL Reg Assets'!#REF!</definedName>
    <definedName name="IPL_afudcelect">'[16]IPL Reg Assets'!#REF!</definedName>
    <definedName name="IPL_afudcgas">'[16]IPL Reg Assets'!#REF!</definedName>
    <definedName name="IPL_afudcsteam">'[16]IPL Reg Assets'!#REF!</definedName>
    <definedName name="IPL_Annual_Number_of_Shares">#REF!</definedName>
    <definedName name="IPL_AnnualBS">#REF!</definedName>
    <definedName name="IPL_AnnualBS_PrintRows">#REF!</definedName>
    <definedName name="IPL_AnnualCF">#REF!</definedName>
    <definedName name="IPL_AnnualCF_PrintRows">#REF!</definedName>
    <definedName name="IPL_AnnualIS">#REF!</definedName>
    <definedName name="IPL_AnnualIS_PrintRows">#REF!</definedName>
    <definedName name="IPL_AnnualKRD">#REF!</definedName>
    <definedName name="IPL_AnnualKRD_PrintRows">#REF!</definedName>
    <definedName name="IPL_AnnualKRS">#REF!</definedName>
    <definedName name="IPL_AnnualKRS_PrintRows">#REF!</definedName>
    <definedName name="IPL_AnnualSU">#REF!</definedName>
    <definedName name="IPL_AnnualSU_PrintRows">#REF!</definedName>
    <definedName name="IPL_assetdisposition">'[16]IPL Construction'!#REF!</definedName>
    <definedName name="IPL_autofinance">#REF!</definedName>
    <definedName name="IPL_CapEx">#REF!</definedName>
    <definedName name="IPL_CapitalInvest_Annual">#REF!</definedName>
    <definedName name="IPL_CapitalInvest_printrows">#REF!</definedName>
    <definedName name="IPL_capitallease">#REF!</definedName>
    <definedName name="IPL_capleaseobli">#REF!</definedName>
    <definedName name="IPL_cash">#REF!</definedName>
    <definedName name="IPL_Cashsurrendervalue">#REF!</definedName>
    <definedName name="IPL_commoncompequip">#REF!</definedName>
    <definedName name="IPL_Commonexisting">#REF!</definedName>
    <definedName name="IPL_commonleasehold">#REF!</definedName>
    <definedName name="IPL_commonnondepreciable">#REF!</definedName>
    <definedName name="IPL_commonother">#REF!</definedName>
    <definedName name="IPL_commontowerlease">#REF!</definedName>
    <definedName name="IPL_constructionposting">#REF!</definedName>
    <definedName name="IPL_customeradvances">#REF!</definedName>
    <definedName name="IPL_customerdeposits">#REF!</definedName>
    <definedName name="IPL_Decommissioning">#REF!</definedName>
    <definedName name="IPL_Deferredcharges">#REF!</definedName>
    <definedName name="IPL_deferredcomp">#REF!</definedName>
    <definedName name="IPL_derivativesiesandipc">#REF!</definedName>
    <definedName name="IPL_doedandd">#REF!</definedName>
    <definedName name="IPL_EDSdatabase">#REF!</definedName>
    <definedName name="IPL_Electricdistribution">#REF!</definedName>
    <definedName name="IPL_electricfranchise">#REF!</definedName>
    <definedName name="IPL_Electricproduction">#REF!</definedName>
    <definedName name="IPL_Electrictransmission">#REF!</definedName>
    <definedName name="IPL_fas143">#REF!</definedName>
    <definedName name="IPL_FuelHandling_Annual">#REF!</definedName>
    <definedName name="IPL_Fuelhandling_Printrows">#REF!</definedName>
    <definedName name="IPL_fuelsinventory">#REF!</definedName>
    <definedName name="IPL_Gas">#REF!</definedName>
    <definedName name="IPL_gasfranchise">#REF!</definedName>
    <definedName name="IPL_globalassumptions">#REF!</definedName>
    <definedName name="IPL_incomestatement">#REF!</definedName>
    <definedName name="IPL_materialsandsupplies">#REF!</definedName>
    <definedName name="IPL_mgp">#REF!</definedName>
    <definedName name="IPL_Miscnoncurrent">#REF!</definedName>
    <definedName name="IPL_MonhtlyIS_Year1">#REF!</definedName>
    <definedName name="IPL_MonthlyBS_PrintRows">#REF!</definedName>
    <definedName name="IPL_MonthlyBS_Year1">#REF!</definedName>
    <definedName name="IPL_MonthlyBS_Year2">#REF!</definedName>
    <definedName name="IPL_MonthlyBS_Year3">#REF!</definedName>
    <definedName name="IPL_MonthlyCF_PrintRows">#REF!</definedName>
    <definedName name="IPL_MonthlyCF_Year1">#REF!</definedName>
    <definedName name="IPL_MonthlyCF_Year2">#REF!</definedName>
    <definedName name="IPL_MonthlyCF_Year3">#REF!</definedName>
    <definedName name="IPL_MonthlyIS_PrintRows">#REF!</definedName>
    <definedName name="IPL_MonthlyIS_Year1">#REF!</definedName>
    <definedName name="IPL_MonthlyIS_Year2">#REF!</definedName>
    <definedName name="IPL_MonthlyIS_Year3">#REF!</definedName>
    <definedName name="IPL_MonthlyKRD_PrintRows">#REF!</definedName>
    <definedName name="IPL_MonthlyKRD_Year1">#REF!</definedName>
    <definedName name="IPL_MonthlyKRD_Year2">#REF!</definedName>
    <definedName name="IPL_MonthlyKRD_Year3">#REF!</definedName>
    <definedName name="IPL_MonthlyKRS_PrintRows">#REF!</definedName>
    <definedName name="IPL_MonthlyKRS_Year1">#REF!</definedName>
    <definedName name="IPL_MonthlyKRS_Year2">#REF!</definedName>
    <definedName name="IPL_MonthlyKRS_Year3">#REF!</definedName>
    <definedName name="IPL_MonthlySU_PrintRows">#REF!</definedName>
    <definedName name="IPL_MonthlySU_Year1">#REF!</definedName>
    <definedName name="IPL_MonthlySU_Year2">#REF!</definedName>
    <definedName name="IPL_MonthlySU_Year3">#REF!</definedName>
    <definedName name="IPL_newcommon">#REF!</definedName>
    <definedName name="IPL_newdebt">#REF!</definedName>
    <definedName name="IPL_newpreferred">#REF!</definedName>
    <definedName name="IPL_Nuclearfuel">#REF!</definedName>
    <definedName name="IPL_nuclearplant">#REF!</definedName>
    <definedName name="IPL_OMDetail_Annual">#REF!</definedName>
    <definedName name="IPL_OMDetail_printrows">#REF!</definedName>
    <definedName name="IPL_OMSummary_annual">#REF!</definedName>
    <definedName name="IPL_OMSummary_printrows">#REF!</definedName>
    <definedName name="IPL_othercurrent">#REF!</definedName>
    <definedName name="IPL_othercurrliab">#REF!</definedName>
    <definedName name="IPL_othernoncurrentliab">#REF!</definedName>
    <definedName name="IPL_OtherPPE">#REF!</definedName>
    <definedName name="IPL_Outlookadjustments">#REF!</definedName>
    <definedName name="IPL_pension">#REF!</definedName>
    <definedName name="IPL_Pension_Annual">#REF!</definedName>
    <definedName name="IPL_Pension_PrintRows">#REF!</definedName>
    <definedName name="IPL_pensionplanresasset">#REF!</definedName>
    <definedName name="IPL_Poweriowacoal">#REF!</definedName>
    <definedName name="IPL_Poweriowagas">#REF!</definedName>
    <definedName name="IPL_preferred5.5167">#REF!</definedName>
    <definedName name="IPL_Preferredmanditorysinking">#REF!</definedName>
    <definedName name="IPL_prelimsurveydaec">'[16]IPL Reg Assets'!#REF!</definedName>
    <definedName name="IPL_Prepayments">#REF!</definedName>
    <definedName name="IPL_QuarterlyBS">#REF!</definedName>
    <definedName name="IPL_QuarterlyBS_Year1">#REF!</definedName>
    <definedName name="IPL_QuarterlyBS_Year2">#REF!</definedName>
    <definedName name="IPL_QuarterlyBS_Year3">#REF!</definedName>
    <definedName name="IPL_QuarterlyCF">#REF!</definedName>
    <definedName name="IPL_QuarterlyCF_Year1">#REF!</definedName>
    <definedName name="IPL_QuarterlyCF_Year2">#REF!</definedName>
    <definedName name="IPL_QuarterlyCF_Year3">#REF!</definedName>
    <definedName name="IPL_QuarterlyIS">#REF!</definedName>
    <definedName name="IPL_QuarterlyIS_Year1">#REF!</definedName>
    <definedName name="IPL_QuarterlyIS_Year2">#REF!</definedName>
    <definedName name="IPL_QuarterlyIS_Year3">#REF!</definedName>
    <definedName name="IPL_QuarterlyKRD">#REF!</definedName>
    <definedName name="IPL_QuarterlyKRS">#REF!</definedName>
    <definedName name="IPL_raterelief">#REF!</definedName>
    <definedName name="IPL_reacquiredsecurities">#REF!</definedName>
    <definedName name="IPL_refuelingoutage">#REF!</definedName>
    <definedName name="IPL_Regassets">#REF!</definedName>
    <definedName name="IPL_Regassetscurrent">#REF!</definedName>
    <definedName name="IPL_retainedearnings">#REF!</definedName>
    <definedName name="IPL_Series1998PCB">#REF!</definedName>
    <definedName name="IPL_Series4.05sherburn">#REF!</definedName>
    <definedName name="IPL_Series4.2neal">#REF!</definedName>
    <definedName name="IPL_Series4.3dubuque">#REF!</definedName>
    <definedName name="IPL_Series4.3lansingpcb">#REF!</definedName>
    <definedName name="IPL_Series5.50">#REF!</definedName>
    <definedName name="ipl_sERIES5.75LANSINGB">#REF!</definedName>
    <definedName name="IPL_series5.78">#REF!</definedName>
    <definedName name="IPL_Series6.25clintonb">#REF!</definedName>
    <definedName name="IPL_series6.35clintona">#REF!</definedName>
    <definedName name="IPL_Series6.3lansinga">#REF!</definedName>
    <definedName name="IPL_Series6.625">#REF!</definedName>
    <definedName name="IPL_Series6.875">#REF!</definedName>
    <definedName name="IPL_Series7.25">#REF!</definedName>
    <definedName name="IPL_Series7.25collateral">#REF!</definedName>
    <definedName name="IPL_Series7.625">#REF!</definedName>
    <definedName name="IPL_Series7.785">#REF!</definedName>
    <definedName name="IPL_Series8.00">#REF!</definedName>
    <definedName name="IPL_Series8.625">#REF!</definedName>
    <definedName name="IPL_seriesA6.00">#REF!</definedName>
    <definedName name="IPL_seriesb7.00">#REF!</definedName>
    <definedName name="IPL_SeriesBsrdebentures">#REF!</definedName>
    <definedName name="IPL_serieschillicothe">#REF!</definedName>
    <definedName name="IPL_Seriesogs1980a">#REF!</definedName>
    <definedName name="IPL_seriesvariablepcbcr">#REF!</definedName>
    <definedName name="ipl_servco_alloc">#REF!</definedName>
    <definedName name="ipl_share_price">#REF!</definedName>
    <definedName name="IPL_Sharedsavings">#REF!</definedName>
    <definedName name="IPL_shorttermdebt">#REF!</definedName>
    <definedName name="IPL_software">#REF!</definedName>
    <definedName name="IPL_Steam">#REF!</definedName>
    <definedName name="IPL_Summary">#REF!</definedName>
    <definedName name="IPL_Summary_PrintRows">#REF!</definedName>
    <definedName name="IPL_Tax_Inputs">#REF!</definedName>
    <definedName name="IPL_TotalExpend_Annual">#REF!</definedName>
    <definedName name="IPL_TotalExpend_PrintRows">#REF!</definedName>
    <definedName name="IPL_towerlease">#REF!</definedName>
    <definedName name="IPL_transactions">#REF!</definedName>
    <definedName name="IPL_translink">#REF!</definedName>
    <definedName name="IPL_transportation5year">#REF!</definedName>
    <definedName name="IPL_transportation7year">#REF!</definedName>
    <definedName name="IPL_Treasury_Inputs">#REF!</definedName>
    <definedName name="IPL_unfundeddeftax">#REF!</definedName>
    <definedName name="IPL_Validations">#REF!</definedName>
    <definedName name="IPL_Var_BSBudget">#REF!</definedName>
    <definedName name="IPL_Var_CFBudget">#REF!</definedName>
    <definedName name="IPL_Var_EBITBudget">#REF!</definedName>
    <definedName name="IPL_Var_ISBudget">#REF!</definedName>
    <definedName name="IPL_VARIANCE_BS">#REF!</definedName>
    <definedName name="IPL_VARIANCE_BS_PrintRows">#REF!</definedName>
    <definedName name="IPL_VARIANCE_CF">#REF!</definedName>
    <definedName name="IPL_VARIANCE_CF_PrintRows">#REF!</definedName>
    <definedName name="IPL_VARIANCE_EBIT">#REF!</definedName>
    <definedName name="IPL_VARIANCE_EBIT_PrintRows">#REF!</definedName>
    <definedName name="IPL_VARIANCE_IS">#REF!</definedName>
    <definedName name="IPL_VARIANCE_IS_PrintRows">#REF!</definedName>
    <definedName name="IPL_VARIANCE_QBS">#REF!</definedName>
    <definedName name="IPL_VARIANCE_QBS_PrintRows">#REF!</definedName>
    <definedName name="IPL_VARIANCE_QCF">#REF!</definedName>
    <definedName name="IPL_VARIANCE_QCF_PrintRows">#REF!</definedName>
    <definedName name="IPL_VARIANCE_QEBIT">#REF!</definedName>
    <definedName name="IPL_VARIANCE_QEBIT_PrintRows">#REF!</definedName>
    <definedName name="IPL_VARIANCE_QIS">#REF!</definedName>
    <definedName name="IPL_VARIANCE_QIS_PrintRows">#REF!</definedName>
    <definedName name="IPL_Year_1_Number_of_Shares">#REF!</definedName>
    <definedName name="IPLAlt_OMDetail_Annual">#REF!</definedName>
    <definedName name="IPLAlt_OMDetail_Printrows">#REF!</definedName>
    <definedName name="IPLAlt_OMSummary_annual">#REF!</definedName>
    <definedName name="IPLAlt_OMSummary_printrows">#REF!</definedName>
    <definedName name="IPLAlt_Pension_annual">#REF!</definedName>
    <definedName name="IPLAlt_pension_Printrows">#REF!</definedName>
    <definedName name="IPLBudget_Capitalinvest_annual">#REF!</definedName>
    <definedName name="IPLBudget_capitalinvest_printrows">#REF!</definedName>
    <definedName name="IPLBudget_OMDetail_annual">#REF!</definedName>
    <definedName name="IPLBudget_OMDetail_printrows">#REF!</definedName>
    <definedName name="IPLBudget_OMSummary_annual">#REF!</definedName>
    <definedName name="IPLBudget_OMSummary_printrows">#REF!</definedName>
    <definedName name="IPLBudget_Pension_annual">#REF!</definedName>
    <definedName name="IPLBudget_Pension_Printrows">#REF!</definedName>
    <definedName name="IPLBudget_totalexpend_annual">#REF!</definedName>
    <definedName name="IPLBudget_totalexpend_printrows">#REF!</definedName>
    <definedName name="IPLBudgetVar_OMDetail_Annual">#REF!</definedName>
    <definedName name="IPLBudgetVar_OMDetail_Printrows">#REF!</definedName>
    <definedName name="IPLBudgetVar_OMSummary_Annual">#REF!</definedName>
    <definedName name="IPLBudgetVar_OMSummary_Printrows">#REF!</definedName>
    <definedName name="IPLcommonshares">#REF!</definedName>
    <definedName name="IPLConsol_OMDetail_Annual">#REF!</definedName>
    <definedName name="IPLConsol_OMdetail_printrows">#REF!</definedName>
    <definedName name="IPLConsol_Pension_Annual">#REF!</definedName>
    <definedName name="IPLConsol_Pension_Printrows">#REF!</definedName>
    <definedName name="IPLConsolAlt_OMDetail_Annual">#REF!</definedName>
    <definedName name="IPLConsolAlt_OMDetail_printrows">#REF!</definedName>
    <definedName name="IPLConsolAlt_Pension_annual">#REF!</definedName>
    <definedName name="IPLConsolAlt_Pension_Printrows">#REF!</definedName>
    <definedName name="IPLConsolBudget_OMDetail_Annual">#REF!</definedName>
    <definedName name="IPLConsolBudget_OMDetail_Printrows">#REF!</definedName>
    <definedName name="IPLConsolBudget_pension_annual">#REF!</definedName>
    <definedName name="IPLConsolBudget_pension_Printrows">#REF!</definedName>
    <definedName name="IPLJointPlt_OMDetail_Annual">#REF!</definedName>
    <definedName name="IPLJointPlt_OMDetail_Printrows">#REF!</definedName>
    <definedName name="IPLJointPlt_OMSummary_annual">#REF!</definedName>
    <definedName name="IPLJointPlt_OMSummary_printrows">#REF!</definedName>
    <definedName name="iPPICRelChina">'[4]Risk Drivers-Input'!#REF!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iWeathEconBrazil">'[4]Risk Drivers-Input'!#REF!</definedName>
    <definedName name="Jan">#REF!</definedName>
    <definedName name="Jan_2006">'[7]WPL EGEAS Production Data'!$C$4:$N$44</definedName>
    <definedName name="Jan_2007">'[7]WPL EGEAS Production Data'!$C$508:$N$548</definedName>
    <definedName name="JE_2">#REF!</definedName>
    <definedName name="JE_4">#REF!</definedName>
    <definedName name="JE_4.A">#REF!</definedName>
    <definedName name="JEMENU">#REF!</definedName>
    <definedName name="JETSET">#REF!</definedName>
    <definedName name="Joint_Plant_Billings_Assumptions">#REF!</definedName>
    <definedName name="JointPlantBillings">#REF!</definedName>
    <definedName name="JointPlantBillingsSI">#REF!</definedName>
    <definedName name="Jul_2006">'[7]WPL EGEAS Production Data'!$C$256:$N$296</definedName>
    <definedName name="Jul_2007">'[7]WPL EGEAS Production Data'!$C$760:$N$800</definedName>
    <definedName name="Jun_2006">'[7]WPL EGEAS Production Data'!$C$214:$N$254</definedName>
    <definedName name="Jun_2007">'[7]WPL EGEAS Production Data'!$C$718:$N$758</definedName>
    <definedName name="LASTYEAR">#REF!</definedName>
    <definedName name="liabdec">#REF!</definedName>
    <definedName name="liably">#REF!</definedName>
    <definedName name="liabty">#REF!</definedName>
    <definedName name="Loading_Factor_AGCapital_Sep_Yr1_IPL">#REF!</definedName>
    <definedName name="Loading_Factor_AGCapital_Sep_Yr1_WPL">#REF!</definedName>
    <definedName name="Loading_Factor_Benefits_Sep_Yr1_IPL">#REF!</definedName>
    <definedName name="Loading_Factor_Benefits_Sep_Yr1_WPL">#REF!</definedName>
    <definedName name="Loading_Factor_EngSup_Sep_Yr1_IPL">#REF!</definedName>
    <definedName name="Loading_Factor_EngSup_Sep_Yr1_WPL">#REF!</definedName>
    <definedName name="Loading_Factor_ExemptMat_Sep_Yr1_IPL">#REF!</definedName>
    <definedName name="Loading_Factor_ExemptMat_Sep_Yr1_WPL">#REF!</definedName>
    <definedName name="Loading_Factor_Facility_Sep_Yr1_WPL">#REF!</definedName>
    <definedName name="Loading_Factor_PayrollTax_Sep_Yr1_IPL">#REF!</definedName>
    <definedName name="Loading_Factor_PayrollTax_Sep_Yr1_WPL">#REF!</definedName>
    <definedName name="Loading_Factor_Pension_Sep_Yr1_IPL">#REF!</definedName>
    <definedName name="Loading_Factor_Pension_Sep_Yr1_WPL">#REF!</definedName>
    <definedName name="Loading_Factor_SFH_Sep_Yr1_IPL">#REF!</definedName>
    <definedName name="Loading_Factor_SFH_Sep_Yr1_WPL">#REF!</definedName>
    <definedName name="Loading_Factor_TPNW_Sep_Yr1_IPL">#REF!</definedName>
    <definedName name="Loading_Factor_TPNW_Sep_Yr1_WPL">#REF!</definedName>
    <definedName name="Loading_Factor_Transport_Sep_Yr1_IPL">#REF!</definedName>
    <definedName name="Loading_Factor_Transport_Sep_Yr1_WPL">#REF!</definedName>
    <definedName name="LONG_TERM_DEBT____Existing_Issues">#REF!</definedName>
    <definedName name="LONG_TERM_DEBT___Existing_Issues">#REF!</definedName>
    <definedName name="LONG_TERM_DEBT___Existing_Issues___Input_Section">#REF!</definedName>
    <definedName name="LONG_TERM_DEBT___Existing_Issues__VARIABLE_RATE_DEMAND_BONDS___Input_Section">#REF!</definedName>
    <definedName name="LONG_TERM_DEBT___New_Issues">#REF!</definedName>
    <definedName name="LOV_oracle_apps_financials_generalLedger_journals_desktopEntry_di_FinGlDesktopMultibatchEntryPageDef_CurrencyCode" hidden="1">[17]_ADFDI_LOV!$C$18:$E$18</definedName>
    <definedName name="LOV_oracle_apps_financials_generalLedger_journals_desktopEntry_di_FinGlDesktopMultibatchEntryPageDef_LedgerId" hidden="1">[17]_ADFDI_LOV!$C$14:$D$14</definedName>
    <definedName name="LOV_oracle_apps_financials_generalLedger_journals_desktopEntry_di_FinGlDesktopMultibatchEntryPageDef_PeriodName" hidden="1">[17]_ADFDI_LOV!$C$22:$D$22</definedName>
    <definedName name="LOV_oracle_apps_financials_generalLedger_journals_desktopEntry_di_FinGlDesktopMultibatchEntryPageDef_ReversalPeriodName" hidden="1">[17]_ADFDI_LOV!$C$24:$H$24</definedName>
    <definedName name="LOV_oracle_apps_financials_generalLedger_journals_desktopEntry_di_FinGlDesktopMultibatchEntryPageDef_UserCurrencyConversionType" hidden="1">[17]_ADFDI_LOV!$C$20:$G$20</definedName>
    <definedName name="LOV_oracle_apps_financials_generalLedger_journals_desktopEntry_di_FinGlDesktopMultibatchEntryPageDef_UserJeSourceName" hidden="1">[17]_ADFDI_LOV!$C$16:$D$16</definedName>
    <definedName name="LYN">#REF!</definedName>
    <definedName name="m" localSheetId="3">[12]Prior!#REF!</definedName>
    <definedName name="m" localSheetId="4">[12]Prior!#REF!</definedName>
    <definedName name="m" localSheetId="5">[12]Prior!#REF!</definedName>
    <definedName name="m" localSheetId="6">[12]Prior!#REF!</definedName>
    <definedName name="m">[12]Prior!#REF!</definedName>
    <definedName name="MAC">#REF!</definedName>
    <definedName name="MACRO">'[2]ST Debt_Int'!#REF!</definedName>
    <definedName name="Mar">#REF!</definedName>
    <definedName name="Mar_2006">'[7]WPL EGEAS Production Data'!$C$88:$N$128</definedName>
    <definedName name="Mar_2007">'[7]WPL EGEAS Production Data'!$C$592:$N$632</definedName>
    <definedName name="May_2006">'[7]WPL EGEAS Production Data'!$C$172:$N$212</definedName>
    <definedName name="May_2007">'[7]WPL EGEAS Production Data'!$C$676:$N$716</definedName>
    <definedName name="MENU">#REF!</definedName>
    <definedName name="million">1000000</definedName>
    <definedName name="MISCELLANEOUS_DEBT___Existing_Amounts">#REF!</definedName>
    <definedName name="MISO_Energy">'[15]Inputs-Alloc'!$B$11:$Z$23</definedName>
    <definedName name="MISO_OtherCharge">'[18]Inputs-Alloc'!$B$25:$Z$37</definedName>
    <definedName name="MISO_OtherRevenue">'[15]Inputs-Alloc'!$B$89:$Z$101</definedName>
    <definedName name="MISO_Revenue">'[15]Inputs-Alloc'!$B$75:$Z$87</definedName>
    <definedName name="Mo_Day_Yr">'[19]Gas Trans'!$W$2</definedName>
    <definedName name="Month_table">[20]Misc!#REF!</definedName>
    <definedName name="Month_Yr">[21]InputEst!$C$4</definedName>
    <definedName name="MonthlyBS_PrintRows">#REF!</definedName>
    <definedName name="MonthlyCF_PrintRows">#REF!</definedName>
    <definedName name="MonthlyIS_PrintRows">#REF!</definedName>
    <definedName name="MonthlyKRD_PrintRows">#REF!</definedName>
    <definedName name="MonthlyKRS_PrintRows">#REF!</definedName>
    <definedName name="MonthlySU_PrintRows">#REF!</definedName>
    <definedName name="MTH">#REF!</definedName>
    <definedName name="Natural_Gas_BGS" localSheetId="3">#REF!</definedName>
    <definedName name="Natural_Gas_BGS" localSheetId="4">#REF!</definedName>
    <definedName name="Natural_Gas_BGS" localSheetId="5">#REF!</definedName>
    <definedName name="Natural_Gas_BGS" localSheetId="6">#REF!</definedName>
    <definedName name="Natural_Gas_BGS">#REF!</definedName>
    <definedName name="Non_Mgmt_Paste">#REF!</definedName>
    <definedName name="Nov">#REF!</definedName>
    <definedName name="Nov_2006">'[7]WPL EGEAS Production Data'!$C$424:$N$464</definedName>
    <definedName name="Nov_2007">'[7]WPL EGEAS Production Data'!$C$928:$N$968</definedName>
    <definedName name="NUCKWH">#REF!</definedName>
    <definedName name="NUCKWHBUD">#REF!</definedName>
    <definedName name="NUCSU">#REF!</definedName>
    <definedName name="NUCSUBUD">#REF!</definedName>
    <definedName name="NvsAnswerCol">"[Drill1]JRNLLAYOUT!$A$4:$A$54"</definedName>
    <definedName name="NvsASD">"V2012-12-31"</definedName>
    <definedName name="NvsAutoDrillOk">"VN"</definedName>
    <definedName name="NvsDateToNumber">"Y"</definedName>
    <definedName name="NvsElapsedTime">0.0000347222230629995</definedName>
    <definedName name="NvsEndTime">41353.6898148148</definedName>
    <definedName name="NvsInstLang">"VENG"</definedName>
    <definedName name="NvsInstSpec">"%,LACTUALS,UPOSTED_TOTAL_AMT,SYTD,FACCOUNT,V001154,FDEPTID,V0231"</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"%,XZF.ACCOUNT.PSDetail"</definedName>
    <definedName name="NvsPanelBusUnit">"V"</definedName>
    <definedName name="NvsPanelEffdt">"V1995-01-01"</definedName>
    <definedName name="NvsPanelSetid">"VMFG"</definedName>
    <definedName name="NvsParentRef">"[F_WASUM0231.xls]Sheet1!$J$22"</definedName>
    <definedName name="NvsReqBU">"V10100"</definedName>
    <definedName name="NvsReqBUOnly">"VY"</definedName>
    <definedName name="NvsTransLed">"VN"</definedName>
    <definedName name="NvsTreeASD">"V2012-12-31"</definedName>
    <definedName name="NvsValTbl.ACCOUNT">"GL_ACCOUNT_TBL"</definedName>
    <definedName name="NvsValTbl.ACTIVITY_ID">"PROJ_ACTIVITY"</definedName>
    <definedName name="NvsValTbl.BUSINESS_UNIT_GL">"CURRENCY_CD_TBL"</definedName>
    <definedName name="NvsValTbl.BUSINESS_UNIT_PC">"CURRENCY_CD_TBL"</definedName>
    <definedName name="NvsValTbl.CHARTFIELD1">"CHARTFIELD1_TBL"</definedName>
    <definedName name="NvsValTbl.CURRENCY_CD">"CURRENCY_CD_TBL"</definedName>
    <definedName name="NvsValTbl.LEDGER">"CURRENCY_CD_TBL"</definedName>
    <definedName name="NvsValTbl.PROJECT_ID">"PROJECT_ALL_VW"</definedName>
    <definedName name="NvsValTbl.STATISTICS_CODE">"CURRENCY_CD_TBL"</definedName>
    <definedName name="o" localSheetId="3">'[6]PGA Calc'!#REF!</definedName>
    <definedName name="o" localSheetId="4">'[6]PGA Calc'!#REF!</definedName>
    <definedName name="o" localSheetId="5">'[6]PGA Calc'!#REF!</definedName>
    <definedName name="o" localSheetId="6">'[6]PGA Calc'!#REF!</definedName>
    <definedName name="o">'[6]PGA Calc'!#REF!</definedName>
    <definedName name="O_M_Expenditures">#REF!</definedName>
    <definedName name="OandM_Expend">#REF!</definedName>
    <definedName name="OandM_ExpendSI">#REF!</definedName>
    <definedName name="Oct">#REF!</definedName>
    <definedName name="Oct_2006">'[7]WPL EGEAS Production Data'!$C$382:$N$422</definedName>
    <definedName name="Oct_2007">'[7]WPL EGEAS Production Data'!$C$886:$N$926</definedName>
    <definedName name="ok" localSheetId="3">'[6]PGA Calc'!#REF!</definedName>
    <definedName name="ok" localSheetId="4">'[6]PGA Calc'!#REF!</definedName>
    <definedName name="ok" localSheetId="5">'[6]PGA Calc'!#REF!</definedName>
    <definedName name="ok" localSheetId="6">'[6]PGA Calc'!#REF!</definedName>
    <definedName name="ok">'[6]PGA Calc'!#REF!</definedName>
    <definedName name="one">1</definedName>
    <definedName name="Other_3yrbs">#REF!</definedName>
    <definedName name="Other_3yrcf">#REF!</definedName>
    <definedName name="Other_3yris">#REF!</definedName>
    <definedName name="Other_3yrkrd">#REF!</definedName>
    <definedName name="Other_3yrkrs">#REF!</definedName>
    <definedName name="Other_3yrsu">#REF!</definedName>
    <definedName name="Other_3yrsummary">#REF!</definedName>
    <definedName name="Other_AnnualBS">#REF!</definedName>
    <definedName name="Other_AnnualBS_PrintRows">#REF!</definedName>
    <definedName name="Other_AnnualCF">#REF!</definedName>
    <definedName name="Other_AnnualCF_PrintRows">#REF!</definedName>
    <definedName name="Other_AnnualIS">#REF!</definedName>
    <definedName name="Other_AnnualIS_PrintRows">#REF!</definedName>
    <definedName name="Other_AnnualKRD">#REF!</definedName>
    <definedName name="Other_AnnualKRD_PrintRows">#REF!</definedName>
    <definedName name="Other_AnnualKRS">#REF!</definedName>
    <definedName name="Other_AnnualKRS_PrintRows">#REF!</definedName>
    <definedName name="Other_AnnualSU">#REF!</definedName>
    <definedName name="Other_AnnualSU_PrintRows">#REF!</definedName>
    <definedName name="Other_MonthlyBS_PrintRows">#REF!</definedName>
    <definedName name="Other_MonthlyBS_Year1">#REF!</definedName>
    <definedName name="Other_MonthlyBS_Year2">#REF!</definedName>
    <definedName name="Other_MonthlyBS_Year3">#REF!</definedName>
    <definedName name="Other_MonthlyCF_PrintRows">#REF!</definedName>
    <definedName name="Other_MonthlyCF_Year1">#REF!</definedName>
    <definedName name="Other_MonthlyCF_Year2">#REF!</definedName>
    <definedName name="Other_MonthlyCF_Year3">#REF!</definedName>
    <definedName name="Other_MonthlyIS_PrintRows">#REF!</definedName>
    <definedName name="Other_MonthlyIS_Year1">#REF!</definedName>
    <definedName name="Other_MonthlyIS_Year2">#REF!</definedName>
    <definedName name="Other_MonthlyIS_Year3">#REF!</definedName>
    <definedName name="Other_MonthlyKRD_PrintRows">#REF!</definedName>
    <definedName name="Other_MonthlyKRD_Year1">#REF!</definedName>
    <definedName name="Other_MonthlyKRD_Year2">#REF!</definedName>
    <definedName name="Other_MonthlyKRD_Year3">#REF!</definedName>
    <definedName name="Other_MonthlyKRS_PrintRows">#REF!</definedName>
    <definedName name="Other_MonthlyKRS_Year1">#REF!</definedName>
    <definedName name="Other_MonthlyKRS_Year2">#REF!</definedName>
    <definedName name="Other_MonthlyKRS_Year3">#REF!</definedName>
    <definedName name="Other_MonthlySU_PrintRows">#REF!</definedName>
    <definedName name="Other_MonthlySU_Year1">#REF!</definedName>
    <definedName name="Other_MonthlySU_Year2">#REF!</definedName>
    <definedName name="Other_MonthlySU_Year3">#REF!</definedName>
    <definedName name="Other_PPE_Capital_Expenditures___Assumptions">#REF!</definedName>
    <definedName name="Other_QuarterlyBS">#REF!</definedName>
    <definedName name="Other_QuarterlyBS_Year1">#REF!</definedName>
    <definedName name="Other_QuarterlyBS_Year2">#REF!</definedName>
    <definedName name="Other_QuarterlyBS_Year3">#REF!</definedName>
    <definedName name="Other_QuarterlyCF">#REF!</definedName>
    <definedName name="Other_QuarterlyCF_Year1">#REF!</definedName>
    <definedName name="Other_QuarterlyCF_Year2">#REF!</definedName>
    <definedName name="Other_QuarterlyCF_Year3">#REF!</definedName>
    <definedName name="Other_QuarterlyIS">#REF!</definedName>
    <definedName name="Other_QuarterlyIS_Year1">#REF!</definedName>
    <definedName name="Other_QuarterlyIS_Year2">#REF!</definedName>
    <definedName name="Other_QuarterlyIS_Year3">#REF!</definedName>
    <definedName name="Other_QuarterlyKRD">#REF!</definedName>
    <definedName name="Other_QuarterlyKRS">#REF!</definedName>
    <definedName name="OTHER_REPLACEMENT_CAPACITY_COSTS" localSheetId="3">'[20]Order Reporting Tables'!#REF!</definedName>
    <definedName name="OTHER_REPLACEMENT_CAPACITY_COSTS" localSheetId="4">'[20]Order Reporting Tables'!#REF!</definedName>
    <definedName name="OTHER_REPLACEMENT_CAPACITY_COSTS" localSheetId="5">'[20]Order Reporting Tables'!#REF!</definedName>
    <definedName name="OTHER_REPLACEMENT_CAPACITY_COSTS" localSheetId="6">'[20]Order Reporting Tables'!#REF!</definedName>
    <definedName name="OTHER_REPLACEMENT_CAPACITY_COSTS">'[20]Order Reporting Tables'!#REF!</definedName>
    <definedName name="Other_Servco_Allocated_Costs">#REF!</definedName>
    <definedName name="OTHER_STAFF_FUEL_COST_ADJUSTMENTS" localSheetId="3">'[20]Order Reporting Tables'!#REF!</definedName>
    <definedName name="OTHER_STAFF_FUEL_COST_ADJUSTMENTS" localSheetId="4">'[20]Order Reporting Tables'!#REF!</definedName>
    <definedName name="OTHER_STAFF_FUEL_COST_ADJUSTMENTS" localSheetId="5">'[20]Order Reporting Tables'!#REF!</definedName>
    <definedName name="OTHER_STAFF_FUEL_COST_ADJUSTMENTS" localSheetId="6">'[20]Order Reporting Tables'!#REF!</definedName>
    <definedName name="OTHER_STAFF_FUEL_COST_ADJUSTMENTS">'[20]Order Reporting Tables'!#REF!</definedName>
    <definedName name="Other_Summary">#REF!</definedName>
    <definedName name="Other_Summary_PrintRows">#REF!</definedName>
    <definedName name="OtherDirectExpend">#REF!</definedName>
    <definedName name="OtherDirectExpendSI">#REF!</definedName>
    <definedName name="OtherPPEExpend">#REF!</definedName>
    <definedName name="OtherPPEExpendSI">#REF!</definedName>
    <definedName name="OUCOLLECT" localSheetId="3">[12]Prior!#REF!</definedName>
    <definedName name="OUCOLLECT" localSheetId="4">[12]Prior!#REF!</definedName>
    <definedName name="OUCOLLECT" localSheetId="5">[12]Prior!#REF!</definedName>
    <definedName name="OUCOLLECT" localSheetId="6">[12]Prior!#REF!</definedName>
    <definedName name="OUCOLLECT">[12]Prior!#REF!</definedName>
    <definedName name="OUTPUT">[14]Worksheets!#REF!</definedName>
    <definedName name="OUTPUTS">#REF!</definedName>
    <definedName name="p" localSheetId="3">'[6]PGA Calc'!#REF!</definedName>
    <definedName name="p" localSheetId="4">'[6]PGA Calc'!#REF!</definedName>
    <definedName name="p" localSheetId="5">'[6]PGA Calc'!#REF!</definedName>
    <definedName name="p" localSheetId="6">'[6]PGA Calc'!#REF!</definedName>
    <definedName name="p">'[6]PGA Calc'!#REF!</definedName>
    <definedName name="PAGE1A" localSheetId="3">[12]TuSum!#REF!</definedName>
    <definedName name="PAGE1A" localSheetId="4">[12]TuSum!#REF!</definedName>
    <definedName name="PAGE1A" localSheetId="5">[12]TuSum!#REF!</definedName>
    <definedName name="PAGE1A" localSheetId="6">[12]TuSum!#REF!</definedName>
    <definedName name="PAGE1A">[12]TuSum!#REF!</definedName>
    <definedName name="PAGE3" localSheetId="3">[12]Prior!#REF!</definedName>
    <definedName name="PAGE3" localSheetId="4">[12]Prior!#REF!</definedName>
    <definedName name="PAGE3" localSheetId="5">[12]Prior!#REF!</definedName>
    <definedName name="PAGE3" localSheetId="6">[12]Prior!#REF!</definedName>
    <definedName name="PAGE3">[12]Prior!#REF!</definedName>
    <definedName name="Parent_3yrbs">#REF!</definedName>
    <definedName name="Parent_3yrcf">#REF!</definedName>
    <definedName name="Parent_3yris">#REF!</definedName>
    <definedName name="Parent_3yrkrd">#REF!</definedName>
    <definedName name="Parent_3yrkrs">#REF!</definedName>
    <definedName name="Parent_3yrsu">#REF!</definedName>
    <definedName name="Parent_3yrsummary">#REF!</definedName>
    <definedName name="Parent_AnnualBS">#REF!</definedName>
    <definedName name="Parent_AnnualBS_PrintRows">#REF!</definedName>
    <definedName name="Parent_AnnualCF">#REF!</definedName>
    <definedName name="Parent_AnnualCF_PrintRows">#REF!</definedName>
    <definedName name="Parent_AnnualIS">#REF!</definedName>
    <definedName name="Parent_AnnualIS_PrintRows">#REF!</definedName>
    <definedName name="Parent_AnnualKRD">#REF!</definedName>
    <definedName name="Parent_AnnualKRD_PrintRows">#REF!</definedName>
    <definedName name="Parent_AnnualKRS">#REF!</definedName>
    <definedName name="Parent_AnnualKRS_PrintRows">#REF!</definedName>
    <definedName name="Parent_AnnualSU">#REF!</definedName>
    <definedName name="Parent_AnnualSU_PrintRows">#REF!</definedName>
    <definedName name="Parent_MonthlyBS_PrintRows">#REF!</definedName>
    <definedName name="Parent_MonthlyBS_Year1">#REF!</definedName>
    <definedName name="Parent_MonthlyBS_Year2">#REF!</definedName>
    <definedName name="Parent_MonthlyBS_Year3">#REF!</definedName>
    <definedName name="Parent_MonthlyCF_PrintRows">#REF!</definedName>
    <definedName name="Parent_MonthlyCF_Year1">#REF!</definedName>
    <definedName name="Parent_MonthlyCF_Year2">#REF!</definedName>
    <definedName name="Parent_MonthlyCF_Year3">#REF!</definedName>
    <definedName name="Parent_MonthlyIS_PrintRows">#REF!</definedName>
    <definedName name="Parent_MonthlyIS_Year1">#REF!</definedName>
    <definedName name="Parent_MonthlyIS_Year2">#REF!</definedName>
    <definedName name="Parent_MonthlyIS_Year3">#REF!</definedName>
    <definedName name="Parent_MonthlyKRD_PrintRows">#REF!</definedName>
    <definedName name="Parent_MonthlyKRD_Year1">#REF!</definedName>
    <definedName name="Parent_MonthlyKRD_Year2">#REF!</definedName>
    <definedName name="Parent_MonthlyKRD_Year3">#REF!</definedName>
    <definedName name="Parent_MonthlyKRS_PrintRows">#REF!</definedName>
    <definedName name="Parent_MonthlyKRS_Year1">#REF!</definedName>
    <definedName name="Parent_MonthlyKRS_Year2">#REF!</definedName>
    <definedName name="Parent_MonthlyKRS_Year3">#REF!</definedName>
    <definedName name="Parent_MonthlySU_PrintRows">#REF!</definedName>
    <definedName name="Parent_MonthlySU_Year1">#REF!</definedName>
    <definedName name="Parent_MonthlySU_Year2">#REF!</definedName>
    <definedName name="Parent_MonthlySU_Year3">#REF!</definedName>
    <definedName name="Parent_QuarterlyBS">#REF!</definedName>
    <definedName name="Parent_QuarterlyBS_Year1">#REF!</definedName>
    <definedName name="Parent_QuarterlyBS_Year2">#REF!</definedName>
    <definedName name="Parent_QuarterlyBS_Year3">#REF!</definedName>
    <definedName name="Parent_QuarterlyCF">#REF!</definedName>
    <definedName name="Parent_QuarterlyCF_Year1">#REF!</definedName>
    <definedName name="Parent_QuarterlyCF_Year2">#REF!</definedName>
    <definedName name="Parent_QuarterlyCF_Year3">#REF!</definedName>
    <definedName name="Parent_QuarterlyIS">#REF!</definedName>
    <definedName name="Parent_QuarterlyIS_Year1">#REF!</definedName>
    <definedName name="Parent_QuarterlyIS_Year2">#REF!</definedName>
    <definedName name="Parent_QuarterlyIS_Year3">#REF!</definedName>
    <definedName name="Parent_QuarterlyKRD">#REF!</definedName>
    <definedName name="Parent_QuarterlyKRS">#REF!</definedName>
    <definedName name="Parent_Summary">#REF!</definedName>
    <definedName name="Parent_Summary_PrintRows">#REF!</definedName>
    <definedName name="PARENT_VARIANCE_BS">#REF!</definedName>
    <definedName name="PARENT_VARIANCE_BS_PrintRows">#REF!</definedName>
    <definedName name="PARENT_VARIANCE_CF">#REF!</definedName>
    <definedName name="PARENT_VARIANCE_CF_PrintRows">#REF!</definedName>
    <definedName name="PARENT_VARIANCE_IS">#REF!</definedName>
    <definedName name="PARENT_VARIANCE_IS_PrintRows">#REF!</definedName>
    <definedName name="PARENT_VARIANCE_QBS">#REF!</definedName>
    <definedName name="PARENT_VARIANCE_QBS_PrintRows">#REF!</definedName>
    <definedName name="PARENT_VARIANCE_QCF">#REF!</definedName>
    <definedName name="PARENT_VARIANCE_QCF_PrintRows">#REF!</definedName>
    <definedName name="PARENT_VARIANCE_QIS">#REF!</definedName>
    <definedName name="PARENT_VARIANCE_QIS_PrintRows">#REF!</definedName>
    <definedName name="Payroll_Tax_Assumptions">#REF!</definedName>
    <definedName name="PayrollTaxExpend">#REF!</definedName>
    <definedName name="PayrollTaxExpendSI">#REF!</definedName>
    <definedName name="PED">#REF!</definedName>
    <definedName name="PenandBenAssumptions">#REF!</definedName>
    <definedName name="PenandBenAssumptionsSI">#REF!</definedName>
    <definedName name="Pension_and_Benefit_Assumptions">#REF!</definedName>
    <definedName name="PensionExpenseRecover_IPL">'[4]Risk Drivers-Translation'!#REF!</definedName>
    <definedName name="PensionExpenseRecover_SER">'[4]Risk Drivers-Translation'!#REF!</definedName>
    <definedName name="PensionExpenseRecover_WPL">'[4]Risk Drivers-Translation'!#REF!</definedName>
    <definedName name="PER">#REF!</definedName>
    <definedName name="PKRKWH">#REF!</definedName>
    <definedName name="PKRKWHBUD">#REF!</definedName>
    <definedName name="PKRSU">#REF!</definedName>
    <definedName name="PKRSUBUD">#REF!</definedName>
    <definedName name="Plant_Account_Data">"Nuclear_Capital_Input"</definedName>
    <definedName name="PolticBrazilImpact_AER">'[4]Risk Drivers-Translation'!#REF!</definedName>
    <definedName name="PolticChinaImpact_AER">'[4]Risk Drivers-Translation'!#REF!</definedName>
    <definedName name="PORTABLE_GENERATION_Table" localSheetId="3">'[20]Order Reporting Tables'!#REF!</definedName>
    <definedName name="PORTABLE_GENERATION_Table" localSheetId="4">'[20]Order Reporting Tables'!#REF!</definedName>
    <definedName name="PORTABLE_GENERATION_Table" localSheetId="5">'[20]Order Reporting Tables'!#REF!</definedName>
    <definedName name="PORTABLE_GENERATION_Table" localSheetId="6">'[20]Order Reporting Tables'!#REF!</definedName>
    <definedName name="PORTABLE_GENERATION_Table">'[20]Order Reporting Tables'!#REF!</definedName>
    <definedName name="PREFERRED_STOCK___Existing_Issues">#REF!</definedName>
    <definedName name="PREFERRED_STOCK___Existing_Issues___Input_Section">#REF!</definedName>
    <definedName name="PREFERRED_STOCK___New_Issues">#REF!</definedName>
    <definedName name="PRINT">#REF!</definedName>
    <definedName name="_xlnm.Print_Area" localSheetId="7">'Bill Factor Codes'!$A$1:$I$14</definedName>
    <definedName name="_xlnm.Print_Area" localSheetId="0">'Cover Sheet'!$A$1:$J$60</definedName>
    <definedName name="_xlnm.Print_Area" localSheetId="1">'MMG-1.1a'!$A$1:$H$17</definedName>
    <definedName name="_xlnm.Print_Area" localSheetId="2">'MMG-1.1b'!$A$1:$Q$54</definedName>
    <definedName name="_xlnm.Print_Area" localSheetId="3">'MMG-1.3a'!$A$1:$H$44</definedName>
    <definedName name="_xlnm.Print_Area" localSheetId="4">'MMG-1.3b'!$A$1:$H$44</definedName>
    <definedName name="_xlnm.Print_Area" localSheetId="5">'MMG-1.3c'!$A$1:$H$44</definedName>
    <definedName name="_xlnm.Print_Area" localSheetId="6">'MMG-1.3d'!$A$1:$H$44</definedName>
    <definedName name="Print_Area_MI" localSheetId="3">#REF!</definedName>
    <definedName name="Print_Area_MI" localSheetId="4">#REF!</definedName>
    <definedName name="Print_Area_MI" localSheetId="5">#REF!</definedName>
    <definedName name="Print_Area_MI" localSheetId="6">#REF!</definedName>
    <definedName name="Print_Area_MI">#REF!</definedName>
    <definedName name="_xlnm.Print_Titles" localSheetId="0">'Cover Sheet'!$1:$12</definedName>
    <definedName name="_xlnm.Print_Titles" localSheetId="2">'MMG-1.1b'!$1:$7</definedName>
    <definedName name="_xlnm.Print_Titles" localSheetId="3">#REF!</definedName>
    <definedName name="_xlnm.Print_Titles" localSheetId="4">#REF!</definedName>
    <definedName name="_xlnm.Print_Titles" localSheetId="5">#REF!</definedName>
    <definedName name="_xlnm.Print_Titles">#REF!</definedName>
    <definedName name="PRINT1">#REF!</definedName>
    <definedName name="QTRLOAD">#REF!</definedName>
    <definedName name="QTRPRINT">#REF!</definedName>
    <definedName name="QTRREV">#REF!</definedName>
    <definedName name="RATES" localSheetId="3">[12]TuSum!#REF!</definedName>
    <definedName name="RATES" localSheetId="4">[12]TuSum!#REF!</definedName>
    <definedName name="RATES" localSheetId="5">[12]TuSum!#REF!</definedName>
    <definedName name="RATES" localSheetId="6">[12]TuSum!#REF!</definedName>
    <definedName name="RATES">[12]TuSum!#REF!</definedName>
    <definedName name="RBN">#REF!</definedName>
    <definedName name="RBU">#REF!</definedName>
    <definedName name="redec">#REF!</definedName>
    <definedName name="Reg_Asset_Tab_Menu">#REF!</definedName>
    <definedName name="Reg_Liab_Emissions_Input">'[8]WPL Reg Assets'!#REF!</definedName>
    <definedName name="RegExpenditures">#REF!</definedName>
    <definedName name="RegExpendituresSI">#REF!</definedName>
    <definedName name="Regulatory_Expense_Assumptions">#REF!</definedName>
    <definedName name="rely">#REF!</definedName>
    <definedName name="REPORTS">#REF!</definedName>
    <definedName name="REPORTS_Sub_menu">#REF!</definedName>
    <definedName name="retainearningsdec31">#REF!</definedName>
    <definedName name="RetainedEarnings">#REF!</definedName>
    <definedName name="retainedearningsly">#REF!</definedName>
    <definedName name="rety">#REF!</definedName>
    <definedName name="Revenue___Miscellaneous___Assumptions">#REF!</definedName>
    <definedName name="Revenue_Misc">#REF!</definedName>
    <definedName name="Revenue_Misc_SI">#REF!</definedName>
    <definedName name="RID">#REF!</definedName>
    <definedName name="SBWGEENTRIES">#REF!</definedName>
    <definedName name="SBWGETHERMS">[14]Worksheets!#REF!</definedName>
    <definedName name="Sch_D" localSheetId="3">#REF!</definedName>
    <definedName name="Sch_D" localSheetId="4">#REF!</definedName>
    <definedName name="Sch_D" localSheetId="5">#REF!</definedName>
    <definedName name="Sch_D" localSheetId="6">#REF!</definedName>
    <definedName name="Sch_D">#REF!</definedName>
    <definedName name="Sch_E" localSheetId="3">#REF!</definedName>
    <definedName name="Sch_E" localSheetId="4">#REF!</definedName>
    <definedName name="Sch_E" localSheetId="5">#REF!</definedName>
    <definedName name="Sch_E" localSheetId="6">#REF!</definedName>
    <definedName name="Sch_E">#REF!</definedName>
    <definedName name="Sch_E1" localSheetId="3">#REF!</definedName>
    <definedName name="Sch_E1" localSheetId="4">#REF!</definedName>
    <definedName name="Sch_E1" localSheetId="5">#REF!</definedName>
    <definedName name="Sch_E1" localSheetId="6">#REF!</definedName>
    <definedName name="Sch_E1">#REF!</definedName>
    <definedName name="SCN">#REF!</definedName>
    <definedName name="sdfds" localSheetId="3">'[6]PGA Calc'!#REF!</definedName>
    <definedName name="sdfds" localSheetId="4">'[6]PGA Calc'!#REF!</definedName>
    <definedName name="sdfds" localSheetId="5">'[6]PGA Calc'!#REF!</definedName>
    <definedName name="sdfds" localSheetId="6">'[6]PGA Calc'!#REF!</definedName>
    <definedName name="sdfds">'[6]PGA Calc'!#REF!</definedName>
    <definedName name="Sep_2006">'[7]WPL EGEAS Production Data'!$C$340:$N$380</definedName>
    <definedName name="Sep_2007">'[7]WPL EGEAS Production Data'!$C$844:$N$884</definedName>
    <definedName name="Servco_3yrbs">#REF!</definedName>
    <definedName name="Servco_3yrcf">#REF!</definedName>
    <definedName name="Servco_3yris">#REF!</definedName>
    <definedName name="Servco_3yrkrd">#REF!</definedName>
    <definedName name="Servco_3yrkrs">#REF!</definedName>
    <definedName name="Servco_3yrsu">#REF!</definedName>
    <definedName name="Servco_3yrsummary">#REF!</definedName>
    <definedName name="Servco_AnnualBS">#REF!</definedName>
    <definedName name="Servco_AnnualBS_PrintRows">#REF!</definedName>
    <definedName name="Servco_AnnualCF">#REF!</definedName>
    <definedName name="Servco_AnnualCF_PrintRows">#REF!</definedName>
    <definedName name="Servco_AnnualIS">#REF!</definedName>
    <definedName name="Servco_AnnualIS_PrintRows">#REF!</definedName>
    <definedName name="Servco_AnnualKRD">#REF!</definedName>
    <definedName name="Servco_AnnualKRD_PrintRows">#REF!</definedName>
    <definedName name="Servco_AnnualKRS">#REF!</definedName>
    <definedName name="Servco_AnnualKRS_PrintRows">#REF!</definedName>
    <definedName name="Servco_AnnualSU">#REF!</definedName>
    <definedName name="Servco_AnnualSU_PrintRows">#REF!</definedName>
    <definedName name="Servco_CapitalInvest_Annual">#REF!</definedName>
    <definedName name="Servco_CapitalInvest_Printrows">#REF!</definedName>
    <definedName name="Servco_MonthlyBS_PrintRows">#REF!</definedName>
    <definedName name="Servco_MonthlyBS_Year1">#REF!</definedName>
    <definedName name="Servco_MonthlyBS_Year2">#REF!</definedName>
    <definedName name="Servco_MonthlyBS_Year3">#REF!</definedName>
    <definedName name="Servco_MonthlyCF_PrintRows">#REF!</definedName>
    <definedName name="Servco_MonthlyCF_Year1">#REF!</definedName>
    <definedName name="Servco_MonthlyCF_Year2">#REF!</definedName>
    <definedName name="Servco_MonthlyCF_Year3">#REF!</definedName>
    <definedName name="Servco_MonthlyIS_PrintRows">#REF!</definedName>
    <definedName name="Servco_MonthlyIS_Year1">#REF!</definedName>
    <definedName name="Servco_MonthlyIS_Year2">#REF!</definedName>
    <definedName name="Servco_MonthlyIS_Year3">#REF!</definedName>
    <definedName name="Servco_MonthlyKRD_PrintRows">#REF!</definedName>
    <definedName name="Servco_MonthlyKRD_Year1">#REF!</definedName>
    <definedName name="Servco_MonthlyKRD_Year2">#REF!</definedName>
    <definedName name="Servco_MonthlyKRD_Year3">#REF!</definedName>
    <definedName name="Servco_MonthlyKRS_PrintRows">#REF!</definedName>
    <definedName name="Servco_MonthlyKRS_Year1">#REF!</definedName>
    <definedName name="Servco_MonthlyKRS_Year2">#REF!</definedName>
    <definedName name="Servco_MonthlyKRS_Year3">#REF!</definedName>
    <definedName name="Servco_MonthlySU_PrintRows">#REF!</definedName>
    <definedName name="Servco_MonthlySU_Year1">#REF!</definedName>
    <definedName name="Servco_MonthlySU_Year2">#REF!</definedName>
    <definedName name="Servco_MonthlySU_Year3">#REF!</definedName>
    <definedName name="Servco_OMDetail_annual">#REF!</definedName>
    <definedName name="Servco_OMDetail_printrows">#REF!</definedName>
    <definedName name="Servco_OMSummary_Annual">#REF!</definedName>
    <definedName name="Servco_OMSummary_Printrows">#REF!</definedName>
    <definedName name="Servco_Pension_Annual">#REF!</definedName>
    <definedName name="Servco_Pension_Printrows">#REF!</definedName>
    <definedName name="Servco_QuarterlyBS">#REF!</definedName>
    <definedName name="Servco_QuarterlyBS_Year1">#REF!</definedName>
    <definedName name="Servco_QuarterlyBS_Year2">#REF!</definedName>
    <definedName name="Servco_QuarterlyBS_Year3">#REF!</definedName>
    <definedName name="Servco_QuarterlyCF">#REF!</definedName>
    <definedName name="Servco_QuarterlyCF_Year1">#REF!</definedName>
    <definedName name="Servco_QuarterlyCF_Year2">#REF!</definedName>
    <definedName name="Servco_QuarterlyCF_Year3">#REF!</definedName>
    <definedName name="Servco_QuarterlyIS">#REF!</definedName>
    <definedName name="Servco_QuarterlyIS_Year1">#REF!</definedName>
    <definedName name="Servco_QuarterlyIS_Year2">#REF!</definedName>
    <definedName name="Servco_QuarterlyIS_Year3">#REF!</definedName>
    <definedName name="Servco_QuarterlyKRD">#REF!</definedName>
    <definedName name="Servco_QuarterlyKRS">#REF!</definedName>
    <definedName name="Servco_Summary">#REF!</definedName>
    <definedName name="Servco_Summary_PrintRows">#REF!</definedName>
    <definedName name="ServcoAlt_OMDetail_annual">#REF!</definedName>
    <definedName name="ServcoAlt_OMDetail_printrows">#REF!</definedName>
    <definedName name="ServcoALt_OMSummary_Annual">#REF!</definedName>
    <definedName name="ServcoAlt_OMSummary_Printrows">#REF!</definedName>
    <definedName name="ServcoBudget_OMDetail_annual">#REF!</definedName>
    <definedName name="ServcoBudget_OMDetail_printrows">#REF!</definedName>
    <definedName name="ServcoBudget_OMSummary_annual">#REF!</definedName>
    <definedName name="ServcoBudget_OMSummary_printrows">#REF!</definedName>
    <definedName name="ServcoConsol_OMDetail_annual">#REF!</definedName>
    <definedName name="ServcoConsol_OMDetail_Printrows">#REF!</definedName>
    <definedName name="SFD">#REF!</definedName>
    <definedName name="sfdoperunit">#REF!</definedName>
    <definedName name="sfdproduct">#REF!</definedName>
    <definedName name="SFV">#REF!</definedName>
    <definedName name="sfvoperunit">#REF!</definedName>
    <definedName name="sfvproduct">#REF!</definedName>
    <definedName name="ShutDownCostRecover_DAEC_IPL">'[4]Risk Drivers-Translation'!#REF!</definedName>
    <definedName name="ShutDownOutageCostRecover_DAEC_IPL">'[4]Risk Drivers-Translation'!#REF!</definedName>
    <definedName name="sjkdfklas" localSheetId="3">'[6]PGA Calc'!#REF!</definedName>
    <definedName name="sjkdfklas" localSheetId="4">'[6]PGA Calc'!#REF!</definedName>
    <definedName name="sjkdfklas" localSheetId="5">'[6]PGA Calc'!#REF!</definedName>
    <definedName name="sjkdfklas" localSheetId="6">'[6]PGA Calc'!#REF!</definedName>
    <definedName name="sjkdfklas">'[6]PGA Calc'!#REF!</definedName>
    <definedName name="SS">#REF!</definedName>
    <definedName name="STD">#REF!</definedName>
    <definedName name="STMKWH">#REF!</definedName>
    <definedName name="STMKWHACT">#REF!</definedName>
    <definedName name="STMKWHBUD">#REF!</definedName>
    <definedName name="STMSU">#REF!</definedName>
    <definedName name="STMSUBUD">#REF!</definedName>
    <definedName name="STN">#REF!</definedName>
    <definedName name="Summary_PrintRows">#REF!</definedName>
    <definedName name="TAB1136877249">#REF!</definedName>
    <definedName name="Tax_Depreciation_Method_List">#REF!</definedName>
    <definedName name="thousand">1000</definedName>
    <definedName name="Total_BGS" localSheetId="3">#REF!</definedName>
    <definedName name="Total_BGS" localSheetId="4">#REF!</definedName>
    <definedName name="Total_BGS" localSheetId="5">#REF!</definedName>
    <definedName name="Total_BGS" localSheetId="6">#REF!</definedName>
    <definedName name="Total_BGS">#REF!</definedName>
    <definedName name="TOTAL_ENERGY_SUPPLIED_TO_GRID_Table" localSheetId="3">'[20]Order Reporting Tables'!#REF!</definedName>
    <definedName name="TOTAL_ENERGY_SUPPLIED_TO_GRID_Table" localSheetId="4">'[20]Order Reporting Tables'!#REF!</definedName>
    <definedName name="TOTAL_ENERGY_SUPPLIED_TO_GRID_Table" localSheetId="5">'[20]Order Reporting Tables'!#REF!</definedName>
    <definedName name="TOTAL_ENERGY_SUPPLIED_TO_GRID_Table" localSheetId="6">'[20]Order Reporting Tables'!#REF!</definedName>
    <definedName name="TOTAL_ENERGY_SUPPLIED_TO_GRID_Table">'[20]Order Reporting Tables'!#REF!</definedName>
    <definedName name="TOTAL_NET_GENERATION_Table" localSheetId="3">'[20]Order Reporting Tables'!#REF!</definedName>
    <definedName name="TOTAL_NET_GENERATION_Table" localSheetId="4">'[20]Order Reporting Tables'!#REF!</definedName>
    <definedName name="TOTAL_NET_GENERATION_Table" localSheetId="5">'[20]Order Reporting Tables'!#REF!</definedName>
    <definedName name="TOTAL_NET_GENERATION_Table" localSheetId="6">'[20]Order Reporting Tables'!#REF!</definedName>
    <definedName name="TOTAL_NET_GENERATION_Table">'[20]Order Reporting Tables'!#REF!</definedName>
    <definedName name="Total_Utility_Capital_Retirement_Expenditures___Assumptions">#REF!</definedName>
    <definedName name="TotalNuclearGeneration518" localSheetId="3">'[22]FRA-2 Variances'!#REF!</definedName>
    <definedName name="TotalNuclearGeneration518" localSheetId="4">'[22]FRA-2 Variances'!#REF!</definedName>
    <definedName name="TotalNuclearGeneration518" localSheetId="5">'[22]FRA-2 Variances'!#REF!</definedName>
    <definedName name="TotalNuclearGeneration518" localSheetId="6">'[22]FRA-2 Variances'!#REF!</definedName>
    <definedName name="TotalNuclearGeneration518">'[22]FRA-2 Variances'!#REF!</definedName>
    <definedName name="TotalOtherGeneration547" localSheetId="3">'[22]FRA-2 Variances'!#REF!</definedName>
    <definedName name="TotalOtherGeneration547" localSheetId="4">'[22]FRA-2 Variances'!#REF!</definedName>
    <definedName name="TotalOtherGeneration547" localSheetId="5">'[22]FRA-2 Variances'!#REF!</definedName>
    <definedName name="TotalOtherGeneration547" localSheetId="6">'[22]FRA-2 Variances'!#REF!</definedName>
    <definedName name="TotalOtherGeneration547">'[22]FRA-2 Variances'!#REF!</definedName>
    <definedName name="TotalPurchasedPower546_547">'[23]FRA-5 Variances'!#REF!</definedName>
    <definedName name="TotalPurchasedPower555_565">'[23]FRA-5 Variances'!#REF!</definedName>
    <definedName name="TotalSteamGeneration501">'[22]FRA-2 Variances'!#REF!</definedName>
    <definedName name="TransmBillings">#REF!</definedName>
    <definedName name="TransmBillingsSI">#REF!</definedName>
    <definedName name="Transmission_Billings_Assumptions">#REF!</definedName>
    <definedName name="Treasury_Shortterm_Input">'[8]WPL Treasury'!#REF!</definedName>
    <definedName name="Treasury_Tab_Menu">#REF!</definedName>
    <definedName name="UNB">#REF!</definedName>
    <definedName name="UNBILLED" localSheetId="3">[12]Prior!#REF!</definedName>
    <definedName name="UNBILLED" localSheetId="4">[12]Prior!#REF!</definedName>
    <definedName name="UNBILLED" localSheetId="5">[12]Prior!#REF!</definedName>
    <definedName name="UNBILLED" localSheetId="6">[12]Prior!#REF!</definedName>
    <definedName name="UNBILLED">[12]Prior!#REF!</definedName>
    <definedName name="Utility_Capital_Investment_Expenditures">#REF!</definedName>
    <definedName name="Utility_Name">[21]Intro!$D$13</definedName>
    <definedName name="VARIABLE_RATE_DEMAND_BONDS___Existing_Issues">#REF!</definedName>
    <definedName name="WPL_3yr_Variance_BS">#REF!</definedName>
    <definedName name="WPL_3yr_Variance_CF">#REF!</definedName>
    <definedName name="WPL_3yr_Variance_EBIT">#REF!</definedName>
    <definedName name="WPL_3yr_VARIANCE_IS">#REF!</definedName>
    <definedName name="WPL_3yrannualbs">#REF!</definedName>
    <definedName name="WPL_3yrannualBS_PrintRows">#REF!</definedName>
    <definedName name="WPL_3yrannualcf">#REF!</definedName>
    <definedName name="WPL_3yrannualcf_PrintRows">#REF!</definedName>
    <definedName name="WPL_3yrannualis">#REF!</definedName>
    <definedName name="WPL_3yrannualis_Printrows">#REF!</definedName>
    <definedName name="WPL_3yrannualkrd">#REF!</definedName>
    <definedName name="WPL_3yrannualkrd_printrows">#REF!</definedName>
    <definedName name="WPL_3yrannualkrs">#REF!</definedName>
    <definedName name="WPL_3yrannualkrs_printrows">#REF!</definedName>
    <definedName name="WPL_3yrannualsu">#REF!</definedName>
    <definedName name="WPL_3yrannualsu_printrows">#REF!</definedName>
    <definedName name="WPL_3yrbs">#REF!</definedName>
    <definedName name="WPL_3yrcf">#REF!</definedName>
    <definedName name="WPL_3yris">#REF!</definedName>
    <definedName name="WPL_3yrkrd">#REF!</definedName>
    <definedName name="WPL_3yrkrs">#REF!</definedName>
    <definedName name="WPL_3yrsu">#REF!</definedName>
    <definedName name="WPL_3yrsummary">#REF!</definedName>
    <definedName name="WPL_Annual_Number_of_Shares">#REF!</definedName>
    <definedName name="WPL_AnnualBS">#REF!</definedName>
    <definedName name="WPL_AnnualBS_PrintRows">#REF!</definedName>
    <definedName name="WPL_AnnualCF">#REF!</definedName>
    <definedName name="WPL_AnnualCF_PrintRows">#REF!</definedName>
    <definedName name="WPL_AnnualIS">#REF!</definedName>
    <definedName name="WPL_AnnualIS_PrintRows">#REF!</definedName>
    <definedName name="WPL_AnnualKRD">#REF!</definedName>
    <definedName name="WPL_AnnualKRD_PrintRows">#REF!</definedName>
    <definedName name="WPL_AnnualKRS">#REF!</definedName>
    <definedName name="WPL_AnnualKRS_PrintRows">#REF!</definedName>
    <definedName name="WPL_AnnualSU">#REF!</definedName>
    <definedName name="WPL_AnnualSU_PrintRows">#REF!</definedName>
    <definedName name="WPL_CapitalInvest_annual">#REF!</definedName>
    <definedName name="WPL_CapitalInvest_printrows">#REF!</definedName>
    <definedName name="WPL_FuelHandling_annual">#REF!</definedName>
    <definedName name="WPL_Fuelhandling_Printrows">#REF!</definedName>
    <definedName name="WPL_JointPlt_OMDetail_annual">#REF!</definedName>
    <definedName name="WPl_MonthlyBS_PrintRows">#REF!</definedName>
    <definedName name="WPL_MonthlyBS_Year1">#REF!</definedName>
    <definedName name="WPL_MonthlyBS_Year2">#REF!</definedName>
    <definedName name="WPL_MonthlyBS_Year3">#REF!</definedName>
    <definedName name="WPL_MonthlyCF_PrintRows">#REF!</definedName>
    <definedName name="WPL_MonthlyCF_Year1">#REF!</definedName>
    <definedName name="WPL_MonthlyCF_Year2">#REF!</definedName>
    <definedName name="WPL_MonthlyCF_Year3">#REF!</definedName>
    <definedName name="WPL_MonthlyIS_PrintRows">#REF!</definedName>
    <definedName name="WPL_MonthlyIS_Year1">#REF!</definedName>
    <definedName name="WPL_MonthlyIS_Year2">#REF!</definedName>
    <definedName name="WPL_MonthlyIS_Year3">#REF!</definedName>
    <definedName name="WPL_MonthlyKRD_PrintRows">#REF!</definedName>
    <definedName name="WPL_MonthlyKRD_Year1">#REF!</definedName>
    <definedName name="WPL_MonthlyKRD_Year2">#REF!</definedName>
    <definedName name="WPL_MonthlyKRD_Year3">#REF!</definedName>
    <definedName name="WPL_MonthlyKRS_PrintRows">#REF!</definedName>
    <definedName name="WPL_MonthlyKRS_Year1">#REF!</definedName>
    <definedName name="WPL_MonthlyKRS_Year2">#REF!</definedName>
    <definedName name="WPL_MonthlyKRS_Year3">#REF!</definedName>
    <definedName name="WPL_MonthlySU_PrintRows">#REF!</definedName>
    <definedName name="WPL_MonthlySU_Year1">#REF!</definedName>
    <definedName name="WPL_MonthlySU_Year2">#REF!</definedName>
    <definedName name="WPL_MonthlySU_Year3">#REF!</definedName>
    <definedName name="WPL_MonthlyUS_PrintRows">#REF!</definedName>
    <definedName name="WPL_OMDetail_Annual">#REF!</definedName>
    <definedName name="WPL_OMDetail_Printrows">#REF!</definedName>
    <definedName name="WPL_OMSUmmary_annual">#REF!</definedName>
    <definedName name="WPL_OMSummary_printrows">#REF!</definedName>
    <definedName name="WPL_Pension_Annual">#REF!</definedName>
    <definedName name="WPL_Pension_printrows">#REF!</definedName>
    <definedName name="WPL_QuarterlyBS">#REF!</definedName>
    <definedName name="WPL_QuarterlyBS_Year1">#REF!</definedName>
    <definedName name="WPL_QuarterlyBS_Year2">#REF!</definedName>
    <definedName name="WPL_QuarterlyBS_Year3">#REF!</definedName>
    <definedName name="WPL_QuarterlyCF">#REF!</definedName>
    <definedName name="WPL_QuarterlyCF_Year1">#REF!</definedName>
    <definedName name="WPL_QuarterlyCF_Year2">#REF!</definedName>
    <definedName name="WPL_QuarterlyCF_Year3">#REF!</definedName>
    <definedName name="WPL_QuarterlyIS">#REF!</definedName>
    <definedName name="WPL_QuarterlyIS_Year1">#REF!</definedName>
    <definedName name="WPL_QuarterlyIS_Year2">#REF!</definedName>
    <definedName name="WPL_QuarterlyIS_Year3">#REF!</definedName>
    <definedName name="WPL_QuarterlyKRD">#REF!</definedName>
    <definedName name="WPL_QuarterlyKRS">#REF!</definedName>
    <definedName name="wpl_rr_y1_annual">#REF!</definedName>
    <definedName name="wpl_rr_y1_est">#REF!</definedName>
    <definedName name="wpl_rr_y1_mthly_full">#REF!</definedName>
    <definedName name="wpl_rr_y1_mthly_override">'[4]Consol WPL'!#REF!</definedName>
    <definedName name="wpl_rr_y1_mthly_part">#REF!</definedName>
    <definedName name="wpl_rr_y1_post_y1">#REF!</definedName>
    <definedName name="wpl_rr_y1_switch">#REF!</definedName>
    <definedName name="wpl_rr_y2_annual">#REF!</definedName>
    <definedName name="wpl_rr_y2_est">#REF!</definedName>
    <definedName name="wpl_rr_y2_mthly_full">#REF!</definedName>
    <definedName name="wpl_rr_y2_mthly_override">'[4]Consol WPL'!#REF!</definedName>
    <definedName name="wpl_rr_y2_mthly_part">#REF!</definedName>
    <definedName name="wpl_rr_y2_post_y2">#REF!</definedName>
    <definedName name="wpl_rr_y2_switch">#REF!</definedName>
    <definedName name="wpl_rr_y3_annual">#REF!</definedName>
    <definedName name="wpl_rr_y3_est">#REF!</definedName>
    <definedName name="wpl_rr_y3_mthly_full">#REF!</definedName>
    <definedName name="wpl_rr_y3_mthly_override">'[4]Consol WPL'!#REF!</definedName>
    <definedName name="wpl_rr_y3_mthly_part">#REF!</definedName>
    <definedName name="wpl_rr_y3_post_y3">#REF!</definedName>
    <definedName name="wpl_rr_y3_switch">#REF!</definedName>
    <definedName name="wpl_rr_y4_annual">#REF!</definedName>
    <definedName name="wpl_rr_y4_est">#REF!</definedName>
    <definedName name="wpl_rr_y4_override">'[4]Consol WPL'!#REF!</definedName>
    <definedName name="wpl_rr_y4_post_y4">#REF!</definedName>
    <definedName name="wpl_rr_y4_switch">#REF!</definedName>
    <definedName name="wpl_rr_y5_annual">#REF!</definedName>
    <definedName name="wpl_rr_y5_est">#REF!</definedName>
    <definedName name="wpl_rr_y5_override">'[4]Consol WPL'!#REF!</definedName>
    <definedName name="wpl_rr_y5_post_y5">#REF!</definedName>
    <definedName name="wpl_rr_y5_switch">#REF!</definedName>
    <definedName name="wpl_rr_y6_annual">#REF!</definedName>
    <definedName name="wpl_rr_y6_est">#REF!</definedName>
    <definedName name="wpl_rr_y6_override">'[4]Consol WPL'!#REF!</definedName>
    <definedName name="wpl_rr_y6_post_y6">#REF!</definedName>
    <definedName name="wpl_rr_y6_switch">#REF!</definedName>
    <definedName name="wpl_servco_alloc">#REF!</definedName>
    <definedName name="wpl_share_price">#REF!</definedName>
    <definedName name="WPL_Summary">#REF!</definedName>
    <definedName name="WPL_Summary_PrintRows">#REF!</definedName>
    <definedName name="WPL_Summary_Report">#REF!</definedName>
    <definedName name="WPL_Tax_Inputs">#REF!</definedName>
    <definedName name="WPL_totalexpend_annual">#REF!</definedName>
    <definedName name="WPL_totalexpend_printrows">#REF!</definedName>
    <definedName name="WPL_Treasury_Inputs">#REF!</definedName>
    <definedName name="WPL_Validations">#REF!</definedName>
    <definedName name="WPL_VarBSBudget">#REF!</definedName>
    <definedName name="WPL_VarCFBudget">#REF!</definedName>
    <definedName name="WPL_VarEBITBudget">#REF!</definedName>
    <definedName name="WPL_Variance_AnnualBS">#REF!</definedName>
    <definedName name="WPL_Variance_AnnualBS_PrintRows">#REF!</definedName>
    <definedName name="WPL_Variance_AnnualCF">#REF!</definedName>
    <definedName name="WPL_Variance_AnnualCF_PrintRows">#REF!</definedName>
    <definedName name="WPL_Variance_AnnualIS">#REF!</definedName>
    <definedName name="WPL_Variance_AnnualIS_PrintRows">#REF!</definedName>
    <definedName name="WPL_VARIANCE_BS">#REF!</definedName>
    <definedName name="WPL_VARIANCE_BS_PrintRows">#REF!</definedName>
    <definedName name="WPL_VARIANCE_CF">#REF!</definedName>
    <definedName name="WPL_VARIANCE_CF_PrintRows">#REF!</definedName>
    <definedName name="WPL_VARIANCE_EBIT">#REF!</definedName>
    <definedName name="WPL_VARIANCE_EBIT_PrintRows">#REF!</definedName>
    <definedName name="WPL_VARIANCE_IS">#REF!</definedName>
    <definedName name="WPL_VARIANCE_IS_PrintRows">#REF!</definedName>
    <definedName name="WPL_VARIANCE_QBS">#REF!</definedName>
    <definedName name="WPL_VARIANCE_QBS_PrintRows">#REF!</definedName>
    <definedName name="WPL_VARIANCE_QCF">#REF!</definedName>
    <definedName name="WPL_VARIANCE_QCF_PrintRows">#REF!</definedName>
    <definedName name="WPL_VARIANCE_QEBIT">#REF!</definedName>
    <definedName name="WPL_VARIANCE_QEBIT_PrintRows">#REF!</definedName>
    <definedName name="WPL_VARIANCE_QIS">#REF!</definedName>
    <definedName name="WPL_VARIANCE_QIS_PrintRows">#REF!</definedName>
    <definedName name="WPL_Variance_Summary">#REF!</definedName>
    <definedName name="WPL_Variance_Summary_PrintRows">#REF!</definedName>
    <definedName name="WPL_VarISBudget">#REF!</definedName>
    <definedName name="WPL_Year_1_Number_of_Shares">#REF!</definedName>
    <definedName name="WPLAlt_OMDetail_annual">#REF!</definedName>
    <definedName name="WPLAlt_OMDetail_printrows">#REF!</definedName>
    <definedName name="WPLAlt_OMSummary_annual">#REF!</definedName>
    <definedName name="WPLAlt_OMSummary_Printrows">#REF!</definedName>
    <definedName name="WPLAlt_pension_annual">#REF!</definedName>
    <definedName name="WPLAlt_pension_printrows">#REF!</definedName>
    <definedName name="WPLAltVar_OMDetail_annual">#REF!</definedName>
    <definedName name="WPLAltVar_OMDetail_Printrows">#REF!</definedName>
    <definedName name="WPLAltVar_OMSummary_Annual">#REF!</definedName>
    <definedName name="WPLAltVar_OMSummary_Printrows">#REF!</definedName>
    <definedName name="WPLBudget_capitalinvest_annual">#REF!</definedName>
    <definedName name="WPLBudget_capitalinvest_printrows">#REF!</definedName>
    <definedName name="WPLBudget_OMDetail_annual">#REF!</definedName>
    <definedName name="WPLBudget_OMDetail_printrows">#REF!</definedName>
    <definedName name="WPLBudget_OMsummary_annual">#REF!</definedName>
    <definedName name="WPLBudget_OMSummary_printrows">#REF!</definedName>
    <definedName name="WPLBudget_Pension_annual">#REF!</definedName>
    <definedName name="WPLBudget_pension_printrows">#REF!</definedName>
    <definedName name="WPLBudget_totalexpend_annual">#REF!</definedName>
    <definedName name="WPLBudget_totalexpend_printrows">#REF!</definedName>
    <definedName name="WPLBudgetVar_OMDetail_annual">#REF!</definedName>
    <definedName name="WPLBudgetVar_OMDetail_Printrows">#REF!</definedName>
    <definedName name="WPLBudgetVar_OMSummary_annual">#REF!</definedName>
    <definedName name="WPLBudgetVar_OMSummary_Printrows">#REF!</definedName>
    <definedName name="WPLConsol_OMDetail_annual">#REF!</definedName>
    <definedName name="WPLConsol_OMDetail_Printrows">#REF!</definedName>
    <definedName name="WPLConsol_Pension_Annual">#REF!</definedName>
    <definedName name="WPLConsol_Pension_printrows">#REF!</definedName>
    <definedName name="WPLConsolAlt_OMDetail_Annual">#REF!</definedName>
    <definedName name="WPLConsolAlt_OMDetail_Printrows">#REF!</definedName>
    <definedName name="WPLConsolAlt_Pension_Annual">#REF!</definedName>
    <definedName name="WPLConsolAlt_Pension_printrows">#REF!</definedName>
    <definedName name="WPLConsolBudget_OMDetail_annual">#REF!</definedName>
    <definedName name="WPLConsolBudget_OMDetail_printrows">#REF!</definedName>
    <definedName name="WPLConsolBudget_Pension_annual">#REF!</definedName>
    <definedName name="WPLConsolBudget_pension_printrows">#REF!</definedName>
    <definedName name="WPLENTRIES">#REF!</definedName>
    <definedName name="WPLJointPlt_OMDetail_printrows">#REF!</definedName>
    <definedName name="WPLJointPlt_OMSummary_Annual">#REF!</definedName>
    <definedName name="WPLJointPlt_OMSummary_PrintRows">#REF!</definedName>
    <definedName name="WPLreport_numberofshares">#REF!</definedName>
    <definedName name="WPLTHERMS">[14]Worksheets!#REF!</definedName>
    <definedName name="zero">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3" i="12" l="1"/>
  <c r="H12" i="12"/>
  <c r="H11" i="12"/>
  <c r="H10" i="12"/>
  <c r="H9" i="12"/>
  <c r="H8" i="12"/>
  <c r="A30" i="10" l="1"/>
  <c r="A29" i="10"/>
  <c r="C20" i="10"/>
  <c r="B20" i="10"/>
  <c r="C19" i="10"/>
  <c r="B19" i="10"/>
  <c r="D19" i="10" s="1"/>
  <c r="C18" i="10"/>
  <c r="B18" i="10"/>
  <c r="D18" i="10" s="1"/>
  <c r="C17" i="10"/>
  <c r="B17" i="10"/>
  <c r="C16" i="10"/>
  <c r="B16" i="10"/>
  <c r="D16" i="10" s="1"/>
  <c r="C15" i="10"/>
  <c r="B15" i="10"/>
  <c r="B8" i="10"/>
  <c r="A30" i="9"/>
  <c r="A29" i="9"/>
  <c r="C20" i="9"/>
  <c r="B20" i="9"/>
  <c r="C19" i="9"/>
  <c r="B19" i="9"/>
  <c r="C18" i="9"/>
  <c r="B18" i="9"/>
  <c r="D18" i="9" s="1"/>
  <c r="C17" i="9"/>
  <c r="B17" i="9"/>
  <c r="C16" i="9"/>
  <c r="B16" i="9"/>
  <c r="D16" i="9" s="1"/>
  <c r="C15" i="9"/>
  <c r="B15" i="9"/>
  <c r="B8" i="9"/>
  <c r="A30" i="8"/>
  <c r="A29" i="8"/>
  <c r="C20" i="8"/>
  <c r="B20" i="8"/>
  <c r="D20" i="8" s="1"/>
  <c r="C19" i="8"/>
  <c r="B19" i="8"/>
  <c r="C18" i="8"/>
  <c r="B18" i="8"/>
  <c r="D18" i="8" s="1"/>
  <c r="C17" i="8"/>
  <c r="B17" i="8"/>
  <c r="D17" i="8" s="1"/>
  <c r="C16" i="8"/>
  <c r="B16" i="8"/>
  <c r="D16" i="8" s="1"/>
  <c r="C15" i="8"/>
  <c r="B15" i="8"/>
  <c r="B21" i="8" s="1"/>
  <c r="B22" i="8" s="1"/>
  <c r="B8" i="8"/>
  <c r="A30" i="7"/>
  <c r="A29" i="7"/>
  <c r="C20" i="7"/>
  <c r="B20" i="7"/>
  <c r="D20" i="7" s="1"/>
  <c r="C19" i="7"/>
  <c r="B19" i="7"/>
  <c r="D19" i="7" s="1"/>
  <c r="C18" i="7"/>
  <c r="B18" i="7"/>
  <c r="D18" i="7" s="1"/>
  <c r="C17" i="7"/>
  <c r="B17" i="7"/>
  <c r="D17" i="7" s="1"/>
  <c r="C16" i="7"/>
  <c r="B16" i="7"/>
  <c r="C15" i="7"/>
  <c r="B15" i="7"/>
  <c r="D15" i="7" s="1"/>
  <c r="B8" i="7"/>
  <c r="P53" i="6"/>
  <c r="O53" i="6"/>
  <c r="N53" i="6"/>
  <c r="M53" i="6"/>
  <c r="L53" i="6"/>
  <c r="K53" i="6"/>
  <c r="J53" i="6"/>
  <c r="I53" i="6"/>
  <c r="H53" i="6"/>
  <c r="G53" i="6"/>
  <c r="F53" i="6"/>
  <c r="E53" i="6"/>
  <c r="D53" i="6"/>
  <c r="P44" i="6"/>
  <c r="O44" i="6"/>
  <c r="N44" i="6"/>
  <c r="M44" i="6"/>
  <c r="L44" i="6"/>
  <c r="K44" i="6"/>
  <c r="J44" i="6"/>
  <c r="I44" i="6"/>
  <c r="H44" i="6"/>
  <c r="G44" i="6"/>
  <c r="F44" i="6"/>
  <c r="E44" i="6"/>
  <c r="D44" i="6"/>
  <c r="P35" i="6"/>
  <c r="O35" i="6"/>
  <c r="N35" i="6"/>
  <c r="M35" i="6"/>
  <c r="L35" i="6"/>
  <c r="K35" i="6"/>
  <c r="J35" i="6"/>
  <c r="I35" i="6"/>
  <c r="H35" i="6"/>
  <c r="G35" i="6"/>
  <c r="F35" i="6"/>
  <c r="E35" i="6"/>
  <c r="D35" i="6"/>
  <c r="P26" i="6"/>
  <c r="O26" i="6"/>
  <c r="N26" i="6"/>
  <c r="M26" i="6"/>
  <c r="L26" i="6"/>
  <c r="K26" i="6"/>
  <c r="J26" i="6"/>
  <c r="I26" i="6"/>
  <c r="H26" i="6"/>
  <c r="G26" i="6"/>
  <c r="F26" i="6"/>
  <c r="E26" i="6"/>
  <c r="D26" i="6"/>
  <c r="P16" i="6"/>
  <c r="D16" i="6"/>
  <c r="P15" i="6"/>
  <c r="O15" i="6"/>
  <c r="N15" i="6"/>
  <c r="M15" i="6"/>
  <c r="L15" i="6"/>
  <c r="K15" i="6"/>
  <c r="J15" i="6"/>
  <c r="I15" i="6"/>
  <c r="H15" i="6"/>
  <c r="G15" i="6"/>
  <c r="F15" i="6"/>
  <c r="E15" i="6"/>
  <c r="E16" i="6" s="1"/>
  <c r="D15" i="6"/>
  <c r="P14" i="6"/>
  <c r="O14" i="6"/>
  <c r="N14" i="6"/>
  <c r="M14" i="6"/>
  <c r="L14" i="6"/>
  <c r="K14" i="6"/>
  <c r="J14" i="6"/>
  <c r="I14" i="6"/>
  <c r="H14" i="6"/>
  <c r="G14" i="6"/>
  <c r="F14" i="6"/>
  <c r="F16" i="6" s="1"/>
  <c r="E14" i="6"/>
  <c r="D14" i="6"/>
  <c r="P13" i="6"/>
  <c r="O13" i="6"/>
  <c r="N13" i="6"/>
  <c r="M13" i="6"/>
  <c r="L13" i="6"/>
  <c r="K13" i="6"/>
  <c r="J13" i="6"/>
  <c r="I13" i="6"/>
  <c r="H13" i="6"/>
  <c r="G13" i="6"/>
  <c r="G16" i="6" s="1"/>
  <c r="F13" i="6"/>
  <c r="E13" i="6"/>
  <c r="D13" i="6"/>
  <c r="P12" i="6"/>
  <c r="O12" i="6"/>
  <c r="N12" i="6"/>
  <c r="M12" i="6"/>
  <c r="L12" i="6"/>
  <c r="K12" i="6"/>
  <c r="J12" i="6"/>
  <c r="I12" i="6"/>
  <c r="H12" i="6"/>
  <c r="H16" i="6" s="1"/>
  <c r="G12" i="6"/>
  <c r="F12" i="6"/>
  <c r="E12" i="6"/>
  <c r="D12" i="6"/>
  <c r="P11" i="6"/>
  <c r="O11" i="6"/>
  <c r="N11" i="6"/>
  <c r="M11" i="6"/>
  <c r="L11" i="6"/>
  <c r="K11" i="6"/>
  <c r="J11" i="6"/>
  <c r="I11" i="6"/>
  <c r="I16" i="6" s="1"/>
  <c r="H11" i="6"/>
  <c r="G11" i="6"/>
  <c r="F11" i="6"/>
  <c r="E11" i="6"/>
  <c r="D11" i="6"/>
  <c r="P10" i="6"/>
  <c r="O10" i="6"/>
  <c r="O16" i="6" s="1"/>
  <c r="N10" i="6"/>
  <c r="N16" i="6" s="1"/>
  <c r="M10" i="6"/>
  <c r="M16" i="6" s="1"/>
  <c r="L10" i="6"/>
  <c r="L16" i="6" s="1"/>
  <c r="K10" i="6"/>
  <c r="K16" i="6" s="1"/>
  <c r="J10" i="6"/>
  <c r="J16" i="6" s="1"/>
  <c r="I10" i="6"/>
  <c r="H10" i="6"/>
  <c r="G10" i="6"/>
  <c r="F10" i="6"/>
  <c r="E10" i="6"/>
  <c r="D10" i="6"/>
  <c r="E16" i="5"/>
  <c r="D16" i="5"/>
  <c r="C15" i="5"/>
  <c r="C14" i="5"/>
  <c r="C13" i="5"/>
  <c r="C12" i="5"/>
  <c r="C11" i="5"/>
  <c r="C10" i="5"/>
  <c r="D20" i="10" l="1"/>
  <c r="D17" i="10"/>
  <c r="B21" i="10"/>
  <c r="B22" i="10" s="1"/>
  <c r="C21" i="10"/>
  <c r="C22" i="10" s="1"/>
  <c r="D20" i="9"/>
  <c r="D19" i="9"/>
  <c r="B21" i="9"/>
  <c r="B22" i="9" s="1"/>
  <c r="C21" i="9"/>
  <c r="C22" i="9" s="1"/>
  <c r="D17" i="9"/>
  <c r="C21" i="8"/>
  <c r="C22" i="8" s="1"/>
  <c r="D19" i="8"/>
  <c r="C21" i="7"/>
  <c r="C22" i="7" s="1"/>
  <c r="D16" i="7"/>
  <c r="G13" i="5"/>
  <c r="D21" i="7"/>
  <c r="D22" i="7" s="1"/>
  <c r="B21" i="7"/>
  <c r="B22" i="7" s="1"/>
  <c r="C16" i="5"/>
  <c r="G14" i="5" s="1"/>
  <c r="E19" i="10" s="1"/>
  <c r="F19" i="10" s="1"/>
  <c r="G19" i="10" s="1"/>
  <c r="D15" i="9"/>
  <c r="D15" i="8"/>
  <c r="D21" i="8" s="1"/>
  <c r="D22" i="8" s="1"/>
  <c r="D15" i="10"/>
  <c r="D21" i="10" s="1"/>
  <c r="D22" i="10" s="1"/>
  <c r="D21" i="9" l="1"/>
  <c r="D22" i="9" s="1"/>
  <c r="E19" i="7"/>
  <c r="F19" i="7" s="1"/>
  <c r="G19" i="7" s="1"/>
  <c r="E19" i="8"/>
  <c r="F19" i="8" s="1"/>
  <c r="G19" i="8" s="1"/>
  <c r="E18" i="8"/>
  <c r="F18" i="8" s="1"/>
  <c r="G18" i="8" s="1"/>
  <c r="E18" i="7"/>
  <c r="F18" i="7" s="1"/>
  <c r="G18" i="7" s="1"/>
  <c r="G15" i="5"/>
  <c r="E18" i="10"/>
  <c r="F18" i="10" s="1"/>
  <c r="G18" i="10" s="1"/>
  <c r="G11" i="5"/>
  <c r="E19" i="9"/>
  <c r="F19" i="9" s="1"/>
  <c r="G19" i="9" s="1"/>
  <c r="E18" i="9"/>
  <c r="F18" i="9" s="1"/>
  <c r="G18" i="9" s="1"/>
  <c r="G12" i="5"/>
  <c r="G10" i="5"/>
  <c r="E17" i="10" l="1"/>
  <c r="F17" i="10" s="1"/>
  <c r="G17" i="10" s="1"/>
  <c r="E17" i="8"/>
  <c r="F17" i="8" s="1"/>
  <c r="G17" i="8" s="1"/>
  <c r="E17" i="7"/>
  <c r="F17" i="7" s="1"/>
  <c r="G17" i="7" s="1"/>
  <c r="E17" i="9"/>
  <c r="F17" i="9" s="1"/>
  <c r="G17" i="9" s="1"/>
  <c r="E16" i="8"/>
  <c r="F16" i="8" s="1"/>
  <c r="E16" i="7"/>
  <c r="F16" i="7" s="1"/>
  <c r="E16" i="9"/>
  <c r="F16" i="9" s="1"/>
  <c r="E16" i="10"/>
  <c r="F16" i="10" s="1"/>
  <c r="E15" i="10"/>
  <c r="G16" i="5"/>
  <c r="E15" i="8"/>
  <c r="E15" i="7"/>
  <c r="E15" i="9"/>
  <c r="E20" i="8"/>
  <c r="F20" i="8" s="1"/>
  <c r="G20" i="8" s="1"/>
  <c r="E20" i="7"/>
  <c r="F20" i="7" s="1"/>
  <c r="G20" i="7" s="1"/>
  <c r="E20" i="9"/>
  <c r="F20" i="9" s="1"/>
  <c r="G20" i="9" s="1"/>
  <c r="E20" i="10"/>
  <c r="F20" i="10" s="1"/>
  <c r="G20" i="10" s="1"/>
  <c r="G16" i="10" l="1"/>
  <c r="C36" i="10"/>
  <c r="D36" i="10" s="1"/>
  <c r="G16" i="9"/>
  <c r="C36" i="9"/>
  <c r="D36" i="9" s="1"/>
  <c r="F15" i="7"/>
  <c r="E21" i="7"/>
  <c r="E22" i="7" s="1"/>
  <c r="F22" i="7" s="1"/>
  <c r="E21" i="10"/>
  <c r="E22" i="10" s="1"/>
  <c r="F22" i="10" s="1"/>
  <c r="F15" i="10"/>
  <c r="C36" i="7"/>
  <c r="D36" i="7" s="1"/>
  <c r="G16" i="7"/>
  <c r="C36" i="8"/>
  <c r="D36" i="8" s="1"/>
  <c r="G16" i="8"/>
  <c r="E21" i="9"/>
  <c r="E22" i="9" s="1"/>
  <c r="F22" i="9" s="1"/>
  <c r="F15" i="9"/>
  <c r="E21" i="8"/>
  <c r="E22" i="8" s="1"/>
  <c r="F22" i="8" s="1"/>
  <c r="F15" i="8"/>
  <c r="C32" i="10" l="1"/>
  <c r="D32" i="10" s="1"/>
  <c r="C35" i="10"/>
  <c r="D35" i="10" s="1"/>
  <c r="G22" i="10"/>
  <c r="G15" i="10"/>
  <c r="G21" i="10" s="1"/>
  <c r="C33" i="10"/>
  <c r="D33" i="10" s="1"/>
  <c r="C35" i="7"/>
  <c r="D35" i="7" s="1"/>
  <c r="G22" i="7"/>
  <c r="C32" i="7"/>
  <c r="D32" i="7" s="1"/>
  <c r="G15" i="7"/>
  <c r="G21" i="7" s="1"/>
  <c r="C33" i="7"/>
  <c r="D33" i="7" s="1"/>
  <c r="G15" i="8"/>
  <c r="G21" i="8" s="1"/>
  <c r="C33" i="8"/>
  <c r="D33" i="8" s="1"/>
  <c r="G22" i="8"/>
  <c r="C35" i="8"/>
  <c r="D35" i="8" s="1"/>
  <c r="C32" i="8"/>
  <c r="D32" i="8" s="1"/>
  <c r="G15" i="9"/>
  <c r="G21" i="9" s="1"/>
  <c r="C33" i="9"/>
  <c r="D33" i="9" s="1"/>
  <c r="G22" i="9"/>
  <c r="C32" i="9"/>
  <c r="D32" i="9" s="1"/>
  <c r="C35" i="9"/>
  <c r="D35" i="9" s="1"/>
</calcChain>
</file>

<file path=xl/sharedStrings.xml><?xml version="1.0" encoding="utf-8"?>
<sst xmlns="http://schemas.openxmlformats.org/spreadsheetml/2006/main" count="384" uniqueCount="141">
  <si>
    <t>Madison Gas and Electric Company</t>
  </si>
  <si>
    <t>Docket Number:</t>
  </si>
  <si>
    <t>Requestor:</t>
  </si>
  <si>
    <t>Date of Response:</t>
  </si>
  <si>
    <t>Respondent:</t>
  </si>
  <si>
    <t>Response</t>
  </si>
  <si>
    <t>Date of Request:</t>
  </si>
  <si>
    <t>Total Sales KWH Net of Renewables</t>
  </si>
  <si>
    <t>September</t>
  </si>
  <si>
    <t>October</t>
  </si>
  <si>
    <t>November</t>
  </si>
  <si>
    <t>December</t>
  </si>
  <si>
    <t>Residential</t>
  </si>
  <si>
    <t>Small Commercial</t>
  </si>
  <si>
    <t>Medium and Large C&amp;I</t>
  </si>
  <si>
    <t>Contract</t>
  </si>
  <si>
    <t>Miscellaneous</t>
  </si>
  <si>
    <t>Streetlighting</t>
  </si>
  <si>
    <t>Total</t>
  </si>
  <si>
    <t>January</t>
  </si>
  <si>
    <t>February</t>
  </si>
  <si>
    <t>March</t>
  </si>
  <si>
    <t>April</t>
  </si>
  <si>
    <t>May</t>
  </si>
  <si>
    <t>June</t>
  </si>
  <si>
    <t>July</t>
  </si>
  <si>
    <t>August</t>
  </si>
  <si>
    <t>Class-Based</t>
  </si>
  <si>
    <t>kWh</t>
  </si>
  <si>
    <t>MGE-Response-Data Request-PSC-Garcia-1</t>
  </si>
  <si>
    <t>3270-FR-2023</t>
  </si>
  <si>
    <t>May 1, 2024 (PSC REF # 500025)</t>
  </si>
  <si>
    <t>Michael Garcia</t>
  </si>
  <si>
    <t>Riley Denu</t>
  </si>
  <si>
    <t>PSCW-MMG-1.1</t>
  </si>
  <si>
    <t xml:space="preserve">For all responses to this data request, provide the monthly sales volumes the applicant proposes to use for the development of the credit rate.  In the response, be sure to indicate if the sales are based on a Commission authorized sales forecast, or if the sales will be subject to change based on the Commission's final decision in any pending dockets. </t>
  </si>
  <si>
    <t>PSCW-MMG-1.2</t>
  </si>
  <si>
    <t xml:space="preserve">Would the applicant be able to implement any bill credit as a result of this proceeding in September 2024.  If not, provide justification why this is not possible. </t>
  </si>
  <si>
    <t>PSCW-MMG-1.3</t>
  </si>
  <si>
    <t>PSCW-MMG-1.4:</t>
  </si>
  <si>
    <t xml:space="preserve">Provide any workbooks, with formulas intact, used to respond to PSCW-MMG-1.3. </t>
  </si>
  <si>
    <t>PSCW-MMG-1.5</t>
  </si>
  <si>
    <t>Using the final fuel audit numbers, demonstrate what a flat-rate and class-based credit allocation, with per kWh credit values, would look like if the deferred account balance were refunded in:
a.   September 2024;
b.   October 2024;
c.   September 2024 through December 2024; and
d.   October 2024 through December 2024.</t>
  </si>
  <si>
    <t>PSCW-MMG-1.6</t>
  </si>
  <si>
    <t xml:space="preserve">Provide any workbooks, with formulas intact, used to respond to PSCW-MMG-1.5. </t>
  </si>
  <si>
    <t>PSCW-MMG-1.7</t>
  </si>
  <si>
    <t>Provide the bill impacts from the calculated fuel credit amounts for the average residential customer using 500 kWh monthly, and the average general service customer using 1,100 kWh, for the following time periods: 
a.   September 2024; 
b.   October 2024; 
c.   September 2024 through December 2024; and
d.   October 2024 through December 2024.</t>
  </si>
  <si>
    <t>2023 Fuel Reconciliation Audit (3270-FR-2023)</t>
  </si>
  <si>
    <t xml:space="preserve">2023 Calendar Electric Sales </t>
  </si>
  <si>
    <t>KWH</t>
  </si>
  <si>
    <t>Allocators</t>
  </si>
  <si>
    <t>Rate Class</t>
  </si>
  <si>
    <t>Net Renewable</t>
  </si>
  <si>
    <t>Renewable</t>
  </si>
  <si>
    <t>Total Sales</t>
  </si>
  <si>
    <t>2024 Electric Sales Forecast per 3270-UR-125</t>
  </si>
  <si>
    <t xml:space="preserve">UR-125 2024 Total </t>
  </si>
  <si>
    <t>Total Sales KWH with Renewables</t>
  </si>
  <si>
    <t>GPT</t>
  </si>
  <si>
    <t>CS1</t>
  </si>
  <si>
    <t>RER</t>
  </si>
  <si>
    <t>Deferred Balance</t>
  </si>
  <si>
    <t>Interest Amount</t>
  </si>
  <si>
    <t>Deferred Balance with Interest</t>
  </si>
  <si>
    <r>
      <t>Sep 2024 Forecasted Sales (kWh)</t>
    </r>
    <r>
      <rPr>
        <b/>
        <vertAlign val="superscript"/>
        <sz val="11"/>
        <color theme="1"/>
        <rFont val="Calibri"/>
        <family val="2"/>
        <scheme val="minor"/>
      </rPr>
      <t>1</t>
    </r>
  </si>
  <si>
    <t>Allocation and Adjustment Rate</t>
  </si>
  <si>
    <t xml:space="preserve">Adjustment Period: </t>
  </si>
  <si>
    <t>Net Sales</t>
  </si>
  <si>
    <t>Adjustment Rate</t>
  </si>
  <si>
    <t>September 2024</t>
  </si>
  <si>
    <t>Total kWh</t>
  </si>
  <si>
    <r>
      <t>Renewables</t>
    </r>
    <r>
      <rPr>
        <b/>
        <vertAlign val="superscript"/>
        <sz val="11"/>
        <color theme="1"/>
        <rFont val="Calibri"/>
        <family val="2"/>
        <scheme val="minor"/>
      </rPr>
      <t>2</t>
    </r>
  </si>
  <si>
    <t>for Adjustment</t>
  </si>
  <si>
    <r>
      <t>$ Allocation</t>
    </r>
    <r>
      <rPr>
        <b/>
        <vertAlign val="superscript"/>
        <sz val="11"/>
        <color theme="1"/>
        <rFont val="Calibri"/>
        <family val="2"/>
      </rPr>
      <t>3</t>
    </r>
  </si>
  <si>
    <t>per kWh</t>
  </si>
  <si>
    <r>
      <t>$ Adjustment</t>
    </r>
    <r>
      <rPr>
        <b/>
        <vertAlign val="superscript"/>
        <sz val="11"/>
        <color theme="1"/>
        <rFont val="Calibri"/>
        <family val="2"/>
      </rPr>
      <t>4</t>
    </r>
  </si>
  <si>
    <t>Large Commercial &amp; Industrial</t>
  </si>
  <si>
    <t>Class-Based Totals</t>
  </si>
  <si>
    <t>Flat-Rate</t>
  </si>
  <si>
    <r>
      <rPr>
        <vertAlign val="superscript"/>
        <sz val="11"/>
        <color theme="1"/>
        <rFont val="Calibri"/>
        <family val="2"/>
        <scheme val="minor"/>
      </rPr>
      <t>1</t>
    </r>
    <r>
      <rPr>
        <sz val="11"/>
        <color theme="1"/>
        <rFont val="Calibri"/>
        <family val="2"/>
        <scheme val="minor"/>
      </rPr>
      <t xml:space="preserve"> Authorized in docket 3270-UR-125.</t>
    </r>
  </si>
  <si>
    <r>
      <rPr>
        <vertAlign val="superscript"/>
        <sz val="11"/>
        <color theme="1"/>
        <rFont val="Calibri"/>
        <family val="2"/>
        <scheme val="minor"/>
      </rPr>
      <t>2</t>
    </r>
    <r>
      <rPr>
        <sz val="11"/>
        <color theme="1"/>
        <rFont val="Calibri"/>
        <family val="2"/>
        <scheme val="minor"/>
      </rPr>
      <t xml:space="preserve"> Renewables includes sales associated with MGE's Green Power Tomorrow, Shared Solar, and Renewable Energy Rider programs.</t>
    </r>
  </si>
  <si>
    <r>
      <rPr>
        <vertAlign val="superscript"/>
        <sz val="11"/>
        <color theme="1"/>
        <rFont val="Calibri"/>
        <family val="2"/>
        <scheme val="minor"/>
      </rPr>
      <t>3</t>
    </r>
    <r>
      <rPr>
        <sz val="11"/>
        <color theme="1"/>
        <rFont val="Calibri"/>
        <family val="2"/>
        <scheme val="minor"/>
      </rPr>
      <t xml:space="preserve"> The deferred balance with interest is allocated according to relative share of kWh sales during the 2023 calendar year.</t>
    </r>
  </si>
  <si>
    <r>
      <rPr>
        <vertAlign val="superscript"/>
        <sz val="11"/>
        <color theme="1"/>
        <rFont val="Calibri"/>
        <family val="2"/>
        <scheme val="minor"/>
      </rPr>
      <t>4</t>
    </r>
    <r>
      <rPr>
        <sz val="11"/>
        <color theme="1"/>
        <rFont val="Calibri"/>
        <family val="2"/>
        <scheme val="minor"/>
      </rPr>
      <t xml:space="preserve"> The difference between the deferred balance with interest and the total adjustment is due to rounding the adjustment rate to the nearest thousandth of a cent.</t>
    </r>
  </si>
  <si>
    <t>Est. Monthly</t>
  </si>
  <si>
    <t>Bill Impact</t>
  </si>
  <si>
    <t>General Service</t>
  </si>
  <si>
    <t>Residential:</t>
  </si>
  <si>
    <t>Rg-1, Rg-2, Rg-2A, RW-1, Rg-7</t>
  </si>
  <si>
    <t>Small Commercial:</t>
  </si>
  <si>
    <t>Cg-5, Cg-3, Cg-7</t>
  </si>
  <si>
    <t>Large Commercial and Industrial:</t>
  </si>
  <si>
    <t>Cg-8, Cg-4, Cg-2, Cg-6</t>
  </si>
  <si>
    <t>Contract:</t>
  </si>
  <si>
    <t>Cp-1, SP-3, DC-1</t>
  </si>
  <si>
    <t>Miscellaneous:</t>
  </si>
  <si>
    <t>Gf-1, Mg-2, OL-1, MLS</t>
  </si>
  <si>
    <t>GSL-1</t>
  </si>
  <si>
    <r>
      <t>Oct 2024 Forecasted Sales (kWh)</t>
    </r>
    <r>
      <rPr>
        <b/>
        <vertAlign val="superscript"/>
        <sz val="11"/>
        <color theme="1"/>
        <rFont val="Calibri"/>
        <family val="2"/>
        <scheme val="minor"/>
      </rPr>
      <t>1</t>
    </r>
  </si>
  <si>
    <t>October 2024</t>
  </si>
  <si>
    <r>
      <t>Sep 2024 - Dec 2024 Forecasted Sales (kWh)</t>
    </r>
    <r>
      <rPr>
        <b/>
        <vertAlign val="superscript"/>
        <sz val="11"/>
        <color theme="1"/>
        <rFont val="Calibri"/>
        <family val="2"/>
        <scheme val="minor"/>
      </rPr>
      <t>1</t>
    </r>
  </si>
  <si>
    <t>Sep 2024 - Dec 2024</t>
  </si>
  <si>
    <r>
      <t>Oct 2024 - Dec 2024 Forecasted Sales (kWh)</t>
    </r>
    <r>
      <rPr>
        <b/>
        <vertAlign val="superscript"/>
        <sz val="11"/>
        <color theme="1"/>
        <rFont val="Calibri"/>
        <family val="2"/>
        <scheme val="minor"/>
      </rPr>
      <t>1</t>
    </r>
  </si>
  <si>
    <t>Oct 2024 - Dec 2024</t>
  </si>
  <si>
    <t>MMG-1.1a - Actual kWh by Rate Class for 2023 Fuel Plan Year</t>
  </si>
  <si>
    <t>MMG-1.1b - Authorized Monthly kWh by Rate Class for 2024</t>
  </si>
  <si>
    <t>See Tabs MMG-1.3a, MMG-1.3b, MMG-1.3c, and MMG-1.3d for the requested allocations and per kilowatt-hour (kWh) values.</t>
  </si>
  <si>
    <t>See Tabs MMG-1.3a, MMG-1.3b, MMG-1.3c, and MMG-1.3d.</t>
  </si>
  <si>
    <t>If MGE responds to MMG-1.5 as described above, the response will include any supporting workbooks with formulas intact.</t>
  </si>
  <si>
    <t>See Tabs MMG-1.3a, MMG-1.3b, MMG-1.3c, and MMG-1.3d for the requested bill impacts.</t>
  </si>
  <si>
    <t>MMG-1.3a - Allocations and per kWh values for September 2024</t>
  </si>
  <si>
    <t>MMG-1.3b - Allocations and per kWh values for October 2024</t>
  </si>
  <si>
    <t>MMG-1.3c - Allocations and per kWh values for September 2024 through December 2024</t>
  </si>
  <si>
    <t>MMG-1.3d - Allocations and per kWh values for October 2024 through December 2024</t>
  </si>
  <si>
    <t>Using the fuel numbers as filed in the application, demonstrate what a flat-rate and class-based credit allocation, with per kilowatt-hour (kWh) credit values, would look like if the deferred account balance were refunded in: 
a.   September 2024;
b.   October 2024;
c.   September 2024 through December 2024; and
d.   October 2024 through December 2024.</t>
  </si>
  <si>
    <t>May 8, 2024</t>
  </si>
  <si>
    <t>Madison Gas and Electric Co.</t>
  </si>
  <si>
    <t>Electric Bill Factor Codes with Present and Authorized Rates</t>
  </si>
  <si>
    <t>ANNUAL FUEL COST (AFC)</t>
  </si>
  <si>
    <t>Bill Factor
Code</t>
  </si>
  <si>
    <t>Present
Rates</t>
  </si>
  <si>
    <t>Authorized
Rates</t>
  </si>
  <si>
    <t>Units</t>
  </si>
  <si>
    <t>Rate
Change</t>
  </si>
  <si>
    <t>AFC</t>
  </si>
  <si>
    <t>Annual Fuel Cost for Residential</t>
  </si>
  <si>
    <t>AFCRES</t>
  </si>
  <si>
    <t>Annual Fuel Cost for Small Commercial</t>
  </si>
  <si>
    <t>AFCSCOM</t>
  </si>
  <si>
    <t>Annual Fuel Cost for Medium and Large Com/Ind</t>
  </si>
  <si>
    <t>AFCMLCI</t>
  </si>
  <si>
    <t>Annual Fuel Cost for Contract (CP-1/SP-3)</t>
  </si>
  <si>
    <t>AFCCONT</t>
  </si>
  <si>
    <t>Annual Fuel Cost for Street Light</t>
  </si>
  <si>
    <t>AFCSL</t>
  </si>
  <si>
    <t>Annual Fuel Cost for Miscellaneous</t>
  </si>
  <si>
    <t>AFCMISC</t>
  </si>
  <si>
    <t>Docket 3270-FR-2023</t>
  </si>
  <si>
    <t>Summary for the Period October 1 - December 31, 2024</t>
  </si>
  <si>
    <t xml:space="preserve">MGE will be unable to implement any bill credit as a result of this proceeding in September 2024. MGE's billing system is currently configured for only two types of fuel cost adjustment, a multiple month adjustment ("annual") and an October-only adjustment. Each adjustment is capable of supporting only a single value for any given month. The annual adjustment is currently set to a surcharge of $0.00291/kWh through September 30, 2024, as ordered in Docket 3270-UR-125. 
Additionally, MGE would like to respectfully inform you that an October-only bill credit, while feasible, would create inconsistencies. MGE's annual adjustment uses proration for bills that include both days where the adjustment is in effect and days where it is not. Proration is used even when AMI meters are present. In contrast, MGE's October-only adjustment uses the exact monthly data from AMI meters when they are present and proration otherwise. If an October-only adjustment is approved, it will create an inconsistency on October 2024 bills for customers with AMI meters. On these bills, the September kWh for the current bill surcharge will be calculated via proration while the October kWh for the proposed bill credit would be calculated using exact AMI data. The two parts being calculated with different methodologies could create results that are inconsistent with the customer's total usage on that bill. </t>
  </si>
  <si>
    <t>See Tab MMG-1.1b for the requested monthly electric sales volumes. All sales volumes used in this response are net of renewables. The monthly electric sales volumes for 2024 are based on the Commission authorized sales forecast that is included in MGE's response to data request PSC-Corbeil-1.36 (PSC REF # 494665). Also see Tab MMG-1.1a for the actual electric sales volumes by rate class for the 2023 Fuel Plan Year for use in the development of a class-based allocation as requested in MMG-1.3 and MMG-1.5.
Additionally, a Bill Factor Codes tab is included. MGE respectfully requests that the information on that tab be included as an appendix in the Final Decision of this proceeding. The authorized rates on that tab are currently populated with the rates resulting from an October through December flat-rate credit.</t>
  </si>
  <si>
    <t>As of the date of this response, PSCW staff has not notified MGE of any audit adjustments. If any audit adjustments that affect the credit amount are provided, MGE will respond to this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</si>
</sst>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quot;$&quot;#,##0.00_);\(&quot;$&quot;#,##0.00\)"/>
    <numFmt numFmtId="165" formatCode="_(&quot;$&quot;* #,##0.00_);_(&quot;$&quot;* \(#,##0.00\);_(&quot;$&quot;* &quot;-&quot;??_);_(@_)"/>
    <numFmt numFmtId="166" formatCode="_(* #,##0_);_(* \(#,##0\);_(* &quot;-&quot;??_);_(@_)"/>
    <numFmt numFmtId="167" formatCode="_(&quot;$&quot;* #,##0_);_(&quot;$&quot;* \(#,##0\);_(&quot;$&quot;* &quot;-&quot;??_);_(@_)"/>
    <numFmt numFmtId="168" formatCode="_(&quot;$&quot;* #,##0.00000_);_(&quot;$&quot;* \(#,##0.00000\);_(&quot;$&quot;* &quot;-&quot;??_);_(@_)"/>
    <numFmt numFmtId="169" formatCode="&quot;$&quot;#,##0.00000_);\(&quot;$&quot;#,##0.00000\)"/>
  </numFmts>
  <fonts count="19" x14ac:knownFonts="1">
    <font>
      <sz val="11"/>
      <color theme="1"/>
      <name val="Calibri"/>
      <family val="2"/>
      <scheme val="minor"/>
    </font>
    <font>
      <sz val="12"/>
      <color theme="1"/>
      <name val="Calibri"/>
      <family val="2"/>
    </font>
    <font>
      <sz val="12"/>
      <color theme="1"/>
      <name val="Calibri"/>
      <family val="2"/>
    </font>
    <font>
      <sz val="11"/>
      <name val="Calibri"/>
      <family val="2"/>
      <scheme val="minor"/>
    </font>
    <font>
      <b/>
      <sz val="12"/>
      <name val="Calibri"/>
      <family val="2"/>
      <scheme val="minor"/>
    </font>
    <font>
      <sz val="12"/>
      <name val="Calibri"/>
      <family val="2"/>
      <scheme val="minor"/>
    </font>
    <font>
      <b/>
      <sz val="11"/>
      <name val="Calibri"/>
      <family val="2"/>
      <scheme val="minor"/>
    </font>
    <font>
      <u/>
      <sz val="11"/>
      <name val="Calibri"/>
      <family val="2"/>
      <scheme val="minor"/>
    </font>
    <font>
      <sz val="11"/>
      <color theme="1"/>
      <name val="Calibri"/>
      <family val="2"/>
      <scheme val="minor"/>
    </font>
    <font>
      <b/>
      <sz val="11"/>
      <color theme="1"/>
      <name val="Calibri"/>
      <family val="2"/>
      <scheme val="minor"/>
    </font>
    <font>
      <sz val="12"/>
      <color theme="1"/>
      <name val="Calibri"/>
      <family val="2"/>
    </font>
    <font>
      <sz val="11"/>
      <color theme="1"/>
      <name val="Calibri"/>
      <family val="2"/>
    </font>
    <font>
      <b/>
      <sz val="11"/>
      <color rgb="FFFF0000"/>
      <name val="Calibri"/>
      <family val="2"/>
      <scheme val="minor"/>
    </font>
    <font>
      <sz val="11"/>
      <color rgb="FFFF0000"/>
      <name val="Calibri"/>
      <family val="2"/>
      <scheme val="minor"/>
    </font>
    <font>
      <b/>
      <vertAlign val="superscript"/>
      <sz val="11"/>
      <color theme="1"/>
      <name val="Calibri"/>
      <family val="2"/>
      <scheme val="minor"/>
    </font>
    <font>
      <b/>
      <vertAlign val="superscript"/>
      <sz val="11"/>
      <color theme="1"/>
      <name val="Calibri"/>
      <family val="2"/>
    </font>
    <font>
      <vertAlign val="superscript"/>
      <sz val="11"/>
      <color theme="1"/>
      <name val="Calibri"/>
      <family val="2"/>
      <scheme val="minor"/>
    </font>
    <font>
      <sz val="10"/>
      <name val="Arial"/>
      <family val="2"/>
    </font>
    <font>
      <sz val="10"/>
      <color theme="1"/>
      <name val="Calibri"/>
      <family val="2"/>
    </font>
  </fonts>
  <fills count="3">
    <fill>
      <patternFill patternType="none"/>
    </fill>
    <fill>
      <patternFill patternType="gray125"/>
    </fill>
    <fill>
      <patternFill patternType="solid">
        <fgColor theme="0" tint="-0.14999847407452621"/>
        <bgColor indexed="64"/>
      </patternFill>
    </fill>
  </fills>
  <borders count="29">
    <border>
      <left/>
      <right/>
      <top/>
      <bottom/>
      <diagonal/>
    </border>
    <border>
      <left/>
      <right/>
      <top/>
      <bottom style="thick">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indexed="64"/>
      </bottom>
      <diagonal/>
    </border>
    <border>
      <left/>
      <right style="medium">
        <color auto="1"/>
      </right>
      <top/>
      <bottom style="thin">
        <color indexed="64"/>
      </bottom>
      <diagonal/>
    </border>
    <border>
      <left style="medium">
        <color auto="1"/>
      </left>
      <right/>
      <top/>
      <bottom style="medium">
        <color auto="1"/>
      </bottom>
      <diagonal/>
    </border>
    <border>
      <left/>
      <right/>
      <top/>
      <bottom style="medium">
        <color indexed="64"/>
      </bottom>
      <diagonal/>
    </border>
    <border>
      <left/>
      <right style="medium">
        <color auto="1"/>
      </right>
      <top/>
      <bottom style="medium">
        <color auto="1"/>
      </bottom>
      <diagonal/>
    </border>
    <border>
      <left/>
      <right/>
      <top style="thin">
        <color auto="1"/>
      </top>
      <bottom/>
      <diagonal/>
    </border>
    <border>
      <left/>
      <right style="medium">
        <color auto="1"/>
      </right>
      <top style="thin">
        <color auto="1"/>
      </top>
      <bottom style="medium">
        <color auto="1"/>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15">
    <xf numFmtId="0" fontId="0" fillId="0" borderId="0"/>
    <xf numFmtId="0" fontId="8" fillId="0" borderId="0"/>
    <xf numFmtId="0" fontId="10" fillId="0" borderId="0"/>
    <xf numFmtId="0" fontId="8" fillId="0" borderId="0"/>
    <xf numFmtId="43" fontId="10" fillId="0" borderId="0" applyFont="0" applyFill="0" applyBorder="0" applyAlignment="0" applyProtection="0"/>
    <xf numFmtId="9" fontId="10"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9" fontId="8" fillId="0" borderId="0" applyFont="0" applyFill="0" applyBorder="0" applyAlignment="0" applyProtection="0"/>
    <xf numFmtId="165" fontId="2" fillId="0" borderId="0" applyFont="0" applyFill="0" applyBorder="0" applyAlignment="0" applyProtection="0"/>
    <xf numFmtId="0" fontId="17" fillId="0" borderId="0"/>
    <xf numFmtId="0" fontId="1" fillId="0" borderId="0"/>
  </cellStyleXfs>
  <cellXfs count="137">
    <xf numFmtId="0" fontId="0" fillId="0" borderId="0" xfId="0"/>
    <xf numFmtId="0" fontId="3" fillId="0" borderId="0" xfId="0" applyFont="1"/>
    <xf numFmtId="49" fontId="3" fillId="0" borderId="0" xfId="0" applyNumberFormat="1" applyFont="1"/>
    <xf numFmtId="0" fontId="6" fillId="0" borderId="0" xfId="0" applyFont="1" applyAlignment="1">
      <alignment horizontal="center" wrapText="1"/>
    </xf>
    <xf numFmtId="0" fontId="3" fillId="0" borderId="0" xfId="0" applyFont="1" applyAlignment="1">
      <alignment horizontal="center" wrapText="1"/>
    </xf>
    <xf numFmtId="0" fontId="6" fillId="0" borderId="0" xfId="0" applyFont="1"/>
    <xf numFmtId="0" fontId="3" fillId="0" borderId="1" xfId="0" applyFont="1" applyBorder="1"/>
    <xf numFmtId="0" fontId="7" fillId="0" borderId="0" xfId="0" applyFont="1"/>
    <xf numFmtId="0" fontId="4" fillId="0" borderId="0" xfId="0" applyFont="1" applyAlignment="1">
      <alignment vertical="top"/>
    </xf>
    <xf numFmtId="0" fontId="3" fillId="0" borderId="0" xfId="0" applyFont="1" applyAlignment="1">
      <alignment vertical="top"/>
    </xf>
    <xf numFmtId="0" fontId="9" fillId="0" borderId="0" xfId="1" applyFont="1"/>
    <xf numFmtId="0" fontId="6" fillId="0" borderId="0" xfId="3" applyFont="1"/>
    <xf numFmtId="0" fontId="3" fillId="0" borderId="0" xfId="0" applyFont="1" applyAlignment="1">
      <alignment horizontal="left" vertical="top" wrapText="1"/>
    </xf>
    <xf numFmtId="0" fontId="12" fillId="0" borderId="0" xfId="0" applyFont="1"/>
    <xf numFmtId="0" fontId="8" fillId="0" borderId="0" xfId="6" applyFont="1"/>
    <xf numFmtId="0" fontId="3" fillId="0" borderId="0" xfId="6" applyFont="1"/>
    <xf numFmtId="0" fontId="9" fillId="0" borderId="0" xfId="6" applyFont="1"/>
    <xf numFmtId="0" fontId="8" fillId="0" borderId="16" xfId="6" applyFont="1" applyBorder="1"/>
    <xf numFmtId="3" fontId="8" fillId="2" borderId="16" xfId="6" applyNumberFormat="1" applyFont="1" applyFill="1" applyBorder="1"/>
    <xf numFmtId="166" fontId="8" fillId="2" borderId="16" xfId="7" applyNumberFormat="1" applyFont="1" applyFill="1" applyBorder="1"/>
    <xf numFmtId="10" fontId="8" fillId="2" borderId="16" xfId="8" applyNumberFormat="1" applyFont="1" applyFill="1" applyBorder="1"/>
    <xf numFmtId="10" fontId="8" fillId="2" borderId="16" xfId="6" applyNumberFormat="1" applyFont="1" applyFill="1" applyBorder="1"/>
    <xf numFmtId="0" fontId="8" fillId="0" borderId="0" xfId="1"/>
    <xf numFmtId="0" fontId="3" fillId="0" borderId="0" xfId="1" applyFont="1"/>
    <xf numFmtId="0" fontId="13" fillId="0" borderId="0" xfId="1" applyFont="1"/>
    <xf numFmtId="0" fontId="8" fillId="0" borderId="2" xfId="1" applyBorder="1"/>
    <xf numFmtId="0" fontId="8" fillId="0" borderId="3" xfId="1" applyBorder="1"/>
    <xf numFmtId="0" fontId="9" fillId="0" borderId="3" xfId="1" applyFont="1" applyBorder="1"/>
    <xf numFmtId="0" fontId="8" fillId="0" borderId="4" xfId="1" applyBorder="1"/>
    <xf numFmtId="0" fontId="8" fillId="0" borderId="5" xfId="1" applyBorder="1"/>
    <xf numFmtId="166" fontId="9" fillId="0" borderId="0" xfId="9" applyNumberFormat="1" applyFont="1" applyBorder="1"/>
    <xf numFmtId="166" fontId="9" fillId="0" borderId="6" xfId="9" applyNumberFormat="1" applyFont="1" applyBorder="1" applyAlignment="1">
      <alignment wrapText="1"/>
    </xf>
    <xf numFmtId="166" fontId="0" fillId="2" borderId="0" xfId="9" applyNumberFormat="1" applyFont="1" applyFill="1" applyBorder="1"/>
    <xf numFmtId="166" fontId="0" fillId="2" borderId="6" xfId="9" applyNumberFormat="1" applyFont="1" applyFill="1" applyBorder="1"/>
    <xf numFmtId="166" fontId="0" fillId="2" borderId="7" xfId="9" applyNumberFormat="1" applyFont="1" applyFill="1" applyBorder="1"/>
    <xf numFmtId="166" fontId="0" fillId="2" borderId="8" xfId="9" applyNumberFormat="1" applyFont="1" applyFill="1" applyBorder="1"/>
    <xf numFmtId="0" fontId="8" fillId="0" borderId="9" xfId="1" applyBorder="1"/>
    <xf numFmtId="0" fontId="8" fillId="0" borderId="10" xfId="1" applyBorder="1"/>
    <xf numFmtId="166" fontId="0" fillId="2" borderId="10" xfId="9" applyNumberFormat="1" applyFont="1" applyFill="1" applyBorder="1"/>
    <xf numFmtId="166" fontId="0" fillId="2" borderId="11" xfId="9" applyNumberFormat="1" applyFont="1" applyFill="1" applyBorder="1"/>
    <xf numFmtId="166" fontId="0" fillId="0" borderId="0" xfId="9" applyNumberFormat="1" applyFont="1"/>
    <xf numFmtId="0" fontId="8" fillId="0" borderId="17" xfId="1" applyBorder="1"/>
    <xf numFmtId="0" fontId="8" fillId="0" borderId="12" xfId="1" applyBorder="1"/>
    <xf numFmtId="0" fontId="9" fillId="0" borderId="12" xfId="1" applyFont="1" applyBorder="1"/>
    <xf numFmtId="0" fontId="8" fillId="0" borderId="18" xfId="1" applyBorder="1"/>
    <xf numFmtId="0" fontId="8" fillId="0" borderId="14" xfId="1" applyBorder="1"/>
    <xf numFmtId="166" fontId="0" fillId="2" borderId="15" xfId="9" applyNumberFormat="1" applyFont="1" applyFill="1" applyBorder="1"/>
    <xf numFmtId="166" fontId="0" fillId="2" borderId="19" xfId="9" applyNumberFormat="1" applyFont="1" applyFill="1" applyBorder="1"/>
    <xf numFmtId="0" fontId="8" fillId="0" borderId="20" xfId="1" applyBorder="1"/>
    <xf numFmtId="0" fontId="8" fillId="0" borderId="7" xfId="1" applyBorder="1"/>
    <xf numFmtId="166" fontId="9" fillId="0" borderId="12" xfId="9" applyNumberFormat="1" applyFont="1" applyBorder="1"/>
    <xf numFmtId="166" fontId="0" fillId="0" borderId="12" xfId="9" applyNumberFormat="1" applyFont="1" applyBorder="1"/>
    <xf numFmtId="166" fontId="0" fillId="0" borderId="18" xfId="9" applyNumberFormat="1" applyFont="1" applyBorder="1"/>
    <xf numFmtId="0" fontId="9" fillId="0" borderId="0" xfId="1" applyFont="1" applyAlignment="1">
      <alignment horizontal="center"/>
    </xf>
    <xf numFmtId="0" fontId="9" fillId="0" borderId="21" xfId="1" applyFont="1" applyBorder="1"/>
    <xf numFmtId="167" fontId="11" fillId="0" borderId="4" xfId="10" applyNumberFormat="1" applyFont="1" applyBorder="1"/>
    <xf numFmtId="166" fontId="11" fillId="0" borderId="0" xfId="9" applyNumberFormat="1" applyFont="1" applyBorder="1"/>
    <xf numFmtId="10" fontId="11" fillId="0" borderId="0" xfId="11" applyNumberFormat="1" applyFont="1" applyBorder="1"/>
    <xf numFmtId="167" fontId="11" fillId="0" borderId="0" xfId="10" applyNumberFormat="1" applyFont="1" applyBorder="1"/>
    <xf numFmtId="0" fontId="9" fillId="0" borderId="22" xfId="1" applyFont="1" applyBorder="1"/>
    <xf numFmtId="167" fontId="11" fillId="0" borderId="8" xfId="10" applyNumberFormat="1" applyFont="1" applyBorder="1"/>
    <xf numFmtId="0" fontId="9" fillId="0" borderId="23" xfId="1" applyFont="1" applyBorder="1"/>
    <xf numFmtId="167" fontId="11" fillId="0" borderId="13" xfId="10" applyNumberFormat="1" applyFont="1" applyBorder="1"/>
    <xf numFmtId="0" fontId="9" fillId="0" borderId="21" xfId="1" quotePrefix="1" applyFont="1" applyBorder="1"/>
    <xf numFmtId="17" fontId="9" fillId="0" borderId="2" xfId="1" applyNumberFormat="1" applyFont="1" applyBorder="1"/>
    <xf numFmtId="17" fontId="9" fillId="0" borderId="3" xfId="1" applyNumberFormat="1" applyFont="1" applyBorder="1"/>
    <xf numFmtId="17" fontId="9" fillId="0" borderId="4" xfId="1" applyNumberFormat="1" applyFont="1" applyBorder="1" applyAlignment="1">
      <alignment horizontal="center"/>
    </xf>
    <xf numFmtId="17" fontId="9" fillId="0" borderId="3" xfId="1" applyNumberFormat="1" applyFont="1" applyBorder="1" applyAlignment="1">
      <alignment horizontal="center"/>
    </xf>
    <xf numFmtId="0" fontId="9" fillId="0" borderId="3" xfId="1" applyFont="1" applyBorder="1" applyAlignment="1">
      <alignment horizontal="center"/>
    </xf>
    <xf numFmtId="0" fontId="9" fillId="0" borderId="4" xfId="1" applyFont="1" applyBorder="1" applyAlignment="1">
      <alignment horizontal="center"/>
    </xf>
    <xf numFmtId="0" fontId="9" fillId="0" borderId="27" xfId="1" quotePrefix="1" applyFont="1" applyBorder="1"/>
    <xf numFmtId="0" fontId="9" fillId="0" borderId="10" xfId="1" applyFont="1" applyBorder="1" applyAlignment="1">
      <alignment horizontal="center"/>
    </xf>
    <xf numFmtId="0" fontId="9" fillId="0" borderId="11" xfId="1" applyFont="1" applyBorder="1" applyAlignment="1">
      <alignment horizontal="center"/>
    </xf>
    <xf numFmtId="0" fontId="8" fillId="0" borderId="21" xfId="1" applyBorder="1"/>
    <xf numFmtId="0" fontId="9" fillId="0" borderId="2" xfId="1" applyFont="1" applyBorder="1" applyAlignment="1">
      <alignment horizontal="center"/>
    </xf>
    <xf numFmtId="0" fontId="8" fillId="0" borderId="22" xfId="1" applyBorder="1" applyAlignment="1">
      <alignment horizontal="left" indent="2"/>
    </xf>
    <xf numFmtId="166" fontId="11" fillId="0" borderId="5" xfId="9" applyNumberFormat="1" applyFont="1" applyBorder="1"/>
    <xf numFmtId="166" fontId="11" fillId="0" borderId="6" xfId="9" applyNumberFormat="1" applyFont="1" applyBorder="1"/>
    <xf numFmtId="167" fontId="11" fillId="0" borderId="5" xfId="10" applyNumberFormat="1" applyFont="1" applyBorder="1"/>
    <xf numFmtId="168" fontId="11" fillId="0" borderId="0" xfId="10" applyNumberFormat="1" applyFont="1" applyBorder="1"/>
    <xf numFmtId="167" fontId="8" fillId="0" borderId="6" xfId="1" applyNumberFormat="1" applyBorder="1"/>
    <xf numFmtId="166" fontId="11" fillId="0" borderId="9" xfId="9" applyNumberFormat="1" applyFont="1" applyBorder="1"/>
    <xf numFmtId="166" fontId="11" fillId="0" borderId="10" xfId="9" applyNumberFormat="1" applyFont="1" applyBorder="1"/>
    <xf numFmtId="166" fontId="11" fillId="0" borderId="11" xfId="9" applyNumberFormat="1" applyFont="1" applyBorder="1"/>
    <xf numFmtId="167" fontId="11" fillId="0" borderId="9" xfId="10" applyNumberFormat="1" applyFont="1" applyBorder="1"/>
    <xf numFmtId="168" fontId="11" fillId="0" borderId="10" xfId="10" applyNumberFormat="1" applyFont="1" applyBorder="1"/>
    <xf numFmtId="167" fontId="8" fillId="0" borderId="11" xfId="1" applyNumberFormat="1" applyBorder="1"/>
    <xf numFmtId="0" fontId="8" fillId="0" borderId="28" xfId="1" applyBorder="1"/>
    <xf numFmtId="167" fontId="11" fillId="0" borderId="11" xfId="10" applyNumberFormat="1" applyFont="1" applyBorder="1"/>
    <xf numFmtId="167" fontId="8" fillId="0" borderId="28" xfId="1" applyNumberFormat="1" applyBorder="1"/>
    <xf numFmtId="166" fontId="11" fillId="0" borderId="24" xfId="9" applyNumberFormat="1" applyFont="1" applyBorder="1"/>
    <xf numFmtId="166" fontId="11" fillId="0" borderId="25" xfId="9" applyNumberFormat="1" applyFont="1" applyBorder="1"/>
    <xf numFmtId="167" fontId="11" fillId="0" borderId="24" xfId="10" applyNumberFormat="1" applyFont="1" applyBorder="1"/>
    <xf numFmtId="168" fontId="11" fillId="0" borderId="25" xfId="10" applyNumberFormat="1" applyFont="1" applyBorder="1"/>
    <xf numFmtId="167" fontId="8" fillId="0" borderId="26" xfId="1" applyNumberFormat="1" applyBorder="1"/>
    <xf numFmtId="0" fontId="8" fillId="0" borderId="0" xfId="1" applyAlignment="1">
      <alignment horizontal="left"/>
    </xf>
    <xf numFmtId="0" fontId="9" fillId="0" borderId="27" xfId="1" applyFont="1" applyBorder="1"/>
    <xf numFmtId="0" fontId="8" fillId="0" borderId="22" xfId="1" applyBorder="1"/>
    <xf numFmtId="3" fontId="8" fillId="0" borderId="0" xfId="1" applyNumberFormat="1"/>
    <xf numFmtId="0" fontId="8" fillId="0" borderId="6" xfId="1" applyBorder="1"/>
    <xf numFmtId="168" fontId="8" fillId="0" borderId="0" xfId="1" applyNumberFormat="1"/>
    <xf numFmtId="165" fontId="8" fillId="0" borderId="6" xfId="12" applyFont="1" applyBorder="1"/>
    <xf numFmtId="0" fontId="8" fillId="0" borderId="27" xfId="1" applyBorder="1" applyAlignment="1">
      <alignment horizontal="left" indent="2"/>
    </xf>
    <xf numFmtId="3" fontId="8" fillId="0" borderId="10" xfId="1" applyNumberFormat="1" applyBorder="1"/>
    <xf numFmtId="168" fontId="8" fillId="0" borderId="10" xfId="1" applyNumberFormat="1" applyBorder="1"/>
    <xf numFmtId="165" fontId="8" fillId="0" borderId="11" xfId="12" applyFont="1" applyBorder="1"/>
    <xf numFmtId="0" fontId="18" fillId="0" borderId="0" xfId="14" applyFont="1"/>
    <xf numFmtId="0" fontId="6" fillId="0" borderId="0" xfId="13" applyFont="1" applyAlignment="1">
      <alignment horizontal="center"/>
    </xf>
    <xf numFmtId="0" fontId="3" fillId="0" borderId="0" xfId="13" applyFont="1"/>
    <xf numFmtId="0" fontId="6" fillId="0" borderId="7" xfId="13" applyFont="1" applyBorder="1"/>
    <xf numFmtId="0" fontId="3" fillId="0" borderId="7" xfId="13" applyFont="1" applyBorder="1"/>
    <xf numFmtId="0" fontId="6" fillId="0" borderId="7" xfId="13" applyFont="1" applyBorder="1" applyAlignment="1">
      <alignment horizontal="center" wrapText="1"/>
    </xf>
    <xf numFmtId="0" fontId="6" fillId="0" borderId="7" xfId="13" applyFont="1" applyBorder="1" applyAlignment="1">
      <alignment horizontal="center"/>
    </xf>
    <xf numFmtId="169" fontId="3" fillId="0" borderId="0" xfId="13" applyNumberFormat="1" applyFont="1"/>
    <xf numFmtId="0" fontId="3" fillId="0" borderId="0" xfId="13" applyFont="1" applyAlignment="1">
      <alignment horizontal="center"/>
    </xf>
    <xf numFmtId="0" fontId="3" fillId="0" borderId="0" xfId="13" quotePrefix="1" applyFont="1"/>
    <xf numFmtId="0" fontId="3" fillId="0" borderId="0" xfId="13" quotePrefix="1" applyFont="1" applyAlignment="1">
      <alignment horizontal="left"/>
    </xf>
    <xf numFmtId="164" fontId="3" fillId="0" borderId="0" xfId="13" applyNumberFormat="1" applyFont="1"/>
    <xf numFmtId="0" fontId="3" fillId="0" borderId="0" xfId="0" applyFont="1" applyAlignment="1">
      <alignment horizontal="left" vertical="top" wrapText="1"/>
    </xf>
    <xf numFmtId="0" fontId="6" fillId="0" borderId="0" xfId="0" applyFont="1" applyAlignment="1">
      <alignment horizontal="center" wrapText="1"/>
    </xf>
    <xf numFmtId="0" fontId="3" fillId="0" borderId="0" xfId="0" applyFont="1" applyAlignment="1">
      <alignment horizontal="center" wrapText="1"/>
    </xf>
    <xf numFmtId="0" fontId="4" fillId="0" borderId="0" xfId="0" applyFont="1" applyAlignment="1">
      <alignment horizontal="center" wrapText="1"/>
    </xf>
    <xf numFmtId="0" fontId="5" fillId="0" borderId="0" xfId="0" applyFont="1" applyAlignment="1">
      <alignment horizontal="center" wrapText="1"/>
    </xf>
    <xf numFmtId="0" fontId="4" fillId="0" borderId="0" xfId="0" applyFont="1" applyAlignment="1">
      <alignment horizontal="left" vertical="top" wrapText="1"/>
    </xf>
    <xf numFmtId="0" fontId="5" fillId="0" borderId="0" xfId="0" applyFont="1" applyAlignment="1">
      <alignment horizontal="left" vertical="top" wrapText="1"/>
    </xf>
    <xf numFmtId="0" fontId="9" fillId="0" borderId="24" xfId="1" applyFont="1" applyBorder="1" applyAlignment="1">
      <alignment horizontal="center"/>
    </xf>
    <xf numFmtId="0" fontId="9" fillId="0" borderId="25" xfId="1" applyFont="1" applyBorder="1" applyAlignment="1">
      <alignment horizontal="center"/>
    </xf>
    <xf numFmtId="0" fontId="9" fillId="0" borderId="26" xfId="1" applyFont="1" applyBorder="1" applyAlignment="1">
      <alignment horizontal="center"/>
    </xf>
    <xf numFmtId="0" fontId="8" fillId="0" borderId="0" xfId="1" applyAlignment="1">
      <alignment horizontal="left" wrapText="1"/>
    </xf>
    <xf numFmtId="0" fontId="8" fillId="0" borderId="0" xfId="1" applyAlignment="1">
      <alignment horizontal="left"/>
    </xf>
    <xf numFmtId="0" fontId="8" fillId="0" borderId="15" xfId="1" applyBorder="1" applyAlignment="1">
      <alignment horizontal="left"/>
    </xf>
    <xf numFmtId="0" fontId="8" fillId="0" borderId="7" xfId="1" applyBorder="1" applyAlignment="1">
      <alignment horizontal="left"/>
    </xf>
    <xf numFmtId="0" fontId="8" fillId="0" borderId="19" xfId="1" applyBorder="1" applyAlignment="1">
      <alignment horizontal="left"/>
    </xf>
    <xf numFmtId="0" fontId="8" fillId="0" borderId="0" xfId="1" applyAlignment="1">
      <alignment horizontal="left" vertical="top" wrapText="1"/>
    </xf>
    <xf numFmtId="0" fontId="8" fillId="0" borderId="12" xfId="1" applyBorder="1" applyAlignment="1">
      <alignment horizontal="left"/>
    </xf>
    <xf numFmtId="0" fontId="8" fillId="0" borderId="18" xfId="1" applyBorder="1" applyAlignment="1">
      <alignment horizontal="left"/>
    </xf>
    <xf numFmtId="0" fontId="6" fillId="0" borderId="0" xfId="13" applyFont="1" applyAlignment="1">
      <alignment horizontal="center"/>
    </xf>
  </cellXfs>
  <cellStyles count="15">
    <cellStyle name="Comma 2" xfId="4" xr:uid="{39091BB0-5DD5-44D1-A1A0-A27B1E789CC9}"/>
    <cellStyle name="Comma 2 2" xfId="9" xr:uid="{07E9B77D-C662-4165-A931-8BE0D08D581F}"/>
    <cellStyle name="Comma 3" xfId="7" xr:uid="{5B0EF9F1-617A-4AB8-A65A-D85DB3BA2894}"/>
    <cellStyle name="Currency 2" xfId="10" xr:uid="{D13B9B0C-ABA5-462B-805D-C8E2672AD10F}"/>
    <cellStyle name="Currency 3" xfId="12" xr:uid="{EA911571-52D8-4118-B4E9-00C4E2FF735C}"/>
    <cellStyle name="Normal" xfId="0" builtinId="0"/>
    <cellStyle name="Normal 10 2" xfId="13" xr:uid="{D817020E-E496-42F8-A442-6A0FB62431CA}"/>
    <cellStyle name="Normal 13 2" xfId="1" xr:uid="{AEFC3E82-DF77-4047-9D9A-8AC301AA08F5}"/>
    <cellStyle name="Normal 14 2" xfId="3" xr:uid="{55DBD278-65C8-4B08-9D4C-A1669887F00F}"/>
    <cellStyle name="Normal 2" xfId="2" xr:uid="{75D8294D-C848-48CF-86A1-909FCE8DF32B}"/>
    <cellStyle name="Normal 3" xfId="6" xr:uid="{3BBA60E8-15D4-42AB-BE61-8D2E400B6C66}"/>
    <cellStyle name="Normal 4" xfId="14" xr:uid="{83E21221-E6F9-4C87-A805-E5D2EB1B6866}"/>
    <cellStyle name="Percent 2" xfId="5" xr:uid="{48CE0206-9467-4544-BDCC-F086D1DA6E6F}"/>
    <cellStyle name="Percent 2 2" xfId="11" xr:uid="{56F55C15-C631-4B67-B22C-9BCD45FC7690}"/>
    <cellStyle name="Percent 3" xfId="8" xr:uid="{16E49290-F09F-49E2-AE68-3B46E7599E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26" Type="http://schemas.openxmlformats.org/officeDocument/2006/relationships/externalLink" Target="externalLinks/externalLink18.xml"/><Relationship Id="rId3" Type="http://schemas.openxmlformats.org/officeDocument/2006/relationships/worksheet" Target="worksheets/sheet3.xml"/><Relationship Id="rId21" Type="http://schemas.openxmlformats.org/officeDocument/2006/relationships/externalLink" Target="externalLinks/externalLink13.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5" Type="http://schemas.openxmlformats.org/officeDocument/2006/relationships/externalLink" Target="externalLinks/externalLink17.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externalLink" Target="externalLinks/externalLink12.xml"/><Relationship Id="rId29" Type="http://schemas.openxmlformats.org/officeDocument/2006/relationships/externalLink" Target="externalLinks/externalLink2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24" Type="http://schemas.openxmlformats.org/officeDocument/2006/relationships/externalLink" Target="externalLinks/externalLink16.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externalLink" Target="externalLinks/externalLink15.xml"/><Relationship Id="rId28" Type="http://schemas.openxmlformats.org/officeDocument/2006/relationships/externalLink" Target="externalLinks/externalLink20.xml"/><Relationship Id="rId10" Type="http://schemas.openxmlformats.org/officeDocument/2006/relationships/externalLink" Target="externalLinks/externalLink2.xml"/><Relationship Id="rId19" Type="http://schemas.openxmlformats.org/officeDocument/2006/relationships/externalLink" Target="externalLinks/externalLink11.xml"/><Relationship Id="rId31" Type="http://schemas.openxmlformats.org/officeDocument/2006/relationships/externalLink" Target="externalLinks/externalLink23.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externalLink" Target="externalLinks/externalLink14.xml"/><Relationship Id="rId27" Type="http://schemas.openxmlformats.org/officeDocument/2006/relationships/externalLink" Target="externalLinks/externalLink19.xml"/><Relationship Id="rId30" Type="http://schemas.openxmlformats.org/officeDocument/2006/relationships/externalLink" Target="externalLinks/externalLink22.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EXCEL/JOINTPLT/COLUMBIA/COLUMBIABILL/JUNE/June%20Bil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Groups/PC%20and%20AM/2006/AFUDC/WPL/May%20calc.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A06478/Desktop/Budget%20analysis%2012-4-2008/Final%20Elec%20&amp;%20Gas%20Combined%20COSS%20-%20UR%20116-2009_Staff%20Adjusted_62708%20Version%20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SRM%20Project/Earnings%20at%20Risk/FRST%20Risk%20Model_2005%20Budge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BUD_RATE/OUTLOOKS/2007/11+1/Xmod/X%20Mod%20-%202007%2011+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ge-cluster_data_server/data/PGADJ/MGEoct9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BUD_RATE/Strategic%20Planning%20Meetings/2006/Fuel%20Data/2006/Generation%20Outlook/Strategic%20Plan%20-%20WPL%20Generation%20Forecast%20for%202006%20-%20201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LI.PRI/Files/BUD_RATE/OUTLOOKS/2006/3+9/3+9b%20Corrections/WPL%20FRST%20Model%20-%206+6a.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LI.PRI/Files/BUD_RATE/2004/Expenditure%20Models/Expenditure%20Module%20(V20)%202003%209+3%20-%20200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CD/RA%20FPA/ROE/DE%2012%20month%20Rolling%20Jun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test/di/JournalEntry_multi-5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ge-cluster_data_server/data/PSCPGA/mge0900pga.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V:/ERPReports/FinanceReports/Regulated/WPL_CONSOL/2011-1/ALIGL025-10003-Elec%20Rev%20&amp;%20Fuel%20Cost%20Analysis-January-201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WPLUTIL/Gas/Gas%20Month%20End%20Reporting-Unbilled/WPL%20Gas%20Unbilled/2012/09%20-%202012/WPL%202012-09%20Unbilled%20Gas-Booked.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BUD_RATE/OUTLOOKS/2006/5+7/Fuel%20Data/BATS%20and%20Demand%20Files/BulkPowerOutlook0657.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LI.PRI/Files/BUD_RATE/OUTLOOKS/2006/3+9/3+9b%20Corrections/IPL%20FRST%20Model%20-%202006%203+9b.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G:/BUDGET/SHARESAV/Shared%20Savings%20ZBA%20Acct/2019%20JE%20Support/Shared%20Savings%20Journal%20Entry%20-%20March%202019.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BUD_RATE/OUTLOOKS/2006/6+6/Fuel%20Data/BATS%20and%20Demand%20Files/Bulk%20Power%20Outlook%2007%20Qtr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ge-cluster_data_server/data/GACCOUNT/Risk_Mgt_Gas/GPosition%20Rpt.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Fuel_Cost_Report/2001%20January%20Fuel%20Surcharge/2000%20Fuel%20Credit/UR109_Y2K_Fuel_Credit_Run_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ge-cluster_data_server/data/PSCPGA/mge0800pg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Public/JFROEHLICH/UR-117-2012/SupportInfo/PSCW-2012/2012ReconciliationAudit/2012%20FRA%20Response%204.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Data/Restricted/Fuel%20Budgets/2015%20UR-120/Support/PSCW-2015/FRA/Initial%20Data%20Request/FRA-22%20Emission%20Chemical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BILL"/>
      <sheetName val="INVOICE"/>
      <sheetName val="FAXWPS"/>
      <sheetName val="Module1"/>
      <sheetName val="FAXMAG"/>
      <sheetName val="12 MONTHS"/>
      <sheetName val="SJE071"/>
      <sheetName val="SJE073"/>
      <sheetName val="DEPOSIT&amp;INVENTORY"/>
      <sheetName val="AIR EMISSION"/>
      <sheetName val="BILLING"/>
      <sheetName val="Module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FUDC Rate Calc"/>
      <sheetName val="ST Debt_Int"/>
      <sheetName val="Apr 2006 Int"/>
      <sheetName val="March 2006 Int"/>
      <sheetName val="Feb 2006 Int"/>
      <sheetName val="Jan 2006 Int"/>
      <sheetName val="LT Debt"/>
      <sheetName val="12_05 Bal Sheet"/>
    </sheetNames>
    <sheetDataSet>
      <sheetData sheetId="0"/>
      <sheetData sheetId="1"/>
      <sheetData sheetId="2"/>
      <sheetData sheetId="3"/>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lec Input Screen"/>
      <sheetName val="Gas Inputs"/>
      <sheetName val="Misc Inputs Staff Adj."/>
      <sheetName val="Misc Inputs Filed"/>
      <sheetName val="Staff Return Adder Calculations"/>
      <sheetName val="Return Adder Calculations"/>
      <sheetName val="Staff TY Plt-Reserve-CWIP-COSS"/>
      <sheetName val="TY Plant-Reserve-CWIP - COSS"/>
      <sheetName val="Amort COSS Inputs-Staff Adj."/>
      <sheetName val="Amort COSS Inputs Filed"/>
      <sheetName val="O&amp;M COSS Inputs-Staff Adj"/>
      <sheetName val="O&amp;M COSS Inputs Filed"/>
      <sheetName val="Staff Juris Alloc COSS"/>
      <sheetName val="Juris Alloc COSS Inputs"/>
      <sheetName val="M&amp;S COSS Input-Staff Adj."/>
      <sheetName val="M&amp;S COSS Input"/>
      <sheetName val="M&amp;S COSS Inputs"/>
      <sheetName val="Staff Income Tax 09 COSS Inputs"/>
      <sheetName val="Income Tax COSS Inputs"/>
      <sheetName val="Staff Capital COSS Input"/>
      <sheetName val="Capital COSS Input"/>
      <sheetName val="Juris COSS - UR116 Staff Adj"/>
      <sheetName val="Gas COSS UR116 Staff Adj"/>
      <sheetName val="Juris COSS - UR116 Filed"/>
      <sheetName val="Gas COSS UR116 Filed"/>
      <sheetName val="Final-UR-115"/>
      <sheetName val="Gas COSS UR115 Final"/>
      <sheetName val="Func COSS - WI Retail Electric"/>
      <sheetName val="Electric 116 vs 115"/>
      <sheetName val="Gas 116 vs 115"/>
    </sheetNames>
    <sheetDataSet>
      <sheetData sheetId="0"/>
      <sheetData sheetId="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sheetData sheetId="28" refreshError="1"/>
      <sheetData sheetId="2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ation"/>
      <sheetName val="Risk Drivers-Input"/>
      <sheetName val="Risk Drivers-Translation"/>
      <sheetName val="Risk Drivers-Output"/>
      <sheetName val="Start WPL"/>
      <sheetName val="WPL Risk Drivers"/>
      <sheetName val="WPL SRM"/>
      <sheetName val="WPL Servco costs"/>
      <sheetName val="End WPL"/>
      <sheetName val="Start IPL"/>
      <sheetName val="IPL Risk Drivers"/>
      <sheetName val="IPL SRM"/>
      <sheetName val="IPL Servco Costs"/>
      <sheetName val="End IPL"/>
      <sheetName val="AER Risk Drivers"/>
      <sheetName val="Start AER"/>
      <sheetName val="AER Continued Ops"/>
      <sheetName val="AER DISCO Sub-Rollup"/>
      <sheetName val="AER Servco Costs"/>
      <sheetName val="End AER"/>
      <sheetName val="Start AER Adjustments"/>
      <sheetName val="AER Discontinued"/>
      <sheetName val="End AER Adjustments"/>
      <sheetName val="Start SERVCO"/>
      <sheetName val="Servco Risk Drivers"/>
      <sheetName val="Servco SRM"/>
      <sheetName val="End SERVCO"/>
      <sheetName val="Start Other"/>
      <sheetName val="Other SRM"/>
      <sheetName val="End Other"/>
      <sheetName val="Start Parent"/>
      <sheetName val="Parent Tax"/>
      <sheetName val="Parent General"/>
      <sheetName val="Parent Treasury"/>
      <sheetName val="Parent Sub Roll-up"/>
      <sheetName val="Parent Servco Costs"/>
      <sheetName val="End Parent"/>
      <sheetName val="Start Consol"/>
      <sheetName val="Consol WPL"/>
      <sheetName val="Consol IPL"/>
      <sheetName val="Consol AER"/>
      <sheetName val="Consol Servco"/>
      <sheetName val="Consol Other"/>
      <sheetName val="Consol Parent"/>
      <sheetName val="Consol Elims"/>
      <sheetName val="End Consol"/>
      <sheetName val="Consol AER DISCO"/>
      <sheetName val="Corporate Consolidation"/>
      <sheetName val="Reports WPL"/>
      <sheetName val="Reports IPL"/>
      <sheetName val="Reports Servco"/>
      <sheetName val="Reports AER"/>
      <sheetName val="Reports AER DISCO"/>
      <sheetName val="Reports Other"/>
      <sheetName val="Reports Parent"/>
      <sheetName val="Reports Elims"/>
      <sheetName val="Consolidated Reports"/>
      <sheetName val="WPL Actuals"/>
      <sheetName val="IPL Actuals"/>
      <sheetName val="Servco Actuals"/>
      <sheetName val="AER Adjustments Actuals"/>
      <sheetName val="AER Actuals"/>
      <sheetName val="Elims Actuals"/>
      <sheetName val="Parent Actuals"/>
      <sheetName val="Other Actuals"/>
      <sheetName val="Consolidated actua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amp; Macros"/>
      <sheetName val="FP&amp;A Review Report"/>
      <sheetName val="Edits &amp; Changes Log"/>
      <sheetName val="Expend File Info"/>
      <sheetName val="WPL Expend Download"/>
      <sheetName val="IPL Expend Download"/>
      <sheetName val="Servco Expend Download"/>
      <sheetName val="WPL Clearing Basis"/>
      <sheetName val="WPL Expend Model"/>
      <sheetName val="WPL Corporate"/>
      <sheetName val="IPL Clearing Basis"/>
      <sheetName val="IPL Expend Model"/>
      <sheetName val="IPL Corporate"/>
      <sheetName val="Servco Clearing Basis"/>
      <sheetName val="Servco Expend Model"/>
      <sheetName val="Servco AER Expend Model"/>
      <sheetName val="SAF WPL"/>
      <sheetName val="SAF IPL"/>
      <sheetName val="SAF AER"/>
      <sheetName val="SAF Total"/>
      <sheetName val="WPL Current Outlook"/>
      <sheetName val="WPL &amp; WPL Servco CO"/>
      <sheetName val="IPL Current Outlook"/>
      <sheetName val="IPL &amp; IPL Servco CO"/>
      <sheetName val="AER Current Outlook"/>
      <sheetName val="AER &amp; AER Servco CO"/>
      <sheetName val="Servco Current Outlook"/>
      <sheetName val="Servco Current Outlook by Co"/>
      <sheetName val="Consolidated Current Outlook"/>
      <sheetName val="Consolidating Current Outlook"/>
      <sheetName val="WPL Expenditures"/>
      <sheetName val="IPL Expenditures"/>
      <sheetName val="Servco Expenditures"/>
      <sheetName val="X Mod - 2007 11+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A Calc"/>
      <sheetName val="Sheet G3"/>
      <sheetName val="Sheet G3.01"/>
      <sheetName val="Gas Supply Rate Sht G 3.01"/>
      <sheetName val="Gas Dist Rate Sht G 3"/>
      <sheetName val="Nat Gas Service Cost Components"/>
      <sheetName val="Transition Chg - Components"/>
      <sheetName val="Kris Input - MGE"/>
      <sheetName val="B"/>
      <sheetName val="C"/>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PL MWHr"/>
      <sheetName val="WPL Fuel+Var"/>
      <sheetName val="WPL Heat Rate"/>
      <sheetName val="WPL mmBTUs"/>
      <sheetName val="WPL EGEAS Production Data"/>
    </sheetNames>
    <sheetDataSet>
      <sheetData sheetId="0" refreshError="1"/>
      <sheetData sheetId="1" refreshError="1"/>
      <sheetData sheetId="2" refreshError="1"/>
      <sheetData sheetId="3" refreshError="1"/>
      <sheetData sheetId="4" refreshError="1">
        <row r="4">
          <cell r="C4" t="str">
            <v>KEWAUNEE</v>
          </cell>
          <cell r="E4" t="str">
            <v>MUST</v>
          </cell>
          <cell r="F4">
            <v>235.2</v>
          </cell>
          <cell r="G4">
            <v>10750</v>
          </cell>
          <cell r="H4">
            <v>0.45500000000000002</v>
          </cell>
          <cell r="I4">
            <v>96.5</v>
          </cell>
          <cell r="J4">
            <v>168.864</v>
          </cell>
          <cell r="K4">
            <v>827</v>
          </cell>
          <cell r="L4">
            <v>0</v>
          </cell>
          <cell r="M4">
            <v>827</v>
          </cell>
          <cell r="N4">
            <v>4.9000000000000004</v>
          </cell>
        </row>
        <row r="5">
          <cell r="C5" t="str">
            <v>COLUMBIA 1</v>
          </cell>
          <cell r="E5" t="str">
            <v>MUST</v>
          </cell>
          <cell r="F5">
            <v>247.20500000000001</v>
          </cell>
          <cell r="G5">
            <v>10682</v>
          </cell>
          <cell r="H5">
            <v>1.306</v>
          </cell>
          <cell r="I5">
            <v>88.23</v>
          </cell>
          <cell r="J5">
            <v>162.273</v>
          </cell>
          <cell r="K5">
            <v>2263</v>
          </cell>
          <cell r="L5">
            <v>32</v>
          </cell>
          <cell r="M5">
            <v>2295</v>
          </cell>
          <cell r="N5">
            <v>14.15</v>
          </cell>
        </row>
        <row r="6">
          <cell r="C6" t="str">
            <v>COLUMBIA 2</v>
          </cell>
          <cell r="E6" t="str">
            <v>MUST</v>
          </cell>
          <cell r="F6">
            <v>247.09399999999999</v>
          </cell>
          <cell r="G6">
            <v>10545</v>
          </cell>
          <cell r="H6">
            <v>1.306</v>
          </cell>
          <cell r="I6">
            <v>86.32</v>
          </cell>
          <cell r="J6">
            <v>158.684</v>
          </cell>
          <cell r="K6">
            <v>2185</v>
          </cell>
          <cell r="L6">
            <v>2</v>
          </cell>
          <cell r="M6">
            <v>2187</v>
          </cell>
          <cell r="N6">
            <v>13.78</v>
          </cell>
        </row>
        <row r="7">
          <cell r="C7" t="str">
            <v>EDGEWATER 3</v>
          </cell>
          <cell r="F7">
            <v>76.3</v>
          </cell>
          <cell r="G7">
            <v>11092</v>
          </cell>
          <cell r="H7">
            <v>1.482</v>
          </cell>
          <cell r="I7">
            <v>66.33</v>
          </cell>
          <cell r="J7">
            <v>37.652000000000001</v>
          </cell>
          <cell r="K7">
            <v>619</v>
          </cell>
          <cell r="L7">
            <v>11</v>
          </cell>
          <cell r="M7">
            <v>629</v>
          </cell>
          <cell r="N7">
            <v>16.72</v>
          </cell>
        </row>
        <row r="8">
          <cell r="C8" t="str">
            <v>EDGEWATER 4</v>
          </cell>
          <cell r="F8">
            <v>229.99799999999999</v>
          </cell>
          <cell r="G8">
            <v>9972</v>
          </cell>
          <cell r="H8">
            <v>1.399</v>
          </cell>
          <cell r="I8">
            <v>72.040000000000006</v>
          </cell>
          <cell r="J8">
            <v>123.277</v>
          </cell>
          <cell r="K8">
            <v>1720</v>
          </cell>
          <cell r="L8">
            <v>33</v>
          </cell>
          <cell r="M8">
            <v>1753</v>
          </cell>
          <cell r="N8">
            <v>14.22</v>
          </cell>
        </row>
        <row r="9">
          <cell r="C9" t="str">
            <v>EDGEWATER 5</v>
          </cell>
          <cell r="E9" t="str">
            <v>MUST</v>
          </cell>
          <cell r="F9">
            <v>302.79300000000001</v>
          </cell>
          <cell r="G9">
            <v>10072</v>
          </cell>
          <cell r="H9">
            <v>1.2849999999999999</v>
          </cell>
          <cell r="I9">
            <v>77.97</v>
          </cell>
          <cell r="J9">
            <v>175.649</v>
          </cell>
          <cell r="K9">
            <v>2273</v>
          </cell>
          <cell r="L9">
            <v>11</v>
          </cell>
          <cell r="M9">
            <v>2284</v>
          </cell>
          <cell r="N9">
            <v>13.01</v>
          </cell>
        </row>
        <row r="10">
          <cell r="C10" t="str">
            <v>BLACKHAWK 3</v>
          </cell>
          <cell r="F10">
            <v>24.9</v>
          </cell>
          <cell r="G10">
            <v>11882</v>
          </cell>
          <cell r="H10">
            <v>7.2329999999999997</v>
          </cell>
          <cell r="I10">
            <v>0.18</v>
          </cell>
          <cell r="J10">
            <v>3.4000000000000002E-2</v>
          </cell>
          <cell r="K10">
            <v>3</v>
          </cell>
          <cell r="L10">
            <v>0</v>
          </cell>
          <cell r="M10">
            <v>3</v>
          </cell>
          <cell r="N10">
            <v>87.55</v>
          </cell>
        </row>
        <row r="11">
          <cell r="C11" t="str">
            <v>BLACKHAWK 4</v>
          </cell>
          <cell r="F11">
            <v>25.1</v>
          </cell>
          <cell r="G11">
            <v>11397</v>
          </cell>
          <cell r="H11">
            <v>7.2329999999999997</v>
          </cell>
          <cell r="I11">
            <v>0.2</v>
          </cell>
          <cell r="J11">
            <v>3.7999999999999999E-2</v>
          </cell>
          <cell r="K11">
            <v>3</v>
          </cell>
          <cell r="L11">
            <v>0</v>
          </cell>
          <cell r="M11">
            <v>3</v>
          </cell>
          <cell r="N11">
            <v>84.08</v>
          </cell>
        </row>
        <row r="12">
          <cell r="C12" t="str">
            <v>ROCK RIVER 1</v>
          </cell>
          <cell r="F12">
            <v>74.7</v>
          </cell>
          <cell r="G12">
            <v>11033</v>
          </cell>
          <cell r="H12">
            <v>6.7460000000000004</v>
          </cell>
          <cell r="I12">
            <v>2.78</v>
          </cell>
          <cell r="J12">
            <v>1.5449999999999999</v>
          </cell>
          <cell r="K12">
            <v>115</v>
          </cell>
          <cell r="L12">
            <v>1</v>
          </cell>
          <cell r="M12">
            <v>116</v>
          </cell>
          <cell r="N12">
            <v>75.28</v>
          </cell>
        </row>
        <row r="13">
          <cell r="C13" t="str">
            <v>ROCK RIVER 2</v>
          </cell>
          <cell r="F13">
            <v>78.2</v>
          </cell>
          <cell r="G13">
            <v>10928</v>
          </cell>
          <cell r="H13">
            <v>6.7460000000000004</v>
          </cell>
          <cell r="I13">
            <v>3.17</v>
          </cell>
          <cell r="J13">
            <v>1.8440000000000001</v>
          </cell>
          <cell r="K13">
            <v>136</v>
          </cell>
          <cell r="L13">
            <v>1</v>
          </cell>
          <cell r="M13">
            <v>137</v>
          </cell>
          <cell r="N13">
            <v>74.52</v>
          </cell>
        </row>
        <row r="14">
          <cell r="C14" t="str">
            <v>ROCK RIVER 3</v>
          </cell>
          <cell r="F14">
            <v>31.241</v>
          </cell>
          <cell r="G14">
            <v>0</v>
          </cell>
          <cell r="H14">
            <v>0</v>
          </cell>
          <cell r="I14">
            <v>0</v>
          </cell>
          <cell r="J14">
            <v>0</v>
          </cell>
          <cell r="K14">
            <v>0</v>
          </cell>
          <cell r="L14">
            <v>0</v>
          </cell>
          <cell r="M14">
            <v>0</v>
          </cell>
          <cell r="N14">
            <v>0</v>
          </cell>
        </row>
        <row r="15">
          <cell r="C15" t="str">
            <v>ROCK RIVER 4</v>
          </cell>
          <cell r="F15">
            <v>16.2</v>
          </cell>
          <cell r="G15">
            <v>0</v>
          </cell>
          <cell r="H15">
            <v>0</v>
          </cell>
          <cell r="I15">
            <v>0</v>
          </cell>
          <cell r="J15">
            <v>0</v>
          </cell>
          <cell r="K15">
            <v>0</v>
          </cell>
          <cell r="L15">
            <v>0</v>
          </cell>
          <cell r="M15">
            <v>0</v>
          </cell>
          <cell r="N15">
            <v>0</v>
          </cell>
        </row>
        <row r="16">
          <cell r="C16" t="str">
            <v>ROCK RIVER 5</v>
          </cell>
          <cell r="F16">
            <v>63.076000000000001</v>
          </cell>
          <cell r="G16">
            <v>0</v>
          </cell>
          <cell r="H16">
            <v>0</v>
          </cell>
          <cell r="I16">
            <v>0</v>
          </cell>
          <cell r="J16">
            <v>0</v>
          </cell>
          <cell r="K16">
            <v>0</v>
          </cell>
          <cell r="L16">
            <v>0</v>
          </cell>
          <cell r="M16">
            <v>0</v>
          </cell>
          <cell r="N16">
            <v>0</v>
          </cell>
        </row>
        <row r="17">
          <cell r="C17" t="str">
            <v>ROCK RIVER 6</v>
          </cell>
          <cell r="F17">
            <v>63.335999999999999</v>
          </cell>
          <cell r="G17">
            <v>0</v>
          </cell>
          <cell r="H17">
            <v>0</v>
          </cell>
          <cell r="I17">
            <v>0</v>
          </cell>
          <cell r="J17">
            <v>0</v>
          </cell>
          <cell r="K17">
            <v>0</v>
          </cell>
          <cell r="L17">
            <v>0</v>
          </cell>
          <cell r="M17">
            <v>0</v>
          </cell>
          <cell r="N17">
            <v>0</v>
          </cell>
        </row>
        <row r="18">
          <cell r="C18" t="str">
            <v>SHEEPSKIN 1</v>
          </cell>
          <cell r="F18">
            <v>37.6</v>
          </cell>
          <cell r="G18">
            <v>0</v>
          </cell>
          <cell r="H18">
            <v>0</v>
          </cell>
          <cell r="I18">
            <v>0</v>
          </cell>
          <cell r="J18">
            <v>0</v>
          </cell>
          <cell r="K18">
            <v>0</v>
          </cell>
          <cell r="L18">
            <v>0</v>
          </cell>
          <cell r="M18">
            <v>0</v>
          </cell>
          <cell r="N18">
            <v>0</v>
          </cell>
        </row>
        <row r="19">
          <cell r="C19" t="str">
            <v>SOUTH FDL 1</v>
          </cell>
          <cell r="F19">
            <v>92.241</v>
          </cell>
          <cell r="G19">
            <v>13613</v>
          </cell>
          <cell r="H19">
            <v>7.4610000000000003</v>
          </cell>
          <cell r="I19">
            <v>0</v>
          </cell>
          <cell r="J19">
            <v>2E-3</v>
          </cell>
          <cell r="K19">
            <v>0</v>
          </cell>
          <cell r="L19">
            <v>0</v>
          </cell>
          <cell r="M19">
            <v>0</v>
          </cell>
          <cell r="N19">
            <v>108.43</v>
          </cell>
        </row>
        <row r="20">
          <cell r="C20" t="str">
            <v>SOUTH FDL 2</v>
          </cell>
          <cell r="F20">
            <v>93.37</v>
          </cell>
          <cell r="G20">
            <v>13704</v>
          </cell>
          <cell r="H20">
            <v>7.4610000000000003</v>
          </cell>
          <cell r="I20">
            <v>0</v>
          </cell>
          <cell r="J20">
            <v>0</v>
          </cell>
          <cell r="K20">
            <v>0</v>
          </cell>
          <cell r="L20">
            <v>0</v>
          </cell>
          <cell r="M20">
            <v>0</v>
          </cell>
          <cell r="N20">
            <v>109.11</v>
          </cell>
        </row>
        <row r="21">
          <cell r="C21" t="str">
            <v>SOUTH FDL 3</v>
          </cell>
          <cell r="F21">
            <v>87.87</v>
          </cell>
          <cell r="G21">
            <v>14192</v>
          </cell>
          <cell r="H21">
            <v>7.4610000000000003</v>
          </cell>
          <cell r="I21">
            <v>0</v>
          </cell>
          <cell r="J21">
            <v>0</v>
          </cell>
          <cell r="K21">
            <v>0</v>
          </cell>
          <cell r="L21">
            <v>0</v>
          </cell>
          <cell r="M21">
            <v>0</v>
          </cell>
          <cell r="N21">
            <v>112.76</v>
          </cell>
        </row>
        <row r="22">
          <cell r="C22" t="str">
            <v>SOUTH FDL 4</v>
          </cell>
          <cell r="F22">
            <v>84.763000000000005</v>
          </cell>
          <cell r="G22">
            <v>0</v>
          </cell>
          <cell r="H22">
            <v>0</v>
          </cell>
          <cell r="I22">
            <v>0</v>
          </cell>
          <cell r="J22">
            <v>0</v>
          </cell>
          <cell r="K22">
            <v>0</v>
          </cell>
          <cell r="L22">
            <v>0</v>
          </cell>
          <cell r="M22">
            <v>0</v>
          </cell>
          <cell r="N22">
            <v>0</v>
          </cell>
        </row>
        <row r="23">
          <cell r="C23" t="str">
            <v>NELSON DEWEY 1</v>
          </cell>
          <cell r="F23">
            <v>111.511</v>
          </cell>
          <cell r="G23">
            <v>10060</v>
          </cell>
          <cell r="H23">
            <v>1.2330000000000001</v>
          </cell>
          <cell r="I23">
            <v>68.510000000000005</v>
          </cell>
          <cell r="J23">
            <v>56.841000000000001</v>
          </cell>
          <cell r="K23">
            <v>705</v>
          </cell>
          <cell r="L23">
            <v>38</v>
          </cell>
          <cell r="M23">
            <v>743</v>
          </cell>
          <cell r="N23">
            <v>13.07</v>
          </cell>
        </row>
        <row r="24">
          <cell r="C24" t="str">
            <v>NELSON DEWEY 2</v>
          </cell>
          <cell r="F24">
            <v>112.002</v>
          </cell>
          <cell r="G24">
            <v>9904</v>
          </cell>
          <cell r="H24">
            <v>1.2330000000000001</v>
          </cell>
          <cell r="I24">
            <v>13.9</v>
          </cell>
          <cell r="J24">
            <v>11.584</v>
          </cell>
          <cell r="K24">
            <v>141</v>
          </cell>
          <cell r="L24">
            <v>8</v>
          </cell>
          <cell r="M24">
            <v>149</v>
          </cell>
          <cell r="N24">
            <v>12.9</v>
          </cell>
        </row>
        <row r="25">
          <cell r="C25" t="str">
            <v>WPL HYDRO</v>
          </cell>
          <cell r="E25" t="str">
            <v>MUST</v>
          </cell>
          <cell r="F25">
            <v>27</v>
          </cell>
          <cell r="G25">
            <v>0</v>
          </cell>
          <cell r="H25">
            <v>0</v>
          </cell>
          <cell r="I25">
            <v>92.14</v>
          </cell>
          <cell r="J25">
            <v>18.509</v>
          </cell>
          <cell r="K25">
            <v>0</v>
          </cell>
          <cell r="L25">
            <v>0</v>
          </cell>
          <cell r="M25">
            <v>0</v>
          </cell>
          <cell r="N25">
            <v>0</v>
          </cell>
        </row>
        <row r="26">
          <cell r="C26" t="str">
            <v>BERLIN LFG WPL</v>
          </cell>
          <cell r="F26">
            <v>2.2000000000000002</v>
          </cell>
          <cell r="G26">
            <v>15000</v>
          </cell>
          <cell r="H26">
            <v>0</v>
          </cell>
          <cell r="I26">
            <v>75.64</v>
          </cell>
          <cell r="J26">
            <v>1.238</v>
          </cell>
          <cell r="K26">
            <v>0</v>
          </cell>
          <cell r="L26">
            <v>31</v>
          </cell>
          <cell r="M26">
            <v>31</v>
          </cell>
          <cell r="N26">
            <v>24.97</v>
          </cell>
        </row>
        <row r="27">
          <cell r="C27" t="str">
            <v>RIVERSIDE</v>
          </cell>
          <cell r="F27">
            <v>537.99</v>
          </cell>
          <cell r="G27">
            <v>7887</v>
          </cell>
          <cell r="H27">
            <v>6.891</v>
          </cell>
          <cell r="I27">
            <v>6.57</v>
          </cell>
          <cell r="J27">
            <v>26.282</v>
          </cell>
          <cell r="K27">
            <v>1428</v>
          </cell>
          <cell r="L27">
            <v>15</v>
          </cell>
          <cell r="M27">
            <v>1444</v>
          </cell>
          <cell r="N27">
            <v>54.92</v>
          </cell>
        </row>
        <row r="28">
          <cell r="C28" t="str">
            <v>ROCKGEN #1</v>
          </cell>
          <cell r="F28">
            <v>154.5</v>
          </cell>
          <cell r="G28">
            <v>13510</v>
          </cell>
          <cell r="H28">
            <v>6.891</v>
          </cell>
          <cell r="I28">
            <v>0.12</v>
          </cell>
          <cell r="J28">
            <v>0.13200000000000001</v>
          </cell>
          <cell r="K28">
            <v>12</v>
          </cell>
          <cell r="L28">
            <v>1</v>
          </cell>
          <cell r="M28">
            <v>13</v>
          </cell>
          <cell r="N28">
            <v>99.14</v>
          </cell>
        </row>
        <row r="29">
          <cell r="C29" t="str">
            <v>ROCKGEN #2</v>
          </cell>
          <cell r="F29">
            <v>154.5</v>
          </cell>
          <cell r="G29">
            <v>13942</v>
          </cell>
          <cell r="H29">
            <v>6.891</v>
          </cell>
          <cell r="I29">
            <v>7.0000000000000007E-2</v>
          </cell>
          <cell r="J29">
            <v>0.08</v>
          </cell>
          <cell r="K29">
            <v>8</v>
          </cell>
          <cell r="L29">
            <v>0</v>
          </cell>
          <cell r="M29">
            <v>8</v>
          </cell>
          <cell r="N29">
            <v>102.12</v>
          </cell>
        </row>
        <row r="30">
          <cell r="C30" t="str">
            <v>ROCKGEN #3</v>
          </cell>
          <cell r="F30">
            <v>154.5</v>
          </cell>
          <cell r="G30">
            <v>14145</v>
          </cell>
          <cell r="H30">
            <v>6.891</v>
          </cell>
          <cell r="I30">
            <v>0.01</v>
          </cell>
          <cell r="J30">
            <v>1.6E-2</v>
          </cell>
          <cell r="K30">
            <v>2</v>
          </cell>
          <cell r="L30">
            <v>0</v>
          </cell>
          <cell r="M30">
            <v>2</v>
          </cell>
          <cell r="N30">
            <v>103.51</v>
          </cell>
        </row>
        <row r="31">
          <cell r="C31" t="str">
            <v>BASE 100 ECONOMY</v>
          </cell>
          <cell r="F31">
            <v>100</v>
          </cell>
          <cell r="G31">
            <v>10000</v>
          </cell>
          <cell r="H31">
            <v>3.9609999999999999</v>
          </cell>
          <cell r="I31">
            <v>83.04</v>
          </cell>
          <cell r="J31">
            <v>61.780999999999999</v>
          </cell>
          <cell r="K31">
            <v>2447</v>
          </cell>
          <cell r="L31">
            <v>0</v>
          </cell>
          <cell r="M31">
            <v>2447</v>
          </cell>
          <cell r="N31">
            <v>39.61</v>
          </cell>
        </row>
        <row r="32">
          <cell r="C32" t="str">
            <v>OTHR 500 ECONOMY</v>
          </cell>
          <cell r="F32">
            <v>500</v>
          </cell>
          <cell r="G32">
            <v>10000</v>
          </cell>
          <cell r="H32">
            <v>3.9609999999999999</v>
          </cell>
          <cell r="I32">
            <v>43.13</v>
          </cell>
          <cell r="J32">
            <v>160.43299999999999</v>
          </cell>
          <cell r="K32">
            <v>6354</v>
          </cell>
          <cell r="L32">
            <v>0</v>
          </cell>
          <cell r="M32">
            <v>6354</v>
          </cell>
          <cell r="N32">
            <v>39.61</v>
          </cell>
        </row>
        <row r="33">
          <cell r="C33" t="str">
            <v>FPL WIND PURCH</v>
          </cell>
          <cell r="E33" t="str">
            <v>NDT</v>
          </cell>
          <cell r="F33">
            <v>80</v>
          </cell>
          <cell r="G33">
            <v>0</v>
          </cell>
          <cell r="H33">
            <v>0</v>
          </cell>
          <cell r="I33">
            <v>33.76</v>
          </cell>
          <cell r="J33">
            <v>20.094999999999999</v>
          </cell>
          <cell r="K33">
            <v>0</v>
          </cell>
          <cell r="L33">
            <v>0</v>
          </cell>
          <cell r="M33">
            <v>0</v>
          </cell>
          <cell r="N33">
            <v>0</v>
          </cell>
        </row>
        <row r="34">
          <cell r="C34" t="str">
            <v>INV WIND PURCH</v>
          </cell>
          <cell r="E34" t="str">
            <v>NDT</v>
          </cell>
          <cell r="F34">
            <v>50</v>
          </cell>
          <cell r="G34">
            <v>0</v>
          </cell>
          <cell r="H34">
            <v>0</v>
          </cell>
          <cell r="I34">
            <v>40.43</v>
          </cell>
          <cell r="J34">
            <v>15.039</v>
          </cell>
          <cell r="K34">
            <v>0</v>
          </cell>
          <cell r="L34">
            <v>0</v>
          </cell>
          <cell r="M34">
            <v>0</v>
          </cell>
          <cell r="N34">
            <v>0</v>
          </cell>
        </row>
        <row r="35">
          <cell r="C35" t="str">
            <v>JANESVILLE PURCH</v>
          </cell>
          <cell r="F35">
            <v>1.6</v>
          </cell>
          <cell r="G35">
            <v>15000</v>
          </cell>
          <cell r="H35">
            <v>0</v>
          </cell>
          <cell r="I35">
            <v>75.63</v>
          </cell>
          <cell r="J35">
            <v>0.9</v>
          </cell>
          <cell r="K35">
            <v>0</v>
          </cell>
          <cell r="L35">
            <v>35</v>
          </cell>
          <cell r="M35">
            <v>35</v>
          </cell>
          <cell r="N35">
            <v>38.869999999999997</v>
          </cell>
        </row>
        <row r="36">
          <cell r="C36" t="str">
            <v>MINERGY    PURCH</v>
          </cell>
          <cell r="F36">
            <v>6.5</v>
          </cell>
          <cell r="G36">
            <v>15000</v>
          </cell>
          <cell r="H36">
            <v>0</v>
          </cell>
          <cell r="I36">
            <v>75.28</v>
          </cell>
          <cell r="J36">
            <v>3.641</v>
          </cell>
          <cell r="K36">
            <v>0</v>
          </cell>
          <cell r="L36">
            <v>142</v>
          </cell>
          <cell r="M36">
            <v>142</v>
          </cell>
          <cell r="N36">
            <v>38.869999999999997</v>
          </cell>
        </row>
        <row r="37">
          <cell r="C37" t="str">
            <v>SUPERIOR   PURCH</v>
          </cell>
          <cell r="F37">
            <v>2.2000000000000002</v>
          </cell>
          <cell r="G37">
            <v>15000</v>
          </cell>
          <cell r="H37">
            <v>0</v>
          </cell>
          <cell r="I37">
            <v>74.959999999999994</v>
          </cell>
          <cell r="J37">
            <v>1.2270000000000001</v>
          </cell>
          <cell r="K37">
            <v>0</v>
          </cell>
          <cell r="L37">
            <v>48</v>
          </cell>
          <cell r="M37">
            <v>48</v>
          </cell>
          <cell r="N37">
            <v>38.869999999999997</v>
          </cell>
        </row>
        <row r="38">
          <cell r="C38" t="str">
            <v>WRPC HYDRO PURCH</v>
          </cell>
          <cell r="E38" t="str">
            <v>MUST</v>
          </cell>
          <cell r="F38">
            <v>13.2</v>
          </cell>
          <cell r="G38">
            <v>0</v>
          </cell>
          <cell r="H38">
            <v>0</v>
          </cell>
          <cell r="I38">
            <v>44.83</v>
          </cell>
          <cell r="J38">
            <v>4.4029999999999996</v>
          </cell>
          <cell r="K38">
            <v>0</v>
          </cell>
          <cell r="L38">
            <v>0</v>
          </cell>
          <cell r="M38">
            <v>0</v>
          </cell>
          <cell r="N38">
            <v>0</v>
          </cell>
        </row>
        <row r="39">
          <cell r="C39" t="str">
            <v>SHEBOYGAN CT1</v>
          </cell>
          <cell r="F39">
            <v>169.399</v>
          </cell>
          <cell r="G39">
            <v>11425</v>
          </cell>
          <cell r="H39">
            <v>6.891</v>
          </cell>
          <cell r="I39">
            <v>1.24</v>
          </cell>
          <cell r="J39">
            <v>1.5609999999999999</v>
          </cell>
          <cell r="K39">
            <v>123</v>
          </cell>
          <cell r="L39">
            <v>7</v>
          </cell>
          <cell r="M39">
            <v>130</v>
          </cell>
          <cell r="N39">
            <v>83.39</v>
          </cell>
        </row>
        <row r="40">
          <cell r="C40" t="str">
            <v>SHEBOYGAN CT2</v>
          </cell>
          <cell r="F40">
            <v>169.399</v>
          </cell>
          <cell r="G40">
            <v>11716</v>
          </cell>
          <cell r="H40">
            <v>6.891</v>
          </cell>
          <cell r="I40">
            <v>0.63</v>
          </cell>
          <cell r="J40">
            <v>0.8</v>
          </cell>
          <cell r="K40">
            <v>65</v>
          </cell>
          <cell r="L40">
            <v>4</v>
          </cell>
          <cell r="M40">
            <v>68</v>
          </cell>
          <cell r="N40">
            <v>85.4</v>
          </cell>
        </row>
        <row r="41">
          <cell r="C41" t="str">
            <v>NEW WIND-100MW</v>
          </cell>
          <cell r="D41">
            <v>2006</v>
          </cell>
          <cell r="E41" t="str">
            <v>NDT</v>
          </cell>
          <cell r="F41">
            <v>100</v>
          </cell>
          <cell r="G41">
            <v>0</v>
          </cell>
          <cell r="H41">
            <v>0</v>
          </cell>
          <cell r="I41">
            <v>33.76</v>
          </cell>
          <cell r="J41">
            <v>25.119</v>
          </cell>
          <cell r="K41">
            <v>0</v>
          </cell>
          <cell r="L41">
            <v>862</v>
          </cell>
          <cell r="M41">
            <v>862</v>
          </cell>
          <cell r="N41">
            <v>34.33</v>
          </cell>
        </row>
        <row r="42">
          <cell r="C42" t="str">
            <v>SHARED SAVINGS</v>
          </cell>
          <cell r="D42">
            <v>2005</v>
          </cell>
          <cell r="E42" t="str">
            <v>HYDR</v>
          </cell>
          <cell r="F42">
            <v>6.8639999999999999</v>
          </cell>
          <cell r="G42">
            <v>0</v>
          </cell>
          <cell r="H42">
            <v>0</v>
          </cell>
          <cell r="I42">
            <v>65.81</v>
          </cell>
          <cell r="J42">
            <v>3.3610000000000002</v>
          </cell>
          <cell r="K42">
            <v>0</v>
          </cell>
          <cell r="L42">
            <v>0</v>
          </cell>
          <cell r="M42">
            <v>0</v>
          </cell>
          <cell r="N42">
            <v>0</v>
          </cell>
        </row>
        <row r="43">
          <cell r="C43" t="str">
            <v>RES ENERGY FOCUS</v>
          </cell>
          <cell r="D43">
            <v>2005</v>
          </cell>
          <cell r="E43" t="str">
            <v>HYDR</v>
          </cell>
          <cell r="F43">
            <v>5.21</v>
          </cell>
          <cell r="G43">
            <v>0</v>
          </cell>
          <cell r="H43">
            <v>0</v>
          </cell>
          <cell r="I43">
            <v>39.5</v>
          </cell>
          <cell r="J43">
            <v>1.5309999999999999</v>
          </cell>
          <cell r="K43">
            <v>0</v>
          </cell>
          <cell r="L43">
            <v>0</v>
          </cell>
          <cell r="M43">
            <v>0</v>
          </cell>
          <cell r="N43">
            <v>0</v>
          </cell>
        </row>
        <row r="44">
          <cell r="C44" t="str">
            <v>WPL DLC PROGRAM</v>
          </cell>
          <cell r="D44">
            <v>2005</v>
          </cell>
          <cell r="E44" t="str">
            <v>HYDR</v>
          </cell>
          <cell r="F44">
            <v>4</v>
          </cell>
          <cell r="G44">
            <v>0</v>
          </cell>
          <cell r="H44">
            <v>0</v>
          </cell>
          <cell r="I44">
            <v>0</v>
          </cell>
          <cell r="J44">
            <v>0</v>
          </cell>
          <cell r="K44">
            <v>0</v>
          </cell>
          <cell r="L44">
            <v>0</v>
          </cell>
          <cell r="M44">
            <v>0</v>
          </cell>
          <cell r="N44">
            <v>0</v>
          </cell>
        </row>
        <row r="46">
          <cell r="C46" t="str">
            <v>KEWAUNEE</v>
          </cell>
          <cell r="E46" t="str">
            <v>MUST</v>
          </cell>
          <cell r="F46">
            <v>235.2</v>
          </cell>
          <cell r="G46">
            <v>10750</v>
          </cell>
          <cell r="H46">
            <v>0.45500000000000002</v>
          </cell>
          <cell r="I46">
            <v>96.5</v>
          </cell>
          <cell r="J46">
            <v>152.52199999999999</v>
          </cell>
          <cell r="K46">
            <v>747</v>
          </cell>
          <cell r="L46">
            <v>0</v>
          </cell>
          <cell r="M46">
            <v>747</v>
          </cell>
          <cell r="N46">
            <v>4.9000000000000004</v>
          </cell>
        </row>
        <row r="47">
          <cell r="C47" t="str">
            <v>COLUMBIA 1</v>
          </cell>
          <cell r="E47" t="str">
            <v>MUST</v>
          </cell>
          <cell r="F47">
            <v>247.20500000000001</v>
          </cell>
          <cell r="G47">
            <v>10682</v>
          </cell>
          <cell r="H47">
            <v>1.306</v>
          </cell>
          <cell r="I47">
            <v>88.23</v>
          </cell>
          <cell r="J47">
            <v>146.56899999999999</v>
          </cell>
          <cell r="K47">
            <v>2044</v>
          </cell>
          <cell r="L47">
            <v>29</v>
          </cell>
          <cell r="M47">
            <v>2073</v>
          </cell>
          <cell r="N47">
            <v>14.15</v>
          </cell>
        </row>
        <row r="48">
          <cell r="C48" t="str">
            <v>COLUMBIA 2</v>
          </cell>
          <cell r="E48" t="str">
            <v>MUST</v>
          </cell>
          <cell r="F48">
            <v>247.09399999999999</v>
          </cell>
          <cell r="G48">
            <v>10545</v>
          </cell>
          <cell r="H48">
            <v>1.306</v>
          </cell>
          <cell r="I48">
            <v>86.34</v>
          </cell>
          <cell r="J48">
            <v>143.36500000000001</v>
          </cell>
          <cell r="K48">
            <v>1974</v>
          </cell>
          <cell r="L48">
            <v>1</v>
          </cell>
          <cell r="M48">
            <v>1976</v>
          </cell>
          <cell r="N48">
            <v>13.78</v>
          </cell>
        </row>
        <row r="49">
          <cell r="C49" t="str">
            <v>EDGEWATER 3</v>
          </cell>
          <cell r="F49">
            <v>76.3</v>
          </cell>
          <cell r="G49">
            <v>11078</v>
          </cell>
          <cell r="H49">
            <v>1.482</v>
          </cell>
          <cell r="I49">
            <v>71.989999999999995</v>
          </cell>
          <cell r="J49">
            <v>36.911999999999999</v>
          </cell>
          <cell r="K49">
            <v>606</v>
          </cell>
          <cell r="L49">
            <v>10</v>
          </cell>
          <cell r="M49">
            <v>616</v>
          </cell>
          <cell r="N49">
            <v>16.7</v>
          </cell>
        </row>
        <row r="50">
          <cell r="C50" t="str">
            <v>EDGEWATER 4</v>
          </cell>
          <cell r="F50">
            <v>229.99799999999999</v>
          </cell>
          <cell r="G50">
            <v>9970</v>
          </cell>
          <cell r="H50">
            <v>1.399</v>
          </cell>
          <cell r="I50">
            <v>72.55</v>
          </cell>
          <cell r="J50">
            <v>112.13200000000001</v>
          </cell>
          <cell r="K50">
            <v>1564</v>
          </cell>
          <cell r="L50">
            <v>30</v>
          </cell>
          <cell r="M50">
            <v>1594</v>
          </cell>
          <cell r="N50">
            <v>14.22</v>
          </cell>
        </row>
        <row r="51">
          <cell r="C51" t="str">
            <v>EDGEWATER 5</v>
          </cell>
          <cell r="F51">
            <v>302.79300000000001</v>
          </cell>
          <cell r="G51">
            <v>0</v>
          </cell>
          <cell r="H51">
            <v>0</v>
          </cell>
          <cell r="I51">
            <v>0</v>
          </cell>
          <cell r="J51">
            <v>0</v>
          </cell>
          <cell r="K51">
            <v>0</v>
          </cell>
          <cell r="L51">
            <v>0</v>
          </cell>
          <cell r="M51">
            <v>0</v>
          </cell>
          <cell r="N51">
            <v>0</v>
          </cell>
        </row>
        <row r="52">
          <cell r="C52" t="str">
            <v>BLACKHAWK 3</v>
          </cell>
          <cell r="F52">
            <v>24.9</v>
          </cell>
          <cell r="G52">
            <v>11876</v>
          </cell>
          <cell r="H52">
            <v>7.2329999999999997</v>
          </cell>
          <cell r="I52">
            <v>0.15</v>
          </cell>
          <cell r="J52">
            <v>2.5000000000000001E-2</v>
          </cell>
          <cell r="K52">
            <v>2</v>
          </cell>
          <cell r="L52">
            <v>0</v>
          </cell>
          <cell r="M52">
            <v>2</v>
          </cell>
          <cell r="N52">
            <v>87.5</v>
          </cell>
        </row>
        <row r="53">
          <cell r="C53" t="str">
            <v>BLACKHAWK 4</v>
          </cell>
          <cell r="F53">
            <v>25.1</v>
          </cell>
          <cell r="G53">
            <v>11403</v>
          </cell>
          <cell r="H53">
            <v>7.2329999999999997</v>
          </cell>
          <cell r="I53">
            <v>0.17</v>
          </cell>
          <cell r="J53">
            <v>2.8000000000000001E-2</v>
          </cell>
          <cell r="K53">
            <v>2</v>
          </cell>
          <cell r="L53">
            <v>0</v>
          </cell>
          <cell r="M53">
            <v>2</v>
          </cell>
          <cell r="N53">
            <v>84.12</v>
          </cell>
        </row>
        <row r="54">
          <cell r="C54" t="str">
            <v>ROCK RIVER 1</v>
          </cell>
          <cell r="F54">
            <v>74.7</v>
          </cell>
          <cell r="G54">
            <v>11031</v>
          </cell>
          <cell r="H54">
            <v>6.7460000000000004</v>
          </cell>
          <cell r="I54">
            <v>3.09</v>
          </cell>
          <cell r="J54">
            <v>1.55</v>
          </cell>
          <cell r="K54">
            <v>115</v>
          </cell>
          <cell r="L54">
            <v>1</v>
          </cell>
          <cell r="M54">
            <v>117</v>
          </cell>
          <cell r="N54">
            <v>75.27</v>
          </cell>
        </row>
        <row r="55">
          <cell r="C55" t="str">
            <v>ROCK RIVER 2</v>
          </cell>
          <cell r="F55">
            <v>78.2</v>
          </cell>
          <cell r="G55">
            <v>10925</v>
          </cell>
          <cell r="H55">
            <v>6.7460000000000004</v>
          </cell>
          <cell r="I55">
            <v>3.51</v>
          </cell>
          <cell r="J55">
            <v>1.843</v>
          </cell>
          <cell r="K55">
            <v>136</v>
          </cell>
          <cell r="L55">
            <v>1</v>
          </cell>
          <cell r="M55">
            <v>137</v>
          </cell>
          <cell r="N55">
            <v>74.5</v>
          </cell>
        </row>
        <row r="56">
          <cell r="C56" t="str">
            <v>ROCK RIVER 3</v>
          </cell>
          <cell r="F56">
            <v>31.241</v>
          </cell>
          <cell r="G56">
            <v>0</v>
          </cell>
          <cell r="H56">
            <v>0</v>
          </cell>
          <cell r="I56">
            <v>0</v>
          </cell>
          <cell r="J56">
            <v>0</v>
          </cell>
          <cell r="K56">
            <v>0</v>
          </cell>
          <cell r="L56">
            <v>0</v>
          </cell>
          <cell r="M56">
            <v>0</v>
          </cell>
          <cell r="N56">
            <v>0</v>
          </cell>
        </row>
        <row r="57">
          <cell r="C57" t="str">
            <v>ROCK RIVER 4</v>
          </cell>
          <cell r="F57">
            <v>16.2</v>
          </cell>
          <cell r="G57">
            <v>0</v>
          </cell>
          <cell r="H57">
            <v>0</v>
          </cell>
          <cell r="I57">
            <v>0</v>
          </cell>
          <cell r="J57">
            <v>0</v>
          </cell>
          <cell r="K57">
            <v>0</v>
          </cell>
          <cell r="L57">
            <v>0</v>
          </cell>
          <cell r="M57">
            <v>0</v>
          </cell>
          <cell r="N57">
            <v>0</v>
          </cell>
        </row>
        <row r="58">
          <cell r="C58" t="str">
            <v>ROCK RIVER 5</v>
          </cell>
          <cell r="F58">
            <v>63.076000000000001</v>
          </cell>
          <cell r="G58">
            <v>13328</v>
          </cell>
          <cell r="H58">
            <v>7.44</v>
          </cell>
          <cell r="I58">
            <v>0</v>
          </cell>
          <cell r="J58">
            <v>0</v>
          </cell>
          <cell r="K58">
            <v>0</v>
          </cell>
          <cell r="L58">
            <v>0</v>
          </cell>
          <cell r="M58">
            <v>0</v>
          </cell>
          <cell r="N58">
            <v>118.98</v>
          </cell>
        </row>
        <row r="59">
          <cell r="C59" t="str">
            <v>ROCK RIVER 6</v>
          </cell>
          <cell r="F59">
            <v>63.335999999999999</v>
          </cell>
          <cell r="G59">
            <v>12179</v>
          </cell>
          <cell r="H59">
            <v>7.44</v>
          </cell>
          <cell r="I59">
            <v>0</v>
          </cell>
          <cell r="J59">
            <v>0</v>
          </cell>
          <cell r="K59">
            <v>0</v>
          </cell>
          <cell r="L59">
            <v>0</v>
          </cell>
          <cell r="M59">
            <v>0</v>
          </cell>
          <cell r="N59">
            <v>111.32</v>
          </cell>
        </row>
        <row r="60">
          <cell r="C60" t="str">
            <v>SHEEPSKIN 1</v>
          </cell>
          <cell r="F60">
            <v>37.6</v>
          </cell>
          <cell r="G60">
            <v>0</v>
          </cell>
          <cell r="H60">
            <v>0</v>
          </cell>
          <cell r="I60">
            <v>0</v>
          </cell>
          <cell r="J60">
            <v>0</v>
          </cell>
          <cell r="K60">
            <v>0</v>
          </cell>
          <cell r="L60">
            <v>0</v>
          </cell>
          <cell r="M60">
            <v>0</v>
          </cell>
          <cell r="N60">
            <v>0</v>
          </cell>
        </row>
        <row r="61">
          <cell r="C61" t="str">
            <v>SOUTH FDL 1</v>
          </cell>
          <cell r="F61">
            <v>92.241</v>
          </cell>
          <cell r="G61">
            <v>13519</v>
          </cell>
          <cell r="H61">
            <v>7.4610000000000003</v>
          </cell>
          <cell r="I61">
            <v>0</v>
          </cell>
          <cell r="J61">
            <v>1E-3</v>
          </cell>
          <cell r="K61">
            <v>0</v>
          </cell>
          <cell r="L61">
            <v>0</v>
          </cell>
          <cell r="M61">
            <v>0</v>
          </cell>
          <cell r="N61">
            <v>107.73</v>
          </cell>
        </row>
        <row r="62">
          <cell r="C62" t="str">
            <v>SOUTH FDL 2</v>
          </cell>
          <cell r="F62">
            <v>93.19</v>
          </cell>
          <cell r="G62">
            <v>13549</v>
          </cell>
          <cell r="H62">
            <v>7.4610000000000003</v>
          </cell>
          <cell r="I62">
            <v>0</v>
          </cell>
          <cell r="J62">
            <v>0</v>
          </cell>
          <cell r="K62">
            <v>0</v>
          </cell>
          <cell r="L62">
            <v>0</v>
          </cell>
          <cell r="M62">
            <v>0</v>
          </cell>
          <cell r="N62">
            <v>107.96</v>
          </cell>
        </row>
        <row r="63">
          <cell r="C63" t="str">
            <v>SOUTH FDL 3</v>
          </cell>
          <cell r="F63">
            <v>87.87</v>
          </cell>
          <cell r="G63">
            <v>13550</v>
          </cell>
          <cell r="H63">
            <v>7.4610000000000003</v>
          </cell>
          <cell r="I63">
            <v>0</v>
          </cell>
          <cell r="J63">
            <v>0</v>
          </cell>
          <cell r="K63">
            <v>0</v>
          </cell>
          <cell r="L63">
            <v>0</v>
          </cell>
          <cell r="M63">
            <v>0</v>
          </cell>
          <cell r="N63">
            <v>107.97</v>
          </cell>
        </row>
        <row r="64">
          <cell r="C64" t="str">
            <v>SOUTH FDL 4</v>
          </cell>
          <cell r="F64">
            <v>84.763000000000005</v>
          </cell>
          <cell r="G64">
            <v>13553</v>
          </cell>
          <cell r="H64">
            <v>7.4610000000000003</v>
          </cell>
          <cell r="I64">
            <v>0</v>
          </cell>
          <cell r="J64">
            <v>0</v>
          </cell>
          <cell r="K64">
            <v>0</v>
          </cell>
          <cell r="L64">
            <v>0</v>
          </cell>
          <cell r="M64">
            <v>0</v>
          </cell>
          <cell r="N64">
            <v>107.99</v>
          </cell>
        </row>
        <row r="65">
          <cell r="C65" t="str">
            <v>NELSON DEWEY 1</v>
          </cell>
          <cell r="F65">
            <v>111.511</v>
          </cell>
          <cell r="G65">
            <v>0</v>
          </cell>
          <cell r="H65">
            <v>0</v>
          </cell>
          <cell r="I65">
            <v>0</v>
          </cell>
          <cell r="J65">
            <v>0</v>
          </cell>
          <cell r="K65">
            <v>0</v>
          </cell>
          <cell r="L65">
            <v>0</v>
          </cell>
          <cell r="M65">
            <v>0</v>
          </cell>
          <cell r="N65">
            <v>0</v>
          </cell>
        </row>
        <row r="66">
          <cell r="C66" t="str">
            <v>NELSON DEWEY 2</v>
          </cell>
          <cell r="F66">
            <v>112.002</v>
          </cell>
          <cell r="G66">
            <v>9904</v>
          </cell>
          <cell r="H66">
            <v>1.2330000000000001</v>
          </cell>
          <cell r="I66">
            <v>71.680000000000007</v>
          </cell>
          <cell r="J66">
            <v>53.951999999999998</v>
          </cell>
          <cell r="K66">
            <v>659</v>
          </cell>
          <cell r="L66">
            <v>37</v>
          </cell>
          <cell r="M66">
            <v>696</v>
          </cell>
          <cell r="N66">
            <v>12.9</v>
          </cell>
        </row>
        <row r="67">
          <cell r="C67" t="str">
            <v>WPL HYDRO</v>
          </cell>
          <cell r="E67" t="str">
            <v>MUST</v>
          </cell>
          <cell r="F67">
            <v>27</v>
          </cell>
          <cell r="G67">
            <v>0</v>
          </cell>
          <cell r="H67">
            <v>0</v>
          </cell>
          <cell r="I67">
            <v>92.14</v>
          </cell>
          <cell r="J67">
            <v>16.718</v>
          </cell>
          <cell r="K67">
            <v>0</v>
          </cell>
          <cell r="L67">
            <v>0</v>
          </cell>
          <cell r="M67">
            <v>0</v>
          </cell>
          <cell r="N67">
            <v>0</v>
          </cell>
        </row>
        <row r="68">
          <cell r="C68" t="str">
            <v>BERLIN LFG WPL</v>
          </cell>
          <cell r="F68">
            <v>2.2000000000000002</v>
          </cell>
          <cell r="G68">
            <v>15000</v>
          </cell>
          <cell r="H68">
            <v>0</v>
          </cell>
          <cell r="I68">
            <v>84.88</v>
          </cell>
          <cell r="J68">
            <v>1.2549999999999999</v>
          </cell>
          <cell r="K68">
            <v>0</v>
          </cell>
          <cell r="L68">
            <v>31</v>
          </cell>
          <cell r="M68">
            <v>31</v>
          </cell>
          <cell r="N68">
            <v>24.97</v>
          </cell>
        </row>
        <row r="69">
          <cell r="C69" t="str">
            <v>RIVERSIDE</v>
          </cell>
          <cell r="F69">
            <v>537.99</v>
          </cell>
          <cell r="G69">
            <v>8099</v>
          </cell>
          <cell r="H69">
            <v>6.891</v>
          </cell>
          <cell r="I69">
            <v>20.99</v>
          </cell>
          <cell r="J69">
            <v>75.893000000000001</v>
          </cell>
          <cell r="K69">
            <v>4236</v>
          </cell>
          <cell r="L69">
            <v>44</v>
          </cell>
          <cell r="M69">
            <v>4280</v>
          </cell>
          <cell r="N69">
            <v>56.39</v>
          </cell>
        </row>
        <row r="70">
          <cell r="C70" t="str">
            <v>ROCKGEN #1</v>
          </cell>
          <cell r="F70">
            <v>154.5</v>
          </cell>
          <cell r="G70">
            <v>13794</v>
          </cell>
          <cell r="H70">
            <v>6.891</v>
          </cell>
          <cell r="I70">
            <v>0.13</v>
          </cell>
          <cell r="J70">
            <v>0.13600000000000001</v>
          </cell>
          <cell r="K70">
            <v>13</v>
          </cell>
          <cell r="L70">
            <v>1</v>
          </cell>
          <cell r="M70">
            <v>14</v>
          </cell>
          <cell r="N70">
            <v>101.09</v>
          </cell>
        </row>
        <row r="71">
          <cell r="C71" t="str">
            <v>ROCKGEN #2</v>
          </cell>
          <cell r="F71">
            <v>154.5</v>
          </cell>
          <cell r="G71">
            <v>13900</v>
          </cell>
          <cell r="H71">
            <v>6.891</v>
          </cell>
          <cell r="I71">
            <v>0.04</v>
          </cell>
          <cell r="J71">
            <v>3.7999999999999999E-2</v>
          </cell>
          <cell r="K71">
            <v>4</v>
          </cell>
          <cell r="L71">
            <v>0</v>
          </cell>
          <cell r="M71">
            <v>4</v>
          </cell>
          <cell r="N71">
            <v>101.82</v>
          </cell>
        </row>
        <row r="72">
          <cell r="C72" t="str">
            <v>ROCKGEN #3</v>
          </cell>
          <cell r="F72">
            <v>154.5</v>
          </cell>
          <cell r="G72">
            <v>14020</v>
          </cell>
          <cell r="H72">
            <v>6.891</v>
          </cell>
          <cell r="I72">
            <v>0.01</v>
          </cell>
          <cell r="J72">
            <v>8.9999999999999993E-3</v>
          </cell>
          <cell r="K72">
            <v>1</v>
          </cell>
          <cell r="L72">
            <v>0</v>
          </cell>
          <cell r="M72">
            <v>1</v>
          </cell>
          <cell r="N72">
            <v>102.65</v>
          </cell>
        </row>
        <row r="73">
          <cell r="C73" t="str">
            <v>BASE 100 ECONOMY</v>
          </cell>
          <cell r="F73">
            <v>100</v>
          </cell>
          <cell r="G73">
            <v>10000</v>
          </cell>
          <cell r="H73">
            <v>3.9609999999999999</v>
          </cell>
          <cell r="I73">
            <v>98.44</v>
          </cell>
          <cell r="J73">
            <v>66.153000000000006</v>
          </cell>
          <cell r="K73">
            <v>2620</v>
          </cell>
          <cell r="L73">
            <v>0</v>
          </cell>
          <cell r="M73">
            <v>2620</v>
          </cell>
          <cell r="N73">
            <v>39.61</v>
          </cell>
        </row>
        <row r="74">
          <cell r="C74" t="str">
            <v>OTHR 500 ECONOMY</v>
          </cell>
          <cell r="F74">
            <v>500</v>
          </cell>
          <cell r="G74">
            <v>10000</v>
          </cell>
          <cell r="H74">
            <v>3.9609999999999999</v>
          </cell>
          <cell r="I74">
            <v>71.739999999999995</v>
          </cell>
          <cell r="J74">
            <v>241.06100000000001</v>
          </cell>
          <cell r="K74">
            <v>9548</v>
          </cell>
          <cell r="L74">
            <v>0</v>
          </cell>
          <cell r="M74">
            <v>9548</v>
          </cell>
          <cell r="N74">
            <v>39.61</v>
          </cell>
        </row>
        <row r="75">
          <cell r="C75" t="str">
            <v>FPL WIND PURCH</v>
          </cell>
          <cell r="E75" t="str">
            <v>NDT</v>
          </cell>
          <cell r="F75">
            <v>80</v>
          </cell>
          <cell r="G75">
            <v>0</v>
          </cell>
          <cell r="H75">
            <v>0</v>
          </cell>
          <cell r="I75">
            <v>30.49</v>
          </cell>
          <cell r="J75">
            <v>16.393000000000001</v>
          </cell>
          <cell r="K75">
            <v>0</v>
          </cell>
          <cell r="L75">
            <v>0</v>
          </cell>
          <cell r="M75">
            <v>0</v>
          </cell>
          <cell r="N75">
            <v>0</v>
          </cell>
        </row>
        <row r="76">
          <cell r="C76" t="str">
            <v>INV WIND PURCH</v>
          </cell>
          <cell r="E76" t="str">
            <v>NDT</v>
          </cell>
          <cell r="F76">
            <v>50</v>
          </cell>
          <cell r="G76">
            <v>0</v>
          </cell>
          <cell r="H76">
            <v>0</v>
          </cell>
          <cell r="I76">
            <v>35.75</v>
          </cell>
          <cell r="J76">
            <v>12.013</v>
          </cell>
          <cell r="K76">
            <v>0</v>
          </cell>
          <cell r="L76">
            <v>0</v>
          </cell>
          <cell r="M76">
            <v>0</v>
          </cell>
          <cell r="N76">
            <v>0</v>
          </cell>
        </row>
        <row r="77">
          <cell r="C77" t="str">
            <v>JANESVILLE PURCH</v>
          </cell>
          <cell r="F77">
            <v>1.6</v>
          </cell>
          <cell r="G77">
            <v>15000</v>
          </cell>
          <cell r="H77">
            <v>0</v>
          </cell>
          <cell r="I77">
            <v>84.89</v>
          </cell>
          <cell r="J77">
            <v>0.91300000000000003</v>
          </cell>
          <cell r="K77">
            <v>0</v>
          </cell>
          <cell r="L77">
            <v>35</v>
          </cell>
          <cell r="M77">
            <v>35</v>
          </cell>
          <cell r="N77">
            <v>38.869999999999997</v>
          </cell>
        </row>
        <row r="78">
          <cell r="C78" t="str">
            <v>MINERGY    PURCH</v>
          </cell>
          <cell r="F78">
            <v>6.5</v>
          </cell>
          <cell r="G78">
            <v>15000</v>
          </cell>
          <cell r="H78">
            <v>0</v>
          </cell>
          <cell r="I78">
            <v>84.87</v>
          </cell>
          <cell r="J78">
            <v>3.7069999999999999</v>
          </cell>
          <cell r="K78">
            <v>0</v>
          </cell>
          <cell r="L78">
            <v>144</v>
          </cell>
          <cell r="M78">
            <v>144</v>
          </cell>
          <cell r="N78">
            <v>38.869999999999997</v>
          </cell>
        </row>
        <row r="79">
          <cell r="C79" t="str">
            <v>SUPERIOR   PURCH</v>
          </cell>
          <cell r="F79">
            <v>2.2000000000000002</v>
          </cell>
          <cell r="G79">
            <v>15000</v>
          </cell>
          <cell r="H79">
            <v>0</v>
          </cell>
          <cell r="I79">
            <v>84.85</v>
          </cell>
          <cell r="J79">
            <v>1.254</v>
          </cell>
          <cell r="K79">
            <v>0</v>
          </cell>
          <cell r="L79">
            <v>49</v>
          </cell>
          <cell r="M79">
            <v>49</v>
          </cell>
          <cell r="N79">
            <v>38.869999999999997</v>
          </cell>
        </row>
        <row r="80">
          <cell r="C80" t="str">
            <v>WRPC HYDRO PURCH</v>
          </cell>
          <cell r="E80" t="str">
            <v>MUST</v>
          </cell>
          <cell r="F80">
            <v>13.2</v>
          </cell>
          <cell r="G80">
            <v>0</v>
          </cell>
          <cell r="H80">
            <v>0</v>
          </cell>
          <cell r="I80">
            <v>44.83</v>
          </cell>
          <cell r="J80">
            <v>3.9769999999999999</v>
          </cell>
          <cell r="K80">
            <v>0</v>
          </cell>
          <cell r="L80">
            <v>0</v>
          </cell>
          <cell r="M80">
            <v>0</v>
          </cell>
          <cell r="N80">
            <v>0</v>
          </cell>
        </row>
        <row r="81">
          <cell r="C81" t="str">
            <v>SHEBOYGAN CT1</v>
          </cell>
          <cell r="F81">
            <v>169.399</v>
          </cell>
          <cell r="G81">
            <v>11637</v>
          </cell>
          <cell r="H81">
            <v>6.891</v>
          </cell>
          <cell r="I81">
            <v>1.55</v>
          </cell>
          <cell r="J81">
            <v>1.764</v>
          </cell>
          <cell r="K81">
            <v>141</v>
          </cell>
          <cell r="L81">
            <v>8</v>
          </cell>
          <cell r="M81">
            <v>150</v>
          </cell>
          <cell r="N81">
            <v>84.85</v>
          </cell>
        </row>
        <row r="82">
          <cell r="C82" t="str">
            <v>SHEBOYGAN CT2</v>
          </cell>
          <cell r="F82">
            <v>169.399</v>
          </cell>
          <cell r="G82">
            <v>11763</v>
          </cell>
          <cell r="H82">
            <v>6.891</v>
          </cell>
          <cell r="I82">
            <v>0.53</v>
          </cell>
          <cell r="J82">
            <v>0.60799999999999998</v>
          </cell>
          <cell r="K82">
            <v>49</v>
          </cell>
          <cell r="L82">
            <v>3</v>
          </cell>
          <cell r="M82">
            <v>52</v>
          </cell>
          <cell r="N82">
            <v>85.72</v>
          </cell>
        </row>
        <row r="83">
          <cell r="C83" t="str">
            <v>NEW WIND-100MW</v>
          </cell>
          <cell r="D83">
            <v>2006</v>
          </cell>
          <cell r="E83" t="str">
            <v>NDT</v>
          </cell>
          <cell r="F83">
            <v>100</v>
          </cell>
          <cell r="G83">
            <v>0</v>
          </cell>
          <cell r="H83">
            <v>0</v>
          </cell>
          <cell r="I83">
            <v>30.49</v>
          </cell>
          <cell r="J83">
            <v>20.491</v>
          </cell>
          <cell r="K83">
            <v>0</v>
          </cell>
          <cell r="L83">
            <v>704</v>
          </cell>
          <cell r="M83">
            <v>704</v>
          </cell>
          <cell r="N83">
            <v>34.33</v>
          </cell>
        </row>
        <row r="84">
          <cell r="C84" t="str">
            <v>SHARED SAVINGS</v>
          </cell>
          <cell r="D84">
            <v>2005</v>
          </cell>
          <cell r="E84" t="str">
            <v>HYDR</v>
          </cell>
          <cell r="F84">
            <v>6.8639999999999999</v>
          </cell>
          <cell r="G84">
            <v>0</v>
          </cell>
          <cell r="H84">
            <v>0</v>
          </cell>
          <cell r="I84">
            <v>65.81</v>
          </cell>
          <cell r="J84">
            <v>3.0350000000000001</v>
          </cell>
          <cell r="K84">
            <v>0</v>
          </cell>
          <cell r="L84">
            <v>0</v>
          </cell>
          <cell r="M84">
            <v>0</v>
          </cell>
          <cell r="N84">
            <v>0</v>
          </cell>
        </row>
        <row r="85">
          <cell r="C85" t="str">
            <v>RES ENERGY FOCUS</v>
          </cell>
          <cell r="D85">
            <v>2005</v>
          </cell>
          <cell r="E85" t="str">
            <v>HYDR</v>
          </cell>
          <cell r="F85">
            <v>5.21</v>
          </cell>
          <cell r="G85">
            <v>0</v>
          </cell>
          <cell r="H85">
            <v>0</v>
          </cell>
          <cell r="I85">
            <v>39.5</v>
          </cell>
          <cell r="J85">
            <v>1.383</v>
          </cell>
          <cell r="K85">
            <v>0</v>
          </cell>
          <cell r="L85">
            <v>0</v>
          </cell>
          <cell r="M85">
            <v>0</v>
          </cell>
          <cell r="N85">
            <v>0</v>
          </cell>
        </row>
        <row r="86">
          <cell r="C86" t="str">
            <v>WPL DLC PROGRAM</v>
          </cell>
          <cell r="D86">
            <v>2005</v>
          </cell>
          <cell r="E86" t="str">
            <v>HYDR</v>
          </cell>
          <cell r="F86">
            <v>4</v>
          </cell>
          <cell r="G86">
            <v>0</v>
          </cell>
          <cell r="H86">
            <v>0</v>
          </cell>
          <cell r="I86">
            <v>0</v>
          </cell>
          <cell r="J86">
            <v>0</v>
          </cell>
          <cell r="K86">
            <v>0</v>
          </cell>
          <cell r="L86">
            <v>0</v>
          </cell>
          <cell r="M86">
            <v>0</v>
          </cell>
          <cell r="N86">
            <v>0</v>
          </cell>
        </row>
        <row r="88">
          <cell r="C88" t="str">
            <v>KEWAUNEE</v>
          </cell>
          <cell r="E88" t="str">
            <v>MUST</v>
          </cell>
          <cell r="F88">
            <v>235.2</v>
          </cell>
          <cell r="G88">
            <v>10750</v>
          </cell>
          <cell r="H88">
            <v>0.45500000000000002</v>
          </cell>
          <cell r="I88">
            <v>96.5</v>
          </cell>
          <cell r="J88">
            <v>168.864</v>
          </cell>
          <cell r="K88">
            <v>827</v>
          </cell>
          <cell r="L88">
            <v>0</v>
          </cell>
          <cell r="M88">
            <v>827</v>
          </cell>
          <cell r="N88">
            <v>4.9000000000000004</v>
          </cell>
        </row>
        <row r="89">
          <cell r="C89" t="str">
            <v>COLUMBIA 1</v>
          </cell>
          <cell r="E89" t="str">
            <v>MUST</v>
          </cell>
          <cell r="F89">
            <v>247.20500000000001</v>
          </cell>
          <cell r="G89">
            <v>10682</v>
          </cell>
          <cell r="H89">
            <v>1.306</v>
          </cell>
          <cell r="I89">
            <v>88.23</v>
          </cell>
          <cell r="J89">
            <v>162.273</v>
          </cell>
          <cell r="K89">
            <v>2263</v>
          </cell>
          <cell r="L89">
            <v>32</v>
          </cell>
          <cell r="M89">
            <v>2295</v>
          </cell>
          <cell r="N89">
            <v>14.15</v>
          </cell>
        </row>
        <row r="90">
          <cell r="C90" t="str">
            <v>COLUMBIA 2</v>
          </cell>
          <cell r="E90" t="str">
            <v>MUST</v>
          </cell>
          <cell r="F90">
            <v>247.09399999999999</v>
          </cell>
          <cell r="G90">
            <v>10545</v>
          </cell>
          <cell r="H90">
            <v>1.306</v>
          </cell>
          <cell r="I90">
            <v>86.34</v>
          </cell>
          <cell r="J90">
            <v>158.726</v>
          </cell>
          <cell r="K90">
            <v>2186</v>
          </cell>
          <cell r="L90">
            <v>2</v>
          </cell>
          <cell r="M90">
            <v>2187</v>
          </cell>
          <cell r="N90">
            <v>13.78</v>
          </cell>
        </row>
        <row r="91">
          <cell r="C91" t="str">
            <v>EDGEWATER 3</v>
          </cell>
          <cell r="F91">
            <v>76.3</v>
          </cell>
          <cell r="G91">
            <v>11081</v>
          </cell>
          <cell r="H91">
            <v>1.482</v>
          </cell>
          <cell r="I91">
            <v>70.48</v>
          </cell>
          <cell r="J91">
            <v>40.006999999999998</v>
          </cell>
          <cell r="K91">
            <v>657</v>
          </cell>
          <cell r="L91">
            <v>11</v>
          </cell>
          <cell r="M91">
            <v>668</v>
          </cell>
          <cell r="N91">
            <v>16.7</v>
          </cell>
        </row>
        <row r="92">
          <cell r="C92" t="str">
            <v>EDGEWATER 4</v>
          </cell>
          <cell r="F92">
            <v>229.99799999999999</v>
          </cell>
          <cell r="G92">
            <v>9970</v>
          </cell>
          <cell r="H92">
            <v>1.399</v>
          </cell>
          <cell r="I92">
            <v>72.540000000000006</v>
          </cell>
          <cell r="J92">
            <v>124.133</v>
          </cell>
          <cell r="K92">
            <v>1732</v>
          </cell>
          <cell r="L92">
            <v>34</v>
          </cell>
          <cell r="M92">
            <v>1765</v>
          </cell>
          <cell r="N92">
            <v>14.22</v>
          </cell>
        </row>
        <row r="93">
          <cell r="C93" t="str">
            <v>EDGEWATER 5</v>
          </cell>
          <cell r="E93" t="str">
            <v>MUST</v>
          </cell>
          <cell r="F93">
            <v>302.79300000000001</v>
          </cell>
          <cell r="G93">
            <v>10072</v>
          </cell>
          <cell r="H93">
            <v>1.2849999999999999</v>
          </cell>
          <cell r="I93">
            <v>19.489999999999998</v>
          </cell>
          <cell r="J93">
            <v>43.911999999999999</v>
          </cell>
          <cell r="K93">
            <v>568</v>
          </cell>
          <cell r="L93">
            <v>3</v>
          </cell>
          <cell r="M93">
            <v>571</v>
          </cell>
          <cell r="N93">
            <v>13.01</v>
          </cell>
        </row>
        <row r="94">
          <cell r="C94" t="str">
            <v>BLACKHAWK 3</v>
          </cell>
          <cell r="F94">
            <v>24.9</v>
          </cell>
          <cell r="G94">
            <v>11897</v>
          </cell>
          <cell r="H94">
            <v>7.2329999999999997</v>
          </cell>
          <cell r="I94">
            <v>0.05</v>
          </cell>
          <cell r="J94">
            <v>8.9999999999999993E-3</v>
          </cell>
          <cell r="K94">
            <v>1</v>
          </cell>
          <cell r="L94">
            <v>0</v>
          </cell>
          <cell r="M94">
            <v>1</v>
          </cell>
          <cell r="N94">
            <v>87.65</v>
          </cell>
        </row>
        <row r="95">
          <cell r="C95" t="str">
            <v>BLACKHAWK 4</v>
          </cell>
          <cell r="F95">
            <v>25.1</v>
          </cell>
          <cell r="G95">
            <v>11414</v>
          </cell>
          <cell r="H95">
            <v>7.2329999999999997</v>
          </cell>
          <cell r="I95">
            <v>0.05</v>
          </cell>
          <cell r="J95">
            <v>0.01</v>
          </cell>
          <cell r="K95">
            <v>1</v>
          </cell>
          <cell r="L95">
            <v>0</v>
          </cell>
          <cell r="M95">
            <v>1</v>
          </cell>
          <cell r="N95">
            <v>84.2</v>
          </cell>
        </row>
        <row r="96">
          <cell r="C96" t="str">
            <v>ROCK RIVER 1</v>
          </cell>
          <cell r="F96">
            <v>74.7</v>
          </cell>
          <cell r="G96">
            <v>11047</v>
          </cell>
          <cell r="H96">
            <v>6.7460000000000004</v>
          </cell>
          <cell r="I96">
            <v>1.31</v>
          </cell>
          <cell r="J96">
            <v>0.72899999999999998</v>
          </cell>
          <cell r="K96">
            <v>54</v>
          </cell>
          <cell r="L96">
            <v>1</v>
          </cell>
          <cell r="M96">
            <v>55</v>
          </cell>
          <cell r="N96">
            <v>75.38</v>
          </cell>
        </row>
        <row r="97">
          <cell r="C97" t="str">
            <v>ROCK RIVER 2</v>
          </cell>
          <cell r="F97">
            <v>78.2</v>
          </cell>
          <cell r="G97">
            <v>10930</v>
          </cell>
          <cell r="H97">
            <v>6.7460000000000004</v>
          </cell>
          <cell r="I97">
            <v>1.51</v>
          </cell>
          <cell r="J97">
            <v>0.88100000000000001</v>
          </cell>
          <cell r="K97">
            <v>65</v>
          </cell>
          <cell r="L97">
            <v>1</v>
          </cell>
          <cell r="M97">
            <v>66</v>
          </cell>
          <cell r="N97">
            <v>74.540000000000006</v>
          </cell>
        </row>
        <row r="98">
          <cell r="C98" t="str">
            <v>ROCK RIVER 3</v>
          </cell>
          <cell r="F98">
            <v>31.241</v>
          </cell>
          <cell r="G98">
            <v>0</v>
          </cell>
          <cell r="H98">
            <v>0</v>
          </cell>
          <cell r="I98">
            <v>0</v>
          </cell>
          <cell r="J98">
            <v>0</v>
          </cell>
          <cell r="K98">
            <v>0</v>
          </cell>
          <cell r="L98">
            <v>0</v>
          </cell>
          <cell r="M98">
            <v>0</v>
          </cell>
          <cell r="N98">
            <v>0</v>
          </cell>
        </row>
        <row r="99">
          <cell r="C99" t="str">
            <v>ROCK RIVER 4</v>
          </cell>
          <cell r="F99">
            <v>16.2</v>
          </cell>
          <cell r="G99">
            <v>0</v>
          </cell>
          <cell r="H99">
            <v>0</v>
          </cell>
          <cell r="I99">
            <v>0</v>
          </cell>
          <cell r="J99">
            <v>0</v>
          </cell>
          <cell r="K99">
            <v>0</v>
          </cell>
          <cell r="L99">
            <v>0</v>
          </cell>
          <cell r="M99">
            <v>0</v>
          </cell>
          <cell r="N99">
            <v>0</v>
          </cell>
        </row>
        <row r="100">
          <cell r="C100" t="str">
            <v>ROCK RIVER 5</v>
          </cell>
          <cell r="F100">
            <v>63.076000000000001</v>
          </cell>
          <cell r="G100">
            <v>13319</v>
          </cell>
          <cell r="H100">
            <v>7.44</v>
          </cell>
          <cell r="I100">
            <v>0</v>
          </cell>
          <cell r="J100">
            <v>0</v>
          </cell>
          <cell r="K100">
            <v>0</v>
          </cell>
          <cell r="L100">
            <v>0</v>
          </cell>
          <cell r="M100">
            <v>0</v>
          </cell>
          <cell r="N100">
            <v>118.91</v>
          </cell>
        </row>
        <row r="101">
          <cell r="C101" t="str">
            <v>ROCK RIVER 6</v>
          </cell>
          <cell r="F101">
            <v>63.335999999999999</v>
          </cell>
          <cell r="G101">
            <v>15002</v>
          </cell>
          <cell r="H101">
            <v>7.44</v>
          </cell>
          <cell r="I101">
            <v>0</v>
          </cell>
          <cell r="J101">
            <v>0</v>
          </cell>
          <cell r="K101">
            <v>0</v>
          </cell>
          <cell r="L101">
            <v>0</v>
          </cell>
          <cell r="M101">
            <v>0</v>
          </cell>
          <cell r="N101">
            <v>132.32</v>
          </cell>
        </row>
        <row r="102">
          <cell r="C102" t="str">
            <v>SHEEPSKIN 1</v>
          </cell>
          <cell r="F102">
            <v>37.6</v>
          </cell>
          <cell r="G102">
            <v>0</v>
          </cell>
          <cell r="H102">
            <v>0</v>
          </cell>
          <cell r="I102">
            <v>0</v>
          </cell>
          <cell r="J102">
            <v>0</v>
          </cell>
          <cell r="K102">
            <v>0</v>
          </cell>
          <cell r="L102">
            <v>0</v>
          </cell>
          <cell r="M102">
            <v>0</v>
          </cell>
          <cell r="N102">
            <v>0</v>
          </cell>
        </row>
        <row r="103">
          <cell r="C103" t="str">
            <v>SOUTH FDL 1</v>
          </cell>
          <cell r="F103">
            <v>92.241</v>
          </cell>
          <cell r="G103">
            <v>13575</v>
          </cell>
          <cell r="H103">
            <v>7.4610000000000003</v>
          </cell>
          <cell r="I103">
            <v>0</v>
          </cell>
          <cell r="J103">
            <v>1E-3</v>
          </cell>
          <cell r="K103">
            <v>0</v>
          </cell>
          <cell r="L103">
            <v>0</v>
          </cell>
          <cell r="M103">
            <v>0</v>
          </cell>
          <cell r="N103">
            <v>108.15</v>
          </cell>
        </row>
        <row r="104">
          <cell r="C104" t="str">
            <v>SOUTH FDL 2</v>
          </cell>
          <cell r="F104">
            <v>93.19</v>
          </cell>
          <cell r="G104">
            <v>13389</v>
          </cell>
          <cell r="H104">
            <v>7.4610000000000003</v>
          </cell>
          <cell r="I104">
            <v>0</v>
          </cell>
          <cell r="J104">
            <v>0</v>
          </cell>
          <cell r="K104">
            <v>0</v>
          </cell>
          <cell r="L104">
            <v>0</v>
          </cell>
          <cell r="M104">
            <v>0</v>
          </cell>
          <cell r="N104">
            <v>106.76</v>
          </cell>
        </row>
        <row r="105">
          <cell r="C105" t="str">
            <v>SOUTH FDL 3</v>
          </cell>
          <cell r="F105">
            <v>87.87</v>
          </cell>
          <cell r="G105">
            <v>13544</v>
          </cell>
          <cell r="H105">
            <v>7.4610000000000003</v>
          </cell>
          <cell r="I105">
            <v>0</v>
          </cell>
          <cell r="J105">
            <v>0</v>
          </cell>
          <cell r="K105">
            <v>0</v>
          </cell>
          <cell r="L105">
            <v>0</v>
          </cell>
          <cell r="M105">
            <v>0</v>
          </cell>
          <cell r="N105">
            <v>107.92</v>
          </cell>
        </row>
        <row r="106">
          <cell r="C106" t="str">
            <v>SOUTH FDL 4</v>
          </cell>
          <cell r="F106">
            <v>84.763000000000005</v>
          </cell>
          <cell r="G106">
            <v>13546</v>
          </cell>
          <cell r="H106">
            <v>7.4610000000000003</v>
          </cell>
          <cell r="I106">
            <v>0</v>
          </cell>
          <cell r="J106">
            <v>0</v>
          </cell>
          <cell r="K106">
            <v>0</v>
          </cell>
          <cell r="L106">
            <v>0</v>
          </cell>
          <cell r="M106">
            <v>0</v>
          </cell>
          <cell r="N106">
            <v>107.94</v>
          </cell>
        </row>
        <row r="107">
          <cell r="C107" t="str">
            <v>NELSON DEWEY 1</v>
          </cell>
          <cell r="F107">
            <v>111.511</v>
          </cell>
          <cell r="G107">
            <v>10055</v>
          </cell>
          <cell r="H107">
            <v>1.2330000000000001</v>
          </cell>
          <cell r="I107">
            <v>70.94</v>
          </cell>
          <cell r="J107">
            <v>58.853000000000002</v>
          </cell>
          <cell r="K107">
            <v>730</v>
          </cell>
          <cell r="L107">
            <v>39</v>
          </cell>
          <cell r="M107">
            <v>769</v>
          </cell>
          <cell r="N107">
            <v>13.07</v>
          </cell>
        </row>
        <row r="108">
          <cell r="C108" t="str">
            <v>NELSON DEWEY 2</v>
          </cell>
          <cell r="F108">
            <v>112.002</v>
          </cell>
          <cell r="G108">
            <v>9904</v>
          </cell>
          <cell r="H108">
            <v>1.2330000000000001</v>
          </cell>
          <cell r="I108">
            <v>71.349999999999994</v>
          </cell>
          <cell r="J108">
            <v>59.457000000000001</v>
          </cell>
          <cell r="K108">
            <v>726</v>
          </cell>
          <cell r="L108">
            <v>41</v>
          </cell>
          <cell r="M108">
            <v>767</v>
          </cell>
          <cell r="N108">
            <v>12.9</v>
          </cell>
        </row>
        <row r="109">
          <cell r="C109" t="str">
            <v>WPL HYDRO</v>
          </cell>
          <cell r="E109" t="str">
            <v>MUST</v>
          </cell>
          <cell r="F109">
            <v>27</v>
          </cell>
          <cell r="G109">
            <v>0</v>
          </cell>
          <cell r="H109">
            <v>0</v>
          </cell>
          <cell r="I109">
            <v>92.14</v>
          </cell>
          <cell r="J109">
            <v>18.509</v>
          </cell>
          <cell r="K109">
            <v>0</v>
          </cell>
          <cell r="L109">
            <v>0</v>
          </cell>
          <cell r="M109">
            <v>0</v>
          </cell>
          <cell r="N109">
            <v>0</v>
          </cell>
        </row>
        <row r="110">
          <cell r="C110" t="str">
            <v>BERLIN LFG WPL</v>
          </cell>
          <cell r="F110">
            <v>2.2000000000000002</v>
          </cell>
          <cell r="G110">
            <v>15000</v>
          </cell>
          <cell r="H110">
            <v>0</v>
          </cell>
          <cell r="I110">
            <v>82.31</v>
          </cell>
          <cell r="J110">
            <v>1.347</v>
          </cell>
          <cell r="K110">
            <v>0</v>
          </cell>
          <cell r="L110">
            <v>34</v>
          </cell>
          <cell r="M110">
            <v>34</v>
          </cell>
          <cell r="N110">
            <v>24.97</v>
          </cell>
        </row>
        <row r="111">
          <cell r="C111" t="str">
            <v>RIVERSIDE</v>
          </cell>
          <cell r="F111">
            <v>537.99</v>
          </cell>
          <cell r="G111">
            <v>8168</v>
          </cell>
          <cell r="H111">
            <v>6.891</v>
          </cell>
          <cell r="I111">
            <v>10.56</v>
          </cell>
          <cell r="J111">
            <v>42.258000000000003</v>
          </cell>
          <cell r="K111">
            <v>2379</v>
          </cell>
          <cell r="L111">
            <v>24</v>
          </cell>
          <cell r="M111">
            <v>2403</v>
          </cell>
          <cell r="N111">
            <v>56.86</v>
          </cell>
        </row>
        <row r="112">
          <cell r="C112" t="str">
            <v>ROCKGEN #1</v>
          </cell>
          <cell r="F112">
            <v>154.5</v>
          </cell>
          <cell r="G112">
            <v>13887</v>
          </cell>
          <cell r="H112">
            <v>6.891</v>
          </cell>
          <cell r="I112">
            <v>0.04</v>
          </cell>
          <cell r="J112">
            <v>4.3999999999999997E-2</v>
          </cell>
          <cell r="K112">
            <v>4</v>
          </cell>
          <cell r="L112">
            <v>0</v>
          </cell>
          <cell r="M112">
            <v>4</v>
          </cell>
          <cell r="N112">
            <v>101.73</v>
          </cell>
        </row>
        <row r="113">
          <cell r="C113" t="str">
            <v>ROCKGEN #2</v>
          </cell>
          <cell r="F113">
            <v>154.5</v>
          </cell>
          <cell r="G113">
            <v>13530</v>
          </cell>
          <cell r="H113">
            <v>6.891</v>
          </cell>
          <cell r="I113">
            <v>0.01</v>
          </cell>
          <cell r="J113">
            <v>7.0000000000000001E-3</v>
          </cell>
          <cell r="K113">
            <v>1</v>
          </cell>
          <cell r="L113">
            <v>0</v>
          </cell>
          <cell r="M113">
            <v>1</v>
          </cell>
          <cell r="N113">
            <v>99.28</v>
          </cell>
        </row>
        <row r="114">
          <cell r="C114" t="str">
            <v>ROCKGEN #3</v>
          </cell>
          <cell r="F114">
            <v>154.5</v>
          </cell>
          <cell r="G114">
            <v>14052</v>
          </cell>
          <cell r="H114">
            <v>6.891</v>
          </cell>
          <cell r="I114">
            <v>0</v>
          </cell>
          <cell r="J114">
            <v>5.0000000000000001E-3</v>
          </cell>
          <cell r="K114">
            <v>0</v>
          </cell>
          <cell r="L114">
            <v>0</v>
          </cell>
          <cell r="M114">
            <v>0</v>
          </cell>
          <cell r="N114">
            <v>102.87</v>
          </cell>
        </row>
        <row r="115">
          <cell r="C115" t="str">
            <v>BASE 100 ECONOMY</v>
          </cell>
          <cell r="F115">
            <v>100</v>
          </cell>
          <cell r="G115">
            <v>10000</v>
          </cell>
          <cell r="H115">
            <v>3.5739999999999998</v>
          </cell>
          <cell r="I115">
            <v>93.34</v>
          </cell>
          <cell r="J115">
            <v>69.444999999999993</v>
          </cell>
          <cell r="K115">
            <v>2482</v>
          </cell>
          <cell r="L115">
            <v>0</v>
          </cell>
          <cell r="M115">
            <v>2482</v>
          </cell>
          <cell r="N115">
            <v>35.74</v>
          </cell>
        </row>
        <row r="116">
          <cell r="C116" t="str">
            <v>OTHR 500 ECONOMY</v>
          </cell>
          <cell r="F116">
            <v>500</v>
          </cell>
          <cell r="G116">
            <v>10000</v>
          </cell>
          <cell r="H116">
            <v>3.5739999999999998</v>
          </cell>
          <cell r="I116">
            <v>54.75</v>
          </cell>
          <cell r="J116">
            <v>203.65799999999999</v>
          </cell>
          <cell r="K116">
            <v>7279</v>
          </cell>
          <cell r="L116">
            <v>0</v>
          </cell>
          <cell r="M116">
            <v>7279</v>
          </cell>
          <cell r="N116">
            <v>35.74</v>
          </cell>
        </row>
        <row r="117">
          <cell r="C117" t="str">
            <v>FPL WIND PURCH</v>
          </cell>
          <cell r="E117" t="str">
            <v>NDT</v>
          </cell>
          <cell r="F117">
            <v>80</v>
          </cell>
          <cell r="G117">
            <v>0</v>
          </cell>
          <cell r="H117">
            <v>0</v>
          </cell>
          <cell r="I117">
            <v>28.73</v>
          </cell>
          <cell r="J117">
            <v>17.100999999999999</v>
          </cell>
          <cell r="K117">
            <v>0</v>
          </cell>
          <cell r="L117">
            <v>0</v>
          </cell>
          <cell r="M117">
            <v>0</v>
          </cell>
          <cell r="N117">
            <v>0</v>
          </cell>
        </row>
        <row r="118">
          <cell r="C118" t="str">
            <v>INV WIND PURCH</v>
          </cell>
          <cell r="E118" t="str">
            <v>NDT</v>
          </cell>
          <cell r="F118">
            <v>50</v>
          </cell>
          <cell r="G118">
            <v>0</v>
          </cell>
          <cell r="H118">
            <v>0</v>
          </cell>
          <cell r="I118">
            <v>32.64</v>
          </cell>
          <cell r="J118">
            <v>12.144</v>
          </cell>
          <cell r="K118">
            <v>0</v>
          </cell>
          <cell r="L118">
            <v>0</v>
          </cell>
          <cell r="M118">
            <v>0</v>
          </cell>
          <cell r="N118">
            <v>0</v>
          </cell>
        </row>
        <row r="119">
          <cell r="C119" t="str">
            <v>JANESVILLE PURCH</v>
          </cell>
          <cell r="F119">
            <v>1.6</v>
          </cell>
          <cell r="G119">
            <v>15000</v>
          </cell>
          <cell r="H119">
            <v>0</v>
          </cell>
          <cell r="I119">
            <v>25.91</v>
          </cell>
          <cell r="J119">
            <v>0.308</v>
          </cell>
          <cell r="K119">
            <v>0</v>
          </cell>
          <cell r="L119">
            <v>12</v>
          </cell>
          <cell r="M119">
            <v>12</v>
          </cell>
          <cell r="N119">
            <v>38.869999999999997</v>
          </cell>
        </row>
        <row r="120">
          <cell r="C120" t="str">
            <v>MINERGY    PURCH</v>
          </cell>
          <cell r="F120">
            <v>6.5</v>
          </cell>
          <cell r="G120">
            <v>15000</v>
          </cell>
          <cell r="H120">
            <v>0</v>
          </cell>
          <cell r="I120">
            <v>25.66</v>
          </cell>
          <cell r="J120">
            <v>1.2410000000000001</v>
          </cell>
          <cell r="K120">
            <v>0</v>
          </cell>
          <cell r="L120">
            <v>48</v>
          </cell>
          <cell r="M120">
            <v>48</v>
          </cell>
          <cell r="N120">
            <v>38.869999999999997</v>
          </cell>
        </row>
        <row r="121">
          <cell r="C121" t="str">
            <v>SUPERIOR   PURCH</v>
          </cell>
          <cell r="F121">
            <v>2.2000000000000002</v>
          </cell>
          <cell r="G121">
            <v>15000</v>
          </cell>
          <cell r="H121">
            <v>0</v>
          </cell>
          <cell r="I121">
            <v>25.32</v>
          </cell>
          <cell r="J121">
            <v>0.41399999999999998</v>
          </cell>
          <cell r="K121">
            <v>0</v>
          </cell>
          <cell r="L121">
            <v>16</v>
          </cell>
          <cell r="M121">
            <v>16</v>
          </cell>
          <cell r="N121">
            <v>38.869999999999997</v>
          </cell>
        </row>
        <row r="122">
          <cell r="C122" t="str">
            <v>WRPC HYDRO PURCH</v>
          </cell>
          <cell r="E122" t="str">
            <v>MUST</v>
          </cell>
          <cell r="F122">
            <v>13.2</v>
          </cell>
          <cell r="G122">
            <v>0</v>
          </cell>
          <cell r="H122">
            <v>0</v>
          </cell>
          <cell r="I122">
            <v>44.83</v>
          </cell>
          <cell r="J122">
            <v>4.4029999999999996</v>
          </cell>
          <cell r="K122">
            <v>0</v>
          </cell>
          <cell r="L122">
            <v>0</v>
          </cell>
          <cell r="M122">
            <v>0</v>
          </cell>
          <cell r="N122">
            <v>0</v>
          </cell>
        </row>
        <row r="123">
          <cell r="C123" t="str">
            <v>SHEBOYGAN CT1</v>
          </cell>
          <cell r="F123">
            <v>169.399</v>
          </cell>
          <cell r="G123">
            <v>11742</v>
          </cell>
          <cell r="H123">
            <v>6.891</v>
          </cell>
          <cell r="I123">
            <v>0.61</v>
          </cell>
          <cell r="J123">
            <v>0.76400000000000001</v>
          </cell>
          <cell r="K123">
            <v>62</v>
          </cell>
          <cell r="L123">
            <v>4</v>
          </cell>
          <cell r="M123">
            <v>65</v>
          </cell>
          <cell r="N123">
            <v>85.57</v>
          </cell>
        </row>
        <row r="124">
          <cell r="C124" t="str">
            <v>SHEBOYGAN CT2</v>
          </cell>
          <cell r="F124">
            <v>169.399</v>
          </cell>
          <cell r="G124">
            <v>11885</v>
          </cell>
          <cell r="H124">
            <v>6.891</v>
          </cell>
          <cell r="I124">
            <v>0.18</v>
          </cell>
          <cell r="J124">
            <v>0.23300000000000001</v>
          </cell>
          <cell r="K124">
            <v>19</v>
          </cell>
          <cell r="L124">
            <v>1</v>
          </cell>
          <cell r="M124">
            <v>20</v>
          </cell>
          <cell r="N124">
            <v>86.56</v>
          </cell>
        </row>
        <row r="125">
          <cell r="C125" t="str">
            <v>NEW WIND-100MW</v>
          </cell>
          <cell r="D125">
            <v>2006</v>
          </cell>
          <cell r="E125" t="str">
            <v>NDT</v>
          </cell>
          <cell r="F125">
            <v>100</v>
          </cell>
          <cell r="G125">
            <v>0</v>
          </cell>
          <cell r="H125">
            <v>0</v>
          </cell>
          <cell r="I125">
            <v>28.73</v>
          </cell>
          <cell r="J125">
            <v>21.376999999999999</v>
          </cell>
          <cell r="K125">
            <v>0</v>
          </cell>
          <cell r="L125">
            <v>734</v>
          </cell>
          <cell r="M125">
            <v>734</v>
          </cell>
          <cell r="N125">
            <v>34.33</v>
          </cell>
        </row>
        <row r="126">
          <cell r="C126" t="str">
            <v>SHARED SAVINGS</v>
          </cell>
          <cell r="D126">
            <v>2005</v>
          </cell>
          <cell r="E126" t="str">
            <v>HYDR</v>
          </cell>
          <cell r="F126">
            <v>6.8639999999999999</v>
          </cell>
          <cell r="G126">
            <v>0</v>
          </cell>
          <cell r="H126">
            <v>0</v>
          </cell>
          <cell r="I126">
            <v>65.81</v>
          </cell>
          <cell r="J126">
            <v>3.3610000000000002</v>
          </cell>
          <cell r="K126">
            <v>0</v>
          </cell>
          <cell r="L126">
            <v>0</v>
          </cell>
          <cell r="M126">
            <v>0</v>
          </cell>
          <cell r="N126">
            <v>0</v>
          </cell>
        </row>
        <row r="127">
          <cell r="C127" t="str">
            <v>RES ENERGY FOCUS</v>
          </cell>
          <cell r="D127">
            <v>2005</v>
          </cell>
          <cell r="E127" t="str">
            <v>HYDR</v>
          </cell>
          <cell r="F127">
            <v>5.21</v>
          </cell>
          <cell r="G127">
            <v>0</v>
          </cell>
          <cell r="H127">
            <v>0</v>
          </cell>
          <cell r="I127">
            <v>39.5</v>
          </cell>
          <cell r="J127">
            <v>1.5309999999999999</v>
          </cell>
          <cell r="K127">
            <v>0</v>
          </cell>
          <cell r="L127">
            <v>0</v>
          </cell>
          <cell r="M127">
            <v>0</v>
          </cell>
          <cell r="N127">
            <v>0</v>
          </cell>
        </row>
        <row r="128">
          <cell r="C128" t="str">
            <v>WPL DLC PROGRAM</v>
          </cell>
          <cell r="D128">
            <v>2005</v>
          </cell>
          <cell r="E128" t="str">
            <v>HYDR</v>
          </cell>
          <cell r="F128">
            <v>4</v>
          </cell>
          <cell r="G128">
            <v>0</v>
          </cell>
          <cell r="H128">
            <v>0</v>
          </cell>
          <cell r="I128">
            <v>0</v>
          </cell>
          <cell r="J128">
            <v>0</v>
          </cell>
          <cell r="K128">
            <v>0</v>
          </cell>
          <cell r="L128">
            <v>0</v>
          </cell>
          <cell r="M128">
            <v>0</v>
          </cell>
          <cell r="N128">
            <v>0</v>
          </cell>
        </row>
        <row r="130">
          <cell r="C130" t="str">
            <v>KEWAUNEE</v>
          </cell>
          <cell r="E130" t="str">
            <v>MUST</v>
          </cell>
          <cell r="F130">
            <v>235.2</v>
          </cell>
          <cell r="G130">
            <v>10750</v>
          </cell>
          <cell r="H130">
            <v>0.45500000000000002</v>
          </cell>
          <cell r="I130">
            <v>96.5</v>
          </cell>
          <cell r="J130">
            <v>163.417</v>
          </cell>
          <cell r="K130">
            <v>800</v>
          </cell>
          <cell r="L130">
            <v>0</v>
          </cell>
          <cell r="M130">
            <v>800</v>
          </cell>
          <cell r="N130">
            <v>4.9000000000000004</v>
          </cell>
        </row>
        <row r="131">
          <cell r="C131" t="str">
            <v>COLUMBIA 1</v>
          </cell>
          <cell r="F131">
            <v>247.20500000000001</v>
          </cell>
          <cell r="G131">
            <v>0</v>
          </cell>
          <cell r="H131">
            <v>0</v>
          </cell>
          <cell r="I131">
            <v>0</v>
          </cell>
          <cell r="J131">
            <v>0</v>
          </cell>
          <cell r="K131">
            <v>0</v>
          </cell>
          <cell r="L131">
            <v>0</v>
          </cell>
          <cell r="M131">
            <v>0</v>
          </cell>
          <cell r="N131">
            <v>0</v>
          </cell>
        </row>
        <row r="132">
          <cell r="C132" t="str">
            <v>COLUMBIA 2</v>
          </cell>
          <cell r="E132" t="str">
            <v>MUST</v>
          </cell>
          <cell r="F132">
            <v>247.09399999999999</v>
          </cell>
          <cell r="G132">
            <v>10545</v>
          </cell>
          <cell r="H132">
            <v>1.306</v>
          </cell>
          <cell r="I132">
            <v>86.34</v>
          </cell>
          <cell r="J132">
            <v>153.60400000000001</v>
          </cell>
          <cell r="K132">
            <v>2115</v>
          </cell>
          <cell r="L132">
            <v>2</v>
          </cell>
          <cell r="M132">
            <v>2117</v>
          </cell>
          <cell r="N132">
            <v>13.78</v>
          </cell>
        </row>
        <row r="133">
          <cell r="C133" t="str">
            <v>EDGEWATER 3</v>
          </cell>
          <cell r="F133">
            <v>76.3</v>
          </cell>
          <cell r="G133">
            <v>11081</v>
          </cell>
          <cell r="H133">
            <v>1.482</v>
          </cell>
          <cell r="I133">
            <v>70.28</v>
          </cell>
          <cell r="J133">
            <v>38.610999999999997</v>
          </cell>
          <cell r="K133">
            <v>634</v>
          </cell>
          <cell r="L133">
            <v>11</v>
          </cell>
          <cell r="M133">
            <v>645</v>
          </cell>
          <cell r="N133">
            <v>16.7</v>
          </cell>
        </row>
        <row r="134">
          <cell r="C134" t="str">
            <v>EDGEWATER 4</v>
          </cell>
          <cell r="F134">
            <v>229.99799999999999</v>
          </cell>
          <cell r="G134">
            <v>9971</v>
          </cell>
          <cell r="H134">
            <v>1.399</v>
          </cell>
          <cell r="I134">
            <v>72.52</v>
          </cell>
          <cell r="J134">
            <v>120.08499999999999</v>
          </cell>
          <cell r="K134">
            <v>1675</v>
          </cell>
          <cell r="L134">
            <v>32</v>
          </cell>
          <cell r="M134">
            <v>1708</v>
          </cell>
          <cell r="N134">
            <v>14.22</v>
          </cell>
        </row>
        <row r="135">
          <cell r="C135" t="str">
            <v>EDGEWATER 5</v>
          </cell>
          <cell r="E135" t="str">
            <v>MUST</v>
          </cell>
          <cell r="F135">
            <v>302.79300000000001</v>
          </cell>
          <cell r="G135">
            <v>10072</v>
          </cell>
          <cell r="H135">
            <v>1.2849999999999999</v>
          </cell>
          <cell r="I135">
            <v>77.97</v>
          </cell>
          <cell r="J135">
            <v>169.983</v>
          </cell>
          <cell r="K135">
            <v>2200</v>
          </cell>
          <cell r="L135">
            <v>11</v>
          </cell>
          <cell r="M135">
            <v>2211</v>
          </cell>
          <cell r="N135">
            <v>13.01</v>
          </cell>
        </row>
        <row r="136">
          <cell r="C136" t="str">
            <v>BLACKHAWK 3</v>
          </cell>
          <cell r="F136">
            <v>24.9</v>
          </cell>
          <cell r="G136">
            <v>11884</v>
          </cell>
          <cell r="H136">
            <v>6.8239999999999998</v>
          </cell>
          <cell r="I136">
            <v>0.12</v>
          </cell>
          <cell r="J136">
            <v>2.1999999999999999E-2</v>
          </cell>
          <cell r="K136">
            <v>2</v>
          </cell>
          <cell r="L136">
            <v>0</v>
          </cell>
          <cell r="M136">
            <v>2</v>
          </cell>
          <cell r="N136">
            <v>82.69</v>
          </cell>
        </row>
        <row r="137">
          <cell r="C137" t="str">
            <v>BLACKHAWK 4</v>
          </cell>
          <cell r="F137">
            <v>25.1</v>
          </cell>
          <cell r="G137">
            <v>11401</v>
          </cell>
          <cell r="H137">
            <v>6.8239999999999998</v>
          </cell>
          <cell r="I137">
            <v>0.14000000000000001</v>
          </cell>
          <cell r="J137">
            <v>2.5000000000000001E-2</v>
          </cell>
          <cell r="K137">
            <v>2</v>
          </cell>
          <cell r="L137">
            <v>0</v>
          </cell>
          <cell r="M137">
            <v>2</v>
          </cell>
          <cell r="N137">
            <v>79.44</v>
          </cell>
        </row>
        <row r="138">
          <cell r="C138" t="str">
            <v>ROCK RIVER 1</v>
          </cell>
          <cell r="F138">
            <v>74.7</v>
          </cell>
          <cell r="G138">
            <v>11082</v>
          </cell>
          <cell r="H138">
            <v>6.3639999999999999</v>
          </cell>
          <cell r="I138">
            <v>4.12</v>
          </cell>
          <cell r="J138">
            <v>2.2149999999999999</v>
          </cell>
          <cell r="K138">
            <v>156</v>
          </cell>
          <cell r="L138">
            <v>2</v>
          </cell>
          <cell r="M138">
            <v>158</v>
          </cell>
          <cell r="N138">
            <v>71.38</v>
          </cell>
        </row>
        <row r="139">
          <cell r="C139" t="str">
            <v>ROCK RIVER 2</v>
          </cell>
          <cell r="F139">
            <v>78.2</v>
          </cell>
          <cell r="G139">
            <v>10940</v>
          </cell>
          <cell r="H139">
            <v>6.3639999999999999</v>
          </cell>
          <cell r="I139">
            <v>4.96</v>
          </cell>
          <cell r="J139">
            <v>2.79</v>
          </cell>
          <cell r="K139">
            <v>194</v>
          </cell>
          <cell r="L139">
            <v>2</v>
          </cell>
          <cell r="M139">
            <v>196</v>
          </cell>
          <cell r="N139">
            <v>70.42</v>
          </cell>
        </row>
        <row r="140">
          <cell r="C140" t="str">
            <v>ROCK RIVER 3</v>
          </cell>
          <cell r="F140">
            <v>31.241</v>
          </cell>
          <cell r="G140">
            <v>0</v>
          </cell>
          <cell r="H140">
            <v>0</v>
          </cell>
          <cell r="I140">
            <v>0</v>
          </cell>
          <cell r="J140">
            <v>0</v>
          </cell>
          <cell r="K140">
            <v>0</v>
          </cell>
          <cell r="L140">
            <v>0</v>
          </cell>
          <cell r="M140">
            <v>0</v>
          </cell>
          <cell r="N140">
            <v>0</v>
          </cell>
        </row>
        <row r="141">
          <cell r="C141" t="str">
            <v>ROCK RIVER 4</v>
          </cell>
          <cell r="F141">
            <v>16.2</v>
          </cell>
          <cell r="G141">
            <v>0</v>
          </cell>
          <cell r="H141">
            <v>0</v>
          </cell>
          <cell r="I141">
            <v>0</v>
          </cell>
          <cell r="J141">
            <v>0</v>
          </cell>
          <cell r="K141">
            <v>0</v>
          </cell>
          <cell r="L141">
            <v>0</v>
          </cell>
          <cell r="M141">
            <v>0</v>
          </cell>
          <cell r="N141">
            <v>0</v>
          </cell>
        </row>
        <row r="142">
          <cell r="C142" t="str">
            <v>ROCK RIVER 5</v>
          </cell>
          <cell r="F142">
            <v>63.076000000000001</v>
          </cell>
          <cell r="G142">
            <v>0</v>
          </cell>
          <cell r="H142">
            <v>0</v>
          </cell>
          <cell r="I142">
            <v>0</v>
          </cell>
          <cell r="J142">
            <v>0</v>
          </cell>
          <cell r="K142">
            <v>0</v>
          </cell>
          <cell r="L142">
            <v>0</v>
          </cell>
          <cell r="M142">
            <v>0</v>
          </cell>
          <cell r="N142">
            <v>0</v>
          </cell>
        </row>
        <row r="143">
          <cell r="C143" t="str">
            <v>ROCK RIVER 6</v>
          </cell>
          <cell r="F143">
            <v>63.335999999999999</v>
          </cell>
          <cell r="G143">
            <v>0</v>
          </cell>
          <cell r="H143">
            <v>0</v>
          </cell>
          <cell r="I143">
            <v>0</v>
          </cell>
          <cell r="J143">
            <v>0</v>
          </cell>
          <cell r="K143">
            <v>0</v>
          </cell>
          <cell r="L143">
            <v>0</v>
          </cell>
          <cell r="M143">
            <v>0</v>
          </cell>
          <cell r="N143">
            <v>0</v>
          </cell>
        </row>
        <row r="144">
          <cell r="C144" t="str">
            <v>SHEEPSKIN 1</v>
          </cell>
          <cell r="F144">
            <v>37.6</v>
          </cell>
          <cell r="G144">
            <v>0</v>
          </cell>
          <cell r="H144">
            <v>0</v>
          </cell>
          <cell r="I144">
            <v>0</v>
          </cell>
          <cell r="J144">
            <v>0</v>
          </cell>
          <cell r="K144">
            <v>0</v>
          </cell>
          <cell r="L144">
            <v>0</v>
          </cell>
          <cell r="M144">
            <v>0</v>
          </cell>
          <cell r="N144">
            <v>0</v>
          </cell>
        </row>
        <row r="145">
          <cell r="C145" t="str">
            <v>SOUTH FDL 1</v>
          </cell>
          <cell r="F145">
            <v>92.241</v>
          </cell>
          <cell r="G145">
            <v>13796</v>
          </cell>
          <cell r="H145">
            <v>7.0389999999999997</v>
          </cell>
          <cell r="I145">
            <v>0</v>
          </cell>
          <cell r="J145">
            <v>0</v>
          </cell>
          <cell r="K145">
            <v>0</v>
          </cell>
          <cell r="L145">
            <v>0</v>
          </cell>
          <cell r="M145">
            <v>0</v>
          </cell>
          <cell r="N145">
            <v>103.97</v>
          </cell>
        </row>
        <row r="146">
          <cell r="C146" t="str">
            <v>SOUTH FDL 2</v>
          </cell>
          <cell r="F146">
            <v>93.19</v>
          </cell>
          <cell r="G146">
            <v>0</v>
          </cell>
          <cell r="H146">
            <v>0</v>
          </cell>
          <cell r="I146">
            <v>0</v>
          </cell>
          <cell r="J146">
            <v>0</v>
          </cell>
          <cell r="K146">
            <v>0</v>
          </cell>
          <cell r="L146">
            <v>0</v>
          </cell>
          <cell r="M146">
            <v>0</v>
          </cell>
          <cell r="N146">
            <v>0</v>
          </cell>
        </row>
        <row r="147">
          <cell r="C147" t="str">
            <v>SOUTH FDL 3</v>
          </cell>
          <cell r="F147">
            <v>87.87</v>
          </cell>
          <cell r="G147">
            <v>0</v>
          </cell>
          <cell r="H147">
            <v>0</v>
          </cell>
          <cell r="I147">
            <v>0</v>
          </cell>
          <cell r="J147">
            <v>0</v>
          </cell>
          <cell r="K147">
            <v>0</v>
          </cell>
          <cell r="L147">
            <v>0</v>
          </cell>
          <cell r="M147">
            <v>0</v>
          </cell>
          <cell r="N147">
            <v>0</v>
          </cell>
        </row>
        <row r="148">
          <cell r="C148" t="str">
            <v>SOUTH FDL 4</v>
          </cell>
          <cell r="F148">
            <v>84.763000000000005</v>
          </cell>
          <cell r="G148">
            <v>0</v>
          </cell>
          <cell r="H148">
            <v>0</v>
          </cell>
          <cell r="I148">
            <v>0</v>
          </cell>
          <cell r="J148">
            <v>0</v>
          </cell>
          <cell r="K148">
            <v>0</v>
          </cell>
          <cell r="L148">
            <v>0</v>
          </cell>
          <cell r="M148">
            <v>0</v>
          </cell>
          <cell r="N148">
            <v>0</v>
          </cell>
        </row>
        <row r="149">
          <cell r="C149" t="str">
            <v>NELSON DEWEY 1</v>
          </cell>
          <cell r="F149">
            <v>111.511</v>
          </cell>
          <cell r="G149">
            <v>10055</v>
          </cell>
          <cell r="H149">
            <v>1.2330000000000001</v>
          </cell>
          <cell r="I149">
            <v>70.790000000000006</v>
          </cell>
          <cell r="J149">
            <v>56.834000000000003</v>
          </cell>
          <cell r="K149">
            <v>705</v>
          </cell>
          <cell r="L149">
            <v>38</v>
          </cell>
          <cell r="M149">
            <v>743</v>
          </cell>
          <cell r="N149">
            <v>13.07</v>
          </cell>
        </row>
        <row r="150">
          <cell r="C150" t="str">
            <v>NELSON DEWEY 2</v>
          </cell>
          <cell r="F150">
            <v>112.002</v>
          </cell>
          <cell r="G150">
            <v>9905</v>
          </cell>
          <cell r="H150">
            <v>1.2330000000000001</v>
          </cell>
          <cell r="I150">
            <v>71.25</v>
          </cell>
          <cell r="J150">
            <v>57.457999999999998</v>
          </cell>
          <cell r="K150">
            <v>702</v>
          </cell>
          <cell r="L150">
            <v>39</v>
          </cell>
          <cell r="M150">
            <v>741</v>
          </cell>
          <cell r="N150">
            <v>12.9</v>
          </cell>
        </row>
        <row r="151">
          <cell r="C151" t="str">
            <v>WPL HYDRO</v>
          </cell>
          <cell r="E151" t="str">
            <v>MUST</v>
          </cell>
          <cell r="F151">
            <v>27</v>
          </cell>
          <cell r="G151">
            <v>0</v>
          </cell>
          <cell r="H151">
            <v>0</v>
          </cell>
          <cell r="I151">
            <v>92.14</v>
          </cell>
          <cell r="J151">
            <v>17.911999999999999</v>
          </cell>
          <cell r="K151">
            <v>0</v>
          </cell>
          <cell r="L151">
            <v>0</v>
          </cell>
          <cell r="M151">
            <v>0</v>
          </cell>
          <cell r="N151">
            <v>0</v>
          </cell>
        </row>
        <row r="152">
          <cell r="C152" t="str">
            <v>BERLIN LFG WPL</v>
          </cell>
          <cell r="F152">
            <v>2.2000000000000002</v>
          </cell>
          <cell r="G152">
            <v>15000</v>
          </cell>
          <cell r="H152">
            <v>0</v>
          </cell>
          <cell r="I152">
            <v>82.02</v>
          </cell>
          <cell r="J152">
            <v>1.2989999999999999</v>
          </cell>
          <cell r="K152">
            <v>0</v>
          </cell>
          <cell r="L152">
            <v>32</v>
          </cell>
          <cell r="M152">
            <v>32</v>
          </cell>
          <cell r="N152">
            <v>24.97</v>
          </cell>
        </row>
        <row r="153">
          <cell r="C153" t="str">
            <v>RIVERSIDE</v>
          </cell>
          <cell r="F153">
            <v>480.99099999999999</v>
          </cell>
          <cell r="G153">
            <v>7991</v>
          </cell>
          <cell r="H153">
            <v>6.5010000000000003</v>
          </cell>
          <cell r="I153">
            <v>31.04</v>
          </cell>
          <cell r="J153">
            <v>107.504</v>
          </cell>
          <cell r="K153">
            <v>5585</v>
          </cell>
          <cell r="L153">
            <v>62</v>
          </cell>
          <cell r="M153">
            <v>5647</v>
          </cell>
          <cell r="N153">
            <v>52.52</v>
          </cell>
        </row>
        <row r="154">
          <cell r="C154" t="str">
            <v>ROCKGEN #1</v>
          </cell>
          <cell r="F154">
            <v>154.5</v>
          </cell>
          <cell r="G154">
            <v>13878</v>
          </cell>
          <cell r="H154">
            <v>6.5010000000000003</v>
          </cell>
          <cell r="I154">
            <v>0.1</v>
          </cell>
          <cell r="J154">
            <v>0.115</v>
          </cell>
          <cell r="K154">
            <v>10</v>
          </cell>
          <cell r="L154">
            <v>1</v>
          </cell>
          <cell r="M154">
            <v>11</v>
          </cell>
          <cell r="N154">
            <v>96.26</v>
          </cell>
        </row>
        <row r="155">
          <cell r="C155" t="str">
            <v>ROCKGEN #2</v>
          </cell>
          <cell r="F155">
            <v>154.5</v>
          </cell>
          <cell r="G155">
            <v>14082</v>
          </cell>
          <cell r="H155">
            <v>6.5010000000000003</v>
          </cell>
          <cell r="I155">
            <v>0.02</v>
          </cell>
          <cell r="J155">
            <v>2.5999999999999999E-2</v>
          </cell>
          <cell r="K155">
            <v>2</v>
          </cell>
          <cell r="L155">
            <v>0</v>
          </cell>
          <cell r="M155">
            <v>3</v>
          </cell>
          <cell r="N155">
            <v>97.59</v>
          </cell>
        </row>
        <row r="156">
          <cell r="C156" t="str">
            <v>ROCKGEN #3</v>
          </cell>
          <cell r="F156">
            <v>154.5</v>
          </cell>
          <cell r="G156">
            <v>14329</v>
          </cell>
          <cell r="H156">
            <v>6.5010000000000003</v>
          </cell>
          <cell r="I156">
            <v>0</v>
          </cell>
          <cell r="J156">
            <v>4.0000000000000001E-3</v>
          </cell>
          <cell r="K156">
            <v>0</v>
          </cell>
          <cell r="L156">
            <v>0</v>
          </cell>
          <cell r="M156">
            <v>0</v>
          </cell>
          <cell r="N156">
            <v>99.19</v>
          </cell>
        </row>
        <row r="157">
          <cell r="C157" t="str">
            <v>BASE 100 ECONOMY</v>
          </cell>
          <cell r="F157">
            <v>100</v>
          </cell>
          <cell r="G157">
            <v>10000</v>
          </cell>
          <cell r="H157">
            <v>3.5739999999999998</v>
          </cell>
          <cell r="I157">
            <v>93</v>
          </cell>
          <cell r="J157">
            <v>66.962999999999994</v>
          </cell>
          <cell r="K157">
            <v>2393</v>
          </cell>
          <cell r="L157">
            <v>0</v>
          </cell>
          <cell r="M157">
            <v>2393</v>
          </cell>
          <cell r="N157">
            <v>35.74</v>
          </cell>
        </row>
        <row r="158">
          <cell r="C158" t="str">
            <v>OTHR 500 ECONOMY</v>
          </cell>
          <cell r="F158">
            <v>250</v>
          </cell>
          <cell r="G158">
            <v>10000</v>
          </cell>
          <cell r="H158">
            <v>3.5739999999999998</v>
          </cell>
          <cell r="I158">
            <v>70.180000000000007</v>
          </cell>
          <cell r="J158">
            <v>126.321</v>
          </cell>
          <cell r="K158">
            <v>4515</v>
          </cell>
          <cell r="L158">
            <v>0</v>
          </cell>
          <cell r="M158">
            <v>4515</v>
          </cell>
          <cell r="N158">
            <v>35.74</v>
          </cell>
        </row>
        <row r="159">
          <cell r="C159" t="str">
            <v>FPL WIND PURCH</v>
          </cell>
          <cell r="E159" t="str">
            <v>NDT</v>
          </cell>
          <cell r="F159">
            <v>80</v>
          </cell>
          <cell r="G159">
            <v>0</v>
          </cell>
          <cell r="H159">
            <v>0</v>
          </cell>
          <cell r="I159">
            <v>36.340000000000003</v>
          </cell>
          <cell r="J159">
            <v>20.934000000000001</v>
          </cell>
          <cell r="K159">
            <v>0</v>
          </cell>
          <cell r="L159">
            <v>0</v>
          </cell>
          <cell r="M159">
            <v>0</v>
          </cell>
          <cell r="N159">
            <v>0</v>
          </cell>
        </row>
        <row r="160">
          <cell r="C160" t="str">
            <v>INV WIND PURCH</v>
          </cell>
          <cell r="E160" t="str">
            <v>NDT</v>
          </cell>
          <cell r="F160">
            <v>50</v>
          </cell>
          <cell r="G160">
            <v>0</v>
          </cell>
          <cell r="H160">
            <v>0</v>
          </cell>
          <cell r="I160">
            <v>39.69</v>
          </cell>
          <cell r="J160">
            <v>14.287000000000001</v>
          </cell>
          <cell r="K160">
            <v>0</v>
          </cell>
          <cell r="L160">
            <v>0</v>
          </cell>
          <cell r="M160">
            <v>0</v>
          </cell>
          <cell r="N160">
            <v>0</v>
          </cell>
        </row>
        <row r="161">
          <cell r="C161" t="str">
            <v>JANESVILLE PURCH</v>
          </cell>
          <cell r="F161">
            <v>1.6</v>
          </cell>
          <cell r="G161">
            <v>15000</v>
          </cell>
          <cell r="H161">
            <v>0</v>
          </cell>
          <cell r="I161">
            <v>55.45</v>
          </cell>
          <cell r="J161">
            <v>0.63900000000000001</v>
          </cell>
          <cell r="K161">
            <v>0</v>
          </cell>
          <cell r="L161">
            <v>25</v>
          </cell>
          <cell r="M161">
            <v>25</v>
          </cell>
          <cell r="N161">
            <v>38.869999999999997</v>
          </cell>
        </row>
        <row r="162">
          <cell r="C162" t="str">
            <v>MINERGY    PURCH</v>
          </cell>
          <cell r="F162">
            <v>6.5</v>
          </cell>
          <cell r="G162">
            <v>15000</v>
          </cell>
          <cell r="H162">
            <v>0</v>
          </cell>
          <cell r="I162">
            <v>54.98</v>
          </cell>
          <cell r="J162">
            <v>2.573</v>
          </cell>
          <cell r="K162">
            <v>0</v>
          </cell>
          <cell r="L162">
            <v>100</v>
          </cell>
          <cell r="M162">
            <v>100</v>
          </cell>
          <cell r="N162">
            <v>38.869999999999997</v>
          </cell>
        </row>
        <row r="163">
          <cell r="C163" t="str">
            <v>SUPERIOR   PURCH</v>
          </cell>
          <cell r="F163">
            <v>2.2000000000000002</v>
          </cell>
          <cell r="G163">
            <v>15000</v>
          </cell>
          <cell r="H163">
            <v>0</v>
          </cell>
          <cell r="I163">
            <v>54.7</v>
          </cell>
          <cell r="J163">
            <v>0.86599999999999999</v>
          </cell>
          <cell r="K163">
            <v>0</v>
          </cell>
          <cell r="L163">
            <v>34</v>
          </cell>
          <cell r="M163">
            <v>34</v>
          </cell>
          <cell r="N163">
            <v>38.869999999999997</v>
          </cell>
        </row>
        <row r="164">
          <cell r="C164" t="str">
            <v>WRPC HYDRO PURCH</v>
          </cell>
          <cell r="E164" t="str">
            <v>MUST</v>
          </cell>
          <cell r="F164">
            <v>13.2</v>
          </cell>
          <cell r="G164">
            <v>0</v>
          </cell>
          <cell r="H164">
            <v>0</v>
          </cell>
          <cell r="I164">
            <v>44.83</v>
          </cell>
          <cell r="J164">
            <v>4.2610000000000001</v>
          </cell>
          <cell r="K164">
            <v>0</v>
          </cell>
          <cell r="L164">
            <v>0</v>
          </cell>
          <cell r="M164">
            <v>0</v>
          </cell>
          <cell r="N164">
            <v>0</v>
          </cell>
        </row>
        <row r="165">
          <cell r="C165" t="str">
            <v>SHEBOYGAN CT1</v>
          </cell>
          <cell r="F165">
            <v>169.399</v>
          </cell>
          <cell r="G165">
            <v>11872</v>
          </cell>
          <cell r="H165">
            <v>6.5010000000000003</v>
          </cell>
          <cell r="I165">
            <v>1.64</v>
          </cell>
          <cell r="J165">
            <v>1.9990000000000001</v>
          </cell>
          <cell r="K165">
            <v>154</v>
          </cell>
          <cell r="L165">
            <v>9</v>
          </cell>
          <cell r="M165">
            <v>164</v>
          </cell>
          <cell r="N165">
            <v>81.84</v>
          </cell>
        </row>
        <row r="166">
          <cell r="C166" t="str">
            <v>SHEBOYGAN CT2</v>
          </cell>
          <cell r="F166">
            <v>169.399</v>
          </cell>
          <cell r="G166">
            <v>11847</v>
          </cell>
          <cell r="H166">
            <v>6.5010000000000003</v>
          </cell>
          <cell r="I166">
            <v>0.47</v>
          </cell>
          <cell r="J166">
            <v>0.57599999999999996</v>
          </cell>
          <cell r="K166">
            <v>44</v>
          </cell>
          <cell r="L166">
            <v>3</v>
          </cell>
          <cell r="M166">
            <v>47</v>
          </cell>
          <cell r="N166">
            <v>81.680000000000007</v>
          </cell>
        </row>
        <row r="167">
          <cell r="C167" t="str">
            <v>NEW WIND-100MW</v>
          </cell>
          <cell r="D167">
            <v>2006</v>
          </cell>
          <cell r="E167" t="str">
            <v>NDT</v>
          </cell>
          <cell r="F167">
            <v>100</v>
          </cell>
          <cell r="G167">
            <v>0</v>
          </cell>
          <cell r="H167">
            <v>0</v>
          </cell>
          <cell r="I167">
            <v>36.340000000000003</v>
          </cell>
          <cell r="J167">
            <v>26.167000000000002</v>
          </cell>
          <cell r="K167">
            <v>0</v>
          </cell>
          <cell r="L167">
            <v>898</v>
          </cell>
          <cell r="M167">
            <v>898</v>
          </cell>
          <cell r="N167">
            <v>34.33</v>
          </cell>
        </row>
        <row r="168">
          <cell r="C168" t="str">
            <v>SHARED SAVINGS</v>
          </cell>
          <cell r="D168">
            <v>2005</v>
          </cell>
          <cell r="E168" t="str">
            <v>HYDR</v>
          </cell>
          <cell r="F168">
            <v>6.8639999999999999</v>
          </cell>
          <cell r="G168">
            <v>0</v>
          </cell>
          <cell r="H168">
            <v>0</v>
          </cell>
          <cell r="I168">
            <v>65.81</v>
          </cell>
          <cell r="J168">
            <v>3.2519999999999998</v>
          </cell>
          <cell r="K168">
            <v>0</v>
          </cell>
          <cell r="L168">
            <v>0</v>
          </cell>
          <cell r="M168">
            <v>0</v>
          </cell>
          <cell r="N168">
            <v>0</v>
          </cell>
        </row>
        <row r="169">
          <cell r="C169" t="str">
            <v>RES ENERGY FOCUS</v>
          </cell>
          <cell r="D169">
            <v>2005</v>
          </cell>
          <cell r="E169" t="str">
            <v>HYDR</v>
          </cell>
          <cell r="F169">
            <v>5.21</v>
          </cell>
          <cell r="G169">
            <v>0</v>
          </cell>
          <cell r="H169">
            <v>0</v>
          </cell>
          <cell r="I169">
            <v>39.5</v>
          </cell>
          <cell r="J169">
            <v>1.482</v>
          </cell>
          <cell r="K169">
            <v>0</v>
          </cell>
          <cell r="L169">
            <v>0</v>
          </cell>
          <cell r="M169">
            <v>0</v>
          </cell>
          <cell r="N169">
            <v>0</v>
          </cell>
        </row>
        <row r="170">
          <cell r="C170" t="str">
            <v>WPL DLC PROGRAM</v>
          </cell>
          <cell r="D170">
            <v>2005</v>
          </cell>
          <cell r="E170" t="str">
            <v>HYDR</v>
          </cell>
          <cell r="F170">
            <v>4</v>
          </cell>
          <cell r="G170">
            <v>0</v>
          </cell>
          <cell r="H170">
            <v>0</v>
          </cell>
          <cell r="I170">
            <v>0</v>
          </cell>
          <cell r="J170">
            <v>0</v>
          </cell>
          <cell r="K170">
            <v>0</v>
          </cell>
          <cell r="L170">
            <v>0</v>
          </cell>
          <cell r="M170">
            <v>0</v>
          </cell>
          <cell r="N170">
            <v>0</v>
          </cell>
        </row>
        <row r="172">
          <cell r="C172" t="str">
            <v>KEWAUNEE</v>
          </cell>
          <cell r="E172" t="str">
            <v>MUST</v>
          </cell>
          <cell r="F172">
            <v>235.2</v>
          </cell>
          <cell r="G172">
            <v>10750</v>
          </cell>
          <cell r="H172">
            <v>0.45500000000000002</v>
          </cell>
          <cell r="I172">
            <v>96.5</v>
          </cell>
          <cell r="J172">
            <v>168.864</v>
          </cell>
          <cell r="K172">
            <v>827</v>
          </cell>
          <cell r="L172">
            <v>0</v>
          </cell>
          <cell r="M172">
            <v>827</v>
          </cell>
          <cell r="N172">
            <v>4.9000000000000004</v>
          </cell>
        </row>
        <row r="173">
          <cell r="C173" t="str">
            <v>COLUMBIA 1</v>
          </cell>
          <cell r="E173" t="str">
            <v>MUST</v>
          </cell>
          <cell r="F173">
            <v>247.20500000000001</v>
          </cell>
          <cell r="G173">
            <v>10682</v>
          </cell>
          <cell r="H173">
            <v>1.306</v>
          </cell>
          <cell r="I173">
            <v>22.06</v>
          </cell>
          <cell r="J173">
            <v>40.567999999999998</v>
          </cell>
          <cell r="K173">
            <v>566</v>
          </cell>
          <cell r="L173">
            <v>8</v>
          </cell>
          <cell r="M173">
            <v>574</v>
          </cell>
          <cell r="N173">
            <v>14.15</v>
          </cell>
        </row>
        <row r="174">
          <cell r="C174" t="str">
            <v>COLUMBIA 2</v>
          </cell>
          <cell r="E174" t="str">
            <v>MUST</v>
          </cell>
          <cell r="F174">
            <v>247.09399999999999</v>
          </cell>
          <cell r="G174">
            <v>10545</v>
          </cell>
          <cell r="H174">
            <v>1.306</v>
          </cell>
          <cell r="I174">
            <v>86.33</v>
          </cell>
          <cell r="J174">
            <v>158.70400000000001</v>
          </cell>
          <cell r="K174">
            <v>2185</v>
          </cell>
          <cell r="L174">
            <v>2</v>
          </cell>
          <cell r="M174">
            <v>2187</v>
          </cell>
          <cell r="N174">
            <v>13.78</v>
          </cell>
        </row>
        <row r="175">
          <cell r="C175" t="str">
            <v>EDGEWATER 3</v>
          </cell>
          <cell r="F175">
            <v>76.3</v>
          </cell>
          <cell r="G175">
            <v>11080</v>
          </cell>
          <cell r="H175">
            <v>1.482</v>
          </cell>
          <cell r="I175">
            <v>17.09</v>
          </cell>
          <cell r="J175">
            <v>9.7040000000000006</v>
          </cell>
          <cell r="K175">
            <v>159</v>
          </cell>
          <cell r="L175">
            <v>3</v>
          </cell>
          <cell r="M175">
            <v>162</v>
          </cell>
          <cell r="N175">
            <v>16.7</v>
          </cell>
        </row>
        <row r="176">
          <cell r="C176" t="str">
            <v>EDGEWATER 4</v>
          </cell>
          <cell r="F176">
            <v>229.99799999999999</v>
          </cell>
          <cell r="G176">
            <v>9971</v>
          </cell>
          <cell r="H176">
            <v>1.399</v>
          </cell>
          <cell r="I176">
            <v>72.430000000000007</v>
          </cell>
          <cell r="J176">
            <v>123.943</v>
          </cell>
          <cell r="K176">
            <v>1729</v>
          </cell>
          <cell r="L176">
            <v>34</v>
          </cell>
          <cell r="M176">
            <v>1762</v>
          </cell>
          <cell r="N176">
            <v>14.22</v>
          </cell>
        </row>
        <row r="177">
          <cell r="C177" t="str">
            <v>EDGEWATER 5</v>
          </cell>
          <cell r="E177" t="str">
            <v>MUST</v>
          </cell>
          <cell r="F177">
            <v>302.79300000000001</v>
          </cell>
          <cell r="G177">
            <v>10072</v>
          </cell>
          <cell r="H177">
            <v>1.2849999999999999</v>
          </cell>
          <cell r="I177">
            <v>77.97</v>
          </cell>
          <cell r="J177">
            <v>175.649</v>
          </cell>
          <cell r="K177">
            <v>2273</v>
          </cell>
          <cell r="L177">
            <v>11</v>
          </cell>
          <cell r="M177">
            <v>2284</v>
          </cell>
          <cell r="N177">
            <v>13.01</v>
          </cell>
        </row>
        <row r="178">
          <cell r="C178" t="str">
            <v>BLACKHAWK 3</v>
          </cell>
          <cell r="F178">
            <v>24.9</v>
          </cell>
          <cell r="G178">
            <v>11864</v>
          </cell>
          <cell r="H178">
            <v>6.8239999999999998</v>
          </cell>
          <cell r="I178">
            <v>0.1</v>
          </cell>
          <cell r="J178">
            <v>1.7999999999999999E-2</v>
          </cell>
          <cell r="K178">
            <v>1</v>
          </cell>
          <cell r="L178">
            <v>0</v>
          </cell>
          <cell r="M178">
            <v>2</v>
          </cell>
          <cell r="N178">
            <v>82.56</v>
          </cell>
        </row>
        <row r="179">
          <cell r="C179" t="str">
            <v>BLACKHAWK 4</v>
          </cell>
          <cell r="F179">
            <v>25.1</v>
          </cell>
          <cell r="G179">
            <v>11335</v>
          </cell>
          <cell r="H179">
            <v>6.8239999999999998</v>
          </cell>
          <cell r="I179">
            <v>0.05</v>
          </cell>
          <cell r="J179">
            <v>0.01</v>
          </cell>
          <cell r="K179">
            <v>1</v>
          </cell>
          <cell r="L179">
            <v>0</v>
          </cell>
          <cell r="M179">
            <v>1</v>
          </cell>
          <cell r="N179">
            <v>78.989999999999995</v>
          </cell>
        </row>
        <row r="180">
          <cell r="C180" t="str">
            <v>ROCK RIVER 1</v>
          </cell>
          <cell r="F180">
            <v>74.7</v>
          </cell>
          <cell r="G180">
            <v>11096</v>
          </cell>
          <cell r="H180">
            <v>6.3639999999999999</v>
          </cell>
          <cell r="I180">
            <v>2.92</v>
          </cell>
          <cell r="J180">
            <v>1.6240000000000001</v>
          </cell>
          <cell r="K180">
            <v>115</v>
          </cell>
          <cell r="L180">
            <v>1</v>
          </cell>
          <cell r="M180">
            <v>116</v>
          </cell>
          <cell r="N180">
            <v>71.47</v>
          </cell>
        </row>
        <row r="181">
          <cell r="C181" t="str">
            <v>ROCK RIVER 2</v>
          </cell>
          <cell r="F181">
            <v>78.2</v>
          </cell>
          <cell r="G181">
            <v>10945</v>
          </cell>
          <cell r="H181">
            <v>6.3639999999999999</v>
          </cell>
          <cell r="I181">
            <v>3.59</v>
          </cell>
          <cell r="J181">
            <v>2.0870000000000002</v>
          </cell>
          <cell r="K181">
            <v>145</v>
          </cell>
          <cell r="L181">
            <v>2</v>
          </cell>
          <cell r="M181">
            <v>147</v>
          </cell>
          <cell r="N181">
            <v>70.459999999999994</v>
          </cell>
        </row>
        <row r="182">
          <cell r="C182" t="str">
            <v>ROCK RIVER 3</v>
          </cell>
          <cell r="F182">
            <v>31.241</v>
          </cell>
          <cell r="G182">
            <v>0</v>
          </cell>
          <cell r="H182">
            <v>0</v>
          </cell>
          <cell r="I182">
            <v>0</v>
          </cell>
          <cell r="J182">
            <v>0</v>
          </cell>
          <cell r="K182">
            <v>0</v>
          </cell>
          <cell r="L182">
            <v>0</v>
          </cell>
          <cell r="M182">
            <v>0</v>
          </cell>
          <cell r="N182">
            <v>0</v>
          </cell>
        </row>
        <row r="183">
          <cell r="C183" t="str">
            <v>ROCK RIVER 4</v>
          </cell>
          <cell r="F183">
            <v>16.2</v>
          </cell>
          <cell r="G183">
            <v>0</v>
          </cell>
          <cell r="H183">
            <v>0</v>
          </cell>
          <cell r="I183">
            <v>0</v>
          </cell>
          <cell r="J183">
            <v>0</v>
          </cell>
          <cell r="K183">
            <v>0</v>
          </cell>
          <cell r="L183">
            <v>0</v>
          </cell>
          <cell r="M183">
            <v>0</v>
          </cell>
          <cell r="N183">
            <v>0</v>
          </cell>
        </row>
        <row r="184">
          <cell r="C184" t="str">
            <v>ROCK RIVER 5</v>
          </cell>
          <cell r="F184">
            <v>63.076000000000001</v>
          </cell>
          <cell r="G184">
            <v>0</v>
          </cell>
          <cell r="H184">
            <v>0</v>
          </cell>
          <cell r="I184">
            <v>0</v>
          </cell>
          <cell r="J184">
            <v>0</v>
          </cell>
          <cell r="K184">
            <v>0</v>
          </cell>
          <cell r="L184">
            <v>0</v>
          </cell>
          <cell r="M184">
            <v>0</v>
          </cell>
          <cell r="N184">
            <v>0</v>
          </cell>
        </row>
        <row r="185">
          <cell r="C185" t="str">
            <v>ROCK RIVER 6</v>
          </cell>
          <cell r="F185">
            <v>63.335999999999999</v>
          </cell>
          <cell r="G185">
            <v>0</v>
          </cell>
          <cell r="H185">
            <v>0</v>
          </cell>
          <cell r="I185">
            <v>0</v>
          </cell>
          <cell r="J185">
            <v>0</v>
          </cell>
          <cell r="K185">
            <v>0</v>
          </cell>
          <cell r="L185">
            <v>0</v>
          </cell>
          <cell r="M185">
            <v>0</v>
          </cell>
          <cell r="N185">
            <v>0</v>
          </cell>
        </row>
        <row r="186">
          <cell r="C186" t="str">
            <v>SHEEPSKIN 1</v>
          </cell>
          <cell r="F186">
            <v>37.6</v>
          </cell>
          <cell r="G186">
            <v>0</v>
          </cell>
          <cell r="H186">
            <v>0</v>
          </cell>
          <cell r="I186">
            <v>0</v>
          </cell>
          <cell r="J186">
            <v>0</v>
          </cell>
          <cell r="K186">
            <v>0</v>
          </cell>
          <cell r="L186">
            <v>0</v>
          </cell>
          <cell r="M186">
            <v>0</v>
          </cell>
          <cell r="N186">
            <v>0</v>
          </cell>
        </row>
        <row r="187">
          <cell r="C187" t="str">
            <v>SOUTH FDL 1</v>
          </cell>
          <cell r="F187">
            <v>92.241</v>
          </cell>
          <cell r="G187">
            <v>0</v>
          </cell>
          <cell r="H187">
            <v>0</v>
          </cell>
          <cell r="I187">
            <v>0</v>
          </cell>
          <cell r="J187">
            <v>0</v>
          </cell>
          <cell r="K187">
            <v>0</v>
          </cell>
          <cell r="L187">
            <v>0</v>
          </cell>
          <cell r="M187">
            <v>0</v>
          </cell>
          <cell r="N187">
            <v>0</v>
          </cell>
        </row>
        <row r="188">
          <cell r="C188" t="str">
            <v>SOUTH FDL 2</v>
          </cell>
          <cell r="F188">
            <v>93.19</v>
          </cell>
          <cell r="G188">
            <v>0</v>
          </cell>
          <cell r="H188">
            <v>0</v>
          </cell>
          <cell r="I188">
            <v>0</v>
          </cell>
          <cell r="J188">
            <v>0</v>
          </cell>
          <cell r="K188">
            <v>0</v>
          </cell>
          <cell r="L188">
            <v>0</v>
          </cell>
          <cell r="M188">
            <v>0</v>
          </cell>
          <cell r="N188">
            <v>0</v>
          </cell>
        </row>
        <row r="189">
          <cell r="C189" t="str">
            <v>SOUTH FDL 3</v>
          </cell>
          <cell r="F189">
            <v>87.87</v>
          </cell>
          <cell r="G189">
            <v>0</v>
          </cell>
          <cell r="H189">
            <v>0</v>
          </cell>
          <cell r="I189">
            <v>0</v>
          </cell>
          <cell r="J189">
            <v>0</v>
          </cell>
          <cell r="K189">
            <v>0</v>
          </cell>
          <cell r="L189">
            <v>0</v>
          </cell>
          <cell r="M189">
            <v>0</v>
          </cell>
          <cell r="N189">
            <v>0</v>
          </cell>
        </row>
        <row r="190">
          <cell r="C190" t="str">
            <v>SOUTH FDL 4</v>
          </cell>
          <cell r="F190">
            <v>84.763000000000005</v>
          </cell>
          <cell r="G190">
            <v>0</v>
          </cell>
          <cell r="H190">
            <v>0</v>
          </cell>
          <cell r="I190">
            <v>0</v>
          </cell>
          <cell r="J190">
            <v>0</v>
          </cell>
          <cell r="K190">
            <v>0</v>
          </cell>
          <cell r="L190">
            <v>0</v>
          </cell>
          <cell r="M190">
            <v>0</v>
          </cell>
          <cell r="N190">
            <v>0</v>
          </cell>
        </row>
        <row r="191">
          <cell r="C191" t="str">
            <v>NELSON DEWEY 1</v>
          </cell>
          <cell r="F191">
            <v>111.511</v>
          </cell>
          <cell r="G191">
            <v>10060</v>
          </cell>
          <cell r="H191">
            <v>1.2330000000000001</v>
          </cell>
          <cell r="I191">
            <v>69.28</v>
          </cell>
          <cell r="J191">
            <v>57.478000000000002</v>
          </cell>
          <cell r="K191">
            <v>713</v>
          </cell>
          <cell r="L191">
            <v>38</v>
          </cell>
          <cell r="M191">
            <v>751</v>
          </cell>
          <cell r="N191">
            <v>13.07</v>
          </cell>
        </row>
        <row r="192">
          <cell r="C192" t="str">
            <v>NELSON DEWEY 2</v>
          </cell>
          <cell r="F192">
            <v>112.002</v>
          </cell>
          <cell r="G192">
            <v>9906</v>
          </cell>
          <cell r="H192">
            <v>1.2330000000000001</v>
          </cell>
          <cell r="I192">
            <v>70.53</v>
          </cell>
          <cell r="J192">
            <v>58.774000000000001</v>
          </cell>
          <cell r="K192">
            <v>718</v>
          </cell>
          <cell r="L192">
            <v>40</v>
          </cell>
          <cell r="M192">
            <v>758</v>
          </cell>
          <cell r="N192">
            <v>12.9</v>
          </cell>
        </row>
        <row r="193">
          <cell r="C193" t="str">
            <v>WPL HYDRO</v>
          </cell>
          <cell r="E193" t="str">
            <v>MUST</v>
          </cell>
          <cell r="F193">
            <v>27</v>
          </cell>
          <cell r="G193">
            <v>0</v>
          </cell>
          <cell r="H193">
            <v>0</v>
          </cell>
          <cell r="I193">
            <v>92.14</v>
          </cell>
          <cell r="J193">
            <v>18.509</v>
          </cell>
          <cell r="K193">
            <v>0</v>
          </cell>
          <cell r="L193">
            <v>0</v>
          </cell>
          <cell r="M193">
            <v>0</v>
          </cell>
          <cell r="N193">
            <v>0</v>
          </cell>
        </row>
        <row r="194">
          <cell r="C194" t="str">
            <v>BERLIN LFG WPL</v>
          </cell>
          <cell r="F194">
            <v>2.2000000000000002</v>
          </cell>
          <cell r="G194">
            <v>15000</v>
          </cell>
          <cell r="H194">
            <v>0</v>
          </cell>
          <cell r="I194">
            <v>80</v>
          </cell>
          <cell r="J194">
            <v>1.3089999999999999</v>
          </cell>
          <cell r="K194">
            <v>0</v>
          </cell>
          <cell r="L194">
            <v>33</v>
          </cell>
          <cell r="M194">
            <v>33</v>
          </cell>
          <cell r="N194">
            <v>24.97</v>
          </cell>
        </row>
        <row r="195">
          <cell r="C195" t="str">
            <v>RIVERSIDE</v>
          </cell>
          <cell r="F195">
            <v>480.99099999999999</v>
          </cell>
          <cell r="G195">
            <v>8031</v>
          </cell>
          <cell r="H195">
            <v>6.5010000000000003</v>
          </cell>
          <cell r="I195">
            <v>25.92</v>
          </cell>
          <cell r="J195">
            <v>92.751999999999995</v>
          </cell>
          <cell r="K195">
            <v>4842</v>
          </cell>
          <cell r="L195">
            <v>53</v>
          </cell>
          <cell r="M195">
            <v>4896</v>
          </cell>
          <cell r="N195">
            <v>52.78</v>
          </cell>
        </row>
        <row r="196">
          <cell r="C196" t="str">
            <v>ROCKGEN #1</v>
          </cell>
          <cell r="F196">
            <v>154.5</v>
          </cell>
          <cell r="G196">
            <v>13903</v>
          </cell>
          <cell r="H196">
            <v>6.5010000000000003</v>
          </cell>
          <cell r="I196">
            <v>0.08</v>
          </cell>
          <cell r="J196">
            <v>9.5000000000000001E-2</v>
          </cell>
          <cell r="K196">
            <v>9</v>
          </cell>
          <cell r="L196">
            <v>1</v>
          </cell>
          <cell r="M196">
            <v>9</v>
          </cell>
          <cell r="N196">
            <v>96.42</v>
          </cell>
        </row>
        <row r="197">
          <cell r="C197" t="str">
            <v>ROCKGEN #2</v>
          </cell>
          <cell r="F197">
            <v>154.5</v>
          </cell>
          <cell r="G197">
            <v>14220</v>
          </cell>
          <cell r="H197">
            <v>6.5010000000000003</v>
          </cell>
          <cell r="I197">
            <v>0.02</v>
          </cell>
          <cell r="J197">
            <v>1.9E-2</v>
          </cell>
          <cell r="K197">
            <v>2</v>
          </cell>
          <cell r="L197">
            <v>0</v>
          </cell>
          <cell r="M197">
            <v>2</v>
          </cell>
          <cell r="N197">
            <v>98.48</v>
          </cell>
        </row>
        <row r="198">
          <cell r="C198" t="str">
            <v>ROCKGEN #3</v>
          </cell>
          <cell r="F198">
            <v>154.5</v>
          </cell>
          <cell r="G198">
            <v>14092</v>
          </cell>
          <cell r="H198">
            <v>6.5010000000000003</v>
          </cell>
          <cell r="I198">
            <v>0</v>
          </cell>
          <cell r="J198">
            <v>2E-3</v>
          </cell>
          <cell r="K198">
            <v>0</v>
          </cell>
          <cell r="L198">
            <v>0</v>
          </cell>
          <cell r="M198">
            <v>0</v>
          </cell>
          <cell r="N198">
            <v>97.65</v>
          </cell>
        </row>
        <row r="199">
          <cell r="C199" t="str">
            <v>BASE 100 ECONOMY</v>
          </cell>
          <cell r="F199">
            <v>100</v>
          </cell>
          <cell r="G199">
            <v>10000</v>
          </cell>
          <cell r="H199">
            <v>3.6230000000000002</v>
          </cell>
          <cell r="I199">
            <v>88.27</v>
          </cell>
          <cell r="J199">
            <v>65.673000000000002</v>
          </cell>
          <cell r="K199">
            <v>2379</v>
          </cell>
          <cell r="L199">
            <v>0</v>
          </cell>
          <cell r="M199">
            <v>2379</v>
          </cell>
          <cell r="N199">
            <v>36.229999999999997</v>
          </cell>
        </row>
        <row r="200">
          <cell r="C200" t="str">
            <v>OTHR 500 ECONOMY</v>
          </cell>
          <cell r="F200">
            <v>250</v>
          </cell>
          <cell r="G200">
            <v>10000</v>
          </cell>
          <cell r="H200">
            <v>3.6230000000000002</v>
          </cell>
          <cell r="I200">
            <v>63.61</v>
          </cell>
          <cell r="J200">
            <v>118.32299999999999</v>
          </cell>
          <cell r="K200">
            <v>4286</v>
          </cell>
          <cell r="L200">
            <v>0</v>
          </cell>
          <cell r="M200">
            <v>4286</v>
          </cell>
          <cell r="N200">
            <v>36.229999999999997</v>
          </cell>
        </row>
        <row r="201">
          <cell r="C201" t="str">
            <v>FPL WIND PURCH</v>
          </cell>
          <cell r="E201" t="str">
            <v>NDT</v>
          </cell>
          <cell r="F201">
            <v>80</v>
          </cell>
          <cell r="G201">
            <v>0</v>
          </cell>
          <cell r="H201">
            <v>0</v>
          </cell>
          <cell r="I201">
            <v>31.36</v>
          </cell>
          <cell r="J201">
            <v>18.663</v>
          </cell>
          <cell r="K201">
            <v>0</v>
          </cell>
          <cell r="L201">
            <v>0</v>
          </cell>
          <cell r="M201">
            <v>0</v>
          </cell>
          <cell r="N201">
            <v>0</v>
          </cell>
        </row>
        <row r="202">
          <cell r="C202" t="str">
            <v>INV WIND PURCH</v>
          </cell>
          <cell r="E202" t="str">
            <v>NDT</v>
          </cell>
          <cell r="F202">
            <v>50</v>
          </cell>
          <cell r="G202">
            <v>0</v>
          </cell>
          <cell r="H202">
            <v>0</v>
          </cell>
          <cell r="I202">
            <v>33.869999999999997</v>
          </cell>
          <cell r="J202">
            <v>12.6</v>
          </cell>
          <cell r="K202">
            <v>0</v>
          </cell>
          <cell r="L202">
            <v>0</v>
          </cell>
          <cell r="M202">
            <v>0</v>
          </cell>
          <cell r="N202">
            <v>0</v>
          </cell>
        </row>
        <row r="203">
          <cell r="C203" t="str">
            <v>JANESVILLE PURCH</v>
          </cell>
          <cell r="F203">
            <v>1.6</v>
          </cell>
          <cell r="G203">
            <v>15000</v>
          </cell>
          <cell r="H203">
            <v>0</v>
          </cell>
          <cell r="I203">
            <v>48.9</v>
          </cell>
          <cell r="J203">
            <v>0.58199999999999996</v>
          </cell>
          <cell r="K203">
            <v>0</v>
          </cell>
          <cell r="L203">
            <v>23</v>
          </cell>
          <cell r="M203">
            <v>23</v>
          </cell>
          <cell r="N203">
            <v>38.869999999999997</v>
          </cell>
        </row>
        <row r="204">
          <cell r="C204" t="str">
            <v>MINERGY    PURCH</v>
          </cell>
          <cell r="F204">
            <v>6.5</v>
          </cell>
          <cell r="G204">
            <v>15000</v>
          </cell>
          <cell r="H204">
            <v>0</v>
          </cell>
          <cell r="I204">
            <v>48.54</v>
          </cell>
          <cell r="J204">
            <v>2.347</v>
          </cell>
          <cell r="K204">
            <v>0</v>
          </cell>
          <cell r="L204">
            <v>91</v>
          </cell>
          <cell r="M204">
            <v>91</v>
          </cell>
          <cell r="N204">
            <v>38.869999999999997</v>
          </cell>
        </row>
        <row r="205">
          <cell r="C205" t="str">
            <v>SUPERIOR   PURCH</v>
          </cell>
          <cell r="F205">
            <v>2.2000000000000002</v>
          </cell>
          <cell r="G205">
            <v>15000</v>
          </cell>
          <cell r="H205">
            <v>0</v>
          </cell>
          <cell r="I205">
            <v>48.32</v>
          </cell>
          <cell r="J205">
            <v>0.79100000000000004</v>
          </cell>
          <cell r="K205">
            <v>0</v>
          </cell>
          <cell r="L205">
            <v>31</v>
          </cell>
          <cell r="M205">
            <v>31</v>
          </cell>
          <cell r="N205">
            <v>38.869999999999997</v>
          </cell>
        </row>
        <row r="206">
          <cell r="C206" t="str">
            <v>WRPC HYDRO PURCH</v>
          </cell>
          <cell r="E206" t="str">
            <v>MUST</v>
          </cell>
          <cell r="F206">
            <v>13.2</v>
          </cell>
          <cell r="G206">
            <v>0</v>
          </cell>
          <cell r="H206">
            <v>0</v>
          </cell>
          <cell r="I206">
            <v>44.83</v>
          </cell>
          <cell r="J206">
            <v>4.4029999999999996</v>
          </cell>
          <cell r="K206">
            <v>0</v>
          </cell>
          <cell r="L206">
            <v>0</v>
          </cell>
          <cell r="M206">
            <v>0</v>
          </cell>
          <cell r="N206">
            <v>0</v>
          </cell>
        </row>
        <row r="207">
          <cell r="C207" t="str">
            <v>SHEBOYGAN CT1</v>
          </cell>
          <cell r="F207">
            <v>169.399</v>
          </cell>
          <cell r="G207">
            <v>11863</v>
          </cell>
          <cell r="H207">
            <v>6.5010000000000003</v>
          </cell>
          <cell r="I207">
            <v>1.1299999999999999</v>
          </cell>
          <cell r="J207">
            <v>1.421</v>
          </cell>
          <cell r="K207">
            <v>110</v>
          </cell>
          <cell r="L207">
            <v>7</v>
          </cell>
          <cell r="M207">
            <v>116</v>
          </cell>
          <cell r="N207">
            <v>81.78</v>
          </cell>
        </row>
        <row r="208">
          <cell r="C208" t="str">
            <v>SHEBOYGAN CT2</v>
          </cell>
          <cell r="F208">
            <v>169.399</v>
          </cell>
          <cell r="G208">
            <v>11786</v>
          </cell>
          <cell r="H208">
            <v>6.5010000000000003</v>
          </cell>
          <cell r="I208">
            <v>0.34</v>
          </cell>
          <cell r="J208">
            <v>0.432</v>
          </cell>
          <cell r="K208">
            <v>33</v>
          </cell>
          <cell r="L208">
            <v>2</v>
          </cell>
          <cell r="M208">
            <v>35</v>
          </cell>
          <cell r="N208">
            <v>81.28</v>
          </cell>
        </row>
        <row r="209">
          <cell r="C209" t="str">
            <v>NEW WIND-100MW</v>
          </cell>
          <cell r="D209">
            <v>2006</v>
          </cell>
          <cell r="E209" t="str">
            <v>NDT</v>
          </cell>
          <cell r="F209">
            <v>100</v>
          </cell>
          <cell r="G209">
            <v>0</v>
          </cell>
          <cell r="H209">
            <v>0</v>
          </cell>
          <cell r="I209">
            <v>31.36</v>
          </cell>
          <cell r="J209">
            <v>23.329000000000001</v>
          </cell>
          <cell r="K209">
            <v>0</v>
          </cell>
          <cell r="L209">
            <v>801</v>
          </cell>
          <cell r="M209">
            <v>801</v>
          </cell>
          <cell r="N209">
            <v>34.33</v>
          </cell>
        </row>
        <row r="210">
          <cell r="C210" t="str">
            <v>SHARED SAVINGS</v>
          </cell>
          <cell r="D210">
            <v>2005</v>
          </cell>
          <cell r="E210" t="str">
            <v>HYDR</v>
          </cell>
          <cell r="F210">
            <v>6.8639999999999999</v>
          </cell>
          <cell r="G210">
            <v>0</v>
          </cell>
          <cell r="H210">
            <v>0</v>
          </cell>
          <cell r="I210">
            <v>65.81</v>
          </cell>
          <cell r="J210">
            <v>3.3610000000000002</v>
          </cell>
          <cell r="K210">
            <v>0</v>
          </cell>
          <cell r="L210">
            <v>0</v>
          </cell>
          <cell r="M210">
            <v>0</v>
          </cell>
          <cell r="N210">
            <v>0</v>
          </cell>
        </row>
        <row r="211">
          <cell r="C211" t="str">
            <v>RES ENERGY FOCUS</v>
          </cell>
          <cell r="D211">
            <v>2005</v>
          </cell>
          <cell r="E211" t="str">
            <v>HYDR</v>
          </cell>
          <cell r="F211">
            <v>5.21</v>
          </cell>
          <cell r="G211">
            <v>0</v>
          </cell>
          <cell r="H211">
            <v>0</v>
          </cell>
          <cell r="I211">
            <v>39.5</v>
          </cell>
          <cell r="J211">
            <v>1.5309999999999999</v>
          </cell>
          <cell r="K211">
            <v>0</v>
          </cell>
          <cell r="L211">
            <v>0</v>
          </cell>
          <cell r="M211">
            <v>0</v>
          </cell>
          <cell r="N211">
            <v>0</v>
          </cell>
        </row>
        <row r="212">
          <cell r="C212" t="str">
            <v>WPL DLC PROGRAM</v>
          </cell>
          <cell r="D212">
            <v>2005</v>
          </cell>
          <cell r="E212" t="str">
            <v>HYDR</v>
          </cell>
          <cell r="F212">
            <v>4</v>
          </cell>
          <cell r="G212">
            <v>0</v>
          </cell>
          <cell r="H212">
            <v>0</v>
          </cell>
          <cell r="I212">
            <v>0</v>
          </cell>
          <cell r="J212">
            <v>0</v>
          </cell>
          <cell r="K212">
            <v>0</v>
          </cell>
          <cell r="L212">
            <v>0</v>
          </cell>
          <cell r="M212">
            <v>0</v>
          </cell>
          <cell r="N212">
            <v>0</v>
          </cell>
        </row>
        <row r="214">
          <cell r="C214" t="str">
            <v>KEWAUNEE</v>
          </cell>
          <cell r="E214" t="str">
            <v>MUST</v>
          </cell>
          <cell r="F214">
            <v>235.2</v>
          </cell>
          <cell r="G214">
            <v>10750</v>
          </cell>
          <cell r="H214">
            <v>0.45500000000000002</v>
          </cell>
          <cell r="I214">
            <v>96.5</v>
          </cell>
          <cell r="J214">
            <v>163.417</v>
          </cell>
          <cell r="K214">
            <v>800</v>
          </cell>
          <cell r="L214">
            <v>0</v>
          </cell>
          <cell r="M214">
            <v>800</v>
          </cell>
          <cell r="N214">
            <v>4.9000000000000004</v>
          </cell>
        </row>
        <row r="215">
          <cell r="C215" t="str">
            <v>COLUMBIA 1</v>
          </cell>
          <cell r="E215" t="str">
            <v>MUST</v>
          </cell>
          <cell r="F215">
            <v>247.20500000000001</v>
          </cell>
          <cell r="G215">
            <v>10682</v>
          </cell>
          <cell r="H215">
            <v>1.306</v>
          </cell>
          <cell r="I215">
            <v>88.23</v>
          </cell>
          <cell r="J215">
            <v>157.03800000000001</v>
          </cell>
          <cell r="K215">
            <v>2190</v>
          </cell>
          <cell r="L215">
            <v>31</v>
          </cell>
          <cell r="M215">
            <v>2221</v>
          </cell>
          <cell r="N215">
            <v>14.15</v>
          </cell>
        </row>
        <row r="216">
          <cell r="C216" t="str">
            <v>COLUMBIA 2</v>
          </cell>
          <cell r="E216" t="str">
            <v>MUST</v>
          </cell>
          <cell r="F216">
            <v>247.09399999999999</v>
          </cell>
          <cell r="G216">
            <v>10545</v>
          </cell>
          <cell r="H216">
            <v>1.306</v>
          </cell>
          <cell r="I216">
            <v>86.3</v>
          </cell>
          <cell r="J216">
            <v>153.53899999999999</v>
          </cell>
          <cell r="K216">
            <v>2114</v>
          </cell>
          <cell r="L216">
            <v>2</v>
          </cell>
          <cell r="M216">
            <v>2116</v>
          </cell>
          <cell r="N216">
            <v>13.78</v>
          </cell>
        </row>
        <row r="217">
          <cell r="C217" t="str">
            <v>EDGEWATER 3</v>
          </cell>
          <cell r="F217">
            <v>76.3</v>
          </cell>
          <cell r="G217">
            <v>11088</v>
          </cell>
          <cell r="H217">
            <v>1.482</v>
          </cell>
          <cell r="I217">
            <v>63.47</v>
          </cell>
          <cell r="J217">
            <v>34.866999999999997</v>
          </cell>
          <cell r="K217">
            <v>573</v>
          </cell>
          <cell r="L217">
            <v>10</v>
          </cell>
          <cell r="M217">
            <v>583</v>
          </cell>
          <cell r="N217">
            <v>16.71</v>
          </cell>
        </row>
        <row r="218">
          <cell r="C218" t="str">
            <v>EDGEWATER 4</v>
          </cell>
          <cell r="F218">
            <v>229.99799999999999</v>
          </cell>
          <cell r="G218">
            <v>9974</v>
          </cell>
          <cell r="H218">
            <v>1.399</v>
          </cell>
          <cell r="I218">
            <v>71.84</v>
          </cell>
          <cell r="J218">
            <v>118.958</v>
          </cell>
          <cell r="K218">
            <v>1660</v>
          </cell>
          <cell r="L218">
            <v>32</v>
          </cell>
          <cell r="M218">
            <v>1692</v>
          </cell>
          <cell r="N218">
            <v>14.22</v>
          </cell>
        </row>
        <row r="219">
          <cell r="C219" t="str">
            <v>EDGEWATER 5</v>
          </cell>
          <cell r="E219" t="str">
            <v>MUST</v>
          </cell>
          <cell r="F219">
            <v>302.79300000000001</v>
          </cell>
          <cell r="G219">
            <v>10072</v>
          </cell>
          <cell r="H219">
            <v>1.2849999999999999</v>
          </cell>
          <cell r="I219">
            <v>77.97</v>
          </cell>
          <cell r="J219">
            <v>169.983</v>
          </cell>
          <cell r="K219">
            <v>2200</v>
          </cell>
          <cell r="L219">
            <v>11</v>
          </cell>
          <cell r="M219">
            <v>2211</v>
          </cell>
          <cell r="N219">
            <v>13.01</v>
          </cell>
        </row>
        <row r="220">
          <cell r="C220" t="str">
            <v>BLACKHAWK 3</v>
          </cell>
          <cell r="F220">
            <v>24.9</v>
          </cell>
          <cell r="G220">
            <v>11890</v>
          </cell>
          <cell r="H220">
            <v>6.8239999999999998</v>
          </cell>
          <cell r="I220">
            <v>1.1100000000000001</v>
          </cell>
          <cell r="J220">
            <v>0.19800000000000001</v>
          </cell>
          <cell r="K220">
            <v>16</v>
          </cell>
          <cell r="L220">
            <v>0</v>
          </cell>
          <cell r="M220">
            <v>16</v>
          </cell>
          <cell r="N220">
            <v>82.74</v>
          </cell>
        </row>
        <row r="221">
          <cell r="C221" t="str">
            <v>BLACKHAWK 4</v>
          </cell>
          <cell r="F221">
            <v>25.1</v>
          </cell>
          <cell r="G221">
            <v>11373</v>
          </cell>
          <cell r="H221">
            <v>6.8239999999999998</v>
          </cell>
          <cell r="I221">
            <v>1.1599999999999999</v>
          </cell>
          <cell r="J221">
            <v>0.21</v>
          </cell>
          <cell r="K221">
            <v>16</v>
          </cell>
          <cell r="L221">
            <v>0</v>
          </cell>
          <cell r="M221">
            <v>17</v>
          </cell>
          <cell r="N221">
            <v>79.25</v>
          </cell>
        </row>
        <row r="222">
          <cell r="C222" t="str">
            <v>ROCK RIVER 1</v>
          </cell>
          <cell r="F222">
            <v>74.7</v>
          </cell>
          <cell r="G222">
            <v>11000</v>
          </cell>
          <cell r="H222">
            <v>6.3639999999999999</v>
          </cell>
          <cell r="I222">
            <v>9.18</v>
          </cell>
          <cell r="J222">
            <v>4.9400000000000004</v>
          </cell>
          <cell r="K222">
            <v>346</v>
          </cell>
          <cell r="L222">
            <v>4</v>
          </cell>
          <cell r="M222">
            <v>350</v>
          </cell>
          <cell r="N222">
            <v>70.86</v>
          </cell>
        </row>
        <row r="223">
          <cell r="C223" t="str">
            <v>ROCK RIVER 2</v>
          </cell>
          <cell r="F223">
            <v>78.2</v>
          </cell>
          <cell r="G223">
            <v>10916</v>
          </cell>
          <cell r="H223">
            <v>6.3639999999999999</v>
          </cell>
          <cell r="I223">
            <v>10.050000000000001</v>
          </cell>
          <cell r="J223">
            <v>5.6609999999999996</v>
          </cell>
          <cell r="K223">
            <v>393</v>
          </cell>
          <cell r="L223">
            <v>5</v>
          </cell>
          <cell r="M223">
            <v>398</v>
          </cell>
          <cell r="N223">
            <v>70.27</v>
          </cell>
        </row>
        <row r="224">
          <cell r="C224" t="str">
            <v>ROCK RIVER 3</v>
          </cell>
          <cell r="F224">
            <v>25.800999999999998</v>
          </cell>
          <cell r="G224">
            <v>19764</v>
          </cell>
          <cell r="H224">
            <v>10.587</v>
          </cell>
          <cell r="I224">
            <v>0</v>
          </cell>
          <cell r="J224">
            <v>0</v>
          </cell>
          <cell r="K224">
            <v>0</v>
          </cell>
          <cell r="L224">
            <v>0</v>
          </cell>
          <cell r="M224">
            <v>0</v>
          </cell>
          <cell r="N224">
            <v>235.55</v>
          </cell>
        </row>
        <row r="225">
          <cell r="C225" t="str">
            <v>ROCK RIVER 4</v>
          </cell>
          <cell r="F225">
            <v>16.2</v>
          </cell>
          <cell r="G225">
            <v>16011</v>
          </cell>
          <cell r="H225">
            <v>14.135999999999999</v>
          </cell>
          <cell r="I225">
            <v>0</v>
          </cell>
          <cell r="J225">
            <v>0</v>
          </cell>
          <cell r="K225">
            <v>0</v>
          </cell>
          <cell r="L225">
            <v>0</v>
          </cell>
          <cell r="M225">
            <v>0</v>
          </cell>
          <cell r="N225">
            <v>265.89999999999998</v>
          </cell>
        </row>
        <row r="226">
          <cell r="C226" t="str">
            <v>ROCK RIVER 5</v>
          </cell>
          <cell r="F226">
            <v>55.3</v>
          </cell>
          <cell r="G226">
            <v>13209</v>
          </cell>
          <cell r="H226">
            <v>7.0190000000000001</v>
          </cell>
          <cell r="I226">
            <v>0</v>
          </cell>
          <cell r="J226">
            <v>1E-3</v>
          </cell>
          <cell r="K226">
            <v>0</v>
          </cell>
          <cell r="L226">
            <v>0</v>
          </cell>
          <cell r="M226">
            <v>0</v>
          </cell>
          <cell r="N226">
            <v>112.52</v>
          </cell>
        </row>
        <row r="227">
          <cell r="C227" t="str">
            <v>ROCK RIVER 6</v>
          </cell>
          <cell r="F227">
            <v>55.3</v>
          </cell>
          <cell r="G227">
            <v>13239</v>
          </cell>
          <cell r="H227">
            <v>7.0190000000000001</v>
          </cell>
          <cell r="I227">
            <v>0</v>
          </cell>
          <cell r="J227">
            <v>1E-3</v>
          </cell>
          <cell r="K227">
            <v>0</v>
          </cell>
          <cell r="L227">
            <v>0</v>
          </cell>
          <cell r="M227">
            <v>0</v>
          </cell>
          <cell r="N227">
            <v>113.63</v>
          </cell>
        </row>
        <row r="228">
          <cell r="C228" t="str">
            <v>SHEEPSKIN 1</v>
          </cell>
          <cell r="F228">
            <v>37.6</v>
          </cell>
          <cell r="G228">
            <v>14749</v>
          </cell>
          <cell r="H228">
            <v>8.6709999999999994</v>
          </cell>
          <cell r="I228">
            <v>0</v>
          </cell>
          <cell r="J228">
            <v>0</v>
          </cell>
          <cell r="K228">
            <v>0</v>
          </cell>
          <cell r="L228">
            <v>0</v>
          </cell>
          <cell r="M228">
            <v>0</v>
          </cell>
          <cell r="N228">
            <v>153.35</v>
          </cell>
        </row>
        <row r="229">
          <cell r="C229" t="str">
            <v>SOUTH FDL 1</v>
          </cell>
          <cell r="F229">
            <v>80.400999999999996</v>
          </cell>
          <cell r="G229">
            <v>13390</v>
          </cell>
          <cell r="H229">
            <v>7.0389999999999997</v>
          </cell>
          <cell r="I229">
            <v>7.0000000000000007E-2</v>
          </cell>
          <cell r="J229">
            <v>3.9E-2</v>
          </cell>
          <cell r="K229">
            <v>4</v>
          </cell>
          <cell r="L229">
            <v>0</v>
          </cell>
          <cell r="M229">
            <v>4</v>
          </cell>
          <cell r="N229">
            <v>101.11</v>
          </cell>
        </row>
        <row r="230">
          <cell r="C230" t="str">
            <v>SOUTH FDL 2</v>
          </cell>
          <cell r="F230">
            <v>81.396000000000001</v>
          </cell>
          <cell r="G230">
            <v>13412</v>
          </cell>
          <cell r="H230">
            <v>7.0389999999999997</v>
          </cell>
          <cell r="I230">
            <v>0.04</v>
          </cell>
          <cell r="J230">
            <v>2.1000000000000001E-2</v>
          </cell>
          <cell r="K230">
            <v>2</v>
          </cell>
          <cell r="L230">
            <v>0</v>
          </cell>
          <cell r="M230">
            <v>2</v>
          </cell>
          <cell r="N230">
            <v>101.27</v>
          </cell>
        </row>
        <row r="231">
          <cell r="C231" t="str">
            <v>SOUTH FDL 3</v>
          </cell>
          <cell r="F231">
            <v>76.599999999999994</v>
          </cell>
          <cell r="G231">
            <v>13420</v>
          </cell>
          <cell r="H231">
            <v>7.0389999999999997</v>
          </cell>
          <cell r="I231">
            <v>0.02</v>
          </cell>
          <cell r="J231">
            <v>0.01</v>
          </cell>
          <cell r="K231">
            <v>1</v>
          </cell>
          <cell r="L231">
            <v>0</v>
          </cell>
          <cell r="M231">
            <v>1</v>
          </cell>
          <cell r="N231">
            <v>101.32</v>
          </cell>
        </row>
        <row r="232">
          <cell r="C232" t="str">
            <v>SOUTH FDL 4</v>
          </cell>
          <cell r="F232">
            <v>73.897999999999996</v>
          </cell>
          <cell r="G232">
            <v>13433</v>
          </cell>
          <cell r="H232">
            <v>7.0389999999999997</v>
          </cell>
          <cell r="I232">
            <v>0.01</v>
          </cell>
          <cell r="J232">
            <v>5.0000000000000001E-3</v>
          </cell>
          <cell r="K232">
            <v>0</v>
          </cell>
          <cell r="L232">
            <v>0</v>
          </cell>
          <cell r="M232">
            <v>0</v>
          </cell>
          <cell r="N232">
            <v>101.42</v>
          </cell>
        </row>
        <row r="233">
          <cell r="C233" t="str">
            <v>NELSON DEWEY 1</v>
          </cell>
          <cell r="F233">
            <v>111.511</v>
          </cell>
          <cell r="G233">
            <v>10064</v>
          </cell>
          <cell r="H233">
            <v>1.2330000000000001</v>
          </cell>
          <cell r="I233">
            <v>66.290000000000006</v>
          </cell>
          <cell r="J233">
            <v>53.225999999999999</v>
          </cell>
          <cell r="K233">
            <v>661</v>
          </cell>
          <cell r="L233">
            <v>35</v>
          </cell>
          <cell r="M233">
            <v>696</v>
          </cell>
          <cell r="N233">
            <v>13.08</v>
          </cell>
        </row>
        <row r="234">
          <cell r="C234" t="str">
            <v>NELSON DEWEY 2</v>
          </cell>
          <cell r="F234">
            <v>112.002</v>
          </cell>
          <cell r="G234">
            <v>9907</v>
          </cell>
          <cell r="H234">
            <v>1.2330000000000001</v>
          </cell>
          <cell r="I234">
            <v>68.39</v>
          </cell>
          <cell r="J234">
            <v>55.152999999999999</v>
          </cell>
          <cell r="K234">
            <v>674</v>
          </cell>
          <cell r="L234">
            <v>38</v>
          </cell>
          <cell r="M234">
            <v>712</v>
          </cell>
          <cell r="N234">
            <v>12.9</v>
          </cell>
        </row>
        <row r="235">
          <cell r="C235" t="str">
            <v>WPL HYDRO</v>
          </cell>
          <cell r="E235" t="str">
            <v>MUST</v>
          </cell>
          <cell r="F235">
            <v>27</v>
          </cell>
          <cell r="G235">
            <v>0</v>
          </cell>
          <cell r="H235">
            <v>0</v>
          </cell>
          <cell r="I235">
            <v>92.14</v>
          </cell>
          <cell r="J235">
            <v>17.911999999999999</v>
          </cell>
          <cell r="K235">
            <v>0</v>
          </cell>
          <cell r="L235">
            <v>0</v>
          </cell>
          <cell r="M235">
            <v>0</v>
          </cell>
          <cell r="N235">
            <v>0</v>
          </cell>
        </row>
        <row r="236">
          <cell r="C236" t="str">
            <v>BERLIN LFG WPL</v>
          </cell>
          <cell r="F236">
            <v>2.2000000000000002</v>
          </cell>
          <cell r="G236">
            <v>15000</v>
          </cell>
          <cell r="H236">
            <v>0</v>
          </cell>
          <cell r="I236">
            <v>73</v>
          </cell>
          <cell r="J236">
            <v>1.1559999999999999</v>
          </cell>
          <cell r="K236">
            <v>0</v>
          </cell>
          <cell r="L236">
            <v>29</v>
          </cell>
          <cell r="M236">
            <v>29</v>
          </cell>
          <cell r="N236">
            <v>24.97</v>
          </cell>
        </row>
        <row r="237">
          <cell r="C237" t="str">
            <v>RIVERSIDE</v>
          </cell>
          <cell r="F237">
            <v>480.99099999999999</v>
          </cell>
          <cell r="G237">
            <v>7801</v>
          </cell>
          <cell r="H237">
            <v>6.5010000000000003</v>
          </cell>
          <cell r="I237">
            <v>32.14</v>
          </cell>
          <cell r="J237">
            <v>111.297</v>
          </cell>
          <cell r="K237">
            <v>5644</v>
          </cell>
          <cell r="L237">
            <v>64</v>
          </cell>
          <cell r="M237">
            <v>5708</v>
          </cell>
          <cell r="N237">
            <v>51.29</v>
          </cell>
        </row>
        <row r="238">
          <cell r="C238" t="str">
            <v>ROCKGEN #1</v>
          </cell>
          <cell r="F238">
            <v>154.5</v>
          </cell>
          <cell r="G238">
            <v>13531</v>
          </cell>
          <cell r="H238">
            <v>6.5010000000000003</v>
          </cell>
          <cell r="I238">
            <v>1.1499999999999999</v>
          </cell>
          <cell r="J238">
            <v>1.276</v>
          </cell>
          <cell r="K238">
            <v>112</v>
          </cell>
          <cell r="L238">
            <v>8</v>
          </cell>
          <cell r="M238">
            <v>120</v>
          </cell>
          <cell r="N238">
            <v>94</v>
          </cell>
        </row>
        <row r="239">
          <cell r="C239" t="str">
            <v>ROCKGEN #2</v>
          </cell>
          <cell r="F239">
            <v>154.5</v>
          </cell>
          <cell r="G239">
            <v>13602</v>
          </cell>
          <cell r="H239">
            <v>6.5010000000000003</v>
          </cell>
          <cell r="I239">
            <v>0.49</v>
          </cell>
          <cell r="J239">
            <v>0.55000000000000004</v>
          </cell>
          <cell r="K239">
            <v>49</v>
          </cell>
          <cell r="L239">
            <v>3</v>
          </cell>
          <cell r="M239">
            <v>52</v>
          </cell>
          <cell r="N239">
            <v>94.46</v>
          </cell>
        </row>
        <row r="240">
          <cell r="C240" t="str">
            <v>ROCKGEN #3</v>
          </cell>
          <cell r="F240">
            <v>154.5</v>
          </cell>
          <cell r="G240">
            <v>13708</v>
          </cell>
          <cell r="H240">
            <v>6.5010000000000003</v>
          </cell>
          <cell r="I240">
            <v>0.19</v>
          </cell>
          <cell r="J240">
            <v>0.20799999999999999</v>
          </cell>
          <cell r="K240">
            <v>18</v>
          </cell>
          <cell r="L240">
            <v>1</v>
          </cell>
          <cell r="M240">
            <v>20</v>
          </cell>
          <cell r="N240">
            <v>95.16</v>
          </cell>
        </row>
        <row r="241">
          <cell r="C241" t="str">
            <v>BASE 100 ECONOMY</v>
          </cell>
          <cell r="F241">
            <v>100</v>
          </cell>
          <cell r="G241">
            <v>10000</v>
          </cell>
          <cell r="H241">
            <v>3.4780000000000002</v>
          </cell>
          <cell r="I241">
            <v>80.91</v>
          </cell>
          <cell r="J241">
            <v>58.259</v>
          </cell>
          <cell r="K241">
            <v>2026</v>
          </cell>
          <cell r="L241">
            <v>0</v>
          </cell>
          <cell r="M241">
            <v>2026</v>
          </cell>
          <cell r="N241">
            <v>34.78</v>
          </cell>
        </row>
        <row r="242">
          <cell r="C242" t="str">
            <v>OTHR 500 ECONOMY</v>
          </cell>
          <cell r="F242">
            <v>200</v>
          </cell>
          <cell r="G242">
            <v>10000</v>
          </cell>
          <cell r="H242">
            <v>3.4780000000000002</v>
          </cell>
          <cell r="I242">
            <v>60.79</v>
          </cell>
          <cell r="J242">
            <v>87.531000000000006</v>
          </cell>
          <cell r="K242">
            <v>3044</v>
          </cell>
          <cell r="L242">
            <v>0</v>
          </cell>
          <cell r="M242">
            <v>3044</v>
          </cell>
          <cell r="N242">
            <v>34.78</v>
          </cell>
        </row>
        <row r="243">
          <cell r="C243" t="str">
            <v>FPL WIND PURCH</v>
          </cell>
          <cell r="E243" t="str">
            <v>NDT</v>
          </cell>
          <cell r="F243">
            <v>80</v>
          </cell>
          <cell r="G243">
            <v>0</v>
          </cell>
          <cell r="H243">
            <v>0</v>
          </cell>
          <cell r="I243">
            <v>31.48</v>
          </cell>
          <cell r="J243">
            <v>18.135000000000002</v>
          </cell>
          <cell r="K243">
            <v>0</v>
          </cell>
          <cell r="L243">
            <v>0</v>
          </cell>
          <cell r="M243">
            <v>0</v>
          </cell>
          <cell r="N243">
            <v>0</v>
          </cell>
        </row>
        <row r="244">
          <cell r="C244" t="str">
            <v>INV WIND PURCH</v>
          </cell>
          <cell r="E244" t="str">
            <v>NDT</v>
          </cell>
          <cell r="F244">
            <v>50</v>
          </cell>
          <cell r="G244">
            <v>0</v>
          </cell>
          <cell r="H244">
            <v>0</v>
          </cell>
          <cell r="I244">
            <v>36.65</v>
          </cell>
          <cell r="J244">
            <v>13.195</v>
          </cell>
          <cell r="K244">
            <v>0</v>
          </cell>
          <cell r="L244">
            <v>0</v>
          </cell>
          <cell r="M244">
            <v>0</v>
          </cell>
          <cell r="N244">
            <v>0</v>
          </cell>
        </row>
        <row r="245">
          <cell r="C245" t="str">
            <v>JANESVILLE PURCH</v>
          </cell>
          <cell r="F245">
            <v>1.6</v>
          </cell>
          <cell r="G245">
            <v>15000</v>
          </cell>
          <cell r="H245">
            <v>0</v>
          </cell>
          <cell r="I245">
            <v>49.71</v>
          </cell>
          <cell r="J245">
            <v>0.57299999999999995</v>
          </cell>
          <cell r="K245">
            <v>0</v>
          </cell>
          <cell r="L245">
            <v>22</v>
          </cell>
          <cell r="M245">
            <v>22</v>
          </cell>
          <cell r="N245">
            <v>38.869999999999997</v>
          </cell>
        </row>
        <row r="246">
          <cell r="C246" t="str">
            <v>MINERGY    PURCH</v>
          </cell>
          <cell r="F246">
            <v>6.5</v>
          </cell>
          <cell r="G246">
            <v>15000</v>
          </cell>
          <cell r="H246">
            <v>0</v>
          </cell>
          <cell r="I246">
            <v>49.49</v>
          </cell>
          <cell r="J246">
            <v>2.3159999999999998</v>
          </cell>
          <cell r="K246">
            <v>0</v>
          </cell>
          <cell r="L246">
            <v>90</v>
          </cell>
          <cell r="M246">
            <v>90</v>
          </cell>
          <cell r="N246">
            <v>38.869999999999997</v>
          </cell>
        </row>
        <row r="247">
          <cell r="C247" t="str">
            <v>SUPERIOR   PURCH</v>
          </cell>
          <cell r="F247">
            <v>2.2000000000000002</v>
          </cell>
          <cell r="G247">
            <v>15000</v>
          </cell>
          <cell r="H247">
            <v>0</v>
          </cell>
          <cell r="I247">
            <v>49.05</v>
          </cell>
          <cell r="J247">
            <v>0.77700000000000002</v>
          </cell>
          <cell r="K247">
            <v>0</v>
          </cell>
          <cell r="L247">
            <v>30</v>
          </cell>
          <cell r="M247">
            <v>30</v>
          </cell>
          <cell r="N247">
            <v>38.869999999999997</v>
          </cell>
        </row>
        <row r="248">
          <cell r="C248" t="str">
            <v>WRPC HYDRO PURCH</v>
          </cell>
          <cell r="E248" t="str">
            <v>MUST</v>
          </cell>
          <cell r="F248">
            <v>13.2</v>
          </cell>
          <cell r="G248">
            <v>0</v>
          </cell>
          <cell r="H248">
            <v>0</v>
          </cell>
          <cell r="I248">
            <v>44.83</v>
          </cell>
          <cell r="J248">
            <v>4.2610000000000001</v>
          </cell>
          <cell r="K248">
            <v>0</v>
          </cell>
          <cell r="L248">
            <v>0</v>
          </cell>
          <cell r="M248">
            <v>0</v>
          </cell>
          <cell r="N248">
            <v>0</v>
          </cell>
        </row>
        <row r="249">
          <cell r="C249" t="str">
            <v>SHEBOYGAN CT1</v>
          </cell>
          <cell r="F249">
            <v>146.499</v>
          </cell>
          <cell r="G249">
            <v>11326</v>
          </cell>
          <cell r="H249">
            <v>6.5010000000000003</v>
          </cell>
          <cell r="I249">
            <v>5.62</v>
          </cell>
          <cell r="J249">
            <v>5.923</v>
          </cell>
          <cell r="K249">
            <v>436</v>
          </cell>
          <cell r="L249">
            <v>28</v>
          </cell>
          <cell r="M249">
            <v>464</v>
          </cell>
          <cell r="N249">
            <v>78.290000000000006</v>
          </cell>
        </row>
        <row r="250">
          <cell r="C250" t="str">
            <v>SHEBOYGAN CT2</v>
          </cell>
          <cell r="F250">
            <v>146.499</v>
          </cell>
          <cell r="G250">
            <v>11363</v>
          </cell>
          <cell r="H250">
            <v>6.5010000000000003</v>
          </cell>
          <cell r="I250">
            <v>2.84</v>
          </cell>
          <cell r="J250">
            <v>2.996</v>
          </cell>
          <cell r="K250">
            <v>221</v>
          </cell>
          <cell r="L250">
            <v>14</v>
          </cell>
          <cell r="M250">
            <v>235</v>
          </cell>
          <cell r="N250">
            <v>78.53</v>
          </cell>
        </row>
        <row r="251">
          <cell r="C251" t="str">
            <v>NEW WIND-100MW</v>
          </cell>
          <cell r="D251">
            <v>2006</v>
          </cell>
          <cell r="E251" t="str">
            <v>NDT</v>
          </cell>
          <cell r="F251">
            <v>100</v>
          </cell>
          <cell r="G251">
            <v>0</v>
          </cell>
          <cell r="H251">
            <v>0</v>
          </cell>
          <cell r="I251">
            <v>31.48</v>
          </cell>
          <cell r="J251">
            <v>22.667999999999999</v>
          </cell>
          <cell r="K251">
            <v>0</v>
          </cell>
          <cell r="L251">
            <v>778</v>
          </cell>
          <cell r="M251">
            <v>778</v>
          </cell>
          <cell r="N251">
            <v>34.33</v>
          </cell>
        </row>
        <row r="252">
          <cell r="C252" t="str">
            <v>SHARED SAVINGS</v>
          </cell>
          <cell r="D252">
            <v>2005</v>
          </cell>
          <cell r="E252" t="str">
            <v>HYDR</v>
          </cell>
          <cell r="F252">
            <v>6.8639999999999999</v>
          </cell>
          <cell r="G252">
            <v>0</v>
          </cell>
          <cell r="H252">
            <v>0</v>
          </cell>
          <cell r="I252">
            <v>65.81</v>
          </cell>
          <cell r="J252">
            <v>3.2519999999999998</v>
          </cell>
          <cell r="K252">
            <v>0</v>
          </cell>
          <cell r="L252">
            <v>0</v>
          </cell>
          <cell r="M252">
            <v>0</v>
          </cell>
          <cell r="N252">
            <v>0</v>
          </cell>
        </row>
        <row r="253">
          <cell r="C253" t="str">
            <v>RES ENERGY FOCUS</v>
          </cell>
          <cell r="D253">
            <v>2005</v>
          </cell>
          <cell r="E253" t="str">
            <v>HYDR</v>
          </cell>
          <cell r="F253">
            <v>5.21</v>
          </cell>
          <cell r="G253">
            <v>0</v>
          </cell>
          <cell r="H253">
            <v>0</v>
          </cell>
          <cell r="I253">
            <v>39.5</v>
          </cell>
          <cell r="J253">
            <v>1.482</v>
          </cell>
          <cell r="K253">
            <v>0</v>
          </cell>
          <cell r="L253">
            <v>0</v>
          </cell>
          <cell r="M253">
            <v>0</v>
          </cell>
          <cell r="N253">
            <v>0</v>
          </cell>
        </row>
        <row r="254">
          <cell r="C254" t="str">
            <v>WPL DLC PROGRAM</v>
          </cell>
          <cell r="D254">
            <v>2005</v>
          </cell>
          <cell r="E254" t="str">
            <v>HYDR</v>
          </cell>
          <cell r="F254">
            <v>4</v>
          </cell>
          <cell r="G254">
            <v>0</v>
          </cell>
          <cell r="H254">
            <v>0</v>
          </cell>
          <cell r="I254">
            <v>8.3699999999999992</v>
          </cell>
          <cell r="J254">
            <v>0.24099999999999999</v>
          </cell>
          <cell r="K254">
            <v>0</v>
          </cell>
          <cell r="L254">
            <v>0</v>
          </cell>
          <cell r="M254">
            <v>0</v>
          </cell>
          <cell r="N254">
            <v>0</v>
          </cell>
        </row>
        <row r="256">
          <cell r="C256" t="str">
            <v>KEWAUNEE</v>
          </cell>
          <cell r="E256" t="str">
            <v>MUST</v>
          </cell>
          <cell r="F256">
            <v>235.2</v>
          </cell>
          <cell r="G256">
            <v>10750</v>
          </cell>
          <cell r="H256">
            <v>0.45500000000000002</v>
          </cell>
          <cell r="I256">
            <v>96.5</v>
          </cell>
          <cell r="J256">
            <v>168.864</v>
          </cell>
          <cell r="K256">
            <v>827</v>
          </cell>
          <cell r="L256">
            <v>0</v>
          </cell>
          <cell r="M256">
            <v>827</v>
          </cell>
          <cell r="N256">
            <v>4.9000000000000004</v>
          </cell>
        </row>
        <row r="257">
          <cell r="C257" t="str">
            <v>COLUMBIA 1</v>
          </cell>
          <cell r="E257" t="str">
            <v>MUST</v>
          </cell>
          <cell r="F257">
            <v>247.20500000000001</v>
          </cell>
          <cell r="G257">
            <v>10682</v>
          </cell>
          <cell r="H257">
            <v>1.306</v>
          </cell>
          <cell r="I257">
            <v>88.23</v>
          </cell>
          <cell r="J257">
            <v>162.273</v>
          </cell>
          <cell r="K257">
            <v>2263</v>
          </cell>
          <cell r="L257">
            <v>32</v>
          </cell>
          <cell r="M257">
            <v>2295</v>
          </cell>
          <cell r="N257">
            <v>14.15</v>
          </cell>
        </row>
        <row r="258">
          <cell r="C258" t="str">
            <v>COLUMBIA 2</v>
          </cell>
          <cell r="E258" t="str">
            <v>MUST</v>
          </cell>
          <cell r="F258">
            <v>247.09399999999999</v>
          </cell>
          <cell r="G258">
            <v>10545</v>
          </cell>
          <cell r="H258">
            <v>1.306</v>
          </cell>
          <cell r="I258">
            <v>86.34</v>
          </cell>
          <cell r="J258">
            <v>158.726</v>
          </cell>
          <cell r="K258">
            <v>2186</v>
          </cell>
          <cell r="L258">
            <v>2</v>
          </cell>
          <cell r="M258">
            <v>2187</v>
          </cell>
          <cell r="N258">
            <v>13.78</v>
          </cell>
        </row>
        <row r="259">
          <cell r="C259" t="str">
            <v>EDGEWATER 3</v>
          </cell>
          <cell r="F259">
            <v>76.3</v>
          </cell>
          <cell r="G259">
            <v>11080</v>
          </cell>
          <cell r="H259">
            <v>1.482</v>
          </cell>
          <cell r="I259">
            <v>70.5</v>
          </cell>
          <cell r="J259">
            <v>40.021000000000001</v>
          </cell>
          <cell r="K259">
            <v>657</v>
          </cell>
          <cell r="L259">
            <v>11</v>
          </cell>
          <cell r="M259">
            <v>668</v>
          </cell>
          <cell r="N259">
            <v>16.7</v>
          </cell>
        </row>
        <row r="260">
          <cell r="C260" t="str">
            <v>EDGEWATER 4</v>
          </cell>
          <cell r="F260">
            <v>229.99799999999999</v>
          </cell>
          <cell r="G260">
            <v>9970</v>
          </cell>
          <cell r="H260">
            <v>1.399</v>
          </cell>
          <cell r="I260">
            <v>72.55</v>
          </cell>
          <cell r="J260">
            <v>124.146</v>
          </cell>
          <cell r="K260">
            <v>1732</v>
          </cell>
          <cell r="L260">
            <v>34</v>
          </cell>
          <cell r="M260">
            <v>1765</v>
          </cell>
          <cell r="N260">
            <v>14.22</v>
          </cell>
        </row>
        <row r="261">
          <cell r="C261" t="str">
            <v>EDGEWATER 5</v>
          </cell>
          <cell r="E261" t="str">
            <v>MUST</v>
          </cell>
          <cell r="F261">
            <v>302.79300000000001</v>
          </cell>
          <cell r="G261">
            <v>10072</v>
          </cell>
          <cell r="H261">
            <v>1.2849999999999999</v>
          </cell>
          <cell r="I261">
            <v>77.97</v>
          </cell>
          <cell r="J261">
            <v>175.649</v>
          </cell>
          <cell r="K261">
            <v>2273</v>
          </cell>
          <cell r="L261">
            <v>11</v>
          </cell>
          <cell r="M261">
            <v>2284</v>
          </cell>
          <cell r="N261">
            <v>13.01</v>
          </cell>
        </row>
        <row r="262">
          <cell r="C262" t="str">
            <v>BLACKHAWK 3</v>
          </cell>
          <cell r="F262">
            <v>24.9</v>
          </cell>
          <cell r="G262">
            <v>11889</v>
          </cell>
          <cell r="H262">
            <v>6.8239999999999998</v>
          </cell>
          <cell r="I262">
            <v>4.71</v>
          </cell>
          <cell r="J262">
            <v>0.873</v>
          </cell>
          <cell r="K262">
            <v>71</v>
          </cell>
          <cell r="L262">
            <v>1</v>
          </cell>
          <cell r="M262">
            <v>72</v>
          </cell>
          <cell r="N262">
            <v>82.73</v>
          </cell>
        </row>
        <row r="263">
          <cell r="C263" t="str">
            <v>BLACKHAWK 4</v>
          </cell>
          <cell r="F263">
            <v>25.1</v>
          </cell>
          <cell r="G263">
            <v>11381</v>
          </cell>
          <cell r="H263">
            <v>6.8239999999999998</v>
          </cell>
          <cell r="I263">
            <v>4.9000000000000004</v>
          </cell>
          <cell r="J263">
            <v>0.91400000000000003</v>
          </cell>
          <cell r="K263">
            <v>71</v>
          </cell>
          <cell r="L263">
            <v>2</v>
          </cell>
          <cell r="M263">
            <v>73</v>
          </cell>
          <cell r="N263">
            <v>79.3</v>
          </cell>
        </row>
        <row r="264">
          <cell r="C264" t="str">
            <v>ROCK RIVER 1</v>
          </cell>
          <cell r="F264">
            <v>74.7</v>
          </cell>
          <cell r="G264">
            <v>10959</v>
          </cell>
          <cell r="H264">
            <v>6.3639999999999999</v>
          </cell>
          <cell r="I264">
            <v>24.18</v>
          </cell>
          <cell r="J264">
            <v>13.441000000000001</v>
          </cell>
          <cell r="K264">
            <v>937</v>
          </cell>
          <cell r="L264">
            <v>11</v>
          </cell>
          <cell r="M264">
            <v>949</v>
          </cell>
          <cell r="N264">
            <v>70.599999999999994</v>
          </cell>
        </row>
        <row r="265">
          <cell r="C265" t="str">
            <v>ROCK RIVER 2</v>
          </cell>
          <cell r="F265">
            <v>78.2</v>
          </cell>
          <cell r="G265">
            <v>10906</v>
          </cell>
          <cell r="H265">
            <v>6.3639999999999999</v>
          </cell>
          <cell r="I265">
            <v>25.42</v>
          </cell>
          <cell r="J265">
            <v>14.789</v>
          </cell>
          <cell r="K265">
            <v>1026</v>
          </cell>
          <cell r="L265">
            <v>12</v>
          </cell>
          <cell r="M265">
            <v>1038</v>
          </cell>
          <cell r="N265">
            <v>70.209999999999994</v>
          </cell>
        </row>
        <row r="266">
          <cell r="C266" t="str">
            <v>ROCK RIVER 3</v>
          </cell>
          <cell r="F266">
            <v>25.800999999999998</v>
          </cell>
          <cell r="G266">
            <v>19622</v>
          </cell>
          <cell r="H266">
            <v>10.587</v>
          </cell>
          <cell r="I266">
            <v>0.02</v>
          </cell>
          <cell r="J266">
            <v>4.0000000000000001E-3</v>
          </cell>
          <cell r="K266">
            <v>1</v>
          </cell>
          <cell r="L266">
            <v>0</v>
          </cell>
          <cell r="M266">
            <v>1</v>
          </cell>
          <cell r="N266">
            <v>234.04</v>
          </cell>
        </row>
        <row r="267">
          <cell r="C267" t="str">
            <v>ROCK RIVER 4</v>
          </cell>
          <cell r="F267">
            <v>16.2</v>
          </cell>
          <cell r="G267">
            <v>15827</v>
          </cell>
          <cell r="H267">
            <v>14.135999999999999</v>
          </cell>
          <cell r="I267">
            <v>0.02</v>
          </cell>
          <cell r="J267">
            <v>2E-3</v>
          </cell>
          <cell r="K267">
            <v>1</v>
          </cell>
          <cell r="L267">
            <v>0</v>
          </cell>
          <cell r="M267">
            <v>1</v>
          </cell>
          <cell r="N267">
            <v>263.31</v>
          </cell>
        </row>
        <row r="268">
          <cell r="C268" t="str">
            <v>ROCK RIVER 5</v>
          </cell>
          <cell r="F268">
            <v>55.3</v>
          </cell>
          <cell r="G268">
            <v>13072</v>
          </cell>
          <cell r="H268">
            <v>7.0190000000000001</v>
          </cell>
          <cell r="I268">
            <v>0.05</v>
          </cell>
          <cell r="J268">
            <v>1.9E-2</v>
          </cell>
          <cell r="K268">
            <v>2</v>
          </cell>
          <cell r="L268">
            <v>0</v>
          </cell>
          <cell r="M268">
            <v>2</v>
          </cell>
          <cell r="N268">
            <v>111.56</v>
          </cell>
        </row>
        <row r="269">
          <cell r="C269" t="str">
            <v>ROCK RIVER 6</v>
          </cell>
          <cell r="F269">
            <v>55.3</v>
          </cell>
          <cell r="G269">
            <v>13079</v>
          </cell>
          <cell r="H269">
            <v>7.0190000000000001</v>
          </cell>
          <cell r="I269">
            <v>0.03</v>
          </cell>
          <cell r="J269">
            <v>1.4E-2</v>
          </cell>
          <cell r="K269">
            <v>1</v>
          </cell>
          <cell r="L269">
            <v>0</v>
          </cell>
          <cell r="M269">
            <v>2</v>
          </cell>
          <cell r="N269">
            <v>112.51</v>
          </cell>
        </row>
        <row r="270">
          <cell r="C270" t="str">
            <v>SHEEPSKIN 1</v>
          </cell>
          <cell r="F270">
            <v>37.6</v>
          </cell>
          <cell r="G270">
            <v>14563</v>
          </cell>
          <cell r="H270">
            <v>8.6709999999999994</v>
          </cell>
          <cell r="I270">
            <v>0.03</v>
          </cell>
          <cell r="J270">
            <v>8.9999999999999993E-3</v>
          </cell>
          <cell r="K270">
            <v>1</v>
          </cell>
          <cell r="L270">
            <v>0</v>
          </cell>
          <cell r="M270">
            <v>1</v>
          </cell>
          <cell r="N270">
            <v>151.74</v>
          </cell>
        </row>
        <row r="271">
          <cell r="C271" t="str">
            <v>SOUTH FDL 1</v>
          </cell>
          <cell r="F271">
            <v>80.400999999999996</v>
          </cell>
          <cell r="G271">
            <v>13352</v>
          </cell>
          <cell r="H271">
            <v>7.0389999999999997</v>
          </cell>
          <cell r="I271">
            <v>0.37</v>
          </cell>
          <cell r="J271">
            <v>0.224</v>
          </cell>
          <cell r="K271">
            <v>21</v>
          </cell>
          <cell r="L271">
            <v>2</v>
          </cell>
          <cell r="M271">
            <v>23</v>
          </cell>
          <cell r="N271">
            <v>100.85</v>
          </cell>
        </row>
        <row r="272">
          <cell r="C272" t="str">
            <v>SOUTH FDL 2</v>
          </cell>
          <cell r="F272">
            <v>81.396000000000001</v>
          </cell>
          <cell r="G272">
            <v>13358</v>
          </cell>
          <cell r="H272">
            <v>7.0389999999999997</v>
          </cell>
          <cell r="I272">
            <v>0.23</v>
          </cell>
          <cell r="J272">
            <v>0.13900000000000001</v>
          </cell>
          <cell r="K272">
            <v>13</v>
          </cell>
          <cell r="L272">
            <v>1</v>
          </cell>
          <cell r="M272">
            <v>14</v>
          </cell>
          <cell r="N272">
            <v>100.89</v>
          </cell>
        </row>
        <row r="273">
          <cell r="C273" t="str">
            <v>SOUTH FDL 3</v>
          </cell>
          <cell r="F273">
            <v>76.599999999999994</v>
          </cell>
          <cell r="G273">
            <v>13351</v>
          </cell>
          <cell r="H273">
            <v>7.0389999999999997</v>
          </cell>
          <cell r="I273">
            <v>0.14000000000000001</v>
          </cell>
          <cell r="J273">
            <v>0.08</v>
          </cell>
          <cell r="K273">
            <v>8</v>
          </cell>
          <cell r="L273">
            <v>1</v>
          </cell>
          <cell r="M273">
            <v>8</v>
          </cell>
          <cell r="N273">
            <v>100.84</v>
          </cell>
        </row>
        <row r="274">
          <cell r="C274" t="str">
            <v>SOUTH FDL 4</v>
          </cell>
          <cell r="F274">
            <v>73.897999999999996</v>
          </cell>
          <cell r="G274">
            <v>13349</v>
          </cell>
          <cell r="H274">
            <v>7.0389999999999997</v>
          </cell>
          <cell r="I274">
            <v>0.09</v>
          </cell>
          <cell r="J274">
            <v>4.8000000000000001E-2</v>
          </cell>
          <cell r="K274">
            <v>5</v>
          </cell>
          <cell r="L274">
            <v>0</v>
          </cell>
          <cell r="M274">
            <v>5</v>
          </cell>
          <cell r="N274">
            <v>100.83</v>
          </cell>
        </row>
        <row r="275">
          <cell r="C275" t="str">
            <v>NELSON DEWEY 1</v>
          </cell>
          <cell r="F275">
            <v>111.511</v>
          </cell>
          <cell r="G275">
            <v>10055</v>
          </cell>
          <cell r="H275">
            <v>1.2330000000000001</v>
          </cell>
          <cell r="I275">
            <v>70.78</v>
          </cell>
          <cell r="J275">
            <v>58.722999999999999</v>
          </cell>
          <cell r="K275">
            <v>728</v>
          </cell>
          <cell r="L275">
            <v>39</v>
          </cell>
          <cell r="M275">
            <v>767</v>
          </cell>
          <cell r="N275">
            <v>13.07</v>
          </cell>
        </row>
        <row r="276">
          <cell r="C276" t="str">
            <v>NELSON DEWEY 2</v>
          </cell>
          <cell r="F276">
            <v>112.002</v>
          </cell>
          <cell r="G276">
            <v>9906</v>
          </cell>
          <cell r="H276">
            <v>1.2330000000000001</v>
          </cell>
          <cell r="I276">
            <v>71.25</v>
          </cell>
          <cell r="J276">
            <v>59.374000000000002</v>
          </cell>
          <cell r="K276">
            <v>725</v>
          </cell>
          <cell r="L276">
            <v>41</v>
          </cell>
          <cell r="M276">
            <v>766</v>
          </cell>
          <cell r="N276">
            <v>12.9</v>
          </cell>
        </row>
        <row r="277">
          <cell r="C277" t="str">
            <v>WPL HYDRO</v>
          </cell>
          <cell r="E277" t="str">
            <v>MUST</v>
          </cell>
          <cell r="F277">
            <v>27</v>
          </cell>
          <cell r="G277">
            <v>0</v>
          </cell>
          <cell r="H277">
            <v>0</v>
          </cell>
          <cell r="I277">
            <v>92.14</v>
          </cell>
          <cell r="J277">
            <v>18.509</v>
          </cell>
          <cell r="K277">
            <v>0</v>
          </cell>
          <cell r="L277">
            <v>0</v>
          </cell>
          <cell r="M277">
            <v>0</v>
          </cell>
          <cell r="N277">
            <v>0</v>
          </cell>
        </row>
        <row r="278">
          <cell r="C278" t="str">
            <v>BERLIN LFG WPL</v>
          </cell>
          <cell r="F278">
            <v>2.2000000000000002</v>
          </cell>
          <cell r="G278">
            <v>15000</v>
          </cell>
          <cell r="H278">
            <v>0</v>
          </cell>
          <cell r="I278">
            <v>82.62</v>
          </cell>
          <cell r="J278">
            <v>1.3520000000000001</v>
          </cell>
          <cell r="K278">
            <v>0</v>
          </cell>
          <cell r="L278">
            <v>34</v>
          </cell>
          <cell r="M278">
            <v>34</v>
          </cell>
          <cell r="N278">
            <v>24.97</v>
          </cell>
        </row>
        <row r="279">
          <cell r="C279" t="str">
            <v>RIVERSIDE</v>
          </cell>
          <cell r="F279">
            <v>480.99099999999999</v>
          </cell>
          <cell r="G279">
            <v>7586</v>
          </cell>
          <cell r="H279">
            <v>6.5010000000000003</v>
          </cell>
          <cell r="I279">
            <v>51.5</v>
          </cell>
          <cell r="J279">
            <v>184.30099999999999</v>
          </cell>
          <cell r="K279">
            <v>9090</v>
          </cell>
          <cell r="L279">
            <v>106</v>
          </cell>
          <cell r="M279">
            <v>9196</v>
          </cell>
          <cell r="N279">
            <v>49.9</v>
          </cell>
        </row>
        <row r="280">
          <cell r="C280" t="str">
            <v>ROCKGEN #1</v>
          </cell>
          <cell r="F280">
            <v>154.5</v>
          </cell>
          <cell r="G280">
            <v>13494</v>
          </cell>
          <cell r="H280">
            <v>6.5010000000000003</v>
          </cell>
          <cell r="I280">
            <v>4.97</v>
          </cell>
          <cell r="J280">
            <v>5.718</v>
          </cell>
          <cell r="K280">
            <v>502</v>
          </cell>
          <cell r="L280">
            <v>35</v>
          </cell>
          <cell r="M280">
            <v>536</v>
          </cell>
          <cell r="N280">
            <v>93.77</v>
          </cell>
        </row>
        <row r="281">
          <cell r="C281" t="str">
            <v>ROCKGEN #2</v>
          </cell>
          <cell r="F281">
            <v>154.5</v>
          </cell>
          <cell r="G281">
            <v>13567</v>
          </cell>
          <cell r="H281">
            <v>6.5010000000000003</v>
          </cell>
          <cell r="I281">
            <v>2.25</v>
          </cell>
          <cell r="J281">
            <v>2.5840000000000001</v>
          </cell>
          <cell r="K281">
            <v>228</v>
          </cell>
          <cell r="L281">
            <v>16</v>
          </cell>
          <cell r="M281">
            <v>244</v>
          </cell>
          <cell r="N281">
            <v>94.24</v>
          </cell>
        </row>
        <row r="282">
          <cell r="C282" t="str">
            <v>ROCKGEN #3</v>
          </cell>
          <cell r="F282">
            <v>154.5</v>
          </cell>
          <cell r="G282">
            <v>13633</v>
          </cell>
          <cell r="H282">
            <v>6.5010000000000003</v>
          </cell>
          <cell r="I282">
            <v>0.91</v>
          </cell>
          <cell r="J282">
            <v>1.048</v>
          </cell>
          <cell r="K282">
            <v>93</v>
          </cell>
          <cell r="L282">
            <v>6</v>
          </cell>
          <cell r="M282">
            <v>99</v>
          </cell>
          <cell r="N282">
            <v>94.67</v>
          </cell>
        </row>
        <row r="283">
          <cell r="C283" t="str">
            <v>BASE 100 ECONOMY</v>
          </cell>
          <cell r="F283">
            <v>100</v>
          </cell>
          <cell r="G283">
            <v>10000</v>
          </cell>
          <cell r="H283">
            <v>4.25</v>
          </cell>
          <cell r="I283">
            <v>94.72</v>
          </cell>
          <cell r="J283">
            <v>70.474999999999994</v>
          </cell>
          <cell r="K283">
            <v>2996</v>
          </cell>
          <cell r="L283">
            <v>0</v>
          </cell>
          <cell r="M283">
            <v>2996</v>
          </cell>
          <cell r="N283">
            <v>42.5</v>
          </cell>
        </row>
        <row r="284">
          <cell r="C284" t="str">
            <v>OTHR 500 ECONOMY</v>
          </cell>
          <cell r="F284">
            <v>350</v>
          </cell>
          <cell r="G284">
            <v>10000</v>
          </cell>
          <cell r="H284">
            <v>4.25</v>
          </cell>
          <cell r="I284">
            <v>75.17</v>
          </cell>
          <cell r="J284">
            <v>195.75200000000001</v>
          </cell>
          <cell r="K284">
            <v>8320</v>
          </cell>
          <cell r="L284">
            <v>0</v>
          </cell>
          <cell r="M284">
            <v>8320</v>
          </cell>
          <cell r="N284">
            <v>42.5</v>
          </cell>
        </row>
        <row r="285">
          <cell r="C285" t="str">
            <v>FPL WIND PURCH</v>
          </cell>
          <cell r="E285" t="str">
            <v>NDT</v>
          </cell>
          <cell r="F285">
            <v>80</v>
          </cell>
          <cell r="G285">
            <v>0</v>
          </cell>
          <cell r="H285">
            <v>0</v>
          </cell>
          <cell r="I285">
            <v>12.83</v>
          </cell>
          <cell r="J285">
            <v>7.6360000000000001</v>
          </cell>
          <cell r="K285">
            <v>0</v>
          </cell>
          <cell r="L285">
            <v>0</v>
          </cell>
          <cell r="M285">
            <v>0</v>
          </cell>
          <cell r="N285">
            <v>0</v>
          </cell>
        </row>
        <row r="286">
          <cell r="C286" t="str">
            <v>INV WIND PURCH</v>
          </cell>
          <cell r="E286" t="str">
            <v>NDT</v>
          </cell>
          <cell r="F286">
            <v>50</v>
          </cell>
          <cell r="G286">
            <v>0</v>
          </cell>
          <cell r="H286">
            <v>0</v>
          </cell>
          <cell r="I286">
            <v>15.86</v>
          </cell>
          <cell r="J286">
            <v>5.9009999999999998</v>
          </cell>
          <cell r="K286">
            <v>0</v>
          </cell>
          <cell r="L286">
            <v>0</v>
          </cell>
          <cell r="M286">
            <v>0</v>
          </cell>
          <cell r="N286">
            <v>0</v>
          </cell>
        </row>
        <row r="287">
          <cell r="C287" t="str">
            <v>JANESVILLE PURCH</v>
          </cell>
          <cell r="F287">
            <v>1.6</v>
          </cell>
          <cell r="G287">
            <v>15000</v>
          </cell>
          <cell r="H287">
            <v>0</v>
          </cell>
          <cell r="I287">
            <v>82.61</v>
          </cell>
          <cell r="J287">
            <v>0.98299999999999998</v>
          </cell>
          <cell r="K287">
            <v>0</v>
          </cell>
          <cell r="L287">
            <v>38</v>
          </cell>
          <cell r="M287">
            <v>38</v>
          </cell>
          <cell r="N287">
            <v>38.869999999999997</v>
          </cell>
        </row>
        <row r="288">
          <cell r="C288" t="str">
            <v>MINERGY    PURCH</v>
          </cell>
          <cell r="F288">
            <v>6.5</v>
          </cell>
          <cell r="G288">
            <v>15000</v>
          </cell>
          <cell r="H288">
            <v>0</v>
          </cell>
          <cell r="I288">
            <v>82.54</v>
          </cell>
          <cell r="J288">
            <v>3.992</v>
          </cell>
          <cell r="K288">
            <v>0</v>
          </cell>
          <cell r="L288">
            <v>155</v>
          </cell>
          <cell r="M288">
            <v>155</v>
          </cell>
          <cell r="N288">
            <v>38.869999999999997</v>
          </cell>
        </row>
        <row r="289">
          <cell r="C289" t="str">
            <v>SUPERIOR   PURCH</v>
          </cell>
          <cell r="F289">
            <v>2.2000000000000002</v>
          </cell>
          <cell r="G289">
            <v>15000</v>
          </cell>
          <cell r="H289">
            <v>0</v>
          </cell>
          <cell r="I289">
            <v>82.46</v>
          </cell>
          <cell r="J289">
            <v>1.35</v>
          </cell>
          <cell r="K289">
            <v>0</v>
          </cell>
          <cell r="L289">
            <v>52</v>
          </cell>
          <cell r="M289">
            <v>52</v>
          </cell>
          <cell r="N289">
            <v>38.869999999999997</v>
          </cell>
        </row>
        <row r="290">
          <cell r="C290" t="str">
            <v>WRPC HYDRO PURCH</v>
          </cell>
          <cell r="E290" t="str">
            <v>MUST</v>
          </cell>
          <cell r="F290">
            <v>13.2</v>
          </cell>
          <cell r="G290">
            <v>0</v>
          </cell>
          <cell r="H290">
            <v>0</v>
          </cell>
          <cell r="I290">
            <v>44.83</v>
          </cell>
          <cell r="J290">
            <v>4.4029999999999996</v>
          </cell>
          <cell r="K290">
            <v>0</v>
          </cell>
          <cell r="L290">
            <v>0</v>
          </cell>
          <cell r="M290">
            <v>0</v>
          </cell>
          <cell r="N290">
            <v>0</v>
          </cell>
        </row>
        <row r="291">
          <cell r="C291" t="str">
            <v>SHEBOYGAN CT1</v>
          </cell>
          <cell r="F291">
            <v>146.499</v>
          </cell>
          <cell r="G291">
            <v>11134</v>
          </cell>
          <cell r="H291">
            <v>6.5010000000000003</v>
          </cell>
          <cell r="I291">
            <v>18.239999999999998</v>
          </cell>
          <cell r="J291">
            <v>19.878</v>
          </cell>
          <cell r="K291">
            <v>1439</v>
          </cell>
          <cell r="L291">
            <v>93</v>
          </cell>
          <cell r="M291">
            <v>1531</v>
          </cell>
          <cell r="N291">
            <v>77.040000000000006</v>
          </cell>
        </row>
        <row r="292">
          <cell r="C292" t="str">
            <v>SHEBOYGAN CT2</v>
          </cell>
          <cell r="F292">
            <v>146.499</v>
          </cell>
          <cell r="G292">
            <v>11231</v>
          </cell>
          <cell r="H292">
            <v>6.5010000000000003</v>
          </cell>
          <cell r="I292">
            <v>11.04</v>
          </cell>
          <cell r="J292">
            <v>12.03</v>
          </cell>
          <cell r="K292">
            <v>878</v>
          </cell>
          <cell r="L292">
            <v>56</v>
          </cell>
          <cell r="M292">
            <v>934</v>
          </cell>
          <cell r="N292">
            <v>77.67</v>
          </cell>
        </row>
        <row r="293">
          <cell r="C293" t="str">
            <v>NEW WIND-100MW</v>
          </cell>
          <cell r="D293">
            <v>2006</v>
          </cell>
          <cell r="E293" t="str">
            <v>NDT</v>
          </cell>
          <cell r="F293">
            <v>100</v>
          </cell>
          <cell r="G293">
            <v>0</v>
          </cell>
          <cell r="H293">
            <v>0</v>
          </cell>
          <cell r="I293">
            <v>12.83</v>
          </cell>
          <cell r="J293">
            <v>9.5449999999999999</v>
          </cell>
          <cell r="K293">
            <v>0</v>
          </cell>
          <cell r="L293">
            <v>328</v>
          </cell>
          <cell r="M293">
            <v>328</v>
          </cell>
          <cell r="N293">
            <v>34.33</v>
          </cell>
        </row>
        <row r="294">
          <cell r="C294" t="str">
            <v>SHARED SAVINGS</v>
          </cell>
          <cell r="D294">
            <v>2005</v>
          </cell>
          <cell r="E294" t="str">
            <v>HYDR</v>
          </cell>
          <cell r="F294">
            <v>6.8639999999999999</v>
          </cell>
          <cell r="G294">
            <v>0</v>
          </cell>
          <cell r="H294">
            <v>0</v>
          </cell>
          <cell r="I294">
            <v>65.81</v>
          </cell>
          <cell r="J294">
            <v>3.3610000000000002</v>
          </cell>
          <cell r="K294">
            <v>0</v>
          </cell>
          <cell r="L294">
            <v>0</v>
          </cell>
          <cell r="M294">
            <v>0</v>
          </cell>
          <cell r="N294">
            <v>0</v>
          </cell>
        </row>
        <row r="295">
          <cell r="C295" t="str">
            <v>RES ENERGY FOCUS</v>
          </cell>
          <cell r="D295">
            <v>2005</v>
          </cell>
          <cell r="E295" t="str">
            <v>HYDR</v>
          </cell>
          <cell r="F295">
            <v>5.21</v>
          </cell>
          <cell r="G295">
            <v>0</v>
          </cell>
          <cell r="H295">
            <v>0</v>
          </cell>
          <cell r="I295">
            <v>39.5</v>
          </cell>
          <cell r="J295">
            <v>1.5309999999999999</v>
          </cell>
          <cell r="K295">
            <v>0</v>
          </cell>
          <cell r="L295">
            <v>0</v>
          </cell>
          <cell r="M295">
            <v>0</v>
          </cell>
          <cell r="N295">
            <v>0</v>
          </cell>
        </row>
        <row r="296">
          <cell r="C296" t="str">
            <v>WPL DLC PROGRAM</v>
          </cell>
          <cell r="D296">
            <v>2005</v>
          </cell>
          <cell r="E296" t="str">
            <v>HYDR</v>
          </cell>
          <cell r="F296">
            <v>4</v>
          </cell>
          <cell r="G296">
            <v>0</v>
          </cell>
          <cell r="H296">
            <v>0</v>
          </cell>
          <cell r="I296">
            <v>6.7</v>
          </cell>
          <cell r="J296">
            <v>0.19900000000000001</v>
          </cell>
          <cell r="K296">
            <v>0</v>
          </cell>
          <cell r="L296">
            <v>0</v>
          </cell>
          <cell r="M296">
            <v>0</v>
          </cell>
          <cell r="N296">
            <v>0</v>
          </cell>
        </row>
        <row r="298">
          <cell r="C298" t="str">
            <v>KEWAUNEE</v>
          </cell>
          <cell r="E298" t="str">
            <v>MUST</v>
          </cell>
          <cell r="F298">
            <v>235.2</v>
          </cell>
          <cell r="G298">
            <v>10750</v>
          </cell>
          <cell r="H298">
            <v>0.45500000000000002</v>
          </cell>
          <cell r="I298">
            <v>96.5</v>
          </cell>
          <cell r="J298">
            <v>168.864</v>
          </cell>
          <cell r="K298">
            <v>827</v>
          </cell>
          <cell r="L298">
            <v>0</v>
          </cell>
          <cell r="M298">
            <v>827</v>
          </cell>
          <cell r="N298">
            <v>4.9000000000000004</v>
          </cell>
        </row>
        <row r="299">
          <cell r="C299" t="str">
            <v>COLUMBIA 1</v>
          </cell>
          <cell r="E299" t="str">
            <v>MUST</v>
          </cell>
          <cell r="F299">
            <v>247.20500000000001</v>
          </cell>
          <cell r="G299">
            <v>10682</v>
          </cell>
          <cell r="H299">
            <v>1.306</v>
          </cell>
          <cell r="I299">
            <v>88.23</v>
          </cell>
          <cell r="J299">
            <v>162.273</v>
          </cell>
          <cell r="K299">
            <v>2263</v>
          </cell>
          <cell r="L299">
            <v>32</v>
          </cell>
          <cell r="M299">
            <v>2295</v>
          </cell>
          <cell r="N299">
            <v>14.15</v>
          </cell>
        </row>
        <row r="300">
          <cell r="C300" t="str">
            <v>COLUMBIA 2</v>
          </cell>
          <cell r="E300" t="str">
            <v>MUST</v>
          </cell>
          <cell r="F300">
            <v>247.09399999999999</v>
          </cell>
          <cell r="G300">
            <v>10545</v>
          </cell>
          <cell r="H300">
            <v>1.306</v>
          </cell>
          <cell r="I300">
            <v>86.34</v>
          </cell>
          <cell r="J300">
            <v>158.726</v>
          </cell>
          <cell r="K300">
            <v>2186</v>
          </cell>
          <cell r="L300">
            <v>2</v>
          </cell>
          <cell r="M300">
            <v>2187</v>
          </cell>
          <cell r="N300">
            <v>13.78</v>
          </cell>
        </row>
        <row r="301">
          <cell r="C301" t="str">
            <v>EDGEWATER 3</v>
          </cell>
          <cell r="F301">
            <v>76.3</v>
          </cell>
          <cell r="G301">
            <v>11081</v>
          </cell>
          <cell r="H301">
            <v>1.482</v>
          </cell>
          <cell r="I301">
            <v>69.77</v>
          </cell>
          <cell r="J301">
            <v>39.607999999999997</v>
          </cell>
          <cell r="K301">
            <v>650</v>
          </cell>
          <cell r="L301">
            <v>11</v>
          </cell>
          <cell r="M301">
            <v>662</v>
          </cell>
          <cell r="N301">
            <v>16.7</v>
          </cell>
        </row>
        <row r="302">
          <cell r="C302" t="str">
            <v>EDGEWATER 4</v>
          </cell>
          <cell r="F302">
            <v>229.99799999999999</v>
          </cell>
          <cell r="G302">
            <v>9970</v>
          </cell>
          <cell r="H302">
            <v>1.399</v>
          </cell>
          <cell r="I302">
            <v>72.55</v>
          </cell>
          <cell r="J302">
            <v>124.146</v>
          </cell>
          <cell r="K302">
            <v>1732</v>
          </cell>
          <cell r="L302">
            <v>34</v>
          </cell>
          <cell r="M302">
            <v>1765</v>
          </cell>
          <cell r="N302">
            <v>14.22</v>
          </cell>
        </row>
        <row r="303">
          <cell r="C303" t="str">
            <v>EDGEWATER 5</v>
          </cell>
          <cell r="E303" t="str">
            <v>MUST</v>
          </cell>
          <cell r="F303">
            <v>302.79300000000001</v>
          </cell>
          <cell r="G303">
            <v>10072</v>
          </cell>
          <cell r="H303">
            <v>1.2849999999999999</v>
          </cell>
          <cell r="I303">
            <v>77.97</v>
          </cell>
          <cell r="J303">
            <v>175.649</v>
          </cell>
          <cell r="K303">
            <v>2273</v>
          </cell>
          <cell r="L303">
            <v>11</v>
          </cell>
          <cell r="M303">
            <v>2284</v>
          </cell>
          <cell r="N303">
            <v>13.01</v>
          </cell>
        </row>
        <row r="304">
          <cell r="C304" t="str">
            <v>BLACKHAWK 3</v>
          </cell>
          <cell r="F304">
            <v>24.9</v>
          </cell>
          <cell r="G304">
            <v>11907</v>
          </cell>
          <cell r="H304">
            <v>6.8239999999999998</v>
          </cell>
          <cell r="I304">
            <v>1.92</v>
          </cell>
          <cell r="J304">
            <v>0.35599999999999998</v>
          </cell>
          <cell r="K304">
            <v>29</v>
          </cell>
          <cell r="L304">
            <v>1</v>
          </cell>
          <cell r="M304">
            <v>30</v>
          </cell>
          <cell r="N304">
            <v>82.85</v>
          </cell>
        </row>
        <row r="305">
          <cell r="C305" t="str">
            <v>BLACKHAWK 4</v>
          </cell>
          <cell r="F305">
            <v>25.1</v>
          </cell>
          <cell r="G305">
            <v>11381</v>
          </cell>
          <cell r="H305">
            <v>6.8239999999999998</v>
          </cell>
          <cell r="I305">
            <v>1.98</v>
          </cell>
          <cell r="J305">
            <v>0.37</v>
          </cell>
          <cell r="K305">
            <v>29</v>
          </cell>
          <cell r="L305">
            <v>1</v>
          </cell>
          <cell r="M305">
            <v>29</v>
          </cell>
          <cell r="N305">
            <v>79.31</v>
          </cell>
        </row>
        <row r="306">
          <cell r="C306" t="str">
            <v>ROCK RIVER 1</v>
          </cell>
          <cell r="F306">
            <v>74.7</v>
          </cell>
          <cell r="G306">
            <v>10985</v>
          </cell>
          <cell r="H306">
            <v>6.3639999999999999</v>
          </cell>
          <cell r="I306">
            <v>12.09</v>
          </cell>
          <cell r="J306">
            <v>6.72</v>
          </cell>
          <cell r="K306">
            <v>470</v>
          </cell>
          <cell r="L306">
            <v>6</v>
          </cell>
          <cell r="M306">
            <v>476</v>
          </cell>
          <cell r="N306">
            <v>70.760000000000005</v>
          </cell>
        </row>
        <row r="307">
          <cell r="C307" t="str">
            <v>ROCK RIVER 2</v>
          </cell>
          <cell r="F307">
            <v>78.2</v>
          </cell>
          <cell r="G307">
            <v>10912</v>
          </cell>
          <cell r="H307">
            <v>6.3639999999999999</v>
          </cell>
          <cell r="I307">
            <v>13.04</v>
          </cell>
          <cell r="J307">
            <v>7.5890000000000004</v>
          </cell>
          <cell r="K307">
            <v>527</v>
          </cell>
          <cell r="L307">
            <v>6</v>
          </cell>
          <cell r="M307">
            <v>533</v>
          </cell>
          <cell r="N307">
            <v>70.25</v>
          </cell>
        </row>
        <row r="308">
          <cell r="C308" t="str">
            <v>ROCK RIVER 3</v>
          </cell>
          <cell r="F308">
            <v>25.800999999999998</v>
          </cell>
          <cell r="G308">
            <v>19625</v>
          </cell>
          <cell r="H308">
            <v>10.587</v>
          </cell>
          <cell r="I308">
            <v>0.01</v>
          </cell>
          <cell r="J308">
            <v>2E-3</v>
          </cell>
          <cell r="K308">
            <v>0</v>
          </cell>
          <cell r="L308">
            <v>0</v>
          </cell>
          <cell r="M308">
            <v>0</v>
          </cell>
          <cell r="N308">
            <v>234.08</v>
          </cell>
        </row>
        <row r="309">
          <cell r="C309" t="str">
            <v>ROCK RIVER 4</v>
          </cell>
          <cell r="F309">
            <v>16.2</v>
          </cell>
          <cell r="G309">
            <v>15849</v>
          </cell>
          <cell r="H309">
            <v>14.135999999999999</v>
          </cell>
          <cell r="I309">
            <v>0.01</v>
          </cell>
          <cell r="J309">
            <v>1E-3</v>
          </cell>
          <cell r="K309">
            <v>0</v>
          </cell>
          <cell r="L309">
            <v>0</v>
          </cell>
          <cell r="M309">
            <v>0</v>
          </cell>
          <cell r="N309">
            <v>263.62</v>
          </cell>
        </row>
        <row r="310">
          <cell r="C310" t="str">
            <v>ROCK RIVER 5</v>
          </cell>
          <cell r="F310">
            <v>55.3</v>
          </cell>
          <cell r="G310">
            <v>13108</v>
          </cell>
          <cell r="H310">
            <v>7.0190000000000001</v>
          </cell>
          <cell r="I310">
            <v>0.02</v>
          </cell>
          <cell r="J310">
            <v>8.0000000000000002E-3</v>
          </cell>
          <cell r="K310">
            <v>1</v>
          </cell>
          <cell r="L310">
            <v>0</v>
          </cell>
          <cell r="M310">
            <v>1</v>
          </cell>
          <cell r="N310">
            <v>111.82</v>
          </cell>
        </row>
        <row r="311">
          <cell r="C311" t="str">
            <v>ROCK RIVER 6</v>
          </cell>
          <cell r="F311">
            <v>55.3</v>
          </cell>
          <cell r="G311">
            <v>13122</v>
          </cell>
          <cell r="H311">
            <v>7.0190000000000001</v>
          </cell>
          <cell r="I311">
            <v>0.01</v>
          </cell>
          <cell r="J311">
            <v>6.0000000000000001E-3</v>
          </cell>
          <cell r="K311">
            <v>1</v>
          </cell>
          <cell r="L311">
            <v>0</v>
          </cell>
          <cell r="M311">
            <v>1</v>
          </cell>
          <cell r="N311">
            <v>112.81</v>
          </cell>
        </row>
        <row r="312">
          <cell r="C312" t="str">
            <v>SHEEPSKIN 1</v>
          </cell>
          <cell r="F312">
            <v>37.6</v>
          </cell>
          <cell r="G312">
            <v>14611</v>
          </cell>
          <cell r="H312">
            <v>8.6709999999999994</v>
          </cell>
          <cell r="I312">
            <v>0.01</v>
          </cell>
          <cell r="J312">
            <v>4.0000000000000001E-3</v>
          </cell>
          <cell r="K312">
            <v>0</v>
          </cell>
          <cell r="L312">
            <v>0</v>
          </cell>
          <cell r="M312">
            <v>1</v>
          </cell>
          <cell r="N312">
            <v>152.15</v>
          </cell>
        </row>
        <row r="313">
          <cell r="C313" t="str">
            <v>SOUTH FDL 1</v>
          </cell>
          <cell r="F313">
            <v>80.400999999999996</v>
          </cell>
          <cell r="G313">
            <v>13347</v>
          </cell>
          <cell r="H313">
            <v>7.0389999999999997</v>
          </cell>
          <cell r="I313">
            <v>0.19</v>
          </cell>
          <cell r="J313">
            <v>0.11600000000000001</v>
          </cell>
          <cell r="K313">
            <v>11</v>
          </cell>
          <cell r="L313">
            <v>1</v>
          </cell>
          <cell r="M313">
            <v>12</v>
          </cell>
          <cell r="N313">
            <v>100.81</v>
          </cell>
        </row>
        <row r="314">
          <cell r="C314" t="str">
            <v>SOUTH FDL 2</v>
          </cell>
          <cell r="F314">
            <v>81.396000000000001</v>
          </cell>
          <cell r="G314">
            <v>13361</v>
          </cell>
          <cell r="H314">
            <v>7.0389999999999997</v>
          </cell>
          <cell r="I314">
            <v>0.12</v>
          </cell>
          <cell r="J314">
            <v>7.1999999999999995E-2</v>
          </cell>
          <cell r="K314">
            <v>7</v>
          </cell>
          <cell r="L314">
            <v>0</v>
          </cell>
          <cell r="M314">
            <v>7</v>
          </cell>
          <cell r="N314">
            <v>100.91</v>
          </cell>
        </row>
        <row r="315">
          <cell r="C315" t="str">
            <v>SOUTH FDL 3</v>
          </cell>
          <cell r="F315">
            <v>76.599999999999994</v>
          </cell>
          <cell r="G315">
            <v>13363</v>
          </cell>
          <cell r="H315">
            <v>7.0389999999999997</v>
          </cell>
          <cell r="I315">
            <v>7.0000000000000007E-2</v>
          </cell>
          <cell r="J315">
            <v>0.04</v>
          </cell>
          <cell r="K315">
            <v>4</v>
          </cell>
          <cell r="L315">
            <v>0</v>
          </cell>
          <cell r="M315">
            <v>4</v>
          </cell>
          <cell r="N315">
            <v>100.93</v>
          </cell>
        </row>
        <row r="316">
          <cell r="C316" t="str">
            <v>SOUTH FDL 4</v>
          </cell>
          <cell r="F316">
            <v>73.897999999999996</v>
          </cell>
          <cell r="G316">
            <v>13368</v>
          </cell>
          <cell r="H316">
            <v>7.0389999999999997</v>
          </cell>
          <cell r="I316">
            <v>0.04</v>
          </cell>
          <cell r="J316">
            <v>2.3E-2</v>
          </cell>
          <cell r="K316">
            <v>2</v>
          </cell>
          <cell r="L316">
            <v>0</v>
          </cell>
          <cell r="M316">
            <v>2</v>
          </cell>
          <cell r="N316">
            <v>100.96</v>
          </cell>
        </row>
        <row r="317">
          <cell r="C317" t="str">
            <v>NELSON DEWEY 1</v>
          </cell>
          <cell r="F317">
            <v>111.511</v>
          </cell>
          <cell r="G317">
            <v>10056</v>
          </cell>
          <cell r="H317">
            <v>1.2330000000000001</v>
          </cell>
          <cell r="I317">
            <v>70.34</v>
          </cell>
          <cell r="J317">
            <v>58.360999999999997</v>
          </cell>
          <cell r="K317">
            <v>724</v>
          </cell>
          <cell r="L317">
            <v>39</v>
          </cell>
          <cell r="M317">
            <v>763</v>
          </cell>
          <cell r="N317">
            <v>13.07</v>
          </cell>
        </row>
        <row r="318">
          <cell r="C318" t="str">
            <v>NELSON DEWEY 2</v>
          </cell>
          <cell r="F318">
            <v>112.002</v>
          </cell>
          <cell r="G318">
            <v>9906</v>
          </cell>
          <cell r="H318">
            <v>1.2330000000000001</v>
          </cell>
          <cell r="I318">
            <v>71.150000000000006</v>
          </cell>
          <cell r="J318">
            <v>59.284999999999997</v>
          </cell>
          <cell r="K318">
            <v>724</v>
          </cell>
          <cell r="L318">
            <v>41</v>
          </cell>
          <cell r="M318">
            <v>765</v>
          </cell>
          <cell r="N318">
            <v>12.9</v>
          </cell>
        </row>
        <row r="319">
          <cell r="C319" t="str">
            <v>WPL HYDRO</v>
          </cell>
          <cell r="E319" t="str">
            <v>MUST</v>
          </cell>
          <cell r="F319">
            <v>27</v>
          </cell>
          <cell r="G319">
            <v>0</v>
          </cell>
          <cell r="H319">
            <v>0</v>
          </cell>
          <cell r="I319">
            <v>92.14</v>
          </cell>
          <cell r="J319">
            <v>18.509</v>
          </cell>
          <cell r="K319">
            <v>0</v>
          </cell>
          <cell r="L319">
            <v>0</v>
          </cell>
          <cell r="M319">
            <v>0</v>
          </cell>
          <cell r="N319">
            <v>0</v>
          </cell>
        </row>
        <row r="320">
          <cell r="C320" t="str">
            <v>BERLIN LFG WPL</v>
          </cell>
          <cell r="F320">
            <v>2.2000000000000002</v>
          </cell>
          <cell r="G320">
            <v>15000</v>
          </cell>
          <cell r="H320">
            <v>0</v>
          </cell>
          <cell r="I320">
            <v>81.55</v>
          </cell>
          <cell r="J320">
            <v>1.335</v>
          </cell>
          <cell r="K320">
            <v>0</v>
          </cell>
          <cell r="L320">
            <v>33</v>
          </cell>
          <cell r="M320">
            <v>33</v>
          </cell>
          <cell r="N320">
            <v>24.97</v>
          </cell>
        </row>
        <row r="321">
          <cell r="C321" t="str">
            <v>RIVERSIDE</v>
          </cell>
          <cell r="F321">
            <v>480.99099999999999</v>
          </cell>
          <cell r="G321">
            <v>7742</v>
          </cell>
          <cell r="H321">
            <v>6.5010000000000003</v>
          </cell>
          <cell r="I321">
            <v>35.58</v>
          </cell>
          <cell r="J321">
            <v>127.315</v>
          </cell>
          <cell r="K321">
            <v>6408</v>
          </cell>
          <cell r="L321">
            <v>73</v>
          </cell>
          <cell r="M321">
            <v>6482</v>
          </cell>
          <cell r="N321">
            <v>50.91</v>
          </cell>
        </row>
        <row r="322">
          <cell r="C322" t="str">
            <v>ROCKGEN #1</v>
          </cell>
          <cell r="F322">
            <v>154.5</v>
          </cell>
          <cell r="G322">
            <v>13457</v>
          </cell>
          <cell r="H322">
            <v>6.5010000000000003</v>
          </cell>
          <cell r="I322">
            <v>2.08</v>
          </cell>
          <cell r="J322">
            <v>2.3860000000000001</v>
          </cell>
          <cell r="K322">
            <v>209</v>
          </cell>
          <cell r="L322">
            <v>14</v>
          </cell>
          <cell r="M322">
            <v>223</v>
          </cell>
          <cell r="N322">
            <v>93.53</v>
          </cell>
        </row>
        <row r="323">
          <cell r="C323" t="str">
            <v>ROCKGEN #2</v>
          </cell>
          <cell r="F323">
            <v>154.5</v>
          </cell>
          <cell r="G323">
            <v>13508</v>
          </cell>
          <cell r="H323">
            <v>6.5010000000000003</v>
          </cell>
          <cell r="I323">
            <v>1.01</v>
          </cell>
          <cell r="J323">
            <v>1.1619999999999999</v>
          </cell>
          <cell r="K323">
            <v>102</v>
          </cell>
          <cell r="L323">
            <v>7</v>
          </cell>
          <cell r="M323">
            <v>109</v>
          </cell>
          <cell r="N323">
            <v>93.85</v>
          </cell>
        </row>
        <row r="324">
          <cell r="C324" t="str">
            <v>ROCKGEN #3</v>
          </cell>
          <cell r="F324">
            <v>154.5</v>
          </cell>
          <cell r="G324">
            <v>13581</v>
          </cell>
          <cell r="H324">
            <v>6.5010000000000003</v>
          </cell>
          <cell r="I324">
            <v>0.45</v>
          </cell>
          <cell r="J324">
            <v>0.51700000000000002</v>
          </cell>
          <cell r="K324">
            <v>46</v>
          </cell>
          <cell r="L324">
            <v>3</v>
          </cell>
          <cell r="M324">
            <v>49</v>
          </cell>
          <cell r="N324">
            <v>94.33</v>
          </cell>
        </row>
        <row r="325">
          <cell r="C325" t="str">
            <v>BASE 100 ECONOMY</v>
          </cell>
          <cell r="F325">
            <v>100</v>
          </cell>
          <cell r="G325">
            <v>10000</v>
          </cell>
          <cell r="H325">
            <v>4.25</v>
          </cell>
          <cell r="I325">
            <v>92.51</v>
          </cell>
          <cell r="J325">
            <v>68.828999999999994</v>
          </cell>
          <cell r="K325">
            <v>2926</v>
          </cell>
          <cell r="L325">
            <v>0</v>
          </cell>
          <cell r="M325">
            <v>2926</v>
          </cell>
          <cell r="N325">
            <v>42.5</v>
          </cell>
        </row>
        <row r="326">
          <cell r="C326" t="str">
            <v>OTHR 500 ECONOMY</v>
          </cell>
          <cell r="F326">
            <v>400</v>
          </cell>
          <cell r="G326">
            <v>10000</v>
          </cell>
          <cell r="H326">
            <v>4.25</v>
          </cell>
          <cell r="I326">
            <v>67.930000000000007</v>
          </cell>
          <cell r="J326">
            <v>202.15</v>
          </cell>
          <cell r="K326">
            <v>8592</v>
          </cell>
          <cell r="L326">
            <v>0</v>
          </cell>
          <cell r="M326">
            <v>8592</v>
          </cell>
          <cell r="N326">
            <v>42.5</v>
          </cell>
        </row>
        <row r="327">
          <cell r="C327" t="str">
            <v>FPL WIND PURCH</v>
          </cell>
          <cell r="E327" t="str">
            <v>NDT</v>
          </cell>
          <cell r="F327">
            <v>80</v>
          </cell>
          <cell r="G327">
            <v>0</v>
          </cell>
          <cell r="H327">
            <v>0</v>
          </cell>
          <cell r="I327">
            <v>13.27</v>
          </cell>
          <cell r="J327">
            <v>7.8959999999999999</v>
          </cell>
          <cell r="K327">
            <v>0</v>
          </cell>
          <cell r="L327">
            <v>0</v>
          </cell>
          <cell r="M327">
            <v>0</v>
          </cell>
          <cell r="N327">
            <v>0</v>
          </cell>
        </row>
        <row r="328">
          <cell r="C328" t="str">
            <v>INV WIND PURCH</v>
          </cell>
          <cell r="E328" t="str">
            <v>NDT</v>
          </cell>
          <cell r="F328">
            <v>50</v>
          </cell>
          <cell r="G328">
            <v>0</v>
          </cell>
          <cell r="H328">
            <v>0</v>
          </cell>
          <cell r="I328">
            <v>17.36</v>
          </cell>
          <cell r="J328">
            <v>6.4569999999999999</v>
          </cell>
          <cell r="K328">
            <v>0</v>
          </cell>
          <cell r="L328">
            <v>0</v>
          </cell>
          <cell r="M328">
            <v>0</v>
          </cell>
          <cell r="N328">
            <v>0</v>
          </cell>
        </row>
        <row r="329">
          <cell r="C329" t="str">
            <v>JANESVILLE PURCH</v>
          </cell>
          <cell r="F329">
            <v>1.6</v>
          </cell>
          <cell r="G329">
            <v>15000</v>
          </cell>
          <cell r="H329">
            <v>0</v>
          </cell>
          <cell r="I329">
            <v>81.55</v>
          </cell>
          <cell r="J329">
            <v>0.97099999999999997</v>
          </cell>
          <cell r="K329">
            <v>0</v>
          </cell>
          <cell r="L329">
            <v>38</v>
          </cell>
          <cell r="M329">
            <v>38</v>
          </cell>
          <cell r="N329">
            <v>38.869999999999997</v>
          </cell>
        </row>
        <row r="330">
          <cell r="C330" t="str">
            <v>MINERGY    PURCH</v>
          </cell>
          <cell r="F330">
            <v>6.5</v>
          </cell>
          <cell r="G330">
            <v>15000</v>
          </cell>
          <cell r="H330">
            <v>0</v>
          </cell>
          <cell r="I330">
            <v>81.36</v>
          </cell>
          <cell r="J330">
            <v>3.9340000000000002</v>
          </cell>
          <cell r="K330">
            <v>0</v>
          </cell>
          <cell r="L330">
            <v>153</v>
          </cell>
          <cell r="M330">
            <v>153</v>
          </cell>
          <cell r="N330">
            <v>38.869999999999997</v>
          </cell>
        </row>
        <row r="331">
          <cell r="C331" t="str">
            <v>SUPERIOR   PURCH</v>
          </cell>
          <cell r="F331">
            <v>2.2000000000000002</v>
          </cell>
          <cell r="G331">
            <v>15000</v>
          </cell>
          <cell r="H331">
            <v>0</v>
          </cell>
          <cell r="I331">
            <v>81.349999999999994</v>
          </cell>
          <cell r="J331">
            <v>1.3320000000000001</v>
          </cell>
          <cell r="K331">
            <v>0</v>
          </cell>
          <cell r="L331">
            <v>52</v>
          </cell>
          <cell r="M331">
            <v>52</v>
          </cell>
          <cell r="N331">
            <v>38.869999999999997</v>
          </cell>
        </row>
        <row r="332">
          <cell r="C332" t="str">
            <v>WRPC HYDRO PURCH</v>
          </cell>
          <cell r="E332" t="str">
            <v>MUST</v>
          </cell>
          <cell r="F332">
            <v>13.2</v>
          </cell>
          <cell r="G332">
            <v>0</v>
          </cell>
          <cell r="H332">
            <v>0</v>
          </cell>
          <cell r="I332">
            <v>44.83</v>
          </cell>
          <cell r="J332">
            <v>4.4029999999999996</v>
          </cell>
          <cell r="K332">
            <v>0</v>
          </cell>
          <cell r="L332">
            <v>0</v>
          </cell>
          <cell r="M332">
            <v>0</v>
          </cell>
          <cell r="N332">
            <v>0</v>
          </cell>
        </row>
        <row r="333">
          <cell r="C333" t="str">
            <v>SHEBOYGAN CT1</v>
          </cell>
          <cell r="F333">
            <v>146.499</v>
          </cell>
          <cell r="G333">
            <v>11236</v>
          </cell>
          <cell r="H333">
            <v>6.5010000000000003</v>
          </cell>
          <cell r="I333">
            <v>8.1999999999999993</v>
          </cell>
          <cell r="J333">
            <v>8.9390000000000001</v>
          </cell>
          <cell r="K333">
            <v>653</v>
          </cell>
          <cell r="L333">
            <v>42</v>
          </cell>
          <cell r="M333">
            <v>695</v>
          </cell>
          <cell r="N333">
            <v>77.709999999999994</v>
          </cell>
        </row>
        <row r="334">
          <cell r="C334" t="str">
            <v>SHEBOYGAN CT2</v>
          </cell>
          <cell r="F334">
            <v>146.499</v>
          </cell>
          <cell r="G334">
            <v>11270</v>
          </cell>
          <cell r="H334">
            <v>6.5010000000000003</v>
          </cell>
          <cell r="I334">
            <v>4.54</v>
          </cell>
          <cell r="J334">
            <v>4.944</v>
          </cell>
          <cell r="K334">
            <v>362</v>
          </cell>
          <cell r="L334">
            <v>23</v>
          </cell>
          <cell r="M334">
            <v>385</v>
          </cell>
          <cell r="N334">
            <v>77.930000000000007</v>
          </cell>
        </row>
        <row r="335">
          <cell r="C335" t="str">
            <v>NEW WIND-100MW</v>
          </cell>
          <cell r="D335">
            <v>2006</v>
          </cell>
          <cell r="E335" t="str">
            <v>NDT</v>
          </cell>
          <cell r="F335">
            <v>100</v>
          </cell>
          <cell r="G335">
            <v>0</v>
          </cell>
          <cell r="H335">
            <v>0</v>
          </cell>
          <cell r="I335">
            <v>13.27</v>
          </cell>
          <cell r="J335">
            <v>9.8699999999999992</v>
          </cell>
          <cell r="K335">
            <v>0</v>
          </cell>
          <cell r="L335">
            <v>339</v>
          </cell>
          <cell r="M335">
            <v>339</v>
          </cell>
          <cell r="N335">
            <v>34.33</v>
          </cell>
        </row>
        <row r="336">
          <cell r="C336" t="str">
            <v>SHARED SAVINGS</v>
          </cell>
          <cell r="D336">
            <v>2005</v>
          </cell>
          <cell r="E336" t="str">
            <v>HYDR</v>
          </cell>
          <cell r="F336">
            <v>6.8639999999999999</v>
          </cell>
          <cell r="G336">
            <v>0</v>
          </cell>
          <cell r="H336">
            <v>0</v>
          </cell>
          <cell r="I336">
            <v>65.81</v>
          </cell>
          <cell r="J336">
            <v>3.3610000000000002</v>
          </cell>
          <cell r="K336">
            <v>0</v>
          </cell>
          <cell r="L336">
            <v>0</v>
          </cell>
          <cell r="M336">
            <v>0</v>
          </cell>
          <cell r="N336">
            <v>0</v>
          </cell>
        </row>
        <row r="337">
          <cell r="C337" t="str">
            <v>RES ENERGY FOCUS</v>
          </cell>
          <cell r="D337">
            <v>2005</v>
          </cell>
          <cell r="E337" t="str">
            <v>HYDR</v>
          </cell>
          <cell r="F337">
            <v>5.21</v>
          </cell>
          <cell r="G337">
            <v>0</v>
          </cell>
          <cell r="H337">
            <v>0</v>
          </cell>
          <cell r="I337">
            <v>39.5</v>
          </cell>
          <cell r="J337">
            <v>1.5309999999999999</v>
          </cell>
          <cell r="K337">
            <v>0</v>
          </cell>
          <cell r="L337">
            <v>0</v>
          </cell>
          <cell r="M337">
            <v>0</v>
          </cell>
          <cell r="N337">
            <v>0</v>
          </cell>
        </row>
        <row r="338">
          <cell r="C338" t="str">
            <v>WPL DLC PROGRAM</v>
          </cell>
          <cell r="D338">
            <v>2005</v>
          </cell>
          <cell r="E338" t="str">
            <v>HYDR</v>
          </cell>
          <cell r="F338">
            <v>4</v>
          </cell>
          <cell r="G338">
            <v>0</v>
          </cell>
          <cell r="H338">
            <v>0</v>
          </cell>
          <cell r="I338">
            <v>6.7</v>
          </cell>
          <cell r="J338">
            <v>0.19900000000000001</v>
          </cell>
          <cell r="K338">
            <v>0</v>
          </cell>
          <cell r="L338">
            <v>0</v>
          </cell>
          <cell r="M338">
            <v>0</v>
          </cell>
          <cell r="N338">
            <v>0</v>
          </cell>
        </row>
        <row r="340">
          <cell r="C340" t="str">
            <v>KEWAUNEE</v>
          </cell>
          <cell r="E340" t="str">
            <v>MUST</v>
          </cell>
          <cell r="F340">
            <v>235.2</v>
          </cell>
          <cell r="G340">
            <v>10750</v>
          </cell>
          <cell r="H340">
            <v>0.45500000000000002</v>
          </cell>
          <cell r="I340">
            <v>96.5</v>
          </cell>
          <cell r="J340">
            <v>163.417</v>
          </cell>
          <cell r="K340">
            <v>800</v>
          </cell>
          <cell r="L340">
            <v>0</v>
          </cell>
          <cell r="M340">
            <v>800</v>
          </cell>
          <cell r="N340">
            <v>4.9000000000000004</v>
          </cell>
        </row>
        <row r="341">
          <cell r="C341" t="str">
            <v>COLUMBIA 1</v>
          </cell>
          <cell r="E341" t="str">
            <v>MUST</v>
          </cell>
          <cell r="F341">
            <v>247.20500000000001</v>
          </cell>
          <cell r="G341">
            <v>10682</v>
          </cell>
          <cell r="H341">
            <v>1.306</v>
          </cell>
          <cell r="I341">
            <v>88.23</v>
          </cell>
          <cell r="J341">
            <v>157.03800000000001</v>
          </cell>
          <cell r="K341">
            <v>2190</v>
          </cell>
          <cell r="L341">
            <v>31</v>
          </cell>
          <cell r="M341">
            <v>2221</v>
          </cell>
          <cell r="N341">
            <v>14.15</v>
          </cell>
        </row>
        <row r="342">
          <cell r="C342" t="str">
            <v>COLUMBIA 2</v>
          </cell>
          <cell r="E342" t="str">
            <v>MUST</v>
          </cell>
          <cell r="F342">
            <v>247.09399999999999</v>
          </cell>
          <cell r="G342">
            <v>10545</v>
          </cell>
          <cell r="H342">
            <v>1.306</v>
          </cell>
          <cell r="I342">
            <v>86.32</v>
          </cell>
          <cell r="J342">
            <v>153.566</v>
          </cell>
          <cell r="K342">
            <v>2115</v>
          </cell>
          <cell r="L342">
            <v>2</v>
          </cell>
          <cell r="M342">
            <v>2116</v>
          </cell>
          <cell r="N342">
            <v>13.78</v>
          </cell>
        </row>
        <row r="343">
          <cell r="C343" t="str">
            <v>EDGEWATER 3</v>
          </cell>
          <cell r="F343">
            <v>76.3</v>
          </cell>
          <cell r="G343">
            <v>11090</v>
          </cell>
          <cell r="H343">
            <v>1.482</v>
          </cell>
          <cell r="I343">
            <v>64.569999999999993</v>
          </cell>
          <cell r="J343">
            <v>35.470999999999997</v>
          </cell>
          <cell r="K343">
            <v>583</v>
          </cell>
          <cell r="L343">
            <v>10</v>
          </cell>
          <cell r="M343">
            <v>593</v>
          </cell>
          <cell r="N343">
            <v>16.72</v>
          </cell>
        </row>
        <row r="344">
          <cell r="C344" t="str">
            <v>EDGEWATER 4</v>
          </cell>
          <cell r="F344">
            <v>229.99799999999999</v>
          </cell>
          <cell r="G344">
            <v>9972</v>
          </cell>
          <cell r="H344">
            <v>1.399</v>
          </cell>
          <cell r="I344">
            <v>72.150000000000006</v>
          </cell>
          <cell r="J344">
            <v>119.47499999999999</v>
          </cell>
          <cell r="K344">
            <v>1667</v>
          </cell>
          <cell r="L344">
            <v>32</v>
          </cell>
          <cell r="M344">
            <v>1699</v>
          </cell>
          <cell r="N344">
            <v>14.22</v>
          </cell>
        </row>
        <row r="345">
          <cell r="C345" t="str">
            <v>EDGEWATER 5</v>
          </cell>
          <cell r="E345" t="str">
            <v>MUST</v>
          </cell>
          <cell r="F345">
            <v>302.79300000000001</v>
          </cell>
          <cell r="G345">
            <v>10072</v>
          </cell>
          <cell r="H345">
            <v>1.2849999999999999</v>
          </cell>
          <cell r="I345">
            <v>77.97</v>
          </cell>
          <cell r="J345">
            <v>169.983</v>
          </cell>
          <cell r="K345">
            <v>2200</v>
          </cell>
          <cell r="L345">
            <v>11</v>
          </cell>
          <cell r="M345">
            <v>2211</v>
          </cell>
          <cell r="N345">
            <v>13.01</v>
          </cell>
        </row>
        <row r="346">
          <cell r="C346" t="str">
            <v>BLACKHAWK 3</v>
          </cell>
          <cell r="F346">
            <v>24.9</v>
          </cell>
          <cell r="G346">
            <v>11876</v>
          </cell>
          <cell r="H346">
            <v>6.8239999999999998</v>
          </cell>
          <cell r="I346">
            <v>0.45</v>
          </cell>
          <cell r="J346">
            <v>0.08</v>
          </cell>
          <cell r="K346">
            <v>6</v>
          </cell>
          <cell r="L346">
            <v>0</v>
          </cell>
          <cell r="M346">
            <v>7</v>
          </cell>
          <cell r="N346">
            <v>82.64</v>
          </cell>
        </row>
        <row r="347">
          <cell r="C347" t="str">
            <v>BLACKHAWK 4</v>
          </cell>
          <cell r="F347">
            <v>25.1</v>
          </cell>
          <cell r="G347">
            <v>11380</v>
          </cell>
          <cell r="H347">
            <v>6.8239999999999998</v>
          </cell>
          <cell r="I347">
            <v>0.47</v>
          </cell>
          <cell r="J347">
            <v>8.5999999999999993E-2</v>
          </cell>
          <cell r="K347">
            <v>7</v>
          </cell>
          <cell r="L347">
            <v>0</v>
          </cell>
          <cell r="M347">
            <v>7</v>
          </cell>
          <cell r="N347">
            <v>79.3</v>
          </cell>
        </row>
        <row r="348">
          <cell r="C348" t="str">
            <v>ROCK RIVER 1</v>
          </cell>
          <cell r="F348">
            <v>74.7</v>
          </cell>
          <cell r="G348">
            <v>11036</v>
          </cell>
          <cell r="H348">
            <v>6.3639999999999999</v>
          </cell>
          <cell r="I348">
            <v>5.01</v>
          </cell>
          <cell r="J348">
            <v>2.694</v>
          </cell>
          <cell r="K348">
            <v>189</v>
          </cell>
          <cell r="L348">
            <v>2</v>
          </cell>
          <cell r="M348">
            <v>192</v>
          </cell>
          <cell r="N348">
            <v>71.09</v>
          </cell>
        </row>
        <row r="349">
          <cell r="C349" t="str">
            <v>ROCK RIVER 2</v>
          </cell>
          <cell r="F349">
            <v>78.2</v>
          </cell>
          <cell r="G349">
            <v>10931</v>
          </cell>
          <cell r="H349">
            <v>6.3639999999999999</v>
          </cell>
          <cell r="I349">
            <v>5.75</v>
          </cell>
          <cell r="J349">
            <v>3.2349999999999999</v>
          </cell>
          <cell r="K349">
            <v>225</v>
          </cell>
          <cell r="L349">
            <v>3</v>
          </cell>
          <cell r="M349">
            <v>228</v>
          </cell>
          <cell r="N349">
            <v>70.37</v>
          </cell>
        </row>
        <row r="350">
          <cell r="C350" t="str">
            <v>ROCK RIVER 3</v>
          </cell>
          <cell r="F350">
            <v>25.800999999999998</v>
          </cell>
          <cell r="G350">
            <v>0</v>
          </cell>
          <cell r="H350">
            <v>0</v>
          </cell>
          <cell r="I350">
            <v>0</v>
          </cell>
          <cell r="J350">
            <v>0</v>
          </cell>
          <cell r="K350">
            <v>0</v>
          </cell>
          <cell r="L350">
            <v>0</v>
          </cell>
          <cell r="M350">
            <v>0</v>
          </cell>
          <cell r="N350">
            <v>0</v>
          </cell>
        </row>
        <row r="351">
          <cell r="C351" t="str">
            <v>ROCK RIVER 4</v>
          </cell>
          <cell r="F351">
            <v>16.2</v>
          </cell>
          <cell r="G351">
            <v>0</v>
          </cell>
          <cell r="H351">
            <v>0</v>
          </cell>
          <cell r="I351">
            <v>0</v>
          </cell>
          <cell r="J351">
            <v>0</v>
          </cell>
          <cell r="K351">
            <v>0</v>
          </cell>
          <cell r="L351">
            <v>0</v>
          </cell>
          <cell r="M351">
            <v>0</v>
          </cell>
          <cell r="N351">
            <v>0</v>
          </cell>
        </row>
        <row r="352">
          <cell r="C352" t="str">
            <v>ROCK RIVER 5</v>
          </cell>
          <cell r="F352">
            <v>55.3</v>
          </cell>
          <cell r="G352">
            <v>0</v>
          </cell>
          <cell r="H352">
            <v>0</v>
          </cell>
          <cell r="I352">
            <v>0</v>
          </cell>
          <cell r="J352">
            <v>0</v>
          </cell>
          <cell r="K352">
            <v>0</v>
          </cell>
          <cell r="L352">
            <v>0</v>
          </cell>
          <cell r="M352">
            <v>0</v>
          </cell>
          <cell r="N352">
            <v>0</v>
          </cell>
        </row>
        <row r="353">
          <cell r="C353" t="str">
            <v>ROCK RIVER 6</v>
          </cell>
          <cell r="F353">
            <v>55.3</v>
          </cell>
          <cell r="G353">
            <v>0</v>
          </cell>
          <cell r="H353">
            <v>0</v>
          </cell>
          <cell r="I353">
            <v>0</v>
          </cell>
          <cell r="J353">
            <v>0</v>
          </cell>
          <cell r="K353">
            <v>0</v>
          </cell>
          <cell r="L353">
            <v>0</v>
          </cell>
          <cell r="M353">
            <v>0</v>
          </cell>
          <cell r="N353">
            <v>0</v>
          </cell>
        </row>
        <row r="354">
          <cell r="C354" t="str">
            <v>SHEEPSKIN 1</v>
          </cell>
          <cell r="F354">
            <v>37.6</v>
          </cell>
          <cell r="G354">
            <v>0</v>
          </cell>
          <cell r="H354">
            <v>0</v>
          </cell>
          <cell r="I354">
            <v>0</v>
          </cell>
          <cell r="J354">
            <v>0</v>
          </cell>
          <cell r="K354">
            <v>0</v>
          </cell>
          <cell r="L354">
            <v>0</v>
          </cell>
          <cell r="M354">
            <v>0</v>
          </cell>
          <cell r="N354">
            <v>0</v>
          </cell>
        </row>
        <row r="355">
          <cell r="C355" t="str">
            <v>SOUTH FDL 1</v>
          </cell>
          <cell r="F355">
            <v>80.400999999999996</v>
          </cell>
          <cell r="G355">
            <v>13459</v>
          </cell>
          <cell r="H355">
            <v>7.0389999999999997</v>
          </cell>
          <cell r="I355">
            <v>0.02</v>
          </cell>
          <cell r="J355">
            <v>8.9999999999999993E-3</v>
          </cell>
          <cell r="K355">
            <v>1</v>
          </cell>
          <cell r="L355">
            <v>0</v>
          </cell>
          <cell r="M355">
            <v>1</v>
          </cell>
          <cell r="N355">
            <v>101.6</v>
          </cell>
        </row>
        <row r="356">
          <cell r="C356" t="str">
            <v>SOUTH FDL 2</v>
          </cell>
          <cell r="F356">
            <v>81.396000000000001</v>
          </cell>
          <cell r="G356">
            <v>13515</v>
          </cell>
          <cell r="H356">
            <v>7.0389999999999997</v>
          </cell>
          <cell r="I356">
            <v>0.01</v>
          </cell>
          <cell r="J356">
            <v>4.0000000000000001E-3</v>
          </cell>
          <cell r="K356">
            <v>0</v>
          </cell>
          <cell r="L356">
            <v>0</v>
          </cell>
          <cell r="M356">
            <v>0</v>
          </cell>
          <cell r="N356">
            <v>101.99</v>
          </cell>
        </row>
        <row r="357">
          <cell r="C357" t="str">
            <v>SOUTH FDL 3</v>
          </cell>
          <cell r="F357">
            <v>76.599999999999994</v>
          </cell>
          <cell r="G357">
            <v>13709</v>
          </cell>
          <cell r="H357">
            <v>7.0389999999999997</v>
          </cell>
          <cell r="I357">
            <v>0</v>
          </cell>
          <cell r="J357">
            <v>1E-3</v>
          </cell>
          <cell r="K357">
            <v>0</v>
          </cell>
          <cell r="L357">
            <v>0</v>
          </cell>
          <cell r="M357">
            <v>0</v>
          </cell>
          <cell r="N357">
            <v>103.36</v>
          </cell>
        </row>
        <row r="358">
          <cell r="C358" t="str">
            <v>SOUTH FDL 4</v>
          </cell>
          <cell r="F358">
            <v>73.897999999999996</v>
          </cell>
          <cell r="G358">
            <v>0</v>
          </cell>
          <cell r="H358">
            <v>0</v>
          </cell>
          <cell r="I358">
            <v>0</v>
          </cell>
          <cell r="J358">
            <v>0</v>
          </cell>
          <cell r="K358">
            <v>0</v>
          </cell>
          <cell r="L358">
            <v>0</v>
          </cell>
          <cell r="M358">
            <v>0</v>
          </cell>
          <cell r="N358">
            <v>0</v>
          </cell>
        </row>
        <row r="359">
          <cell r="C359" t="str">
            <v>NELSON DEWEY 1</v>
          </cell>
          <cell r="F359">
            <v>111.511</v>
          </cell>
          <cell r="G359">
            <v>10062</v>
          </cell>
          <cell r="H359">
            <v>1.2330000000000001</v>
          </cell>
          <cell r="I359">
            <v>67.38</v>
          </cell>
          <cell r="J359">
            <v>54.095999999999997</v>
          </cell>
          <cell r="K359">
            <v>671</v>
          </cell>
          <cell r="L359">
            <v>36</v>
          </cell>
          <cell r="M359">
            <v>707</v>
          </cell>
          <cell r="N359">
            <v>13.07</v>
          </cell>
        </row>
        <row r="360">
          <cell r="C360" t="str">
            <v>NELSON DEWEY 2</v>
          </cell>
          <cell r="F360">
            <v>112.002</v>
          </cell>
          <cell r="G360">
            <v>9907</v>
          </cell>
          <cell r="H360">
            <v>1.2330000000000001</v>
          </cell>
          <cell r="I360">
            <v>69.08</v>
          </cell>
          <cell r="J360">
            <v>55.704999999999998</v>
          </cell>
          <cell r="K360">
            <v>681</v>
          </cell>
          <cell r="L360">
            <v>38</v>
          </cell>
          <cell r="M360">
            <v>719</v>
          </cell>
          <cell r="N360">
            <v>12.9</v>
          </cell>
        </row>
        <row r="361">
          <cell r="C361" t="str">
            <v>WPL HYDRO</v>
          </cell>
          <cell r="E361" t="str">
            <v>MUST</v>
          </cell>
          <cell r="F361">
            <v>27</v>
          </cell>
          <cell r="G361">
            <v>0</v>
          </cell>
          <cell r="H361">
            <v>0</v>
          </cell>
          <cell r="I361">
            <v>92.14</v>
          </cell>
          <cell r="J361">
            <v>17.911999999999999</v>
          </cell>
          <cell r="K361">
            <v>0</v>
          </cell>
          <cell r="L361">
            <v>0</v>
          </cell>
          <cell r="M361">
            <v>0</v>
          </cell>
          <cell r="N361">
            <v>0</v>
          </cell>
        </row>
        <row r="362">
          <cell r="C362" t="str">
            <v>BERLIN LFG WPL</v>
          </cell>
          <cell r="F362">
            <v>2.2000000000000002</v>
          </cell>
          <cell r="G362">
            <v>15000</v>
          </cell>
          <cell r="H362">
            <v>0</v>
          </cell>
          <cell r="I362">
            <v>74.09</v>
          </cell>
          <cell r="J362">
            <v>1.1739999999999999</v>
          </cell>
          <cell r="K362">
            <v>0</v>
          </cell>
          <cell r="L362">
            <v>29</v>
          </cell>
          <cell r="M362">
            <v>29</v>
          </cell>
          <cell r="N362">
            <v>24.97</v>
          </cell>
        </row>
        <row r="363">
          <cell r="C363" t="str">
            <v>RIVERSIDE</v>
          </cell>
          <cell r="F363">
            <v>480.99099999999999</v>
          </cell>
          <cell r="G363">
            <v>7901</v>
          </cell>
          <cell r="H363">
            <v>6.5010000000000003</v>
          </cell>
          <cell r="I363">
            <v>25.72</v>
          </cell>
          <cell r="J363">
            <v>89.066999999999993</v>
          </cell>
          <cell r="K363">
            <v>4575</v>
          </cell>
          <cell r="L363">
            <v>51</v>
          </cell>
          <cell r="M363">
            <v>4626</v>
          </cell>
          <cell r="N363">
            <v>51.94</v>
          </cell>
        </row>
        <row r="364">
          <cell r="C364" t="str">
            <v>ROCKGEN #1</v>
          </cell>
          <cell r="F364">
            <v>154.5</v>
          </cell>
          <cell r="G364">
            <v>13561</v>
          </cell>
          <cell r="H364">
            <v>6.5010000000000003</v>
          </cell>
          <cell r="I364">
            <v>0.46</v>
          </cell>
          <cell r="J364">
            <v>0.50800000000000001</v>
          </cell>
          <cell r="K364">
            <v>45</v>
          </cell>
          <cell r="L364">
            <v>3</v>
          </cell>
          <cell r="M364">
            <v>48</v>
          </cell>
          <cell r="N364">
            <v>94.2</v>
          </cell>
        </row>
        <row r="365">
          <cell r="C365" t="str">
            <v>ROCKGEN #2</v>
          </cell>
          <cell r="F365">
            <v>154.5</v>
          </cell>
          <cell r="G365">
            <v>13679</v>
          </cell>
          <cell r="H365">
            <v>6.5010000000000003</v>
          </cell>
          <cell r="I365">
            <v>0.18</v>
          </cell>
          <cell r="J365">
            <v>0.20399999999999999</v>
          </cell>
          <cell r="K365">
            <v>18</v>
          </cell>
          <cell r="L365">
            <v>1</v>
          </cell>
          <cell r="M365">
            <v>19</v>
          </cell>
          <cell r="N365">
            <v>94.97</v>
          </cell>
        </row>
        <row r="366">
          <cell r="C366" t="str">
            <v>ROCKGEN #3</v>
          </cell>
          <cell r="F366">
            <v>154.5</v>
          </cell>
          <cell r="G366">
            <v>13863</v>
          </cell>
          <cell r="H366">
            <v>6.5010000000000003</v>
          </cell>
          <cell r="I366">
            <v>0.06</v>
          </cell>
          <cell r="J366">
            <v>6.5000000000000002E-2</v>
          </cell>
          <cell r="K366">
            <v>6</v>
          </cell>
          <cell r="L366">
            <v>0</v>
          </cell>
          <cell r="M366">
            <v>6</v>
          </cell>
          <cell r="N366">
            <v>96.16</v>
          </cell>
        </row>
        <row r="367">
          <cell r="C367" t="str">
            <v>BASE 100 ECONOMY</v>
          </cell>
          <cell r="F367">
            <v>100</v>
          </cell>
          <cell r="G367">
            <v>10000</v>
          </cell>
          <cell r="H367">
            <v>3.0910000000000002</v>
          </cell>
          <cell r="I367">
            <v>82.53</v>
          </cell>
          <cell r="J367">
            <v>59.420999999999999</v>
          </cell>
          <cell r="K367">
            <v>1837</v>
          </cell>
          <cell r="L367">
            <v>0</v>
          </cell>
          <cell r="M367">
            <v>1837</v>
          </cell>
          <cell r="N367">
            <v>30.91</v>
          </cell>
        </row>
        <row r="368">
          <cell r="C368" t="str">
            <v>OTHR 500 ECONOMY</v>
          </cell>
          <cell r="F368">
            <v>300</v>
          </cell>
          <cell r="G368">
            <v>10000</v>
          </cell>
          <cell r="H368">
            <v>3.0910000000000002</v>
          </cell>
          <cell r="I368">
            <v>58.36</v>
          </cell>
          <cell r="J368">
            <v>126.06100000000001</v>
          </cell>
          <cell r="K368">
            <v>3897</v>
          </cell>
          <cell r="L368">
            <v>0</v>
          </cell>
          <cell r="M368">
            <v>3897</v>
          </cell>
          <cell r="N368">
            <v>30.91</v>
          </cell>
        </row>
        <row r="369">
          <cell r="C369" t="str">
            <v>FPL WIND PURCH</v>
          </cell>
          <cell r="E369" t="str">
            <v>NDT</v>
          </cell>
          <cell r="F369">
            <v>80</v>
          </cell>
          <cell r="G369">
            <v>0</v>
          </cell>
          <cell r="H369">
            <v>0</v>
          </cell>
          <cell r="I369">
            <v>26.11</v>
          </cell>
          <cell r="J369">
            <v>15.037000000000001</v>
          </cell>
          <cell r="K369">
            <v>0</v>
          </cell>
          <cell r="L369">
            <v>0</v>
          </cell>
          <cell r="M369">
            <v>0</v>
          </cell>
          <cell r="N369">
            <v>0</v>
          </cell>
        </row>
        <row r="370">
          <cell r="C370" t="str">
            <v>INV WIND PURCH</v>
          </cell>
          <cell r="E370" t="str">
            <v>NDT</v>
          </cell>
          <cell r="F370">
            <v>50</v>
          </cell>
          <cell r="G370">
            <v>0</v>
          </cell>
          <cell r="H370">
            <v>0</v>
          </cell>
          <cell r="I370">
            <v>35.25</v>
          </cell>
          <cell r="J370">
            <v>12.688000000000001</v>
          </cell>
          <cell r="K370">
            <v>0</v>
          </cell>
          <cell r="L370">
            <v>0</v>
          </cell>
          <cell r="M370">
            <v>0</v>
          </cell>
          <cell r="N370">
            <v>0</v>
          </cell>
        </row>
        <row r="371">
          <cell r="C371" t="str">
            <v>JANESVILLE PURCH</v>
          </cell>
          <cell r="F371">
            <v>1.6</v>
          </cell>
          <cell r="G371">
            <v>15000</v>
          </cell>
          <cell r="H371">
            <v>0</v>
          </cell>
          <cell r="I371">
            <v>44.1</v>
          </cell>
          <cell r="J371">
            <v>0.50800000000000001</v>
          </cell>
          <cell r="K371">
            <v>0</v>
          </cell>
          <cell r="L371">
            <v>20</v>
          </cell>
          <cell r="M371">
            <v>20</v>
          </cell>
          <cell r="N371">
            <v>38.869999999999997</v>
          </cell>
        </row>
        <row r="372">
          <cell r="C372" t="str">
            <v>MINERGY    PURCH</v>
          </cell>
          <cell r="F372">
            <v>6.5</v>
          </cell>
          <cell r="G372">
            <v>15000</v>
          </cell>
          <cell r="H372">
            <v>0</v>
          </cell>
          <cell r="I372">
            <v>43.84</v>
          </cell>
          <cell r="J372">
            <v>2.052</v>
          </cell>
          <cell r="K372">
            <v>0</v>
          </cell>
          <cell r="L372">
            <v>80</v>
          </cell>
          <cell r="M372">
            <v>80</v>
          </cell>
          <cell r="N372">
            <v>38.869999999999997</v>
          </cell>
        </row>
        <row r="373">
          <cell r="C373" t="str">
            <v>SUPERIOR   PURCH</v>
          </cell>
          <cell r="F373">
            <v>2.2000000000000002</v>
          </cell>
          <cell r="G373">
            <v>15000</v>
          </cell>
          <cell r="H373">
            <v>0</v>
          </cell>
          <cell r="I373">
            <v>43.43</v>
          </cell>
          <cell r="J373">
            <v>0.68799999999999994</v>
          </cell>
          <cell r="K373">
            <v>0</v>
          </cell>
          <cell r="L373">
            <v>27</v>
          </cell>
          <cell r="M373">
            <v>27</v>
          </cell>
          <cell r="N373">
            <v>38.869999999999997</v>
          </cell>
        </row>
        <row r="374">
          <cell r="C374" t="str">
            <v>WRPC HYDRO PURCH</v>
          </cell>
          <cell r="E374" t="str">
            <v>MUST</v>
          </cell>
          <cell r="F374">
            <v>13.2</v>
          </cell>
          <cell r="G374">
            <v>0</v>
          </cell>
          <cell r="H374">
            <v>0</v>
          </cell>
          <cell r="I374">
            <v>44.83</v>
          </cell>
          <cell r="J374">
            <v>4.2610000000000001</v>
          </cell>
          <cell r="K374">
            <v>0</v>
          </cell>
          <cell r="L374">
            <v>0</v>
          </cell>
          <cell r="M374">
            <v>0</v>
          </cell>
          <cell r="N374">
            <v>0</v>
          </cell>
        </row>
        <row r="375">
          <cell r="C375" t="str">
            <v>SHEBOYGAN CT1</v>
          </cell>
          <cell r="F375">
            <v>146.499</v>
          </cell>
          <cell r="G375">
            <v>11474</v>
          </cell>
          <cell r="H375">
            <v>6.5010000000000003</v>
          </cell>
          <cell r="I375">
            <v>2.67</v>
          </cell>
          <cell r="J375">
            <v>2.8170000000000002</v>
          </cell>
          <cell r="K375">
            <v>210</v>
          </cell>
          <cell r="L375">
            <v>13</v>
          </cell>
          <cell r="M375">
            <v>223</v>
          </cell>
          <cell r="N375">
            <v>79.25</v>
          </cell>
        </row>
        <row r="376">
          <cell r="C376" t="str">
            <v>SHEBOYGAN CT2</v>
          </cell>
          <cell r="F376">
            <v>146.499</v>
          </cell>
          <cell r="G376">
            <v>11430</v>
          </cell>
          <cell r="H376">
            <v>6.5010000000000003</v>
          </cell>
          <cell r="I376">
            <v>1.2</v>
          </cell>
          <cell r="J376">
            <v>1.2649999999999999</v>
          </cell>
          <cell r="K376">
            <v>94</v>
          </cell>
          <cell r="L376">
            <v>6</v>
          </cell>
          <cell r="M376">
            <v>100</v>
          </cell>
          <cell r="N376">
            <v>78.97</v>
          </cell>
        </row>
        <row r="377">
          <cell r="C377" t="str">
            <v>NEW WIND-100MW</v>
          </cell>
          <cell r="D377">
            <v>2006</v>
          </cell>
          <cell r="E377" t="str">
            <v>NDT</v>
          </cell>
          <cell r="F377">
            <v>100</v>
          </cell>
          <cell r="G377">
            <v>0</v>
          </cell>
          <cell r="H377">
            <v>0</v>
          </cell>
          <cell r="I377">
            <v>26.11</v>
          </cell>
          <cell r="J377">
            <v>18.795999999999999</v>
          </cell>
          <cell r="K377">
            <v>0</v>
          </cell>
          <cell r="L377">
            <v>645</v>
          </cell>
          <cell r="M377">
            <v>645</v>
          </cell>
          <cell r="N377">
            <v>34.33</v>
          </cell>
        </row>
        <row r="378">
          <cell r="C378" t="str">
            <v>SHARED SAVINGS</v>
          </cell>
          <cell r="D378">
            <v>2005</v>
          </cell>
          <cell r="E378" t="str">
            <v>HYDR</v>
          </cell>
          <cell r="F378">
            <v>6.8639999999999999</v>
          </cell>
          <cell r="G378">
            <v>0</v>
          </cell>
          <cell r="H378">
            <v>0</v>
          </cell>
          <cell r="I378">
            <v>65.81</v>
          </cell>
          <cell r="J378">
            <v>3.2519999999999998</v>
          </cell>
          <cell r="K378">
            <v>0</v>
          </cell>
          <cell r="L378">
            <v>0</v>
          </cell>
          <cell r="M378">
            <v>0</v>
          </cell>
          <cell r="N378">
            <v>0</v>
          </cell>
        </row>
        <row r="379">
          <cell r="C379" t="str">
            <v>RES ENERGY FOCUS</v>
          </cell>
          <cell r="D379">
            <v>2005</v>
          </cell>
          <cell r="E379" t="str">
            <v>HYDR</v>
          </cell>
          <cell r="F379">
            <v>5.21</v>
          </cell>
          <cell r="G379">
            <v>0</v>
          </cell>
          <cell r="H379">
            <v>0</v>
          </cell>
          <cell r="I379">
            <v>39.5</v>
          </cell>
          <cell r="J379">
            <v>1.482</v>
          </cell>
          <cell r="K379">
            <v>0</v>
          </cell>
          <cell r="L379">
            <v>0</v>
          </cell>
          <cell r="M379">
            <v>0</v>
          </cell>
          <cell r="N379">
            <v>0</v>
          </cell>
        </row>
        <row r="380">
          <cell r="C380" t="str">
            <v>WPL DLC PROGRAM</v>
          </cell>
          <cell r="D380">
            <v>2005</v>
          </cell>
          <cell r="E380" t="str">
            <v>HYDR</v>
          </cell>
          <cell r="F380">
            <v>4</v>
          </cell>
          <cell r="G380">
            <v>0</v>
          </cell>
          <cell r="H380">
            <v>0</v>
          </cell>
          <cell r="I380">
            <v>8.3699999999999992</v>
          </cell>
          <cell r="J380">
            <v>0.24099999999999999</v>
          </cell>
          <cell r="K380">
            <v>0</v>
          </cell>
          <cell r="L380">
            <v>0</v>
          </cell>
          <cell r="M380">
            <v>0</v>
          </cell>
          <cell r="N380">
            <v>0</v>
          </cell>
        </row>
        <row r="382">
          <cell r="C382" t="str">
            <v>KEWAUNEE</v>
          </cell>
          <cell r="E382" t="str">
            <v>MUST</v>
          </cell>
          <cell r="F382">
            <v>235.2</v>
          </cell>
          <cell r="G382">
            <v>10750</v>
          </cell>
          <cell r="H382">
            <v>0.45500000000000002</v>
          </cell>
          <cell r="I382">
            <v>96.5</v>
          </cell>
          <cell r="J382">
            <v>168.864</v>
          </cell>
          <cell r="K382">
            <v>827</v>
          </cell>
          <cell r="L382">
            <v>0</v>
          </cell>
          <cell r="M382">
            <v>827</v>
          </cell>
          <cell r="N382">
            <v>4.9000000000000004</v>
          </cell>
        </row>
        <row r="383">
          <cell r="C383" t="str">
            <v>COLUMBIA 1</v>
          </cell>
          <cell r="E383" t="str">
            <v>MUST</v>
          </cell>
          <cell r="F383">
            <v>247.20500000000001</v>
          </cell>
          <cell r="G383">
            <v>10682</v>
          </cell>
          <cell r="H383">
            <v>1.306</v>
          </cell>
          <cell r="I383">
            <v>88.23</v>
          </cell>
          <cell r="J383">
            <v>162.273</v>
          </cell>
          <cell r="K383">
            <v>2263</v>
          </cell>
          <cell r="L383">
            <v>32</v>
          </cell>
          <cell r="M383">
            <v>2295</v>
          </cell>
          <cell r="N383">
            <v>14.15</v>
          </cell>
        </row>
        <row r="384">
          <cell r="C384" t="str">
            <v>COLUMBIA 2</v>
          </cell>
          <cell r="F384">
            <v>247.09399999999999</v>
          </cell>
          <cell r="G384">
            <v>0</v>
          </cell>
          <cell r="H384">
            <v>0</v>
          </cell>
          <cell r="I384">
            <v>0</v>
          </cell>
          <cell r="J384">
            <v>0</v>
          </cell>
          <cell r="K384">
            <v>0</v>
          </cell>
          <cell r="L384">
            <v>0</v>
          </cell>
          <cell r="M384">
            <v>0</v>
          </cell>
          <cell r="N384">
            <v>0</v>
          </cell>
        </row>
        <row r="385">
          <cell r="C385" t="str">
            <v>EDGEWATER 3</v>
          </cell>
          <cell r="F385">
            <v>76.3</v>
          </cell>
          <cell r="G385">
            <v>11081</v>
          </cell>
          <cell r="H385">
            <v>1.482</v>
          </cell>
          <cell r="I385">
            <v>70.680000000000007</v>
          </cell>
          <cell r="J385">
            <v>40.122999999999998</v>
          </cell>
          <cell r="K385">
            <v>659</v>
          </cell>
          <cell r="L385">
            <v>11</v>
          </cell>
          <cell r="M385">
            <v>670</v>
          </cell>
          <cell r="N385">
            <v>16.7</v>
          </cell>
        </row>
        <row r="386">
          <cell r="C386" t="str">
            <v>EDGEWATER 4</v>
          </cell>
          <cell r="F386">
            <v>229.99799999999999</v>
          </cell>
          <cell r="G386">
            <v>9970</v>
          </cell>
          <cell r="H386">
            <v>1.399</v>
          </cell>
          <cell r="I386">
            <v>72.55</v>
          </cell>
          <cell r="J386">
            <v>124.146</v>
          </cell>
          <cell r="K386">
            <v>1732</v>
          </cell>
          <cell r="L386">
            <v>34</v>
          </cell>
          <cell r="M386">
            <v>1765</v>
          </cell>
          <cell r="N386">
            <v>14.22</v>
          </cell>
        </row>
        <row r="387">
          <cell r="C387" t="str">
            <v>EDGEWATER 5</v>
          </cell>
          <cell r="E387" t="str">
            <v>MUST</v>
          </cell>
          <cell r="F387">
            <v>302.79300000000001</v>
          </cell>
          <cell r="G387">
            <v>10072</v>
          </cell>
          <cell r="H387">
            <v>1.2849999999999999</v>
          </cell>
          <cell r="I387">
            <v>77.97</v>
          </cell>
          <cell r="J387">
            <v>175.649</v>
          </cell>
          <cell r="K387">
            <v>2273</v>
          </cell>
          <cell r="L387">
            <v>11</v>
          </cell>
          <cell r="M387">
            <v>2284</v>
          </cell>
          <cell r="N387">
            <v>13.01</v>
          </cell>
        </row>
        <row r="388">
          <cell r="C388" t="str">
            <v>BLACKHAWK 3</v>
          </cell>
          <cell r="F388">
            <v>24.9</v>
          </cell>
          <cell r="G388">
            <v>11844</v>
          </cell>
          <cell r="H388">
            <v>6.8239999999999998</v>
          </cell>
          <cell r="I388">
            <v>0.14000000000000001</v>
          </cell>
          <cell r="J388">
            <v>2.5999999999999999E-2</v>
          </cell>
          <cell r="K388">
            <v>2</v>
          </cell>
          <cell r="L388">
            <v>0</v>
          </cell>
          <cell r="M388">
            <v>2</v>
          </cell>
          <cell r="N388">
            <v>82.42</v>
          </cell>
        </row>
        <row r="389">
          <cell r="C389" t="str">
            <v>BLACKHAWK 4</v>
          </cell>
          <cell r="F389">
            <v>25.1</v>
          </cell>
          <cell r="G389">
            <v>11403</v>
          </cell>
          <cell r="H389">
            <v>6.8239999999999998</v>
          </cell>
          <cell r="I389">
            <v>0.3</v>
          </cell>
          <cell r="J389">
            <v>5.6000000000000001E-2</v>
          </cell>
          <cell r="K389">
            <v>4</v>
          </cell>
          <cell r="L389">
            <v>0</v>
          </cell>
          <cell r="M389">
            <v>4</v>
          </cell>
          <cell r="N389">
            <v>79.45</v>
          </cell>
        </row>
        <row r="390">
          <cell r="C390" t="str">
            <v>ROCK RIVER 1</v>
          </cell>
          <cell r="F390">
            <v>74.7</v>
          </cell>
          <cell r="G390">
            <v>10992</v>
          </cell>
          <cell r="H390">
            <v>6.3639999999999999</v>
          </cell>
          <cell r="I390">
            <v>4</v>
          </cell>
          <cell r="J390">
            <v>2.222</v>
          </cell>
          <cell r="K390">
            <v>155</v>
          </cell>
          <cell r="L390">
            <v>2</v>
          </cell>
          <cell r="M390">
            <v>157</v>
          </cell>
          <cell r="N390">
            <v>70.81</v>
          </cell>
        </row>
        <row r="391">
          <cell r="C391" t="str">
            <v>ROCK RIVER 2</v>
          </cell>
          <cell r="F391">
            <v>78.2</v>
          </cell>
          <cell r="G391">
            <v>10941</v>
          </cell>
          <cell r="H391">
            <v>6.3639999999999999</v>
          </cell>
          <cell r="I391">
            <v>8.9700000000000006</v>
          </cell>
          <cell r="J391">
            <v>5.2210000000000001</v>
          </cell>
          <cell r="K391">
            <v>364</v>
          </cell>
          <cell r="L391">
            <v>4</v>
          </cell>
          <cell r="M391">
            <v>368</v>
          </cell>
          <cell r="N391">
            <v>70.430000000000007</v>
          </cell>
        </row>
        <row r="392">
          <cell r="C392" t="str">
            <v>ROCK RIVER 3</v>
          </cell>
          <cell r="F392">
            <v>31.241</v>
          </cell>
          <cell r="G392">
            <v>0</v>
          </cell>
          <cell r="H392">
            <v>0</v>
          </cell>
          <cell r="I392">
            <v>0</v>
          </cell>
          <cell r="J392">
            <v>0</v>
          </cell>
          <cell r="K392">
            <v>0</v>
          </cell>
          <cell r="L392">
            <v>0</v>
          </cell>
          <cell r="M392">
            <v>0</v>
          </cell>
          <cell r="N392">
            <v>0</v>
          </cell>
        </row>
        <row r="393">
          <cell r="C393" t="str">
            <v>ROCK RIVER 4</v>
          </cell>
          <cell r="F393">
            <v>16.2</v>
          </cell>
          <cell r="G393">
            <v>0</v>
          </cell>
          <cell r="H393">
            <v>0</v>
          </cell>
          <cell r="I393">
            <v>0</v>
          </cell>
          <cell r="J393">
            <v>0</v>
          </cell>
          <cell r="K393">
            <v>0</v>
          </cell>
          <cell r="L393">
            <v>0</v>
          </cell>
          <cell r="M393">
            <v>0</v>
          </cell>
          <cell r="N393">
            <v>0</v>
          </cell>
        </row>
        <row r="394">
          <cell r="C394" t="str">
            <v>ROCK RIVER 5</v>
          </cell>
          <cell r="F394">
            <v>63.076000000000001</v>
          </cell>
          <cell r="G394">
            <v>0</v>
          </cell>
          <cell r="H394">
            <v>0</v>
          </cell>
          <cell r="I394">
            <v>0</v>
          </cell>
          <cell r="J394">
            <v>0</v>
          </cell>
          <cell r="K394">
            <v>0</v>
          </cell>
          <cell r="L394">
            <v>0</v>
          </cell>
          <cell r="M394">
            <v>0</v>
          </cell>
          <cell r="N394">
            <v>0</v>
          </cell>
        </row>
        <row r="395">
          <cell r="C395" t="str">
            <v>ROCK RIVER 6</v>
          </cell>
          <cell r="F395">
            <v>63.335999999999999</v>
          </cell>
          <cell r="G395">
            <v>0</v>
          </cell>
          <cell r="H395">
            <v>0</v>
          </cell>
          <cell r="I395">
            <v>0</v>
          </cell>
          <cell r="J395">
            <v>0</v>
          </cell>
          <cell r="K395">
            <v>0</v>
          </cell>
          <cell r="L395">
            <v>0</v>
          </cell>
          <cell r="M395">
            <v>0</v>
          </cell>
          <cell r="N395">
            <v>0</v>
          </cell>
        </row>
        <row r="396">
          <cell r="C396" t="str">
            <v>SHEEPSKIN 1</v>
          </cell>
          <cell r="F396">
            <v>37.6</v>
          </cell>
          <cell r="G396">
            <v>0</v>
          </cell>
          <cell r="H396">
            <v>0</v>
          </cell>
          <cell r="I396">
            <v>0</v>
          </cell>
          <cell r="J396">
            <v>0</v>
          </cell>
          <cell r="K396">
            <v>0</v>
          </cell>
          <cell r="L396">
            <v>0</v>
          </cell>
          <cell r="M396">
            <v>0</v>
          </cell>
          <cell r="N396">
            <v>0</v>
          </cell>
        </row>
        <row r="397">
          <cell r="C397" t="str">
            <v>SOUTH FDL 1</v>
          </cell>
          <cell r="F397">
            <v>92.241</v>
          </cell>
          <cell r="G397">
            <v>14044</v>
          </cell>
          <cell r="H397">
            <v>7.0389999999999997</v>
          </cell>
          <cell r="I397">
            <v>0</v>
          </cell>
          <cell r="J397">
            <v>1E-3</v>
          </cell>
          <cell r="K397">
            <v>0</v>
          </cell>
          <cell r="L397">
            <v>0</v>
          </cell>
          <cell r="M397">
            <v>0</v>
          </cell>
          <cell r="N397">
            <v>105.72</v>
          </cell>
        </row>
        <row r="398">
          <cell r="C398" t="str">
            <v>SOUTH FDL 2</v>
          </cell>
          <cell r="F398">
            <v>93.19</v>
          </cell>
          <cell r="G398">
            <v>0</v>
          </cell>
          <cell r="H398">
            <v>0</v>
          </cell>
          <cell r="I398">
            <v>0</v>
          </cell>
          <cell r="J398">
            <v>0</v>
          </cell>
          <cell r="K398">
            <v>0</v>
          </cell>
          <cell r="L398">
            <v>0</v>
          </cell>
          <cell r="M398">
            <v>0</v>
          </cell>
          <cell r="N398">
            <v>0</v>
          </cell>
        </row>
        <row r="399">
          <cell r="C399" t="str">
            <v>SOUTH FDL 3</v>
          </cell>
          <cell r="F399">
            <v>87.87</v>
          </cell>
          <cell r="G399">
            <v>0</v>
          </cell>
          <cell r="H399">
            <v>0</v>
          </cell>
          <cell r="I399">
            <v>0</v>
          </cell>
          <cell r="J399">
            <v>0</v>
          </cell>
          <cell r="K399">
            <v>0</v>
          </cell>
          <cell r="L399">
            <v>0</v>
          </cell>
          <cell r="M399">
            <v>0</v>
          </cell>
          <cell r="N399">
            <v>0</v>
          </cell>
        </row>
        <row r="400">
          <cell r="C400" t="str">
            <v>SOUTH FDL 4</v>
          </cell>
          <cell r="F400">
            <v>84.763000000000005</v>
          </cell>
          <cell r="G400">
            <v>0</v>
          </cell>
          <cell r="H400">
            <v>0</v>
          </cell>
          <cell r="I400">
            <v>0</v>
          </cell>
          <cell r="J400">
            <v>0</v>
          </cell>
          <cell r="K400">
            <v>0</v>
          </cell>
          <cell r="L400">
            <v>0</v>
          </cell>
          <cell r="M400">
            <v>0</v>
          </cell>
          <cell r="N400">
            <v>0</v>
          </cell>
        </row>
        <row r="401">
          <cell r="C401" t="str">
            <v>NELSON DEWEY 1</v>
          </cell>
          <cell r="F401">
            <v>111.511</v>
          </cell>
          <cell r="G401">
            <v>10054</v>
          </cell>
          <cell r="H401">
            <v>1.2330000000000001</v>
          </cell>
          <cell r="I401">
            <v>71.069999999999993</v>
          </cell>
          <cell r="J401">
            <v>58.962000000000003</v>
          </cell>
          <cell r="K401">
            <v>731</v>
          </cell>
          <cell r="L401">
            <v>39</v>
          </cell>
          <cell r="M401">
            <v>770</v>
          </cell>
          <cell r="N401">
            <v>13.07</v>
          </cell>
        </row>
        <row r="402">
          <cell r="C402" t="str">
            <v>NELSON DEWEY 2</v>
          </cell>
          <cell r="F402">
            <v>112.002</v>
          </cell>
          <cell r="G402">
            <v>9905</v>
          </cell>
          <cell r="H402">
            <v>1.2330000000000001</v>
          </cell>
          <cell r="I402">
            <v>71.44</v>
          </cell>
          <cell r="J402">
            <v>59.527999999999999</v>
          </cell>
          <cell r="K402">
            <v>727</v>
          </cell>
          <cell r="L402">
            <v>41</v>
          </cell>
          <cell r="M402">
            <v>768</v>
          </cell>
          <cell r="N402">
            <v>12.9</v>
          </cell>
        </row>
        <row r="403">
          <cell r="C403" t="str">
            <v>WPL HYDRO</v>
          </cell>
          <cell r="E403" t="str">
            <v>MUST</v>
          </cell>
          <cell r="F403">
            <v>27</v>
          </cell>
          <cell r="G403">
            <v>0</v>
          </cell>
          <cell r="H403">
            <v>0</v>
          </cell>
          <cell r="I403">
            <v>92.14</v>
          </cell>
          <cell r="J403">
            <v>18.509</v>
          </cell>
          <cell r="K403">
            <v>0</v>
          </cell>
          <cell r="L403">
            <v>0</v>
          </cell>
          <cell r="M403">
            <v>0</v>
          </cell>
          <cell r="N403">
            <v>0</v>
          </cell>
        </row>
        <row r="404">
          <cell r="C404" t="str">
            <v>BERLIN LFG WPL</v>
          </cell>
          <cell r="F404">
            <v>2.2000000000000002</v>
          </cell>
          <cell r="G404">
            <v>15000</v>
          </cell>
          <cell r="H404">
            <v>0</v>
          </cell>
          <cell r="I404">
            <v>82.6</v>
          </cell>
          <cell r="J404">
            <v>1.3520000000000001</v>
          </cell>
          <cell r="K404">
            <v>0</v>
          </cell>
          <cell r="L404">
            <v>34</v>
          </cell>
          <cell r="M404">
            <v>34</v>
          </cell>
          <cell r="N404">
            <v>24.97</v>
          </cell>
        </row>
        <row r="405">
          <cell r="C405" t="str">
            <v>RIVERSIDE</v>
          </cell>
          <cell r="F405">
            <v>480.99099999999999</v>
          </cell>
          <cell r="G405">
            <v>7866</v>
          </cell>
          <cell r="H405">
            <v>6.5010000000000003</v>
          </cell>
          <cell r="I405">
            <v>40.44</v>
          </cell>
          <cell r="J405">
            <v>144.721</v>
          </cell>
          <cell r="K405">
            <v>7400</v>
          </cell>
          <cell r="L405">
            <v>83</v>
          </cell>
          <cell r="M405">
            <v>7484</v>
          </cell>
          <cell r="N405">
            <v>51.71</v>
          </cell>
        </row>
        <row r="406">
          <cell r="C406" t="str">
            <v>ROCKGEN #1</v>
          </cell>
          <cell r="F406">
            <v>154.5</v>
          </cell>
          <cell r="G406">
            <v>13710</v>
          </cell>
          <cell r="H406">
            <v>6.5010000000000003</v>
          </cell>
          <cell r="I406">
            <v>0.27</v>
          </cell>
          <cell r="J406">
            <v>0.30599999999999999</v>
          </cell>
          <cell r="K406">
            <v>27</v>
          </cell>
          <cell r="L406">
            <v>2</v>
          </cell>
          <cell r="M406">
            <v>29</v>
          </cell>
          <cell r="N406">
            <v>95.16</v>
          </cell>
        </row>
        <row r="407">
          <cell r="C407" t="str">
            <v>ROCKGEN #2</v>
          </cell>
          <cell r="F407">
            <v>154.5</v>
          </cell>
          <cell r="G407">
            <v>13917</v>
          </cell>
          <cell r="H407">
            <v>6.5010000000000003</v>
          </cell>
          <cell r="I407">
            <v>0.08</v>
          </cell>
          <cell r="J407">
            <v>9.2999999999999999E-2</v>
          </cell>
          <cell r="K407">
            <v>8</v>
          </cell>
          <cell r="L407">
            <v>1</v>
          </cell>
          <cell r="M407">
            <v>9</v>
          </cell>
          <cell r="N407">
            <v>96.51</v>
          </cell>
        </row>
        <row r="408">
          <cell r="C408" t="str">
            <v>ROCKGEN #3</v>
          </cell>
          <cell r="F408">
            <v>154.5</v>
          </cell>
          <cell r="G408">
            <v>14273</v>
          </cell>
          <cell r="H408">
            <v>6.5010000000000003</v>
          </cell>
          <cell r="I408">
            <v>0.02</v>
          </cell>
          <cell r="J408">
            <v>1.7999999999999999E-2</v>
          </cell>
          <cell r="K408">
            <v>2</v>
          </cell>
          <cell r="L408">
            <v>0</v>
          </cell>
          <cell r="M408">
            <v>2</v>
          </cell>
          <cell r="N408">
            <v>98.82</v>
          </cell>
        </row>
        <row r="409">
          <cell r="C409" t="str">
            <v>BASE 100 ECONOMY</v>
          </cell>
          <cell r="F409">
            <v>100</v>
          </cell>
          <cell r="G409">
            <v>10000</v>
          </cell>
          <cell r="H409">
            <v>2.8980000000000001</v>
          </cell>
          <cell r="I409">
            <v>94.01</v>
          </cell>
          <cell r="J409">
            <v>69.944999999999993</v>
          </cell>
          <cell r="K409">
            <v>2027</v>
          </cell>
          <cell r="L409">
            <v>0</v>
          </cell>
          <cell r="M409">
            <v>2027</v>
          </cell>
          <cell r="N409">
            <v>28.98</v>
          </cell>
        </row>
        <row r="410">
          <cell r="C410" t="str">
            <v>OTHR 500 ECONOMY</v>
          </cell>
          <cell r="F410">
            <v>200</v>
          </cell>
          <cell r="G410">
            <v>10000</v>
          </cell>
          <cell r="H410">
            <v>2.8980000000000001</v>
          </cell>
          <cell r="I410">
            <v>73.91</v>
          </cell>
          <cell r="J410">
            <v>109.973</v>
          </cell>
          <cell r="K410">
            <v>3187</v>
          </cell>
          <cell r="L410">
            <v>0</v>
          </cell>
          <cell r="M410">
            <v>3187</v>
          </cell>
          <cell r="N410">
            <v>28.98</v>
          </cell>
        </row>
        <row r="411">
          <cell r="C411" t="str">
            <v>FPL WIND PURCH</v>
          </cell>
          <cell r="E411" t="str">
            <v>NDT</v>
          </cell>
          <cell r="F411">
            <v>80</v>
          </cell>
          <cell r="G411">
            <v>0</v>
          </cell>
          <cell r="H411">
            <v>0</v>
          </cell>
          <cell r="I411">
            <v>24.94</v>
          </cell>
          <cell r="J411">
            <v>14.842000000000001</v>
          </cell>
          <cell r="K411">
            <v>0</v>
          </cell>
          <cell r="L411">
            <v>0</v>
          </cell>
          <cell r="M411">
            <v>0</v>
          </cell>
          <cell r="N411">
            <v>0</v>
          </cell>
        </row>
        <row r="412">
          <cell r="C412" t="str">
            <v>INV WIND PURCH</v>
          </cell>
          <cell r="E412" t="str">
            <v>NDT</v>
          </cell>
          <cell r="F412">
            <v>50</v>
          </cell>
          <cell r="G412">
            <v>0</v>
          </cell>
          <cell r="H412">
            <v>0</v>
          </cell>
          <cell r="I412">
            <v>31.94</v>
          </cell>
          <cell r="J412">
            <v>11.882</v>
          </cell>
          <cell r="K412">
            <v>0</v>
          </cell>
          <cell r="L412">
            <v>0</v>
          </cell>
          <cell r="M412">
            <v>0</v>
          </cell>
          <cell r="N412">
            <v>0</v>
          </cell>
        </row>
        <row r="413">
          <cell r="C413" t="str">
            <v>JANESVILLE PURCH</v>
          </cell>
          <cell r="F413">
            <v>1.6</v>
          </cell>
          <cell r="G413">
            <v>15000</v>
          </cell>
          <cell r="H413">
            <v>0</v>
          </cell>
          <cell r="I413">
            <v>62.56</v>
          </cell>
          <cell r="J413">
            <v>0.745</v>
          </cell>
          <cell r="K413">
            <v>0</v>
          </cell>
          <cell r="L413">
            <v>29</v>
          </cell>
          <cell r="M413">
            <v>29</v>
          </cell>
          <cell r="N413">
            <v>38.869999999999997</v>
          </cell>
        </row>
        <row r="414">
          <cell r="C414" t="str">
            <v>MINERGY    PURCH</v>
          </cell>
          <cell r="F414">
            <v>6.5</v>
          </cell>
          <cell r="G414">
            <v>15000</v>
          </cell>
          <cell r="H414">
            <v>0</v>
          </cell>
          <cell r="I414">
            <v>62.28</v>
          </cell>
          <cell r="J414">
            <v>3.012</v>
          </cell>
          <cell r="K414">
            <v>0</v>
          </cell>
          <cell r="L414">
            <v>117</v>
          </cell>
          <cell r="M414">
            <v>117</v>
          </cell>
          <cell r="N414">
            <v>38.869999999999997</v>
          </cell>
        </row>
        <row r="415">
          <cell r="C415" t="str">
            <v>SUPERIOR   PURCH</v>
          </cell>
          <cell r="F415">
            <v>2.2000000000000002</v>
          </cell>
          <cell r="G415">
            <v>15000</v>
          </cell>
          <cell r="H415">
            <v>0</v>
          </cell>
          <cell r="I415">
            <v>62.05</v>
          </cell>
          <cell r="J415">
            <v>1.016</v>
          </cell>
          <cell r="K415">
            <v>0</v>
          </cell>
          <cell r="L415">
            <v>39</v>
          </cell>
          <cell r="M415">
            <v>39</v>
          </cell>
          <cell r="N415">
            <v>38.869999999999997</v>
          </cell>
        </row>
        <row r="416">
          <cell r="C416" t="str">
            <v>WRPC HYDRO PURCH</v>
          </cell>
          <cell r="E416" t="str">
            <v>MUST</v>
          </cell>
          <cell r="F416">
            <v>13.2</v>
          </cell>
          <cell r="G416">
            <v>0</v>
          </cell>
          <cell r="H416">
            <v>0</v>
          </cell>
          <cell r="I416">
            <v>44.83</v>
          </cell>
          <cell r="J416">
            <v>4.4029999999999996</v>
          </cell>
          <cell r="K416">
            <v>0</v>
          </cell>
          <cell r="L416">
            <v>0</v>
          </cell>
          <cell r="M416">
            <v>0</v>
          </cell>
          <cell r="N416">
            <v>0</v>
          </cell>
        </row>
        <row r="417">
          <cell r="C417" t="str">
            <v>SHEBOYGAN CT1</v>
          </cell>
          <cell r="F417">
            <v>169.399</v>
          </cell>
          <cell r="G417">
            <v>11923</v>
          </cell>
          <cell r="H417">
            <v>6.5010000000000003</v>
          </cell>
          <cell r="I417">
            <v>3.63</v>
          </cell>
          <cell r="J417">
            <v>4.5739999999999998</v>
          </cell>
          <cell r="K417">
            <v>355</v>
          </cell>
          <cell r="L417">
            <v>21</v>
          </cell>
          <cell r="M417">
            <v>376</v>
          </cell>
          <cell r="N417">
            <v>82.17</v>
          </cell>
        </row>
        <row r="418">
          <cell r="C418" t="str">
            <v>SHEBOYGAN CT2</v>
          </cell>
          <cell r="F418">
            <v>169.399</v>
          </cell>
          <cell r="G418">
            <v>11849</v>
          </cell>
          <cell r="H418">
            <v>6.5010000000000003</v>
          </cell>
          <cell r="I418">
            <v>0.97</v>
          </cell>
          <cell r="J418">
            <v>1.226</v>
          </cell>
          <cell r="K418">
            <v>94</v>
          </cell>
          <cell r="L418">
            <v>6</v>
          </cell>
          <cell r="M418">
            <v>100</v>
          </cell>
          <cell r="N418">
            <v>81.69</v>
          </cell>
        </row>
        <row r="419">
          <cell r="C419" t="str">
            <v>NEW WIND-100MW</v>
          </cell>
          <cell r="D419">
            <v>2006</v>
          </cell>
          <cell r="E419" t="str">
            <v>NDT</v>
          </cell>
          <cell r="F419">
            <v>100</v>
          </cell>
          <cell r="G419">
            <v>0</v>
          </cell>
          <cell r="H419">
            <v>0</v>
          </cell>
          <cell r="I419">
            <v>24.94</v>
          </cell>
          <cell r="J419">
            <v>18.552</v>
          </cell>
          <cell r="K419">
            <v>0</v>
          </cell>
          <cell r="L419">
            <v>637</v>
          </cell>
          <cell r="M419">
            <v>637</v>
          </cell>
          <cell r="N419">
            <v>34.33</v>
          </cell>
        </row>
        <row r="420">
          <cell r="C420" t="str">
            <v>SHARED SAVINGS</v>
          </cell>
          <cell r="D420">
            <v>2005</v>
          </cell>
          <cell r="E420" t="str">
            <v>HYDR</v>
          </cell>
          <cell r="F420">
            <v>6.8639999999999999</v>
          </cell>
          <cell r="G420">
            <v>0</v>
          </cell>
          <cell r="H420">
            <v>0</v>
          </cell>
          <cell r="I420">
            <v>65.81</v>
          </cell>
          <cell r="J420">
            <v>3.3610000000000002</v>
          </cell>
          <cell r="K420">
            <v>0</v>
          </cell>
          <cell r="L420">
            <v>0</v>
          </cell>
          <cell r="M420">
            <v>0</v>
          </cell>
          <cell r="N420">
            <v>0</v>
          </cell>
        </row>
        <row r="421">
          <cell r="C421" t="str">
            <v>RES ENERGY FOCUS</v>
          </cell>
          <cell r="D421">
            <v>2005</v>
          </cell>
          <cell r="E421" t="str">
            <v>HYDR</v>
          </cell>
          <cell r="F421">
            <v>5.21</v>
          </cell>
          <cell r="G421">
            <v>0</v>
          </cell>
          <cell r="H421">
            <v>0</v>
          </cell>
          <cell r="I421">
            <v>39.5</v>
          </cell>
          <cell r="J421">
            <v>1.5309999999999999</v>
          </cell>
          <cell r="K421">
            <v>0</v>
          </cell>
          <cell r="L421">
            <v>0</v>
          </cell>
          <cell r="M421">
            <v>0</v>
          </cell>
          <cell r="N421">
            <v>0</v>
          </cell>
        </row>
        <row r="422">
          <cell r="C422" t="str">
            <v>WPL DLC PROGRAM</v>
          </cell>
          <cell r="D422">
            <v>2005</v>
          </cell>
          <cell r="E422" t="str">
            <v>HYDR</v>
          </cell>
          <cell r="F422">
            <v>4</v>
          </cell>
          <cell r="G422">
            <v>0</v>
          </cell>
          <cell r="H422">
            <v>0</v>
          </cell>
          <cell r="I422">
            <v>0</v>
          </cell>
          <cell r="J422">
            <v>0</v>
          </cell>
          <cell r="K422">
            <v>0</v>
          </cell>
          <cell r="L422">
            <v>0</v>
          </cell>
          <cell r="M422">
            <v>0</v>
          </cell>
          <cell r="N422">
            <v>0</v>
          </cell>
        </row>
        <row r="424">
          <cell r="C424" t="str">
            <v>KEWAUNEE</v>
          </cell>
          <cell r="F424">
            <v>235.2</v>
          </cell>
          <cell r="G424">
            <v>0</v>
          </cell>
          <cell r="H424">
            <v>0</v>
          </cell>
          <cell r="I424">
            <v>0</v>
          </cell>
          <cell r="J424">
            <v>0</v>
          </cell>
          <cell r="K424">
            <v>0</v>
          </cell>
          <cell r="L424">
            <v>0</v>
          </cell>
          <cell r="M424">
            <v>0</v>
          </cell>
          <cell r="N424">
            <v>0</v>
          </cell>
        </row>
        <row r="425">
          <cell r="C425" t="str">
            <v>COLUMBIA 1</v>
          </cell>
          <cell r="E425" t="str">
            <v>MUST</v>
          </cell>
          <cell r="F425">
            <v>247.20500000000001</v>
          </cell>
          <cell r="G425">
            <v>10682</v>
          </cell>
          <cell r="H425">
            <v>1.306</v>
          </cell>
          <cell r="I425">
            <v>88.23</v>
          </cell>
          <cell r="J425">
            <v>157.03800000000001</v>
          </cell>
          <cell r="K425">
            <v>2190</v>
          </cell>
          <cell r="L425">
            <v>31</v>
          </cell>
          <cell r="M425">
            <v>2221</v>
          </cell>
          <cell r="N425">
            <v>14.15</v>
          </cell>
        </row>
        <row r="426">
          <cell r="C426" t="str">
            <v>COLUMBIA 2</v>
          </cell>
          <cell r="E426" t="str">
            <v>MUST</v>
          </cell>
          <cell r="F426">
            <v>247.09399999999999</v>
          </cell>
          <cell r="G426">
            <v>10545</v>
          </cell>
          <cell r="H426">
            <v>1.306</v>
          </cell>
          <cell r="I426">
            <v>86.34</v>
          </cell>
          <cell r="J426">
            <v>153.60599999999999</v>
          </cell>
          <cell r="K426">
            <v>2115</v>
          </cell>
          <cell r="L426">
            <v>2</v>
          </cell>
          <cell r="M426">
            <v>2117</v>
          </cell>
          <cell r="N426">
            <v>13.78</v>
          </cell>
        </row>
        <row r="427">
          <cell r="C427" t="str">
            <v>EDGEWATER 3</v>
          </cell>
          <cell r="F427">
            <v>76.3</v>
          </cell>
          <cell r="G427">
            <v>11080</v>
          </cell>
          <cell r="H427">
            <v>1.482</v>
          </cell>
          <cell r="I427">
            <v>71.31</v>
          </cell>
          <cell r="J427">
            <v>39.176000000000002</v>
          </cell>
          <cell r="K427">
            <v>643</v>
          </cell>
          <cell r="L427">
            <v>11</v>
          </cell>
          <cell r="M427">
            <v>654</v>
          </cell>
          <cell r="N427">
            <v>16.7</v>
          </cell>
        </row>
        <row r="428">
          <cell r="C428" t="str">
            <v>EDGEWATER 4</v>
          </cell>
          <cell r="F428">
            <v>229.99799999999999</v>
          </cell>
          <cell r="G428">
            <v>9971</v>
          </cell>
          <cell r="H428">
            <v>1.399</v>
          </cell>
          <cell r="I428">
            <v>72.55</v>
          </cell>
          <cell r="J428">
            <v>120.13800000000001</v>
          </cell>
          <cell r="K428">
            <v>1676</v>
          </cell>
          <cell r="L428">
            <v>32</v>
          </cell>
          <cell r="M428">
            <v>1708</v>
          </cell>
          <cell r="N428">
            <v>14.22</v>
          </cell>
        </row>
        <row r="429">
          <cell r="C429" t="str">
            <v>EDGEWATER 5</v>
          </cell>
          <cell r="E429" t="str">
            <v>MUST</v>
          </cell>
          <cell r="F429">
            <v>302.79300000000001</v>
          </cell>
          <cell r="G429">
            <v>10072</v>
          </cell>
          <cell r="H429">
            <v>1.2849999999999999</v>
          </cell>
          <cell r="I429">
            <v>77.97</v>
          </cell>
          <cell r="J429">
            <v>169.983</v>
          </cell>
          <cell r="K429">
            <v>2200</v>
          </cell>
          <cell r="L429">
            <v>11</v>
          </cell>
          <cell r="M429">
            <v>2211</v>
          </cell>
          <cell r="N429">
            <v>13.01</v>
          </cell>
        </row>
        <row r="430">
          <cell r="C430" t="str">
            <v>BLACKHAWK 3</v>
          </cell>
          <cell r="F430">
            <v>24.9</v>
          </cell>
          <cell r="G430">
            <v>11862</v>
          </cell>
          <cell r="H430">
            <v>7.2329999999999997</v>
          </cell>
          <cell r="I430">
            <v>0.3</v>
          </cell>
          <cell r="J430">
            <v>5.3999999999999999E-2</v>
          </cell>
          <cell r="K430">
            <v>5</v>
          </cell>
          <cell r="L430">
            <v>0</v>
          </cell>
          <cell r="M430">
            <v>5</v>
          </cell>
          <cell r="N430">
            <v>87.4</v>
          </cell>
        </row>
        <row r="431">
          <cell r="C431" t="str">
            <v>BLACKHAWK 4</v>
          </cell>
          <cell r="F431">
            <v>25.1</v>
          </cell>
          <cell r="G431">
            <v>11393</v>
          </cell>
          <cell r="H431">
            <v>7.2329999999999997</v>
          </cell>
          <cell r="I431">
            <v>0.33</v>
          </cell>
          <cell r="J431">
            <v>0.06</v>
          </cell>
          <cell r="K431">
            <v>5</v>
          </cell>
          <cell r="L431">
            <v>0</v>
          </cell>
          <cell r="M431">
            <v>5</v>
          </cell>
          <cell r="N431">
            <v>84.05</v>
          </cell>
        </row>
        <row r="432">
          <cell r="C432" t="str">
            <v>ROCK RIVER 1</v>
          </cell>
          <cell r="F432">
            <v>74.7</v>
          </cell>
          <cell r="G432">
            <v>11065</v>
          </cell>
          <cell r="H432">
            <v>6.7460000000000004</v>
          </cell>
          <cell r="I432">
            <v>8.7799999999999994</v>
          </cell>
          <cell r="J432">
            <v>4.7210000000000001</v>
          </cell>
          <cell r="K432">
            <v>352</v>
          </cell>
          <cell r="L432">
            <v>4</v>
          </cell>
          <cell r="M432">
            <v>356</v>
          </cell>
          <cell r="N432">
            <v>75.5</v>
          </cell>
        </row>
        <row r="433">
          <cell r="C433" t="str">
            <v>ROCK RIVER 2</v>
          </cell>
          <cell r="F433">
            <v>78.2</v>
          </cell>
          <cell r="G433">
            <v>10905</v>
          </cell>
          <cell r="H433">
            <v>6.7460000000000004</v>
          </cell>
          <cell r="I433">
            <v>4.92</v>
          </cell>
          <cell r="J433">
            <v>2.7679999999999998</v>
          </cell>
          <cell r="K433">
            <v>204</v>
          </cell>
          <cell r="L433">
            <v>2</v>
          </cell>
          <cell r="M433">
            <v>206</v>
          </cell>
          <cell r="N433">
            <v>74.37</v>
          </cell>
        </row>
        <row r="434">
          <cell r="C434" t="str">
            <v>ROCK RIVER 3</v>
          </cell>
          <cell r="F434">
            <v>31.241</v>
          </cell>
          <cell r="G434">
            <v>0</v>
          </cell>
          <cell r="H434">
            <v>0</v>
          </cell>
          <cell r="I434">
            <v>0</v>
          </cell>
          <cell r="J434">
            <v>0</v>
          </cell>
          <cell r="K434">
            <v>0</v>
          </cell>
          <cell r="L434">
            <v>0</v>
          </cell>
          <cell r="M434">
            <v>0</v>
          </cell>
          <cell r="N434">
            <v>0</v>
          </cell>
        </row>
        <row r="435">
          <cell r="C435" t="str">
            <v>ROCK RIVER 4</v>
          </cell>
          <cell r="F435">
            <v>16.2</v>
          </cell>
          <cell r="G435">
            <v>0</v>
          </cell>
          <cell r="H435">
            <v>0</v>
          </cell>
          <cell r="I435">
            <v>0</v>
          </cell>
          <cell r="J435">
            <v>0</v>
          </cell>
          <cell r="K435">
            <v>0</v>
          </cell>
          <cell r="L435">
            <v>0</v>
          </cell>
          <cell r="M435">
            <v>0</v>
          </cell>
          <cell r="N435">
            <v>0</v>
          </cell>
        </row>
        <row r="436">
          <cell r="C436" t="str">
            <v>ROCK RIVER 5</v>
          </cell>
          <cell r="F436">
            <v>63.076000000000001</v>
          </cell>
          <cell r="G436">
            <v>0</v>
          </cell>
          <cell r="H436">
            <v>0</v>
          </cell>
          <cell r="I436">
            <v>0</v>
          </cell>
          <cell r="J436">
            <v>0</v>
          </cell>
          <cell r="K436">
            <v>0</v>
          </cell>
          <cell r="L436">
            <v>0</v>
          </cell>
          <cell r="M436">
            <v>0</v>
          </cell>
          <cell r="N436">
            <v>0</v>
          </cell>
        </row>
        <row r="437">
          <cell r="C437" t="str">
            <v>ROCK RIVER 6</v>
          </cell>
          <cell r="F437">
            <v>63.335999999999999</v>
          </cell>
          <cell r="G437">
            <v>0</v>
          </cell>
          <cell r="H437">
            <v>0</v>
          </cell>
          <cell r="I437">
            <v>0</v>
          </cell>
          <cell r="J437">
            <v>0</v>
          </cell>
          <cell r="K437">
            <v>0</v>
          </cell>
          <cell r="L437">
            <v>0</v>
          </cell>
          <cell r="M437">
            <v>0</v>
          </cell>
          <cell r="N437">
            <v>0</v>
          </cell>
        </row>
        <row r="438">
          <cell r="C438" t="str">
            <v>SHEEPSKIN 1</v>
          </cell>
          <cell r="F438">
            <v>37.6</v>
          </cell>
          <cell r="G438">
            <v>0</v>
          </cell>
          <cell r="H438">
            <v>0</v>
          </cell>
          <cell r="I438">
            <v>0</v>
          </cell>
          <cell r="J438">
            <v>0</v>
          </cell>
          <cell r="K438">
            <v>0</v>
          </cell>
          <cell r="L438">
            <v>0</v>
          </cell>
          <cell r="M438">
            <v>0</v>
          </cell>
          <cell r="N438">
            <v>0</v>
          </cell>
        </row>
        <row r="439">
          <cell r="C439" t="str">
            <v>SOUTH FDL 1</v>
          </cell>
          <cell r="F439">
            <v>92.241</v>
          </cell>
          <cell r="G439">
            <v>13648</v>
          </cell>
          <cell r="H439">
            <v>7.4610000000000003</v>
          </cell>
          <cell r="I439">
            <v>0</v>
          </cell>
          <cell r="J439">
            <v>1E-3</v>
          </cell>
          <cell r="K439">
            <v>0</v>
          </cell>
          <cell r="L439">
            <v>0</v>
          </cell>
          <cell r="M439">
            <v>0</v>
          </cell>
          <cell r="N439">
            <v>108.69</v>
          </cell>
        </row>
        <row r="440">
          <cell r="C440" t="str">
            <v>SOUTH FDL 2</v>
          </cell>
          <cell r="F440">
            <v>93.19</v>
          </cell>
          <cell r="G440">
            <v>13741</v>
          </cell>
          <cell r="H440">
            <v>7.4610000000000003</v>
          </cell>
          <cell r="I440">
            <v>0</v>
          </cell>
          <cell r="J440">
            <v>0</v>
          </cell>
          <cell r="K440">
            <v>0</v>
          </cell>
          <cell r="L440">
            <v>0</v>
          </cell>
          <cell r="M440">
            <v>0</v>
          </cell>
          <cell r="N440">
            <v>109.39</v>
          </cell>
        </row>
        <row r="441">
          <cell r="C441" t="str">
            <v>SOUTH FDL 3</v>
          </cell>
          <cell r="F441">
            <v>87.87</v>
          </cell>
          <cell r="G441">
            <v>13849</v>
          </cell>
          <cell r="H441">
            <v>7.4610000000000003</v>
          </cell>
          <cell r="I441">
            <v>0</v>
          </cell>
          <cell r="J441">
            <v>0</v>
          </cell>
          <cell r="K441">
            <v>0</v>
          </cell>
          <cell r="L441">
            <v>0</v>
          </cell>
          <cell r="M441">
            <v>0</v>
          </cell>
          <cell r="N441">
            <v>110.2</v>
          </cell>
        </row>
        <row r="442">
          <cell r="C442" t="str">
            <v>SOUTH FDL 4</v>
          </cell>
          <cell r="F442">
            <v>84.763000000000005</v>
          </cell>
          <cell r="G442">
            <v>0</v>
          </cell>
          <cell r="H442">
            <v>0</v>
          </cell>
          <cell r="I442">
            <v>0</v>
          </cell>
          <cell r="J442">
            <v>0</v>
          </cell>
          <cell r="K442">
            <v>0</v>
          </cell>
          <cell r="L442">
            <v>0</v>
          </cell>
          <cell r="M442">
            <v>0</v>
          </cell>
          <cell r="N442">
            <v>0</v>
          </cell>
        </row>
        <row r="443">
          <cell r="C443" t="str">
            <v>NELSON DEWEY 1</v>
          </cell>
          <cell r="F443">
            <v>111.511</v>
          </cell>
          <cell r="G443">
            <v>10053</v>
          </cell>
          <cell r="H443">
            <v>1.2330000000000001</v>
          </cell>
          <cell r="I443">
            <v>71.38</v>
          </cell>
          <cell r="J443">
            <v>57.311999999999998</v>
          </cell>
          <cell r="K443">
            <v>711</v>
          </cell>
          <cell r="L443">
            <v>38</v>
          </cell>
          <cell r="M443">
            <v>749</v>
          </cell>
          <cell r="N443">
            <v>13.06</v>
          </cell>
        </row>
        <row r="444">
          <cell r="C444" t="str">
            <v>NELSON DEWEY 2</v>
          </cell>
          <cell r="F444">
            <v>112.002</v>
          </cell>
          <cell r="G444">
            <v>9904</v>
          </cell>
          <cell r="H444">
            <v>1.2330000000000001</v>
          </cell>
          <cell r="I444">
            <v>71.569999999999993</v>
          </cell>
          <cell r="J444">
            <v>57.715000000000003</v>
          </cell>
          <cell r="K444">
            <v>705</v>
          </cell>
          <cell r="L444">
            <v>40</v>
          </cell>
          <cell r="M444">
            <v>745</v>
          </cell>
          <cell r="N444">
            <v>12.9</v>
          </cell>
        </row>
        <row r="445">
          <cell r="C445" t="str">
            <v>WPL HYDRO</v>
          </cell>
          <cell r="E445" t="str">
            <v>MUST</v>
          </cell>
          <cell r="F445">
            <v>27</v>
          </cell>
          <cell r="G445">
            <v>0</v>
          </cell>
          <cell r="H445">
            <v>0</v>
          </cell>
          <cell r="I445">
            <v>92.14</v>
          </cell>
          <cell r="J445">
            <v>17.911999999999999</v>
          </cell>
          <cell r="K445">
            <v>0</v>
          </cell>
          <cell r="L445">
            <v>0</v>
          </cell>
          <cell r="M445">
            <v>0</v>
          </cell>
          <cell r="N445">
            <v>0</v>
          </cell>
        </row>
        <row r="446">
          <cell r="C446" t="str">
            <v>BERLIN LFG WPL</v>
          </cell>
          <cell r="F446">
            <v>2.2000000000000002</v>
          </cell>
          <cell r="G446">
            <v>15000</v>
          </cell>
          <cell r="H446">
            <v>0</v>
          </cell>
          <cell r="I446">
            <v>83.66</v>
          </cell>
          <cell r="J446">
            <v>1.325</v>
          </cell>
          <cell r="K446">
            <v>0</v>
          </cell>
          <cell r="L446">
            <v>33</v>
          </cell>
          <cell r="M446">
            <v>33</v>
          </cell>
          <cell r="N446">
            <v>24.97</v>
          </cell>
        </row>
        <row r="447">
          <cell r="C447" t="str">
            <v>RIVERSIDE</v>
          </cell>
          <cell r="F447">
            <v>480.99099999999999</v>
          </cell>
          <cell r="G447">
            <v>7875</v>
          </cell>
          <cell r="H447">
            <v>6.891</v>
          </cell>
          <cell r="I447">
            <v>43.03</v>
          </cell>
          <cell r="J447">
            <v>149.02099999999999</v>
          </cell>
          <cell r="K447">
            <v>8087</v>
          </cell>
          <cell r="L447">
            <v>86</v>
          </cell>
          <cell r="M447">
            <v>8173</v>
          </cell>
          <cell r="N447">
            <v>54.84</v>
          </cell>
        </row>
        <row r="448">
          <cell r="C448" t="str">
            <v>ROCKGEN #1</v>
          </cell>
          <cell r="F448">
            <v>154.5</v>
          </cell>
          <cell r="G448">
            <v>13770</v>
          </cell>
          <cell r="H448">
            <v>6.891</v>
          </cell>
          <cell r="I448">
            <v>0.27</v>
          </cell>
          <cell r="J448">
            <v>0.29899999999999999</v>
          </cell>
          <cell r="K448">
            <v>28</v>
          </cell>
          <cell r="L448">
            <v>2</v>
          </cell>
          <cell r="M448">
            <v>30</v>
          </cell>
          <cell r="N448">
            <v>100.93</v>
          </cell>
        </row>
        <row r="449">
          <cell r="C449" t="str">
            <v>ROCKGEN #2</v>
          </cell>
          <cell r="F449">
            <v>154.5</v>
          </cell>
          <cell r="G449">
            <v>13956</v>
          </cell>
          <cell r="H449">
            <v>6.891</v>
          </cell>
          <cell r="I449">
            <v>0.08</v>
          </cell>
          <cell r="J449">
            <v>8.3000000000000004E-2</v>
          </cell>
          <cell r="K449">
            <v>8</v>
          </cell>
          <cell r="L449">
            <v>1</v>
          </cell>
          <cell r="M449">
            <v>9</v>
          </cell>
          <cell r="N449">
            <v>102.21</v>
          </cell>
        </row>
        <row r="450">
          <cell r="C450" t="str">
            <v>ROCKGEN #3</v>
          </cell>
          <cell r="F450">
            <v>154.5</v>
          </cell>
          <cell r="G450">
            <v>14202</v>
          </cell>
          <cell r="H450">
            <v>6.891</v>
          </cell>
          <cell r="I450">
            <v>0.01</v>
          </cell>
          <cell r="J450">
            <v>1.6E-2</v>
          </cell>
          <cell r="K450">
            <v>2</v>
          </cell>
          <cell r="L450">
            <v>0</v>
          </cell>
          <cell r="M450">
            <v>2</v>
          </cell>
          <cell r="N450">
            <v>103.91</v>
          </cell>
        </row>
        <row r="451">
          <cell r="C451" t="str">
            <v>BASE 100 ECONOMY</v>
          </cell>
          <cell r="F451">
            <v>100</v>
          </cell>
          <cell r="G451">
            <v>10000</v>
          </cell>
          <cell r="H451">
            <v>2.8980000000000001</v>
          </cell>
          <cell r="I451">
            <v>96.01</v>
          </cell>
          <cell r="J451">
            <v>69.123999999999995</v>
          </cell>
          <cell r="K451">
            <v>2003</v>
          </cell>
          <cell r="L451">
            <v>0</v>
          </cell>
          <cell r="M451">
            <v>2003</v>
          </cell>
          <cell r="N451">
            <v>28.98</v>
          </cell>
        </row>
        <row r="452">
          <cell r="C452" t="str">
            <v>OTHR 500 ECONOMY</v>
          </cell>
          <cell r="F452">
            <v>200</v>
          </cell>
          <cell r="G452">
            <v>10000</v>
          </cell>
          <cell r="H452">
            <v>2.8980000000000001</v>
          </cell>
          <cell r="I452">
            <v>77.88</v>
          </cell>
          <cell r="J452">
            <v>112.142</v>
          </cell>
          <cell r="K452">
            <v>3250</v>
          </cell>
          <cell r="L452">
            <v>0</v>
          </cell>
          <cell r="M452">
            <v>3250</v>
          </cell>
          <cell r="N452">
            <v>28.98</v>
          </cell>
        </row>
        <row r="453">
          <cell r="C453" t="str">
            <v>FPL WIND PURCH</v>
          </cell>
          <cell r="E453" t="str">
            <v>NDT</v>
          </cell>
          <cell r="F453">
            <v>80</v>
          </cell>
          <cell r="G453">
            <v>0</v>
          </cell>
          <cell r="H453">
            <v>0</v>
          </cell>
          <cell r="I453">
            <v>36.69</v>
          </cell>
          <cell r="J453">
            <v>21.134</v>
          </cell>
          <cell r="K453">
            <v>0</v>
          </cell>
          <cell r="L453">
            <v>0</v>
          </cell>
          <cell r="M453">
            <v>0</v>
          </cell>
          <cell r="N453">
            <v>0</v>
          </cell>
        </row>
        <row r="454">
          <cell r="C454" t="str">
            <v>INV WIND PURCH</v>
          </cell>
          <cell r="E454" t="str">
            <v>NDT</v>
          </cell>
          <cell r="F454">
            <v>50</v>
          </cell>
          <cell r="G454">
            <v>0</v>
          </cell>
          <cell r="H454">
            <v>0</v>
          </cell>
          <cell r="I454">
            <v>40.03</v>
          </cell>
          <cell r="J454">
            <v>14.412000000000001</v>
          </cell>
          <cell r="K454">
            <v>0</v>
          </cell>
          <cell r="L454">
            <v>0</v>
          </cell>
          <cell r="M454">
            <v>0</v>
          </cell>
          <cell r="N454">
            <v>0</v>
          </cell>
        </row>
        <row r="455">
          <cell r="C455" t="str">
            <v>JANESVILLE PURCH</v>
          </cell>
          <cell r="F455">
            <v>1.6</v>
          </cell>
          <cell r="G455">
            <v>15000</v>
          </cell>
          <cell r="H455">
            <v>0</v>
          </cell>
          <cell r="I455">
            <v>66.53</v>
          </cell>
          <cell r="J455">
            <v>0.76600000000000001</v>
          </cell>
          <cell r="K455">
            <v>0</v>
          </cell>
          <cell r="L455">
            <v>30</v>
          </cell>
          <cell r="M455">
            <v>30</v>
          </cell>
          <cell r="N455">
            <v>38.869999999999997</v>
          </cell>
        </row>
        <row r="456">
          <cell r="C456" t="str">
            <v>MINERGY    PURCH</v>
          </cell>
          <cell r="F456">
            <v>6.5</v>
          </cell>
          <cell r="G456">
            <v>15000</v>
          </cell>
          <cell r="H456">
            <v>0</v>
          </cell>
          <cell r="I456">
            <v>66.099999999999994</v>
          </cell>
          <cell r="J456">
            <v>3.093</v>
          </cell>
          <cell r="K456">
            <v>0</v>
          </cell>
          <cell r="L456">
            <v>120</v>
          </cell>
          <cell r="M456">
            <v>120</v>
          </cell>
          <cell r="N456">
            <v>38.869999999999997</v>
          </cell>
        </row>
        <row r="457">
          <cell r="C457" t="str">
            <v>SUPERIOR   PURCH</v>
          </cell>
          <cell r="F457">
            <v>2.2000000000000002</v>
          </cell>
          <cell r="G457">
            <v>15000</v>
          </cell>
          <cell r="H457">
            <v>0</v>
          </cell>
          <cell r="I457">
            <v>65.73</v>
          </cell>
          <cell r="J457">
            <v>1.0409999999999999</v>
          </cell>
          <cell r="K457">
            <v>0</v>
          </cell>
          <cell r="L457">
            <v>40</v>
          </cell>
          <cell r="M457">
            <v>40</v>
          </cell>
          <cell r="N457">
            <v>38.869999999999997</v>
          </cell>
        </row>
        <row r="458">
          <cell r="C458" t="str">
            <v>WRPC HYDRO PURCH</v>
          </cell>
          <cell r="E458" t="str">
            <v>MUST</v>
          </cell>
          <cell r="F458">
            <v>13.2</v>
          </cell>
          <cell r="G458">
            <v>0</v>
          </cell>
          <cell r="H458">
            <v>0</v>
          </cell>
          <cell r="I458">
            <v>44.83</v>
          </cell>
          <cell r="J458">
            <v>4.2610000000000001</v>
          </cell>
          <cell r="K458">
            <v>0</v>
          </cell>
          <cell r="L458">
            <v>0</v>
          </cell>
          <cell r="M458">
            <v>0</v>
          </cell>
          <cell r="N458">
            <v>0</v>
          </cell>
        </row>
        <row r="459">
          <cell r="C459" t="str">
            <v>SHEBOYGAN CT1</v>
          </cell>
          <cell r="F459">
            <v>169.399</v>
          </cell>
          <cell r="G459">
            <v>11879</v>
          </cell>
          <cell r="H459">
            <v>6.891</v>
          </cell>
          <cell r="I459">
            <v>3.95</v>
          </cell>
          <cell r="J459">
            <v>4.8220000000000001</v>
          </cell>
          <cell r="K459">
            <v>395</v>
          </cell>
          <cell r="L459">
            <v>22</v>
          </cell>
          <cell r="M459">
            <v>417</v>
          </cell>
          <cell r="N459">
            <v>86.52</v>
          </cell>
        </row>
        <row r="460">
          <cell r="C460" t="str">
            <v>SHEBOYGAN CT2</v>
          </cell>
          <cell r="F460">
            <v>169.399</v>
          </cell>
          <cell r="G460">
            <v>11846</v>
          </cell>
          <cell r="H460">
            <v>6.891</v>
          </cell>
          <cell r="I460">
            <v>1.1000000000000001</v>
          </cell>
          <cell r="J460">
            <v>1.3460000000000001</v>
          </cell>
          <cell r="K460">
            <v>110</v>
          </cell>
          <cell r="L460">
            <v>6</v>
          </cell>
          <cell r="M460">
            <v>116</v>
          </cell>
          <cell r="N460">
            <v>86.29</v>
          </cell>
        </row>
        <row r="461">
          <cell r="C461" t="str">
            <v>NEW WIND-100MW</v>
          </cell>
          <cell r="D461">
            <v>2006</v>
          </cell>
          <cell r="E461" t="str">
            <v>NDT</v>
          </cell>
          <cell r="F461">
            <v>100</v>
          </cell>
          <cell r="G461">
            <v>0</v>
          </cell>
          <cell r="H461">
            <v>0</v>
          </cell>
          <cell r="I461">
            <v>36.69</v>
          </cell>
          <cell r="J461">
            <v>26.417000000000002</v>
          </cell>
          <cell r="K461">
            <v>0</v>
          </cell>
          <cell r="L461">
            <v>907</v>
          </cell>
          <cell r="M461">
            <v>907</v>
          </cell>
          <cell r="N461">
            <v>34.33</v>
          </cell>
        </row>
        <row r="462">
          <cell r="C462" t="str">
            <v>SHARED SAVINGS</v>
          </cell>
          <cell r="D462">
            <v>2005</v>
          </cell>
          <cell r="E462" t="str">
            <v>HYDR</v>
          </cell>
          <cell r="F462">
            <v>6.8639999999999999</v>
          </cell>
          <cell r="G462">
            <v>0</v>
          </cell>
          <cell r="H462">
            <v>0</v>
          </cell>
          <cell r="I462">
            <v>65.81</v>
          </cell>
          <cell r="J462">
            <v>3.2519999999999998</v>
          </cell>
          <cell r="K462">
            <v>0</v>
          </cell>
          <cell r="L462">
            <v>0</v>
          </cell>
          <cell r="M462">
            <v>0</v>
          </cell>
          <cell r="N462">
            <v>0</v>
          </cell>
        </row>
        <row r="463">
          <cell r="C463" t="str">
            <v>RES ENERGY FOCUS</v>
          </cell>
          <cell r="D463">
            <v>2005</v>
          </cell>
          <cell r="E463" t="str">
            <v>HYDR</v>
          </cell>
          <cell r="F463">
            <v>5.21</v>
          </cell>
          <cell r="G463">
            <v>0</v>
          </cell>
          <cell r="H463">
            <v>0</v>
          </cell>
          <cell r="I463">
            <v>39.5</v>
          </cell>
          <cell r="J463">
            <v>1.482</v>
          </cell>
          <cell r="K463">
            <v>0</v>
          </cell>
          <cell r="L463">
            <v>0</v>
          </cell>
          <cell r="M463">
            <v>0</v>
          </cell>
          <cell r="N463">
            <v>0</v>
          </cell>
        </row>
        <row r="464">
          <cell r="C464" t="str">
            <v>WPL DLC PROGRAM</v>
          </cell>
          <cell r="D464">
            <v>2005</v>
          </cell>
          <cell r="E464" t="str">
            <v>HYDR</v>
          </cell>
          <cell r="F464">
            <v>4</v>
          </cell>
          <cell r="G464">
            <v>0</v>
          </cell>
          <cell r="H464">
            <v>0</v>
          </cell>
          <cell r="I464">
            <v>0</v>
          </cell>
          <cell r="J464">
            <v>0</v>
          </cell>
          <cell r="K464">
            <v>0</v>
          </cell>
          <cell r="L464">
            <v>0</v>
          </cell>
          <cell r="M464">
            <v>0</v>
          </cell>
          <cell r="N464">
            <v>0</v>
          </cell>
        </row>
        <row r="466">
          <cell r="C466" t="str">
            <v>KEWAUNEE</v>
          </cell>
          <cell r="E466" t="str">
            <v>MUST</v>
          </cell>
          <cell r="F466">
            <v>235.2</v>
          </cell>
          <cell r="G466">
            <v>10750</v>
          </cell>
          <cell r="H466">
            <v>0.45500000000000002</v>
          </cell>
          <cell r="I466">
            <v>96.5</v>
          </cell>
          <cell r="J466">
            <v>163.417</v>
          </cell>
          <cell r="K466">
            <v>800</v>
          </cell>
          <cell r="L466">
            <v>0</v>
          </cell>
          <cell r="M466">
            <v>800</v>
          </cell>
          <cell r="N466">
            <v>4.9000000000000004</v>
          </cell>
        </row>
        <row r="467">
          <cell r="C467" t="str">
            <v>COLUMBIA 1</v>
          </cell>
          <cell r="E467" t="str">
            <v>MUST</v>
          </cell>
          <cell r="F467">
            <v>247.20500000000001</v>
          </cell>
          <cell r="G467">
            <v>10682</v>
          </cell>
          <cell r="H467">
            <v>1.306</v>
          </cell>
          <cell r="I467">
            <v>88.23</v>
          </cell>
          <cell r="J467">
            <v>157.03800000000001</v>
          </cell>
          <cell r="K467">
            <v>2190</v>
          </cell>
          <cell r="L467">
            <v>31</v>
          </cell>
          <cell r="M467">
            <v>2221</v>
          </cell>
          <cell r="N467">
            <v>14.15</v>
          </cell>
        </row>
        <row r="468">
          <cell r="C468" t="str">
            <v>COLUMBIA 2</v>
          </cell>
          <cell r="E468" t="str">
            <v>MUST</v>
          </cell>
          <cell r="F468">
            <v>247.09399999999999</v>
          </cell>
          <cell r="G468">
            <v>10545</v>
          </cell>
          <cell r="H468">
            <v>1.306</v>
          </cell>
          <cell r="I468">
            <v>86.34</v>
          </cell>
          <cell r="J468">
            <v>153.60599999999999</v>
          </cell>
          <cell r="K468">
            <v>2115</v>
          </cell>
          <cell r="L468">
            <v>2</v>
          </cell>
          <cell r="M468">
            <v>2117</v>
          </cell>
          <cell r="N468">
            <v>13.78</v>
          </cell>
        </row>
        <row r="469">
          <cell r="C469" t="str">
            <v>EDGEWATER 3</v>
          </cell>
          <cell r="F469">
            <v>76.3</v>
          </cell>
          <cell r="G469">
            <v>11081</v>
          </cell>
          <cell r="H469">
            <v>1.482</v>
          </cell>
          <cell r="I469">
            <v>70.3</v>
          </cell>
          <cell r="J469">
            <v>38.622</v>
          </cell>
          <cell r="K469">
            <v>634</v>
          </cell>
          <cell r="L469">
            <v>11</v>
          </cell>
          <cell r="M469">
            <v>645</v>
          </cell>
          <cell r="N469">
            <v>16.7</v>
          </cell>
        </row>
        <row r="470">
          <cell r="C470" t="str">
            <v>EDGEWATER 4</v>
          </cell>
          <cell r="F470">
            <v>229.99799999999999</v>
          </cell>
          <cell r="G470">
            <v>9970</v>
          </cell>
          <cell r="H470">
            <v>1.399</v>
          </cell>
          <cell r="I470">
            <v>14.51</v>
          </cell>
          <cell r="J470">
            <v>24.027999999999999</v>
          </cell>
          <cell r="K470">
            <v>335</v>
          </cell>
          <cell r="L470">
            <v>6</v>
          </cell>
          <cell r="M470">
            <v>342</v>
          </cell>
          <cell r="N470">
            <v>14.22</v>
          </cell>
        </row>
        <row r="471">
          <cell r="C471" t="str">
            <v>EDGEWATER 5</v>
          </cell>
          <cell r="E471" t="str">
            <v>MUST</v>
          </cell>
          <cell r="F471">
            <v>302.79300000000001</v>
          </cell>
          <cell r="G471">
            <v>10072</v>
          </cell>
          <cell r="H471">
            <v>1.2849999999999999</v>
          </cell>
          <cell r="I471">
            <v>77.97</v>
          </cell>
          <cell r="J471">
            <v>169.983</v>
          </cell>
          <cell r="K471">
            <v>2200</v>
          </cell>
          <cell r="L471">
            <v>11</v>
          </cell>
          <cell r="M471">
            <v>2211</v>
          </cell>
          <cell r="N471">
            <v>13.01</v>
          </cell>
        </row>
        <row r="472">
          <cell r="C472" t="str">
            <v>BLACKHAWK 3</v>
          </cell>
          <cell r="F472">
            <v>24.9</v>
          </cell>
          <cell r="G472">
            <v>11862</v>
          </cell>
          <cell r="H472">
            <v>7.2329999999999997</v>
          </cell>
          <cell r="I472">
            <v>0.25</v>
          </cell>
          <cell r="J472">
            <v>4.3999999999999997E-2</v>
          </cell>
          <cell r="K472">
            <v>4</v>
          </cell>
          <cell r="L472">
            <v>0</v>
          </cell>
          <cell r="M472">
            <v>4</v>
          </cell>
          <cell r="N472">
            <v>87.4</v>
          </cell>
        </row>
        <row r="473">
          <cell r="C473" t="str">
            <v>BLACKHAWK 4</v>
          </cell>
          <cell r="F473">
            <v>25.1</v>
          </cell>
          <cell r="G473">
            <v>11392</v>
          </cell>
          <cell r="H473">
            <v>7.2329999999999997</v>
          </cell>
          <cell r="I473">
            <v>0.27</v>
          </cell>
          <cell r="J473">
            <v>4.8000000000000001E-2</v>
          </cell>
          <cell r="K473">
            <v>4</v>
          </cell>
          <cell r="L473">
            <v>0</v>
          </cell>
          <cell r="M473">
            <v>4</v>
          </cell>
          <cell r="N473">
            <v>84.04</v>
          </cell>
        </row>
        <row r="474">
          <cell r="C474" t="str">
            <v>ROCK RIVER 1</v>
          </cell>
          <cell r="F474">
            <v>74.7</v>
          </cell>
          <cell r="G474">
            <v>11064</v>
          </cell>
          <cell r="H474">
            <v>6.7460000000000004</v>
          </cell>
          <cell r="I474">
            <v>4.68</v>
          </cell>
          <cell r="J474">
            <v>2.5150000000000001</v>
          </cell>
          <cell r="K474">
            <v>188</v>
          </cell>
          <cell r="L474">
            <v>2</v>
          </cell>
          <cell r="M474">
            <v>190</v>
          </cell>
          <cell r="N474">
            <v>75.489999999999995</v>
          </cell>
        </row>
        <row r="475">
          <cell r="C475" t="str">
            <v>ROCK RIVER 2</v>
          </cell>
          <cell r="F475">
            <v>78.2</v>
          </cell>
          <cell r="G475">
            <v>10933</v>
          </cell>
          <cell r="H475">
            <v>6.7460000000000004</v>
          </cell>
          <cell r="I475">
            <v>5.49</v>
          </cell>
          <cell r="J475">
            <v>3.0920000000000001</v>
          </cell>
          <cell r="K475">
            <v>228</v>
          </cell>
          <cell r="L475">
            <v>2</v>
          </cell>
          <cell r="M475">
            <v>231</v>
          </cell>
          <cell r="N475">
            <v>74.56</v>
          </cell>
        </row>
        <row r="476">
          <cell r="C476" t="str">
            <v>ROCK RIVER 3</v>
          </cell>
          <cell r="F476">
            <v>31.241</v>
          </cell>
          <cell r="G476">
            <v>0</v>
          </cell>
          <cell r="H476">
            <v>0</v>
          </cell>
          <cell r="I476">
            <v>0</v>
          </cell>
          <cell r="J476">
            <v>0</v>
          </cell>
          <cell r="K476">
            <v>0</v>
          </cell>
          <cell r="L476">
            <v>0</v>
          </cell>
          <cell r="M476">
            <v>0</v>
          </cell>
          <cell r="N476">
            <v>0</v>
          </cell>
        </row>
        <row r="477">
          <cell r="C477" t="str">
            <v>ROCK RIVER 4</v>
          </cell>
          <cell r="F477">
            <v>16.2</v>
          </cell>
          <cell r="G477">
            <v>0</v>
          </cell>
          <cell r="H477">
            <v>0</v>
          </cell>
          <cell r="I477">
            <v>0</v>
          </cell>
          <cell r="J477">
            <v>0</v>
          </cell>
          <cell r="K477">
            <v>0</v>
          </cell>
          <cell r="L477">
            <v>0</v>
          </cell>
          <cell r="M477">
            <v>0</v>
          </cell>
          <cell r="N477">
            <v>0</v>
          </cell>
        </row>
        <row r="478">
          <cell r="C478" t="str">
            <v>ROCK RIVER 5</v>
          </cell>
          <cell r="F478">
            <v>63.076000000000001</v>
          </cell>
          <cell r="G478">
            <v>0</v>
          </cell>
          <cell r="H478">
            <v>0</v>
          </cell>
          <cell r="I478">
            <v>0</v>
          </cell>
          <cell r="J478">
            <v>0</v>
          </cell>
          <cell r="K478">
            <v>0</v>
          </cell>
          <cell r="L478">
            <v>0</v>
          </cell>
          <cell r="M478">
            <v>0</v>
          </cell>
          <cell r="N478">
            <v>0</v>
          </cell>
        </row>
        <row r="479">
          <cell r="C479" t="str">
            <v>ROCK RIVER 6</v>
          </cell>
          <cell r="F479">
            <v>63.335999999999999</v>
          </cell>
          <cell r="G479">
            <v>0</v>
          </cell>
          <cell r="H479">
            <v>0</v>
          </cell>
          <cell r="I479">
            <v>0</v>
          </cell>
          <cell r="J479">
            <v>0</v>
          </cell>
          <cell r="K479">
            <v>0</v>
          </cell>
          <cell r="L479">
            <v>0</v>
          </cell>
          <cell r="M479">
            <v>0</v>
          </cell>
          <cell r="N479">
            <v>0</v>
          </cell>
        </row>
        <row r="480">
          <cell r="C480" t="str">
            <v>SHEEPSKIN 1</v>
          </cell>
          <cell r="F480">
            <v>37.6</v>
          </cell>
          <cell r="G480">
            <v>0</v>
          </cell>
          <cell r="H480">
            <v>0</v>
          </cell>
          <cell r="I480">
            <v>0</v>
          </cell>
          <cell r="J480">
            <v>0</v>
          </cell>
          <cell r="K480">
            <v>0</v>
          </cell>
          <cell r="L480">
            <v>0</v>
          </cell>
          <cell r="M480">
            <v>0</v>
          </cell>
          <cell r="N480">
            <v>0</v>
          </cell>
        </row>
        <row r="481">
          <cell r="C481" t="str">
            <v>SOUTH FDL 1</v>
          </cell>
          <cell r="F481">
            <v>92.241</v>
          </cell>
          <cell r="G481">
            <v>13583</v>
          </cell>
          <cell r="H481">
            <v>7.4610000000000003</v>
          </cell>
          <cell r="I481">
            <v>0</v>
          </cell>
          <cell r="J481">
            <v>2E-3</v>
          </cell>
          <cell r="K481">
            <v>0</v>
          </cell>
          <cell r="L481">
            <v>0</v>
          </cell>
          <cell r="M481">
            <v>0</v>
          </cell>
          <cell r="N481">
            <v>108.21</v>
          </cell>
        </row>
        <row r="482">
          <cell r="C482" t="str">
            <v>SOUTH FDL 2</v>
          </cell>
          <cell r="F482">
            <v>93.19</v>
          </cell>
          <cell r="G482">
            <v>13668</v>
          </cell>
          <cell r="H482">
            <v>7.4610000000000003</v>
          </cell>
          <cell r="I482">
            <v>0</v>
          </cell>
          <cell r="J482">
            <v>1E-3</v>
          </cell>
          <cell r="K482">
            <v>0</v>
          </cell>
          <cell r="L482">
            <v>0</v>
          </cell>
          <cell r="M482">
            <v>0</v>
          </cell>
          <cell r="N482">
            <v>108.84</v>
          </cell>
        </row>
        <row r="483">
          <cell r="C483" t="str">
            <v>SOUTH FDL 3</v>
          </cell>
          <cell r="F483">
            <v>87.87</v>
          </cell>
          <cell r="G483">
            <v>13732</v>
          </cell>
          <cell r="H483">
            <v>7.4610000000000003</v>
          </cell>
          <cell r="I483">
            <v>0</v>
          </cell>
          <cell r="J483">
            <v>0</v>
          </cell>
          <cell r="K483">
            <v>0</v>
          </cell>
          <cell r="L483">
            <v>0</v>
          </cell>
          <cell r="M483">
            <v>0</v>
          </cell>
          <cell r="N483">
            <v>109.32</v>
          </cell>
        </row>
        <row r="484">
          <cell r="C484" t="str">
            <v>SOUTH FDL 4</v>
          </cell>
          <cell r="F484">
            <v>84.763000000000005</v>
          </cell>
          <cell r="G484">
            <v>0</v>
          </cell>
          <cell r="H484">
            <v>0</v>
          </cell>
          <cell r="I484">
            <v>0</v>
          </cell>
          <cell r="J484">
            <v>0</v>
          </cell>
          <cell r="K484">
            <v>0</v>
          </cell>
          <cell r="L484">
            <v>0</v>
          </cell>
          <cell r="M484">
            <v>0</v>
          </cell>
          <cell r="N484">
            <v>0</v>
          </cell>
        </row>
        <row r="485">
          <cell r="C485" t="str">
            <v>NELSON DEWEY 1</v>
          </cell>
          <cell r="F485">
            <v>111.511</v>
          </cell>
          <cell r="G485">
            <v>10055</v>
          </cell>
          <cell r="H485">
            <v>1.2330000000000001</v>
          </cell>
          <cell r="I485">
            <v>70.87</v>
          </cell>
          <cell r="J485">
            <v>56.898000000000003</v>
          </cell>
          <cell r="K485">
            <v>706</v>
          </cell>
          <cell r="L485">
            <v>38</v>
          </cell>
          <cell r="M485">
            <v>743</v>
          </cell>
          <cell r="N485">
            <v>13.07</v>
          </cell>
        </row>
        <row r="486">
          <cell r="C486" t="str">
            <v>NELSON DEWEY 2</v>
          </cell>
          <cell r="F486">
            <v>112.002</v>
          </cell>
          <cell r="G486">
            <v>9904</v>
          </cell>
          <cell r="H486">
            <v>1.2330000000000001</v>
          </cell>
          <cell r="I486">
            <v>71.39</v>
          </cell>
          <cell r="J486">
            <v>57.566000000000003</v>
          </cell>
          <cell r="K486">
            <v>703</v>
          </cell>
          <cell r="L486">
            <v>40</v>
          </cell>
          <cell r="M486">
            <v>743</v>
          </cell>
          <cell r="N486">
            <v>12.9</v>
          </cell>
        </row>
        <row r="487">
          <cell r="C487" t="str">
            <v>WPL HYDRO</v>
          </cell>
          <cell r="E487" t="str">
            <v>MUST</v>
          </cell>
          <cell r="F487">
            <v>27</v>
          </cell>
          <cell r="G487">
            <v>0</v>
          </cell>
          <cell r="H487">
            <v>0</v>
          </cell>
          <cell r="I487">
            <v>92.14</v>
          </cell>
          <cell r="J487">
            <v>17.911999999999999</v>
          </cell>
          <cell r="K487">
            <v>0</v>
          </cell>
          <cell r="L487">
            <v>0</v>
          </cell>
          <cell r="M487">
            <v>0</v>
          </cell>
          <cell r="N487">
            <v>0</v>
          </cell>
        </row>
        <row r="488">
          <cell r="C488" t="str">
            <v>BERLIN LFG WPL</v>
          </cell>
          <cell r="F488">
            <v>2.2000000000000002</v>
          </cell>
          <cell r="G488">
            <v>15000</v>
          </cell>
          <cell r="H488">
            <v>0</v>
          </cell>
          <cell r="I488">
            <v>81.94</v>
          </cell>
          <cell r="J488">
            <v>1.298</v>
          </cell>
          <cell r="K488">
            <v>0</v>
          </cell>
          <cell r="L488">
            <v>32</v>
          </cell>
          <cell r="M488">
            <v>32</v>
          </cell>
          <cell r="N488">
            <v>24.97</v>
          </cell>
        </row>
        <row r="489">
          <cell r="C489" t="str">
            <v>RIVERSIDE</v>
          </cell>
          <cell r="F489">
            <v>537.99</v>
          </cell>
          <cell r="G489">
            <v>7963</v>
          </cell>
          <cell r="H489">
            <v>6.891</v>
          </cell>
          <cell r="I489">
            <v>31.44</v>
          </cell>
          <cell r="J489">
            <v>121.785</v>
          </cell>
          <cell r="K489">
            <v>6682</v>
          </cell>
          <cell r="L489">
            <v>70</v>
          </cell>
          <cell r="M489">
            <v>6753</v>
          </cell>
          <cell r="N489">
            <v>55.45</v>
          </cell>
        </row>
        <row r="490">
          <cell r="C490" t="str">
            <v>ROCKGEN #1</v>
          </cell>
          <cell r="F490">
            <v>154.5</v>
          </cell>
          <cell r="G490">
            <v>13689</v>
          </cell>
          <cell r="H490">
            <v>6.891</v>
          </cell>
          <cell r="I490">
            <v>0.23</v>
          </cell>
          <cell r="J490">
            <v>0.25800000000000001</v>
          </cell>
          <cell r="K490">
            <v>24</v>
          </cell>
          <cell r="L490">
            <v>2</v>
          </cell>
          <cell r="M490">
            <v>26</v>
          </cell>
          <cell r="N490">
            <v>100.37</v>
          </cell>
        </row>
        <row r="491">
          <cell r="C491" t="str">
            <v>ROCKGEN #2</v>
          </cell>
          <cell r="F491">
            <v>154.5</v>
          </cell>
          <cell r="G491">
            <v>13846</v>
          </cell>
          <cell r="H491">
            <v>6.891</v>
          </cell>
          <cell r="I491">
            <v>7.0000000000000007E-2</v>
          </cell>
          <cell r="J491">
            <v>8.3000000000000004E-2</v>
          </cell>
          <cell r="K491">
            <v>8</v>
          </cell>
          <cell r="L491">
            <v>1</v>
          </cell>
          <cell r="M491">
            <v>8</v>
          </cell>
          <cell r="N491">
            <v>101.45</v>
          </cell>
        </row>
        <row r="492">
          <cell r="C492" t="str">
            <v>ROCKGEN #3</v>
          </cell>
          <cell r="F492">
            <v>154.5</v>
          </cell>
          <cell r="G492">
            <v>14062</v>
          </cell>
          <cell r="H492">
            <v>6.891</v>
          </cell>
          <cell r="I492">
            <v>0.02</v>
          </cell>
          <cell r="J492">
            <v>0.02</v>
          </cell>
          <cell r="K492">
            <v>2</v>
          </cell>
          <cell r="L492">
            <v>0</v>
          </cell>
          <cell r="M492">
            <v>2</v>
          </cell>
          <cell r="N492">
            <v>102.94</v>
          </cell>
        </row>
        <row r="493">
          <cell r="C493" t="str">
            <v>BASE 100 ECONOMY</v>
          </cell>
          <cell r="F493">
            <v>100</v>
          </cell>
          <cell r="G493">
            <v>10000</v>
          </cell>
          <cell r="H493">
            <v>3.9609999999999999</v>
          </cell>
          <cell r="I493">
            <v>91.99</v>
          </cell>
          <cell r="J493">
            <v>66.233999999999995</v>
          </cell>
          <cell r="K493">
            <v>2623</v>
          </cell>
          <cell r="L493">
            <v>0</v>
          </cell>
          <cell r="M493">
            <v>2623</v>
          </cell>
          <cell r="N493">
            <v>39.61</v>
          </cell>
        </row>
        <row r="494">
          <cell r="C494" t="str">
            <v>OTHR 500 ECONOMY</v>
          </cell>
          <cell r="F494">
            <v>250</v>
          </cell>
          <cell r="G494">
            <v>10000</v>
          </cell>
          <cell r="H494">
            <v>3.9609999999999999</v>
          </cell>
          <cell r="I494">
            <v>68.59</v>
          </cell>
          <cell r="J494">
            <v>123.465</v>
          </cell>
          <cell r="K494">
            <v>4890</v>
          </cell>
          <cell r="L494">
            <v>0</v>
          </cell>
          <cell r="M494">
            <v>4890</v>
          </cell>
          <cell r="N494">
            <v>39.61</v>
          </cell>
        </row>
        <row r="495">
          <cell r="C495" t="str">
            <v>FPL WIND PURCH</v>
          </cell>
          <cell r="E495" t="str">
            <v>NDT</v>
          </cell>
          <cell r="F495">
            <v>80</v>
          </cell>
          <cell r="G495">
            <v>0</v>
          </cell>
          <cell r="H495">
            <v>0</v>
          </cell>
          <cell r="I495">
            <v>29.85</v>
          </cell>
          <cell r="J495">
            <v>17.195</v>
          </cell>
          <cell r="K495">
            <v>0</v>
          </cell>
          <cell r="L495">
            <v>0</v>
          </cell>
          <cell r="M495">
            <v>0</v>
          </cell>
          <cell r="N495">
            <v>0</v>
          </cell>
        </row>
        <row r="496">
          <cell r="C496" t="str">
            <v>INV WIND PURCH</v>
          </cell>
          <cell r="E496" t="str">
            <v>NDT</v>
          </cell>
          <cell r="F496">
            <v>50</v>
          </cell>
          <cell r="G496">
            <v>0</v>
          </cell>
          <cell r="H496">
            <v>0</v>
          </cell>
          <cell r="I496">
            <v>31.54</v>
          </cell>
          <cell r="J496">
            <v>11.353</v>
          </cell>
          <cell r="K496">
            <v>0</v>
          </cell>
          <cell r="L496">
            <v>0</v>
          </cell>
          <cell r="M496">
            <v>0</v>
          </cell>
          <cell r="N496">
            <v>0</v>
          </cell>
        </row>
        <row r="497">
          <cell r="C497" t="str">
            <v>JANESVILLE PURCH</v>
          </cell>
          <cell r="F497">
            <v>1.6</v>
          </cell>
          <cell r="G497">
            <v>15000</v>
          </cell>
          <cell r="H497">
            <v>0</v>
          </cell>
          <cell r="I497">
            <v>81.92</v>
          </cell>
          <cell r="J497">
            <v>0.94399999999999995</v>
          </cell>
          <cell r="K497">
            <v>0</v>
          </cell>
          <cell r="L497">
            <v>37</v>
          </cell>
          <cell r="M497">
            <v>37</v>
          </cell>
          <cell r="N497">
            <v>38.869999999999997</v>
          </cell>
        </row>
        <row r="498">
          <cell r="C498" t="str">
            <v>MINERGY    PURCH</v>
          </cell>
          <cell r="F498">
            <v>6.5</v>
          </cell>
          <cell r="G498">
            <v>15000</v>
          </cell>
          <cell r="H498">
            <v>0</v>
          </cell>
          <cell r="I498">
            <v>81.81</v>
          </cell>
          <cell r="J498">
            <v>3.8290000000000002</v>
          </cell>
          <cell r="K498">
            <v>0</v>
          </cell>
          <cell r="L498">
            <v>149</v>
          </cell>
          <cell r="M498">
            <v>149</v>
          </cell>
          <cell r="N498">
            <v>38.869999999999997</v>
          </cell>
        </row>
        <row r="499">
          <cell r="C499" t="str">
            <v>SUPERIOR   PURCH</v>
          </cell>
          <cell r="F499">
            <v>2.2000000000000002</v>
          </cell>
          <cell r="G499">
            <v>15000</v>
          </cell>
          <cell r="H499">
            <v>0</v>
          </cell>
          <cell r="I499">
            <v>81.73</v>
          </cell>
          <cell r="J499">
            <v>1.2949999999999999</v>
          </cell>
          <cell r="K499">
            <v>0</v>
          </cell>
          <cell r="L499">
            <v>50</v>
          </cell>
          <cell r="M499">
            <v>50</v>
          </cell>
          <cell r="N499">
            <v>38.869999999999997</v>
          </cell>
        </row>
        <row r="500">
          <cell r="C500" t="str">
            <v>WRPC HYDRO PURCH</v>
          </cell>
          <cell r="E500" t="str">
            <v>MUST</v>
          </cell>
          <cell r="F500">
            <v>13.2</v>
          </cell>
          <cell r="G500">
            <v>0</v>
          </cell>
          <cell r="H500">
            <v>0</v>
          </cell>
          <cell r="I500">
            <v>44.83</v>
          </cell>
          <cell r="J500">
            <v>4.2610000000000001</v>
          </cell>
          <cell r="K500">
            <v>0</v>
          </cell>
          <cell r="L500">
            <v>0</v>
          </cell>
          <cell r="M500">
            <v>0</v>
          </cell>
          <cell r="N500">
            <v>0</v>
          </cell>
        </row>
        <row r="501">
          <cell r="C501" t="str">
            <v>SHEBOYGAN CT1</v>
          </cell>
          <cell r="F501">
            <v>169.399</v>
          </cell>
          <cell r="G501">
            <v>11779</v>
          </cell>
          <cell r="H501">
            <v>6.891</v>
          </cell>
          <cell r="I501">
            <v>2.02</v>
          </cell>
          <cell r="J501">
            <v>2.464</v>
          </cell>
          <cell r="K501">
            <v>200</v>
          </cell>
          <cell r="L501">
            <v>11</v>
          </cell>
          <cell r="M501">
            <v>212</v>
          </cell>
          <cell r="N501">
            <v>85.83</v>
          </cell>
        </row>
        <row r="502">
          <cell r="C502" t="str">
            <v>SHEBOYGAN CT2</v>
          </cell>
          <cell r="F502">
            <v>169.399</v>
          </cell>
          <cell r="G502">
            <v>11528</v>
          </cell>
          <cell r="H502">
            <v>6.891</v>
          </cell>
          <cell r="I502">
            <v>0.56999999999999995</v>
          </cell>
          <cell r="J502">
            <v>0.69899999999999995</v>
          </cell>
          <cell r="K502">
            <v>56</v>
          </cell>
          <cell r="L502">
            <v>3</v>
          </cell>
          <cell r="M502">
            <v>59</v>
          </cell>
          <cell r="N502">
            <v>84.1</v>
          </cell>
        </row>
        <row r="503">
          <cell r="C503" t="str">
            <v>NEW WIND-100MW</v>
          </cell>
          <cell r="D503">
            <v>2006</v>
          </cell>
          <cell r="E503" t="str">
            <v>NDT</v>
          </cell>
          <cell r="F503">
            <v>100</v>
          </cell>
          <cell r="G503">
            <v>0</v>
          </cell>
          <cell r="H503">
            <v>0</v>
          </cell>
          <cell r="I503">
            <v>29.85</v>
          </cell>
          <cell r="J503">
            <v>21.494</v>
          </cell>
          <cell r="K503">
            <v>0</v>
          </cell>
          <cell r="L503">
            <v>738</v>
          </cell>
          <cell r="M503">
            <v>738</v>
          </cell>
          <cell r="N503">
            <v>34.33</v>
          </cell>
        </row>
        <row r="504">
          <cell r="C504" t="str">
            <v>SHARED SAVINGS</v>
          </cell>
          <cell r="D504">
            <v>2005</v>
          </cell>
          <cell r="E504" t="str">
            <v>HYDR</v>
          </cell>
          <cell r="F504">
            <v>6.8639999999999999</v>
          </cell>
          <cell r="G504">
            <v>0</v>
          </cell>
          <cell r="H504">
            <v>0</v>
          </cell>
          <cell r="I504">
            <v>65.81</v>
          </cell>
          <cell r="J504">
            <v>3.2519999999999998</v>
          </cell>
          <cell r="K504">
            <v>0</v>
          </cell>
          <cell r="L504">
            <v>0</v>
          </cell>
          <cell r="M504">
            <v>0</v>
          </cell>
          <cell r="N504">
            <v>0</v>
          </cell>
        </row>
        <row r="505">
          <cell r="C505" t="str">
            <v>RES ENERGY FOCUS</v>
          </cell>
          <cell r="D505">
            <v>2005</v>
          </cell>
          <cell r="E505" t="str">
            <v>HYDR</v>
          </cell>
          <cell r="F505">
            <v>5.21</v>
          </cell>
          <cell r="G505">
            <v>0</v>
          </cell>
          <cell r="H505">
            <v>0</v>
          </cell>
          <cell r="I505">
            <v>39.5</v>
          </cell>
          <cell r="J505">
            <v>1.482</v>
          </cell>
          <cell r="K505">
            <v>0</v>
          </cell>
          <cell r="L505">
            <v>0</v>
          </cell>
          <cell r="M505">
            <v>0</v>
          </cell>
          <cell r="N505">
            <v>0</v>
          </cell>
        </row>
        <row r="506">
          <cell r="C506" t="str">
            <v>WPL DLC PROGRAM</v>
          </cell>
          <cell r="D506">
            <v>2005</v>
          </cell>
          <cell r="E506" t="str">
            <v>HYDR</v>
          </cell>
          <cell r="F506">
            <v>4</v>
          </cell>
          <cell r="G506">
            <v>0</v>
          </cell>
          <cell r="H506">
            <v>0</v>
          </cell>
          <cell r="I506">
            <v>0</v>
          </cell>
          <cell r="J506">
            <v>0</v>
          </cell>
          <cell r="K506">
            <v>0</v>
          </cell>
          <cell r="L506">
            <v>0</v>
          </cell>
          <cell r="M506">
            <v>0</v>
          </cell>
          <cell r="N506">
            <v>0</v>
          </cell>
        </row>
        <row r="508">
          <cell r="C508" t="str">
            <v>KEWAUNEE</v>
          </cell>
          <cell r="E508" t="str">
            <v>MUST</v>
          </cell>
          <cell r="F508">
            <v>235.2</v>
          </cell>
          <cell r="G508">
            <v>10750</v>
          </cell>
          <cell r="H508">
            <v>0.46200000000000002</v>
          </cell>
          <cell r="I508">
            <v>96.5</v>
          </cell>
          <cell r="J508">
            <v>168.864</v>
          </cell>
          <cell r="K508">
            <v>839</v>
          </cell>
          <cell r="L508">
            <v>0</v>
          </cell>
          <cell r="M508">
            <v>839</v>
          </cell>
          <cell r="N508">
            <v>4.97</v>
          </cell>
        </row>
        <row r="509">
          <cell r="C509" t="str">
            <v>COLUMBIA 1</v>
          </cell>
          <cell r="E509" t="str">
            <v>MUST</v>
          </cell>
          <cell r="F509">
            <v>247.20500000000001</v>
          </cell>
          <cell r="G509">
            <v>10682</v>
          </cell>
          <cell r="H509">
            <v>1.331</v>
          </cell>
          <cell r="I509">
            <v>88.23</v>
          </cell>
          <cell r="J509">
            <v>162.273</v>
          </cell>
          <cell r="K509">
            <v>2306</v>
          </cell>
          <cell r="L509">
            <v>33</v>
          </cell>
          <cell r="M509">
            <v>2339</v>
          </cell>
          <cell r="N509">
            <v>14.41</v>
          </cell>
        </row>
        <row r="510">
          <cell r="C510" t="str">
            <v>COLUMBIA 2</v>
          </cell>
          <cell r="E510" t="str">
            <v>MUST</v>
          </cell>
          <cell r="F510">
            <v>247.09399999999999</v>
          </cell>
          <cell r="G510">
            <v>10545</v>
          </cell>
          <cell r="H510">
            <v>1.331</v>
          </cell>
          <cell r="I510">
            <v>86.32</v>
          </cell>
          <cell r="J510">
            <v>158.69300000000001</v>
          </cell>
          <cell r="K510">
            <v>2227</v>
          </cell>
          <cell r="L510">
            <v>2</v>
          </cell>
          <cell r="M510">
            <v>2228</v>
          </cell>
          <cell r="N510">
            <v>14.04</v>
          </cell>
        </row>
        <row r="511">
          <cell r="C511" t="str">
            <v>EDGEWATER 3</v>
          </cell>
          <cell r="F511">
            <v>76.3</v>
          </cell>
          <cell r="G511">
            <v>11094</v>
          </cell>
          <cell r="H511">
            <v>1.51</v>
          </cell>
          <cell r="I511">
            <v>66.22</v>
          </cell>
          <cell r="J511">
            <v>37.588999999999999</v>
          </cell>
          <cell r="K511">
            <v>630</v>
          </cell>
          <cell r="L511">
            <v>11</v>
          </cell>
          <cell r="M511">
            <v>640</v>
          </cell>
          <cell r="N511">
            <v>17.04</v>
          </cell>
        </row>
        <row r="512">
          <cell r="C512" t="str">
            <v>EDGEWATER 4</v>
          </cell>
          <cell r="F512">
            <v>229.99799999999999</v>
          </cell>
          <cell r="G512">
            <v>9972</v>
          </cell>
          <cell r="H512">
            <v>1.4259999999999999</v>
          </cell>
          <cell r="I512">
            <v>72.150000000000006</v>
          </cell>
          <cell r="J512">
            <v>123.468</v>
          </cell>
          <cell r="K512">
            <v>1755</v>
          </cell>
          <cell r="L512">
            <v>34</v>
          </cell>
          <cell r="M512">
            <v>1789</v>
          </cell>
          <cell r="N512">
            <v>14.49</v>
          </cell>
        </row>
        <row r="513">
          <cell r="C513" t="str">
            <v>EDGEWATER 5</v>
          </cell>
          <cell r="E513" t="str">
            <v>MUST</v>
          </cell>
          <cell r="F513">
            <v>302.79300000000001</v>
          </cell>
          <cell r="G513">
            <v>10072</v>
          </cell>
          <cell r="H513">
            <v>1.3089999999999999</v>
          </cell>
          <cell r="I513">
            <v>77.97</v>
          </cell>
          <cell r="J513">
            <v>175.649</v>
          </cell>
          <cell r="K513">
            <v>2317</v>
          </cell>
          <cell r="L513">
            <v>11</v>
          </cell>
          <cell r="M513">
            <v>2328</v>
          </cell>
          <cell r="N513">
            <v>13.25</v>
          </cell>
        </row>
        <row r="514">
          <cell r="C514" t="str">
            <v>BLACKHAWK 3</v>
          </cell>
          <cell r="F514">
            <v>24.9</v>
          </cell>
          <cell r="G514">
            <v>11873</v>
          </cell>
          <cell r="H514">
            <v>6.734</v>
          </cell>
          <cell r="I514">
            <v>0.19</v>
          </cell>
          <cell r="J514">
            <v>3.4000000000000002E-2</v>
          </cell>
          <cell r="K514">
            <v>3</v>
          </cell>
          <cell r="L514">
            <v>0</v>
          </cell>
          <cell r="M514">
            <v>3</v>
          </cell>
          <cell r="N514">
            <v>81.59</v>
          </cell>
        </row>
        <row r="515">
          <cell r="C515" t="str">
            <v>BLACKHAWK 4</v>
          </cell>
          <cell r="F515">
            <v>25.1</v>
          </cell>
          <cell r="G515">
            <v>11397</v>
          </cell>
          <cell r="H515">
            <v>6.734</v>
          </cell>
          <cell r="I515">
            <v>0.2</v>
          </cell>
          <cell r="J515">
            <v>3.7999999999999999E-2</v>
          </cell>
          <cell r="K515">
            <v>3</v>
          </cell>
          <cell r="L515">
            <v>0</v>
          </cell>
          <cell r="M515">
            <v>3</v>
          </cell>
          <cell r="N515">
            <v>78.430000000000007</v>
          </cell>
        </row>
        <row r="516">
          <cell r="C516" t="str">
            <v>ROCK RIVER 1</v>
          </cell>
          <cell r="F516">
            <v>74.7</v>
          </cell>
          <cell r="G516">
            <v>11032</v>
          </cell>
          <cell r="H516">
            <v>6.2809999999999997</v>
          </cell>
          <cell r="I516">
            <v>3.22</v>
          </cell>
          <cell r="J516">
            <v>1.788</v>
          </cell>
          <cell r="K516">
            <v>124</v>
          </cell>
          <cell r="L516">
            <v>2</v>
          </cell>
          <cell r="M516">
            <v>125</v>
          </cell>
          <cell r="N516">
            <v>70.16</v>
          </cell>
        </row>
        <row r="517">
          <cell r="C517" t="str">
            <v>ROCK RIVER 2</v>
          </cell>
          <cell r="F517">
            <v>78.2</v>
          </cell>
          <cell r="G517">
            <v>10927</v>
          </cell>
          <cell r="H517">
            <v>6.2809999999999997</v>
          </cell>
          <cell r="I517">
            <v>3.67</v>
          </cell>
          <cell r="J517">
            <v>2.1379999999999999</v>
          </cell>
          <cell r="K517">
            <v>147</v>
          </cell>
          <cell r="L517">
            <v>2</v>
          </cell>
          <cell r="M517">
            <v>148</v>
          </cell>
          <cell r="N517">
            <v>69.44</v>
          </cell>
        </row>
        <row r="518">
          <cell r="C518" t="str">
            <v>ROCK RIVER 3</v>
          </cell>
          <cell r="F518">
            <v>31.241</v>
          </cell>
          <cell r="G518">
            <v>0</v>
          </cell>
          <cell r="H518">
            <v>0</v>
          </cell>
          <cell r="I518">
            <v>0</v>
          </cell>
          <cell r="J518">
            <v>0</v>
          </cell>
          <cell r="K518">
            <v>0</v>
          </cell>
          <cell r="L518">
            <v>0</v>
          </cell>
          <cell r="M518">
            <v>0</v>
          </cell>
          <cell r="N518">
            <v>0</v>
          </cell>
        </row>
        <row r="519">
          <cell r="C519" t="str">
            <v>ROCK RIVER 4</v>
          </cell>
          <cell r="F519">
            <v>16.2</v>
          </cell>
          <cell r="G519">
            <v>0</v>
          </cell>
          <cell r="H519">
            <v>0</v>
          </cell>
          <cell r="I519">
            <v>0</v>
          </cell>
          <cell r="J519">
            <v>0</v>
          </cell>
          <cell r="K519">
            <v>0</v>
          </cell>
          <cell r="L519">
            <v>0</v>
          </cell>
          <cell r="M519">
            <v>0</v>
          </cell>
          <cell r="N519">
            <v>0</v>
          </cell>
        </row>
        <row r="520">
          <cell r="C520" t="str">
            <v>ROCK RIVER 5</v>
          </cell>
          <cell r="F520">
            <v>63.076000000000001</v>
          </cell>
          <cell r="G520">
            <v>0</v>
          </cell>
          <cell r="H520">
            <v>0</v>
          </cell>
          <cell r="I520">
            <v>0</v>
          </cell>
          <cell r="J520">
            <v>0</v>
          </cell>
          <cell r="K520">
            <v>0</v>
          </cell>
          <cell r="L520">
            <v>0</v>
          </cell>
          <cell r="M520">
            <v>0</v>
          </cell>
          <cell r="N520">
            <v>0</v>
          </cell>
        </row>
        <row r="521">
          <cell r="C521" t="str">
            <v>ROCK RIVER 6</v>
          </cell>
          <cell r="F521">
            <v>63.335999999999999</v>
          </cell>
          <cell r="G521">
            <v>0</v>
          </cell>
          <cell r="H521">
            <v>0</v>
          </cell>
          <cell r="I521">
            <v>0</v>
          </cell>
          <cell r="J521">
            <v>0</v>
          </cell>
          <cell r="K521">
            <v>0</v>
          </cell>
          <cell r="L521">
            <v>0</v>
          </cell>
          <cell r="M521">
            <v>0</v>
          </cell>
          <cell r="N521">
            <v>0</v>
          </cell>
        </row>
        <row r="522">
          <cell r="C522" t="str">
            <v>SHEEPSKIN 1</v>
          </cell>
          <cell r="F522">
            <v>37.6</v>
          </cell>
          <cell r="G522">
            <v>0</v>
          </cell>
          <cell r="H522">
            <v>0</v>
          </cell>
          <cell r="I522">
            <v>0</v>
          </cell>
          <cell r="J522">
            <v>0</v>
          </cell>
          <cell r="K522">
            <v>0</v>
          </cell>
          <cell r="L522">
            <v>0</v>
          </cell>
          <cell r="M522">
            <v>0</v>
          </cell>
          <cell r="N522">
            <v>0</v>
          </cell>
        </row>
        <row r="523">
          <cell r="C523" t="str">
            <v>SOUTH FDL 1</v>
          </cell>
          <cell r="F523">
            <v>92.241</v>
          </cell>
          <cell r="G523">
            <v>13807</v>
          </cell>
          <cell r="H523">
            <v>6.9459999999999997</v>
          </cell>
          <cell r="I523">
            <v>0</v>
          </cell>
          <cell r="J523">
            <v>1E-3</v>
          </cell>
          <cell r="K523">
            <v>0</v>
          </cell>
          <cell r="L523">
            <v>0</v>
          </cell>
          <cell r="M523">
            <v>0</v>
          </cell>
          <cell r="N523">
            <v>102.92</v>
          </cell>
        </row>
        <row r="524">
          <cell r="C524" t="str">
            <v>SOUTH FDL 2</v>
          </cell>
          <cell r="F524">
            <v>93.37</v>
          </cell>
          <cell r="G524">
            <v>0</v>
          </cell>
          <cell r="H524">
            <v>0</v>
          </cell>
          <cell r="I524">
            <v>0</v>
          </cell>
          <cell r="J524">
            <v>0</v>
          </cell>
          <cell r="K524">
            <v>0</v>
          </cell>
          <cell r="L524">
            <v>0</v>
          </cell>
          <cell r="M524">
            <v>0</v>
          </cell>
          <cell r="N524">
            <v>0</v>
          </cell>
        </row>
        <row r="525">
          <cell r="C525" t="str">
            <v>SOUTH FDL 3</v>
          </cell>
          <cell r="F525">
            <v>87.87</v>
          </cell>
          <cell r="G525">
            <v>0</v>
          </cell>
          <cell r="H525">
            <v>0</v>
          </cell>
          <cell r="I525">
            <v>0</v>
          </cell>
          <cell r="J525">
            <v>0</v>
          </cell>
          <cell r="K525">
            <v>0</v>
          </cell>
          <cell r="L525">
            <v>0</v>
          </cell>
          <cell r="M525">
            <v>0</v>
          </cell>
          <cell r="N525">
            <v>0</v>
          </cell>
        </row>
        <row r="526">
          <cell r="C526" t="str">
            <v>SOUTH FDL 4</v>
          </cell>
          <cell r="F526">
            <v>84.763000000000005</v>
          </cell>
          <cell r="G526">
            <v>0</v>
          </cell>
          <cell r="H526">
            <v>0</v>
          </cell>
          <cell r="I526">
            <v>0</v>
          </cell>
          <cell r="J526">
            <v>0</v>
          </cell>
          <cell r="K526">
            <v>0</v>
          </cell>
          <cell r="L526">
            <v>0</v>
          </cell>
          <cell r="M526">
            <v>0</v>
          </cell>
          <cell r="N526">
            <v>0</v>
          </cell>
        </row>
        <row r="527">
          <cell r="C527" t="str">
            <v>NELSON DEWEY 1</v>
          </cell>
          <cell r="F527">
            <v>111.511</v>
          </cell>
          <cell r="G527">
            <v>10056</v>
          </cell>
          <cell r="H527">
            <v>1.2569999999999999</v>
          </cell>
          <cell r="I527">
            <v>27.21</v>
          </cell>
          <cell r="J527">
            <v>22.577999999999999</v>
          </cell>
          <cell r="K527">
            <v>285</v>
          </cell>
          <cell r="L527">
            <v>15</v>
          </cell>
          <cell r="M527">
            <v>301</v>
          </cell>
          <cell r="N527">
            <v>13.32</v>
          </cell>
        </row>
        <row r="528">
          <cell r="C528" t="str">
            <v>NELSON DEWEY 2</v>
          </cell>
          <cell r="F528">
            <v>112.002</v>
          </cell>
          <cell r="G528">
            <v>9908</v>
          </cell>
          <cell r="H528">
            <v>1.2569999999999999</v>
          </cell>
          <cell r="I528">
            <v>69.540000000000006</v>
          </cell>
          <cell r="J528">
            <v>57.945</v>
          </cell>
          <cell r="K528">
            <v>721</v>
          </cell>
          <cell r="L528">
            <v>41</v>
          </cell>
          <cell r="M528">
            <v>762</v>
          </cell>
          <cell r="N528">
            <v>13.15</v>
          </cell>
        </row>
        <row r="529">
          <cell r="C529" t="str">
            <v>WPL HYDRO</v>
          </cell>
          <cell r="E529" t="str">
            <v>MUST</v>
          </cell>
          <cell r="F529">
            <v>27</v>
          </cell>
          <cell r="G529">
            <v>0</v>
          </cell>
          <cell r="H529">
            <v>0</v>
          </cell>
          <cell r="I529">
            <v>92.14</v>
          </cell>
          <cell r="J529">
            <v>18.509</v>
          </cell>
          <cell r="K529">
            <v>0</v>
          </cell>
          <cell r="L529">
            <v>0</v>
          </cell>
          <cell r="M529">
            <v>0</v>
          </cell>
          <cell r="N529">
            <v>0</v>
          </cell>
        </row>
        <row r="530">
          <cell r="C530" t="str">
            <v>BERLIN LFG WPL</v>
          </cell>
          <cell r="F530">
            <v>2.2000000000000002</v>
          </cell>
          <cell r="G530">
            <v>15000</v>
          </cell>
          <cell r="H530">
            <v>0</v>
          </cell>
          <cell r="I530">
            <v>75.900000000000006</v>
          </cell>
          <cell r="J530">
            <v>1.242</v>
          </cell>
          <cell r="K530">
            <v>0</v>
          </cell>
          <cell r="L530">
            <v>32</v>
          </cell>
          <cell r="M530">
            <v>32</v>
          </cell>
          <cell r="N530">
            <v>25.49</v>
          </cell>
        </row>
        <row r="531">
          <cell r="C531" t="str">
            <v>RIVERSIDE</v>
          </cell>
          <cell r="F531">
            <v>537.99</v>
          </cell>
          <cell r="G531">
            <v>7868</v>
          </cell>
          <cell r="H531">
            <v>6.4160000000000004</v>
          </cell>
          <cell r="I531">
            <v>7.56</v>
          </cell>
          <cell r="J531">
            <v>30.257999999999999</v>
          </cell>
          <cell r="K531">
            <v>1527</v>
          </cell>
          <cell r="L531">
            <v>18</v>
          </cell>
          <cell r="M531">
            <v>1545</v>
          </cell>
          <cell r="N531">
            <v>51.07</v>
          </cell>
        </row>
        <row r="532">
          <cell r="C532" t="str">
            <v>ROCKGEN #1</v>
          </cell>
          <cell r="F532">
            <v>154.5</v>
          </cell>
          <cell r="G532">
            <v>13817</v>
          </cell>
          <cell r="H532">
            <v>6.4160000000000004</v>
          </cell>
          <cell r="I532">
            <v>0.16</v>
          </cell>
          <cell r="J532">
            <v>0.185</v>
          </cell>
          <cell r="K532">
            <v>16</v>
          </cell>
          <cell r="L532">
            <v>1</v>
          </cell>
          <cell r="M532">
            <v>18</v>
          </cell>
          <cell r="N532">
            <v>94.84</v>
          </cell>
        </row>
        <row r="533">
          <cell r="C533" t="str">
            <v>ROCKGEN #2</v>
          </cell>
          <cell r="F533">
            <v>154.5</v>
          </cell>
          <cell r="G533">
            <v>14028</v>
          </cell>
          <cell r="H533">
            <v>6.4160000000000004</v>
          </cell>
          <cell r="I533">
            <v>0.04</v>
          </cell>
          <cell r="J533">
            <v>4.7E-2</v>
          </cell>
          <cell r="K533">
            <v>4</v>
          </cell>
          <cell r="L533">
            <v>0</v>
          </cell>
          <cell r="M533">
            <v>4</v>
          </cell>
          <cell r="N533">
            <v>96.19</v>
          </cell>
        </row>
        <row r="534">
          <cell r="C534" t="str">
            <v>ROCKGEN #3</v>
          </cell>
          <cell r="F534">
            <v>154.5</v>
          </cell>
          <cell r="G534">
            <v>13842</v>
          </cell>
          <cell r="H534">
            <v>6.4160000000000004</v>
          </cell>
          <cell r="I534">
            <v>0.01</v>
          </cell>
          <cell r="J534">
            <v>6.0000000000000001E-3</v>
          </cell>
          <cell r="K534">
            <v>1</v>
          </cell>
          <cell r="L534">
            <v>0</v>
          </cell>
          <cell r="M534">
            <v>1</v>
          </cell>
          <cell r="N534">
            <v>95</v>
          </cell>
        </row>
        <row r="535">
          <cell r="C535" t="str">
            <v>BASE 100 ECONOMY</v>
          </cell>
          <cell r="F535">
            <v>100</v>
          </cell>
          <cell r="G535">
            <v>10000</v>
          </cell>
          <cell r="H535">
            <v>3.9609999999999999</v>
          </cell>
          <cell r="I535">
            <v>84.39</v>
          </cell>
          <cell r="J535">
            <v>62.789000000000001</v>
          </cell>
          <cell r="K535">
            <v>2487</v>
          </cell>
          <cell r="L535">
            <v>0</v>
          </cell>
          <cell r="M535">
            <v>2487</v>
          </cell>
          <cell r="N535">
            <v>39.61</v>
          </cell>
        </row>
        <row r="536">
          <cell r="C536" t="str">
            <v>OTHR 500 ECONOMY</v>
          </cell>
          <cell r="F536">
            <v>500</v>
          </cell>
          <cell r="G536">
            <v>10000</v>
          </cell>
          <cell r="H536">
            <v>3.9609999999999999</v>
          </cell>
          <cell r="I536">
            <v>46.33</v>
          </cell>
          <cell r="J536">
            <v>172.352</v>
          </cell>
          <cell r="K536">
            <v>6826</v>
          </cell>
          <cell r="L536">
            <v>0</v>
          </cell>
          <cell r="M536">
            <v>6826</v>
          </cell>
          <cell r="N536">
            <v>39.61</v>
          </cell>
        </row>
        <row r="537">
          <cell r="C537" t="str">
            <v>FPL WIND PURCH</v>
          </cell>
          <cell r="E537" t="str">
            <v>NDT</v>
          </cell>
          <cell r="F537">
            <v>80</v>
          </cell>
          <cell r="G537">
            <v>0</v>
          </cell>
          <cell r="H537">
            <v>0</v>
          </cell>
          <cell r="I537">
            <v>33.76</v>
          </cell>
          <cell r="J537">
            <v>20.094999999999999</v>
          </cell>
          <cell r="K537">
            <v>0</v>
          </cell>
          <cell r="L537">
            <v>0</v>
          </cell>
          <cell r="M537">
            <v>0</v>
          </cell>
          <cell r="N537">
            <v>0</v>
          </cell>
        </row>
        <row r="538">
          <cell r="C538" t="str">
            <v>INV WIND PURCH</v>
          </cell>
          <cell r="E538" t="str">
            <v>NDT</v>
          </cell>
          <cell r="F538">
            <v>50</v>
          </cell>
          <cell r="G538">
            <v>0</v>
          </cell>
          <cell r="H538">
            <v>0</v>
          </cell>
          <cell r="I538">
            <v>40.43</v>
          </cell>
          <cell r="J538">
            <v>15.039</v>
          </cell>
          <cell r="K538">
            <v>0</v>
          </cell>
          <cell r="L538">
            <v>0</v>
          </cell>
          <cell r="M538">
            <v>0</v>
          </cell>
          <cell r="N538">
            <v>0</v>
          </cell>
        </row>
        <row r="539">
          <cell r="C539" t="str">
            <v>JANESVILLE PURCH</v>
          </cell>
          <cell r="F539">
            <v>1.6</v>
          </cell>
          <cell r="G539">
            <v>15000</v>
          </cell>
          <cell r="H539">
            <v>0</v>
          </cell>
          <cell r="I539">
            <v>21.86</v>
          </cell>
          <cell r="J539">
            <v>0.26</v>
          </cell>
          <cell r="K539">
            <v>0</v>
          </cell>
          <cell r="L539">
            <v>10</v>
          </cell>
          <cell r="M539">
            <v>10</v>
          </cell>
          <cell r="N539">
            <v>39.840000000000003</v>
          </cell>
        </row>
        <row r="540">
          <cell r="C540" t="str">
            <v>MINERGY    PURCH</v>
          </cell>
          <cell r="F540">
            <v>6.5</v>
          </cell>
          <cell r="G540">
            <v>15000</v>
          </cell>
          <cell r="H540">
            <v>0</v>
          </cell>
          <cell r="I540">
            <v>21.63</v>
          </cell>
          <cell r="J540">
            <v>1.046</v>
          </cell>
          <cell r="K540">
            <v>0</v>
          </cell>
          <cell r="L540">
            <v>42</v>
          </cell>
          <cell r="M540">
            <v>42</v>
          </cell>
          <cell r="N540">
            <v>39.840000000000003</v>
          </cell>
        </row>
        <row r="541">
          <cell r="C541" t="str">
            <v>SUPERIOR   PURCH</v>
          </cell>
          <cell r="F541">
            <v>2.2000000000000002</v>
          </cell>
          <cell r="G541">
            <v>15000</v>
          </cell>
          <cell r="H541">
            <v>0</v>
          </cell>
          <cell r="I541">
            <v>21.32</v>
          </cell>
          <cell r="J541">
            <v>0.34899999999999998</v>
          </cell>
          <cell r="K541">
            <v>0</v>
          </cell>
          <cell r="L541">
            <v>14</v>
          </cell>
          <cell r="M541">
            <v>14</v>
          </cell>
          <cell r="N541">
            <v>39.840000000000003</v>
          </cell>
        </row>
        <row r="542">
          <cell r="C542" t="str">
            <v>WRPC HYDRO PURCH</v>
          </cell>
          <cell r="E542" t="str">
            <v>MUST</v>
          </cell>
          <cell r="F542">
            <v>13.2</v>
          </cell>
          <cell r="G542">
            <v>0</v>
          </cell>
          <cell r="H542">
            <v>0</v>
          </cell>
          <cell r="I542">
            <v>44.83</v>
          </cell>
          <cell r="J542">
            <v>4.4029999999999996</v>
          </cell>
          <cell r="K542">
            <v>0</v>
          </cell>
          <cell r="L542">
            <v>0</v>
          </cell>
          <cell r="M542">
            <v>0</v>
          </cell>
          <cell r="N542">
            <v>0</v>
          </cell>
        </row>
        <row r="543">
          <cell r="C543" t="str">
            <v>SHEBOYGAN CT1</v>
          </cell>
          <cell r="F543">
            <v>169.399</v>
          </cell>
          <cell r="G543">
            <v>11570</v>
          </cell>
          <cell r="H543">
            <v>6.4160000000000004</v>
          </cell>
          <cell r="I543">
            <v>1.67</v>
          </cell>
          <cell r="J543">
            <v>2.0979999999999999</v>
          </cell>
          <cell r="K543">
            <v>156</v>
          </cell>
          <cell r="L543">
            <v>10</v>
          </cell>
          <cell r="M543">
            <v>166</v>
          </cell>
          <cell r="N543">
            <v>78.989999999999995</v>
          </cell>
        </row>
        <row r="544">
          <cell r="C544" t="str">
            <v>SHEBOYGAN CT2</v>
          </cell>
          <cell r="F544">
            <v>169.399</v>
          </cell>
          <cell r="G544">
            <v>11682</v>
          </cell>
          <cell r="H544">
            <v>6.4160000000000004</v>
          </cell>
          <cell r="I544">
            <v>0.63</v>
          </cell>
          <cell r="J544">
            <v>0.79400000000000004</v>
          </cell>
          <cell r="K544">
            <v>60</v>
          </cell>
          <cell r="L544">
            <v>4</v>
          </cell>
          <cell r="M544">
            <v>63</v>
          </cell>
          <cell r="N544">
            <v>79.709999999999994</v>
          </cell>
        </row>
        <row r="545">
          <cell r="C545" t="str">
            <v>NEW WIND-100MW</v>
          </cell>
          <cell r="D545">
            <v>2006</v>
          </cell>
          <cell r="E545" t="str">
            <v>NDT</v>
          </cell>
          <cell r="F545">
            <v>100</v>
          </cell>
          <cell r="G545">
            <v>0</v>
          </cell>
          <cell r="H545">
            <v>0</v>
          </cell>
          <cell r="I545">
            <v>33.76</v>
          </cell>
          <cell r="J545">
            <v>25.119</v>
          </cell>
          <cell r="K545">
            <v>0</v>
          </cell>
          <cell r="L545">
            <v>881</v>
          </cell>
          <cell r="M545">
            <v>881</v>
          </cell>
          <cell r="N545">
            <v>35.049999999999997</v>
          </cell>
        </row>
        <row r="546">
          <cell r="C546" t="str">
            <v>SHARED SAVINGS</v>
          </cell>
          <cell r="D546">
            <v>2005</v>
          </cell>
          <cell r="E546" t="str">
            <v>HYDR</v>
          </cell>
          <cell r="F546">
            <v>10.295999999999999</v>
          </cell>
          <cell r="G546">
            <v>0</v>
          </cell>
          <cell r="H546">
            <v>0</v>
          </cell>
          <cell r="I546">
            <v>65.81</v>
          </cell>
          <cell r="J546">
            <v>5.0410000000000004</v>
          </cell>
          <cell r="K546">
            <v>0</v>
          </cell>
          <cell r="L546">
            <v>0</v>
          </cell>
          <cell r="M546">
            <v>0</v>
          </cell>
          <cell r="N546">
            <v>0</v>
          </cell>
        </row>
        <row r="547">
          <cell r="C547" t="str">
            <v>RES ENERGY FOCUS</v>
          </cell>
          <cell r="D547">
            <v>2005</v>
          </cell>
          <cell r="E547" t="str">
            <v>HYDR</v>
          </cell>
          <cell r="F547">
            <v>7.8150000000000004</v>
          </cell>
          <cell r="G547">
            <v>0</v>
          </cell>
          <cell r="H547">
            <v>0</v>
          </cell>
          <cell r="I547">
            <v>39.5</v>
          </cell>
          <cell r="J547">
            <v>2.2970000000000002</v>
          </cell>
          <cell r="K547">
            <v>0</v>
          </cell>
          <cell r="L547">
            <v>0</v>
          </cell>
          <cell r="M547">
            <v>0</v>
          </cell>
          <cell r="N547">
            <v>0</v>
          </cell>
        </row>
        <row r="548">
          <cell r="C548" t="str">
            <v>WPL DLC PROGRAM</v>
          </cell>
          <cell r="D548">
            <v>2005</v>
          </cell>
          <cell r="E548" t="str">
            <v>HYDR</v>
          </cell>
          <cell r="F548">
            <v>6</v>
          </cell>
          <cell r="G548">
            <v>0</v>
          </cell>
          <cell r="H548">
            <v>0</v>
          </cell>
          <cell r="I548">
            <v>0</v>
          </cell>
          <cell r="J548">
            <v>0</v>
          </cell>
          <cell r="K548">
            <v>0</v>
          </cell>
          <cell r="L548">
            <v>0</v>
          </cell>
          <cell r="M548">
            <v>0</v>
          </cell>
          <cell r="N548">
            <v>0</v>
          </cell>
        </row>
        <row r="550">
          <cell r="C550" t="str">
            <v>KEWAUNEE</v>
          </cell>
          <cell r="E550" t="str">
            <v>MUST</v>
          </cell>
          <cell r="F550">
            <v>235.2</v>
          </cell>
          <cell r="G550">
            <v>10750</v>
          </cell>
          <cell r="H550">
            <v>0.46200000000000002</v>
          </cell>
          <cell r="I550">
            <v>96.5</v>
          </cell>
          <cell r="J550">
            <v>152.52199999999999</v>
          </cell>
          <cell r="K550">
            <v>757</v>
          </cell>
          <cell r="L550">
            <v>0</v>
          </cell>
          <cell r="M550">
            <v>757</v>
          </cell>
          <cell r="N550">
            <v>4.97</v>
          </cell>
        </row>
        <row r="551">
          <cell r="C551" t="str">
            <v>COLUMBIA 1</v>
          </cell>
          <cell r="E551" t="str">
            <v>MUST</v>
          </cell>
          <cell r="F551">
            <v>247.20500000000001</v>
          </cell>
          <cell r="G551">
            <v>10682</v>
          </cell>
          <cell r="H551">
            <v>1.331</v>
          </cell>
          <cell r="I551">
            <v>88.23</v>
          </cell>
          <cell r="J551">
            <v>146.56899999999999</v>
          </cell>
          <cell r="K551">
            <v>2083</v>
          </cell>
          <cell r="L551">
            <v>30</v>
          </cell>
          <cell r="M551">
            <v>2113</v>
          </cell>
          <cell r="N551">
            <v>14.41</v>
          </cell>
        </row>
        <row r="552">
          <cell r="C552" t="str">
            <v>COLUMBIA 2</v>
          </cell>
          <cell r="E552" t="str">
            <v>MUST</v>
          </cell>
          <cell r="F552">
            <v>247.09399999999999</v>
          </cell>
          <cell r="G552">
            <v>10545</v>
          </cell>
          <cell r="H552">
            <v>1.331</v>
          </cell>
          <cell r="I552">
            <v>86.34</v>
          </cell>
          <cell r="J552">
            <v>143.36500000000001</v>
          </cell>
          <cell r="K552">
            <v>2012</v>
          </cell>
          <cell r="L552">
            <v>2</v>
          </cell>
          <cell r="M552">
            <v>2013</v>
          </cell>
          <cell r="N552">
            <v>14.04</v>
          </cell>
        </row>
        <row r="553">
          <cell r="C553" t="str">
            <v>EDGEWATER 3</v>
          </cell>
          <cell r="F553">
            <v>76.3</v>
          </cell>
          <cell r="G553">
            <v>11079</v>
          </cell>
          <cell r="H553">
            <v>1.51</v>
          </cell>
          <cell r="I553">
            <v>71.8</v>
          </cell>
          <cell r="J553">
            <v>36.817</v>
          </cell>
          <cell r="K553">
            <v>616</v>
          </cell>
          <cell r="L553">
            <v>11</v>
          </cell>
          <cell r="M553">
            <v>627</v>
          </cell>
          <cell r="N553">
            <v>17.02</v>
          </cell>
        </row>
        <row r="554">
          <cell r="C554" t="str">
            <v>EDGEWATER 4</v>
          </cell>
          <cell r="F554">
            <v>229.99799999999999</v>
          </cell>
          <cell r="G554">
            <v>9971</v>
          </cell>
          <cell r="H554">
            <v>1.4259999999999999</v>
          </cell>
          <cell r="I554">
            <v>72.55</v>
          </cell>
          <cell r="J554">
            <v>112.13</v>
          </cell>
          <cell r="K554">
            <v>1594</v>
          </cell>
          <cell r="L554">
            <v>31</v>
          </cell>
          <cell r="M554">
            <v>1625</v>
          </cell>
          <cell r="N554">
            <v>14.49</v>
          </cell>
        </row>
        <row r="555">
          <cell r="C555" t="str">
            <v>EDGEWATER 5</v>
          </cell>
          <cell r="E555" t="str">
            <v>MUST</v>
          </cell>
          <cell r="F555">
            <v>302.79300000000001</v>
          </cell>
          <cell r="G555">
            <v>10072</v>
          </cell>
          <cell r="H555">
            <v>1.3089999999999999</v>
          </cell>
          <cell r="I555">
            <v>19.489999999999998</v>
          </cell>
          <cell r="J555">
            <v>39.662999999999997</v>
          </cell>
          <cell r="K555">
            <v>523</v>
          </cell>
          <cell r="L555">
            <v>3</v>
          </cell>
          <cell r="M555">
            <v>526</v>
          </cell>
          <cell r="N555">
            <v>13.25</v>
          </cell>
        </row>
        <row r="556">
          <cell r="C556" t="str">
            <v>BLACKHAWK 3</v>
          </cell>
          <cell r="F556">
            <v>24.9</v>
          </cell>
          <cell r="G556">
            <v>11880</v>
          </cell>
          <cell r="H556">
            <v>6.734</v>
          </cell>
          <cell r="I556">
            <v>0.14000000000000001</v>
          </cell>
          <cell r="J556">
            <v>2.4E-2</v>
          </cell>
          <cell r="K556">
            <v>2</v>
          </cell>
          <cell r="L556">
            <v>0</v>
          </cell>
          <cell r="M556">
            <v>2</v>
          </cell>
          <cell r="N556">
            <v>81.63</v>
          </cell>
        </row>
        <row r="557">
          <cell r="C557" t="str">
            <v>BLACKHAWK 4</v>
          </cell>
          <cell r="F557">
            <v>25.1</v>
          </cell>
          <cell r="G557">
            <v>11399</v>
          </cell>
          <cell r="H557">
            <v>6.734</v>
          </cell>
          <cell r="I557">
            <v>0.16</v>
          </cell>
          <cell r="J557">
            <v>2.7E-2</v>
          </cell>
          <cell r="K557">
            <v>2</v>
          </cell>
          <cell r="L557">
            <v>0</v>
          </cell>
          <cell r="M557">
            <v>2</v>
          </cell>
          <cell r="N557">
            <v>78.44</v>
          </cell>
        </row>
        <row r="558">
          <cell r="C558" t="str">
            <v>ROCK RIVER 1</v>
          </cell>
          <cell r="F558">
            <v>74.7</v>
          </cell>
          <cell r="G558">
            <v>11030</v>
          </cell>
          <cell r="H558">
            <v>6.2809999999999997</v>
          </cell>
          <cell r="I558">
            <v>2.83</v>
          </cell>
          <cell r="J558">
            <v>1.4179999999999999</v>
          </cell>
          <cell r="K558">
            <v>98</v>
          </cell>
          <cell r="L558">
            <v>1</v>
          </cell>
          <cell r="M558">
            <v>99</v>
          </cell>
          <cell r="N558">
            <v>70.14</v>
          </cell>
        </row>
        <row r="559">
          <cell r="C559" t="str">
            <v>ROCK RIVER 2</v>
          </cell>
          <cell r="F559">
            <v>78.2</v>
          </cell>
          <cell r="G559">
            <v>10925</v>
          </cell>
          <cell r="H559">
            <v>6.2809999999999997</v>
          </cell>
          <cell r="I559">
            <v>3.21</v>
          </cell>
          <cell r="J559">
            <v>1.6870000000000001</v>
          </cell>
          <cell r="K559">
            <v>116</v>
          </cell>
          <cell r="L559">
            <v>1</v>
          </cell>
          <cell r="M559">
            <v>117</v>
          </cell>
          <cell r="N559">
            <v>69.430000000000007</v>
          </cell>
        </row>
        <row r="560">
          <cell r="C560" t="str">
            <v>ROCK RIVER 3</v>
          </cell>
          <cell r="F560">
            <v>31.241</v>
          </cell>
          <cell r="G560">
            <v>0</v>
          </cell>
          <cell r="H560">
            <v>0</v>
          </cell>
          <cell r="I560">
            <v>0</v>
          </cell>
          <cell r="J560">
            <v>0</v>
          </cell>
          <cell r="K560">
            <v>0</v>
          </cell>
          <cell r="L560">
            <v>0</v>
          </cell>
          <cell r="M560">
            <v>0</v>
          </cell>
          <cell r="N560">
            <v>0</v>
          </cell>
        </row>
        <row r="561">
          <cell r="C561" t="str">
            <v>ROCK RIVER 4</v>
          </cell>
          <cell r="F561">
            <v>16.2</v>
          </cell>
          <cell r="G561">
            <v>0</v>
          </cell>
          <cell r="H561">
            <v>0</v>
          </cell>
          <cell r="I561">
            <v>0</v>
          </cell>
          <cell r="J561">
            <v>0</v>
          </cell>
          <cell r="K561">
            <v>0</v>
          </cell>
          <cell r="L561">
            <v>0</v>
          </cell>
          <cell r="M561">
            <v>0</v>
          </cell>
          <cell r="N561">
            <v>0</v>
          </cell>
        </row>
        <row r="562">
          <cell r="C562" t="str">
            <v>ROCK RIVER 5</v>
          </cell>
          <cell r="F562">
            <v>63.076000000000001</v>
          </cell>
          <cell r="G562">
            <v>13314</v>
          </cell>
          <cell r="H562">
            <v>6.9269999999999996</v>
          </cell>
          <cell r="I562">
            <v>0</v>
          </cell>
          <cell r="J562">
            <v>0</v>
          </cell>
          <cell r="K562">
            <v>0</v>
          </cell>
          <cell r="L562">
            <v>0</v>
          </cell>
          <cell r="M562">
            <v>0</v>
          </cell>
          <cell r="N562">
            <v>112.45</v>
          </cell>
        </row>
        <row r="563">
          <cell r="C563" t="str">
            <v>ROCK RIVER 6</v>
          </cell>
          <cell r="F563">
            <v>63.335999999999999</v>
          </cell>
          <cell r="G563">
            <v>12135</v>
          </cell>
          <cell r="H563">
            <v>6.9269999999999996</v>
          </cell>
          <cell r="I563">
            <v>0</v>
          </cell>
          <cell r="J563">
            <v>0</v>
          </cell>
          <cell r="K563">
            <v>0</v>
          </cell>
          <cell r="L563">
            <v>0</v>
          </cell>
          <cell r="M563">
            <v>0</v>
          </cell>
          <cell r="N563">
            <v>105.2</v>
          </cell>
        </row>
        <row r="564">
          <cell r="C564" t="str">
            <v>SHEEPSKIN 1</v>
          </cell>
          <cell r="F564">
            <v>37.6</v>
          </cell>
          <cell r="G564">
            <v>0</v>
          </cell>
          <cell r="H564">
            <v>0</v>
          </cell>
          <cell r="I564">
            <v>0</v>
          </cell>
          <cell r="J564">
            <v>0</v>
          </cell>
          <cell r="K564">
            <v>0</v>
          </cell>
          <cell r="L564">
            <v>0</v>
          </cell>
          <cell r="M564">
            <v>0</v>
          </cell>
          <cell r="N564">
            <v>0</v>
          </cell>
        </row>
        <row r="565">
          <cell r="C565" t="str">
            <v>SOUTH FDL 1</v>
          </cell>
          <cell r="F565">
            <v>92.241</v>
          </cell>
          <cell r="G565">
            <v>13512</v>
          </cell>
          <cell r="H565">
            <v>6.9459999999999997</v>
          </cell>
          <cell r="I565">
            <v>0</v>
          </cell>
          <cell r="J565">
            <v>1E-3</v>
          </cell>
          <cell r="K565">
            <v>0</v>
          </cell>
          <cell r="L565">
            <v>0</v>
          </cell>
          <cell r="M565">
            <v>0</v>
          </cell>
          <cell r="N565">
            <v>100.87</v>
          </cell>
        </row>
        <row r="566">
          <cell r="C566" t="str">
            <v>SOUTH FDL 2</v>
          </cell>
          <cell r="F566">
            <v>93.19</v>
          </cell>
          <cell r="G566">
            <v>13543</v>
          </cell>
          <cell r="H566">
            <v>6.9459999999999997</v>
          </cell>
          <cell r="I566">
            <v>0</v>
          </cell>
          <cell r="J566">
            <v>0</v>
          </cell>
          <cell r="K566">
            <v>0</v>
          </cell>
          <cell r="L566">
            <v>0</v>
          </cell>
          <cell r="M566">
            <v>0</v>
          </cell>
          <cell r="N566">
            <v>101.08</v>
          </cell>
        </row>
        <row r="567">
          <cell r="C567" t="str">
            <v>SOUTH FDL 3</v>
          </cell>
          <cell r="F567">
            <v>87.87</v>
          </cell>
          <cell r="G567">
            <v>13541</v>
          </cell>
          <cell r="H567">
            <v>6.9459999999999997</v>
          </cell>
          <cell r="I567">
            <v>0</v>
          </cell>
          <cell r="J567">
            <v>0</v>
          </cell>
          <cell r="K567">
            <v>0</v>
          </cell>
          <cell r="L567">
            <v>0</v>
          </cell>
          <cell r="M567">
            <v>0</v>
          </cell>
          <cell r="N567">
            <v>101.07</v>
          </cell>
        </row>
        <row r="568">
          <cell r="C568" t="str">
            <v>SOUTH FDL 4</v>
          </cell>
          <cell r="F568">
            <v>84.763000000000005</v>
          </cell>
          <cell r="G568">
            <v>13542</v>
          </cell>
          <cell r="H568">
            <v>6.9459999999999997</v>
          </cell>
          <cell r="I568">
            <v>0</v>
          </cell>
          <cell r="J568">
            <v>0</v>
          </cell>
          <cell r="K568">
            <v>0</v>
          </cell>
          <cell r="L568">
            <v>0</v>
          </cell>
          <cell r="M568">
            <v>0</v>
          </cell>
          <cell r="N568">
            <v>101.08</v>
          </cell>
        </row>
        <row r="569">
          <cell r="C569" t="str">
            <v>NELSON DEWEY 1</v>
          </cell>
          <cell r="F569">
            <v>111.511</v>
          </cell>
          <cell r="G569">
            <v>0</v>
          </cell>
          <cell r="H569">
            <v>0</v>
          </cell>
          <cell r="I569">
            <v>0</v>
          </cell>
          <cell r="J569">
            <v>0</v>
          </cell>
          <cell r="K569">
            <v>0</v>
          </cell>
          <cell r="L569">
            <v>0</v>
          </cell>
          <cell r="M569">
            <v>0</v>
          </cell>
          <cell r="N569">
            <v>0</v>
          </cell>
        </row>
        <row r="570">
          <cell r="C570" t="str">
            <v>NELSON DEWEY 2</v>
          </cell>
          <cell r="F570">
            <v>112.002</v>
          </cell>
          <cell r="G570">
            <v>9904</v>
          </cell>
          <cell r="H570">
            <v>1.2569999999999999</v>
          </cell>
          <cell r="I570">
            <v>71.680000000000007</v>
          </cell>
          <cell r="J570">
            <v>53.948999999999998</v>
          </cell>
          <cell r="K570">
            <v>671</v>
          </cell>
          <cell r="L570">
            <v>38</v>
          </cell>
          <cell r="M570">
            <v>709</v>
          </cell>
          <cell r="N570">
            <v>13.15</v>
          </cell>
        </row>
        <row r="571">
          <cell r="C571" t="str">
            <v>WPL HYDRO</v>
          </cell>
          <cell r="E571" t="str">
            <v>MUST</v>
          </cell>
          <cell r="F571">
            <v>27</v>
          </cell>
          <cell r="G571">
            <v>0</v>
          </cell>
          <cell r="H571">
            <v>0</v>
          </cell>
          <cell r="I571">
            <v>92.14</v>
          </cell>
          <cell r="J571">
            <v>16.718</v>
          </cell>
          <cell r="K571">
            <v>0</v>
          </cell>
          <cell r="L571">
            <v>0</v>
          </cell>
          <cell r="M571">
            <v>0</v>
          </cell>
          <cell r="N571">
            <v>0</v>
          </cell>
        </row>
        <row r="572">
          <cell r="C572" t="str">
            <v>BERLIN LFG WPL</v>
          </cell>
          <cell r="F572">
            <v>2.2000000000000002</v>
          </cell>
          <cell r="G572">
            <v>15000</v>
          </cell>
          <cell r="H572">
            <v>0</v>
          </cell>
          <cell r="I572">
            <v>84.61</v>
          </cell>
          <cell r="J572">
            <v>1.2509999999999999</v>
          </cell>
          <cell r="K572">
            <v>0</v>
          </cell>
          <cell r="L572">
            <v>32</v>
          </cell>
          <cell r="M572">
            <v>32</v>
          </cell>
          <cell r="N572">
            <v>25.49</v>
          </cell>
        </row>
        <row r="573">
          <cell r="C573" t="str">
            <v>RIVERSIDE</v>
          </cell>
          <cell r="F573">
            <v>537.99</v>
          </cell>
          <cell r="G573">
            <v>8099</v>
          </cell>
          <cell r="H573">
            <v>6.4160000000000004</v>
          </cell>
          <cell r="I573">
            <v>19.54</v>
          </cell>
          <cell r="J573">
            <v>70.644999999999996</v>
          </cell>
          <cell r="K573">
            <v>3671</v>
          </cell>
          <cell r="L573">
            <v>42</v>
          </cell>
          <cell r="M573">
            <v>3713</v>
          </cell>
          <cell r="N573">
            <v>52.55</v>
          </cell>
        </row>
        <row r="574">
          <cell r="C574" t="str">
            <v>ROCKGEN #1</v>
          </cell>
          <cell r="F574">
            <v>154.5</v>
          </cell>
          <cell r="G574">
            <v>13811</v>
          </cell>
          <cell r="H574">
            <v>6.4160000000000004</v>
          </cell>
          <cell r="I574">
            <v>0.12</v>
          </cell>
          <cell r="J574">
            <v>0.127</v>
          </cell>
          <cell r="K574">
            <v>11</v>
          </cell>
          <cell r="L574">
            <v>1</v>
          </cell>
          <cell r="M574">
            <v>12</v>
          </cell>
          <cell r="N574">
            <v>94.8</v>
          </cell>
        </row>
        <row r="575">
          <cell r="C575" t="str">
            <v>ROCKGEN #2</v>
          </cell>
          <cell r="F575">
            <v>154.5</v>
          </cell>
          <cell r="G575">
            <v>13919</v>
          </cell>
          <cell r="H575">
            <v>6.4160000000000004</v>
          </cell>
          <cell r="I575">
            <v>0.03</v>
          </cell>
          <cell r="J575">
            <v>3.5000000000000003E-2</v>
          </cell>
          <cell r="K575">
            <v>3</v>
          </cell>
          <cell r="L575">
            <v>0</v>
          </cell>
          <cell r="M575">
            <v>3</v>
          </cell>
          <cell r="N575">
            <v>95.5</v>
          </cell>
        </row>
        <row r="576">
          <cell r="C576" t="str">
            <v>ROCKGEN #3</v>
          </cell>
          <cell r="F576">
            <v>154.5</v>
          </cell>
          <cell r="G576">
            <v>14028</v>
          </cell>
          <cell r="H576">
            <v>6.4160000000000004</v>
          </cell>
          <cell r="I576">
            <v>0.01</v>
          </cell>
          <cell r="J576">
            <v>8.0000000000000002E-3</v>
          </cell>
          <cell r="K576">
            <v>1</v>
          </cell>
          <cell r="L576">
            <v>0</v>
          </cell>
          <cell r="M576">
            <v>1</v>
          </cell>
          <cell r="N576">
            <v>96.19</v>
          </cell>
        </row>
        <row r="577">
          <cell r="C577" t="str">
            <v>BASE 100 ECONOMY</v>
          </cell>
          <cell r="F577">
            <v>100</v>
          </cell>
          <cell r="G577">
            <v>10000</v>
          </cell>
          <cell r="H577">
            <v>3.9609999999999999</v>
          </cell>
          <cell r="I577">
            <v>97.88</v>
          </cell>
          <cell r="J577">
            <v>65.774000000000001</v>
          </cell>
          <cell r="K577">
            <v>2605</v>
          </cell>
          <cell r="L577">
            <v>0</v>
          </cell>
          <cell r="M577">
            <v>2605</v>
          </cell>
          <cell r="N577">
            <v>39.61</v>
          </cell>
        </row>
        <row r="578">
          <cell r="C578" t="str">
            <v>OTHR 500 ECONOMY</v>
          </cell>
          <cell r="F578">
            <v>500</v>
          </cell>
          <cell r="G578">
            <v>10000</v>
          </cell>
          <cell r="H578">
            <v>3.9609999999999999</v>
          </cell>
          <cell r="I578">
            <v>69.53</v>
          </cell>
          <cell r="J578">
            <v>233.61099999999999</v>
          </cell>
          <cell r="K578">
            <v>9252</v>
          </cell>
          <cell r="L578">
            <v>0</v>
          </cell>
          <cell r="M578">
            <v>9252</v>
          </cell>
          <cell r="N578">
            <v>39.61</v>
          </cell>
        </row>
        <row r="579">
          <cell r="C579" t="str">
            <v>FPL WIND PURCH</v>
          </cell>
          <cell r="E579" t="str">
            <v>NDT</v>
          </cell>
          <cell r="F579">
            <v>80</v>
          </cell>
          <cell r="G579">
            <v>0</v>
          </cell>
          <cell r="H579">
            <v>0</v>
          </cell>
          <cell r="I579">
            <v>30.49</v>
          </cell>
          <cell r="J579">
            <v>16.393000000000001</v>
          </cell>
          <cell r="K579">
            <v>0</v>
          </cell>
          <cell r="L579">
            <v>0</v>
          </cell>
          <cell r="M579">
            <v>0</v>
          </cell>
          <cell r="N579">
            <v>0</v>
          </cell>
        </row>
        <row r="580">
          <cell r="C580" t="str">
            <v>INV WIND PURCH</v>
          </cell>
          <cell r="E580" t="str">
            <v>NDT</v>
          </cell>
          <cell r="F580">
            <v>50</v>
          </cell>
          <cell r="G580">
            <v>0</v>
          </cell>
          <cell r="H580">
            <v>0</v>
          </cell>
          <cell r="I580">
            <v>35.75</v>
          </cell>
          <cell r="J580">
            <v>12.013</v>
          </cell>
          <cell r="K580">
            <v>0</v>
          </cell>
          <cell r="L580">
            <v>0</v>
          </cell>
          <cell r="M580">
            <v>0</v>
          </cell>
          <cell r="N580">
            <v>0</v>
          </cell>
        </row>
        <row r="581">
          <cell r="C581" t="str">
            <v>JANESVILLE PURCH</v>
          </cell>
          <cell r="F581">
            <v>1.6</v>
          </cell>
          <cell r="G581">
            <v>15000</v>
          </cell>
          <cell r="H581">
            <v>0</v>
          </cell>
          <cell r="I581">
            <v>43.06</v>
          </cell>
          <cell r="J581">
            <v>0.46300000000000002</v>
          </cell>
          <cell r="K581">
            <v>0</v>
          </cell>
          <cell r="L581">
            <v>18</v>
          </cell>
          <cell r="M581">
            <v>18</v>
          </cell>
          <cell r="N581">
            <v>39.840000000000003</v>
          </cell>
        </row>
        <row r="582">
          <cell r="C582" t="str">
            <v>MINERGY    PURCH</v>
          </cell>
          <cell r="F582">
            <v>6.5</v>
          </cell>
          <cell r="G582">
            <v>15000</v>
          </cell>
          <cell r="H582">
            <v>0</v>
          </cell>
          <cell r="I582">
            <v>42.87</v>
          </cell>
          <cell r="J582">
            <v>1.8720000000000001</v>
          </cell>
          <cell r="K582">
            <v>0</v>
          </cell>
          <cell r="L582">
            <v>75</v>
          </cell>
          <cell r="M582">
            <v>75</v>
          </cell>
          <cell r="N582">
            <v>39.840000000000003</v>
          </cell>
        </row>
        <row r="583">
          <cell r="C583" t="str">
            <v>SUPERIOR   PURCH</v>
          </cell>
          <cell r="F583">
            <v>2.2000000000000002</v>
          </cell>
          <cell r="G583">
            <v>15000</v>
          </cell>
          <cell r="H583">
            <v>0</v>
          </cell>
          <cell r="I583">
            <v>42.38</v>
          </cell>
          <cell r="J583">
            <v>0.627</v>
          </cell>
          <cell r="K583">
            <v>0</v>
          </cell>
          <cell r="L583">
            <v>25</v>
          </cell>
          <cell r="M583">
            <v>25</v>
          </cell>
          <cell r="N583">
            <v>39.840000000000003</v>
          </cell>
        </row>
        <row r="584">
          <cell r="C584" t="str">
            <v>WRPC HYDRO PURCH</v>
          </cell>
          <cell r="E584" t="str">
            <v>MUST</v>
          </cell>
          <cell r="F584">
            <v>13.2</v>
          </cell>
          <cell r="G584">
            <v>0</v>
          </cell>
          <cell r="H584">
            <v>0</v>
          </cell>
          <cell r="I584">
            <v>44.83</v>
          </cell>
          <cell r="J584">
            <v>3.9769999999999999</v>
          </cell>
          <cell r="K584">
            <v>0</v>
          </cell>
          <cell r="L584">
            <v>0</v>
          </cell>
          <cell r="M584">
            <v>0</v>
          </cell>
          <cell r="N584">
            <v>0</v>
          </cell>
        </row>
        <row r="585">
          <cell r="C585" t="str">
            <v>SHEBOYGAN CT1</v>
          </cell>
          <cell r="F585">
            <v>169.399</v>
          </cell>
          <cell r="G585">
            <v>11615</v>
          </cell>
          <cell r="H585">
            <v>6.4160000000000004</v>
          </cell>
          <cell r="I585">
            <v>1.44</v>
          </cell>
          <cell r="J585">
            <v>1.64</v>
          </cell>
          <cell r="K585">
            <v>122</v>
          </cell>
          <cell r="L585">
            <v>8</v>
          </cell>
          <cell r="M585">
            <v>130</v>
          </cell>
          <cell r="N585">
            <v>79.27</v>
          </cell>
        </row>
        <row r="586">
          <cell r="C586" t="str">
            <v>SHEBOYGAN CT2</v>
          </cell>
          <cell r="F586">
            <v>169.399</v>
          </cell>
          <cell r="G586">
            <v>11755</v>
          </cell>
          <cell r="H586">
            <v>6.4160000000000004</v>
          </cell>
          <cell r="I586">
            <v>0.51</v>
          </cell>
          <cell r="J586">
            <v>0.57699999999999996</v>
          </cell>
          <cell r="K586">
            <v>44</v>
          </cell>
          <cell r="L586">
            <v>3</v>
          </cell>
          <cell r="M586">
            <v>46</v>
          </cell>
          <cell r="N586">
            <v>80.180000000000007</v>
          </cell>
        </row>
        <row r="587">
          <cell r="C587" t="str">
            <v>NEW WIND-100MW</v>
          </cell>
          <cell r="D587">
            <v>2006</v>
          </cell>
          <cell r="E587" t="str">
            <v>NDT</v>
          </cell>
          <cell r="F587">
            <v>100</v>
          </cell>
          <cell r="G587">
            <v>0</v>
          </cell>
          <cell r="H587">
            <v>0</v>
          </cell>
          <cell r="I587">
            <v>30.49</v>
          </cell>
          <cell r="J587">
            <v>20.491</v>
          </cell>
          <cell r="K587">
            <v>0</v>
          </cell>
          <cell r="L587">
            <v>718</v>
          </cell>
          <cell r="M587">
            <v>718</v>
          </cell>
          <cell r="N587">
            <v>35.049999999999997</v>
          </cell>
        </row>
        <row r="588">
          <cell r="C588" t="str">
            <v>SHARED SAVINGS</v>
          </cell>
          <cell r="D588">
            <v>2005</v>
          </cell>
          <cell r="E588" t="str">
            <v>HYDR</v>
          </cell>
          <cell r="F588">
            <v>10.295999999999999</v>
          </cell>
          <cell r="G588">
            <v>0</v>
          </cell>
          <cell r="H588">
            <v>0</v>
          </cell>
          <cell r="I588">
            <v>65.81</v>
          </cell>
          <cell r="J588">
            <v>4.5529999999999999</v>
          </cell>
          <cell r="K588">
            <v>0</v>
          </cell>
          <cell r="L588">
            <v>0</v>
          </cell>
          <cell r="M588">
            <v>0</v>
          </cell>
          <cell r="N588">
            <v>0</v>
          </cell>
        </row>
        <row r="589">
          <cell r="C589" t="str">
            <v>RES ENERGY FOCUS</v>
          </cell>
          <cell r="D589">
            <v>2005</v>
          </cell>
          <cell r="E589" t="str">
            <v>HYDR</v>
          </cell>
          <cell r="F589">
            <v>7.8150000000000004</v>
          </cell>
          <cell r="G589">
            <v>0</v>
          </cell>
          <cell r="H589">
            <v>0</v>
          </cell>
          <cell r="I589">
            <v>39.5</v>
          </cell>
          <cell r="J589">
            <v>2.0750000000000002</v>
          </cell>
          <cell r="K589">
            <v>0</v>
          </cell>
          <cell r="L589">
            <v>0</v>
          </cell>
          <cell r="M589">
            <v>0</v>
          </cell>
          <cell r="N589">
            <v>0</v>
          </cell>
        </row>
        <row r="590">
          <cell r="C590" t="str">
            <v>WPL DLC PROGRAM</v>
          </cell>
          <cell r="D590">
            <v>2005</v>
          </cell>
          <cell r="E590" t="str">
            <v>HYDR</v>
          </cell>
          <cell r="F590">
            <v>6</v>
          </cell>
          <cell r="G590">
            <v>0</v>
          </cell>
          <cell r="H590">
            <v>0</v>
          </cell>
          <cell r="I590">
            <v>0</v>
          </cell>
          <cell r="J590">
            <v>0</v>
          </cell>
          <cell r="K590">
            <v>0</v>
          </cell>
          <cell r="L590">
            <v>0</v>
          </cell>
          <cell r="M590">
            <v>0</v>
          </cell>
          <cell r="N590">
            <v>0</v>
          </cell>
        </row>
        <row r="592">
          <cell r="C592" t="str">
            <v>KEWAUNEE</v>
          </cell>
          <cell r="E592" t="str">
            <v>MUST</v>
          </cell>
          <cell r="F592">
            <v>235.2</v>
          </cell>
          <cell r="G592">
            <v>10750</v>
          </cell>
          <cell r="H592">
            <v>0.46200000000000002</v>
          </cell>
          <cell r="I592">
            <v>96.5</v>
          </cell>
          <cell r="J592">
            <v>168.864</v>
          </cell>
          <cell r="K592">
            <v>839</v>
          </cell>
          <cell r="L592">
            <v>0</v>
          </cell>
          <cell r="M592">
            <v>839</v>
          </cell>
          <cell r="N592">
            <v>4.97</v>
          </cell>
        </row>
        <row r="593">
          <cell r="C593" t="str">
            <v>COLUMBIA 1</v>
          </cell>
          <cell r="F593">
            <v>247.20500000000001</v>
          </cell>
          <cell r="G593">
            <v>0</v>
          </cell>
          <cell r="H593">
            <v>0</v>
          </cell>
          <cell r="I593">
            <v>0</v>
          </cell>
          <cell r="J593">
            <v>0</v>
          </cell>
          <cell r="K593">
            <v>0</v>
          </cell>
          <cell r="L593">
            <v>0</v>
          </cell>
          <cell r="M593">
            <v>0</v>
          </cell>
          <cell r="N593">
            <v>0</v>
          </cell>
        </row>
        <row r="594">
          <cell r="C594" t="str">
            <v>COLUMBIA 2</v>
          </cell>
          <cell r="E594" t="str">
            <v>MUST</v>
          </cell>
          <cell r="F594">
            <v>247.09399999999999</v>
          </cell>
          <cell r="G594">
            <v>10545</v>
          </cell>
          <cell r="H594">
            <v>1.331</v>
          </cell>
          <cell r="I594">
            <v>86.34</v>
          </cell>
          <cell r="J594">
            <v>158.726</v>
          </cell>
          <cell r="K594">
            <v>2227</v>
          </cell>
          <cell r="L594">
            <v>2</v>
          </cell>
          <cell r="M594">
            <v>2229</v>
          </cell>
          <cell r="N594">
            <v>14.04</v>
          </cell>
        </row>
        <row r="595">
          <cell r="C595" t="str">
            <v>EDGEWATER 3</v>
          </cell>
          <cell r="F595">
            <v>76.3</v>
          </cell>
          <cell r="G595">
            <v>11080</v>
          </cell>
          <cell r="H595">
            <v>1.51</v>
          </cell>
          <cell r="I595">
            <v>71.069999999999993</v>
          </cell>
          <cell r="J595">
            <v>40.344999999999999</v>
          </cell>
          <cell r="K595">
            <v>675</v>
          </cell>
          <cell r="L595">
            <v>12</v>
          </cell>
          <cell r="M595">
            <v>687</v>
          </cell>
          <cell r="N595">
            <v>17.02</v>
          </cell>
        </row>
        <row r="596">
          <cell r="C596" t="str">
            <v>EDGEWATER 4</v>
          </cell>
          <cell r="F596">
            <v>229.99799999999999</v>
          </cell>
          <cell r="G596">
            <v>9970</v>
          </cell>
          <cell r="H596">
            <v>1.4259999999999999</v>
          </cell>
          <cell r="I596">
            <v>72.55</v>
          </cell>
          <cell r="J596">
            <v>124.14</v>
          </cell>
          <cell r="K596">
            <v>1765</v>
          </cell>
          <cell r="L596">
            <v>34</v>
          </cell>
          <cell r="M596">
            <v>1799</v>
          </cell>
          <cell r="N596">
            <v>14.49</v>
          </cell>
        </row>
        <row r="597">
          <cell r="C597" t="str">
            <v>EDGEWATER 5</v>
          </cell>
          <cell r="E597" t="str">
            <v>MUST</v>
          </cell>
          <cell r="F597">
            <v>302.79300000000001</v>
          </cell>
          <cell r="G597">
            <v>10072</v>
          </cell>
          <cell r="H597">
            <v>1.3089999999999999</v>
          </cell>
          <cell r="I597">
            <v>77.97</v>
          </cell>
          <cell r="J597">
            <v>175.649</v>
          </cell>
          <cell r="K597">
            <v>2317</v>
          </cell>
          <cell r="L597">
            <v>11</v>
          </cell>
          <cell r="M597">
            <v>2328</v>
          </cell>
          <cell r="N597">
            <v>13.25</v>
          </cell>
        </row>
        <row r="598">
          <cell r="C598" t="str">
            <v>BLACKHAWK 3</v>
          </cell>
          <cell r="F598">
            <v>24.9</v>
          </cell>
          <cell r="G598">
            <v>11880</v>
          </cell>
          <cell r="H598">
            <v>6.734</v>
          </cell>
          <cell r="I598">
            <v>0.1</v>
          </cell>
          <cell r="J598">
            <v>1.7999999999999999E-2</v>
          </cell>
          <cell r="K598">
            <v>1</v>
          </cell>
          <cell r="L598">
            <v>0</v>
          </cell>
          <cell r="M598">
            <v>1</v>
          </cell>
          <cell r="N598">
            <v>81.64</v>
          </cell>
        </row>
        <row r="599">
          <cell r="C599" t="str">
            <v>BLACKHAWK 4</v>
          </cell>
          <cell r="F599">
            <v>25.1</v>
          </cell>
          <cell r="G599">
            <v>11404</v>
          </cell>
          <cell r="H599">
            <v>6.734</v>
          </cell>
          <cell r="I599">
            <v>0.11</v>
          </cell>
          <cell r="J599">
            <v>0.02</v>
          </cell>
          <cell r="K599">
            <v>2</v>
          </cell>
          <cell r="L599">
            <v>0</v>
          </cell>
          <cell r="M599">
            <v>2</v>
          </cell>
          <cell r="N599">
            <v>78.48</v>
          </cell>
        </row>
        <row r="600">
          <cell r="C600" t="str">
            <v>ROCK RIVER 1</v>
          </cell>
          <cell r="F600">
            <v>74.7</v>
          </cell>
          <cell r="G600">
            <v>11033</v>
          </cell>
          <cell r="H600">
            <v>6.2809999999999997</v>
          </cell>
          <cell r="I600">
            <v>2.14</v>
          </cell>
          <cell r="J600">
            <v>1.19</v>
          </cell>
          <cell r="K600">
            <v>82</v>
          </cell>
          <cell r="L600">
            <v>1</v>
          </cell>
          <cell r="M600">
            <v>84</v>
          </cell>
          <cell r="N600">
            <v>70.16</v>
          </cell>
        </row>
        <row r="601">
          <cell r="C601" t="str">
            <v>ROCK RIVER 2</v>
          </cell>
          <cell r="F601">
            <v>78.2</v>
          </cell>
          <cell r="G601">
            <v>10926</v>
          </cell>
          <cell r="H601">
            <v>6.2809999999999997</v>
          </cell>
          <cell r="I601">
            <v>2.44</v>
          </cell>
          <cell r="J601">
            <v>1.42</v>
          </cell>
          <cell r="K601">
            <v>97</v>
          </cell>
          <cell r="L601">
            <v>1</v>
          </cell>
          <cell r="M601">
            <v>99</v>
          </cell>
          <cell r="N601">
            <v>69.44</v>
          </cell>
        </row>
        <row r="602">
          <cell r="C602" t="str">
            <v>ROCK RIVER 3</v>
          </cell>
          <cell r="F602">
            <v>31.241</v>
          </cell>
          <cell r="G602">
            <v>25620</v>
          </cell>
          <cell r="H602">
            <v>10.448</v>
          </cell>
          <cell r="I602">
            <v>0</v>
          </cell>
          <cell r="J602">
            <v>0</v>
          </cell>
          <cell r="K602">
            <v>0</v>
          </cell>
          <cell r="L602">
            <v>0</v>
          </cell>
          <cell r="M602">
            <v>0</v>
          </cell>
          <cell r="N602">
            <v>294.52999999999997</v>
          </cell>
        </row>
        <row r="603">
          <cell r="C603" t="str">
            <v>ROCK RIVER 4</v>
          </cell>
          <cell r="F603">
            <v>16.2</v>
          </cell>
          <cell r="G603">
            <v>0</v>
          </cell>
          <cell r="H603">
            <v>0</v>
          </cell>
          <cell r="I603">
            <v>0</v>
          </cell>
          <cell r="J603">
            <v>0</v>
          </cell>
          <cell r="K603">
            <v>0</v>
          </cell>
          <cell r="L603">
            <v>0</v>
          </cell>
          <cell r="M603">
            <v>0</v>
          </cell>
          <cell r="N603">
            <v>0</v>
          </cell>
        </row>
        <row r="604">
          <cell r="C604" t="str">
            <v>ROCK RIVER 5</v>
          </cell>
          <cell r="F604">
            <v>63.076000000000001</v>
          </cell>
          <cell r="G604">
            <v>13295</v>
          </cell>
          <cell r="H604">
            <v>6.9269999999999996</v>
          </cell>
          <cell r="I604">
            <v>0</v>
          </cell>
          <cell r="J604">
            <v>0</v>
          </cell>
          <cell r="K604">
            <v>0</v>
          </cell>
          <cell r="L604">
            <v>0</v>
          </cell>
          <cell r="M604">
            <v>0</v>
          </cell>
          <cell r="N604">
            <v>112.32</v>
          </cell>
        </row>
        <row r="605">
          <cell r="C605" t="str">
            <v>ROCK RIVER 6</v>
          </cell>
          <cell r="F605">
            <v>63.335999999999999</v>
          </cell>
          <cell r="G605">
            <v>13309</v>
          </cell>
          <cell r="H605">
            <v>6.9269999999999996</v>
          </cell>
          <cell r="I605">
            <v>0</v>
          </cell>
          <cell r="J605">
            <v>0</v>
          </cell>
          <cell r="K605">
            <v>0</v>
          </cell>
          <cell r="L605">
            <v>0</v>
          </cell>
          <cell r="M605">
            <v>0</v>
          </cell>
          <cell r="N605">
            <v>113.33</v>
          </cell>
        </row>
        <row r="606">
          <cell r="C606" t="str">
            <v>SHEEPSKIN 1</v>
          </cell>
          <cell r="F606">
            <v>37.6</v>
          </cell>
          <cell r="G606">
            <v>14747</v>
          </cell>
          <cell r="H606">
            <v>8.5570000000000004</v>
          </cell>
          <cell r="I606">
            <v>0</v>
          </cell>
          <cell r="J606">
            <v>0</v>
          </cell>
          <cell r="K606">
            <v>0</v>
          </cell>
          <cell r="L606">
            <v>0</v>
          </cell>
          <cell r="M606">
            <v>0</v>
          </cell>
          <cell r="N606">
            <v>152.19</v>
          </cell>
        </row>
        <row r="607">
          <cell r="C607" t="str">
            <v>SOUTH FDL 1</v>
          </cell>
          <cell r="F607">
            <v>92.241</v>
          </cell>
          <cell r="G607">
            <v>0</v>
          </cell>
          <cell r="H607">
            <v>0</v>
          </cell>
          <cell r="I607">
            <v>0</v>
          </cell>
          <cell r="J607">
            <v>0</v>
          </cell>
          <cell r="K607">
            <v>0</v>
          </cell>
          <cell r="L607">
            <v>0</v>
          </cell>
          <cell r="M607">
            <v>0</v>
          </cell>
          <cell r="N607">
            <v>0</v>
          </cell>
        </row>
        <row r="608">
          <cell r="C608" t="str">
            <v>SOUTH FDL 2</v>
          </cell>
          <cell r="F608">
            <v>93.19</v>
          </cell>
          <cell r="G608">
            <v>13517</v>
          </cell>
          <cell r="H608">
            <v>6.9459999999999997</v>
          </cell>
          <cell r="I608">
            <v>0</v>
          </cell>
          <cell r="J608">
            <v>1E-3</v>
          </cell>
          <cell r="K608">
            <v>0</v>
          </cell>
          <cell r="L608">
            <v>0</v>
          </cell>
          <cell r="M608">
            <v>0</v>
          </cell>
          <cell r="N608">
            <v>100.9</v>
          </cell>
        </row>
        <row r="609">
          <cell r="C609" t="str">
            <v>SOUTH FDL 3</v>
          </cell>
          <cell r="F609">
            <v>87.87</v>
          </cell>
          <cell r="G609">
            <v>13526</v>
          </cell>
          <cell r="H609">
            <v>6.9459999999999997</v>
          </cell>
          <cell r="I609">
            <v>0</v>
          </cell>
          <cell r="J609">
            <v>0</v>
          </cell>
          <cell r="K609">
            <v>0</v>
          </cell>
          <cell r="L609">
            <v>0</v>
          </cell>
          <cell r="M609">
            <v>0</v>
          </cell>
          <cell r="N609">
            <v>100.97</v>
          </cell>
        </row>
        <row r="610">
          <cell r="C610" t="str">
            <v>SOUTH FDL 4</v>
          </cell>
          <cell r="F610">
            <v>84.763000000000005</v>
          </cell>
          <cell r="G610">
            <v>13526</v>
          </cell>
          <cell r="H610">
            <v>6.9459999999999997</v>
          </cell>
          <cell r="I610">
            <v>0</v>
          </cell>
          <cell r="J610">
            <v>0</v>
          </cell>
          <cell r="K610">
            <v>0</v>
          </cell>
          <cell r="L610">
            <v>0</v>
          </cell>
          <cell r="M610">
            <v>0</v>
          </cell>
          <cell r="N610">
            <v>100.96</v>
          </cell>
        </row>
        <row r="611">
          <cell r="C611" t="str">
            <v>NELSON DEWEY 1</v>
          </cell>
          <cell r="F611">
            <v>111.511</v>
          </cell>
          <cell r="G611">
            <v>10054</v>
          </cell>
          <cell r="H611">
            <v>1.2569999999999999</v>
          </cell>
          <cell r="I611">
            <v>71.27</v>
          </cell>
          <cell r="J611">
            <v>59.133000000000003</v>
          </cell>
          <cell r="K611">
            <v>747</v>
          </cell>
          <cell r="L611">
            <v>40</v>
          </cell>
          <cell r="M611">
            <v>787</v>
          </cell>
          <cell r="N611">
            <v>13.31</v>
          </cell>
        </row>
        <row r="612">
          <cell r="C612" t="str">
            <v>NELSON DEWEY 2</v>
          </cell>
          <cell r="F612">
            <v>112.002</v>
          </cell>
          <cell r="G612">
            <v>9904</v>
          </cell>
          <cell r="H612">
            <v>1.2569999999999999</v>
          </cell>
          <cell r="I612">
            <v>71.56</v>
          </cell>
          <cell r="J612">
            <v>59.628999999999998</v>
          </cell>
          <cell r="K612">
            <v>742</v>
          </cell>
          <cell r="L612">
            <v>42</v>
          </cell>
          <cell r="M612">
            <v>784</v>
          </cell>
          <cell r="N612">
            <v>13.15</v>
          </cell>
        </row>
        <row r="613">
          <cell r="C613" t="str">
            <v>WPL HYDRO</v>
          </cell>
          <cell r="E613" t="str">
            <v>MUST</v>
          </cell>
          <cell r="F613">
            <v>27</v>
          </cell>
          <cell r="G613">
            <v>0</v>
          </cell>
          <cell r="H613">
            <v>0</v>
          </cell>
          <cell r="I613">
            <v>92.14</v>
          </cell>
          <cell r="J613">
            <v>18.509</v>
          </cell>
          <cell r="K613">
            <v>0</v>
          </cell>
          <cell r="L613">
            <v>0</v>
          </cell>
          <cell r="M613">
            <v>0</v>
          </cell>
          <cell r="N613">
            <v>0</v>
          </cell>
        </row>
        <row r="614">
          <cell r="C614" t="str">
            <v>BERLIN LFG WPL</v>
          </cell>
          <cell r="F614">
            <v>2.2000000000000002</v>
          </cell>
          <cell r="G614">
            <v>15000</v>
          </cell>
          <cell r="H614">
            <v>0</v>
          </cell>
          <cell r="I614">
            <v>83.41</v>
          </cell>
          <cell r="J614">
            <v>1.365</v>
          </cell>
          <cell r="K614">
            <v>0</v>
          </cell>
          <cell r="L614">
            <v>35</v>
          </cell>
          <cell r="M614">
            <v>35</v>
          </cell>
          <cell r="N614">
            <v>25.49</v>
          </cell>
        </row>
        <row r="615">
          <cell r="C615" t="str">
            <v>RIVERSIDE</v>
          </cell>
          <cell r="F615">
            <v>537.99</v>
          </cell>
          <cell r="G615">
            <v>8120</v>
          </cell>
          <cell r="H615">
            <v>6.4160000000000004</v>
          </cell>
          <cell r="I615">
            <v>15.47</v>
          </cell>
          <cell r="J615">
            <v>61.917999999999999</v>
          </cell>
          <cell r="K615">
            <v>3226</v>
          </cell>
          <cell r="L615">
            <v>37</v>
          </cell>
          <cell r="M615">
            <v>3262</v>
          </cell>
          <cell r="N615">
            <v>52.69</v>
          </cell>
        </row>
        <row r="616">
          <cell r="C616" t="str">
            <v>ROCKGEN #1</v>
          </cell>
          <cell r="F616">
            <v>154.5</v>
          </cell>
          <cell r="G616">
            <v>13844</v>
          </cell>
          <cell r="H616">
            <v>6.4160000000000004</v>
          </cell>
          <cell r="I616">
            <v>0.08</v>
          </cell>
          <cell r="J616">
            <v>9.4E-2</v>
          </cell>
          <cell r="K616">
            <v>8</v>
          </cell>
          <cell r="L616">
            <v>1</v>
          </cell>
          <cell r="M616">
            <v>9</v>
          </cell>
          <cell r="N616">
            <v>95.02</v>
          </cell>
        </row>
        <row r="617">
          <cell r="C617" t="str">
            <v>ROCKGEN #2</v>
          </cell>
          <cell r="F617">
            <v>154.5</v>
          </cell>
          <cell r="G617">
            <v>13952</v>
          </cell>
          <cell r="H617">
            <v>6.4160000000000004</v>
          </cell>
          <cell r="I617">
            <v>0.02</v>
          </cell>
          <cell r="J617">
            <v>2.4E-2</v>
          </cell>
          <cell r="K617">
            <v>2</v>
          </cell>
          <cell r="L617">
            <v>0</v>
          </cell>
          <cell r="M617">
            <v>2</v>
          </cell>
          <cell r="N617">
            <v>95.7</v>
          </cell>
        </row>
        <row r="618">
          <cell r="C618" t="str">
            <v>ROCKGEN #3</v>
          </cell>
          <cell r="F618">
            <v>154.5</v>
          </cell>
          <cell r="G618">
            <v>14054</v>
          </cell>
          <cell r="H618">
            <v>6.4160000000000004</v>
          </cell>
          <cell r="I618">
            <v>0</v>
          </cell>
          <cell r="J618">
            <v>5.0000000000000001E-3</v>
          </cell>
          <cell r="K618">
            <v>0</v>
          </cell>
          <cell r="L618">
            <v>0</v>
          </cell>
          <cell r="M618">
            <v>1</v>
          </cell>
          <cell r="N618">
            <v>96.36</v>
          </cell>
        </row>
        <row r="619">
          <cell r="C619" t="str">
            <v>BASE 100 ECONOMY</v>
          </cell>
          <cell r="F619">
            <v>100</v>
          </cell>
          <cell r="G619">
            <v>10000</v>
          </cell>
          <cell r="H619">
            <v>3.5739999999999998</v>
          </cell>
          <cell r="I619">
            <v>95.71</v>
          </cell>
          <cell r="J619">
            <v>71.209000000000003</v>
          </cell>
          <cell r="K619">
            <v>2545</v>
          </cell>
          <cell r="L619">
            <v>0</v>
          </cell>
          <cell r="M619">
            <v>2545</v>
          </cell>
          <cell r="N619">
            <v>35.74</v>
          </cell>
        </row>
        <row r="620">
          <cell r="C620" t="str">
            <v>OTHR 500 ECONOMY</v>
          </cell>
          <cell r="F620">
            <v>500</v>
          </cell>
          <cell r="G620">
            <v>10000</v>
          </cell>
          <cell r="H620">
            <v>3.5739999999999998</v>
          </cell>
          <cell r="I620">
            <v>62.86</v>
          </cell>
          <cell r="J620">
            <v>233.84800000000001</v>
          </cell>
          <cell r="K620">
            <v>8358</v>
          </cell>
          <cell r="L620">
            <v>0</v>
          </cell>
          <cell r="M620">
            <v>8358</v>
          </cell>
          <cell r="N620">
            <v>35.74</v>
          </cell>
        </row>
        <row r="621">
          <cell r="C621" t="str">
            <v>FPL WIND PURCH</v>
          </cell>
          <cell r="E621" t="str">
            <v>NDT</v>
          </cell>
          <cell r="F621">
            <v>80</v>
          </cell>
          <cell r="G621">
            <v>0</v>
          </cell>
          <cell r="H621">
            <v>0</v>
          </cell>
          <cell r="I621">
            <v>28.73</v>
          </cell>
          <cell r="J621">
            <v>17.100999999999999</v>
          </cell>
          <cell r="K621">
            <v>0</v>
          </cell>
          <cell r="L621">
            <v>0</v>
          </cell>
          <cell r="M621">
            <v>0</v>
          </cell>
          <cell r="N621">
            <v>0</v>
          </cell>
        </row>
        <row r="622">
          <cell r="C622" t="str">
            <v>INV WIND PURCH</v>
          </cell>
          <cell r="E622" t="str">
            <v>NDT</v>
          </cell>
          <cell r="F622">
            <v>50</v>
          </cell>
          <cell r="G622">
            <v>0</v>
          </cell>
          <cell r="H622">
            <v>0</v>
          </cell>
          <cell r="I622">
            <v>32.64</v>
          </cell>
          <cell r="J622">
            <v>12.144</v>
          </cell>
          <cell r="K622">
            <v>0</v>
          </cell>
          <cell r="L622">
            <v>0</v>
          </cell>
          <cell r="M622">
            <v>0</v>
          </cell>
          <cell r="N622">
            <v>0</v>
          </cell>
        </row>
        <row r="623">
          <cell r="C623" t="str">
            <v>JANESVILLE PURCH</v>
          </cell>
          <cell r="F623">
            <v>1.6</v>
          </cell>
          <cell r="G623">
            <v>15000</v>
          </cell>
          <cell r="H623">
            <v>0</v>
          </cell>
          <cell r="I623">
            <v>35.24</v>
          </cell>
          <cell r="J623">
            <v>0.42</v>
          </cell>
          <cell r="K623">
            <v>0</v>
          </cell>
          <cell r="L623">
            <v>17</v>
          </cell>
          <cell r="M623">
            <v>17</v>
          </cell>
          <cell r="N623">
            <v>39.840000000000003</v>
          </cell>
        </row>
        <row r="624">
          <cell r="C624" t="str">
            <v>MINERGY    PURCH</v>
          </cell>
          <cell r="F624">
            <v>6.5</v>
          </cell>
          <cell r="G624">
            <v>15000</v>
          </cell>
          <cell r="H624">
            <v>0</v>
          </cell>
          <cell r="I624">
            <v>34.85</v>
          </cell>
          <cell r="J624">
            <v>1.6859999999999999</v>
          </cell>
          <cell r="K624">
            <v>0</v>
          </cell>
          <cell r="L624">
            <v>67</v>
          </cell>
          <cell r="M624">
            <v>67</v>
          </cell>
          <cell r="N624">
            <v>39.840000000000003</v>
          </cell>
        </row>
        <row r="625">
          <cell r="C625" t="str">
            <v>SUPERIOR   PURCH</v>
          </cell>
          <cell r="F625">
            <v>2.2000000000000002</v>
          </cell>
          <cell r="G625">
            <v>15000</v>
          </cell>
          <cell r="H625">
            <v>0</v>
          </cell>
          <cell r="I625">
            <v>34.58</v>
          </cell>
          <cell r="J625">
            <v>0.56599999999999995</v>
          </cell>
          <cell r="K625">
            <v>0</v>
          </cell>
          <cell r="L625">
            <v>23</v>
          </cell>
          <cell r="M625">
            <v>23</v>
          </cell>
          <cell r="N625">
            <v>39.840000000000003</v>
          </cell>
        </row>
        <row r="626">
          <cell r="C626" t="str">
            <v>WRPC HYDRO PURCH</v>
          </cell>
          <cell r="E626" t="str">
            <v>MUST</v>
          </cell>
          <cell r="F626">
            <v>13.2</v>
          </cell>
          <cell r="G626">
            <v>0</v>
          </cell>
          <cell r="H626">
            <v>0</v>
          </cell>
          <cell r="I626">
            <v>44.83</v>
          </cell>
          <cell r="J626">
            <v>4.4029999999999996</v>
          </cell>
          <cell r="K626">
            <v>0</v>
          </cell>
          <cell r="L626">
            <v>0</v>
          </cell>
          <cell r="M626">
            <v>0</v>
          </cell>
          <cell r="N626">
            <v>0</v>
          </cell>
        </row>
        <row r="627">
          <cell r="C627" t="str">
            <v>SHEBOYGAN CT1</v>
          </cell>
          <cell r="F627">
            <v>169.399</v>
          </cell>
          <cell r="G627">
            <v>11645</v>
          </cell>
          <cell r="H627">
            <v>6.4160000000000004</v>
          </cell>
          <cell r="I627">
            <v>1.07</v>
          </cell>
          <cell r="J627">
            <v>1.3480000000000001</v>
          </cell>
          <cell r="K627">
            <v>101</v>
          </cell>
          <cell r="L627">
            <v>6</v>
          </cell>
          <cell r="M627">
            <v>107</v>
          </cell>
          <cell r="N627">
            <v>79.47</v>
          </cell>
        </row>
        <row r="628">
          <cell r="C628" t="str">
            <v>SHEBOYGAN CT2</v>
          </cell>
          <cell r="F628">
            <v>169.399</v>
          </cell>
          <cell r="G628">
            <v>11799</v>
          </cell>
          <cell r="H628">
            <v>6.4160000000000004</v>
          </cell>
          <cell r="I628">
            <v>0.36</v>
          </cell>
          <cell r="J628">
            <v>0.45600000000000002</v>
          </cell>
          <cell r="K628">
            <v>34</v>
          </cell>
          <cell r="L628">
            <v>2</v>
          </cell>
          <cell r="M628">
            <v>37</v>
          </cell>
          <cell r="N628">
            <v>80.459999999999994</v>
          </cell>
        </row>
        <row r="629">
          <cell r="C629" t="str">
            <v>NEW WIND-100MW</v>
          </cell>
          <cell r="D629">
            <v>2006</v>
          </cell>
          <cell r="E629" t="str">
            <v>NDT</v>
          </cell>
          <cell r="F629">
            <v>100</v>
          </cell>
          <cell r="G629">
            <v>0</v>
          </cell>
          <cell r="H629">
            <v>0</v>
          </cell>
          <cell r="I629">
            <v>28.73</v>
          </cell>
          <cell r="J629">
            <v>21.376999999999999</v>
          </cell>
          <cell r="K629">
            <v>0</v>
          </cell>
          <cell r="L629">
            <v>749</v>
          </cell>
          <cell r="M629">
            <v>749</v>
          </cell>
          <cell r="N629">
            <v>35.049999999999997</v>
          </cell>
        </row>
        <row r="630">
          <cell r="C630" t="str">
            <v>SHARED SAVINGS</v>
          </cell>
          <cell r="D630">
            <v>2005</v>
          </cell>
          <cell r="E630" t="str">
            <v>HYDR</v>
          </cell>
          <cell r="F630">
            <v>10.295999999999999</v>
          </cell>
          <cell r="G630">
            <v>0</v>
          </cell>
          <cell r="H630">
            <v>0</v>
          </cell>
          <cell r="I630">
            <v>65.81</v>
          </cell>
          <cell r="J630">
            <v>5.0410000000000004</v>
          </cell>
          <cell r="K630">
            <v>0</v>
          </cell>
          <cell r="L630">
            <v>0</v>
          </cell>
          <cell r="M630">
            <v>0</v>
          </cell>
          <cell r="N630">
            <v>0</v>
          </cell>
        </row>
        <row r="631">
          <cell r="C631" t="str">
            <v>RES ENERGY FOCUS</v>
          </cell>
          <cell r="D631">
            <v>2005</v>
          </cell>
          <cell r="E631" t="str">
            <v>HYDR</v>
          </cell>
          <cell r="F631">
            <v>7.8150000000000004</v>
          </cell>
          <cell r="G631">
            <v>0</v>
          </cell>
          <cell r="H631">
            <v>0</v>
          </cell>
          <cell r="I631">
            <v>39.5</v>
          </cell>
          <cell r="J631">
            <v>2.2970000000000002</v>
          </cell>
          <cell r="K631">
            <v>0</v>
          </cell>
          <cell r="L631">
            <v>0</v>
          </cell>
          <cell r="M631">
            <v>0</v>
          </cell>
          <cell r="N631">
            <v>0</v>
          </cell>
        </row>
        <row r="632">
          <cell r="C632" t="str">
            <v>WPL DLC PROGRAM</v>
          </cell>
          <cell r="D632">
            <v>2005</v>
          </cell>
          <cell r="E632" t="str">
            <v>HYDR</v>
          </cell>
          <cell r="F632">
            <v>6</v>
          </cell>
          <cell r="G632">
            <v>0</v>
          </cell>
          <cell r="H632">
            <v>0</v>
          </cell>
          <cell r="I632">
            <v>0</v>
          </cell>
          <cell r="J632">
            <v>0</v>
          </cell>
          <cell r="K632">
            <v>0</v>
          </cell>
          <cell r="L632">
            <v>0</v>
          </cell>
          <cell r="M632">
            <v>0</v>
          </cell>
          <cell r="N632">
            <v>0</v>
          </cell>
        </row>
        <row r="634">
          <cell r="C634" t="str">
            <v>KEWAUNEE</v>
          </cell>
          <cell r="E634" t="str">
            <v>MUST</v>
          </cell>
          <cell r="F634">
            <v>235.2</v>
          </cell>
          <cell r="G634">
            <v>10750</v>
          </cell>
          <cell r="H634">
            <v>0.46200000000000002</v>
          </cell>
          <cell r="I634">
            <v>72.38</v>
          </cell>
          <cell r="J634">
            <v>122.563</v>
          </cell>
          <cell r="K634">
            <v>609</v>
          </cell>
          <cell r="L634">
            <v>0</v>
          </cell>
          <cell r="M634">
            <v>609</v>
          </cell>
          <cell r="N634">
            <v>4.97</v>
          </cell>
        </row>
        <row r="635">
          <cell r="C635" t="str">
            <v>COLUMBIA 1</v>
          </cell>
          <cell r="E635" t="str">
            <v>MUST</v>
          </cell>
          <cell r="F635">
            <v>247.20500000000001</v>
          </cell>
          <cell r="G635">
            <v>10682</v>
          </cell>
          <cell r="H635">
            <v>1.331</v>
          </cell>
          <cell r="I635">
            <v>88.23</v>
          </cell>
          <cell r="J635">
            <v>157.03800000000001</v>
          </cell>
          <cell r="K635">
            <v>2232</v>
          </cell>
          <cell r="L635">
            <v>32</v>
          </cell>
          <cell r="M635">
            <v>2264</v>
          </cell>
          <cell r="N635">
            <v>14.41</v>
          </cell>
        </row>
        <row r="636">
          <cell r="C636" t="str">
            <v>COLUMBIA 2</v>
          </cell>
          <cell r="F636">
            <v>247.09399999999999</v>
          </cell>
          <cell r="G636">
            <v>0</v>
          </cell>
          <cell r="H636">
            <v>0</v>
          </cell>
          <cell r="I636">
            <v>0</v>
          </cell>
          <cell r="J636">
            <v>0</v>
          </cell>
          <cell r="K636">
            <v>0</v>
          </cell>
          <cell r="L636">
            <v>0</v>
          </cell>
          <cell r="M636">
            <v>0</v>
          </cell>
          <cell r="N636">
            <v>0</v>
          </cell>
        </row>
        <row r="637">
          <cell r="C637" t="str">
            <v>EDGEWATER 3</v>
          </cell>
          <cell r="F637">
            <v>76.3</v>
          </cell>
          <cell r="G637">
            <v>11080</v>
          </cell>
          <cell r="H637">
            <v>1.51</v>
          </cell>
          <cell r="I637">
            <v>71.14</v>
          </cell>
          <cell r="J637">
            <v>39.082999999999998</v>
          </cell>
          <cell r="K637">
            <v>654</v>
          </cell>
          <cell r="L637">
            <v>11</v>
          </cell>
          <cell r="M637">
            <v>665</v>
          </cell>
          <cell r="N637">
            <v>17.02</v>
          </cell>
        </row>
        <row r="638">
          <cell r="C638" t="str">
            <v>EDGEWATER 4</v>
          </cell>
          <cell r="F638">
            <v>229.99799999999999</v>
          </cell>
          <cell r="G638">
            <v>9971</v>
          </cell>
          <cell r="H638">
            <v>1.4259999999999999</v>
          </cell>
          <cell r="I638">
            <v>72.540000000000006</v>
          </cell>
          <cell r="J638">
            <v>120.122</v>
          </cell>
          <cell r="K638">
            <v>1707</v>
          </cell>
          <cell r="L638">
            <v>33</v>
          </cell>
          <cell r="M638">
            <v>1741</v>
          </cell>
          <cell r="N638">
            <v>14.49</v>
          </cell>
        </row>
        <row r="639">
          <cell r="C639" t="str">
            <v>EDGEWATER 5</v>
          </cell>
          <cell r="E639" t="str">
            <v>MUST</v>
          </cell>
          <cell r="F639">
            <v>302.79300000000001</v>
          </cell>
          <cell r="G639">
            <v>10072</v>
          </cell>
          <cell r="H639">
            <v>1.3089999999999999</v>
          </cell>
          <cell r="I639">
            <v>77.97</v>
          </cell>
          <cell r="J639">
            <v>169.983</v>
          </cell>
          <cell r="K639">
            <v>2242</v>
          </cell>
          <cell r="L639">
            <v>11</v>
          </cell>
          <cell r="M639">
            <v>2253</v>
          </cell>
          <cell r="N639">
            <v>13.25</v>
          </cell>
        </row>
        <row r="640">
          <cell r="C640" t="str">
            <v>BLACKHAWK 3</v>
          </cell>
          <cell r="F640">
            <v>24.9</v>
          </cell>
          <cell r="G640">
            <v>11868</v>
          </cell>
          <cell r="H640">
            <v>6.3529999999999998</v>
          </cell>
          <cell r="I640">
            <v>0.25</v>
          </cell>
          <cell r="J640">
            <v>4.5999999999999999E-2</v>
          </cell>
          <cell r="K640">
            <v>3</v>
          </cell>
          <cell r="L640">
            <v>0</v>
          </cell>
          <cell r="M640">
            <v>4</v>
          </cell>
          <cell r="N640">
            <v>77.03</v>
          </cell>
        </row>
        <row r="641">
          <cell r="C641" t="str">
            <v>BLACKHAWK 4</v>
          </cell>
          <cell r="F641">
            <v>25.1</v>
          </cell>
          <cell r="G641">
            <v>11395</v>
          </cell>
          <cell r="H641">
            <v>6.3529999999999998</v>
          </cell>
          <cell r="I641">
            <v>0.28000000000000003</v>
          </cell>
          <cell r="J641">
            <v>5.0999999999999997E-2</v>
          </cell>
          <cell r="K641">
            <v>4</v>
          </cell>
          <cell r="L641">
            <v>0</v>
          </cell>
          <cell r="M641">
            <v>4</v>
          </cell>
          <cell r="N641">
            <v>74.069999999999993</v>
          </cell>
        </row>
        <row r="642">
          <cell r="C642" t="str">
            <v>ROCK RIVER 1</v>
          </cell>
          <cell r="F642">
            <v>74.7</v>
          </cell>
          <cell r="G642">
            <v>11059</v>
          </cell>
          <cell r="H642">
            <v>5.9249999999999998</v>
          </cell>
          <cell r="I642">
            <v>8.02</v>
          </cell>
          <cell r="J642">
            <v>4.3120000000000003</v>
          </cell>
          <cell r="K642">
            <v>283</v>
          </cell>
          <cell r="L642">
            <v>4</v>
          </cell>
          <cell r="M642">
            <v>286</v>
          </cell>
          <cell r="N642">
            <v>66.400000000000006</v>
          </cell>
        </row>
        <row r="643">
          <cell r="C643" t="str">
            <v>ROCK RIVER 2</v>
          </cell>
          <cell r="F643">
            <v>78.2</v>
          </cell>
          <cell r="G643">
            <v>10930</v>
          </cell>
          <cell r="H643">
            <v>5.9249999999999998</v>
          </cell>
          <cell r="I643">
            <v>9.33</v>
          </cell>
          <cell r="J643">
            <v>5.2519999999999998</v>
          </cell>
          <cell r="K643">
            <v>340</v>
          </cell>
          <cell r="L643">
            <v>4</v>
          </cell>
          <cell r="M643">
            <v>344</v>
          </cell>
          <cell r="N643">
            <v>65.58</v>
          </cell>
        </row>
        <row r="644">
          <cell r="C644" t="str">
            <v>ROCK RIVER 3</v>
          </cell>
          <cell r="F644">
            <v>31.241</v>
          </cell>
          <cell r="G644">
            <v>0</v>
          </cell>
          <cell r="H644">
            <v>0</v>
          </cell>
          <cell r="I644">
            <v>0</v>
          </cell>
          <cell r="J644">
            <v>0</v>
          </cell>
          <cell r="K644">
            <v>0</v>
          </cell>
          <cell r="L644">
            <v>0</v>
          </cell>
          <cell r="M644">
            <v>0</v>
          </cell>
          <cell r="N644">
            <v>0</v>
          </cell>
        </row>
        <row r="645">
          <cell r="C645" t="str">
            <v>ROCK RIVER 4</v>
          </cell>
          <cell r="F645">
            <v>16.2</v>
          </cell>
          <cell r="G645">
            <v>0</v>
          </cell>
          <cell r="H645">
            <v>0</v>
          </cell>
          <cell r="I645">
            <v>0</v>
          </cell>
          <cell r="J645">
            <v>0</v>
          </cell>
          <cell r="K645">
            <v>0</v>
          </cell>
          <cell r="L645">
            <v>0</v>
          </cell>
          <cell r="M645">
            <v>0</v>
          </cell>
          <cell r="N645">
            <v>0</v>
          </cell>
        </row>
        <row r="646">
          <cell r="C646" t="str">
            <v>ROCK RIVER 5</v>
          </cell>
          <cell r="F646">
            <v>63.076000000000001</v>
          </cell>
          <cell r="G646">
            <v>0</v>
          </cell>
          <cell r="H646">
            <v>0</v>
          </cell>
          <cell r="I646">
            <v>0</v>
          </cell>
          <cell r="J646">
            <v>0</v>
          </cell>
          <cell r="K646">
            <v>0</v>
          </cell>
          <cell r="L646">
            <v>0</v>
          </cell>
          <cell r="M646">
            <v>0</v>
          </cell>
          <cell r="N646">
            <v>0</v>
          </cell>
        </row>
        <row r="647">
          <cell r="C647" t="str">
            <v>ROCK RIVER 6</v>
          </cell>
          <cell r="F647">
            <v>63.335999999999999</v>
          </cell>
          <cell r="G647">
            <v>0</v>
          </cell>
          <cell r="H647">
            <v>0</v>
          </cell>
          <cell r="I647">
            <v>0</v>
          </cell>
          <cell r="J647">
            <v>0</v>
          </cell>
          <cell r="K647">
            <v>0</v>
          </cell>
          <cell r="L647">
            <v>0</v>
          </cell>
          <cell r="M647">
            <v>0</v>
          </cell>
          <cell r="N647">
            <v>0</v>
          </cell>
        </row>
        <row r="648">
          <cell r="C648" t="str">
            <v>SHEEPSKIN 1</v>
          </cell>
          <cell r="F648">
            <v>37.6</v>
          </cell>
          <cell r="G648">
            <v>0</v>
          </cell>
          <cell r="H648">
            <v>0</v>
          </cell>
          <cell r="I648">
            <v>0</v>
          </cell>
          <cell r="J648">
            <v>0</v>
          </cell>
          <cell r="K648">
            <v>0</v>
          </cell>
          <cell r="L648">
            <v>0</v>
          </cell>
          <cell r="M648">
            <v>0</v>
          </cell>
          <cell r="N648">
            <v>0</v>
          </cell>
        </row>
        <row r="649">
          <cell r="C649" t="str">
            <v>SOUTH FDL 1</v>
          </cell>
          <cell r="F649">
            <v>92.241</v>
          </cell>
          <cell r="G649">
            <v>13442</v>
          </cell>
          <cell r="H649">
            <v>6.5529999999999999</v>
          </cell>
          <cell r="I649">
            <v>0</v>
          </cell>
          <cell r="J649">
            <v>1E-3</v>
          </cell>
          <cell r="K649">
            <v>0</v>
          </cell>
          <cell r="L649">
            <v>0</v>
          </cell>
          <cell r="M649">
            <v>0</v>
          </cell>
          <cell r="N649">
            <v>95.09</v>
          </cell>
        </row>
        <row r="650">
          <cell r="C650" t="str">
            <v>SOUTH FDL 2</v>
          </cell>
          <cell r="F650">
            <v>93.19</v>
          </cell>
          <cell r="G650">
            <v>13748</v>
          </cell>
          <cell r="H650">
            <v>6.5529999999999999</v>
          </cell>
          <cell r="I650">
            <v>0</v>
          </cell>
          <cell r="J650">
            <v>1E-3</v>
          </cell>
          <cell r="K650">
            <v>0</v>
          </cell>
          <cell r="L650">
            <v>0</v>
          </cell>
          <cell r="M650">
            <v>0</v>
          </cell>
          <cell r="N650">
            <v>97.1</v>
          </cell>
        </row>
        <row r="651">
          <cell r="C651" t="str">
            <v>SOUTH FDL 3</v>
          </cell>
          <cell r="F651">
            <v>87.87</v>
          </cell>
          <cell r="G651">
            <v>15561</v>
          </cell>
          <cell r="H651">
            <v>6.5529999999999999</v>
          </cell>
          <cell r="I651">
            <v>0</v>
          </cell>
          <cell r="J651">
            <v>0</v>
          </cell>
          <cell r="K651">
            <v>0</v>
          </cell>
          <cell r="L651">
            <v>0</v>
          </cell>
          <cell r="M651">
            <v>0</v>
          </cell>
          <cell r="N651">
            <v>108.99</v>
          </cell>
        </row>
        <row r="652">
          <cell r="C652" t="str">
            <v>SOUTH FDL 4</v>
          </cell>
          <cell r="F652">
            <v>84.763000000000005</v>
          </cell>
          <cell r="G652">
            <v>0</v>
          </cell>
          <cell r="H652">
            <v>0</v>
          </cell>
          <cell r="I652">
            <v>0</v>
          </cell>
          <cell r="J652">
            <v>0</v>
          </cell>
          <cell r="K652">
            <v>0</v>
          </cell>
          <cell r="L652">
            <v>0</v>
          </cell>
          <cell r="M652">
            <v>0</v>
          </cell>
          <cell r="N652">
            <v>0</v>
          </cell>
        </row>
        <row r="653">
          <cell r="C653" t="str">
            <v>NELSON DEWEY 1</v>
          </cell>
          <cell r="F653">
            <v>111.511</v>
          </cell>
          <cell r="G653">
            <v>10054</v>
          </cell>
          <cell r="H653">
            <v>1.2569999999999999</v>
          </cell>
          <cell r="I653">
            <v>71.290000000000006</v>
          </cell>
          <cell r="J653">
            <v>57.238</v>
          </cell>
          <cell r="K653">
            <v>723</v>
          </cell>
          <cell r="L653">
            <v>39</v>
          </cell>
          <cell r="M653">
            <v>762</v>
          </cell>
          <cell r="N653">
            <v>13.31</v>
          </cell>
        </row>
        <row r="654">
          <cell r="C654" t="str">
            <v>NELSON DEWEY 2</v>
          </cell>
          <cell r="F654">
            <v>112.002</v>
          </cell>
          <cell r="G654">
            <v>9904</v>
          </cell>
          <cell r="H654">
            <v>1.2569999999999999</v>
          </cell>
          <cell r="I654">
            <v>71.55</v>
          </cell>
          <cell r="J654">
            <v>57.701000000000001</v>
          </cell>
          <cell r="K654">
            <v>718</v>
          </cell>
          <cell r="L654">
            <v>40</v>
          </cell>
          <cell r="M654">
            <v>759</v>
          </cell>
          <cell r="N654">
            <v>13.15</v>
          </cell>
        </row>
        <row r="655">
          <cell r="C655" t="str">
            <v>WPL HYDRO</v>
          </cell>
          <cell r="E655" t="str">
            <v>MUST</v>
          </cell>
          <cell r="F655">
            <v>27</v>
          </cell>
          <cell r="G655">
            <v>0</v>
          </cell>
          <cell r="H655">
            <v>0</v>
          </cell>
          <cell r="I655">
            <v>92.14</v>
          </cell>
          <cell r="J655">
            <v>17.911999999999999</v>
          </cell>
          <cell r="K655">
            <v>0</v>
          </cell>
          <cell r="L655">
            <v>0</v>
          </cell>
          <cell r="M655">
            <v>0</v>
          </cell>
          <cell r="N655">
            <v>0</v>
          </cell>
        </row>
        <row r="656">
          <cell r="C656" t="str">
            <v>BERLIN LFG WPL</v>
          </cell>
          <cell r="F656">
            <v>2.2000000000000002</v>
          </cell>
          <cell r="G656">
            <v>15000</v>
          </cell>
          <cell r="H656">
            <v>0</v>
          </cell>
          <cell r="I656">
            <v>83.56</v>
          </cell>
          <cell r="J656">
            <v>1.3240000000000001</v>
          </cell>
          <cell r="K656">
            <v>0</v>
          </cell>
          <cell r="L656">
            <v>34</v>
          </cell>
          <cell r="M656">
            <v>34</v>
          </cell>
          <cell r="N656">
            <v>25.49</v>
          </cell>
        </row>
        <row r="657">
          <cell r="C657" t="str">
            <v>RIVERSIDE</v>
          </cell>
          <cell r="F657">
            <v>480.99099999999999</v>
          </cell>
          <cell r="G657">
            <v>7860</v>
          </cell>
          <cell r="H657">
            <v>6.0519999999999996</v>
          </cell>
          <cell r="I657">
            <v>41.66</v>
          </cell>
          <cell r="J657">
            <v>144.26400000000001</v>
          </cell>
          <cell r="K657">
            <v>6863</v>
          </cell>
          <cell r="L657">
            <v>85</v>
          </cell>
          <cell r="M657">
            <v>6948</v>
          </cell>
          <cell r="N657">
            <v>48.16</v>
          </cell>
        </row>
        <row r="658">
          <cell r="C658" t="str">
            <v>ROCKGEN #1</v>
          </cell>
          <cell r="F658">
            <v>154.5</v>
          </cell>
          <cell r="G658">
            <v>13760</v>
          </cell>
          <cell r="H658">
            <v>6.0519999999999996</v>
          </cell>
          <cell r="I658">
            <v>0.23</v>
          </cell>
          <cell r="J658">
            <v>0.254</v>
          </cell>
          <cell r="K658">
            <v>21</v>
          </cell>
          <cell r="L658">
            <v>2</v>
          </cell>
          <cell r="M658">
            <v>23</v>
          </cell>
          <cell r="N658">
            <v>89.48</v>
          </cell>
        </row>
        <row r="659">
          <cell r="C659" t="str">
            <v>ROCKGEN #2</v>
          </cell>
          <cell r="F659">
            <v>154.5</v>
          </cell>
          <cell r="G659">
            <v>13920</v>
          </cell>
          <cell r="H659">
            <v>6.0519999999999996</v>
          </cell>
          <cell r="I659">
            <v>7.0000000000000007E-2</v>
          </cell>
          <cell r="J659">
            <v>7.2999999999999995E-2</v>
          </cell>
          <cell r="K659">
            <v>6</v>
          </cell>
          <cell r="L659">
            <v>0</v>
          </cell>
          <cell r="M659">
            <v>7</v>
          </cell>
          <cell r="N659">
            <v>90.45</v>
          </cell>
        </row>
        <row r="660">
          <cell r="C660" t="str">
            <v>ROCKGEN #3</v>
          </cell>
          <cell r="F660">
            <v>154.5</v>
          </cell>
          <cell r="G660">
            <v>14177</v>
          </cell>
          <cell r="H660">
            <v>6.0519999999999996</v>
          </cell>
          <cell r="I660">
            <v>0.01</v>
          </cell>
          <cell r="J660">
            <v>1.4999999999999999E-2</v>
          </cell>
          <cell r="K660">
            <v>1</v>
          </cell>
          <cell r="L660">
            <v>0</v>
          </cell>
          <cell r="M660">
            <v>1</v>
          </cell>
          <cell r="N660">
            <v>92</v>
          </cell>
        </row>
        <row r="661">
          <cell r="C661" t="str">
            <v>BASE 100 ECONOMY</v>
          </cell>
          <cell r="F661">
            <v>100</v>
          </cell>
          <cell r="G661">
            <v>10000</v>
          </cell>
          <cell r="H661">
            <v>3.5739999999999998</v>
          </cell>
          <cell r="I661">
            <v>96</v>
          </cell>
          <cell r="J661">
            <v>69.117999999999995</v>
          </cell>
          <cell r="K661">
            <v>2470</v>
          </cell>
          <cell r="L661">
            <v>0</v>
          </cell>
          <cell r="M661">
            <v>2470</v>
          </cell>
          <cell r="N661">
            <v>35.74</v>
          </cell>
        </row>
        <row r="662">
          <cell r="C662" t="str">
            <v>OTHR 500 ECONOMY</v>
          </cell>
          <cell r="F662">
            <v>250</v>
          </cell>
          <cell r="G662">
            <v>10000</v>
          </cell>
          <cell r="H662">
            <v>3.5739999999999998</v>
          </cell>
          <cell r="I662">
            <v>76.88</v>
          </cell>
          <cell r="J662">
            <v>138.38399999999999</v>
          </cell>
          <cell r="K662">
            <v>4946</v>
          </cell>
          <cell r="L662">
            <v>0</v>
          </cell>
          <cell r="M662">
            <v>4946</v>
          </cell>
          <cell r="N662">
            <v>35.74</v>
          </cell>
        </row>
        <row r="663">
          <cell r="C663" t="str">
            <v>FPL WIND PURCH</v>
          </cell>
          <cell r="E663" t="str">
            <v>NDT</v>
          </cell>
          <cell r="F663">
            <v>80</v>
          </cell>
          <cell r="G663">
            <v>0</v>
          </cell>
          <cell r="H663">
            <v>0</v>
          </cell>
          <cell r="I663">
            <v>36.340000000000003</v>
          </cell>
          <cell r="J663">
            <v>20.934000000000001</v>
          </cell>
          <cell r="K663">
            <v>0</v>
          </cell>
          <cell r="L663">
            <v>0</v>
          </cell>
          <cell r="M663">
            <v>0</v>
          </cell>
          <cell r="N663">
            <v>0</v>
          </cell>
        </row>
        <row r="664">
          <cell r="C664" t="str">
            <v>INV WIND PURCH</v>
          </cell>
          <cell r="E664" t="str">
            <v>NDT</v>
          </cell>
          <cell r="F664">
            <v>50</v>
          </cell>
          <cell r="G664">
            <v>0</v>
          </cell>
          <cell r="H664">
            <v>0</v>
          </cell>
          <cell r="I664">
            <v>39.69</v>
          </cell>
          <cell r="J664">
            <v>14.287000000000001</v>
          </cell>
          <cell r="K664">
            <v>0</v>
          </cell>
          <cell r="L664">
            <v>0</v>
          </cell>
          <cell r="M664">
            <v>0</v>
          </cell>
          <cell r="N664">
            <v>0</v>
          </cell>
        </row>
        <row r="665">
          <cell r="C665" t="str">
            <v>JANESVILLE PURCH</v>
          </cell>
          <cell r="F665">
            <v>1.6</v>
          </cell>
          <cell r="G665">
            <v>15000</v>
          </cell>
          <cell r="H665">
            <v>0</v>
          </cell>
          <cell r="I665">
            <v>64.12</v>
          </cell>
          <cell r="J665">
            <v>0.73899999999999999</v>
          </cell>
          <cell r="K665">
            <v>0</v>
          </cell>
          <cell r="L665">
            <v>29</v>
          </cell>
          <cell r="M665">
            <v>29</v>
          </cell>
          <cell r="N665">
            <v>39.840000000000003</v>
          </cell>
        </row>
        <row r="666">
          <cell r="C666" t="str">
            <v>MINERGY    PURCH</v>
          </cell>
          <cell r="F666">
            <v>6.5</v>
          </cell>
          <cell r="G666">
            <v>15000</v>
          </cell>
          <cell r="H666">
            <v>0</v>
          </cell>
          <cell r="I666">
            <v>63.75</v>
          </cell>
          <cell r="J666">
            <v>2.984</v>
          </cell>
          <cell r="K666">
            <v>0</v>
          </cell>
          <cell r="L666">
            <v>119</v>
          </cell>
          <cell r="M666">
            <v>119</v>
          </cell>
          <cell r="N666">
            <v>39.840000000000003</v>
          </cell>
        </row>
        <row r="667">
          <cell r="C667" t="str">
            <v>SUPERIOR   PURCH</v>
          </cell>
          <cell r="F667">
            <v>2.2000000000000002</v>
          </cell>
          <cell r="G667">
            <v>15000</v>
          </cell>
          <cell r="H667">
            <v>0</v>
          </cell>
          <cell r="I667">
            <v>63.61</v>
          </cell>
          <cell r="J667">
            <v>1.008</v>
          </cell>
          <cell r="K667">
            <v>0</v>
          </cell>
          <cell r="L667">
            <v>40</v>
          </cell>
          <cell r="M667">
            <v>40</v>
          </cell>
          <cell r="N667">
            <v>39.840000000000003</v>
          </cell>
        </row>
        <row r="668">
          <cell r="C668" t="str">
            <v>WRPC HYDRO PURCH</v>
          </cell>
          <cell r="E668" t="str">
            <v>MUST</v>
          </cell>
          <cell r="F668">
            <v>13.2</v>
          </cell>
          <cell r="G668">
            <v>0</v>
          </cell>
          <cell r="H668">
            <v>0</v>
          </cell>
          <cell r="I668">
            <v>44.83</v>
          </cell>
          <cell r="J668">
            <v>4.2610000000000001</v>
          </cell>
          <cell r="K668">
            <v>0</v>
          </cell>
          <cell r="L668">
            <v>0</v>
          </cell>
          <cell r="M668">
            <v>0</v>
          </cell>
          <cell r="N668">
            <v>0</v>
          </cell>
        </row>
        <row r="669">
          <cell r="C669" t="str">
            <v>SHEBOYGAN CT1</v>
          </cell>
          <cell r="F669">
            <v>169.399</v>
          </cell>
          <cell r="G669">
            <v>11862</v>
          </cell>
          <cell r="H669">
            <v>6.0519999999999996</v>
          </cell>
          <cell r="I669">
            <v>3.37</v>
          </cell>
          <cell r="J669">
            <v>4.1040000000000001</v>
          </cell>
          <cell r="K669">
            <v>295</v>
          </cell>
          <cell r="L669">
            <v>20</v>
          </cell>
          <cell r="M669">
            <v>314</v>
          </cell>
          <cell r="N669">
            <v>76.56</v>
          </cell>
        </row>
        <row r="670">
          <cell r="C670" t="str">
            <v>SHEBOYGAN CT2</v>
          </cell>
          <cell r="F670">
            <v>169.399</v>
          </cell>
          <cell r="G670">
            <v>11859</v>
          </cell>
          <cell r="H670">
            <v>6.0519999999999996</v>
          </cell>
          <cell r="I670">
            <v>0.94</v>
          </cell>
          <cell r="J670">
            <v>1.1519999999999999</v>
          </cell>
          <cell r="K670">
            <v>83</v>
          </cell>
          <cell r="L670">
            <v>5</v>
          </cell>
          <cell r="M670">
            <v>88</v>
          </cell>
          <cell r="N670">
            <v>76.540000000000006</v>
          </cell>
        </row>
        <row r="671">
          <cell r="C671" t="str">
            <v>NEW WIND-100MW</v>
          </cell>
          <cell r="D671">
            <v>2006</v>
          </cell>
          <cell r="E671" t="str">
            <v>NDT</v>
          </cell>
          <cell r="F671">
            <v>100</v>
          </cell>
          <cell r="G671">
            <v>0</v>
          </cell>
          <cell r="H671">
            <v>0</v>
          </cell>
          <cell r="I671">
            <v>36.340000000000003</v>
          </cell>
          <cell r="J671">
            <v>26.167000000000002</v>
          </cell>
          <cell r="K671">
            <v>0</v>
          </cell>
          <cell r="L671">
            <v>917</v>
          </cell>
          <cell r="M671">
            <v>917</v>
          </cell>
          <cell r="N671">
            <v>35.049999999999997</v>
          </cell>
        </row>
        <row r="672">
          <cell r="C672" t="str">
            <v>SHARED SAVINGS</v>
          </cell>
          <cell r="D672">
            <v>2005</v>
          </cell>
          <cell r="E672" t="str">
            <v>HYDR</v>
          </cell>
          <cell r="F672">
            <v>10.295999999999999</v>
          </cell>
          <cell r="G672">
            <v>0</v>
          </cell>
          <cell r="H672">
            <v>0</v>
          </cell>
          <cell r="I672">
            <v>65.81</v>
          </cell>
          <cell r="J672">
            <v>4.8780000000000001</v>
          </cell>
          <cell r="K672">
            <v>0</v>
          </cell>
          <cell r="L672">
            <v>0</v>
          </cell>
          <cell r="M672">
            <v>0</v>
          </cell>
          <cell r="N672">
            <v>0</v>
          </cell>
        </row>
        <row r="673">
          <cell r="C673" t="str">
            <v>RES ENERGY FOCUS</v>
          </cell>
          <cell r="D673">
            <v>2005</v>
          </cell>
          <cell r="E673" t="str">
            <v>HYDR</v>
          </cell>
          <cell r="F673">
            <v>7.8150000000000004</v>
          </cell>
          <cell r="G673">
            <v>0</v>
          </cell>
          <cell r="H673">
            <v>0</v>
          </cell>
          <cell r="I673">
            <v>39.5</v>
          </cell>
          <cell r="J673">
            <v>2.2229999999999999</v>
          </cell>
          <cell r="K673">
            <v>0</v>
          </cell>
          <cell r="L673">
            <v>0</v>
          </cell>
          <cell r="M673">
            <v>0</v>
          </cell>
          <cell r="N673">
            <v>0</v>
          </cell>
        </row>
        <row r="674">
          <cell r="C674" t="str">
            <v>WPL DLC PROGRAM</v>
          </cell>
          <cell r="D674">
            <v>2005</v>
          </cell>
          <cell r="E674" t="str">
            <v>HYDR</v>
          </cell>
          <cell r="F674">
            <v>6</v>
          </cell>
          <cell r="G674">
            <v>0</v>
          </cell>
          <cell r="H674">
            <v>0</v>
          </cell>
          <cell r="I674">
            <v>0</v>
          </cell>
          <cell r="J674">
            <v>0</v>
          </cell>
          <cell r="K674">
            <v>0</v>
          </cell>
          <cell r="L674">
            <v>0</v>
          </cell>
          <cell r="M674">
            <v>0</v>
          </cell>
          <cell r="N674">
            <v>0</v>
          </cell>
        </row>
        <row r="676">
          <cell r="C676" t="str">
            <v>KEWAUNEE</v>
          </cell>
          <cell r="F676">
            <v>235.2</v>
          </cell>
          <cell r="G676">
            <v>0</v>
          </cell>
          <cell r="H676">
            <v>0</v>
          </cell>
          <cell r="I676">
            <v>0</v>
          </cell>
          <cell r="J676">
            <v>0</v>
          </cell>
          <cell r="K676">
            <v>0</v>
          </cell>
          <cell r="L676">
            <v>0</v>
          </cell>
          <cell r="M676">
            <v>0</v>
          </cell>
          <cell r="N676">
            <v>0</v>
          </cell>
        </row>
        <row r="677">
          <cell r="C677" t="str">
            <v>COLUMBIA 1</v>
          </cell>
          <cell r="E677" t="str">
            <v>MUST</v>
          </cell>
          <cell r="F677">
            <v>247.20500000000001</v>
          </cell>
          <cell r="G677">
            <v>10682</v>
          </cell>
          <cell r="H677">
            <v>1.331</v>
          </cell>
          <cell r="I677">
            <v>88.23</v>
          </cell>
          <cell r="J677">
            <v>162.273</v>
          </cell>
          <cell r="K677">
            <v>2306</v>
          </cell>
          <cell r="L677">
            <v>33</v>
          </cell>
          <cell r="M677">
            <v>2339</v>
          </cell>
          <cell r="N677">
            <v>14.41</v>
          </cell>
        </row>
        <row r="678">
          <cell r="C678" t="str">
            <v>COLUMBIA 2</v>
          </cell>
          <cell r="E678" t="str">
            <v>MUST</v>
          </cell>
          <cell r="F678">
            <v>247.09399999999999</v>
          </cell>
          <cell r="G678">
            <v>10545</v>
          </cell>
          <cell r="H678">
            <v>1.331</v>
          </cell>
          <cell r="I678">
            <v>86.34</v>
          </cell>
          <cell r="J678">
            <v>158.72300000000001</v>
          </cell>
          <cell r="K678">
            <v>2227</v>
          </cell>
          <cell r="L678">
            <v>2</v>
          </cell>
          <cell r="M678">
            <v>2229</v>
          </cell>
          <cell r="N678">
            <v>14.04</v>
          </cell>
        </row>
        <row r="679">
          <cell r="C679" t="str">
            <v>EDGEWATER 3</v>
          </cell>
          <cell r="F679">
            <v>76.3</v>
          </cell>
          <cell r="G679">
            <v>11084</v>
          </cell>
          <cell r="H679">
            <v>1.51</v>
          </cell>
          <cell r="I679">
            <v>68.66</v>
          </cell>
          <cell r="J679">
            <v>38.975000000000001</v>
          </cell>
          <cell r="K679">
            <v>652</v>
          </cell>
          <cell r="L679">
            <v>11</v>
          </cell>
          <cell r="M679">
            <v>664</v>
          </cell>
          <cell r="N679">
            <v>17.03</v>
          </cell>
        </row>
        <row r="680">
          <cell r="C680" t="str">
            <v>EDGEWATER 4</v>
          </cell>
          <cell r="F680">
            <v>229.99799999999999</v>
          </cell>
          <cell r="G680">
            <v>9970</v>
          </cell>
          <cell r="H680">
            <v>1.4259999999999999</v>
          </cell>
          <cell r="I680">
            <v>72.48</v>
          </cell>
          <cell r="J680">
            <v>124.032</v>
          </cell>
          <cell r="K680">
            <v>1763</v>
          </cell>
          <cell r="L680">
            <v>34</v>
          </cell>
          <cell r="M680">
            <v>1797</v>
          </cell>
          <cell r="N680">
            <v>14.49</v>
          </cell>
        </row>
        <row r="681">
          <cell r="C681" t="str">
            <v>EDGEWATER 5</v>
          </cell>
          <cell r="E681" t="str">
            <v>MUST</v>
          </cell>
          <cell r="F681">
            <v>302.79300000000001</v>
          </cell>
          <cell r="G681">
            <v>10072</v>
          </cell>
          <cell r="H681">
            <v>1.3089999999999999</v>
          </cell>
          <cell r="I681">
            <v>77.97</v>
          </cell>
          <cell r="J681">
            <v>175.649</v>
          </cell>
          <cell r="K681">
            <v>2317</v>
          </cell>
          <cell r="L681">
            <v>11</v>
          </cell>
          <cell r="M681">
            <v>2328</v>
          </cell>
          <cell r="N681">
            <v>13.25</v>
          </cell>
        </row>
        <row r="682">
          <cell r="C682" t="str">
            <v>BLACKHAWK 3</v>
          </cell>
          <cell r="F682">
            <v>24.9</v>
          </cell>
          <cell r="G682">
            <v>11863</v>
          </cell>
          <cell r="H682">
            <v>6.3529999999999998</v>
          </cell>
          <cell r="I682">
            <v>0.14000000000000001</v>
          </cell>
          <cell r="J682">
            <v>2.7E-2</v>
          </cell>
          <cell r="K682">
            <v>2</v>
          </cell>
          <cell r="L682">
            <v>0</v>
          </cell>
          <cell r="M682">
            <v>2</v>
          </cell>
          <cell r="N682">
            <v>77</v>
          </cell>
        </row>
        <row r="683">
          <cell r="C683" t="str">
            <v>BLACKHAWK 4</v>
          </cell>
          <cell r="F683">
            <v>25.1</v>
          </cell>
          <cell r="G683">
            <v>11383</v>
          </cell>
          <cell r="H683">
            <v>6.3529999999999998</v>
          </cell>
          <cell r="I683">
            <v>0.16</v>
          </cell>
          <cell r="J683">
            <v>0.03</v>
          </cell>
          <cell r="K683">
            <v>2</v>
          </cell>
          <cell r="L683">
            <v>0</v>
          </cell>
          <cell r="M683">
            <v>2</v>
          </cell>
          <cell r="N683">
            <v>73.989999999999995</v>
          </cell>
        </row>
        <row r="684">
          <cell r="C684" t="str">
            <v>ROCK RIVER 1</v>
          </cell>
          <cell r="F684">
            <v>74.7</v>
          </cell>
          <cell r="G684">
            <v>11090</v>
          </cell>
          <cell r="H684">
            <v>5.9249999999999998</v>
          </cell>
          <cell r="I684">
            <v>4.16</v>
          </cell>
          <cell r="J684">
            <v>2.3119999999999998</v>
          </cell>
          <cell r="K684">
            <v>152</v>
          </cell>
          <cell r="L684">
            <v>2</v>
          </cell>
          <cell r="M684">
            <v>154</v>
          </cell>
          <cell r="N684">
            <v>66.58</v>
          </cell>
        </row>
        <row r="685">
          <cell r="C685" t="str">
            <v>ROCK RIVER 2</v>
          </cell>
          <cell r="F685">
            <v>78.2</v>
          </cell>
          <cell r="G685">
            <v>10909</v>
          </cell>
          <cell r="H685">
            <v>5.9249999999999998</v>
          </cell>
          <cell r="I685">
            <v>2.38</v>
          </cell>
          <cell r="J685">
            <v>1.387</v>
          </cell>
          <cell r="K685">
            <v>90</v>
          </cell>
          <cell r="L685">
            <v>1</v>
          </cell>
          <cell r="M685">
            <v>91</v>
          </cell>
          <cell r="N685">
            <v>65.45</v>
          </cell>
        </row>
        <row r="686">
          <cell r="C686" t="str">
            <v>ROCK RIVER 3</v>
          </cell>
          <cell r="F686">
            <v>31.241</v>
          </cell>
          <cell r="G686">
            <v>0</v>
          </cell>
          <cell r="H686">
            <v>0</v>
          </cell>
          <cell r="I686">
            <v>0</v>
          </cell>
          <cell r="J686">
            <v>0</v>
          </cell>
          <cell r="K686">
            <v>0</v>
          </cell>
          <cell r="L686">
            <v>0</v>
          </cell>
          <cell r="M686">
            <v>0</v>
          </cell>
          <cell r="N686">
            <v>0</v>
          </cell>
        </row>
        <row r="687">
          <cell r="C687" t="str">
            <v>ROCK RIVER 4</v>
          </cell>
          <cell r="F687">
            <v>16.2</v>
          </cell>
          <cell r="G687">
            <v>0</v>
          </cell>
          <cell r="H687">
            <v>0</v>
          </cell>
          <cell r="I687">
            <v>0</v>
          </cell>
          <cell r="J687">
            <v>0</v>
          </cell>
          <cell r="K687">
            <v>0</v>
          </cell>
          <cell r="L687">
            <v>0</v>
          </cell>
          <cell r="M687">
            <v>0</v>
          </cell>
          <cell r="N687">
            <v>0</v>
          </cell>
        </row>
        <row r="688">
          <cell r="C688" t="str">
            <v>ROCK RIVER 5</v>
          </cell>
          <cell r="F688">
            <v>63.076000000000001</v>
          </cell>
          <cell r="G688">
            <v>0</v>
          </cell>
          <cell r="H688">
            <v>0</v>
          </cell>
          <cell r="I688">
            <v>0</v>
          </cell>
          <cell r="J688">
            <v>0</v>
          </cell>
          <cell r="K688">
            <v>0</v>
          </cell>
          <cell r="L688">
            <v>0</v>
          </cell>
          <cell r="M688">
            <v>0</v>
          </cell>
          <cell r="N688">
            <v>0</v>
          </cell>
        </row>
        <row r="689">
          <cell r="C689" t="str">
            <v>ROCK RIVER 6</v>
          </cell>
          <cell r="F689">
            <v>63.335999999999999</v>
          </cell>
          <cell r="G689">
            <v>0</v>
          </cell>
          <cell r="H689">
            <v>0</v>
          </cell>
          <cell r="I689">
            <v>0</v>
          </cell>
          <cell r="J689">
            <v>0</v>
          </cell>
          <cell r="K689">
            <v>0</v>
          </cell>
          <cell r="L689">
            <v>0</v>
          </cell>
          <cell r="M689">
            <v>0</v>
          </cell>
          <cell r="N689">
            <v>0</v>
          </cell>
        </row>
        <row r="690">
          <cell r="C690" t="str">
            <v>SHEEPSKIN 1</v>
          </cell>
          <cell r="F690">
            <v>37.6</v>
          </cell>
          <cell r="G690">
            <v>0</v>
          </cell>
          <cell r="H690">
            <v>0</v>
          </cell>
          <cell r="I690">
            <v>0</v>
          </cell>
          <cell r="J690">
            <v>0</v>
          </cell>
          <cell r="K690">
            <v>0</v>
          </cell>
          <cell r="L690">
            <v>0</v>
          </cell>
          <cell r="M690">
            <v>0</v>
          </cell>
          <cell r="N690">
            <v>0</v>
          </cell>
        </row>
        <row r="691">
          <cell r="C691" t="str">
            <v>SOUTH FDL 1</v>
          </cell>
          <cell r="F691">
            <v>92.241</v>
          </cell>
          <cell r="G691">
            <v>0</v>
          </cell>
          <cell r="H691">
            <v>0</v>
          </cell>
          <cell r="I691">
            <v>0</v>
          </cell>
          <cell r="J691">
            <v>0</v>
          </cell>
          <cell r="K691">
            <v>0</v>
          </cell>
          <cell r="L691">
            <v>0</v>
          </cell>
          <cell r="M691">
            <v>0</v>
          </cell>
          <cell r="N691">
            <v>0</v>
          </cell>
        </row>
        <row r="692">
          <cell r="C692" t="str">
            <v>SOUTH FDL 2</v>
          </cell>
          <cell r="F692">
            <v>93.19</v>
          </cell>
          <cell r="G692">
            <v>0</v>
          </cell>
          <cell r="H692">
            <v>0</v>
          </cell>
          <cell r="I692">
            <v>0</v>
          </cell>
          <cell r="J692">
            <v>0</v>
          </cell>
          <cell r="K692">
            <v>0</v>
          </cell>
          <cell r="L692">
            <v>0</v>
          </cell>
          <cell r="M692">
            <v>0</v>
          </cell>
          <cell r="N692">
            <v>0</v>
          </cell>
        </row>
        <row r="693">
          <cell r="C693" t="str">
            <v>SOUTH FDL 3</v>
          </cell>
          <cell r="F693">
            <v>87.87</v>
          </cell>
          <cell r="G693">
            <v>0</v>
          </cell>
          <cell r="H693">
            <v>0</v>
          </cell>
          <cell r="I693">
            <v>0</v>
          </cell>
          <cell r="J693">
            <v>0</v>
          </cell>
          <cell r="K693">
            <v>0</v>
          </cell>
          <cell r="L693">
            <v>0</v>
          </cell>
          <cell r="M693">
            <v>0</v>
          </cell>
          <cell r="N693">
            <v>0</v>
          </cell>
        </row>
        <row r="694">
          <cell r="C694" t="str">
            <v>SOUTH FDL 4</v>
          </cell>
          <cell r="F694">
            <v>84.763000000000005</v>
          </cell>
          <cell r="G694">
            <v>0</v>
          </cell>
          <cell r="H694">
            <v>0</v>
          </cell>
          <cell r="I694">
            <v>0</v>
          </cell>
          <cell r="J694">
            <v>0</v>
          </cell>
          <cell r="K694">
            <v>0</v>
          </cell>
          <cell r="L694">
            <v>0</v>
          </cell>
          <cell r="M694">
            <v>0</v>
          </cell>
          <cell r="N694">
            <v>0</v>
          </cell>
        </row>
        <row r="695">
          <cell r="C695" t="str">
            <v>NELSON DEWEY 1</v>
          </cell>
          <cell r="F695">
            <v>111.511</v>
          </cell>
          <cell r="G695">
            <v>10057</v>
          </cell>
          <cell r="H695">
            <v>1.2569999999999999</v>
          </cell>
          <cell r="I695">
            <v>69.98</v>
          </cell>
          <cell r="J695">
            <v>58.06</v>
          </cell>
          <cell r="K695">
            <v>734</v>
          </cell>
          <cell r="L695">
            <v>39</v>
          </cell>
          <cell r="M695">
            <v>773</v>
          </cell>
          <cell r="N695">
            <v>13.32</v>
          </cell>
        </row>
        <row r="696">
          <cell r="C696" t="str">
            <v>NELSON DEWEY 2</v>
          </cell>
          <cell r="F696">
            <v>112.002</v>
          </cell>
          <cell r="G696">
            <v>9905</v>
          </cell>
          <cell r="H696">
            <v>1.2569999999999999</v>
          </cell>
          <cell r="I696">
            <v>70.989999999999995</v>
          </cell>
          <cell r="J696">
            <v>59.155000000000001</v>
          </cell>
          <cell r="K696">
            <v>736</v>
          </cell>
          <cell r="L696">
            <v>41</v>
          </cell>
          <cell r="M696">
            <v>778</v>
          </cell>
          <cell r="N696">
            <v>13.15</v>
          </cell>
        </row>
        <row r="697">
          <cell r="C697" t="str">
            <v>WPL HYDRO</v>
          </cell>
          <cell r="E697" t="str">
            <v>MUST</v>
          </cell>
          <cell r="F697">
            <v>27</v>
          </cell>
          <cell r="G697">
            <v>0</v>
          </cell>
          <cell r="H697">
            <v>0</v>
          </cell>
          <cell r="I697">
            <v>92.14</v>
          </cell>
          <cell r="J697">
            <v>18.509</v>
          </cell>
          <cell r="K697">
            <v>0</v>
          </cell>
          <cell r="L697">
            <v>0</v>
          </cell>
          <cell r="M697">
            <v>0</v>
          </cell>
          <cell r="N697">
            <v>0</v>
          </cell>
        </row>
        <row r="698">
          <cell r="C698" t="str">
            <v>BERLIN LFG WPL</v>
          </cell>
          <cell r="F698">
            <v>2.2000000000000002</v>
          </cell>
          <cell r="G698">
            <v>15000</v>
          </cell>
          <cell r="H698">
            <v>0</v>
          </cell>
          <cell r="I698">
            <v>79.790000000000006</v>
          </cell>
          <cell r="J698">
            <v>1.306</v>
          </cell>
          <cell r="K698">
            <v>0</v>
          </cell>
          <cell r="L698">
            <v>33</v>
          </cell>
          <cell r="M698">
            <v>33</v>
          </cell>
          <cell r="N698">
            <v>25.49</v>
          </cell>
        </row>
        <row r="699">
          <cell r="C699" t="str">
            <v>RIVERSIDE</v>
          </cell>
          <cell r="F699">
            <v>480.99099999999999</v>
          </cell>
          <cell r="G699">
            <v>7988</v>
          </cell>
          <cell r="H699">
            <v>6.0519999999999996</v>
          </cell>
          <cell r="I699">
            <v>27.75</v>
          </cell>
          <cell r="J699">
            <v>99.3</v>
          </cell>
          <cell r="K699">
            <v>4801</v>
          </cell>
          <cell r="L699">
            <v>59</v>
          </cell>
          <cell r="M699">
            <v>4860</v>
          </cell>
          <cell r="N699">
            <v>48.94</v>
          </cell>
        </row>
        <row r="700">
          <cell r="C700" t="str">
            <v>ROCKGEN #1</v>
          </cell>
          <cell r="F700">
            <v>154.5</v>
          </cell>
          <cell r="G700">
            <v>13776</v>
          </cell>
          <cell r="H700">
            <v>6.0519999999999996</v>
          </cell>
          <cell r="I700">
            <v>0.13</v>
          </cell>
          <cell r="J700">
            <v>0.15</v>
          </cell>
          <cell r="K700">
            <v>12</v>
          </cell>
          <cell r="L700">
            <v>1</v>
          </cell>
          <cell r="M700">
            <v>13</v>
          </cell>
          <cell r="N700">
            <v>89.57</v>
          </cell>
        </row>
        <row r="701">
          <cell r="C701" t="str">
            <v>ROCKGEN #2</v>
          </cell>
          <cell r="F701">
            <v>154.5</v>
          </cell>
          <cell r="G701">
            <v>14064</v>
          </cell>
          <cell r="H701">
            <v>6.0519999999999996</v>
          </cell>
          <cell r="I701">
            <v>0.03</v>
          </cell>
          <cell r="J701">
            <v>3.9E-2</v>
          </cell>
          <cell r="K701">
            <v>3</v>
          </cell>
          <cell r="L701">
            <v>0</v>
          </cell>
          <cell r="M701">
            <v>4</v>
          </cell>
          <cell r="N701">
            <v>91.32</v>
          </cell>
        </row>
        <row r="702">
          <cell r="C702" t="str">
            <v>ROCKGEN #3</v>
          </cell>
          <cell r="F702">
            <v>154.5</v>
          </cell>
          <cell r="G702">
            <v>15565</v>
          </cell>
          <cell r="H702">
            <v>6.0519999999999996</v>
          </cell>
          <cell r="I702">
            <v>0</v>
          </cell>
          <cell r="J702">
            <v>4.0000000000000001E-3</v>
          </cell>
          <cell r="K702">
            <v>0</v>
          </cell>
          <cell r="L702">
            <v>0</v>
          </cell>
          <cell r="M702">
            <v>0</v>
          </cell>
          <cell r="N702">
            <v>100.4</v>
          </cell>
        </row>
        <row r="703">
          <cell r="C703" t="str">
            <v>BASE 100 ECONOMY</v>
          </cell>
          <cell r="F703">
            <v>100</v>
          </cell>
          <cell r="G703">
            <v>10000</v>
          </cell>
          <cell r="H703">
            <v>3.6230000000000002</v>
          </cell>
          <cell r="I703">
            <v>88.06</v>
          </cell>
          <cell r="J703">
            <v>65.518000000000001</v>
          </cell>
          <cell r="K703">
            <v>2373</v>
          </cell>
          <cell r="L703">
            <v>0</v>
          </cell>
          <cell r="M703">
            <v>2373</v>
          </cell>
          <cell r="N703">
            <v>36.229999999999997</v>
          </cell>
        </row>
        <row r="704">
          <cell r="C704" t="str">
            <v>OTHR 500 ECONOMY</v>
          </cell>
          <cell r="F704">
            <v>250</v>
          </cell>
          <cell r="G704">
            <v>10000</v>
          </cell>
          <cell r="H704">
            <v>3.6230000000000002</v>
          </cell>
          <cell r="I704">
            <v>64.180000000000007</v>
          </cell>
          <cell r="J704">
            <v>119.377</v>
          </cell>
          <cell r="K704">
            <v>4324</v>
          </cell>
          <cell r="L704">
            <v>0</v>
          </cell>
          <cell r="M704">
            <v>4324</v>
          </cell>
          <cell r="N704">
            <v>36.229999999999997</v>
          </cell>
        </row>
        <row r="705">
          <cell r="C705" t="str">
            <v>FPL WIND PURCH</v>
          </cell>
          <cell r="E705" t="str">
            <v>NDT</v>
          </cell>
          <cell r="F705">
            <v>80</v>
          </cell>
          <cell r="G705">
            <v>0</v>
          </cell>
          <cell r="H705">
            <v>0</v>
          </cell>
          <cell r="I705">
            <v>31.36</v>
          </cell>
          <cell r="J705">
            <v>18.663</v>
          </cell>
          <cell r="K705">
            <v>0</v>
          </cell>
          <cell r="L705">
            <v>0</v>
          </cell>
          <cell r="M705">
            <v>0</v>
          </cell>
          <cell r="N705">
            <v>0</v>
          </cell>
        </row>
        <row r="706">
          <cell r="C706" t="str">
            <v>INV WIND PURCH</v>
          </cell>
          <cell r="E706" t="str">
            <v>NDT</v>
          </cell>
          <cell r="F706">
            <v>50</v>
          </cell>
          <cell r="G706">
            <v>0</v>
          </cell>
          <cell r="H706">
            <v>0</v>
          </cell>
          <cell r="I706">
            <v>33.869999999999997</v>
          </cell>
          <cell r="J706">
            <v>12.6</v>
          </cell>
          <cell r="K706">
            <v>0</v>
          </cell>
          <cell r="L706">
            <v>0</v>
          </cell>
          <cell r="M706">
            <v>0</v>
          </cell>
          <cell r="N706">
            <v>0</v>
          </cell>
        </row>
        <row r="707">
          <cell r="C707" t="str">
            <v>JANESVILLE PURCH</v>
          </cell>
          <cell r="F707">
            <v>1.6</v>
          </cell>
          <cell r="G707">
            <v>15000</v>
          </cell>
          <cell r="H707">
            <v>0</v>
          </cell>
          <cell r="I707">
            <v>50</v>
          </cell>
          <cell r="J707">
            <v>0.59499999999999997</v>
          </cell>
          <cell r="K707">
            <v>0</v>
          </cell>
          <cell r="L707">
            <v>24</v>
          </cell>
          <cell r="M707">
            <v>24</v>
          </cell>
          <cell r="N707">
            <v>39.840000000000003</v>
          </cell>
        </row>
        <row r="708">
          <cell r="C708" t="str">
            <v>MINERGY    PURCH</v>
          </cell>
          <cell r="F708">
            <v>6.5</v>
          </cell>
          <cell r="G708">
            <v>15000</v>
          </cell>
          <cell r="H708">
            <v>0</v>
          </cell>
          <cell r="I708">
            <v>49.5</v>
          </cell>
          <cell r="J708">
            <v>2.3940000000000001</v>
          </cell>
          <cell r="K708">
            <v>0</v>
          </cell>
          <cell r="L708">
            <v>95</v>
          </cell>
          <cell r="M708">
            <v>95</v>
          </cell>
          <cell r="N708">
            <v>39.840000000000003</v>
          </cell>
        </row>
        <row r="709">
          <cell r="C709" t="str">
            <v>SUPERIOR   PURCH</v>
          </cell>
          <cell r="F709">
            <v>2.2000000000000002</v>
          </cell>
          <cell r="G709">
            <v>15000</v>
          </cell>
          <cell r="H709">
            <v>0</v>
          </cell>
          <cell r="I709">
            <v>48.93</v>
          </cell>
          <cell r="J709">
            <v>0.80100000000000005</v>
          </cell>
          <cell r="K709">
            <v>0</v>
          </cell>
          <cell r="L709">
            <v>32</v>
          </cell>
          <cell r="M709">
            <v>32</v>
          </cell>
          <cell r="N709">
            <v>39.840000000000003</v>
          </cell>
        </row>
        <row r="710">
          <cell r="C710" t="str">
            <v>WRPC HYDRO PURCH</v>
          </cell>
          <cell r="E710" t="str">
            <v>MUST</v>
          </cell>
          <cell r="F710">
            <v>13.2</v>
          </cell>
          <cell r="G710">
            <v>0</v>
          </cell>
          <cell r="H710">
            <v>0</v>
          </cell>
          <cell r="I710">
            <v>44.83</v>
          </cell>
          <cell r="J710">
            <v>4.4029999999999996</v>
          </cell>
          <cell r="K710">
            <v>0</v>
          </cell>
          <cell r="L710">
            <v>0</v>
          </cell>
          <cell r="M710">
            <v>0</v>
          </cell>
          <cell r="N710">
            <v>0</v>
          </cell>
        </row>
        <row r="711">
          <cell r="C711" t="str">
            <v>SHEBOYGAN CT1</v>
          </cell>
          <cell r="F711">
            <v>169.399</v>
          </cell>
          <cell r="G711">
            <v>11930</v>
          </cell>
          <cell r="H711">
            <v>6.0519999999999996</v>
          </cell>
          <cell r="I711">
            <v>1.74</v>
          </cell>
          <cell r="J711">
            <v>2.194</v>
          </cell>
          <cell r="K711">
            <v>158</v>
          </cell>
          <cell r="L711">
            <v>10</v>
          </cell>
          <cell r="M711">
            <v>169</v>
          </cell>
          <cell r="N711">
            <v>76.97</v>
          </cell>
        </row>
        <row r="712">
          <cell r="C712" t="str">
            <v>SHEBOYGAN CT2</v>
          </cell>
          <cell r="F712">
            <v>169.399</v>
          </cell>
          <cell r="G712">
            <v>11767</v>
          </cell>
          <cell r="H712">
            <v>6.0519999999999996</v>
          </cell>
          <cell r="I712">
            <v>0.5</v>
          </cell>
          <cell r="J712">
            <v>0.624</v>
          </cell>
          <cell r="K712">
            <v>44</v>
          </cell>
          <cell r="L712">
            <v>3</v>
          </cell>
          <cell r="M712">
            <v>47</v>
          </cell>
          <cell r="N712">
            <v>75.98</v>
          </cell>
        </row>
        <row r="713">
          <cell r="C713" t="str">
            <v>NEW WIND-100MW</v>
          </cell>
          <cell r="D713">
            <v>2006</v>
          </cell>
          <cell r="E713" t="str">
            <v>NDT</v>
          </cell>
          <cell r="F713">
            <v>100</v>
          </cell>
          <cell r="G713">
            <v>0</v>
          </cell>
          <cell r="H713">
            <v>0</v>
          </cell>
          <cell r="I713">
            <v>31.36</v>
          </cell>
          <cell r="J713">
            <v>23.329000000000001</v>
          </cell>
          <cell r="K713">
            <v>0</v>
          </cell>
          <cell r="L713">
            <v>818</v>
          </cell>
          <cell r="M713">
            <v>818</v>
          </cell>
          <cell r="N713">
            <v>35.049999999999997</v>
          </cell>
        </row>
        <row r="714">
          <cell r="C714" t="str">
            <v>SHARED SAVINGS</v>
          </cell>
          <cell r="D714">
            <v>2005</v>
          </cell>
          <cell r="E714" t="str">
            <v>HYDR</v>
          </cell>
          <cell r="F714">
            <v>10.295999999999999</v>
          </cell>
          <cell r="G714">
            <v>0</v>
          </cell>
          <cell r="H714">
            <v>0</v>
          </cell>
          <cell r="I714">
            <v>65.81</v>
          </cell>
          <cell r="J714">
            <v>5.0410000000000004</v>
          </cell>
          <cell r="K714">
            <v>0</v>
          </cell>
          <cell r="L714">
            <v>0</v>
          </cell>
          <cell r="M714">
            <v>0</v>
          </cell>
          <cell r="N714">
            <v>0</v>
          </cell>
        </row>
        <row r="715">
          <cell r="C715" t="str">
            <v>RES ENERGY FOCUS</v>
          </cell>
          <cell r="D715">
            <v>2005</v>
          </cell>
          <cell r="E715" t="str">
            <v>HYDR</v>
          </cell>
          <cell r="F715">
            <v>7.8150000000000004</v>
          </cell>
          <cell r="G715">
            <v>0</v>
          </cell>
          <cell r="H715">
            <v>0</v>
          </cell>
          <cell r="I715">
            <v>39.5</v>
          </cell>
          <cell r="J715">
            <v>2.2970000000000002</v>
          </cell>
          <cell r="K715">
            <v>0</v>
          </cell>
          <cell r="L715">
            <v>0</v>
          </cell>
          <cell r="M715">
            <v>0</v>
          </cell>
          <cell r="N715">
            <v>0</v>
          </cell>
        </row>
        <row r="716">
          <cell r="C716" t="str">
            <v>WPL DLC PROGRAM</v>
          </cell>
          <cell r="D716">
            <v>2005</v>
          </cell>
          <cell r="E716" t="str">
            <v>HYDR</v>
          </cell>
          <cell r="F716">
            <v>6</v>
          </cell>
          <cell r="G716">
            <v>0</v>
          </cell>
          <cell r="H716">
            <v>0</v>
          </cell>
          <cell r="I716">
            <v>0</v>
          </cell>
          <cell r="J716">
            <v>0</v>
          </cell>
          <cell r="K716">
            <v>0</v>
          </cell>
          <cell r="L716">
            <v>0</v>
          </cell>
          <cell r="M716">
            <v>0</v>
          </cell>
          <cell r="N716">
            <v>0</v>
          </cell>
        </row>
        <row r="718">
          <cell r="C718" t="str">
            <v>KEWAUNEE</v>
          </cell>
          <cell r="E718" t="str">
            <v>MUST</v>
          </cell>
          <cell r="F718">
            <v>235.2</v>
          </cell>
          <cell r="G718">
            <v>10750</v>
          </cell>
          <cell r="H718">
            <v>0.46200000000000002</v>
          </cell>
          <cell r="I718">
            <v>96.5</v>
          </cell>
          <cell r="J718">
            <v>163.417</v>
          </cell>
          <cell r="K718">
            <v>812</v>
          </cell>
          <cell r="L718">
            <v>0</v>
          </cell>
          <cell r="M718">
            <v>812</v>
          </cell>
          <cell r="N718">
            <v>4.97</v>
          </cell>
        </row>
        <row r="719">
          <cell r="C719" t="str">
            <v>COLUMBIA 1</v>
          </cell>
          <cell r="E719" t="str">
            <v>MUST</v>
          </cell>
          <cell r="F719">
            <v>247.20500000000001</v>
          </cell>
          <cell r="G719">
            <v>10682</v>
          </cell>
          <cell r="H719">
            <v>1.331</v>
          </cell>
          <cell r="I719">
            <v>88.23</v>
          </cell>
          <cell r="J719">
            <v>157.03800000000001</v>
          </cell>
          <cell r="K719">
            <v>2232</v>
          </cell>
          <cell r="L719">
            <v>32</v>
          </cell>
          <cell r="M719">
            <v>2264</v>
          </cell>
          <cell r="N719">
            <v>14.41</v>
          </cell>
        </row>
        <row r="720">
          <cell r="C720" t="str">
            <v>COLUMBIA 2</v>
          </cell>
          <cell r="E720" t="str">
            <v>MUST</v>
          </cell>
          <cell r="F720">
            <v>247.09399999999999</v>
          </cell>
          <cell r="G720">
            <v>10545</v>
          </cell>
          <cell r="H720">
            <v>1.331</v>
          </cell>
          <cell r="I720">
            <v>86.29</v>
          </cell>
          <cell r="J720">
            <v>153.51599999999999</v>
          </cell>
          <cell r="K720">
            <v>2154</v>
          </cell>
          <cell r="L720">
            <v>2</v>
          </cell>
          <cell r="M720">
            <v>2156</v>
          </cell>
          <cell r="N720">
            <v>14.04</v>
          </cell>
        </row>
        <row r="721">
          <cell r="C721" t="str">
            <v>EDGEWATER 3</v>
          </cell>
          <cell r="F721">
            <v>76.3</v>
          </cell>
          <cell r="G721">
            <v>11089</v>
          </cell>
          <cell r="H721">
            <v>1.51</v>
          </cell>
          <cell r="I721">
            <v>62.39</v>
          </cell>
          <cell r="J721">
            <v>34.274000000000001</v>
          </cell>
          <cell r="K721">
            <v>574</v>
          </cell>
          <cell r="L721">
            <v>10</v>
          </cell>
          <cell r="M721">
            <v>584</v>
          </cell>
          <cell r="N721">
            <v>17.03</v>
          </cell>
        </row>
        <row r="722">
          <cell r="C722" t="str">
            <v>EDGEWATER 4</v>
          </cell>
          <cell r="F722">
            <v>229.99799999999999</v>
          </cell>
          <cell r="G722">
            <v>9975</v>
          </cell>
          <cell r="H722">
            <v>1.4259999999999999</v>
          </cell>
          <cell r="I722">
            <v>71.510000000000005</v>
          </cell>
          <cell r="J722">
            <v>118.41800000000001</v>
          </cell>
          <cell r="K722">
            <v>1684</v>
          </cell>
          <cell r="L722">
            <v>33</v>
          </cell>
          <cell r="M722">
            <v>1717</v>
          </cell>
          <cell r="N722">
            <v>14.5</v>
          </cell>
        </row>
        <row r="723">
          <cell r="C723" t="str">
            <v>EDGEWATER 5</v>
          </cell>
          <cell r="E723" t="str">
            <v>MUST</v>
          </cell>
          <cell r="F723">
            <v>302.79300000000001</v>
          </cell>
          <cell r="G723">
            <v>10072</v>
          </cell>
          <cell r="H723">
            <v>1.3089999999999999</v>
          </cell>
          <cell r="I723">
            <v>77.97</v>
          </cell>
          <cell r="J723">
            <v>169.983</v>
          </cell>
          <cell r="K723">
            <v>2242</v>
          </cell>
          <cell r="L723">
            <v>11</v>
          </cell>
          <cell r="M723">
            <v>2253</v>
          </cell>
          <cell r="N723">
            <v>13.25</v>
          </cell>
        </row>
        <row r="724">
          <cell r="C724" t="str">
            <v>BLACKHAWK 3</v>
          </cell>
          <cell r="F724">
            <v>24.9</v>
          </cell>
          <cell r="G724">
            <v>11900</v>
          </cell>
          <cell r="H724">
            <v>6.3529999999999998</v>
          </cell>
          <cell r="I724">
            <v>1.28</v>
          </cell>
          <cell r="J724">
            <v>0.23</v>
          </cell>
          <cell r="K724">
            <v>17</v>
          </cell>
          <cell r="L724">
            <v>0</v>
          </cell>
          <cell r="M724">
            <v>18</v>
          </cell>
          <cell r="N724">
            <v>77.239999999999995</v>
          </cell>
        </row>
        <row r="725">
          <cell r="C725" t="str">
            <v>BLACKHAWK 4</v>
          </cell>
          <cell r="F725">
            <v>25.1</v>
          </cell>
          <cell r="G725">
            <v>11370</v>
          </cell>
          <cell r="H725">
            <v>6.3529999999999998</v>
          </cell>
          <cell r="I725">
            <v>1.33</v>
          </cell>
          <cell r="J725">
            <v>0.24099999999999999</v>
          </cell>
          <cell r="K725">
            <v>17</v>
          </cell>
          <cell r="L725">
            <v>0</v>
          </cell>
          <cell r="M725">
            <v>18</v>
          </cell>
          <cell r="N725">
            <v>73.91</v>
          </cell>
        </row>
        <row r="726">
          <cell r="C726" t="str">
            <v>ROCK RIVER 1</v>
          </cell>
          <cell r="F726">
            <v>74.7</v>
          </cell>
          <cell r="G726">
            <v>10996</v>
          </cell>
          <cell r="H726">
            <v>5.9249999999999998</v>
          </cell>
          <cell r="I726">
            <v>9.85</v>
          </cell>
          <cell r="J726">
            <v>5.2990000000000004</v>
          </cell>
          <cell r="K726">
            <v>345</v>
          </cell>
          <cell r="L726">
            <v>5</v>
          </cell>
          <cell r="M726">
            <v>350</v>
          </cell>
          <cell r="N726">
            <v>66.02</v>
          </cell>
        </row>
        <row r="727">
          <cell r="C727" t="str">
            <v>ROCK RIVER 2</v>
          </cell>
          <cell r="F727">
            <v>78.2</v>
          </cell>
          <cell r="G727">
            <v>10916</v>
          </cell>
          <cell r="H727">
            <v>5.9249999999999998</v>
          </cell>
          <cell r="I727">
            <v>10.76</v>
          </cell>
          <cell r="J727">
            <v>6.056</v>
          </cell>
          <cell r="K727">
            <v>392</v>
          </cell>
          <cell r="L727">
            <v>5</v>
          </cell>
          <cell r="M727">
            <v>397</v>
          </cell>
          <cell r="N727">
            <v>65.489999999999995</v>
          </cell>
        </row>
        <row r="728">
          <cell r="C728" t="str">
            <v>ROCK RIVER 3</v>
          </cell>
          <cell r="F728">
            <v>25.800999999999998</v>
          </cell>
          <cell r="G728">
            <v>19780</v>
          </cell>
          <cell r="H728">
            <v>9.8569999999999993</v>
          </cell>
          <cell r="I728">
            <v>0</v>
          </cell>
          <cell r="J728">
            <v>0</v>
          </cell>
          <cell r="K728">
            <v>0</v>
          </cell>
          <cell r="L728">
            <v>0</v>
          </cell>
          <cell r="M728">
            <v>0</v>
          </cell>
          <cell r="N728">
            <v>221.83</v>
          </cell>
        </row>
        <row r="729">
          <cell r="C729" t="str">
            <v>ROCK RIVER 4</v>
          </cell>
          <cell r="F729">
            <v>16.2</v>
          </cell>
          <cell r="G729">
            <v>16445</v>
          </cell>
          <cell r="H729">
            <v>13.161</v>
          </cell>
          <cell r="I729">
            <v>0</v>
          </cell>
          <cell r="J729">
            <v>0</v>
          </cell>
          <cell r="K729">
            <v>0</v>
          </cell>
          <cell r="L729">
            <v>0</v>
          </cell>
          <cell r="M729">
            <v>0</v>
          </cell>
          <cell r="N729">
            <v>256.83</v>
          </cell>
        </row>
        <row r="730">
          <cell r="C730" t="str">
            <v>ROCK RIVER 5</v>
          </cell>
          <cell r="F730">
            <v>55.3</v>
          </cell>
          <cell r="G730">
            <v>13202</v>
          </cell>
          <cell r="H730">
            <v>6.5350000000000001</v>
          </cell>
          <cell r="I730">
            <v>0.01</v>
          </cell>
          <cell r="J730">
            <v>2E-3</v>
          </cell>
          <cell r="K730">
            <v>0</v>
          </cell>
          <cell r="L730">
            <v>0</v>
          </cell>
          <cell r="M730">
            <v>0</v>
          </cell>
          <cell r="N730">
            <v>106.5</v>
          </cell>
        </row>
        <row r="731">
          <cell r="C731" t="str">
            <v>ROCK RIVER 6</v>
          </cell>
          <cell r="F731">
            <v>55.3</v>
          </cell>
          <cell r="G731">
            <v>13236</v>
          </cell>
          <cell r="H731">
            <v>6.5350000000000001</v>
          </cell>
          <cell r="I731">
            <v>0</v>
          </cell>
          <cell r="J731">
            <v>1E-3</v>
          </cell>
          <cell r="K731">
            <v>0</v>
          </cell>
          <cell r="L731">
            <v>0</v>
          </cell>
          <cell r="M731">
            <v>0</v>
          </cell>
          <cell r="N731">
            <v>107.64</v>
          </cell>
        </row>
        <row r="732">
          <cell r="C732" t="str">
            <v>SHEEPSKIN 1</v>
          </cell>
          <cell r="F732">
            <v>37.6</v>
          </cell>
          <cell r="G732">
            <v>14755</v>
          </cell>
          <cell r="H732">
            <v>8.0730000000000004</v>
          </cell>
          <cell r="I732">
            <v>0</v>
          </cell>
          <cell r="J732">
            <v>1E-3</v>
          </cell>
          <cell r="K732">
            <v>0</v>
          </cell>
          <cell r="L732">
            <v>0</v>
          </cell>
          <cell r="M732">
            <v>0</v>
          </cell>
          <cell r="N732">
            <v>145.11000000000001</v>
          </cell>
        </row>
        <row r="733">
          <cell r="C733" t="str">
            <v>SOUTH FDL 1</v>
          </cell>
          <cell r="F733">
            <v>80.400999999999996</v>
          </cell>
          <cell r="G733">
            <v>13375</v>
          </cell>
          <cell r="H733">
            <v>6.5529999999999999</v>
          </cell>
          <cell r="I733">
            <v>0.1</v>
          </cell>
          <cell r="J733">
            <v>5.5E-2</v>
          </cell>
          <cell r="K733">
            <v>5</v>
          </cell>
          <cell r="L733">
            <v>0</v>
          </cell>
          <cell r="M733">
            <v>5</v>
          </cell>
          <cell r="N733">
            <v>94.66</v>
          </cell>
        </row>
        <row r="734">
          <cell r="C734" t="str">
            <v>SOUTH FDL 2</v>
          </cell>
          <cell r="F734">
            <v>81.396000000000001</v>
          </cell>
          <cell r="G734">
            <v>13397</v>
          </cell>
          <cell r="H734">
            <v>6.5529999999999999</v>
          </cell>
          <cell r="I734">
            <v>0.05</v>
          </cell>
          <cell r="J734">
            <v>3.1E-2</v>
          </cell>
          <cell r="K734">
            <v>3</v>
          </cell>
          <cell r="L734">
            <v>0</v>
          </cell>
          <cell r="M734">
            <v>3</v>
          </cell>
          <cell r="N734">
            <v>94.8</v>
          </cell>
        </row>
        <row r="735">
          <cell r="C735" t="str">
            <v>SOUTH FDL 3</v>
          </cell>
          <cell r="F735">
            <v>76.599999999999994</v>
          </cell>
          <cell r="G735">
            <v>13407</v>
          </cell>
          <cell r="H735">
            <v>6.5529999999999999</v>
          </cell>
          <cell r="I735">
            <v>0.03</v>
          </cell>
          <cell r="J735">
            <v>1.6E-2</v>
          </cell>
          <cell r="K735">
            <v>1</v>
          </cell>
          <cell r="L735">
            <v>0</v>
          </cell>
          <cell r="M735">
            <v>1</v>
          </cell>
          <cell r="N735">
            <v>94.87</v>
          </cell>
        </row>
        <row r="736">
          <cell r="C736" t="str">
            <v>SOUTH FDL 4</v>
          </cell>
          <cell r="F736">
            <v>73.897999999999996</v>
          </cell>
          <cell r="G736">
            <v>13421</v>
          </cell>
          <cell r="H736">
            <v>6.5529999999999999</v>
          </cell>
          <cell r="I736">
            <v>0.01</v>
          </cell>
          <cell r="J736">
            <v>8.0000000000000002E-3</v>
          </cell>
          <cell r="K736">
            <v>1</v>
          </cell>
          <cell r="L736">
            <v>0</v>
          </cell>
          <cell r="M736">
            <v>1</v>
          </cell>
          <cell r="N736">
            <v>94.96</v>
          </cell>
        </row>
        <row r="737">
          <cell r="C737" t="str">
            <v>NELSON DEWEY 1</v>
          </cell>
          <cell r="F737">
            <v>111.511</v>
          </cell>
          <cell r="G737">
            <v>10070</v>
          </cell>
          <cell r="H737">
            <v>1.2569999999999999</v>
          </cell>
          <cell r="I737">
            <v>65.33</v>
          </cell>
          <cell r="J737">
            <v>52.451999999999998</v>
          </cell>
          <cell r="K737">
            <v>664</v>
          </cell>
          <cell r="L737">
            <v>36</v>
          </cell>
          <cell r="M737">
            <v>699</v>
          </cell>
          <cell r="N737">
            <v>13.33</v>
          </cell>
        </row>
        <row r="738">
          <cell r="C738" t="str">
            <v>NELSON DEWEY 2</v>
          </cell>
          <cell r="F738">
            <v>112.002</v>
          </cell>
          <cell r="G738">
            <v>9909</v>
          </cell>
          <cell r="H738">
            <v>1.2569999999999999</v>
          </cell>
          <cell r="I738">
            <v>68.010000000000005</v>
          </cell>
          <cell r="J738">
            <v>54.841000000000001</v>
          </cell>
          <cell r="K738">
            <v>683</v>
          </cell>
          <cell r="L738">
            <v>38</v>
          </cell>
          <cell r="M738">
            <v>721</v>
          </cell>
          <cell r="N738">
            <v>13.15</v>
          </cell>
        </row>
        <row r="739">
          <cell r="C739" t="str">
            <v>WPL HYDRO</v>
          </cell>
          <cell r="E739" t="str">
            <v>MUST</v>
          </cell>
          <cell r="F739">
            <v>27</v>
          </cell>
          <cell r="G739">
            <v>0</v>
          </cell>
          <cell r="H739">
            <v>0</v>
          </cell>
          <cell r="I739">
            <v>92.14</v>
          </cell>
          <cell r="J739">
            <v>17.911999999999999</v>
          </cell>
          <cell r="K739">
            <v>0</v>
          </cell>
          <cell r="L739">
            <v>0</v>
          </cell>
          <cell r="M739">
            <v>0</v>
          </cell>
          <cell r="N739">
            <v>0</v>
          </cell>
        </row>
        <row r="740">
          <cell r="C740" t="str">
            <v>BERLIN LFG WPL</v>
          </cell>
          <cell r="F740">
            <v>2.2000000000000002</v>
          </cell>
          <cell r="G740">
            <v>15000</v>
          </cell>
          <cell r="H740">
            <v>0</v>
          </cell>
          <cell r="I740">
            <v>72.05</v>
          </cell>
          <cell r="J740">
            <v>1.141</v>
          </cell>
          <cell r="K740">
            <v>0</v>
          </cell>
          <cell r="L740">
            <v>29</v>
          </cell>
          <cell r="M740">
            <v>29</v>
          </cell>
          <cell r="N740">
            <v>25.49</v>
          </cell>
        </row>
        <row r="741">
          <cell r="C741" t="str">
            <v>RIVERSIDE</v>
          </cell>
          <cell r="F741">
            <v>480.99099999999999</v>
          </cell>
          <cell r="G741">
            <v>7781</v>
          </cell>
          <cell r="H741">
            <v>6.0519999999999996</v>
          </cell>
          <cell r="I741">
            <v>32.6</v>
          </cell>
          <cell r="J741">
            <v>112.893</v>
          </cell>
          <cell r="K741">
            <v>5316</v>
          </cell>
          <cell r="L741">
            <v>67</v>
          </cell>
          <cell r="M741">
            <v>5383</v>
          </cell>
          <cell r="N741">
            <v>47.68</v>
          </cell>
        </row>
        <row r="742">
          <cell r="C742" t="str">
            <v>ROCKGEN #1</v>
          </cell>
          <cell r="F742">
            <v>154.5</v>
          </cell>
          <cell r="G742">
            <v>13499</v>
          </cell>
          <cell r="H742">
            <v>6.0519999999999996</v>
          </cell>
          <cell r="I742">
            <v>1.35</v>
          </cell>
          <cell r="J742">
            <v>1.5009999999999999</v>
          </cell>
          <cell r="K742">
            <v>123</v>
          </cell>
          <cell r="L742">
            <v>9</v>
          </cell>
          <cell r="M742">
            <v>132</v>
          </cell>
          <cell r="N742">
            <v>87.9</v>
          </cell>
        </row>
        <row r="743">
          <cell r="C743" t="str">
            <v>ROCKGEN #2</v>
          </cell>
          <cell r="F743">
            <v>154.5</v>
          </cell>
          <cell r="G743">
            <v>13560</v>
          </cell>
          <cell r="H743">
            <v>6.0519999999999996</v>
          </cell>
          <cell r="I743">
            <v>0.61</v>
          </cell>
          <cell r="J743">
            <v>0.68400000000000005</v>
          </cell>
          <cell r="K743">
            <v>56</v>
          </cell>
          <cell r="L743">
            <v>4</v>
          </cell>
          <cell r="M743">
            <v>60</v>
          </cell>
          <cell r="N743">
            <v>88.26</v>
          </cell>
        </row>
        <row r="744">
          <cell r="C744" t="str">
            <v>ROCKGEN #3</v>
          </cell>
          <cell r="F744">
            <v>154.5</v>
          </cell>
          <cell r="G744">
            <v>13658</v>
          </cell>
          <cell r="H744">
            <v>6.0519999999999996</v>
          </cell>
          <cell r="I744">
            <v>0.25</v>
          </cell>
          <cell r="J744">
            <v>0.27700000000000002</v>
          </cell>
          <cell r="K744">
            <v>23</v>
          </cell>
          <cell r="L744">
            <v>2</v>
          </cell>
          <cell r="M744">
            <v>25</v>
          </cell>
          <cell r="N744">
            <v>88.86</v>
          </cell>
        </row>
        <row r="745">
          <cell r="C745" t="str">
            <v>BASE 100 ECONOMY</v>
          </cell>
          <cell r="F745">
            <v>100</v>
          </cell>
          <cell r="G745">
            <v>10000</v>
          </cell>
          <cell r="H745">
            <v>3.4780000000000002</v>
          </cell>
          <cell r="I745">
            <v>79.900000000000006</v>
          </cell>
          <cell r="J745">
            <v>57.524999999999999</v>
          </cell>
          <cell r="K745">
            <v>2001</v>
          </cell>
          <cell r="L745">
            <v>0</v>
          </cell>
          <cell r="M745">
            <v>2001</v>
          </cell>
          <cell r="N745">
            <v>34.78</v>
          </cell>
        </row>
        <row r="746">
          <cell r="C746" t="str">
            <v>OTHR 500 ECONOMY</v>
          </cell>
          <cell r="F746">
            <v>200</v>
          </cell>
          <cell r="G746">
            <v>10000</v>
          </cell>
          <cell r="H746">
            <v>3.4780000000000002</v>
          </cell>
          <cell r="I746">
            <v>60.18</v>
          </cell>
          <cell r="J746">
            <v>86.662999999999997</v>
          </cell>
          <cell r="K746">
            <v>3014</v>
          </cell>
          <cell r="L746">
            <v>0</v>
          </cell>
          <cell r="M746">
            <v>3014</v>
          </cell>
          <cell r="N746">
            <v>34.78</v>
          </cell>
        </row>
        <row r="747">
          <cell r="C747" t="str">
            <v>FPL WIND PURCH</v>
          </cell>
          <cell r="E747" t="str">
            <v>NDT</v>
          </cell>
          <cell r="F747">
            <v>80</v>
          </cell>
          <cell r="G747">
            <v>0</v>
          </cell>
          <cell r="H747">
            <v>0</v>
          </cell>
          <cell r="I747">
            <v>31.48</v>
          </cell>
          <cell r="J747">
            <v>18.135000000000002</v>
          </cell>
          <cell r="K747">
            <v>0</v>
          </cell>
          <cell r="L747">
            <v>0</v>
          </cell>
          <cell r="M747">
            <v>0</v>
          </cell>
          <cell r="N747">
            <v>0</v>
          </cell>
        </row>
        <row r="748">
          <cell r="C748" t="str">
            <v>INV WIND PURCH</v>
          </cell>
          <cell r="E748" t="str">
            <v>NDT</v>
          </cell>
          <cell r="F748">
            <v>50</v>
          </cell>
          <cell r="G748">
            <v>0</v>
          </cell>
          <cell r="H748">
            <v>0</v>
          </cell>
          <cell r="I748">
            <v>36.65</v>
          </cell>
          <cell r="J748">
            <v>13.195</v>
          </cell>
          <cell r="K748">
            <v>0</v>
          </cell>
          <cell r="L748">
            <v>0</v>
          </cell>
          <cell r="M748">
            <v>0</v>
          </cell>
          <cell r="N748">
            <v>0</v>
          </cell>
        </row>
        <row r="749">
          <cell r="C749" t="str">
            <v>JANESVILLE PURCH</v>
          </cell>
          <cell r="F749">
            <v>1.6</v>
          </cell>
          <cell r="G749">
            <v>15000</v>
          </cell>
          <cell r="H749">
            <v>0</v>
          </cell>
          <cell r="I749">
            <v>49.57</v>
          </cell>
          <cell r="J749">
            <v>0.57099999999999995</v>
          </cell>
          <cell r="K749">
            <v>0</v>
          </cell>
          <cell r="L749">
            <v>23</v>
          </cell>
          <cell r="M749">
            <v>23</v>
          </cell>
          <cell r="N749">
            <v>39.840000000000003</v>
          </cell>
        </row>
        <row r="750">
          <cell r="C750" t="str">
            <v>MINERGY    PURCH</v>
          </cell>
          <cell r="F750">
            <v>6.5</v>
          </cell>
          <cell r="G750">
            <v>15000</v>
          </cell>
          <cell r="H750">
            <v>0</v>
          </cell>
          <cell r="I750">
            <v>49.05</v>
          </cell>
          <cell r="J750">
            <v>2.2959999999999998</v>
          </cell>
          <cell r="K750">
            <v>0</v>
          </cell>
          <cell r="L750">
            <v>91</v>
          </cell>
          <cell r="M750">
            <v>91</v>
          </cell>
          <cell r="N750">
            <v>39.840000000000003</v>
          </cell>
        </row>
        <row r="751">
          <cell r="C751" t="str">
            <v>SUPERIOR   PURCH</v>
          </cell>
          <cell r="F751">
            <v>2.2000000000000002</v>
          </cell>
          <cell r="G751">
            <v>15000</v>
          </cell>
          <cell r="H751">
            <v>0</v>
          </cell>
          <cell r="I751">
            <v>49.02</v>
          </cell>
          <cell r="J751">
            <v>0.77600000000000002</v>
          </cell>
          <cell r="K751">
            <v>0</v>
          </cell>
          <cell r="L751">
            <v>31</v>
          </cell>
          <cell r="M751">
            <v>31</v>
          </cell>
          <cell r="N751">
            <v>39.840000000000003</v>
          </cell>
        </row>
        <row r="752">
          <cell r="C752" t="str">
            <v>WRPC HYDRO PURCH</v>
          </cell>
          <cell r="E752" t="str">
            <v>MUST</v>
          </cell>
          <cell r="F752">
            <v>13.2</v>
          </cell>
          <cell r="G752">
            <v>0</v>
          </cell>
          <cell r="H752">
            <v>0</v>
          </cell>
          <cell r="I752">
            <v>44.83</v>
          </cell>
          <cell r="J752">
            <v>4.2610000000000001</v>
          </cell>
          <cell r="K752">
            <v>0</v>
          </cell>
          <cell r="L752">
            <v>0</v>
          </cell>
          <cell r="M752">
            <v>0</v>
          </cell>
          <cell r="N752">
            <v>0</v>
          </cell>
        </row>
        <row r="753">
          <cell r="C753" t="str">
            <v>SHEBOYGAN CT1</v>
          </cell>
          <cell r="F753">
            <v>146.499</v>
          </cell>
          <cell r="G753">
            <v>11328</v>
          </cell>
          <cell r="H753">
            <v>6.0519999999999996</v>
          </cell>
          <cell r="I753">
            <v>6.24</v>
          </cell>
          <cell r="J753">
            <v>6.5860000000000003</v>
          </cell>
          <cell r="K753">
            <v>452</v>
          </cell>
          <cell r="L753">
            <v>31</v>
          </cell>
          <cell r="M753">
            <v>483</v>
          </cell>
          <cell r="N753">
            <v>73.319999999999993</v>
          </cell>
        </row>
        <row r="754">
          <cell r="C754" t="str">
            <v>SHEBOYGAN CT2</v>
          </cell>
          <cell r="F754">
            <v>146.499</v>
          </cell>
          <cell r="G754">
            <v>11334</v>
          </cell>
          <cell r="H754">
            <v>6.0519999999999996</v>
          </cell>
          <cell r="I754">
            <v>3.19</v>
          </cell>
          <cell r="J754">
            <v>3.363</v>
          </cell>
          <cell r="K754">
            <v>231</v>
          </cell>
          <cell r="L754">
            <v>16</v>
          </cell>
          <cell r="M754">
            <v>247</v>
          </cell>
          <cell r="N754">
            <v>73.36</v>
          </cell>
        </row>
        <row r="755">
          <cell r="C755" t="str">
            <v>NEW WIND-100MW</v>
          </cell>
          <cell r="D755">
            <v>2006</v>
          </cell>
          <cell r="E755" t="str">
            <v>NDT</v>
          </cell>
          <cell r="F755">
            <v>100</v>
          </cell>
          <cell r="G755">
            <v>0</v>
          </cell>
          <cell r="H755">
            <v>0</v>
          </cell>
          <cell r="I755">
            <v>31.48</v>
          </cell>
          <cell r="J755">
            <v>22.667999999999999</v>
          </cell>
          <cell r="K755">
            <v>0</v>
          </cell>
          <cell r="L755">
            <v>795</v>
          </cell>
          <cell r="M755">
            <v>795</v>
          </cell>
          <cell r="N755">
            <v>35.049999999999997</v>
          </cell>
        </row>
        <row r="756">
          <cell r="C756" t="str">
            <v>SHARED SAVINGS</v>
          </cell>
          <cell r="D756">
            <v>2005</v>
          </cell>
          <cell r="E756" t="str">
            <v>HYDR</v>
          </cell>
          <cell r="F756">
            <v>10.295999999999999</v>
          </cell>
          <cell r="G756">
            <v>0</v>
          </cell>
          <cell r="H756">
            <v>0</v>
          </cell>
          <cell r="I756">
            <v>65.81</v>
          </cell>
          <cell r="J756">
            <v>4.8780000000000001</v>
          </cell>
          <cell r="K756">
            <v>0</v>
          </cell>
          <cell r="L756">
            <v>0</v>
          </cell>
          <cell r="M756">
            <v>0</v>
          </cell>
          <cell r="N756">
            <v>0</v>
          </cell>
        </row>
        <row r="757">
          <cell r="C757" t="str">
            <v>RES ENERGY FOCUS</v>
          </cell>
          <cell r="D757">
            <v>2005</v>
          </cell>
          <cell r="E757" t="str">
            <v>HYDR</v>
          </cell>
          <cell r="F757">
            <v>7.8150000000000004</v>
          </cell>
          <cell r="G757">
            <v>0</v>
          </cell>
          <cell r="H757">
            <v>0</v>
          </cell>
          <cell r="I757">
            <v>39.5</v>
          </cell>
          <cell r="J757">
            <v>2.2229999999999999</v>
          </cell>
          <cell r="K757">
            <v>0</v>
          </cell>
          <cell r="L757">
            <v>0</v>
          </cell>
          <cell r="M757">
            <v>0</v>
          </cell>
          <cell r="N757">
            <v>0</v>
          </cell>
        </row>
        <row r="758">
          <cell r="C758" t="str">
            <v>WPL DLC PROGRAM</v>
          </cell>
          <cell r="D758">
            <v>2005</v>
          </cell>
          <cell r="E758" t="str">
            <v>HYDR</v>
          </cell>
          <cell r="F758">
            <v>6</v>
          </cell>
          <cell r="G758">
            <v>0</v>
          </cell>
          <cell r="H758">
            <v>0</v>
          </cell>
          <cell r="I758">
            <v>5.58</v>
          </cell>
          <cell r="J758">
            <v>0.24099999999999999</v>
          </cell>
          <cell r="K758">
            <v>0</v>
          </cell>
          <cell r="L758">
            <v>0</v>
          </cell>
          <cell r="M758">
            <v>0</v>
          </cell>
          <cell r="N758">
            <v>0</v>
          </cell>
        </row>
        <row r="760">
          <cell r="C760" t="str">
            <v>KEWAUNEE</v>
          </cell>
          <cell r="E760" t="str">
            <v>MUST</v>
          </cell>
          <cell r="F760">
            <v>235.2</v>
          </cell>
          <cell r="G760">
            <v>10750</v>
          </cell>
          <cell r="H760">
            <v>0.46200000000000002</v>
          </cell>
          <cell r="I760">
            <v>96.5</v>
          </cell>
          <cell r="J760">
            <v>168.864</v>
          </cell>
          <cell r="K760">
            <v>839</v>
          </cell>
          <cell r="L760">
            <v>0</v>
          </cell>
          <cell r="M760">
            <v>839</v>
          </cell>
          <cell r="N760">
            <v>4.97</v>
          </cell>
        </row>
        <row r="761">
          <cell r="C761" t="str">
            <v>COLUMBIA 1</v>
          </cell>
          <cell r="E761" t="str">
            <v>MUST</v>
          </cell>
          <cell r="F761">
            <v>247.20500000000001</v>
          </cell>
          <cell r="G761">
            <v>10682</v>
          </cell>
          <cell r="H761">
            <v>1.331</v>
          </cell>
          <cell r="I761">
            <v>88.23</v>
          </cell>
          <cell r="J761">
            <v>162.273</v>
          </cell>
          <cell r="K761">
            <v>2306</v>
          </cell>
          <cell r="L761">
            <v>33</v>
          </cell>
          <cell r="M761">
            <v>2339</v>
          </cell>
          <cell r="N761">
            <v>14.41</v>
          </cell>
        </row>
        <row r="762">
          <cell r="C762" t="str">
            <v>COLUMBIA 2</v>
          </cell>
          <cell r="E762" t="str">
            <v>MUST</v>
          </cell>
          <cell r="F762">
            <v>247.09399999999999</v>
          </cell>
          <cell r="G762">
            <v>10545</v>
          </cell>
          <cell r="H762">
            <v>1.331</v>
          </cell>
          <cell r="I762">
            <v>86.34</v>
          </cell>
          <cell r="J762">
            <v>158.726</v>
          </cell>
          <cell r="K762">
            <v>2227</v>
          </cell>
          <cell r="L762">
            <v>2</v>
          </cell>
          <cell r="M762">
            <v>2229</v>
          </cell>
          <cell r="N762">
            <v>14.04</v>
          </cell>
        </row>
        <row r="763">
          <cell r="C763" t="str">
            <v>EDGEWATER 3</v>
          </cell>
          <cell r="F763">
            <v>76.3</v>
          </cell>
          <cell r="G763">
            <v>11081</v>
          </cell>
          <cell r="H763">
            <v>1.51</v>
          </cell>
          <cell r="I763">
            <v>70.180000000000007</v>
          </cell>
          <cell r="J763">
            <v>39.837000000000003</v>
          </cell>
          <cell r="K763">
            <v>667</v>
          </cell>
          <cell r="L763">
            <v>11</v>
          </cell>
          <cell r="M763">
            <v>678</v>
          </cell>
          <cell r="N763">
            <v>17.02</v>
          </cell>
        </row>
        <row r="764">
          <cell r="C764" t="str">
            <v>EDGEWATER 4</v>
          </cell>
          <cell r="F764">
            <v>229.99799999999999</v>
          </cell>
          <cell r="G764">
            <v>9970</v>
          </cell>
          <cell r="H764">
            <v>1.4259999999999999</v>
          </cell>
          <cell r="I764">
            <v>72.53</v>
          </cell>
          <cell r="J764">
            <v>124.119</v>
          </cell>
          <cell r="K764">
            <v>1764</v>
          </cell>
          <cell r="L764">
            <v>34</v>
          </cell>
          <cell r="M764">
            <v>1799</v>
          </cell>
          <cell r="N764">
            <v>14.49</v>
          </cell>
        </row>
        <row r="765">
          <cell r="C765" t="str">
            <v>EDGEWATER 5</v>
          </cell>
          <cell r="E765" t="str">
            <v>MUST</v>
          </cell>
          <cell r="F765">
            <v>302.79300000000001</v>
          </cell>
          <cell r="G765">
            <v>10072</v>
          </cell>
          <cell r="H765">
            <v>1.3089999999999999</v>
          </cell>
          <cell r="I765">
            <v>77.97</v>
          </cell>
          <cell r="J765">
            <v>175.649</v>
          </cell>
          <cell r="K765">
            <v>2317</v>
          </cell>
          <cell r="L765">
            <v>11</v>
          </cell>
          <cell r="M765">
            <v>2328</v>
          </cell>
          <cell r="N765">
            <v>13.25</v>
          </cell>
        </row>
        <row r="766">
          <cell r="C766" t="str">
            <v>BLACKHAWK 3</v>
          </cell>
          <cell r="F766">
            <v>24.9</v>
          </cell>
          <cell r="G766">
            <v>11908</v>
          </cell>
          <cell r="H766">
            <v>6.3529999999999998</v>
          </cell>
          <cell r="I766">
            <v>5.7</v>
          </cell>
          <cell r="J766">
            <v>1.0569999999999999</v>
          </cell>
          <cell r="K766">
            <v>80</v>
          </cell>
          <cell r="L766">
            <v>2</v>
          </cell>
          <cell r="M766">
            <v>82</v>
          </cell>
          <cell r="N766">
            <v>77.28</v>
          </cell>
        </row>
        <row r="767">
          <cell r="C767" t="str">
            <v>BLACKHAWK 4</v>
          </cell>
          <cell r="F767">
            <v>25.1</v>
          </cell>
          <cell r="G767">
            <v>11353</v>
          </cell>
          <cell r="H767">
            <v>6.3529999999999998</v>
          </cell>
          <cell r="I767">
            <v>5.83</v>
          </cell>
          <cell r="J767">
            <v>1.089</v>
          </cell>
          <cell r="K767">
            <v>79</v>
          </cell>
          <cell r="L767">
            <v>2</v>
          </cell>
          <cell r="M767">
            <v>80</v>
          </cell>
          <cell r="N767">
            <v>73.8</v>
          </cell>
        </row>
        <row r="768">
          <cell r="C768" t="str">
            <v>ROCK RIVER 1</v>
          </cell>
          <cell r="F768">
            <v>74.7</v>
          </cell>
          <cell r="G768">
            <v>10955</v>
          </cell>
          <cell r="H768">
            <v>5.9249999999999998</v>
          </cell>
          <cell r="I768">
            <v>25.94</v>
          </cell>
          <cell r="J768">
            <v>14.417999999999999</v>
          </cell>
          <cell r="K768">
            <v>936</v>
          </cell>
          <cell r="L768">
            <v>13</v>
          </cell>
          <cell r="M768">
            <v>948</v>
          </cell>
          <cell r="N768">
            <v>65.78</v>
          </cell>
        </row>
        <row r="769">
          <cell r="C769" t="str">
            <v>ROCK RIVER 2</v>
          </cell>
          <cell r="F769">
            <v>78.2</v>
          </cell>
          <cell r="G769">
            <v>10906</v>
          </cell>
          <cell r="H769">
            <v>5.9249999999999998</v>
          </cell>
          <cell r="I769">
            <v>27.14</v>
          </cell>
          <cell r="J769">
            <v>15.788</v>
          </cell>
          <cell r="K769">
            <v>1020</v>
          </cell>
          <cell r="L769">
            <v>13</v>
          </cell>
          <cell r="M769">
            <v>1033</v>
          </cell>
          <cell r="N769">
            <v>65.44</v>
          </cell>
        </row>
        <row r="770">
          <cell r="C770" t="str">
            <v>ROCK RIVER 3</v>
          </cell>
          <cell r="F770">
            <v>25.800999999999998</v>
          </cell>
          <cell r="G770">
            <v>19554</v>
          </cell>
          <cell r="H770">
            <v>9.8569999999999993</v>
          </cell>
          <cell r="I770">
            <v>0.03</v>
          </cell>
          <cell r="J770">
            <v>6.0000000000000001E-3</v>
          </cell>
          <cell r="K770">
            <v>1</v>
          </cell>
          <cell r="L770">
            <v>0</v>
          </cell>
          <cell r="M770">
            <v>1</v>
          </cell>
          <cell r="N770">
            <v>219.6</v>
          </cell>
        </row>
        <row r="771">
          <cell r="C771" t="str">
            <v>ROCK RIVER 4</v>
          </cell>
          <cell r="F771">
            <v>16.2</v>
          </cell>
          <cell r="G771">
            <v>15795</v>
          </cell>
          <cell r="H771">
            <v>13.161</v>
          </cell>
          <cell r="I771">
            <v>0.03</v>
          </cell>
          <cell r="J771">
            <v>3.0000000000000001E-3</v>
          </cell>
          <cell r="K771">
            <v>1</v>
          </cell>
          <cell r="L771">
            <v>0</v>
          </cell>
          <cell r="M771">
            <v>1</v>
          </cell>
          <cell r="N771">
            <v>248.28</v>
          </cell>
        </row>
        <row r="772">
          <cell r="C772" t="str">
            <v>ROCK RIVER 5</v>
          </cell>
          <cell r="F772">
            <v>55.3</v>
          </cell>
          <cell r="G772">
            <v>13068</v>
          </cell>
          <cell r="H772">
            <v>6.5350000000000001</v>
          </cell>
          <cell r="I772">
            <v>0.06</v>
          </cell>
          <cell r="J772">
            <v>2.5999999999999999E-2</v>
          </cell>
          <cell r="K772">
            <v>2</v>
          </cell>
          <cell r="L772">
            <v>1</v>
          </cell>
          <cell r="M772">
            <v>3</v>
          </cell>
          <cell r="N772">
            <v>105.62</v>
          </cell>
        </row>
        <row r="773">
          <cell r="C773" t="str">
            <v>ROCK RIVER 6</v>
          </cell>
          <cell r="F773">
            <v>55.3</v>
          </cell>
          <cell r="G773">
            <v>13074</v>
          </cell>
          <cell r="H773">
            <v>6.5350000000000001</v>
          </cell>
          <cell r="I773">
            <v>0.05</v>
          </cell>
          <cell r="J773">
            <v>1.9E-2</v>
          </cell>
          <cell r="K773">
            <v>2</v>
          </cell>
          <cell r="L773">
            <v>0</v>
          </cell>
          <cell r="M773">
            <v>2</v>
          </cell>
          <cell r="N773">
            <v>106.58</v>
          </cell>
        </row>
        <row r="774">
          <cell r="C774" t="str">
            <v>SHEEPSKIN 1</v>
          </cell>
          <cell r="F774">
            <v>37.6</v>
          </cell>
          <cell r="G774">
            <v>14558</v>
          </cell>
          <cell r="H774">
            <v>8.0730000000000004</v>
          </cell>
          <cell r="I774">
            <v>0.04</v>
          </cell>
          <cell r="J774">
            <v>1.2999999999999999E-2</v>
          </cell>
          <cell r="K774">
            <v>1</v>
          </cell>
          <cell r="L774">
            <v>0</v>
          </cell>
          <cell r="M774">
            <v>2</v>
          </cell>
          <cell r="N774">
            <v>143.52000000000001</v>
          </cell>
        </row>
        <row r="775">
          <cell r="C775" t="str">
            <v>SOUTH FDL 1</v>
          </cell>
          <cell r="F775">
            <v>80.400999999999996</v>
          </cell>
          <cell r="G775">
            <v>13348</v>
          </cell>
          <cell r="H775">
            <v>6.5529999999999999</v>
          </cell>
          <cell r="I775">
            <v>0.52</v>
          </cell>
          <cell r="J775">
            <v>0.311</v>
          </cell>
          <cell r="K775">
            <v>27</v>
          </cell>
          <cell r="L775">
            <v>2</v>
          </cell>
          <cell r="M775">
            <v>29</v>
          </cell>
          <cell r="N775">
            <v>94.48</v>
          </cell>
        </row>
        <row r="776">
          <cell r="C776" t="str">
            <v>SOUTH FDL 2</v>
          </cell>
          <cell r="F776">
            <v>81.396000000000001</v>
          </cell>
          <cell r="G776">
            <v>13357</v>
          </cell>
          <cell r="H776">
            <v>6.5529999999999999</v>
          </cell>
          <cell r="I776">
            <v>0.32</v>
          </cell>
          <cell r="J776">
            <v>0.193</v>
          </cell>
          <cell r="K776">
            <v>17</v>
          </cell>
          <cell r="L776">
            <v>1</v>
          </cell>
          <cell r="M776">
            <v>18</v>
          </cell>
          <cell r="N776">
            <v>94.54</v>
          </cell>
        </row>
        <row r="777">
          <cell r="C777" t="str">
            <v>SOUTH FDL 3</v>
          </cell>
          <cell r="F777">
            <v>76.599999999999994</v>
          </cell>
          <cell r="G777">
            <v>13353</v>
          </cell>
          <cell r="H777">
            <v>6.5529999999999999</v>
          </cell>
          <cell r="I777">
            <v>0.2</v>
          </cell>
          <cell r="J777">
            <v>0.112</v>
          </cell>
          <cell r="K777">
            <v>10</v>
          </cell>
          <cell r="L777">
            <v>1</v>
          </cell>
          <cell r="M777">
            <v>11</v>
          </cell>
          <cell r="N777">
            <v>94.51</v>
          </cell>
        </row>
        <row r="778">
          <cell r="C778" t="str">
            <v>SOUTH FDL 4</v>
          </cell>
          <cell r="F778">
            <v>73.897999999999996</v>
          </cell>
          <cell r="G778">
            <v>13346</v>
          </cell>
          <cell r="H778">
            <v>6.5529999999999999</v>
          </cell>
          <cell r="I778">
            <v>0.12</v>
          </cell>
          <cell r="J778">
            <v>6.7000000000000004E-2</v>
          </cell>
          <cell r="K778">
            <v>6</v>
          </cell>
          <cell r="L778">
            <v>0</v>
          </cell>
          <cell r="M778">
            <v>6</v>
          </cell>
          <cell r="N778">
            <v>94.47</v>
          </cell>
        </row>
        <row r="779">
          <cell r="C779" t="str">
            <v>NELSON DEWEY 1</v>
          </cell>
          <cell r="F779">
            <v>111.511</v>
          </cell>
          <cell r="G779">
            <v>10055</v>
          </cell>
          <cell r="H779">
            <v>1.2569999999999999</v>
          </cell>
          <cell r="I779">
            <v>70.59</v>
          </cell>
          <cell r="J779">
            <v>58.567</v>
          </cell>
          <cell r="K779">
            <v>740</v>
          </cell>
          <cell r="L779">
            <v>40</v>
          </cell>
          <cell r="M779">
            <v>780</v>
          </cell>
          <cell r="N779">
            <v>13.32</v>
          </cell>
        </row>
        <row r="780">
          <cell r="C780" t="str">
            <v>NELSON DEWEY 2</v>
          </cell>
          <cell r="F780">
            <v>112.002</v>
          </cell>
          <cell r="G780">
            <v>9905</v>
          </cell>
          <cell r="H780">
            <v>1.2569999999999999</v>
          </cell>
          <cell r="I780">
            <v>71.14</v>
          </cell>
          <cell r="J780">
            <v>59.279000000000003</v>
          </cell>
          <cell r="K780">
            <v>738</v>
          </cell>
          <cell r="L780">
            <v>42</v>
          </cell>
          <cell r="M780">
            <v>779</v>
          </cell>
          <cell r="N780">
            <v>13.15</v>
          </cell>
        </row>
        <row r="781">
          <cell r="C781" t="str">
            <v>WPL HYDRO</v>
          </cell>
          <cell r="E781" t="str">
            <v>MUST</v>
          </cell>
          <cell r="F781">
            <v>27</v>
          </cell>
          <cell r="G781">
            <v>0</v>
          </cell>
          <cell r="H781">
            <v>0</v>
          </cell>
          <cell r="I781">
            <v>92.14</v>
          </cell>
          <cell r="J781">
            <v>18.509</v>
          </cell>
          <cell r="K781">
            <v>0</v>
          </cell>
          <cell r="L781">
            <v>0</v>
          </cell>
          <cell r="M781">
            <v>0</v>
          </cell>
          <cell r="N781">
            <v>0</v>
          </cell>
        </row>
        <row r="782">
          <cell r="C782" t="str">
            <v>BERLIN LFG WPL</v>
          </cell>
          <cell r="F782">
            <v>2.2000000000000002</v>
          </cell>
          <cell r="G782">
            <v>15000</v>
          </cell>
          <cell r="H782">
            <v>0</v>
          </cell>
          <cell r="I782">
            <v>82.3</v>
          </cell>
          <cell r="J782">
            <v>1.347</v>
          </cell>
          <cell r="K782">
            <v>0</v>
          </cell>
          <cell r="L782">
            <v>34</v>
          </cell>
          <cell r="M782">
            <v>34</v>
          </cell>
          <cell r="N782">
            <v>25.49</v>
          </cell>
        </row>
        <row r="783">
          <cell r="C783" t="str">
            <v>RIVERSIDE</v>
          </cell>
          <cell r="F783">
            <v>480.99099999999999</v>
          </cell>
          <cell r="G783">
            <v>7567</v>
          </cell>
          <cell r="H783">
            <v>6.0519999999999996</v>
          </cell>
          <cell r="I783">
            <v>52.69</v>
          </cell>
          <cell r="J783">
            <v>188.55</v>
          </cell>
          <cell r="K783">
            <v>8636</v>
          </cell>
          <cell r="L783">
            <v>111</v>
          </cell>
          <cell r="M783">
            <v>8747</v>
          </cell>
          <cell r="N783">
            <v>46.39</v>
          </cell>
        </row>
        <row r="784">
          <cell r="C784" t="str">
            <v>ROCKGEN #1</v>
          </cell>
          <cell r="F784">
            <v>154.5</v>
          </cell>
          <cell r="G784">
            <v>13447</v>
          </cell>
          <cell r="H784">
            <v>6.0519999999999996</v>
          </cell>
          <cell r="I784">
            <v>6.25</v>
          </cell>
          <cell r="J784">
            <v>7.18</v>
          </cell>
          <cell r="K784">
            <v>584</v>
          </cell>
          <cell r="L784">
            <v>44</v>
          </cell>
          <cell r="M784">
            <v>629</v>
          </cell>
          <cell r="N784">
            <v>87.58</v>
          </cell>
        </row>
        <row r="785">
          <cell r="C785" t="str">
            <v>ROCKGEN #2</v>
          </cell>
          <cell r="F785">
            <v>154.5</v>
          </cell>
          <cell r="G785">
            <v>13534</v>
          </cell>
          <cell r="H785">
            <v>6.0519999999999996</v>
          </cell>
          <cell r="I785">
            <v>2.91</v>
          </cell>
          <cell r="J785">
            <v>3.3490000000000002</v>
          </cell>
          <cell r="K785">
            <v>274</v>
          </cell>
          <cell r="L785">
            <v>21</v>
          </cell>
          <cell r="M785">
            <v>295</v>
          </cell>
          <cell r="N785">
            <v>88.11</v>
          </cell>
        </row>
        <row r="786">
          <cell r="C786" t="str">
            <v>ROCKGEN #3</v>
          </cell>
          <cell r="F786">
            <v>154.5</v>
          </cell>
          <cell r="G786">
            <v>13610</v>
          </cell>
          <cell r="H786">
            <v>6.0519999999999996</v>
          </cell>
          <cell r="I786">
            <v>1.24</v>
          </cell>
          <cell r="J786">
            <v>1.421</v>
          </cell>
          <cell r="K786">
            <v>117</v>
          </cell>
          <cell r="L786">
            <v>9</v>
          </cell>
          <cell r="M786">
            <v>126</v>
          </cell>
          <cell r="N786">
            <v>88.57</v>
          </cell>
        </row>
        <row r="787">
          <cell r="C787" t="str">
            <v>BASE 100 ECONOMY</v>
          </cell>
          <cell r="F787">
            <v>100</v>
          </cell>
          <cell r="G787">
            <v>10000</v>
          </cell>
          <cell r="H787">
            <v>4.25</v>
          </cell>
          <cell r="I787">
            <v>94.32</v>
          </cell>
          <cell r="J787">
            <v>70.176000000000002</v>
          </cell>
          <cell r="K787">
            <v>2983</v>
          </cell>
          <cell r="L787">
            <v>0</v>
          </cell>
          <cell r="M787">
            <v>2983</v>
          </cell>
          <cell r="N787">
            <v>42.5</v>
          </cell>
        </row>
        <row r="788">
          <cell r="C788" t="str">
            <v>OTHR 500 ECONOMY</v>
          </cell>
          <cell r="F788">
            <v>350</v>
          </cell>
          <cell r="G788">
            <v>10000</v>
          </cell>
          <cell r="H788">
            <v>4.25</v>
          </cell>
          <cell r="I788">
            <v>75.040000000000006</v>
          </cell>
          <cell r="J788">
            <v>195.416</v>
          </cell>
          <cell r="K788">
            <v>8306</v>
          </cell>
          <cell r="L788">
            <v>0</v>
          </cell>
          <cell r="M788">
            <v>8306</v>
          </cell>
          <cell r="N788">
            <v>42.5</v>
          </cell>
        </row>
        <row r="789">
          <cell r="C789" t="str">
            <v>FPL WIND PURCH</v>
          </cell>
          <cell r="E789" t="str">
            <v>NDT</v>
          </cell>
          <cell r="F789">
            <v>80</v>
          </cell>
          <cell r="G789">
            <v>0</v>
          </cell>
          <cell r="H789">
            <v>0</v>
          </cell>
          <cell r="I789">
            <v>12.83</v>
          </cell>
          <cell r="J789">
            <v>7.6360000000000001</v>
          </cell>
          <cell r="K789">
            <v>0</v>
          </cell>
          <cell r="L789">
            <v>0</v>
          </cell>
          <cell r="M789">
            <v>0</v>
          </cell>
          <cell r="N789">
            <v>0</v>
          </cell>
        </row>
        <row r="790">
          <cell r="C790" t="str">
            <v>INV WIND PURCH</v>
          </cell>
          <cell r="E790" t="str">
            <v>NDT</v>
          </cell>
          <cell r="F790">
            <v>50</v>
          </cell>
          <cell r="G790">
            <v>0</v>
          </cell>
          <cell r="H790">
            <v>0</v>
          </cell>
          <cell r="I790">
            <v>15.86</v>
          </cell>
          <cell r="J790">
            <v>5.9009999999999998</v>
          </cell>
          <cell r="K790">
            <v>0</v>
          </cell>
          <cell r="L790">
            <v>0</v>
          </cell>
          <cell r="M790">
            <v>0</v>
          </cell>
          <cell r="N790">
            <v>0</v>
          </cell>
        </row>
        <row r="791">
          <cell r="C791" t="str">
            <v>JANESVILLE PURCH</v>
          </cell>
          <cell r="F791">
            <v>1.6</v>
          </cell>
          <cell r="G791">
            <v>15000</v>
          </cell>
          <cell r="H791">
            <v>0</v>
          </cell>
          <cell r="I791">
            <v>82.3</v>
          </cell>
          <cell r="J791">
            <v>0.98</v>
          </cell>
          <cell r="K791">
            <v>0</v>
          </cell>
          <cell r="L791">
            <v>39</v>
          </cell>
          <cell r="M791">
            <v>39</v>
          </cell>
          <cell r="N791">
            <v>39.840000000000003</v>
          </cell>
        </row>
        <row r="792">
          <cell r="C792" t="str">
            <v>MINERGY    PURCH</v>
          </cell>
          <cell r="F792">
            <v>6.5</v>
          </cell>
          <cell r="G792">
            <v>15000</v>
          </cell>
          <cell r="H792">
            <v>0</v>
          </cell>
          <cell r="I792">
            <v>82.22</v>
          </cell>
          <cell r="J792">
            <v>3.976</v>
          </cell>
          <cell r="K792">
            <v>0</v>
          </cell>
          <cell r="L792">
            <v>158</v>
          </cell>
          <cell r="M792">
            <v>158</v>
          </cell>
          <cell r="N792">
            <v>39.840000000000003</v>
          </cell>
        </row>
        <row r="793">
          <cell r="C793" t="str">
            <v>SUPERIOR   PURCH</v>
          </cell>
          <cell r="F793">
            <v>2.2000000000000002</v>
          </cell>
          <cell r="G793">
            <v>15000</v>
          </cell>
          <cell r="H793">
            <v>0</v>
          </cell>
          <cell r="I793">
            <v>82.13</v>
          </cell>
          <cell r="J793">
            <v>1.3440000000000001</v>
          </cell>
          <cell r="K793">
            <v>0</v>
          </cell>
          <cell r="L793">
            <v>54</v>
          </cell>
          <cell r="M793">
            <v>54</v>
          </cell>
          <cell r="N793">
            <v>39.840000000000003</v>
          </cell>
        </row>
        <row r="794">
          <cell r="C794" t="str">
            <v>WRPC HYDRO PURCH</v>
          </cell>
          <cell r="E794" t="str">
            <v>MUST</v>
          </cell>
          <cell r="F794">
            <v>13.2</v>
          </cell>
          <cell r="G794">
            <v>0</v>
          </cell>
          <cell r="H794">
            <v>0</v>
          </cell>
          <cell r="I794">
            <v>44.83</v>
          </cell>
          <cell r="J794">
            <v>4.4029999999999996</v>
          </cell>
          <cell r="K794">
            <v>0</v>
          </cell>
          <cell r="L794">
            <v>0</v>
          </cell>
          <cell r="M794">
            <v>0</v>
          </cell>
          <cell r="N794">
            <v>0</v>
          </cell>
        </row>
        <row r="795">
          <cell r="C795" t="str">
            <v>SHEBOYGAN CT1</v>
          </cell>
          <cell r="F795">
            <v>146.499</v>
          </cell>
          <cell r="G795">
            <v>11096</v>
          </cell>
          <cell r="H795">
            <v>6.0519999999999996</v>
          </cell>
          <cell r="I795">
            <v>20.190000000000001</v>
          </cell>
          <cell r="J795">
            <v>22.004000000000001</v>
          </cell>
          <cell r="K795">
            <v>1478</v>
          </cell>
          <cell r="L795">
            <v>105</v>
          </cell>
          <cell r="M795">
            <v>1582</v>
          </cell>
          <cell r="N795">
            <v>71.92</v>
          </cell>
        </row>
        <row r="796">
          <cell r="C796" t="str">
            <v>SHEBOYGAN CT2</v>
          </cell>
          <cell r="F796">
            <v>146.499</v>
          </cell>
          <cell r="G796">
            <v>11186</v>
          </cell>
          <cell r="H796">
            <v>6.0519999999999996</v>
          </cell>
          <cell r="I796">
            <v>12.78</v>
          </cell>
          <cell r="J796">
            <v>13.927</v>
          </cell>
          <cell r="K796">
            <v>943</v>
          </cell>
          <cell r="L796">
            <v>66</v>
          </cell>
          <cell r="M796">
            <v>1009</v>
          </cell>
          <cell r="N796">
            <v>72.459999999999994</v>
          </cell>
        </row>
        <row r="797">
          <cell r="C797" t="str">
            <v>NEW WIND-100MW</v>
          </cell>
          <cell r="D797">
            <v>2006</v>
          </cell>
          <cell r="E797" t="str">
            <v>NDT</v>
          </cell>
          <cell r="F797">
            <v>100</v>
          </cell>
          <cell r="G797">
            <v>0</v>
          </cell>
          <cell r="H797">
            <v>0</v>
          </cell>
          <cell r="I797">
            <v>12.83</v>
          </cell>
          <cell r="J797">
            <v>9.5449999999999999</v>
          </cell>
          <cell r="K797">
            <v>0</v>
          </cell>
          <cell r="L797">
            <v>335</v>
          </cell>
          <cell r="M797">
            <v>335</v>
          </cell>
          <cell r="N797">
            <v>35.049999999999997</v>
          </cell>
        </row>
        <row r="798">
          <cell r="C798" t="str">
            <v>SHARED SAVINGS</v>
          </cell>
          <cell r="D798">
            <v>2005</v>
          </cell>
          <cell r="E798" t="str">
            <v>HYDR</v>
          </cell>
          <cell r="F798">
            <v>10.295999999999999</v>
          </cell>
          <cell r="G798">
            <v>0</v>
          </cell>
          <cell r="H798">
            <v>0</v>
          </cell>
          <cell r="I798">
            <v>65.81</v>
          </cell>
          <cell r="J798">
            <v>5.0410000000000004</v>
          </cell>
          <cell r="K798">
            <v>0</v>
          </cell>
          <cell r="L798">
            <v>0</v>
          </cell>
          <cell r="M798">
            <v>0</v>
          </cell>
          <cell r="N798">
            <v>0</v>
          </cell>
        </row>
        <row r="799">
          <cell r="C799" t="str">
            <v>RES ENERGY FOCUS</v>
          </cell>
          <cell r="D799">
            <v>2005</v>
          </cell>
          <cell r="E799" t="str">
            <v>HYDR</v>
          </cell>
          <cell r="F799">
            <v>7.8150000000000004</v>
          </cell>
          <cell r="G799">
            <v>0</v>
          </cell>
          <cell r="H799">
            <v>0</v>
          </cell>
          <cell r="I799">
            <v>39.5</v>
          </cell>
          <cell r="J799">
            <v>2.2970000000000002</v>
          </cell>
          <cell r="K799">
            <v>0</v>
          </cell>
          <cell r="L799">
            <v>0</v>
          </cell>
          <cell r="M799">
            <v>0</v>
          </cell>
          <cell r="N799">
            <v>0</v>
          </cell>
        </row>
        <row r="800">
          <cell r="C800" t="str">
            <v>WPL DLC PROGRAM</v>
          </cell>
          <cell r="D800">
            <v>2005</v>
          </cell>
          <cell r="E800" t="str">
            <v>HYDR</v>
          </cell>
          <cell r="F800">
            <v>6</v>
          </cell>
          <cell r="G800">
            <v>0</v>
          </cell>
          <cell r="H800">
            <v>0</v>
          </cell>
          <cell r="I800">
            <v>4.46</v>
          </cell>
          <cell r="J800">
            <v>0.19900000000000001</v>
          </cell>
          <cell r="K800">
            <v>0</v>
          </cell>
          <cell r="L800">
            <v>0</v>
          </cell>
          <cell r="M800">
            <v>0</v>
          </cell>
          <cell r="N800">
            <v>0</v>
          </cell>
        </row>
        <row r="802">
          <cell r="C802" t="str">
            <v>KEWAUNEE</v>
          </cell>
          <cell r="E802" t="str">
            <v>MUST</v>
          </cell>
          <cell r="F802">
            <v>235.2</v>
          </cell>
          <cell r="G802">
            <v>10750</v>
          </cell>
          <cell r="H802">
            <v>0.46200000000000002</v>
          </cell>
          <cell r="I802">
            <v>96.5</v>
          </cell>
          <cell r="J802">
            <v>168.864</v>
          </cell>
          <cell r="K802">
            <v>839</v>
          </cell>
          <cell r="L802">
            <v>0</v>
          </cell>
          <cell r="M802">
            <v>839</v>
          </cell>
          <cell r="N802">
            <v>4.97</v>
          </cell>
        </row>
        <row r="803">
          <cell r="C803" t="str">
            <v>COLUMBIA 1</v>
          </cell>
          <cell r="E803" t="str">
            <v>MUST</v>
          </cell>
          <cell r="F803">
            <v>247.20500000000001</v>
          </cell>
          <cell r="G803">
            <v>10682</v>
          </cell>
          <cell r="H803">
            <v>1.331</v>
          </cell>
          <cell r="I803">
            <v>88.23</v>
          </cell>
          <cell r="J803">
            <v>162.273</v>
          </cell>
          <cell r="K803">
            <v>2306</v>
          </cell>
          <cell r="L803">
            <v>33</v>
          </cell>
          <cell r="M803">
            <v>2339</v>
          </cell>
          <cell r="N803">
            <v>14.41</v>
          </cell>
        </row>
        <row r="804">
          <cell r="C804" t="str">
            <v>COLUMBIA 2</v>
          </cell>
          <cell r="E804" t="str">
            <v>MUST</v>
          </cell>
          <cell r="F804">
            <v>247.09399999999999</v>
          </cell>
          <cell r="G804">
            <v>10545</v>
          </cell>
          <cell r="H804">
            <v>1.331</v>
          </cell>
          <cell r="I804">
            <v>86.34</v>
          </cell>
          <cell r="J804">
            <v>158.726</v>
          </cell>
          <cell r="K804">
            <v>2227</v>
          </cell>
          <cell r="L804">
            <v>2</v>
          </cell>
          <cell r="M804">
            <v>2229</v>
          </cell>
          <cell r="N804">
            <v>14.04</v>
          </cell>
        </row>
        <row r="805">
          <cell r="C805" t="str">
            <v>EDGEWATER 3</v>
          </cell>
          <cell r="F805">
            <v>76.3</v>
          </cell>
          <cell r="G805">
            <v>11082</v>
          </cell>
          <cell r="H805">
            <v>1.51</v>
          </cell>
          <cell r="I805">
            <v>69.290000000000006</v>
          </cell>
          <cell r="J805">
            <v>39.332999999999998</v>
          </cell>
          <cell r="K805">
            <v>658</v>
          </cell>
          <cell r="L805">
            <v>11</v>
          </cell>
          <cell r="M805">
            <v>670</v>
          </cell>
          <cell r="N805">
            <v>17.02</v>
          </cell>
        </row>
        <row r="806">
          <cell r="C806" t="str">
            <v>EDGEWATER 4</v>
          </cell>
          <cell r="F806">
            <v>229.99799999999999</v>
          </cell>
          <cell r="G806">
            <v>9970</v>
          </cell>
          <cell r="H806">
            <v>1.4259999999999999</v>
          </cell>
          <cell r="I806">
            <v>72.55</v>
          </cell>
          <cell r="J806">
            <v>124.146</v>
          </cell>
          <cell r="K806">
            <v>1765</v>
          </cell>
          <cell r="L806">
            <v>34</v>
          </cell>
          <cell r="M806">
            <v>1799</v>
          </cell>
          <cell r="N806">
            <v>14.49</v>
          </cell>
        </row>
        <row r="807">
          <cell r="C807" t="str">
            <v>EDGEWATER 5</v>
          </cell>
          <cell r="E807" t="str">
            <v>MUST</v>
          </cell>
          <cell r="F807">
            <v>302.79300000000001</v>
          </cell>
          <cell r="G807">
            <v>10072</v>
          </cell>
          <cell r="H807">
            <v>1.3089999999999999</v>
          </cell>
          <cell r="I807">
            <v>77.97</v>
          </cell>
          <cell r="J807">
            <v>175.649</v>
          </cell>
          <cell r="K807">
            <v>2317</v>
          </cell>
          <cell r="L807">
            <v>11</v>
          </cell>
          <cell r="M807">
            <v>2328</v>
          </cell>
          <cell r="N807">
            <v>13.25</v>
          </cell>
        </row>
        <row r="808">
          <cell r="C808" t="str">
            <v>BLACKHAWK 3</v>
          </cell>
          <cell r="F808">
            <v>24.9</v>
          </cell>
          <cell r="G808">
            <v>11928</v>
          </cell>
          <cell r="H808">
            <v>6.3529999999999998</v>
          </cell>
          <cell r="I808">
            <v>2.2799999999999998</v>
          </cell>
          <cell r="J808">
            <v>0.42199999999999999</v>
          </cell>
          <cell r="K808">
            <v>32</v>
          </cell>
          <cell r="L808">
            <v>1</v>
          </cell>
          <cell r="M808">
            <v>33</v>
          </cell>
          <cell r="N808">
            <v>77.41</v>
          </cell>
        </row>
        <row r="809">
          <cell r="C809" t="str">
            <v>BLACKHAWK 4</v>
          </cell>
          <cell r="F809">
            <v>25.1</v>
          </cell>
          <cell r="G809">
            <v>11367</v>
          </cell>
          <cell r="H809">
            <v>6.3529999999999998</v>
          </cell>
          <cell r="I809">
            <v>2.31</v>
          </cell>
          <cell r="J809">
            <v>0.432</v>
          </cell>
          <cell r="K809">
            <v>31</v>
          </cell>
          <cell r="L809">
            <v>1</v>
          </cell>
          <cell r="M809">
            <v>32</v>
          </cell>
          <cell r="N809">
            <v>73.89</v>
          </cell>
        </row>
        <row r="810">
          <cell r="C810" t="str">
            <v>ROCK RIVER 1</v>
          </cell>
          <cell r="F810">
            <v>74.7</v>
          </cell>
          <cell r="G810">
            <v>10980</v>
          </cell>
          <cell r="H810">
            <v>5.9249999999999998</v>
          </cell>
          <cell r="I810">
            <v>13.22</v>
          </cell>
          <cell r="J810">
            <v>7.3490000000000002</v>
          </cell>
          <cell r="K810">
            <v>478</v>
          </cell>
          <cell r="L810">
            <v>6</v>
          </cell>
          <cell r="M810">
            <v>484</v>
          </cell>
          <cell r="N810">
            <v>65.930000000000007</v>
          </cell>
        </row>
        <row r="811">
          <cell r="C811" t="str">
            <v>ROCK RIVER 2</v>
          </cell>
          <cell r="F811">
            <v>78.2</v>
          </cell>
          <cell r="G811">
            <v>10911</v>
          </cell>
          <cell r="H811">
            <v>5.9249999999999998</v>
          </cell>
          <cell r="I811">
            <v>14.18</v>
          </cell>
          <cell r="J811">
            <v>8.2520000000000007</v>
          </cell>
          <cell r="K811">
            <v>533</v>
          </cell>
          <cell r="L811">
            <v>7</v>
          </cell>
          <cell r="M811">
            <v>540</v>
          </cell>
          <cell r="N811">
            <v>65.47</v>
          </cell>
        </row>
        <row r="812">
          <cell r="C812" t="str">
            <v>ROCK RIVER 3</v>
          </cell>
          <cell r="F812">
            <v>25.800999999999998</v>
          </cell>
          <cell r="G812">
            <v>19616</v>
          </cell>
          <cell r="H812">
            <v>9.8569999999999993</v>
          </cell>
          <cell r="I812">
            <v>0.01</v>
          </cell>
          <cell r="J812">
            <v>2E-3</v>
          </cell>
          <cell r="K812">
            <v>0</v>
          </cell>
          <cell r="L812">
            <v>0</v>
          </cell>
          <cell r="M812">
            <v>1</v>
          </cell>
          <cell r="N812">
            <v>220.2</v>
          </cell>
        </row>
        <row r="813">
          <cell r="C813" t="str">
            <v>ROCK RIVER 4</v>
          </cell>
          <cell r="F813">
            <v>16.2</v>
          </cell>
          <cell r="G813">
            <v>15841</v>
          </cell>
          <cell r="H813">
            <v>13.161</v>
          </cell>
          <cell r="I813">
            <v>0.01</v>
          </cell>
          <cell r="J813">
            <v>1E-3</v>
          </cell>
          <cell r="K813">
            <v>0</v>
          </cell>
          <cell r="L813">
            <v>0</v>
          </cell>
          <cell r="M813">
            <v>0</v>
          </cell>
          <cell r="N813">
            <v>248.88</v>
          </cell>
        </row>
        <row r="814">
          <cell r="C814" t="str">
            <v>ROCK RIVER 5</v>
          </cell>
          <cell r="F814">
            <v>55.3</v>
          </cell>
          <cell r="G814">
            <v>13098</v>
          </cell>
          <cell r="H814">
            <v>6.5350000000000001</v>
          </cell>
          <cell r="I814">
            <v>0.03</v>
          </cell>
          <cell r="J814">
            <v>1.2999999999999999E-2</v>
          </cell>
          <cell r="K814">
            <v>1</v>
          </cell>
          <cell r="L814">
            <v>0</v>
          </cell>
          <cell r="M814">
            <v>1</v>
          </cell>
          <cell r="N814">
            <v>105.82</v>
          </cell>
        </row>
        <row r="815">
          <cell r="C815" t="str">
            <v>ROCK RIVER 6</v>
          </cell>
          <cell r="F815">
            <v>55.3</v>
          </cell>
          <cell r="G815">
            <v>13112</v>
          </cell>
          <cell r="H815">
            <v>6.5350000000000001</v>
          </cell>
          <cell r="I815">
            <v>0.02</v>
          </cell>
          <cell r="J815">
            <v>8.9999999999999993E-3</v>
          </cell>
          <cell r="K815">
            <v>1</v>
          </cell>
          <cell r="L815">
            <v>0</v>
          </cell>
          <cell r="M815">
            <v>1</v>
          </cell>
          <cell r="N815">
            <v>106.82</v>
          </cell>
        </row>
        <row r="816">
          <cell r="C816" t="str">
            <v>SHEEPSKIN 1</v>
          </cell>
          <cell r="F816">
            <v>37.6</v>
          </cell>
          <cell r="G816">
            <v>14604</v>
          </cell>
          <cell r="H816">
            <v>8.0730000000000004</v>
          </cell>
          <cell r="I816">
            <v>0.02</v>
          </cell>
          <cell r="J816">
            <v>6.0000000000000001E-3</v>
          </cell>
          <cell r="K816">
            <v>1</v>
          </cell>
          <cell r="L816">
            <v>0</v>
          </cell>
          <cell r="M816">
            <v>1</v>
          </cell>
          <cell r="N816">
            <v>143.88999999999999</v>
          </cell>
        </row>
        <row r="817">
          <cell r="C817" t="str">
            <v>SOUTH FDL 1</v>
          </cell>
          <cell r="F817">
            <v>80.400999999999996</v>
          </cell>
          <cell r="G817">
            <v>13336</v>
          </cell>
          <cell r="H817">
            <v>6.5529999999999999</v>
          </cell>
          <cell r="I817">
            <v>0.27</v>
          </cell>
          <cell r="J817">
            <v>0.16200000000000001</v>
          </cell>
          <cell r="K817">
            <v>14</v>
          </cell>
          <cell r="L817">
            <v>1</v>
          </cell>
          <cell r="M817">
            <v>15</v>
          </cell>
          <cell r="N817">
            <v>94.4</v>
          </cell>
        </row>
        <row r="818">
          <cell r="C818" t="str">
            <v>SOUTH FDL 2</v>
          </cell>
          <cell r="F818">
            <v>81.396000000000001</v>
          </cell>
          <cell r="G818">
            <v>13349</v>
          </cell>
          <cell r="H818">
            <v>6.5529999999999999</v>
          </cell>
          <cell r="I818">
            <v>0.17</v>
          </cell>
          <cell r="J818">
            <v>0.10299999999999999</v>
          </cell>
          <cell r="K818">
            <v>9</v>
          </cell>
          <cell r="L818">
            <v>1</v>
          </cell>
          <cell r="M818">
            <v>10</v>
          </cell>
          <cell r="N818">
            <v>94.49</v>
          </cell>
        </row>
        <row r="819">
          <cell r="C819" t="str">
            <v>SOUTH FDL 3</v>
          </cell>
          <cell r="F819">
            <v>76.599999999999994</v>
          </cell>
          <cell r="G819">
            <v>13352</v>
          </cell>
          <cell r="H819">
            <v>6.5529999999999999</v>
          </cell>
          <cell r="I819">
            <v>0.1</v>
          </cell>
          <cell r="J819">
            <v>0.06</v>
          </cell>
          <cell r="K819">
            <v>5</v>
          </cell>
          <cell r="L819">
            <v>0</v>
          </cell>
          <cell r="M819">
            <v>6</v>
          </cell>
          <cell r="N819">
            <v>94.51</v>
          </cell>
        </row>
        <row r="820">
          <cell r="C820" t="str">
            <v>SOUTH FDL 4</v>
          </cell>
          <cell r="F820">
            <v>73.897999999999996</v>
          </cell>
          <cell r="G820">
            <v>13357</v>
          </cell>
          <cell r="H820">
            <v>6.5529999999999999</v>
          </cell>
          <cell r="I820">
            <v>0.06</v>
          </cell>
          <cell r="J820">
            <v>3.5000000000000003E-2</v>
          </cell>
          <cell r="K820">
            <v>3</v>
          </cell>
          <cell r="L820">
            <v>0</v>
          </cell>
          <cell r="M820">
            <v>3</v>
          </cell>
          <cell r="N820">
            <v>94.54</v>
          </cell>
        </row>
        <row r="821">
          <cell r="C821" t="str">
            <v>NELSON DEWEY 1</v>
          </cell>
          <cell r="F821">
            <v>111.511</v>
          </cell>
          <cell r="G821">
            <v>10056</v>
          </cell>
          <cell r="H821">
            <v>1.2569999999999999</v>
          </cell>
          <cell r="I821">
            <v>70.05</v>
          </cell>
          <cell r="J821">
            <v>58.119</v>
          </cell>
          <cell r="K821">
            <v>734</v>
          </cell>
          <cell r="L821">
            <v>40</v>
          </cell>
          <cell r="M821">
            <v>774</v>
          </cell>
          <cell r="N821">
            <v>13.32</v>
          </cell>
        </row>
        <row r="822">
          <cell r="C822" t="str">
            <v>NELSON DEWEY 2</v>
          </cell>
          <cell r="F822">
            <v>112.002</v>
          </cell>
          <cell r="G822">
            <v>9907</v>
          </cell>
          <cell r="H822">
            <v>1.2569999999999999</v>
          </cell>
          <cell r="I822">
            <v>70.95</v>
          </cell>
          <cell r="J822">
            <v>59.119</v>
          </cell>
          <cell r="K822">
            <v>736</v>
          </cell>
          <cell r="L822">
            <v>41</v>
          </cell>
          <cell r="M822">
            <v>777</v>
          </cell>
          <cell r="N822">
            <v>13.15</v>
          </cell>
        </row>
        <row r="823">
          <cell r="C823" t="str">
            <v>WPL HYDRO</v>
          </cell>
          <cell r="E823" t="str">
            <v>MUST</v>
          </cell>
          <cell r="F823">
            <v>27</v>
          </cell>
          <cell r="G823">
            <v>0</v>
          </cell>
          <cell r="H823">
            <v>0</v>
          </cell>
          <cell r="I823">
            <v>92.14</v>
          </cell>
          <cell r="J823">
            <v>18.509</v>
          </cell>
          <cell r="K823">
            <v>0</v>
          </cell>
          <cell r="L823">
            <v>0</v>
          </cell>
          <cell r="M823">
            <v>0</v>
          </cell>
          <cell r="N823">
            <v>0</v>
          </cell>
        </row>
        <row r="824">
          <cell r="C824" t="str">
            <v>BERLIN LFG WPL</v>
          </cell>
          <cell r="F824">
            <v>2.2000000000000002</v>
          </cell>
          <cell r="G824">
            <v>15000</v>
          </cell>
          <cell r="H824">
            <v>0</v>
          </cell>
          <cell r="I824">
            <v>81.12</v>
          </cell>
          <cell r="J824">
            <v>1.3280000000000001</v>
          </cell>
          <cell r="K824">
            <v>0</v>
          </cell>
          <cell r="L824">
            <v>34</v>
          </cell>
          <cell r="M824">
            <v>34</v>
          </cell>
          <cell r="N824">
            <v>25.49</v>
          </cell>
        </row>
        <row r="825">
          <cell r="C825" t="str">
            <v>RIVERSIDE</v>
          </cell>
          <cell r="F825">
            <v>480.99099999999999</v>
          </cell>
          <cell r="G825">
            <v>7722</v>
          </cell>
          <cell r="H825">
            <v>6.0519999999999996</v>
          </cell>
          <cell r="I825">
            <v>36.770000000000003</v>
          </cell>
          <cell r="J825">
            <v>131.566</v>
          </cell>
          <cell r="K825">
            <v>6149</v>
          </cell>
          <cell r="L825">
            <v>78</v>
          </cell>
          <cell r="M825">
            <v>6227</v>
          </cell>
          <cell r="N825">
            <v>47.33</v>
          </cell>
        </row>
        <row r="826">
          <cell r="C826" t="str">
            <v>ROCKGEN #1</v>
          </cell>
          <cell r="F826">
            <v>154.5</v>
          </cell>
          <cell r="G826">
            <v>13431</v>
          </cell>
          <cell r="H826">
            <v>6.0519999999999996</v>
          </cell>
          <cell r="I826">
            <v>2.48</v>
          </cell>
          <cell r="J826">
            <v>2.8490000000000002</v>
          </cell>
          <cell r="K826">
            <v>232</v>
          </cell>
          <cell r="L826">
            <v>18</v>
          </cell>
          <cell r="M826">
            <v>249</v>
          </cell>
          <cell r="N826">
            <v>87.49</v>
          </cell>
        </row>
        <row r="827">
          <cell r="C827" t="str">
            <v>ROCKGEN #2</v>
          </cell>
          <cell r="F827">
            <v>154.5</v>
          </cell>
          <cell r="G827">
            <v>13475</v>
          </cell>
          <cell r="H827">
            <v>6.0519999999999996</v>
          </cell>
          <cell r="I827">
            <v>1.26</v>
          </cell>
          <cell r="J827">
            <v>1.4510000000000001</v>
          </cell>
          <cell r="K827">
            <v>118</v>
          </cell>
          <cell r="L827">
            <v>9</v>
          </cell>
          <cell r="M827">
            <v>127</v>
          </cell>
          <cell r="N827">
            <v>87.75</v>
          </cell>
        </row>
        <row r="828">
          <cell r="C828" t="str">
            <v>ROCKGEN #3</v>
          </cell>
          <cell r="F828">
            <v>154.5</v>
          </cell>
          <cell r="G828">
            <v>13541</v>
          </cell>
          <cell r="H828">
            <v>6.0519999999999996</v>
          </cell>
          <cell r="I828">
            <v>0.59</v>
          </cell>
          <cell r="J828">
            <v>0.68</v>
          </cell>
          <cell r="K828">
            <v>56</v>
          </cell>
          <cell r="L828">
            <v>4</v>
          </cell>
          <cell r="M828">
            <v>60</v>
          </cell>
          <cell r="N828">
            <v>88.15</v>
          </cell>
        </row>
        <row r="829">
          <cell r="C829" t="str">
            <v>BASE 100 ECONOMY</v>
          </cell>
          <cell r="F829">
            <v>100</v>
          </cell>
          <cell r="G829">
            <v>10000</v>
          </cell>
          <cell r="H829">
            <v>4.25</v>
          </cell>
          <cell r="I829">
            <v>91.76</v>
          </cell>
          <cell r="J829">
            <v>68.27</v>
          </cell>
          <cell r="K829">
            <v>2902</v>
          </cell>
          <cell r="L829">
            <v>0</v>
          </cell>
          <cell r="M829">
            <v>2902</v>
          </cell>
          <cell r="N829">
            <v>42.5</v>
          </cell>
        </row>
        <row r="830">
          <cell r="C830" t="str">
            <v>OTHR 500 ECONOMY</v>
          </cell>
          <cell r="F830">
            <v>400</v>
          </cell>
          <cell r="G830">
            <v>10000</v>
          </cell>
          <cell r="H830">
            <v>4.25</v>
          </cell>
          <cell r="I830">
            <v>67.86</v>
          </cell>
          <cell r="J830">
            <v>201.95400000000001</v>
          </cell>
          <cell r="K830">
            <v>8584</v>
          </cell>
          <cell r="L830">
            <v>0</v>
          </cell>
          <cell r="M830">
            <v>8584</v>
          </cell>
          <cell r="N830">
            <v>42.5</v>
          </cell>
        </row>
        <row r="831">
          <cell r="C831" t="str">
            <v>FPL WIND PURCH</v>
          </cell>
          <cell r="E831" t="str">
            <v>NDT</v>
          </cell>
          <cell r="F831">
            <v>80</v>
          </cell>
          <cell r="G831">
            <v>0</v>
          </cell>
          <cell r="H831">
            <v>0</v>
          </cell>
          <cell r="I831">
            <v>13.27</v>
          </cell>
          <cell r="J831">
            <v>7.8959999999999999</v>
          </cell>
          <cell r="K831">
            <v>0</v>
          </cell>
          <cell r="L831">
            <v>0</v>
          </cell>
          <cell r="M831">
            <v>0</v>
          </cell>
          <cell r="N831">
            <v>0</v>
          </cell>
        </row>
        <row r="832">
          <cell r="C832" t="str">
            <v>INV WIND PURCH</v>
          </cell>
          <cell r="E832" t="str">
            <v>NDT</v>
          </cell>
          <cell r="F832">
            <v>50</v>
          </cell>
          <cell r="G832">
            <v>0</v>
          </cell>
          <cell r="H832">
            <v>0</v>
          </cell>
          <cell r="I832">
            <v>17.36</v>
          </cell>
          <cell r="J832">
            <v>6.4569999999999999</v>
          </cell>
          <cell r="K832">
            <v>0</v>
          </cell>
          <cell r="L832">
            <v>0</v>
          </cell>
          <cell r="M832">
            <v>0</v>
          </cell>
          <cell r="N832">
            <v>0</v>
          </cell>
        </row>
        <row r="833">
          <cell r="C833" t="str">
            <v>JANESVILLE PURCH</v>
          </cell>
          <cell r="F833">
            <v>1.6</v>
          </cell>
          <cell r="G833">
            <v>15000</v>
          </cell>
          <cell r="H833">
            <v>0</v>
          </cell>
          <cell r="I833">
            <v>80.95</v>
          </cell>
          <cell r="J833">
            <v>0.96399999999999997</v>
          </cell>
          <cell r="K833">
            <v>0</v>
          </cell>
          <cell r="L833">
            <v>38</v>
          </cell>
          <cell r="M833">
            <v>38</v>
          </cell>
          <cell r="N833">
            <v>39.840000000000003</v>
          </cell>
        </row>
        <row r="834">
          <cell r="C834" t="str">
            <v>MINERGY    PURCH</v>
          </cell>
          <cell r="F834">
            <v>6.5</v>
          </cell>
          <cell r="G834">
            <v>15000</v>
          </cell>
          <cell r="H834">
            <v>0</v>
          </cell>
          <cell r="I834">
            <v>80.91</v>
          </cell>
          <cell r="J834">
            <v>3.9129999999999998</v>
          </cell>
          <cell r="K834">
            <v>0</v>
          </cell>
          <cell r="L834">
            <v>156</v>
          </cell>
          <cell r="M834">
            <v>156</v>
          </cell>
          <cell r="N834">
            <v>39.840000000000003</v>
          </cell>
        </row>
        <row r="835">
          <cell r="C835" t="str">
            <v>SUPERIOR   PURCH</v>
          </cell>
          <cell r="F835">
            <v>2.2000000000000002</v>
          </cell>
          <cell r="G835">
            <v>15000</v>
          </cell>
          <cell r="H835">
            <v>0</v>
          </cell>
          <cell r="I835">
            <v>80.84</v>
          </cell>
          <cell r="J835">
            <v>1.323</v>
          </cell>
          <cell r="K835">
            <v>0</v>
          </cell>
          <cell r="L835">
            <v>53</v>
          </cell>
          <cell r="M835">
            <v>53</v>
          </cell>
          <cell r="N835">
            <v>39.840000000000003</v>
          </cell>
        </row>
        <row r="836">
          <cell r="C836" t="str">
            <v>WRPC HYDRO PURCH</v>
          </cell>
          <cell r="E836" t="str">
            <v>MUST</v>
          </cell>
          <cell r="F836">
            <v>13.2</v>
          </cell>
          <cell r="G836">
            <v>0</v>
          </cell>
          <cell r="H836">
            <v>0</v>
          </cell>
          <cell r="I836">
            <v>44.83</v>
          </cell>
          <cell r="J836">
            <v>4.4029999999999996</v>
          </cell>
          <cell r="K836">
            <v>0</v>
          </cell>
          <cell r="L836">
            <v>0</v>
          </cell>
          <cell r="M836">
            <v>0</v>
          </cell>
          <cell r="N836">
            <v>0</v>
          </cell>
        </row>
        <row r="837">
          <cell r="C837" t="str">
            <v>SHEBOYGAN CT1</v>
          </cell>
          <cell r="F837">
            <v>146.499</v>
          </cell>
          <cell r="G837">
            <v>11202</v>
          </cell>
          <cell r="H837">
            <v>6.0519999999999996</v>
          </cell>
          <cell r="I837">
            <v>9.1999999999999993</v>
          </cell>
          <cell r="J837">
            <v>10.028</v>
          </cell>
          <cell r="K837">
            <v>680</v>
          </cell>
          <cell r="L837">
            <v>48</v>
          </cell>
          <cell r="M837">
            <v>728</v>
          </cell>
          <cell r="N837">
            <v>72.56</v>
          </cell>
        </row>
        <row r="838">
          <cell r="C838" t="str">
            <v>SHEBOYGAN CT2</v>
          </cell>
          <cell r="F838">
            <v>146.499</v>
          </cell>
          <cell r="G838">
            <v>11254</v>
          </cell>
          <cell r="H838">
            <v>6.0519999999999996</v>
          </cell>
          <cell r="I838">
            <v>5.3</v>
          </cell>
          <cell r="J838">
            <v>5.78</v>
          </cell>
          <cell r="K838">
            <v>394</v>
          </cell>
          <cell r="L838">
            <v>28</v>
          </cell>
          <cell r="M838">
            <v>421</v>
          </cell>
          <cell r="N838">
            <v>72.88</v>
          </cell>
        </row>
        <row r="839">
          <cell r="C839" t="str">
            <v>NEW WIND-100MW</v>
          </cell>
          <cell r="D839">
            <v>2006</v>
          </cell>
          <cell r="E839" t="str">
            <v>NDT</v>
          </cell>
          <cell r="F839">
            <v>100</v>
          </cell>
          <cell r="G839">
            <v>0</v>
          </cell>
          <cell r="H839">
            <v>0</v>
          </cell>
          <cell r="I839">
            <v>13.27</v>
          </cell>
          <cell r="J839">
            <v>9.8699999999999992</v>
          </cell>
          <cell r="K839">
            <v>0</v>
          </cell>
          <cell r="L839">
            <v>346</v>
          </cell>
          <cell r="M839">
            <v>346</v>
          </cell>
          <cell r="N839">
            <v>35.049999999999997</v>
          </cell>
        </row>
        <row r="840">
          <cell r="C840" t="str">
            <v>SHARED SAVINGS</v>
          </cell>
          <cell r="D840">
            <v>2005</v>
          </cell>
          <cell r="E840" t="str">
            <v>HYDR</v>
          </cell>
          <cell r="F840">
            <v>10.295999999999999</v>
          </cell>
          <cell r="G840">
            <v>0</v>
          </cell>
          <cell r="H840">
            <v>0</v>
          </cell>
          <cell r="I840">
            <v>65.81</v>
          </cell>
          <cell r="J840">
            <v>5.0410000000000004</v>
          </cell>
          <cell r="K840">
            <v>0</v>
          </cell>
          <cell r="L840">
            <v>0</v>
          </cell>
          <cell r="M840">
            <v>0</v>
          </cell>
          <cell r="N840">
            <v>0</v>
          </cell>
        </row>
        <row r="841">
          <cell r="C841" t="str">
            <v>RES ENERGY FOCUS</v>
          </cell>
          <cell r="D841">
            <v>2005</v>
          </cell>
          <cell r="E841" t="str">
            <v>HYDR</v>
          </cell>
          <cell r="F841">
            <v>7.8150000000000004</v>
          </cell>
          <cell r="G841">
            <v>0</v>
          </cell>
          <cell r="H841">
            <v>0</v>
          </cell>
          <cell r="I841">
            <v>39.5</v>
          </cell>
          <cell r="J841">
            <v>2.2970000000000002</v>
          </cell>
          <cell r="K841">
            <v>0</v>
          </cell>
          <cell r="L841">
            <v>0</v>
          </cell>
          <cell r="M841">
            <v>0</v>
          </cell>
          <cell r="N841">
            <v>0</v>
          </cell>
        </row>
        <row r="842">
          <cell r="C842" t="str">
            <v>WPL DLC PROGRAM</v>
          </cell>
          <cell r="D842">
            <v>2005</v>
          </cell>
          <cell r="E842" t="str">
            <v>HYDR</v>
          </cell>
          <cell r="F842">
            <v>6</v>
          </cell>
          <cell r="G842">
            <v>0</v>
          </cell>
          <cell r="H842">
            <v>0</v>
          </cell>
          <cell r="I842">
            <v>4.46</v>
          </cell>
          <cell r="J842">
            <v>0.19900000000000001</v>
          </cell>
          <cell r="K842">
            <v>0</v>
          </cell>
          <cell r="L842">
            <v>0</v>
          </cell>
          <cell r="M842">
            <v>0</v>
          </cell>
          <cell r="N842">
            <v>0</v>
          </cell>
        </row>
        <row r="844">
          <cell r="C844" t="str">
            <v>KEWAUNEE</v>
          </cell>
          <cell r="E844" t="str">
            <v>MUST</v>
          </cell>
          <cell r="F844">
            <v>235.2</v>
          </cell>
          <cell r="G844">
            <v>10750</v>
          </cell>
          <cell r="H844">
            <v>0.46200000000000002</v>
          </cell>
          <cell r="I844">
            <v>96.5</v>
          </cell>
          <cell r="J844">
            <v>163.417</v>
          </cell>
          <cell r="K844">
            <v>812</v>
          </cell>
          <cell r="L844">
            <v>0</v>
          </cell>
          <cell r="M844">
            <v>812</v>
          </cell>
          <cell r="N844">
            <v>4.97</v>
          </cell>
        </row>
        <row r="845">
          <cell r="C845" t="str">
            <v>COLUMBIA 1</v>
          </cell>
          <cell r="E845" t="str">
            <v>MUST</v>
          </cell>
          <cell r="F845">
            <v>247.20500000000001</v>
          </cell>
          <cell r="G845">
            <v>10682</v>
          </cell>
          <cell r="H845">
            <v>1.331</v>
          </cell>
          <cell r="I845">
            <v>88.23</v>
          </cell>
          <cell r="J845">
            <v>157.03800000000001</v>
          </cell>
          <cell r="K845">
            <v>2232</v>
          </cell>
          <cell r="L845">
            <v>32</v>
          </cell>
          <cell r="M845">
            <v>2264</v>
          </cell>
          <cell r="N845">
            <v>14.41</v>
          </cell>
        </row>
        <row r="846">
          <cell r="C846" t="str">
            <v>COLUMBIA 2</v>
          </cell>
          <cell r="E846" t="str">
            <v>MUST</v>
          </cell>
          <cell r="F846">
            <v>247.09399999999999</v>
          </cell>
          <cell r="G846">
            <v>10545</v>
          </cell>
          <cell r="H846">
            <v>1.331</v>
          </cell>
          <cell r="I846">
            <v>86.31</v>
          </cell>
          <cell r="J846">
            <v>153.548</v>
          </cell>
          <cell r="K846">
            <v>2154</v>
          </cell>
          <cell r="L846">
            <v>2</v>
          </cell>
          <cell r="M846">
            <v>2156</v>
          </cell>
          <cell r="N846">
            <v>14.04</v>
          </cell>
        </row>
        <row r="847">
          <cell r="C847" t="str">
            <v>EDGEWATER 3</v>
          </cell>
          <cell r="F847">
            <v>76.3</v>
          </cell>
          <cell r="G847">
            <v>11088</v>
          </cell>
          <cell r="H847">
            <v>1.51</v>
          </cell>
          <cell r="I847">
            <v>63.4</v>
          </cell>
          <cell r="J847">
            <v>34.831000000000003</v>
          </cell>
          <cell r="K847">
            <v>583</v>
          </cell>
          <cell r="L847">
            <v>10</v>
          </cell>
          <cell r="M847">
            <v>593</v>
          </cell>
          <cell r="N847">
            <v>17.03</v>
          </cell>
        </row>
        <row r="848">
          <cell r="C848" t="str">
            <v>EDGEWATER 4</v>
          </cell>
          <cell r="F848">
            <v>229.99799999999999</v>
          </cell>
          <cell r="G848">
            <v>9973</v>
          </cell>
          <cell r="H848">
            <v>1.4259999999999999</v>
          </cell>
          <cell r="I848">
            <v>71.94</v>
          </cell>
          <cell r="J848">
            <v>119.131</v>
          </cell>
          <cell r="K848">
            <v>1694</v>
          </cell>
          <cell r="L848">
            <v>33</v>
          </cell>
          <cell r="M848">
            <v>1727</v>
          </cell>
          <cell r="N848">
            <v>14.49</v>
          </cell>
        </row>
        <row r="849">
          <cell r="C849" t="str">
            <v>EDGEWATER 5</v>
          </cell>
          <cell r="E849" t="str">
            <v>MUST</v>
          </cell>
          <cell r="F849">
            <v>302.79300000000001</v>
          </cell>
          <cell r="G849">
            <v>10072</v>
          </cell>
          <cell r="H849">
            <v>1.3089999999999999</v>
          </cell>
          <cell r="I849">
            <v>77.97</v>
          </cell>
          <cell r="J849">
            <v>169.983</v>
          </cell>
          <cell r="K849">
            <v>2242</v>
          </cell>
          <cell r="L849">
            <v>11</v>
          </cell>
          <cell r="M849">
            <v>2253</v>
          </cell>
          <cell r="N849">
            <v>13.25</v>
          </cell>
        </row>
        <row r="850">
          <cell r="C850" t="str">
            <v>BLACKHAWK 3</v>
          </cell>
          <cell r="F850">
            <v>24.9</v>
          </cell>
          <cell r="G850">
            <v>11874</v>
          </cell>
          <cell r="H850">
            <v>6.3529999999999998</v>
          </cell>
          <cell r="I850">
            <v>0.52</v>
          </cell>
          <cell r="J850">
            <v>9.2999999999999999E-2</v>
          </cell>
          <cell r="K850">
            <v>7</v>
          </cell>
          <cell r="L850">
            <v>0</v>
          </cell>
          <cell r="M850">
            <v>7</v>
          </cell>
          <cell r="N850">
            <v>77.069999999999993</v>
          </cell>
        </row>
        <row r="851">
          <cell r="C851" t="str">
            <v>BLACKHAWK 4</v>
          </cell>
          <cell r="F851">
            <v>25.1</v>
          </cell>
          <cell r="G851">
            <v>11355</v>
          </cell>
          <cell r="H851">
            <v>6.3529999999999998</v>
          </cell>
          <cell r="I851">
            <v>0.54</v>
          </cell>
          <cell r="J851">
            <v>9.8000000000000004E-2</v>
          </cell>
          <cell r="K851">
            <v>7</v>
          </cell>
          <cell r="L851">
            <v>0</v>
          </cell>
          <cell r="M851">
            <v>7</v>
          </cell>
          <cell r="N851">
            <v>73.819999999999993</v>
          </cell>
        </row>
        <row r="852">
          <cell r="C852" t="str">
            <v>ROCK RIVER 1</v>
          </cell>
          <cell r="F852">
            <v>74.7</v>
          </cell>
          <cell r="G852">
            <v>11036</v>
          </cell>
          <cell r="H852">
            <v>5.9249999999999998</v>
          </cell>
          <cell r="I852">
            <v>5.63</v>
          </cell>
          <cell r="J852">
            <v>3.03</v>
          </cell>
          <cell r="K852">
            <v>198</v>
          </cell>
          <cell r="L852">
            <v>3</v>
          </cell>
          <cell r="M852">
            <v>201</v>
          </cell>
          <cell r="N852">
            <v>66.260000000000005</v>
          </cell>
        </row>
        <row r="853">
          <cell r="C853" t="str">
            <v>ROCK RIVER 2</v>
          </cell>
          <cell r="F853">
            <v>78.2</v>
          </cell>
          <cell r="G853">
            <v>10924</v>
          </cell>
          <cell r="H853">
            <v>5.9249999999999998</v>
          </cell>
          <cell r="I853">
            <v>6.37</v>
          </cell>
          <cell r="J853">
            <v>3.5880000000000001</v>
          </cell>
          <cell r="K853">
            <v>232</v>
          </cell>
          <cell r="L853">
            <v>3</v>
          </cell>
          <cell r="M853">
            <v>235</v>
          </cell>
          <cell r="N853">
            <v>65.540000000000006</v>
          </cell>
        </row>
        <row r="854">
          <cell r="C854" t="str">
            <v>ROCK RIVER 3</v>
          </cell>
          <cell r="F854">
            <v>25.800999999999998</v>
          </cell>
          <cell r="G854">
            <v>0</v>
          </cell>
          <cell r="H854">
            <v>0</v>
          </cell>
          <cell r="I854">
            <v>0</v>
          </cell>
          <cell r="J854">
            <v>0</v>
          </cell>
          <cell r="K854">
            <v>0</v>
          </cell>
          <cell r="L854">
            <v>0</v>
          </cell>
          <cell r="M854">
            <v>0</v>
          </cell>
          <cell r="N854">
            <v>0</v>
          </cell>
        </row>
        <row r="855">
          <cell r="C855" t="str">
            <v>ROCK RIVER 4</v>
          </cell>
          <cell r="F855">
            <v>16.2</v>
          </cell>
          <cell r="G855">
            <v>0</v>
          </cell>
          <cell r="H855">
            <v>0</v>
          </cell>
          <cell r="I855">
            <v>0</v>
          </cell>
          <cell r="J855">
            <v>0</v>
          </cell>
          <cell r="K855">
            <v>0</v>
          </cell>
          <cell r="L855">
            <v>0</v>
          </cell>
          <cell r="M855">
            <v>0</v>
          </cell>
          <cell r="N855">
            <v>0</v>
          </cell>
        </row>
        <row r="856">
          <cell r="C856" t="str">
            <v>ROCK RIVER 5</v>
          </cell>
          <cell r="F856">
            <v>55.3</v>
          </cell>
          <cell r="G856">
            <v>0</v>
          </cell>
          <cell r="H856">
            <v>0</v>
          </cell>
          <cell r="I856">
            <v>0</v>
          </cell>
          <cell r="J856">
            <v>0</v>
          </cell>
          <cell r="K856">
            <v>0</v>
          </cell>
          <cell r="L856">
            <v>0</v>
          </cell>
          <cell r="M856">
            <v>0</v>
          </cell>
          <cell r="N856">
            <v>0</v>
          </cell>
        </row>
        <row r="857">
          <cell r="C857" t="str">
            <v>ROCK RIVER 6</v>
          </cell>
          <cell r="F857">
            <v>55.3</v>
          </cell>
          <cell r="G857">
            <v>0</v>
          </cell>
          <cell r="H857">
            <v>0</v>
          </cell>
          <cell r="I857">
            <v>0</v>
          </cell>
          <cell r="J857">
            <v>0</v>
          </cell>
          <cell r="K857">
            <v>0</v>
          </cell>
          <cell r="L857">
            <v>0</v>
          </cell>
          <cell r="M857">
            <v>0</v>
          </cell>
          <cell r="N857">
            <v>0</v>
          </cell>
        </row>
        <row r="858">
          <cell r="C858" t="str">
            <v>SHEEPSKIN 1</v>
          </cell>
          <cell r="F858">
            <v>37.6</v>
          </cell>
          <cell r="G858">
            <v>0</v>
          </cell>
          <cell r="H858">
            <v>0</v>
          </cell>
          <cell r="I858">
            <v>0</v>
          </cell>
          <cell r="J858">
            <v>0</v>
          </cell>
          <cell r="K858">
            <v>0</v>
          </cell>
          <cell r="L858">
            <v>0</v>
          </cell>
          <cell r="M858">
            <v>0</v>
          </cell>
          <cell r="N858">
            <v>0</v>
          </cell>
        </row>
        <row r="859">
          <cell r="C859" t="str">
            <v>SOUTH FDL 1</v>
          </cell>
          <cell r="F859">
            <v>80.400999999999996</v>
          </cell>
          <cell r="G859">
            <v>13436</v>
          </cell>
          <cell r="H859">
            <v>6.5529999999999999</v>
          </cell>
          <cell r="I859">
            <v>0.03</v>
          </cell>
          <cell r="J859">
            <v>1.4999999999999999E-2</v>
          </cell>
          <cell r="K859">
            <v>1</v>
          </cell>
          <cell r="L859">
            <v>0</v>
          </cell>
          <cell r="M859">
            <v>1</v>
          </cell>
          <cell r="N859">
            <v>95.06</v>
          </cell>
        </row>
        <row r="860">
          <cell r="C860" t="str">
            <v>SOUTH FDL 2</v>
          </cell>
          <cell r="F860">
            <v>81.396000000000001</v>
          </cell>
          <cell r="G860">
            <v>13488</v>
          </cell>
          <cell r="H860">
            <v>6.5529999999999999</v>
          </cell>
          <cell r="I860">
            <v>0.01</v>
          </cell>
          <cell r="J860">
            <v>7.0000000000000001E-3</v>
          </cell>
          <cell r="K860">
            <v>1</v>
          </cell>
          <cell r="L860">
            <v>0</v>
          </cell>
          <cell r="M860">
            <v>1</v>
          </cell>
          <cell r="N860">
            <v>95.4</v>
          </cell>
        </row>
        <row r="861">
          <cell r="C861" t="str">
            <v>SOUTH FDL 3</v>
          </cell>
          <cell r="F861">
            <v>76.599999999999994</v>
          </cell>
          <cell r="G861">
            <v>13774</v>
          </cell>
          <cell r="H861">
            <v>6.5529999999999999</v>
          </cell>
          <cell r="I861">
            <v>0</v>
          </cell>
          <cell r="J861">
            <v>2E-3</v>
          </cell>
          <cell r="K861">
            <v>0</v>
          </cell>
          <cell r="L861">
            <v>0</v>
          </cell>
          <cell r="M861">
            <v>0</v>
          </cell>
          <cell r="N861">
            <v>97.27</v>
          </cell>
        </row>
        <row r="862">
          <cell r="C862" t="str">
            <v>SOUTH FDL 4</v>
          </cell>
          <cell r="F862">
            <v>73.897999999999996</v>
          </cell>
          <cell r="G862">
            <v>0</v>
          </cell>
          <cell r="H862">
            <v>0</v>
          </cell>
          <cell r="I862">
            <v>0</v>
          </cell>
          <cell r="J862">
            <v>0</v>
          </cell>
          <cell r="K862">
            <v>0</v>
          </cell>
          <cell r="L862">
            <v>0</v>
          </cell>
          <cell r="M862">
            <v>0</v>
          </cell>
          <cell r="N862">
            <v>0</v>
          </cell>
        </row>
        <row r="863">
          <cell r="C863" t="str">
            <v>NELSON DEWEY 1</v>
          </cell>
          <cell r="F863">
            <v>111.511</v>
          </cell>
          <cell r="G863">
            <v>10064</v>
          </cell>
          <cell r="H863">
            <v>1.2569999999999999</v>
          </cell>
          <cell r="I863">
            <v>66.53</v>
          </cell>
          <cell r="J863">
            <v>53.412999999999997</v>
          </cell>
          <cell r="K863">
            <v>676</v>
          </cell>
          <cell r="L863">
            <v>36</v>
          </cell>
          <cell r="M863">
            <v>712</v>
          </cell>
          <cell r="N863">
            <v>13.33</v>
          </cell>
        </row>
        <row r="864">
          <cell r="C864" t="str">
            <v>NELSON DEWEY 2</v>
          </cell>
          <cell r="F864">
            <v>112.002</v>
          </cell>
          <cell r="G864">
            <v>9908</v>
          </cell>
          <cell r="H864">
            <v>1.2569999999999999</v>
          </cell>
          <cell r="I864">
            <v>68.75</v>
          </cell>
          <cell r="J864">
            <v>55.442</v>
          </cell>
          <cell r="K864">
            <v>690</v>
          </cell>
          <cell r="L864">
            <v>39</v>
          </cell>
          <cell r="M864">
            <v>729</v>
          </cell>
          <cell r="N864">
            <v>13.15</v>
          </cell>
        </row>
        <row r="865">
          <cell r="C865" t="str">
            <v>WPL HYDRO</v>
          </cell>
          <cell r="E865" t="str">
            <v>MUST</v>
          </cell>
          <cell r="F865">
            <v>27</v>
          </cell>
          <cell r="G865">
            <v>0</v>
          </cell>
          <cell r="H865">
            <v>0</v>
          </cell>
          <cell r="I865">
            <v>92.14</v>
          </cell>
          <cell r="J865">
            <v>17.911999999999999</v>
          </cell>
          <cell r="K865">
            <v>0</v>
          </cell>
          <cell r="L865">
            <v>0</v>
          </cell>
          <cell r="M865">
            <v>0</v>
          </cell>
          <cell r="N865">
            <v>0</v>
          </cell>
        </row>
        <row r="866">
          <cell r="C866" t="str">
            <v>BERLIN LFG WPL</v>
          </cell>
          <cell r="F866">
            <v>2.2000000000000002</v>
          </cell>
          <cell r="G866">
            <v>15000</v>
          </cell>
          <cell r="H866">
            <v>0</v>
          </cell>
          <cell r="I866">
            <v>73.180000000000007</v>
          </cell>
          <cell r="J866">
            <v>1.159</v>
          </cell>
          <cell r="K866">
            <v>0</v>
          </cell>
          <cell r="L866">
            <v>30</v>
          </cell>
          <cell r="M866">
            <v>30</v>
          </cell>
          <cell r="N866">
            <v>25.49</v>
          </cell>
        </row>
        <row r="867">
          <cell r="C867" t="str">
            <v>RIVERSIDE</v>
          </cell>
          <cell r="F867">
            <v>480.99099999999999</v>
          </cell>
          <cell r="G867">
            <v>7875</v>
          </cell>
          <cell r="H867">
            <v>6.0519999999999996</v>
          </cell>
          <cell r="I867">
            <v>26.48</v>
          </cell>
          <cell r="J867">
            <v>91.710999999999999</v>
          </cell>
          <cell r="K867">
            <v>4371</v>
          </cell>
          <cell r="L867">
            <v>54</v>
          </cell>
          <cell r="M867">
            <v>4425</v>
          </cell>
          <cell r="N867">
            <v>48.25</v>
          </cell>
        </row>
        <row r="868">
          <cell r="C868" t="str">
            <v>ROCKGEN #1</v>
          </cell>
          <cell r="F868">
            <v>154.5</v>
          </cell>
          <cell r="G868">
            <v>13516</v>
          </cell>
          <cell r="H868">
            <v>6.0519999999999996</v>
          </cell>
          <cell r="I868">
            <v>0.54</v>
          </cell>
          <cell r="J868">
            <v>0.60499999999999998</v>
          </cell>
          <cell r="K868">
            <v>50</v>
          </cell>
          <cell r="L868">
            <v>4</v>
          </cell>
          <cell r="M868">
            <v>53</v>
          </cell>
          <cell r="N868">
            <v>88</v>
          </cell>
        </row>
        <row r="869">
          <cell r="C869" t="str">
            <v>ROCKGEN #2</v>
          </cell>
          <cell r="F869">
            <v>154.5</v>
          </cell>
          <cell r="G869">
            <v>13615</v>
          </cell>
          <cell r="H869">
            <v>6.0519999999999996</v>
          </cell>
          <cell r="I869">
            <v>0.24</v>
          </cell>
          <cell r="J869">
            <v>0.26400000000000001</v>
          </cell>
          <cell r="K869">
            <v>22</v>
          </cell>
          <cell r="L869">
            <v>2</v>
          </cell>
          <cell r="M869">
            <v>23</v>
          </cell>
          <cell r="N869">
            <v>88.6</v>
          </cell>
        </row>
        <row r="870">
          <cell r="C870" t="str">
            <v>ROCKGEN #3</v>
          </cell>
          <cell r="F870">
            <v>154.5</v>
          </cell>
          <cell r="G870">
            <v>13789</v>
          </cell>
          <cell r="H870">
            <v>6.0519999999999996</v>
          </cell>
          <cell r="I870">
            <v>0.08</v>
          </cell>
          <cell r="J870">
            <v>9.2999999999999999E-2</v>
          </cell>
          <cell r="K870">
            <v>8</v>
          </cell>
          <cell r="L870">
            <v>1</v>
          </cell>
          <cell r="M870">
            <v>8</v>
          </cell>
          <cell r="N870">
            <v>89.65</v>
          </cell>
        </row>
        <row r="871">
          <cell r="C871" t="str">
            <v>BASE 100 ECONOMY</v>
          </cell>
          <cell r="F871">
            <v>100</v>
          </cell>
          <cell r="G871">
            <v>10000</v>
          </cell>
          <cell r="H871">
            <v>3.0910000000000002</v>
          </cell>
          <cell r="I871">
            <v>81.47</v>
          </cell>
          <cell r="J871">
            <v>58.658999999999999</v>
          </cell>
          <cell r="K871">
            <v>1813</v>
          </cell>
          <cell r="L871">
            <v>0</v>
          </cell>
          <cell r="M871">
            <v>1813</v>
          </cell>
          <cell r="N871">
            <v>30.91</v>
          </cell>
        </row>
        <row r="872">
          <cell r="C872" t="str">
            <v>OTHR 500 ECONOMY</v>
          </cell>
          <cell r="F872">
            <v>300</v>
          </cell>
          <cell r="G872">
            <v>10000</v>
          </cell>
          <cell r="H872">
            <v>3.0910000000000002</v>
          </cell>
          <cell r="I872">
            <v>57.91</v>
          </cell>
          <cell r="J872">
            <v>125.087</v>
          </cell>
          <cell r="K872">
            <v>3867</v>
          </cell>
          <cell r="L872">
            <v>0</v>
          </cell>
          <cell r="M872">
            <v>3867</v>
          </cell>
          <cell r="N872">
            <v>30.91</v>
          </cell>
        </row>
        <row r="873">
          <cell r="C873" t="str">
            <v>FPL WIND PURCH</v>
          </cell>
          <cell r="E873" t="str">
            <v>NDT</v>
          </cell>
          <cell r="F873">
            <v>80</v>
          </cell>
          <cell r="G873">
            <v>0</v>
          </cell>
          <cell r="H873">
            <v>0</v>
          </cell>
          <cell r="I873">
            <v>26.11</v>
          </cell>
          <cell r="J873">
            <v>15.037000000000001</v>
          </cell>
          <cell r="K873">
            <v>0</v>
          </cell>
          <cell r="L873">
            <v>0</v>
          </cell>
          <cell r="M873">
            <v>0</v>
          </cell>
          <cell r="N873">
            <v>0</v>
          </cell>
        </row>
        <row r="874">
          <cell r="C874" t="str">
            <v>INV WIND PURCH</v>
          </cell>
          <cell r="E874" t="str">
            <v>NDT</v>
          </cell>
          <cell r="F874">
            <v>50</v>
          </cell>
          <cell r="G874">
            <v>0</v>
          </cell>
          <cell r="H874">
            <v>0</v>
          </cell>
          <cell r="I874">
            <v>35.25</v>
          </cell>
          <cell r="J874">
            <v>12.688000000000001</v>
          </cell>
          <cell r="K874">
            <v>0</v>
          </cell>
          <cell r="L874">
            <v>0</v>
          </cell>
          <cell r="M874">
            <v>0</v>
          </cell>
          <cell r="N874">
            <v>0</v>
          </cell>
        </row>
        <row r="875">
          <cell r="C875" t="str">
            <v>JANESVILLE PURCH</v>
          </cell>
          <cell r="F875">
            <v>1.6</v>
          </cell>
          <cell r="G875">
            <v>15000</v>
          </cell>
          <cell r="H875">
            <v>0</v>
          </cell>
          <cell r="I875">
            <v>43.94</v>
          </cell>
          <cell r="J875">
            <v>0.50600000000000001</v>
          </cell>
          <cell r="K875">
            <v>0</v>
          </cell>
          <cell r="L875">
            <v>20</v>
          </cell>
          <cell r="M875">
            <v>20</v>
          </cell>
          <cell r="N875">
            <v>39.840000000000003</v>
          </cell>
        </row>
        <row r="876">
          <cell r="C876" t="str">
            <v>MINERGY    PURCH</v>
          </cell>
          <cell r="F876">
            <v>6.5</v>
          </cell>
          <cell r="G876">
            <v>15000</v>
          </cell>
          <cell r="H876">
            <v>0</v>
          </cell>
          <cell r="I876">
            <v>43.94</v>
          </cell>
          <cell r="J876">
            <v>2.056</v>
          </cell>
          <cell r="K876">
            <v>0</v>
          </cell>
          <cell r="L876">
            <v>82</v>
          </cell>
          <cell r="M876">
            <v>82</v>
          </cell>
          <cell r="N876">
            <v>39.840000000000003</v>
          </cell>
        </row>
        <row r="877">
          <cell r="C877" t="str">
            <v>SUPERIOR   PURCH</v>
          </cell>
          <cell r="F877">
            <v>2.2000000000000002</v>
          </cell>
          <cell r="G877">
            <v>15000</v>
          </cell>
          <cell r="H877">
            <v>0</v>
          </cell>
          <cell r="I877">
            <v>43.43</v>
          </cell>
          <cell r="J877">
            <v>0.68799999999999994</v>
          </cell>
          <cell r="K877">
            <v>0</v>
          </cell>
          <cell r="L877">
            <v>27</v>
          </cell>
          <cell r="M877">
            <v>27</v>
          </cell>
          <cell r="N877">
            <v>39.840000000000003</v>
          </cell>
        </row>
        <row r="878">
          <cell r="C878" t="str">
            <v>WRPC HYDRO PURCH</v>
          </cell>
          <cell r="E878" t="str">
            <v>MUST</v>
          </cell>
          <cell r="F878">
            <v>13.2</v>
          </cell>
          <cell r="G878">
            <v>0</v>
          </cell>
          <cell r="H878">
            <v>0</v>
          </cell>
          <cell r="I878">
            <v>44.83</v>
          </cell>
          <cell r="J878">
            <v>4.2610000000000001</v>
          </cell>
          <cell r="K878">
            <v>0</v>
          </cell>
          <cell r="L878">
            <v>0</v>
          </cell>
          <cell r="M878">
            <v>0</v>
          </cell>
          <cell r="N878">
            <v>0</v>
          </cell>
        </row>
        <row r="879">
          <cell r="C879" t="str">
            <v>SHEBOYGAN CT1</v>
          </cell>
          <cell r="F879">
            <v>146.499</v>
          </cell>
          <cell r="G879">
            <v>11462</v>
          </cell>
          <cell r="H879">
            <v>6.0519999999999996</v>
          </cell>
          <cell r="I879">
            <v>2.96</v>
          </cell>
          <cell r="J879">
            <v>3.1269999999999998</v>
          </cell>
          <cell r="K879">
            <v>217</v>
          </cell>
          <cell r="L879">
            <v>15</v>
          </cell>
          <cell r="M879">
            <v>232</v>
          </cell>
          <cell r="N879">
            <v>74.13</v>
          </cell>
        </row>
        <row r="880">
          <cell r="C880" t="str">
            <v>SHEBOYGAN CT2</v>
          </cell>
          <cell r="F880">
            <v>146.499</v>
          </cell>
          <cell r="G880">
            <v>11410</v>
          </cell>
          <cell r="H880">
            <v>6.0519999999999996</v>
          </cell>
          <cell r="I880">
            <v>1.35</v>
          </cell>
          <cell r="J880">
            <v>1.4279999999999999</v>
          </cell>
          <cell r="K880">
            <v>99</v>
          </cell>
          <cell r="L880">
            <v>7</v>
          </cell>
          <cell r="M880">
            <v>105</v>
          </cell>
          <cell r="N880">
            <v>73.819999999999993</v>
          </cell>
        </row>
        <row r="881">
          <cell r="C881" t="str">
            <v>NEW WIND-100MW</v>
          </cell>
          <cell r="D881">
            <v>2006</v>
          </cell>
          <cell r="E881" t="str">
            <v>NDT</v>
          </cell>
          <cell r="F881">
            <v>100</v>
          </cell>
          <cell r="G881">
            <v>0</v>
          </cell>
          <cell r="H881">
            <v>0</v>
          </cell>
          <cell r="I881">
            <v>26.11</v>
          </cell>
          <cell r="J881">
            <v>18.795999999999999</v>
          </cell>
          <cell r="K881">
            <v>0</v>
          </cell>
          <cell r="L881">
            <v>659</v>
          </cell>
          <cell r="M881">
            <v>659</v>
          </cell>
          <cell r="N881">
            <v>35.049999999999997</v>
          </cell>
        </row>
        <row r="882">
          <cell r="C882" t="str">
            <v>SHARED SAVINGS</v>
          </cell>
          <cell r="D882">
            <v>2005</v>
          </cell>
          <cell r="E882" t="str">
            <v>HYDR</v>
          </cell>
          <cell r="F882">
            <v>10.295999999999999</v>
          </cell>
          <cell r="G882">
            <v>0</v>
          </cell>
          <cell r="H882">
            <v>0</v>
          </cell>
          <cell r="I882">
            <v>65.81</v>
          </cell>
          <cell r="J882">
            <v>4.8780000000000001</v>
          </cell>
          <cell r="K882">
            <v>0</v>
          </cell>
          <cell r="L882">
            <v>0</v>
          </cell>
          <cell r="M882">
            <v>0</v>
          </cell>
          <cell r="N882">
            <v>0</v>
          </cell>
        </row>
        <row r="883">
          <cell r="C883" t="str">
            <v>RES ENERGY FOCUS</v>
          </cell>
          <cell r="D883">
            <v>2005</v>
          </cell>
          <cell r="E883" t="str">
            <v>HYDR</v>
          </cell>
          <cell r="F883">
            <v>7.8150000000000004</v>
          </cell>
          <cell r="G883">
            <v>0</v>
          </cell>
          <cell r="H883">
            <v>0</v>
          </cell>
          <cell r="I883">
            <v>39.5</v>
          </cell>
          <cell r="J883">
            <v>2.2229999999999999</v>
          </cell>
          <cell r="K883">
            <v>0</v>
          </cell>
          <cell r="L883">
            <v>0</v>
          </cell>
          <cell r="M883">
            <v>0</v>
          </cell>
          <cell r="N883">
            <v>0</v>
          </cell>
        </row>
        <row r="884">
          <cell r="C884" t="str">
            <v>WPL DLC PROGRAM</v>
          </cell>
          <cell r="D884">
            <v>2005</v>
          </cell>
          <cell r="E884" t="str">
            <v>HYDR</v>
          </cell>
          <cell r="F884">
            <v>6</v>
          </cell>
          <cell r="G884">
            <v>0</v>
          </cell>
          <cell r="H884">
            <v>0</v>
          </cell>
          <cell r="I884">
            <v>5.58</v>
          </cell>
          <cell r="J884">
            <v>0.24099999999999999</v>
          </cell>
          <cell r="K884">
            <v>0</v>
          </cell>
          <cell r="L884">
            <v>0</v>
          </cell>
          <cell r="M884">
            <v>0</v>
          </cell>
          <cell r="N884">
            <v>0</v>
          </cell>
        </row>
        <row r="886">
          <cell r="C886" t="str">
            <v>KEWAUNEE</v>
          </cell>
          <cell r="E886" t="str">
            <v>MUST</v>
          </cell>
          <cell r="F886">
            <v>235.2</v>
          </cell>
          <cell r="G886">
            <v>10750</v>
          </cell>
          <cell r="H886">
            <v>0.46200000000000002</v>
          </cell>
          <cell r="I886">
            <v>96.5</v>
          </cell>
          <cell r="J886">
            <v>168.864</v>
          </cell>
          <cell r="K886">
            <v>839</v>
          </cell>
          <cell r="L886">
            <v>0</v>
          </cell>
          <cell r="M886">
            <v>839</v>
          </cell>
          <cell r="N886">
            <v>4.97</v>
          </cell>
        </row>
        <row r="887">
          <cell r="C887" t="str">
            <v>COLUMBIA 1</v>
          </cell>
          <cell r="E887" t="str">
            <v>MUST</v>
          </cell>
          <cell r="F887">
            <v>247.20500000000001</v>
          </cell>
          <cell r="G887">
            <v>10682</v>
          </cell>
          <cell r="H887">
            <v>1.331</v>
          </cell>
          <cell r="I887">
            <v>88.23</v>
          </cell>
          <cell r="J887">
            <v>162.273</v>
          </cell>
          <cell r="K887">
            <v>2306</v>
          </cell>
          <cell r="L887">
            <v>33</v>
          </cell>
          <cell r="M887">
            <v>2339</v>
          </cell>
          <cell r="N887">
            <v>14.41</v>
          </cell>
        </row>
        <row r="888">
          <cell r="C888" t="str">
            <v>COLUMBIA 2</v>
          </cell>
          <cell r="E888" t="str">
            <v>MUST</v>
          </cell>
          <cell r="F888">
            <v>247.09399999999999</v>
          </cell>
          <cell r="G888">
            <v>10545</v>
          </cell>
          <cell r="H888">
            <v>1.331</v>
          </cell>
          <cell r="I888">
            <v>86.34</v>
          </cell>
          <cell r="J888">
            <v>158.726</v>
          </cell>
          <cell r="K888">
            <v>2227</v>
          </cell>
          <cell r="L888">
            <v>2</v>
          </cell>
          <cell r="M888">
            <v>2229</v>
          </cell>
          <cell r="N888">
            <v>14.04</v>
          </cell>
        </row>
        <row r="889">
          <cell r="C889" t="str">
            <v>EDGEWATER 3</v>
          </cell>
          <cell r="F889">
            <v>76.3</v>
          </cell>
          <cell r="G889">
            <v>11084</v>
          </cell>
          <cell r="H889">
            <v>1.51</v>
          </cell>
          <cell r="I889">
            <v>69.099999999999994</v>
          </cell>
          <cell r="J889">
            <v>39.223999999999997</v>
          </cell>
          <cell r="K889">
            <v>657</v>
          </cell>
          <cell r="L889">
            <v>11</v>
          </cell>
          <cell r="M889">
            <v>668</v>
          </cell>
          <cell r="N889">
            <v>17.02</v>
          </cell>
        </row>
        <row r="890">
          <cell r="C890" t="str">
            <v>EDGEWATER 4</v>
          </cell>
          <cell r="F890">
            <v>229.99799999999999</v>
          </cell>
          <cell r="G890">
            <v>0</v>
          </cell>
          <cell r="H890">
            <v>0</v>
          </cell>
          <cell r="I890">
            <v>0</v>
          </cell>
          <cell r="J890">
            <v>0</v>
          </cell>
          <cell r="K890">
            <v>0</v>
          </cell>
          <cell r="L890">
            <v>0</v>
          </cell>
          <cell r="M890">
            <v>0</v>
          </cell>
          <cell r="N890">
            <v>0</v>
          </cell>
        </row>
        <row r="891">
          <cell r="C891" t="str">
            <v>EDGEWATER 5</v>
          </cell>
          <cell r="E891" t="str">
            <v>MUST</v>
          </cell>
          <cell r="F891">
            <v>302.79300000000001</v>
          </cell>
          <cell r="G891">
            <v>10072</v>
          </cell>
          <cell r="H891">
            <v>1.3089999999999999</v>
          </cell>
          <cell r="I891">
            <v>77.97</v>
          </cell>
          <cell r="J891">
            <v>175.649</v>
          </cell>
          <cell r="K891">
            <v>2317</v>
          </cell>
          <cell r="L891">
            <v>11</v>
          </cell>
          <cell r="M891">
            <v>2328</v>
          </cell>
          <cell r="N891">
            <v>13.25</v>
          </cell>
        </row>
        <row r="892">
          <cell r="C892" t="str">
            <v>BLACKHAWK 3</v>
          </cell>
          <cell r="F892">
            <v>24.9</v>
          </cell>
          <cell r="G892">
            <v>11858</v>
          </cell>
          <cell r="H892">
            <v>6.3529999999999998</v>
          </cell>
          <cell r="I892">
            <v>0.21</v>
          </cell>
          <cell r="J892">
            <v>3.9E-2</v>
          </cell>
          <cell r="K892">
            <v>3</v>
          </cell>
          <cell r="L892">
            <v>0</v>
          </cell>
          <cell r="M892">
            <v>3</v>
          </cell>
          <cell r="N892">
            <v>76.97</v>
          </cell>
        </row>
        <row r="893">
          <cell r="C893" t="str">
            <v>BLACKHAWK 4</v>
          </cell>
          <cell r="F893">
            <v>25.1</v>
          </cell>
          <cell r="G893">
            <v>11372</v>
          </cell>
          <cell r="H893">
            <v>6.3529999999999998</v>
          </cell>
          <cell r="I893">
            <v>0.11</v>
          </cell>
          <cell r="J893">
            <v>2.1000000000000001E-2</v>
          </cell>
          <cell r="K893">
            <v>2</v>
          </cell>
          <cell r="L893">
            <v>0</v>
          </cell>
          <cell r="M893">
            <v>2</v>
          </cell>
          <cell r="N893">
            <v>73.92</v>
          </cell>
        </row>
        <row r="894">
          <cell r="C894" t="str">
            <v>ROCK RIVER 1</v>
          </cell>
          <cell r="F894">
            <v>74.7</v>
          </cell>
          <cell r="G894">
            <v>11003</v>
          </cell>
          <cell r="H894">
            <v>5.9249999999999998</v>
          </cell>
          <cell r="I894">
            <v>2.76</v>
          </cell>
          <cell r="J894">
            <v>1.5329999999999999</v>
          </cell>
          <cell r="K894">
            <v>100</v>
          </cell>
          <cell r="L894">
            <v>1</v>
          </cell>
          <cell r="M894">
            <v>101</v>
          </cell>
          <cell r="N894">
            <v>66.06</v>
          </cell>
        </row>
        <row r="895">
          <cell r="C895" t="str">
            <v>ROCK RIVER 2</v>
          </cell>
          <cell r="F895">
            <v>78.2</v>
          </cell>
          <cell r="G895">
            <v>10947</v>
          </cell>
          <cell r="H895">
            <v>5.9249999999999998</v>
          </cell>
          <cell r="I895">
            <v>6.3</v>
          </cell>
          <cell r="J895">
            <v>3.6629999999999998</v>
          </cell>
          <cell r="K895">
            <v>238</v>
          </cell>
          <cell r="L895">
            <v>3</v>
          </cell>
          <cell r="M895">
            <v>241</v>
          </cell>
          <cell r="N895">
            <v>65.680000000000007</v>
          </cell>
        </row>
        <row r="896">
          <cell r="C896" t="str">
            <v>ROCK RIVER 3</v>
          </cell>
          <cell r="F896">
            <v>31.241</v>
          </cell>
          <cell r="G896">
            <v>0</v>
          </cell>
          <cell r="H896">
            <v>0</v>
          </cell>
          <cell r="I896">
            <v>0</v>
          </cell>
          <cell r="J896">
            <v>0</v>
          </cell>
          <cell r="K896">
            <v>0</v>
          </cell>
          <cell r="L896">
            <v>0</v>
          </cell>
          <cell r="M896">
            <v>0</v>
          </cell>
          <cell r="N896">
            <v>0</v>
          </cell>
        </row>
        <row r="897">
          <cell r="C897" t="str">
            <v>ROCK RIVER 4</v>
          </cell>
          <cell r="F897">
            <v>16.2</v>
          </cell>
          <cell r="G897">
            <v>0</v>
          </cell>
          <cell r="H897">
            <v>0</v>
          </cell>
          <cell r="I897">
            <v>0</v>
          </cell>
          <cell r="J897">
            <v>0</v>
          </cell>
          <cell r="K897">
            <v>0</v>
          </cell>
          <cell r="L897">
            <v>0</v>
          </cell>
          <cell r="M897">
            <v>0</v>
          </cell>
          <cell r="N897">
            <v>0</v>
          </cell>
        </row>
        <row r="898">
          <cell r="C898" t="str">
            <v>ROCK RIVER 5</v>
          </cell>
          <cell r="F898">
            <v>63.076000000000001</v>
          </cell>
          <cell r="G898">
            <v>0</v>
          </cell>
          <cell r="H898">
            <v>0</v>
          </cell>
          <cell r="I898">
            <v>0</v>
          </cell>
          <cell r="J898">
            <v>0</v>
          </cell>
          <cell r="K898">
            <v>0</v>
          </cell>
          <cell r="L898">
            <v>0</v>
          </cell>
          <cell r="M898">
            <v>0</v>
          </cell>
          <cell r="N898">
            <v>0</v>
          </cell>
        </row>
        <row r="899">
          <cell r="C899" t="str">
            <v>ROCK RIVER 6</v>
          </cell>
          <cell r="F899">
            <v>63.335999999999999</v>
          </cell>
          <cell r="G899">
            <v>0</v>
          </cell>
          <cell r="H899">
            <v>0</v>
          </cell>
          <cell r="I899">
            <v>0</v>
          </cell>
          <cell r="J899">
            <v>0</v>
          </cell>
          <cell r="K899">
            <v>0</v>
          </cell>
          <cell r="L899">
            <v>0</v>
          </cell>
          <cell r="M899">
            <v>0</v>
          </cell>
          <cell r="N899">
            <v>0</v>
          </cell>
        </row>
        <row r="900">
          <cell r="C900" t="str">
            <v>SHEEPSKIN 1</v>
          </cell>
          <cell r="F900">
            <v>37.6</v>
          </cell>
          <cell r="G900">
            <v>0</v>
          </cell>
          <cell r="H900">
            <v>0</v>
          </cell>
          <cell r="I900">
            <v>0</v>
          </cell>
          <cell r="J900">
            <v>0</v>
          </cell>
          <cell r="K900">
            <v>0</v>
          </cell>
          <cell r="L900">
            <v>0</v>
          </cell>
          <cell r="M900">
            <v>0</v>
          </cell>
          <cell r="N900">
            <v>0</v>
          </cell>
        </row>
        <row r="901">
          <cell r="C901" t="str">
            <v>SOUTH FDL 1</v>
          </cell>
          <cell r="F901">
            <v>92.241</v>
          </cell>
          <cell r="G901">
            <v>0</v>
          </cell>
          <cell r="H901">
            <v>0</v>
          </cell>
          <cell r="I901">
            <v>0</v>
          </cell>
          <cell r="J901">
            <v>0</v>
          </cell>
          <cell r="K901">
            <v>0</v>
          </cell>
          <cell r="L901">
            <v>0</v>
          </cell>
          <cell r="M901">
            <v>0</v>
          </cell>
          <cell r="N901">
            <v>0</v>
          </cell>
        </row>
        <row r="902">
          <cell r="C902" t="str">
            <v>SOUTH FDL 2</v>
          </cell>
          <cell r="F902">
            <v>93.19</v>
          </cell>
          <cell r="G902">
            <v>0</v>
          </cell>
          <cell r="H902">
            <v>0</v>
          </cell>
          <cell r="I902">
            <v>0</v>
          </cell>
          <cell r="J902">
            <v>0</v>
          </cell>
          <cell r="K902">
            <v>0</v>
          </cell>
          <cell r="L902">
            <v>0</v>
          </cell>
          <cell r="M902">
            <v>0</v>
          </cell>
          <cell r="N902">
            <v>0</v>
          </cell>
        </row>
        <row r="903">
          <cell r="C903" t="str">
            <v>SOUTH FDL 3</v>
          </cell>
          <cell r="F903">
            <v>87.87</v>
          </cell>
          <cell r="G903">
            <v>0</v>
          </cell>
          <cell r="H903">
            <v>0</v>
          </cell>
          <cell r="I903">
            <v>0</v>
          </cell>
          <cell r="J903">
            <v>0</v>
          </cell>
          <cell r="K903">
            <v>0</v>
          </cell>
          <cell r="L903">
            <v>0</v>
          </cell>
          <cell r="M903">
            <v>0</v>
          </cell>
          <cell r="N903">
            <v>0</v>
          </cell>
        </row>
        <row r="904">
          <cell r="C904" t="str">
            <v>SOUTH FDL 4</v>
          </cell>
          <cell r="F904">
            <v>84.763000000000005</v>
          </cell>
          <cell r="G904">
            <v>0</v>
          </cell>
          <cell r="H904">
            <v>0</v>
          </cell>
          <cell r="I904">
            <v>0</v>
          </cell>
          <cell r="J904">
            <v>0</v>
          </cell>
          <cell r="K904">
            <v>0</v>
          </cell>
          <cell r="L904">
            <v>0</v>
          </cell>
          <cell r="M904">
            <v>0</v>
          </cell>
          <cell r="N904">
            <v>0</v>
          </cell>
        </row>
        <row r="905">
          <cell r="C905" t="str">
            <v>NELSON DEWEY 1</v>
          </cell>
          <cell r="F905">
            <v>111.511</v>
          </cell>
          <cell r="G905">
            <v>10057</v>
          </cell>
          <cell r="H905">
            <v>1.2569999999999999</v>
          </cell>
          <cell r="I905">
            <v>70.28</v>
          </cell>
          <cell r="J905">
            <v>58.304000000000002</v>
          </cell>
          <cell r="K905">
            <v>737</v>
          </cell>
          <cell r="L905">
            <v>40</v>
          </cell>
          <cell r="M905">
            <v>776</v>
          </cell>
          <cell r="N905">
            <v>13.32</v>
          </cell>
        </row>
        <row r="906">
          <cell r="C906" t="str">
            <v>NELSON DEWEY 2</v>
          </cell>
          <cell r="F906">
            <v>112.002</v>
          </cell>
          <cell r="G906">
            <v>9905</v>
          </cell>
          <cell r="H906">
            <v>1.2569999999999999</v>
          </cell>
          <cell r="I906">
            <v>71.180000000000007</v>
          </cell>
          <cell r="J906">
            <v>59.313000000000002</v>
          </cell>
          <cell r="K906">
            <v>738</v>
          </cell>
          <cell r="L906">
            <v>42</v>
          </cell>
          <cell r="M906">
            <v>780</v>
          </cell>
          <cell r="N906">
            <v>13.15</v>
          </cell>
        </row>
        <row r="907">
          <cell r="C907" t="str">
            <v>WPL HYDRO</v>
          </cell>
          <cell r="E907" t="str">
            <v>MUST</v>
          </cell>
          <cell r="F907">
            <v>27</v>
          </cell>
          <cell r="G907">
            <v>0</v>
          </cell>
          <cell r="H907">
            <v>0</v>
          </cell>
          <cell r="I907">
            <v>92.14</v>
          </cell>
          <cell r="J907">
            <v>18.509</v>
          </cell>
          <cell r="K907">
            <v>0</v>
          </cell>
          <cell r="L907">
            <v>0</v>
          </cell>
          <cell r="M907">
            <v>0</v>
          </cell>
          <cell r="N907">
            <v>0</v>
          </cell>
        </row>
        <row r="908">
          <cell r="C908" t="str">
            <v>BERLIN LFG WPL</v>
          </cell>
          <cell r="F908">
            <v>2.2000000000000002</v>
          </cell>
          <cell r="G908">
            <v>15000</v>
          </cell>
          <cell r="H908">
            <v>0</v>
          </cell>
          <cell r="I908">
            <v>80.430000000000007</v>
          </cell>
          <cell r="J908">
            <v>1.3169999999999999</v>
          </cell>
          <cell r="K908">
            <v>0</v>
          </cell>
          <cell r="L908">
            <v>34</v>
          </cell>
          <cell r="M908">
            <v>34</v>
          </cell>
          <cell r="N908">
            <v>25.49</v>
          </cell>
        </row>
        <row r="909">
          <cell r="C909" t="str">
            <v>RIVERSIDE</v>
          </cell>
          <cell r="F909">
            <v>480.99099999999999</v>
          </cell>
          <cell r="G909">
            <v>7930</v>
          </cell>
          <cell r="H909">
            <v>6.0519999999999996</v>
          </cell>
          <cell r="I909">
            <v>34.229999999999997</v>
          </cell>
          <cell r="J909">
            <v>122.48</v>
          </cell>
          <cell r="K909">
            <v>5878</v>
          </cell>
          <cell r="L909">
            <v>72</v>
          </cell>
          <cell r="M909">
            <v>5951</v>
          </cell>
          <cell r="N909">
            <v>48.59</v>
          </cell>
        </row>
        <row r="910">
          <cell r="C910" t="str">
            <v>ROCKGEN #1</v>
          </cell>
          <cell r="F910">
            <v>154.5</v>
          </cell>
          <cell r="G910">
            <v>13715</v>
          </cell>
          <cell r="H910">
            <v>6.0519999999999996</v>
          </cell>
          <cell r="I910">
            <v>0.2</v>
          </cell>
          <cell r="J910">
            <v>0.22700000000000001</v>
          </cell>
          <cell r="K910">
            <v>19</v>
          </cell>
          <cell r="L910">
            <v>1</v>
          </cell>
          <cell r="M910">
            <v>20</v>
          </cell>
          <cell r="N910">
            <v>89.21</v>
          </cell>
        </row>
        <row r="911">
          <cell r="C911" t="str">
            <v>ROCKGEN #2</v>
          </cell>
          <cell r="F911">
            <v>154.5</v>
          </cell>
          <cell r="G911">
            <v>13999</v>
          </cell>
          <cell r="H911">
            <v>6.0519999999999996</v>
          </cell>
          <cell r="I911">
            <v>0.06</v>
          </cell>
          <cell r="J911">
            <v>6.5000000000000002E-2</v>
          </cell>
          <cell r="K911">
            <v>5</v>
          </cell>
          <cell r="L911">
            <v>0</v>
          </cell>
          <cell r="M911">
            <v>6</v>
          </cell>
          <cell r="N911">
            <v>90.93</v>
          </cell>
        </row>
        <row r="912">
          <cell r="C912" t="str">
            <v>ROCKGEN #3</v>
          </cell>
          <cell r="F912">
            <v>154.5</v>
          </cell>
          <cell r="G912">
            <v>15039</v>
          </cell>
          <cell r="H912">
            <v>6.0519999999999996</v>
          </cell>
          <cell r="I912">
            <v>0.01</v>
          </cell>
          <cell r="J912">
            <v>8.9999999999999993E-3</v>
          </cell>
          <cell r="K912">
            <v>1</v>
          </cell>
          <cell r="L912">
            <v>0</v>
          </cell>
          <cell r="M912">
            <v>1</v>
          </cell>
          <cell r="N912">
            <v>97.22</v>
          </cell>
        </row>
        <row r="913">
          <cell r="C913" t="str">
            <v>BASE 100 ECONOMY</v>
          </cell>
          <cell r="F913">
            <v>100</v>
          </cell>
          <cell r="G913">
            <v>10000</v>
          </cell>
          <cell r="H913">
            <v>2.8980000000000001</v>
          </cell>
          <cell r="I913">
            <v>89.28</v>
          </cell>
          <cell r="J913">
            <v>66.423000000000002</v>
          </cell>
          <cell r="K913">
            <v>1925</v>
          </cell>
          <cell r="L913">
            <v>0</v>
          </cell>
          <cell r="M913">
            <v>1925</v>
          </cell>
          <cell r="N913">
            <v>28.98</v>
          </cell>
        </row>
        <row r="914">
          <cell r="C914" t="str">
            <v>OTHR 500 ECONOMY</v>
          </cell>
          <cell r="F914">
            <v>200</v>
          </cell>
          <cell r="G914">
            <v>10000</v>
          </cell>
          <cell r="H914">
            <v>2.8980000000000001</v>
          </cell>
          <cell r="I914">
            <v>68.52</v>
          </cell>
          <cell r="J914">
            <v>101.956</v>
          </cell>
          <cell r="K914">
            <v>2955</v>
          </cell>
          <cell r="L914">
            <v>0</v>
          </cell>
          <cell r="M914">
            <v>2955</v>
          </cell>
          <cell r="N914">
            <v>28.98</v>
          </cell>
        </row>
        <row r="915">
          <cell r="C915" t="str">
            <v>FPL WIND PURCH</v>
          </cell>
          <cell r="E915" t="str">
            <v>NDT</v>
          </cell>
          <cell r="F915">
            <v>80</v>
          </cell>
          <cell r="G915">
            <v>0</v>
          </cell>
          <cell r="H915">
            <v>0</v>
          </cell>
          <cell r="I915">
            <v>24.94</v>
          </cell>
          <cell r="J915">
            <v>14.842000000000001</v>
          </cell>
          <cell r="K915">
            <v>0</v>
          </cell>
          <cell r="L915">
            <v>0</v>
          </cell>
          <cell r="M915">
            <v>0</v>
          </cell>
          <cell r="N915">
            <v>0</v>
          </cell>
        </row>
        <row r="916">
          <cell r="C916" t="str">
            <v>INV WIND PURCH</v>
          </cell>
          <cell r="E916" t="str">
            <v>NDT</v>
          </cell>
          <cell r="F916">
            <v>50</v>
          </cell>
          <cell r="G916">
            <v>0</v>
          </cell>
          <cell r="H916">
            <v>0</v>
          </cell>
          <cell r="I916">
            <v>31.94</v>
          </cell>
          <cell r="J916">
            <v>11.882</v>
          </cell>
          <cell r="K916">
            <v>0</v>
          </cell>
          <cell r="L916">
            <v>0</v>
          </cell>
          <cell r="M916">
            <v>0</v>
          </cell>
          <cell r="N916">
            <v>0</v>
          </cell>
        </row>
        <row r="917">
          <cell r="C917" t="str">
            <v>JANESVILLE PURCH</v>
          </cell>
          <cell r="F917">
            <v>1.6</v>
          </cell>
          <cell r="G917">
            <v>15000</v>
          </cell>
          <cell r="H917">
            <v>0</v>
          </cell>
          <cell r="I917">
            <v>57.09</v>
          </cell>
          <cell r="J917">
            <v>0.68</v>
          </cell>
          <cell r="K917">
            <v>0</v>
          </cell>
          <cell r="L917">
            <v>27</v>
          </cell>
          <cell r="M917">
            <v>27</v>
          </cell>
          <cell r="N917">
            <v>39.840000000000003</v>
          </cell>
        </row>
        <row r="918">
          <cell r="C918" t="str">
            <v>MINERGY    PURCH</v>
          </cell>
          <cell r="F918">
            <v>6.5</v>
          </cell>
          <cell r="G918">
            <v>15000</v>
          </cell>
          <cell r="H918">
            <v>0</v>
          </cell>
          <cell r="I918">
            <v>56.87</v>
          </cell>
          <cell r="J918">
            <v>2.75</v>
          </cell>
          <cell r="K918">
            <v>0</v>
          </cell>
          <cell r="L918">
            <v>110</v>
          </cell>
          <cell r="M918">
            <v>110</v>
          </cell>
          <cell r="N918">
            <v>39.840000000000003</v>
          </cell>
        </row>
        <row r="919">
          <cell r="C919" t="str">
            <v>SUPERIOR   PURCH</v>
          </cell>
          <cell r="F919">
            <v>2.2000000000000002</v>
          </cell>
          <cell r="G919">
            <v>15000</v>
          </cell>
          <cell r="H919">
            <v>0</v>
          </cell>
          <cell r="I919">
            <v>56.57</v>
          </cell>
          <cell r="J919">
            <v>0.92600000000000005</v>
          </cell>
          <cell r="K919">
            <v>0</v>
          </cell>
          <cell r="L919">
            <v>37</v>
          </cell>
          <cell r="M919">
            <v>37</v>
          </cell>
          <cell r="N919">
            <v>39.840000000000003</v>
          </cell>
        </row>
        <row r="920">
          <cell r="C920" t="str">
            <v>WRPC HYDRO PURCH</v>
          </cell>
          <cell r="E920" t="str">
            <v>MUST</v>
          </cell>
          <cell r="F920">
            <v>13.2</v>
          </cell>
          <cell r="G920">
            <v>0</v>
          </cell>
          <cell r="H920">
            <v>0</v>
          </cell>
          <cell r="I920">
            <v>44.83</v>
          </cell>
          <cell r="J920">
            <v>4.4029999999999996</v>
          </cell>
          <cell r="K920">
            <v>0</v>
          </cell>
          <cell r="L920">
            <v>0</v>
          </cell>
          <cell r="M920">
            <v>0</v>
          </cell>
          <cell r="N920">
            <v>0</v>
          </cell>
        </row>
        <row r="921">
          <cell r="C921" t="str">
            <v>SHEBOYGAN CT1</v>
          </cell>
          <cell r="F921">
            <v>169.399</v>
          </cell>
          <cell r="G921">
            <v>11956</v>
          </cell>
          <cell r="H921">
            <v>6.0519999999999996</v>
          </cell>
          <cell r="I921">
            <v>2.38</v>
          </cell>
          <cell r="J921">
            <v>3.0019999999999998</v>
          </cell>
          <cell r="K921">
            <v>217</v>
          </cell>
          <cell r="L921">
            <v>14</v>
          </cell>
          <cell r="M921">
            <v>232</v>
          </cell>
          <cell r="N921">
            <v>77.12</v>
          </cell>
        </row>
        <row r="922">
          <cell r="C922" t="str">
            <v>SHEBOYGAN CT2</v>
          </cell>
          <cell r="F922">
            <v>169.399</v>
          </cell>
          <cell r="G922">
            <v>11750</v>
          </cell>
          <cell r="H922">
            <v>6.0519999999999996</v>
          </cell>
          <cell r="I922">
            <v>0.66</v>
          </cell>
          <cell r="J922">
            <v>0.83699999999999997</v>
          </cell>
          <cell r="K922">
            <v>60</v>
          </cell>
          <cell r="L922">
            <v>4</v>
          </cell>
          <cell r="M922">
            <v>64</v>
          </cell>
          <cell r="N922">
            <v>75.87</v>
          </cell>
        </row>
        <row r="923">
          <cell r="C923" t="str">
            <v>NEW WIND-100MW</v>
          </cell>
          <cell r="D923">
            <v>2006</v>
          </cell>
          <cell r="E923" t="str">
            <v>NDT</v>
          </cell>
          <cell r="F923">
            <v>100</v>
          </cell>
          <cell r="G923">
            <v>0</v>
          </cell>
          <cell r="H923">
            <v>0</v>
          </cell>
          <cell r="I923">
            <v>24.94</v>
          </cell>
          <cell r="J923">
            <v>18.552</v>
          </cell>
          <cell r="K923">
            <v>0</v>
          </cell>
          <cell r="L923">
            <v>650</v>
          </cell>
          <cell r="M923">
            <v>650</v>
          </cell>
          <cell r="N923">
            <v>35.049999999999997</v>
          </cell>
        </row>
        <row r="924">
          <cell r="C924" t="str">
            <v>SHARED SAVINGS</v>
          </cell>
          <cell r="D924">
            <v>2005</v>
          </cell>
          <cell r="E924" t="str">
            <v>HYDR</v>
          </cell>
          <cell r="F924">
            <v>10.295999999999999</v>
          </cell>
          <cell r="G924">
            <v>0</v>
          </cell>
          <cell r="H924">
            <v>0</v>
          </cell>
          <cell r="I924">
            <v>65.81</v>
          </cell>
          <cell r="J924">
            <v>5.0410000000000004</v>
          </cell>
          <cell r="K924">
            <v>0</v>
          </cell>
          <cell r="L924">
            <v>0</v>
          </cell>
          <cell r="M924">
            <v>0</v>
          </cell>
          <cell r="N924">
            <v>0</v>
          </cell>
        </row>
        <row r="925">
          <cell r="C925" t="str">
            <v>RES ENERGY FOCUS</v>
          </cell>
          <cell r="D925">
            <v>2005</v>
          </cell>
          <cell r="E925" t="str">
            <v>HYDR</v>
          </cell>
          <cell r="F925">
            <v>7.8150000000000004</v>
          </cell>
          <cell r="G925">
            <v>0</v>
          </cell>
          <cell r="H925">
            <v>0</v>
          </cell>
          <cell r="I925">
            <v>39.5</v>
          </cell>
          <cell r="J925">
            <v>2.2970000000000002</v>
          </cell>
          <cell r="K925">
            <v>0</v>
          </cell>
          <cell r="L925">
            <v>0</v>
          </cell>
          <cell r="M925">
            <v>0</v>
          </cell>
          <cell r="N925">
            <v>0</v>
          </cell>
        </row>
        <row r="926">
          <cell r="C926" t="str">
            <v>WPL DLC PROGRAM</v>
          </cell>
          <cell r="D926">
            <v>2005</v>
          </cell>
          <cell r="E926" t="str">
            <v>HYDR</v>
          </cell>
          <cell r="F926">
            <v>6</v>
          </cell>
          <cell r="G926">
            <v>0</v>
          </cell>
          <cell r="H926">
            <v>0</v>
          </cell>
          <cell r="I926">
            <v>0</v>
          </cell>
          <cell r="J926">
            <v>0</v>
          </cell>
          <cell r="K926">
            <v>0</v>
          </cell>
          <cell r="L926">
            <v>0</v>
          </cell>
          <cell r="M926">
            <v>0</v>
          </cell>
          <cell r="N926">
            <v>0</v>
          </cell>
        </row>
        <row r="928">
          <cell r="C928" t="str">
            <v>KEWAUNEE</v>
          </cell>
          <cell r="E928" t="str">
            <v>MUST</v>
          </cell>
          <cell r="F928">
            <v>235.2</v>
          </cell>
          <cell r="G928">
            <v>10750</v>
          </cell>
          <cell r="H928">
            <v>0.46200000000000002</v>
          </cell>
          <cell r="I928">
            <v>96.5</v>
          </cell>
          <cell r="J928">
            <v>163.417</v>
          </cell>
          <cell r="K928">
            <v>812</v>
          </cell>
          <cell r="L928">
            <v>0</v>
          </cell>
          <cell r="M928">
            <v>812</v>
          </cell>
          <cell r="N928">
            <v>4.97</v>
          </cell>
        </row>
        <row r="929">
          <cell r="C929" t="str">
            <v>COLUMBIA 1</v>
          </cell>
          <cell r="E929" t="str">
            <v>MUST</v>
          </cell>
          <cell r="F929">
            <v>247.20500000000001</v>
          </cell>
          <cell r="G929">
            <v>10682</v>
          </cell>
          <cell r="H929">
            <v>1.331</v>
          </cell>
          <cell r="I929">
            <v>88.23</v>
          </cell>
          <cell r="J929">
            <v>157.03800000000001</v>
          </cell>
          <cell r="K929">
            <v>2232</v>
          </cell>
          <cell r="L929">
            <v>32</v>
          </cell>
          <cell r="M929">
            <v>2264</v>
          </cell>
          <cell r="N929">
            <v>14.41</v>
          </cell>
        </row>
        <row r="930">
          <cell r="C930" t="str">
            <v>COLUMBIA 2</v>
          </cell>
          <cell r="E930" t="str">
            <v>MUST</v>
          </cell>
          <cell r="F930">
            <v>247.09399999999999</v>
          </cell>
          <cell r="G930">
            <v>10545</v>
          </cell>
          <cell r="H930">
            <v>1.331</v>
          </cell>
          <cell r="I930">
            <v>86.31</v>
          </cell>
          <cell r="J930">
            <v>153.554</v>
          </cell>
          <cell r="K930">
            <v>2155</v>
          </cell>
          <cell r="L930">
            <v>2</v>
          </cell>
          <cell r="M930">
            <v>2156</v>
          </cell>
          <cell r="N930">
            <v>14.04</v>
          </cell>
        </row>
        <row r="931">
          <cell r="C931" t="str">
            <v>EDGEWATER 3</v>
          </cell>
          <cell r="F931">
            <v>76.3</v>
          </cell>
          <cell r="G931">
            <v>11083</v>
          </cell>
          <cell r="H931">
            <v>1.51</v>
          </cell>
          <cell r="I931">
            <v>15.67</v>
          </cell>
          <cell r="J931">
            <v>8.6080000000000005</v>
          </cell>
          <cell r="K931">
            <v>144</v>
          </cell>
          <cell r="L931">
            <v>2</v>
          </cell>
          <cell r="M931">
            <v>147</v>
          </cell>
          <cell r="N931">
            <v>17.02</v>
          </cell>
        </row>
        <row r="932">
          <cell r="C932" t="str">
            <v>EDGEWATER 4</v>
          </cell>
          <cell r="F932">
            <v>229.99799999999999</v>
          </cell>
          <cell r="G932">
            <v>9973</v>
          </cell>
          <cell r="H932">
            <v>1.4259999999999999</v>
          </cell>
          <cell r="I932">
            <v>71.89</v>
          </cell>
          <cell r="J932">
            <v>119.054</v>
          </cell>
          <cell r="K932">
            <v>1693</v>
          </cell>
          <cell r="L932">
            <v>33</v>
          </cell>
          <cell r="M932">
            <v>1725</v>
          </cell>
          <cell r="N932">
            <v>14.49</v>
          </cell>
        </row>
        <row r="933">
          <cell r="C933" t="str">
            <v>EDGEWATER 5</v>
          </cell>
          <cell r="E933" t="str">
            <v>MUST</v>
          </cell>
          <cell r="F933">
            <v>302.79300000000001</v>
          </cell>
          <cell r="G933">
            <v>10072</v>
          </cell>
          <cell r="H933">
            <v>1.3089999999999999</v>
          </cell>
          <cell r="I933">
            <v>77.97</v>
          </cell>
          <cell r="J933">
            <v>169.983</v>
          </cell>
          <cell r="K933">
            <v>2242</v>
          </cell>
          <cell r="L933">
            <v>11</v>
          </cell>
          <cell r="M933">
            <v>2253</v>
          </cell>
          <cell r="N933">
            <v>13.25</v>
          </cell>
        </row>
        <row r="934">
          <cell r="C934" t="str">
            <v>BLACKHAWK 3</v>
          </cell>
          <cell r="F934">
            <v>24.9</v>
          </cell>
          <cell r="G934">
            <v>11849</v>
          </cell>
          <cell r="H934">
            <v>6.734</v>
          </cell>
          <cell r="I934">
            <v>0.04</v>
          </cell>
          <cell r="J934">
            <v>8.0000000000000002E-3</v>
          </cell>
          <cell r="K934">
            <v>1</v>
          </cell>
          <cell r="L934">
            <v>0</v>
          </cell>
          <cell r="M934">
            <v>1</v>
          </cell>
          <cell r="N934">
            <v>81.430000000000007</v>
          </cell>
        </row>
        <row r="935">
          <cell r="C935" t="str">
            <v>BLACKHAWK 4</v>
          </cell>
          <cell r="F935">
            <v>25.1</v>
          </cell>
          <cell r="G935">
            <v>11419</v>
          </cell>
          <cell r="H935">
            <v>6.734</v>
          </cell>
          <cell r="I935">
            <v>0.09</v>
          </cell>
          <cell r="J935">
            <v>1.7000000000000001E-2</v>
          </cell>
          <cell r="K935">
            <v>1</v>
          </cell>
          <cell r="L935">
            <v>0</v>
          </cell>
          <cell r="M935">
            <v>1</v>
          </cell>
          <cell r="N935">
            <v>78.58</v>
          </cell>
        </row>
        <row r="936">
          <cell r="C936" t="str">
            <v>ROCK RIVER 1</v>
          </cell>
          <cell r="F936">
            <v>74.7</v>
          </cell>
          <cell r="G936">
            <v>11093</v>
          </cell>
          <cell r="H936">
            <v>6.2809999999999997</v>
          </cell>
          <cell r="I936">
            <v>1.92</v>
          </cell>
          <cell r="J936">
            <v>1.032</v>
          </cell>
          <cell r="K936">
            <v>72</v>
          </cell>
          <cell r="L936">
            <v>1</v>
          </cell>
          <cell r="M936">
            <v>73</v>
          </cell>
          <cell r="N936">
            <v>70.540000000000006</v>
          </cell>
        </row>
        <row r="937">
          <cell r="C937" t="str">
            <v>ROCK RIVER 2</v>
          </cell>
          <cell r="F937">
            <v>78.2</v>
          </cell>
          <cell r="G937">
            <v>10948</v>
          </cell>
          <cell r="H937">
            <v>6.2809999999999997</v>
          </cell>
          <cell r="I937">
            <v>2.36</v>
          </cell>
          <cell r="J937">
            <v>1.329</v>
          </cell>
          <cell r="K937">
            <v>91</v>
          </cell>
          <cell r="L937">
            <v>1</v>
          </cell>
          <cell r="M937">
            <v>92</v>
          </cell>
          <cell r="N937">
            <v>69.58</v>
          </cell>
        </row>
        <row r="938">
          <cell r="C938" t="str">
            <v>ROCK RIVER 3</v>
          </cell>
          <cell r="F938">
            <v>31.241</v>
          </cell>
          <cell r="G938">
            <v>0</v>
          </cell>
          <cell r="H938">
            <v>0</v>
          </cell>
          <cell r="I938">
            <v>0</v>
          </cell>
          <cell r="J938">
            <v>0</v>
          </cell>
          <cell r="K938">
            <v>0</v>
          </cell>
          <cell r="L938">
            <v>0</v>
          </cell>
          <cell r="M938">
            <v>0</v>
          </cell>
          <cell r="N938">
            <v>0</v>
          </cell>
        </row>
        <row r="939">
          <cell r="C939" t="str">
            <v>ROCK RIVER 4</v>
          </cell>
          <cell r="F939">
            <v>16.2</v>
          </cell>
          <cell r="G939">
            <v>0</v>
          </cell>
          <cell r="H939">
            <v>0</v>
          </cell>
          <cell r="I939">
            <v>0</v>
          </cell>
          <cell r="J939">
            <v>0</v>
          </cell>
          <cell r="K939">
            <v>0</v>
          </cell>
          <cell r="L939">
            <v>0</v>
          </cell>
          <cell r="M939">
            <v>0</v>
          </cell>
          <cell r="N939">
            <v>0</v>
          </cell>
        </row>
        <row r="940">
          <cell r="C940" t="str">
            <v>ROCK RIVER 5</v>
          </cell>
          <cell r="F940">
            <v>63.076000000000001</v>
          </cell>
          <cell r="G940">
            <v>0</v>
          </cell>
          <cell r="H940">
            <v>0</v>
          </cell>
          <cell r="I940">
            <v>0</v>
          </cell>
          <cell r="J940">
            <v>0</v>
          </cell>
          <cell r="K940">
            <v>0</v>
          </cell>
          <cell r="L940">
            <v>0</v>
          </cell>
          <cell r="M940">
            <v>0</v>
          </cell>
          <cell r="N940">
            <v>0</v>
          </cell>
        </row>
        <row r="941">
          <cell r="C941" t="str">
            <v>ROCK RIVER 6</v>
          </cell>
          <cell r="F941">
            <v>63.335999999999999</v>
          </cell>
          <cell r="G941">
            <v>0</v>
          </cell>
          <cell r="H941">
            <v>0</v>
          </cell>
          <cell r="I941">
            <v>0</v>
          </cell>
          <cell r="J941">
            <v>0</v>
          </cell>
          <cell r="K941">
            <v>0</v>
          </cell>
          <cell r="L941">
            <v>0</v>
          </cell>
          <cell r="M941">
            <v>0</v>
          </cell>
          <cell r="N941">
            <v>0</v>
          </cell>
        </row>
        <row r="942">
          <cell r="C942" t="str">
            <v>SHEEPSKIN 1</v>
          </cell>
          <cell r="F942">
            <v>37.6</v>
          </cell>
          <cell r="G942">
            <v>0</v>
          </cell>
          <cell r="H942">
            <v>0</v>
          </cell>
          <cell r="I942">
            <v>0</v>
          </cell>
          <cell r="J942">
            <v>0</v>
          </cell>
          <cell r="K942">
            <v>0</v>
          </cell>
          <cell r="L942">
            <v>0</v>
          </cell>
          <cell r="M942">
            <v>0</v>
          </cell>
          <cell r="N942">
            <v>0</v>
          </cell>
        </row>
        <row r="943">
          <cell r="C943" t="str">
            <v>SOUTH FDL 1</v>
          </cell>
          <cell r="F943">
            <v>92.241</v>
          </cell>
          <cell r="G943">
            <v>14456</v>
          </cell>
          <cell r="H943">
            <v>6.9459999999999997</v>
          </cell>
          <cell r="I943">
            <v>0</v>
          </cell>
          <cell r="J943">
            <v>0</v>
          </cell>
          <cell r="K943">
            <v>0</v>
          </cell>
          <cell r="L943">
            <v>0</v>
          </cell>
          <cell r="M943">
            <v>0</v>
          </cell>
          <cell r="N943">
            <v>107.42</v>
          </cell>
        </row>
        <row r="944">
          <cell r="C944" t="str">
            <v>SOUTH FDL 2</v>
          </cell>
          <cell r="F944">
            <v>93.19</v>
          </cell>
          <cell r="G944">
            <v>0</v>
          </cell>
          <cell r="H944">
            <v>0</v>
          </cell>
          <cell r="I944">
            <v>0</v>
          </cell>
          <cell r="J944">
            <v>0</v>
          </cell>
          <cell r="K944">
            <v>0</v>
          </cell>
          <cell r="L944">
            <v>0</v>
          </cell>
          <cell r="M944">
            <v>0</v>
          </cell>
          <cell r="N944">
            <v>0</v>
          </cell>
        </row>
        <row r="945">
          <cell r="C945" t="str">
            <v>SOUTH FDL 3</v>
          </cell>
          <cell r="F945">
            <v>87.87</v>
          </cell>
          <cell r="G945">
            <v>0</v>
          </cell>
          <cell r="H945">
            <v>0</v>
          </cell>
          <cell r="I945">
            <v>0</v>
          </cell>
          <cell r="J945">
            <v>0</v>
          </cell>
          <cell r="K945">
            <v>0</v>
          </cell>
          <cell r="L945">
            <v>0</v>
          </cell>
          <cell r="M945">
            <v>0</v>
          </cell>
          <cell r="N945">
            <v>0</v>
          </cell>
        </row>
        <row r="946">
          <cell r="C946" t="str">
            <v>SOUTH FDL 4</v>
          </cell>
          <cell r="F946">
            <v>84.763000000000005</v>
          </cell>
          <cell r="G946">
            <v>0</v>
          </cell>
          <cell r="H946">
            <v>0</v>
          </cell>
          <cell r="I946">
            <v>0</v>
          </cell>
          <cell r="J946">
            <v>0</v>
          </cell>
          <cell r="K946">
            <v>0</v>
          </cell>
          <cell r="L946">
            <v>0</v>
          </cell>
          <cell r="M946">
            <v>0</v>
          </cell>
          <cell r="N946">
            <v>0</v>
          </cell>
        </row>
        <row r="947">
          <cell r="C947" t="str">
            <v>NELSON DEWEY 1</v>
          </cell>
          <cell r="F947">
            <v>111.511</v>
          </cell>
          <cell r="G947">
            <v>10074</v>
          </cell>
          <cell r="H947">
            <v>1.2569999999999999</v>
          </cell>
          <cell r="I947">
            <v>65.459999999999994</v>
          </cell>
          <cell r="J947">
            <v>52.555</v>
          </cell>
          <cell r="K947">
            <v>665</v>
          </cell>
          <cell r="L947">
            <v>36</v>
          </cell>
          <cell r="M947">
            <v>701</v>
          </cell>
          <cell r="N947">
            <v>13.34</v>
          </cell>
        </row>
        <row r="948">
          <cell r="C948" t="str">
            <v>NELSON DEWEY 2</v>
          </cell>
          <cell r="F948">
            <v>112.002</v>
          </cell>
          <cell r="G948">
            <v>9909</v>
          </cell>
          <cell r="H948">
            <v>1.2569999999999999</v>
          </cell>
          <cell r="I948">
            <v>68.45</v>
          </cell>
          <cell r="J948">
            <v>55.198999999999998</v>
          </cell>
          <cell r="K948">
            <v>687</v>
          </cell>
          <cell r="L948">
            <v>39</v>
          </cell>
          <cell r="M948">
            <v>726</v>
          </cell>
          <cell r="N948">
            <v>13.15</v>
          </cell>
        </row>
        <row r="949">
          <cell r="C949" t="str">
            <v>WPL HYDRO</v>
          </cell>
          <cell r="E949" t="str">
            <v>MUST</v>
          </cell>
          <cell r="F949">
            <v>27</v>
          </cell>
          <cell r="G949">
            <v>0</v>
          </cell>
          <cell r="H949">
            <v>0</v>
          </cell>
          <cell r="I949">
            <v>92.14</v>
          </cell>
          <cell r="J949">
            <v>17.911999999999999</v>
          </cell>
          <cell r="K949">
            <v>0</v>
          </cell>
          <cell r="L949">
            <v>0</v>
          </cell>
          <cell r="M949">
            <v>0</v>
          </cell>
          <cell r="N949">
            <v>0</v>
          </cell>
        </row>
        <row r="950">
          <cell r="C950" t="str">
            <v>BERLIN LFG WPL</v>
          </cell>
          <cell r="F950">
            <v>2.2000000000000002</v>
          </cell>
          <cell r="G950">
            <v>15000</v>
          </cell>
          <cell r="H950">
            <v>0</v>
          </cell>
          <cell r="I950">
            <v>73.33</v>
          </cell>
          <cell r="J950">
            <v>1.1619999999999999</v>
          </cell>
          <cell r="K950">
            <v>0</v>
          </cell>
          <cell r="L950">
            <v>30</v>
          </cell>
          <cell r="M950">
            <v>30</v>
          </cell>
          <cell r="N950">
            <v>25.49</v>
          </cell>
        </row>
        <row r="951">
          <cell r="C951" t="str">
            <v>RIVERSIDE</v>
          </cell>
          <cell r="F951">
            <v>480.99099999999999</v>
          </cell>
          <cell r="G951">
            <v>8129</v>
          </cell>
          <cell r="H951">
            <v>6.4160000000000004</v>
          </cell>
          <cell r="I951">
            <v>21.02</v>
          </cell>
          <cell r="J951">
            <v>72.807000000000002</v>
          </cell>
          <cell r="K951">
            <v>3797</v>
          </cell>
          <cell r="L951">
            <v>43</v>
          </cell>
          <cell r="M951">
            <v>3840</v>
          </cell>
          <cell r="N951">
            <v>52.75</v>
          </cell>
        </row>
        <row r="952">
          <cell r="C952" t="str">
            <v>ROCKGEN #1</v>
          </cell>
          <cell r="F952">
            <v>154.5</v>
          </cell>
          <cell r="G952">
            <v>13486</v>
          </cell>
          <cell r="H952">
            <v>6.4160000000000004</v>
          </cell>
          <cell r="I952">
            <v>0.05</v>
          </cell>
          <cell r="J952">
            <v>5.2999999999999999E-2</v>
          </cell>
          <cell r="K952">
            <v>5</v>
          </cell>
          <cell r="L952">
            <v>0</v>
          </cell>
          <cell r="M952">
            <v>5</v>
          </cell>
          <cell r="N952">
            <v>92.72</v>
          </cell>
        </row>
        <row r="953">
          <cell r="C953" t="str">
            <v>ROCKGEN #2</v>
          </cell>
          <cell r="F953">
            <v>154.5</v>
          </cell>
          <cell r="G953">
            <v>14083</v>
          </cell>
          <cell r="H953">
            <v>6.4160000000000004</v>
          </cell>
          <cell r="I953">
            <v>0.03</v>
          </cell>
          <cell r="J953">
            <v>3.6999999999999998E-2</v>
          </cell>
          <cell r="K953">
            <v>3</v>
          </cell>
          <cell r="L953">
            <v>0</v>
          </cell>
          <cell r="M953">
            <v>4</v>
          </cell>
          <cell r="N953">
            <v>96.54</v>
          </cell>
        </row>
        <row r="954">
          <cell r="C954" t="str">
            <v>ROCKGEN #3</v>
          </cell>
          <cell r="F954">
            <v>154.5</v>
          </cell>
          <cell r="G954">
            <v>14431</v>
          </cell>
          <cell r="H954">
            <v>6.4160000000000004</v>
          </cell>
          <cell r="I954">
            <v>0</v>
          </cell>
          <cell r="J954">
            <v>5.0000000000000001E-3</v>
          </cell>
          <cell r="K954">
            <v>1</v>
          </cell>
          <cell r="L954">
            <v>0</v>
          </cell>
          <cell r="M954">
            <v>1</v>
          </cell>
          <cell r="N954">
            <v>98.78</v>
          </cell>
        </row>
        <row r="955">
          <cell r="C955" t="str">
            <v>BASE 100 ECONOMY</v>
          </cell>
          <cell r="F955">
            <v>100</v>
          </cell>
          <cell r="G955">
            <v>10000</v>
          </cell>
          <cell r="H955">
            <v>2.8980000000000001</v>
          </cell>
          <cell r="I955">
            <v>80.77</v>
          </cell>
          <cell r="J955">
            <v>58.152999999999999</v>
          </cell>
          <cell r="K955">
            <v>1685</v>
          </cell>
          <cell r="L955">
            <v>0</v>
          </cell>
          <cell r="M955">
            <v>1685</v>
          </cell>
          <cell r="N955">
            <v>28.98</v>
          </cell>
        </row>
        <row r="956">
          <cell r="C956" t="str">
            <v>OTHR 500 ECONOMY</v>
          </cell>
          <cell r="F956">
            <v>200</v>
          </cell>
          <cell r="G956">
            <v>10000</v>
          </cell>
          <cell r="H956">
            <v>2.8980000000000001</v>
          </cell>
          <cell r="I956">
            <v>57.68</v>
          </cell>
          <cell r="J956">
            <v>83.052000000000007</v>
          </cell>
          <cell r="K956">
            <v>2407</v>
          </cell>
          <cell r="L956">
            <v>0</v>
          </cell>
          <cell r="M956">
            <v>2407</v>
          </cell>
          <cell r="N956">
            <v>28.98</v>
          </cell>
        </row>
        <row r="957">
          <cell r="C957" t="str">
            <v>FPL WIND PURCH</v>
          </cell>
          <cell r="E957" t="str">
            <v>NDT</v>
          </cell>
          <cell r="F957">
            <v>80</v>
          </cell>
          <cell r="G957">
            <v>0</v>
          </cell>
          <cell r="H957">
            <v>0</v>
          </cell>
          <cell r="I957">
            <v>36.69</v>
          </cell>
          <cell r="J957">
            <v>21.134</v>
          </cell>
          <cell r="K957">
            <v>0</v>
          </cell>
          <cell r="L957">
            <v>0</v>
          </cell>
          <cell r="M957">
            <v>0</v>
          </cell>
          <cell r="N957">
            <v>0</v>
          </cell>
        </row>
        <row r="958">
          <cell r="C958" t="str">
            <v>INV WIND PURCH</v>
          </cell>
          <cell r="E958" t="str">
            <v>NDT</v>
          </cell>
          <cell r="F958">
            <v>50</v>
          </cell>
          <cell r="G958">
            <v>0</v>
          </cell>
          <cell r="H958">
            <v>0</v>
          </cell>
          <cell r="I958">
            <v>40.03</v>
          </cell>
          <cell r="J958">
            <v>14.412000000000001</v>
          </cell>
          <cell r="K958">
            <v>0</v>
          </cell>
          <cell r="L958">
            <v>0</v>
          </cell>
          <cell r="M958">
            <v>0</v>
          </cell>
          <cell r="N958">
            <v>0</v>
          </cell>
        </row>
        <row r="959">
          <cell r="C959" t="str">
            <v>JANESVILLE PURCH</v>
          </cell>
          <cell r="F959">
            <v>1.6</v>
          </cell>
          <cell r="G959">
            <v>15000</v>
          </cell>
          <cell r="H959">
            <v>0</v>
          </cell>
          <cell r="I959">
            <v>45.04</v>
          </cell>
          <cell r="J959">
            <v>0.51900000000000002</v>
          </cell>
          <cell r="K959">
            <v>0</v>
          </cell>
          <cell r="L959">
            <v>21</v>
          </cell>
          <cell r="M959">
            <v>21</v>
          </cell>
          <cell r="N959">
            <v>39.840000000000003</v>
          </cell>
        </row>
        <row r="960">
          <cell r="C960" t="str">
            <v>MINERGY    PURCH</v>
          </cell>
          <cell r="F960">
            <v>6.5</v>
          </cell>
          <cell r="G960">
            <v>15000</v>
          </cell>
          <cell r="H960">
            <v>0</v>
          </cell>
          <cell r="I960">
            <v>44.56</v>
          </cell>
          <cell r="J960">
            <v>2.085</v>
          </cell>
          <cell r="K960">
            <v>0</v>
          </cell>
          <cell r="L960">
            <v>83</v>
          </cell>
          <cell r="M960">
            <v>83</v>
          </cell>
          <cell r="N960">
            <v>39.840000000000003</v>
          </cell>
        </row>
        <row r="961">
          <cell r="C961" t="str">
            <v>SUPERIOR   PURCH</v>
          </cell>
          <cell r="F961">
            <v>2.2000000000000002</v>
          </cell>
          <cell r="G961">
            <v>15000</v>
          </cell>
          <cell r="H961">
            <v>0</v>
          </cell>
          <cell r="I961">
            <v>44.03</v>
          </cell>
          <cell r="J961">
            <v>0.69799999999999995</v>
          </cell>
          <cell r="K961">
            <v>0</v>
          </cell>
          <cell r="L961">
            <v>28</v>
          </cell>
          <cell r="M961">
            <v>28</v>
          </cell>
          <cell r="N961">
            <v>39.840000000000003</v>
          </cell>
        </row>
        <row r="962">
          <cell r="C962" t="str">
            <v>WRPC HYDRO PURCH</v>
          </cell>
          <cell r="E962" t="str">
            <v>MUST</v>
          </cell>
          <cell r="F962">
            <v>13.2</v>
          </cell>
          <cell r="G962">
            <v>0</v>
          </cell>
          <cell r="H962">
            <v>0</v>
          </cell>
          <cell r="I962">
            <v>44.83</v>
          </cell>
          <cell r="J962">
            <v>4.2610000000000001</v>
          </cell>
          <cell r="K962">
            <v>0</v>
          </cell>
          <cell r="L962">
            <v>0</v>
          </cell>
          <cell r="M962">
            <v>0</v>
          </cell>
          <cell r="N962">
            <v>0</v>
          </cell>
        </row>
        <row r="963">
          <cell r="C963" t="str">
            <v>SHEBOYGAN CT1</v>
          </cell>
          <cell r="F963">
            <v>169.399</v>
          </cell>
          <cell r="G963">
            <v>11804</v>
          </cell>
          <cell r="H963">
            <v>6.4160000000000004</v>
          </cell>
          <cell r="I963">
            <v>0.78</v>
          </cell>
          <cell r="J963">
            <v>0.95099999999999996</v>
          </cell>
          <cell r="K963">
            <v>72</v>
          </cell>
          <cell r="L963">
            <v>5</v>
          </cell>
          <cell r="M963">
            <v>77</v>
          </cell>
          <cell r="N963">
            <v>80.489999999999995</v>
          </cell>
        </row>
        <row r="964">
          <cell r="C964" t="str">
            <v>SHEBOYGAN CT2</v>
          </cell>
          <cell r="F964">
            <v>169.399</v>
          </cell>
          <cell r="G964">
            <v>11594</v>
          </cell>
          <cell r="H964">
            <v>6.4160000000000004</v>
          </cell>
          <cell r="I964">
            <v>0.2</v>
          </cell>
          <cell r="J964">
            <v>0.246</v>
          </cell>
          <cell r="K964">
            <v>18</v>
          </cell>
          <cell r="L964">
            <v>1</v>
          </cell>
          <cell r="M964">
            <v>19</v>
          </cell>
          <cell r="N964">
            <v>79.14</v>
          </cell>
        </row>
        <row r="965">
          <cell r="C965" t="str">
            <v>NEW WIND-100MW</v>
          </cell>
          <cell r="D965">
            <v>2006</v>
          </cell>
          <cell r="E965" t="str">
            <v>NDT</v>
          </cell>
          <cell r="F965">
            <v>100</v>
          </cell>
          <cell r="G965">
            <v>0</v>
          </cell>
          <cell r="H965">
            <v>0</v>
          </cell>
          <cell r="I965">
            <v>36.69</v>
          </cell>
          <cell r="J965">
            <v>26.417000000000002</v>
          </cell>
          <cell r="K965">
            <v>0</v>
          </cell>
          <cell r="L965">
            <v>926</v>
          </cell>
          <cell r="M965">
            <v>926</v>
          </cell>
          <cell r="N965">
            <v>35.049999999999997</v>
          </cell>
        </row>
        <row r="966">
          <cell r="C966" t="str">
            <v>SHARED SAVINGS</v>
          </cell>
          <cell r="D966">
            <v>2005</v>
          </cell>
          <cell r="E966" t="str">
            <v>HYDR</v>
          </cell>
          <cell r="F966">
            <v>10.295999999999999</v>
          </cell>
          <cell r="G966">
            <v>0</v>
          </cell>
          <cell r="H966">
            <v>0</v>
          </cell>
          <cell r="I966">
            <v>65.81</v>
          </cell>
          <cell r="J966">
            <v>4.8780000000000001</v>
          </cell>
          <cell r="K966">
            <v>0</v>
          </cell>
          <cell r="L966">
            <v>0</v>
          </cell>
          <cell r="M966">
            <v>0</v>
          </cell>
          <cell r="N966">
            <v>0</v>
          </cell>
        </row>
        <row r="967">
          <cell r="C967" t="str">
            <v>RES ENERGY FOCUS</v>
          </cell>
          <cell r="D967">
            <v>2005</v>
          </cell>
          <cell r="E967" t="str">
            <v>HYDR</v>
          </cell>
          <cell r="F967">
            <v>7.8150000000000004</v>
          </cell>
          <cell r="G967">
            <v>0</v>
          </cell>
          <cell r="H967">
            <v>0</v>
          </cell>
          <cell r="I967">
            <v>39.5</v>
          </cell>
          <cell r="J967">
            <v>2.2229999999999999</v>
          </cell>
          <cell r="K967">
            <v>0</v>
          </cell>
          <cell r="L967">
            <v>0</v>
          </cell>
          <cell r="M967">
            <v>0</v>
          </cell>
          <cell r="N967">
            <v>0</v>
          </cell>
        </row>
        <row r="968">
          <cell r="C968" t="str">
            <v>WPL DLC PROGRAM</v>
          </cell>
          <cell r="D968">
            <v>2005</v>
          </cell>
          <cell r="E968" t="str">
            <v>HYDR</v>
          </cell>
          <cell r="F968">
            <v>6</v>
          </cell>
          <cell r="G968">
            <v>0</v>
          </cell>
          <cell r="H968">
            <v>0</v>
          </cell>
          <cell r="I968">
            <v>0</v>
          </cell>
          <cell r="J968">
            <v>0</v>
          </cell>
          <cell r="K968">
            <v>0</v>
          </cell>
          <cell r="L968">
            <v>0</v>
          </cell>
          <cell r="M968">
            <v>0</v>
          </cell>
          <cell r="N968">
            <v>0</v>
          </cell>
        </row>
        <row r="970">
          <cell r="C970" t="str">
            <v>KEWAUNEE</v>
          </cell>
          <cell r="E970" t="str">
            <v>MUST</v>
          </cell>
          <cell r="F970">
            <v>235.2</v>
          </cell>
          <cell r="G970">
            <v>10750</v>
          </cell>
          <cell r="H970">
            <v>0.46200000000000002</v>
          </cell>
          <cell r="I970">
            <v>96.5</v>
          </cell>
          <cell r="J970">
            <v>163.417</v>
          </cell>
          <cell r="K970">
            <v>812</v>
          </cell>
          <cell r="L970">
            <v>0</v>
          </cell>
          <cell r="M970">
            <v>812</v>
          </cell>
          <cell r="N970">
            <v>4.97</v>
          </cell>
        </row>
        <row r="971">
          <cell r="C971" t="str">
            <v>COLUMBIA 1</v>
          </cell>
          <cell r="E971" t="str">
            <v>MUST</v>
          </cell>
          <cell r="F971">
            <v>247.20500000000001</v>
          </cell>
          <cell r="G971">
            <v>10682</v>
          </cell>
          <cell r="H971">
            <v>1.331</v>
          </cell>
          <cell r="I971">
            <v>88.23</v>
          </cell>
          <cell r="J971">
            <v>157.03800000000001</v>
          </cell>
          <cell r="K971">
            <v>2232</v>
          </cell>
          <cell r="L971">
            <v>32</v>
          </cell>
          <cell r="M971">
            <v>2264</v>
          </cell>
          <cell r="N971">
            <v>14.41</v>
          </cell>
        </row>
        <row r="972">
          <cell r="C972" t="str">
            <v>COLUMBIA 2</v>
          </cell>
          <cell r="E972" t="str">
            <v>MUST</v>
          </cell>
          <cell r="F972">
            <v>247.09399999999999</v>
          </cell>
          <cell r="G972">
            <v>10545</v>
          </cell>
          <cell r="H972">
            <v>1.331</v>
          </cell>
          <cell r="I972">
            <v>86.32</v>
          </cell>
          <cell r="J972">
            <v>153.56399999999999</v>
          </cell>
          <cell r="K972">
            <v>2155</v>
          </cell>
          <cell r="L972">
            <v>2</v>
          </cell>
          <cell r="M972">
            <v>2156</v>
          </cell>
          <cell r="N972">
            <v>14.04</v>
          </cell>
        </row>
        <row r="973">
          <cell r="C973" t="str">
            <v>EDGEWATER 3</v>
          </cell>
          <cell r="F973">
            <v>76.3</v>
          </cell>
          <cell r="G973">
            <v>11087</v>
          </cell>
          <cell r="H973">
            <v>1.51</v>
          </cell>
          <cell r="I973">
            <v>66.84</v>
          </cell>
          <cell r="J973">
            <v>36.720999999999997</v>
          </cell>
          <cell r="K973">
            <v>615</v>
          </cell>
          <cell r="L973">
            <v>11</v>
          </cell>
          <cell r="M973">
            <v>625</v>
          </cell>
          <cell r="N973">
            <v>17.03</v>
          </cell>
        </row>
        <row r="974">
          <cell r="C974" t="str">
            <v>EDGEWATER 4</v>
          </cell>
          <cell r="F974">
            <v>229.99799999999999</v>
          </cell>
          <cell r="G974">
            <v>9972</v>
          </cell>
          <cell r="H974">
            <v>1.4259999999999999</v>
          </cell>
          <cell r="I974">
            <v>72.05</v>
          </cell>
          <cell r="J974">
            <v>119.31699999999999</v>
          </cell>
          <cell r="K974">
            <v>1696</v>
          </cell>
          <cell r="L974">
            <v>33</v>
          </cell>
          <cell r="M974">
            <v>1729</v>
          </cell>
          <cell r="N974">
            <v>14.49</v>
          </cell>
        </row>
        <row r="975">
          <cell r="C975" t="str">
            <v>EDGEWATER 5</v>
          </cell>
          <cell r="E975" t="str">
            <v>MUST</v>
          </cell>
          <cell r="F975">
            <v>302.79300000000001</v>
          </cell>
          <cell r="G975">
            <v>10072</v>
          </cell>
          <cell r="H975">
            <v>1.3089999999999999</v>
          </cell>
          <cell r="I975">
            <v>77.97</v>
          </cell>
          <cell r="J975">
            <v>169.983</v>
          </cell>
          <cell r="K975">
            <v>2242</v>
          </cell>
          <cell r="L975">
            <v>11</v>
          </cell>
          <cell r="M975">
            <v>2253</v>
          </cell>
          <cell r="N975">
            <v>13.25</v>
          </cell>
        </row>
        <row r="976">
          <cell r="C976" t="str">
            <v>BLACKHAWK 3</v>
          </cell>
          <cell r="F976">
            <v>24.9</v>
          </cell>
          <cell r="G976">
            <v>11876</v>
          </cell>
          <cell r="H976">
            <v>6.734</v>
          </cell>
          <cell r="I976">
            <v>0.18</v>
          </cell>
          <cell r="J976">
            <v>3.2000000000000001E-2</v>
          </cell>
          <cell r="K976">
            <v>3</v>
          </cell>
          <cell r="L976">
            <v>0</v>
          </cell>
          <cell r="M976">
            <v>3</v>
          </cell>
          <cell r="N976">
            <v>81.61</v>
          </cell>
        </row>
        <row r="977">
          <cell r="C977" t="str">
            <v>BLACKHAWK 4</v>
          </cell>
          <cell r="F977">
            <v>25.1</v>
          </cell>
          <cell r="G977">
            <v>11396</v>
          </cell>
          <cell r="H977">
            <v>6.734</v>
          </cell>
          <cell r="I977">
            <v>0.19</v>
          </cell>
          <cell r="J977">
            <v>3.5000000000000003E-2</v>
          </cell>
          <cell r="K977">
            <v>3</v>
          </cell>
          <cell r="L977">
            <v>0</v>
          </cell>
          <cell r="M977">
            <v>3</v>
          </cell>
          <cell r="N977">
            <v>78.42</v>
          </cell>
        </row>
        <row r="978">
          <cell r="C978" t="str">
            <v>ROCK RIVER 1</v>
          </cell>
          <cell r="F978">
            <v>74.7</v>
          </cell>
          <cell r="G978">
            <v>11069</v>
          </cell>
          <cell r="H978">
            <v>6.2809999999999997</v>
          </cell>
          <cell r="I978">
            <v>3.29</v>
          </cell>
          <cell r="J978">
            <v>1.7669999999999999</v>
          </cell>
          <cell r="K978">
            <v>123</v>
          </cell>
          <cell r="L978">
            <v>2</v>
          </cell>
          <cell r="M978">
            <v>124</v>
          </cell>
          <cell r="N978">
            <v>70.39</v>
          </cell>
        </row>
        <row r="979">
          <cell r="C979" t="str">
            <v>ROCK RIVER 2</v>
          </cell>
          <cell r="F979">
            <v>78.2</v>
          </cell>
          <cell r="G979">
            <v>10936</v>
          </cell>
          <cell r="H979">
            <v>6.2809999999999997</v>
          </cell>
          <cell r="I979">
            <v>3.89</v>
          </cell>
          <cell r="J979">
            <v>2.1890000000000001</v>
          </cell>
          <cell r="K979">
            <v>150</v>
          </cell>
          <cell r="L979">
            <v>2</v>
          </cell>
          <cell r="M979">
            <v>152</v>
          </cell>
          <cell r="N979">
            <v>69.5</v>
          </cell>
        </row>
        <row r="980">
          <cell r="C980" t="str">
            <v>ROCK RIVER 3</v>
          </cell>
          <cell r="F980">
            <v>31.241</v>
          </cell>
          <cell r="G980">
            <v>0</v>
          </cell>
          <cell r="H980">
            <v>0</v>
          </cell>
          <cell r="I980">
            <v>0</v>
          </cell>
          <cell r="J980">
            <v>0</v>
          </cell>
          <cell r="K980">
            <v>0</v>
          </cell>
          <cell r="L980">
            <v>0</v>
          </cell>
          <cell r="M980">
            <v>0</v>
          </cell>
          <cell r="N980">
            <v>0</v>
          </cell>
        </row>
        <row r="981">
          <cell r="C981" t="str">
            <v>ROCK RIVER 4</v>
          </cell>
          <cell r="F981">
            <v>16.2</v>
          </cell>
          <cell r="G981">
            <v>0</v>
          </cell>
          <cell r="H981">
            <v>0</v>
          </cell>
          <cell r="I981">
            <v>0</v>
          </cell>
          <cell r="J981">
            <v>0</v>
          </cell>
          <cell r="K981">
            <v>0</v>
          </cell>
          <cell r="L981">
            <v>0</v>
          </cell>
          <cell r="M981">
            <v>0</v>
          </cell>
          <cell r="N981">
            <v>0</v>
          </cell>
        </row>
        <row r="982">
          <cell r="C982" t="str">
            <v>ROCK RIVER 5</v>
          </cell>
          <cell r="F982">
            <v>63.076000000000001</v>
          </cell>
          <cell r="G982">
            <v>0</v>
          </cell>
          <cell r="H982">
            <v>0</v>
          </cell>
          <cell r="I982">
            <v>0</v>
          </cell>
          <cell r="J982">
            <v>0</v>
          </cell>
          <cell r="K982">
            <v>0</v>
          </cell>
          <cell r="L982">
            <v>0</v>
          </cell>
          <cell r="M982">
            <v>0</v>
          </cell>
          <cell r="N982">
            <v>0</v>
          </cell>
        </row>
        <row r="983">
          <cell r="C983" t="str">
            <v>ROCK RIVER 6</v>
          </cell>
          <cell r="F983">
            <v>63.335999999999999</v>
          </cell>
          <cell r="G983">
            <v>0</v>
          </cell>
          <cell r="H983">
            <v>0</v>
          </cell>
          <cell r="I983">
            <v>0</v>
          </cell>
          <cell r="J983">
            <v>0</v>
          </cell>
          <cell r="K983">
            <v>0</v>
          </cell>
          <cell r="L983">
            <v>0</v>
          </cell>
          <cell r="M983">
            <v>0</v>
          </cell>
          <cell r="N983">
            <v>0</v>
          </cell>
        </row>
        <row r="984">
          <cell r="C984" t="str">
            <v>SHEEPSKIN 1</v>
          </cell>
          <cell r="F984">
            <v>37.6</v>
          </cell>
          <cell r="G984">
            <v>0</v>
          </cell>
          <cell r="H984">
            <v>0</v>
          </cell>
          <cell r="I984">
            <v>0</v>
          </cell>
          <cell r="J984">
            <v>0</v>
          </cell>
          <cell r="K984">
            <v>0</v>
          </cell>
          <cell r="L984">
            <v>0</v>
          </cell>
          <cell r="M984">
            <v>0</v>
          </cell>
          <cell r="N984">
            <v>0</v>
          </cell>
        </row>
        <row r="985">
          <cell r="C985" t="str">
            <v>SOUTH FDL 1</v>
          </cell>
          <cell r="F985">
            <v>92.241</v>
          </cell>
          <cell r="G985">
            <v>13578</v>
          </cell>
          <cell r="H985">
            <v>6.9459999999999997</v>
          </cell>
          <cell r="I985">
            <v>0</v>
          </cell>
          <cell r="J985">
            <v>3.0000000000000001E-3</v>
          </cell>
          <cell r="K985">
            <v>0</v>
          </cell>
          <cell r="L985">
            <v>0</v>
          </cell>
          <cell r="M985">
            <v>0</v>
          </cell>
          <cell r="N985">
            <v>101.32</v>
          </cell>
        </row>
        <row r="986">
          <cell r="C986" t="str">
            <v>SOUTH FDL 2</v>
          </cell>
          <cell r="F986">
            <v>93.19</v>
          </cell>
          <cell r="G986">
            <v>13748</v>
          </cell>
          <cell r="H986">
            <v>6.9459999999999997</v>
          </cell>
          <cell r="I986">
            <v>0</v>
          </cell>
          <cell r="J986">
            <v>1E-3</v>
          </cell>
          <cell r="K986">
            <v>0</v>
          </cell>
          <cell r="L986">
            <v>0</v>
          </cell>
          <cell r="M986">
            <v>0</v>
          </cell>
          <cell r="N986">
            <v>102.51</v>
          </cell>
        </row>
        <row r="987">
          <cell r="C987" t="str">
            <v>SOUTH FDL 3</v>
          </cell>
          <cell r="F987">
            <v>87.87</v>
          </cell>
          <cell r="G987">
            <v>0</v>
          </cell>
          <cell r="H987">
            <v>0</v>
          </cell>
          <cell r="I987">
            <v>0</v>
          </cell>
          <cell r="J987">
            <v>0</v>
          </cell>
          <cell r="K987">
            <v>0</v>
          </cell>
          <cell r="L987">
            <v>0</v>
          </cell>
          <cell r="M987">
            <v>0</v>
          </cell>
          <cell r="N987">
            <v>0</v>
          </cell>
        </row>
        <row r="988">
          <cell r="C988" t="str">
            <v>SOUTH FDL 4</v>
          </cell>
          <cell r="F988">
            <v>84.763000000000005</v>
          </cell>
          <cell r="G988">
            <v>0</v>
          </cell>
          <cell r="H988">
            <v>0</v>
          </cell>
          <cell r="I988">
            <v>0</v>
          </cell>
          <cell r="J988">
            <v>0</v>
          </cell>
          <cell r="K988">
            <v>0</v>
          </cell>
          <cell r="L988">
            <v>0</v>
          </cell>
          <cell r="M988">
            <v>0</v>
          </cell>
          <cell r="N988">
            <v>0</v>
          </cell>
        </row>
        <row r="989">
          <cell r="C989" t="str">
            <v>NELSON DEWEY 1</v>
          </cell>
          <cell r="F989">
            <v>111.511</v>
          </cell>
          <cell r="G989">
            <v>10060</v>
          </cell>
          <cell r="H989">
            <v>1.2569999999999999</v>
          </cell>
          <cell r="I989">
            <v>68.69</v>
          </cell>
          <cell r="J989">
            <v>55.152000000000001</v>
          </cell>
          <cell r="K989">
            <v>697</v>
          </cell>
          <cell r="L989">
            <v>37</v>
          </cell>
          <cell r="M989">
            <v>735</v>
          </cell>
          <cell r="N989">
            <v>13.32</v>
          </cell>
        </row>
        <row r="990">
          <cell r="C990" t="str">
            <v>NELSON DEWEY 2</v>
          </cell>
          <cell r="F990">
            <v>112.002</v>
          </cell>
          <cell r="G990">
            <v>9905</v>
          </cell>
          <cell r="H990">
            <v>1.2569999999999999</v>
          </cell>
          <cell r="I990">
            <v>13.98</v>
          </cell>
          <cell r="J990">
            <v>11.273</v>
          </cell>
          <cell r="K990">
            <v>140</v>
          </cell>
          <cell r="L990">
            <v>8</v>
          </cell>
          <cell r="M990">
            <v>148</v>
          </cell>
          <cell r="N990">
            <v>13.15</v>
          </cell>
        </row>
        <row r="991">
          <cell r="C991" t="str">
            <v>WPL HYDRO</v>
          </cell>
          <cell r="E991" t="str">
            <v>MUST</v>
          </cell>
          <cell r="F991">
            <v>27</v>
          </cell>
          <cell r="G991">
            <v>0</v>
          </cell>
          <cell r="H991">
            <v>0</v>
          </cell>
          <cell r="I991">
            <v>92.14</v>
          </cell>
          <cell r="J991">
            <v>17.911999999999999</v>
          </cell>
          <cell r="K991">
            <v>0</v>
          </cell>
          <cell r="L991">
            <v>0</v>
          </cell>
          <cell r="M991">
            <v>0</v>
          </cell>
          <cell r="N991">
            <v>0</v>
          </cell>
        </row>
        <row r="992">
          <cell r="C992" t="str">
            <v>BERLIN LFG WPL</v>
          </cell>
          <cell r="F992">
            <v>2.2000000000000002</v>
          </cell>
          <cell r="G992">
            <v>15000</v>
          </cell>
          <cell r="H992">
            <v>0</v>
          </cell>
          <cell r="I992">
            <v>76.239999999999995</v>
          </cell>
          <cell r="J992">
            <v>1.208</v>
          </cell>
          <cell r="K992">
            <v>0</v>
          </cell>
          <cell r="L992">
            <v>31</v>
          </cell>
          <cell r="M992">
            <v>31</v>
          </cell>
          <cell r="N992">
            <v>25.49</v>
          </cell>
        </row>
        <row r="993">
          <cell r="C993" t="str">
            <v>RIVERSIDE</v>
          </cell>
          <cell r="F993">
            <v>537.99</v>
          </cell>
          <cell r="G993">
            <v>8014</v>
          </cell>
          <cell r="H993">
            <v>6.4160000000000004</v>
          </cell>
          <cell r="I993">
            <v>25.09</v>
          </cell>
          <cell r="J993">
            <v>97.18</v>
          </cell>
          <cell r="K993">
            <v>4997</v>
          </cell>
          <cell r="L993">
            <v>57</v>
          </cell>
          <cell r="M993">
            <v>5054</v>
          </cell>
          <cell r="N993">
            <v>52.01</v>
          </cell>
        </row>
        <row r="994">
          <cell r="C994" t="str">
            <v>ROCKGEN #1</v>
          </cell>
          <cell r="F994">
            <v>154.5</v>
          </cell>
          <cell r="G994">
            <v>13705</v>
          </cell>
          <cell r="H994">
            <v>6.4160000000000004</v>
          </cell>
          <cell r="I994">
            <v>0.16</v>
          </cell>
          <cell r="J994">
            <v>0.182</v>
          </cell>
          <cell r="K994">
            <v>16</v>
          </cell>
          <cell r="L994">
            <v>1</v>
          </cell>
          <cell r="M994">
            <v>17</v>
          </cell>
          <cell r="N994">
            <v>94.12</v>
          </cell>
        </row>
        <row r="995">
          <cell r="C995" t="str">
            <v>ROCKGEN #2</v>
          </cell>
          <cell r="F995">
            <v>154.5</v>
          </cell>
          <cell r="G995">
            <v>13529</v>
          </cell>
          <cell r="H995">
            <v>6.4160000000000004</v>
          </cell>
          <cell r="I995">
            <v>0.04</v>
          </cell>
          <cell r="J995">
            <v>4.2000000000000003E-2</v>
          </cell>
          <cell r="K995">
            <v>4</v>
          </cell>
          <cell r="L995">
            <v>0</v>
          </cell>
          <cell r="M995">
            <v>4</v>
          </cell>
          <cell r="N995">
            <v>92.99</v>
          </cell>
        </row>
        <row r="996">
          <cell r="C996" t="str">
            <v>ROCKGEN #3</v>
          </cell>
          <cell r="F996">
            <v>154.5</v>
          </cell>
          <cell r="G996">
            <v>14014</v>
          </cell>
          <cell r="H996">
            <v>6.4160000000000004</v>
          </cell>
          <cell r="I996">
            <v>0.02</v>
          </cell>
          <cell r="J996">
            <v>2.4E-2</v>
          </cell>
          <cell r="K996">
            <v>2</v>
          </cell>
          <cell r="L996">
            <v>0</v>
          </cell>
          <cell r="M996">
            <v>2</v>
          </cell>
          <cell r="N996">
            <v>96.1</v>
          </cell>
        </row>
        <row r="997">
          <cell r="C997" t="str">
            <v>BASE 100 ECONOMY</v>
          </cell>
          <cell r="F997">
            <v>100</v>
          </cell>
          <cell r="G997">
            <v>10000</v>
          </cell>
          <cell r="H997">
            <v>3.9609999999999999</v>
          </cell>
          <cell r="I997">
            <v>84.96</v>
          </cell>
          <cell r="J997">
            <v>61.167999999999999</v>
          </cell>
          <cell r="K997">
            <v>2423</v>
          </cell>
          <cell r="L997">
            <v>0</v>
          </cell>
          <cell r="M997">
            <v>2423</v>
          </cell>
          <cell r="N997">
            <v>39.61</v>
          </cell>
        </row>
        <row r="998">
          <cell r="C998" t="str">
            <v>OTHR 500 ECONOMY</v>
          </cell>
          <cell r="F998">
            <v>250</v>
          </cell>
          <cell r="G998">
            <v>10000</v>
          </cell>
          <cell r="H998">
            <v>3.9609999999999999</v>
          </cell>
          <cell r="I998">
            <v>61.12</v>
          </cell>
          <cell r="J998">
            <v>110.023</v>
          </cell>
          <cell r="K998">
            <v>4358</v>
          </cell>
          <cell r="L998">
            <v>0</v>
          </cell>
          <cell r="M998">
            <v>4358</v>
          </cell>
          <cell r="N998">
            <v>39.61</v>
          </cell>
        </row>
        <row r="999">
          <cell r="C999" t="str">
            <v>FPL WIND PURCH</v>
          </cell>
          <cell r="E999" t="str">
            <v>NDT</v>
          </cell>
          <cell r="F999">
            <v>80</v>
          </cell>
          <cell r="G999">
            <v>0</v>
          </cell>
          <cell r="H999">
            <v>0</v>
          </cell>
          <cell r="I999">
            <v>29.85</v>
          </cell>
          <cell r="J999">
            <v>17.195</v>
          </cell>
          <cell r="K999">
            <v>0</v>
          </cell>
          <cell r="L999">
            <v>0</v>
          </cell>
          <cell r="M999">
            <v>0</v>
          </cell>
          <cell r="N999">
            <v>0</v>
          </cell>
        </row>
        <row r="1000">
          <cell r="C1000" t="str">
            <v>INV WIND PURCH</v>
          </cell>
          <cell r="E1000" t="str">
            <v>NDT</v>
          </cell>
          <cell r="F1000">
            <v>50</v>
          </cell>
          <cell r="G1000">
            <v>0</v>
          </cell>
          <cell r="H1000">
            <v>0</v>
          </cell>
          <cell r="I1000">
            <v>31.54</v>
          </cell>
          <cell r="J1000">
            <v>11.353</v>
          </cell>
          <cell r="K1000">
            <v>0</v>
          </cell>
          <cell r="L1000">
            <v>0</v>
          </cell>
          <cell r="M1000">
            <v>0</v>
          </cell>
          <cell r="N1000">
            <v>0</v>
          </cell>
        </row>
        <row r="1001">
          <cell r="C1001" t="str">
            <v>JANESVILLE PURCH</v>
          </cell>
          <cell r="F1001">
            <v>1.6</v>
          </cell>
          <cell r="G1001">
            <v>15000</v>
          </cell>
          <cell r="H1001">
            <v>0</v>
          </cell>
          <cell r="I1001">
            <v>47.36</v>
          </cell>
          <cell r="J1001">
            <v>0.54600000000000004</v>
          </cell>
          <cell r="K1001">
            <v>0</v>
          </cell>
          <cell r="L1001">
            <v>22</v>
          </cell>
          <cell r="M1001">
            <v>22</v>
          </cell>
          <cell r="N1001">
            <v>39.840000000000003</v>
          </cell>
        </row>
        <row r="1002">
          <cell r="C1002" t="str">
            <v>MINERGY    PURCH</v>
          </cell>
          <cell r="F1002">
            <v>6.5</v>
          </cell>
          <cell r="G1002">
            <v>15000</v>
          </cell>
          <cell r="H1002">
            <v>0</v>
          </cell>
          <cell r="I1002">
            <v>46.96</v>
          </cell>
          <cell r="J1002">
            <v>2.198</v>
          </cell>
          <cell r="K1002">
            <v>0</v>
          </cell>
          <cell r="L1002">
            <v>88</v>
          </cell>
          <cell r="M1002">
            <v>88</v>
          </cell>
          <cell r="N1002">
            <v>39.840000000000003</v>
          </cell>
        </row>
        <row r="1003">
          <cell r="C1003" t="str">
            <v>SUPERIOR   PURCH</v>
          </cell>
          <cell r="F1003">
            <v>2.2000000000000002</v>
          </cell>
          <cell r="G1003">
            <v>15000</v>
          </cell>
          <cell r="H1003">
            <v>0</v>
          </cell>
          <cell r="I1003">
            <v>46.42</v>
          </cell>
          <cell r="J1003">
            <v>0.73499999999999999</v>
          </cell>
          <cell r="K1003">
            <v>0</v>
          </cell>
          <cell r="L1003">
            <v>29</v>
          </cell>
          <cell r="M1003">
            <v>29</v>
          </cell>
          <cell r="N1003">
            <v>39.840000000000003</v>
          </cell>
        </row>
        <row r="1004">
          <cell r="C1004" t="str">
            <v>WRPC HYDRO PURCH</v>
          </cell>
          <cell r="E1004" t="str">
            <v>MUST</v>
          </cell>
          <cell r="F1004">
            <v>13.2</v>
          </cell>
          <cell r="G1004">
            <v>0</v>
          </cell>
          <cell r="H1004">
            <v>0</v>
          </cell>
          <cell r="I1004">
            <v>44.83</v>
          </cell>
          <cell r="J1004">
            <v>4.2610000000000001</v>
          </cell>
          <cell r="K1004">
            <v>0</v>
          </cell>
          <cell r="L1004">
            <v>0</v>
          </cell>
          <cell r="M1004">
            <v>0</v>
          </cell>
          <cell r="N1004">
            <v>0</v>
          </cell>
        </row>
        <row r="1005">
          <cell r="C1005" t="str">
            <v>SHEBOYGAN CT1</v>
          </cell>
          <cell r="F1005">
            <v>169.399</v>
          </cell>
          <cell r="G1005">
            <v>11580</v>
          </cell>
          <cell r="H1005">
            <v>6.4160000000000004</v>
          </cell>
          <cell r="I1005">
            <v>1.25</v>
          </cell>
          <cell r="J1005">
            <v>1.5189999999999999</v>
          </cell>
          <cell r="K1005">
            <v>113</v>
          </cell>
          <cell r="L1005">
            <v>7</v>
          </cell>
          <cell r="M1005">
            <v>120</v>
          </cell>
          <cell r="N1005">
            <v>79.05</v>
          </cell>
        </row>
        <row r="1006">
          <cell r="C1006" t="str">
            <v>SHEBOYGAN CT2</v>
          </cell>
          <cell r="F1006">
            <v>169.399</v>
          </cell>
          <cell r="G1006">
            <v>11710</v>
          </cell>
          <cell r="H1006">
            <v>6.4160000000000004</v>
          </cell>
          <cell r="I1006">
            <v>0.57999999999999996</v>
          </cell>
          <cell r="J1006">
            <v>0.70499999999999996</v>
          </cell>
          <cell r="K1006">
            <v>53</v>
          </cell>
          <cell r="L1006">
            <v>3</v>
          </cell>
          <cell r="M1006">
            <v>56</v>
          </cell>
          <cell r="N1006">
            <v>79.88</v>
          </cell>
        </row>
        <row r="1007">
          <cell r="C1007" t="str">
            <v>NEW WIND-100MW</v>
          </cell>
          <cell r="D1007">
            <v>2006</v>
          </cell>
          <cell r="E1007" t="str">
            <v>NDT</v>
          </cell>
          <cell r="F1007">
            <v>100</v>
          </cell>
          <cell r="G1007">
            <v>0</v>
          </cell>
          <cell r="H1007">
            <v>0</v>
          </cell>
          <cell r="I1007">
            <v>29.85</v>
          </cell>
          <cell r="J1007">
            <v>21.494</v>
          </cell>
          <cell r="K1007">
            <v>0</v>
          </cell>
          <cell r="L1007">
            <v>753</v>
          </cell>
          <cell r="M1007">
            <v>753</v>
          </cell>
          <cell r="N1007">
            <v>35.049999999999997</v>
          </cell>
        </row>
        <row r="1008">
          <cell r="C1008" t="str">
            <v>SHARED SAVINGS</v>
          </cell>
          <cell r="D1008">
            <v>2005</v>
          </cell>
          <cell r="E1008" t="str">
            <v>HYDR</v>
          </cell>
          <cell r="F1008">
            <v>10.295999999999999</v>
          </cell>
          <cell r="G1008">
            <v>0</v>
          </cell>
          <cell r="H1008">
            <v>0</v>
          </cell>
          <cell r="I1008">
            <v>65.81</v>
          </cell>
          <cell r="J1008">
            <v>4.8780000000000001</v>
          </cell>
          <cell r="K1008">
            <v>0</v>
          </cell>
          <cell r="L1008">
            <v>0</v>
          </cell>
          <cell r="M1008">
            <v>0</v>
          </cell>
          <cell r="N1008">
            <v>0</v>
          </cell>
        </row>
        <row r="1009">
          <cell r="C1009" t="str">
            <v>RES ENERGY FOCUS</v>
          </cell>
          <cell r="D1009">
            <v>2005</v>
          </cell>
          <cell r="E1009" t="str">
            <v>HYDR</v>
          </cell>
          <cell r="F1009">
            <v>7.8150000000000004</v>
          </cell>
          <cell r="G1009">
            <v>0</v>
          </cell>
          <cell r="H1009">
            <v>0</v>
          </cell>
          <cell r="I1009">
            <v>39.5</v>
          </cell>
          <cell r="J1009">
            <v>2.2229999999999999</v>
          </cell>
          <cell r="K1009">
            <v>0</v>
          </cell>
          <cell r="L1009">
            <v>0</v>
          </cell>
          <cell r="M1009">
            <v>0</v>
          </cell>
          <cell r="N1009">
            <v>0</v>
          </cell>
        </row>
        <row r="1010">
          <cell r="C1010" t="str">
            <v>WPL DLC PROGRAM</v>
          </cell>
          <cell r="D1010">
            <v>2005</v>
          </cell>
          <cell r="E1010" t="str">
            <v>HYDR</v>
          </cell>
          <cell r="F1010">
            <v>6</v>
          </cell>
          <cell r="G1010">
            <v>0</v>
          </cell>
          <cell r="H1010">
            <v>0</v>
          </cell>
          <cell r="I1010">
            <v>0</v>
          </cell>
          <cell r="J1010">
            <v>0</v>
          </cell>
          <cell r="K1010">
            <v>0</v>
          </cell>
          <cell r="L1010">
            <v>0</v>
          </cell>
          <cell r="M1010">
            <v>0</v>
          </cell>
          <cell r="N1010">
            <v>0</v>
          </cell>
        </row>
        <row r="1012">
          <cell r="C1012" t="str">
            <v>KEWAUNEE</v>
          </cell>
          <cell r="E1012" t="str">
            <v>MUST</v>
          </cell>
          <cell r="F1012">
            <v>235.2</v>
          </cell>
          <cell r="G1012">
            <v>10750</v>
          </cell>
          <cell r="H1012">
            <v>0.47299999999999998</v>
          </cell>
          <cell r="I1012">
            <v>96.5</v>
          </cell>
          <cell r="J1012">
            <v>1982.7919999999999</v>
          </cell>
          <cell r="K1012">
            <v>10079</v>
          </cell>
          <cell r="L1012">
            <v>0</v>
          </cell>
          <cell r="M1012">
            <v>10079</v>
          </cell>
          <cell r="N1012">
            <v>5.08</v>
          </cell>
        </row>
        <row r="1013">
          <cell r="C1013" t="str">
            <v>COLUMBIA 1</v>
          </cell>
          <cell r="E1013" t="str">
            <v>MUST</v>
          </cell>
          <cell r="F1013">
            <v>247.20500000000001</v>
          </cell>
          <cell r="G1013">
            <v>10682</v>
          </cell>
          <cell r="H1013">
            <v>1.363</v>
          </cell>
          <cell r="I1013">
            <v>81.44</v>
          </cell>
          <cell r="J1013">
            <v>1758.828</v>
          </cell>
          <cell r="K1013">
            <v>25598</v>
          </cell>
          <cell r="L1013">
            <v>363</v>
          </cell>
          <cell r="M1013">
            <v>25961</v>
          </cell>
          <cell r="N1013">
            <v>14.76</v>
          </cell>
        </row>
        <row r="1014">
          <cell r="C1014" t="str">
            <v>COLUMBIA 2</v>
          </cell>
          <cell r="E1014" t="str">
            <v>MUST</v>
          </cell>
          <cell r="F1014">
            <v>247.09399999999999</v>
          </cell>
          <cell r="G1014">
            <v>10545</v>
          </cell>
          <cell r="H1014">
            <v>1.363</v>
          </cell>
          <cell r="I1014">
            <v>79.680000000000007</v>
          </cell>
          <cell r="J1014">
            <v>1720.0619999999999</v>
          </cell>
          <cell r="K1014">
            <v>24714</v>
          </cell>
          <cell r="L1014">
            <v>19</v>
          </cell>
          <cell r="M1014">
            <v>24732</v>
          </cell>
          <cell r="N1014">
            <v>14.38</v>
          </cell>
        </row>
        <row r="1015">
          <cell r="C1015" t="str">
            <v>EDGEWATER 3</v>
          </cell>
          <cell r="F1015">
            <v>76.3</v>
          </cell>
          <cell r="G1015">
            <v>11085</v>
          </cell>
          <cell r="H1015">
            <v>1.546</v>
          </cell>
          <cell r="I1015">
            <v>58.4</v>
          </cell>
          <cell r="J1015">
            <v>389.28100000000001</v>
          </cell>
          <cell r="K1015">
            <v>6673</v>
          </cell>
          <cell r="L1015">
            <v>114</v>
          </cell>
          <cell r="M1015">
            <v>6787</v>
          </cell>
          <cell r="N1015">
            <v>17.43</v>
          </cell>
        </row>
        <row r="1016">
          <cell r="C1016" t="str">
            <v>EDGEWATER 4</v>
          </cell>
          <cell r="F1016">
            <v>229.99799999999999</v>
          </cell>
          <cell r="G1016">
            <v>9971</v>
          </cell>
          <cell r="H1016">
            <v>1.46</v>
          </cell>
          <cell r="I1016">
            <v>66.709999999999994</v>
          </cell>
          <cell r="J1016">
            <v>1340.423</v>
          </cell>
          <cell r="K1016">
            <v>19512</v>
          </cell>
          <cell r="L1016">
            <v>378</v>
          </cell>
          <cell r="M1016">
            <v>19890</v>
          </cell>
          <cell r="N1016">
            <v>14.84</v>
          </cell>
        </row>
        <row r="1017">
          <cell r="C1017" t="str">
            <v>EDGEWATER 5</v>
          </cell>
          <cell r="E1017" t="str">
            <v>MUST</v>
          </cell>
          <cell r="F1017">
            <v>302.79300000000001</v>
          </cell>
          <cell r="G1017">
            <v>10072</v>
          </cell>
          <cell r="H1017">
            <v>1.341</v>
          </cell>
          <cell r="I1017">
            <v>73.47</v>
          </cell>
          <cell r="J1017">
            <v>1943.4760000000001</v>
          </cell>
          <cell r="K1017">
            <v>26247</v>
          </cell>
          <cell r="L1017">
            <v>127</v>
          </cell>
          <cell r="M1017">
            <v>26374</v>
          </cell>
          <cell r="N1017">
            <v>13.57</v>
          </cell>
        </row>
        <row r="1018">
          <cell r="C1018" t="str">
            <v>BLACKHAWK 3</v>
          </cell>
          <cell r="F1018">
            <v>24.9</v>
          </cell>
          <cell r="G1018">
            <v>11846</v>
          </cell>
          <cell r="H1018">
            <v>5.9930000000000003</v>
          </cell>
          <cell r="I1018">
            <v>1.6</v>
          </cell>
          <cell r="J1018">
            <v>3.4790000000000001</v>
          </cell>
          <cell r="K1018">
            <v>247</v>
          </cell>
          <cell r="L1018">
            <v>6</v>
          </cell>
          <cell r="M1018">
            <v>253</v>
          </cell>
          <cell r="N1018">
            <v>72.67</v>
          </cell>
        </row>
        <row r="1019">
          <cell r="C1019" t="str">
            <v>BLACKHAWK 4</v>
          </cell>
          <cell r="F1019">
            <v>25.1</v>
          </cell>
          <cell r="G1019">
            <v>11359</v>
          </cell>
          <cell r="H1019">
            <v>6.0069999999999997</v>
          </cell>
          <cell r="I1019">
            <v>1.74</v>
          </cell>
          <cell r="J1019">
            <v>3.8220000000000001</v>
          </cell>
          <cell r="K1019">
            <v>261</v>
          </cell>
          <cell r="L1019">
            <v>7</v>
          </cell>
          <cell r="M1019">
            <v>267</v>
          </cell>
          <cell r="N1019">
            <v>69.95</v>
          </cell>
        </row>
        <row r="1020">
          <cell r="C1020" t="str">
            <v>ROCK RIVER 1</v>
          </cell>
          <cell r="F1020">
            <v>74.7</v>
          </cell>
          <cell r="G1020">
            <v>10991</v>
          </cell>
          <cell r="H1020">
            <v>5.6420000000000003</v>
          </cell>
          <cell r="I1020">
            <v>10.7</v>
          </cell>
          <cell r="J1020">
            <v>69.820999999999998</v>
          </cell>
          <cell r="K1020">
            <v>4330</v>
          </cell>
          <cell r="L1020">
            <v>62</v>
          </cell>
          <cell r="M1020">
            <v>4392</v>
          </cell>
          <cell r="N1020">
            <v>62.91</v>
          </cell>
        </row>
        <row r="1021">
          <cell r="C1021" t="str">
            <v>ROCK RIVER 2</v>
          </cell>
          <cell r="F1021">
            <v>78.2</v>
          </cell>
          <cell r="G1021">
            <v>10915</v>
          </cell>
          <cell r="H1021">
            <v>5.6459999999999999</v>
          </cell>
          <cell r="I1021">
            <v>11.72</v>
          </cell>
          <cell r="J1021">
            <v>80.051000000000002</v>
          </cell>
          <cell r="K1021">
            <v>4933</v>
          </cell>
          <cell r="L1021">
            <v>67</v>
          </cell>
          <cell r="M1021">
            <v>5000</v>
          </cell>
          <cell r="N1021">
            <v>62.46</v>
          </cell>
        </row>
        <row r="1022">
          <cell r="C1022" t="str">
            <v>ROCK RIVER 3</v>
          </cell>
          <cell r="F1022">
            <v>31.241</v>
          </cell>
          <cell r="G1022">
            <v>19614</v>
          </cell>
          <cell r="H1022">
            <v>9.2850000000000001</v>
          </cell>
          <cell r="I1022">
            <v>0</v>
          </cell>
          <cell r="J1022">
            <v>0.01</v>
          </cell>
          <cell r="K1022">
            <v>2</v>
          </cell>
          <cell r="L1022">
            <v>0</v>
          </cell>
          <cell r="M1022">
            <v>2</v>
          </cell>
          <cell r="N1022">
            <v>209.57</v>
          </cell>
        </row>
        <row r="1023">
          <cell r="C1023" t="str">
            <v>ROCK RIVER 4</v>
          </cell>
          <cell r="F1023">
            <v>16.2</v>
          </cell>
          <cell r="G1023">
            <v>15792</v>
          </cell>
          <cell r="H1023">
            <v>12.397</v>
          </cell>
          <cell r="I1023">
            <v>0</v>
          </cell>
          <cell r="J1023">
            <v>5.0000000000000001E-3</v>
          </cell>
          <cell r="K1023">
            <v>1</v>
          </cell>
          <cell r="L1023">
            <v>0</v>
          </cell>
          <cell r="M1023">
            <v>1</v>
          </cell>
          <cell r="N1023">
            <v>237.08</v>
          </cell>
        </row>
        <row r="1024">
          <cell r="C1024" t="str">
            <v>ROCK RIVER 5</v>
          </cell>
          <cell r="F1024">
            <v>63.076000000000001</v>
          </cell>
          <cell r="G1024">
            <v>13078</v>
          </cell>
          <cell r="H1024">
            <v>6.1559999999999997</v>
          </cell>
          <cell r="I1024">
            <v>0.01</v>
          </cell>
          <cell r="J1024">
            <v>4.2999999999999997E-2</v>
          </cell>
          <cell r="K1024">
            <v>3</v>
          </cell>
          <cell r="L1024">
            <v>1</v>
          </cell>
          <cell r="M1024">
            <v>4</v>
          </cell>
          <cell r="N1024">
            <v>101.18</v>
          </cell>
        </row>
        <row r="1025">
          <cell r="C1025" t="str">
            <v>ROCK RIVER 6</v>
          </cell>
          <cell r="F1025">
            <v>63.335999999999999</v>
          </cell>
          <cell r="G1025">
            <v>13076</v>
          </cell>
          <cell r="H1025">
            <v>6.1559999999999997</v>
          </cell>
          <cell r="I1025">
            <v>0.01</v>
          </cell>
          <cell r="J1025">
            <v>3.2000000000000001E-2</v>
          </cell>
          <cell r="K1025">
            <v>3</v>
          </cell>
          <cell r="L1025">
            <v>1</v>
          </cell>
          <cell r="M1025">
            <v>3</v>
          </cell>
          <cell r="N1025">
            <v>102.1</v>
          </cell>
        </row>
        <row r="1026">
          <cell r="C1026" t="str">
            <v>SHEEPSKIN 1</v>
          </cell>
          <cell r="F1026">
            <v>37.6</v>
          </cell>
          <cell r="G1026">
            <v>14552</v>
          </cell>
          <cell r="H1026">
            <v>7.6050000000000004</v>
          </cell>
          <cell r="I1026">
            <v>0.01</v>
          </cell>
          <cell r="J1026">
            <v>2.1000000000000001E-2</v>
          </cell>
          <cell r="K1026">
            <v>2</v>
          </cell>
          <cell r="L1026">
            <v>1</v>
          </cell>
          <cell r="M1026">
            <v>3</v>
          </cell>
          <cell r="N1026">
            <v>137.22999999999999</v>
          </cell>
        </row>
        <row r="1027">
          <cell r="C1027" t="str">
            <v>SOUTH FDL 1</v>
          </cell>
          <cell r="F1027">
            <v>92.241</v>
          </cell>
          <cell r="G1027">
            <v>13348</v>
          </cell>
          <cell r="H1027">
            <v>6.1740000000000004</v>
          </cell>
          <cell r="I1027">
            <v>7.0000000000000007E-2</v>
          </cell>
          <cell r="J1027">
            <v>0.55800000000000005</v>
          </cell>
          <cell r="K1027">
            <v>46</v>
          </cell>
          <cell r="L1027">
            <v>4</v>
          </cell>
          <cell r="M1027">
            <v>50</v>
          </cell>
          <cell r="N1027">
            <v>89.57</v>
          </cell>
        </row>
        <row r="1028">
          <cell r="C1028" t="str">
            <v>SOUTH FDL 2</v>
          </cell>
          <cell r="F1028">
            <v>93.37</v>
          </cell>
          <cell r="G1028">
            <v>13363</v>
          </cell>
          <cell r="H1028">
            <v>6.173</v>
          </cell>
          <cell r="I1028">
            <v>0.04</v>
          </cell>
          <cell r="J1028">
            <v>0.34599999999999997</v>
          </cell>
          <cell r="K1028">
            <v>29</v>
          </cell>
          <cell r="L1028">
            <v>2</v>
          </cell>
          <cell r="M1028">
            <v>31</v>
          </cell>
          <cell r="N1028">
            <v>89.65</v>
          </cell>
        </row>
        <row r="1029">
          <cell r="C1029" t="str">
            <v>SOUTH FDL 3</v>
          </cell>
          <cell r="F1029">
            <v>87.87</v>
          </cell>
          <cell r="G1029">
            <v>13352</v>
          </cell>
          <cell r="H1029">
            <v>6.173</v>
          </cell>
          <cell r="I1029">
            <v>0.03</v>
          </cell>
          <cell r="J1029">
            <v>0.19700000000000001</v>
          </cell>
          <cell r="K1029">
            <v>16</v>
          </cell>
          <cell r="L1029">
            <v>1</v>
          </cell>
          <cell r="M1029">
            <v>18</v>
          </cell>
          <cell r="N1029">
            <v>89.59</v>
          </cell>
        </row>
        <row r="1030">
          <cell r="C1030" t="str">
            <v>SOUTH FDL 4</v>
          </cell>
          <cell r="F1030">
            <v>84.763000000000005</v>
          </cell>
          <cell r="G1030">
            <v>13346</v>
          </cell>
          <cell r="H1030">
            <v>6.173</v>
          </cell>
          <cell r="I1030">
            <v>0.02</v>
          </cell>
          <cell r="J1030">
            <v>0.11700000000000001</v>
          </cell>
          <cell r="K1030">
            <v>10</v>
          </cell>
          <cell r="L1030">
            <v>1</v>
          </cell>
          <cell r="M1030">
            <v>11</v>
          </cell>
          <cell r="N1030">
            <v>89.55</v>
          </cell>
        </row>
        <row r="1031">
          <cell r="C1031" t="str">
            <v>NELSON DEWEY 1</v>
          </cell>
          <cell r="F1031">
            <v>111.511</v>
          </cell>
          <cell r="G1031">
            <v>10059</v>
          </cell>
          <cell r="H1031">
            <v>1.2869999999999999</v>
          </cell>
          <cell r="I1031">
            <v>63.89</v>
          </cell>
          <cell r="J1031">
            <v>622.42999999999995</v>
          </cell>
          <cell r="K1031">
            <v>8057</v>
          </cell>
          <cell r="L1031">
            <v>432</v>
          </cell>
          <cell r="M1031">
            <v>8489</v>
          </cell>
          <cell r="N1031">
            <v>13.64</v>
          </cell>
        </row>
        <row r="1032">
          <cell r="C1032" t="str">
            <v>NELSON DEWEY 2</v>
          </cell>
          <cell r="F1032">
            <v>112.002</v>
          </cell>
          <cell r="G1032">
            <v>9906</v>
          </cell>
          <cell r="H1032">
            <v>1.2869999999999999</v>
          </cell>
          <cell r="I1032">
            <v>64.94</v>
          </cell>
          <cell r="J1032">
            <v>635.35500000000002</v>
          </cell>
          <cell r="K1032">
            <v>8099</v>
          </cell>
          <cell r="L1032">
            <v>455</v>
          </cell>
          <cell r="M1032">
            <v>8555</v>
          </cell>
          <cell r="N1032">
            <v>13.46</v>
          </cell>
        </row>
        <row r="1033">
          <cell r="C1033" t="str">
            <v>WPL HYDRO</v>
          </cell>
          <cell r="E1033" t="str">
            <v>MUST</v>
          </cell>
          <cell r="F1033">
            <v>27</v>
          </cell>
          <cell r="G1033">
            <v>0</v>
          </cell>
          <cell r="H1033">
            <v>0</v>
          </cell>
          <cell r="I1033">
            <v>92.14</v>
          </cell>
          <cell r="J1033">
            <v>217.33</v>
          </cell>
          <cell r="K1033">
            <v>0</v>
          </cell>
          <cell r="L1033">
            <v>0</v>
          </cell>
          <cell r="M1033">
            <v>0</v>
          </cell>
          <cell r="N1033">
            <v>0</v>
          </cell>
        </row>
        <row r="1034">
          <cell r="C1034" t="str">
            <v>BERLIN LFG WPL</v>
          </cell>
          <cell r="F1034">
            <v>2.2000000000000002</v>
          </cell>
          <cell r="G1034">
            <v>15000</v>
          </cell>
          <cell r="H1034">
            <v>0</v>
          </cell>
          <cell r="I1034">
            <v>78.75</v>
          </cell>
          <cell r="J1034">
            <v>15.135999999999999</v>
          </cell>
          <cell r="K1034">
            <v>0</v>
          </cell>
          <cell r="L1034">
            <v>394</v>
          </cell>
          <cell r="M1034">
            <v>394</v>
          </cell>
          <cell r="N1034">
            <v>26.05</v>
          </cell>
        </row>
        <row r="1035">
          <cell r="C1035" t="str">
            <v>RIVERSIDE</v>
          </cell>
          <cell r="F1035">
            <v>537.99</v>
          </cell>
          <cell r="G1035">
            <v>7757</v>
          </cell>
          <cell r="H1035">
            <v>5.81</v>
          </cell>
          <cell r="I1035">
            <v>31.17</v>
          </cell>
          <cell r="J1035">
            <v>1464.9570000000001</v>
          </cell>
          <cell r="K1035">
            <v>66018</v>
          </cell>
          <cell r="L1035">
            <v>908</v>
          </cell>
          <cell r="M1035">
            <v>66925</v>
          </cell>
          <cell r="N1035">
            <v>45.68</v>
          </cell>
        </row>
        <row r="1036">
          <cell r="C1036" t="str">
            <v>ROCKGEN #1</v>
          </cell>
          <cell r="F1036">
            <v>154.5</v>
          </cell>
          <cell r="G1036">
            <v>13469</v>
          </cell>
          <cell r="H1036">
            <v>5.7149999999999999</v>
          </cell>
          <cell r="I1036">
            <v>0.92</v>
          </cell>
          <cell r="J1036">
            <v>12.465</v>
          </cell>
          <cell r="K1036">
            <v>959</v>
          </cell>
          <cell r="L1036">
            <v>81</v>
          </cell>
          <cell r="M1036">
            <v>1040</v>
          </cell>
          <cell r="N1036">
            <v>83.46</v>
          </cell>
        </row>
        <row r="1037">
          <cell r="C1037" t="str">
            <v>ROCKGEN #2</v>
          </cell>
          <cell r="F1037">
            <v>154.5</v>
          </cell>
          <cell r="G1037">
            <v>13533</v>
          </cell>
          <cell r="H1037">
            <v>5.7080000000000002</v>
          </cell>
          <cell r="I1037">
            <v>0.43</v>
          </cell>
          <cell r="J1037">
            <v>5.8490000000000002</v>
          </cell>
          <cell r="K1037">
            <v>452</v>
          </cell>
          <cell r="L1037">
            <v>38</v>
          </cell>
          <cell r="M1037">
            <v>490</v>
          </cell>
          <cell r="N1037">
            <v>83.74</v>
          </cell>
        </row>
        <row r="1038">
          <cell r="C1038" t="str">
            <v>ROCKGEN #3</v>
          </cell>
          <cell r="F1038">
            <v>154.5</v>
          </cell>
          <cell r="G1038">
            <v>13594</v>
          </cell>
          <cell r="H1038">
            <v>5.7030000000000003</v>
          </cell>
          <cell r="I1038">
            <v>0.19</v>
          </cell>
          <cell r="J1038">
            <v>2.4980000000000002</v>
          </cell>
          <cell r="K1038">
            <v>194</v>
          </cell>
          <cell r="L1038">
            <v>16</v>
          </cell>
          <cell r="M1038">
            <v>210</v>
          </cell>
          <cell r="N1038">
            <v>84.02</v>
          </cell>
        </row>
        <row r="1039">
          <cell r="C1039" t="str">
            <v>BASE 100 ECONOMY</v>
          </cell>
          <cell r="F1039">
            <v>100</v>
          </cell>
          <cell r="G1039">
            <v>10000</v>
          </cell>
          <cell r="H1039">
            <v>3.63</v>
          </cell>
          <cell r="I1039">
            <v>88.63</v>
          </cell>
          <cell r="J1039">
            <v>774.26499999999999</v>
          </cell>
          <cell r="K1039">
            <v>28110</v>
          </cell>
          <cell r="L1039">
            <v>0</v>
          </cell>
          <cell r="M1039">
            <v>28110</v>
          </cell>
          <cell r="N1039">
            <v>36.299999999999997</v>
          </cell>
        </row>
        <row r="1040">
          <cell r="C1040" t="str">
            <v>OTHR 500 ECONOMY</v>
          </cell>
          <cell r="F1040">
            <v>500</v>
          </cell>
          <cell r="G1040">
            <v>10000</v>
          </cell>
          <cell r="H1040">
            <v>3.714</v>
          </cell>
          <cell r="I1040">
            <v>42.15</v>
          </cell>
          <cell r="J1040">
            <v>1841.3040000000001</v>
          </cell>
          <cell r="K1040">
            <v>68379</v>
          </cell>
          <cell r="L1040">
            <v>0</v>
          </cell>
          <cell r="M1040">
            <v>68379</v>
          </cell>
          <cell r="N1040">
            <v>37.14</v>
          </cell>
        </row>
        <row r="1041">
          <cell r="C1041" t="str">
            <v>FPL WIND PURCH</v>
          </cell>
          <cell r="E1041" t="str">
            <v>NDT</v>
          </cell>
          <cell r="F1041">
            <v>80</v>
          </cell>
          <cell r="G1041">
            <v>0</v>
          </cell>
          <cell r="H1041">
            <v>0</v>
          </cell>
          <cell r="I1041">
            <v>27.56</v>
          </cell>
          <cell r="J1041">
            <v>192.61</v>
          </cell>
          <cell r="K1041">
            <v>0</v>
          </cell>
          <cell r="L1041">
            <v>0</v>
          </cell>
          <cell r="M1041">
            <v>0</v>
          </cell>
          <cell r="N1041">
            <v>0</v>
          </cell>
        </row>
        <row r="1042">
          <cell r="C1042" t="str">
            <v>INV WIND PURCH</v>
          </cell>
          <cell r="E1042" t="str">
            <v>NDT</v>
          </cell>
          <cell r="F1042">
            <v>50</v>
          </cell>
          <cell r="G1042">
            <v>0</v>
          </cell>
          <cell r="H1042">
            <v>0</v>
          </cell>
          <cell r="I1042">
            <v>32.1</v>
          </cell>
          <cell r="J1042">
            <v>140.215</v>
          </cell>
          <cell r="K1042">
            <v>0</v>
          </cell>
          <cell r="L1042">
            <v>0</v>
          </cell>
          <cell r="M1042">
            <v>0</v>
          </cell>
          <cell r="N1042">
            <v>0</v>
          </cell>
        </row>
        <row r="1043">
          <cell r="C1043" t="str">
            <v>JANESVILLE PURCH</v>
          </cell>
          <cell r="F1043">
            <v>1.6</v>
          </cell>
          <cell r="G1043">
            <v>15000</v>
          </cell>
          <cell r="H1043">
            <v>0</v>
          </cell>
          <cell r="I1043">
            <v>54.39</v>
          </cell>
          <cell r="J1043">
            <v>7.6029999999999998</v>
          </cell>
          <cell r="K1043">
            <v>0</v>
          </cell>
          <cell r="L1043">
            <v>311</v>
          </cell>
          <cell r="M1043">
            <v>311</v>
          </cell>
          <cell r="N1043">
            <v>40.840000000000003</v>
          </cell>
        </row>
        <row r="1044">
          <cell r="C1044" t="str">
            <v>MINERGY    PURCH</v>
          </cell>
          <cell r="F1044">
            <v>6.5</v>
          </cell>
          <cell r="G1044">
            <v>15000</v>
          </cell>
          <cell r="H1044">
            <v>0</v>
          </cell>
          <cell r="I1044">
            <v>54.09</v>
          </cell>
          <cell r="J1044">
            <v>30.716000000000001</v>
          </cell>
          <cell r="K1044">
            <v>0</v>
          </cell>
          <cell r="L1044">
            <v>1254</v>
          </cell>
          <cell r="M1044">
            <v>1254</v>
          </cell>
          <cell r="N1044">
            <v>40.840000000000003</v>
          </cell>
        </row>
        <row r="1045">
          <cell r="C1045" t="str">
            <v>SUPERIOR   PURCH</v>
          </cell>
          <cell r="F1045">
            <v>2.2000000000000002</v>
          </cell>
          <cell r="G1045">
            <v>15000</v>
          </cell>
          <cell r="H1045">
            <v>0</v>
          </cell>
          <cell r="I1045">
            <v>53.86</v>
          </cell>
          <cell r="J1045">
            <v>10.351000000000001</v>
          </cell>
          <cell r="K1045">
            <v>0</v>
          </cell>
          <cell r="L1045">
            <v>423</v>
          </cell>
          <cell r="M1045">
            <v>423</v>
          </cell>
          <cell r="N1045">
            <v>40.840000000000003</v>
          </cell>
        </row>
        <row r="1046">
          <cell r="C1046" t="str">
            <v>WRPC HYDRO PURCH</v>
          </cell>
          <cell r="E1046" t="str">
            <v>MUST</v>
          </cell>
          <cell r="F1046">
            <v>13.2</v>
          </cell>
          <cell r="G1046">
            <v>0</v>
          </cell>
          <cell r="H1046">
            <v>0</v>
          </cell>
          <cell r="I1046">
            <v>44.83</v>
          </cell>
          <cell r="J1046">
            <v>51.7</v>
          </cell>
          <cell r="K1046">
            <v>0</v>
          </cell>
          <cell r="L1046">
            <v>0</v>
          </cell>
          <cell r="M1046">
            <v>0</v>
          </cell>
          <cell r="N1046">
            <v>0</v>
          </cell>
        </row>
        <row r="1047">
          <cell r="C1047" t="str">
            <v>SHEBOYGAN CT1</v>
          </cell>
          <cell r="F1047">
            <v>169.399</v>
          </cell>
          <cell r="G1047">
            <v>11294</v>
          </cell>
          <cell r="H1047">
            <v>5.7560000000000002</v>
          </cell>
          <cell r="I1047">
            <v>6.28</v>
          </cell>
          <cell r="J1047">
            <v>92.909000000000006</v>
          </cell>
          <cell r="K1047">
            <v>6040</v>
          </cell>
          <cell r="L1047">
            <v>452</v>
          </cell>
          <cell r="M1047">
            <v>6491</v>
          </cell>
          <cell r="N1047">
            <v>69.87</v>
          </cell>
        </row>
        <row r="1048">
          <cell r="C1048" t="str">
            <v>SHEBOYGAN CT2</v>
          </cell>
          <cell r="F1048">
            <v>169.399</v>
          </cell>
          <cell r="G1048">
            <v>11248</v>
          </cell>
          <cell r="H1048">
            <v>5.7359999999999998</v>
          </cell>
          <cell r="I1048">
            <v>3.45</v>
          </cell>
          <cell r="J1048">
            <v>51.024000000000001</v>
          </cell>
          <cell r="K1048">
            <v>3292</v>
          </cell>
          <cell r="L1048">
            <v>248</v>
          </cell>
          <cell r="M1048">
            <v>3540</v>
          </cell>
          <cell r="N1048">
            <v>69.38</v>
          </cell>
        </row>
        <row r="1049">
          <cell r="C1049" t="str">
            <v>NEW WIND-100MW</v>
          </cell>
          <cell r="D1049">
            <v>2006</v>
          </cell>
          <cell r="E1049" t="str">
            <v>NDT</v>
          </cell>
          <cell r="F1049">
            <v>100</v>
          </cell>
          <cell r="G1049">
            <v>0</v>
          </cell>
          <cell r="H1049">
            <v>0</v>
          </cell>
          <cell r="I1049">
            <v>27.56</v>
          </cell>
          <cell r="J1049">
            <v>240.76300000000001</v>
          </cell>
          <cell r="K1049">
            <v>0</v>
          </cell>
          <cell r="L1049">
            <v>8625</v>
          </cell>
          <cell r="M1049">
            <v>8625</v>
          </cell>
          <cell r="N1049">
            <v>35.83</v>
          </cell>
        </row>
        <row r="1050">
          <cell r="C1050" t="str">
            <v>PEAK PUR 1-YEAR 2008-1</v>
          </cell>
          <cell r="D1050">
            <v>2008</v>
          </cell>
          <cell r="F1050">
            <v>50</v>
          </cell>
          <cell r="G1050">
            <v>10000</v>
          </cell>
          <cell r="H1050">
            <v>0</v>
          </cell>
          <cell r="I1050">
            <v>2.09</v>
          </cell>
          <cell r="J1050">
            <v>9.1110000000000007</v>
          </cell>
          <cell r="K1050">
            <v>0</v>
          </cell>
          <cell r="L1050">
            <v>672</v>
          </cell>
          <cell r="M1050">
            <v>672</v>
          </cell>
          <cell r="N1050">
            <v>73.77</v>
          </cell>
        </row>
        <row r="1051">
          <cell r="C1051" t="str">
            <v>PEAK PUR 1-YEAR 2008-2</v>
          </cell>
          <cell r="D1051">
            <v>2008</v>
          </cell>
          <cell r="F1051">
            <v>50</v>
          </cell>
          <cell r="G1051">
            <v>10000</v>
          </cell>
          <cell r="H1051">
            <v>0</v>
          </cell>
          <cell r="I1051">
            <v>1.76</v>
          </cell>
          <cell r="J1051">
            <v>7.6909999999999998</v>
          </cell>
          <cell r="K1051">
            <v>0</v>
          </cell>
          <cell r="L1051">
            <v>567</v>
          </cell>
          <cell r="M1051">
            <v>567</v>
          </cell>
          <cell r="N1051">
            <v>73.77</v>
          </cell>
        </row>
        <row r="1052">
          <cell r="C1052" t="str">
            <v>PEAK PUR 1-YEAR 2008-3</v>
          </cell>
          <cell r="D1052">
            <v>2008</v>
          </cell>
          <cell r="F1052">
            <v>50</v>
          </cell>
          <cell r="G1052">
            <v>10000</v>
          </cell>
          <cell r="H1052">
            <v>0</v>
          </cell>
          <cell r="I1052">
            <v>1.47</v>
          </cell>
          <cell r="J1052">
            <v>6.4320000000000004</v>
          </cell>
          <cell r="K1052">
            <v>0</v>
          </cell>
          <cell r="L1052">
            <v>475</v>
          </cell>
          <cell r="M1052">
            <v>475</v>
          </cell>
          <cell r="N1052">
            <v>73.77</v>
          </cell>
        </row>
        <row r="1053">
          <cell r="C1053" t="str">
            <v>PEAK PUR 1-YEAR 2008-4</v>
          </cell>
          <cell r="D1053">
            <v>2008</v>
          </cell>
          <cell r="F1053">
            <v>50</v>
          </cell>
          <cell r="G1053">
            <v>10000</v>
          </cell>
          <cell r="H1053">
            <v>0</v>
          </cell>
          <cell r="I1053">
            <v>1.23</v>
          </cell>
          <cell r="J1053">
            <v>5.3769999999999998</v>
          </cell>
          <cell r="K1053">
            <v>0</v>
          </cell>
          <cell r="L1053">
            <v>397</v>
          </cell>
          <cell r="M1053">
            <v>397</v>
          </cell>
          <cell r="N1053">
            <v>73.77</v>
          </cell>
        </row>
        <row r="1054">
          <cell r="C1054" t="str">
            <v>SHARED SAVINGS</v>
          </cell>
          <cell r="D1054">
            <v>2005</v>
          </cell>
          <cell r="E1054" t="str">
            <v>HYDR</v>
          </cell>
          <cell r="F1054">
            <v>13.728</v>
          </cell>
          <cell r="G1054">
            <v>0</v>
          </cell>
          <cell r="H1054">
            <v>0</v>
          </cell>
          <cell r="I1054">
            <v>65.81</v>
          </cell>
          <cell r="J1054">
            <v>78.92</v>
          </cell>
          <cell r="K1054">
            <v>0</v>
          </cell>
          <cell r="L1054">
            <v>0</v>
          </cell>
          <cell r="M1054">
            <v>0</v>
          </cell>
          <cell r="N1054">
            <v>0</v>
          </cell>
        </row>
        <row r="1055">
          <cell r="C1055" t="str">
            <v>RES ENERGY FOCUS</v>
          </cell>
          <cell r="D1055">
            <v>2005</v>
          </cell>
          <cell r="E1055" t="str">
            <v>HYDR</v>
          </cell>
          <cell r="F1055">
            <v>10.42</v>
          </cell>
          <cell r="G1055">
            <v>0</v>
          </cell>
          <cell r="H1055">
            <v>0</v>
          </cell>
          <cell r="I1055">
            <v>39.5</v>
          </cell>
          <cell r="J1055">
            <v>35.96</v>
          </cell>
          <cell r="K1055">
            <v>0</v>
          </cell>
          <cell r="L1055">
            <v>0</v>
          </cell>
          <cell r="M1055">
            <v>0</v>
          </cell>
          <cell r="N1055">
            <v>0</v>
          </cell>
        </row>
        <row r="1056">
          <cell r="C1056" t="str">
            <v>WPL DLC PROGRAM</v>
          </cell>
          <cell r="D1056">
            <v>2005</v>
          </cell>
          <cell r="E1056" t="str">
            <v>HYDR</v>
          </cell>
          <cell r="F1056">
            <v>6</v>
          </cell>
          <cell r="G1056">
            <v>0</v>
          </cell>
          <cell r="H1056">
            <v>0</v>
          </cell>
          <cell r="I1056">
            <v>1.72</v>
          </cell>
          <cell r="J1056">
            <v>0.9</v>
          </cell>
          <cell r="K1056">
            <v>0</v>
          </cell>
          <cell r="L1056">
            <v>0</v>
          </cell>
          <cell r="M1056">
            <v>0</v>
          </cell>
          <cell r="N1056">
            <v>0</v>
          </cell>
        </row>
        <row r="1058">
          <cell r="C1058" t="str">
            <v>KEWAUNEE</v>
          </cell>
          <cell r="E1058" t="str">
            <v>MUST</v>
          </cell>
          <cell r="F1058">
            <v>235.2</v>
          </cell>
          <cell r="G1058">
            <v>10750</v>
          </cell>
          <cell r="H1058">
            <v>0.504</v>
          </cell>
          <cell r="I1058">
            <v>89.08</v>
          </cell>
          <cell r="J1058">
            <v>1830.27</v>
          </cell>
          <cell r="K1058">
            <v>9921</v>
          </cell>
          <cell r="L1058">
            <v>0</v>
          </cell>
          <cell r="M1058">
            <v>9921</v>
          </cell>
          <cell r="N1058">
            <v>5.42</v>
          </cell>
        </row>
        <row r="1059">
          <cell r="C1059" t="str">
            <v>COLUMBIA 1</v>
          </cell>
          <cell r="E1059" t="str">
            <v>MUST</v>
          </cell>
          <cell r="F1059">
            <v>247.20500000000001</v>
          </cell>
          <cell r="G1059">
            <v>10682</v>
          </cell>
          <cell r="H1059">
            <v>1.3879999999999999</v>
          </cell>
          <cell r="I1059">
            <v>81.44</v>
          </cell>
          <cell r="J1059">
            <v>1758.828</v>
          </cell>
          <cell r="K1059">
            <v>26084</v>
          </cell>
          <cell r="L1059">
            <v>371</v>
          </cell>
          <cell r="M1059">
            <v>26456</v>
          </cell>
          <cell r="N1059">
            <v>15.04</v>
          </cell>
        </row>
        <row r="1060">
          <cell r="C1060" t="str">
            <v>COLUMBIA 2</v>
          </cell>
          <cell r="E1060" t="str">
            <v>MUST</v>
          </cell>
          <cell r="F1060">
            <v>247.09399999999999</v>
          </cell>
          <cell r="G1060">
            <v>10545</v>
          </cell>
          <cell r="H1060">
            <v>1.3879999999999999</v>
          </cell>
          <cell r="I1060">
            <v>79.69</v>
          </cell>
          <cell r="J1060">
            <v>1720.296</v>
          </cell>
          <cell r="K1060">
            <v>25187</v>
          </cell>
          <cell r="L1060">
            <v>19</v>
          </cell>
          <cell r="M1060">
            <v>25206</v>
          </cell>
          <cell r="N1060">
            <v>14.65</v>
          </cell>
        </row>
        <row r="1061">
          <cell r="C1061" t="str">
            <v>EDGEWATER 3</v>
          </cell>
          <cell r="F1061">
            <v>76.3</v>
          </cell>
          <cell r="G1061">
            <v>11083</v>
          </cell>
          <cell r="H1061">
            <v>1.5760000000000001</v>
          </cell>
          <cell r="I1061">
            <v>64.88</v>
          </cell>
          <cell r="J1061">
            <v>432.49400000000003</v>
          </cell>
          <cell r="K1061">
            <v>7553</v>
          </cell>
          <cell r="L1061">
            <v>130</v>
          </cell>
          <cell r="M1061">
            <v>7683</v>
          </cell>
          <cell r="N1061">
            <v>17.760000000000002</v>
          </cell>
        </row>
        <row r="1062">
          <cell r="C1062" t="str">
            <v>EDGEWATER 4</v>
          </cell>
          <cell r="F1062">
            <v>229.99799999999999</v>
          </cell>
          <cell r="G1062">
            <v>9971</v>
          </cell>
          <cell r="H1062">
            <v>1.488</v>
          </cell>
          <cell r="I1062">
            <v>66.849999999999994</v>
          </cell>
          <cell r="J1062">
            <v>1343.2739999999999</v>
          </cell>
          <cell r="K1062">
            <v>19923</v>
          </cell>
          <cell r="L1062">
            <v>388</v>
          </cell>
          <cell r="M1062">
            <v>20312</v>
          </cell>
          <cell r="N1062">
            <v>15.12</v>
          </cell>
        </row>
        <row r="1063">
          <cell r="C1063" t="str">
            <v>EDGEWATER 5</v>
          </cell>
          <cell r="E1063" t="str">
            <v>MUST</v>
          </cell>
          <cell r="F1063">
            <v>302.79300000000001</v>
          </cell>
          <cell r="G1063">
            <v>10072</v>
          </cell>
          <cell r="H1063">
            <v>1.3660000000000001</v>
          </cell>
          <cell r="I1063">
            <v>73.47</v>
          </cell>
          <cell r="J1063">
            <v>1943.471</v>
          </cell>
          <cell r="K1063">
            <v>26746</v>
          </cell>
          <cell r="L1063">
            <v>130</v>
          </cell>
          <cell r="M1063">
            <v>26876</v>
          </cell>
          <cell r="N1063">
            <v>13.83</v>
          </cell>
        </row>
        <row r="1064">
          <cell r="C1064" t="str">
            <v>BLACKHAWK 3</v>
          </cell>
          <cell r="F1064">
            <v>24.9</v>
          </cell>
          <cell r="G1064">
            <v>11853</v>
          </cell>
          <cell r="H1064">
            <v>5.6890000000000001</v>
          </cell>
          <cell r="I1064">
            <v>2.2400000000000002</v>
          </cell>
          <cell r="J1064">
            <v>4.8719999999999999</v>
          </cell>
          <cell r="K1064">
            <v>329</v>
          </cell>
          <cell r="L1064">
            <v>8</v>
          </cell>
          <cell r="M1064">
            <v>337</v>
          </cell>
          <cell r="N1064">
            <v>69.150000000000006</v>
          </cell>
        </row>
        <row r="1065">
          <cell r="C1065" t="str">
            <v>BLACKHAWK 4</v>
          </cell>
          <cell r="F1065">
            <v>25.1</v>
          </cell>
          <cell r="G1065">
            <v>11339</v>
          </cell>
          <cell r="H1065">
            <v>5.694</v>
          </cell>
          <cell r="I1065">
            <v>2.34</v>
          </cell>
          <cell r="J1065">
            <v>5.1289999999999996</v>
          </cell>
          <cell r="K1065">
            <v>331</v>
          </cell>
          <cell r="L1065">
            <v>9</v>
          </cell>
          <cell r="M1065">
            <v>340</v>
          </cell>
          <cell r="N1065">
            <v>66.319999999999993</v>
          </cell>
        </row>
        <row r="1066">
          <cell r="C1066" t="str">
            <v>ROCK RIVER 1</v>
          </cell>
          <cell r="F1066">
            <v>74.7</v>
          </cell>
          <cell r="G1066">
            <v>10981</v>
          </cell>
          <cell r="H1066">
            <v>5.35</v>
          </cell>
          <cell r="I1066">
            <v>14.08</v>
          </cell>
          <cell r="J1066">
            <v>91.908000000000001</v>
          </cell>
          <cell r="K1066">
            <v>5400</v>
          </cell>
          <cell r="L1066">
            <v>84</v>
          </cell>
          <cell r="M1066">
            <v>5484</v>
          </cell>
          <cell r="N1066">
            <v>59.67</v>
          </cell>
        </row>
        <row r="1067">
          <cell r="C1067" t="str">
            <v>ROCK RIVER 2</v>
          </cell>
          <cell r="F1067">
            <v>78.2</v>
          </cell>
          <cell r="G1067">
            <v>10912</v>
          </cell>
          <cell r="H1067">
            <v>5.3470000000000004</v>
          </cell>
          <cell r="I1067">
            <v>15.68</v>
          </cell>
          <cell r="J1067">
            <v>107.107</v>
          </cell>
          <cell r="K1067">
            <v>6250</v>
          </cell>
          <cell r="L1067">
            <v>92</v>
          </cell>
          <cell r="M1067">
            <v>6341</v>
          </cell>
          <cell r="N1067">
            <v>59.2</v>
          </cell>
        </row>
        <row r="1068">
          <cell r="C1068" t="str">
            <v>ROCK RIVER 3</v>
          </cell>
          <cell r="F1068">
            <v>31.241</v>
          </cell>
          <cell r="G1068">
            <v>19526</v>
          </cell>
          <cell r="H1068">
            <v>8.7929999999999993</v>
          </cell>
          <cell r="I1068">
            <v>0</v>
          </cell>
          <cell r="J1068">
            <v>0.01</v>
          </cell>
          <cell r="K1068">
            <v>2</v>
          </cell>
          <cell r="L1068">
            <v>0</v>
          </cell>
          <cell r="M1068">
            <v>2</v>
          </cell>
          <cell r="N1068">
            <v>199.79</v>
          </cell>
        </row>
        <row r="1069">
          <cell r="C1069" t="str">
            <v>ROCK RIVER 4</v>
          </cell>
          <cell r="F1069">
            <v>16.2</v>
          </cell>
          <cell r="G1069">
            <v>15780</v>
          </cell>
          <cell r="H1069">
            <v>11.74</v>
          </cell>
          <cell r="I1069">
            <v>0</v>
          </cell>
          <cell r="J1069">
            <v>6.0000000000000001E-3</v>
          </cell>
          <cell r="K1069">
            <v>1</v>
          </cell>
          <cell r="L1069">
            <v>0</v>
          </cell>
          <cell r="M1069">
            <v>1</v>
          </cell>
          <cell r="N1069">
            <v>227.56</v>
          </cell>
        </row>
        <row r="1070">
          <cell r="C1070" t="str">
            <v>ROCK RIVER 5</v>
          </cell>
          <cell r="F1070">
            <v>63.076000000000001</v>
          </cell>
          <cell r="G1070">
            <v>13069</v>
          </cell>
          <cell r="H1070">
            <v>5.83</v>
          </cell>
          <cell r="I1070">
            <v>0.01</v>
          </cell>
          <cell r="J1070">
            <v>4.5999999999999999E-2</v>
          </cell>
          <cell r="K1070">
            <v>4</v>
          </cell>
          <cell r="L1070">
            <v>1</v>
          </cell>
          <cell r="M1070">
            <v>4</v>
          </cell>
          <cell r="N1070">
            <v>97.35</v>
          </cell>
        </row>
        <row r="1071">
          <cell r="C1071" t="str">
            <v>ROCK RIVER 6</v>
          </cell>
          <cell r="F1071">
            <v>63.335999999999999</v>
          </cell>
          <cell r="G1071">
            <v>13068</v>
          </cell>
          <cell r="H1071">
            <v>5.83</v>
          </cell>
          <cell r="I1071">
            <v>0.01</v>
          </cell>
          <cell r="J1071">
            <v>3.4000000000000002E-2</v>
          </cell>
          <cell r="K1071">
            <v>3</v>
          </cell>
          <cell r="L1071">
            <v>1</v>
          </cell>
          <cell r="M1071">
            <v>3</v>
          </cell>
          <cell r="N1071">
            <v>98.31</v>
          </cell>
        </row>
        <row r="1072">
          <cell r="C1072" t="str">
            <v>SHEEPSKIN 1</v>
          </cell>
          <cell r="F1072">
            <v>37.6</v>
          </cell>
          <cell r="G1072">
            <v>14543</v>
          </cell>
          <cell r="H1072">
            <v>7.202</v>
          </cell>
          <cell r="I1072">
            <v>0.01</v>
          </cell>
          <cell r="J1072">
            <v>2.1999999999999999E-2</v>
          </cell>
          <cell r="K1072">
            <v>2</v>
          </cell>
          <cell r="L1072">
            <v>1</v>
          </cell>
          <cell r="M1072">
            <v>3</v>
          </cell>
          <cell r="N1072">
            <v>131.94</v>
          </cell>
        </row>
        <row r="1073">
          <cell r="C1073" t="str">
            <v>SOUTH FDL 1</v>
          </cell>
          <cell r="F1073">
            <v>92.241</v>
          </cell>
          <cell r="G1073">
            <v>13346</v>
          </cell>
          <cell r="H1073">
            <v>5.8470000000000004</v>
          </cell>
          <cell r="I1073">
            <v>7.0000000000000007E-2</v>
          </cell>
          <cell r="J1073">
            <v>0.58799999999999997</v>
          </cell>
          <cell r="K1073">
            <v>46</v>
          </cell>
          <cell r="L1073">
            <v>4</v>
          </cell>
          <cell r="M1073">
            <v>50</v>
          </cell>
          <cell r="N1073">
            <v>85.37</v>
          </cell>
        </row>
        <row r="1074">
          <cell r="C1074" t="str">
            <v>SOUTH FDL 2</v>
          </cell>
          <cell r="F1074">
            <v>93.37</v>
          </cell>
          <cell r="G1074">
            <v>13359</v>
          </cell>
          <cell r="H1074">
            <v>5.8460000000000001</v>
          </cell>
          <cell r="I1074">
            <v>0.04</v>
          </cell>
          <cell r="J1074">
            <v>0.36599999999999999</v>
          </cell>
          <cell r="K1074">
            <v>29</v>
          </cell>
          <cell r="L1074">
            <v>3</v>
          </cell>
          <cell r="M1074">
            <v>31</v>
          </cell>
          <cell r="N1074">
            <v>85.43</v>
          </cell>
        </row>
        <row r="1075">
          <cell r="C1075" t="str">
            <v>SOUTH FDL 3</v>
          </cell>
          <cell r="F1075">
            <v>87.87</v>
          </cell>
          <cell r="G1075">
            <v>13351</v>
          </cell>
          <cell r="H1075">
            <v>5.8460000000000001</v>
          </cell>
          <cell r="I1075">
            <v>0.03</v>
          </cell>
          <cell r="J1075">
            <v>0.20899999999999999</v>
          </cell>
          <cell r="K1075">
            <v>16</v>
          </cell>
          <cell r="L1075">
            <v>2</v>
          </cell>
          <cell r="M1075">
            <v>18</v>
          </cell>
          <cell r="N1075">
            <v>85.38</v>
          </cell>
        </row>
        <row r="1076">
          <cell r="C1076" t="str">
            <v>SOUTH FDL 4</v>
          </cell>
          <cell r="F1076">
            <v>84.763000000000005</v>
          </cell>
          <cell r="G1076">
            <v>13347</v>
          </cell>
          <cell r="H1076">
            <v>5.8460000000000001</v>
          </cell>
          <cell r="I1076">
            <v>0.02</v>
          </cell>
          <cell r="J1076">
            <v>0.125</v>
          </cell>
          <cell r="K1076">
            <v>10</v>
          </cell>
          <cell r="L1076">
            <v>1</v>
          </cell>
          <cell r="M1076">
            <v>11</v>
          </cell>
          <cell r="N1076">
            <v>85.36</v>
          </cell>
        </row>
        <row r="1077">
          <cell r="C1077" t="str">
            <v>NELSON DEWEY 1</v>
          </cell>
          <cell r="F1077">
            <v>111.511</v>
          </cell>
          <cell r="G1077">
            <v>10057</v>
          </cell>
          <cell r="H1077">
            <v>1.3109999999999999</v>
          </cell>
          <cell r="I1077">
            <v>64.67</v>
          </cell>
          <cell r="J1077">
            <v>629.97699999999998</v>
          </cell>
          <cell r="K1077">
            <v>8308</v>
          </cell>
          <cell r="L1077">
            <v>448</v>
          </cell>
          <cell r="M1077">
            <v>8756</v>
          </cell>
          <cell r="N1077">
            <v>13.9</v>
          </cell>
        </row>
        <row r="1078">
          <cell r="C1078" t="str">
            <v>NELSON DEWEY 2</v>
          </cell>
          <cell r="F1078">
            <v>112.002</v>
          </cell>
          <cell r="G1078">
            <v>9905</v>
          </cell>
          <cell r="H1078">
            <v>1.3109999999999999</v>
          </cell>
          <cell r="I1078">
            <v>61.4</v>
          </cell>
          <cell r="J1078">
            <v>600.73</v>
          </cell>
          <cell r="K1078">
            <v>7803</v>
          </cell>
          <cell r="L1078">
            <v>441</v>
          </cell>
          <cell r="M1078">
            <v>8243</v>
          </cell>
          <cell r="N1078">
            <v>13.72</v>
          </cell>
        </row>
        <row r="1079">
          <cell r="C1079" t="str">
            <v>WPL HYDRO</v>
          </cell>
          <cell r="E1079" t="str">
            <v>MUST</v>
          </cell>
          <cell r="F1079">
            <v>27</v>
          </cell>
          <cell r="G1079">
            <v>0</v>
          </cell>
          <cell r="H1079">
            <v>0</v>
          </cell>
          <cell r="I1079">
            <v>92.14</v>
          </cell>
          <cell r="J1079">
            <v>217.33</v>
          </cell>
          <cell r="K1079">
            <v>0</v>
          </cell>
          <cell r="L1079">
            <v>0</v>
          </cell>
          <cell r="M1079">
            <v>0</v>
          </cell>
          <cell r="N1079">
            <v>0</v>
          </cell>
        </row>
        <row r="1080">
          <cell r="C1080" t="str">
            <v>BERLIN LFG WPL</v>
          </cell>
          <cell r="F1080">
            <v>2.2000000000000002</v>
          </cell>
          <cell r="G1080">
            <v>15000</v>
          </cell>
          <cell r="H1080">
            <v>0</v>
          </cell>
          <cell r="I1080">
            <v>80.55</v>
          </cell>
          <cell r="J1080">
            <v>15.481999999999999</v>
          </cell>
          <cell r="K1080">
            <v>0</v>
          </cell>
          <cell r="L1080">
            <v>413</v>
          </cell>
          <cell r="M1080">
            <v>413</v>
          </cell>
          <cell r="N1080">
            <v>26.68</v>
          </cell>
        </row>
        <row r="1081">
          <cell r="C1081" t="str">
            <v>RIVERSIDE</v>
          </cell>
          <cell r="F1081">
            <v>537.99</v>
          </cell>
          <cell r="G1081">
            <v>7629</v>
          </cell>
          <cell r="H1081">
            <v>5.492</v>
          </cell>
          <cell r="I1081">
            <v>42.15</v>
          </cell>
          <cell r="J1081">
            <v>1980.867</v>
          </cell>
          <cell r="K1081">
            <v>82993</v>
          </cell>
          <cell r="L1081">
            <v>1217</v>
          </cell>
          <cell r="M1081">
            <v>84209</v>
          </cell>
          <cell r="N1081">
            <v>42.51</v>
          </cell>
        </row>
        <row r="1082">
          <cell r="C1082" t="str">
            <v>ROCKGEN #1P</v>
          </cell>
          <cell r="F1082">
            <v>154.5</v>
          </cell>
          <cell r="G1082">
            <v>13454</v>
          </cell>
          <cell r="H1082">
            <v>5.4089999999999998</v>
          </cell>
          <cell r="I1082">
            <v>0.93</v>
          </cell>
          <cell r="J1082">
            <v>12.489000000000001</v>
          </cell>
          <cell r="K1082">
            <v>909</v>
          </cell>
          <cell r="L1082">
            <v>92</v>
          </cell>
          <cell r="M1082">
            <v>1001</v>
          </cell>
          <cell r="N1082">
            <v>80.11</v>
          </cell>
        </row>
        <row r="1083">
          <cell r="C1083" t="str">
            <v>ROCKGEN #2P</v>
          </cell>
          <cell r="F1083">
            <v>154.5</v>
          </cell>
          <cell r="G1083">
            <v>13518</v>
          </cell>
          <cell r="H1083">
            <v>5.4039999999999999</v>
          </cell>
          <cell r="I1083">
            <v>0.44</v>
          </cell>
          <cell r="J1083">
            <v>5.96</v>
          </cell>
          <cell r="K1083">
            <v>435</v>
          </cell>
          <cell r="L1083">
            <v>44</v>
          </cell>
          <cell r="M1083">
            <v>479</v>
          </cell>
          <cell r="N1083">
            <v>80.39</v>
          </cell>
        </row>
        <row r="1084">
          <cell r="C1084" t="str">
            <v>ROCKGEN #3P</v>
          </cell>
          <cell r="F1084">
            <v>154.5</v>
          </cell>
          <cell r="G1084">
            <v>13585</v>
          </cell>
          <cell r="H1084">
            <v>5.4029999999999996</v>
          </cell>
          <cell r="I1084">
            <v>0.19</v>
          </cell>
          <cell r="J1084">
            <v>2.609</v>
          </cell>
          <cell r="K1084">
            <v>192</v>
          </cell>
          <cell r="L1084">
            <v>19</v>
          </cell>
          <cell r="M1084">
            <v>211</v>
          </cell>
          <cell r="N1084">
            <v>80.739999999999995</v>
          </cell>
        </row>
        <row r="1085">
          <cell r="C1085" t="str">
            <v>BASE 100 ECONOMY</v>
          </cell>
          <cell r="F1085">
            <v>100</v>
          </cell>
          <cell r="G1085">
            <v>10000</v>
          </cell>
          <cell r="H1085">
            <v>3.5630000000000002</v>
          </cell>
          <cell r="I1085">
            <v>86.77</v>
          </cell>
          <cell r="J1085">
            <v>757.99400000000003</v>
          </cell>
          <cell r="K1085">
            <v>27011</v>
          </cell>
          <cell r="L1085">
            <v>0</v>
          </cell>
          <cell r="M1085">
            <v>27011</v>
          </cell>
          <cell r="N1085">
            <v>35.630000000000003</v>
          </cell>
        </row>
        <row r="1086">
          <cell r="C1086" t="str">
            <v>OTHR 500 ECONOMY</v>
          </cell>
          <cell r="F1086">
            <v>500</v>
          </cell>
          <cell r="G1086">
            <v>10000</v>
          </cell>
          <cell r="H1086">
            <v>3.629</v>
          </cell>
          <cell r="I1086">
            <v>40.86</v>
          </cell>
          <cell r="J1086">
            <v>1784.875</v>
          </cell>
          <cell r="K1086">
            <v>64769</v>
          </cell>
          <cell r="L1086">
            <v>0</v>
          </cell>
          <cell r="M1086">
            <v>64769</v>
          </cell>
          <cell r="N1086">
            <v>36.29</v>
          </cell>
        </row>
        <row r="1087">
          <cell r="C1087" t="str">
            <v>FPL WIND PURCH</v>
          </cell>
          <cell r="E1087" t="str">
            <v>NDT</v>
          </cell>
          <cell r="F1087">
            <v>80</v>
          </cell>
          <cell r="G1087">
            <v>0</v>
          </cell>
          <cell r="H1087">
            <v>0</v>
          </cell>
          <cell r="I1087">
            <v>27.56</v>
          </cell>
          <cell r="J1087">
            <v>192.61</v>
          </cell>
          <cell r="K1087">
            <v>0</v>
          </cell>
          <cell r="L1087">
            <v>0</v>
          </cell>
          <cell r="M1087">
            <v>0</v>
          </cell>
          <cell r="N1087">
            <v>0</v>
          </cell>
        </row>
        <row r="1088">
          <cell r="C1088" t="str">
            <v>INV WIND PURCH</v>
          </cell>
          <cell r="E1088" t="str">
            <v>NDT</v>
          </cell>
          <cell r="F1088">
            <v>50</v>
          </cell>
          <cell r="G1088">
            <v>0</v>
          </cell>
          <cell r="H1088">
            <v>0</v>
          </cell>
          <cell r="I1088">
            <v>32.1</v>
          </cell>
          <cell r="J1088">
            <v>140.215</v>
          </cell>
          <cell r="K1088">
            <v>0</v>
          </cell>
          <cell r="L1088">
            <v>0</v>
          </cell>
          <cell r="M1088">
            <v>0</v>
          </cell>
          <cell r="N1088">
            <v>0</v>
          </cell>
        </row>
        <row r="1089">
          <cell r="C1089" t="str">
            <v>JANESVILLE PURCH</v>
          </cell>
          <cell r="F1089">
            <v>1.6</v>
          </cell>
          <cell r="G1089">
            <v>15000</v>
          </cell>
          <cell r="H1089">
            <v>0</v>
          </cell>
          <cell r="I1089">
            <v>34.369999999999997</v>
          </cell>
          <cell r="J1089">
            <v>4.8040000000000003</v>
          </cell>
          <cell r="K1089">
            <v>0</v>
          </cell>
          <cell r="L1089">
            <v>201</v>
          </cell>
          <cell r="M1089">
            <v>201</v>
          </cell>
          <cell r="N1089">
            <v>41.86</v>
          </cell>
        </row>
        <row r="1090">
          <cell r="C1090" t="str">
            <v>SUPERIOR   PURCH</v>
          </cell>
          <cell r="F1090">
            <v>2.2000000000000002</v>
          </cell>
          <cell r="G1090">
            <v>15000</v>
          </cell>
          <cell r="H1090">
            <v>0</v>
          </cell>
          <cell r="I1090">
            <v>34.24</v>
          </cell>
          <cell r="J1090">
            <v>6.5810000000000004</v>
          </cell>
          <cell r="K1090">
            <v>0</v>
          </cell>
          <cell r="L1090">
            <v>275</v>
          </cell>
          <cell r="M1090">
            <v>275</v>
          </cell>
          <cell r="N1090">
            <v>41.86</v>
          </cell>
        </row>
        <row r="1091">
          <cell r="C1091" t="str">
            <v>WRPC HYDRO PURCH</v>
          </cell>
          <cell r="E1091" t="str">
            <v>MUST</v>
          </cell>
          <cell r="F1091">
            <v>13.2</v>
          </cell>
          <cell r="G1091">
            <v>0</v>
          </cell>
          <cell r="H1091">
            <v>0</v>
          </cell>
          <cell r="I1091">
            <v>44.83</v>
          </cell>
          <cell r="J1091">
            <v>51.7</v>
          </cell>
          <cell r="K1091">
            <v>0</v>
          </cell>
          <cell r="L1091">
            <v>0</v>
          </cell>
          <cell r="M1091">
            <v>0</v>
          </cell>
          <cell r="N1091">
            <v>0</v>
          </cell>
        </row>
        <row r="1092">
          <cell r="C1092" t="str">
            <v>SHEBOYGAN CT1</v>
          </cell>
          <cell r="F1092">
            <v>169.399</v>
          </cell>
          <cell r="G1092">
            <v>11290</v>
          </cell>
          <cell r="H1092">
            <v>5.45</v>
          </cell>
          <cell r="I1092">
            <v>8.76</v>
          </cell>
          <cell r="J1092">
            <v>129.61099999999999</v>
          </cell>
          <cell r="K1092">
            <v>7975</v>
          </cell>
          <cell r="L1092">
            <v>646</v>
          </cell>
          <cell r="M1092">
            <v>8621</v>
          </cell>
          <cell r="N1092">
            <v>66.510000000000005</v>
          </cell>
        </row>
        <row r="1093">
          <cell r="C1093" t="str">
            <v>SHEBOYGAN CT2</v>
          </cell>
          <cell r="F1093">
            <v>169.399</v>
          </cell>
          <cell r="G1093">
            <v>11277</v>
          </cell>
          <cell r="H1093">
            <v>5.4370000000000003</v>
          </cell>
          <cell r="I1093">
            <v>4.75</v>
          </cell>
          <cell r="J1093">
            <v>70.272000000000006</v>
          </cell>
          <cell r="K1093">
            <v>4309</v>
          </cell>
          <cell r="L1093">
            <v>350</v>
          </cell>
          <cell r="M1093">
            <v>4658</v>
          </cell>
          <cell r="N1093">
            <v>66.290000000000006</v>
          </cell>
        </row>
        <row r="1094">
          <cell r="C1094" t="str">
            <v>NEW WIND-100MW</v>
          </cell>
          <cell r="D1094">
            <v>2006</v>
          </cell>
          <cell r="E1094" t="str">
            <v>NDT</v>
          </cell>
          <cell r="F1094">
            <v>100</v>
          </cell>
          <cell r="G1094">
            <v>0</v>
          </cell>
          <cell r="H1094">
            <v>0</v>
          </cell>
          <cell r="I1094">
            <v>27.56</v>
          </cell>
          <cell r="J1094">
            <v>240.76300000000001</v>
          </cell>
          <cell r="K1094">
            <v>0</v>
          </cell>
          <cell r="L1094">
            <v>8832</v>
          </cell>
          <cell r="M1094">
            <v>8832</v>
          </cell>
          <cell r="N1094">
            <v>36.69</v>
          </cell>
        </row>
        <row r="1095">
          <cell r="C1095" t="str">
            <v>PEAK PUR 1-YEAR 2009-1</v>
          </cell>
          <cell r="D1095">
            <v>2009</v>
          </cell>
          <cell r="F1095">
            <v>50</v>
          </cell>
          <cell r="G1095">
            <v>10000</v>
          </cell>
          <cell r="H1095">
            <v>0</v>
          </cell>
          <cell r="I1095">
            <v>2.8</v>
          </cell>
          <cell r="J1095">
            <v>12.223000000000001</v>
          </cell>
          <cell r="K1095">
            <v>0</v>
          </cell>
          <cell r="L1095">
            <v>894</v>
          </cell>
          <cell r="M1095">
            <v>894</v>
          </cell>
          <cell r="N1095">
            <v>73.11</v>
          </cell>
        </row>
        <row r="1096">
          <cell r="C1096" t="str">
            <v>PEAK PUR 1-YEAR 2009-2</v>
          </cell>
          <cell r="D1096">
            <v>2009</v>
          </cell>
          <cell r="F1096">
            <v>50</v>
          </cell>
          <cell r="G1096">
            <v>10000</v>
          </cell>
          <cell r="H1096">
            <v>0</v>
          </cell>
          <cell r="I1096">
            <v>2.38</v>
          </cell>
          <cell r="J1096">
            <v>10.404</v>
          </cell>
          <cell r="K1096">
            <v>0</v>
          </cell>
          <cell r="L1096">
            <v>761</v>
          </cell>
          <cell r="M1096">
            <v>761</v>
          </cell>
          <cell r="N1096">
            <v>73.11</v>
          </cell>
        </row>
        <row r="1097">
          <cell r="C1097" t="str">
            <v>PEAK PUR 1-YEAR 2009-3</v>
          </cell>
          <cell r="D1097">
            <v>2009</v>
          </cell>
          <cell r="F1097">
            <v>50</v>
          </cell>
          <cell r="G1097">
            <v>10000</v>
          </cell>
          <cell r="H1097">
            <v>0</v>
          </cell>
          <cell r="I1097">
            <v>2.02</v>
          </cell>
          <cell r="J1097">
            <v>8.8350000000000009</v>
          </cell>
          <cell r="K1097">
            <v>0</v>
          </cell>
          <cell r="L1097">
            <v>646</v>
          </cell>
          <cell r="M1097">
            <v>646</v>
          </cell>
          <cell r="N1097">
            <v>73.11</v>
          </cell>
        </row>
        <row r="1098">
          <cell r="C1098" t="str">
            <v>PEAK PUR 1-YEAR 2009-4</v>
          </cell>
          <cell r="D1098">
            <v>2009</v>
          </cell>
          <cell r="F1098">
            <v>50</v>
          </cell>
          <cell r="G1098">
            <v>10000</v>
          </cell>
          <cell r="H1098">
            <v>0</v>
          </cell>
          <cell r="I1098">
            <v>1.71</v>
          </cell>
          <cell r="J1098">
            <v>7.4820000000000002</v>
          </cell>
          <cell r="K1098">
            <v>0</v>
          </cell>
          <cell r="L1098">
            <v>547</v>
          </cell>
          <cell r="M1098">
            <v>547</v>
          </cell>
          <cell r="N1098">
            <v>73.11</v>
          </cell>
        </row>
        <row r="1099">
          <cell r="C1099" t="str">
            <v>PEAK PUR 1-YEAR 2009-5</v>
          </cell>
          <cell r="D1099">
            <v>2009</v>
          </cell>
          <cell r="F1099">
            <v>50</v>
          </cell>
          <cell r="G1099">
            <v>10000</v>
          </cell>
          <cell r="H1099">
            <v>0</v>
          </cell>
          <cell r="I1099">
            <v>1.44</v>
          </cell>
          <cell r="J1099">
            <v>6.2919999999999998</v>
          </cell>
          <cell r="K1099">
            <v>0</v>
          </cell>
          <cell r="L1099">
            <v>460</v>
          </cell>
          <cell r="M1099">
            <v>460</v>
          </cell>
          <cell r="N1099">
            <v>73.11</v>
          </cell>
        </row>
        <row r="1100">
          <cell r="C1100" t="str">
            <v>PEAK PUR 1-YEAR 2009-6</v>
          </cell>
          <cell r="D1100">
            <v>2009</v>
          </cell>
          <cell r="F1100">
            <v>50</v>
          </cell>
          <cell r="G1100">
            <v>10000</v>
          </cell>
          <cell r="H1100">
            <v>0</v>
          </cell>
          <cell r="I1100">
            <v>1.21</v>
          </cell>
          <cell r="J1100">
            <v>5.2880000000000003</v>
          </cell>
          <cell r="K1100">
            <v>0</v>
          </cell>
          <cell r="L1100">
            <v>387</v>
          </cell>
          <cell r="M1100">
            <v>387</v>
          </cell>
          <cell r="N1100">
            <v>73.11</v>
          </cell>
        </row>
        <row r="1101">
          <cell r="C1101" t="str">
            <v>SHARED SAVINGS</v>
          </cell>
          <cell r="D1101">
            <v>2005</v>
          </cell>
          <cell r="E1101" t="str">
            <v>HYDR</v>
          </cell>
          <cell r="F1101">
            <v>17.16</v>
          </cell>
          <cell r="G1101">
            <v>0</v>
          </cell>
          <cell r="H1101">
            <v>0</v>
          </cell>
          <cell r="I1101">
            <v>65.81</v>
          </cell>
          <cell r="J1101">
            <v>98.65</v>
          </cell>
          <cell r="K1101">
            <v>0</v>
          </cell>
          <cell r="L1101">
            <v>0</v>
          </cell>
          <cell r="M1101">
            <v>0</v>
          </cell>
          <cell r="N1101">
            <v>0</v>
          </cell>
        </row>
        <row r="1102">
          <cell r="C1102" t="str">
            <v>RES ENERGY FOCUS</v>
          </cell>
          <cell r="D1102">
            <v>2005</v>
          </cell>
          <cell r="E1102" t="str">
            <v>HYDR</v>
          </cell>
          <cell r="F1102">
            <v>13.025</v>
          </cell>
          <cell r="G1102">
            <v>0</v>
          </cell>
          <cell r="H1102">
            <v>0</v>
          </cell>
          <cell r="I1102">
            <v>39.5</v>
          </cell>
          <cell r="J1102">
            <v>44.95</v>
          </cell>
          <cell r="K1102">
            <v>0</v>
          </cell>
          <cell r="L1102">
            <v>0</v>
          </cell>
          <cell r="M1102">
            <v>0</v>
          </cell>
          <cell r="N1102">
            <v>0</v>
          </cell>
        </row>
        <row r="1103">
          <cell r="C1103" t="str">
            <v>WPL DLC PROGRAM</v>
          </cell>
          <cell r="D1103">
            <v>2005</v>
          </cell>
          <cell r="E1103" t="str">
            <v>HYDR</v>
          </cell>
          <cell r="F1103">
            <v>6</v>
          </cell>
          <cell r="G1103">
            <v>0</v>
          </cell>
          <cell r="H1103">
            <v>0</v>
          </cell>
          <cell r="I1103">
            <v>1.72</v>
          </cell>
          <cell r="J1103">
            <v>0.9</v>
          </cell>
          <cell r="K1103">
            <v>0</v>
          </cell>
          <cell r="L1103">
            <v>0</v>
          </cell>
          <cell r="M1103">
            <v>0</v>
          </cell>
          <cell r="N1103">
            <v>0</v>
          </cell>
        </row>
        <row r="1105">
          <cell r="C1105" t="str">
            <v>KEWAUNEE</v>
          </cell>
          <cell r="E1105" t="str">
            <v>MUST</v>
          </cell>
          <cell r="F1105">
            <v>235.2</v>
          </cell>
          <cell r="G1105">
            <v>10750</v>
          </cell>
          <cell r="H1105">
            <v>0.52700000000000002</v>
          </cell>
          <cell r="I1105">
            <v>87.22</v>
          </cell>
          <cell r="J1105">
            <v>1792.1389999999999</v>
          </cell>
          <cell r="K1105">
            <v>10148</v>
          </cell>
          <cell r="L1105">
            <v>0</v>
          </cell>
          <cell r="M1105">
            <v>10148</v>
          </cell>
          <cell r="N1105">
            <v>5.66</v>
          </cell>
        </row>
        <row r="1106">
          <cell r="C1106" t="str">
            <v>COLUMBIA 1</v>
          </cell>
          <cell r="E1106" t="str">
            <v>MUST</v>
          </cell>
          <cell r="F1106">
            <v>247.20500000000001</v>
          </cell>
          <cell r="G1106">
            <v>10682</v>
          </cell>
          <cell r="H1106">
            <v>1.4239999999999999</v>
          </cell>
          <cell r="I1106">
            <v>81.44</v>
          </cell>
          <cell r="J1106">
            <v>1758.8219999999999</v>
          </cell>
          <cell r="K1106">
            <v>26762</v>
          </cell>
          <cell r="L1106">
            <v>381</v>
          </cell>
          <cell r="M1106">
            <v>27143</v>
          </cell>
          <cell r="N1106">
            <v>15.43</v>
          </cell>
        </row>
        <row r="1107">
          <cell r="C1107" t="str">
            <v>COLUMBIA 2</v>
          </cell>
          <cell r="E1107" t="str">
            <v>MUST</v>
          </cell>
          <cell r="F1107">
            <v>247.09399999999999</v>
          </cell>
          <cell r="G1107">
            <v>10545</v>
          </cell>
          <cell r="H1107">
            <v>1.4239999999999999</v>
          </cell>
          <cell r="I1107">
            <v>79.7</v>
          </cell>
          <cell r="J1107">
            <v>1720.365</v>
          </cell>
          <cell r="K1107">
            <v>25843</v>
          </cell>
          <cell r="L1107">
            <v>20</v>
          </cell>
          <cell r="M1107">
            <v>25862</v>
          </cell>
          <cell r="N1107">
            <v>15.03</v>
          </cell>
        </row>
        <row r="1108">
          <cell r="C1108" t="str">
            <v>EDGEWATER 3</v>
          </cell>
          <cell r="F1108">
            <v>76.3</v>
          </cell>
          <cell r="G1108">
            <v>11082</v>
          </cell>
          <cell r="H1108">
            <v>1.617</v>
          </cell>
          <cell r="I1108">
            <v>65.61</v>
          </cell>
          <cell r="J1108">
            <v>437.35599999999999</v>
          </cell>
          <cell r="K1108">
            <v>7836</v>
          </cell>
          <cell r="L1108">
            <v>135</v>
          </cell>
          <cell r="M1108">
            <v>7971</v>
          </cell>
          <cell r="N1108">
            <v>18.22</v>
          </cell>
        </row>
        <row r="1109">
          <cell r="C1109" t="str">
            <v>EDGEWATER 4</v>
          </cell>
          <cell r="F1109">
            <v>229.99799999999999</v>
          </cell>
          <cell r="G1109">
            <v>9971</v>
          </cell>
          <cell r="H1109">
            <v>1.526</v>
          </cell>
          <cell r="I1109">
            <v>66.92</v>
          </cell>
          <cell r="J1109">
            <v>1344.527</v>
          </cell>
          <cell r="K1109">
            <v>20460</v>
          </cell>
          <cell r="L1109">
            <v>399</v>
          </cell>
          <cell r="M1109">
            <v>20859</v>
          </cell>
          <cell r="N1109">
            <v>15.51</v>
          </cell>
        </row>
        <row r="1110">
          <cell r="C1110" t="str">
            <v>EDGEWATER 5</v>
          </cell>
          <cell r="E1110" t="str">
            <v>MUST</v>
          </cell>
          <cell r="F1110">
            <v>302.79300000000001</v>
          </cell>
          <cell r="G1110">
            <v>10072</v>
          </cell>
          <cell r="H1110">
            <v>1.4019999999999999</v>
          </cell>
          <cell r="I1110">
            <v>73.47</v>
          </cell>
          <cell r="J1110">
            <v>1943.4760000000001</v>
          </cell>
          <cell r="K1110">
            <v>27441</v>
          </cell>
          <cell r="L1110">
            <v>133</v>
          </cell>
          <cell r="M1110">
            <v>27574</v>
          </cell>
          <cell r="N1110">
            <v>14.19</v>
          </cell>
        </row>
        <row r="1111">
          <cell r="C1111" t="str">
            <v>BLACKHAWK 3</v>
          </cell>
          <cell r="F1111">
            <v>24.9</v>
          </cell>
          <cell r="G1111">
            <v>11843</v>
          </cell>
          <cell r="H1111">
            <v>5.2729999999999997</v>
          </cell>
          <cell r="I1111">
            <v>2.89</v>
          </cell>
          <cell r="J1111">
            <v>6.2809999999999997</v>
          </cell>
          <cell r="K1111">
            <v>392</v>
          </cell>
          <cell r="L1111">
            <v>11</v>
          </cell>
          <cell r="M1111">
            <v>403</v>
          </cell>
          <cell r="N1111">
            <v>64.2</v>
          </cell>
        </row>
        <row r="1112">
          <cell r="C1112" t="str">
            <v>BLACKHAWK 4</v>
          </cell>
          <cell r="F1112">
            <v>25.1</v>
          </cell>
          <cell r="G1112">
            <v>11341</v>
          </cell>
          <cell r="H1112">
            <v>5.27</v>
          </cell>
          <cell r="I1112">
            <v>3.02</v>
          </cell>
          <cell r="J1112">
            <v>6.6159999999999997</v>
          </cell>
          <cell r="K1112">
            <v>395</v>
          </cell>
          <cell r="L1112">
            <v>12</v>
          </cell>
          <cell r="M1112">
            <v>407</v>
          </cell>
          <cell r="N1112">
            <v>61.57</v>
          </cell>
        </row>
        <row r="1113">
          <cell r="C1113" t="str">
            <v>ROCK RIVER 1</v>
          </cell>
          <cell r="F1113">
            <v>74.7</v>
          </cell>
          <cell r="G1113">
            <v>10973</v>
          </cell>
          <cell r="H1113">
            <v>4.9560000000000004</v>
          </cell>
          <cell r="I1113">
            <v>17.260000000000002</v>
          </cell>
          <cell r="J1113">
            <v>112.64100000000001</v>
          </cell>
          <cell r="K1113">
            <v>6126</v>
          </cell>
          <cell r="L1113">
            <v>105</v>
          </cell>
          <cell r="M1113">
            <v>6231</v>
          </cell>
          <cell r="N1113">
            <v>55.32</v>
          </cell>
        </row>
        <row r="1114">
          <cell r="C1114" t="str">
            <v>ROCK RIVER 2</v>
          </cell>
          <cell r="F1114">
            <v>78.2</v>
          </cell>
          <cell r="G1114">
            <v>10910</v>
          </cell>
          <cell r="H1114">
            <v>4.952</v>
          </cell>
          <cell r="I1114">
            <v>18.920000000000002</v>
          </cell>
          <cell r="J1114">
            <v>129.239</v>
          </cell>
          <cell r="K1114">
            <v>6982</v>
          </cell>
          <cell r="L1114">
            <v>114</v>
          </cell>
          <cell r="M1114">
            <v>7095</v>
          </cell>
          <cell r="N1114">
            <v>54.9</v>
          </cell>
        </row>
        <row r="1115">
          <cell r="C1115" t="str">
            <v>ROCK RIVER 3</v>
          </cell>
          <cell r="F1115">
            <v>31.241</v>
          </cell>
          <cell r="G1115">
            <v>19535</v>
          </cell>
          <cell r="H1115">
            <v>8.1419999999999995</v>
          </cell>
          <cell r="I1115">
            <v>0</v>
          </cell>
          <cell r="J1115">
            <v>1.0999999999999999E-2</v>
          </cell>
          <cell r="K1115">
            <v>2</v>
          </cell>
          <cell r="L1115">
            <v>0</v>
          </cell>
          <cell r="M1115">
            <v>2</v>
          </cell>
          <cell r="N1115">
            <v>187.89</v>
          </cell>
        </row>
        <row r="1116">
          <cell r="C1116" t="str">
            <v>ROCK RIVER 4</v>
          </cell>
          <cell r="F1116">
            <v>16.2</v>
          </cell>
          <cell r="G1116">
            <v>15933</v>
          </cell>
          <cell r="H1116">
            <v>10.872</v>
          </cell>
          <cell r="I1116">
            <v>0</v>
          </cell>
          <cell r="J1116">
            <v>6.0000000000000001E-3</v>
          </cell>
          <cell r="K1116">
            <v>1</v>
          </cell>
          <cell r="L1116">
            <v>0</v>
          </cell>
          <cell r="M1116">
            <v>1</v>
          </cell>
          <cell r="N1116">
            <v>216.6</v>
          </cell>
        </row>
        <row r="1117">
          <cell r="C1117" t="str">
            <v>ROCK RIVER 5</v>
          </cell>
          <cell r="F1117">
            <v>63.076000000000001</v>
          </cell>
          <cell r="G1117">
            <v>13070</v>
          </cell>
          <cell r="H1117">
            <v>5.3979999999999997</v>
          </cell>
          <cell r="I1117">
            <v>0.01</v>
          </cell>
          <cell r="J1117">
            <v>4.8000000000000001E-2</v>
          </cell>
          <cell r="K1117">
            <v>3</v>
          </cell>
          <cell r="L1117">
            <v>1</v>
          </cell>
          <cell r="M1117">
            <v>4</v>
          </cell>
          <cell r="N1117">
            <v>92.27</v>
          </cell>
        </row>
        <row r="1118">
          <cell r="C1118" t="str">
            <v>ROCK RIVER 6</v>
          </cell>
          <cell r="F1118">
            <v>63.335999999999999</v>
          </cell>
          <cell r="G1118">
            <v>13069</v>
          </cell>
          <cell r="H1118">
            <v>5.3979999999999997</v>
          </cell>
          <cell r="I1118">
            <v>0.01</v>
          </cell>
          <cell r="J1118">
            <v>3.5999999999999997E-2</v>
          </cell>
          <cell r="K1118">
            <v>3</v>
          </cell>
          <cell r="L1118">
            <v>1</v>
          </cell>
          <cell r="M1118">
            <v>3</v>
          </cell>
          <cell r="N1118">
            <v>93.25</v>
          </cell>
        </row>
        <row r="1119">
          <cell r="C1119" t="str">
            <v>SHEEPSKIN 1</v>
          </cell>
          <cell r="F1119">
            <v>37.6</v>
          </cell>
          <cell r="G1119">
            <v>14549</v>
          </cell>
          <cell r="H1119">
            <v>6.6689999999999996</v>
          </cell>
          <cell r="I1119">
            <v>0.01</v>
          </cell>
          <cell r="J1119">
            <v>2.3E-2</v>
          </cell>
          <cell r="K1119">
            <v>2</v>
          </cell>
          <cell r="L1119">
            <v>1</v>
          </cell>
          <cell r="M1119">
            <v>3</v>
          </cell>
          <cell r="N1119">
            <v>124.94</v>
          </cell>
        </row>
        <row r="1120">
          <cell r="C1120" t="str">
            <v>SOUTH FDL 1</v>
          </cell>
          <cell r="F1120">
            <v>92.241</v>
          </cell>
          <cell r="G1120">
            <v>13342</v>
          </cell>
          <cell r="H1120">
            <v>5.4130000000000003</v>
          </cell>
          <cell r="I1120">
            <v>0.08</v>
          </cell>
          <cell r="J1120">
            <v>0.60699999999999998</v>
          </cell>
          <cell r="K1120">
            <v>44</v>
          </cell>
          <cell r="L1120">
            <v>5</v>
          </cell>
          <cell r="M1120">
            <v>48</v>
          </cell>
          <cell r="N1120">
            <v>79.75</v>
          </cell>
        </row>
        <row r="1121">
          <cell r="C1121" t="str">
            <v>SOUTH FDL 2</v>
          </cell>
          <cell r="F1121">
            <v>93.37</v>
          </cell>
          <cell r="G1121">
            <v>13359</v>
          </cell>
          <cell r="H1121">
            <v>5.4130000000000003</v>
          </cell>
          <cell r="I1121">
            <v>0.05</v>
          </cell>
          <cell r="J1121">
            <v>0.38200000000000001</v>
          </cell>
          <cell r="K1121">
            <v>28</v>
          </cell>
          <cell r="L1121">
            <v>3</v>
          </cell>
          <cell r="M1121">
            <v>30</v>
          </cell>
          <cell r="N1121">
            <v>79.84</v>
          </cell>
        </row>
        <row r="1122">
          <cell r="C1122" t="str">
            <v>SOUTH FDL 3</v>
          </cell>
          <cell r="F1122">
            <v>87.87</v>
          </cell>
          <cell r="G1122">
            <v>13347</v>
          </cell>
          <cell r="H1122">
            <v>5.4130000000000003</v>
          </cell>
          <cell r="I1122">
            <v>0.03</v>
          </cell>
          <cell r="J1122">
            <v>0.218</v>
          </cell>
          <cell r="K1122">
            <v>16</v>
          </cell>
          <cell r="L1122">
            <v>2</v>
          </cell>
          <cell r="M1122">
            <v>17</v>
          </cell>
          <cell r="N1122">
            <v>79.78</v>
          </cell>
        </row>
        <row r="1123">
          <cell r="C1123" t="str">
            <v>SOUTH FDL 4</v>
          </cell>
          <cell r="F1123">
            <v>84.763000000000005</v>
          </cell>
          <cell r="G1123">
            <v>13352</v>
          </cell>
          <cell r="H1123">
            <v>5.4130000000000003</v>
          </cell>
          <cell r="I1123">
            <v>0.02</v>
          </cell>
          <cell r="J1123">
            <v>0.13100000000000001</v>
          </cell>
          <cell r="K1123">
            <v>9</v>
          </cell>
          <cell r="L1123">
            <v>1</v>
          </cell>
          <cell r="M1123">
            <v>10</v>
          </cell>
          <cell r="N1123">
            <v>79.8</v>
          </cell>
        </row>
        <row r="1124">
          <cell r="C1124" t="str">
            <v>NELSON DEWEY 1</v>
          </cell>
          <cell r="F1124">
            <v>111.511</v>
          </cell>
          <cell r="G1124">
            <v>10056</v>
          </cell>
          <cell r="H1124">
            <v>1.345</v>
          </cell>
          <cell r="I1124">
            <v>65.06</v>
          </cell>
          <cell r="J1124">
            <v>633.76800000000003</v>
          </cell>
          <cell r="K1124">
            <v>8574</v>
          </cell>
          <cell r="L1124">
            <v>463</v>
          </cell>
          <cell r="M1124">
            <v>9037</v>
          </cell>
          <cell r="N1124">
            <v>14.26</v>
          </cell>
        </row>
        <row r="1125">
          <cell r="C1125" t="str">
            <v>NELSON DEWEY 2</v>
          </cell>
          <cell r="F1125">
            <v>112.002</v>
          </cell>
          <cell r="G1125">
            <v>9905</v>
          </cell>
          <cell r="H1125">
            <v>1.345</v>
          </cell>
          <cell r="I1125">
            <v>65.66</v>
          </cell>
          <cell r="J1125">
            <v>642.45699999999999</v>
          </cell>
          <cell r="K1125">
            <v>8561</v>
          </cell>
          <cell r="L1125">
            <v>484</v>
          </cell>
          <cell r="M1125">
            <v>9045</v>
          </cell>
          <cell r="N1125">
            <v>14.08</v>
          </cell>
        </row>
        <row r="1126">
          <cell r="C1126" t="str">
            <v>WPL HYDRO</v>
          </cell>
          <cell r="E1126" t="str">
            <v>MUST</v>
          </cell>
          <cell r="F1126">
            <v>27</v>
          </cell>
          <cell r="G1126">
            <v>0</v>
          </cell>
          <cell r="H1126">
            <v>0</v>
          </cell>
          <cell r="I1126">
            <v>92.14</v>
          </cell>
          <cell r="J1126">
            <v>217.33</v>
          </cell>
          <cell r="K1126">
            <v>0</v>
          </cell>
          <cell r="L1126">
            <v>0</v>
          </cell>
          <cell r="M1126">
            <v>0</v>
          </cell>
          <cell r="N1126">
            <v>0</v>
          </cell>
        </row>
        <row r="1127">
          <cell r="C1127" t="str">
            <v>BERLIN LFG WPL</v>
          </cell>
          <cell r="F1127">
            <v>2.2000000000000002</v>
          </cell>
          <cell r="G1127">
            <v>15000</v>
          </cell>
          <cell r="H1127">
            <v>0</v>
          </cell>
          <cell r="I1127">
            <v>81.540000000000006</v>
          </cell>
          <cell r="J1127">
            <v>15.672000000000001</v>
          </cell>
          <cell r="K1127">
            <v>0</v>
          </cell>
          <cell r="L1127">
            <v>429</v>
          </cell>
          <cell r="M1127">
            <v>429</v>
          </cell>
          <cell r="N1127">
            <v>27.37</v>
          </cell>
        </row>
        <row r="1128">
          <cell r="C1128" t="str">
            <v>RIVERSIDE</v>
          </cell>
          <cell r="F1128">
            <v>537.99</v>
          </cell>
          <cell r="G1128">
            <v>7597</v>
          </cell>
          <cell r="H1128">
            <v>5.0880000000000001</v>
          </cell>
          <cell r="I1128">
            <v>45.88</v>
          </cell>
          <cell r="J1128">
            <v>2156.502</v>
          </cell>
          <cell r="K1128">
            <v>83356</v>
          </cell>
          <cell r="L1128">
            <v>1344</v>
          </cell>
          <cell r="M1128">
            <v>84700</v>
          </cell>
          <cell r="N1128">
            <v>39.28</v>
          </cell>
        </row>
        <row r="1129">
          <cell r="C1129" t="str">
            <v>ROCKGEN #1P</v>
          </cell>
          <cell r="F1129">
            <v>154.5</v>
          </cell>
          <cell r="G1129">
            <v>13359</v>
          </cell>
          <cell r="H1129">
            <v>5.0019999999999998</v>
          </cell>
          <cell r="I1129">
            <v>3.25</v>
          </cell>
          <cell r="J1129">
            <v>43.862000000000002</v>
          </cell>
          <cell r="K1129">
            <v>2931</v>
          </cell>
          <cell r="L1129">
            <v>330</v>
          </cell>
          <cell r="M1129">
            <v>3261</v>
          </cell>
          <cell r="N1129">
            <v>74.349999999999994</v>
          </cell>
        </row>
        <row r="1130">
          <cell r="C1130" t="str">
            <v>ROCKGEN #2P</v>
          </cell>
          <cell r="F1130">
            <v>154.5</v>
          </cell>
          <cell r="G1130">
            <v>13377</v>
          </cell>
          <cell r="H1130">
            <v>5</v>
          </cell>
          <cell r="I1130">
            <v>1.88</v>
          </cell>
          <cell r="J1130">
            <v>25.425999999999998</v>
          </cell>
          <cell r="K1130">
            <v>1701</v>
          </cell>
          <cell r="L1130">
            <v>191</v>
          </cell>
          <cell r="M1130">
            <v>1892</v>
          </cell>
          <cell r="N1130">
            <v>74.42</v>
          </cell>
        </row>
        <row r="1131">
          <cell r="C1131" t="str">
            <v>ROCKGEN #3P</v>
          </cell>
          <cell r="F1131">
            <v>154.5</v>
          </cell>
          <cell r="G1131">
            <v>13416</v>
          </cell>
          <cell r="H1131">
            <v>5</v>
          </cell>
          <cell r="I1131">
            <v>1.05</v>
          </cell>
          <cell r="J1131">
            <v>14.134</v>
          </cell>
          <cell r="K1131">
            <v>948</v>
          </cell>
          <cell r="L1131">
            <v>106</v>
          </cell>
          <cell r="M1131">
            <v>1055</v>
          </cell>
          <cell r="N1131">
            <v>74.61</v>
          </cell>
        </row>
        <row r="1132">
          <cell r="C1132" t="str">
            <v>BASE 100 ECONOMY</v>
          </cell>
          <cell r="F1132">
            <v>100</v>
          </cell>
          <cell r="G1132">
            <v>10000</v>
          </cell>
          <cell r="H1132">
            <v>3.51</v>
          </cell>
          <cell r="I1132">
            <v>88.75</v>
          </cell>
          <cell r="J1132">
            <v>775.30499999999995</v>
          </cell>
          <cell r="K1132">
            <v>27216</v>
          </cell>
          <cell r="L1132">
            <v>0</v>
          </cell>
          <cell r="M1132">
            <v>27216</v>
          </cell>
          <cell r="N1132">
            <v>35.1</v>
          </cell>
        </row>
        <row r="1133">
          <cell r="C1133" t="str">
            <v>OTHR 500 ECONOMY</v>
          </cell>
          <cell r="F1133">
            <v>500</v>
          </cell>
          <cell r="G1133">
            <v>10000</v>
          </cell>
          <cell r="H1133">
            <v>3.5760000000000001</v>
          </cell>
          <cell r="I1133">
            <v>43.1</v>
          </cell>
          <cell r="J1133">
            <v>1882.8230000000001</v>
          </cell>
          <cell r="K1133">
            <v>67332</v>
          </cell>
          <cell r="L1133">
            <v>0</v>
          </cell>
          <cell r="M1133">
            <v>67332</v>
          </cell>
          <cell r="N1133">
            <v>35.76</v>
          </cell>
        </row>
        <row r="1134">
          <cell r="C1134" t="str">
            <v>FPL WIND PURCH</v>
          </cell>
          <cell r="E1134" t="str">
            <v>NDT</v>
          </cell>
          <cell r="F1134">
            <v>80</v>
          </cell>
          <cell r="G1134">
            <v>0</v>
          </cell>
          <cell r="H1134">
            <v>0</v>
          </cell>
          <cell r="I1134">
            <v>27.56</v>
          </cell>
          <cell r="J1134">
            <v>192.61</v>
          </cell>
          <cell r="K1134">
            <v>0</v>
          </cell>
          <cell r="L1134">
            <v>0</v>
          </cell>
          <cell r="M1134">
            <v>0</v>
          </cell>
          <cell r="N1134">
            <v>0</v>
          </cell>
        </row>
        <row r="1135">
          <cell r="C1135" t="str">
            <v>INV WIND PURCH</v>
          </cell>
          <cell r="E1135" t="str">
            <v>NDT</v>
          </cell>
          <cell r="F1135">
            <v>50</v>
          </cell>
          <cell r="G1135">
            <v>0</v>
          </cell>
          <cell r="H1135">
            <v>0</v>
          </cell>
          <cell r="I1135">
            <v>32.1</v>
          </cell>
          <cell r="J1135">
            <v>140.215</v>
          </cell>
          <cell r="K1135">
            <v>0</v>
          </cell>
          <cell r="L1135">
            <v>0</v>
          </cell>
          <cell r="M1135">
            <v>0</v>
          </cell>
          <cell r="N1135">
            <v>0</v>
          </cell>
        </row>
        <row r="1136">
          <cell r="C1136" t="str">
            <v>JANESVILLE PURCH</v>
          </cell>
          <cell r="F1136">
            <v>1.6</v>
          </cell>
          <cell r="G1136">
            <v>15000</v>
          </cell>
          <cell r="H1136">
            <v>0</v>
          </cell>
          <cell r="I1136">
            <v>22.01</v>
          </cell>
          <cell r="J1136">
            <v>3.077</v>
          </cell>
          <cell r="K1136">
            <v>0</v>
          </cell>
          <cell r="L1136">
            <v>132</v>
          </cell>
          <cell r="M1136">
            <v>132</v>
          </cell>
          <cell r="N1136">
            <v>42.91</v>
          </cell>
        </row>
        <row r="1137">
          <cell r="C1137" t="str">
            <v>SUPERIOR   PURCH</v>
          </cell>
          <cell r="F1137">
            <v>2.2000000000000002</v>
          </cell>
          <cell r="G1137">
            <v>15000</v>
          </cell>
          <cell r="H1137">
            <v>0</v>
          </cell>
          <cell r="I1137">
            <v>21.82</v>
          </cell>
          <cell r="J1137">
            <v>4.1929999999999996</v>
          </cell>
          <cell r="K1137">
            <v>0</v>
          </cell>
          <cell r="L1137">
            <v>180</v>
          </cell>
          <cell r="M1137">
            <v>180</v>
          </cell>
          <cell r="N1137">
            <v>42.91</v>
          </cell>
        </row>
        <row r="1138">
          <cell r="C1138" t="str">
            <v>WRPC HYDRO PURCH</v>
          </cell>
          <cell r="E1138" t="str">
            <v>MUST</v>
          </cell>
          <cell r="F1138">
            <v>13.2</v>
          </cell>
          <cell r="G1138">
            <v>0</v>
          </cell>
          <cell r="H1138">
            <v>0</v>
          </cell>
          <cell r="I1138">
            <v>44.83</v>
          </cell>
          <cell r="J1138">
            <v>51.7</v>
          </cell>
          <cell r="K1138">
            <v>0</v>
          </cell>
          <cell r="L1138">
            <v>0</v>
          </cell>
          <cell r="M1138">
            <v>0</v>
          </cell>
          <cell r="N1138">
            <v>0</v>
          </cell>
        </row>
        <row r="1139">
          <cell r="C1139" t="str">
            <v>SHEBOYGAN CT1</v>
          </cell>
          <cell r="F1139">
            <v>169.399</v>
          </cell>
          <cell r="G1139">
            <v>11267</v>
          </cell>
          <cell r="H1139">
            <v>5.048</v>
          </cell>
          <cell r="I1139">
            <v>11.18</v>
          </cell>
          <cell r="J1139">
            <v>165.45699999999999</v>
          </cell>
          <cell r="K1139">
            <v>9410</v>
          </cell>
          <cell r="L1139">
            <v>845</v>
          </cell>
          <cell r="M1139">
            <v>10255</v>
          </cell>
          <cell r="N1139">
            <v>61.98</v>
          </cell>
        </row>
        <row r="1140">
          <cell r="C1140" t="str">
            <v>SHEBOYGAN CT2</v>
          </cell>
          <cell r="F1140">
            <v>169.399</v>
          </cell>
          <cell r="G1140">
            <v>11278</v>
          </cell>
          <cell r="H1140">
            <v>5.0350000000000001</v>
          </cell>
          <cell r="I1140">
            <v>6.16</v>
          </cell>
          <cell r="J1140">
            <v>91.224000000000004</v>
          </cell>
          <cell r="K1140">
            <v>5180</v>
          </cell>
          <cell r="L1140">
            <v>466</v>
          </cell>
          <cell r="M1140">
            <v>5646</v>
          </cell>
          <cell r="N1140">
            <v>61.9</v>
          </cell>
        </row>
        <row r="1141">
          <cell r="C1141" t="str">
            <v>NEW WIND-100MW</v>
          </cell>
          <cell r="D1141">
            <v>2006</v>
          </cell>
          <cell r="E1141" t="str">
            <v>NDT</v>
          </cell>
          <cell r="F1141">
            <v>100</v>
          </cell>
          <cell r="G1141">
            <v>0</v>
          </cell>
          <cell r="H1141">
            <v>0</v>
          </cell>
          <cell r="I1141">
            <v>27.56</v>
          </cell>
          <cell r="J1141">
            <v>240.76300000000001</v>
          </cell>
          <cell r="K1141">
            <v>0</v>
          </cell>
          <cell r="L1141">
            <v>9062</v>
          </cell>
          <cell r="M1141">
            <v>9062</v>
          </cell>
          <cell r="N1141">
            <v>37.64</v>
          </cell>
        </row>
        <row r="1142">
          <cell r="C1142" t="str">
            <v>PEAK PUR 1-YEAR 2010-1</v>
          </cell>
          <cell r="D1142">
            <v>2010</v>
          </cell>
          <cell r="F1142">
            <v>50</v>
          </cell>
          <cell r="G1142">
            <v>10000</v>
          </cell>
          <cell r="H1142">
            <v>0</v>
          </cell>
          <cell r="I1142">
            <v>0.85</v>
          </cell>
          <cell r="J1142">
            <v>3.726</v>
          </cell>
          <cell r="K1142">
            <v>0</v>
          </cell>
          <cell r="L1142">
            <v>277</v>
          </cell>
          <cell r="M1142">
            <v>277</v>
          </cell>
          <cell r="N1142">
            <v>74.209999999999994</v>
          </cell>
        </row>
        <row r="1143">
          <cell r="C1143" t="str">
            <v>PEAK PUR 1-YEAR 2010-2</v>
          </cell>
          <cell r="D1143">
            <v>2010</v>
          </cell>
          <cell r="F1143">
            <v>50</v>
          </cell>
          <cell r="G1143">
            <v>10000</v>
          </cell>
          <cell r="H1143">
            <v>0</v>
          </cell>
          <cell r="I1143">
            <v>0.68</v>
          </cell>
          <cell r="J1143">
            <v>2.9820000000000002</v>
          </cell>
          <cell r="K1143">
            <v>0</v>
          </cell>
          <cell r="L1143">
            <v>221</v>
          </cell>
          <cell r="M1143">
            <v>221</v>
          </cell>
          <cell r="N1143">
            <v>74.209999999999994</v>
          </cell>
        </row>
        <row r="1144">
          <cell r="C1144" t="str">
            <v>PEAK PUR 1-YEAR 2010-3</v>
          </cell>
          <cell r="D1144">
            <v>2010</v>
          </cell>
          <cell r="F1144">
            <v>50</v>
          </cell>
          <cell r="G1144">
            <v>10000</v>
          </cell>
          <cell r="H1144">
            <v>0</v>
          </cell>
          <cell r="I1144">
            <v>0.55000000000000004</v>
          </cell>
          <cell r="J1144">
            <v>2.387</v>
          </cell>
          <cell r="K1144">
            <v>0</v>
          </cell>
          <cell r="L1144">
            <v>177</v>
          </cell>
          <cell r="M1144">
            <v>177</v>
          </cell>
          <cell r="N1144">
            <v>74.209999999999994</v>
          </cell>
        </row>
        <row r="1145">
          <cell r="C1145" t="str">
            <v>PEAK PUR 1-YEAR 2010-4</v>
          </cell>
          <cell r="D1145">
            <v>2010</v>
          </cell>
          <cell r="F1145">
            <v>50</v>
          </cell>
          <cell r="G1145">
            <v>10000</v>
          </cell>
          <cell r="H1145">
            <v>0</v>
          </cell>
          <cell r="I1145">
            <v>0.44</v>
          </cell>
          <cell r="J1145">
            <v>1.901</v>
          </cell>
          <cell r="K1145">
            <v>0</v>
          </cell>
          <cell r="L1145">
            <v>141</v>
          </cell>
          <cell r="M1145">
            <v>141</v>
          </cell>
          <cell r="N1145">
            <v>74.209999999999994</v>
          </cell>
        </row>
        <row r="1146">
          <cell r="C1146" t="str">
            <v>PEAK PUR 1-YEAR 2010-5</v>
          </cell>
          <cell r="D1146">
            <v>2010</v>
          </cell>
          <cell r="F1146">
            <v>50</v>
          </cell>
          <cell r="G1146">
            <v>10000</v>
          </cell>
          <cell r="H1146">
            <v>0</v>
          </cell>
          <cell r="I1146">
            <v>0.34</v>
          </cell>
          <cell r="J1146">
            <v>1.5</v>
          </cell>
          <cell r="K1146">
            <v>0</v>
          </cell>
          <cell r="L1146">
            <v>111</v>
          </cell>
          <cell r="M1146">
            <v>111</v>
          </cell>
          <cell r="N1146">
            <v>74.209999999999994</v>
          </cell>
        </row>
        <row r="1147">
          <cell r="C1147" t="str">
            <v>PEAK PUR 1-YEAR 2010-6</v>
          </cell>
          <cell r="D1147">
            <v>2010</v>
          </cell>
          <cell r="F1147">
            <v>50</v>
          </cell>
          <cell r="G1147">
            <v>10000</v>
          </cell>
          <cell r="H1147">
            <v>0</v>
          </cell>
          <cell r="I1147">
            <v>0.27</v>
          </cell>
          <cell r="J1147">
            <v>1.1719999999999999</v>
          </cell>
          <cell r="K1147">
            <v>0</v>
          </cell>
          <cell r="L1147">
            <v>87</v>
          </cell>
          <cell r="M1147">
            <v>87</v>
          </cell>
          <cell r="N1147">
            <v>74.209999999999994</v>
          </cell>
        </row>
        <row r="1148">
          <cell r="C1148" t="str">
            <v>PEAK PUR 1-YEAR 2010-7</v>
          </cell>
          <cell r="D1148">
            <v>2010</v>
          </cell>
          <cell r="F1148">
            <v>50</v>
          </cell>
          <cell r="G1148">
            <v>10000</v>
          </cell>
          <cell r="H1148">
            <v>0</v>
          </cell>
          <cell r="I1148">
            <v>0.21</v>
          </cell>
          <cell r="J1148">
            <v>0.91400000000000003</v>
          </cell>
          <cell r="K1148">
            <v>0</v>
          </cell>
          <cell r="L1148">
            <v>68</v>
          </cell>
          <cell r="M1148">
            <v>68</v>
          </cell>
          <cell r="N1148">
            <v>74.209999999999994</v>
          </cell>
        </row>
        <row r="1149">
          <cell r="C1149" t="str">
            <v>PEAK PUR 1-YEAR 2010-8</v>
          </cell>
          <cell r="D1149">
            <v>2010</v>
          </cell>
          <cell r="F1149">
            <v>50</v>
          </cell>
          <cell r="G1149">
            <v>10000</v>
          </cell>
          <cell r="H1149">
            <v>0</v>
          </cell>
          <cell r="I1149">
            <v>0.16</v>
          </cell>
          <cell r="J1149">
            <v>0.70499999999999996</v>
          </cell>
          <cell r="K1149">
            <v>0</v>
          </cell>
          <cell r="L1149">
            <v>52</v>
          </cell>
          <cell r="M1149">
            <v>52</v>
          </cell>
          <cell r="N1149">
            <v>74.209999999999994</v>
          </cell>
        </row>
        <row r="1150">
          <cell r="C1150" t="str">
            <v>SHARED SAVINGS</v>
          </cell>
          <cell r="D1150">
            <v>2005</v>
          </cell>
          <cell r="E1150" t="str">
            <v>HYDR</v>
          </cell>
          <cell r="F1150">
            <v>20.591999999999999</v>
          </cell>
          <cell r="G1150">
            <v>0</v>
          </cell>
          <cell r="H1150">
            <v>0</v>
          </cell>
          <cell r="I1150">
            <v>65.81</v>
          </cell>
          <cell r="J1150">
            <v>118.38</v>
          </cell>
          <cell r="K1150">
            <v>0</v>
          </cell>
          <cell r="L1150">
            <v>0</v>
          </cell>
          <cell r="M1150">
            <v>0</v>
          </cell>
          <cell r="N1150">
            <v>0</v>
          </cell>
        </row>
        <row r="1151">
          <cell r="C1151" t="str">
            <v>RES ENERGY FOCUS</v>
          </cell>
          <cell r="D1151">
            <v>2005</v>
          </cell>
          <cell r="E1151" t="str">
            <v>HYDR</v>
          </cell>
          <cell r="F1151">
            <v>15.63</v>
          </cell>
          <cell r="G1151">
            <v>0</v>
          </cell>
          <cell r="H1151">
            <v>0</v>
          </cell>
          <cell r="I1151">
            <v>39.5</v>
          </cell>
          <cell r="J1151">
            <v>53.94</v>
          </cell>
          <cell r="K1151">
            <v>0</v>
          </cell>
          <cell r="L1151">
            <v>0</v>
          </cell>
          <cell r="M1151">
            <v>0</v>
          </cell>
          <cell r="N1151">
            <v>0</v>
          </cell>
        </row>
        <row r="1152">
          <cell r="C1152" t="str">
            <v>WPL DLC PROGRAM</v>
          </cell>
          <cell r="D1152">
            <v>2005</v>
          </cell>
          <cell r="E1152" t="str">
            <v>HYDR</v>
          </cell>
          <cell r="F1152">
            <v>6</v>
          </cell>
          <cell r="G1152">
            <v>0</v>
          </cell>
          <cell r="H1152">
            <v>0</v>
          </cell>
          <cell r="I1152">
            <v>1.72</v>
          </cell>
          <cell r="J1152">
            <v>0.9</v>
          </cell>
          <cell r="K1152">
            <v>0</v>
          </cell>
          <cell r="L1152">
            <v>0</v>
          </cell>
          <cell r="M1152">
            <v>0</v>
          </cell>
          <cell r="N1152">
            <v>0</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WPL Checklist"/>
      <sheetName val="WPL Edits Log"/>
      <sheetName val="WPL File Info"/>
      <sheetName val="Start WPL"/>
      <sheetName val="Kewaunee Sale"/>
      <sheetName val="WPL General"/>
      <sheetName val="WPL Construction"/>
      <sheetName val="WPL Investments"/>
      <sheetName val="WPL Reg Assets"/>
      <sheetName val="WPL Tax"/>
      <sheetName val="WPL Treasury"/>
      <sheetName val="WPL Off Bal Sheet"/>
      <sheetName val="WPL Expenditures"/>
      <sheetName val="WPL Servco costs"/>
      <sheetName val="End WPL"/>
      <sheetName val="Consol WPL"/>
      <sheetName val="WPL Actuals"/>
      <sheetName val="Reports WPL"/>
      <sheetName val="WPL Plant Reports"/>
      <sheetName val="WPL Tax Reports"/>
      <sheetName val="WPL Variance to Budget"/>
      <sheetName val="WPL Variance to Alt Outlook"/>
      <sheetName val="WPL Budget"/>
      <sheetName val="WPL Alt Outlook"/>
      <sheetName val="WPL Final Ledg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amp; Macros"/>
      <sheetName val="Edits &amp; Changes Log"/>
      <sheetName val="WPL Expend Download"/>
      <sheetName val="IPL Expend Download"/>
      <sheetName val="Servco Expend Download"/>
      <sheetName val="Servco WPL Expend Download"/>
      <sheetName val="Servco IPL Expend Download"/>
      <sheetName val="Servco AER Expend Download"/>
      <sheetName val="WPL Clearing Basis"/>
      <sheetName val="WPL Expend Model"/>
      <sheetName val="IPL Clearing Basis"/>
      <sheetName val="IPL Expend Model"/>
      <sheetName val="Servco Clearing Basis"/>
      <sheetName val="Servco Expend Model"/>
      <sheetName val="Servco WPL Expend Model"/>
      <sheetName val="Servco IPL Expend Model"/>
      <sheetName val="Servco AER Expend Model"/>
      <sheetName val="SAF WPL"/>
      <sheetName val="SAF IPL"/>
      <sheetName val="SAF AER"/>
      <sheetName val="SAF Total"/>
      <sheetName val="WPL Current Outlook"/>
      <sheetName val="WPL &amp; WPL Servco CO"/>
      <sheetName val="IPL Current Outlook"/>
      <sheetName val="IPL &amp; IPL Servco CO"/>
      <sheetName val="AER Current Outlook"/>
      <sheetName val="AER &amp; AER Servco CO"/>
      <sheetName val="Servco Current Outlook"/>
      <sheetName val="Servco Current Outlook by Co"/>
      <sheetName val="Consolidated Current Outlook"/>
      <sheetName val="Consolidating Current Outlook"/>
      <sheetName val="WPL Joint Plant Reports"/>
      <sheetName val="IPL Joint Plant Reports"/>
      <sheetName val="WPL Expenditures"/>
      <sheetName val="IPL Expenditures"/>
      <sheetName val="Servco Expenditures"/>
      <sheetName val="WPL Budget"/>
      <sheetName val="WPL Alt Outlook"/>
      <sheetName val="WPL Variance to Budget"/>
      <sheetName val="WPL Variance to Alt Outlook"/>
      <sheetName val="IPL Budget"/>
      <sheetName val="IPL Alt Outlook"/>
      <sheetName val="IPL Variance to Budget"/>
      <sheetName val="IPL Variance to Alt Outlook"/>
      <sheetName val="Servco Budget"/>
      <sheetName val="Servco Alt Outlook"/>
      <sheetName val="Servco Variance to Budget"/>
      <sheetName val="Servco Variance to Alt Outlook"/>
      <sheetName val="WPL &amp; WPL Servco Budget"/>
      <sheetName val="WPL &amp; WPL Servco AO"/>
      <sheetName val="Servco WPL Variance to Budget"/>
      <sheetName val="Servco WPL Variance to AO"/>
      <sheetName val="IPL &amp; IPL Servco Budget"/>
      <sheetName val="IPL &amp; IPL Servco AO"/>
      <sheetName val="Servco IPL Variance to Budget"/>
      <sheetName val="Servco IPL Variance to AO"/>
      <sheetName val="AER &amp; AER Servco Budget"/>
      <sheetName val="AER &amp; AER Servco AO"/>
      <sheetName val="Servco AER Variance to Budget"/>
      <sheetName val="Servco AER Variance to AO"/>
      <sheetName val="WPL FRST Model Feeds"/>
      <sheetName val="IPL FRST Model Feeds"/>
      <sheetName val="Servco FRST Model Feed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 Dec 04"/>
      <sheetName val="YTD Jun 04"/>
      <sheetName val="YTD Jun 05"/>
      <sheetName val="12 Mo Rolling"/>
      <sheetName val="Sheet2"/>
      <sheetName val="Sheet3"/>
    </sheetNames>
    <sheetDataSet>
      <sheetData sheetId="0">
        <row r="3">
          <cell r="V3" t="str">
            <v>December</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gle Journal"/>
      <sheetName val="Multiple Journals"/>
      <sheetName val="Bulk Journals"/>
      <sheetName val="Sheet3"/>
      <sheetName val="_ADFDI_Parameters"/>
      <sheetName val="_ADFDI_Metadata"/>
      <sheetName val="_ADFDI_WorkbookData"/>
      <sheetName val="_ADFDI_LOV"/>
      <sheetName val="_ADFDI_BCMetadata"/>
      <sheetName val="_ADFDI_DynamicTable"/>
    </sheetNames>
    <sheetDataSet>
      <sheetData sheetId="0"/>
      <sheetData sheetId="1"/>
      <sheetData sheetId="2"/>
      <sheetData sheetId="3"/>
      <sheetData sheetId="4"/>
      <sheetData sheetId="5"/>
      <sheetData sheetId="6"/>
      <sheetData sheetId="7">
        <row r="30">
          <cell r="D30" t="str">
            <v>Oct-07</v>
          </cell>
          <cell r="E30" t="str">
            <v>Nov-07</v>
          </cell>
          <cell r="F30" t="str">
            <v>Dec-07</v>
          </cell>
          <cell r="G30" t="str">
            <v>Jan-08</v>
          </cell>
          <cell r="H30" t="str">
            <v>Feb-08</v>
          </cell>
          <cell r="I30" t="str">
            <v>Mar-08</v>
          </cell>
          <cell r="J30" t="str">
            <v>Apr-08</v>
          </cell>
          <cell r="K30" t="str">
            <v>May-08</v>
          </cell>
          <cell r="L30" t="str">
            <v>Jun-08</v>
          </cell>
          <cell r="M30" t="str">
            <v>Jul-08</v>
          </cell>
          <cell r="N30" t="str">
            <v>Aug-08</v>
          </cell>
          <cell r="O30" t="str">
            <v>Sep-08</v>
          </cell>
          <cell r="P30" t="str">
            <v>Adj_Sep-08</v>
          </cell>
          <cell r="Q30" t="str">
            <v>Oct-08</v>
          </cell>
          <cell r="R30" t="str">
            <v>Nov-08</v>
          </cell>
          <cell r="S30" t="str">
            <v>Dec-08</v>
          </cell>
          <cell r="T30" t="str">
            <v>Jan-09</v>
          </cell>
          <cell r="U30" t="str">
            <v>Feb-09</v>
          </cell>
          <cell r="V30" t="str">
            <v>Mar-09</v>
          </cell>
          <cell r="W30" t="str">
            <v>Apr-09</v>
          </cell>
          <cell r="X30" t="str">
            <v>May-09</v>
          </cell>
          <cell r="Y30" t="str">
            <v>Jun-09</v>
          </cell>
          <cell r="Z30" t="str">
            <v>Jul-09</v>
          </cell>
          <cell r="AA30" t="str">
            <v>Aug-09</v>
          </cell>
          <cell r="AB30" t="str">
            <v>Sep-09</v>
          </cell>
          <cell r="AC30" t="str">
            <v>Adj_Sep-09</v>
          </cell>
          <cell r="AD30" t="str">
            <v>Oct-09</v>
          </cell>
          <cell r="AE30" t="str">
            <v>Nov-09</v>
          </cell>
          <cell r="AF30" t="str">
            <v>Dec-09</v>
          </cell>
          <cell r="AG30" t="str">
            <v>Jan-10</v>
          </cell>
          <cell r="AH30" t="str">
            <v>Feb-10</v>
          </cell>
          <cell r="AI30" t="str">
            <v>Mar-10</v>
          </cell>
          <cell r="AJ30" t="str">
            <v>Apr-10</v>
          </cell>
          <cell r="AK30" t="str">
            <v>May-10</v>
          </cell>
          <cell r="AL30" t="str">
            <v>Jun-10</v>
          </cell>
          <cell r="AM30" t="str">
            <v>Jul-10</v>
          </cell>
          <cell r="AN30" t="str">
            <v>Aug-10</v>
          </cell>
          <cell r="AO30" t="str">
            <v>Sep-10</v>
          </cell>
          <cell r="AP30" t="str">
            <v>Adj_Sep-10</v>
          </cell>
          <cell r="AQ30" t="str">
            <v>Oct-10</v>
          </cell>
          <cell r="AR30" t="str">
            <v>Nov-10</v>
          </cell>
          <cell r="AS30" t="str">
            <v>Dec-10</v>
          </cell>
          <cell r="AT30" t="str">
            <v>Jan-11</v>
          </cell>
          <cell r="AU30" t="str">
            <v>Feb-11</v>
          </cell>
          <cell r="AV30" t="str">
            <v>Mar-11</v>
          </cell>
          <cell r="AW30" t="str">
            <v>Apr-11</v>
          </cell>
          <cell r="AX30" t="str">
            <v>May-11</v>
          </cell>
          <cell r="AY30" t="str">
            <v>Jun-11</v>
          </cell>
          <cell r="AZ30" t="str">
            <v>Jul-11</v>
          </cell>
          <cell r="BA30" t="str">
            <v>Aug-11</v>
          </cell>
          <cell r="BB30" t="str">
            <v>Sep-11</v>
          </cell>
          <cell r="BC30" t="str">
            <v>Adj_Sep-11</v>
          </cell>
          <cell r="BD30" t="str">
            <v>Oct-11</v>
          </cell>
          <cell r="BE30" t="str">
            <v>Nov-11</v>
          </cell>
          <cell r="BF30" t="str">
            <v>Dec-11</v>
          </cell>
          <cell r="BG30" t="str">
            <v>Jan-12</v>
          </cell>
          <cell r="BH30" t="str">
            <v>Feb-12</v>
          </cell>
          <cell r="BI30" t="str">
            <v>Mar-12</v>
          </cell>
          <cell r="BJ30" t="str">
            <v>Apr-12</v>
          </cell>
          <cell r="BK30" t="str">
            <v>May-12</v>
          </cell>
          <cell r="BL30" t="str">
            <v>Jun-12</v>
          </cell>
          <cell r="BM30" t="str">
            <v>Jul-12</v>
          </cell>
          <cell r="BN30" t="str">
            <v>Aug-12</v>
          </cell>
          <cell r="BO30" t="str">
            <v>Sep-12</v>
          </cell>
          <cell r="BP30" t="str">
            <v>Adj_Sep-12</v>
          </cell>
          <cell r="BQ30" t="str">
            <v>Oct-12</v>
          </cell>
          <cell r="BR30" t="str">
            <v>Nov-12</v>
          </cell>
          <cell r="BS30" t="str">
            <v>Dec-12</v>
          </cell>
          <cell r="BT30" t="str">
            <v>Jan-13</v>
          </cell>
          <cell r="BU30" t="str">
            <v>Feb-13</v>
          </cell>
          <cell r="BV30" t="str">
            <v>Mar-13</v>
          </cell>
          <cell r="BW30" t="str">
            <v>Apr-13</v>
          </cell>
          <cell r="BX30" t="str">
            <v>May-13</v>
          </cell>
          <cell r="BY30" t="str">
            <v>Jun-13</v>
          </cell>
          <cell r="BZ30" t="str">
            <v>Jul-13</v>
          </cell>
          <cell r="CA30" t="str">
            <v>Aug-13</v>
          </cell>
          <cell r="CB30" t="str">
            <v>Sep-13</v>
          </cell>
          <cell r="CC30" t="str">
            <v>Adj_Sep-13</v>
          </cell>
          <cell r="CD30" t="str">
            <v>Oct-13</v>
          </cell>
          <cell r="CE30" t="str">
            <v>Nov-13</v>
          </cell>
          <cell r="CF30" t="str">
            <v>Dec-13</v>
          </cell>
          <cell r="CG30" t="str">
            <v>Jan-14</v>
          </cell>
          <cell r="CH30" t="str">
            <v>Feb-14</v>
          </cell>
          <cell r="CI30" t="str">
            <v>Mar-14</v>
          </cell>
          <cell r="CJ30" t="str">
            <v>Apr-14</v>
          </cell>
          <cell r="CK30" t="str">
            <v>May-14</v>
          </cell>
          <cell r="CL30" t="str">
            <v>Jun-14</v>
          </cell>
          <cell r="CM30" t="str">
            <v>Jul-14</v>
          </cell>
          <cell r="CN30" t="str">
            <v>Aug-14</v>
          </cell>
          <cell r="CO30" t="str">
            <v>Sep-14</v>
          </cell>
          <cell r="CP30" t="str">
            <v>Adj_Sep-14</v>
          </cell>
          <cell r="CQ30" t="str">
            <v>Oct-14</v>
          </cell>
          <cell r="CR30" t="str">
            <v>Nov-14</v>
          </cell>
          <cell r="CS30" t="str">
            <v>Dec-14</v>
          </cell>
          <cell r="CT30" t="str">
            <v>Jan-15</v>
          </cell>
          <cell r="CU30" t="str">
            <v>Feb-15</v>
          </cell>
          <cell r="CV30" t="str">
            <v>Mar-15</v>
          </cell>
          <cell r="CW30" t="str">
            <v>Apr-15</v>
          </cell>
          <cell r="CX30" t="str">
            <v>May-15</v>
          </cell>
          <cell r="CY30" t="str">
            <v>Jun-15</v>
          </cell>
          <cell r="CZ30" t="str">
            <v>Jul-15</v>
          </cell>
          <cell r="DA30" t="str">
            <v>Aug-15</v>
          </cell>
          <cell r="DB30" t="str">
            <v>Sep-15</v>
          </cell>
          <cell r="DC30" t="str">
            <v>Adj_Sep-15</v>
          </cell>
        </row>
        <row r="32">
          <cell r="D32" t="str">
            <v>Oct-07</v>
          </cell>
          <cell r="E32" t="str">
            <v>Nov-07</v>
          </cell>
          <cell r="F32" t="str">
            <v>Dec-07</v>
          </cell>
          <cell r="G32" t="str">
            <v>Jan-08</v>
          </cell>
          <cell r="H32" t="str">
            <v>Feb-08</v>
          </cell>
          <cell r="I32" t="str">
            <v>Mar-08</v>
          </cell>
          <cell r="J32" t="str">
            <v>Apr-08</v>
          </cell>
          <cell r="K32" t="str">
            <v>May-08</v>
          </cell>
          <cell r="L32" t="str">
            <v>Jun-08</v>
          </cell>
          <cell r="M32" t="str">
            <v>Jul-08</v>
          </cell>
          <cell r="N32" t="str">
            <v>Aug-08</v>
          </cell>
          <cell r="O32" t="str">
            <v>Sep-08</v>
          </cell>
          <cell r="P32" t="str">
            <v>Adj_Sep-08</v>
          </cell>
          <cell r="Q32" t="str">
            <v>Oct-08</v>
          </cell>
          <cell r="R32" t="str">
            <v>Nov-08</v>
          </cell>
          <cell r="S32" t="str">
            <v>Dec-08</v>
          </cell>
          <cell r="T32" t="str">
            <v>Jan-09</v>
          </cell>
          <cell r="U32" t="str">
            <v>Feb-09</v>
          </cell>
          <cell r="V32" t="str">
            <v>Mar-09</v>
          </cell>
          <cell r="W32" t="str">
            <v>Apr-09</v>
          </cell>
          <cell r="X32" t="str">
            <v>May-09</v>
          </cell>
          <cell r="Y32" t="str">
            <v>Jun-09</v>
          </cell>
          <cell r="Z32" t="str">
            <v>Jul-09</v>
          </cell>
          <cell r="AA32" t="str">
            <v>Aug-09</v>
          </cell>
          <cell r="AB32" t="str">
            <v>Sep-09</v>
          </cell>
          <cell r="AC32" t="str">
            <v>Adj_Sep-09</v>
          </cell>
          <cell r="AD32" t="str">
            <v>Oct-09</v>
          </cell>
          <cell r="AE32" t="str">
            <v>Nov-09</v>
          </cell>
          <cell r="AF32" t="str">
            <v>Dec-09</v>
          </cell>
          <cell r="AG32" t="str">
            <v>Jan-10</v>
          </cell>
          <cell r="AH32" t="str">
            <v>Feb-10</v>
          </cell>
          <cell r="AI32" t="str">
            <v>Mar-10</v>
          </cell>
          <cell r="AJ32" t="str">
            <v>Apr-10</v>
          </cell>
          <cell r="AK32" t="str">
            <v>May-10</v>
          </cell>
          <cell r="AL32" t="str">
            <v>Jun-10</v>
          </cell>
          <cell r="AM32" t="str">
            <v>Jul-10</v>
          </cell>
          <cell r="AN32" t="str">
            <v>Aug-10</v>
          </cell>
          <cell r="AO32" t="str">
            <v>Sep-10</v>
          </cell>
          <cell r="AP32" t="str">
            <v>Adj_Sep-10</v>
          </cell>
          <cell r="AQ32" t="str">
            <v>Oct-10</v>
          </cell>
          <cell r="AR32" t="str">
            <v>Nov-10</v>
          </cell>
          <cell r="AS32" t="str">
            <v>Dec-10</v>
          </cell>
          <cell r="AT32" t="str">
            <v>Jan-11</v>
          </cell>
          <cell r="AU32" t="str">
            <v>Feb-11</v>
          </cell>
          <cell r="AV32" t="str">
            <v>Mar-11</v>
          </cell>
          <cell r="AW32" t="str">
            <v>Apr-11</v>
          </cell>
          <cell r="AX32" t="str">
            <v>May-11</v>
          </cell>
          <cell r="AY32" t="str">
            <v>Jun-11</v>
          </cell>
          <cell r="AZ32" t="str">
            <v>Jul-11</v>
          </cell>
          <cell r="BA32" t="str">
            <v>Aug-11</v>
          </cell>
          <cell r="BB32" t="str">
            <v>Sep-11</v>
          </cell>
          <cell r="BC32" t="str">
            <v>Adj_Sep-11</v>
          </cell>
          <cell r="BD32" t="str">
            <v>Oct-11</v>
          </cell>
          <cell r="BE32" t="str">
            <v>Nov-11</v>
          </cell>
          <cell r="BF32" t="str">
            <v>Dec-11</v>
          </cell>
          <cell r="BG32" t="str">
            <v>Jan-12</v>
          </cell>
          <cell r="BH32" t="str">
            <v>Feb-12</v>
          </cell>
          <cell r="BI32" t="str">
            <v>Mar-12</v>
          </cell>
          <cell r="BJ32" t="str">
            <v>Apr-12</v>
          </cell>
          <cell r="BK32" t="str">
            <v>May-12</v>
          </cell>
          <cell r="BL32" t="str">
            <v>Jun-12</v>
          </cell>
          <cell r="BM32" t="str">
            <v>Jul-12</v>
          </cell>
          <cell r="BN32" t="str">
            <v>Aug-12</v>
          </cell>
          <cell r="BO32" t="str">
            <v>Sep-12</v>
          </cell>
          <cell r="BP32" t="str">
            <v>Adj_Sep-12</v>
          </cell>
          <cell r="BQ32" t="str">
            <v>Oct-12</v>
          </cell>
          <cell r="BR32" t="str">
            <v>Nov-12</v>
          </cell>
          <cell r="BS32" t="str">
            <v>Dec-12</v>
          </cell>
          <cell r="BT32" t="str">
            <v>Jan-13</v>
          </cell>
          <cell r="BU32" t="str">
            <v>Feb-13</v>
          </cell>
          <cell r="BV32" t="str">
            <v>Mar-13</v>
          </cell>
          <cell r="BW32" t="str">
            <v>Apr-13</v>
          </cell>
          <cell r="BX32" t="str">
            <v>May-13</v>
          </cell>
          <cell r="BY32" t="str">
            <v>Jun-13</v>
          </cell>
          <cell r="BZ32" t="str">
            <v>Jul-13</v>
          </cell>
          <cell r="CA32" t="str">
            <v>Aug-13</v>
          </cell>
          <cell r="CB32" t="str">
            <v>Sep-13</v>
          </cell>
          <cell r="CC32" t="str">
            <v>Adj_Sep-13</v>
          </cell>
          <cell r="CD32" t="str">
            <v>Oct-13</v>
          </cell>
          <cell r="CE32" t="str">
            <v>Nov-13</v>
          </cell>
          <cell r="CF32" t="str">
            <v>Dec-13</v>
          </cell>
          <cell r="CG32" t="str">
            <v>Jan-14</v>
          </cell>
          <cell r="CH32" t="str">
            <v>Feb-14</v>
          </cell>
          <cell r="CI32" t="str">
            <v>Mar-14</v>
          </cell>
          <cell r="CJ32" t="str">
            <v>Apr-14</v>
          </cell>
          <cell r="CK32" t="str">
            <v>May-14</v>
          </cell>
          <cell r="CL32" t="str">
            <v>Jun-14</v>
          </cell>
          <cell r="CM32" t="str">
            <v>Jul-14</v>
          </cell>
          <cell r="CN32" t="str">
            <v>Aug-14</v>
          </cell>
          <cell r="CO32" t="str">
            <v>Sep-14</v>
          </cell>
          <cell r="CP32" t="str">
            <v>Adj_Sep-14</v>
          </cell>
          <cell r="CQ32" t="str">
            <v>Oct-14</v>
          </cell>
          <cell r="CR32" t="str">
            <v>Nov-14</v>
          </cell>
          <cell r="CS32" t="str">
            <v>Dec-14</v>
          </cell>
          <cell r="CT32" t="str">
            <v>Jan-15</v>
          </cell>
          <cell r="CU32" t="str">
            <v>Feb-15</v>
          </cell>
          <cell r="CV32" t="str">
            <v>Mar-15</v>
          </cell>
          <cell r="CW32" t="str">
            <v>Apr-15</v>
          </cell>
          <cell r="CX32" t="str">
            <v>May-15</v>
          </cell>
          <cell r="CY32" t="str">
            <v>Jun-15</v>
          </cell>
          <cell r="CZ32" t="str">
            <v>Jul-15</v>
          </cell>
          <cell r="DA32" t="str">
            <v>Aug-15</v>
          </cell>
          <cell r="DB32" t="str">
            <v>Sep-15</v>
          </cell>
          <cell r="DC32" t="str">
            <v>Adj_Sep-15</v>
          </cell>
        </row>
      </sheetData>
      <sheetData sheetId="8"/>
      <sheetData sheetId="9"/>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v"/>
      <sheetName val="Prior"/>
      <sheetName val="Unbill"/>
      <sheetName val="TuSum"/>
      <sheetName val="InputEst"/>
      <sheetName val="Intro"/>
      <sheetName val="A"/>
      <sheetName val="B"/>
      <sheetName val="C"/>
      <sheetName val="C1"/>
      <sheetName val="D"/>
      <sheetName val="E"/>
      <sheetName val="E1"/>
      <sheetName val="E (2)"/>
      <sheetName val="E1 (2)"/>
      <sheetName val="E (3)"/>
      <sheetName val="E1 (3)"/>
      <sheetName val="F1.1"/>
      <sheetName val="F1.2"/>
      <sheetName val="F1.3"/>
      <sheetName val="Sheet G3"/>
      <sheetName val="Sheet G3.01"/>
      <sheetName val="Kris Input - MGE"/>
      <sheetName val="Resid"/>
      <sheetName val="CBS Cashout"/>
      <sheetName val="AutoMod"/>
      <sheetName val="Print Mods"/>
      <sheetName val="GotoMod"/>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ual Current Mo"/>
      <sheetName val="Budget Current Mo"/>
      <sheetName val="Actual Quarter"/>
      <sheetName val="Budget Quarter"/>
      <sheetName val="Actual YTD"/>
      <sheetName val="Budget YTD"/>
      <sheetName val="Customers"/>
      <sheetName val="Detail"/>
    </sheetNames>
    <sheetDataSet>
      <sheetData sheetId="0"/>
      <sheetData sheetId="1"/>
      <sheetData sheetId="2"/>
      <sheetData sheetId="3"/>
      <sheetData sheetId="4"/>
      <sheetData sheetId="5"/>
      <sheetData sheetId="6"/>
      <sheetData sheetId="7">
        <row r="2">
          <cell r="AI2" t="str">
            <v>2011</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Instructions"/>
      <sheetName val="General Information"/>
      <sheetName val="Change Log"/>
      <sheetName val="Worksheets"/>
      <sheetName val="Unbilled Comparison"/>
      <sheetName val="Unbilled Therm Calc 5366W"/>
      <sheetName val="Unbilled Revenue Calc 5365W"/>
      <sheetName val="proration"/>
      <sheetName val="Therm-MCF Statistics"/>
      <sheetName val="JE Upload"/>
      <sheetName val="JE Recap"/>
      <sheetName val="Rate Codes WPL"/>
      <sheetName val="Ck MCF diff"/>
      <sheetName val="Rate Codes SBWGE"/>
      <sheetName val="Excel Print Macro"/>
      <sheetName val="Module1"/>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PL"/>
      <sheetName val="IPL"/>
      <sheetName val="IPW"/>
      <sheetName val="IES"/>
      <sheetName val="WPL-GL"/>
      <sheetName val="IPL-GL"/>
      <sheetName val="BP1"/>
      <sheetName val="BATS %"/>
      <sheetName val="MarketPrices"/>
      <sheetName val="Inputs-Alloc"/>
      <sheetName val="Input-MISO"/>
      <sheetName val="MISO_Re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1">
          <cell r="B11">
            <v>38687</v>
          </cell>
          <cell r="C11">
            <v>20467.46</v>
          </cell>
          <cell r="D11">
            <v>35093.18</v>
          </cell>
          <cell r="E11">
            <v>55560.639999999999</v>
          </cell>
          <cell r="F11">
            <v>4981915.3166249301</v>
          </cell>
          <cell r="G11">
            <v>3167817.1730610342</v>
          </cell>
          <cell r="H11">
            <v>8149732.4896859638</v>
          </cell>
          <cell r="I11">
            <v>7822.88</v>
          </cell>
          <cell r="J11">
            <v>4252.6400000000003</v>
          </cell>
          <cell r="K11">
            <v>12075.52</v>
          </cell>
          <cell r="L11">
            <v>-996047.23026350792</v>
          </cell>
          <cell r="M11">
            <v>129541.53416480776</v>
          </cell>
          <cell r="N11">
            <v>-866505.69609870017</v>
          </cell>
          <cell r="O11">
            <v>14180.22</v>
          </cell>
          <cell r="P11">
            <v>21459.72</v>
          </cell>
          <cell r="Q11">
            <v>35639.94</v>
          </cell>
          <cell r="R11">
            <v>2019988.2107262537</v>
          </cell>
          <cell r="S11">
            <v>-116764.45431351737</v>
          </cell>
          <cell r="T11">
            <v>1903223.7564127361</v>
          </cell>
          <cell r="U11">
            <v>42470.559999999998</v>
          </cell>
          <cell r="V11">
            <v>60805.54</v>
          </cell>
          <cell r="W11">
            <v>103276.1</v>
          </cell>
          <cell r="X11">
            <v>6005856.2970876759</v>
          </cell>
          <cell r="Y11">
            <v>3180594.2529123244</v>
          </cell>
          <cell r="Z11">
            <v>9186450.5500000007</v>
          </cell>
        </row>
        <row r="12">
          <cell r="B12">
            <v>38718</v>
          </cell>
          <cell r="C12">
            <v>54076.66</v>
          </cell>
          <cell r="D12">
            <v>98699.62</v>
          </cell>
          <cell r="E12">
            <v>152776.28</v>
          </cell>
          <cell r="F12">
            <v>7285093.4825272001</v>
          </cell>
          <cell r="G12">
            <v>4841930.8441137839</v>
          </cell>
          <cell r="H12">
            <v>12127024.326640984</v>
          </cell>
          <cell r="I12">
            <v>8075.89</v>
          </cell>
          <cell r="J12">
            <v>7642.21</v>
          </cell>
          <cell r="K12">
            <v>15718.1</v>
          </cell>
          <cell r="L12">
            <v>1137831.2431424595</v>
          </cell>
          <cell r="M12">
            <v>293809.93181637279</v>
          </cell>
          <cell r="N12">
            <v>1431641.1749588321</v>
          </cell>
          <cell r="O12">
            <v>25102.6</v>
          </cell>
          <cell r="P12">
            <v>33600.53</v>
          </cell>
          <cell r="Q12">
            <v>58703.13</v>
          </cell>
          <cell r="R12">
            <v>1350489.5077388021</v>
          </cell>
          <cell r="S12">
            <v>1117219.7706613829</v>
          </cell>
          <cell r="T12">
            <v>2467709.2784001846</v>
          </cell>
          <cell r="U12">
            <v>87255.15</v>
          </cell>
          <cell r="V12">
            <v>139942.35999999999</v>
          </cell>
          <cell r="W12">
            <v>227197.51</v>
          </cell>
          <cell r="X12">
            <v>9773414.2334084623</v>
          </cell>
          <cell r="Y12">
            <v>6252960.5465915399</v>
          </cell>
          <cell r="Z12">
            <v>16026374.780000001</v>
          </cell>
        </row>
        <row r="13">
          <cell r="B13">
            <v>38749</v>
          </cell>
          <cell r="C13">
            <v>23194.71</v>
          </cell>
          <cell r="D13">
            <v>97452.69</v>
          </cell>
          <cell r="E13">
            <v>120647.4</v>
          </cell>
          <cell r="F13">
            <v>5691186.8600000003</v>
          </cell>
          <cell r="G13">
            <v>5426568.9799999995</v>
          </cell>
          <cell r="H13">
            <v>11117755.840000002</v>
          </cell>
          <cell r="I13">
            <v>1984.29</v>
          </cell>
          <cell r="J13">
            <v>15018.1</v>
          </cell>
          <cell r="K13">
            <v>17002.39</v>
          </cell>
          <cell r="L13">
            <v>1935627.38</v>
          </cell>
          <cell r="M13">
            <v>254501.78</v>
          </cell>
          <cell r="N13">
            <v>2190129.16</v>
          </cell>
          <cell r="O13">
            <v>9918.0300000000007</v>
          </cell>
          <cell r="P13">
            <v>40372.39</v>
          </cell>
          <cell r="Q13">
            <v>50290.42</v>
          </cell>
          <cell r="R13">
            <v>801753.17</v>
          </cell>
          <cell r="S13">
            <v>1467898.96</v>
          </cell>
          <cell r="T13">
            <v>2269652.13</v>
          </cell>
          <cell r="U13">
            <v>35097.03</v>
          </cell>
          <cell r="V13">
            <v>152843.18</v>
          </cell>
          <cell r="W13">
            <v>187940.21</v>
          </cell>
          <cell r="X13">
            <v>8428567.4100000001</v>
          </cell>
          <cell r="Y13">
            <v>7148969.7199999997</v>
          </cell>
          <cell r="Z13">
            <v>15577537.129999999</v>
          </cell>
        </row>
        <row r="14">
          <cell r="B14">
            <v>38777</v>
          </cell>
          <cell r="C14">
            <v>63768.95</v>
          </cell>
          <cell r="D14">
            <v>80655.960000000006</v>
          </cell>
          <cell r="E14">
            <v>144424.91</v>
          </cell>
          <cell r="F14">
            <v>5232618.6900000004</v>
          </cell>
          <cell r="G14">
            <v>3594336.45</v>
          </cell>
          <cell r="H14">
            <v>8826955.1400000006</v>
          </cell>
          <cell r="I14">
            <v>28232.39</v>
          </cell>
          <cell r="J14">
            <v>16667.55</v>
          </cell>
          <cell r="K14">
            <v>44899.94</v>
          </cell>
          <cell r="L14">
            <v>2240392.86</v>
          </cell>
          <cell r="M14">
            <v>789616.77</v>
          </cell>
          <cell r="N14">
            <v>3030009.63</v>
          </cell>
          <cell r="O14">
            <v>38735.910000000003</v>
          </cell>
          <cell r="P14">
            <v>89061.73</v>
          </cell>
          <cell r="Q14">
            <v>127797.64</v>
          </cell>
          <cell r="R14">
            <v>1814734.7</v>
          </cell>
          <cell r="S14">
            <v>2802509.2</v>
          </cell>
          <cell r="T14">
            <v>4617243.9000000004</v>
          </cell>
          <cell r="U14">
            <v>130737.25</v>
          </cell>
          <cell r="V14">
            <v>186385.24</v>
          </cell>
          <cell r="W14">
            <v>317122.49</v>
          </cell>
          <cell r="X14">
            <v>9287746.2499999981</v>
          </cell>
          <cell r="Y14">
            <v>7186462.4199999999</v>
          </cell>
          <cell r="Z14">
            <v>16474208.669999998</v>
          </cell>
        </row>
        <row r="15">
          <cell r="B15">
            <v>38808</v>
          </cell>
          <cell r="C15">
            <v>55952.79</v>
          </cell>
          <cell r="D15">
            <v>49270.45</v>
          </cell>
          <cell r="E15">
            <v>105223.24</v>
          </cell>
          <cell r="F15">
            <v>5080674.97</v>
          </cell>
          <cell r="G15">
            <v>2203076.3199999998</v>
          </cell>
          <cell r="H15">
            <v>7283751.290000001</v>
          </cell>
          <cell r="I15">
            <v>49844.51</v>
          </cell>
          <cell r="J15">
            <v>52918.99</v>
          </cell>
          <cell r="K15">
            <v>102763.5</v>
          </cell>
          <cell r="L15">
            <v>3098343.29</v>
          </cell>
          <cell r="M15">
            <v>2089368.66</v>
          </cell>
          <cell r="N15">
            <v>5187711.95</v>
          </cell>
          <cell r="O15">
            <v>16204.64</v>
          </cell>
          <cell r="P15">
            <v>28996.38</v>
          </cell>
          <cell r="Q15">
            <v>45201.02</v>
          </cell>
          <cell r="R15">
            <v>587651.67000000004</v>
          </cell>
          <cell r="S15">
            <v>1041800.45</v>
          </cell>
          <cell r="T15">
            <v>1629452.12</v>
          </cell>
          <cell r="U15">
            <v>122001.94</v>
          </cell>
          <cell r="V15">
            <v>131185.82</v>
          </cell>
          <cell r="W15">
            <v>253187.76</v>
          </cell>
          <cell r="X15">
            <v>8766669.9300000016</v>
          </cell>
          <cell r="Y15">
            <v>5334245.43</v>
          </cell>
          <cell r="Z15">
            <v>14100915.360000001</v>
          </cell>
        </row>
        <row r="16">
          <cell r="B16">
            <v>38838</v>
          </cell>
          <cell r="C16">
            <v>36718.379999999997</v>
          </cell>
          <cell r="D16">
            <v>25007.59</v>
          </cell>
          <cell r="E16">
            <v>61725.97</v>
          </cell>
          <cell r="F16">
            <v>2885419.65</v>
          </cell>
          <cell r="G16">
            <v>1042305.21</v>
          </cell>
          <cell r="H16">
            <v>3927724.86</v>
          </cell>
          <cell r="I16">
            <v>52399.08</v>
          </cell>
          <cell r="J16">
            <v>35935.03</v>
          </cell>
          <cell r="K16">
            <v>88334.11</v>
          </cell>
          <cell r="L16">
            <v>3149683.42</v>
          </cell>
          <cell r="M16">
            <v>1414186.36</v>
          </cell>
          <cell r="N16">
            <v>4563869.78</v>
          </cell>
          <cell r="O16">
            <v>11588.79</v>
          </cell>
          <cell r="P16">
            <v>30675.11</v>
          </cell>
          <cell r="Q16">
            <v>42263.9</v>
          </cell>
          <cell r="R16">
            <v>114942.28</v>
          </cell>
          <cell r="S16">
            <v>899463.51</v>
          </cell>
          <cell r="T16">
            <v>1014405.79</v>
          </cell>
          <cell r="U16">
            <v>100706.25</v>
          </cell>
          <cell r="V16">
            <v>91617.73</v>
          </cell>
          <cell r="W16">
            <v>192323.98</v>
          </cell>
          <cell r="X16">
            <v>6150045.3500000006</v>
          </cell>
          <cell r="Y16">
            <v>3355955.08</v>
          </cell>
          <cell r="Z16">
            <v>9506000.4299999997</v>
          </cell>
        </row>
        <row r="17">
          <cell r="B17">
            <v>38869</v>
          </cell>
        </row>
        <row r="18">
          <cell r="B18">
            <v>38899</v>
          </cell>
        </row>
        <row r="19">
          <cell r="B19">
            <v>38930</v>
          </cell>
        </row>
        <row r="20">
          <cell r="B20">
            <v>38961</v>
          </cell>
        </row>
        <row r="21">
          <cell r="B21">
            <v>38991</v>
          </cell>
        </row>
        <row r="22">
          <cell r="B22">
            <v>39022</v>
          </cell>
        </row>
        <row r="23">
          <cell r="B23">
            <v>39052</v>
          </cell>
        </row>
        <row r="75">
          <cell r="B75">
            <v>38687</v>
          </cell>
          <cell r="C75">
            <v>20031.16</v>
          </cell>
          <cell r="D75">
            <v>16591.310000000001</v>
          </cell>
          <cell r="E75">
            <v>36622.47</v>
          </cell>
          <cell r="F75">
            <v>0</v>
          </cell>
          <cell r="G75">
            <v>0</v>
          </cell>
          <cell r="H75">
            <v>0</v>
          </cell>
          <cell r="I75">
            <v>22178.92</v>
          </cell>
          <cell r="J75">
            <v>22618.28</v>
          </cell>
          <cell r="K75">
            <v>44797.2</v>
          </cell>
          <cell r="L75">
            <v>226309.11</v>
          </cell>
          <cell r="M75">
            <v>1005742.18</v>
          </cell>
          <cell r="N75">
            <v>1232051.29</v>
          </cell>
          <cell r="O75">
            <v>8028.11</v>
          </cell>
          <cell r="P75">
            <v>7371.71</v>
          </cell>
          <cell r="Q75">
            <v>15399.82</v>
          </cell>
          <cell r="R75">
            <v>2646370.98</v>
          </cell>
          <cell r="S75">
            <v>340610.66</v>
          </cell>
          <cell r="T75">
            <v>2986981.64</v>
          </cell>
          <cell r="U75">
            <v>50238.19</v>
          </cell>
          <cell r="V75">
            <v>46581.3</v>
          </cell>
          <cell r="W75">
            <v>96819.49</v>
          </cell>
          <cell r="X75">
            <v>2872680.09</v>
          </cell>
          <cell r="Y75">
            <v>1346352.84</v>
          </cell>
          <cell r="Z75">
            <v>4219032.93</v>
          </cell>
        </row>
        <row r="76">
          <cell r="B76">
            <v>38718</v>
          </cell>
          <cell r="C76">
            <v>6611.87</v>
          </cell>
          <cell r="D76">
            <v>1925.36</v>
          </cell>
          <cell r="E76">
            <v>8537.23</v>
          </cell>
          <cell r="F76">
            <v>0</v>
          </cell>
          <cell r="G76">
            <v>0</v>
          </cell>
          <cell r="H76">
            <v>0</v>
          </cell>
          <cell r="I76">
            <v>8951.5499999999993</v>
          </cell>
          <cell r="J76">
            <v>3618.24</v>
          </cell>
          <cell r="K76">
            <v>12569.79</v>
          </cell>
          <cell r="L76">
            <v>0</v>
          </cell>
          <cell r="M76">
            <v>0</v>
          </cell>
          <cell r="N76">
            <v>0</v>
          </cell>
          <cell r="O76">
            <v>2773.81</v>
          </cell>
          <cell r="P76">
            <v>868.56</v>
          </cell>
          <cell r="Q76">
            <v>3642.37</v>
          </cell>
          <cell r="R76">
            <v>0</v>
          </cell>
          <cell r="S76">
            <v>0</v>
          </cell>
          <cell r="T76">
            <v>0</v>
          </cell>
          <cell r="U76">
            <v>18337.23</v>
          </cell>
          <cell r="V76">
            <v>6412.16</v>
          </cell>
          <cell r="W76">
            <v>24749.39</v>
          </cell>
          <cell r="X76">
            <v>0</v>
          </cell>
          <cell r="Y76">
            <v>0</v>
          </cell>
          <cell r="Z76">
            <v>0</v>
          </cell>
        </row>
        <row r="77">
          <cell r="B77">
            <v>38749</v>
          </cell>
          <cell r="C77">
            <v>15154.64</v>
          </cell>
          <cell r="D77">
            <v>1279.17</v>
          </cell>
          <cell r="E77">
            <v>16433.810000000001</v>
          </cell>
          <cell r="F77">
            <v>0</v>
          </cell>
          <cell r="G77">
            <v>0</v>
          </cell>
          <cell r="H77">
            <v>0</v>
          </cell>
          <cell r="I77">
            <v>21262.79</v>
          </cell>
          <cell r="J77">
            <v>1800.69</v>
          </cell>
          <cell r="K77">
            <v>23063.48</v>
          </cell>
          <cell r="L77">
            <v>0</v>
          </cell>
          <cell r="M77">
            <v>0</v>
          </cell>
          <cell r="N77">
            <v>0</v>
          </cell>
          <cell r="O77">
            <v>7056.16</v>
          </cell>
          <cell r="P77">
            <v>557.75</v>
          </cell>
          <cell r="Q77">
            <v>7613.91</v>
          </cell>
          <cell r="R77">
            <v>0</v>
          </cell>
          <cell r="S77">
            <v>0</v>
          </cell>
          <cell r="T77">
            <v>0</v>
          </cell>
          <cell r="U77">
            <v>43473.59</v>
          </cell>
          <cell r="V77">
            <v>3637.61</v>
          </cell>
          <cell r="W77">
            <v>47111.199999999997</v>
          </cell>
          <cell r="X77">
            <v>0</v>
          </cell>
          <cell r="Y77">
            <v>0</v>
          </cell>
          <cell r="Z77">
            <v>0</v>
          </cell>
        </row>
        <row r="78">
          <cell r="B78">
            <v>38777</v>
          </cell>
          <cell r="C78">
            <v>2953.4</v>
          </cell>
          <cell r="D78">
            <v>75.69</v>
          </cell>
          <cell r="E78">
            <v>3029.09</v>
          </cell>
          <cell r="F78">
            <v>0</v>
          </cell>
          <cell r="G78">
            <v>0</v>
          </cell>
          <cell r="H78">
            <v>0</v>
          </cell>
          <cell r="I78">
            <v>3250.64</v>
          </cell>
          <cell r="J78">
            <v>104.14</v>
          </cell>
          <cell r="K78">
            <v>3354.78</v>
          </cell>
          <cell r="L78">
            <v>0</v>
          </cell>
          <cell r="M78">
            <v>0</v>
          </cell>
          <cell r="N78">
            <v>0</v>
          </cell>
          <cell r="O78">
            <v>1347.49</v>
          </cell>
          <cell r="P78">
            <v>36.299999999999997</v>
          </cell>
          <cell r="Q78">
            <v>1383.79</v>
          </cell>
          <cell r="R78">
            <v>0</v>
          </cell>
          <cell r="S78">
            <v>0</v>
          </cell>
          <cell r="T78">
            <v>0</v>
          </cell>
          <cell r="U78">
            <v>7551.53</v>
          </cell>
          <cell r="V78">
            <v>216.13</v>
          </cell>
          <cell r="W78">
            <v>7767.66</v>
          </cell>
          <cell r="X78">
            <v>0</v>
          </cell>
          <cell r="Y78">
            <v>0</v>
          </cell>
          <cell r="Z78">
            <v>0</v>
          </cell>
        </row>
        <row r="79">
          <cell r="B79">
            <v>38808</v>
          </cell>
          <cell r="C79">
            <v>2914.47</v>
          </cell>
          <cell r="D79">
            <v>1796.01</v>
          </cell>
          <cell r="E79">
            <v>4710.4799999999996</v>
          </cell>
          <cell r="F79">
            <v>0</v>
          </cell>
          <cell r="G79">
            <v>0</v>
          </cell>
          <cell r="H79">
            <v>0</v>
          </cell>
          <cell r="I79">
            <v>2421.9299999999998</v>
          </cell>
          <cell r="J79">
            <v>1936.8</v>
          </cell>
          <cell r="K79">
            <v>4358.7299999999996</v>
          </cell>
          <cell r="L79">
            <v>0</v>
          </cell>
          <cell r="M79">
            <v>0</v>
          </cell>
          <cell r="N79">
            <v>0</v>
          </cell>
          <cell r="O79">
            <v>1332.21</v>
          </cell>
          <cell r="P79">
            <v>1129.45</v>
          </cell>
          <cell r="Q79">
            <v>2461.66</v>
          </cell>
          <cell r="R79">
            <v>0</v>
          </cell>
          <cell r="S79">
            <v>0</v>
          </cell>
          <cell r="T79">
            <v>0</v>
          </cell>
          <cell r="U79">
            <v>6668.61</v>
          </cell>
          <cell r="V79">
            <v>4862.26</v>
          </cell>
          <cell r="W79">
            <v>11530.87</v>
          </cell>
          <cell r="X79">
            <v>0</v>
          </cell>
          <cell r="Y79">
            <v>0</v>
          </cell>
          <cell r="Z79">
            <v>0</v>
          </cell>
        </row>
        <row r="80">
          <cell r="B80">
            <v>38838</v>
          </cell>
          <cell r="C80">
            <v>10744.44</v>
          </cell>
          <cell r="D80">
            <v>5092.16</v>
          </cell>
          <cell r="E80">
            <v>15836.6</v>
          </cell>
          <cell r="F80">
            <v>0</v>
          </cell>
          <cell r="G80">
            <v>0</v>
          </cell>
          <cell r="H80">
            <v>0</v>
          </cell>
          <cell r="I80">
            <v>12833.13</v>
          </cell>
          <cell r="J80">
            <v>4214.92</v>
          </cell>
          <cell r="K80">
            <v>17048.05</v>
          </cell>
          <cell r="L80">
            <v>0</v>
          </cell>
          <cell r="M80">
            <v>0</v>
          </cell>
          <cell r="N80">
            <v>0</v>
          </cell>
          <cell r="O80">
            <v>6969.02</v>
          </cell>
          <cell r="P80">
            <v>2397.1799999999998</v>
          </cell>
          <cell r="Q80">
            <v>9366.2000000000007</v>
          </cell>
          <cell r="R80">
            <v>0</v>
          </cell>
          <cell r="S80">
            <v>0</v>
          </cell>
          <cell r="T80">
            <v>0</v>
          </cell>
          <cell r="U80">
            <v>30546.59</v>
          </cell>
          <cell r="V80">
            <v>11704.26</v>
          </cell>
          <cell r="W80">
            <v>42250.85</v>
          </cell>
          <cell r="X80">
            <v>0</v>
          </cell>
          <cell r="Y80">
            <v>0</v>
          </cell>
          <cell r="Z80">
            <v>0</v>
          </cell>
        </row>
        <row r="81">
          <cell r="B81">
            <v>38869</v>
          </cell>
        </row>
        <row r="82">
          <cell r="B82">
            <v>38899</v>
          </cell>
        </row>
        <row r="83">
          <cell r="B83">
            <v>38930</v>
          </cell>
        </row>
        <row r="84">
          <cell r="B84">
            <v>38961</v>
          </cell>
        </row>
        <row r="85">
          <cell r="B85">
            <v>38991</v>
          </cell>
        </row>
        <row r="86">
          <cell r="B86">
            <v>39022</v>
          </cell>
        </row>
        <row r="87">
          <cell r="B87">
            <v>39052</v>
          </cell>
        </row>
        <row r="89">
          <cell r="B89">
            <v>38687</v>
          </cell>
          <cell r="F89">
            <v>23563.919999999998</v>
          </cell>
          <cell r="G89">
            <v>98215.06</v>
          </cell>
          <cell r="H89">
            <v>121778.98</v>
          </cell>
          <cell r="L89">
            <v>23465.97</v>
          </cell>
          <cell r="M89">
            <v>125809.77</v>
          </cell>
          <cell r="N89">
            <v>149275.74</v>
          </cell>
          <cell r="R89">
            <v>6041.94</v>
          </cell>
          <cell r="S89">
            <v>45084.38</v>
          </cell>
          <cell r="T89">
            <v>51126.32</v>
          </cell>
          <cell r="X89">
            <v>53071.83</v>
          </cell>
          <cell r="Y89">
            <v>269109.21000000002</v>
          </cell>
          <cell r="Z89">
            <v>322181.03999999998</v>
          </cell>
        </row>
        <row r="90">
          <cell r="B90">
            <v>38718</v>
          </cell>
          <cell r="F90">
            <v>17962.759999999998</v>
          </cell>
          <cell r="G90">
            <v>52699.64</v>
          </cell>
          <cell r="H90">
            <v>70662.399999999994</v>
          </cell>
          <cell r="L90">
            <v>16568.689999999999</v>
          </cell>
          <cell r="M90">
            <v>76040.67</v>
          </cell>
          <cell r="N90">
            <v>92609.36</v>
          </cell>
          <cell r="R90">
            <v>6479.14</v>
          </cell>
          <cell r="S90">
            <v>26881.54</v>
          </cell>
          <cell r="T90">
            <v>33360.68</v>
          </cell>
          <cell r="X90">
            <v>41010.589999999997</v>
          </cell>
          <cell r="Y90">
            <v>155621.85</v>
          </cell>
          <cell r="Z90">
            <v>196632.44</v>
          </cell>
        </row>
        <row r="91">
          <cell r="B91">
            <v>38749</v>
          </cell>
          <cell r="F91">
            <v>29138.57</v>
          </cell>
          <cell r="G91">
            <v>47779.43</v>
          </cell>
          <cell r="H91">
            <v>76918</v>
          </cell>
          <cell r="L91">
            <v>27577.93</v>
          </cell>
          <cell r="M91">
            <v>61450.87</v>
          </cell>
          <cell r="N91">
            <v>89028.800000000003</v>
          </cell>
          <cell r="R91">
            <v>9890.19</v>
          </cell>
          <cell r="S91">
            <v>21656.240000000002</v>
          </cell>
          <cell r="T91">
            <v>31546.43</v>
          </cell>
          <cell r="X91">
            <v>66606.69</v>
          </cell>
          <cell r="Y91">
            <v>130886.54</v>
          </cell>
          <cell r="Z91">
            <v>197493.23</v>
          </cell>
        </row>
        <row r="92">
          <cell r="B92">
            <v>38777</v>
          </cell>
          <cell r="F92">
            <v>35802.9</v>
          </cell>
          <cell r="G92">
            <v>48846.32</v>
          </cell>
          <cell r="H92">
            <v>84649.22</v>
          </cell>
          <cell r="L92">
            <v>34518.94</v>
          </cell>
          <cell r="M92">
            <v>48218.7</v>
          </cell>
          <cell r="N92">
            <v>82737.64</v>
          </cell>
          <cell r="R92">
            <v>10483.6</v>
          </cell>
          <cell r="S92">
            <v>20295.29</v>
          </cell>
          <cell r="T92">
            <v>30778.89</v>
          </cell>
          <cell r="X92">
            <v>80805.440000000002</v>
          </cell>
          <cell r="Y92">
            <v>117360.31</v>
          </cell>
          <cell r="Z92">
            <v>198165.75</v>
          </cell>
        </row>
        <row r="93">
          <cell r="B93">
            <v>38808</v>
          </cell>
          <cell r="F93">
            <v>26733.51</v>
          </cell>
          <cell r="G93">
            <v>48929.79</v>
          </cell>
          <cell r="H93">
            <v>75663.3</v>
          </cell>
          <cell r="L93">
            <v>25641.03</v>
          </cell>
          <cell r="M93">
            <v>45793.279999999999</v>
          </cell>
          <cell r="N93">
            <v>71434.31</v>
          </cell>
          <cell r="R93">
            <v>8622.24</v>
          </cell>
          <cell r="S93">
            <v>21334.36</v>
          </cell>
          <cell r="T93">
            <v>29956.6</v>
          </cell>
          <cell r="X93">
            <v>60996.78</v>
          </cell>
          <cell r="Y93">
            <v>116057.43</v>
          </cell>
          <cell r="Z93">
            <v>177054.21</v>
          </cell>
        </row>
        <row r="94">
          <cell r="B94">
            <v>38838</v>
          </cell>
          <cell r="F94">
            <v>36003.839999999997</v>
          </cell>
          <cell r="G94">
            <v>29104.29</v>
          </cell>
          <cell r="H94">
            <v>65108.13</v>
          </cell>
          <cell r="L94">
            <v>36009.800000000003</v>
          </cell>
          <cell r="M94">
            <v>27433.06</v>
          </cell>
          <cell r="N94">
            <v>63442.86</v>
          </cell>
          <cell r="R94">
            <v>9845.0300000000007</v>
          </cell>
          <cell r="S94">
            <v>12835.75</v>
          </cell>
          <cell r="T94">
            <v>22680.78</v>
          </cell>
          <cell r="X94">
            <v>81858.67</v>
          </cell>
          <cell r="Y94">
            <v>69373.100000000006</v>
          </cell>
          <cell r="Z94">
            <v>151231.76999999999</v>
          </cell>
        </row>
        <row r="95">
          <cell r="B95">
            <v>38869</v>
          </cell>
        </row>
        <row r="96">
          <cell r="B96">
            <v>38899</v>
          </cell>
        </row>
        <row r="97">
          <cell r="B97">
            <v>38930</v>
          </cell>
        </row>
        <row r="98">
          <cell r="B98">
            <v>38961</v>
          </cell>
        </row>
        <row r="99">
          <cell r="B99">
            <v>38991</v>
          </cell>
        </row>
        <row r="100">
          <cell r="B100">
            <v>39022</v>
          </cell>
        </row>
        <row r="101">
          <cell r="B101">
            <v>39052</v>
          </cell>
        </row>
        <row r="124">
          <cell r="B124">
            <v>38687</v>
          </cell>
          <cell r="C124">
            <v>29365.15</v>
          </cell>
          <cell r="D124">
            <v>44765.98</v>
          </cell>
          <cell r="E124">
            <v>74131.13</v>
          </cell>
          <cell r="F124">
            <v>837158.03</v>
          </cell>
          <cell r="G124">
            <v>952317.61</v>
          </cell>
          <cell r="H124">
            <v>1789475.64</v>
          </cell>
          <cell r="I124">
            <v>45234.18</v>
          </cell>
          <cell r="J124">
            <v>30032.23</v>
          </cell>
          <cell r="K124">
            <v>75266.41</v>
          </cell>
          <cell r="L124">
            <v>2075509.09</v>
          </cell>
          <cell r="M124">
            <v>845260.6</v>
          </cell>
          <cell r="N124">
            <v>2920769.69</v>
          </cell>
          <cell r="O124">
            <v>14626.55</v>
          </cell>
          <cell r="P124">
            <v>20671.990000000002</v>
          </cell>
          <cell r="Q124">
            <v>35298.54</v>
          </cell>
          <cell r="R124">
            <v>510749.33</v>
          </cell>
          <cell r="S124">
            <v>442319.46</v>
          </cell>
          <cell r="T124">
            <v>953068.79</v>
          </cell>
          <cell r="U124">
            <v>89225.88</v>
          </cell>
          <cell r="V124">
            <v>95470.2</v>
          </cell>
          <cell r="W124">
            <v>184696.08</v>
          </cell>
          <cell r="X124">
            <v>3423416.45</v>
          </cell>
          <cell r="Y124">
            <v>2239897.67</v>
          </cell>
          <cell r="Z124">
            <v>5663314.1200000001</v>
          </cell>
        </row>
        <row r="125">
          <cell r="B125">
            <v>38718</v>
          </cell>
          <cell r="C125">
            <v>39052.129999999997</v>
          </cell>
          <cell r="D125">
            <v>32256.33</v>
          </cell>
          <cell r="E125">
            <v>71308.460000000006</v>
          </cell>
          <cell r="F125">
            <v>1043838.23</v>
          </cell>
          <cell r="G125">
            <v>593784.11</v>
          </cell>
          <cell r="H125">
            <v>1637622.34</v>
          </cell>
          <cell r="I125">
            <v>9618.19</v>
          </cell>
          <cell r="J125">
            <v>3113.79</v>
          </cell>
          <cell r="K125">
            <v>12731.98</v>
          </cell>
          <cell r="L125">
            <v>319600.39</v>
          </cell>
          <cell r="M125">
            <v>60435.4</v>
          </cell>
          <cell r="N125">
            <v>380035.79</v>
          </cell>
          <cell r="O125">
            <v>15366.62</v>
          </cell>
          <cell r="P125">
            <v>25600.7</v>
          </cell>
          <cell r="Q125">
            <v>40967.32</v>
          </cell>
          <cell r="R125">
            <v>443578.19</v>
          </cell>
          <cell r="S125">
            <v>432273.47</v>
          </cell>
          <cell r="T125">
            <v>875851.66</v>
          </cell>
          <cell r="U125">
            <v>64036.94</v>
          </cell>
          <cell r="V125">
            <v>60970.82</v>
          </cell>
          <cell r="W125">
            <v>125007.76</v>
          </cell>
          <cell r="X125">
            <v>1807016.81</v>
          </cell>
          <cell r="Y125">
            <v>1086492.98</v>
          </cell>
          <cell r="Z125">
            <v>2893509.79</v>
          </cell>
        </row>
        <row r="126">
          <cell r="B126">
            <v>38749</v>
          </cell>
          <cell r="C126">
            <v>48269.48</v>
          </cell>
          <cell r="D126">
            <v>37441.279999999999</v>
          </cell>
          <cell r="E126">
            <v>85710.76</v>
          </cell>
          <cell r="F126">
            <v>1090179.43</v>
          </cell>
          <cell r="G126">
            <v>678489.72</v>
          </cell>
          <cell r="H126">
            <v>1768669.15</v>
          </cell>
          <cell r="I126">
            <v>14092.31</v>
          </cell>
          <cell r="J126">
            <v>937</v>
          </cell>
          <cell r="K126">
            <v>15029.31</v>
          </cell>
          <cell r="L126">
            <v>442341.49</v>
          </cell>
          <cell r="M126">
            <v>21767.68</v>
          </cell>
          <cell r="N126">
            <v>464109.17</v>
          </cell>
          <cell r="O126">
            <v>21135.95</v>
          </cell>
          <cell r="P126">
            <v>16560.849999999999</v>
          </cell>
          <cell r="Q126">
            <v>37696.800000000003</v>
          </cell>
          <cell r="R126">
            <v>580428.31000000006</v>
          </cell>
          <cell r="S126">
            <v>283256.57</v>
          </cell>
          <cell r="T126">
            <v>863684.88</v>
          </cell>
          <cell r="U126">
            <v>83497.740000000005</v>
          </cell>
          <cell r="V126">
            <v>54939.13</v>
          </cell>
          <cell r="W126">
            <v>138436.87</v>
          </cell>
          <cell r="X126">
            <v>2112949.23</v>
          </cell>
          <cell r="Y126">
            <v>983513.97</v>
          </cell>
          <cell r="Z126">
            <v>3096463.2</v>
          </cell>
        </row>
        <row r="127">
          <cell r="B127">
            <v>38777</v>
          </cell>
          <cell r="C127">
            <v>19915.46</v>
          </cell>
          <cell r="D127">
            <v>15656.1</v>
          </cell>
          <cell r="E127">
            <v>35571.56</v>
          </cell>
          <cell r="F127">
            <v>506515.16</v>
          </cell>
          <cell r="G127">
            <v>256100.79</v>
          </cell>
          <cell r="H127">
            <v>762615.95</v>
          </cell>
          <cell r="I127">
            <v>5664.72</v>
          </cell>
          <cell r="J127">
            <v>126.93</v>
          </cell>
          <cell r="K127">
            <v>5791.65</v>
          </cell>
          <cell r="L127">
            <v>99564.53</v>
          </cell>
          <cell r="M127">
            <v>2125.46</v>
          </cell>
          <cell r="N127">
            <v>101689.99</v>
          </cell>
          <cell r="O127">
            <v>5506.01</v>
          </cell>
          <cell r="P127">
            <v>13720.57</v>
          </cell>
          <cell r="Q127">
            <v>19226.580000000002</v>
          </cell>
          <cell r="R127">
            <v>147683.65</v>
          </cell>
          <cell r="S127">
            <v>216392.09</v>
          </cell>
          <cell r="T127">
            <v>364075.74</v>
          </cell>
          <cell r="U127">
            <v>31086.19</v>
          </cell>
          <cell r="V127">
            <v>29503.599999999999</v>
          </cell>
          <cell r="W127">
            <v>60589.79</v>
          </cell>
          <cell r="X127">
            <v>753763.34</v>
          </cell>
          <cell r="Y127">
            <v>474618.34</v>
          </cell>
          <cell r="Z127">
            <v>1228381.68</v>
          </cell>
        </row>
        <row r="128">
          <cell r="B128">
            <v>38808</v>
          </cell>
          <cell r="C128">
            <v>11260.21</v>
          </cell>
          <cell r="D128">
            <v>9647.3799999999992</v>
          </cell>
          <cell r="E128">
            <v>20907.59</v>
          </cell>
          <cell r="F128">
            <v>217963.84</v>
          </cell>
          <cell r="G128">
            <v>137198.37</v>
          </cell>
          <cell r="H128">
            <v>355162.21</v>
          </cell>
          <cell r="I128">
            <v>10096.85</v>
          </cell>
          <cell r="J128">
            <v>5543.96</v>
          </cell>
          <cell r="K128">
            <v>15640.81</v>
          </cell>
          <cell r="L128">
            <v>195771.26</v>
          </cell>
          <cell r="M128">
            <v>97419.33</v>
          </cell>
          <cell r="N128">
            <v>293190.59000000003</v>
          </cell>
          <cell r="O128">
            <v>959.29</v>
          </cell>
          <cell r="P128">
            <v>6109.83</v>
          </cell>
          <cell r="Q128">
            <v>7069.12</v>
          </cell>
          <cell r="R128">
            <v>31482.2</v>
          </cell>
          <cell r="S128">
            <v>90116.87</v>
          </cell>
          <cell r="T128">
            <v>121599.07</v>
          </cell>
          <cell r="U128">
            <v>22316.35</v>
          </cell>
          <cell r="V128">
            <v>21301.17</v>
          </cell>
          <cell r="W128">
            <v>43617.52</v>
          </cell>
          <cell r="X128">
            <v>445217.3</v>
          </cell>
          <cell r="Y128">
            <v>324734.57</v>
          </cell>
          <cell r="Z128">
            <v>769951.87</v>
          </cell>
        </row>
        <row r="129">
          <cell r="B129">
            <v>38838</v>
          </cell>
          <cell r="C129">
            <v>36025.629999999997</v>
          </cell>
          <cell r="D129">
            <v>10780.04</v>
          </cell>
          <cell r="E129">
            <v>46805.67</v>
          </cell>
          <cell r="F129">
            <v>769201.5</v>
          </cell>
          <cell r="G129">
            <v>166293.56</v>
          </cell>
          <cell r="H129">
            <v>935495.06</v>
          </cell>
          <cell r="I129">
            <v>41583.19</v>
          </cell>
          <cell r="J129">
            <v>9258.42</v>
          </cell>
          <cell r="K129">
            <v>50841.61</v>
          </cell>
          <cell r="L129">
            <v>884906.03</v>
          </cell>
          <cell r="M129">
            <v>176751.25</v>
          </cell>
          <cell r="N129">
            <v>1061657.28</v>
          </cell>
          <cell r="O129">
            <v>4213</v>
          </cell>
          <cell r="P129">
            <v>14589.92</v>
          </cell>
          <cell r="Q129">
            <v>18802.919999999998</v>
          </cell>
          <cell r="R129">
            <v>127357.45</v>
          </cell>
          <cell r="S129">
            <v>250485.15</v>
          </cell>
          <cell r="T129">
            <v>377842.6</v>
          </cell>
          <cell r="U129">
            <v>81821.820000000007</v>
          </cell>
          <cell r="V129">
            <v>34628.379999999997</v>
          </cell>
          <cell r="W129">
            <v>116450.2</v>
          </cell>
          <cell r="X129">
            <v>1781464.98</v>
          </cell>
          <cell r="Y129">
            <v>593529.96</v>
          </cell>
          <cell r="Z129">
            <v>2374994.94</v>
          </cell>
        </row>
        <row r="130">
          <cell r="B130">
            <v>38869</v>
          </cell>
        </row>
        <row r="131">
          <cell r="B131">
            <v>38899</v>
          </cell>
        </row>
        <row r="132">
          <cell r="B132">
            <v>38930</v>
          </cell>
        </row>
        <row r="133">
          <cell r="B133">
            <v>38961</v>
          </cell>
        </row>
        <row r="134">
          <cell r="B134">
            <v>38991</v>
          </cell>
        </row>
        <row r="135">
          <cell r="B135">
            <v>39022</v>
          </cell>
        </row>
        <row r="136">
          <cell r="B136">
            <v>39052</v>
          </cell>
        </row>
        <row r="139">
          <cell r="B139">
            <v>38687</v>
          </cell>
          <cell r="C139">
            <v>26744.55</v>
          </cell>
          <cell r="D139">
            <v>15779.55</v>
          </cell>
          <cell r="E139">
            <v>42524.1</v>
          </cell>
          <cell r="F139">
            <v>1618770.69</v>
          </cell>
          <cell r="G139">
            <v>578807.47</v>
          </cell>
          <cell r="H139">
            <v>2197578.16</v>
          </cell>
          <cell r="I139">
            <v>26266.04</v>
          </cell>
          <cell r="J139">
            <v>48218.44</v>
          </cell>
          <cell r="K139">
            <v>74484.479999999996</v>
          </cell>
          <cell r="L139">
            <v>664179.19999999995</v>
          </cell>
          <cell r="M139">
            <v>968608.13</v>
          </cell>
          <cell r="N139">
            <v>1632787.33</v>
          </cell>
          <cell r="O139">
            <v>36215.29</v>
          </cell>
          <cell r="P139">
            <v>31472.21</v>
          </cell>
          <cell r="Q139">
            <v>67687.5</v>
          </cell>
          <cell r="R139">
            <v>1140466.56</v>
          </cell>
          <cell r="S139">
            <v>692482.07</v>
          </cell>
          <cell r="T139">
            <v>1832948.63</v>
          </cell>
          <cell r="U139">
            <v>89225.88</v>
          </cell>
          <cell r="V139">
            <v>95470.2</v>
          </cell>
          <cell r="W139">
            <v>184696.08</v>
          </cell>
          <cell r="X139">
            <v>3423416.45</v>
          </cell>
          <cell r="Y139">
            <v>2239897.67</v>
          </cell>
          <cell r="Z139">
            <v>5663314.1199999992</v>
          </cell>
        </row>
        <row r="140">
          <cell r="B140">
            <v>38718</v>
          </cell>
          <cell r="C140">
            <v>7696.87</v>
          </cell>
          <cell r="D140">
            <v>2990.78</v>
          </cell>
          <cell r="E140">
            <v>10687.65</v>
          </cell>
          <cell r="F140">
            <v>353319.73</v>
          </cell>
          <cell r="G140">
            <v>58009.97</v>
          </cell>
          <cell r="H140">
            <v>411329.7</v>
          </cell>
          <cell r="I140">
            <v>42634.86</v>
          </cell>
          <cell r="J140">
            <v>53124.18</v>
          </cell>
          <cell r="K140">
            <v>95759.039999999994</v>
          </cell>
          <cell r="L140">
            <v>1170618.57</v>
          </cell>
          <cell r="M140">
            <v>934353.06</v>
          </cell>
          <cell r="N140">
            <v>2104971.63</v>
          </cell>
          <cell r="O140">
            <v>13705.21</v>
          </cell>
          <cell r="P140">
            <v>4855.8599999999997</v>
          </cell>
          <cell r="Q140">
            <v>18561.07</v>
          </cell>
          <cell r="R140">
            <v>283078.51</v>
          </cell>
          <cell r="S140">
            <v>94129.95</v>
          </cell>
          <cell r="T140">
            <v>377208.46</v>
          </cell>
          <cell r="U140">
            <v>64036.94</v>
          </cell>
          <cell r="V140">
            <v>60970.82</v>
          </cell>
          <cell r="W140">
            <v>125007.76</v>
          </cell>
          <cell r="X140">
            <v>1807016.81</v>
          </cell>
          <cell r="Y140">
            <v>1086492.98</v>
          </cell>
          <cell r="Z140">
            <v>2893509.79</v>
          </cell>
        </row>
        <row r="141">
          <cell r="B141">
            <v>38749</v>
          </cell>
          <cell r="C141">
            <v>15019.21</v>
          </cell>
          <cell r="D141">
            <v>1151.73</v>
          </cell>
          <cell r="E141">
            <v>16170.94</v>
          </cell>
          <cell r="F141">
            <v>571022.47</v>
          </cell>
          <cell r="G141">
            <v>34592.69</v>
          </cell>
          <cell r="H141">
            <v>605615.16</v>
          </cell>
          <cell r="I141">
            <v>53422.94</v>
          </cell>
          <cell r="J141">
            <v>51721.66</v>
          </cell>
          <cell r="K141">
            <v>105144.6</v>
          </cell>
          <cell r="L141">
            <v>1256535.55</v>
          </cell>
          <cell r="M141">
            <v>911273.7</v>
          </cell>
          <cell r="N141">
            <v>2167809.25</v>
          </cell>
          <cell r="O141">
            <v>15055.59</v>
          </cell>
          <cell r="P141">
            <v>2065.7399999999998</v>
          </cell>
          <cell r="Q141">
            <v>17121.330000000002</v>
          </cell>
          <cell r="R141">
            <v>285391.21000000002</v>
          </cell>
          <cell r="S141">
            <v>37647.58</v>
          </cell>
          <cell r="T141">
            <v>323038.78999999998</v>
          </cell>
          <cell r="U141">
            <v>83497.740000000005</v>
          </cell>
          <cell r="V141">
            <v>54939.13</v>
          </cell>
          <cell r="W141">
            <v>138436.87</v>
          </cell>
          <cell r="X141">
            <v>2112949.23</v>
          </cell>
          <cell r="Y141">
            <v>983513.97</v>
          </cell>
          <cell r="Z141">
            <v>3096463.2</v>
          </cell>
        </row>
        <row r="142">
          <cell r="B142">
            <v>38777</v>
          </cell>
          <cell r="C142">
            <v>1088.67</v>
          </cell>
          <cell r="D142">
            <v>282.44</v>
          </cell>
          <cell r="E142">
            <v>1371.11</v>
          </cell>
          <cell r="F142">
            <v>32127.05</v>
          </cell>
          <cell r="G142">
            <v>7180.79</v>
          </cell>
          <cell r="H142">
            <v>39307.839999999997</v>
          </cell>
          <cell r="I142">
            <v>18125.61</v>
          </cell>
          <cell r="J142">
            <v>28520.97</v>
          </cell>
          <cell r="K142">
            <v>46646.58</v>
          </cell>
          <cell r="L142">
            <v>513638.23</v>
          </cell>
          <cell r="M142">
            <v>455619.17</v>
          </cell>
          <cell r="N142">
            <v>969257.4</v>
          </cell>
          <cell r="O142">
            <v>11871.91</v>
          </cell>
          <cell r="P142">
            <v>700.19</v>
          </cell>
          <cell r="Q142">
            <v>12572.1</v>
          </cell>
          <cell r="R142">
            <v>207998.06</v>
          </cell>
          <cell r="S142">
            <v>11818.38</v>
          </cell>
          <cell r="T142">
            <v>219816.44</v>
          </cell>
          <cell r="U142">
            <v>31086.19</v>
          </cell>
          <cell r="V142">
            <v>29503.599999999999</v>
          </cell>
          <cell r="W142">
            <v>60589.79</v>
          </cell>
          <cell r="X142">
            <v>753763.34</v>
          </cell>
          <cell r="Y142">
            <v>474618.34</v>
          </cell>
          <cell r="Z142">
            <v>1228381.68</v>
          </cell>
        </row>
        <row r="143">
          <cell r="B143">
            <v>38808</v>
          </cell>
          <cell r="C143">
            <v>1685.75</v>
          </cell>
          <cell r="D143">
            <v>4902.82</v>
          </cell>
          <cell r="E143">
            <v>6588.57</v>
          </cell>
          <cell r="F143">
            <v>53409.38</v>
          </cell>
          <cell r="G143">
            <v>86973.9</v>
          </cell>
          <cell r="H143">
            <v>140383.28</v>
          </cell>
          <cell r="I143">
            <v>1927.9</v>
          </cell>
          <cell r="J143">
            <v>8842.81</v>
          </cell>
          <cell r="K143">
            <v>10770.71</v>
          </cell>
          <cell r="L143">
            <v>63489.55</v>
          </cell>
          <cell r="M143">
            <v>116273.67</v>
          </cell>
          <cell r="N143">
            <v>179763.22</v>
          </cell>
          <cell r="O143">
            <v>18702.7</v>
          </cell>
          <cell r="P143">
            <v>7555.54</v>
          </cell>
          <cell r="Q143">
            <v>26258.240000000002</v>
          </cell>
          <cell r="R143">
            <v>328318.37</v>
          </cell>
          <cell r="S143">
            <v>121487</v>
          </cell>
          <cell r="T143">
            <v>449805.37</v>
          </cell>
          <cell r="U143">
            <v>22316.35</v>
          </cell>
          <cell r="V143">
            <v>21301.17</v>
          </cell>
          <cell r="W143">
            <v>43617.52</v>
          </cell>
          <cell r="X143">
            <v>445217.3</v>
          </cell>
          <cell r="Y143">
            <v>324734.57</v>
          </cell>
          <cell r="Z143">
            <v>769951.87</v>
          </cell>
        </row>
        <row r="144">
          <cell r="B144">
            <v>38838</v>
          </cell>
          <cell r="C144">
            <v>10560.84</v>
          </cell>
          <cell r="D144">
            <v>15228.77</v>
          </cell>
          <cell r="E144">
            <v>25789.61</v>
          </cell>
          <cell r="F144">
            <v>313707.7</v>
          </cell>
          <cell r="G144">
            <v>296143.49</v>
          </cell>
          <cell r="H144">
            <v>609851.18999999994</v>
          </cell>
          <cell r="I144">
            <v>12776.86</v>
          </cell>
          <cell r="J144">
            <v>13130.71</v>
          </cell>
          <cell r="K144">
            <v>25907.57</v>
          </cell>
          <cell r="L144">
            <v>386238.71</v>
          </cell>
          <cell r="M144">
            <v>196936.61</v>
          </cell>
          <cell r="N144">
            <v>583175.31999999995</v>
          </cell>
          <cell r="O144">
            <v>58484.12</v>
          </cell>
          <cell r="P144">
            <v>6268.9</v>
          </cell>
          <cell r="Q144">
            <v>64753.02</v>
          </cell>
          <cell r="R144">
            <v>1081518.57</v>
          </cell>
          <cell r="S144">
            <v>100449.86</v>
          </cell>
          <cell r="T144">
            <v>1181968.43</v>
          </cell>
          <cell r="U144">
            <v>81821.820000000007</v>
          </cell>
          <cell r="V144">
            <v>34628.379999999997</v>
          </cell>
          <cell r="W144">
            <v>116450.2</v>
          </cell>
          <cell r="X144">
            <v>1781464.98</v>
          </cell>
          <cell r="Y144">
            <v>593529.96</v>
          </cell>
          <cell r="Z144">
            <v>2374994.94</v>
          </cell>
        </row>
        <row r="145">
          <cell r="B145">
            <v>38869</v>
          </cell>
        </row>
        <row r="146">
          <cell r="B146">
            <v>38899</v>
          </cell>
        </row>
        <row r="147">
          <cell r="B147">
            <v>38930</v>
          </cell>
        </row>
        <row r="148">
          <cell r="B148">
            <v>38961</v>
          </cell>
        </row>
        <row r="149">
          <cell r="B149">
            <v>38991</v>
          </cell>
        </row>
        <row r="150">
          <cell r="B150">
            <v>39022</v>
          </cell>
        </row>
        <row r="151">
          <cell r="B151">
            <v>39052</v>
          </cell>
        </row>
      </sheetData>
      <sheetData sheetId="10" refreshError="1"/>
      <sheetData sheetId="1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IPL Checklist"/>
      <sheetName val="IPL Edits Log"/>
      <sheetName val="IPL File Info"/>
      <sheetName val="Start IPL"/>
      <sheetName val="ILL_SO2_263a_Tower"/>
      <sheetName val="DAEC Sale"/>
      <sheetName val="IPL General"/>
      <sheetName val="IPL Construction"/>
      <sheetName val="IPL Investments"/>
      <sheetName val="IPL Reg Assets"/>
      <sheetName val="IPL Tax"/>
      <sheetName val="IPL Treasury"/>
      <sheetName val="IPL Off Bal Sheet"/>
      <sheetName val="IPL Expenditures"/>
      <sheetName val="IPL Servco Costs"/>
      <sheetName val="End IPL"/>
      <sheetName val="Consol IPL"/>
      <sheetName val="IPL Actuals"/>
      <sheetName val="Reports IPL"/>
      <sheetName val="IPL Strat Plan"/>
      <sheetName val="IPL Strat Plan Goals"/>
      <sheetName val="WACC Calculations"/>
      <sheetName val="Regulated ROE Calc"/>
      <sheetName val="Pref COM pro forma"/>
      <sheetName val="IPL Plant Reports"/>
      <sheetName val="IPL Tax Reports"/>
      <sheetName val="IPL Variance to Budget"/>
      <sheetName val="IPL Variance to Alt Outlook"/>
      <sheetName val="IPL Budget"/>
      <sheetName val="IPL Alt Outlook"/>
      <sheetName val="IPL Final Ledger"/>
      <sheetName val="IPL S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ultiple Journals"/>
      <sheetName val="Bulk Journals"/>
      <sheetName val="_ADFDI_Parameters"/>
      <sheetName val="_ADFDI_Metadata"/>
      <sheetName val="_ADFDI_WorkbookData"/>
      <sheetName val="_ADFDI_BCMetadata"/>
      <sheetName val="_ADFDI_DynamicTable"/>
      <sheetName val="_ADFDI_LOV"/>
    </sheetNames>
    <sheetDataSet>
      <sheetData sheetId="0"/>
      <sheetData sheetId="1"/>
      <sheetData sheetId="2"/>
      <sheetData sheetId="3"/>
      <sheetData sheetId="4"/>
      <sheetData sheetId="5"/>
      <sheetData sheetId="6"/>
      <sheetData sheetId="7">
        <row r="14">
          <cell r="D14" t="str">
            <v>MGE_FERC_LEDGER</v>
          </cell>
        </row>
        <row r="16">
          <cell r="D16" t="str">
            <v>Spreadsheet</v>
          </cell>
        </row>
        <row r="18">
          <cell r="D18" t="str">
            <v>USD</v>
          </cell>
          <cell r="E18" t="str">
            <v>STAT</v>
          </cell>
        </row>
        <row r="20">
          <cell r="D20" t="str">
            <v>Corporate</v>
          </cell>
          <cell r="E20" t="str">
            <v>Fixed</v>
          </cell>
          <cell r="F20" t="str">
            <v>Spot</v>
          </cell>
          <cell r="G20" t="str">
            <v>User</v>
          </cell>
        </row>
        <row r="22">
          <cell r="D22" t="str">
            <v>Q1A-19</v>
          </cell>
        </row>
        <row r="24">
          <cell r="D24" t="str">
            <v>Apr-19</v>
          </cell>
          <cell r="E24" t="str">
            <v>Q1A-19</v>
          </cell>
          <cell r="F24" t="str">
            <v>Mar-19</v>
          </cell>
          <cell r="G24" t="str">
            <v>Feb-19</v>
          </cell>
          <cell r="H24" t="str">
            <v>Jan-19</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PL"/>
      <sheetName val="IPL"/>
      <sheetName val="IPW"/>
      <sheetName val="IES"/>
      <sheetName val="WPL-GL"/>
      <sheetName val="IPL-GL"/>
      <sheetName val="BP1"/>
      <sheetName val="BATS %"/>
      <sheetName val="MarketPrices"/>
      <sheetName val="Inputs-Alloc"/>
      <sheetName val="Input-MISO"/>
      <sheetName val="MISO_Re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5">
          <cell r="B25">
            <v>38687</v>
          </cell>
          <cell r="F25">
            <v>-1145131.6200000001</v>
          </cell>
          <cell r="G25">
            <v>-1582056.14</v>
          </cell>
          <cell r="H25">
            <v>-2727187.76</v>
          </cell>
          <cell r="L25">
            <v>2455949.5299999998</v>
          </cell>
          <cell r="M25">
            <v>-1105262.69</v>
          </cell>
          <cell r="N25">
            <v>1350686.84</v>
          </cell>
          <cell r="R25">
            <v>-80225.620000000083</v>
          </cell>
          <cell r="S25">
            <v>-887938.81</v>
          </cell>
          <cell r="T25">
            <v>-968164.43</v>
          </cell>
          <cell r="X25">
            <v>1230592.29</v>
          </cell>
          <cell r="Y25">
            <v>-3575257.64</v>
          </cell>
          <cell r="Z25">
            <v>-2344665.35</v>
          </cell>
        </row>
        <row r="26">
          <cell r="B26">
            <v>38718</v>
          </cell>
          <cell r="F26">
            <v>-2664241.2400000002</v>
          </cell>
          <cell r="G26">
            <v>-1066490.5364274457</v>
          </cell>
          <cell r="H26">
            <v>-3730731.7764274464</v>
          </cell>
          <cell r="L26">
            <v>-1183568.95</v>
          </cell>
          <cell r="M26">
            <v>-841096.0386836048</v>
          </cell>
          <cell r="N26">
            <v>-2024664.9886836046</v>
          </cell>
          <cell r="R26">
            <v>-1141306.1200000001</v>
          </cell>
          <cell r="S26">
            <v>-473348.40488894947</v>
          </cell>
          <cell r="T26">
            <v>-1614654.5248889495</v>
          </cell>
          <cell r="X26">
            <v>-4989116.3099999996</v>
          </cell>
          <cell r="Y26">
            <v>-2380934.98</v>
          </cell>
          <cell r="Z26">
            <v>-7370051.2899999991</v>
          </cell>
        </row>
        <row r="27">
          <cell r="B27">
            <v>38749</v>
          </cell>
          <cell r="F27">
            <v>-3606797.49</v>
          </cell>
          <cell r="G27">
            <v>-1271415</v>
          </cell>
          <cell r="H27">
            <v>-4878212.49</v>
          </cell>
          <cell r="L27">
            <v>-938876.04</v>
          </cell>
          <cell r="M27">
            <v>-186586.67</v>
          </cell>
          <cell r="N27">
            <v>-1125462.71</v>
          </cell>
          <cell r="R27">
            <v>-749504.81</v>
          </cell>
          <cell r="S27">
            <v>-318964.15000000002</v>
          </cell>
          <cell r="T27">
            <v>-1068468.96</v>
          </cell>
          <cell r="X27">
            <v>-5295178.34</v>
          </cell>
          <cell r="Y27">
            <v>-1776965.82</v>
          </cell>
          <cell r="Z27">
            <v>-7072144.1600000001</v>
          </cell>
        </row>
        <row r="28">
          <cell r="B28">
            <v>38777</v>
          </cell>
          <cell r="F28">
            <v>-611626.54</v>
          </cell>
          <cell r="G28">
            <v>59135.53</v>
          </cell>
          <cell r="H28">
            <v>-552491.01</v>
          </cell>
          <cell r="L28">
            <v>-1370365.34</v>
          </cell>
          <cell r="M28">
            <v>17401.84</v>
          </cell>
          <cell r="N28">
            <v>-1352963.5</v>
          </cell>
          <cell r="R28">
            <v>-346342.32</v>
          </cell>
          <cell r="S28">
            <v>-33528.269999999997</v>
          </cell>
          <cell r="T28">
            <v>-379870.59</v>
          </cell>
          <cell r="X28">
            <v>-2328334.2000000002</v>
          </cell>
          <cell r="Y28">
            <v>43009.1</v>
          </cell>
          <cell r="Z28">
            <v>-2285325.1</v>
          </cell>
        </row>
        <row r="29">
          <cell r="B29">
            <v>38808</v>
          </cell>
          <cell r="F29">
            <v>-383673.54</v>
          </cell>
          <cell r="G29">
            <v>-13053.301250410092</v>
          </cell>
          <cell r="H29">
            <v>-396726.84125041019</v>
          </cell>
          <cell r="L29">
            <v>-264871.99</v>
          </cell>
          <cell r="M29">
            <v>503535.56622028758</v>
          </cell>
          <cell r="N29">
            <v>238663.57622028759</v>
          </cell>
          <cell r="R29">
            <v>-56149.54</v>
          </cell>
          <cell r="S29">
            <v>181628.0250301224</v>
          </cell>
          <cell r="T29">
            <v>125478.48503012242</v>
          </cell>
          <cell r="X29">
            <v>-704695.07</v>
          </cell>
          <cell r="Y29">
            <v>672110.29</v>
          </cell>
          <cell r="Z29">
            <v>-32584.780000000144</v>
          </cell>
        </row>
        <row r="30">
          <cell r="B30">
            <v>38838</v>
          </cell>
          <cell r="F30">
            <v>-833225.58</v>
          </cell>
          <cell r="G30">
            <v>-189099.14017934605</v>
          </cell>
          <cell r="H30">
            <v>-1022324.7201793462</v>
          </cell>
          <cell r="L30">
            <v>-298132.13</v>
          </cell>
          <cell r="M30">
            <v>191121.44403493026</v>
          </cell>
          <cell r="N30">
            <v>-107010.6859650698</v>
          </cell>
          <cell r="R30">
            <v>-441790.71</v>
          </cell>
          <cell r="S30">
            <v>-35171.743855584245</v>
          </cell>
          <cell r="T30">
            <v>-476962.4538555842</v>
          </cell>
          <cell r="X30">
            <v>-1573148.42</v>
          </cell>
          <cell r="Y30">
            <v>-33149.440000000002</v>
          </cell>
          <cell r="Z30">
            <v>-1606297.86</v>
          </cell>
        </row>
        <row r="31">
          <cell r="B31">
            <v>38869</v>
          </cell>
        </row>
        <row r="32">
          <cell r="B32">
            <v>38899</v>
          </cell>
        </row>
        <row r="33">
          <cell r="B33">
            <v>38930</v>
          </cell>
        </row>
        <row r="34">
          <cell r="B34">
            <v>38961</v>
          </cell>
        </row>
        <row r="35">
          <cell r="B35">
            <v>38991</v>
          </cell>
        </row>
        <row r="36">
          <cell r="B36">
            <v>39022</v>
          </cell>
        </row>
        <row r="37">
          <cell r="B37">
            <v>39052</v>
          </cell>
        </row>
      </sheetData>
      <sheetData sheetId="10" refreshError="1"/>
      <sheetData sheetId="1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
      <sheetName val="x"/>
      <sheetName val="Gas Trans"/>
      <sheetName val="Open Positions - Gas Supply"/>
      <sheetName val="Net Exposure"/>
      <sheetName val="Summary"/>
      <sheetName val="184 -Tenaska"/>
      <sheetName val="184 -BP"/>
      <sheetName val="EDF Acct"/>
      <sheetName val="Closed Financial Positions"/>
      <sheetName val="Closed Physical Positions"/>
      <sheetName val="Closed Pos (Apr04 thru Mar05)  "/>
    </sheetNames>
    <sheetDataSet>
      <sheetData sheetId="0"/>
      <sheetData sheetId="1"/>
      <sheetData sheetId="2">
        <row r="2">
          <cell r="W2">
            <v>38798</v>
          </cell>
        </row>
      </sheetData>
      <sheetData sheetId="3"/>
      <sheetData sheetId="4"/>
      <sheetData sheetId="5"/>
      <sheetData sheetId="6"/>
      <sheetData sheetId="7"/>
      <sheetData sheetId="8"/>
      <sheetData sheetId="9"/>
      <sheetData sheetId="10"/>
      <sheetData sheetId="1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nt Menu"/>
      <sheetName val="Adjustments"/>
      <sheetName val="Staff Adjusted Fuel Rules Sales"/>
      <sheetName val="Unit Generation Forecast"/>
      <sheetName val="Unit MMBTU Forecast"/>
      <sheetName val="UR-109 Fuel Rule Costs"/>
      <sheetName val="Forecast Fuel Costs"/>
      <sheetName val="Actual Fuel Costs"/>
      <sheetName val="Fuel Rules Report"/>
      <sheetName val="Misc"/>
      <sheetName val="Misc (2)"/>
      <sheetName val="Order Reporting Tables"/>
      <sheetName val="Summary Report - Fuel Rules"/>
      <sheetName val="Adjusted Sales"/>
      <sheetName val="Monthly Fuel Costs"/>
      <sheetName val="Monthly Fuel Costs-2"/>
      <sheetName val="Surcharge Calculation"/>
      <sheetName val="Module1"/>
      <sheetName val="Module2"/>
      <sheetName val="Module3"/>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refreshError="1"/>
      <sheetData sheetId="12"/>
      <sheetData sheetId="13" refreshError="1"/>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T-Rates"/>
      <sheetName val="Recov"/>
      <sheetName val="Prior"/>
      <sheetName val="Unbill"/>
      <sheetName val="TuSum"/>
      <sheetName val="InputEst"/>
      <sheetName val="Intro"/>
      <sheetName val="A"/>
      <sheetName val="B"/>
      <sheetName val="C"/>
      <sheetName val="C1"/>
      <sheetName val="D"/>
      <sheetName val="F1.1"/>
      <sheetName val="F1.2"/>
      <sheetName val="F1.3"/>
      <sheetName val="Sheet G3"/>
      <sheetName val="Sheet G3.01"/>
      <sheetName val="Kris Input - MGE"/>
      <sheetName val="Resid"/>
      <sheetName val="CBS Cashout"/>
      <sheetName val="AutoMod"/>
      <sheetName val="Print Mods"/>
      <sheetName val="GotoMod"/>
    </sheetNames>
    <sheetDataSet>
      <sheetData sheetId="0" refreshError="1"/>
      <sheetData sheetId="1" refreshError="1"/>
      <sheetData sheetId="2"/>
      <sheetData sheetId="3" refreshError="1"/>
      <sheetData sheetId="4"/>
      <sheetData sheetId="5">
        <row r="4">
          <cell r="C4" t="str">
            <v>August, 2000</v>
          </cell>
        </row>
      </sheetData>
      <sheetData sheetId="6">
        <row r="13">
          <cell r="D13" t="str">
            <v>Madison Gas &amp; Electric</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A-2 Variances"/>
      <sheetName val="FRA-26 EFORs"/>
      <sheetName val="FRA-29 Hedge Contracts"/>
      <sheetName val="FRA-30 Hedge Limits"/>
      <sheetName val="FRA-31(1) ERMP Costs"/>
      <sheetName val="FRA-31(2) Elec OTC Premiums"/>
    </sheetNames>
    <sheetDataSet>
      <sheetData sheetId="0"/>
      <sheetData sheetId="1"/>
      <sheetData sheetId="2" refreshError="1"/>
      <sheetData sheetId="3" refreshError="1"/>
      <sheetData sheetId="4" refreshError="1"/>
      <sheetData sheetId="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A-5 Variances"/>
      <sheetName val="FRA-24 MISO MW Set-Point Values"/>
      <sheetName val="FRA-25 RT LMPs"/>
      <sheetName val="FRA-22(1) Columbia Chems"/>
      <sheetName val="FRA-22(2) ERGS Chems"/>
      <sheetName val="FRA-22(3) WCCF Chems"/>
    </sheetNames>
    <sheetDataSet>
      <sheetData sheetId="0"/>
      <sheetData sheetId="1" refreshError="1"/>
      <sheetData sheetId="2" refreshError="1"/>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F9720-D143-4A99-AF1C-DE408A3DFB89}">
  <sheetPr>
    <pageSetUpPr fitToPage="1"/>
  </sheetPr>
  <dimension ref="A1:I59"/>
  <sheetViews>
    <sheetView topLeftCell="A17" zoomScaleNormal="100" workbookViewId="0"/>
  </sheetViews>
  <sheetFormatPr baseColWidth="10" defaultColWidth="9.1640625" defaultRowHeight="15" x14ac:dyDescent="0.2"/>
  <cols>
    <col min="1" max="1" width="17.5" style="1" customWidth="1"/>
    <col min="2" max="2" width="12" style="1" customWidth="1"/>
    <col min="3" max="3" width="9.5" style="1" bestFit="1" customWidth="1"/>
    <col min="4" max="8" width="9.1640625" style="1"/>
    <col min="9" max="9" width="12.5" style="1" customWidth="1"/>
    <col min="10" max="10" width="4" style="1" customWidth="1"/>
    <col min="11" max="16384" width="9.1640625" style="1"/>
  </cols>
  <sheetData>
    <row r="1" spans="1:9" x14ac:dyDescent="0.2">
      <c r="A1" s="13"/>
    </row>
    <row r="2" spans="1:9" x14ac:dyDescent="0.2">
      <c r="A2" s="119" t="s">
        <v>0</v>
      </c>
      <c r="B2" s="120"/>
      <c r="C2" s="120"/>
      <c r="D2" s="120"/>
      <c r="E2" s="120"/>
      <c r="F2" s="120"/>
      <c r="G2" s="120"/>
      <c r="H2" s="120"/>
      <c r="I2" s="120"/>
    </row>
    <row r="3" spans="1:9" x14ac:dyDescent="0.2">
      <c r="A3" s="3"/>
      <c r="B3" s="4"/>
      <c r="C3" s="4"/>
      <c r="D3" s="4"/>
      <c r="E3" s="4"/>
      <c r="F3" s="4"/>
      <c r="G3" s="4"/>
      <c r="H3" s="4"/>
      <c r="I3" s="4"/>
    </row>
    <row r="4" spans="1:9" ht="16" x14ac:dyDescent="0.2">
      <c r="A4" s="121" t="s">
        <v>29</v>
      </c>
      <c r="B4" s="122"/>
      <c r="C4" s="122"/>
      <c r="D4" s="122"/>
      <c r="E4" s="122"/>
      <c r="F4" s="122"/>
      <c r="G4" s="122"/>
      <c r="H4" s="122"/>
      <c r="I4" s="122"/>
    </row>
    <row r="5" spans="1:9" x14ac:dyDescent="0.2">
      <c r="A5" s="3"/>
      <c r="B5" s="4"/>
      <c r="C5" s="4"/>
      <c r="D5" s="4"/>
      <c r="E5" s="4"/>
      <c r="F5" s="4"/>
      <c r="G5" s="4"/>
      <c r="H5" s="4"/>
      <c r="I5" s="4"/>
    </row>
    <row r="6" spans="1:9" x14ac:dyDescent="0.2">
      <c r="A6" s="5" t="s">
        <v>1</v>
      </c>
      <c r="B6" s="4"/>
      <c r="C6" s="1" t="s">
        <v>30</v>
      </c>
      <c r="D6" s="4"/>
      <c r="E6" s="4"/>
      <c r="F6" s="4"/>
      <c r="G6" s="4"/>
      <c r="H6" s="4"/>
      <c r="I6" s="4"/>
    </row>
    <row r="7" spans="1:9" x14ac:dyDescent="0.2">
      <c r="A7" s="5" t="s">
        <v>6</v>
      </c>
      <c r="B7" s="4"/>
      <c r="C7" s="2" t="s">
        <v>31</v>
      </c>
      <c r="D7" s="4"/>
      <c r="E7" s="4"/>
      <c r="F7" s="4"/>
      <c r="G7" s="4"/>
      <c r="H7" s="4"/>
      <c r="I7" s="4"/>
    </row>
    <row r="8" spans="1:9" x14ac:dyDescent="0.2">
      <c r="A8" s="5" t="s">
        <v>2</v>
      </c>
      <c r="B8" s="4"/>
      <c r="C8" s="1" t="s">
        <v>32</v>
      </c>
      <c r="D8" s="4"/>
      <c r="E8" s="4"/>
      <c r="F8" s="4"/>
      <c r="G8" s="4"/>
      <c r="H8" s="4"/>
      <c r="I8" s="4"/>
    </row>
    <row r="9" spans="1:9" x14ac:dyDescent="0.2">
      <c r="A9" s="5" t="s">
        <v>3</v>
      </c>
      <c r="B9" s="4"/>
      <c r="C9" s="2" t="s">
        <v>114</v>
      </c>
      <c r="D9" s="4"/>
      <c r="E9" s="4"/>
      <c r="F9" s="4"/>
      <c r="G9" s="4"/>
      <c r="H9" s="4"/>
      <c r="I9" s="4"/>
    </row>
    <row r="10" spans="1:9" x14ac:dyDescent="0.2">
      <c r="A10" s="5" t="s">
        <v>4</v>
      </c>
      <c r="B10" s="4"/>
      <c r="C10" s="1" t="s">
        <v>33</v>
      </c>
      <c r="D10" s="4"/>
      <c r="E10" s="4"/>
      <c r="F10" s="4"/>
      <c r="G10" s="4"/>
      <c r="H10" s="4"/>
      <c r="I10" s="4"/>
    </row>
    <row r="11" spans="1:9" ht="16" thickBot="1" x14ac:dyDescent="0.25">
      <c r="A11" s="6"/>
      <c r="B11" s="6"/>
      <c r="C11" s="6"/>
      <c r="D11" s="6"/>
      <c r="E11" s="6"/>
      <c r="F11" s="6"/>
      <c r="G11" s="6"/>
      <c r="H11" s="6"/>
      <c r="I11" s="6"/>
    </row>
    <row r="12" spans="1:9" ht="16" thickTop="1" x14ac:dyDescent="0.2"/>
    <row r="13" spans="1:9" ht="84" customHeight="1" x14ac:dyDescent="0.2">
      <c r="A13" s="8" t="s">
        <v>34</v>
      </c>
      <c r="B13" s="123" t="s">
        <v>35</v>
      </c>
      <c r="C13" s="124"/>
      <c r="D13" s="124"/>
      <c r="E13" s="124"/>
      <c r="F13" s="124"/>
      <c r="G13" s="124"/>
      <c r="H13" s="124"/>
      <c r="I13" s="124"/>
    </row>
    <row r="14" spans="1:9" x14ac:dyDescent="0.2">
      <c r="B14" s="5"/>
      <c r="C14" s="5"/>
      <c r="D14" s="5"/>
      <c r="E14" s="5"/>
      <c r="F14" s="5"/>
    </row>
    <row r="15" spans="1:9" x14ac:dyDescent="0.2">
      <c r="A15" s="7" t="s">
        <v>5</v>
      </c>
    </row>
    <row r="16" spans="1:9" x14ac:dyDescent="0.2">
      <c r="A16" s="9"/>
      <c r="B16" s="9"/>
      <c r="C16" s="9"/>
      <c r="D16" s="9"/>
      <c r="E16" s="9"/>
      <c r="F16" s="9"/>
      <c r="G16" s="9"/>
      <c r="H16" s="9"/>
      <c r="I16" s="9"/>
    </row>
    <row r="17" spans="1:9" ht="141.75" customHeight="1" x14ac:dyDescent="0.2">
      <c r="A17" s="118" t="s">
        <v>139</v>
      </c>
      <c r="B17" s="118"/>
      <c r="C17" s="118"/>
      <c r="D17" s="118"/>
      <c r="E17" s="118"/>
      <c r="F17" s="118"/>
      <c r="G17" s="118"/>
      <c r="H17" s="118"/>
      <c r="I17" s="118"/>
    </row>
    <row r="20" spans="1:9" ht="51" customHeight="1" x14ac:dyDescent="0.2">
      <c r="A20" s="8" t="s">
        <v>36</v>
      </c>
      <c r="B20" s="123" t="s">
        <v>37</v>
      </c>
      <c r="C20" s="124"/>
      <c r="D20" s="124"/>
      <c r="E20" s="124"/>
      <c r="F20" s="124"/>
      <c r="G20" s="124"/>
      <c r="H20" s="124"/>
      <c r="I20" s="124"/>
    </row>
    <row r="22" spans="1:9" x14ac:dyDescent="0.2">
      <c r="A22" s="7" t="s">
        <v>5</v>
      </c>
    </row>
    <row r="24" spans="1:9" ht="230.25" customHeight="1" x14ac:dyDescent="0.2">
      <c r="A24" s="118" t="s">
        <v>138</v>
      </c>
      <c r="B24" s="118"/>
      <c r="C24" s="118"/>
      <c r="D24" s="118"/>
      <c r="E24" s="118"/>
      <c r="F24" s="118"/>
      <c r="G24" s="118"/>
      <c r="H24" s="118"/>
      <c r="I24" s="118"/>
    </row>
    <row r="27" spans="1:9" ht="117" customHeight="1" x14ac:dyDescent="0.2">
      <c r="A27" s="8" t="s">
        <v>38</v>
      </c>
      <c r="B27" s="123" t="s">
        <v>113</v>
      </c>
      <c r="C27" s="124"/>
      <c r="D27" s="124"/>
      <c r="E27" s="124"/>
      <c r="F27" s="124"/>
      <c r="G27" s="124"/>
      <c r="H27" s="124"/>
      <c r="I27" s="124"/>
    </row>
    <row r="28" spans="1:9" x14ac:dyDescent="0.2">
      <c r="B28" s="5"/>
      <c r="C28" s="5"/>
      <c r="D28" s="5"/>
      <c r="E28" s="5"/>
      <c r="F28" s="5"/>
    </row>
    <row r="29" spans="1:9" x14ac:dyDescent="0.2">
      <c r="A29" s="7" t="s">
        <v>5</v>
      </c>
    </row>
    <row r="30" spans="1:9" x14ac:dyDescent="0.2">
      <c r="A30" s="9"/>
      <c r="B30" s="9"/>
      <c r="C30" s="9"/>
      <c r="D30" s="9"/>
      <c r="E30" s="9"/>
      <c r="F30" s="9"/>
      <c r="G30" s="9"/>
      <c r="H30" s="9"/>
      <c r="I30" s="9"/>
    </row>
    <row r="31" spans="1:9" ht="33.75" customHeight="1" x14ac:dyDescent="0.2">
      <c r="A31" s="118" t="s">
        <v>105</v>
      </c>
      <c r="B31" s="118"/>
      <c r="C31" s="118"/>
      <c r="D31" s="118"/>
      <c r="E31" s="118"/>
      <c r="F31" s="118"/>
      <c r="G31" s="118"/>
      <c r="H31" s="118"/>
      <c r="I31" s="118"/>
    </row>
    <row r="32" spans="1:9" x14ac:dyDescent="0.2">
      <c r="A32" s="12"/>
      <c r="B32" s="12"/>
      <c r="C32" s="12"/>
      <c r="D32" s="12"/>
      <c r="E32" s="12"/>
      <c r="F32" s="12"/>
      <c r="G32" s="12"/>
      <c r="H32" s="12"/>
      <c r="I32" s="12"/>
    </row>
    <row r="34" spans="1:9" ht="35.25" customHeight="1" x14ac:dyDescent="0.2">
      <c r="A34" s="8" t="s">
        <v>39</v>
      </c>
      <c r="B34" s="123" t="s">
        <v>40</v>
      </c>
      <c r="C34" s="124"/>
      <c r="D34" s="124"/>
      <c r="E34" s="124"/>
      <c r="F34" s="124"/>
      <c r="G34" s="124"/>
      <c r="H34" s="124"/>
      <c r="I34" s="124"/>
    </row>
    <row r="35" spans="1:9" x14ac:dyDescent="0.2">
      <c r="B35" s="5"/>
      <c r="C35" s="5"/>
      <c r="D35" s="5"/>
      <c r="E35" s="5"/>
      <c r="F35" s="5"/>
    </row>
    <row r="36" spans="1:9" x14ac:dyDescent="0.2">
      <c r="A36" s="7" t="s">
        <v>5</v>
      </c>
    </row>
    <row r="37" spans="1:9" x14ac:dyDescent="0.2">
      <c r="A37" s="9"/>
      <c r="B37" s="9"/>
      <c r="C37" s="9"/>
      <c r="D37" s="9"/>
      <c r="E37" s="9"/>
      <c r="F37" s="9"/>
      <c r="G37" s="9"/>
      <c r="H37" s="9"/>
      <c r="I37" s="9"/>
    </row>
    <row r="38" spans="1:9" x14ac:dyDescent="0.2">
      <c r="A38" s="118" t="s">
        <v>106</v>
      </c>
      <c r="B38" s="118"/>
      <c r="C38" s="118"/>
      <c r="D38" s="118"/>
      <c r="E38" s="118"/>
      <c r="F38" s="118"/>
      <c r="G38" s="118"/>
      <c r="H38" s="118"/>
      <c r="I38" s="118"/>
    </row>
    <row r="41" spans="1:9" ht="114" customHeight="1" x14ac:dyDescent="0.2">
      <c r="A41" s="8" t="s">
        <v>41</v>
      </c>
      <c r="B41" s="123" t="s">
        <v>42</v>
      </c>
      <c r="C41" s="124"/>
      <c r="D41" s="124"/>
      <c r="E41" s="124"/>
      <c r="F41" s="124"/>
      <c r="G41" s="124"/>
      <c r="H41" s="124"/>
      <c r="I41" s="124"/>
    </row>
    <row r="42" spans="1:9" x14ac:dyDescent="0.2">
      <c r="B42" s="5"/>
      <c r="C42" s="5"/>
      <c r="D42" s="5"/>
      <c r="E42" s="5"/>
      <c r="F42" s="5"/>
    </row>
    <row r="43" spans="1:9" x14ac:dyDescent="0.2">
      <c r="A43" s="7" t="s">
        <v>5</v>
      </c>
    </row>
    <row r="44" spans="1:9" x14ac:dyDescent="0.2">
      <c r="A44" s="9"/>
      <c r="B44" s="9"/>
      <c r="C44" s="9"/>
      <c r="D44" s="9"/>
      <c r="E44" s="9"/>
      <c r="F44" s="9"/>
      <c r="G44" s="9"/>
      <c r="H44" s="9"/>
      <c r="I44" s="9"/>
    </row>
    <row r="45" spans="1:9" ht="36.75" customHeight="1" x14ac:dyDescent="0.2">
      <c r="A45" s="118" t="s">
        <v>140</v>
      </c>
      <c r="B45" s="118"/>
      <c r="C45" s="118"/>
      <c r="D45" s="118"/>
      <c r="E45" s="118"/>
      <c r="F45" s="118"/>
      <c r="G45" s="118"/>
      <c r="H45" s="118"/>
      <c r="I45" s="118"/>
    </row>
    <row r="48" spans="1:9" ht="38.25" customHeight="1" x14ac:dyDescent="0.2">
      <c r="A48" s="8" t="s">
        <v>43</v>
      </c>
      <c r="B48" s="123" t="s">
        <v>44</v>
      </c>
      <c r="C48" s="124"/>
      <c r="D48" s="124"/>
      <c r="E48" s="124"/>
      <c r="F48" s="124"/>
      <c r="G48" s="124"/>
      <c r="H48" s="124"/>
      <c r="I48" s="124"/>
    </row>
    <row r="49" spans="1:9" x14ac:dyDescent="0.2">
      <c r="B49" s="5"/>
      <c r="C49" s="5"/>
      <c r="D49" s="5"/>
      <c r="E49" s="5"/>
      <c r="F49" s="5"/>
    </row>
    <row r="50" spans="1:9" x14ac:dyDescent="0.2">
      <c r="A50" s="7" t="s">
        <v>5</v>
      </c>
    </row>
    <row r="51" spans="1:9" x14ac:dyDescent="0.2">
      <c r="A51" s="9"/>
      <c r="B51" s="9"/>
      <c r="C51" s="9"/>
      <c r="D51" s="9"/>
      <c r="E51" s="9"/>
      <c r="F51" s="9"/>
      <c r="G51" s="9"/>
      <c r="H51" s="9"/>
      <c r="I51" s="9"/>
    </row>
    <row r="52" spans="1:9" ht="35.25" customHeight="1" x14ac:dyDescent="0.2">
      <c r="A52" s="118" t="s">
        <v>107</v>
      </c>
      <c r="B52" s="118"/>
      <c r="C52" s="118"/>
      <c r="D52" s="118"/>
      <c r="E52" s="118"/>
      <c r="F52" s="118"/>
      <c r="G52" s="118"/>
      <c r="H52" s="118"/>
      <c r="I52" s="118"/>
    </row>
    <row r="55" spans="1:9" ht="114.75" customHeight="1" x14ac:dyDescent="0.2">
      <c r="A55" s="8" t="s">
        <v>45</v>
      </c>
      <c r="B55" s="123" t="s">
        <v>46</v>
      </c>
      <c r="C55" s="124"/>
      <c r="D55" s="124"/>
      <c r="E55" s="124"/>
      <c r="F55" s="124"/>
      <c r="G55" s="124"/>
      <c r="H55" s="124"/>
      <c r="I55" s="124"/>
    </row>
    <row r="56" spans="1:9" x14ac:dyDescent="0.2">
      <c r="B56" s="5"/>
      <c r="C56" s="5"/>
      <c r="D56" s="5"/>
      <c r="E56" s="5"/>
      <c r="F56" s="5"/>
    </row>
    <row r="57" spans="1:9" x14ac:dyDescent="0.2">
      <c r="A57" s="7" t="s">
        <v>5</v>
      </c>
    </row>
    <row r="58" spans="1:9" x14ac:dyDescent="0.2">
      <c r="A58" s="9"/>
      <c r="B58" s="9"/>
      <c r="C58" s="9"/>
      <c r="D58" s="9"/>
      <c r="E58" s="9"/>
      <c r="F58" s="9"/>
      <c r="G58" s="9"/>
      <c r="H58" s="9"/>
      <c r="I58" s="9"/>
    </row>
    <row r="59" spans="1:9" ht="21.75" customHeight="1" x14ac:dyDescent="0.2">
      <c r="A59" s="118" t="s">
        <v>108</v>
      </c>
      <c r="B59" s="118"/>
      <c r="C59" s="118"/>
      <c r="D59" s="118"/>
      <c r="E59" s="118"/>
      <c r="F59" s="118"/>
      <c r="G59" s="118"/>
      <c r="H59" s="118"/>
      <c r="I59" s="118"/>
    </row>
  </sheetData>
  <mergeCells count="16">
    <mergeCell ref="A52:I52"/>
    <mergeCell ref="B55:I55"/>
    <mergeCell ref="A59:I59"/>
    <mergeCell ref="B34:I34"/>
    <mergeCell ref="A38:I38"/>
    <mergeCell ref="B41:I41"/>
    <mergeCell ref="A45:I45"/>
    <mergeCell ref="B48:I48"/>
    <mergeCell ref="A31:I31"/>
    <mergeCell ref="A17:I17"/>
    <mergeCell ref="A2:I2"/>
    <mergeCell ref="A4:I4"/>
    <mergeCell ref="B13:I13"/>
    <mergeCell ref="B27:I27"/>
    <mergeCell ref="B20:I20"/>
    <mergeCell ref="A24:I24"/>
  </mergeCells>
  <pageMargins left="0.5" right="0.5" top="0.5" bottom="0.75" header="0" footer="0.25"/>
  <pageSetup scale="94" fitToHeight="0" orientation="portrait" r:id="rId1"/>
  <headerFooter>
    <oddFooter>&amp;L&amp;F     &amp;A&amp;R&amp;P of &amp;N</oddFooter>
  </headerFooter>
  <rowBreaks count="4" manualBreakCount="4">
    <brk id="18" max="9" man="1"/>
    <brk id="25" max="9" man="1"/>
    <brk id="39" max="9" man="1"/>
    <brk id="53" max="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D2404-D668-4F6D-93DF-41447EDE15FC}">
  <sheetPr>
    <pageSetUpPr fitToPage="1"/>
  </sheetPr>
  <dimension ref="A1:G16"/>
  <sheetViews>
    <sheetView tabSelected="1" zoomScaleNormal="100" workbookViewId="0"/>
  </sheetViews>
  <sheetFormatPr baseColWidth="10" defaultColWidth="9.1640625" defaultRowHeight="15" x14ac:dyDescent="0.2"/>
  <cols>
    <col min="1" max="1" width="21.83203125" style="14" customWidth="1"/>
    <col min="2" max="2" width="3" style="14" customWidth="1"/>
    <col min="3" max="3" width="15.6640625" style="14" bestFit="1" customWidth="1"/>
    <col min="4" max="4" width="13.83203125" style="14" bestFit="1" customWidth="1"/>
    <col min="5" max="5" width="14.1640625" style="14" bestFit="1" customWidth="1"/>
    <col min="6" max="6" width="3" style="14" customWidth="1"/>
    <col min="7" max="7" width="14.83203125" style="14" bestFit="1" customWidth="1"/>
    <col min="8" max="8" width="4" style="14" customWidth="1"/>
    <col min="9" max="16384" width="9.1640625" style="14"/>
  </cols>
  <sheetData>
    <row r="1" spans="1:7" x14ac:dyDescent="0.2">
      <c r="A1" s="10" t="s">
        <v>0</v>
      </c>
    </row>
    <row r="2" spans="1:7" x14ac:dyDescent="0.2">
      <c r="A2" s="11" t="s">
        <v>47</v>
      </c>
    </row>
    <row r="3" spans="1:7" x14ac:dyDescent="0.2">
      <c r="A3" s="10" t="s">
        <v>103</v>
      </c>
    </row>
    <row r="4" spans="1:7" x14ac:dyDescent="0.2">
      <c r="A4" s="10"/>
    </row>
    <row r="6" spans="1:7" x14ac:dyDescent="0.2">
      <c r="A6" s="15" t="s">
        <v>48</v>
      </c>
    </row>
    <row r="8" spans="1:7" x14ac:dyDescent="0.2">
      <c r="C8" s="14" t="s">
        <v>49</v>
      </c>
      <c r="D8" s="14" t="s">
        <v>49</v>
      </c>
      <c r="E8" s="14" t="s">
        <v>49</v>
      </c>
      <c r="G8" s="14" t="s">
        <v>50</v>
      </c>
    </row>
    <row r="9" spans="1:7" x14ac:dyDescent="0.2">
      <c r="A9" s="16" t="s">
        <v>51</v>
      </c>
      <c r="C9" s="16" t="s">
        <v>52</v>
      </c>
      <c r="D9" s="14" t="s">
        <v>53</v>
      </c>
      <c r="E9" s="14" t="s">
        <v>54</v>
      </c>
      <c r="G9" s="16" t="s">
        <v>52</v>
      </c>
    </row>
    <row r="10" spans="1:7" x14ac:dyDescent="0.2">
      <c r="A10" s="17" t="s">
        <v>12</v>
      </c>
      <c r="B10" s="17"/>
      <c r="C10" s="18">
        <f t="shared" ref="C10:C15" si="0">E10-D10</f>
        <v>802959042.82207763</v>
      </c>
      <c r="D10" s="19">
        <v>68598504</v>
      </c>
      <c r="E10" s="19">
        <v>871557546.82207763</v>
      </c>
      <c r="F10" s="17"/>
      <c r="G10" s="20">
        <f t="shared" ref="G10:G15" si="1">C10/C$16</f>
        <v>0.26869974035357252</v>
      </c>
    </row>
    <row r="11" spans="1:7" x14ac:dyDescent="0.2">
      <c r="A11" s="17" t="s">
        <v>13</v>
      </c>
      <c r="B11" s="17"/>
      <c r="C11" s="18">
        <f t="shared" si="0"/>
        <v>207673502.48436528</v>
      </c>
      <c r="D11" s="19">
        <v>3111218</v>
      </c>
      <c r="E11" s="19">
        <v>210784720.48436528</v>
      </c>
      <c r="F11" s="17"/>
      <c r="G11" s="20">
        <f t="shared" si="1"/>
        <v>6.9495221075965521E-2</v>
      </c>
    </row>
    <row r="12" spans="1:7" x14ac:dyDescent="0.2">
      <c r="A12" s="17" t="s">
        <v>14</v>
      </c>
      <c r="B12" s="17"/>
      <c r="C12" s="18">
        <f t="shared" si="0"/>
        <v>1537797745.4100001</v>
      </c>
      <c r="D12" s="19">
        <v>78863660.590000004</v>
      </c>
      <c r="E12" s="19">
        <v>1616661406</v>
      </c>
      <c r="F12" s="17"/>
      <c r="G12" s="20">
        <f t="shared" si="1"/>
        <v>0.51460389991465083</v>
      </c>
    </row>
    <row r="13" spans="1:7" x14ac:dyDescent="0.2">
      <c r="A13" s="17" t="s">
        <v>15</v>
      </c>
      <c r="B13" s="17"/>
      <c r="C13" s="18">
        <f t="shared" si="0"/>
        <v>427516968.91000003</v>
      </c>
      <c r="D13" s="19">
        <v>20172300.09</v>
      </c>
      <c r="E13" s="19">
        <v>447689269</v>
      </c>
      <c r="F13" s="17"/>
      <c r="G13" s="20">
        <f t="shared" si="1"/>
        <v>0.14306296139231284</v>
      </c>
    </row>
    <row r="14" spans="1:7" x14ac:dyDescent="0.2">
      <c r="A14" s="17" t="s">
        <v>16</v>
      </c>
      <c r="B14" s="17"/>
      <c r="C14" s="18">
        <f t="shared" si="0"/>
        <v>3943390.6935569723</v>
      </c>
      <c r="D14" s="19">
        <v>0</v>
      </c>
      <c r="E14" s="19">
        <v>3943390.6935569723</v>
      </c>
      <c r="F14" s="17"/>
      <c r="G14" s="20">
        <f t="shared" si="1"/>
        <v>1.3196041129911527E-3</v>
      </c>
    </row>
    <row r="15" spans="1:7" x14ac:dyDescent="0.2">
      <c r="A15" s="17" t="s">
        <v>17</v>
      </c>
      <c r="B15" s="17"/>
      <c r="C15" s="18">
        <f t="shared" si="0"/>
        <v>8422780</v>
      </c>
      <c r="D15" s="19">
        <v>1140</v>
      </c>
      <c r="E15" s="19">
        <v>8423920</v>
      </c>
      <c r="F15" s="17"/>
      <c r="G15" s="20">
        <f t="shared" si="1"/>
        <v>2.8185731505071935E-3</v>
      </c>
    </row>
    <row r="16" spans="1:7" x14ac:dyDescent="0.2">
      <c r="A16" s="17" t="s">
        <v>18</v>
      </c>
      <c r="B16" s="17"/>
      <c r="C16" s="18">
        <f>SUM(C10:C15)</f>
        <v>2988313430.3199997</v>
      </c>
      <c r="D16" s="19">
        <f>SUM(D10:D15)</f>
        <v>170746822.68000001</v>
      </c>
      <c r="E16" s="19">
        <f>SUM(E10:E15)</f>
        <v>3159060253</v>
      </c>
      <c r="F16" s="17"/>
      <c r="G16" s="21">
        <f>SUM(G10:G15)</f>
        <v>1</v>
      </c>
    </row>
  </sheetData>
  <pageMargins left="0.5" right="0.5" top="0.5" bottom="0.75" header="0" footer="0.25"/>
  <pageSetup fitToHeight="0" orientation="portrait" verticalDpi="1200" r:id="rId1"/>
  <headerFooter>
    <oddFooter>&amp;L&amp;F     &amp;A&amp;R&amp;P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EE6C6-0BAA-402E-A885-09CD35F31DE3}">
  <sheetPr>
    <pageSetUpPr fitToPage="1"/>
  </sheetPr>
  <dimension ref="A1:V65"/>
  <sheetViews>
    <sheetView zoomScaleNormal="100" workbookViewId="0"/>
  </sheetViews>
  <sheetFormatPr baseColWidth="10" defaultColWidth="9.1640625" defaultRowHeight="15" x14ac:dyDescent="0.2"/>
  <cols>
    <col min="1" max="1" width="25" style="22" customWidth="1"/>
    <col min="2" max="3" width="2.83203125" style="22" customWidth="1"/>
    <col min="4" max="15" width="14.33203125" style="22" customWidth="1"/>
    <col min="16" max="16" width="15.6640625" style="22" bestFit="1" customWidth="1"/>
    <col min="17" max="17" width="3.5" style="22" customWidth="1"/>
    <col min="18" max="16384" width="9.1640625" style="22"/>
  </cols>
  <sheetData>
    <row r="1" spans="1:17" x14ac:dyDescent="0.2">
      <c r="A1" s="10" t="s">
        <v>0</v>
      </c>
    </row>
    <row r="2" spans="1:17" x14ac:dyDescent="0.2">
      <c r="A2" s="11" t="s">
        <v>47</v>
      </c>
    </row>
    <row r="3" spans="1:17" x14ac:dyDescent="0.2">
      <c r="A3" s="10" t="s">
        <v>104</v>
      </c>
    </row>
    <row r="4" spans="1:17" x14ac:dyDescent="0.2">
      <c r="A4" s="10"/>
    </row>
    <row r="6" spans="1:17" x14ac:dyDescent="0.2">
      <c r="A6" s="23" t="s">
        <v>55</v>
      </c>
    </row>
    <row r="7" spans="1:17" ht="16" thickBot="1" x14ac:dyDescent="0.25">
      <c r="A7" s="24"/>
    </row>
    <row r="8" spans="1:17" x14ac:dyDescent="0.2">
      <c r="A8" s="25"/>
      <c r="B8" s="26"/>
      <c r="C8" s="26"/>
      <c r="D8" s="27" t="s">
        <v>7</v>
      </c>
      <c r="E8" s="26"/>
      <c r="F8" s="26"/>
      <c r="G8" s="26"/>
      <c r="H8" s="26"/>
      <c r="I8" s="26"/>
      <c r="J8" s="26"/>
      <c r="K8" s="26"/>
      <c r="L8" s="26"/>
      <c r="M8" s="26"/>
      <c r="N8" s="26"/>
      <c r="O8" s="26"/>
      <c r="P8" s="28"/>
    </row>
    <row r="9" spans="1:17" ht="16" x14ac:dyDescent="0.2">
      <c r="A9" s="29"/>
      <c r="D9" s="30" t="s">
        <v>19</v>
      </c>
      <c r="E9" s="30" t="s">
        <v>20</v>
      </c>
      <c r="F9" s="30" t="s">
        <v>21</v>
      </c>
      <c r="G9" s="30" t="s">
        <v>22</v>
      </c>
      <c r="H9" s="30" t="s">
        <v>23</v>
      </c>
      <c r="I9" s="30" t="s">
        <v>24</v>
      </c>
      <c r="J9" s="30" t="s">
        <v>25</v>
      </c>
      <c r="K9" s="30" t="s">
        <v>26</v>
      </c>
      <c r="L9" s="30" t="s">
        <v>8</v>
      </c>
      <c r="M9" s="30" t="s">
        <v>9</v>
      </c>
      <c r="N9" s="30" t="s">
        <v>10</v>
      </c>
      <c r="O9" s="30" t="s">
        <v>11</v>
      </c>
      <c r="P9" s="31" t="s">
        <v>56</v>
      </c>
    </row>
    <row r="10" spans="1:17" x14ac:dyDescent="0.2">
      <c r="A10" s="29" t="s">
        <v>12</v>
      </c>
      <c r="D10" s="32">
        <f>D20-D29-D38-D47</f>
        <v>77736606.032761678</v>
      </c>
      <c r="E10" s="32">
        <f t="shared" ref="D10:P15" si="0">E20-E29-E38-E47</f>
        <v>64871018.864682026</v>
      </c>
      <c r="F10" s="32">
        <f t="shared" si="0"/>
        <v>62171469.196201198</v>
      </c>
      <c r="G10" s="32">
        <f t="shared" si="0"/>
        <v>52408842.569012821</v>
      </c>
      <c r="H10" s="32">
        <f t="shared" si="0"/>
        <v>57190438.380756535</v>
      </c>
      <c r="I10" s="32">
        <f>I20-I29-I38-I47</f>
        <v>72993426.794841036</v>
      </c>
      <c r="J10" s="32">
        <f t="shared" si="0"/>
        <v>87393998.257762209</v>
      </c>
      <c r="K10" s="32">
        <f t="shared" si="0"/>
        <v>86573423.819964007</v>
      </c>
      <c r="L10" s="32">
        <f t="shared" si="0"/>
        <v>67555170.139705271</v>
      </c>
      <c r="M10" s="32">
        <f t="shared" si="0"/>
        <v>56110199.233009532</v>
      </c>
      <c r="N10" s="32">
        <f t="shared" si="0"/>
        <v>57431166.538773417</v>
      </c>
      <c r="O10" s="32">
        <f t="shared" si="0"/>
        <v>68204529.980200365</v>
      </c>
      <c r="P10" s="33">
        <f>P20-P29-P38-P47</f>
        <v>810640289.80767012</v>
      </c>
    </row>
    <row r="11" spans="1:17" x14ac:dyDescent="0.2">
      <c r="A11" s="29" t="s">
        <v>13</v>
      </c>
      <c r="D11" s="32">
        <f t="shared" si="0"/>
        <v>21630960.159679655</v>
      </c>
      <c r="E11" s="32">
        <f t="shared" si="0"/>
        <v>19051867.231670693</v>
      </c>
      <c r="F11" s="32">
        <f t="shared" si="0"/>
        <v>19024187.256888732</v>
      </c>
      <c r="G11" s="32">
        <f t="shared" si="0"/>
        <v>16318638.665257443</v>
      </c>
      <c r="H11" s="32">
        <f t="shared" si="0"/>
        <v>17814910.264588147</v>
      </c>
      <c r="I11" s="32">
        <f t="shared" si="0"/>
        <v>19351395.293934554</v>
      </c>
      <c r="J11" s="32">
        <f t="shared" si="0"/>
        <v>19997270.782563157</v>
      </c>
      <c r="K11" s="32">
        <f t="shared" si="0"/>
        <v>19642525.734665044</v>
      </c>
      <c r="L11" s="32">
        <f t="shared" si="0"/>
        <v>16921868.251975581</v>
      </c>
      <c r="M11" s="32">
        <f t="shared" si="0"/>
        <v>16245731.31849369</v>
      </c>
      <c r="N11" s="32">
        <f t="shared" si="0"/>
        <v>16943403.767085414</v>
      </c>
      <c r="O11" s="32">
        <f t="shared" si="0"/>
        <v>18993015.218549307</v>
      </c>
      <c r="P11" s="33">
        <f t="shared" si="0"/>
        <v>221935773.94535142</v>
      </c>
    </row>
    <row r="12" spans="1:17" x14ac:dyDescent="0.2">
      <c r="A12" s="29" t="s">
        <v>14</v>
      </c>
      <c r="D12" s="32">
        <f t="shared" si="0"/>
        <v>131176011.1711928</v>
      </c>
      <c r="E12" s="32">
        <f t="shared" si="0"/>
        <v>121258145.924824</v>
      </c>
      <c r="F12" s="32">
        <f t="shared" si="0"/>
        <v>120110706.31050625</v>
      </c>
      <c r="G12" s="32">
        <f t="shared" si="0"/>
        <v>112919139.29709338</v>
      </c>
      <c r="H12" s="32">
        <f t="shared" si="0"/>
        <v>127492322.82159741</v>
      </c>
      <c r="I12" s="32">
        <f t="shared" si="0"/>
        <v>144808326.53425109</v>
      </c>
      <c r="J12" s="32">
        <f t="shared" si="0"/>
        <v>154621782.59275544</v>
      </c>
      <c r="K12" s="32">
        <f t="shared" si="0"/>
        <v>150564788.88298753</v>
      </c>
      <c r="L12" s="32">
        <f t="shared" si="0"/>
        <v>129497248.04346305</v>
      </c>
      <c r="M12" s="32">
        <f t="shared" si="0"/>
        <v>124564042.08333528</v>
      </c>
      <c r="N12" s="32">
        <f t="shared" si="0"/>
        <v>118678352.6036565</v>
      </c>
      <c r="O12" s="32">
        <f t="shared" si="0"/>
        <v>129113076.00633925</v>
      </c>
      <c r="P12" s="33">
        <f t="shared" si="0"/>
        <v>1564803942.272002</v>
      </c>
    </row>
    <row r="13" spans="1:17" x14ac:dyDescent="0.2">
      <c r="A13" s="29" t="s">
        <v>15</v>
      </c>
      <c r="D13" s="32">
        <f t="shared" si="0"/>
        <v>32062216.743989892</v>
      </c>
      <c r="E13" s="32">
        <f t="shared" si="0"/>
        <v>29856615.941838559</v>
      </c>
      <c r="F13" s="32">
        <f t="shared" si="0"/>
        <v>33005059.488954231</v>
      </c>
      <c r="G13" s="32">
        <f t="shared" si="0"/>
        <v>34171251.150432937</v>
      </c>
      <c r="H13" s="32">
        <f t="shared" si="0"/>
        <v>36377705.727167062</v>
      </c>
      <c r="I13" s="32">
        <f t="shared" si="0"/>
        <v>36759875.418516628</v>
      </c>
      <c r="J13" s="32">
        <f t="shared" si="0"/>
        <v>38973500.85376852</v>
      </c>
      <c r="K13" s="32">
        <f t="shared" si="0"/>
        <v>40017839.242407881</v>
      </c>
      <c r="L13" s="32">
        <f t="shared" si="0"/>
        <v>39326254.25607343</v>
      </c>
      <c r="M13" s="32">
        <f t="shared" si="0"/>
        <v>36789953.675197534</v>
      </c>
      <c r="N13" s="32">
        <f t="shared" si="0"/>
        <v>32245839.479304112</v>
      </c>
      <c r="O13" s="32">
        <f t="shared" si="0"/>
        <v>33185179.604849316</v>
      </c>
      <c r="P13" s="33">
        <f t="shared" si="0"/>
        <v>422771291.5825001</v>
      </c>
    </row>
    <row r="14" spans="1:17" x14ac:dyDescent="0.2">
      <c r="A14" s="29" t="s">
        <v>16</v>
      </c>
      <c r="D14" s="32">
        <f t="shared" si="0"/>
        <v>338109.09432170709</v>
      </c>
      <c r="E14" s="32">
        <f t="shared" si="0"/>
        <v>295082.99342091638</v>
      </c>
      <c r="F14" s="32">
        <f t="shared" si="0"/>
        <v>301785.73524378956</v>
      </c>
      <c r="G14" s="32">
        <f t="shared" si="0"/>
        <v>314163.61010664806</v>
      </c>
      <c r="H14" s="32">
        <f t="shared" si="0"/>
        <v>316442.58295547089</v>
      </c>
      <c r="I14" s="32">
        <f t="shared" si="0"/>
        <v>304880.59845261357</v>
      </c>
      <c r="J14" s="32">
        <f t="shared" si="0"/>
        <v>296962.2161806986</v>
      </c>
      <c r="K14" s="32">
        <f t="shared" si="0"/>
        <v>267594.10159801925</v>
      </c>
      <c r="L14" s="32">
        <f t="shared" si="0"/>
        <v>350416.35033404891</v>
      </c>
      <c r="M14" s="32">
        <f t="shared" si="0"/>
        <v>356463.43427251419</v>
      </c>
      <c r="N14" s="32">
        <f t="shared" si="0"/>
        <v>364312.45231004193</v>
      </c>
      <c r="O14" s="32">
        <f t="shared" si="0"/>
        <v>346096.19941270567</v>
      </c>
      <c r="P14" s="33">
        <f t="shared" si="0"/>
        <v>3852309.3686091742</v>
      </c>
    </row>
    <row r="15" spans="1:17" x14ac:dyDescent="0.2">
      <c r="A15" s="29" t="s">
        <v>17</v>
      </c>
      <c r="D15" s="34">
        <f t="shared" si="0"/>
        <v>758951</v>
      </c>
      <c r="E15" s="34">
        <f t="shared" si="0"/>
        <v>556120</v>
      </c>
      <c r="F15" s="34">
        <f t="shared" si="0"/>
        <v>817843</v>
      </c>
      <c r="G15" s="34">
        <f t="shared" si="0"/>
        <v>713452</v>
      </c>
      <c r="H15" s="34">
        <f t="shared" si="0"/>
        <v>727704</v>
      </c>
      <c r="I15" s="34">
        <f t="shared" si="0"/>
        <v>719790</v>
      </c>
      <c r="J15" s="34">
        <f t="shared" si="0"/>
        <v>719670</v>
      </c>
      <c r="K15" s="34">
        <f t="shared" si="0"/>
        <v>719520</v>
      </c>
      <c r="L15" s="34">
        <f t="shared" si="0"/>
        <v>711169</v>
      </c>
      <c r="M15" s="34">
        <f t="shared" si="0"/>
        <v>673055</v>
      </c>
      <c r="N15" s="34">
        <f t="shared" si="0"/>
        <v>734546</v>
      </c>
      <c r="O15" s="34">
        <f t="shared" si="0"/>
        <v>746390</v>
      </c>
      <c r="P15" s="35">
        <f t="shared" si="0"/>
        <v>8598210</v>
      </c>
    </row>
    <row r="16" spans="1:17" ht="16" thickBot="1" x14ac:dyDescent="0.25">
      <c r="A16" s="36" t="s">
        <v>18</v>
      </c>
      <c r="B16" s="37"/>
      <c r="C16" s="37"/>
      <c r="D16" s="38">
        <f>SUM(D10:D15)</f>
        <v>263702854.20194569</v>
      </c>
      <c r="E16" s="38">
        <f t="shared" ref="E16:P16" si="1">SUM(E10:E15)</f>
        <v>235888850.95643622</v>
      </c>
      <c r="F16" s="38">
        <f t="shared" si="1"/>
        <v>235431050.98779422</v>
      </c>
      <c r="G16" s="38">
        <f t="shared" si="1"/>
        <v>216845487.29190323</v>
      </c>
      <c r="H16" s="38">
        <f t="shared" si="1"/>
        <v>239919523.77706462</v>
      </c>
      <c r="I16" s="38">
        <f t="shared" si="1"/>
        <v>274937694.63999593</v>
      </c>
      <c r="J16" s="38">
        <f t="shared" si="1"/>
        <v>302003184.70302999</v>
      </c>
      <c r="K16" s="38">
        <f t="shared" si="1"/>
        <v>297785691.78162247</v>
      </c>
      <c r="L16" s="38">
        <f t="shared" si="1"/>
        <v>254362126.04155135</v>
      </c>
      <c r="M16" s="38">
        <f t="shared" si="1"/>
        <v>234739444.74430859</v>
      </c>
      <c r="N16" s="38">
        <f t="shared" si="1"/>
        <v>226397620.84112948</v>
      </c>
      <c r="O16" s="38">
        <f t="shared" si="1"/>
        <v>250588287.00935093</v>
      </c>
      <c r="P16" s="39">
        <f t="shared" si="1"/>
        <v>3032601816.9761324</v>
      </c>
      <c r="Q16" s="40"/>
    </row>
    <row r="18" spans="1:22" x14ac:dyDescent="0.2">
      <c r="A18" s="41"/>
      <c r="B18" s="42"/>
      <c r="C18" s="42"/>
      <c r="D18" s="43" t="s">
        <v>57</v>
      </c>
      <c r="E18" s="42"/>
      <c r="F18" s="42"/>
      <c r="G18" s="42"/>
      <c r="H18" s="42"/>
      <c r="I18" s="42"/>
      <c r="J18" s="42"/>
      <c r="K18" s="42"/>
      <c r="L18" s="42"/>
      <c r="M18" s="42"/>
      <c r="N18" s="42"/>
      <c r="O18" s="42"/>
      <c r="P18" s="44"/>
    </row>
    <row r="19" spans="1:22" ht="16" x14ac:dyDescent="0.2">
      <c r="A19" s="45"/>
      <c r="D19" s="30" t="s">
        <v>19</v>
      </c>
      <c r="E19" s="30" t="s">
        <v>20</v>
      </c>
      <c r="F19" s="30" t="s">
        <v>21</v>
      </c>
      <c r="G19" s="30" t="s">
        <v>22</v>
      </c>
      <c r="H19" s="30" t="s">
        <v>23</v>
      </c>
      <c r="I19" s="30" t="s">
        <v>24</v>
      </c>
      <c r="J19" s="30" t="s">
        <v>25</v>
      </c>
      <c r="K19" s="30" t="s">
        <v>26</v>
      </c>
      <c r="L19" s="30" t="s">
        <v>8</v>
      </c>
      <c r="M19" s="30" t="s">
        <v>9</v>
      </c>
      <c r="N19" s="30" t="s">
        <v>10</v>
      </c>
      <c r="O19" s="30" t="s">
        <v>11</v>
      </c>
      <c r="P19" s="31" t="s">
        <v>56</v>
      </c>
    </row>
    <row r="20" spans="1:22" x14ac:dyDescent="0.2">
      <c r="A20" s="45" t="s">
        <v>12</v>
      </c>
      <c r="D20" s="32">
        <v>82392558.061442822</v>
      </c>
      <c r="E20" s="32">
        <v>69267509.272516757</v>
      </c>
      <c r="F20" s="32">
        <v>66265838.357112616</v>
      </c>
      <c r="G20" s="32">
        <v>56420620.471765026</v>
      </c>
      <c r="H20" s="32">
        <v>61052546.304102808</v>
      </c>
      <c r="I20" s="32">
        <v>77452287.147370055</v>
      </c>
      <c r="J20" s="32">
        <v>92964469.324894145</v>
      </c>
      <c r="K20" s="32">
        <v>91904919.010787368</v>
      </c>
      <c r="L20" s="32">
        <v>72546406.174351647</v>
      </c>
      <c r="M20" s="32">
        <v>59906925.762668446</v>
      </c>
      <c r="N20" s="32">
        <v>61027036.906433485</v>
      </c>
      <c r="O20" s="32">
        <v>72418019.54658322</v>
      </c>
      <c r="P20" s="46">
        <v>863619136.34002841</v>
      </c>
      <c r="Q20" s="40"/>
      <c r="R20" s="40"/>
      <c r="S20" s="40"/>
      <c r="T20" s="40"/>
    </row>
    <row r="21" spans="1:22" x14ac:dyDescent="0.2">
      <c r="A21" s="45" t="s">
        <v>13</v>
      </c>
      <c r="D21" s="32">
        <v>21848273.900102336</v>
      </c>
      <c r="E21" s="32">
        <v>19260239.318801697</v>
      </c>
      <c r="F21" s="32">
        <v>19217361.328429114</v>
      </c>
      <c r="G21" s="32">
        <v>16527418.341995619</v>
      </c>
      <c r="H21" s="32">
        <v>18002468.914704341</v>
      </c>
      <c r="I21" s="32">
        <v>19551830.768228374</v>
      </c>
      <c r="J21" s="32">
        <v>20240457.640738621</v>
      </c>
      <c r="K21" s="32">
        <v>19859780.046078619</v>
      </c>
      <c r="L21" s="32">
        <v>17135619.642511871</v>
      </c>
      <c r="M21" s="32">
        <v>16414173.482495259</v>
      </c>
      <c r="N21" s="32">
        <v>17114176.825998977</v>
      </c>
      <c r="O21" s="32">
        <v>19181030.49588424</v>
      </c>
      <c r="P21" s="46">
        <v>224352830.7059691</v>
      </c>
      <c r="Q21" s="40"/>
      <c r="R21" s="40"/>
      <c r="S21" s="40"/>
      <c r="T21" s="40"/>
    </row>
    <row r="22" spans="1:22" x14ac:dyDescent="0.2">
      <c r="A22" s="45" t="s">
        <v>14</v>
      </c>
      <c r="D22" s="32">
        <v>134793305.00390801</v>
      </c>
      <c r="E22" s="32">
        <v>125908118.3988779</v>
      </c>
      <c r="F22" s="32">
        <v>125631390.62111913</v>
      </c>
      <c r="G22" s="32">
        <v>118611162.63913567</v>
      </c>
      <c r="H22" s="32">
        <v>134568636.71381029</v>
      </c>
      <c r="I22" s="32">
        <v>153520395.78108671</v>
      </c>
      <c r="J22" s="32">
        <v>163473222.48738274</v>
      </c>
      <c r="K22" s="32">
        <v>158335832.3089222</v>
      </c>
      <c r="L22" s="32">
        <v>136063319.85636577</v>
      </c>
      <c r="M22" s="32">
        <v>130418914.75914548</v>
      </c>
      <c r="N22" s="32">
        <v>122502350.13244025</v>
      </c>
      <c r="O22" s="32">
        <v>132032846.90343653</v>
      </c>
      <c r="P22" s="46">
        <v>1635859495.6056306</v>
      </c>
      <c r="Q22" s="40"/>
      <c r="R22" s="40"/>
      <c r="S22" s="40"/>
      <c r="T22" s="40"/>
    </row>
    <row r="23" spans="1:22" x14ac:dyDescent="0.2">
      <c r="A23" s="45" t="s">
        <v>15</v>
      </c>
      <c r="D23" s="32">
        <v>33035313.609989893</v>
      </c>
      <c r="E23" s="32">
        <v>31143137.11133856</v>
      </c>
      <c r="F23" s="32">
        <v>34517122.333204232</v>
      </c>
      <c r="G23" s="32">
        <v>35763504.825682938</v>
      </c>
      <c r="H23" s="32">
        <v>38278430.546167061</v>
      </c>
      <c r="I23" s="32">
        <v>39294902.787516631</v>
      </c>
      <c r="J23" s="32">
        <v>41610451.595018521</v>
      </c>
      <c r="K23" s="32">
        <v>42171945.189407878</v>
      </c>
      <c r="L23" s="32">
        <v>41010801.146323428</v>
      </c>
      <c r="M23" s="32">
        <v>38349688.810197532</v>
      </c>
      <c r="N23" s="32">
        <v>33079820.917804111</v>
      </c>
      <c r="O23" s="32">
        <v>33688446.127349317</v>
      </c>
      <c r="P23" s="46">
        <v>441943565.00000012</v>
      </c>
      <c r="Q23" s="40"/>
      <c r="R23" s="40"/>
      <c r="S23" s="40"/>
      <c r="T23" s="40"/>
    </row>
    <row r="24" spans="1:22" x14ac:dyDescent="0.2">
      <c r="A24" s="45" t="s">
        <v>16</v>
      </c>
      <c r="D24" s="32">
        <v>338109.09432170709</v>
      </c>
      <c r="E24" s="32">
        <v>295082.99342091638</v>
      </c>
      <c r="F24" s="32">
        <v>301785.73524378956</v>
      </c>
      <c r="G24" s="32">
        <v>314163.61010664806</v>
      </c>
      <c r="H24" s="32">
        <v>316442.58295547089</v>
      </c>
      <c r="I24" s="32">
        <v>304880.59845261357</v>
      </c>
      <c r="J24" s="32">
        <v>296962.2161806986</v>
      </c>
      <c r="K24" s="32">
        <v>267594.10159801925</v>
      </c>
      <c r="L24" s="32">
        <v>350416.35033404891</v>
      </c>
      <c r="M24" s="32">
        <v>356463.43427251419</v>
      </c>
      <c r="N24" s="32">
        <v>364312.45231004193</v>
      </c>
      <c r="O24" s="32">
        <v>346096.19941270567</v>
      </c>
      <c r="P24" s="46">
        <v>3852309.3686091742</v>
      </c>
      <c r="Q24" s="40"/>
      <c r="R24" s="40"/>
      <c r="S24" s="40"/>
      <c r="T24" s="40"/>
    </row>
    <row r="25" spans="1:22" x14ac:dyDescent="0.2">
      <c r="A25" s="45" t="s">
        <v>17</v>
      </c>
      <c r="D25" s="34">
        <v>758951</v>
      </c>
      <c r="E25" s="34">
        <v>556120</v>
      </c>
      <c r="F25" s="34">
        <v>817843</v>
      </c>
      <c r="G25" s="34">
        <v>713452</v>
      </c>
      <c r="H25" s="34">
        <v>727704</v>
      </c>
      <c r="I25" s="34">
        <v>719790</v>
      </c>
      <c r="J25" s="34">
        <v>719670</v>
      </c>
      <c r="K25" s="34">
        <v>719520</v>
      </c>
      <c r="L25" s="34">
        <v>711169</v>
      </c>
      <c r="M25" s="34">
        <v>673055</v>
      </c>
      <c r="N25" s="34">
        <v>734546</v>
      </c>
      <c r="O25" s="34">
        <v>746390</v>
      </c>
      <c r="P25" s="47">
        <v>8598210</v>
      </c>
      <c r="Q25" s="40"/>
      <c r="R25" s="40"/>
      <c r="S25" s="40"/>
      <c r="T25" s="40"/>
    </row>
    <row r="26" spans="1:22" x14ac:dyDescent="0.2">
      <c r="A26" s="48" t="s">
        <v>18</v>
      </c>
      <c r="B26" s="49"/>
      <c r="C26" s="49"/>
      <c r="D26" s="34">
        <f>SUM(D20:D25)</f>
        <v>273166510.66976476</v>
      </c>
      <c r="E26" s="34">
        <f t="shared" ref="E26:O26" si="2">SUM(E20:E25)</f>
        <v>246430207.09495583</v>
      </c>
      <c r="F26" s="34">
        <f t="shared" si="2"/>
        <v>246751341.3751089</v>
      </c>
      <c r="G26" s="34">
        <f t="shared" si="2"/>
        <v>228350321.88868588</v>
      </c>
      <c r="H26" s="34">
        <f t="shared" si="2"/>
        <v>252946229.06173998</v>
      </c>
      <c r="I26" s="34">
        <f t="shared" si="2"/>
        <v>290844087.08265442</v>
      </c>
      <c r="J26" s="34">
        <f t="shared" si="2"/>
        <v>319305233.26421469</v>
      </c>
      <c r="K26" s="34">
        <f t="shared" si="2"/>
        <v>313259590.65679413</v>
      </c>
      <c r="L26" s="34">
        <f t="shared" si="2"/>
        <v>267817732.16988677</v>
      </c>
      <c r="M26" s="34">
        <f t="shared" si="2"/>
        <v>246119221.24877924</v>
      </c>
      <c r="N26" s="34">
        <f t="shared" si="2"/>
        <v>234822243.23498687</v>
      </c>
      <c r="O26" s="34">
        <f t="shared" si="2"/>
        <v>258412829.27266601</v>
      </c>
      <c r="P26" s="47">
        <f>SUM(P20:P25)</f>
        <v>3178225547.0202374</v>
      </c>
      <c r="Q26" s="40"/>
      <c r="R26" s="40"/>
      <c r="S26" s="40"/>
      <c r="T26" s="40"/>
    </row>
    <row r="27" spans="1:22" x14ac:dyDescent="0.2">
      <c r="D27" s="40"/>
      <c r="E27" s="40"/>
      <c r="F27" s="40"/>
      <c r="G27" s="40"/>
      <c r="H27" s="40"/>
      <c r="I27" s="40"/>
      <c r="J27" s="40"/>
      <c r="K27" s="40"/>
      <c r="L27" s="40"/>
      <c r="M27" s="40"/>
      <c r="N27" s="40"/>
      <c r="O27" s="40"/>
      <c r="P27" s="40"/>
      <c r="Q27" s="40"/>
      <c r="R27" s="40"/>
      <c r="S27" s="40"/>
      <c r="T27" s="40"/>
    </row>
    <row r="28" spans="1:22" x14ac:dyDescent="0.2">
      <c r="A28" s="41"/>
      <c r="B28" s="42"/>
      <c r="C28" s="42"/>
      <c r="D28" s="50" t="s">
        <v>58</v>
      </c>
      <c r="E28" s="51"/>
      <c r="F28" s="51"/>
      <c r="G28" s="51"/>
      <c r="H28" s="51"/>
      <c r="I28" s="51"/>
      <c r="J28" s="51"/>
      <c r="K28" s="51"/>
      <c r="L28" s="51"/>
      <c r="M28" s="51"/>
      <c r="N28" s="51"/>
      <c r="O28" s="51"/>
      <c r="P28" s="52"/>
      <c r="Q28" s="40"/>
      <c r="R28" s="40"/>
      <c r="S28" s="40"/>
      <c r="T28" s="40"/>
    </row>
    <row r="29" spans="1:22" x14ac:dyDescent="0.2">
      <c r="A29" s="45" t="s">
        <v>12</v>
      </c>
      <c r="D29" s="32">
        <v>4557202.2586811483</v>
      </c>
      <c r="E29" s="32">
        <v>4222767.3878347259</v>
      </c>
      <c r="F29" s="32">
        <v>3794397.5559114208</v>
      </c>
      <c r="G29" s="32">
        <v>3636563.4027522039</v>
      </c>
      <c r="H29" s="32">
        <v>3450913.2283462761</v>
      </c>
      <c r="I29" s="32">
        <v>3943694.1275290195</v>
      </c>
      <c r="J29" s="32">
        <v>4995426.7371319309</v>
      </c>
      <c r="K29" s="32">
        <v>4765405.8608233659</v>
      </c>
      <c r="L29" s="32">
        <v>4488316.2696463754</v>
      </c>
      <c r="M29" s="32">
        <v>3393358.5046589137</v>
      </c>
      <c r="N29" s="32">
        <v>3323246.3376600645</v>
      </c>
      <c r="O29" s="32">
        <v>4095618.8813828505</v>
      </c>
      <c r="P29" s="46">
        <v>48666910.552358299</v>
      </c>
      <c r="Q29" s="40"/>
      <c r="R29" s="40"/>
      <c r="S29" s="40"/>
      <c r="T29" s="40"/>
      <c r="U29" s="40"/>
      <c r="V29" s="40"/>
    </row>
    <row r="30" spans="1:22" x14ac:dyDescent="0.2">
      <c r="A30" s="45" t="s">
        <v>13</v>
      </c>
      <c r="D30" s="32">
        <v>208831.365422681</v>
      </c>
      <c r="E30" s="32">
        <v>194361.49213100699</v>
      </c>
      <c r="F30" s="32">
        <v>172630.30654038204</v>
      </c>
      <c r="G30" s="32">
        <v>184643.96173817699</v>
      </c>
      <c r="H30" s="32">
        <v>160884.69011619198</v>
      </c>
      <c r="I30" s="32">
        <v>169096.95429382101</v>
      </c>
      <c r="J30" s="32">
        <v>205812.668175461</v>
      </c>
      <c r="K30" s="32">
        <v>188065.98641357702</v>
      </c>
      <c r="L30" s="32">
        <v>186784.90053629299</v>
      </c>
      <c r="M30" s="32">
        <v>147524.279001569</v>
      </c>
      <c r="N30" s="32">
        <v>155016.23891356398</v>
      </c>
      <c r="O30" s="32">
        <v>181878.11733493299</v>
      </c>
      <c r="P30" s="46">
        <v>2155530.9606176568</v>
      </c>
      <c r="Q30" s="40"/>
      <c r="R30" s="40"/>
      <c r="S30" s="40"/>
      <c r="T30" s="40"/>
      <c r="U30" s="40"/>
      <c r="V30" s="40"/>
    </row>
    <row r="31" spans="1:22" x14ac:dyDescent="0.2">
      <c r="A31" s="45" t="s">
        <v>14</v>
      </c>
      <c r="D31" s="32">
        <v>1053242.0862835024</v>
      </c>
      <c r="E31" s="32">
        <v>1168577.6000397503</v>
      </c>
      <c r="F31" s="32">
        <v>964055.26922006661</v>
      </c>
      <c r="G31" s="32">
        <v>956857.77389228845</v>
      </c>
      <c r="H31" s="32">
        <v>1143889.6095128814</v>
      </c>
      <c r="I31" s="32">
        <v>1239805.2919356229</v>
      </c>
      <c r="J31" s="32">
        <v>1421749.3330773111</v>
      </c>
      <c r="K31" s="32">
        <v>1455552.3420347041</v>
      </c>
      <c r="L31" s="32">
        <v>1599607.967652695</v>
      </c>
      <c r="M31" s="32">
        <v>1360139.0171101927</v>
      </c>
      <c r="N31" s="32">
        <v>1290944.0407837534</v>
      </c>
      <c r="O31" s="32">
        <v>1365177.6036972811</v>
      </c>
      <c r="P31" s="46">
        <v>15019597.935240051</v>
      </c>
      <c r="Q31" s="40"/>
      <c r="R31" s="40"/>
      <c r="S31" s="40"/>
      <c r="T31" s="40"/>
      <c r="U31" s="40"/>
      <c r="V31" s="40"/>
    </row>
    <row r="32" spans="1:22" x14ac:dyDescent="0.2">
      <c r="A32" s="45" t="s">
        <v>15</v>
      </c>
      <c r="D32" s="32"/>
      <c r="E32" s="32"/>
      <c r="F32" s="32"/>
      <c r="G32" s="32"/>
      <c r="H32" s="32"/>
      <c r="I32" s="32"/>
      <c r="J32" s="32"/>
      <c r="K32" s="32"/>
      <c r="L32" s="32"/>
      <c r="M32" s="32"/>
      <c r="N32" s="32"/>
      <c r="O32" s="32"/>
      <c r="P32" s="46"/>
      <c r="Q32" s="40"/>
      <c r="R32" s="40"/>
      <c r="S32" s="40"/>
      <c r="T32" s="40"/>
      <c r="U32" s="40"/>
      <c r="V32" s="40"/>
    </row>
    <row r="33" spans="1:22" x14ac:dyDescent="0.2">
      <c r="A33" s="45" t="s">
        <v>16</v>
      </c>
      <c r="D33" s="32"/>
      <c r="E33" s="32"/>
      <c r="F33" s="32"/>
      <c r="G33" s="32"/>
      <c r="H33" s="32"/>
      <c r="I33" s="32"/>
      <c r="J33" s="32"/>
      <c r="K33" s="32"/>
      <c r="L33" s="32"/>
      <c r="M33" s="32"/>
      <c r="N33" s="32"/>
      <c r="O33" s="32"/>
      <c r="P33" s="46"/>
      <c r="Q33" s="40"/>
      <c r="R33" s="40"/>
      <c r="S33" s="40"/>
      <c r="T33" s="40"/>
      <c r="U33" s="40"/>
      <c r="V33" s="40"/>
    </row>
    <row r="34" spans="1:22" x14ac:dyDescent="0.2">
      <c r="A34" s="45" t="s">
        <v>17</v>
      </c>
      <c r="D34" s="32"/>
      <c r="E34" s="32"/>
      <c r="F34" s="32"/>
      <c r="G34" s="32"/>
      <c r="H34" s="32"/>
      <c r="I34" s="32"/>
      <c r="J34" s="32"/>
      <c r="K34" s="32"/>
      <c r="L34" s="32"/>
      <c r="M34" s="32"/>
      <c r="N34" s="32"/>
      <c r="O34" s="32"/>
      <c r="P34" s="46"/>
      <c r="Q34" s="40"/>
      <c r="R34" s="40"/>
      <c r="S34" s="40"/>
      <c r="T34" s="40"/>
      <c r="U34" s="40"/>
      <c r="V34" s="40"/>
    </row>
    <row r="35" spans="1:22" x14ac:dyDescent="0.2">
      <c r="A35" s="48" t="s">
        <v>18</v>
      </c>
      <c r="B35" s="49"/>
      <c r="C35" s="49"/>
      <c r="D35" s="34">
        <f>SUM(D29:D34)</f>
        <v>5819275.7103873314</v>
      </c>
      <c r="E35" s="34">
        <f t="shared" ref="E35:P35" si="3">SUM(E29:E34)</f>
        <v>5585706.4800054831</v>
      </c>
      <c r="F35" s="34">
        <f t="shared" si="3"/>
        <v>4931083.1316718692</v>
      </c>
      <c r="G35" s="34">
        <f t="shared" si="3"/>
        <v>4778065.1383826695</v>
      </c>
      <c r="H35" s="34">
        <f t="shared" si="3"/>
        <v>4755687.5279753497</v>
      </c>
      <c r="I35" s="34">
        <f t="shared" si="3"/>
        <v>5352596.3737584632</v>
      </c>
      <c r="J35" s="34">
        <f t="shared" si="3"/>
        <v>6622988.7383847032</v>
      </c>
      <c r="K35" s="34">
        <f t="shared" si="3"/>
        <v>6409024.1892716466</v>
      </c>
      <c r="L35" s="34">
        <f t="shared" si="3"/>
        <v>6274709.1378353639</v>
      </c>
      <c r="M35" s="34">
        <f t="shared" si="3"/>
        <v>4901021.8007706758</v>
      </c>
      <c r="N35" s="34">
        <f t="shared" si="3"/>
        <v>4769206.6173573816</v>
      </c>
      <c r="O35" s="34">
        <f t="shared" si="3"/>
        <v>5642674.6024150643</v>
      </c>
      <c r="P35" s="47">
        <f t="shared" si="3"/>
        <v>65842039.448216006</v>
      </c>
      <c r="Q35" s="40"/>
      <c r="R35" s="40"/>
      <c r="S35" s="40"/>
      <c r="T35" s="40"/>
      <c r="U35" s="40"/>
      <c r="V35" s="40"/>
    </row>
    <row r="36" spans="1:22" x14ac:dyDescent="0.2">
      <c r="D36" s="40"/>
      <c r="E36" s="40"/>
      <c r="F36" s="40"/>
      <c r="G36" s="40"/>
      <c r="H36" s="40"/>
      <c r="I36" s="40"/>
      <c r="J36" s="40"/>
      <c r="K36" s="40"/>
      <c r="L36" s="40"/>
      <c r="M36" s="40"/>
      <c r="N36" s="40"/>
      <c r="O36" s="40"/>
      <c r="P36" s="40"/>
      <c r="Q36" s="40"/>
      <c r="R36" s="40"/>
      <c r="S36" s="40"/>
      <c r="T36" s="40"/>
      <c r="U36" s="40"/>
      <c r="V36" s="40"/>
    </row>
    <row r="37" spans="1:22" x14ac:dyDescent="0.2">
      <c r="A37" s="41"/>
      <c r="B37" s="42"/>
      <c r="C37" s="42"/>
      <c r="D37" s="50" t="s">
        <v>59</v>
      </c>
      <c r="E37" s="51"/>
      <c r="F37" s="51"/>
      <c r="G37" s="51"/>
      <c r="H37" s="51"/>
      <c r="I37" s="51"/>
      <c r="J37" s="51"/>
      <c r="K37" s="51"/>
      <c r="L37" s="51"/>
      <c r="M37" s="51"/>
      <c r="N37" s="51"/>
      <c r="O37" s="51"/>
      <c r="P37" s="52"/>
      <c r="Q37" s="40"/>
      <c r="R37" s="40"/>
      <c r="S37" s="40"/>
      <c r="T37" s="40"/>
      <c r="U37" s="40"/>
      <c r="V37" s="40"/>
    </row>
    <row r="38" spans="1:22" x14ac:dyDescent="0.2">
      <c r="A38" s="45" t="s">
        <v>12</v>
      </c>
      <c r="D38" s="32">
        <v>98749.77</v>
      </c>
      <c r="E38" s="32">
        <v>173723.02</v>
      </c>
      <c r="F38" s="32">
        <v>299971.60499999998</v>
      </c>
      <c r="G38" s="32">
        <v>375214.5</v>
      </c>
      <c r="H38" s="32">
        <v>411194.69499999995</v>
      </c>
      <c r="I38" s="32">
        <v>515166.22499999998</v>
      </c>
      <c r="J38" s="32">
        <v>575044.33000000007</v>
      </c>
      <c r="K38" s="32">
        <v>566089.32999999996</v>
      </c>
      <c r="L38" s="32">
        <v>502919.76500000001</v>
      </c>
      <c r="M38" s="32">
        <v>403368.02500000002</v>
      </c>
      <c r="N38" s="32">
        <v>272624.03000000003</v>
      </c>
      <c r="O38" s="32">
        <v>117870.685</v>
      </c>
      <c r="P38" s="46">
        <v>4311935.9799999995</v>
      </c>
      <c r="Q38" s="40"/>
      <c r="R38" s="40"/>
      <c r="S38" s="40"/>
      <c r="T38" s="40"/>
      <c r="U38" s="40"/>
      <c r="V38" s="40"/>
    </row>
    <row r="39" spans="1:22" x14ac:dyDescent="0.2">
      <c r="A39" s="45" t="s">
        <v>13</v>
      </c>
      <c r="D39" s="32">
        <v>8482.375</v>
      </c>
      <c r="E39" s="32">
        <v>14010.595000000001</v>
      </c>
      <c r="F39" s="32">
        <v>20543.764999999999</v>
      </c>
      <c r="G39" s="32">
        <v>24135.714999999997</v>
      </c>
      <c r="H39" s="32">
        <v>26673.96</v>
      </c>
      <c r="I39" s="32">
        <v>31338.52</v>
      </c>
      <c r="J39" s="32">
        <v>37374.19</v>
      </c>
      <c r="K39" s="32">
        <v>29188.324999999997</v>
      </c>
      <c r="L39" s="32">
        <v>26966.489999999998</v>
      </c>
      <c r="M39" s="32">
        <v>20917.885000000002</v>
      </c>
      <c r="N39" s="32">
        <v>15756.82</v>
      </c>
      <c r="O39" s="32">
        <v>6137.16</v>
      </c>
      <c r="P39" s="46">
        <v>261525.80000000002</v>
      </c>
      <c r="Q39" s="40"/>
      <c r="R39" s="40"/>
      <c r="S39" s="40"/>
      <c r="T39" s="40"/>
      <c r="U39" s="40"/>
      <c r="V39" s="40"/>
    </row>
    <row r="40" spans="1:22" x14ac:dyDescent="0.2">
      <c r="A40" s="45" t="s">
        <v>14</v>
      </c>
      <c r="D40" s="32">
        <v>32942.46</v>
      </c>
      <c r="E40" s="32">
        <v>62298.94</v>
      </c>
      <c r="F40" s="32">
        <v>87340.104999999996</v>
      </c>
      <c r="G40" s="32">
        <v>122058.64</v>
      </c>
      <c r="H40" s="32">
        <v>134446.39000000001</v>
      </c>
      <c r="I40" s="32">
        <v>166773.94</v>
      </c>
      <c r="J40" s="32">
        <v>196108.53</v>
      </c>
      <c r="K40" s="32">
        <v>194924.48</v>
      </c>
      <c r="L40" s="32">
        <v>179239.3</v>
      </c>
      <c r="M40" s="32">
        <v>109282.84</v>
      </c>
      <c r="N40" s="32">
        <v>73146.429999999993</v>
      </c>
      <c r="O40" s="32">
        <v>29301.755000000001</v>
      </c>
      <c r="P40" s="46">
        <v>1387863.81</v>
      </c>
      <c r="Q40" s="40"/>
      <c r="R40" s="40"/>
      <c r="S40" s="40"/>
      <c r="T40" s="40"/>
      <c r="U40" s="40"/>
      <c r="V40" s="40"/>
    </row>
    <row r="41" spans="1:22" x14ac:dyDescent="0.2">
      <c r="A41" s="45" t="s">
        <v>15</v>
      </c>
      <c r="D41" s="32"/>
      <c r="E41" s="32"/>
      <c r="F41" s="32"/>
      <c r="G41" s="32"/>
      <c r="H41" s="32"/>
      <c r="I41" s="32"/>
      <c r="J41" s="32"/>
      <c r="K41" s="32"/>
      <c r="L41" s="32"/>
      <c r="M41" s="32"/>
      <c r="N41" s="32"/>
      <c r="O41" s="32"/>
      <c r="P41" s="46"/>
      <c r="Q41" s="40"/>
      <c r="R41" s="40"/>
      <c r="S41" s="40"/>
      <c r="T41" s="40"/>
      <c r="U41" s="40"/>
      <c r="V41" s="40"/>
    </row>
    <row r="42" spans="1:22" x14ac:dyDescent="0.2">
      <c r="A42" s="45" t="s">
        <v>16</v>
      </c>
      <c r="D42" s="32"/>
      <c r="E42" s="32"/>
      <c r="F42" s="32"/>
      <c r="G42" s="32"/>
      <c r="H42" s="32"/>
      <c r="I42" s="32"/>
      <c r="J42" s="32"/>
      <c r="K42" s="32"/>
      <c r="L42" s="32"/>
      <c r="M42" s="32"/>
      <c r="N42" s="32"/>
      <c r="O42" s="32"/>
      <c r="P42" s="46"/>
      <c r="Q42" s="40"/>
      <c r="R42" s="40"/>
      <c r="S42" s="40"/>
      <c r="T42" s="40"/>
      <c r="U42" s="40"/>
      <c r="V42" s="40"/>
    </row>
    <row r="43" spans="1:22" x14ac:dyDescent="0.2">
      <c r="A43" s="45" t="s">
        <v>17</v>
      </c>
      <c r="D43" s="34"/>
      <c r="E43" s="34"/>
      <c r="F43" s="34"/>
      <c r="G43" s="34"/>
      <c r="H43" s="34"/>
      <c r="I43" s="34"/>
      <c r="J43" s="34"/>
      <c r="K43" s="34"/>
      <c r="L43" s="34"/>
      <c r="M43" s="34"/>
      <c r="N43" s="34"/>
      <c r="O43" s="34"/>
      <c r="P43" s="47"/>
      <c r="Q43" s="40"/>
      <c r="R43" s="40"/>
      <c r="S43" s="40"/>
      <c r="T43" s="40"/>
      <c r="U43" s="40"/>
      <c r="V43" s="40"/>
    </row>
    <row r="44" spans="1:22" x14ac:dyDescent="0.2">
      <c r="A44" s="48" t="s">
        <v>18</v>
      </c>
      <c r="B44" s="49"/>
      <c r="C44" s="49"/>
      <c r="D44" s="34">
        <f>SUM(D38:D43)</f>
        <v>140174.60500000001</v>
      </c>
      <c r="E44" s="34">
        <f t="shared" ref="E44:P44" si="4">SUM(E38:E43)</f>
        <v>250032.55499999999</v>
      </c>
      <c r="F44" s="34">
        <f t="shared" si="4"/>
        <v>407855.47499999998</v>
      </c>
      <c r="G44" s="34">
        <f t="shared" si="4"/>
        <v>521408.85499999998</v>
      </c>
      <c r="H44" s="34">
        <f t="shared" si="4"/>
        <v>572315.04499999993</v>
      </c>
      <c r="I44" s="34">
        <f t="shared" si="4"/>
        <v>713278.68500000006</v>
      </c>
      <c r="J44" s="34">
        <f t="shared" si="4"/>
        <v>808527.05</v>
      </c>
      <c r="K44" s="34">
        <f t="shared" si="4"/>
        <v>790202.13499999989</v>
      </c>
      <c r="L44" s="34">
        <f t="shared" si="4"/>
        <v>709125.55499999993</v>
      </c>
      <c r="M44" s="34">
        <f t="shared" si="4"/>
        <v>533568.75</v>
      </c>
      <c r="N44" s="34">
        <f t="shared" si="4"/>
        <v>361527.28</v>
      </c>
      <c r="O44" s="34">
        <f t="shared" si="4"/>
        <v>153309.6</v>
      </c>
      <c r="P44" s="47">
        <f t="shared" si="4"/>
        <v>5961325.5899999999</v>
      </c>
      <c r="Q44" s="40"/>
      <c r="R44" s="40"/>
      <c r="S44" s="40"/>
      <c r="T44" s="40"/>
      <c r="U44" s="40"/>
      <c r="V44" s="40"/>
    </row>
    <row r="45" spans="1:22" x14ac:dyDescent="0.2">
      <c r="D45" s="40"/>
      <c r="E45" s="40"/>
      <c r="F45" s="40"/>
      <c r="G45" s="40"/>
      <c r="H45" s="40"/>
      <c r="I45" s="40"/>
      <c r="J45" s="40"/>
      <c r="K45" s="40"/>
      <c r="L45" s="40"/>
      <c r="M45" s="40"/>
      <c r="N45" s="40"/>
      <c r="O45" s="40"/>
      <c r="P45" s="40"/>
      <c r="Q45" s="40"/>
      <c r="R45" s="40"/>
      <c r="S45" s="40"/>
      <c r="T45" s="40"/>
      <c r="U45" s="40"/>
      <c r="V45" s="40"/>
    </row>
    <row r="46" spans="1:22" x14ac:dyDescent="0.2">
      <c r="A46" s="41"/>
      <c r="B46" s="42"/>
      <c r="C46" s="42"/>
      <c r="D46" s="50" t="s">
        <v>60</v>
      </c>
      <c r="E46" s="51"/>
      <c r="F46" s="51"/>
      <c r="G46" s="51"/>
      <c r="H46" s="51"/>
      <c r="I46" s="51"/>
      <c r="J46" s="51"/>
      <c r="K46" s="51"/>
      <c r="L46" s="51"/>
      <c r="M46" s="51"/>
      <c r="N46" s="51"/>
      <c r="O46" s="51"/>
      <c r="P46" s="52"/>
      <c r="Q46" s="40"/>
      <c r="R46" s="40"/>
      <c r="S46" s="40"/>
      <c r="T46" s="40"/>
      <c r="U46" s="40"/>
      <c r="V46" s="40"/>
    </row>
    <row r="47" spans="1:22" x14ac:dyDescent="0.2">
      <c r="A47" s="45" t="s">
        <v>12</v>
      </c>
      <c r="D47" s="32"/>
      <c r="E47" s="32"/>
      <c r="F47" s="32"/>
      <c r="G47" s="32"/>
      <c r="H47" s="32"/>
      <c r="I47" s="32"/>
      <c r="J47" s="32"/>
      <c r="K47" s="32"/>
      <c r="L47" s="32"/>
      <c r="M47" s="32"/>
      <c r="N47" s="32"/>
      <c r="O47" s="32"/>
      <c r="P47" s="46"/>
      <c r="Q47" s="40"/>
      <c r="R47" s="40"/>
      <c r="S47" s="40"/>
      <c r="T47" s="40"/>
      <c r="U47" s="40"/>
      <c r="V47" s="40"/>
    </row>
    <row r="48" spans="1:22" x14ac:dyDescent="0.2">
      <c r="A48" s="45" t="s">
        <v>13</v>
      </c>
      <c r="D48" s="32"/>
      <c r="E48" s="32"/>
      <c r="F48" s="32"/>
      <c r="G48" s="32"/>
      <c r="H48" s="32"/>
      <c r="I48" s="32"/>
      <c r="J48" s="32"/>
      <c r="K48" s="32"/>
      <c r="L48" s="32"/>
      <c r="M48" s="32"/>
      <c r="N48" s="32"/>
      <c r="O48" s="32"/>
      <c r="P48" s="46"/>
      <c r="Q48" s="40"/>
      <c r="R48" s="40"/>
      <c r="S48" s="40"/>
      <c r="T48" s="40"/>
      <c r="U48" s="40"/>
      <c r="V48" s="40"/>
    </row>
    <row r="49" spans="1:22" x14ac:dyDescent="0.2">
      <c r="A49" s="45" t="s">
        <v>14</v>
      </c>
      <c r="D49" s="32">
        <v>2531109.2864317088</v>
      </c>
      <c r="E49" s="32">
        <v>3419095.9340141499</v>
      </c>
      <c r="F49" s="32">
        <v>4469288.9363928027</v>
      </c>
      <c r="G49" s="32">
        <v>4613106.9281500066</v>
      </c>
      <c r="H49" s="32">
        <v>5797977.8927000035</v>
      </c>
      <c r="I49" s="32">
        <v>7305490.0149000045</v>
      </c>
      <c r="J49" s="32">
        <v>7233582.0315499958</v>
      </c>
      <c r="K49" s="32">
        <v>6120566.6038999949</v>
      </c>
      <c r="L49" s="32">
        <v>4787224.5452500023</v>
      </c>
      <c r="M49" s="32">
        <v>4385450.8187000006</v>
      </c>
      <c r="N49" s="32">
        <v>2459907.0579999993</v>
      </c>
      <c r="O49" s="32">
        <v>1525291.5384</v>
      </c>
      <c r="P49" s="46">
        <v>54648091.588388674</v>
      </c>
      <c r="Q49" s="40"/>
      <c r="R49" s="40"/>
      <c r="S49" s="40"/>
      <c r="T49" s="40"/>
      <c r="U49" s="40"/>
      <c r="V49" s="40"/>
    </row>
    <row r="50" spans="1:22" x14ac:dyDescent="0.2">
      <c r="A50" s="45" t="s">
        <v>15</v>
      </c>
      <c r="D50" s="32">
        <v>973096.86599999992</v>
      </c>
      <c r="E50" s="32">
        <v>1286521.1694999998</v>
      </c>
      <c r="F50" s="32">
        <v>1512062.844250001</v>
      </c>
      <c r="G50" s="32">
        <v>1592253.6752499999</v>
      </c>
      <c r="H50" s="32">
        <v>1900724.8190000011</v>
      </c>
      <c r="I50" s="32">
        <v>2535027.3690000009</v>
      </c>
      <c r="J50" s="32">
        <v>2636950.74125</v>
      </c>
      <c r="K50" s="32">
        <v>2154105.9469999988</v>
      </c>
      <c r="L50" s="32">
        <v>1684546.8902500002</v>
      </c>
      <c r="M50" s="32">
        <v>1559735.1349999988</v>
      </c>
      <c r="N50" s="32">
        <v>833981.43849999993</v>
      </c>
      <c r="O50" s="32">
        <v>503266.52249999996</v>
      </c>
      <c r="P50" s="46">
        <v>19172273.417499997</v>
      </c>
      <c r="Q50" s="40"/>
      <c r="R50" s="40"/>
      <c r="S50" s="40"/>
      <c r="T50" s="40"/>
      <c r="U50" s="40"/>
      <c r="V50" s="40"/>
    </row>
    <row r="51" spans="1:22" x14ac:dyDescent="0.2">
      <c r="A51" s="45" t="s">
        <v>16</v>
      </c>
      <c r="D51" s="32"/>
      <c r="E51" s="32"/>
      <c r="F51" s="32"/>
      <c r="G51" s="32"/>
      <c r="H51" s="32"/>
      <c r="I51" s="32"/>
      <c r="J51" s="32"/>
      <c r="K51" s="32"/>
      <c r="L51" s="32"/>
      <c r="M51" s="32"/>
      <c r="N51" s="32"/>
      <c r="O51" s="32"/>
      <c r="P51" s="46"/>
      <c r="Q51" s="40"/>
      <c r="R51" s="40"/>
      <c r="S51" s="40"/>
      <c r="T51" s="40"/>
      <c r="U51" s="40"/>
      <c r="V51" s="40"/>
    </row>
    <row r="52" spans="1:22" x14ac:dyDescent="0.2">
      <c r="A52" s="45" t="s">
        <v>17</v>
      </c>
      <c r="D52" s="34"/>
      <c r="E52" s="34"/>
      <c r="F52" s="34"/>
      <c r="G52" s="34"/>
      <c r="H52" s="34"/>
      <c r="I52" s="34"/>
      <c r="J52" s="34"/>
      <c r="K52" s="34"/>
      <c r="L52" s="34"/>
      <c r="M52" s="34"/>
      <c r="N52" s="34"/>
      <c r="O52" s="34"/>
      <c r="P52" s="47"/>
      <c r="Q52" s="40"/>
      <c r="R52" s="40"/>
      <c r="S52" s="40"/>
      <c r="T52" s="40"/>
      <c r="U52" s="40"/>
      <c r="V52" s="40"/>
    </row>
    <row r="53" spans="1:22" x14ac:dyDescent="0.2">
      <c r="A53" s="48" t="s">
        <v>18</v>
      </c>
      <c r="B53" s="49"/>
      <c r="C53" s="49"/>
      <c r="D53" s="34">
        <f>SUM(D47:D52)</f>
        <v>3504206.1524317088</v>
      </c>
      <c r="E53" s="34">
        <f t="shared" ref="E53:O53" si="5">SUM(E47:E52)</f>
        <v>4705617.1035141498</v>
      </c>
      <c r="F53" s="34">
        <f t="shared" si="5"/>
        <v>5981351.7806428038</v>
      </c>
      <c r="G53" s="34">
        <f t="shared" si="5"/>
        <v>6205360.6034000069</v>
      </c>
      <c r="H53" s="34">
        <f t="shared" si="5"/>
        <v>7698702.7117000045</v>
      </c>
      <c r="I53" s="34">
        <f t="shared" si="5"/>
        <v>9840517.3839000054</v>
      </c>
      <c r="J53" s="34">
        <f t="shared" si="5"/>
        <v>9870532.7727999948</v>
      </c>
      <c r="K53" s="34">
        <f t="shared" si="5"/>
        <v>8274672.5508999936</v>
      </c>
      <c r="L53" s="34">
        <f t="shared" si="5"/>
        <v>6471771.4355000025</v>
      </c>
      <c r="M53" s="34">
        <f t="shared" si="5"/>
        <v>5945185.9536999995</v>
      </c>
      <c r="N53" s="34">
        <f t="shared" si="5"/>
        <v>3293888.4964999994</v>
      </c>
      <c r="O53" s="34">
        <f t="shared" si="5"/>
        <v>2028558.0608999999</v>
      </c>
      <c r="P53" s="47">
        <f>SUM(P47:P52)</f>
        <v>73820365.005888671</v>
      </c>
      <c r="Q53" s="40"/>
      <c r="R53" s="40"/>
      <c r="S53" s="40"/>
      <c r="T53" s="40"/>
      <c r="U53" s="40"/>
      <c r="V53" s="40"/>
    </row>
    <row r="54" spans="1:22" x14ac:dyDescent="0.2">
      <c r="D54" s="40"/>
      <c r="E54" s="40"/>
      <c r="F54" s="40"/>
      <c r="G54" s="40"/>
      <c r="H54" s="40"/>
      <c r="I54" s="40"/>
      <c r="J54" s="40"/>
      <c r="K54" s="40"/>
      <c r="L54" s="40"/>
      <c r="M54" s="40"/>
      <c r="N54" s="40"/>
      <c r="O54" s="40"/>
      <c r="P54" s="40"/>
      <c r="Q54" s="40"/>
      <c r="R54" s="40"/>
      <c r="S54" s="40"/>
      <c r="T54" s="40"/>
      <c r="U54" s="40"/>
      <c r="V54" s="40"/>
    </row>
    <row r="55" spans="1:22" x14ac:dyDescent="0.2">
      <c r="D55" s="40"/>
      <c r="E55" s="40"/>
      <c r="F55" s="40"/>
      <c r="G55" s="40"/>
      <c r="H55" s="40"/>
      <c r="I55" s="40"/>
      <c r="J55" s="40"/>
      <c r="K55" s="40"/>
      <c r="L55" s="40"/>
      <c r="M55" s="40"/>
      <c r="N55" s="40"/>
      <c r="O55" s="40"/>
      <c r="P55" s="40"/>
      <c r="Q55" s="40"/>
      <c r="R55" s="40"/>
      <c r="S55" s="40"/>
      <c r="T55" s="40"/>
      <c r="U55" s="40"/>
      <c r="V55" s="40"/>
    </row>
    <row r="56" spans="1:22" x14ac:dyDescent="0.2">
      <c r="D56" s="40"/>
      <c r="E56" s="40"/>
      <c r="F56" s="40"/>
      <c r="G56" s="40"/>
      <c r="H56" s="40"/>
      <c r="I56" s="40"/>
      <c r="J56" s="40"/>
      <c r="K56" s="40"/>
      <c r="L56" s="40"/>
      <c r="M56" s="40"/>
      <c r="N56" s="40"/>
      <c r="O56" s="40"/>
      <c r="P56" s="40"/>
      <c r="Q56" s="40"/>
      <c r="R56" s="40"/>
      <c r="S56" s="40"/>
      <c r="T56" s="40"/>
      <c r="U56" s="40"/>
      <c r="V56" s="40"/>
    </row>
    <row r="57" spans="1:22" x14ac:dyDescent="0.2">
      <c r="D57" s="40"/>
      <c r="E57" s="40"/>
      <c r="F57" s="40"/>
      <c r="G57" s="40"/>
      <c r="H57" s="40"/>
      <c r="I57" s="40"/>
      <c r="J57" s="40"/>
      <c r="K57" s="40"/>
      <c r="L57" s="40"/>
      <c r="M57" s="40"/>
      <c r="N57" s="40"/>
      <c r="O57" s="40"/>
      <c r="P57" s="40"/>
      <c r="Q57" s="40"/>
      <c r="R57" s="40"/>
      <c r="S57" s="40"/>
      <c r="T57" s="40"/>
      <c r="U57" s="40"/>
      <c r="V57" s="40"/>
    </row>
    <row r="58" spans="1:22" x14ac:dyDescent="0.2">
      <c r="D58" s="40"/>
      <c r="E58" s="40"/>
      <c r="F58" s="40"/>
      <c r="G58" s="40"/>
      <c r="H58" s="40"/>
      <c r="I58" s="40"/>
      <c r="J58" s="40"/>
      <c r="K58" s="40"/>
      <c r="L58" s="40"/>
      <c r="M58" s="40"/>
      <c r="N58" s="40"/>
      <c r="O58" s="40"/>
      <c r="P58" s="40"/>
      <c r="Q58" s="40"/>
      <c r="R58" s="40"/>
      <c r="S58" s="40"/>
      <c r="T58" s="40"/>
      <c r="U58" s="40"/>
      <c r="V58" s="40"/>
    </row>
    <row r="59" spans="1:22" x14ac:dyDescent="0.2">
      <c r="D59" s="40"/>
      <c r="E59" s="40"/>
      <c r="F59" s="40"/>
      <c r="G59" s="40"/>
      <c r="H59" s="40"/>
      <c r="I59" s="40"/>
      <c r="J59" s="40"/>
      <c r="K59" s="40"/>
      <c r="L59" s="40"/>
      <c r="M59" s="40"/>
      <c r="N59" s="40"/>
      <c r="O59" s="40"/>
      <c r="P59" s="40"/>
      <c r="Q59" s="40"/>
      <c r="R59" s="40"/>
      <c r="S59" s="40"/>
      <c r="T59" s="40"/>
      <c r="U59" s="40"/>
      <c r="V59" s="40"/>
    </row>
    <row r="60" spans="1:22" x14ac:dyDescent="0.2">
      <c r="D60" s="40"/>
      <c r="E60" s="40"/>
      <c r="F60" s="40"/>
      <c r="G60" s="40"/>
      <c r="H60" s="40"/>
      <c r="I60" s="40"/>
      <c r="J60" s="40"/>
      <c r="K60" s="40"/>
      <c r="L60" s="40"/>
      <c r="M60" s="40"/>
      <c r="N60" s="40"/>
      <c r="O60" s="40"/>
      <c r="P60" s="40"/>
      <c r="Q60" s="40"/>
      <c r="R60" s="40"/>
      <c r="S60" s="40"/>
      <c r="T60" s="40"/>
      <c r="U60" s="40"/>
      <c r="V60" s="40"/>
    </row>
    <row r="61" spans="1:22" x14ac:dyDescent="0.2">
      <c r="D61" s="40"/>
      <c r="E61" s="40"/>
      <c r="F61" s="40"/>
      <c r="G61" s="40"/>
      <c r="H61" s="40"/>
      <c r="I61" s="40"/>
      <c r="J61" s="40"/>
      <c r="K61" s="40"/>
      <c r="L61" s="40"/>
      <c r="M61" s="40"/>
      <c r="N61" s="40"/>
      <c r="O61" s="40"/>
      <c r="P61" s="40"/>
      <c r="Q61" s="40"/>
      <c r="R61" s="40"/>
      <c r="S61" s="40"/>
      <c r="T61" s="40"/>
      <c r="U61" s="40"/>
      <c r="V61" s="40"/>
    </row>
    <row r="62" spans="1:22" x14ac:dyDescent="0.2">
      <c r="D62" s="40"/>
      <c r="E62" s="40"/>
      <c r="F62" s="40"/>
      <c r="G62" s="40"/>
      <c r="H62" s="40"/>
      <c r="I62" s="40"/>
      <c r="J62" s="40"/>
      <c r="K62" s="40"/>
      <c r="L62" s="40"/>
      <c r="M62" s="40"/>
      <c r="N62" s="40"/>
      <c r="O62" s="40"/>
      <c r="P62" s="40"/>
      <c r="Q62" s="40"/>
      <c r="R62" s="40"/>
      <c r="S62" s="40"/>
      <c r="T62" s="40"/>
      <c r="U62" s="40"/>
      <c r="V62" s="40"/>
    </row>
    <row r="63" spans="1:22" x14ac:dyDescent="0.2">
      <c r="D63" s="40"/>
      <c r="E63" s="40"/>
      <c r="F63" s="40"/>
      <c r="G63" s="40"/>
      <c r="H63" s="40"/>
      <c r="I63" s="40"/>
      <c r="J63" s="40"/>
      <c r="K63" s="40"/>
      <c r="L63" s="40"/>
      <c r="M63" s="40"/>
      <c r="N63" s="40"/>
      <c r="O63" s="40"/>
      <c r="P63" s="40"/>
      <c r="Q63" s="40"/>
      <c r="R63" s="40"/>
      <c r="S63" s="40"/>
      <c r="T63" s="40"/>
      <c r="U63" s="40"/>
      <c r="V63" s="40"/>
    </row>
    <row r="64" spans="1:22" x14ac:dyDescent="0.2">
      <c r="D64" s="40"/>
      <c r="E64" s="40"/>
      <c r="F64" s="40"/>
      <c r="G64" s="40"/>
      <c r="H64" s="40"/>
      <c r="I64" s="40"/>
      <c r="J64" s="40"/>
      <c r="K64" s="40"/>
      <c r="L64" s="40"/>
      <c r="M64" s="40"/>
      <c r="N64" s="40"/>
      <c r="O64" s="40"/>
      <c r="P64" s="40"/>
      <c r="Q64" s="40"/>
      <c r="R64" s="40"/>
      <c r="S64" s="40"/>
      <c r="T64" s="40"/>
      <c r="U64" s="40"/>
      <c r="V64" s="40"/>
    </row>
    <row r="65" spans="4:22" x14ac:dyDescent="0.2">
      <c r="D65" s="40"/>
      <c r="E65" s="40"/>
      <c r="F65" s="40"/>
      <c r="G65" s="40"/>
      <c r="H65" s="40"/>
      <c r="I65" s="40"/>
      <c r="J65" s="40"/>
      <c r="K65" s="40"/>
      <c r="L65" s="40"/>
      <c r="M65" s="40"/>
      <c r="N65" s="40"/>
      <c r="O65" s="40"/>
      <c r="P65" s="40"/>
      <c r="Q65" s="40"/>
      <c r="R65" s="40"/>
      <c r="S65" s="40"/>
      <c r="T65" s="40"/>
      <c r="U65" s="40"/>
      <c r="V65" s="40"/>
    </row>
  </sheetData>
  <pageMargins left="0.5" right="0.5" top="0.5" bottom="0.75" header="0" footer="0.25"/>
  <pageSetup scale="58" fitToHeight="0" orientation="landscape" verticalDpi="1200" r:id="rId1"/>
  <headerFooter>
    <oddFooter>&amp;L&amp;F     &amp;A&amp;R&amp;P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3886E-E054-443B-BF40-EF2256DE0509}">
  <sheetPr>
    <pageSetUpPr fitToPage="1"/>
  </sheetPr>
  <dimension ref="A1:J43"/>
  <sheetViews>
    <sheetView zoomScaleNormal="100" workbookViewId="0"/>
  </sheetViews>
  <sheetFormatPr baseColWidth="10" defaultColWidth="9.1640625" defaultRowHeight="15" x14ac:dyDescent="0.2"/>
  <cols>
    <col min="1" max="1" width="31.5" style="22" bestFit="1" customWidth="1"/>
    <col min="2" max="2" width="12.5" style="22" bestFit="1" customWidth="1"/>
    <col min="3" max="3" width="16" style="22" bestFit="1" customWidth="1"/>
    <col min="4" max="5" width="14.5" style="22" bestFit="1" customWidth="1"/>
    <col min="6" max="6" width="16" style="22" bestFit="1" customWidth="1"/>
    <col min="7" max="7" width="15" style="22" bestFit="1" customWidth="1"/>
    <col min="8" max="8" width="2.83203125" style="22" customWidth="1"/>
    <col min="9" max="16384" width="9.1640625" style="22"/>
  </cols>
  <sheetData>
    <row r="1" spans="1:10" x14ac:dyDescent="0.2">
      <c r="A1" s="10" t="s">
        <v>0</v>
      </c>
    </row>
    <row r="2" spans="1:10" x14ac:dyDescent="0.2">
      <c r="A2" s="11" t="s">
        <v>47</v>
      </c>
    </row>
    <row r="3" spans="1:10" x14ac:dyDescent="0.2">
      <c r="A3" s="10" t="s">
        <v>109</v>
      </c>
      <c r="B3" s="10"/>
      <c r="C3" s="10"/>
      <c r="D3" s="10"/>
      <c r="E3" s="10"/>
      <c r="F3" s="10"/>
      <c r="G3" s="10"/>
      <c r="H3" s="10"/>
      <c r="I3" s="10"/>
      <c r="J3" s="10"/>
    </row>
    <row r="4" spans="1:10" x14ac:dyDescent="0.2">
      <c r="A4" s="10"/>
      <c r="B4" s="53"/>
      <c r="C4" s="53"/>
      <c r="D4" s="53"/>
      <c r="E4" s="53"/>
      <c r="F4" s="53"/>
      <c r="G4" s="53"/>
    </row>
    <row r="5" spans="1:10" ht="16" thickBot="1" x14ac:dyDescent="0.25">
      <c r="A5" s="10"/>
      <c r="B5" s="53"/>
      <c r="C5" s="53"/>
      <c r="D5" s="53"/>
      <c r="E5" s="53"/>
      <c r="F5" s="53"/>
      <c r="G5" s="53"/>
    </row>
    <row r="6" spans="1:10" x14ac:dyDescent="0.2">
      <c r="A6" s="54" t="s">
        <v>61</v>
      </c>
      <c r="B6" s="55">
        <v>-7219332</v>
      </c>
      <c r="C6" s="56"/>
      <c r="D6" s="56"/>
      <c r="E6" s="56"/>
      <c r="F6" s="57"/>
      <c r="G6" s="58"/>
    </row>
    <row r="7" spans="1:10" x14ac:dyDescent="0.2">
      <c r="A7" s="59" t="s">
        <v>62</v>
      </c>
      <c r="B7" s="60">
        <v>-241762</v>
      </c>
      <c r="C7" s="56"/>
      <c r="D7" s="56"/>
      <c r="E7" s="56"/>
      <c r="F7" s="57"/>
      <c r="G7" s="58"/>
    </row>
    <row r="8" spans="1:10" ht="16" thickBot="1" x14ac:dyDescent="0.25">
      <c r="A8" s="61" t="s">
        <v>63</v>
      </c>
      <c r="B8" s="62">
        <f>B6+B7</f>
        <v>-7461094</v>
      </c>
      <c r="C8" s="56"/>
      <c r="D8" s="56"/>
      <c r="E8" s="56"/>
      <c r="F8" s="57"/>
      <c r="G8" s="58"/>
    </row>
    <row r="9" spans="1:10" x14ac:dyDescent="0.2">
      <c r="B9" s="56"/>
      <c r="C9" s="56"/>
      <c r="D9" s="56"/>
      <c r="E9" s="56"/>
      <c r="F9" s="57"/>
      <c r="G9" s="58"/>
    </row>
    <row r="10" spans="1:10" ht="16" thickBot="1" x14ac:dyDescent="0.25"/>
    <row r="11" spans="1:10" ht="16.5" customHeight="1" thickBot="1" x14ac:dyDescent="0.25">
      <c r="B11" s="125" t="s">
        <v>64</v>
      </c>
      <c r="C11" s="126"/>
      <c r="D11" s="126"/>
      <c r="E11" s="125" t="s">
        <v>65</v>
      </c>
      <c r="F11" s="126"/>
      <c r="G11" s="127"/>
    </row>
    <row r="12" spans="1:10" ht="15.75" customHeight="1" x14ac:dyDescent="0.2">
      <c r="A12" s="63" t="s">
        <v>66</v>
      </c>
      <c r="B12" s="64"/>
      <c r="C12" s="65"/>
      <c r="D12" s="66" t="s">
        <v>67</v>
      </c>
      <c r="E12" s="67"/>
      <c r="F12" s="68" t="s">
        <v>68</v>
      </c>
      <c r="G12" s="69"/>
    </row>
    <row r="13" spans="1:10" ht="18" thickBot="1" x14ac:dyDescent="0.25">
      <c r="A13" s="70" t="s">
        <v>69</v>
      </c>
      <c r="B13" s="71" t="s">
        <v>70</v>
      </c>
      <c r="C13" s="71" t="s">
        <v>71</v>
      </c>
      <c r="D13" s="72" t="s">
        <v>72</v>
      </c>
      <c r="E13" s="71" t="s">
        <v>73</v>
      </c>
      <c r="F13" s="71" t="s">
        <v>74</v>
      </c>
      <c r="G13" s="72" t="s">
        <v>75</v>
      </c>
    </row>
    <row r="14" spans="1:10" x14ac:dyDescent="0.2">
      <c r="A14" s="73" t="s">
        <v>27</v>
      </c>
      <c r="B14" s="74"/>
      <c r="C14" s="68"/>
      <c r="D14" s="69"/>
      <c r="E14" s="68"/>
      <c r="F14" s="68"/>
      <c r="G14" s="69"/>
    </row>
    <row r="15" spans="1:10" x14ac:dyDescent="0.2">
      <c r="A15" s="75" t="s">
        <v>12</v>
      </c>
      <c r="B15" s="76">
        <f>SUM('MMG-1.1b'!L20)</f>
        <v>72546406.174351647</v>
      </c>
      <c r="C15" s="56">
        <f>SUM('MMG-1.1b'!L29)+SUM('MMG-1.1b'!L38)+SUM('MMG-1.1b'!L47)</f>
        <v>4991236.0346463751</v>
      </c>
      <c r="D15" s="77">
        <f>B15-C15</f>
        <v>67555170.139705271</v>
      </c>
      <c r="E15" s="78">
        <f>B$8*'MMG-1.1a'!G10</f>
        <v>-2004794.0205535979</v>
      </c>
      <c r="F15" s="79">
        <f t="shared" ref="F15:F22" si="0">ROUND(E15/D15,5)</f>
        <v>-2.9680000000000002E-2</v>
      </c>
      <c r="G15" s="80">
        <f>ROUND(F15*D15,2)</f>
        <v>-2005037.45</v>
      </c>
    </row>
    <row r="16" spans="1:10" x14ac:dyDescent="0.2">
      <c r="A16" s="75" t="s">
        <v>13</v>
      </c>
      <c r="B16" s="76">
        <f>SUM('MMG-1.1b'!L21)</f>
        <v>17135619.642511871</v>
      </c>
      <c r="C16" s="56">
        <f>SUM('MMG-1.1b'!L30)+SUM('MMG-1.1b'!L39)+SUM('MMG-1.1b'!L48)</f>
        <v>213751.39053629298</v>
      </c>
      <c r="D16" s="77">
        <f t="shared" ref="D16:D20" si="1">B16-C16</f>
        <v>16921868.251975577</v>
      </c>
      <c r="E16" s="78">
        <f>B$8*'MMG-1.1a'!G11</f>
        <v>-518510.37699855992</v>
      </c>
      <c r="F16" s="79">
        <f t="shared" si="0"/>
        <v>-3.0640000000000001E-2</v>
      </c>
      <c r="G16" s="80">
        <f t="shared" ref="G16:G22" si="2">ROUND(F16*D16,2)</f>
        <v>-518486.04</v>
      </c>
    </row>
    <row r="17" spans="1:8" x14ac:dyDescent="0.2">
      <c r="A17" s="75" t="s">
        <v>76</v>
      </c>
      <c r="B17" s="76">
        <f>SUM('MMG-1.1b'!L22)</f>
        <v>136063319.85636577</v>
      </c>
      <c r="C17" s="56">
        <f>SUM('MMG-1.1b'!L31)+SUM('MMG-1.1b'!L40)+SUM('MMG-1.1b'!L49)</f>
        <v>6566071.8129026974</v>
      </c>
      <c r="D17" s="77">
        <f t="shared" si="1"/>
        <v>129497248.04346307</v>
      </c>
      <c r="E17" s="78">
        <f>B$8*'MMG-1.1a'!G12</f>
        <v>-3839508.0700298017</v>
      </c>
      <c r="F17" s="79">
        <f t="shared" si="0"/>
        <v>-2.9649999999999999E-2</v>
      </c>
      <c r="G17" s="80">
        <f t="shared" si="2"/>
        <v>-3839593.4</v>
      </c>
    </row>
    <row r="18" spans="1:8" x14ac:dyDescent="0.2">
      <c r="A18" s="75" t="s">
        <v>15</v>
      </c>
      <c r="B18" s="76">
        <f>SUM('MMG-1.1b'!L23)</f>
        <v>41010801.146323428</v>
      </c>
      <c r="C18" s="56">
        <f>SUM('MMG-1.1b'!L32)+SUM('MMG-1.1b'!L41)+SUM('MMG-1.1b'!L50)</f>
        <v>1684546.8902500002</v>
      </c>
      <c r="D18" s="77">
        <f t="shared" si="1"/>
        <v>39326254.25607343</v>
      </c>
      <c r="E18" s="78">
        <f>B$8*'MMG-1.1a'!G13</f>
        <v>-1067406.2028664169</v>
      </c>
      <c r="F18" s="79">
        <f t="shared" si="0"/>
        <v>-2.7140000000000001E-2</v>
      </c>
      <c r="G18" s="80">
        <f t="shared" si="2"/>
        <v>-1067314.54</v>
      </c>
    </row>
    <row r="19" spans="1:8" x14ac:dyDescent="0.2">
      <c r="A19" s="75" t="s">
        <v>16</v>
      </c>
      <c r="B19" s="76">
        <f>SUM('MMG-1.1b'!L24)</f>
        <v>350416.35033404891</v>
      </c>
      <c r="C19" s="56">
        <f>SUM('MMG-1.1b'!L33)+SUM('MMG-1.1b'!L42)+SUM('MMG-1.1b'!L51)</f>
        <v>0</v>
      </c>
      <c r="D19" s="77">
        <f t="shared" si="1"/>
        <v>350416.35033404891</v>
      </c>
      <c r="E19" s="78">
        <f>B$8*'MMG-1.1a'!G14</f>
        <v>-9845.6903298136112</v>
      </c>
      <c r="F19" s="79">
        <f t="shared" si="0"/>
        <v>-2.81E-2</v>
      </c>
      <c r="G19" s="80">
        <f t="shared" si="2"/>
        <v>-9846.7000000000007</v>
      </c>
    </row>
    <row r="20" spans="1:8" ht="16" thickBot="1" x14ac:dyDescent="0.25">
      <c r="A20" s="75" t="s">
        <v>17</v>
      </c>
      <c r="B20" s="81">
        <f>SUM('MMG-1.1b'!L25)</f>
        <v>711169</v>
      </c>
      <c r="C20" s="82">
        <f>SUM('MMG-1.1b'!L34)+SUM('MMG-1.1b'!L43)+SUM('MMG-1.1b'!L52)</f>
        <v>0</v>
      </c>
      <c r="D20" s="83">
        <f t="shared" si="1"/>
        <v>711169</v>
      </c>
      <c r="E20" s="84">
        <f>B$8*'MMG-1.1a'!G15</f>
        <v>-21029.639221810317</v>
      </c>
      <c r="F20" s="85">
        <f t="shared" si="0"/>
        <v>-2.9569999999999999E-2</v>
      </c>
      <c r="G20" s="86">
        <f t="shared" si="2"/>
        <v>-21029.27</v>
      </c>
    </row>
    <row r="21" spans="1:8" ht="16" thickBot="1" x14ac:dyDescent="0.25">
      <c r="A21" s="87" t="s">
        <v>77</v>
      </c>
      <c r="B21" s="81">
        <f>SUM(B15:B20)</f>
        <v>267817732.16988677</v>
      </c>
      <c r="C21" s="82">
        <f>SUM(C15:C20)</f>
        <v>13455606.128335368</v>
      </c>
      <c r="D21" s="83">
        <f>SUM(D15:D20)</f>
        <v>254362126.04155141</v>
      </c>
      <c r="E21" s="88">
        <f>SUM(E15:E20)</f>
        <v>-7461094</v>
      </c>
      <c r="F21" s="37"/>
      <c r="G21" s="89">
        <f>SUM(G15:G20)</f>
        <v>-7461307.3999999994</v>
      </c>
    </row>
    <row r="22" spans="1:8" ht="16" thickBot="1" x14ac:dyDescent="0.25">
      <c r="A22" s="87" t="s">
        <v>78</v>
      </c>
      <c r="B22" s="90">
        <f>B21</f>
        <v>267817732.16988677</v>
      </c>
      <c r="C22" s="91">
        <f>C21</f>
        <v>13455606.128335368</v>
      </c>
      <c r="D22" s="91">
        <f>D21</f>
        <v>254362126.04155141</v>
      </c>
      <c r="E22" s="92">
        <f>E21</f>
        <v>-7461094</v>
      </c>
      <c r="F22" s="93">
        <f t="shared" si="0"/>
        <v>-2.9329999999999998E-2</v>
      </c>
      <c r="G22" s="94">
        <f t="shared" si="2"/>
        <v>-7460441.1600000001</v>
      </c>
    </row>
    <row r="23" spans="1:8" ht="15" customHeight="1" x14ac:dyDescent="0.2">
      <c r="A23" s="128" t="s">
        <v>79</v>
      </c>
      <c r="B23" s="128"/>
      <c r="C23" s="128"/>
      <c r="D23" s="128"/>
      <c r="E23" s="128"/>
      <c r="F23" s="128"/>
      <c r="G23" s="128"/>
    </row>
    <row r="24" spans="1:8" ht="17" x14ac:dyDescent="0.2">
      <c r="A24" s="129" t="s">
        <v>80</v>
      </c>
      <c r="B24" s="129"/>
      <c r="C24" s="129"/>
      <c r="D24" s="129"/>
      <c r="E24" s="129"/>
      <c r="F24" s="129"/>
      <c r="G24" s="129"/>
    </row>
    <row r="25" spans="1:8" x14ac:dyDescent="0.2">
      <c r="A25" s="128" t="s">
        <v>81</v>
      </c>
      <c r="B25" s="128"/>
      <c r="C25" s="128"/>
      <c r="D25" s="128"/>
      <c r="E25" s="128"/>
      <c r="F25" s="128"/>
      <c r="G25" s="128"/>
    </row>
    <row r="26" spans="1:8" ht="15" customHeight="1" x14ac:dyDescent="0.2">
      <c r="A26" s="133" t="s">
        <v>82</v>
      </c>
      <c r="B26" s="133"/>
      <c r="C26" s="133"/>
      <c r="D26" s="133"/>
      <c r="E26" s="133"/>
      <c r="F26" s="133"/>
      <c r="G26" s="133"/>
      <c r="H26" s="95"/>
    </row>
    <row r="27" spans="1:8" ht="15" customHeight="1" x14ac:dyDescent="0.2">
      <c r="A27" s="133"/>
      <c r="B27" s="133"/>
      <c r="C27" s="133"/>
      <c r="D27" s="133"/>
      <c r="E27" s="133"/>
      <c r="F27" s="133"/>
      <c r="G27" s="133"/>
      <c r="H27" s="95"/>
    </row>
    <row r="28" spans="1:8" ht="16" thickBot="1" x14ac:dyDescent="0.25"/>
    <row r="29" spans="1:8" x14ac:dyDescent="0.2">
      <c r="A29" s="63" t="str">
        <f>A12</f>
        <v xml:space="preserve">Adjustment Period: </v>
      </c>
      <c r="B29" s="68" t="s">
        <v>83</v>
      </c>
      <c r="C29" s="68" t="s">
        <v>68</v>
      </c>
      <c r="D29" s="69" t="s">
        <v>83</v>
      </c>
    </row>
    <row r="30" spans="1:8" ht="16" thickBot="1" x14ac:dyDescent="0.25">
      <c r="A30" s="96" t="str">
        <f>A13</f>
        <v>September 2024</v>
      </c>
      <c r="B30" s="71" t="s">
        <v>28</v>
      </c>
      <c r="C30" s="71" t="s">
        <v>74</v>
      </c>
      <c r="D30" s="72" t="s">
        <v>84</v>
      </c>
    </row>
    <row r="31" spans="1:8" x14ac:dyDescent="0.2">
      <c r="A31" s="97" t="s">
        <v>12</v>
      </c>
      <c r="B31" s="98"/>
      <c r="D31" s="99"/>
    </row>
    <row r="32" spans="1:8" x14ac:dyDescent="0.2">
      <c r="A32" s="75" t="s">
        <v>78</v>
      </c>
      <c r="B32" s="98">
        <v>500</v>
      </c>
      <c r="C32" s="100">
        <f>F22</f>
        <v>-2.9329999999999998E-2</v>
      </c>
      <c r="D32" s="101">
        <f>ROUND(B32*C32,2)</f>
        <v>-14.67</v>
      </c>
    </row>
    <row r="33" spans="1:4" x14ac:dyDescent="0.2">
      <c r="A33" s="75" t="s">
        <v>27</v>
      </c>
      <c r="B33" s="98">
        <v>500</v>
      </c>
      <c r="C33" s="100">
        <f>F15</f>
        <v>-2.9680000000000002E-2</v>
      </c>
      <c r="D33" s="101">
        <f>ROUND(B33*C33,2)</f>
        <v>-14.84</v>
      </c>
    </row>
    <row r="34" spans="1:4" x14ac:dyDescent="0.2">
      <c r="A34" s="97" t="s">
        <v>85</v>
      </c>
      <c r="B34" s="98"/>
      <c r="D34" s="99"/>
    </row>
    <row r="35" spans="1:4" x14ac:dyDescent="0.2">
      <c r="A35" s="75" t="s">
        <v>78</v>
      </c>
      <c r="B35" s="98">
        <v>1100</v>
      </c>
      <c r="C35" s="100">
        <f>F22</f>
        <v>-2.9329999999999998E-2</v>
      </c>
      <c r="D35" s="101">
        <f>ROUND(B35*C35,2)</f>
        <v>-32.26</v>
      </c>
    </row>
    <row r="36" spans="1:4" ht="16" thickBot="1" x14ac:dyDescent="0.25">
      <c r="A36" s="102" t="s">
        <v>27</v>
      </c>
      <c r="B36" s="103">
        <v>1100</v>
      </c>
      <c r="C36" s="104">
        <f>F16</f>
        <v>-3.0640000000000001E-2</v>
      </c>
      <c r="D36" s="105">
        <f>ROUND(B36*C36,2)</f>
        <v>-33.700000000000003</v>
      </c>
    </row>
    <row r="38" spans="1:4" x14ac:dyDescent="0.2">
      <c r="A38" s="41" t="s">
        <v>86</v>
      </c>
      <c r="B38" s="134" t="s">
        <v>87</v>
      </c>
      <c r="C38" s="135"/>
    </row>
    <row r="39" spans="1:4" x14ac:dyDescent="0.2">
      <c r="A39" s="45" t="s">
        <v>88</v>
      </c>
      <c r="B39" s="129" t="s">
        <v>89</v>
      </c>
      <c r="C39" s="130"/>
    </row>
    <row r="40" spans="1:4" x14ac:dyDescent="0.2">
      <c r="A40" s="45" t="s">
        <v>90</v>
      </c>
      <c r="B40" s="129" t="s">
        <v>91</v>
      </c>
      <c r="C40" s="130"/>
    </row>
    <row r="41" spans="1:4" x14ac:dyDescent="0.2">
      <c r="A41" s="45" t="s">
        <v>92</v>
      </c>
      <c r="B41" s="129" t="s">
        <v>93</v>
      </c>
      <c r="C41" s="130"/>
    </row>
    <row r="42" spans="1:4" x14ac:dyDescent="0.2">
      <c r="A42" s="45" t="s">
        <v>94</v>
      </c>
      <c r="B42" s="129" t="s">
        <v>95</v>
      </c>
      <c r="C42" s="130"/>
    </row>
    <row r="43" spans="1:4" x14ac:dyDescent="0.2">
      <c r="A43" s="48" t="s">
        <v>17</v>
      </c>
      <c r="B43" s="131" t="s">
        <v>96</v>
      </c>
      <c r="C43" s="132"/>
    </row>
  </sheetData>
  <mergeCells count="12">
    <mergeCell ref="B43:C43"/>
    <mergeCell ref="A25:G25"/>
    <mergeCell ref="A26:G27"/>
    <mergeCell ref="B38:C38"/>
    <mergeCell ref="B39:C39"/>
    <mergeCell ref="B40:C40"/>
    <mergeCell ref="B41:C41"/>
    <mergeCell ref="B11:D11"/>
    <mergeCell ref="E11:G11"/>
    <mergeCell ref="A23:G23"/>
    <mergeCell ref="A24:G24"/>
    <mergeCell ref="B42:C42"/>
  </mergeCells>
  <pageMargins left="0.5" right="0.5" top="0.5" bottom="0.75" header="0" footer="0.25"/>
  <pageSetup scale="79" fitToHeight="0" orientation="portrait" verticalDpi="1200" r:id="rId1"/>
  <headerFooter>
    <oddFooter>&amp;L&amp;F     &amp;A&amp;R&amp;P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F956-885E-47E4-9CF4-71AE291A8778}">
  <sheetPr>
    <pageSetUpPr fitToPage="1"/>
  </sheetPr>
  <dimension ref="A1:J43"/>
  <sheetViews>
    <sheetView zoomScaleNormal="100" workbookViewId="0"/>
  </sheetViews>
  <sheetFormatPr baseColWidth="10" defaultColWidth="9.1640625" defaultRowHeight="15" x14ac:dyDescent="0.2"/>
  <cols>
    <col min="1" max="1" width="31.5" style="22" bestFit="1" customWidth="1"/>
    <col min="2" max="2" width="12.5" style="22" bestFit="1" customWidth="1"/>
    <col min="3" max="3" width="16" style="22" bestFit="1" customWidth="1"/>
    <col min="4" max="5" width="14.5" style="22" bestFit="1" customWidth="1"/>
    <col min="6" max="6" width="16" style="22" bestFit="1" customWidth="1"/>
    <col min="7" max="7" width="15" style="22" bestFit="1" customWidth="1"/>
    <col min="8" max="8" width="2.5" style="22" customWidth="1"/>
    <col min="9" max="16384" width="9.1640625" style="22"/>
  </cols>
  <sheetData>
    <row r="1" spans="1:10" x14ac:dyDescent="0.2">
      <c r="A1" s="10" t="s">
        <v>0</v>
      </c>
    </row>
    <row r="2" spans="1:10" x14ac:dyDescent="0.2">
      <c r="A2" s="11" t="s">
        <v>47</v>
      </c>
    </row>
    <row r="3" spans="1:10" x14ac:dyDescent="0.2">
      <c r="A3" s="10" t="s">
        <v>110</v>
      </c>
      <c r="B3" s="10"/>
      <c r="C3" s="10"/>
      <c r="D3" s="10"/>
      <c r="E3" s="10"/>
      <c r="F3" s="10"/>
      <c r="G3" s="10"/>
      <c r="H3" s="10"/>
      <c r="I3" s="10"/>
      <c r="J3" s="10"/>
    </row>
    <row r="4" spans="1:10" x14ac:dyDescent="0.2">
      <c r="A4" s="10"/>
      <c r="B4" s="53"/>
      <c r="C4" s="53"/>
      <c r="D4" s="53"/>
      <c r="E4" s="53"/>
      <c r="F4" s="53"/>
      <c r="G4" s="53"/>
    </row>
    <row r="5" spans="1:10" ht="16" thickBot="1" x14ac:dyDescent="0.25">
      <c r="A5" s="10"/>
      <c r="B5" s="53"/>
      <c r="C5" s="53"/>
      <c r="D5" s="53"/>
      <c r="E5" s="53"/>
      <c r="F5" s="53"/>
      <c r="G5" s="53"/>
    </row>
    <row r="6" spans="1:10" x14ac:dyDescent="0.2">
      <c r="A6" s="54" t="s">
        <v>61</v>
      </c>
      <c r="B6" s="55">
        <v>-7219332</v>
      </c>
      <c r="C6" s="56"/>
      <c r="D6" s="56"/>
      <c r="E6" s="56"/>
      <c r="F6" s="57"/>
      <c r="G6" s="58"/>
    </row>
    <row r="7" spans="1:10" x14ac:dyDescent="0.2">
      <c r="A7" s="59" t="s">
        <v>62</v>
      </c>
      <c r="B7" s="60">
        <v>-269120</v>
      </c>
      <c r="C7" s="56"/>
      <c r="D7" s="56"/>
      <c r="E7" s="56"/>
      <c r="F7" s="57"/>
      <c r="G7" s="58"/>
    </row>
    <row r="8" spans="1:10" ht="16" thickBot="1" x14ac:dyDescent="0.25">
      <c r="A8" s="61" t="s">
        <v>63</v>
      </c>
      <c r="B8" s="62">
        <f>B6+B7</f>
        <v>-7488452</v>
      </c>
      <c r="C8" s="56"/>
      <c r="D8" s="56"/>
      <c r="E8" s="56"/>
      <c r="F8" s="57"/>
      <c r="G8" s="58"/>
    </row>
    <row r="9" spans="1:10" x14ac:dyDescent="0.2">
      <c r="B9" s="56"/>
      <c r="C9" s="56"/>
      <c r="D9" s="56"/>
      <c r="E9" s="56"/>
      <c r="F9" s="57"/>
      <c r="G9" s="58"/>
    </row>
    <row r="10" spans="1:10" ht="16" thickBot="1" x14ac:dyDescent="0.25"/>
    <row r="11" spans="1:10" ht="16.5" customHeight="1" thickBot="1" x14ac:dyDescent="0.25">
      <c r="B11" s="125" t="s">
        <v>97</v>
      </c>
      <c r="C11" s="126"/>
      <c r="D11" s="126"/>
      <c r="E11" s="125" t="s">
        <v>65</v>
      </c>
      <c r="F11" s="126"/>
      <c r="G11" s="127"/>
    </row>
    <row r="12" spans="1:10" ht="15.75" customHeight="1" x14ac:dyDescent="0.2">
      <c r="A12" s="63" t="s">
        <v>66</v>
      </c>
      <c r="B12" s="64"/>
      <c r="C12" s="65"/>
      <c r="D12" s="66" t="s">
        <v>67</v>
      </c>
      <c r="E12" s="67"/>
      <c r="F12" s="68" t="s">
        <v>68</v>
      </c>
      <c r="G12" s="69"/>
    </row>
    <row r="13" spans="1:10" ht="18" thickBot="1" x14ac:dyDescent="0.25">
      <c r="A13" s="70" t="s">
        <v>98</v>
      </c>
      <c r="B13" s="71" t="s">
        <v>70</v>
      </c>
      <c r="C13" s="71" t="s">
        <v>71</v>
      </c>
      <c r="D13" s="72" t="s">
        <v>72</v>
      </c>
      <c r="E13" s="71" t="s">
        <v>73</v>
      </c>
      <c r="F13" s="71" t="s">
        <v>74</v>
      </c>
      <c r="G13" s="72" t="s">
        <v>75</v>
      </c>
    </row>
    <row r="14" spans="1:10" x14ac:dyDescent="0.2">
      <c r="A14" s="73" t="s">
        <v>27</v>
      </c>
      <c r="B14" s="74"/>
      <c r="C14" s="68"/>
      <c r="D14" s="69"/>
      <c r="E14" s="68"/>
      <c r="F14" s="68"/>
      <c r="G14" s="69"/>
    </row>
    <row r="15" spans="1:10" x14ac:dyDescent="0.2">
      <c r="A15" s="75" t="s">
        <v>12</v>
      </c>
      <c r="B15" s="76">
        <f>SUM('MMG-1.1b'!M20)</f>
        <v>59906925.762668446</v>
      </c>
      <c r="C15" s="56">
        <f>SUM('MMG-1.1b'!M29)+SUM('MMG-1.1b'!M38)+SUM('MMG-1.1b'!M47)</f>
        <v>3796726.5296589136</v>
      </c>
      <c r="D15" s="77">
        <f>B15-C15</f>
        <v>56110199.233009532</v>
      </c>
      <c r="E15" s="78">
        <f>B$8*'MMG-1.1a'!G10</f>
        <v>-2012145.1080501908</v>
      </c>
      <c r="F15" s="79">
        <f t="shared" ref="F15:F22" si="0">ROUND(E15/D15,5)</f>
        <v>-3.5860000000000003E-2</v>
      </c>
      <c r="G15" s="80">
        <f>ROUND(F15*D15,2)</f>
        <v>-2012111.74</v>
      </c>
    </row>
    <row r="16" spans="1:10" x14ac:dyDescent="0.2">
      <c r="A16" s="75" t="s">
        <v>13</v>
      </c>
      <c r="B16" s="76">
        <f>SUM('MMG-1.1b'!M21)</f>
        <v>16414173.482495259</v>
      </c>
      <c r="C16" s="56">
        <f>SUM('MMG-1.1b'!M30)+SUM('MMG-1.1b'!M39)+SUM('MMG-1.1b'!M48)</f>
        <v>168442.16400156901</v>
      </c>
      <c r="D16" s="77">
        <f t="shared" ref="D16:D20" si="1">B16-C16</f>
        <v>16245731.31849369</v>
      </c>
      <c r="E16" s="78">
        <f>B$8*'MMG-1.1a'!G11</f>
        <v>-520411.62725675618</v>
      </c>
      <c r="F16" s="79">
        <f t="shared" si="0"/>
        <v>-3.2030000000000003E-2</v>
      </c>
      <c r="G16" s="80">
        <f t="shared" ref="G16:G22" si="2">ROUND(F16*D16,2)</f>
        <v>-520350.77</v>
      </c>
    </row>
    <row r="17" spans="1:8" x14ac:dyDescent="0.2">
      <c r="A17" s="75" t="s">
        <v>76</v>
      </c>
      <c r="B17" s="76">
        <f>SUM('MMG-1.1b'!M22)</f>
        <v>130418914.75914548</v>
      </c>
      <c r="C17" s="56">
        <f>SUM('MMG-1.1b'!M31)+SUM('MMG-1.1b'!M40)+SUM('MMG-1.1b'!M49)</f>
        <v>5854872.6758101936</v>
      </c>
      <c r="D17" s="77">
        <f t="shared" si="1"/>
        <v>124564042.0833353</v>
      </c>
      <c r="E17" s="78">
        <f>B$8*'MMG-1.1a'!G12</f>
        <v>-3853586.603523667</v>
      </c>
      <c r="F17" s="79">
        <f t="shared" si="0"/>
        <v>-3.0939999999999999E-2</v>
      </c>
      <c r="G17" s="80">
        <f t="shared" si="2"/>
        <v>-3854011.46</v>
      </c>
    </row>
    <row r="18" spans="1:8" x14ac:dyDescent="0.2">
      <c r="A18" s="75" t="s">
        <v>15</v>
      </c>
      <c r="B18" s="76">
        <f>SUM('MMG-1.1b'!M23)</f>
        <v>38349688.810197532</v>
      </c>
      <c r="C18" s="56">
        <f>SUM('MMG-1.1b'!M32)+SUM('MMG-1.1b'!M41)+SUM('MMG-1.1b'!M50)</f>
        <v>1559735.1349999988</v>
      </c>
      <c r="D18" s="77">
        <f t="shared" si="1"/>
        <v>36789953.675197534</v>
      </c>
      <c r="E18" s="78">
        <f>B$8*'MMG-1.1a'!G13</f>
        <v>-1071320.1193641878</v>
      </c>
      <c r="F18" s="79">
        <f t="shared" si="0"/>
        <v>-2.912E-2</v>
      </c>
      <c r="G18" s="80">
        <f t="shared" si="2"/>
        <v>-1071323.45</v>
      </c>
    </row>
    <row r="19" spans="1:8" x14ac:dyDescent="0.2">
      <c r="A19" s="75" t="s">
        <v>16</v>
      </c>
      <c r="B19" s="76">
        <f>SUM('MMG-1.1b'!M24)</f>
        <v>356463.43427251419</v>
      </c>
      <c r="C19" s="56">
        <f>SUM('MMG-1.1b'!M33)+SUM('MMG-1.1b'!M42)+SUM('MMG-1.1b'!M51)</f>
        <v>0</v>
      </c>
      <c r="D19" s="77">
        <f t="shared" si="1"/>
        <v>356463.43427251419</v>
      </c>
      <c r="E19" s="78">
        <f>B$8*'MMG-1.1a'!G14</f>
        <v>-9881.7920591368238</v>
      </c>
      <c r="F19" s="79">
        <f t="shared" si="0"/>
        <v>-2.7720000000000002E-2</v>
      </c>
      <c r="G19" s="80">
        <f t="shared" si="2"/>
        <v>-9881.17</v>
      </c>
    </row>
    <row r="20" spans="1:8" ht="16" thickBot="1" x14ac:dyDescent="0.25">
      <c r="A20" s="75" t="s">
        <v>17</v>
      </c>
      <c r="B20" s="81">
        <f>SUM('MMG-1.1b'!M25)</f>
        <v>673055</v>
      </c>
      <c r="C20" s="82">
        <f>SUM('MMG-1.1b'!M34)+SUM('MMG-1.1b'!M43)+SUM('MMG-1.1b'!M52)</f>
        <v>0</v>
      </c>
      <c r="D20" s="83">
        <f t="shared" si="1"/>
        <v>673055</v>
      </c>
      <c r="E20" s="84">
        <f>B$8*'MMG-1.1a'!G15</f>
        <v>-21106.749746061894</v>
      </c>
      <c r="F20" s="85">
        <f t="shared" si="0"/>
        <v>-3.1359999999999999E-2</v>
      </c>
      <c r="G20" s="86">
        <f t="shared" si="2"/>
        <v>-21107</v>
      </c>
    </row>
    <row r="21" spans="1:8" ht="16" thickBot="1" x14ac:dyDescent="0.25">
      <c r="A21" s="87" t="s">
        <v>77</v>
      </c>
      <c r="B21" s="81">
        <f>SUM(B15:B20)</f>
        <v>246119221.24877924</v>
      </c>
      <c r="C21" s="82">
        <f>SUM(C15:C20)</f>
        <v>11379776.504470676</v>
      </c>
      <c r="D21" s="83">
        <f>SUM(D15:D20)</f>
        <v>234739444.74430859</v>
      </c>
      <c r="E21" s="88">
        <f>SUM(E15:E20)</f>
        <v>-7488452.0000000009</v>
      </c>
      <c r="F21" s="37"/>
      <c r="G21" s="89">
        <f>SUM(G15:G20)</f>
        <v>-7488785.5899999999</v>
      </c>
    </row>
    <row r="22" spans="1:8" ht="16" thickBot="1" x14ac:dyDescent="0.25">
      <c r="A22" s="87" t="s">
        <v>78</v>
      </c>
      <c r="B22" s="90">
        <f>B21</f>
        <v>246119221.24877924</v>
      </c>
      <c r="C22" s="91">
        <f>C21</f>
        <v>11379776.504470676</v>
      </c>
      <c r="D22" s="91">
        <f>D21</f>
        <v>234739444.74430859</v>
      </c>
      <c r="E22" s="92">
        <f>E21</f>
        <v>-7488452.0000000009</v>
      </c>
      <c r="F22" s="93">
        <f t="shared" si="0"/>
        <v>-3.1899999999999998E-2</v>
      </c>
      <c r="G22" s="94">
        <f t="shared" si="2"/>
        <v>-7488188.29</v>
      </c>
    </row>
    <row r="23" spans="1:8" ht="15" customHeight="1" x14ac:dyDescent="0.2">
      <c r="A23" s="128" t="s">
        <v>79</v>
      </c>
      <c r="B23" s="128"/>
      <c r="C23" s="128"/>
      <c r="D23" s="128"/>
      <c r="E23" s="128"/>
      <c r="F23" s="128"/>
      <c r="G23" s="128"/>
    </row>
    <row r="24" spans="1:8" ht="17" x14ac:dyDescent="0.2">
      <c r="A24" s="129" t="s">
        <v>80</v>
      </c>
      <c r="B24" s="129"/>
      <c r="C24" s="129"/>
      <c r="D24" s="129"/>
      <c r="E24" s="129"/>
      <c r="F24" s="129"/>
      <c r="G24" s="129"/>
    </row>
    <row r="25" spans="1:8" x14ac:dyDescent="0.2">
      <c r="A25" s="128" t="s">
        <v>81</v>
      </c>
      <c r="B25" s="128"/>
      <c r="C25" s="128"/>
      <c r="D25" s="128"/>
      <c r="E25" s="128"/>
      <c r="F25" s="128"/>
      <c r="G25" s="128"/>
    </row>
    <row r="26" spans="1:8" ht="15" customHeight="1" x14ac:dyDescent="0.2">
      <c r="A26" s="133" t="s">
        <v>82</v>
      </c>
      <c r="B26" s="133"/>
      <c r="C26" s="133"/>
      <c r="D26" s="133"/>
      <c r="E26" s="133"/>
      <c r="F26" s="133"/>
      <c r="G26" s="133"/>
      <c r="H26" s="95"/>
    </row>
    <row r="27" spans="1:8" ht="15" customHeight="1" x14ac:dyDescent="0.2">
      <c r="A27" s="133"/>
      <c r="B27" s="133"/>
      <c r="C27" s="133"/>
      <c r="D27" s="133"/>
      <c r="E27" s="133"/>
      <c r="F27" s="133"/>
      <c r="G27" s="133"/>
      <c r="H27" s="95"/>
    </row>
    <row r="28" spans="1:8" ht="16" thickBot="1" x14ac:dyDescent="0.25"/>
    <row r="29" spans="1:8" x14ac:dyDescent="0.2">
      <c r="A29" s="63" t="str">
        <f>A12</f>
        <v xml:space="preserve">Adjustment Period: </v>
      </c>
      <c r="B29" s="68" t="s">
        <v>83</v>
      </c>
      <c r="C29" s="68" t="s">
        <v>68</v>
      </c>
      <c r="D29" s="69" t="s">
        <v>83</v>
      </c>
    </row>
    <row r="30" spans="1:8" ht="16" thickBot="1" x14ac:dyDescent="0.25">
      <c r="A30" s="96" t="str">
        <f>A13</f>
        <v>October 2024</v>
      </c>
      <c r="B30" s="71" t="s">
        <v>28</v>
      </c>
      <c r="C30" s="71" t="s">
        <v>74</v>
      </c>
      <c r="D30" s="72" t="s">
        <v>84</v>
      </c>
    </row>
    <row r="31" spans="1:8" x14ac:dyDescent="0.2">
      <c r="A31" s="97" t="s">
        <v>12</v>
      </c>
      <c r="B31" s="98"/>
      <c r="D31" s="99"/>
    </row>
    <row r="32" spans="1:8" x14ac:dyDescent="0.2">
      <c r="A32" s="75" t="s">
        <v>78</v>
      </c>
      <c r="B32" s="98">
        <v>500</v>
      </c>
      <c r="C32" s="100">
        <f>F22</f>
        <v>-3.1899999999999998E-2</v>
      </c>
      <c r="D32" s="101">
        <f>ROUND(B32*C32,2)</f>
        <v>-15.95</v>
      </c>
    </row>
    <row r="33" spans="1:4" x14ac:dyDescent="0.2">
      <c r="A33" s="75" t="s">
        <v>27</v>
      </c>
      <c r="B33" s="98">
        <v>500</v>
      </c>
      <c r="C33" s="100">
        <f>F15</f>
        <v>-3.5860000000000003E-2</v>
      </c>
      <c r="D33" s="101">
        <f>ROUND(B33*C33,2)</f>
        <v>-17.93</v>
      </c>
    </row>
    <row r="34" spans="1:4" x14ac:dyDescent="0.2">
      <c r="A34" s="97" t="s">
        <v>85</v>
      </c>
      <c r="B34" s="98"/>
      <c r="D34" s="99"/>
    </row>
    <row r="35" spans="1:4" x14ac:dyDescent="0.2">
      <c r="A35" s="75" t="s">
        <v>78</v>
      </c>
      <c r="B35" s="98">
        <v>1100</v>
      </c>
      <c r="C35" s="100">
        <f>F22</f>
        <v>-3.1899999999999998E-2</v>
      </c>
      <c r="D35" s="101">
        <f>ROUND(B35*C35,2)</f>
        <v>-35.090000000000003</v>
      </c>
    </row>
    <row r="36" spans="1:4" ht="16" thickBot="1" x14ac:dyDescent="0.25">
      <c r="A36" s="102" t="s">
        <v>27</v>
      </c>
      <c r="B36" s="103">
        <v>1100</v>
      </c>
      <c r="C36" s="104">
        <f>F16</f>
        <v>-3.2030000000000003E-2</v>
      </c>
      <c r="D36" s="105">
        <f>ROUND(B36*C36,2)</f>
        <v>-35.229999999999997</v>
      </c>
    </row>
    <row r="38" spans="1:4" x14ac:dyDescent="0.2">
      <c r="A38" s="41" t="s">
        <v>86</v>
      </c>
      <c r="B38" s="134" t="s">
        <v>87</v>
      </c>
      <c r="C38" s="135"/>
    </row>
    <row r="39" spans="1:4" x14ac:dyDescent="0.2">
      <c r="A39" s="45" t="s">
        <v>88</v>
      </c>
      <c r="B39" s="129" t="s">
        <v>89</v>
      </c>
      <c r="C39" s="130"/>
    </row>
    <row r="40" spans="1:4" x14ac:dyDescent="0.2">
      <c r="A40" s="45" t="s">
        <v>90</v>
      </c>
      <c r="B40" s="129" t="s">
        <v>91</v>
      </c>
      <c r="C40" s="130"/>
    </row>
    <row r="41" spans="1:4" x14ac:dyDescent="0.2">
      <c r="A41" s="45" t="s">
        <v>92</v>
      </c>
      <c r="B41" s="129" t="s">
        <v>93</v>
      </c>
      <c r="C41" s="130"/>
    </row>
    <row r="42" spans="1:4" x14ac:dyDescent="0.2">
      <c r="A42" s="45" t="s">
        <v>94</v>
      </c>
      <c r="B42" s="129" t="s">
        <v>95</v>
      </c>
      <c r="C42" s="130"/>
    </row>
    <row r="43" spans="1:4" x14ac:dyDescent="0.2">
      <c r="A43" s="48" t="s">
        <v>17</v>
      </c>
      <c r="B43" s="131" t="s">
        <v>96</v>
      </c>
      <c r="C43" s="132"/>
    </row>
  </sheetData>
  <mergeCells count="12">
    <mergeCell ref="B43:C43"/>
    <mergeCell ref="A25:G25"/>
    <mergeCell ref="A26:G27"/>
    <mergeCell ref="B38:C38"/>
    <mergeCell ref="B39:C39"/>
    <mergeCell ref="B40:C40"/>
    <mergeCell ref="B41:C41"/>
    <mergeCell ref="B11:D11"/>
    <mergeCell ref="E11:G11"/>
    <mergeCell ref="A23:G23"/>
    <mergeCell ref="A24:G24"/>
    <mergeCell ref="B42:C42"/>
  </mergeCells>
  <pageMargins left="0.5" right="0.5" top="0.5" bottom="0.75" header="0" footer="0.25"/>
  <pageSetup scale="79" fitToHeight="0" orientation="portrait" verticalDpi="1200" r:id="rId1"/>
  <headerFooter>
    <oddFooter>&amp;L&amp;F     &amp;A&amp;R&amp;P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F6806-A290-4453-A420-E53AE53C786D}">
  <sheetPr>
    <pageSetUpPr fitToPage="1"/>
  </sheetPr>
  <dimension ref="A1:J43"/>
  <sheetViews>
    <sheetView zoomScaleNormal="100" workbookViewId="0"/>
  </sheetViews>
  <sheetFormatPr baseColWidth="10" defaultColWidth="9.1640625" defaultRowHeight="15" x14ac:dyDescent="0.2"/>
  <cols>
    <col min="1" max="1" width="31.5" style="22" bestFit="1" customWidth="1"/>
    <col min="2" max="2" width="14.1640625" style="22" bestFit="1" customWidth="1"/>
    <col min="3" max="3" width="16" style="22" bestFit="1" customWidth="1"/>
    <col min="4" max="5" width="14.5" style="22" bestFit="1" customWidth="1"/>
    <col min="6" max="6" width="16" style="22" bestFit="1" customWidth="1"/>
    <col min="7" max="7" width="15" style="22" bestFit="1" customWidth="1"/>
    <col min="8" max="8" width="3" style="22" customWidth="1"/>
    <col min="9" max="16384" width="9.1640625" style="22"/>
  </cols>
  <sheetData>
    <row r="1" spans="1:10" x14ac:dyDescent="0.2">
      <c r="A1" s="10" t="s">
        <v>0</v>
      </c>
    </row>
    <row r="2" spans="1:10" x14ac:dyDescent="0.2">
      <c r="A2" s="11" t="s">
        <v>47</v>
      </c>
    </row>
    <row r="3" spans="1:10" x14ac:dyDescent="0.2">
      <c r="A3" s="10" t="s">
        <v>111</v>
      </c>
      <c r="B3" s="10"/>
      <c r="C3" s="10"/>
      <c r="D3" s="10"/>
      <c r="E3" s="10"/>
      <c r="F3" s="10"/>
      <c r="G3" s="10"/>
      <c r="H3" s="10"/>
      <c r="I3" s="10"/>
      <c r="J3" s="10"/>
    </row>
    <row r="4" spans="1:10" x14ac:dyDescent="0.2">
      <c r="A4" s="10"/>
      <c r="B4" s="53"/>
      <c r="C4" s="53"/>
      <c r="D4" s="53"/>
      <c r="E4" s="53"/>
      <c r="F4" s="53"/>
      <c r="G4" s="53"/>
    </row>
    <row r="5" spans="1:10" ht="16" thickBot="1" x14ac:dyDescent="0.25">
      <c r="A5" s="10"/>
      <c r="B5" s="53"/>
      <c r="C5" s="53"/>
      <c r="D5" s="53"/>
      <c r="E5" s="53"/>
      <c r="F5" s="53"/>
      <c r="G5" s="53"/>
    </row>
    <row r="6" spans="1:10" x14ac:dyDescent="0.2">
      <c r="A6" s="54" t="s">
        <v>61</v>
      </c>
      <c r="B6" s="55">
        <v>-7219332</v>
      </c>
      <c r="C6" s="56"/>
      <c r="D6" s="56"/>
      <c r="E6" s="56"/>
      <c r="F6" s="57"/>
      <c r="G6" s="58"/>
    </row>
    <row r="7" spans="1:10" x14ac:dyDescent="0.2">
      <c r="A7" s="59" t="s">
        <v>62</v>
      </c>
      <c r="B7" s="60">
        <v>-282798</v>
      </c>
      <c r="C7" s="56"/>
      <c r="D7" s="56"/>
      <c r="E7" s="56"/>
      <c r="F7" s="57"/>
      <c r="G7" s="58"/>
    </row>
    <row r="8" spans="1:10" ht="16" thickBot="1" x14ac:dyDescent="0.25">
      <c r="A8" s="61" t="s">
        <v>63</v>
      </c>
      <c r="B8" s="62">
        <f>B6+B7</f>
        <v>-7502130</v>
      </c>
      <c r="C8" s="56"/>
      <c r="D8" s="56"/>
      <c r="E8" s="56"/>
      <c r="F8" s="57"/>
      <c r="G8" s="58"/>
    </row>
    <row r="9" spans="1:10" x14ac:dyDescent="0.2">
      <c r="B9" s="56"/>
      <c r="C9" s="56"/>
      <c r="D9" s="56"/>
      <c r="E9" s="56"/>
      <c r="F9" s="57"/>
      <c r="G9" s="58"/>
    </row>
    <row r="10" spans="1:10" ht="16" thickBot="1" x14ac:dyDescent="0.25"/>
    <row r="11" spans="1:10" ht="16.5" customHeight="1" thickBot="1" x14ac:dyDescent="0.25">
      <c r="B11" s="125" t="s">
        <v>99</v>
      </c>
      <c r="C11" s="126"/>
      <c r="D11" s="126"/>
      <c r="E11" s="125" t="s">
        <v>65</v>
      </c>
      <c r="F11" s="126"/>
      <c r="G11" s="127"/>
    </row>
    <row r="12" spans="1:10" ht="15.75" customHeight="1" x14ac:dyDescent="0.2">
      <c r="A12" s="63" t="s">
        <v>66</v>
      </c>
      <c r="B12" s="64"/>
      <c r="C12" s="65"/>
      <c r="D12" s="66" t="s">
        <v>67</v>
      </c>
      <c r="E12" s="67"/>
      <c r="F12" s="68" t="s">
        <v>68</v>
      </c>
      <c r="G12" s="69"/>
    </row>
    <row r="13" spans="1:10" ht="18" thickBot="1" x14ac:dyDescent="0.25">
      <c r="A13" s="70" t="s">
        <v>100</v>
      </c>
      <c r="B13" s="71" t="s">
        <v>70</v>
      </c>
      <c r="C13" s="71" t="s">
        <v>71</v>
      </c>
      <c r="D13" s="72" t="s">
        <v>72</v>
      </c>
      <c r="E13" s="71" t="s">
        <v>73</v>
      </c>
      <c r="F13" s="71" t="s">
        <v>74</v>
      </c>
      <c r="G13" s="72" t="s">
        <v>75</v>
      </c>
    </row>
    <row r="14" spans="1:10" x14ac:dyDescent="0.2">
      <c r="A14" s="73" t="s">
        <v>27</v>
      </c>
      <c r="B14" s="74"/>
      <c r="C14" s="68"/>
      <c r="D14" s="69"/>
      <c r="E14" s="68"/>
      <c r="F14" s="68"/>
      <c r="G14" s="69"/>
    </row>
    <row r="15" spans="1:10" x14ac:dyDescent="0.2">
      <c r="A15" s="75" t="s">
        <v>12</v>
      </c>
      <c r="B15" s="76">
        <f>SUM('MMG-1.1b'!L20:O20)</f>
        <v>265898388.39003682</v>
      </c>
      <c r="C15" s="56">
        <f>SUM('MMG-1.1b'!L29:O29)+SUM('MMG-1.1b'!L38:O38)+SUM('MMG-1.1b'!L47:O47)</f>
        <v>16597322.498348206</v>
      </c>
      <c r="D15" s="77">
        <f>B15-C15</f>
        <v>249301065.89168862</v>
      </c>
      <c r="E15" s="78">
        <f>B$8*'MMG-1.1a'!G10</f>
        <v>-2015820.3830987471</v>
      </c>
      <c r="F15" s="79">
        <f t="shared" ref="F15:F22" si="0">ROUND(E15/D15,5)</f>
        <v>-8.09E-3</v>
      </c>
      <c r="G15" s="80">
        <f>ROUND(F15*D15,2)</f>
        <v>-2016845.62</v>
      </c>
    </row>
    <row r="16" spans="1:10" x14ac:dyDescent="0.2">
      <c r="A16" s="75" t="s">
        <v>13</v>
      </c>
      <c r="B16" s="76">
        <f>SUM('MMG-1.1b'!L21:O21)</f>
        <v>69845000.446890354</v>
      </c>
      <c r="C16" s="56">
        <f>SUM('MMG-1.1b'!L30:O30)+SUM('MMG-1.1b'!L39:O39)+SUM('MMG-1.1b'!L48:O48)</f>
        <v>740981.89078635897</v>
      </c>
      <c r="D16" s="77">
        <f t="shared" ref="D16:D20" si="1">B16-C16</f>
        <v>69104018.556103989</v>
      </c>
      <c r="E16" s="78">
        <f>B$8*'MMG-1.1a'!G11</f>
        <v>-521362.18289063324</v>
      </c>
      <c r="F16" s="79">
        <f t="shared" si="0"/>
        <v>-7.5399999999999998E-3</v>
      </c>
      <c r="G16" s="80">
        <f t="shared" ref="G16:G22" si="2">ROUND(F16*D16,2)</f>
        <v>-521044.3</v>
      </c>
    </row>
    <row r="17" spans="1:8" x14ac:dyDescent="0.2">
      <c r="A17" s="75" t="s">
        <v>76</v>
      </c>
      <c r="B17" s="76">
        <f>SUM('MMG-1.1b'!L22:O22)</f>
        <v>521017431.65138805</v>
      </c>
      <c r="C17" s="56">
        <f>SUM('MMG-1.1b'!L31:O31)+SUM('MMG-1.1b'!L40:O40)+SUM('MMG-1.1b'!L49:O49)</f>
        <v>19164712.914593924</v>
      </c>
      <c r="D17" s="77">
        <f t="shared" si="1"/>
        <v>501852718.73679411</v>
      </c>
      <c r="E17" s="78">
        <f>B$8*'MMG-1.1a'!G12</f>
        <v>-3860625.3556666994</v>
      </c>
      <c r="F17" s="79">
        <f t="shared" si="0"/>
        <v>-7.6899999999999998E-3</v>
      </c>
      <c r="G17" s="80">
        <f t="shared" si="2"/>
        <v>-3859247.41</v>
      </c>
    </row>
    <row r="18" spans="1:8" x14ac:dyDescent="0.2">
      <c r="A18" s="75" t="s">
        <v>15</v>
      </c>
      <c r="B18" s="76">
        <f>SUM('MMG-1.1b'!L23:O23)</f>
        <v>146128757.00167438</v>
      </c>
      <c r="C18" s="56">
        <f>SUM('MMG-1.1b'!L32:O32)+SUM('MMG-1.1b'!L41:O41)+SUM('MMG-1.1b'!L50:O50)</f>
        <v>4581529.9862499991</v>
      </c>
      <c r="D18" s="77">
        <f t="shared" si="1"/>
        <v>141547227.01542437</v>
      </c>
      <c r="E18" s="78">
        <f>B$8*'MMG-1.1a'!G13</f>
        <v>-1073276.9345501119</v>
      </c>
      <c r="F18" s="79">
        <f t="shared" si="0"/>
        <v>-7.5799999999999999E-3</v>
      </c>
      <c r="G18" s="80">
        <f t="shared" si="2"/>
        <v>-1072927.98</v>
      </c>
    </row>
    <row r="19" spans="1:8" x14ac:dyDescent="0.2">
      <c r="A19" s="75" t="s">
        <v>16</v>
      </c>
      <c r="B19" s="76">
        <f>SUM('MMG-1.1b'!L24:O24)</f>
        <v>1417288.4363293108</v>
      </c>
      <c r="C19" s="56">
        <f>SUM('MMG-1.1b'!L33:O33)+SUM('MMG-1.1b'!L42:O42)+SUM('MMG-1.1b'!L51:O51)</f>
        <v>0</v>
      </c>
      <c r="D19" s="77">
        <f t="shared" si="1"/>
        <v>1417288.4363293108</v>
      </c>
      <c r="E19" s="78">
        <f>B$8*'MMG-1.1a'!G14</f>
        <v>-9899.8416041943165</v>
      </c>
      <c r="F19" s="79">
        <f t="shared" si="0"/>
        <v>-6.9899999999999997E-3</v>
      </c>
      <c r="G19" s="80">
        <f t="shared" si="2"/>
        <v>-9906.85</v>
      </c>
    </row>
    <row r="20" spans="1:8" ht="16" thickBot="1" x14ac:dyDescent="0.25">
      <c r="A20" s="75" t="s">
        <v>17</v>
      </c>
      <c r="B20" s="81">
        <f>SUM('MMG-1.1b'!L25:O25)</f>
        <v>2865160</v>
      </c>
      <c r="C20" s="82">
        <f>SUM('MMG-1.1b'!L34:O34)+SUM('MMG-1.1b'!L43:O43)+SUM('MMG-1.1b'!L52:O52)</f>
        <v>0</v>
      </c>
      <c r="D20" s="83">
        <f t="shared" si="1"/>
        <v>2865160</v>
      </c>
      <c r="E20" s="84">
        <f>B$8*'MMG-1.1a'!G15</f>
        <v>-21145.302189614533</v>
      </c>
      <c r="F20" s="85">
        <f t="shared" si="0"/>
        <v>-7.3800000000000003E-3</v>
      </c>
      <c r="G20" s="86">
        <f t="shared" si="2"/>
        <v>-21144.880000000001</v>
      </c>
    </row>
    <row r="21" spans="1:8" ht="16" thickBot="1" x14ac:dyDescent="0.25">
      <c r="A21" s="87" t="s">
        <v>77</v>
      </c>
      <c r="B21" s="81">
        <f>SUM(B15:B20)</f>
        <v>1007172025.926319</v>
      </c>
      <c r="C21" s="82">
        <f>SUM(C15:C20)</f>
        <v>41084547.289978489</v>
      </c>
      <c r="D21" s="83">
        <f>SUM(D15:D20)</f>
        <v>966087478.6363405</v>
      </c>
      <c r="E21" s="88">
        <f>SUM(E15:E20)</f>
        <v>-7502130.0000000009</v>
      </c>
      <c r="F21" s="37"/>
      <c r="G21" s="89">
        <f>SUM(G15:G20)</f>
        <v>-7501117.04</v>
      </c>
    </row>
    <row r="22" spans="1:8" ht="16" thickBot="1" x14ac:dyDescent="0.25">
      <c r="A22" s="87" t="s">
        <v>78</v>
      </c>
      <c r="B22" s="90">
        <f>B21</f>
        <v>1007172025.926319</v>
      </c>
      <c r="C22" s="91">
        <f>C21</f>
        <v>41084547.289978489</v>
      </c>
      <c r="D22" s="91">
        <f>D21</f>
        <v>966087478.6363405</v>
      </c>
      <c r="E22" s="92">
        <f>E21</f>
        <v>-7502130.0000000009</v>
      </c>
      <c r="F22" s="93">
        <f t="shared" si="0"/>
        <v>-7.77E-3</v>
      </c>
      <c r="G22" s="94">
        <f t="shared" si="2"/>
        <v>-7506499.71</v>
      </c>
    </row>
    <row r="23" spans="1:8" ht="15" customHeight="1" x14ac:dyDescent="0.2">
      <c r="A23" s="128" t="s">
        <v>79</v>
      </c>
      <c r="B23" s="128"/>
      <c r="C23" s="128"/>
      <c r="D23" s="128"/>
      <c r="E23" s="128"/>
      <c r="F23" s="128"/>
      <c r="G23" s="128"/>
    </row>
    <row r="24" spans="1:8" ht="17" x14ac:dyDescent="0.2">
      <c r="A24" s="129" t="s">
        <v>80</v>
      </c>
      <c r="B24" s="129"/>
      <c r="C24" s="129"/>
      <c r="D24" s="129"/>
      <c r="E24" s="129"/>
      <c r="F24" s="129"/>
      <c r="G24" s="129"/>
    </row>
    <row r="25" spans="1:8" x14ac:dyDescent="0.2">
      <c r="A25" s="128" t="s">
        <v>81</v>
      </c>
      <c r="B25" s="128"/>
      <c r="C25" s="128"/>
      <c r="D25" s="128"/>
      <c r="E25" s="128"/>
      <c r="F25" s="128"/>
      <c r="G25" s="128"/>
    </row>
    <row r="26" spans="1:8" ht="15" customHeight="1" x14ac:dyDescent="0.2">
      <c r="A26" s="133" t="s">
        <v>82</v>
      </c>
      <c r="B26" s="133"/>
      <c r="C26" s="133"/>
      <c r="D26" s="133"/>
      <c r="E26" s="133"/>
      <c r="F26" s="133"/>
      <c r="G26" s="133"/>
      <c r="H26" s="95"/>
    </row>
    <row r="27" spans="1:8" ht="15" customHeight="1" x14ac:dyDescent="0.2">
      <c r="A27" s="133"/>
      <c r="B27" s="133"/>
      <c r="C27" s="133"/>
      <c r="D27" s="133"/>
      <c r="E27" s="133"/>
      <c r="F27" s="133"/>
      <c r="G27" s="133"/>
      <c r="H27" s="95"/>
    </row>
    <row r="28" spans="1:8" ht="16" thickBot="1" x14ac:dyDescent="0.25"/>
    <row r="29" spans="1:8" x14ac:dyDescent="0.2">
      <c r="A29" s="63" t="str">
        <f>A12</f>
        <v xml:space="preserve">Adjustment Period: </v>
      </c>
      <c r="B29" s="68" t="s">
        <v>83</v>
      </c>
      <c r="C29" s="68" t="s">
        <v>68</v>
      </c>
      <c r="D29" s="69" t="s">
        <v>83</v>
      </c>
    </row>
    <row r="30" spans="1:8" ht="16" thickBot="1" x14ac:dyDescent="0.25">
      <c r="A30" s="96" t="str">
        <f>A13</f>
        <v>Sep 2024 - Dec 2024</v>
      </c>
      <c r="B30" s="71" t="s">
        <v>28</v>
      </c>
      <c r="C30" s="71" t="s">
        <v>74</v>
      </c>
      <c r="D30" s="72" t="s">
        <v>84</v>
      </c>
    </row>
    <row r="31" spans="1:8" x14ac:dyDescent="0.2">
      <c r="A31" s="97" t="s">
        <v>12</v>
      </c>
      <c r="B31" s="98"/>
      <c r="D31" s="99"/>
    </row>
    <row r="32" spans="1:8" x14ac:dyDescent="0.2">
      <c r="A32" s="75" t="s">
        <v>78</v>
      </c>
      <c r="B32" s="98">
        <v>500</v>
      </c>
      <c r="C32" s="100">
        <f>F22</f>
        <v>-7.77E-3</v>
      </c>
      <c r="D32" s="101">
        <f>ROUND(B32*C32,2)</f>
        <v>-3.89</v>
      </c>
    </row>
    <row r="33" spans="1:4" x14ac:dyDescent="0.2">
      <c r="A33" s="75" t="s">
        <v>27</v>
      </c>
      <c r="B33" s="98">
        <v>500</v>
      </c>
      <c r="C33" s="100">
        <f>F15</f>
        <v>-8.09E-3</v>
      </c>
      <c r="D33" s="101">
        <f>ROUND(B33*C33,2)</f>
        <v>-4.05</v>
      </c>
    </row>
    <row r="34" spans="1:4" x14ac:dyDescent="0.2">
      <c r="A34" s="97" t="s">
        <v>85</v>
      </c>
      <c r="B34" s="98"/>
      <c r="D34" s="99"/>
    </row>
    <row r="35" spans="1:4" x14ac:dyDescent="0.2">
      <c r="A35" s="75" t="s">
        <v>78</v>
      </c>
      <c r="B35" s="98">
        <v>1100</v>
      </c>
      <c r="C35" s="100">
        <f>F22</f>
        <v>-7.77E-3</v>
      </c>
      <c r="D35" s="101">
        <f>ROUND(B35*C35,2)</f>
        <v>-8.5500000000000007</v>
      </c>
    </row>
    <row r="36" spans="1:4" ht="16" thickBot="1" x14ac:dyDescent="0.25">
      <c r="A36" s="102" t="s">
        <v>27</v>
      </c>
      <c r="B36" s="103">
        <v>1100</v>
      </c>
      <c r="C36" s="104">
        <f>F16</f>
        <v>-7.5399999999999998E-3</v>
      </c>
      <c r="D36" s="105">
        <f>ROUND(B36*C36,2)</f>
        <v>-8.2899999999999991</v>
      </c>
    </row>
    <row r="38" spans="1:4" x14ac:dyDescent="0.2">
      <c r="A38" s="41" t="s">
        <v>86</v>
      </c>
      <c r="B38" s="134" t="s">
        <v>87</v>
      </c>
      <c r="C38" s="135"/>
    </row>
    <row r="39" spans="1:4" x14ac:dyDescent="0.2">
      <c r="A39" s="45" t="s">
        <v>88</v>
      </c>
      <c r="B39" s="129" t="s">
        <v>89</v>
      </c>
      <c r="C39" s="130"/>
    </row>
    <row r="40" spans="1:4" x14ac:dyDescent="0.2">
      <c r="A40" s="45" t="s">
        <v>90</v>
      </c>
      <c r="B40" s="129" t="s">
        <v>91</v>
      </c>
      <c r="C40" s="130"/>
    </row>
    <row r="41" spans="1:4" x14ac:dyDescent="0.2">
      <c r="A41" s="45" t="s">
        <v>92</v>
      </c>
      <c r="B41" s="129" t="s">
        <v>93</v>
      </c>
      <c r="C41" s="130"/>
    </row>
    <row r="42" spans="1:4" x14ac:dyDescent="0.2">
      <c r="A42" s="45" t="s">
        <v>94</v>
      </c>
      <c r="B42" s="129" t="s">
        <v>95</v>
      </c>
      <c r="C42" s="130"/>
    </row>
    <row r="43" spans="1:4" x14ac:dyDescent="0.2">
      <c r="A43" s="48" t="s">
        <v>17</v>
      </c>
      <c r="B43" s="131" t="s">
        <v>96</v>
      </c>
      <c r="C43" s="132"/>
    </row>
  </sheetData>
  <mergeCells count="12">
    <mergeCell ref="B43:C43"/>
    <mergeCell ref="A25:G25"/>
    <mergeCell ref="A26:G27"/>
    <mergeCell ref="B38:C38"/>
    <mergeCell ref="B39:C39"/>
    <mergeCell ref="B40:C40"/>
    <mergeCell ref="B41:C41"/>
    <mergeCell ref="B11:D11"/>
    <mergeCell ref="E11:G11"/>
    <mergeCell ref="A23:G23"/>
    <mergeCell ref="A24:G24"/>
    <mergeCell ref="B42:C42"/>
  </mergeCells>
  <pageMargins left="0.5" right="0.5" top="0.5" bottom="0.75" header="0" footer="0.25"/>
  <pageSetup scale="78" fitToHeight="0" orientation="portrait" verticalDpi="1200" r:id="rId1"/>
  <headerFooter>
    <oddFooter>&amp;L&amp;F     &amp;A&amp;R&amp;P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AAE87-BFC9-426C-8CB5-A8E73E7121A3}">
  <sheetPr>
    <pageSetUpPr fitToPage="1"/>
  </sheetPr>
  <dimension ref="A1:J43"/>
  <sheetViews>
    <sheetView zoomScaleNormal="100" workbookViewId="0"/>
  </sheetViews>
  <sheetFormatPr baseColWidth="10" defaultColWidth="9.1640625" defaultRowHeight="15" x14ac:dyDescent="0.2"/>
  <cols>
    <col min="1" max="1" width="31.5" style="22" bestFit="1" customWidth="1"/>
    <col min="2" max="2" width="14.1640625" style="22" bestFit="1" customWidth="1"/>
    <col min="3" max="3" width="16" style="22" bestFit="1" customWidth="1"/>
    <col min="4" max="5" width="14.5" style="22" bestFit="1" customWidth="1"/>
    <col min="6" max="6" width="16" style="22" bestFit="1" customWidth="1"/>
    <col min="7" max="7" width="15" style="22" bestFit="1" customWidth="1"/>
    <col min="8" max="8" width="3.1640625" style="22" customWidth="1"/>
    <col min="9" max="16384" width="9.1640625" style="22"/>
  </cols>
  <sheetData>
    <row r="1" spans="1:10" x14ac:dyDescent="0.2">
      <c r="A1" s="10" t="s">
        <v>0</v>
      </c>
    </row>
    <row r="2" spans="1:10" x14ac:dyDescent="0.2">
      <c r="A2" s="11" t="s">
        <v>47</v>
      </c>
    </row>
    <row r="3" spans="1:10" x14ac:dyDescent="0.2">
      <c r="A3" s="10" t="s">
        <v>112</v>
      </c>
      <c r="B3" s="10"/>
      <c r="C3" s="10"/>
      <c r="D3" s="10"/>
      <c r="E3" s="10"/>
      <c r="F3" s="10"/>
      <c r="G3" s="10"/>
      <c r="H3" s="10"/>
      <c r="I3" s="10"/>
      <c r="J3" s="10"/>
    </row>
    <row r="4" spans="1:10" x14ac:dyDescent="0.2">
      <c r="A4" s="10"/>
      <c r="B4" s="53"/>
      <c r="C4" s="53"/>
      <c r="D4" s="53"/>
      <c r="E4" s="53"/>
      <c r="F4" s="53"/>
      <c r="G4" s="53"/>
    </row>
    <row r="5" spans="1:10" ht="16" thickBot="1" x14ac:dyDescent="0.25">
      <c r="A5" s="10"/>
      <c r="B5" s="53"/>
      <c r="C5" s="53"/>
      <c r="D5" s="53"/>
      <c r="E5" s="53"/>
      <c r="F5" s="53"/>
      <c r="G5" s="53"/>
    </row>
    <row r="6" spans="1:10" x14ac:dyDescent="0.2">
      <c r="A6" s="54" t="s">
        <v>61</v>
      </c>
      <c r="B6" s="55">
        <v>-7219332</v>
      </c>
      <c r="C6" s="56"/>
      <c r="D6" s="56"/>
      <c r="E6" s="56"/>
      <c r="F6" s="57"/>
      <c r="G6" s="58"/>
    </row>
    <row r="7" spans="1:10" x14ac:dyDescent="0.2">
      <c r="A7" s="59" t="s">
        <v>62</v>
      </c>
      <c r="B7" s="60">
        <v>-296577</v>
      </c>
      <c r="C7" s="56"/>
      <c r="D7" s="56"/>
      <c r="E7" s="56"/>
      <c r="F7" s="57"/>
      <c r="G7" s="58"/>
    </row>
    <row r="8" spans="1:10" ht="16" thickBot="1" x14ac:dyDescent="0.25">
      <c r="A8" s="61" t="s">
        <v>63</v>
      </c>
      <c r="B8" s="62">
        <f>B6+B7</f>
        <v>-7515909</v>
      </c>
      <c r="C8" s="56"/>
      <c r="D8" s="56"/>
      <c r="E8" s="56"/>
      <c r="F8" s="57"/>
      <c r="G8" s="58"/>
    </row>
    <row r="9" spans="1:10" x14ac:dyDescent="0.2">
      <c r="B9" s="56"/>
      <c r="C9" s="56"/>
      <c r="D9" s="56"/>
      <c r="E9" s="56"/>
      <c r="F9" s="57"/>
      <c r="G9" s="58"/>
    </row>
    <row r="10" spans="1:10" ht="16" thickBot="1" x14ac:dyDescent="0.25"/>
    <row r="11" spans="1:10" ht="16.5" customHeight="1" thickBot="1" x14ac:dyDescent="0.25">
      <c r="B11" s="125" t="s">
        <v>101</v>
      </c>
      <c r="C11" s="126"/>
      <c r="D11" s="126"/>
      <c r="E11" s="125" t="s">
        <v>65</v>
      </c>
      <c r="F11" s="126"/>
      <c r="G11" s="127"/>
    </row>
    <row r="12" spans="1:10" ht="15.75" customHeight="1" x14ac:dyDescent="0.2">
      <c r="A12" s="63" t="s">
        <v>66</v>
      </c>
      <c r="B12" s="64"/>
      <c r="C12" s="65"/>
      <c r="D12" s="66" t="s">
        <v>67</v>
      </c>
      <c r="E12" s="67"/>
      <c r="F12" s="68" t="s">
        <v>68</v>
      </c>
      <c r="G12" s="69"/>
    </row>
    <row r="13" spans="1:10" ht="18" thickBot="1" x14ac:dyDescent="0.25">
      <c r="A13" s="70" t="s">
        <v>102</v>
      </c>
      <c r="B13" s="71" t="s">
        <v>70</v>
      </c>
      <c r="C13" s="71" t="s">
        <v>71</v>
      </c>
      <c r="D13" s="72" t="s">
        <v>72</v>
      </c>
      <c r="E13" s="71" t="s">
        <v>73</v>
      </c>
      <c r="F13" s="71" t="s">
        <v>74</v>
      </c>
      <c r="G13" s="72" t="s">
        <v>75</v>
      </c>
    </row>
    <row r="14" spans="1:10" x14ac:dyDescent="0.2">
      <c r="A14" s="73" t="s">
        <v>27</v>
      </c>
      <c r="B14" s="74"/>
      <c r="C14" s="68"/>
      <c r="D14" s="69"/>
      <c r="E14" s="68"/>
      <c r="F14" s="68"/>
      <c r="G14" s="69"/>
    </row>
    <row r="15" spans="1:10" x14ac:dyDescent="0.2">
      <c r="A15" s="75" t="s">
        <v>12</v>
      </c>
      <c r="B15" s="76">
        <f>SUM('MMG-1.1b'!M20:O20)</f>
        <v>193351982.21568513</v>
      </c>
      <c r="C15" s="56">
        <f>SUM('MMG-1.1b'!M29:O29)+SUM('MMG-1.1b'!M38:O38)+SUM('MMG-1.1b'!M47:O47)</f>
        <v>11606086.463701829</v>
      </c>
      <c r="D15" s="77">
        <f>B15-C15</f>
        <v>181745895.75198328</v>
      </c>
      <c r="E15" s="78">
        <f>B$8*'MMG-1.1a'!G10</f>
        <v>-2019522.796821079</v>
      </c>
      <c r="F15" s="79">
        <f t="shared" ref="F15:F22" si="0">ROUND(E15/D15,5)</f>
        <v>-1.111E-2</v>
      </c>
      <c r="G15" s="80">
        <f>ROUND(F15*D15,2)</f>
        <v>-2019196.9</v>
      </c>
    </row>
    <row r="16" spans="1:10" x14ac:dyDescent="0.2">
      <c r="A16" s="75" t="s">
        <v>13</v>
      </c>
      <c r="B16" s="76">
        <f>SUM('MMG-1.1b'!M21:O21)</f>
        <v>52709380.80437848</v>
      </c>
      <c r="C16" s="56">
        <f>SUM('MMG-1.1b'!M30:O30)+SUM('MMG-1.1b'!M39:O39)+SUM('MMG-1.1b'!M48:O48)</f>
        <v>527230.50025006593</v>
      </c>
      <c r="D16" s="77">
        <f t="shared" ref="D16:D20" si="1">B16-C16</f>
        <v>52182150.304128416</v>
      </c>
      <c r="E16" s="78">
        <f>B$8*'MMG-1.1a'!G11</f>
        <v>-522319.75754183898</v>
      </c>
      <c r="F16" s="79">
        <f t="shared" si="0"/>
        <v>-1.001E-2</v>
      </c>
      <c r="G16" s="80">
        <f t="shared" ref="G16:G22" si="2">ROUND(F16*D16,2)</f>
        <v>-522343.32</v>
      </c>
    </row>
    <row r="17" spans="1:8" x14ac:dyDescent="0.2">
      <c r="A17" s="75" t="s">
        <v>76</v>
      </c>
      <c r="B17" s="76">
        <f>SUM('MMG-1.1b'!M22:O22)</f>
        <v>384954111.79502225</v>
      </c>
      <c r="C17" s="56">
        <f>SUM('MMG-1.1b'!M31:O31)+SUM('MMG-1.1b'!M40:O40)+SUM('MMG-1.1b'!M49:O49)</f>
        <v>12598641.101691227</v>
      </c>
      <c r="D17" s="77">
        <f t="shared" si="1"/>
        <v>372355470.693331</v>
      </c>
      <c r="E17" s="78">
        <f>B$8*'MMG-1.1a'!G12</f>
        <v>-3867716.0828036233</v>
      </c>
      <c r="F17" s="79">
        <f t="shared" si="0"/>
        <v>-1.039E-2</v>
      </c>
      <c r="G17" s="80">
        <f t="shared" si="2"/>
        <v>-3868773.34</v>
      </c>
    </row>
    <row r="18" spans="1:8" x14ac:dyDescent="0.2">
      <c r="A18" s="75" t="s">
        <v>15</v>
      </c>
      <c r="B18" s="76">
        <f>SUM('MMG-1.1b'!M23:O23)</f>
        <v>105117955.85535096</v>
      </c>
      <c r="C18" s="56">
        <f>SUM('MMG-1.1b'!M32:O32)+SUM('MMG-1.1b'!M41:O41)+SUM('MMG-1.1b'!M50:O50)</f>
        <v>2896983.095999999</v>
      </c>
      <c r="D18" s="77">
        <f t="shared" si="1"/>
        <v>102220972.75935096</v>
      </c>
      <c r="E18" s="78">
        <f>B$8*'MMG-1.1a'!G13</f>
        <v>-1075248.1990951365</v>
      </c>
      <c r="F18" s="79">
        <f t="shared" si="0"/>
        <v>-1.052E-2</v>
      </c>
      <c r="G18" s="80">
        <f t="shared" si="2"/>
        <v>-1075364.6299999999</v>
      </c>
    </row>
    <row r="19" spans="1:8" x14ac:dyDescent="0.2">
      <c r="A19" s="75" t="s">
        <v>16</v>
      </c>
      <c r="B19" s="76">
        <f>SUM('MMG-1.1b'!M24:O24)</f>
        <v>1066872.0859952618</v>
      </c>
      <c r="C19" s="56">
        <f>SUM('MMG-1.1b'!M33:O33)+SUM('MMG-1.1b'!M42:O42)+SUM('MMG-1.1b'!M51:O51)</f>
        <v>0</v>
      </c>
      <c r="D19" s="77">
        <f t="shared" si="1"/>
        <v>1066872.0859952618</v>
      </c>
      <c r="E19" s="78">
        <f>B$8*'MMG-1.1a'!G14</f>
        <v>-9918.0244292672214</v>
      </c>
      <c r="F19" s="79">
        <f t="shared" si="0"/>
        <v>-9.2999999999999992E-3</v>
      </c>
      <c r="G19" s="80">
        <f t="shared" si="2"/>
        <v>-9921.91</v>
      </c>
    </row>
    <row r="20" spans="1:8" ht="16" thickBot="1" x14ac:dyDescent="0.25">
      <c r="A20" s="75" t="s">
        <v>17</v>
      </c>
      <c r="B20" s="81">
        <f>SUM('MMG-1.1b'!M25:O25)</f>
        <v>2153991</v>
      </c>
      <c r="C20" s="82">
        <f>SUM('MMG-1.1b'!M34:O34)+SUM('MMG-1.1b'!M43:O43)+SUM('MMG-1.1b'!M52:O52)</f>
        <v>0</v>
      </c>
      <c r="D20" s="83">
        <f t="shared" si="1"/>
        <v>2153991</v>
      </c>
      <c r="E20" s="84">
        <f>B$8*'MMG-1.1a'!G15</f>
        <v>-21184.139309055372</v>
      </c>
      <c r="F20" s="85">
        <f t="shared" si="0"/>
        <v>-9.8300000000000002E-3</v>
      </c>
      <c r="G20" s="86">
        <f t="shared" si="2"/>
        <v>-21173.73</v>
      </c>
    </row>
    <row r="21" spans="1:8" ht="16" thickBot="1" x14ac:dyDescent="0.25">
      <c r="A21" s="87" t="s">
        <v>77</v>
      </c>
      <c r="B21" s="81">
        <f>SUM(B15:B20)</f>
        <v>739354293.75643218</v>
      </c>
      <c r="C21" s="82">
        <f>SUM(C15:C20)</f>
        <v>27628941.161643125</v>
      </c>
      <c r="D21" s="83">
        <f>SUM(D15:D20)</f>
        <v>711725352.59478891</v>
      </c>
      <c r="E21" s="88">
        <f>SUM(E15:E20)</f>
        <v>-7515909</v>
      </c>
      <c r="F21" s="37"/>
      <c r="G21" s="89">
        <f>SUM(G15:G20)</f>
        <v>-7516773.8300000001</v>
      </c>
    </row>
    <row r="22" spans="1:8" ht="16" thickBot="1" x14ac:dyDescent="0.25">
      <c r="A22" s="87" t="s">
        <v>78</v>
      </c>
      <c r="B22" s="90">
        <f>B21</f>
        <v>739354293.75643218</v>
      </c>
      <c r="C22" s="91">
        <f>C21</f>
        <v>27628941.161643125</v>
      </c>
      <c r="D22" s="91">
        <f>D21</f>
        <v>711725352.59478891</v>
      </c>
      <c r="E22" s="92">
        <f>E21</f>
        <v>-7515909</v>
      </c>
      <c r="F22" s="93">
        <f t="shared" si="0"/>
        <v>-1.056E-2</v>
      </c>
      <c r="G22" s="94">
        <f t="shared" si="2"/>
        <v>-7515819.7199999997</v>
      </c>
    </row>
    <row r="23" spans="1:8" ht="15" customHeight="1" x14ac:dyDescent="0.2">
      <c r="A23" s="128" t="s">
        <v>79</v>
      </c>
      <c r="B23" s="128"/>
      <c r="C23" s="128"/>
      <c r="D23" s="128"/>
      <c r="E23" s="128"/>
      <c r="F23" s="128"/>
      <c r="G23" s="128"/>
    </row>
    <row r="24" spans="1:8" ht="17" x14ac:dyDescent="0.2">
      <c r="A24" s="129" t="s">
        <v>80</v>
      </c>
      <c r="B24" s="129"/>
      <c r="C24" s="129"/>
      <c r="D24" s="129"/>
      <c r="E24" s="129"/>
      <c r="F24" s="129"/>
      <c r="G24" s="129"/>
    </row>
    <row r="25" spans="1:8" x14ac:dyDescent="0.2">
      <c r="A25" s="128" t="s">
        <v>81</v>
      </c>
      <c r="B25" s="128"/>
      <c r="C25" s="128"/>
      <c r="D25" s="128"/>
      <c r="E25" s="128"/>
      <c r="F25" s="128"/>
      <c r="G25" s="128"/>
    </row>
    <row r="26" spans="1:8" ht="15" customHeight="1" x14ac:dyDescent="0.2">
      <c r="A26" s="133" t="s">
        <v>82</v>
      </c>
      <c r="B26" s="133"/>
      <c r="C26" s="133"/>
      <c r="D26" s="133"/>
      <c r="E26" s="133"/>
      <c r="F26" s="133"/>
      <c r="G26" s="133"/>
      <c r="H26" s="95"/>
    </row>
    <row r="27" spans="1:8" ht="15" customHeight="1" x14ac:dyDescent="0.2">
      <c r="A27" s="133"/>
      <c r="B27" s="133"/>
      <c r="C27" s="133"/>
      <c r="D27" s="133"/>
      <c r="E27" s="133"/>
      <c r="F27" s="133"/>
      <c r="G27" s="133"/>
      <c r="H27" s="95"/>
    </row>
    <row r="28" spans="1:8" ht="16" thickBot="1" x14ac:dyDescent="0.25"/>
    <row r="29" spans="1:8" x14ac:dyDescent="0.2">
      <c r="A29" s="63" t="str">
        <f>A12</f>
        <v xml:space="preserve">Adjustment Period: </v>
      </c>
      <c r="B29" s="68" t="s">
        <v>83</v>
      </c>
      <c r="C29" s="68" t="s">
        <v>68</v>
      </c>
      <c r="D29" s="69" t="s">
        <v>83</v>
      </c>
    </row>
    <row r="30" spans="1:8" ht="16" thickBot="1" x14ac:dyDescent="0.25">
      <c r="A30" s="96" t="str">
        <f>A13</f>
        <v>Oct 2024 - Dec 2024</v>
      </c>
      <c r="B30" s="71" t="s">
        <v>28</v>
      </c>
      <c r="C30" s="71" t="s">
        <v>74</v>
      </c>
      <c r="D30" s="72" t="s">
        <v>84</v>
      </c>
    </row>
    <row r="31" spans="1:8" x14ac:dyDescent="0.2">
      <c r="A31" s="97" t="s">
        <v>12</v>
      </c>
      <c r="B31" s="98"/>
      <c r="D31" s="99"/>
    </row>
    <row r="32" spans="1:8" x14ac:dyDescent="0.2">
      <c r="A32" s="75" t="s">
        <v>78</v>
      </c>
      <c r="B32" s="98">
        <v>500</v>
      </c>
      <c r="C32" s="100">
        <f>F22</f>
        <v>-1.056E-2</v>
      </c>
      <c r="D32" s="101">
        <f>ROUND(B32*C32,2)</f>
        <v>-5.28</v>
      </c>
    </row>
    <row r="33" spans="1:4" x14ac:dyDescent="0.2">
      <c r="A33" s="75" t="s">
        <v>27</v>
      </c>
      <c r="B33" s="98">
        <v>500</v>
      </c>
      <c r="C33" s="100">
        <f>F15</f>
        <v>-1.111E-2</v>
      </c>
      <c r="D33" s="101">
        <f>ROUND(B33*C33,2)</f>
        <v>-5.56</v>
      </c>
    </row>
    <row r="34" spans="1:4" x14ac:dyDescent="0.2">
      <c r="A34" s="97" t="s">
        <v>85</v>
      </c>
      <c r="B34" s="98"/>
      <c r="D34" s="99"/>
    </row>
    <row r="35" spans="1:4" x14ac:dyDescent="0.2">
      <c r="A35" s="75" t="s">
        <v>78</v>
      </c>
      <c r="B35" s="98">
        <v>1100</v>
      </c>
      <c r="C35" s="100">
        <f>F22</f>
        <v>-1.056E-2</v>
      </c>
      <c r="D35" s="101">
        <f>ROUND(B35*C35,2)</f>
        <v>-11.62</v>
      </c>
    </row>
    <row r="36" spans="1:4" ht="16" thickBot="1" x14ac:dyDescent="0.25">
      <c r="A36" s="102" t="s">
        <v>27</v>
      </c>
      <c r="B36" s="103">
        <v>1100</v>
      </c>
      <c r="C36" s="104">
        <f>F16</f>
        <v>-1.001E-2</v>
      </c>
      <c r="D36" s="105">
        <f>ROUND(B36*C36,2)</f>
        <v>-11.01</v>
      </c>
    </row>
    <row r="38" spans="1:4" x14ac:dyDescent="0.2">
      <c r="A38" s="41" t="s">
        <v>86</v>
      </c>
      <c r="B38" s="134" t="s">
        <v>87</v>
      </c>
      <c r="C38" s="135"/>
    </row>
    <row r="39" spans="1:4" x14ac:dyDescent="0.2">
      <c r="A39" s="45" t="s">
        <v>88</v>
      </c>
      <c r="B39" s="129" t="s">
        <v>89</v>
      </c>
      <c r="C39" s="130"/>
    </row>
    <row r="40" spans="1:4" x14ac:dyDescent="0.2">
      <c r="A40" s="45" t="s">
        <v>90</v>
      </c>
      <c r="B40" s="129" t="s">
        <v>91</v>
      </c>
      <c r="C40" s="130"/>
    </row>
    <row r="41" spans="1:4" x14ac:dyDescent="0.2">
      <c r="A41" s="45" t="s">
        <v>92</v>
      </c>
      <c r="B41" s="129" t="s">
        <v>93</v>
      </c>
      <c r="C41" s="130"/>
    </row>
    <row r="42" spans="1:4" x14ac:dyDescent="0.2">
      <c r="A42" s="45" t="s">
        <v>94</v>
      </c>
      <c r="B42" s="129" t="s">
        <v>95</v>
      </c>
      <c r="C42" s="130"/>
    </row>
    <row r="43" spans="1:4" x14ac:dyDescent="0.2">
      <c r="A43" s="48" t="s">
        <v>17</v>
      </c>
      <c r="B43" s="131" t="s">
        <v>96</v>
      </c>
      <c r="C43" s="132"/>
    </row>
  </sheetData>
  <mergeCells count="12">
    <mergeCell ref="B43:C43"/>
    <mergeCell ref="A25:G25"/>
    <mergeCell ref="A26:G27"/>
    <mergeCell ref="B38:C38"/>
    <mergeCell ref="B39:C39"/>
    <mergeCell ref="B40:C40"/>
    <mergeCell ref="B41:C41"/>
    <mergeCell ref="B11:D11"/>
    <mergeCell ref="E11:G11"/>
    <mergeCell ref="A23:G23"/>
    <mergeCell ref="A24:G24"/>
    <mergeCell ref="B42:C42"/>
  </mergeCells>
  <pageMargins left="0.5" right="0.5" top="0.5" bottom="0.75" header="0" footer="0.25"/>
  <pageSetup scale="78" fitToHeight="0" orientation="portrait" verticalDpi="1200" r:id="rId1"/>
  <headerFooter>
    <oddFooter>&amp;L&amp;F     &amp;A&amp;R&amp;P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121B3-D857-4490-8F61-6483F6C8026E}">
  <sheetPr>
    <pageSetUpPr fitToPage="1"/>
  </sheetPr>
  <dimension ref="A1:H13"/>
  <sheetViews>
    <sheetView zoomScaleNormal="100" workbookViewId="0">
      <selection sqref="A1:H1"/>
    </sheetView>
  </sheetViews>
  <sheetFormatPr baseColWidth="10" defaultColWidth="9.1640625" defaultRowHeight="14" x14ac:dyDescent="0.2"/>
  <cols>
    <col min="1" max="1" width="3" style="106" customWidth="1"/>
    <col min="2" max="2" width="4.5" style="106" bestFit="1" customWidth="1"/>
    <col min="3" max="3" width="44.83203125" style="106" bestFit="1" customWidth="1"/>
    <col min="4" max="4" width="9.6640625" style="106" bestFit="1" customWidth="1"/>
    <col min="5" max="5" width="9.33203125" style="106" bestFit="1" customWidth="1"/>
    <col min="6" max="6" width="10.83203125" style="106" bestFit="1" customWidth="1"/>
    <col min="7" max="7" width="8.5" style="106" bestFit="1" customWidth="1"/>
    <col min="8" max="8" width="7.5" style="106" bestFit="1" customWidth="1"/>
    <col min="9" max="9" width="2.83203125" style="106" customWidth="1"/>
    <col min="10" max="16384" width="9.1640625" style="106"/>
  </cols>
  <sheetData>
    <row r="1" spans="1:8" ht="15" x14ac:dyDescent="0.2">
      <c r="A1" s="136" t="s">
        <v>115</v>
      </c>
      <c r="B1" s="136"/>
      <c r="C1" s="136"/>
      <c r="D1" s="136"/>
      <c r="E1" s="136"/>
      <c r="F1" s="136"/>
      <c r="G1" s="136"/>
      <c r="H1" s="136"/>
    </row>
    <row r="2" spans="1:8" ht="15" x14ac:dyDescent="0.2">
      <c r="A2" s="136" t="s">
        <v>136</v>
      </c>
      <c r="B2" s="136"/>
      <c r="C2" s="136"/>
      <c r="D2" s="136"/>
      <c r="E2" s="136"/>
      <c r="F2" s="136"/>
      <c r="G2" s="136"/>
      <c r="H2" s="136"/>
    </row>
    <row r="3" spans="1:8" ht="15" x14ac:dyDescent="0.2">
      <c r="A3" s="136" t="s">
        <v>116</v>
      </c>
      <c r="B3" s="136"/>
      <c r="C3" s="136"/>
      <c r="D3" s="136"/>
      <c r="E3" s="136"/>
      <c r="F3" s="136"/>
      <c r="G3" s="136"/>
      <c r="H3" s="136"/>
    </row>
    <row r="4" spans="1:8" ht="15" x14ac:dyDescent="0.2">
      <c r="A4" s="136" t="s">
        <v>137</v>
      </c>
      <c r="B4" s="136"/>
      <c r="C4" s="136"/>
      <c r="D4" s="136"/>
      <c r="E4" s="136"/>
      <c r="F4" s="136"/>
      <c r="G4" s="136"/>
      <c r="H4" s="136"/>
    </row>
    <row r="5" spans="1:8" ht="15" x14ac:dyDescent="0.2">
      <c r="A5" s="107"/>
      <c r="B5" s="107"/>
      <c r="C5" s="107"/>
      <c r="D5" s="107"/>
      <c r="E5" s="107"/>
      <c r="F5" s="107"/>
      <c r="G5" s="107"/>
      <c r="H5" s="107"/>
    </row>
    <row r="6" spans="1:8" ht="15" x14ac:dyDescent="0.2">
      <c r="A6" s="108"/>
      <c r="B6" s="108"/>
      <c r="C6" s="108"/>
      <c r="D6" s="108"/>
      <c r="E6" s="107"/>
      <c r="F6" s="107"/>
      <c r="G6" s="108"/>
      <c r="H6" s="108"/>
    </row>
    <row r="7" spans="1:8" ht="32" x14ac:dyDescent="0.2">
      <c r="A7" s="109" t="s">
        <v>117</v>
      </c>
      <c r="B7" s="109"/>
      <c r="C7" s="110"/>
      <c r="D7" s="111" t="s">
        <v>118</v>
      </c>
      <c r="E7" s="111" t="s">
        <v>119</v>
      </c>
      <c r="F7" s="111" t="s">
        <v>120</v>
      </c>
      <c r="G7" s="112" t="s">
        <v>121</v>
      </c>
      <c r="H7" s="111" t="s">
        <v>122</v>
      </c>
    </row>
    <row r="8" spans="1:8" ht="15" x14ac:dyDescent="0.2">
      <c r="A8" s="108"/>
      <c r="B8" s="108" t="s">
        <v>123</v>
      </c>
      <c r="C8" s="108" t="s">
        <v>124</v>
      </c>
      <c r="D8" s="108" t="s">
        <v>125</v>
      </c>
      <c r="E8" s="113">
        <v>2.9099999999999998E-3</v>
      </c>
      <c r="F8" s="113">
        <v>-1.056E-2</v>
      </c>
      <c r="G8" s="113" t="s">
        <v>74</v>
      </c>
      <c r="H8" s="114" t="str">
        <f t="shared" ref="H8:H13" si="0">IF(E8="","",IF(E8=F8,"N","Y"))</f>
        <v>Y</v>
      </c>
    </row>
    <row r="9" spans="1:8" ht="15" x14ac:dyDescent="0.2">
      <c r="A9" s="108"/>
      <c r="B9" s="108" t="s">
        <v>123</v>
      </c>
      <c r="C9" s="108" t="s">
        <v>126</v>
      </c>
      <c r="D9" s="108" t="s">
        <v>127</v>
      </c>
      <c r="E9" s="113">
        <v>2.9099999999999998E-3</v>
      </c>
      <c r="F9" s="113">
        <v>-1.056E-2</v>
      </c>
      <c r="G9" s="113" t="s">
        <v>74</v>
      </c>
      <c r="H9" s="114" t="str">
        <f t="shared" si="0"/>
        <v>Y</v>
      </c>
    </row>
    <row r="10" spans="1:8" ht="15" x14ac:dyDescent="0.2">
      <c r="A10" s="108"/>
      <c r="B10" s="108" t="s">
        <v>123</v>
      </c>
      <c r="C10" s="115" t="s">
        <v>128</v>
      </c>
      <c r="D10" s="108" t="s">
        <v>129</v>
      </c>
      <c r="E10" s="113">
        <v>2.9099999999999998E-3</v>
      </c>
      <c r="F10" s="113">
        <v>-1.056E-2</v>
      </c>
      <c r="G10" s="113" t="s">
        <v>74</v>
      </c>
      <c r="H10" s="114" t="str">
        <f t="shared" si="0"/>
        <v>Y</v>
      </c>
    </row>
    <row r="11" spans="1:8" ht="15" x14ac:dyDescent="0.2">
      <c r="A11" s="108"/>
      <c r="B11" s="108" t="s">
        <v>123</v>
      </c>
      <c r="C11" s="115" t="s">
        <v>130</v>
      </c>
      <c r="D11" s="108" t="s">
        <v>131</v>
      </c>
      <c r="E11" s="113">
        <v>2.9099999999999998E-3</v>
      </c>
      <c r="F11" s="113">
        <v>-1.056E-2</v>
      </c>
      <c r="G11" s="113" t="s">
        <v>74</v>
      </c>
      <c r="H11" s="114" t="str">
        <f t="shared" si="0"/>
        <v>Y</v>
      </c>
    </row>
    <row r="12" spans="1:8" ht="15" x14ac:dyDescent="0.2">
      <c r="A12" s="108"/>
      <c r="B12" s="108" t="s">
        <v>123</v>
      </c>
      <c r="C12" s="116" t="s">
        <v>132</v>
      </c>
      <c r="D12" s="108" t="s">
        <v>133</v>
      </c>
      <c r="E12" s="113">
        <v>2.9099999999999998E-3</v>
      </c>
      <c r="F12" s="113">
        <v>-1.056E-2</v>
      </c>
      <c r="G12" s="117" t="s">
        <v>74</v>
      </c>
      <c r="H12" s="114" t="str">
        <f t="shared" si="0"/>
        <v>Y</v>
      </c>
    </row>
    <row r="13" spans="1:8" ht="15" x14ac:dyDescent="0.2">
      <c r="A13" s="108"/>
      <c r="B13" s="108" t="s">
        <v>123</v>
      </c>
      <c r="C13" s="116" t="s">
        <v>134</v>
      </c>
      <c r="D13" s="108" t="s">
        <v>135</v>
      </c>
      <c r="E13" s="113">
        <v>2.9099999999999998E-3</v>
      </c>
      <c r="F13" s="113">
        <v>-1.056E-2</v>
      </c>
      <c r="G13" s="117" t="s">
        <v>74</v>
      </c>
      <c r="H13" s="114" t="str">
        <f t="shared" si="0"/>
        <v>Y</v>
      </c>
    </row>
  </sheetData>
  <mergeCells count="4">
    <mergeCell ref="A1:H1"/>
    <mergeCell ref="A2:H2"/>
    <mergeCell ref="A3:H3"/>
    <mergeCell ref="A4:H4"/>
  </mergeCells>
  <pageMargins left="0.5" right="0.5" top="0.5" bottom="0.75" header="0" footer="0.25"/>
  <pageSetup scale="95" fitToHeight="0" orientation="portrait" r:id="rId1"/>
  <headerFooter>
    <oddFooter>&amp;L&amp;F     &amp;A&amp;R&amp;P of &amp;N</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10</vt:i4>
      </vt:variant>
    </vt:vector>
  </HeadingPairs>
  <TitlesOfParts>
    <vt:vector size="18" baseType="lpstr">
      <vt:lpstr>Cover Sheet</vt:lpstr>
      <vt:lpstr>MMG-1.1a</vt:lpstr>
      <vt:lpstr>MMG-1.1b</vt:lpstr>
      <vt:lpstr>MMG-1.3a</vt:lpstr>
      <vt:lpstr>MMG-1.3b</vt:lpstr>
      <vt:lpstr>MMG-1.3c</vt:lpstr>
      <vt:lpstr>MMG-1.3d</vt:lpstr>
      <vt:lpstr>Bill Factor Codes</vt:lpstr>
      <vt:lpstr>'Bill Factor Codes'!Print_Area</vt:lpstr>
      <vt:lpstr>'Cover Sheet'!Print_Area</vt:lpstr>
      <vt:lpstr>'MMG-1.1a'!Print_Area</vt:lpstr>
      <vt:lpstr>'MMG-1.1b'!Print_Area</vt:lpstr>
      <vt:lpstr>'MMG-1.3a'!Print_Area</vt:lpstr>
      <vt:lpstr>'MMG-1.3b'!Print_Area</vt:lpstr>
      <vt:lpstr>'MMG-1.3c'!Print_Area</vt:lpstr>
      <vt:lpstr>'MMG-1.3d'!Print_Area</vt:lpstr>
      <vt:lpstr>'Cover Sheet'!Print_Titles</vt:lpstr>
      <vt:lpstr>'MMG-1.1b'!Print_Titles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Rhone, Stacy</dc:creator>
  <cp:lastModifiedBy>Cheng Feng</cp:lastModifiedBy>
  <cp:lastPrinted>2023-05-18T19:31:22Z</cp:lastPrinted>
  <dcterms:created xsi:type="dcterms:W3CDTF">2022-03-09T20:15:40Z</dcterms:created>
  <dcterms:modified xsi:type="dcterms:W3CDTF">2025-09-17T15:23:04Z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