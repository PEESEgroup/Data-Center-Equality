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rider/MISO/"/>
    </mc:Choice>
  </mc:AlternateContent>
  <xr:revisionPtr revIDLastSave="0" documentId="13_ncr:1_{48793B5B-CD12-2A46-8571-3DC2F8AC796F}" xr6:coauthVersionLast="47" xr6:coauthVersionMax="47" xr10:uidLastSave="{00000000-0000-0000-0000-000000000000}"/>
  <bookViews>
    <workbookView xWindow="0" yWindow="600" windowWidth="18440" windowHeight="21000" activeTab="3" xr2:uid="{08CDB012-30B4-7842-ADAB-7B261DF56280}"/>
  </bookViews>
  <sheets>
    <sheet name="LRZ1" sheetId="21" r:id="rId1"/>
    <sheet name="LRZ35" sheetId="22" r:id="rId2"/>
    <sheet name="LRZ27" sheetId="23" r:id="rId3"/>
    <sheet name="LRZ6" sheetId="25" r:id="rId4"/>
    <sheet name="LRZ8910" sheetId="2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26" l="1"/>
  <c r="F37" i="26"/>
  <c r="E37" i="26"/>
  <c r="C37" i="26"/>
  <c r="G38" i="26"/>
  <c r="C38" i="26"/>
  <c r="D38" i="26"/>
  <c r="E38" i="26"/>
  <c r="F38" i="26"/>
  <c r="B38" i="26"/>
  <c r="D37" i="26"/>
  <c r="B37" i="26"/>
  <c r="C27" i="25"/>
  <c r="D27" i="25"/>
  <c r="E27" i="25"/>
  <c r="F27" i="25"/>
  <c r="G27" i="25"/>
  <c r="B27" i="25"/>
  <c r="C26" i="25"/>
  <c r="D26" i="25"/>
  <c r="E26" i="25"/>
  <c r="F26" i="25"/>
  <c r="G26" i="25"/>
  <c r="B26" i="25"/>
  <c r="C38" i="23" l="1"/>
  <c r="D38" i="23"/>
  <c r="E38" i="23"/>
  <c r="F38" i="23"/>
  <c r="G38" i="23"/>
  <c r="B38" i="23"/>
  <c r="G26" i="23"/>
  <c r="G25" i="23"/>
  <c r="G37" i="23" s="1"/>
  <c r="C37" i="23"/>
  <c r="D37" i="23"/>
  <c r="E37" i="23"/>
  <c r="F37" i="23"/>
  <c r="B37" i="23"/>
  <c r="G34" i="23"/>
  <c r="G33" i="23"/>
  <c r="C34" i="23"/>
  <c r="C33" i="23"/>
  <c r="B11" i="22"/>
  <c r="B5" i="21"/>
  <c r="D34" i="26"/>
  <c r="E34" i="26"/>
  <c r="F34" i="26"/>
  <c r="G34" i="26"/>
  <c r="D33" i="26"/>
  <c r="E33" i="26"/>
  <c r="F33" i="26"/>
  <c r="G33" i="26"/>
  <c r="B34" i="26"/>
  <c r="B33" i="26"/>
  <c r="D16" i="23"/>
  <c r="D15" i="23"/>
  <c r="C16" i="23"/>
  <c r="C15" i="23"/>
  <c r="C9" i="23"/>
  <c r="D9" i="23"/>
  <c r="E9" i="23"/>
  <c r="F9" i="23"/>
  <c r="G9" i="23"/>
  <c r="C8" i="23"/>
  <c r="D8" i="23"/>
  <c r="E8" i="23"/>
  <c r="F8" i="23"/>
  <c r="G8" i="23"/>
  <c r="B9" i="23"/>
  <c r="B8" i="23"/>
  <c r="B35" i="26" l="1"/>
  <c r="D23" i="26"/>
  <c r="E23" i="26"/>
  <c r="E24" i="26" s="1"/>
  <c r="G23" i="26"/>
  <c r="C23" i="26"/>
  <c r="D22" i="26"/>
  <c r="E22" i="26"/>
  <c r="G22" i="26"/>
  <c r="C22" i="26"/>
  <c r="C10" i="26"/>
  <c r="D10" i="26"/>
  <c r="B10" i="26"/>
  <c r="C9" i="26"/>
  <c r="D9" i="26"/>
  <c r="B9" i="26"/>
  <c r="B11" i="26" s="1"/>
  <c r="C24" i="25"/>
  <c r="D24" i="25"/>
  <c r="E24" i="25"/>
  <c r="F24" i="25"/>
  <c r="G24" i="25"/>
  <c r="B24" i="25"/>
  <c r="C23" i="25"/>
  <c r="D23" i="25"/>
  <c r="E23" i="25"/>
  <c r="F23" i="25"/>
  <c r="G23" i="25"/>
  <c r="B23" i="25"/>
  <c r="C22" i="25"/>
  <c r="D22" i="25"/>
  <c r="E22" i="25"/>
  <c r="F22" i="25"/>
  <c r="G22" i="25"/>
  <c r="B22" i="25"/>
  <c r="C8" i="25"/>
  <c r="D8" i="25"/>
  <c r="E8" i="25"/>
  <c r="E9" i="25" s="1"/>
  <c r="F8" i="25"/>
  <c r="F9" i="25" s="1"/>
  <c r="G8" i="25"/>
  <c r="G9" i="25" s="1"/>
  <c r="B8" i="25"/>
  <c r="C7" i="25"/>
  <c r="D7" i="25"/>
  <c r="E7" i="25"/>
  <c r="F7" i="25"/>
  <c r="G7" i="25"/>
  <c r="B7" i="25"/>
  <c r="C35" i="23"/>
  <c r="D35" i="23"/>
  <c r="E35" i="23"/>
  <c r="F35" i="23"/>
  <c r="G35" i="23"/>
  <c r="B35" i="23"/>
  <c r="D34" i="23"/>
  <c r="E34" i="23"/>
  <c r="F34" i="23"/>
  <c r="B34" i="23"/>
  <c r="D33" i="23"/>
  <c r="E33" i="23"/>
  <c r="F33" i="23"/>
  <c r="B33" i="23"/>
  <c r="C27" i="23"/>
  <c r="D27" i="23"/>
  <c r="E27" i="23"/>
  <c r="F27" i="23"/>
  <c r="G27" i="23"/>
  <c r="B27" i="23"/>
  <c r="C26" i="23"/>
  <c r="D26" i="23"/>
  <c r="E26" i="23"/>
  <c r="F26" i="23"/>
  <c r="B26" i="23"/>
  <c r="C25" i="23"/>
  <c r="D25" i="23"/>
  <c r="E25" i="23"/>
  <c r="F25" i="23"/>
  <c r="B25" i="23"/>
  <c r="F35" i="26" l="1"/>
  <c r="E35" i="26"/>
  <c r="D35" i="26"/>
  <c r="G24" i="26"/>
  <c r="G35" i="26"/>
  <c r="D24" i="26"/>
  <c r="D11" i="26"/>
  <c r="C11" i="26"/>
  <c r="C24" i="26"/>
  <c r="B9" i="25"/>
  <c r="D9" i="25"/>
  <c r="C9" i="25"/>
  <c r="C17" i="23"/>
  <c r="D17" i="23"/>
  <c r="E16" i="23"/>
  <c r="F16" i="23"/>
  <c r="F17" i="23" s="1"/>
  <c r="G16" i="23"/>
  <c r="G17" i="23" s="1"/>
  <c r="B16" i="23"/>
  <c r="E15" i="23"/>
  <c r="F15" i="23"/>
  <c r="G15" i="23"/>
  <c r="B15" i="23"/>
  <c r="C10" i="23"/>
  <c r="D10" i="23"/>
  <c r="G10" i="23"/>
  <c r="E10" i="23"/>
  <c r="F10" i="23"/>
  <c r="B10" i="23"/>
  <c r="C6" i="21"/>
  <c r="D6" i="21"/>
  <c r="E6" i="21"/>
  <c r="F6" i="21"/>
  <c r="G6" i="21"/>
  <c r="B6" i="21"/>
  <c r="C5" i="21"/>
  <c r="D5" i="21"/>
  <c r="E5" i="21"/>
  <c r="F5" i="21"/>
  <c r="G5" i="21"/>
  <c r="C11" i="22"/>
  <c r="D11" i="22"/>
  <c r="E11" i="22"/>
  <c r="F11" i="22"/>
  <c r="G11" i="22"/>
  <c r="C10" i="22"/>
  <c r="D10" i="22"/>
  <c r="E10" i="22"/>
  <c r="F10" i="22"/>
  <c r="G10" i="22"/>
  <c r="B10" i="22"/>
  <c r="E17" i="23" l="1"/>
  <c r="B17" i="23"/>
</calcChain>
</file>

<file path=xl/sharedStrings.xml><?xml version="1.0" encoding="utf-8"?>
<sst xmlns="http://schemas.openxmlformats.org/spreadsheetml/2006/main" count="117" uniqueCount="67">
  <si>
    <t>DC</t>
  </si>
  <si>
    <t>Residential</t>
  </si>
  <si>
    <t>RU</t>
  </si>
  <si>
    <t>xxxxxx</t>
  </si>
  <si>
    <t>xxxxxxx</t>
  </si>
  <si>
    <t>RU-1</t>
  </si>
  <si>
    <t>DC-1</t>
  </si>
  <si>
    <t>Ratio-1</t>
  </si>
  <si>
    <t>RU-2</t>
  </si>
  <si>
    <t>DC-2</t>
  </si>
  <si>
    <t>Ratio-2</t>
  </si>
  <si>
    <t>Lighting</t>
  </si>
  <si>
    <t>Small General Service Energy</t>
  </si>
  <si>
    <t>Small General Service Demand</t>
  </si>
  <si>
    <t>Large General Service &amp; Substation</t>
  </si>
  <si>
    <t>Individual Contract Rates</t>
  </si>
  <si>
    <t>Traffic Control Service</t>
  </si>
  <si>
    <t>Water Pumping Service</t>
  </si>
  <si>
    <t>Interdepartmental</t>
  </si>
  <si>
    <t>Wholesale</t>
  </si>
  <si>
    <t>-</t>
  </si>
  <si>
    <t>Small Commercial</t>
  </si>
  <si>
    <t>Medium and Large Commercial &amp; Industrial</t>
  </si>
  <si>
    <t>Contract</t>
  </si>
  <si>
    <t>Miscellaneous</t>
  </si>
  <si>
    <t>Streetlighting</t>
  </si>
  <si>
    <t>RU-3</t>
  </si>
  <si>
    <t>DC-3</t>
  </si>
  <si>
    <t>Ratio-3</t>
  </si>
  <si>
    <t>Secondary C&amp;I</t>
  </si>
  <si>
    <t>Primary C&amp;I</t>
  </si>
  <si>
    <t>RU-4</t>
  </si>
  <si>
    <t>DC-4</t>
  </si>
  <si>
    <t>Ratio-4</t>
  </si>
  <si>
    <t>C&amp;I - Small</t>
  </si>
  <si>
    <t>C&amp;I - Large 1</t>
  </si>
  <si>
    <t>C&amp;I - Large 2</t>
  </si>
  <si>
    <t>Rate RS</t>
  </si>
  <si>
    <t>Rates CS</t>
  </si>
  <si>
    <t>Rate HLF</t>
  </si>
  <si>
    <t>Customer L</t>
  </si>
  <si>
    <t>Customer O</t>
  </si>
  <si>
    <t>Rate WP</t>
  </si>
  <si>
    <t>Rate SL</t>
  </si>
  <si>
    <t>Rate MHLS</t>
  </si>
  <si>
    <t>Rate MOLS &amp; UOLS (1)</t>
  </si>
  <si>
    <t>Rates TS, FS, and MS</t>
  </si>
  <si>
    <t>Rate LLF</t>
  </si>
  <si>
    <t>Small General</t>
  </si>
  <si>
    <t>Large General</t>
  </si>
  <si>
    <t>Large Load &amp; Factor</t>
  </si>
  <si>
    <t>Large Industrial Power</t>
  </si>
  <si>
    <t>Light</t>
  </si>
  <si>
    <t>Small Eletric</t>
  </si>
  <si>
    <t>Municipal</t>
  </si>
  <si>
    <t>Large Electric</t>
  </si>
  <si>
    <t>Large Electric &amp; High Load</t>
  </si>
  <si>
    <t>Master metered</t>
  </si>
  <si>
    <t>High Voltage</t>
  </si>
  <si>
    <t>Large Interruptible</t>
  </si>
  <si>
    <t>Secondary</t>
  </si>
  <si>
    <t>Primary</t>
  </si>
  <si>
    <t>General Service</t>
  </si>
  <si>
    <t>Interm. General Service</t>
  </si>
  <si>
    <t>High Load Factor</t>
  </si>
  <si>
    <t>Large General Service</t>
  </si>
  <si>
    <t>Alt. Large Gen.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</si>
</sst>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color theme="1"/>
      <name val="Helvetica"/>
      <family val="2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0" xfId="0" applyFont="1"/>
    <xf numFmtId="10" fontId="0" fillId="0" borderId="0" xfId="0" applyNumberFormat="1"/>
    <xf numFmtId="0" fontId="3" fillId="0" borderId="0" xfId="0" applyFont="1"/>
    <xf numFmtId="3" fontId="0" fillId="0" borderId="0" xfId="0" applyNumberFormat="1"/>
    <xf numFmtId="10" fontId="2" fillId="0" borderId="0" xfId="0" applyNumberFormat="1" applyFont="1"/>
    <xf numFmtId="3" fontId="2" fillId="0" borderId="0" xfId="0" applyNumberFormat="1" applyFont="1"/>
    <xf numFmtId="3" fontId="4" fillId="0" borderId="0" xfId="0" applyNumberFormat="1" applyFont="1"/>
    <xf numFmtId="0" fontId="4" fillId="0" borderId="0" xfId="0" applyFont="1"/>
    <xf numFmtId="0" fontId="5" fillId="0" borderId="0" xfId="0" applyFont="1"/>
    <xf numFmtId="3" fontId="5" fillId="0" borderId="0" xfId="0" applyNumberFormat="1" applyFont="1"/>
    <xf numFmtId="0" fontId="6" fillId="0" borderId="0" xfId="0" applyFont="1"/>
  </cellXfs>
  <cellStyles count="2">
    <cellStyle name="Normal" xfId="0" builtinId="0"/>
    <cellStyle name="Normal 10" xfId="1" xr:uid="{BD7205C7-B9D5-4E4D-AA83-2562817698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4EE2-7089-F645-A53E-064DD6D156BE}">
  <dimension ref="A1:G6"/>
  <sheetViews>
    <sheetView workbookViewId="0">
      <selection activeCell="A7" sqref="A7:XFD7"/>
    </sheetView>
  </sheetViews>
  <sheetFormatPr baseColWidth="10" defaultRowHeight="16"/>
  <cols>
    <col min="1" max="1" width="30.5" bestFit="1" customWidth="1"/>
    <col min="2" max="2" width="12.1640625" bestFit="1" customWidth="1"/>
  </cols>
  <sheetData>
    <row r="1" spans="1:7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>
      <c r="A2" t="s">
        <v>1</v>
      </c>
      <c r="B2" s="2">
        <v>0.3614</v>
      </c>
      <c r="C2" s="2">
        <v>0.3614</v>
      </c>
      <c r="D2" s="2">
        <v>0.39779999999999999</v>
      </c>
      <c r="E2" s="2">
        <v>0.39900000000000002</v>
      </c>
      <c r="F2" s="2">
        <v>0.39560000000000001</v>
      </c>
      <c r="G2" s="2">
        <v>0.40410000000000001</v>
      </c>
    </row>
    <row r="3" spans="1:7">
      <c r="A3" t="s">
        <v>12</v>
      </c>
      <c r="B3" s="2">
        <v>3.2800000000000003E-2</v>
      </c>
      <c r="C3" s="2">
        <v>3.2800000000000003E-2</v>
      </c>
      <c r="D3" s="2">
        <v>2.8299999999999999E-2</v>
      </c>
      <c r="E3" s="2">
        <v>2.7900000000000001E-2</v>
      </c>
      <c r="F3" s="2">
        <v>2.7400000000000001E-2</v>
      </c>
      <c r="G3" s="2">
        <v>2.4799999999999999E-2</v>
      </c>
    </row>
    <row r="4" spans="1:7">
      <c r="A4" t="s">
        <v>13</v>
      </c>
      <c r="B4" s="2">
        <v>0.60589999999999999</v>
      </c>
      <c r="C4" s="2">
        <v>0.60589999999999999</v>
      </c>
      <c r="D4" s="2">
        <v>0.57389999999999997</v>
      </c>
      <c r="E4" s="2">
        <v>0.57310000000000005</v>
      </c>
      <c r="F4" s="2">
        <v>0.57469999999999999</v>
      </c>
      <c r="G4" s="2">
        <v>0.57110000000000005</v>
      </c>
    </row>
    <row r="5" spans="1:7">
      <c r="A5" t="s">
        <v>2</v>
      </c>
      <c r="B5" s="2">
        <f>B2</f>
        <v>0.3614</v>
      </c>
      <c r="C5" s="2">
        <f t="shared" ref="C5:G5" si="0">C2</f>
        <v>0.3614</v>
      </c>
      <c r="D5" s="2">
        <f t="shared" si="0"/>
        <v>0.39779999999999999</v>
      </c>
      <c r="E5" s="2">
        <f t="shared" si="0"/>
        <v>0.39900000000000002</v>
      </c>
      <c r="F5" s="2">
        <f t="shared" si="0"/>
        <v>0.39560000000000001</v>
      </c>
      <c r="G5" s="2">
        <f t="shared" si="0"/>
        <v>0.40410000000000001</v>
      </c>
    </row>
    <row r="6" spans="1:7">
      <c r="A6" t="s">
        <v>0</v>
      </c>
      <c r="B6" s="2">
        <f>B4</f>
        <v>0.60589999999999999</v>
      </c>
      <c r="C6" s="2">
        <f t="shared" ref="C6:G6" si="1">C4</f>
        <v>0.60589999999999999</v>
      </c>
      <c r="D6" s="2">
        <f t="shared" si="1"/>
        <v>0.57389999999999997</v>
      </c>
      <c r="E6" s="2">
        <f t="shared" si="1"/>
        <v>0.57310000000000005</v>
      </c>
      <c r="F6" s="2">
        <f t="shared" si="1"/>
        <v>0.57469999999999999</v>
      </c>
      <c r="G6" s="2">
        <f t="shared" si="1"/>
        <v>0.57110000000000005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2909A-F304-E340-9AC7-A316AC6FB2B1}">
  <dimension ref="A1:G19"/>
  <sheetViews>
    <sheetView workbookViewId="0">
      <selection activeCell="A10" sqref="A10:A11"/>
    </sheetView>
  </sheetViews>
  <sheetFormatPr baseColWidth="10" defaultRowHeight="16"/>
  <cols>
    <col min="1" max="1" width="30.5" bestFit="1" customWidth="1"/>
  </cols>
  <sheetData>
    <row r="1" spans="1:7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>
      <c r="A2" t="s">
        <v>1</v>
      </c>
      <c r="B2">
        <v>0.31345000000000001</v>
      </c>
      <c r="C2">
        <v>0.3149529222257344</v>
      </c>
      <c r="D2">
        <v>0.30822530776353524</v>
      </c>
      <c r="E2">
        <v>0.28504922334344934</v>
      </c>
      <c r="F2">
        <v>0.30217239554049541</v>
      </c>
      <c r="G2">
        <v>0.29727776787848958</v>
      </c>
    </row>
    <row r="3" spans="1:7">
      <c r="A3" t="s">
        <v>12</v>
      </c>
      <c r="B3">
        <v>0.10119</v>
      </c>
      <c r="C3">
        <v>9.8299941433168614E-2</v>
      </c>
      <c r="D3">
        <v>7.9046490791817692E-2</v>
      </c>
      <c r="E3">
        <v>8.8506166961044477E-2</v>
      </c>
      <c r="F3">
        <v>9.4017856545462519E-2</v>
      </c>
      <c r="G3">
        <v>9.7620782503424833E-2</v>
      </c>
    </row>
    <row r="4" spans="1:7">
      <c r="A4" t="s">
        <v>13</v>
      </c>
      <c r="B4">
        <v>7.6960000000000001E-2</v>
      </c>
      <c r="C4">
        <v>7.4806266686406803E-2</v>
      </c>
      <c r="D4">
        <v>8.8991921537800445E-2</v>
      </c>
      <c r="E4">
        <v>8.5246951186381106E-2</v>
      </c>
      <c r="F4">
        <v>7.6609915667871314E-2</v>
      </c>
      <c r="G4">
        <v>7.0203124511426462E-2</v>
      </c>
    </row>
    <row r="5" spans="1:7">
      <c r="A5" t="s">
        <v>14</v>
      </c>
      <c r="B5">
        <v>0.29481000000000002</v>
      </c>
      <c r="C5">
        <v>0.27465958385626815</v>
      </c>
      <c r="D5">
        <v>0.26007198782433577</v>
      </c>
      <c r="E5">
        <v>0.26249276045278863</v>
      </c>
      <c r="F5">
        <v>0.23939928247472639</v>
      </c>
      <c r="G5">
        <v>0.22939363456421727</v>
      </c>
    </row>
    <row r="6" spans="1:7">
      <c r="A6" t="s">
        <v>15</v>
      </c>
      <c r="B6">
        <v>0.21049999999999999</v>
      </c>
      <c r="C6">
        <v>0.23422961265366032</v>
      </c>
      <c r="D6">
        <v>0.26039433485451224</v>
      </c>
      <c r="E6">
        <v>0.27674778688190699</v>
      </c>
      <c r="F6">
        <v>0.28527241468799935</v>
      </c>
      <c r="G6">
        <v>0.30302427779349245</v>
      </c>
    </row>
    <row r="7" spans="1:7">
      <c r="A7" t="s">
        <v>16</v>
      </c>
      <c r="B7">
        <v>1.7000000000000001E-4</v>
      </c>
      <c r="C7">
        <v>1.7162755305330757E-4</v>
      </c>
      <c r="D7">
        <v>1.7116279319957076E-4</v>
      </c>
      <c r="E7">
        <v>1.5598606713548361E-4</v>
      </c>
      <c r="F7">
        <v>1.4617740838369624E-4</v>
      </c>
      <c r="G7">
        <v>1.4434466123641011E-4</v>
      </c>
    </row>
    <row r="8" spans="1:7">
      <c r="A8" t="s">
        <v>17</v>
      </c>
      <c r="B8">
        <v>1.6199999999999999E-3</v>
      </c>
      <c r="C8">
        <v>1.5666907066554999E-3</v>
      </c>
      <c r="D8">
        <v>1.6863847139512781E-3</v>
      </c>
      <c r="E8">
        <v>1.5619748608222334E-3</v>
      </c>
      <c r="F8">
        <v>1.68421950969844E-3</v>
      </c>
      <c r="G8">
        <v>2.0083014756993546E-3</v>
      </c>
    </row>
    <row r="9" spans="1:7">
      <c r="A9" t="s">
        <v>11</v>
      </c>
      <c r="B9">
        <v>1.2999999999999999E-3</v>
      </c>
      <c r="C9">
        <v>1.3133548850529173E-3</v>
      </c>
      <c r="D9">
        <v>1.4124097208477499E-3</v>
      </c>
      <c r="E9">
        <v>2.3915024647153029E-4</v>
      </c>
      <c r="F9">
        <v>6.9773816536288316E-4</v>
      </c>
      <c r="G9">
        <v>3.2776661201370453E-4</v>
      </c>
    </row>
    <row r="10" spans="1:7">
      <c r="A10" t="s">
        <v>2</v>
      </c>
      <c r="B10">
        <f>B2</f>
        <v>0.31345000000000001</v>
      </c>
      <c r="C10">
        <f t="shared" ref="C10:G10" si="0">C2</f>
        <v>0.3149529222257344</v>
      </c>
      <c r="D10">
        <f t="shared" si="0"/>
        <v>0.30822530776353524</v>
      </c>
      <c r="E10">
        <f t="shared" si="0"/>
        <v>0.28504922334344934</v>
      </c>
      <c r="F10">
        <f t="shared" si="0"/>
        <v>0.30217239554049541</v>
      </c>
      <c r="G10">
        <f t="shared" si="0"/>
        <v>0.29727776787848958</v>
      </c>
    </row>
    <row r="11" spans="1:7">
      <c r="A11" t="s">
        <v>0</v>
      </c>
      <c r="B11">
        <f>B5+B6</f>
        <v>0.50531000000000004</v>
      </c>
      <c r="C11">
        <f t="shared" ref="C11:G11" si="1">C5+C6</f>
        <v>0.50888919650992848</v>
      </c>
      <c r="D11">
        <f t="shared" si="1"/>
        <v>0.52046632267884796</v>
      </c>
      <c r="E11">
        <f t="shared" si="1"/>
        <v>0.53924054733469562</v>
      </c>
      <c r="F11">
        <f t="shared" si="1"/>
        <v>0.52467169716272577</v>
      </c>
      <c r="G11">
        <f t="shared" si="1"/>
        <v>0.53241791235770974</v>
      </c>
    </row>
    <row r="12" spans="1:7">
      <c r="B12" s="2"/>
      <c r="C12" s="2"/>
      <c r="D12" s="2"/>
      <c r="E12" s="2"/>
      <c r="F12" s="2"/>
      <c r="G12" s="2"/>
    </row>
    <row r="13" spans="1:7">
      <c r="B13" s="2"/>
      <c r="C13" s="2"/>
      <c r="D13" s="2"/>
      <c r="E13" s="2"/>
      <c r="F13" s="2"/>
      <c r="G13" s="2"/>
    </row>
    <row r="14" spans="1:7">
      <c r="B14" s="2"/>
      <c r="C14" s="2"/>
      <c r="D14" s="2"/>
      <c r="E14" s="2"/>
      <c r="F14" s="2"/>
      <c r="G14" s="2"/>
    </row>
    <row r="15" spans="1:7">
      <c r="B15" s="2"/>
      <c r="C15" s="2"/>
      <c r="D15" s="2"/>
      <c r="E15" s="2"/>
      <c r="F15" s="2"/>
      <c r="G15" s="2"/>
    </row>
    <row r="16" spans="1:7">
      <c r="B16" s="2"/>
      <c r="C16" s="2"/>
      <c r="D16" s="2"/>
      <c r="E16" s="2"/>
      <c r="F16" s="2"/>
      <c r="G16" s="2"/>
    </row>
    <row r="17" spans="2:7">
      <c r="B17" s="2"/>
      <c r="C17" s="2"/>
      <c r="D17" s="2"/>
      <c r="E17" s="2"/>
      <c r="F17" s="2"/>
      <c r="G17" s="2"/>
    </row>
    <row r="19" spans="2:7">
      <c r="B19" s="2"/>
      <c r="C19" s="2"/>
      <c r="D19" s="2"/>
      <c r="E19" s="2"/>
      <c r="F19" s="2"/>
      <c r="G1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A12D3-545A-164E-8D12-C40827F22881}">
  <dimension ref="A1:R38"/>
  <sheetViews>
    <sheetView workbookViewId="0">
      <selection activeCell="A37" sqref="A37:A38"/>
    </sheetView>
  </sheetViews>
  <sheetFormatPr baseColWidth="10" defaultRowHeight="16"/>
  <cols>
    <col min="1" max="1" width="16.33203125" bestFit="1" customWidth="1"/>
    <col min="2" max="2" width="12.33203125" bestFit="1" customWidth="1"/>
    <col min="3" max="3" width="11.6640625" customWidth="1"/>
    <col min="4" max="4" width="11.1640625" customWidth="1"/>
    <col min="5" max="6" width="11" bestFit="1" customWidth="1"/>
    <col min="7" max="7" width="11.6640625" customWidth="1"/>
    <col min="12" max="12" width="12.6640625" bestFit="1" customWidth="1"/>
  </cols>
  <sheetData>
    <row r="1" spans="1:18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L1" s="4"/>
      <c r="M1" s="2"/>
      <c r="N1" s="4"/>
      <c r="O1" s="4"/>
      <c r="P1" s="4"/>
      <c r="Q1" s="4"/>
      <c r="R1" s="4"/>
    </row>
    <row r="2" spans="1:18">
      <c r="A2" t="s">
        <v>1</v>
      </c>
      <c r="B2">
        <v>47.938000000000002</v>
      </c>
      <c r="C2">
        <v>50.853000000000002</v>
      </c>
      <c r="D2" s="11">
        <v>38.823999999999998</v>
      </c>
      <c r="E2">
        <v>46.680999999999997</v>
      </c>
      <c r="F2">
        <v>48.311</v>
      </c>
      <c r="G2">
        <v>48.924999999999997</v>
      </c>
      <c r="L2" s="4"/>
      <c r="M2" s="2"/>
      <c r="N2" s="4"/>
      <c r="O2" s="4"/>
      <c r="P2" s="4"/>
      <c r="Q2" s="4"/>
      <c r="R2" s="4"/>
    </row>
    <row r="3" spans="1:18">
      <c r="A3" t="s">
        <v>60</v>
      </c>
      <c r="B3">
        <v>22.643999999999998</v>
      </c>
      <c r="C3">
        <v>22.172000000000001</v>
      </c>
      <c r="D3" s="11">
        <v>21.722999999999999</v>
      </c>
      <c r="E3">
        <v>23.734000000000002</v>
      </c>
      <c r="F3">
        <v>24.113</v>
      </c>
      <c r="G3">
        <v>23.971</v>
      </c>
      <c r="L3" s="4"/>
      <c r="M3" s="2"/>
      <c r="N3" s="4"/>
      <c r="O3" s="4"/>
      <c r="P3" s="4"/>
      <c r="Q3" s="4"/>
      <c r="R3" s="4"/>
    </row>
    <row r="4" spans="1:18">
      <c r="A4" t="s">
        <v>61</v>
      </c>
      <c r="B4">
        <v>27.974</v>
      </c>
      <c r="C4">
        <v>25.611999999999998</v>
      </c>
      <c r="D4" s="11">
        <v>28.128</v>
      </c>
      <c r="E4">
        <v>28.242999999999999</v>
      </c>
      <c r="F4">
        <v>26.998000000000001</v>
      </c>
      <c r="G4">
        <v>26.437000000000001</v>
      </c>
      <c r="L4" s="4"/>
      <c r="M4" s="2"/>
      <c r="N4" s="4"/>
      <c r="O4" s="4"/>
      <c r="P4" s="4"/>
      <c r="Q4" s="4"/>
      <c r="R4" s="4"/>
    </row>
    <row r="5" spans="1:18">
      <c r="A5" t="s">
        <v>11</v>
      </c>
      <c r="B5">
        <v>0.317</v>
      </c>
      <c r="C5">
        <v>0.315</v>
      </c>
      <c r="D5" s="11">
        <v>0.28999999999999998</v>
      </c>
      <c r="E5">
        <v>0.28499999999999998</v>
      </c>
      <c r="F5">
        <v>0.29599999999999999</v>
      </c>
      <c r="G5">
        <v>0.28199999999999997</v>
      </c>
      <c r="L5" s="4"/>
      <c r="M5" s="2"/>
      <c r="N5" s="4"/>
      <c r="O5" s="4"/>
      <c r="P5" s="4"/>
      <c r="Q5" s="4"/>
      <c r="R5" s="4"/>
    </row>
    <row r="6" spans="1:18">
      <c r="A6" t="s">
        <v>18</v>
      </c>
      <c r="B6">
        <v>0.152</v>
      </c>
      <c r="C6">
        <v>0.1139</v>
      </c>
      <c r="D6" s="11">
        <v>0.14000000000000001</v>
      </c>
      <c r="E6" t="s">
        <v>20</v>
      </c>
      <c r="F6" t="s">
        <v>20</v>
      </c>
      <c r="G6">
        <v>0.38400000000000001</v>
      </c>
      <c r="L6" s="4"/>
      <c r="M6" s="2"/>
      <c r="N6" s="4"/>
      <c r="O6" s="4"/>
      <c r="P6" s="4"/>
      <c r="R6" s="4"/>
    </row>
    <row r="7" spans="1:18">
      <c r="A7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18">
      <c r="A8" t="s">
        <v>5</v>
      </c>
      <c r="B8">
        <f>B2/100</f>
        <v>0.47938000000000003</v>
      </c>
      <c r="C8">
        <f t="shared" ref="C8:G8" si="0">C2/100</f>
        <v>0.50853000000000004</v>
      </c>
      <c r="D8">
        <f t="shared" si="0"/>
        <v>0.38823999999999997</v>
      </c>
      <c r="E8">
        <f t="shared" si="0"/>
        <v>0.46680999999999995</v>
      </c>
      <c r="F8">
        <f t="shared" si="0"/>
        <v>0.48310999999999998</v>
      </c>
      <c r="G8">
        <f t="shared" si="0"/>
        <v>0.48924999999999996</v>
      </c>
    </row>
    <row r="9" spans="1:18">
      <c r="A9" t="s">
        <v>6</v>
      </c>
      <c r="B9">
        <f>B4/100</f>
        <v>0.27973999999999999</v>
      </c>
      <c r="C9">
        <f t="shared" ref="C9:G9" si="1">C4/100</f>
        <v>0.25611999999999996</v>
      </c>
      <c r="D9">
        <f t="shared" si="1"/>
        <v>0.28127999999999997</v>
      </c>
      <c r="E9">
        <f t="shared" si="1"/>
        <v>0.28242999999999996</v>
      </c>
      <c r="F9">
        <f t="shared" si="1"/>
        <v>0.26998</v>
      </c>
      <c r="G9">
        <f t="shared" si="1"/>
        <v>0.26436999999999999</v>
      </c>
    </row>
    <row r="10" spans="1:18">
      <c r="A10" t="s">
        <v>7</v>
      </c>
      <c r="B10">
        <f>B9/B8</f>
        <v>0.5835454128248988</v>
      </c>
      <c r="C10">
        <f t="shared" ref="C10:G10" si="2">C9/C8</f>
        <v>0.50364776905983899</v>
      </c>
      <c r="D10">
        <f t="shared" si="2"/>
        <v>0.72450030908716256</v>
      </c>
      <c r="E10">
        <f t="shared" si="2"/>
        <v>0.60502131488185773</v>
      </c>
      <c r="F10">
        <f t="shared" si="2"/>
        <v>0.55883753182505025</v>
      </c>
      <c r="G10">
        <f t="shared" si="2"/>
        <v>0.54035769034236081</v>
      </c>
    </row>
    <row r="11" spans="1:18">
      <c r="A11" t="s">
        <v>3</v>
      </c>
    </row>
    <row r="12" spans="1:18">
      <c r="A12" t="s">
        <v>1</v>
      </c>
      <c r="B12">
        <v>0.50929999999999997</v>
      </c>
      <c r="C12">
        <v>0.50929999999999997</v>
      </c>
      <c r="D12">
        <v>0.50929999999999997</v>
      </c>
      <c r="E12">
        <v>0.52337</v>
      </c>
      <c r="F12">
        <v>0.51741000000000004</v>
      </c>
      <c r="G12">
        <v>0.51741000000000004</v>
      </c>
    </row>
    <row r="13" spans="1:18">
      <c r="A13" t="s">
        <v>60</v>
      </c>
      <c r="B13">
        <v>0.25624000000000002</v>
      </c>
      <c r="C13">
        <v>0.25624000000000002</v>
      </c>
      <c r="D13">
        <v>0.25624000000000002</v>
      </c>
      <c r="E13">
        <v>0.25406000000000001</v>
      </c>
      <c r="F13">
        <v>0.25414999999999999</v>
      </c>
      <c r="G13">
        <v>0.25414999999999999</v>
      </c>
    </row>
    <row r="14" spans="1:18">
      <c r="A14" t="s">
        <v>61</v>
      </c>
      <c r="B14">
        <v>0.23446</v>
      </c>
      <c r="C14">
        <v>0.23446</v>
      </c>
      <c r="D14">
        <v>0.23446</v>
      </c>
      <c r="E14">
        <v>0.22256999999999999</v>
      </c>
      <c r="F14">
        <v>0.22844</v>
      </c>
      <c r="G14">
        <v>0.22844</v>
      </c>
    </row>
    <row r="15" spans="1:18">
      <c r="A15" t="s">
        <v>8</v>
      </c>
      <c r="B15">
        <f>B12</f>
        <v>0.50929999999999997</v>
      </c>
      <c r="C15">
        <f>C12</f>
        <v>0.50929999999999997</v>
      </c>
      <c r="D15">
        <f>D12</f>
        <v>0.50929999999999997</v>
      </c>
      <c r="E15">
        <f t="shared" ref="E15:G15" si="3">E12</f>
        <v>0.52337</v>
      </c>
      <c r="F15">
        <f t="shared" si="3"/>
        <v>0.51741000000000004</v>
      </c>
      <c r="G15">
        <f t="shared" si="3"/>
        <v>0.51741000000000004</v>
      </c>
    </row>
    <row r="16" spans="1:18">
      <c r="A16" t="s">
        <v>9</v>
      </c>
      <c r="B16">
        <f>B14</f>
        <v>0.23446</v>
      </c>
      <c r="C16">
        <f>C14</f>
        <v>0.23446</v>
      </c>
      <c r="D16">
        <f>D14</f>
        <v>0.23446</v>
      </c>
      <c r="E16">
        <f t="shared" ref="E16:G16" si="4">E14</f>
        <v>0.22256999999999999</v>
      </c>
      <c r="F16">
        <f t="shared" si="4"/>
        <v>0.22844</v>
      </c>
      <c r="G16">
        <f t="shared" si="4"/>
        <v>0.22844</v>
      </c>
    </row>
    <row r="17" spans="1:7">
      <c r="A17" t="s">
        <v>10</v>
      </c>
      <c r="B17">
        <f>B16/B15</f>
        <v>0.46035735322992344</v>
      </c>
      <c r="C17">
        <f t="shared" ref="C17:G17" si="5">C16/C15</f>
        <v>0.46035735322992344</v>
      </c>
      <c r="D17">
        <f t="shared" si="5"/>
        <v>0.46035735322992344</v>
      </c>
      <c r="E17">
        <f t="shared" si="5"/>
        <v>0.42526319811987695</v>
      </c>
      <c r="F17">
        <f t="shared" si="5"/>
        <v>0.44150673547090313</v>
      </c>
      <c r="G17">
        <f t="shared" si="5"/>
        <v>0.44150673547090313</v>
      </c>
    </row>
    <row r="18" spans="1:7">
      <c r="A18" t="s">
        <v>3</v>
      </c>
    </row>
    <row r="19" spans="1:7">
      <c r="A19" t="s">
        <v>1</v>
      </c>
      <c r="B19">
        <v>0.2722</v>
      </c>
      <c r="C19">
        <v>0.27405525899981181</v>
      </c>
      <c r="D19">
        <v>0.27110779606224833</v>
      </c>
      <c r="E19">
        <v>0.26869974035357252</v>
      </c>
      <c r="F19">
        <v>0.27110000000000001</v>
      </c>
      <c r="G19">
        <v>55514016</v>
      </c>
    </row>
    <row r="20" spans="1:7">
      <c r="A20" t="s">
        <v>21</v>
      </c>
      <c r="B20">
        <v>6.4799999999999996E-2</v>
      </c>
      <c r="C20">
        <v>6.8336662105832627E-2</v>
      </c>
      <c r="D20">
        <v>6.9316887785596221E-2</v>
      </c>
      <c r="E20">
        <v>6.9495221075965521E-2</v>
      </c>
      <c r="F20">
        <v>6.9000000000000006E-2</v>
      </c>
      <c r="G20">
        <v>16413578</v>
      </c>
    </row>
    <row r="21" spans="1:7">
      <c r="A21" t="s">
        <v>22</v>
      </c>
      <c r="B21">
        <v>0.51549999999999996</v>
      </c>
      <c r="C21">
        <v>0.51545288796472599</v>
      </c>
      <c r="D21">
        <v>0.51579765361792218</v>
      </c>
      <c r="E21">
        <v>0.51460389991465083</v>
      </c>
      <c r="F21">
        <v>0.52059999999999995</v>
      </c>
      <c r="G21">
        <v>123487858</v>
      </c>
    </row>
    <row r="22" spans="1:7">
      <c r="A22" t="s">
        <v>23</v>
      </c>
      <c r="B22">
        <v>0.1434</v>
      </c>
      <c r="C22">
        <v>0.13842495552028053</v>
      </c>
      <c r="D22">
        <v>0.13958079186690756</v>
      </c>
      <c r="E22">
        <v>0.14306296139231284</v>
      </c>
      <c r="F22">
        <v>0.13519999999999999</v>
      </c>
      <c r="G22">
        <v>33579363</v>
      </c>
    </row>
    <row r="23" spans="1:7">
      <c r="A23" t="s">
        <v>24</v>
      </c>
      <c r="B23">
        <v>1.2999999999999999E-3</v>
      </c>
      <c r="C23">
        <v>1.2506003417502925E-3</v>
      </c>
      <c r="D23">
        <v>1.3232651996882053E-3</v>
      </c>
      <c r="E23">
        <v>1.3196041129911527E-3</v>
      </c>
      <c r="F23">
        <v>1.2999999999999999E-3</v>
      </c>
      <c r="G23">
        <v>355474</v>
      </c>
    </row>
    <row r="24" spans="1:7">
      <c r="A24" t="s">
        <v>25</v>
      </c>
      <c r="B24">
        <v>2.8999999999999998E-3</v>
      </c>
      <c r="C24">
        <v>2.4796350675987027E-3</v>
      </c>
      <c r="D24">
        <v>2.8736054676374782E-3</v>
      </c>
      <c r="E24">
        <v>2.8185731505071935E-3</v>
      </c>
      <c r="F24">
        <v>2.8E-3</v>
      </c>
      <c r="G24">
        <v>673055</v>
      </c>
    </row>
    <row r="25" spans="1:7">
      <c r="A25" t="s">
        <v>26</v>
      </c>
      <c r="B25">
        <f>B19</f>
        <v>0.2722</v>
      </c>
      <c r="C25">
        <f t="shared" ref="C25:G25" si="6">C19</f>
        <v>0.27405525899981181</v>
      </c>
      <c r="D25">
        <f t="shared" si="6"/>
        <v>0.27110779606224833</v>
      </c>
      <c r="E25">
        <f t="shared" si="6"/>
        <v>0.26869974035357252</v>
      </c>
      <c r="F25">
        <f t="shared" si="6"/>
        <v>0.27110000000000001</v>
      </c>
      <c r="G25">
        <f>G19/SUM(G19:G24)</f>
        <v>0.2413407919154501</v>
      </c>
    </row>
    <row r="26" spans="1:7">
      <c r="A26" t="s">
        <v>27</v>
      </c>
      <c r="B26">
        <f>B21+B22</f>
        <v>0.65889999999999993</v>
      </c>
      <c r="C26">
        <f t="shared" ref="C26:G26" si="7">C21+C22</f>
        <v>0.65387784348500655</v>
      </c>
      <c r="D26">
        <f t="shared" si="7"/>
        <v>0.65537844548482971</v>
      </c>
      <c r="E26">
        <f t="shared" si="7"/>
        <v>0.65766686130696361</v>
      </c>
      <c r="F26">
        <f t="shared" si="7"/>
        <v>0.65579999999999994</v>
      </c>
      <c r="G26">
        <f>SUM(G21:G22)/SUM(G19:G24)</f>
        <v>0.68283165642527133</v>
      </c>
    </row>
    <row r="27" spans="1:7">
      <c r="A27" t="s">
        <v>28</v>
      </c>
      <c r="B27">
        <f>B26/B25</f>
        <v>2.4206465833945625</v>
      </c>
      <c r="C27">
        <f t="shared" ref="C27:G27" si="8">C26/C25</f>
        <v>2.3859343034371601</v>
      </c>
      <c r="D27">
        <f t="shared" si="8"/>
        <v>2.4174090712402458</v>
      </c>
      <c r="E27">
        <f t="shared" si="8"/>
        <v>2.4475902374954397</v>
      </c>
      <c r="F27">
        <f t="shared" si="8"/>
        <v>2.4190335669494649</v>
      </c>
      <c r="G27">
        <f t="shared" si="8"/>
        <v>2.8293254986272296</v>
      </c>
    </row>
    <row r="28" spans="1:7">
      <c r="A28" t="s">
        <v>3</v>
      </c>
    </row>
    <row r="29" spans="1:7">
      <c r="A29" t="s">
        <v>1</v>
      </c>
      <c r="B29" s="2">
        <v>0.37119999999999997</v>
      </c>
      <c r="C29" s="4">
        <v>587678646</v>
      </c>
      <c r="D29" s="2">
        <v>0.36070000000000002</v>
      </c>
      <c r="E29" s="2">
        <v>0.36620000000000003</v>
      </c>
      <c r="F29" s="2">
        <v>0.35770000000000002</v>
      </c>
      <c r="G29" s="4">
        <v>608763769</v>
      </c>
    </row>
    <row r="30" spans="1:7">
      <c r="A30" t="s">
        <v>29</v>
      </c>
      <c r="B30" s="2">
        <v>0.37009999999999998</v>
      </c>
      <c r="C30" s="4">
        <v>754414635</v>
      </c>
      <c r="D30" s="2">
        <v>0.38550000000000001</v>
      </c>
      <c r="E30" s="2">
        <v>0.39069999999999999</v>
      </c>
      <c r="F30" s="2">
        <v>0.39269999999999999</v>
      </c>
      <c r="G30" s="4">
        <v>748437453</v>
      </c>
    </row>
    <row r="31" spans="1:7">
      <c r="A31" t="s">
        <v>30</v>
      </c>
      <c r="B31" s="2">
        <v>0.25290000000000001</v>
      </c>
      <c r="C31" s="4">
        <v>541000862</v>
      </c>
      <c r="D31" s="2">
        <v>0.24890000000000001</v>
      </c>
      <c r="E31" s="2">
        <v>0.24829999999999999</v>
      </c>
      <c r="F31" s="2">
        <v>0.24490000000000001</v>
      </c>
      <c r="G31" s="4">
        <v>466436739</v>
      </c>
    </row>
    <row r="32" spans="1:7">
      <c r="A32" t="s">
        <v>11</v>
      </c>
      <c r="B32" s="2">
        <v>5.7999999999999996E-3</v>
      </c>
      <c r="C32" s="4">
        <v>14333993</v>
      </c>
      <c r="D32" s="2">
        <v>4.8999999999999998E-3</v>
      </c>
      <c r="E32" s="2">
        <v>4.7000000000000002E-3</v>
      </c>
      <c r="F32" s="2">
        <v>4.5999999999999999E-3</v>
      </c>
      <c r="G32" s="4">
        <v>9311361</v>
      </c>
    </row>
    <row r="33" spans="1:7">
      <c r="A33" t="s">
        <v>31</v>
      </c>
      <c r="B33" s="2">
        <f>B29</f>
        <v>0.37119999999999997</v>
      </c>
      <c r="C33" s="2">
        <f>C29/SUM(C29:C32)</f>
        <v>0.30972379656965304</v>
      </c>
      <c r="D33" s="2">
        <f t="shared" ref="C33:G33" si="9">D29</f>
        <v>0.36070000000000002</v>
      </c>
      <c r="E33" s="2">
        <f t="shared" si="9"/>
        <v>0.36620000000000003</v>
      </c>
      <c r="F33" s="2">
        <f t="shared" si="9"/>
        <v>0.35770000000000002</v>
      </c>
      <c r="G33" s="2">
        <f>G29/SUM(G29:G32)</f>
        <v>0.33212253153609012</v>
      </c>
    </row>
    <row r="34" spans="1:7">
      <c r="A34" t="s">
        <v>32</v>
      </c>
      <c r="B34" s="2">
        <f>B31</f>
        <v>0.25290000000000001</v>
      </c>
      <c r="C34" s="2">
        <f>C31/SUM(C29:C32)</f>
        <v>0.28512324221168817</v>
      </c>
      <c r="D34" s="2">
        <f t="shared" ref="C34:G34" si="10">D31</f>
        <v>0.24890000000000001</v>
      </c>
      <c r="E34" s="2">
        <f t="shared" si="10"/>
        <v>0.24829999999999999</v>
      </c>
      <c r="F34" s="2">
        <f t="shared" si="10"/>
        <v>0.24490000000000001</v>
      </c>
      <c r="G34" s="2">
        <f>G31/SUM(G29:G32)</f>
        <v>0.25447334162575391</v>
      </c>
    </row>
    <row r="35" spans="1:7">
      <c r="A35" t="s">
        <v>33</v>
      </c>
      <c r="B35">
        <f>B34/B33</f>
        <v>0.68130387931034486</v>
      </c>
      <c r="C35">
        <f t="shared" ref="C35:G35" si="11">C34/C33</f>
        <v>0.92057260491305992</v>
      </c>
      <c r="D35">
        <f t="shared" si="11"/>
        <v>0.6900471305794289</v>
      </c>
      <c r="E35">
        <f t="shared" si="11"/>
        <v>0.67804478427089021</v>
      </c>
      <c r="F35">
        <f t="shared" si="11"/>
        <v>0.68465194296896836</v>
      </c>
      <c r="G35">
        <f t="shared" si="11"/>
        <v>0.76620318545928445</v>
      </c>
    </row>
    <row r="36" spans="1:7">
      <c r="A36" t="s">
        <v>3</v>
      </c>
    </row>
    <row r="37" spans="1:7">
      <c r="A37" t="s">
        <v>2</v>
      </c>
      <c r="B37">
        <f>(B8+B15+B25+B33)/4</f>
        <v>0.40801999999999999</v>
      </c>
      <c r="C37">
        <f t="shared" ref="C37:G37" si="12">(C8+C15+C25+C33)/4</f>
        <v>0.40040226389236622</v>
      </c>
      <c r="D37">
        <f t="shared" si="12"/>
        <v>0.38233694901556209</v>
      </c>
      <c r="E37">
        <f t="shared" si="12"/>
        <v>0.40626993508839315</v>
      </c>
      <c r="F37">
        <f t="shared" si="12"/>
        <v>0.40732999999999997</v>
      </c>
      <c r="G37">
        <f t="shared" si="12"/>
        <v>0.3950308308628851</v>
      </c>
    </row>
    <row r="38" spans="1:7">
      <c r="A38" t="s">
        <v>0</v>
      </c>
      <c r="B38">
        <f>(B9+B16+B26+B34)/4</f>
        <v>0.35649999999999993</v>
      </c>
      <c r="C38">
        <f t="shared" ref="C38:G38" si="13">(C9+C16+C26+C34)/4</f>
        <v>0.35739527142417371</v>
      </c>
      <c r="D38">
        <f t="shared" si="13"/>
        <v>0.35500461137120742</v>
      </c>
      <c r="E38">
        <f t="shared" si="13"/>
        <v>0.35274171532674087</v>
      </c>
      <c r="F38">
        <f t="shared" si="13"/>
        <v>0.34977999999999998</v>
      </c>
      <c r="G38">
        <f t="shared" si="13"/>
        <v>0.35752874951275626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CD968-8BD6-764C-A004-740554446444}">
  <dimension ref="A1:Q30"/>
  <sheetViews>
    <sheetView tabSelected="1" workbookViewId="0">
      <selection activeCell="F32" sqref="F32"/>
    </sheetView>
  </sheetViews>
  <sheetFormatPr baseColWidth="10" defaultRowHeight="16"/>
  <cols>
    <col min="1" max="1" width="16.33203125" bestFit="1" customWidth="1"/>
    <col min="2" max="2" width="12.1640625" bestFit="1" customWidth="1"/>
    <col min="3" max="3" width="11.1640625" bestFit="1" customWidth="1"/>
    <col min="4" max="4" width="11.1640625" customWidth="1"/>
    <col min="7" max="7" width="11.1640625" bestFit="1" customWidth="1"/>
    <col min="11" max="11" width="12.6640625" bestFit="1" customWidth="1"/>
  </cols>
  <sheetData>
    <row r="1" spans="1:17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K1" s="4"/>
      <c r="L1" s="5"/>
      <c r="M1" s="6"/>
      <c r="N1" s="6"/>
      <c r="O1" s="4"/>
      <c r="P1" s="4"/>
      <c r="Q1" s="4"/>
    </row>
    <row r="2" spans="1:17">
      <c r="A2" t="s">
        <v>1</v>
      </c>
      <c r="B2" s="2">
        <v>0.42259999999999998</v>
      </c>
      <c r="C2" s="2">
        <v>0.42480000000000001</v>
      </c>
      <c r="D2" s="2">
        <v>0.42480000000000001</v>
      </c>
      <c r="E2" s="2">
        <v>0.42480000000000001</v>
      </c>
      <c r="F2" s="2">
        <v>0.42480000000000001</v>
      </c>
      <c r="G2" s="2">
        <v>0.44</v>
      </c>
      <c r="K2" s="4"/>
      <c r="L2" s="5"/>
      <c r="M2" s="6"/>
      <c r="N2" s="6"/>
      <c r="O2" s="4"/>
      <c r="P2" s="4"/>
      <c r="Q2" s="4"/>
    </row>
    <row r="3" spans="1:17">
      <c r="A3" t="s">
        <v>34</v>
      </c>
      <c r="B3" s="2">
        <v>0.13519999999999999</v>
      </c>
      <c r="C3" s="2">
        <v>0.14099999999999999</v>
      </c>
      <c r="D3" s="2">
        <v>0.14099999999999999</v>
      </c>
      <c r="E3" s="2">
        <v>0.14099999999999999</v>
      </c>
      <c r="F3" s="2">
        <v>0.14099999999999999</v>
      </c>
      <c r="G3" s="2">
        <v>0.1439</v>
      </c>
      <c r="K3" s="4"/>
      <c r="L3" s="5"/>
      <c r="M3" s="6"/>
      <c r="N3" s="6"/>
      <c r="O3" s="4"/>
      <c r="P3" s="4"/>
      <c r="Q3" s="4"/>
    </row>
    <row r="4" spans="1:17">
      <c r="A4" t="s">
        <v>35</v>
      </c>
      <c r="B4" s="2">
        <v>0.1101</v>
      </c>
      <c r="C4" s="2">
        <v>0.1762</v>
      </c>
      <c r="D4" s="2">
        <v>0.1762</v>
      </c>
      <c r="E4" s="2">
        <v>0.1762</v>
      </c>
      <c r="F4" s="2">
        <v>0.1762</v>
      </c>
      <c r="G4" s="2">
        <v>0.1731</v>
      </c>
      <c r="K4" s="4"/>
      <c r="L4" s="5"/>
      <c r="M4" s="6"/>
      <c r="N4" s="6"/>
      <c r="O4" s="4"/>
      <c r="P4" s="4"/>
      <c r="Q4" s="4"/>
    </row>
    <row r="5" spans="1:17">
      <c r="A5" t="s">
        <v>36</v>
      </c>
      <c r="B5" s="2">
        <v>0.32979999999999998</v>
      </c>
      <c r="C5" s="2">
        <v>0.25390000000000001</v>
      </c>
      <c r="D5" s="2">
        <v>0.25390000000000001</v>
      </c>
      <c r="E5" s="2">
        <v>0.25390000000000001</v>
      </c>
      <c r="F5" s="2">
        <v>0.25390000000000001</v>
      </c>
      <c r="G5" s="2">
        <v>0.24060000000000001</v>
      </c>
      <c r="K5" s="4"/>
      <c r="L5" s="5"/>
      <c r="M5" s="6"/>
      <c r="N5" s="6"/>
      <c r="O5" s="4"/>
      <c r="P5" s="4"/>
      <c r="Q5" s="4"/>
    </row>
    <row r="6" spans="1:17">
      <c r="A6" t="s">
        <v>11</v>
      </c>
      <c r="B6" s="2">
        <v>2.3E-3</v>
      </c>
      <c r="C6" s="2">
        <v>4.1000000000000003E-3</v>
      </c>
      <c r="D6" s="2">
        <v>4.1000000000000003E-3</v>
      </c>
      <c r="E6" s="2">
        <v>4.1000000000000003E-3</v>
      </c>
      <c r="F6" s="2">
        <v>4.1000000000000003E-3</v>
      </c>
      <c r="G6" s="2">
        <v>2.3999999999999998E-3</v>
      </c>
      <c r="K6" s="6"/>
      <c r="L6" s="2"/>
      <c r="M6" s="4"/>
      <c r="N6" s="4"/>
      <c r="O6" s="4"/>
      <c r="Q6" s="4"/>
    </row>
    <row r="7" spans="1:17">
      <c r="A7" t="s">
        <v>5</v>
      </c>
      <c r="B7" s="2">
        <f>B2</f>
        <v>0.42259999999999998</v>
      </c>
      <c r="C7" s="2">
        <f t="shared" ref="C7:G7" si="0">C2</f>
        <v>0.42480000000000001</v>
      </c>
      <c r="D7" s="2">
        <f t="shared" si="0"/>
        <v>0.42480000000000001</v>
      </c>
      <c r="E7" s="2">
        <f t="shared" si="0"/>
        <v>0.42480000000000001</v>
      </c>
      <c r="F7" s="2">
        <f t="shared" si="0"/>
        <v>0.42480000000000001</v>
      </c>
      <c r="G7" s="2">
        <f t="shared" si="0"/>
        <v>0.44</v>
      </c>
      <c r="J7" s="3"/>
    </row>
    <row r="8" spans="1:17">
      <c r="A8" t="s">
        <v>6</v>
      </c>
      <c r="B8" s="2">
        <f>B4+B5</f>
        <v>0.43989999999999996</v>
      </c>
      <c r="C8" s="2">
        <f t="shared" ref="C8:G8" si="1">C4+C5</f>
        <v>0.43010000000000004</v>
      </c>
      <c r="D8" s="2">
        <f t="shared" si="1"/>
        <v>0.43010000000000004</v>
      </c>
      <c r="E8" s="2">
        <f t="shared" si="1"/>
        <v>0.43010000000000004</v>
      </c>
      <c r="F8" s="2">
        <f t="shared" si="1"/>
        <v>0.43010000000000004</v>
      </c>
      <c r="G8" s="2">
        <f t="shared" si="1"/>
        <v>0.41370000000000001</v>
      </c>
    </row>
    <row r="9" spans="1:17">
      <c r="A9" t="s">
        <v>7</v>
      </c>
      <c r="B9">
        <f>B8/B7</f>
        <v>1.0409370563180311</v>
      </c>
      <c r="C9">
        <f t="shared" ref="C9:G9" si="2">C8/C7</f>
        <v>1.0124764595103579</v>
      </c>
      <c r="D9">
        <f t="shared" si="2"/>
        <v>1.0124764595103579</v>
      </c>
      <c r="E9">
        <f t="shared" si="2"/>
        <v>1.0124764595103579</v>
      </c>
      <c r="F9">
        <f t="shared" si="2"/>
        <v>1.0124764595103579</v>
      </c>
      <c r="G9">
        <f t="shared" si="2"/>
        <v>0.9402272727272728</v>
      </c>
    </row>
    <row r="10" spans="1:17">
      <c r="A10" t="s">
        <v>4</v>
      </c>
      <c r="I10" s="1"/>
      <c r="J10" s="1"/>
      <c r="K10" s="1"/>
      <c r="L10" s="1"/>
    </row>
    <row r="11" spans="1:17">
      <c r="A11" t="s">
        <v>37</v>
      </c>
      <c r="B11" s="2">
        <v>0.36726999999999999</v>
      </c>
      <c r="C11" s="2">
        <v>0.42114000000000001</v>
      </c>
      <c r="D11" s="2">
        <v>0.42114000000000001</v>
      </c>
      <c r="E11" s="2">
        <v>0.42114000000000001</v>
      </c>
      <c r="F11" s="2">
        <v>0.42114000000000001</v>
      </c>
      <c r="G11" s="2">
        <v>0.42114000000000001</v>
      </c>
      <c r="K11" s="2"/>
      <c r="L11" s="2"/>
    </row>
    <row r="12" spans="1:17">
      <c r="A12" t="s">
        <v>38</v>
      </c>
      <c r="B12" s="2">
        <v>5.2060000000000002E-2</v>
      </c>
      <c r="C12" s="2">
        <v>5.169E-2</v>
      </c>
      <c r="D12" s="2">
        <v>5.169E-2</v>
      </c>
      <c r="E12" s="2">
        <v>5.169E-2</v>
      </c>
      <c r="F12" s="2">
        <v>5.169E-2</v>
      </c>
      <c r="G12" s="2">
        <v>5.169E-2</v>
      </c>
      <c r="K12" s="2"/>
      <c r="L12" s="2"/>
    </row>
    <row r="13" spans="1:17">
      <c r="A13" t="s">
        <v>47</v>
      </c>
      <c r="B13" s="2">
        <v>0.14582999999999999</v>
      </c>
      <c r="C13" s="2">
        <v>0.20721999999999999</v>
      </c>
      <c r="D13" s="2">
        <v>0.20721999999999999</v>
      </c>
      <c r="E13" s="2">
        <v>0.20721999999999999</v>
      </c>
      <c r="F13" s="2">
        <v>0.20721999999999999</v>
      </c>
      <c r="G13" s="2">
        <v>0.20721999999999999</v>
      </c>
      <c r="K13" s="2"/>
      <c r="L13" s="2"/>
    </row>
    <row r="14" spans="1:17">
      <c r="A14" t="s">
        <v>39</v>
      </c>
      <c r="B14" s="2">
        <v>0.41993999999999998</v>
      </c>
      <c r="C14" s="2">
        <v>0.30774000000000001</v>
      </c>
      <c r="D14" s="2">
        <v>0.30774000000000001</v>
      </c>
      <c r="E14" s="2">
        <v>0.30774000000000001</v>
      </c>
      <c r="F14" s="2">
        <v>0.30774000000000001</v>
      </c>
      <c r="G14" s="2">
        <v>0.30774000000000001</v>
      </c>
      <c r="K14" s="2"/>
      <c r="L14" s="2"/>
    </row>
    <row r="15" spans="1:17">
      <c r="A15" t="s">
        <v>40</v>
      </c>
      <c r="B15" s="2">
        <v>2.4299999999999999E-3</v>
      </c>
      <c r="C15" s="2">
        <v>2.96E-3</v>
      </c>
      <c r="D15" s="2">
        <v>2.96E-3</v>
      </c>
      <c r="E15" s="2">
        <v>2.96E-3</v>
      </c>
      <c r="F15" s="2">
        <v>2.96E-3</v>
      </c>
      <c r="G15" s="2">
        <v>2.96E-3</v>
      </c>
      <c r="K15" s="2"/>
      <c r="L15" s="2"/>
    </row>
    <row r="16" spans="1:17">
      <c r="A16" t="s">
        <v>41</v>
      </c>
      <c r="B16" s="2">
        <v>4.4200000000000003E-3</v>
      </c>
      <c r="C16" s="2">
        <v>3.7200000000000002E-3</v>
      </c>
      <c r="D16" s="2">
        <v>3.7200000000000002E-3</v>
      </c>
      <c r="E16" s="2">
        <v>3.7200000000000002E-3</v>
      </c>
      <c r="F16" s="2">
        <v>3.7200000000000002E-3</v>
      </c>
      <c r="G16" s="2">
        <v>3.7200000000000002E-3</v>
      </c>
      <c r="K16" s="2"/>
      <c r="L16" s="2"/>
    </row>
    <row r="17" spans="1:12">
      <c r="A17" t="s">
        <v>42</v>
      </c>
      <c r="B17" s="2">
        <v>4.0000000000000001E-3</v>
      </c>
      <c r="C17" s="2">
        <v>4.15E-3</v>
      </c>
      <c r="D17" s="2">
        <v>4.15E-3</v>
      </c>
      <c r="E17" s="2">
        <v>4.15E-3</v>
      </c>
      <c r="F17" s="2">
        <v>4.15E-3</v>
      </c>
      <c r="G17" s="2">
        <v>4.15E-3</v>
      </c>
      <c r="K17" s="2"/>
      <c r="L17" s="2"/>
    </row>
    <row r="18" spans="1:12">
      <c r="A18" t="s">
        <v>43</v>
      </c>
      <c r="B18" s="2">
        <v>5.1000000000000004E-4</v>
      </c>
      <c r="C18" s="2">
        <v>2.3000000000000001E-4</v>
      </c>
      <c r="D18" s="2">
        <v>2.3000000000000001E-4</v>
      </c>
      <c r="E18" s="2">
        <v>2.3000000000000001E-4</v>
      </c>
      <c r="F18" s="2">
        <v>2.3000000000000001E-4</v>
      </c>
      <c r="G18" s="2">
        <v>2.3000000000000001E-4</v>
      </c>
      <c r="K18" s="2"/>
      <c r="L18" s="2"/>
    </row>
    <row r="19" spans="1:12">
      <c r="A19" t="s">
        <v>44</v>
      </c>
      <c r="B19" s="2">
        <v>6.9999999999999994E-5</v>
      </c>
      <c r="C19" s="2">
        <v>2.0000000000000002E-5</v>
      </c>
      <c r="D19" s="2">
        <v>2.0000000000000002E-5</v>
      </c>
      <c r="E19" s="2">
        <v>2.0000000000000002E-5</v>
      </c>
      <c r="F19" s="2">
        <v>2.0000000000000002E-5</v>
      </c>
      <c r="G19" s="2">
        <v>2.0000000000000002E-5</v>
      </c>
      <c r="K19" s="2"/>
    </row>
    <row r="20" spans="1:12">
      <c r="A20" t="s">
        <v>45</v>
      </c>
      <c r="B20" s="2">
        <v>2.0000000000000002E-5</v>
      </c>
      <c r="C20" s="2">
        <v>1.1299999999999999E-3</v>
      </c>
      <c r="D20" s="2">
        <v>1.1299999999999999E-3</v>
      </c>
      <c r="E20" s="2">
        <v>1.1299999999999999E-3</v>
      </c>
      <c r="F20" s="2">
        <v>1.1299999999999999E-3</v>
      </c>
      <c r="G20" s="2">
        <v>1.1299999999999999E-3</v>
      </c>
      <c r="K20" s="2"/>
    </row>
    <row r="21" spans="1:12">
      <c r="A21" t="s">
        <v>46</v>
      </c>
      <c r="B21" s="2">
        <v>4.4000000000000002E-4</v>
      </c>
      <c r="C21" s="2">
        <v>2.3000000000000001E-4</v>
      </c>
      <c r="D21" s="2">
        <v>2.3000000000000001E-4</v>
      </c>
      <c r="E21" s="2">
        <v>2.3000000000000001E-4</v>
      </c>
      <c r="F21" s="2">
        <v>2.3000000000000001E-4</v>
      </c>
      <c r="G21" s="2">
        <v>2.3000000000000001E-4</v>
      </c>
      <c r="K21" s="2"/>
    </row>
    <row r="22" spans="1:12">
      <c r="A22" t="s">
        <v>8</v>
      </c>
      <c r="B22" s="2">
        <f>B11</f>
        <v>0.36726999999999999</v>
      </c>
      <c r="C22" s="2">
        <f t="shared" ref="C22:G22" si="3">C11</f>
        <v>0.42114000000000001</v>
      </c>
      <c r="D22" s="2">
        <f t="shared" si="3"/>
        <v>0.42114000000000001</v>
      </c>
      <c r="E22" s="2">
        <f t="shared" si="3"/>
        <v>0.42114000000000001</v>
      </c>
      <c r="F22" s="2">
        <f t="shared" si="3"/>
        <v>0.42114000000000001</v>
      </c>
      <c r="G22" s="2">
        <f t="shared" si="3"/>
        <v>0.42114000000000001</v>
      </c>
    </row>
    <row r="23" spans="1:12">
      <c r="A23" t="s">
        <v>9</v>
      </c>
      <c r="B23" s="2">
        <f>B14+B15+B16</f>
        <v>0.42678999999999995</v>
      </c>
      <c r="C23" s="2">
        <f t="shared" ref="C23:G23" si="4">C14+C15+C16</f>
        <v>0.31442000000000003</v>
      </c>
      <c r="D23" s="2">
        <f t="shared" si="4"/>
        <v>0.31442000000000003</v>
      </c>
      <c r="E23" s="2">
        <f t="shared" si="4"/>
        <v>0.31442000000000003</v>
      </c>
      <c r="F23" s="2">
        <f t="shared" si="4"/>
        <v>0.31442000000000003</v>
      </c>
      <c r="G23" s="2">
        <f t="shared" si="4"/>
        <v>0.31442000000000003</v>
      </c>
    </row>
    <row r="24" spans="1:12">
      <c r="A24" t="s">
        <v>10</v>
      </c>
      <c r="B24">
        <f>B23/B22</f>
        <v>1.1620606093609605</v>
      </c>
      <c r="C24">
        <f t="shared" ref="C24:G24" si="5">C23/C22</f>
        <v>0.74659258203922696</v>
      </c>
      <c r="D24">
        <f t="shared" si="5"/>
        <v>0.74659258203922696</v>
      </c>
      <c r="E24">
        <f t="shared" si="5"/>
        <v>0.74659258203922696</v>
      </c>
      <c r="F24">
        <f t="shared" si="5"/>
        <v>0.74659258203922696</v>
      </c>
      <c r="G24">
        <f t="shared" si="5"/>
        <v>0.74659258203922696</v>
      </c>
    </row>
    <row r="25" spans="1:12">
      <c r="A25" t="s">
        <v>4</v>
      </c>
      <c r="B25" s="2"/>
      <c r="C25" s="4"/>
      <c r="D25" s="2"/>
      <c r="E25" s="2"/>
      <c r="F25" s="2"/>
      <c r="G25" s="4"/>
    </row>
    <row r="26" spans="1:12">
      <c r="A26" t="s">
        <v>2</v>
      </c>
      <c r="B26">
        <f>(B7+B22)/2</f>
        <v>0.39493499999999998</v>
      </c>
      <c r="C26">
        <f t="shared" ref="C26:G26" si="6">(C7+C22)/2</f>
        <v>0.42297000000000001</v>
      </c>
      <c r="D26">
        <f t="shared" si="6"/>
        <v>0.42297000000000001</v>
      </c>
      <c r="E26">
        <f t="shared" si="6"/>
        <v>0.42297000000000001</v>
      </c>
      <c r="F26">
        <f t="shared" si="6"/>
        <v>0.42297000000000001</v>
      </c>
      <c r="G26">
        <f t="shared" si="6"/>
        <v>0.43057000000000001</v>
      </c>
    </row>
    <row r="27" spans="1:12">
      <c r="A27" t="s">
        <v>0</v>
      </c>
      <c r="B27">
        <f>(B8+B23)/2</f>
        <v>0.43334499999999998</v>
      </c>
      <c r="C27">
        <f t="shared" ref="C27:G27" si="7">(C8+C23)/2</f>
        <v>0.37226000000000004</v>
      </c>
      <c r="D27">
        <f t="shared" si="7"/>
        <v>0.37226000000000004</v>
      </c>
      <c r="E27">
        <f t="shared" si="7"/>
        <v>0.37226000000000004</v>
      </c>
      <c r="F27">
        <f t="shared" si="7"/>
        <v>0.37226000000000004</v>
      </c>
      <c r="G27">
        <f t="shared" si="7"/>
        <v>0.36406000000000005</v>
      </c>
    </row>
    <row r="28" spans="1:12">
      <c r="B28" s="2"/>
      <c r="C28" s="4"/>
      <c r="D28" s="2"/>
      <c r="E28" s="2"/>
      <c r="F28" s="2"/>
      <c r="G28" s="4"/>
    </row>
    <row r="29" spans="1:12">
      <c r="B29" s="2"/>
      <c r="C29" s="2"/>
      <c r="D29" s="2"/>
      <c r="E29" s="2"/>
      <c r="F29" s="2"/>
      <c r="G29" s="2"/>
    </row>
    <row r="30" spans="1:12">
      <c r="B30" s="2"/>
      <c r="C30" s="2"/>
      <c r="D30" s="2"/>
      <c r="E30" s="2"/>
      <c r="F30" s="2"/>
      <c r="G3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DF359-B332-0947-83E8-322A498A5DD8}">
  <dimension ref="A1:S44"/>
  <sheetViews>
    <sheetView workbookViewId="0">
      <selection activeCell="E36" sqref="E36"/>
    </sheetView>
  </sheetViews>
  <sheetFormatPr baseColWidth="10" defaultRowHeight="16"/>
  <cols>
    <col min="1" max="1" width="19.6640625" bestFit="1" customWidth="1"/>
    <col min="3" max="3" width="12.1640625" bestFit="1" customWidth="1"/>
  </cols>
  <sheetData>
    <row r="1" spans="1:7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>
      <c r="A2" t="s">
        <v>1</v>
      </c>
      <c r="B2">
        <v>0.25219999999999998</v>
      </c>
      <c r="C2">
        <v>0.24610000000000001</v>
      </c>
      <c r="D2">
        <v>0.24879999999999999</v>
      </c>
    </row>
    <row r="3" spans="1:7">
      <c r="A3" t="s">
        <v>48</v>
      </c>
      <c r="B3">
        <v>0.16520000000000001</v>
      </c>
      <c r="C3">
        <v>0.16639999999999999</v>
      </c>
      <c r="D3">
        <v>0.1663</v>
      </c>
    </row>
    <row r="4" spans="1:7">
      <c r="A4" t="s">
        <v>49</v>
      </c>
      <c r="B4">
        <v>3.4700000000000002E-2</v>
      </c>
      <c r="C4">
        <v>3.3599999999999998E-2</v>
      </c>
      <c r="D4">
        <v>3.27E-2</v>
      </c>
    </row>
    <row r="5" spans="1:7">
      <c r="A5" t="s">
        <v>51</v>
      </c>
      <c r="B5">
        <v>8.0999999999999996E-3</v>
      </c>
      <c r="C5">
        <v>6.7999999999999996E-3</v>
      </c>
      <c r="D5">
        <v>5.4999999999999997E-3</v>
      </c>
    </row>
    <row r="6" spans="1:7">
      <c r="A6" t="s">
        <v>50</v>
      </c>
      <c r="B6">
        <v>9.1700000000000004E-2</v>
      </c>
      <c r="C6">
        <v>8.8300000000000003E-2</v>
      </c>
      <c r="D6">
        <v>8.4400000000000003E-2</v>
      </c>
    </row>
    <row r="7" spans="1:7">
      <c r="A7" t="s">
        <v>51</v>
      </c>
      <c r="B7">
        <v>3.6400000000000002E-2</v>
      </c>
      <c r="C7">
        <v>3.44E-2</v>
      </c>
      <c r="D7">
        <v>3.3799999999999997E-2</v>
      </c>
    </row>
    <row r="8" spans="1:7">
      <c r="A8" t="s">
        <v>52</v>
      </c>
      <c r="B8">
        <v>1.6400000000000001E-2</v>
      </c>
      <c r="C8">
        <v>1.6400000000000001E-2</v>
      </c>
      <c r="D8">
        <v>1.5800000000000002E-2</v>
      </c>
    </row>
    <row r="9" spans="1:7">
      <c r="A9" t="s">
        <v>5</v>
      </c>
      <c r="B9">
        <f>B2</f>
        <v>0.25219999999999998</v>
      </c>
      <c r="C9">
        <f t="shared" ref="C9:F9" si="0">C2</f>
        <v>0.24610000000000001</v>
      </c>
      <c r="D9">
        <f t="shared" si="0"/>
        <v>0.24879999999999999</v>
      </c>
    </row>
    <row r="10" spans="1:7">
      <c r="A10" t="s">
        <v>6</v>
      </c>
      <c r="B10">
        <f>B4+B5+B6+B7</f>
        <v>0.1709</v>
      </c>
      <c r="C10">
        <f t="shared" ref="C10:F10" si="1">C4+C5+C6+C7</f>
        <v>0.16310000000000002</v>
      </c>
      <c r="D10">
        <f t="shared" si="1"/>
        <v>0.15639999999999998</v>
      </c>
    </row>
    <row r="11" spans="1:7">
      <c r="A11" t="s">
        <v>7</v>
      </c>
      <c r="B11">
        <f>B10/B9</f>
        <v>0.67763679619349726</v>
      </c>
      <c r="C11">
        <f t="shared" ref="C11:F11" si="2">C10/C9</f>
        <v>0.66273872409589607</v>
      </c>
      <c r="D11">
        <f t="shared" si="2"/>
        <v>0.62861736334405138</v>
      </c>
    </row>
    <row r="12" spans="1:7">
      <c r="A12" t="s">
        <v>3</v>
      </c>
    </row>
    <row r="13" spans="1:7">
      <c r="A13" t="s">
        <v>1</v>
      </c>
      <c r="C13" s="2">
        <v>0.54339999999999999</v>
      </c>
      <c r="D13" s="2">
        <v>0.55730000000000002</v>
      </c>
      <c r="E13" s="2">
        <v>0.52129999999999999</v>
      </c>
      <c r="F13" s="2"/>
      <c r="G13" s="2">
        <v>0.50329999999999997</v>
      </c>
    </row>
    <row r="14" spans="1:7">
      <c r="A14" t="s">
        <v>53</v>
      </c>
      <c r="C14" s="2">
        <v>0.13689999999999999</v>
      </c>
      <c r="D14" s="2">
        <v>0.1366</v>
      </c>
      <c r="E14" s="2">
        <v>0.1389</v>
      </c>
      <c r="G14" s="2">
        <v>0.15090000000000001</v>
      </c>
    </row>
    <row r="15" spans="1:7">
      <c r="A15" t="s">
        <v>54</v>
      </c>
      <c r="C15" s="2">
        <v>3.8E-3</v>
      </c>
      <c r="D15" s="2">
        <v>4.8999999999999998E-3</v>
      </c>
      <c r="E15" s="2">
        <v>3.0000000000000001E-3</v>
      </c>
      <c r="G15" s="2">
        <v>5.3E-3</v>
      </c>
    </row>
    <row r="16" spans="1:7">
      <c r="A16" t="s">
        <v>55</v>
      </c>
      <c r="C16" s="2">
        <v>6.5000000000000002E-2</v>
      </c>
      <c r="D16" s="2">
        <v>6.1699999999999998E-2</v>
      </c>
      <c r="E16" s="2">
        <v>6.0900000000000003E-2</v>
      </c>
      <c r="G16" s="2">
        <v>6.4799999999999996E-2</v>
      </c>
    </row>
    <row r="17" spans="1:7">
      <c r="A17" t="s">
        <v>56</v>
      </c>
      <c r="C17" s="2">
        <v>0.20580000000000001</v>
      </c>
      <c r="D17" s="2">
        <v>0.2001</v>
      </c>
      <c r="E17" s="2">
        <v>0.23400000000000001</v>
      </c>
      <c r="G17" s="2">
        <v>0.23580000000000001</v>
      </c>
    </row>
    <row r="18" spans="1:7">
      <c r="A18" t="s">
        <v>57</v>
      </c>
      <c r="C18" s="2">
        <v>5.0000000000000001E-4</v>
      </c>
      <c r="D18" s="2">
        <v>6.9999999999999999E-4</v>
      </c>
      <c r="E18" s="2">
        <v>1.4E-3</v>
      </c>
      <c r="G18" s="2">
        <v>1.4E-3</v>
      </c>
    </row>
    <row r="19" spans="1:7">
      <c r="A19" t="s">
        <v>58</v>
      </c>
      <c r="C19" s="2">
        <v>1.89E-2</v>
      </c>
      <c r="D19" s="2">
        <v>1.8200000000000001E-2</v>
      </c>
      <c r="E19" s="2">
        <v>1.84E-2</v>
      </c>
      <c r="G19" s="2">
        <v>2.01E-2</v>
      </c>
    </row>
    <row r="20" spans="1:7">
      <c r="A20" t="s">
        <v>59</v>
      </c>
      <c r="C20" s="2">
        <v>2.23E-2</v>
      </c>
      <c r="D20" s="2">
        <v>1.9400000000000001E-2</v>
      </c>
      <c r="E20" s="2">
        <v>0.02</v>
      </c>
      <c r="G20" s="2">
        <v>1.84E-2</v>
      </c>
    </row>
    <row r="21" spans="1:7">
      <c r="A21" t="s">
        <v>52</v>
      </c>
      <c r="C21" s="2">
        <v>3.5000000000000001E-3</v>
      </c>
      <c r="D21" s="2">
        <v>1.1000000000000001E-3</v>
      </c>
      <c r="E21" s="2">
        <v>2.0999999999999999E-3</v>
      </c>
      <c r="G21" s="2">
        <v>0</v>
      </c>
    </row>
    <row r="22" spans="1:7">
      <c r="A22" t="s">
        <v>8</v>
      </c>
      <c r="C22" s="2">
        <f>C13</f>
        <v>0.54339999999999999</v>
      </c>
      <c r="D22" s="2">
        <f t="shared" ref="D22:G22" si="3">D13</f>
        <v>0.55730000000000002</v>
      </c>
      <c r="E22" s="2">
        <f t="shared" si="3"/>
        <v>0.52129999999999999</v>
      </c>
      <c r="F22" s="2"/>
      <c r="G22" s="2">
        <f t="shared" si="3"/>
        <v>0.50329999999999997</v>
      </c>
    </row>
    <row r="23" spans="1:7">
      <c r="A23" t="s">
        <v>9</v>
      </c>
      <c r="C23" s="2">
        <f>C16+C17+C19+C20</f>
        <v>0.31200000000000006</v>
      </c>
      <c r="D23" s="2">
        <f t="shared" ref="D23:G23" si="4">D16+D17+D19+D20</f>
        <v>0.2994</v>
      </c>
      <c r="E23" s="2">
        <f t="shared" si="4"/>
        <v>0.33330000000000004</v>
      </c>
      <c r="F23" s="2"/>
      <c r="G23" s="2">
        <f t="shared" si="4"/>
        <v>0.33909999999999996</v>
      </c>
    </row>
    <row r="24" spans="1:7">
      <c r="A24" t="s">
        <v>10</v>
      </c>
      <c r="C24">
        <f>C23/C22</f>
        <v>0.57416267942583743</v>
      </c>
      <c r="D24">
        <f t="shared" ref="D24:G24" si="5">D23/D22</f>
        <v>0.53723308810335546</v>
      </c>
      <c r="E24">
        <f t="shared" si="5"/>
        <v>0.6393631306349512</v>
      </c>
      <c r="G24">
        <f t="shared" si="5"/>
        <v>0.67375322869064169</v>
      </c>
    </row>
    <row r="25" spans="1:7">
      <c r="A25" t="s">
        <v>3</v>
      </c>
    </row>
    <row r="26" spans="1:7">
      <c r="A26" t="s">
        <v>1</v>
      </c>
      <c r="B26" s="4">
        <v>564689</v>
      </c>
      <c r="C26" s="4"/>
      <c r="D26" s="4">
        <v>597382</v>
      </c>
      <c r="E26" s="4">
        <v>609873</v>
      </c>
      <c r="F26" s="4">
        <v>648808</v>
      </c>
      <c r="G26" s="4">
        <v>648808</v>
      </c>
    </row>
    <row r="27" spans="1:7">
      <c r="A27" t="s">
        <v>62</v>
      </c>
      <c r="B27" s="4">
        <v>314364</v>
      </c>
      <c r="C27" s="4"/>
      <c r="D27" s="4">
        <v>340131</v>
      </c>
      <c r="E27" s="4">
        <v>351035</v>
      </c>
      <c r="F27" s="4">
        <v>376055</v>
      </c>
      <c r="G27" s="4">
        <v>376055</v>
      </c>
    </row>
    <row r="28" spans="1:7">
      <c r="A28" t="s">
        <v>63</v>
      </c>
      <c r="B28" s="4">
        <v>46630</v>
      </c>
      <c r="C28" s="4"/>
      <c r="D28" s="4">
        <v>50416</v>
      </c>
      <c r="E28" s="4">
        <v>52421</v>
      </c>
      <c r="F28" s="4">
        <v>51967</v>
      </c>
      <c r="G28" s="4">
        <v>51967</v>
      </c>
    </row>
    <row r="29" spans="1:7">
      <c r="A29" t="s">
        <v>64</v>
      </c>
      <c r="B29" s="4">
        <v>128260</v>
      </c>
      <c r="C29" s="4"/>
      <c r="D29" s="4">
        <v>138964</v>
      </c>
      <c r="E29" s="4">
        <v>146021</v>
      </c>
      <c r="F29" s="4">
        <v>156652</v>
      </c>
      <c r="G29" s="4">
        <v>156652</v>
      </c>
    </row>
    <row r="30" spans="1:7">
      <c r="A30" t="s">
        <v>65</v>
      </c>
      <c r="B30" s="4">
        <v>35775</v>
      </c>
      <c r="C30" s="4"/>
      <c r="D30" s="4">
        <v>39257</v>
      </c>
      <c r="E30" s="4">
        <v>39674</v>
      </c>
      <c r="F30" s="4">
        <v>40774</v>
      </c>
      <c r="G30" s="4">
        <v>40774</v>
      </c>
    </row>
    <row r="31" spans="1:7">
      <c r="A31" t="s">
        <v>66</v>
      </c>
      <c r="B31" s="4">
        <v>73795</v>
      </c>
      <c r="C31" s="4"/>
      <c r="D31" s="4">
        <v>78864</v>
      </c>
      <c r="E31" s="4">
        <v>86792</v>
      </c>
      <c r="F31" s="4">
        <v>93402</v>
      </c>
      <c r="G31" s="4">
        <v>93402</v>
      </c>
    </row>
    <row r="32" spans="1:7">
      <c r="A32" t="s">
        <v>11</v>
      </c>
      <c r="B32" s="4">
        <v>44544</v>
      </c>
      <c r="C32" s="4"/>
      <c r="D32" s="4">
        <v>46553</v>
      </c>
      <c r="E32" s="4">
        <v>48169</v>
      </c>
      <c r="F32" s="4">
        <v>51186</v>
      </c>
      <c r="G32" s="4">
        <v>51186</v>
      </c>
    </row>
    <row r="33" spans="1:19">
      <c r="A33" t="s">
        <v>26</v>
      </c>
      <c r="B33">
        <f>B26/SUM(B26:B32)</f>
        <v>0.46743572530104127</v>
      </c>
      <c r="D33">
        <f t="shared" ref="D33:G33" si="6">D26/SUM(D26:D32)</f>
        <v>0.46252497934679349</v>
      </c>
      <c r="E33">
        <f t="shared" si="6"/>
        <v>0.45718130263833551</v>
      </c>
      <c r="F33">
        <f t="shared" si="6"/>
        <v>0.45727930625213203</v>
      </c>
      <c r="G33">
        <f t="shared" si="6"/>
        <v>0.45727930625213203</v>
      </c>
    </row>
    <row r="34" spans="1:19">
      <c r="A34" t="s">
        <v>27</v>
      </c>
      <c r="B34">
        <f>SUM(B29:B31)/SUM(B26:B32)</f>
        <v>0.19686984968424504</v>
      </c>
      <c r="D34">
        <f t="shared" ref="D34:G34" si="7">SUM(D29:D31)/SUM(D26:D32)</f>
        <v>0.19904890725761806</v>
      </c>
      <c r="E34">
        <f t="shared" si="7"/>
        <v>0.20426541527828274</v>
      </c>
      <c r="F34">
        <f t="shared" si="7"/>
        <v>0.20497531793488219</v>
      </c>
      <c r="G34">
        <f t="shared" si="7"/>
        <v>0.20497531793488219</v>
      </c>
    </row>
    <row r="35" spans="1:19">
      <c r="A35" t="s">
        <v>28</v>
      </c>
      <c r="B35">
        <f>B34/B33</f>
        <v>0.42116988289129059</v>
      </c>
      <c r="D35">
        <f t="shared" ref="D35:G35" si="8">D34/D33</f>
        <v>0.43035277259776822</v>
      </c>
      <c r="E35">
        <f t="shared" si="8"/>
        <v>0.44679302084204414</v>
      </c>
      <c r="F35">
        <f t="shared" si="8"/>
        <v>0.44824971332042757</v>
      </c>
      <c r="G35">
        <f t="shared" si="8"/>
        <v>0.44824971332042757</v>
      </c>
    </row>
    <row r="36" spans="1:19">
      <c r="A36" t="s">
        <v>3</v>
      </c>
      <c r="L36" s="9"/>
      <c r="M36" s="9"/>
      <c r="N36" s="9"/>
      <c r="O36" s="9"/>
      <c r="P36" s="9"/>
      <c r="Q36" s="9"/>
      <c r="R36" s="9"/>
      <c r="S36" s="9"/>
    </row>
    <row r="37" spans="1:19">
      <c r="A37" t="s">
        <v>2</v>
      </c>
      <c r="B37">
        <f>(B9+B22+B33) / ((B11&lt;&gt;0) + (B22&lt;&gt;0) + (B33&lt;&gt;0))</f>
        <v>0.35981786265052063</v>
      </c>
      <c r="C37">
        <f t="shared" ref="C37:G37" si="9">(C9+C22+C33) / ((C11&lt;&gt;0) + (C22&lt;&gt;0) + (C33&lt;&gt;0))</f>
        <v>0.39474999999999999</v>
      </c>
      <c r="D37">
        <f t="shared" si="9"/>
        <v>0.42287499311559779</v>
      </c>
      <c r="E37">
        <f t="shared" si="9"/>
        <v>0.48924065131916772</v>
      </c>
      <c r="F37">
        <f t="shared" si="9"/>
        <v>0.45727930625213203</v>
      </c>
      <c r="G37">
        <f t="shared" si="9"/>
        <v>0.48028965312606597</v>
      </c>
      <c r="L37" s="8"/>
      <c r="M37" s="8"/>
      <c r="N37" s="7"/>
      <c r="O37" s="8"/>
      <c r="P37" s="7"/>
      <c r="Q37" s="7"/>
      <c r="R37" s="7"/>
      <c r="S37" s="7"/>
    </row>
    <row r="38" spans="1:19">
      <c r="A38" t="s">
        <v>0</v>
      </c>
      <c r="B38">
        <f>(B10+B23+B34) / ((B12&lt;&gt;0) + (B23&lt;&gt;0) + (B34&lt;&gt;0))</f>
        <v>0.36776984968424503</v>
      </c>
      <c r="C38">
        <f t="shared" ref="C38:F38" si="10">(C10+C23+C34) / ((C12&lt;&gt;0) + (C23&lt;&gt;0) + (C34&lt;&gt;0))</f>
        <v>0.47510000000000008</v>
      </c>
      <c r="D38">
        <f t="shared" si="10"/>
        <v>0.32742445362880901</v>
      </c>
      <c r="E38">
        <f t="shared" si="10"/>
        <v>0.26878270763914136</v>
      </c>
      <c r="F38">
        <f t="shared" si="10"/>
        <v>0.20497531793488219</v>
      </c>
      <c r="G38">
        <f>(G10+G23+G34) / ((G12&lt;&gt;0) + (G23&lt;&gt;0) + (G34&lt;&gt;0))</f>
        <v>0.27203765896744109</v>
      </c>
      <c r="L38" s="8"/>
      <c r="M38" s="8"/>
      <c r="N38" s="7"/>
      <c r="O38" s="8"/>
      <c r="P38" s="7"/>
      <c r="Q38" s="7"/>
      <c r="R38" s="7"/>
      <c r="S38" s="7"/>
    </row>
    <row r="39" spans="1:19">
      <c r="L39" s="8"/>
      <c r="M39" s="8"/>
      <c r="N39" s="7"/>
      <c r="O39" s="8"/>
      <c r="P39" s="7"/>
      <c r="Q39" s="7"/>
      <c r="R39" s="7"/>
      <c r="S39" s="7"/>
    </row>
    <row r="40" spans="1:19">
      <c r="L40" s="8"/>
      <c r="M40" s="8"/>
      <c r="N40" s="7"/>
      <c r="O40" s="8"/>
      <c r="P40" s="7"/>
      <c r="Q40" s="7"/>
      <c r="R40" s="7"/>
      <c r="S40" s="7"/>
    </row>
    <row r="41" spans="1:19">
      <c r="L41" s="8"/>
      <c r="M41" s="8"/>
      <c r="N41" s="7"/>
      <c r="O41" s="8"/>
      <c r="P41" s="7"/>
      <c r="Q41" s="7"/>
      <c r="R41" s="7"/>
      <c r="S41" s="7"/>
    </row>
    <row r="42" spans="1:19">
      <c r="L42" s="8"/>
      <c r="M42" s="8"/>
      <c r="N42" s="7"/>
      <c r="O42" s="8"/>
      <c r="P42" s="7"/>
      <c r="Q42" s="7"/>
      <c r="R42" s="7"/>
      <c r="S42" s="7"/>
    </row>
    <row r="43" spans="1:19">
      <c r="L43" s="8"/>
      <c r="M43" s="8"/>
      <c r="N43" s="7"/>
      <c r="O43" s="8"/>
      <c r="P43" s="7"/>
      <c r="Q43" s="7"/>
      <c r="R43" s="7"/>
      <c r="S43" s="7"/>
    </row>
    <row r="44" spans="1:19">
      <c r="L44" s="9"/>
      <c r="M44" s="9"/>
      <c r="N44" s="10"/>
      <c r="O44" s="8"/>
      <c r="P44" s="10"/>
      <c r="Q44" s="10"/>
      <c r="R44" s="10"/>
      <c r="S4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LRZ1</vt:lpstr>
      <vt:lpstr>LRZ35</vt:lpstr>
      <vt:lpstr>LRZ27</vt:lpstr>
      <vt:lpstr>LRZ6</vt:lpstr>
      <vt:lpstr>LRZ8910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Authors</cp:lastModifiedBy>
  <dcterms:created xsi:type="dcterms:W3CDTF">2025-09-22T20:17:36Z</dcterms:created>
  <dcterms:modified xsi:type="dcterms:W3CDTF">2026-04-17T03:04:10Z</dcterms:modified>
</cp:coreProperties>
</file>