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rider/city/"/>
    </mc:Choice>
  </mc:AlternateContent>
  <xr:revisionPtr revIDLastSave="0" documentId="13_ncr:1_{23BAD541-4D58-6340-96E8-152BDC11A81E}" xr6:coauthVersionLast="47" xr6:coauthVersionMax="47" xr10:uidLastSave="{00000000-0000-0000-0000-000000000000}"/>
  <bookViews>
    <workbookView xWindow="0" yWindow="500" windowWidth="38400" windowHeight="21100" activeTab="4" xr2:uid="{08CDB012-30B4-7842-ADAB-7B261DF56280}"/>
  </bookViews>
  <sheets>
    <sheet name="Phoenix" sheetId="21" r:id="rId1"/>
    <sheet name="Atlanta" sheetId="25" r:id="rId2"/>
    <sheet name="Hillsboro" sheetId="26" r:id="rId3"/>
    <sheet name="Seattle" sheetId="27" r:id="rId4"/>
    <sheet name="Mesa" sheetId="2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8" l="1"/>
  <c r="G21" i="28"/>
  <c r="G20" i="28"/>
  <c r="E7" i="27"/>
  <c r="F7" i="27"/>
  <c r="G7" i="27"/>
  <c r="D7" i="27"/>
  <c r="E6" i="27"/>
  <c r="F6" i="27"/>
  <c r="G6" i="27"/>
  <c r="D6" i="27"/>
  <c r="E5" i="27"/>
  <c r="F5" i="27"/>
  <c r="G5" i="27"/>
  <c r="D5" i="27"/>
  <c r="D8" i="26"/>
  <c r="F8" i="26"/>
  <c r="G8" i="26"/>
  <c r="B8" i="26"/>
  <c r="D7" i="26"/>
  <c r="F7" i="26"/>
  <c r="G7" i="26"/>
  <c r="B7" i="26"/>
  <c r="D6" i="26"/>
  <c r="F6" i="26"/>
  <c r="G6" i="26"/>
  <c r="B6" i="26"/>
  <c r="E12" i="25"/>
  <c r="C12" i="25"/>
  <c r="B12" i="25"/>
  <c r="C11" i="25"/>
  <c r="E11" i="25"/>
  <c r="B11" i="25"/>
  <c r="C10" i="25"/>
  <c r="E10" i="25"/>
  <c r="B10" i="25"/>
  <c r="C5" i="25"/>
  <c r="C2" i="25"/>
  <c r="D7" i="21"/>
  <c r="E7" i="21"/>
  <c r="F7" i="21"/>
  <c r="C7" i="21"/>
  <c r="D6" i="21"/>
  <c r="E6" i="21"/>
  <c r="F6" i="21"/>
  <c r="C6" i="21"/>
  <c r="D5" i="21"/>
  <c r="E5" i="21"/>
  <c r="F5" i="21"/>
  <c r="C5" i="21"/>
</calcChain>
</file>

<file path=xl/sharedStrings.xml><?xml version="1.0" encoding="utf-8"?>
<sst xmlns="http://schemas.openxmlformats.org/spreadsheetml/2006/main" count="51" uniqueCount="39">
  <si>
    <t>DC</t>
  </si>
  <si>
    <t>Ratio</t>
  </si>
  <si>
    <t>Residential</t>
  </si>
  <si>
    <t>RU</t>
  </si>
  <si>
    <t>Residential Service</t>
  </si>
  <si>
    <t>Secondary Service &gt;10 kVA</t>
  </si>
  <si>
    <t>Secondary Service&lt;=10 kVA</t>
  </si>
  <si>
    <t>Domestic</t>
  </si>
  <si>
    <t>Small Business</t>
  </si>
  <si>
    <t>Medium Business</t>
  </si>
  <si>
    <t>Large Business</t>
  </si>
  <si>
    <t>Agriculture</t>
  </si>
  <si>
    <t>Government</t>
  </si>
  <si>
    <t>Lighting</t>
  </si>
  <si>
    <t>Marginal</t>
  </si>
  <si>
    <t>Sch 7</t>
  </si>
  <si>
    <t>Sch85</t>
  </si>
  <si>
    <t>Sch89</t>
  </si>
  <si>
    <t>Sch90</t>
  </si>
  <si>
    <t>Small and Medium</t>
  </si>
  <si>
    <t>Large and High</t>
  </si>
  <si>
    <t>E21</t>
  </si>
  <si>
    <t>E22</t>
  </si>
  <si>
    <t>E23</t>
  </si>
  <si>
    <t>E24</t>
  </si>
  <si>
    <t>E26</t>
  </si>
  <si>
    <t>E29</t>
  </si>
  <si>
    <t>E27</t>
  </si>
  <si>
    <t>E13</t>
  </si>
  <si>
    <t>E14</t>
  </si>
  <si>
    <t>E15</t>
  </si>
  <si>
    <t>E32</t>
  </si>
  <si>
    <t>E36</t>
  </si>
  <si>
    <t>E40</t>
  </si>
  <si>
    <t>E50</t>
  </si>
  <si>
    <t>E61</t>
  </si>
  <si>
    <t>E63</t>
  </si>
  <si>
    <t>E65</t>
  </si>
  <si>
    <t>E67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</si>
</sst>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name val="Arial"/>
      <family val="2"/>
    </font>
    <font>
      <i/>
      <sz val="6"/>
      <color theme="1"/>
      <name val="Times"/>
    </font>
    <font>
      <i/>
      <sz val="7"/>
      <color rgb="FF00B15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applyNumberFormat="1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4EE2-7089-F645-A53E-064DD6D156BE}">
  <dimension ref="A1:G7"/>
  <sheetViews>
    <sheetView workbookViewId="0">
      <selection activeCell="C7" sqref="C7:F7"/>
    </sheetView>
  </sheetViews>
  <sheetFormatPr baseColWidth="10" defaultRowHeight="16"/>
  <cols>
    <col min="1" max="1" width="26.6640625" style="2" bestFit="1" customWidth="1"/>
    <col min="2" max="2" width="10.83203125" style="2"/>
    <col min="3" max="6" width="12.1640625" style="2" bestFit="1" customWidth="1"/>
    <col min="7" max="16384" width="10.83203125" style="2"/>
  </cols>
  <sheetData>
    <row r="1" spans="1:7"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1:7">
      <c r="A2" s="2" t="s">
        <v>4</v>
      </c>
      <c r="C2" s="1">
        <v>0.62229999999999996</v>
      </c>
      <c r="D2" s="1">
        <v>0.61919999999999997</v>
      </c>
      <c r="E2" s="1">
        <v>0.63460000000000005</v>
      </c>
      <c r="F2" s="1">
        <v>0.61380000000000001</v>
      </c>
    </row>
    <row r="3" spans="1:7">
      <c r="A3" s="2" t="s">
        <v>6</v>
      </c>
      <c r="C3" s="1">
        <v>0.3135</v>
      </c>
      <c r="D3" s="1">
        <v>0.31369999999999998</v>
      </c>
      <c r="E3" s="1">
        <v>0.28549999999999998</v>
      </c>
      <c r="F3" s="1">
        <v>0.2893</v>
      </c>
    </row>
    <row r="4" spans="1:7">
      <c r="A4" s="2" t="s">
        <v>5</v>
      </c>
      <c r="C4" s="1">
        <v>6.4199999999999993E-2</v>
      </c>
      <c r="D4" s="1">
        <v>6.7100000000000007E-2</v>
      </c>
      <c r="E4" s="1">
        <v>7.9899999999999999E-2</v>
      </c>
      <c r="F4" s="1">
        <v>9.69E-2</v>
      </c>
    </row>
    <row r="5" spans="1:7">
      <c r="A5" s="2" t="s">
        <v>3</v>
      </c>
      <c r="C5" s="1">
        <f>C2</f>
        <v>0.62229999999999996</v>
      </c>
      <c r="D5" s="1">
        <f t="shared" ref="D5:F5" si="0">D2</f>
        <v>0.61919999999999997</v>
      </c>
      <c r="E5" s="1">
        <f t="shared" si="0"/>
        <v>0.63460000000000005</v>
      </c>
      <c r="F5" s="1">
        <f t="shared" si="0"/>
        <v>0.61380000000000001</v>
      </c>
    </row>
    <row r="6" spans="1:7">
      <c r="A6" s="2" t="s">
        <v>0</v>
      </c>
      <c r="C6" s="1">
        <f>C4</f>
        <v>6.4199999999999993E-2</v>
      </c>
      <c r="D6" s="1">
        <f t="shared" ref="D6:F6" si="1">D4</f>
        <v>6.7100000000000007E-2</v>
      </c>
      <c r="E6" s="1">
        <f t="shared" si="1"/>
        <v>7.9899999999999999E-2</v>
      </c>
      <c r="F6" s="1">
        <f t="shared" si="1"/>
        <v>9.69E-2</v>
      </c>
    </row>
    <row r="7" spans="1:7">
      <c r="A7" s="2" t="s">
        <v>1</v>
      </c>
      <c r="C7" s="2">
        <f>C6/C5</f>
        <v>0.10316567571910654</v>
      </c>
      <c r="D7" s="2">
        <f t="shared" ref="D7:F7" si="2">D6/D5</f>
        <v>0.10836563307493542</v>
      </c>
      <c r="E7" s="2">
        <f t="shared" si="2"/>
        <v>0.12590608257169869</v>
      </c>
      <c r="F7" s="2">
        <f t="shared" si="2"/>
        <v>0.15786901270772238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84D4-EE19-964B-A428-C0BB55C6DAE6}">
  <dimension ref="A1:H18"/>
  <sheetViews>
    <sheetView workbookViewId="0">
      <selection activeCell="B1" sqref="B1:G1"/>
    </sheetView>
  </sheetViews>
  <sheetFormatPr baseColWidth="10" defaultRowHeight="16"/>
  <cols>
    <col min="1" max="1" width="15.6640625" bestFit="1" customWidth="1"/>
    <col min="2" max="2" width="12.1640625" bestFit="1" customWidth="1"/>
    <col min="3" max="3" width="10.164062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7</v>
      </c>
      <c r="B2" s="3">
        <v>48522321.891108066</v>
      </c>
      <c r="C2" s="5">
        <f>46459146+528025+1563391+138280</f>
        <v>48688842</v>
      </c>
      <c r="E2" s="5">
        <v>51122129</v>
      </c>
    </row>
    <row r="3" spans="1:7">
      <c r="A3" t="s">
        <v>8</v>
      </c>
      <c r="B3" s="3">
        <v>8800979.0105015635</v>
      </c>
      <c r="E3" s="5">
        <v>8443308</v>
      </c>
    </row>
    <row r="4" spans="1:7">
      <c r="A4" t="s">
        <v>9</v>
      </c>
      <c r="B4" s="3">
        <v>17944081.41013699</v>
      </c>
      <c r="E4" s="5">
        <v>16990454</v>
      </c>
    </row>
    <row r="5" spans="1:7">
      <c r="A5" t="s">
        <v>10</v>
      </c>
      <c r="B5" s="3">
        <v>4660844.5174265811</v>
      </c>
      <c r="C5">
        <f>5038838+15764125+3013228+8644388+5161975+2684866</f>
        <v>40307420</v>
      </c>
      <c r="E5" s="5">
        <v>4011063</v>
      </c>
    </row>
    <row r="6" spans="1:7">
      <c r="A6" t="s">
        <v>11</v>
      </c>
      <c r="B6" s="3">
        <v>239144.32003620901</v>
      </c>
      <c r="E6" s="5">
        <v>143479</v>
      </c>
    </row>
    <row r="7" spans="1:7">
      <c r="A7" t="s">
        <v>12</v>
      </c>
      <c r="B7" s="3">
        <v>3075483.4265791667</v>
      </c>
      <c r="E7" s="5">
        <v>2757285</v>
      </c>
    </row>
    <row r="8" spans="1:7">
      <c r="A8" t="s">
        <v>13</v>
      </c>
      <c r="B8" s="3">
        <v>0</v>
      </c>
      <c r="E8" s="5">
        <v>0</v>
      </c>
    </row>
    <row r="9" spans="1:7">
      <c r="A9" t="s">
        <v>14</v>
      </c>
      <c r="B9" s="3">
        <v>16757145.424211409</v>
      </c>
      <c r="E9" s="5">
        <v>16532283</v>
      </c>
    </row>
    <row r="10" spans="1:7">
      <c r="A10" t="s">
        <v>3</v>
      </c>
      <c r="B10">
        <f>B2</f>
        <v>48522321.891108066</v>
      </c>
      <c r="C10">
        <f t="shared" ref="C10:E10" si="0">C2</f>
        <v>48688842</v>
      </c>
      <c r="E10">
        <f t="shared" si="0"/>
        <v>51122129</v>
      </c>
    </row>
    <row r="11" spans="1:7">
      <c r="A11" t="s">
        <v>0</v>
      </c>
      <c r="B11">
        <f>B5</f>
        <v>4660844.5174265811</v>
      </c>
      <c r="C11">
        <f t="shared" ref="C11:E11" si="1">C5</f>
        <v>40307420</v>
      </c>
      <c r="E11">
        <f t="shared" si="1"/>
        <v>4011063</v>
      </c>
    </row>
    <row r="12" spans="1:7">
      <c r="A12" t="s">
        <v>1</v>
      </c>
      <c r="B12">
        <f>B11/B10</f>
        <v>9.6055677794773905E-2</v>
      </c>
      <c r="C12">
        <f>C11/C10</f>
        <v>0.82785743805531464</v>
      </c>
      <c r="E12">
        <f>E11/E10</f>
        <v>7.8460406060162316E-2</v>
      </c>
    </row>
    <row r="18" spans="8:8">
      <c r="H18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EB11-8B93-B64E-8BC6-92CE20E581F2}">
  <dimension ref="A1:G8"/>
  <sheetViews>
    <sheetView workbookViewId="0">
      <selection activeCell="B1" sqref="B1:G1"/>
    </sheetView>
  </sheetViews>
  <sheetFormatPr baseColWidth="10" defaultRowHeight="16"/>
  <cols>
    <col min="2" max="2" width="12.164062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15</v>
      </c>
      <c r="B2" s="1">
        <v>0.50188995999999997</v>
      </c>
      <c r="D2" s="1">
        <v>0.4945</v>
      </c>
      <c r="F2" s="1">
        <v>0.48309999999999997</v>
      </c>
      <c r="G2" s="1">
        <v>0.48</v>
      </c>
    </row>
    <row r="3" spans="1:7">
      <c r="A3" t="s">
        <v>16</v>
      </c>
      <c r="B3" s="1">
        <v>0.14610000000000001</v>
      </c>
      <c r="D3" s="1">
        <v>0.13170000000000001</v>
      </c>
      <c r="F3" s="1">
        <v>0.1196</v>
      </c>
      <c r="G3" s="1">
        <v>0.1196</v>
      </c>
    </row>
    <row r="4" spans="1:7">
      <c r="A4" t="s">
        <v>17</v>
      </c>
      <c r="B4" s="1">
        <v>2.2700000000000001E-2</v>
      </c>
      <c r="D4" s="1">
        <v>2.5600000000000001E-2</v>
      </c>
      <c r="F4" s="1">
        <v>5.3199999999999997E-2</v>
      </c>
      <c r="G4" s="1">
        <v>4.2299999999999997E-2</v>
      </c>
    </row>
    <row r="5" spans="1:7">
      <c r="A5" t="s">
        <v>18</v>
      </c>
      <c r="B5" s="1">
        <v>7.51E-2</v>
      </c>
      <c r="D5" s="1">
        <v>0.1144</v>
      </c>
      <c r="F5" s="1">
        <v>0.1237</v>
      </c>
      <c r="G5" s="1">
        <v>0.14000000000000001</v>
      </c>
    </row>
    <row r="6" spans="1:7">
      <c r="A6" t="s">
        <v>3</v>
      </c>
      <c r="B6" s="1">
        <f>B2</f>
        <v>0.50188995999999997</v>
      </c>
      <c r="C6" s="1"/>
      <c r="D6" s="1">
        <f t="shared" ref="C6:G6" si="0">D2</f>
        <v>0.4945</v>
      </c>
      <c r="E6" s="1"/>
      <c r="F6" s="1">
        <f t="shared" si="0"/>
        <v>0.48309999999999997</v>
      </c>
      <c r="G6" s="1">
        <f t="shared" si="0"/>
        <v>0.48</v>
      </c>
    </row>
    <row r="7" spans="1:7">
      <c r="A7" t="s">
        <v>0</v>
      </c>
      <c r="B7" s="1">
        <f>SUM(B3:B5)</f>
        <v>0.24390000000000001</v>
      </c>
      <c r="C7" s="1"/>
      <c r="D7" s="1">
        <f t="shared" ref="C7:G7" si="1">SUM(D3:D5)</f>
        <v>0.27170000000000005</v>
      </c>
      <c r="E7" s="1"/>
      <c r="F7" s="1">
        <f t="shared" si="1"/>
        <v>0.29649999999999999</v>
      </c>
      <c r="G7" s="1">
        <f t="shared" si="1"/>
        <v>0.3019</v>
      </c>
    </row>
    <row r="8" spans="1:7">
      <c r="A8" t="s">
        <v>1</v>
      </c>
      <c r="B8" s="2">
        <f>B7/B6</f>
        <v>0.48596309836522733</v>
      </c>
      <c r="C8" s="2"/>
      <c r="D8" s="2">
        <f t="shared" ref="C8:G8" si="2">D7/D6</f>
        <v>0.54944388270980804</v>
      </c>
      <c r="E8" s="2"/>
      <c r="F8" s="2">
        <f t="shared" si="2"/>
        <v>0.61374456634237218</v>
      </c>
      <c r="G8" s="2">
        <f t="shared" si="2"/>
        <v>0.6289583333333334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4BCD-CF72-C146-BEEF-91D0AC69E1A2}">
  <dimension ref="A1:G7"/>
  <sheetViews>
    <sheetView workbookViewId="0">
      <selection activeCell="B1" sqref="B1:G1"/>
    </sheetView>
  </sheetViews>
  <sheetFormatPr baseColWidth="10" defaultRowHeight="16"/>
  <cols>
    <col min="1" max="1" width="16.8320312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2</v>
      </c>
      <c r="D2">
        <v>3008</v>
      </c>
      <c r="E2">
        <v>3068</v>
      </c>
      <c r="F2">
        <v>3058</v>
      </c>
      <c r="G2">
        <v>3147</v>
      </c>
    </row>
    <row r="3" spans="1:7">
      <c r="A3" t="s">
        <v>19</v>
      </c>
      <c r="D3">
        <v>3363</v>
      </c>
      <c r="E3">
        <v>3433</v>
      </c>
      <c r="F3">
        <v>3345</v>
      </c>
      <c r="G3">
        <v>3540</v>
      </c>
    </row>
    <row r="4" spans="1:7">
      <c r="A4" t="s">
        <v>20</v>
      </c>
      <c r="D4">
        <v>2262</v>
      </c>
      <c r="E4">
        <v>2276</v>
      </c>
      <c r="F4">
        <v>2279</v>
      </c>
      <c r="G4">
        <v>2388</v>
      </c>
    </row>
    <row r="5" spans="1:7">
      <c r="A5" t="s">
        <v>3</v>
      </c>
      <c r="D5">
        <f>D2</f>
        <v>3008</v>
      </c>
      <c r="E5">
        <f t="shared" ref="E5:G5" si="0">E2</f>
        <v>3068</v>
      </c>
      <c r="F5">
        <f t="shared" si="0"/>
        <v>3058</v>
      </c>
      <c r="G5">
        <f t="shared" si="0"/>
        <v>3147</v>
      </c>
    </row>
    <row r="6" spans="1:7">
      <c r="A6" t="s">
        <v>0</v>
      </c>
      <c r="D6">
        <f>D4</f>
        <v>2262</v>
      </c>
      <c r="E6">
        <f t="shared" ref="E6:G6" si="1">E4</f>
        <v>2276</v>
      </c>
      <c r="F6">
        <f t="shared" si="1"/>
        <v>2279</v>
      </c>
      <c r="G6">
        <f t="shared" si="1"/>
        <v>2388</v>
      </c>
    </row>
    <row r="7" spans="1:7">
      <c r="A7" t="s">
        <v>1</v>
      </c>
      <c r="D7">
        <f>D6/D5</f>
        <v>0.7519946808510638</v>
      </c>
      <c r="E7">
        <f t="shared" ref="E7:G7" si="2">E6/E5</f>
        <v>0.74185136897001303</v>
      </c>
      <c r="F7">
        <f t="shared" si="2"/>
        <v>0.74525833878351866</v>
      </c>
      <c r="G7">
        <f t="shared" si="2"/>
        <v>0.7588179218303146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0847-4CE5-FF40-B01D-145D0FC8BB6E}">
  <dimension ref="A1:N22"/>
  <sheetViews>
    <sheetView tabSelected="1" workbookViewId="0">
      <selection activeCell="G23" sqref="G23"/>
    </sheetView>
  </sheetViews>
  <sheetFormatPr baseColWidth="10" defaultRowHeight="16"/>
  <sheetData>
    <row r="1" spans="1:14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14">
      <c r="A2" t="s">
        <v>21</v>
      </c>
      <c r="G2">
        <v>721</v>
      </c>
    </row>
    <row r="3" spans="1:14">
      <c r="A3" t="s">
        <v>22</v>
      </c>
      <c r="G3">
        <v>64</v>
      </c>
    </row>
    <row r="4" spans="1:14">
      <c r="A4" t="s">
        <v>23</v>
      </c>
      <c r="G4">
        <v>2200</v>
      </c>
    </row>
    <row r="5" spans="1:14">
      <c r="A5" t="s">
        <v>24</v>
      </c>
      <c r="G5">
        <v>560</v>
      </c>
    </row>
    <row r="6" spans="1:14">
      <c r="A6" t="s">
        <v>25</v>
      </c>
      <c r="G6">
        <v>656</v>
      </c>
      <c r="N6" s="6"/>
    </row>
    <row r="7" spans="1:14">
      <c r="A7" t="s">
        <v>26</v>
      </c>
      <c r="G7">
        <v>157</v>
      </c>
    </row>
    <row r="8" spans="1:14">
      <c r="A8" t="s">
        <v>27</v>
      </c>
      <c r="G8">
        <v>85</v>
      </c>
    </row>
    <row r="9" spans="1:14">
      <c r="A9" t="s">
        <v>28</v>
      </c>
      <c r="G9">
        <v>66</v>
      </c>
    </row>
    <row r="10" spans="1:14">
      <c r="A10" t="s">
        <v>29</v>
      </c>
      <c r="G10">
        <v>3</v>
      </c>
    </row>
    <row r="11" spans="1:14">
      <c r="A11" t="s">
        <v>30</v>
      </c>
      <c r="G11">
        <v>14</v>
      </c>
    </row>
    <row r="12" spans="1:14">
      <c r="A12" t="s">
        <v>31</v>
      </c>
      <c r="G12">
        <v>490</v>
      </c>
    </row>
    <row r="13" spans="1:14">
      <c r="A13" t="s">
        <v>32</v>
      </c>
      <c r="G13">
        <v>1160</v>
      </c>
    </row>
    <row r="14" spans="1:14">
      <c r="A14" t="s">
        <v>33</v>
      </c>
      <c r="G14">
        <v>14</v>
      </c>
    </row>
    <row r="15" spans="1:14">
      <c r="A15" t="s">
        <v>34</v>
      </c>
      <c r="G15">
        <v>1</v>
      </c>
    </row>
    <row r="16" spans="1:14">
      <c r="A16" t="s">
        <v>35</v>
      </c>
      <c r="G16">
        <v>313</v>
      </c>
    </row>
    <row r="17" spans="1:7">
      <c r="A17" t="s">
        <v>36</v>
      </c>
      <c r="G17">
        <v>73</v>
      </c>
    </row>
    <row r="18" spans="1:7">
      <c r="A18" t="s">
        <v>37</v>
      </c>
      <c r="G18">
        <v>709</v>
      </c>
    </row>
    <row r="19" spans="1:7">
      <c r="A19" t="s">
        <v>38</v>
      </c>
      <c r="G19">
        <v>644</v>
      </c>
    </row>
    <row r="20" spans="1:7">
      <c r="A20" t="s">
        <v>3</v>
      </c>
      <c r="G20">
        <f>SUM(G2:G6)</f>
        <v>4201</v>
      </c>
    </row>
    <row r="21" spans="1:7">
      <c r="A21" t="s">
        <v>0</v>
      </c>
      <c r="G21">
        <f>SUM(G16:G19)</f>
        <v>1739</v>
      </c>
    </row>
    <row r="22" spans="1:7">
      <c r="A22" t="s">
        <v>1</v>
      </c>
      <c r="G22">
        <f>G21/G20</f>
        <v>0.41394905974767915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Phoenix</vt:lpstr>
      <vt:lpstr>Atlanta</vt:lpstr>
      <vt:lpstr>Hillsboro</vt:lpstr>
      <vt:lpstr>Seattle</vt:lpstr>
      <vt:lpstr>Mesa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2025-09-22T20:17:36Z</dcterms:created>
  <dcterms:modified xsi:type="dcterms:W3CDTF">2025-09-30T02:37:12Z</dcterms:modified>
</cp:coreProperties>
</file>