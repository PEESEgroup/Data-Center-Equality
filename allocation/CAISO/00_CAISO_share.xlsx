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CAISO/"/>
    </mc:Choice>
  </mc:AlternateContent>
  <xr:revisionPtr revIDLastSave="0" documentId="13_ncr:1_{5C915403-7616-2944-B77A-0E7B8614C113}" xr6:coauthVersionLast="47" xr6:coauthVersionMax="47" xr10:uidLastSave="{00000000-0000-0000-0000-000000000000}"/>
  <bookViews>
    <workbookView xWindow="0" yWindow="600" windowWidth="18600" windowHeight="21000" activeTab="2" xr2:uid="{08CDB012-30B4-7842-ADAB-7B261DF56280}"/>
  </bookViews>
  <sheets>
    <sheet name="PGE" sheetId="23" r:id="rId1"/>
    <sheet name="SCE" sheetId="24" r:id="rId2"/>
    <sheet name="SDGE" sheetId="2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5" l="1"/>
  <c r="D21" i="25"/>
  <c r="E21" i="25"/>
  <c r="F21" i="25"/>
  <c r="G21" i="25"/>
  <c r="B21" i="25"/>
  <c r="C20" i="25"/>
  <c r="D20" i="25"/>
  <c r="E20" i="25"/>
  <c r="F20" i="25"/>
  <c r="G20" i="25"/>
  <c r="B20" i="25"/>
  <c r="C17" i="24"/>
  <c r="D17" i="24"/>
  <c r="E17" i="24"/>
  <c r="F17" i="24"/>
  <c r="G17" i="24"/>
  <c r="B17" i="24"/>
  <c r="C16" i="24"/>
  <c r="D16" i="24"/>
  <c r="E16" i="24"/>
  <c r="F16" i="24"/>
  <c r="G16" i="24"/>
  <c r="B16" i="24"/>
  <c r="C10" i="23"/>
  <c r="D10" i="23"/>
  <c r="E10" i="23"/>
  <c r="F10" i="23"/>
  <c r="G10" i="23"/>
  <c r="B10" i="23"/>
  <c r="C9" i="23"/>
  <c r="D9" i="23"/>
  <c r="E9" i="23"/>
  <c r="F9" i="23"/>
  <c r="G9" i="23"/>
  <c r="B9" i="23"/>
</calcChain>
</file>

<file path=xl/sharedStrings.xml><?xml version="1.0" encoding="utf-8"?>
<sst xmlns="http://schemas.openxmlformats.org/spreadsheetml/2006/main" count="45" uniqueCount="34">
  <si>
    <t>DC</t>
  </si>
  <si>
    <t>Residential</t>
  </si>
  <si>
    <t>RU</t>
  </si>
  <si>
    <t>Small L&amp;P</t>
  </si>
  <si>
    <t>Domestic</t>
  </si>
  <si>
    <t>TOU-GS-1</t>
  </si>
  <si>
    <t>TC-1</t>
  </si>
  <si>
    <t>TOU-GS-2</t>
  </si>
  <si>
    <t>TOU-GS-3</t>
  </si>
  <si>
    <t>TOU-8-SEC</t>
  </si>
  <si>
    <t>TOU-8-PRI</t>
  </si>
  <si>
    <t>TOU-8-SUB</t>
  </si>
  <si>
    <t>TOU-8-Standby-SEC</t>
  </si>
  <si>
    <t>TOU-8-Standby-PRI</t>
  </si>
  <si>
    <t>TOU-8-Standby-SUB</t>
  </si>
  <si>
    <t>TOU-PA-2</t>
  </si>
  <si>
    <t>TOU-PA-3</t>
  </si>
  <si>
    <t>Street Lighting</t>
  </si>
  <si>
    <t>Agricultural</t>
  </si>
  <si>
    <t>Standby</t>
  </si>
  <si>
    <t>Medium Light and Power</t>
  </si>
  <si>
    <t>Streetlights</t>
  </si>
  <si>
    <t>Agriculture</t>
  </si>
  <si>
    <t>Schedule E-20</t>
  </si>
  <si>
    <t>Residential Customers</t>
  </si>
  <si>
    <t>Small Commercial Customers</t>
  </si>
  <si>
    <t>Medium-Large Commercial Customers</t>
  </si>
  <si>
    <t>Secondary</t>
  </si>
  <si>
    <t>Primary</t>
  </si>
  <si>
    <t>Transmission</t>
  </si>
  <si>
    <t>Total Medium-Large Commercial</t>
  </si>
  <si>
    <t>Total Agricultural</t>
  </si>
  <si>
    <t>Standby Customers</t>
  </si>
  <si>
    <t>Total Standby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</si>
</sst>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0" fontId="0" fillId="0" borderId="0" xfId="0" applyNumberFormat="1" applyFont="1"/>
    <xf numFmtId="1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64C6-BB87-DB4C-9480-8CDCDEE340D8}">
  <dimension ref="A1:G10"/>
  <sheetViews>
    <sheetView workbookViewId="0">
      <selection activeCell="G21" sqref="G21"/>
    </sheetView>
  </sheetViews>
  <sheetFormatPr baseColWidth="10" defaultRowHeight="16" x14ac:dyDescent="0.2"/>
  <cols>
    <col min="1" max="1" width="23.83203125" style="1" customWidth="1"/>
    <col min="2" max="16384" width="10.83203125" style="1"/>
  </cols>
  <sheetData>
    <row r="1" spans="1:7" x14ac:dyDescent="0.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1" t="s">
        <v>1</v>
      </c>
      <c r="B2" s="2">
        <v>0.44409999999999999</v>
      </c>
      <c r="C2" s="3">
        <v>0.46860000000000002</v>
      </c>
      <c r="D2" s="3">
        <v>0.47560000000000002</v>
      </c>
      <c r="E2" s="3">
        <v>0.46829999999999999</v>
      </c>
      <c r="F2" s="3">
        <v>0.46829999999999999</v>
      </c>
      <c r="G2" s="3">
        <v>0.4677</v>
      </c>
    </row>
    <row r="3" spans="1:7" x14ac:dyDescent="0.2">
      <c r="A3" s="4" t="s">
        <v>3</v>
      </c>
      <c r="B3" s="3">
        <v>9.7600000000000006E-2</v>
      </c>
      <c r="C3" s="3">
        <v>9.06E-2</v>
      </c>
      <c r="D3" s="3">
        <v>9.1800000000000007E-2</v>
      </c>
      <c r="E3" s="3">
        <v>9.5600000000000004E-2</v>
      </c>
      <c r="F3" s="3">
        <v>9.5600000000000004E-2</v>
      </c>
      <c r="G3" s="3">
        <v>9.2399999999999996E-2</v>
      </c>
    </row>
    <row r="4" spans="1:7" x14ac:dyDescent="0.2">
      <c r="A4" s="4" t="s">
        <v>20</v>
      </c>
      <c r="B4" s="3">
        <v>0.24660000000000001</v>
      </c>
      <c r="C4" s="3">
        <v>0.23449999999999999</v>
      </c>
      <c r="D4" s="3">
        <v>0.23219999999999999</v>
      </c>
      <c r="E4" s="3">
        <v>0.2387</v>
      </c>
      <c r="F4" s="3">
        <v>0.2387</v>
      </c>
      <c r="G4" s="3">
        <v>0.23949999999999999</v>
      </c>
    </row>
    <row r="5" spans="1:7" x14ac:dyDescent="0.2">
      <c r="A5" s="4" t="s">
        <v>21</v>
      </c>
      <c r="B5" s="3">
        <v>2.3999999999999998E-3</v>
      </c>
      <c r="C5" s="3">
        <v>2.5000000000000001E-3</v>
      </c>
      <c r="D5" s="3">
        <v>2.3999999999999998E-3</v>
      </c>
      <c r="E5" s="3">
        <v>2.5000000000000001E-3</v>
      </c>
      <c r="F5" s="3">
        <v>2.5000000000000001E-3</v>
      </c>
      <c r="G5" s="3">
        <v>2.5000000000000001E-3</v>
      </c>
    </row>
    <row r="6" spans="1:7" x14ac:dyDescent="0.2">
      <c r="A6" s="4" t="s">
        <v>22</v>
      </c>
      <c r="B6" s="3">
        <v>5.5199999999999999E-2</v>
      </c>
      <c r="C6" s="3">
        <v>6.2600000000000003E-2</v>
      </c>
      <c r="D6" s="3">
        <v>6.3899999999999998E-2</v>
      </c>
      <c r="E6" s="3">
        <v>6.1499999999999999E-2</v>
      </c>
      <c r="F6" s="3">
        <v>6.1499999999999999E-2</v>
      </c>
      <c r="G6" s="3">
        <v>6.4899999999999999E-2</v>
      </c>
    </row>
    <row r="7" spans="1:7" x14ac:dyDescent="0.2">
      <c r="A7" s="4" t="s">
        <v>23</v>
      </c>
      <c r="B7" s="3">
        <v>0.14380000000000001</v>
      </c>
      <c r="C7" s="3">
        <v>0.13250000000000001</v>
      </c>
      <c r="D7" s="3">
        <v>0.1293</v>
      </c>
      <c r="E7" s="3">
        <v>0.1265</v>
      </c>
      <c r="F7" s="3">
        <v>0.1265</v>
      </c>
      <c r="G7" s="3">
        <v>0.12640000000000001</v>
      </c>
    </row>
    <row r="8" spans="1:7" x14ac:dyDescent="0.2">
      <c r="A8" s="4" t="s">
        <v>19</v>
      </c>
      <c r="B8" s="3">
        <v>1.01E-2</v>
      </c>
      <c r="C8" s="3">
        <v>8.6999999999999994E-3</v>
      </c>
      <c r="D8" s="3">
        <v>4.7000000000000002E-3</v>
      </c>
      <c r="E8" s="3">
        <v>6.8999999999999999E-3</v>
      </c>
      <c r="F8" s="3">
        <v>6.8999999999999999E-3</v>
      </c>
      <c r="G8" s="3">
        <v>6.4999999999999997E-3</v>
      </c>
    </row>
    <row r="9" spans="1:7" x14ac:dyDescent="0.2">
      <c r="A9" s="1" t="s">
        <v>2</v>
      </c>
      <c r="B9" s="2">
        <f>B2</f>
        <v>0.44409999999999999</v>
      </c>
      <c r="C9" s="2">
        <f t="shared" ref="C9:G9" si="0">C2</f>
        <v>0.46860000000000002</v>
      </c>
      <c r="D9" s="2">
        <f t="shared" si="0"/>
        <v>0.47560000000000002</v>
      </c>
      <c r="E9" s="2">
        <f t="shared" si="0"/>
        <v>0.46829999999999999</v>
      </c>
      <c r="F9" s="2">
        <f t="shared" si="0"/>
        <v>0.46829999999999999</v>
      </c>
      <c r="G9" s="2">
        <f t="shared" si="0"/>
        <v>0.4677</v>
      </c>
    </row>
    <row r="10" spans="1:7" x14ac:dyDescent="0.2">
      <c r="A10" s="1" t="s">
        <v>0</v>
      </c>
      <c r="B10" s="2">
        <f>B7</f>
        <v>0.14380000000000001</v>
      </c>
      <c r="C10" s="2">
        <f t="shared" ref="C10:G10" si="1">C7</f>
        <v>0.13250000000000001</v>
      </c>
      <c r="D10" s="2">
        <f t="shared" si="1"/>
        <v>0.1293</v>
      </c>
      <c r="E10" s="2">
        <f t="shared" si="1"/>
        <v>0.1265</v>
      </c>
      <c r="F10" s="2">
        <f t="shared" si="1"/>
        <v>0.1265</v>
      </c>
      <c r="G10" s="2">
        <f t="shared" si="1"/>
        <v>0.12640000000000001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938F-354E-4A4F-88C2-C3B02584CBE6}">
  <dimension ref="A1:G17"/>
  <sheetViews>
    <sheetView workbookViewId="0">
      <selection activeCell="A16" sqref="A16:G17"/>
    </sheetView>
  </sheetViews>
  <sheetFormatPr baseColWidth="10" defaultRowHeight="16" x14ac:dyDescent="0.2"/>
  <cols>
    <col min="1" max="1" width="21.6640625" style="1" customWidth="1"/>
    <col min="2" max="16384" width="10.83203125" style="1"/>
  </cols>
  <sheetData>
    <row r="1" spans="1:7" x14ac:dyDescent="0.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4" t="s">
        <v>4</v>
      </c>
      <c r="B2" s="3">
        <v>0.43059999999999998</v>
      </c>
      <c r="C2" s="3">
        <v>0.44</v>
      </c>
      <c r="D2" s="3">
        <v>0.43780000000000002</v>
      </c>
      <c r="E2" s="3">
        <v>0.42349999999999999</v>
      </c>
      <c r="F2" s="3">
        <v>0.43880000000000002</v>
      </c>
      <c r="G2" s="3">
        <v>0.45040000000000002</v>
      </c>
    </row>
    <row r="3" spans="1:7" x14ac:dyDescent="0.2">
      <c r="A3" s="4" t="s">
        <v>5</v>
      </c>
      <c r="B3" s="3">
        <v>7.4300000000000005E-2</v>
      </c>
      <c r="C3" s="3">
        <v>7.2499999999999995E-2</v>
      </c>
      <c r="D3" s="3">
        <v>7.6799999999999993E-2</v>
      </c>
      <c r="E3" s="3">
        <v>7.7899999999999997E-2</v>
      </c>
      <c r="F3" s="3">
        <v>7.3800000000000004E-2</v>
      </c>
      <c r="G3" s="3">
        <v>7.0400000000000004E-2</v>
      </c>
    </row>
    <row r="4" spans="1:7" x14ac:dyDescent="0.2">
      <c r="A4" s="4" t="s">
        <v>6</v>
      </c>
      <c r="B4" s="3">
        <v>5.0000000000000001E-4</v>
      </c>
      <c r="C4" s="3">
        <v>5.0000000000000001E-4</v>
      </c>
      <c r="D4" s="3">
        <v>5.0000000000000001E-4</v>
      </c>
      <c r="E4" s="3">
        <v>5.0000000000000001E-4</v>
      </c>
      <c r="F4" s="3">
        <v>5.0000000000000001E-4</v>
      </c>
      <c r="G4" s="3">
        <v>4.0000000000000002E-4</v>
      </c>
    </row>
    <row r="5" spans="1:7" x14ac:dyDescent="0.2">
      <c r="A5" s="4" t="s">
        <v>7</v>
      </c>
      <c r="B5" s="3">
        <v>0.16520000000000001</v>
      </c>
      <c r="C5" s="3">
        <v>0.15840000000000001</v>
      </c>
      <c r="D5" s="3">
        <v>0.15260000000000001</v>
      </c>
      <c r="E5" s="3">
        <v>0.1522</v>
      </c>
      <c r="F5" s="3">
        <v>0.15049999999999999</v>
      </c>
      <c r="G5" s="3">
        <v>0.15529999999999999</v>
      </c>
    </row>
    <row r="6" spans="1:7" x14ac:dyDescent="0.2">
      <c r="A6" s="4" t="s">
        <v>8</v>
      </c>
      <c r="B6" s="3">
        <v>8.5999999999999993E-2</v>
      </c>
      <c r="C6" s="3">
        <v>8.2299999999999998E-2</v>
      </c>
      <c r="D6" s="3">
        <v>8.5999999999999993E-2</v>
      </c>
      <c r="E6" s="3">
        <v>8.8200000000000001E-2</v>
      </c>
      <c r="F6" s="3">
        <v>8.9300000000000004E-2</v>
      </c>
      <c r="G6" s="3">
        <v>8.3599999999999994E-2</v>
      </c>
    </row>
    <row r="7" spans="1:7" x14ac:dyDescent="0.2">
      <c r="A7" s="4" t="s">
        <v>9</v>
      </c>
      <c r="B7" s="3">
        <v>8.6099999999999996E-2</v>
      </c>
      <c r="C7" s="3">
        <v>8.48E-2</v>
      </c>
      <c r="D7" s="3">
        <v>8.3400000000000002E-2</v>
      </c>
      <c r="E7" s="3">
        <v>9.2999999999999999E-2</v>
      </c>
      <c r="F7" s="3">
        <v>8.3299999999999999E-2</v>
      </c>
      <c r="G7" s="3">
        <v>7.3700000000000002E-2</v>
      </c>
    </row>
    <row r="8" spans="1:7" x14ac:dyDescent="0.2">
      <c r="A8" s="4" t="s">
        <v>10</v>
      </c>
      <c r="B8" s="3">
        <v>5.5899999999999998E-2</v>
      </c>
      <c r="C8" s="3">
        <v>5.4899999999999997E-2</v>
      </c>
      <c r="D8" s="3">
        <v>5.9299999999999999E-2</v>
      </c>
      <c r="E8" s="3">
        <v>5.9499999999999997E-2</v>
      </c>
      <c r="F8" s="3">
        <v>5.62E-2</v>
      </c>
      <c r="G8" s="3">
        <v>5.7000000000000002E-2</v>
      </c>
    </row>
    <row r="9" spans="1:7" x14ac:dyDescent="0.2">
      <c r="A9" s="4" t="s">
        <v>11</v>
      </c>
      <c r="B9" s="3">
        <v>6.3399999999999998E-2</v>
      </c>
      <c r="C9" s="3">
        <v>6.6600000000000006E-2</v>
      </c>
      <c r="D9" s="3">
        <v>6.3200000000000006E-2</v>
      </c>
      <c r="E9" s="3">
        <v>6.3799999999999996E-2</v>
      </c>
      <c r="F9" s="3">
        <v>6.59E-2</v>
      </c>
      <c r="G9" s="3">
        <v>6.6199999999999995E-2</v>
      </c>
    </row>
    <row r="10" spans="1:7" x14ac:dyDescent="0.2">
      <c r="A10" s="4" t="s">
        <v>12</v>
      </c>
      <c r="B10" s="3">
        <v>8.9999999999999998E-4</v>
      </c>
      <c r="C10" s="3">
        <v>8.9999999999999998E-4</v>
      </c>
      <c r="D10" s="3">
        <v>8.9999999999999998E-4</v>
      </c>
      <c r="E10" s="3">
        <v>8.0000000000000004E-4</v>
      </c>
      <c r="F10" s="3">
        <v>6.9999999999999999E-4</v>
      </c>
      <c r="G10" s="3">
        <v>5.9999999999999995E-4</v>
      </c>
    </row>
    <row r="11" spans="1:7" x14ac:dyDescent="0.2">
      <c r="A11" s="4" t="s">
        <v>13</v>
      </c>
      <c r="B11" s="3">
        <v>1.9E-3</v>
      </c>
      <c r="C11" s="3">
        <v>1.9E-3</v>
      </c>
      <c r="D11" s="3">
        <v>1.9E-3</v>
      </c>
      <c r="E11" s="3">
        <v>1.8E-3</v>
      </c>
      <c r="F11" s="3">
        <v>1.6000000000000001E-3</v>
      </c>
      <c r="G11" s="3">
        <v>1.6000000000000001E-3</v>
      </c>
    </row>
    <row r="12" spans="1:7" x14ac:dyDescent="0.2">
      <c r="A12" s="4" t="s">
        <v>14</v>
      </c>
      <c r="B12" s="3">
        <v>3.8999999999999998E-3</v>
      </c>
      <c r="C12" s="3">
        <v>4.3E-3</v>
      </c>
      <c r="D12" s="3">
        <v>3.2000000000000002E-3</v>
      </c>
      <c r="E12" s="3">
        <v>3.2000000000000002E-3</v>
      </c>
      <c r="F12" s="3">
        <v>4.0000000000000001E-3</v>
      </c>
      <c r="G12" s="3">
        <v>4.7000000000000002E-3</v>
      </c>
    </row>
    <row r="13" spans="1:7" x14ac:dyDescent="0.2">
      <c r="A13" s="4" t="s">
        <v>15</v>
      </c>
      <c r="B13" s="3">
        <v>1.5699999999999999E-2</v>
      </c>
      <c r="C13" s="3">
        <v>1.61E-2</v>
      </c>
      <c r="D13" s="3">
        <v>1.66E-2</v>
      </c>
      <c r="E13" s="3">
        <v>1.7500000000000002E-2</v>
      </c>
      <c r="F13" s="3">
        <v>1.7399999999999999E-2</v>
      </c>
      <c r="G13" s="3">
        <v>1.7500000000000002E-2</v>
      </c>
    </row>
    <row r="14" spans="1:7" x14ac:dyDescent="0.2">
      <c r="A14" s="4" t="s">
        <v>16</v>
      </c>
      <c r="B14" s="3">
        <v>1.21E-2</v>
      </c>
      <c r="C14" s="3">
        <v>1.2800000000000001E-2</v>
      </c>
      <c r="D14" s="3">
        <v>1.35E-2</v>
      </c>
      <c r="E14" s="3">
        <v>1.44E-2</v>
      </c>
      <c r="F14" s="3">
        <v>1.4500000000000001E-2</v>
      </c>
      <c r="G14" s="3">
        <v>1.5299999999999999E-2</v>
      </c>
    </row>
    <row r="15" spans="1:7" x14ac:dyDescent="0.2">
      <c r="A15" s="4" t="s">
        <v>17</v>
      </c>
      <c r="B15" s="3">
        <v>3.8E-3</v>
      </c>
      <c r="C15" s="3">
        <v>4.0000000000000001E-3</v>
      </c>
      <c r="D15" s="3">
        <v>4.3E-3</v>
      </c>
      <c r="E15" s="3">
        <v>3.8E-3</v>
      </c>
      <c r="F15" s="3">
        <v>3.5999999999999999E-3</v>
      </c>
      <c r="G15" s="3">
        <v>3.0999999999999999E-3</v>
      </c>
    </row>
    <row r="16" spans="1:7" x14ac:dyDescent="0.2">
      <c r="A16" s="1" t="s">
        <v>2</v>
      </c>
      <c r="B16" s="2">
        <f>B2</f>
        <v>0.43059999999999998</v>
      </c>
      <c r="C16" s="2">
        <f t="shared" ref="C16:G16" si="0">C2</f>
        <v>0.44</v>
      </c>
      <c r="D16" s="2">
        <f t="shared" si="0"/>
        <v>0.43780000000000002</v>
      </c>
      <c r="E16" s="2">
        <f t="shared" si="0"/>
        <v>0.42349999999999999</v>
      </c>
      <c r="F16" s="2">
        <f t="shared" si="0"/>
        <v>0.43880000000000002</v>
      </c>
      <c r="G16" s="2">
        <f t="shared" si="0"/>
        <v>0.45040000000000002</v>
      </c>
    </row>
    <row r="17" spans="1:7" x14ac:dyDescent="0.2">
      <c r="A17" s="1" t="s">
        <v>0</v>
      </c>
      <c r="B17" s="2">
        <f>B9+B8</f>
        <v>0.11929999999999999</v>
      </c>
      <c r="C17" s="2">
        <f t="shared" ref="C17:G17" si="1">C9+C8</f>
        <v>0.1215</v>
      </c>
      <c r="D17" s="2">
        <f t="shared" si="1"/>
        <v>0.1225</v>
      </c>
      <c r="E17" s="2">
        <f t="shared" si="1"/>
        <v>0.12329999999999999</v>
      </c>
      <c r="F17" s="2">
        <f t="shared" si="1"/>
        <v>0.1221</v>
      </c>
      <c r="G17" s="2">
        <f t="shared" si="1"/>
        <v>0.1232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F355-AFBD-E74C-B20E-63BCFD77BC26}">
  <dimension ref="A1:G21"/>
  <sheetViews>
    <sheetView tabSelected="1" workbookViewId="0">
      <selection activeCell="G24" sqref="G24"/>
    </sheetView>
  </sheetViews>
  <sheetFormatPr baseColWidth="10" defaultRowHeight="16" x14ac:dyDescent="0.2"/>
  <cols>
    <col min="1" max="1" width="36.33203125" style="1" customWidth="1"/>
    <col min="2" max="16384" width="10.83203125" style="1"/>
  </cols>
  <sheetData>
    <row r="1" spans="1:7" x14ac:dyDescent="0.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">
      <c r="A2" s="4" t="s">
        <v>24</v>
      </c>
      <c r="B2" s="3">
        <v>0.43390000000000001</v>
      </c>
      <c r="C2" s="3">
        <v>0.4365</v>
      </c>
      <c r="D2" s="3">
        <v>0.4345</v>
      </c>
      <c r="E2" s="3">
        <v>0.44900000000000001</v>
      </c>
      <c r="F2" s="3">
        <v>0.45300000000000001</v>
      </c>
      <c r="G2" s="3">
        <v>0.45350000000000001</v>
      </c>
    </row>
    <row r="3" spans="1:7" x14ac:dyDescent="0.2">
      <c r="A3" s="4" t="s">
        <v>25</v>
      </c>
      <c r="B3" s="3">
        <v>0.1065</v>
      </c>
      <c r="C3" s="3">
        <v>0.10589999999999999</v>
      </c>
      <c r="D3" s="3">
        <v>0.1082</v>
      </c>
      <c r="E3" s="3">
        <v>0.1086</v>
      </c>
      <c r="F3" s="3">
        <v>0.11</v>
      </c>
      <c r="G3" s="3">
        <v>0.1091</v>
      </c>
    </row>
    <row r="4" spans="1:7" x14ac:dyDescent="0.2">
      <c r="A4" s="4" t="s">
        <v>26</v>
      </c>
      <c r="B4" s="4"/>
      <c r="C4" s="4"/>
      <c r="D4" s="4"/>
      <c r="E4" s="4"/>
      <c r="F4" s="4"/>
      <c r="G4" s="4"/>
    </row>
    <row r="5" spans="1:7" x14ac:dyDescent="0.2">
      <c r="A5" s="4" t="s">
        <v>27</v>
      </c>
      <c r="B5" s="3">
        <v>0.30059999999999998</v>
      </c>
      <c r="C5" s="3">
        <v>0.29920000000000002</v>
      </c>
      <c r="D5" s="3">
        <v>0.2989</v>
      </c>
      <c r="E5" s="3">
        <v>0.28849999999999998</v>
      </c>
      <c r="F5" s="3">
        <v>0.28439999999999999</v>
      </c>
      <c r="G5" s="3">
        <v>0.28839999999999999</v>
      </c>
    </row>
    <row r="6" spans="1:7" x14ac:dyDescent="0.2">
      <c r="A6" s="4" t="s">
        <v>28</v>
      </c>
      <c r="B6" s="3">
        <v>9.35E-2</v>
      </c>
      <c r="C6" s="3">
        <v>9.3100000000000002E-2</v>
      </c>
      <c r="D6" s="3">
        <v>9.2999999999999999E-2</v>
      </c>
      <c r="E6" s="3">
        <v>8.9800000000000005E-2</v>
      </c>
      <c r="F6" s="3">
        <v>8.8499999999999995E-2</v>
      </c>
      <c r="G6" s="3">
        <v>8.9700000000000002E-2</v>
      </c>
    </row>
    <row r="7" spans="1:7" x14ac:dyDescent="0.2">
      <c r="A7" s="4" t="s">
        <v>29</v>
      </c>
      <c r="B7" s="3">
        <v>3.6299999999999999E-2</v>
      </c>
      <c r="C7" s="3">
        <v>3.61E-2</v>
      </c>
      <c r="D7" s="3">
        <v>3.61E-2</v>
      </c>
      <c r="E7" s="3">
        <v>3.49E-2</v>
      </c>
      <c r="F7" s="3">
        <v>3.4299999999999997E-2</v>
      </c>
      <c r="G7" s="3">
        <v>3.4799999999999998E-2</v>
      </c>
    </row>
    <row r="8" spans="1:7" x14ac:dyDescent="0.2">
      <c r="A8" s="4" t="s">
        <v>30</v>
      </c>
      <c r="B8" s="3">
        <v>0.43049999999999999</v>
      </c>
      <c r="C8" s="3">
        <v>0.42849999999999999</v>
      </c>
      <c r="D8" s="3">
        <v>0.42799999999999999</v>
      </c>
      <c r="E8" s="3">
        <v>0.41320000000000001</v>
      </c>
      <c r="F8" s="3">
        <v>0.40720000000000001</v>
      </c>
      <c r="G8" s="3">
        <v>0.41289999999999999</v>
      </c>
    </row>
    <row r="9" spans="1:7" x14ac:dyDescent="0.2">
      <c r="A9" s="4" t="s">
        <v>18</v>
      </c>
      <c r="B9" s="4"/>
      <c r="C9" s="4"/>
      <c r="D9" s="4"/>
      <c r="E9" s="4"/>
      <c r="F9" s="4"/>
      <c r="G9" s="4"/>
    </row>
    <row r="10" spans="1:7" x14ac:dyDescent="0.2">
      <c r="A10" s="4" t="s">
        <v>27</v>
      </c>
      <c r="B10" s="3">
        <v>9.1999999999999998E-3</v>
      </c>
      <c r="C10" s="3">
        <v>8.8999999999999999E-3</v>
      </c>
      <c r="D10" s="3">
        <v>8.8000000000000005E-3</v>
      </c>
      <c r="E10" s="3">
        <v>8.8999999999999999E-3</v>
      </c>
      <c r="F10" s="3">
        <v>9.1999999999999998E-3</v>
      </c>
      <c r="G10" s="3">
        <v>9.4999999999999998E-3</v>
      </c>
    </row>
    <row r="11" spans="1:7" x14ac:dyDescent="0.2">
      <c r="A11" s="4" t="s">
        <v>28</v>
      </c>
      <c r="B11" s="3">
        <v>1.6000000000000001E-3</v>
      </c>
      <c r="C11" s="3">
        <v>1.4E-3</v>
      </c>
      <c r="D11" s="3">
        <v>1.4E-3</v>
      </c>
      <c r="E11" s="3">
        <v>1.4E-3</v>
      </c>
      <c r="F11" s="3">
        <v>1.4E-3</v>
      </c>
      <c r="G11" s="3">
        <v>1.4E-3</v>
      </c>
    </row>
    <row r="12" spans="1:7" x14ac:dyDescent="0.2">
      <c r="A12" s="4" t="s">
        <v>29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4" t="s">
        <v>31</v>
      </c>
      <c r="B13" s="3">
        <v>1.0699999999999999E-2</v>
      </c>
      <c r="C13" s="3">
        <v>1.03E-2</v>
      </c>
      <c r="D13" s="3">
        <v>1.0200000000000001E-2</v>
      </c>
      <c r="E13" s="3">
        <v>1.03E-2</v>
      </c>
      <c r="F13" s="3">
        <v>1.06E-2</v>
      </c>
      <c r="G13" s="3">
        <v>1.09E-2</v>
      </c>
    </row>
    <row r="14" spans="1:7" x14ac:dyDescent="0.2">
      <c r="A14" s="4" t="s">
        <v>17</v>
      </c>
      <c r="B14" s="3">
        <v>2.8E-3</v>
      </c>
      <c r="C14" s="3">
        <v>3.0999999999999999E-3</v>
      </c>
      <c r="D14" s="3">
        <v>3.3E-3</v>
      </c>
      <c r="E14" s="3">
        <v>3.3999999999999998E-3</v>
      </c>
      <c r="F14" s="3">
        <v>3.3999999999999998E-3</v>
      </c>
      <c r="G14" s="3">
        <v>3.3E-3</v>
      </c>
    </row>
    <row r="15" spans="1:7" x14ac:dyDescent="0.2">
      <c r="A15" s="4" t="s">
        <v>32</v>
      </c>
      <c r="B15" s="4"/>
      <c r="C15" s="4"/>
      <c r="D15" s="4"/>
      <c r="E15" s="4"/>
      <c r="F15" s="4"/>
      <c r="G15" s="4"/>
    </row>
    <row r="16" spans="1:7" x14ac:dyDescent="0.2">
      <c r="A16" s="4" t="s">
        <v>27</v>
      </c>
      <c r="B16" s="3">
        <v>8.9999999999999998E-4</v>
      </c>
      <c r="C16" s="3">
        <v>8.9999999999999998E-4</v>
      </c>
      <c r="D16" s="3">
        <v>8.9999999999999998E-4</v>
      </c>
      <c r="E16" s="3">
        <v>8.9999999999999998E-4</v>
      </c>
      <c r="F16" s="3">
        <v>8.9999999999999998E-4</v>
      </c>
      <c r="G16" s="3">
        <v>1.6999999999999999E-3</v>
      </c>
    </row>
    <row r="17" spans="1:7" x14ac:dyDescent="0.2">
      <c r="A17" s="4" t="s">
        <v>28</v>
      </c>
      <c r="B17" s="3">
        <v>8.9999999999999993E-3</v>
      </c>
      <c r="C17" s="3">
        <v>9.1000000000000004E-3</v>
      </c>
      <c r="D17" s="3">
        <v>8.8000000000000005E-3</v>
      </c>
      <c r="E17" s="3">
        <v>8.0000000000000002E-3</v>
      </c>
      <c r="F17" s="3">
        <v>8.2000000000000007E-3</v>
      </c>
      <c r="G17" s="3">
        <v>4.3E-3</v>
      </c>
    </row>
    <row r="18" spans="1:7" x14ac:dyDescent="0.2">
      <c r="A18" s="4" t="s">
        <v>29</v>
      </c>
      <c r="B18" s="3">
        <v>5.7000000000000002E-3</v>
      </c>
      <c r="C18" s="3">
        <v>5.7000000000000002E-3</v>
      </c>
      <c r="D18" s="3">
        <v>6.0000000000000001E-3</v>
      </c>
      <c r="E18" s="3">
        <v>6.4999999999999997E-3</v>
      </c>
      <c r="F18" s="3">
        <v>6.6E-3</v>
      </c>
      <c r="G18" s="3">
        <v>4.1000000000000003E-3</v>
      </c>
    </row>
    <row r="19" spans="1:7" x14ac:dyDescent="0.2">
      <c r="A19" s="4" t="s">
        <v>33</v>
      </c>
      <c r="B19" s="3">
        <v>1.5599999999999999E-2</v>
      </c>
      <c r="C19" s="3">
        <v>1.5800000000000002E-2</v>
      </c>
      <c r="D19" s="3">
        <v>1.5699999999999999E-2</v>
      </c>
      <c r="E19" s="3">
        <v>1.54E-2</v>
      </c>
      <c r="F19" s="3">
        <v>1.5699999999999999E-2</v>
      </c>
      <c r="G19" s="3">
        <v>1.01E-2</v>
      </c>
    </row>
    <row r="20" spans="1:7" x14ac:dyDescent="0.2">
      <c r="A20" s="1" t="s">
        <v>2</v>
      </c>
      <c r="B20" s="2">
        <f>B2</f>
        <v>0.43390000000000001</v>
      </c>
      <c r="C20" s="2">
        <f t="shared" ref="C20:G20" si="0">C2</f>
        <v>0.4365</v>
      </c>
      <c r="D20" s="2">
        <f t="shared" si="0"/>
        <v>0.4345</v>
      </c>
      <c r="E20" s="2">
        <f t="shared" si="0"/>
        <v>0.44900000000000001</v>
      </c>
      <c r="F20" s="2">
        <f t="shared" si="0"/>
        <v>0.45300000000000001</v>
      </c>
      <c r="G20" s="2">
        <f t="shared" si="0"/>
        <v>0.45350000000000001</v>
      </c>
    </row>
    <row r="21" spans="1:7" x14ac:dyDescent="0.2">
      <c r="A21" s="1" t="s">
        <v>0</v>
      </c>
      <c r="B21" s="2">
        <f>B6+B7</f>
        <v>0.1298</v>
      </c>
      <c r="C21" s="2">
        <f t="shared" ref="C21:G21" si="1">C6+C7</f>
        <v>0.12920000000000001</v>
      </c>
      <c r="D21" s="2">
        <f t="shared" si="1"/>
        <v>0.12909999999999999</v>
      </c>
      <c r="E21" s="2">
        <f t="shared" si="1"/>
        <v>0.12470000000000001</v>
      </c>
      <c r="F21" s="2">
        <f t="shared" si="1"/>
        <v>0.12279999999999999</v>
      </c>
      <c r="G21" s="2">
        <f t="shared" si="1"/>
        <v>0.1245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</vt:lpstr>
      <vt:lpstr>SCE</vt:lpstr>
      <vt:lpstr>SDGE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2025-09-22T20:17:36Z</dcterms:created>
  <dcterms:modified xsi:type="dcterms:W3CDTF">2026-04-17T14:26:36Z</dcterms:modified>
</cp:coreProperties>
</file>