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0490" windowHeight="8670" firstSheet="10" activeTab="10"/>
  </bookViews>
  <sheets>
    <sheet name="Cover" sheetId="13" r:id="rId1"/>
    <sheet name="1TestYr" sheetId="58" r:id="rId2"/>
    <sheet name="1TestYr_adj" sheetId="94" r:id="rId3"/>
    <sheet name="1.1TYAdj." sheetId="93" r:id="rId4"/>
    <sheet name="2 Functionalization2" sheetId="1" r:id="rId5"/>
    <sheet name="2.1 SummaryFunc." sheetId="20" r:id="rId6"/>
    <sheet name="2.22Rate Base" sheetId="14" r:id="rId7"/>
    <sheet name="3Classific. Summary" sheetId="23" r:id="rId8"/>
    <sheet name="3.2 Classific. 2" sheetId="24" r:id="rId9"/>
    <sheet name="3.1 PlantClass." sheetId="11" r:id="rId10"/>
    <sheet name="4 Allocation" sheetId="22" r:id="rId11"/>
    <sheet name="4.1 kW &amp; kWh" sheetId="10" r:id="rId12"/>
    <sheet name="-5 IncStmt" sheetId="56" r:id="rId13"/>
    <sheet name="12 Inc Stmt Func" sheetId="55" r:id="rId14"/>
    <sheet name="-6 Increase" sheetId="21" r:id="rId15"/>
    <sheet name="4.21 Consumer Alloc" sheetId="96" r:id="rId16"/>
    <sheet name="Power Cost" sheetId="97" r:id="rId17"/>
    <sheet name="Additional" sheetId="98" r:id="rId18"/>
    <sheet name="Sheet1" sheetId="99" r:id="rId19"/>
    <sheet name="Sheet2" sheetId="100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3">'1.1TYAdj.'!$Q$1:$AA$50</definedName>
    <definedName name="_xlnm.Print_Area" localSheetId="13">'12 Inc Stmt Func'!$A$1:$Q$54</definedName>
    <definedName name="_xlnm.Print_Area" localSheetId="1">'1TestYr'!$A$1:$J$113</definedName>
    <definedName name="_xlnm.Print_Area" localSheetId="2">'1TestYr_adj'!$A$5:$S$113</definedName>
    <definedName name="_xlnm.Print_Area" localSheetId="4">'2 Functionalization2'!$A$1:$AD$91</definedName>
    <definedName name="_xlnm.Print_Area" localSheetId="5">'2.1 SummaryFunc.'!$A$1:$M$18</definedName>
    <definedName name="_xlnm.Print_Area" localSheetId="6">'2.22Rate Base'!$A$1:$N$45</definedName>
    <definedName name="_xlnm.Print_Area" localSheetId="9">'3.1 PlantClass.'!$A$1:$F$188</definedName>
    <definedName name="_xlnm.Print_Area" localSheetId="8">'3.2 Classific. 2'!$A$1:$N$41</definedName>
    <definedName name="_xlnm.Print_Area" localSheetId="7">'3Classific. Summary'!$A$1:$I$21</definedName>
    <definedName name="_xlnm.Print_Area" localSheetId="10">'4 Allocation'!$A$1:$O$38</definedName>
    <definedName name="_xlnm.Print_Area" localSheetId="11">'4.1 kW &amp; kWh'!$A$1:$M$122</definedName>
    <definedName name="_xlnm.Print_Area" localSheetId="15">'4.21 Consumer Alloc'!$A$1:$J$105</definedName>
    <definedName name="_xlnm.Print_Area" localSheetId="14">'-6 Increase'!$A$1:$O$38</definedName>
    <definedName name="_xlnm.Print_Area" localSheetId="0">Cover!$A$1:$H$42</definedName>
    <definedName name="_xlnm.Print_Area" localSheetId="19">Sheet2!$A$1:$J$226</definedName>
    <definedName name="_xlnm.Print_Titles" localSheetId="13">'12 Inc Stmt Func'!$A:$D,'12 Inc Stmt Func'!$3:$6</definedName>
    <definedName name="_xlnm.Print_Titles" localSheetId="2">'1TestYr_adj'!$5:$8</definedName>
    <definedName name="_xlnm.Print_Titles" localSheetId="4">'2 Functionalization2'!$1:$4</definedName>
    <definedName name="_xlnm.Print_Titles" localSheetId="5">'2.1 SummaryFunc.'!$A:$B</definedName>
    <definedName name="_xlnm.Print_Titles" localSheetId="10">'4 Allocation'!$A:$B,'4 Allocation'!#REF!</definedName>
    <definedName name="_xlnm.Print_Titles" localSheetId="12">'-5 IncStmt'!$A:$A</definedName>
    <definedName name="_xlnm.Print_Titles" localSheetId="14">'-6 Increase'!$A:$C</definedName>
    <definedName name="Z_18050E3F_BBF0_4BF6_9B33_B0817BE1B1C5_.wvu.Cols" localSheetId="4" hidden="1">'2 Functionalization2'!$C:$D,'2 Functionalization2'!$O:$O</definedName>
    <definedName name="Z_18050E3F_BBF0_4BF6_9B33_B0817BE1B1C5_.wvu.Cols" localSheetId="6" hidden="1">'2.22Rate Base'!$N:$N</definedName>
    <definedName name="Z_18050E3F_BBF0_4BF6_9B33_B0817BE1B1C5_.wvu.PrintArea" localSheetId="1" hidden="1">'1TestYr'!$A$1:$K$113</definedName>
    <definedName name="Z_18050E3F_BBF0_4BF6_9B33_B0817BE1B1C5_.wvu.PrintArea" localSheetId="4" hidden="1">'2 Functionalization2'!$A$1:$AD$88</definedName>
    <definedName name="Z_18050E3F_BBF0_4BF6_9B33_B0817BE1B1C5_.wvu.PrintArea" localSheetId="6" hidden="1">'2.22Rate Base'!$A$1:$P$98</definedName>
    <definedName name="Z_18050E3F_BBF0_4BF6_9B33_B0817BE1B1C5_.wvu.PrintArea" localSheetId="9" hidden="1">'3.1 PlantClass.'!$A$1:$F$208</definedName>
    <definedName name="Z_18050E3F_BBF0_4BF6_9B33_B0817BE1B1C5_.wvu.PrintArea" localSheetId="8" hidden="1">'3.2 Classific. 2'!$A$1:$N$41</definedName>
    <definedName name="Z_18050E3F_BBF0_4BF6_9B33_B0817BE1B1C5_.wvu.PrintArea" localSheetId="7" hidden="1">'3Classific. Summary'!$A$1:$J$21</definedName>
    <definedName name="Z_18050E3F_BBF0_4BF6_9B33_B0817BE1B1C5_.wvu.PrintArea" localSheetId="10" hidden="1">'4 Allocation'!$A$1:$I$61</definedName>
    <definedName name="Z_18050E3F_BBF0_4BF6_9B33_B0817BE1B1C5_.wvu.PrintArea" localSheetId="11" hidden="1">'4.1 kW &amp; kWh'!$A$1:$M$115</definedName>
    <definedName name="Z_18050E3F_BBF0_4BF6_9B33_B0817BE1B1C5_.wvu.PrintArea" localSheetId="14" hidden="1">'-6 Increase'!$A$1:$K$38</definedName>
    <definedName name="Z_18050E3F_BBF0_4BF6_9B33_B0817BE1B1C5_.wvu.PrintArea" localSheetId="0" hidden="1">Cover!$A$1:$H$42</definedName>
    <definedName name="Z_18050E3F_BBF0_4BF6_9B33_B0817BE1B1C5_.wvu.PrintTitles" localSheetId="4" hidden="1">'2 Functionalization2'!$1:$4</definedName>
    <definedName name="Z_18050E3F_BBF0_4BF6_9B33_B0817BE1B1C5_.wvu.PrintTitles" localSheetId="5" hidden="1">'2.1 SummaryFunc.'!$A:$B</definedName>
    <definedName name="Z_18050E3F_BBF0_4BF6_9B33_B0817BE1B1C5_.wvu.PrintTitles" localSheetId="10" hidden="1">'4 Allocation'!$A:$B</definedName>
  </definedNames>
  <calcPr calcId="145621"/>
  <customWorkbookViews>
    <customWorkbookView name="Jim Adkins - Personal View" guid="{18050E3F-BBF0-4BF6-9B33-B0817BE1B1C5}" mergeInterval="0" personalView="1" maximized="1" windowWidth="796" windowHeight="397" activeSheetId="14"/>
  </customWorkbookViews>
</workbook>
</file>

<file path=xl/calcChain.xml><?xml version="1.0" encoding="utf-8"?>
<calcChain xmlns="http://schemas.openxmlformats.org/spreadsheetml/2006/main">
  <c r="G53" i="10" l="1"/>
  <c r="G81" i="10"/>
  <c r="G83" i="10"/>
  <c r="H82" i="10"/>
  <c r="I81" i="10"/>
  <c r="H81" i="10"/>
  <c r="M51" i="10"/>
  <c r="J11" i="10"/>
  <c r="J12" i="10"/>
  <c r="J13" i="10"/>
  <c r="J14" i="10"/>
  <c r="J15" i="10"/>
  <c r="J16" i="10"/>
  <c r="J17" i="10"/>
  <c r="J18" i="10"/>
  <c r="J19" i="10"/>
  <c r="J20" i="10"/>
  <c r="J21" i="10"/>
  <c r="J10" i="10"/>
  <c r="H24" i="10"/>
  <c r="M22" i="10"/>
  <c r="J22" i="10"/>
  <c r="C10" i="10"/>
  <c r="C21" i="10"/>
  <c r="D37" i="22" l="1"/>
  <c r="D26" i="56" l="1"/>
  <c r="E26" i="56"/>
  <c r="F26" i="56"/>
  <c r="G26" i="56"/>
  <c r="H26" i="56"/>
  <c r="I26" i="56"/>
  <c r="J26" i="56"/>
  <c r="K26" i="56"/>
  <c r="L26" i="56"/>
  <c r="M26" i="56"/>
  <c r="C26" i="56"/>
  <c r="B23" i="56"/>
  <c r="B19" i="56"/>
  <c r="K79" i="10" l="1"/>
  <c r="K78" i="10"/>
  <c r="K77" i="10"/>
  <c r="K76" i="10"/>
  <c r="K75" i="10"/>
  <c r="K74" i="10"/>
  <c r="K73" i="10"/>
  <c r="K72" i="10"/>
  <c r="K71" i="10"/>
  <c r="K70" i="10"/>
  <c r="K69" i="10"/>
  <c r="K68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E68" i="10"/>
  <c r="E79" i="10"/>
  <c r="E78" i="10"/>
  <c r="E77" i="10"/>
  <c r="E76" i="10"/>
  <c r="E75" i="10"/>
  <c r="E74" i="10"/>
  <c r="E73" i="10"/>
  <c r="E72" i="10"/>
  <c r="E71" i="10"/>
  <c r="E70" i="10"/>
  <c r="E69" i="10"/>
  <c r="C69" i="10"/>
  <c r="C79" i="10"/>
  <c r="C78" i="10"/>
  <c r="C77" i="10"/>
  <c r="C76" i="10"/>
  <c r="C75" i="10"/>
  <c r="C74" i="10"/>
  <c r="C73" i="10"/>
  <c r="C72" i="10"/>
  <c r="C71" i="10"/>
  <c r="C70" i="10"/>
  <c r="L82" i="10"/>
  <c r="E83" i="10"/>
  <c r="E82" i="10"/>
  <c r="C80" i="10"/>
  <c r="D82" i="10"/>
  <c r="C82" i="10"/>
  <c r="C83" i="10"/>
  <c r="E80" i="10" l="1"/>
  <c r="J53" i="10" l="1"/>
  <c r="K81" i="10" l="1"/>
  <c r="C59" i="11"/>
  <c r="M221" i="100" l="1"/>
  <c r="B214" i="100"/>
  <c r="Q27" i="24"/>
  <c r="Q28" i="24"/>
  <c r="N27" i="24"/>
  <c r="N28" i="24"/>
  <c r="M1" i="56"/>
  <c r="M2" i="56"/>
  <c r="M3" i="56"/>
  <c r="L1" i="56"/>
  <c r="L2" i="56"/>
  <c r="L3" i="56"/>
  <c r="K1" i="56"/>
  <c r="K2" i="56"/>
  <c r="K3" i="56"/>
  <c r="J1" i="56"/>
  <c r="J2" i="56"/>
  <c r="J3" i="56"/>
  <c r="I3" i="56"/>
  <c r="I1" i="56"/>
  <c r="I2" i="56"/>
  <c r="H1" i="56"/>
  <c r="C4" i="56"/>
  <c r="D4" i="56"/>
  <c r="E4" i="56"/>
  <c r="F4" i="56"/>
  <c r="G4" i="56"/>
  <c r="H4" i="56"/>
  <c r="I4" i="56"/>
  <c r="J4" i="56"/>
  <c r="K4" i="56"/>
  <c r="L4" i="56"/>
  <c r="M4" i="56"/>
  <c r="B4" i="56"/>
  <c r="F203" i="100"/>
  <c r="G203" i="100"/>
  <c r="B195" i="100"/>
  <c r="B196" i="100"/>
  <c r="B172" i="100"/>
  <c r="B173" i="100"/>
  <c r="H149" i="100"/>
  <c r="H150" i="100"/>
  <c r="B149" i="100"/>
  <c r="B150" i="100"/>
  <c r="B126" i="100"/>
  <c r="B127" i="100"/>
  <c r="B103" i="100"/>
  <c r="B104" i="100"/>
  <c r="B80" i="100"/>
  <c r="B81" i="100"/>
  <c r="B57" i="100"/>
  <c r="B58" i="100"/>
  <c r="B34" i="100"/>
  <c r="B35" i="100"/>
  <c r="B11" i="100"/>
  <c r="B12" i="100"/>
  <c r="B215" i="100" s="1"/>
  <c r="I120" i="100"/>
  <c r="H120" i="100"/>
  <c r="G120" i="100"/>
  <c r="F120" i="100"/>
  <c r="E120" i="100"/>
  <c r="D120" i="100"/>
  <c r="C120" i="100"/>
  <c r="B120" i="100"/>
  <c r="I119" i="100"/>
  <c r="E119" i="100"/>
  <c r="C119" i="100"/>
  <c r="O101" i="100"/>
  <c r="O78" i="100"/>
  <c r="O55" i="100"/>
  <c r="M54" i="100"/>
  <c r="O32" i="100"/>
  <c r="J31" i="100"/>
  <c r="A20" i="100"/>
  <c r="A43" i="100" s="1"/>
  <c r="A19" i="100"/>
  <c r="A42" i="100" s="1"/>
  <c r="A18" i="100"/>
  <c r="A64" i="100" s="1"/>
  <c r="A87" i="100" s="1"/>
  <c r="A110" i="100" s="1"/>
  <c r="A133" i="100" s="1"/>
  <c r="A156" i="100" s="1"/>
  <c r="A179" i="100" s="1"/>
  <c r="A221" i="100" s="1"/>
  <c r="A17" i="100"/>
  <c r="A63" i="100" s="1"/>
  <c r="A86" i="100" s="1"/>
  <c r="A109" i="100" s="1"/>
  <c r="A132" i="100" s="1"/>
  <c r="A155" i="100" s="1"/>
  <c r="A178" i="100" s="1"/>
  <c r="A220" i="100" s="1"/>
  <c r="A16" i="100"/>
  <c r="A62" i="100" s="1"/>
  <c r="A85" i="100" s="1"/>
  <c r="A108" i="100" s="1"/>
  <c r="A131" i="100" s="1"/>
  <c r="A154" i="100" s="1"/>
  <c r="A177" i="100" s="1"/>
  <c r="A219" i="100" s="1"/>
  <c r="A15" i="100"/>
  <c r="A61" i="100" s="1"/>
  <c r="A84" i="100" s="1"/>
  <c r="A107" i="100" s="1"/>
  <c r="A130" i="100" s="1"/>
  <c r="A153" i="100" s="1"/>
  <c r="A176" i="100" s="1"/>
  <c r="A218" i="100" s="1"/>
  <c r="A14" i="100"/>
  <c r="A60" i="100" s="1"/>
  <c r="A83" i="100" s="1"/>
  <c r="A106" i="100" s="1"/>
  <c r="A129" i="100" s="1"/>
  <c r="A152" i="100" s="1"/>
  <c r="A175" i="100" s="1"/>
  <c r="A217" i="100" s="1"/>
  <c r="A13" i="100"/>
  <c r="A59" i="100" s="1"/>
  <c r="A82" i="100" s="1"/>
  <c r="A105" i="100" s="1"/>
  <c r="A128" i="100" s="1"/>
  <c r="A151" i="100" s="1"/>
  <c r="A174" i="100" s="1"/>
  <c r="A216" i="100" s="1"/>
  <c r="A12" i="100"/>
  <c r="A35" i="100" s="1"/>
  <c r="A11" i="100"/>
  <c r="A57" i="100" s="1"/>
  <c r="A80" i="100" s="1"/>
  <c r="A103" i="100" s="1"/>
  <c r="A126" i="100" s="1"/>
  <c r="A149" i="100" s="1"/>
  <c r="A172" i="100" s="1"/>
  <c r="A214" i="100" s="1"/>
  <c r="A10" i="100"/>
  <c r="A56" i="100" s="1"/>
  <c r="A79" i="100" s="1"/>
  <c r="A102" i="100" s="1"/>
  <c r="A125" i="100" s="1"/>
  <c r="A148" i="100" s="1"/>
  <c r="A171" i="100" s="1"/>
  <c r="A213" i="100" s="1"/>
  <c r="A9" i="100"/>
  <c r="M8" i="100"/>
  <c r="A8" i="100"/>
  <c r="A7" i="100"/>
  <c r="A30" i="100" s="1"/>
  <c r="A202" i="100" l="1"/>
  <c r="A194" i="100"/>
  <c r="M31" i="100"/>
  <c r="A198" i="100"/>
  <c r="A197" i="100"/>
  <c r="A201" i="100"/>
  <c r="A58" i="100"/>
  <c r="A81" i="100" s="1"/>
  <c r="A104" i="100" s="1"/>
  <c r="A127" i="100" s="1"/>
  <c r="A150" i="100" s="1"/>
  <c r="A173" i="100" s="1"/>
  <c r="A195" i="100"/>
  <c r="A199" i="100"/>
  <c r="A200" i="100"/>
  <c r="A33" i="100"/>
  <c r="A37" i="100"/>
  <c r="A41" i="100"/>
  <c r="A34" i="100"/>
  <c r="A38" i="100"/>
  <c r="A53" i="100"/>
  <c r="A76" i="100" s="1"/>
  <c r="A99" i="100" s="1"/>
  <c r="A122" i="100" s="1"/>
  <c r="A145" i="100" s="1"/>
  <c r="A168" i="100" s="1"/>
  <c r="A65" i="100"/>
  <c r="A88" i="100" s="1"/>
  <c r="A111" i="100" s="1"/>
  <c r="A134" i="100" s="1"/>
  <c r="A157" i="100" s="1"/>
  <c r="A180" i="100" s="1"/>
  <c r="A39" i="100"/>
  <c r="A36" i="100"/>
  <c r="A40" i="100"/>
  <c r="A54" i="100"/>
  <c r="A77" i="100" s="1"/>
  <c r="A100" i="100" s="1"/>
  <c r="A123" i="100" s="1"/>
  <c r="A146" i="100" s="1"/>
  <c r="A169" i="100" s="1"/>
  <c r="A31" i="100"/>
  <c r="A66" i="100"/>
  <c r="A89" i="100" s="1"/>
  <c r="A112" i="100" s="1"/>
  <c r="A135" i="100" s="1"/>
  <c r="A158" i="100" s="1"/>
  <c r="A181" i="100" s="1"/>
  <c r="A55" i="100"/>
  <c r="A78" i="100" s="1"/>
  <c r="A101" i="100" s="1"/>
  <c r="A124" i="100" s="1"/>
  <c r="A147" i="100" s="1"/>
  <c r="A170" i="100" s="1"/>
  <c r="A32" i="100"/>
  <c r="T68" i="14"/>
  <c r="S68" i="14"/>
  <c r="R68" i="14"/>
  <c r="Q68" i="14"/>
  <c r="T69" i="14"/>
  <c r="T70" i="14"/>
  <c r="S69" i="14"/>
  <c r="S70" i="14"/>
  <c r="R69" i="14"/>
  <c r="R70" i="14"/>
  <c r="Q69" i="14"/>
  <c r="Q70" i="14"/>
  <c r="P68" i="14"/>
  <c r="P69" i="14"/>
  <c r="P70" i="14"/>
  <c r="O68" i="14"/>
  <c r="O69" i="14"/>
  <c r="O70" i="14"/>
  <c r="A223" i="100" l="1"/>
  <c r="A204" i="100"/>
  <c r="A222" i="100"/>
  <c r="A203" i="100"/>
  <c r="A210" i="100"/>
  <c r="A191" i="100"/>
  <c r="A212" i="100"/>
  <c r="A193" i="100"/>
  <c r="A211" i="100"/>
  <c r="A192" i="100"/>
  <c r="A215" i="100"/>
  <c r="A196" i="100"/>
  <c r="H104" i="97"/>
  <c r="G105" i="97" l="1"/>
  <c r="G103" i="97"/>
  <c r="G104" i="97"/>
  <c r="G98" i="97"/>
  <c r="G99" i="97"/>
  <c r="G100" i="97"/>
  <c r="G101" i="97"/>
  <c r="G102" i="97"/>
  <c r="G97" i="97"/>
  <c r="K8" i="99" l="1"/>
  <c r="H10" i="99"/>
  <c r="I10" i="99"/>
  <c r="G33" i="21" l="1"/>
  <c r="G22" i="10" l="1"/>
  <c r="K19" i="21"/>
  <c r="K80" i="10"/>
  <c r="K13" i="99" l="1"/>
  <c r="F10" i="99"/>
  <c r="D30" i="99"/>
  <c r="D29" i="99"/>
  <c r="D28" i="99"/>
  <c r="D27" i="99"/>
  <c r="K10" i="99" s="1"/>
  <c r="A31" i="99"/>
  <c r="D84" i="11"/>
  <c r="D83" i="11"/>
  <c r="D81" i="11"/>
  <c r="I9" i="99" l="1"/>
  <c r="K9" i="99" s="1"/>
  <c r="H9" i="99"/>
  <c r="I11" i="99"/>
  <c r="K11" i="99" s="1"/>
  <c r="H11" i="99"/>
  <c r="P10" i="21"/>
  <c r="L80" i="10"/>
  <c r="K65" i="97"/>
  <c r="K66" i="97"/>
  <c r="K67" i="97"/>
  <c r="K68" i="97"/>
  <c r="K69" i="97"/>
  <c r="V80" i="97"/>
  <c r="G16" i="97"/>
  <c r="G15" i="97"/>
  <c r="G14" i="97"/>
  <c r="G13" i="97"/>
  <c r="G12" i="97"/>
  <c r="J59" i="97" s="1"/>
  <c r="G11" i="97"/>
  <c r="J58" i="97" s="1"/>
  <c r="I11" i="97"/>
  <c r="K58" i="97" s="1"/>
  <c r="L26" i="97"/>
  <c r="H16" i="97"/>
  <c r="H15" i="97"/>
  <c r="H14" i="97"/>
  <c r="H13" i="97"/>
  <c r="H12" i="97"/>
  <c r="H11" i="97"/>
  <c r="B16" i="97"/>
  <c r="B15" i="97"/>
  <c r="B14" i="97"/>
  <c r="B13" i="97"/>
  <c r="B12" i="97"/>
  <c r="B11" i="97"/>
  <c r="B58" i="97" s="1"/>
  <c r="J16" i="97"/>
  <c r="J15" i="97"/>
  <c r="J14" i="97"/>
  <c r="J13" i="97"/>
  <c r="J12" i="97"/>
  <c r="J11" i="97"/>
  <c r="I16" i="97"/>
  <c r="K63" i="97" s="1"/>
  <c r="I15" i="97"/>
  <c r="K62" i="97" s="1"/>
  <c r="I14" i="97"/>
  <c r="K61" i="97" s="1"/>
  <c r="I13" i="97"/>
  <c r="K60" i="97" s="1"/>
  <c r="I12" i="97"/>
  <c r="K59" i="97" s="1"/>
  <c r="D16" i="97"/>
  <c r="D15" i="97"/>
  <c r="D14" i="97"/>
  <c r="D13" i="97"/>
  <c r="D12" i="97"/>
  <c r="D11" i="97"/>
  <c r="F16" i="97"/>
  <c r="F63" i="97" s="1"/>
  <c r="F15" i="97"/>
  <c r="F62" i="97" s="1"/>
  <c r="F14" i="97"/>
  <c r="F61" i="97" s="1"/>
  <c r="F13" i="97"/>
  <c r="F60" i="97" s="1"/>
  <c r="F12" i="97"/>
  <c r="F59" i="97" s="1"/>
  <c r="F11" i="97"/>
  <c r="L11" i="97" l="1"/>
  <c r="K12" i="99"/>
  <c r="K14" i="99" s="1"/>
  <c r="K15" i="99" s="1"/>
  <c r="F58" i="97"/>
  <c r="S88" i="94"/>
  <c r="M80" i="10" l="1"/>
  <c r="F82" i="10" s="1"/>
  <c r="J80" i="10"/>
  <c r="G80" i="10"/>
  <c r="L81" i="10" l="1"/>
  <c r="N82" i="10"/>
  <c r="I82" i="10"/>
  <c r="M82" i="10"/>
  <c r="G82" i="10"/>
  <c r="C84" i="10"/>
  <c r="K82" i="10"/>
  <c r="M83" i="10" l="1"/>
  <c r="L22" i="22" l="1"/>
  <c r="L23" i="22"/>
  <c r="L24" i="22"/>
  <c r="K22" i="22"/>
  <c r="K23" i="22"/>
  <c r="K24" i="22"/>
  <c r="F34" i="55" l="1"/>
  <c r="O28" i="21"/>
  <c r="M27" i="21"/>
  <c r="O27" i="21"/>
  <c r="J17" i="97"/>
  <c r="I17" i="97"/>
  <c r="K64" i="97" s="1"/>
  <c r="L47" i="55" l="1"/>
  <c r="K47" i="55"/>
  <c r="J29" i="21" l="1"/>
  <c r="I29" i="21"/>
  <c r="O45" i="55"/>
  <c r="M28" i="21" s="1"/>
  <c r="M45" i="55"/>
  <c r="K28" i="21" s="1"/>
  <c r="D17" i="97"/>
  <c r="Q37" i="55"/>
  <c r="F40" i="10"/>
  <c r="F41" i="10"/>
  <c r="F42" i="10"/>
  <c r="F43" i="10"/>
  <c r="F44" i="10"/>
  <c r="F45" i="10"/>
  <c r="F46" i="10"/>
  <c r="F47" i="10"/>
  <c r="F48" i="10"/>
  <c r="F49" i="10"/>
  <c r="F50" i="10"/>
  <c r="F39" i="10"/>
  <c r="P20" i="22"/>
  <c r="M8" i="22"/>
  <c r="N8" i="22"/>
  <c r="H17" i="97"/>
  <c r="B17" i="97"/>
  <c r="K108" i="10" l="1"/>
  <c r="L102" i="10"/>
  <c r="L103" i="10"/>
  <c r="L104" i="10"/>
  <c r="L105" i="10"/>
  <c r="L106" i="10"/>
  <c r="L107" i="10"/>
  <c r="O80" i="97" l="1"/>
  <c r="P80" i="97"/>
  <c r="Q80" i="97"/>
  <c r="R80" i="97"/>
  <c r="S80" i="97"/>
  <c r="T80" i="97"/>
  <c r="U80" i="97"/>
  <c r="F80" i="97"/>
  <c r="G80" i="97"/>
  <c r="H80" i="97"/>
  <c r="I80" i="97"/>
  <c r="J80" i="97"/>
  <c r="K80" i="97"/>
  <c r="L80" i="97"/>
  <c r="M80" i="97"/>
  <c r="N80" i="97"/>
  <c r="E80" i="97"/>
  <c r="D80" i="97"/>
  <c r="C80" i="97"/>
  <c r="B80" i="97"/>
  <c r="S15" i="94"/>
  <c r="Q15" i="94"/>
  <c r="U16" i="94"/>
  <c r="N33" i="55" l="1"/>
  <c r="N29" i="55"/>
  <c r="N24" i="55"/>
  <c r="N23" i="55"/>
  <c r="N17" i="55"/>
  <c r="N16" i="55"/>
  <c r="M28" i="55"/>
  <c r="O27" i="55"/>
  <c r="P27" i="55"/>
  <c r="O21" i="55"/>
  <c r="P21" i="55"/>
  <c r="Q4" i="55"/>
  <c r="O3" i="21" s="1"/>
  <c r="Q5" i="55"/>
  <c r="O4" i="21" s="1"/>
  <c r="Q6" i="55"/>
  <c r="O5" i="21" s="1"/>
  <c r="P4" i="55"/>
  <c r="N3" i="21" s="1"/>
  <c r="P5" i="55"/>
  <c r="N4" i="21" s="1"/>
  <c r="P6" i="55"/>
  <c r="N5" i="21" s="1"/>
  <c r="N4" i="55"/>
  <c r="L3" i="21" s="1"/>
  <c r="O4" i="55"/>
  <c r="M3" i="21" s="1"/>
  <c r="N5" i="55"/>
  <c r="L4" i="21" s="1"/>
  <c r="O5" i="55"/>
  <c r="M4" i="21" s="1"/>
  <c r="N6" i="55"/>
  <c r="L5" i="21" s="1"/>
  <c r="O6" i="55"/>
  <c r="M5" i="21" s="1"/>
  <c r="H4" i="55"/>
  <c r="I4" i="55"/>
  <c r="J4" i="55"/>
  <c r="K4" i="55"/>
  <c r="L4" i="55"/>
  <c r="M4" i="55"/>
  <c r="H5" i="55"/>
  <c r="I5" i="55"/>
  <c r="J5" i="55"/>
  <c r="K5" i="55"/>
  <c r="L5" i="55"/>
  <c r="M5" i="55"/>
  <c r="H6" i="55"/>
  <c r="I6" i="55"/>
  <c r="J6" i="55"/>
  <c r="K6" i="55"/>
  <c r="L6" i="55"/>
  <c r="M6" i="55"/>
  <c r="G5" i="55"/>
  <c r="G6" i="55"/>
  <c r="G4" i="55"/>
  <c r="G10" i="96"/>
  <c r="G9" i="96"/>
  <c r="G8" i="96"/>
  <c r="G6" i="96"/>
  <c r="G4" i="96" l="1"/>
  <c r="I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C107" i="10"/>
  <c r="C106" i="10"/>
  <c r="J106" i="10" s="1"/>
  <c r="C105" i="10"/>
  <c r="J105" i="10" s="1"/>
  <c r="C104" i="10"/>
  <c r="J104" i="10" s="1"/>
  <c r="C103" i="10"/>
  <c r="J103" i="10" s="1"/>
  <c r="C102" i="10"/>
  <c r="J102" i="10" s="1"/>
  <c r="C101" i="10"/>
  <c r="J101" i="10" s="1"/>
  <c r="C100" i="10"/>
  <c r="J100" i="10" s="1"/>
  <c r="C99" i="10"/>
  <c r="J99" i="10" s="1"/>
  <c r="C98" i="10"/>
  <c r="J98" i="10" s="1"/>
  <c r="C97" i="10"/>
  <c r="J97" i="10" s="1"/>
  <c r="C96" i="10"/>
  <c r="J96" i="10" s="1"/>
  <c r="L97" i="10"/>
  <c r="L98" i="10"/>
  <c r="L99" i="10"/>
  <c r="L100" i="10"/>
  <c r="L101" i="10"/>
  <c r="L96" i="10"/>
  <c r="L51" i="10"/>
  <c r="H39" i="10"/>
  <c r="C68" i="10"/>
  <c r="L92" i="10"/>
  <c r="L108" i="10" l="1"/>
  <c r="J107" i="10"/>
  <c r="M104" i="10"/>
  <c r="M103" i="10"/>
  <c r="M106" i="10"/>
  <c r="M105" i="10"/>
  <c r="M100" i="10"/>
  <c r="M99" i="10"/>
  <c r="M107" i="10"/>
  <c r="M102" i="10"/>
  <c r="M97" i="10"/>
  <c r="M101" i="10"/>
  <c r="M98" i="10"/>
  <c r="J108" i="10"/>
  <c r="M96" i="10"/>
  <c r="M108" i="10" l="1"/>
  <c r="J110" i="10"/>
  <c r="I110" i="10"/>
  <c r="M110" i="10" l="1"/>
  <c r="K110" i="10"/>
  <c r="K22" i="10" l="1"/>
  <c r="E52" i="10" l="1"/>
  <c r="E46" i="10"/>
  <c r="C43" i="10"/>
  <c r="C40" i="10"/>
  <c r="C52" i="10"/>
  <c r="K50" i="10" l="1"/>
  <c r="K49" i="10"/>
  <c r="K48" i="10"/>
  <c r="K47" i="10"/>
  <c r="K46" i="10"/>
  <c r="K45" i="10"/>
  <c r="K44" i="10"/>
  <c r="K43" i="10"/>
  <c r="K42" i="10"/>
  <c r="K41" i="10"/>
  <c r="K40" i="10"/>
  <c r="K39" i="10"/>
  <c r="M6" i="10"/>
  <c r="M7" i="10"/>
  <c r="M8" i="10"/>
  <c r="L6" i="10"/>
  <c r="L7" i="10"/>
  <c r="L8" i="10"/>
  <c r="I51" i="10"/>
  <c r="H50" i="10"/>
  <c r="H49" i="10"/>
  <c r="H48" i="10"/>
  <c r="H47" i="10"/>
  <c r="H45" i="10"/>
  <c r="H46" i="10"/>
  <c r="H44" i="10"/>
  <c r="H43" i="10"/>
  <c r="H42" i="10"/>
  <c r="H41" i="10"/>
  <c r="H40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E50" i="10"/>
  <c r="E49" i="10"/>
  <c r="E48" i="10"/>
  <c r="E47" i="10"/>
  <c r="E45" i="10"/>
  <c r="E44" i="10"/>
  <c r="E43" i="10"/>
  <c r="E42" i="10"/>
  <c r="E41" i="10"/>
  <c r="E40" i="10"/>
  <c r="E39" i="10"/>
  <c r="C50" i="10"/>
  <c r="C49" i="10"/>
  <c r="C45" i="10"/>
  <c r="C48" i="10"/>
  <c r="C47" i="10"/>
  <c r="C46" i="10"/>
  <c r="C44" i="10"/>
  <c r="C42" i="10"/>
  <c r="C41" i="10"/>
  <c r="C39" i="10"/>
  <c r="G51" i="10" l="1"/>
  <c r="H51" i="10"/>
  <c r="K51" i="10"/>
  <c r="E119" i="97"/>
  <c r="D119" i="97"/>
  <c r="C119" i="97"/>
  <c r="B119" i="97"/>
  <c r="A97" i="97"/>
  <c r="O92" i="97"/>
  <c r="Y71" i="97"/>
  <c r="Y75" i="97" s="1"/>
  <c r="X71" i="97"/>
  <c r="X75" i="97" s="1"/>
  <c r="W71" i="97"/>
  <c r="W75" i="97" s="1"/>
  <c r="O71" i="97"/>
  <c r="O82" i="97" s="1"/>
  <c r="G71" i="97"/>
  <c r="G82" i="97" s="1"/>
  <c r="T69" i="97"/>
  <c r="S69" i="97"/>
  <c r="R69" i="97"/>
  <c r="Q69" i="97"/>
  <c r="P69" i="97"/>
  <c r="M69" i="97"/>
  <c r="L69" i="97"/>
  <c r="J69" i="97"/>
  <c r="I69" i="97"/>
  <c r="F69" i="97"/>
  <c r="E69" i="97"/>
  <c r="D69" i="97"/>
  <c r="C69" i="97"/>
  <c r="B69" i="97"/>
  <c r="T68" i="97"/>
  <c r="S68" i="97"/>
  <c r="R68" i="97"/>
  <c r="Q68" i="97"/>
  <c r="P68" i="97"/>
  <c r="M68" i="97"/>
  <c r="L68" i="97"/>
  <c r="J68" i="97"/>
  <c r="I68" i="97"/>
  <c r="F68" i="97"/>
  <c r="E68" i="97"/>
  <c r="D68" i="97"/>
  <c r="C68" i="97"/>
  <c r="B68" i="97"/>
  <c r="T67" i="97"/>
  <c r="S67" i="97"/>
  <c r="R67" i="97"/>
  <c r="Q67" i="97"/>
  <c r="P67" i="97"/>
  <c r="M67" i="97"/>
  <c r="L67" i="97"/>
  <c r="J67" i="97"/>
  <c r="I67" i="97"/>
  <c r="F67" i="97"/>
  <c r="E67" i="97"/>
  <c r="D67" i="97"/>
  <c r="C67" i="97"/>
  <c r="B67" i="97"/>
  <c r="T66" i="97"/>
  <c r="S66" i="97"/>
  <c r="R66" i="97"/>
  <c r="Q66" i="97"/>
  <c r="P66" i="97"/>
  <c r="M66" i="97"/>
  <c r="L66" i="97"/>
  <c r="J66" i="97"/>
  <c r="I66" i="97"/>
  <c r="F66" i="97"/>
  <c r="E66" i="97"/>
  <c r="D66" i="97"/>
  <c r="C66" i="97"/>
  <c r="B66" i="97"/>
  <c r="T65" i="97"/>
  <c r="S65" i="97"/>
  <c r="R65" i="97"/>
  <c r="Q65" i="97"/>
  <c r="P65" i="97"/>
  <c r="M65" i="97"/>
  <c r="L65" i="97"/>
  <c r="J65" i="97"/>
  <c r="I65" i="97"/>
  <c r="F65" i="97"/>
  <c r="E65" i="97"/>
  <c r="D65" i="97"/>
  <c r="C65" i="97"/>
  <c r="B65" i="97"/>
  <c r="T64" i="97"/>
  <c r="S64" i="97"/>
  <c r="R64" i="97"/>
  <c r="Q64" i="97"/>
  <c r="P64" i="97"/>
  <c r="M64" i="97"/>
  <c r="L64" i="97"/>
  <c r="J64" i="97"/>
  <c r="I64" i="97"/>
  <c r="F64" i="97"/>
  <c r="E64" i="97"/>
  <c r="D64" i="97"/>
  <c r="C64" i="97"/>
  <c r="B64" i="97"/>
  <c r="T63" i="97"/>
  <c r="S63" i="97"/>
  <c r="R63" i="97"/>
  <c r="Q63" i="97"/>
  <c r="P63" i="97"/>
  <c r="M63" i="97"/>
  <c r="L63" i="97"/>
  <c r="J63" i="97"/>
  <c r="E63" i="97"/>
  <c r="D63" i="97"/>
  <c r="C63" i="97"/>
  <c r="B63" i="97"/>
  <c r="T62" i="97"/>
  <c r="S62" i="97"/>
  <c r="R62" i="97"/>
  <c r="Q62" i="97"/>
  <c r="P62" i="97"/>
  <c r="M62" i="97"/>
  <c r="L62" i="97"/>
  <c r="J62" i="97"/>
  <c r="E62" i="97"/>
  <c r="D62" i="97"/>
  <c r="C62" i="97"/>
  <c r="B62" i="97"/>
  <c r="T61" i="97"/>
  <c r="S61" i="97"/>
  <c r="R61" i="97"/>
  <c r="Q61" i="97"/>
  <c r="P61" i="97"/>
  <c r="M61" i="97"/>
  <c r="L61" i="97"/>
  <c r="J61" i="97"/>
  <c r="E61" i="97"/>
  <c r="D61" i="97"/>
  <c r="C61" i="97"/>
  <c r="B61" i="97"/>
  <c r="T60" i="97"/>
  <c r="S60" i="97"/>
  <c r="R60" i="97"/>
  <c r="Q60" i="97"/>
  <c r="P60" i="97"/>
  <c r="M60" i="97"/>
  <c r="L60" i="97"/>
  <c r="J60" i="97"/>
  <c r="E60" i="97"/>
  <c r="D60" i="97"/>
  <c r="C60" i="97"/>
  <c r="B60" i="97"/>
  <c r="T59" i="97"/>
  <c r="S59" i="97"/>
  <c r="R59" i="97"/>
  <c r="Q59" i="97"/>
  <c r="P59" i="97"/>
  <c r="M59" i="97"/>
  <c r="L59" i="97"/>
  <c r="E59" i="97"/>
  <c r="D59" i="97"/>
  <c r="C59" i="97"/>
  <c r="B59" i="97"/>
  <c r="T58" i="97"/>
  <c r="S58" i="97"/>
  <c r="R58" i="97"/>
  <c r="Q58" i="97"/>
  <c r="P58" i="97"/>
  <c r="M58" i="97"/>
  <c r="L58" i="97"/>
  <c r="E58" i="97"/>
  <c r="D58" i="97"/>
  <c r="C58" i="97"/>
  <c r="A33" i="97"/>
  <c r="Q24" i="97"/>
  <c r="T75" i="97" s="1"/>
  <c r="T90" i="97" s="1"/>
  <c r="P24" i="97"/>
  <c r="S75" i="97" s="1"/>
  <c r="S90" i="97" s="1"/>
  <c r="O24" i="97"/>
  <c r="R75" i="97" s="1"/>
  <c r="R90" i="97" s="1"/>
  <c r="N24" i="97"/>
  <c r="Q75" i="97" s="1"/>
  <c r="M24" i="97"/>
  <c r="P75" i="97" s="1"/>
  <c r="P90" i="97" s="1"/>
  <c r="I102" i="97" s="1"/>
  <c r="K24" i="97"/>
  <c r="M75" i="97" s="1"/>
  <c r="M91" i="97" s="1"/>
  <c r="U91" i="97" s="1"/>
  <c r="N103" i="97" s="1"/>
  <c r="J24" i="97"/>
  <c r="J28" i="97" s="1"/>
  <c r="I24" i="97"/>
  <c r="G24" i="97"/>
  <c r="G28" i="97" s="1"/>
  <c r="F24" i="97"/>
  <c r="E24" i="97"/>
  <c r="D75" i="97" s="1"/>
  <c r="D24" i="97"/>
  <c r="C24" i="97"/>
  <c r="C75" i="97" s="1"/>
  <c r="B24" i="97"/>
  <c r="L22" i="97"/>
  <c r="L21" i="97"/>
  <c r="L20" i="97"/>
  <c r="L19" i="97"/>
  <c r="L18" i="97"/>
  <c r="L17" i="97"/>
  <c r="S92" i="97" l="1"/>
  <c r="L102" i="97"/>
  <c r="T92" i="97"/>
  <c r="M102" i="97"/>
  <c r="G75" i="97"/>
  <c r="R92" i="97"/>
  <c r="K102" i="97"/>
  <c r="J71" i="97"/>
  <c r="H88" i="97"/>
  <c r="H92" i="97" s="1"/>
  <c r="U58" i="97"/>
  <c r="U68" i="97"/>
  <c r="H69" i="97"/>
  <c r="O75" i="97"/>
  <c r="L87" i="97" s="1"/>
  <c r="L104" i="97" s="1"/>
  <c r="F71" i="97"/>
  <c r="B28" i="97"/>
  <c r="B75" i="97"/>
  <c r="F28" i="97"/>
  <c r="F75" i="97"/>
  <c r="F76" i="97" s="1"/>
  <c r="B71" i="97"/>
  <c r="E75" i="97"/>
  <c r="D28" i="97"/>
  <c r="I33" i="97"/>
  <c r="J33" i="97" s="1"/>
  <c r="I28" i="97"/>
  <c r="T14" i="94"/>
  <c r="P14" i="94" s="1"/>
  <c r="Q14" i="94" s="1"/>
  <c r="S14" i="94" s="1"/>
  <c r="D7" i="22"/>
  <c r="U59" i="97"/>
  <c r="U63" i="97"/>
  <c r="N66" i="97"/>
  <c r="U67" i="97"/>
  <c r="H68" i="97"/>
  <c r="P71" i="97"/>
  <c r="P82" i="97" s="1"/>
  <c r="H63" i="97"/>
  <c r="N69" i="97"/>
  <c r="R71" i="97"/>
  <c r="R82" i="97" s="1"/>
  <c r="M71" i="97"/>
  <c r="M82" i="97" s="1"/>
  <c r="U61" i="97"/>
  <c r="U65" i="97"/>
  <c r="H66" i="97"/>
  <c r="H67" i="97"/>
  <c r="N67" i="97"/>
  <c r="N68" i="97"/>
  <c r="T71" i="97"/>
  <c r="T82" i="97" s="1"/>
  <c r="U62" i="97"/>
  <c r="N65" i="97"/>
  <c r="U66" i="97"/>
  <c r="J75" i="97"/>
  <c r="C71" i="97"/>
  <c r="S71" i="97"/>
  <c r="S82" i="97" s="1"/>
  <c r="D71" i="97"/>
  <c r="Q71" i="97"/>
  <c r="Q82" i="97" s="1"/>
  <c r="U64" i="97"/>
  <c r="H65" i="97"/>
  <c r="U69" i="97"/>
  <c r="L75" i="97"/>
  <c r="K75" i="97"/>
  <c r="N64" i="97"/>
  <c r="H64" i="97"/>
  <c r="L71" i="97"/>
  <c r="K71" i="97"/>
  <c r="K76" i="97" s="1"/>
  <c r="H62" i="97"/>
  <c r="H61" i="97"/>
  <c r="E71" i="97"/>
  <c r="H59" i="97"/>
  <c r="H60" i="97"/>
  <c r="P92" i="97"/>
  <c r="Q90" i="97"/>
  <c r="U75" i="97"/>
  <c r="U60" i="97"/>
  <c r="H58" i="97"/>
  <c r="V66" i="97" l="1"/>
  <c r="Z66" i="97" s="1"/>
  <c r="AB66" i="97" s="1"/>
  <c r="J76" i="97"/>
  <c r="Q92" i="97"/>
  <c r="J102" i="97"/>
  <c r="J87" i="97"/>
  <c r="J104" i="97" s="1"/>
  <c r="C82" i="97"/>
  <c r="K87" i="97"/>
  <c r="K104" i="97" s="1"/>
  <c r="D82" i="97"/>
  <c r="L92" i="97"/>
  <c r="V67" i="97"/>
  <c r="Z67" i="97" s="1"/>
  <c r="AB67" i="97" s="1"/>
  <c r="H75" i="97"/>
  <c r="F30" i="97"/>
  <c r="K30" i="97"/>
  <c r="F12" i="55"/>
  <c r="F13" i="55" s="1"/>
  <c r="B6" i="56" s="1"/>
  <c r="B16" i="56" s="1"/>
  <c r="B18" i="56" s="1"/>
  <c r="B20" i="56" s="1"/>
  <c r="D19" i="22"/>
  <c r="I89" i="97"/>
  <c r="N6" i="22" s="1"/>
  <c r="F82" i="97"/>
  <c r="M89" i="97"/>
  <c r="N7" i="22" s="1"/>
  <c r="J82" i="97"/>
  <c r="N88" i="97"/>
  <c r="N92" i="97" s="1"/>
  <c r="L82" i="97"/>
  <c r="M88" i="97"/>
  <c r="K82" i="97"/>
  <c r="I88" i="97"/>
  <c r="E82" i="97"/>
  <c r="I87" i="97"/>
  <c r="B82" i="97"/>
  <c r="V68" i="97"/>
  <c r="Z68" i="97" s="1"/>
  <c r="AB68" i="97" s="1"/>
  <c r="V69" i="97"/>
  <c r="Z69" i="97" s="1"/>
  <c r="AB69" i="97" s="1"/>
  <c r="V65" i="97"/>
  <c r="Z65" i="97" s="1"/>
  <c r="AB65" i="97" s="1"/>
  <c r="U71" i="97"/>
  <c r="U82" i="97" s="1"/>
  <c r="V64" i="97"/>
  <c r="Z64" i="97" s="1"/>
  <c r="AB64" i="97" s="1"/>
  <c r="H71" i="97"/>
  <c r="U90" i="97"/>
  <c r="T12" i="94" l="1"/>
  <c r="P12" i="94" s="1"/>
  <c r="Q12" i="94" s="1"/>
  <c r="S12" i="94" s="1"/>
  <c r="N102" i="97"/>
  <c r="I104" i="97"/>
  <c r="M6" i="22"/>
  <c r="O11" i="55" s="1"/>
  <c r="K92" i="97"/>
  <c r="J92" i="97"/>
  <c r="P11" i="55"/>
  <c r="P12" i="55"/>
  <c r="H82" i="97"/>
  <c r="H76" i="97"/>
  <c r="U89" i="97"/>
  <c r="N101" i="97" s="1"/>
  <c r="U88" i="97"/>
  <c r="N100" i="97" s="1"/>
  <c r="I92" i="97"/>
  <c r="P13" i="55" l="1"/>
  <c r="L6" i="56" s="1"/>
  <c r="T11" i="94"/>
  <c r="P11" i="94" s="1"/>
  <c r="Q11" i="94" s="1"/>
  <c r="S11" i="94" s="1"/>
  <c r="K93" i="97"/>
  <c r="E57" i="96" l="1"/>
  <c r="G45" i="96"/>
  <c r="I45" i="96" s="1"/>
  <c r="D40" i="96"/>
  <c r="D39" i="96"/>
  <c r="G41" i="96"/>
  <c r="G40" i="96"/>
  <c r="H43" i="96"/>
  <c r="I43" i="96" s="1"/>
  <c r="G59" i="96"/>
  <c r="G24" i="96"/>
  <c r="G23" i="96"/>
  <c r="G56" i="96"/>
  <c r="H80" i="96"/>
  <c r="F79" i="96"/>
  <c r="H79" i="96" s="1"/>
  <c r="B79" i="96"/>
  <c r="G78" i="96"/>
  <c r="F78" i="96"/>
  <c r="B78" i="96"/>
  <c r="G77" i="96"/>
  <c r="F77" i="96"/>
  <c r="B77" i="96"/>
  <c r="G76" i="96"/>
  <c r="F76" i="96"/>
  <c r="B76" i="96"/>
  <c r="G75" i="96"/>
  <c r="F75" i="96"/>
  <c r="B75" i="96"/>
  <c r="G74" i="96"/>
  <c r="F74" i="96"/>
  <c r="B74" i="96"/>
  <c r="G73" i="96"/>
  <c r="F73" i="96"/>
  <c r="B73" i="96"/>
  <c r="G72" i="96"/>
  <c r="F72" i="96"/>
  <c r="B72" i="96"/>
  <c r="G71" i="96"/>
  <c r="F71" i="96"/>
  <c r="B71" i="96"/>
  <c r="G62" i="96"/>
  <c r="G61" i="96"/>
  <c r="E61" i="96"/>
  <c r="G60" i="96"/>
  <c r="E60" i="96"/>
  <c r="E59" i="96"/>
  <c r="G58" i="96"/>
  <c r="E58" i="96"/>
  <c r="G57" i="96"/>
  <c r="E56" i="96"/>
  <c r="G55" i="96"/>
  <c r="G54" i="96"/>
  <c r="E54" i="96"/>
  <c r="I53" i="96"/>
  <c r="H53" i="96"/>
  <c r="G53" i="96"/>
  <c r="I52" i="96"/>
  <c r="H52" i="96"/>
  <c r="G52" i="96"/>
  <c r="F52" i="96"/>
  <c r="E52" i="96"/>
  <c r="G51" i="96"/>
  <c r="F51" i="96"/>
  <c r="E51" i="96"/>
  <c r="H44" i="96"/>
  <c r="I44" i="96" s="1"/>
  <c r="H42" i="96"/>
  <c r="I42" i="96" s="1"/>
  <c r="G42" i="96"/>
  <c r="Q41" i="96"/>
  <c r="H41" i="96"/>
  <c r="U40" i="96"/>
  <c r="H40" i="96"/>
  <c r="I40" i="96" s="1"/>
  <c r="E40" i="96"/>
  <c r="U39" i="96"/>
  <c r="E39" i="96"/>
  <c r="G39" i="96" s="1"/>
  <c r="H38" i="96"/>
  <c r="E38" i="96"/>
  <c r="G38" i="96" s="1"/>
  <c r="D38" i="96"/>
  <c r="H37" i="96"/>
  <c r="I37" i="96" s="1"/>
  <c r="G37" i="96"/>
  <c r="J36" i="96"/>
  <c r="I36" i="96"/>
  <c r="H36" i="96"/>
  <c r="J35" i="96"/>
  <c r="I35" i="96"/>
  <c r="H35" i="96"/>
  <c r="D35" i="96"/>
  <c r="D52" i="96" s="1"/>
  <c r="H34" i="96"/>
  <c r="D34" i="96"/>
  <c r="D51" i="96" s="1"/>
  <c r="I50" i="96"/>
  <c r="H33" i="96"/>
  <c r="H50" i="96" s="1"/>
  <c r="G33" i="96"/>
  <c r="G50" i="96" s="1"/>
  <c r="F33" i="96"/>
  <c r="F50" i="96" s="1"/>
  <c r="E33" i="96"/>
  <c r="E50" i="96" s="1"/>
  <c r="D33" i="96"/>
  <c r="D50" i="96" s="1"/>
  <c r="G28" i="96"/>
  <c r="B28" i="96"/>
  <c r="B45" i="96" s="1"/>
  <c r="B62" i="96" s="1"/>
  <c r="G27" i="96"/>
  <c r="B27" i="96"/>
  <c r="B44" i="96" s="1"/>
  <c r="B61" i="96" s="1"/>
  <c r="B26" i="96"/>
  <c r="B43" i="96" s="1"/>
  <c r="B60" i="96" s="1"/>
  <c r="B25" i="96"/>
  <c r="B42" i="96" s="1"/>
  <c r="B59" i="96" s="1"/>
  <c r="B24" i="96"/>
  <c r="B41" i="96" s="1"/>
  <c r="B58" i="96" s="1"/>
  <c r="B23" i="96"/>
  <c r="B40" i="96" s="1"/>
  <c r="B57" i="96" s="1"/>
  <c r="B22" i="96"/>
  <c r="B39" i="96" s="1"/>
  <c r="B56" i="96" s="1"/>
  <c r="G21" i="96"/>
  <c r="B21" i="96"/>
  <c r="B38" i="96" s="1"/>
  <c r="B55" i="96" s="1"/>
  <c r="G20" i="96"/>
  <c r="B20" i="96"/>
  <c r="B37" i="96" s="1"/>
  <c r="B54" i="96" s="1"/>
  <c r="H13" i="96"/>
  <c r="G13" i="96"/>
  <c r="I12" i="96" s="1"/>
  <c r="G26" i="96" l="1"/>
  <c r="H39" i="96"/>
  <c r="H47" i="96" s="1"/>
  <c r="G22" i="96"/>
  <c r="G25" i="96"/>
  <c r="I39" i="96"/>
  <c r="H71" i="96"/>
  <c r="H76" i="96"/>
  <c r="H72" i="96"/>
  <c r="H74" i="96"/>
  <c r="G81" i="96"/>
  <c r="F54" i="96"/>
  <c r="H54" i="96" s="1"/>
  <c r="F60" i="96"/>
  <c r="H60" i="96" s="1"/>
  <c r="I4" i="96"/>
  <c r="I8" i="96"/>
  <c r="I11" i="96"/>
  <c r="H73" i="96"/>
  <c r="H75" i="96"/>
  <c r="H78" i="96"/>
  <c r="F56" i="96"/>
  <c r="H56" i="96" s="1"/>
  <c r="F59" i="96"/>
  <c r="H59" i="96" s="1"/>
  <c r="I5" i="96"/>
  <c r="I6" i="96"/>
  <c r="I7" i="96"/>
  <c r="I9" i="96"/>
  <c r="I10" i="96"/>
  <c r="H77" i="96"/>
  <c r="I38" i="96"/>
  <c r="E55" i="96"/>
  <c r="F55" i="96" s="1"/>
  <c r="H55" i="96" s="1"/>
  <c r="E62" i="96"/>
  <c r="F62" i="96" s="1"/>
  <c r="F57" i="96"/>
  <c r="H57" i="96" s="1"/>
  <c r="F58" i="96"/>
  <c r="H58" i="96" s="1"/>
  <c r="F61" i="96"/>
  <c r="H61" i="96" s="1"/>
  <c r="G63" i="96"/>
  <c r="G29" i="96" l="1"/>
  <c r="H81" i="96"/>
  <c r="I77" i="96" s="1"/>
  <c r="I13" i="96"/>
  <c r="H63" i="96"/>
  <c r="I62" i="96" s="1"/>
  <c r="I41" i="96"/>
  <c r="I79" i="96" l="1"/>
  <c r="I75" i="96"/>
  <c r="I76" i="96"/>
  <c r="I74" i="96"/>
  <c r="I72" i="96"/>
  <c r="I80" i="96"/>
  <c r="I78" i="96"/>
  <c r="I71" i="96"/>
  <c r="L81" i="96"/>
  <c r="I73" i="96"/>
  <c r="I57" i="96"/>
  <c r="I58" i="96"/>
  <c r="I61" i="96"/>
  <c r="I60" i="96"/>
  <c r="I59" i="96"/>
  <c r="I56" i="96"/>
  <c r="I54" i="96"/>
  <c r="I55" i="96"/>
  <c r="H11" i="100" l="1"/>
  <c r="H12" i="100"/>
  <c r="H103" i="100"/>
  <c r="H104" i="100"/>
  <c r="H81" i="100"/>
  <c r="H80" i="100"/>
  <c r="H195" i="100"/>
  <c r="H196" i="100"/>
  <c r="H57" i="100"/>
  <c r="H58" i="100"/>
  <c r="H126" i="100"/>
  <c r="H127" i="100"/>
  <c r="H34" i="100"/>
  <c r="H35" i="100"/>
  <c r="H172" i="100"/>
  <c r="H173" i="100"/>
  <c r="I81" i="96"/>
  <c r="I47" i="96"/>
  <c r="I63" i="96"/>
  <c r="H215" i="100" l="1"/>
  <c r="H214" i="100"/>
  <c r="J43" i="96"/>
  <c r="J44" i="96"/>
  <c r="J42" i="96"/>
  <c r="J39" i="96"/>
  <c r="J40" i="96"/>
  <c r="J38" i="96"/>
  <c r="J37" i="96"/>
  <c r="J41" i="96"/>
  <c r="J45" i="96"/>
  <c r="G103" i="100" l="1"/>
  <c r="G104" i="100"/>
  <c r="G195" i="100"/>
  <c r="G196" i="100"/>
  <c r="G57" i="100"/>
  <c r="G58" i="100"/>
  <c r="G12" i="100"/>
  <c r="G11" i="100"/>
  <c r="G126" i="100"/>
  <c r="G127" i="100"/>
  <c r="G35" i="100"/>
  <c r="G34" i="100"/>
  <c r="G150" i="100"/>
  <c r="G149" i="100"/>
  <c r="G80" i="100"/>
  <c r="G81" i="100"/>
  <c r="G172" i="100"/>
  <c r="G173" i="100"/>
  <c r="J47" i="96"/>
  <c r="J126" i="11"/>
  <c r="J127" i="11"/>
  <c r="J128" i="11"/>
  <c r="J129" i="11"/>
  <c r="I127" i="11"/>
  <c r="I128" i="11"/>
  <c r="I129" i="11"/>
  <c r="I126" i="11"/>
  <c r="F154" i="11"/>
  <c r="F153" i="11"/>
  <c r="F152" i="11"/>
  <c r="F151" i="11"/>
  <c r="F150" i="11"/>
  <c r="F149" i="11"/>
  <c r="F148" i="11"/>
  <c r="F147" i="11"/>
  <c r="E25" i="96" s="1"/>
  <c r="F142" i="11"/>
  <c r="F143" i="11"/>
  <c r="F144" i="11"/>
  <c r="F145" i="11"/>
  <c r="F146" i="11"/>
  <c r="F155" i="11"/>
  <c r="F141" i="11"/>
  <c r="F140" i="11"/>
  <c r="F139" i="11"/>
  <c r="D157" i="11"/>
  <c r="F138" i="11"/>
  <c r="P112" i="11"/>
  <c r="P113" i="11"/>
  <c r="P114" i="11"/>
  <c r="O114" i="11"/>
  <c r="O113" i="11"/>
  <c r="O112" i="11"/>
  <c r="L108" i="11"/>
  <c r="L109" i="11"/>
  <c r="M122" i="11" s="1"/>
  <c r="L110" i="11"/>
  <c r="L111" i="11"/>
  <c r="L112" i="11"/>
  <c r="L113" i="11"/>
  <c r="L114" i="11"/>
  <c r="L115" i="11"/>
  <c r="L116" i="11"/>
  <c r="K116" i="11"/>
  <c r="K115" i="11"/>
  <c r="K114" i="11"/>
  <c r="K113" i="11"/>
  <c r="K112" i="11"/>
  <c r="K111" i="11"/>
  <c r="L124" i="11" s="1"/>
  <c r="K110" i="11"/>
  <c r="K109" i="11"/>
  <c r="L122" i="11" s="1"/>
  <c r="K108" i="11"/>
  <c r="J108" i="11"/>
  <c r="J110" i="11"/>
  <c r="M123" i="11" s="1"/>
  <c r="J112" i="11"/>
  <c r="M125" i="11" s="1"/>
  <c r="J113" i="11"/>
  <c r="J114" i="11"/>
  <c r="J115" i="11"/>
  <c r="J116" i="11"/>
  <c r="I116" i="11"/>
  <c r="I115" i="11"/>
  <c r="I114" i="11"/>
  <c r="I113" i="11"/>
  <c r="I112" i="11"/>
  <c r="I110" i="11"/>
  <c r="I108" i="11"/>
  <c r="E171" i="11"/>
  <c r="G214" i="100" l="1"/>
  <c r="G215" i="100"/>
  <c r="M116" i="11"/>
  <c r="D187" i="11" s="1"/>
  <c r="M112" i="11"/>
  <c r="D183" i="11" s="1"/>
  <c r="M108" i="11"/>
  <c r="D179" i="11" s="1"/>
  <c r="L121" i="11"/>
  <c r="N121" i="11" s="1"/>
  <c r="L125" i="11"/>
  <c r="L123" i="11"/>
  <c r="N123" i="11" s="1"/>
  <c r="M115" i="11"/>
  <c r="D186" i="11" s="1"/>
  <c r="M126" i="11"/>
  <c r="L127" i="11"/>
  <c r="M111" i="11"/>
  <c r="D182" i="11" s="1"/>
  <c r="L126" i="11"/>
  <c r="M129" i="11"/>
  <c r="M121" i="11"/>
  <c r="M114" i="11"/>
  <c r="D185" i="11" s="1"/>
  <c r="M110" i="11"/>
  <c r="D181" i="11" s="1"/>
  <c r="L129" i="11"/>
  <c r="M128" i="11"/>
  <c r="M109" i="11"/>
  <c r="D180" i="11" s="1"/>
  <c r="M113" i="11"/>
  <c r="D184" i="11" s="1"/>
  <c r="L128" i="11"/>
  <c r="M127" i="11"/>
  <c r="N127" i="11" s="1"/>
  <c r="M124" i="11"/>
  <c r="N124" i="11" s="1"/>
  <c r="N125" i="11"/>
  <c r="N122" i="11"/>
  <c r="F124" i="11"/>
  <c r="F121" i="11"/>
  <c r="F120" i="11"/>
  <c r="F111" i="11"/>
  <c r="F108" i="11"/>
  <c r="N126" i="11" l="1"/>
  <c r="N129" i="11"/>
  <c r="N128" i="11"/>
  <c r="D165" i="11"/>
  <c r="E51" i="11"/>
  <c r="E50" i="11"/>
  <c r="C84" i="11" s="1"/>
  <c r="E46" i="11"/>
  <c r="P43" i="55"/>
  <c r="N27" i="21" l="1"/>
  <c r="A82" i="10"/>
  <c r="A110" i="10" s="1"/>
  <c r="D86" i="11" l="1"/>
  <c r="D85" i="11"/>
  <c r="D82" i="11"/>
  <c r="B86" i="11"/>
  <c r="B85" i="11"/>
  <c r="E54" i="11"/>
  <c r="C86" i="11" s="1"/>
  <c r="E53" i="11"/>
  <c r="E160" i="11" l="1"/>
  <c r="F116" i="11"/>
  <c r="F113" i="11"/>
  <c r="F112" i="11"/>
  <c r="F110" i="11"/>
  <c r="F130" i="11"/>
  <c r="B82" i="11"/>
  <c r="E55" i="11"/>
  <c r="M21" i="10" l="1"/>
  <c r="M20" i="10"/>
  <c r="M19" i="10"/>
  <c r="M18" i="10"/>
  <c r="M17" i="10"/>
  <c r="M16" i="10"/>
  <c r="M15" i="10"/>
  <c r="M14" i="10"/>
  <c r="M13" i="10"/>
  <c r="M12" i="10"/>
  <c r="M11" i="10"/>
  <c r="M10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B11" i="10"/>
  <c r="B12" i="10"/>
  <c r="B13" i="10"/>
  <c r="B14" i="10"/>
  <c r="B15" i="10"/>
  <c r="B16" i="10"/>
  <c r="B17" i="10"/>
  <c r="B18" i="10"/>
  <c r="B19" i="10"/>
  <c r="B20" i="10"/>
  <c r="B21" i="10"/>
  <c r="B10" i="10"/>
  <c r="D50" i="10"/>
  <c r="J50" i="10" s="1"/>
  <c r="M50" i="10" s="1"/>
  <c r="D49" i="10"/>
  <c r="J49" i="10" s="1"/>
  <c r="D48" i="10"/>
  <c r="J48" i="10" s="1"/>
  <c r="D47" i="10"/>
  <c r="J47" i="10" s="1"/>
  <c r="D46" i="10"/>
  <c r="J46" i="10" s="1"/>
  <c r="D45" i="10"/>
  <c r="J45" i="10" s="1"/>
  <c r="D44" i="10"/>
  <c r="J44" i="10" s="1"/>
  <c r="D43" i="10"/>
  <c r="J43" i="10" s="1"/>
  <c r="D42" i="10"/>
  <c r="J42" i="10" s="1"/>
  <c r="D41" i="10"/>
  <c r="J41" i="10" s="1"/>
  <c r="D40" i="10"/>
  <c r="J40" i="10" s="1"/>
  <c r="D39" i="10"/>
  <c r="J39" i="10" s="1"/>
  <c r="M66" i="10"/>
  <c r="D22" i="10" l="1"/>
  <c r="M39" i="10"/>
  <c r="J51" i="10"/>
  <c r="D69" i="10"/>
  <c r="J69" i="10" s="1"/>
  <c r="M69" i="10" s="1"/>
  <c r="D73" i="10"/>
  <c r="J73" i="10" s="1"/>
  <c r="M73" i="10" s="1"/>
  <c r="D77" i="10"/>
  <c r="J77" i="10" s="1"/>
  <c r="M77" i="10" s="1"/>
  <c r="D76" i="10"/>
  <c r="J76" i="10" s="1"/>
  <c r="M76" i="10" s="1"/>
  <c r="D70" i="10"/>
  <c r="J70" i="10" s="1"/>
  <c r="D74" i="10"/>
  <c r="J74" i="10" s="1"/>
  <c r="M74" i="10" s="1"/>
  <c r="D78" i="10"/>
  <c r="J78" i="10" s="1"/>
  <c r="M78" i="10" s="1"/>
  <c r="D72" i="10"/>
  <c r="J72" i="10" s="1"/>
  <c r="M72" i="10" s="1"/>
  <c r="D71" i="10"/>
  <c r="J71" i="10" s="1"/>
  <c r="M71" i="10" s="1"/>
  <c r="D75" i="10"/>
  <c r="J75" i="10" s="1"/>
  <c r="M75" i="10" s="1"/>
  <c r="D79" i="10"/>
  <c r="J79" i="10" s="1"/>
  <c r="M79" i="10" s="1"/>
  <c r="A27" i="96"/>
  <c r="A44" i="96" s="1"/>
  <c r="A61" i="96" s="1"/>
  <c r="A78" i="96"/>
  <c r="K45" i="55"/>
  <c r="I28" i="21" s="1"/>
  <c r="D68" i="10"/>
  <c r="J68" i="10" s="1"/>
  <c r="M68" i="10" s="1"/>
  <c r="M64" i="10"/>
  <c r="C19" i="10"/>
  <c r="C17" i="10"/>
  <c r="C15" i="10"/>
  <c r="C13" i="10"/>
  <c r="C11" i="10"/>
  <c r="C20" i="10"/>
  <c r="C18" i="10"/>
  <c r="C16" i="10"/>
  <c r="C14" i="10"/>
  <c r="C12" i="10"/>
  <c r="M93" i="10"/>
  <c r="M65" i="10"/>
  <c r="M94" i="10"/>
  <c r="M70" i="10" l="1"/>
  <c r="J81" i="10"/>
  <c r="M53" i="10"/>
  <c r="H53" i="10"/>
  <c r="I53" i="10"/>
  <c r="M49" i="10"/>
  <c r="M41" i="10"/>
  <c r="M47" i="10"/>
  <c r="M44" i="10"/>
  <c r="M45" i="10"/>
  <c r="M42" i="10"/>
  <c r="M48" i="10"/>
  <c r="M46" i="10"/>
  <c r="M43" i="10"/>
  <c r="M40" i="10"/>
  <c r="M92" i="10"/>
  <c r="A26" i="96"/>
  <c r="A43" i="96" s="1"/>
  <c r="A60" i="96" s="1"/>
  <c r="A77" i="96"/>
  <c r="A28" i="96"/>
  <c r="A45" i="96" s="1"/>
  <c r="A62" i="96" s="1"/>
  <c r="A79" i="96"/>
  <c r="L45" i="55"/>
  <c r="J28" i="21" s="1"/>
  <c r="J45" i="55"/>
  <c r="H28" i="21" s="1"/>
  <c r="F132" i="11"/>
  <c r="E52" i="11"/>
  <c r="D34" i="11" l="1"/>
  <c r="D33" i="11"/>
  <c r="D32" i="11"/>
  <c r="B83" i="1"/>
  <c r="B82" i="1"/>
  <c r="B81" i="1"/>
  <c r="B79" i="1"/>
  <c r="B78" i="1"/>
  <c r="B76" i="1"/>
  <c r="B75" i="1"/>
  <c r="B74" i="1"/>
  <c r="B73" i="1"/>
  <c r="B71" i="1"/>
  <c r="B70" i="1"/>
  <c r="B69" i="1"/>
  <c r="B68" i="1"/>
  <c r="B66" i="1"/>
  <c r="B65" i="1"/>
  <c r="B64" i="1"/>
  <c r="B63" i="1"/>
  <c r="B61" i="1"/>
  <c r="B60" i="1"/>
  <c r="B59" i="1"/>
  <c r="B58" i="1"/>
  <c r="B57" i="1"/>
  <c r="B56" i="1"/>
  <c r="B55" i="1"/>
  <c r="B54" i="1"/>
  <c r="B53" i="1"/>
  <c r="B52" i="1"/>
  <c r="B51" i="1"/>
  <c r="B50" i="1"/>
  <c r="B48" i="1"/>
  <c r="B47" i="1"/>
  <c r="B46" i="1"/>
  <c r="B45" i="1"/>
  <c r="B44" i="1"/>
  <c r="B43" i="1"/>
  <c r="B42" i="1"/>
  <c r="B40" i="1"/>
  <c r="B39" i="1"/>
  <c r="B38" i="1"/>
  <c r="B37" i="1"/>
  <c r="B36" i="1"/>
  <c r="B34" i="1"/>
  <c r="B33" i="1"/>
  <c r="B32" i="1"/>
  <c r="B31" i="1"/>
  <c r="B30" i="1"/>
  <c r="B29" i="1"/>
  <c r="B28" i="1"/>
  <c r="B27" i="1"/>
  <c r="B26" i="1"/>
  <c r="B24" i="1"/>
  <c r="B23" i="1"/>
  <c r="B22" i="1"/>
  <c r="B21" i="1"/>
  <c r="B20" i="1"/>
  <c r="B19" i="1"/>
  <c r="B18" i="1"/>
  <c r="B17" i="1"/>
  <c r="B16" i="1"/>
  <c r="B15" i="1"/>
  <c r="B14" i="1"/>
  <c r="B12" i="1"/>
  <c r="B11" i="1"/>
  <c r="B10" i="1"/>
  <c r="B9" i="1"/>
  <c r="B8" i="1"/>
  <c r="B7" i="1"/>
  <c r="B6" i="1"/>
  <c r="S63" i="94"/>
  <c r="S61" i="94"/>
  <c r="S60" i="94"/>
  <c r="S58" i="94"/>
  <c r="S56" i="94"/>
  <c r="S55" i="94"/>
  <c r="K84" i="10" l="1"/>
  <c r="G84" i="10"/>
  <c r="D84" i="10"/>
  <c r="H84" i="10"/>
  <c r="M84" i="10"/>
  <c r="E84" i="10"/>
  <c r="I84" i="10"/>
  <c r="F84" i="10"/>
  <c r="Y32" i="1"/>
  <c r="S73" i="94"/>
  <c r="S72" i="94"/>
  <c r="Q73" i="94"/>
  <c r="Q72" i="94"/>
  <c r="S69" i="94"/>
  <c r="Q69" i="94"/>
  <c r="Q63" i="94"/>
  <c r="Q61" i="94"/>
  <c r="Q60" i="94"/>
  <c r="Q58" i="94"/>
  <c r="Q56" i="94"/>
  <c r="Q55" i="94"/>
  <c r="S51" i="94"/>
  <c r="Q51" i="94"/>
  <c r="S43" i="94"/>
  <c r="Q43" i="94"/>
  <c r="S19" i="94"/>
  <c r="S27" i="94"/>
  <c r="Q19" i="94"/>
  <c r="S107" i="94"/>
  <c r="S101" i="94"/>
  <c r="S102" i="94"/>
  <c r="S103" i="94"/>
  <c r="S104" i="94"/>
  <c r="S100" i="94"/>
  <c r="N108" i="94"/>
  <c r="S92" i="94"/>
  <c r="S93" i="94"/>
  <c r="S94" i="94"/>
  <c r="S95" i="94"/>
  <c r="S91" i="94"/>
  <c r="N96" i="94"/>
  <c r="N97" i="94" s="1"/>
  <c r="X46" i="93"/>
  <c r="V46" i="93"/>
  <c r="U46" i="93"/>
  <c r="X38" i="93"/>
  <c r="V38" i="93"/>
  <c r="U38" i="93"/>
  <c r="X30" i="93"/>
  <c r="V30" i="93"/>
  <c r="U30" i="93"/>
  <c r="X24" i="93"/>
  <c r="V24" i="93"/>
  <c r="U24" i="93"/>
  <c r="X13" i="93"/>
  <c r="V13" i="93"/>
  <c r="U13" i="93"/>
  <c r="N111" i="94" l="1"/>
  <c r="Q96" i="94"/>
  <c r="Q97" i="94" s="1"/>
  <c r="S96" i="94"/>
  <c r="H68" i="94"/>
  <c r="H67" i="94"/>
  <c r="Q68" i="94" l="1"/>
  <c r="S68" i="94"/>
  <c r="Q67" i="94"/>
  <c r="S67" i="94"/>
  <c r="L74" i="94"/>
  <c r="K62" i="94"/>
  <c r="H64" i="94"/>
  <c r="H48" i="94"/>
  <c r="H40" i="94"/>
  <c r="H37" i="94"/>
  <c r="K26" i="94"/>
  <c r="H26" i="94"/>
  <c r="Q74" i="94" l="1"/>
  <c r="D54" i="94"/>
  <c r="D62" i="94"/>
  <c r="D50" i="94"/>
  <c r="D36" i="94"/>
  <c r="D35" i="94"/>
  <c r="D34" i="94"/>
  <c r="D33" i="94"/>
  <c r="D32" i="94"/>
  <c r="D30" i="94"/>
  <c r="E15" i="14"/>
  <c r="E14" i="14"/>
  <c r="E13" i="14"/>
  <c r="E8" i="14"/>
  <c r="E21" i="14"/>
  <c r="X50" i="93" l="1"/>
  <c r="V50" i="93"/>
  <c r="U50" i="93"/>
  <c r="C32" i="93"/>
  <c r="C31" i="93"/>
  <c r="C30" i="93"/>
  <c r="C29" i="93"/>
  <c r="C28" i="93"/>
  <c r="C27" i="93"/>
  <c r="C26" i="93"/>
  <c r="C25" i="93"/>
  <c r="C24" i="93"/>
  <c r="C23" i="93"/>
  <c r="C22" i="93"/>
  <c r="C21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5" i="93"/>
  <c r="D105" i="94"/>
  <c r="S105" i="94" s="1"/>
  <c r="U105" i="94" s="1"/>
  <c r="D74" i="94"/>
  <c r="S74" i="94" s="1"/>
  <c r="D42" i="94"/>
  <c r="Q77" i="94" l="1"/>
  <c r="S77" i="94"/>
  <c r="S78" i="94"/>
  <c r="Q78" i="94"/>
  <c r="Q79" i="94"/>
  <c r="S79" i="94"/>
  <c r="M65" i="94"/>
  <c r="M87" i="94" l="1"/>
  <c r="M89" i="94" s="1"/>
  <c r="M111" i="94" s="1"/>
  <c r="L75" i="94"/>
  <c r="K65" i="94"/>
  <c r="K44" i="94"/>
  <c r="K28" i="94"/>
  <c r="L87" i="94" l="1"/>
  <c r="L89" i="94" s="1"/>
  <c r="L111" i="94" s="1"/>
  <c r="K87" i="94"/>
  <c r="K89" i="94" s="1"/>
  <c r="K111" i="94" s="1"/>
  <c r="E65" i="1"/>
  <c r="A63" i="1"/>
  <c r="E47" i="1"/>
  <c r="S42" i="93" l="1"/>
  <c r="S41" i="93"/>
  <c r="S33" i="93"/>
  <c r="S36" i="93"/>
  <c r="S32" i="93"/>
  <c r="S27" i="93"/>
  <c r="S26" i="93"/>
  <c r="S16" i="93"/>
  <c r="S19" i="93"/>
  <c r="S20" i="93"/>
  <c r="S21" i="93"/>
  <c r="S22" i="93"/>
  <c r="S15" i="93"/>
  <c r="S7" i="93"/>
  <c r="S8" i="93"/>
  <c r="S10" i="93"/>
  <c r="S5" i="93"/>
  <c r="S4" i="93"/>
  <c r="S6" i="93"/>
  <c r="S9" i="93"/>
  <c r="S11" i="93"/>
  <c r="S17" i="93"/>
  <c r="S18" i="93"/>
  <c r="S28" i="93"/>
  <c r="S34" i="93"/>
  <c r="S35" i="93"/>
  <c r="S43" i="93"/>
  <c r="S44" i="93"/>
  <c r="AA46" i="93" l="1"/>
  <c r="S45" i="93"/>
  <c r="S37" i="93"/>
  <c r="T35" i="93" s="1"/>
  <c r="AA50" i="93"/>
  <c r="S29" i="93"/>
  <c r="S23" i="93"/>
  <c r="T15" i="93" s="1"/>
  <c r="AA38" i="93"/>
  <c r="C34" i="93"/>
  <c r="D31" i="93" s="1"/>
  <c r="T42" i="93" l="1"/>
  <c r="W42" i="93" s="1"/>
  <c r="D28" i="93"/>
  <c r="D30" i="93"/>
  <c r="D29" i="93"/>
  <c r="D8" i="93"/>
  <c r="T41" i="93"/>
  <c r="T44" i="93"/>
  <c r="T43" i="93"/>
  <c r="T33" i="93"/>
  <c r="X33" i="93" s="1"/>
  <c r="J47" i="94" s="1"/>
  <c r="T32" i="93"/>
  <c r="X32" i="93" s="1"/>
  <c r="J46" i="94" s="1"/>
  <c r="T34" i="93"/>
  <c r="U34" i="93" s="1"/>
  <c r="F48" i="94" s="1"/>
  <c r="V35" i="93"/>
  <c r="G49" i="94" s="1"/>
  <c r="X35" i="93"/>
  <c r="J49" i="94" s="1"/>
  <c r="U35" i="93"/>
  <c r="W35" i="93"/>
  <c r="Y35" i="93"/>
  <c r="V33" i="93"/>
  <c r="G47" i="94" s="1"/>
  <c r="T36" i="93"/>
  <c r="D10" i="93"/>
  <c r="D19" i="93"/>
  <c r="T26" i="93"/>
  <c r="Y26" i="93" s="1"/>
  <c r="T27" i="93"/>
  <c r="X27" i="93" s="1"/>
  <c r="J41" i="94" s="1"/>
  <c r="T28" i="93"/>
  <c r="U28" i="93" s="1"/>
  <c r="F42" i="94" s="1"/>
  <c r="D13" i="93"/>
  <c r="X15" i="93"/>
  <c r="J30" i="94" s="1"/>
  <c r="V15" i="93"/>
  <c r="G30" i="94" s="1"/>
  <c r="Y15" i="93"/>
  <c r="W15" i="93"/>
  <c r="U15" i="93"/>
  <c r="F30" i="94" s="1"/>
  <c r="V27" i="93"/>
  <c r="G41" i="94" s="1"/>
  <c r="V28" i="93"/>
  <c r="G42" i="94" s="1"/>
  <c r="T20" i="93"/>
  <c r="T21" i="93"/>
  <c r="T18" i="93"/>
  <c r="T16" i="93"/>
  <c r="T17" i="93"/>
  <c r="T22" i="93"/>
  <c r="T19" i="93"/>
  <c r="D14" i="93"/>
  <c r="D5" i="93"/>
  <c r="D24" i="93"/>
  <c r="D6" i="93"/>
  <c r="D9" i="93"/>
  <c r="D20" i="93"/>
  <c r="D12" i="93"/>
  <c r="D21" i="93"/>
  <c r="D17" i="93"/>
  <c r="D22" i="93"/>
  <c r="D18" i="93"/>
  <c r="D11" i="93"/>
  <c r="D25" i="93"/>
  <c r="D7" i="93"/>
  <c r="D16" i="93"/>
  <c r="D27" i="93"/>
  <c r="D15" i="93"/>
  <c r="D26" i="93"/>
  <c r="D32" i="93"/>
  <c r="D23" i="93"/>
  <c r="S12" i="93"/>
  <c r="S49" i="93" s="1"/>
  <c r="Y27" i="93" l="1"/>
  <c r="S30" i="94"/>
  <c r="Q30" i="94"/>
  <c r="U27" i="93"/>
  <c r="F41" i="94" s="1"/>
  <c r="V42" i="93"/>
  <c r="G59" i="94" s="1"/>
  <c r="F49" i="94"/>
  <c r="AA35" i="93"/>
  <c r="X42" i="93"/>
  <c r="J59" i="94" s="1"/>
  <c r="U42" i="93"/>
  <c r="F59" i="94" s="1"/>
  <c r="V34" i="93"/>
  <c r="G48" i="94" s="1"/>
  <c r="W32" i="93"/>
  <c r="V32" i="93"/>
  <c r="G46" i="94" s="1"/>
  <c r="W27" i="93"/>
  <c r="Y42" i="93"/>
  <c r="Y33" i="93"/>
  <c r="W34" i="93"/>
  <c r="U33" i="93"/>
  <c r="F47" i="94" s="1"/>
  <c r="U44" i="93"/>
  <c r="F64" i="94" s="1"/>
  <c r="W44" i="93"/>
  <c r="Y44" i="93"/>
  <c r="V44" i="93"/>
  <c r="G64" i="94" s="1"/>
  <c r="X44" i="93"/>
  <c r="J64" i="94" s="1"/>
  <c r="V43" i="93"/>
  <c r="G62" i="94" s="1"/>
  <c r="X43" i="93"/>
  <c r="J62" i="94" s="1"/>
  <c r="U43" i="93"/>
  <c r="F62" i="94" s="1"/>
  <c r="W43" i="93"/>
  <c r="Y43" i="93"/>
  <c r="X41" i="93"/>
  <c r="J54" i="94" s="1"/>
  <c r="V41" i="93"/>
  <c r="G54" i="94" s="1"/>
  <c r="Y41" i="93"/>
  <c r="W41" i="93"/>
  <c r="U41" i="93"/>
  <c r="F54" i="94" s="1"/>
  <c r="T45" i="93"/>
  <c r="X34" i="93"/>
  <c r="J48" i="94" s="1"/>
  <c r="Q48" i="94" s="1"/>
  <c r="Y34" i="93"/>
  <c r="W33" i="93"/>
  <c r="W28" i="93"/>
  <c r="X26" i="93"/>
  <c r="J40" i="94" s="1"/>
  <c r="U32" i="93"/>
  <c r="F46" i="94" s="1"/>
  <c r="Y32" i="93"/>
  <c r="U36" i="93"/>
  <c r="W36" i="93"/>
  <c r="Y36" i="93"/>
  <c r="V36" i="93"/>
  <c r="G50" i="94" s="1"/>
  <c r="X36" i="93"/>
  <c r="J50" i="94" s="1"/>
  <c r="X28" i="93"/>
  <c r="J42" i="94" s="1"/>
  <c r="Q42" i="94" s="1"/>
  <c r="Y28" i="93"/>
  <c r="W26" i="93"/>
  <c r="T37" i="93"/>
  <c r="V26" i="93"/>
  <c r="G40" i="94" s="1"/>
  <c r="G44" i="94" s="1"/>
  <c r="U26" i="93"/>
  <c r="F40" i="94" s="1"/>
  <c r="T29" i="93"/>
  <c r="V19" i="93"/>
  <c r="G34" i="94" s="1"/>
  <c r="X19" i="93"/>
  <c r="J34" i="94" s="1"/>
  <c r="U19" i="93"/>
  <c r="F34" i="94" s="1"/>
  <c r="W19" i="93"/>
  <c r="Y19" i="93"/>
  <c r="V17" i="93"/>
  <c r="G32" i="94" s="1"/>
  <c r="X17" i="93"/>
  <c r="J32" i="94" s="1"/>
  <c r="U17" i="93"/>
  <c r="F32" i="94" s="1"/>
  <c r="W17" i="93"/>
  <c r="Y17" i="93"/>
  <c r="U18" i="93"/>
  <c r="F33" i="94" s="1"/>
  <c r="W18" i="93"/>
  <c r="Y18" i="93"/>
  <c r="V18" i="93"/>
  <c r="G33" i="94" s="1"/>
  <c r="X18" i="93"/>
  <c r="J33" i="94" s="1"/>
  <c r="U20" i="93"/>
  <c r="F35" i="94" s="1"/>
  <c r="W20" i="93"/>
  <c r="Y20" i="93"/>
  <c r="V20" i="93"/>
  <c r="G35" i="94" s="1"/>
  <c r="X20" i="93"/>
  <c r="J35" i="94" s="1"/>
  <c r="U22" i="93"/>
  <c r="F37" i="94" s="1"/>
  <c r="W22" i="93"/>
  <c r="Y22" i="93"/>
  <c r="V22" i="93"/>
  <c r="G37" i="94" s="1"/>
  <c r="X22" i="93"/>
  <c r="J37" i="94" s="1"/>
  <c r="U16" i="93"/>
  <c r="F31" i="94" s="1"/>
  <c r="W16" i="93"/>
  <c r="Y16" i="93"/>
  <c r="V16" i="93"/>
  <c r="G31" i="94" s="1"/>
  <c r="X16" i="93"/>
  <c r="J31" i="94" s="1"/>
  <c r="V21" i="93"/>
  <c r="G36" i="94" s="1"/>
  <c r="X21" i="93"/>
  <c r="J36" i="94" s="1"/>
  <c r="U21" i="93"/>
  <c r="F36" i="94" s="1"/>
  <c r="W21" i="93"/>
  <c r="Y21" i="93"/>
  <c r="T23" i="93"/>
  <c r="T4" i="93"/>
  <c r="T7" i="93"/>
  <c r="T11" i="93"/>
  <c r="T5" i="93"/>
  <c r="T9" i="93"/>
  <c r="T10" i="93"/>
  <c r="T6" i="93"/>
  <c r="T8" i="93"/>
  <c r="AA15" i="93"/>
  <c r="G52" i="94" l="1"/>
  <c r="S54" i="94"/>
  <c r="S64" i="94"/>
  <c r="S48" i="94"/>
  <c r="Q62" i="94"/>
  <c r="S62" i="94"/>
  <c r="E58" i="1" s="1"/>
  <c r="Q59" i="94"/>
  <c r="S59" i="94"/>
  <c r="S36" i="94"/>
  <c r="Q36" i="94"/>
  <c r="S37" i="94"/>
  <c r="Q37" i="94"/>
  <c r="S31" i="94"/>
  <c r="Q31" i="94"/>
  <c r="S35" i="94"/>
  <c r="Q35" i="94"/>
  <c r="S32" i="94"/>
  <c r="Q32" i="94"/>
  <c r="Q54" i="94"/>
  <c r="S49" i="94"/>
  <c r="Q49" i="94"/>
  <c r="S41" i="94"/>
  <c r="Q41" i="94"/>
  <c r="Q64" i="94"/>
  <c r="S42" i="94"/>
  <c r="S33" i="94"/>
  <c r="Q33" i="94"/>
  <c r="S34" i="94"/>
  <c r="Q34" i="94"/>
  <c r="S40" i="94"/>
  <c r="Q40" i="94"/>
  <c r="S46" i="94"/>
  <c r="Q46" i="94"/>
  <c r="S47" i="94"/>
  <c r="Q47" i="94"/>
  <c r="F50" i="94"/>
  <c r="AA36" i="93"/>
  <c r="J52" i="94"/>
  <c r="G38" i="94"/>
  <c r="J38" i="94"/>
  <c r="J44" i="94"/>
  <c r="G65" i="94"/>
  <c r="J65" i="94"/>
  <c r="U37" i="93"/>
  <c r="W37" i="93"/>
  <c r="Y37" i="93"/>
  <c r="V37" i="93"/>
  <c r="X37" i="93"/>
  <c r="V23" i="93"/>
  <c r="Y23" i="93"/>
  <c r="U23" i="93"/>
  <c r="AA17" i="93"/>
  <c r="AA21" i="93"/>
  <c r="AA22" i="93"/>
  <c r="AA18" i="93"/>
  <c r="W23" i="93"/>
  <c r="AA19" i="93"/>
  <c r="X23" i="93"/>
  <c r="AA20" i="93"/>
  <c r="Y6" i="93"/>
  <c r="X6" i="93"/>
  <c r="J21" i="94" s="1"/>
  <c r="W6" i="93"/>
  <c r="U6" i="93"/>
  <c r="F21" i="94" s="1"/>
  <c r="V6" i="93"/>
  <c r="G21" i="94" s="1"/>
  <c r="U9" i="93"/>
  <c r="F24" i="94" s="1"/>
  <c r="Y9" i="93"/>
  <c r="X9" i="93"/>
  <c r="J24" i="94" s="1"/>
  <c r="W9" i="93"/>
  <c r="V9" i="93"/>
  <c r="G24" i="94" s="1"/>
  <c r="U11" i="93"/>
  <c r="F26" i="94" s="1"/>
  <c r="Y11" i="93"/>
  <c r="X11" i="93"/>
  <c r="J26" i="94" s="1"/>
  <c r="W11" i="93"/>
  <c r="V11" i="93"/>
  <c r="G26" i="94" s="1"/>
  <c r="Y4" i="93"/>
  <c r="X4" i="93"/>
  <c r="J18" i="94" s="1"/>
  <c r="W4" i="93"/>
  <c r="T12" i="93"/>
  <c r="U4" i="93"/>
  <c r="F18" i="94" s="1"/>
  <c r="V4" i="93"/>
  <c r="G18" i="94" s="1"/>
  <c r="Y8" i="93"/>
  <c r="X8" i="93"/>
  <c r="J23" i="94" s="1"/>
  <c r="W8" i="93"/>
  <c r="U8" i="93"/>
  <c r="F23" i="94" s="1"/>
  <c r="V8" i="93"/>
  <c r="G23" i="94" s="1"/>
  <c r="Y10" i="93"/>
  <c r="X10" i="93"/>
  <c r="J25" i="94" s="1"/>
  <c r="W10" i="93"/>
  <c r="U10" i="93"/>
  <c r="F25" i="94" s="1"/>
  <c r="V10" i="93"/>
  <c r="G25" i="94" s="1"/>
  <c r="U5" i="93"/>
  <c r="F20" i="94" s="1"/>
  <c r="Y5" i="93"/>
  <c r="X5" i="93"/>
  <c r="J20" i="94" s="1"/>
  <c r="W5" i="93"/>
  <c r="V5" i="93"/>
  <c r="G20" i="94" s="1"/>
  <c r="U7" i="93"/>
  <c r="F22" i="94" s="1"/>
  <c r="Y7" i="93"/>
  <c r="X7" i="93"/>
  <c r="J22" i="94" s="1"/>
  <c r="W7" i="93"/>
  <c r="V7" i="93"/>
  <c r="G22" i="94" s="1"/>
  <c r="S25" i="94" l="1"/>
  <c r="Q25" i="94"/>
  <c r="Q18" i="94"/>
  <c r="S18" i="94"/>
  <c r="Q22" i="94"/>
  <c r="S22" i="94"/>
  <c r="S23" i="94"/>
  <c r="Q23" i="94"/>
  <c r="Q26" i="94"/>
  <c r="S26" i="94"/>
  <c r="S50" i="94"/>
  <c r="Q50" i="94"/>
  <c r="S20" i="94"/>
  <c r="Q20" i="94"/>
  <c r="Q24" i="94"/>
  <c r="S24" i="94"/>
  <c r="S21" i="94"/>
  <c r="Q21" i="94"/>
  <c r="J28" i="94"/>
  <c r="J87" i="94" s="1"/>
  <c r="J89" i="94" s="1"/>
  <c r="J111" i="94" s="1"/>
  <c r="G28" i="94"/>
  <c r="G87" i="94" s="1"/>
  <c r="G89" i="94" s="1"/>
  <c r="G111" i="94" s="1"/>
  <c r="AA6" i="93"/>
  <c r="AA10" i="93"/>
  <c r="AA23" i="93"/>
  <c r="AA7" i="93"/>
  <c r="AA8" i="93"/>
  <c r="V12" i="93"/>
  <c r="X12" i="93"/>
  <c r="AA11" i="93"/>
  <c r="U12" i="93"/>
  <c r="AA4" i="93"/>
  <c r="AA5" i="93"/>
  <c r="W12" i="93"/>
  <c r="Y12" i="93"/>
  <c r="AA9" i="93"/>
  <c r="AA12" i="93" l="1"/>
  <c r="AA13" i="93"/>
  <c r="E73" i="1" l="1"/>
  <c r="S153" i="94"/>
  <c r="S147" i="94"/>
  <c r="D144" i="94"/>
  <c r="S143" i="94"/>
  <c r="S138" i="94"/>
  <c r="D135" i="94"/>
  <c r="S131" i="94"/>
  <c r="D131" i="94"/>
  <c r="S125" i="94"/>
  <c r="D125" i="94"/>
  <c r="S110" i="94"/>
  <c r="S109" i="94"/>
  <c r="P108" i="94"/>
  <c r="V107" i="94"/>
  <c r="O106" i="94"/>
  <c r="V104" i="94"/>
  <c r="D108" i="94"/>
  <c r="P97" i="94"/>
  <c r="I97" i="94"/>
  <c r="D97" i="94"/>
  <c r="V89" i="94"/>
  <c r="E87" i="94"/>
  <c r="E89" i="94" s="1"/>
  <c r="E111" i="94" s="1"/>
  <c r="S86" i="94"/>
  <c r="P85" i="94"/>
  <c r="Q85" i="94" s="1"/>
  <c r="D85" i="94"/>
  <c r="S84" i="94"/>
  <c r="S83" i="94"/>
  <c r="S82" i="94"/>
  <c r="P80" i="94"/>
  <c r="P88" i="94" s="1"/>
  <c r="D80" i="94"/>
  <c r="D113" i="94" s="1"/>
  <c r="E75" i="1"/>
  <c r="E74" i="1"/>
  <c r="S76" i="94"/>
  <c r="P75" i="94"/>
  <c r="O75" i="94"/>
  <c r="Q75" i="94" s="1"/>
  <c r="D75" i="94"/>
  <c r="E69" i="1"/>
  <c r="E68" i="1"/>
  <c r="S71" i="94"/>
  <c r="P70" i="94"/>
  <c r="D70" i="94"/>
  <c r="S66" i="94"/>
  <c r="O65" i="94"/>
  <c r="I65" i="94"/>
  <c r="H65" i="94"/>
  <c r="F65" i="94"/>
  <c r="E60" i="1"/>
  <c r="E59" i="1"/>
  <c r="E57" i="1"/>
  <c r="E56" i="1"/>
  <c r="E55" i="1"/>
  <c r="E54" i="1"/>
  <c r="E52" i="1"/>
  <c r="E51" i="1"/>
  <c r="E50" i="1"/>
  <c r="R52" i="94"/>
  <c r="P52" i="94"/>
  <c r="H52" i="94"/>
  <c r="F52" i="94"/>
  <c r="E46" i="1"/>
  <c r="E45" i="1"/>
  <c r="E44" i="1"/>
  <c r="E43" i="1"/>
  <c r="R44" i="94"/>
  <c r="P44" i="94"/>
  <c r="H44" i="94"/>
  <c r="F44" i="94"/>
  <c r="E39" i="1"/>
  <c r="E38" i="1"/>
  <c r="E37" i="1"/>
  <c r="S39" i="94"/>
  <c r="R38" i="94"/>
  <c r="P38" i="94"/>
  <c r="I38" i="94"/>
  <c r="I87" i="94" s="1"/>
  <c r="H38" i="94"/>
  <c r="F38" i="94"/>
  <c r="E33" i="1"/>
  <c r="E32" i="1"/>
  <c r="E31" i="1"/>
  <c r="E30" i="1"/>
  <c r="E29" i="1"/>
  <c r="E28" i="1"/>
  <c r="E27" i="1"/>
  <c r="D38" i="94"/>
  <c r="R28" i="94"/>
  <c r="P28" i="94"/>
  <c r="I28" i="94"/>
  <c r="H28" i="94"/>
  <c r="F28" i="94"/>
  <c r="E23" i="1"/>
  <c r="E22" i="1"/>
  <c r="E21" i="1"/>
  <c r="E20" i="1"/>
  <c r="E19" i="1"/>
  <c r="E18" i="1"/>
  <c r="E17" i="1"/>
  <c r="E16" i="1"/>
  <c r="E15" i="1"/>
  <c r="E11" i="1"/>
  <c r="E10" i="1"/>
  <c r="E8" i="1"/>
  <c r="E7" i="1"/>
  <c r="Q65" i="94" l="1"/>
  <c r="Q88" i="94"/>
  <c r="O108" i="94"/>
  <c r="S108" i="94" s="1"/>
  <c r="Q106" i="94"/>
  <c r="Q108" i="94" s="1"/>
  <c r="S106" i="94"/>
  <c r="S75" i="94"/>
  <c r="S97" i="94"/>
  <c r="Q28" i="94"/>
  <c r="Q44" i="94"/>
  <c r="S38" i="94"/>
  <c r="Q38" i="94"/>
  <c r="Q52" i="94"/>
  <c r="D44" i="94"/>
  <c r="S44" i="94" s="1"/>
  <c r="U85" i="94"/>
  <c r="E78" i="1"/>
  <c r="F87" i="94"/>
  <c r="R87" i="94"/>
  <c r="R89" i="94" s="1"/>
  <c r="E36" i="1"/>
  <c r="D52" i="94"/>
  <c r="S52" i="94" s="1"/>
  <c r="U97" i="94"/>
  <c r="D28" i="94"/>
  <c r="S28" i="94" s="1"/>
  <c r="E26" i="1"/>
  <c r="U52" i="94"/>
  <c r="O87" i="94"/>
  <c r="O89" i="94" s="1"/>
  <c r="O111" i="94" s="1"/>
  <c r="E70" i="1"/>
  <c r="U108" i="94"/>
  <c r="U80" i="94"/>
  <c r="D65" i="94"/>
  <c r="S85" i="94"/>
  <c r="S38" i="55" l="1"/>
  <c r="Q26" i="21"/>
  <c r="F89" i="94"/>
  <c r="F111" i="94" s="1"/>
  <c r="S80" i="94"/>
  <c r="Q80" i="94"/>
  <c r="U44" i="94"/>
  <c r="I89" i="94"/>
  <c r="I111" i="94" s="1"/>
  <c r="S119" i="94"/>
  <c r="U75" i="94"/>
  <c r="V108" i="94"/>
  <c r="V109" i="94" s="1"/>
  <c r="U88" i="94"/>
  <c r="E82" i="1"/>
  <c r="U28" i="94"/>
  <c r="E14" i="1"/>
  <c r="E42" i="1"/>
  <c r="U38" i="94"/>
  <c r="V38" i="94" s="1"/>
  <c r="E64" i="1"/>
  <c r="P57" i="94"/>
  <c r="D87" i="94"/>
  <c r="D89" i="94" s="1"/>
  <c r="D115" i="94"/>
  <c r="D116" i="94" s="1"/>
  <c r="S57" i="94" l="1"/>
  <c r="Q57" i="94"/>
  <c r="H70" i="94"/>
  <c r="D111" i="94"/>
  <c r="P65" i="94"/>
  <c r="S65" i="94" l="1"/>
  <c r="S70" i="94"/>
  <c r="Q70" i="94"/>
  <c r="U65" i="94"/>
  <c r="E53" i="1"/>
  <c r="U70" i="94"/>
  <c r="E63" i="1"/>
  <c r="H87" i="94"/>
  <c r="V65" i="94" l="1"/>
  <c r="H89" i="94"/>
  <c r="H111" i="94" s="1"/>
  <c r="J68" i="14" l="1"/>
  <c r="K68" i="14"/>
  <c r="L68" i="14"/>
  <c r="M68" i="14"/>
  <c r="N68" i="14"/>
  <c r="I89" i="14"/>
  <c r="J89" i="14"/>
  <c r="K89" i="14"/>
  <c r="L89" i="14"/>
  <c r="N89" i="14"/>
  <c r="J69" i="14"/>
  <c r="K69" i="14"/>
  <c r="L69" i="14"/>
  <c r="M69" i="14"/>
  <c r="N69" i="14"/>
  <c r="I90" i="14"/>
  <c r="J90" i="14"/>
  <c r="K90" i="14"/>
  <c r="L90" i="14"/>
  <c r="M90" i="14"/>
  <c r="N90" i="14"/>
  <c r="J70" i="14"/>
  <c r="K70" i="14"/>
  <c r="L70" i="14"/>
  <c r="M70" i="14"/>
  <c r="N70" i="14"/>
  <c r="I91" i="14"/>
  <c r="J91" i="14"/>
  <c r="K91" i="14"/>
  <c r="L91" i="14"/>
  <c r="M91" i="14"/>
  <c r="N91" i="14"/>
  <c r="I60" i="14"/>
  <c r="L60" i="14"/>
  <c r="M60" i="14"/>
  <c r="S17" i="14" l="1"/>
  <c r="T62" i="14" l="1"/>
  <c r="T63" i="14" s="1"/>
  <c r="R62" i="14"/>
  <c r="R63" i="14" s="1"/>
  <c r="F106" i="58" l="1"/>
  <c r="J106" i="58" s="1"/>
  <c r="H108" i="10" l="1"/>
  <c r="H110" i="10" s="1"/>
  <c r="C1" i="56" l="1"/>
  <c r="D1" i="56"/>
  <c r="E1" i="56"/>
  <c r="F1" i="56"/>
  <c r="G1" i="56"/>
  <c r="C2" i="56"/>
  <c r="D2" i="56"/>
  <c r="E2" i="56"/>
  <c r="F2" i="56"/>
  <c r="G2" i="56"/>
  <c r="H2" i="56"/>
  <c r="C3" i="56"/>
  <c r="D3" i="56"/>
  <c r="E3" i="56"/>
  <c r="F3" i="56"/>
  <c r="G3" i="56"/>
  <c r="H3" i="56"/>
  <c r="O24" i="22" l="1"/>
  <c r="O23" i="22"/>
  <c r="N24" i="22"/>
  <c r="N23" i="22"/>
  <c r="N22" i="22"/>
  <c r="M24" i="22"/>
  <c r="M23" i="22"/>
  <c r="M22" i="22"/>
  <c r="J24" i="22"/>
  <c r="J23" i="22"/>
  <c r="J22" i="22"/>
  <c r="I24" i="22"/>
  <c r="I23" i="22"/>
  <c r="I22" i="22"/>
  <c r="H24" i="22"/>
  <c r="H23" i="22"/>
  <c r="H22" i="22"/>
  <c r="G24" i="22"/>
  <c r="G23" i="22"/>
  <c r="G22" i="22"/>
  <c r="F24" i="22"/>
  <c r="F23" i="22"/>
  <c r="F22" i="22"/>
  <c r="D24" i="22"/>
  <c r="D23" i="22"/>
  <c r="D22" i="22"/>
  <c r="E23" i="22"/>
  <c r="E24" i="22"/>
  <c r="E22" i="22"/>
  <c r="G8" i="10"/>
  <c r="C7" i="10"/>
  <c r="B7" i="10"/>
  <c r="J13" i="58"/>
  <c r="J15" i="58"/>
  <c r="J14" i="58"/>
  <c r="J12" i="58"/>
  <c r="J11" i="58"/>
  <c r="A40" i="10"/>
  <c r="A41" i="10"/>
  <c r="A42" i="10"/>
  <c r="A43" i="10"/>
  <c r="A44" i="10"/>
  <c r="A45" i="10"/>
  <c r="A46" i="10"/>
  <c r="A47" i="10"/>
  <c r="A48" i="10"/>
  <c r="A49" i="10"/>
  <c r="A50" i="10"/>
  <c r="A39" i="10"/>
  <c r="C6" i="10"/>
  <c r="D6" i="10"/>
  <c r="E6" i="10"/>
  <c r="F6" i="10"/>
  <c r="G6" i="10"/>
  <c r="H6" i="10"/>
  <c r="H7" i="10"/>
  <c r="H8" i="10"/>
  <c r="B6" i="10"/>
  <c r="L84" i="10" l="1"/>
  <c r="M85" i="10" s="1"/>
  <c r="D83" i="10"/>
  <c r="H83" i="10"/>
  <c r="I83" i="10"/>
  <c r="F83" i="10"/>
  <c r="A5" i="96"/>
  <c r="A4" i="96"/>
  <c r="I45" i="55"/>
  <c r="G28" i="21" s="1"/>
  <c r="B22" i="10"/>
  <c r="D27" i="22"/>
  <c r="F51" i="10"/>
  <c r="F53" i="10" s="1"/>
  <c r="B80" i="10"/>
  <c r="C8" i="10"/>
  <c r="E7" i="10"/>
  <c r="E8" i="10"/>
  <c r="G7" i="10"/>
  <c r="B8" i="10"/>
  <c r="D7" i="10"/>
  <c r="D8" i="10"/>
  <c r="F7" i="10"/>
  <c r="J83" i="10" l="1"/>
  <c r="A76" i="96"/>
  <c r="A25" i="96"/>
  <c r="A42" i="96" s="1"/>
  <c r="A59" i="96" s="1"/>
  <c r="A75" i="96"/>
  <c r="A24" i="96"/>
  <c r="A41" i="96" s="1"/>
  <c r="A58" i="96" s="1"/>
  <c r="A74" i="96"/>
  <c r="A23" i="96"/>
  <c r="A40" i="96" s="1"/>
  <c r="A57" i="96" s="1"/>
  <c r="A73" i="96"/>
  <c r="A22" i="96"/>
  <c r="A39" i="96" s="1"/>
  <c r="A56" i="96" s="1"/>
  <c r="A72" i="96"/>
  <c r="A21" i="96"/>
  <c r="A38" i="96" s="1"/>
  <c r="A55" i="96" s="1"/>
  <c r="A71" i="96"/>
  <c r="A20" i="96"/>
  <c r="A37" i="96" s="1"/>
  <c r="A54" i="96" s="1"/>
  <c r="H45" i="55"/>
  <c r="F28" i="21" l="1"/>
  <c r="M89" i="14" l="1"/>
  <c r="O22" i="22" l="1"/>
  <c r="E157" i="11"/>
  <c r="E158" i="11" s="1"/>
  <c r="F123" i="11"/>
  <c r="F118" i="11"/>
  <c r="E20" i="96" s="1"/>
  <c r="F109" i="11"/>
  <c r="F131" i="11"/>
  <c r="F129" i="11"/>
  <c r="F115" i="11"/>
  <c r="F20" i="96" l="1"/>
  <c r="H20" i="96" s="1"/>
  <c r="E22" i="96"/>
  <c r="F22" i="96" s="1"/>
  <c r="H22" i="96" s="1"/>
  <c r="E21" i="96"/>
  <c r="F21" i="96" s="1"/>
  <c r="H21" i="96" s="1"/>
  <c r="F27" i="96"/>
  <c r="H27" i="96" s="1"/>
  <c r="F28" i="96"/>
  <c r="H28" i="96" s="1"/>
  <c r="E23" i="96"/>
  <c r="F23" i="96" s="1"/>
  <c r="H23" i="96" s="1"/>
  <c r="F26" i="96"/>
  <c r="H26" i="96" s="1"/>
  <c r="F25" i="96"/>
  <c r="H25" i="96" s="1"/>
  <c r="E169" i="11"/>
  <c r="D59" i="11"/>
  <c r="C60" i="11"/>
  <c r="D11" i="11"/>
  <c r="E10" i="11"/>
  <c r="D10" i="11"/>
  <c r="F5" i="11"/>
  <c r="F6" i="11"/>
  <c r="E33" i="11" s="1"/>
  <c r="E32" i="11" l="1"/>
  <c r="F20" i="11"/>
  <c r="E59" i="11"/>
  <c r="D12" i="11"/>
  <c r="B96" i="11" s="1"/>
  <c r="F23" i="11" l="1"/>
  <c r="L9" i="20"/>
  <c r="K9" i="20"/>
  <c r="I9" i="20"/>
  <c r="H9" i="20"/>
  <c r="G9" i="20"/>
  <c r="F9" i="20"/>
  <c r="E9" i="20"/>
  <c r="L8" i="20"/>
  <c r="K8" i="20"/>
  <c r="I8" i="20"/>
  <c r="H8" i="20"/>
  <c r="G8" i="20"/>
  <c r="F8" i="20"/>
  <c r="E8" i="20"/>
  <c r="Z66" i="1"/>
  <c r="V67" i="1"/>
  <c r="W67" i="1"/>
  <c r="X67" i="1"/>
  <c r="Y67" i="1"/>
  <c r="Z67" i="1"/>
  <c r="AA67" i="1"/>
  <c r="AB67" i="1"/>
  <c r="W68" i="1"/>
  <c r="Y68" i="1"/>
  <c r="Z68" i="1"/>
  <c r="AA68" i="1"/>
  <c r="AB68" i="1"/>
  <c r="W69" i="1"/>
  <c r="Y69" i="1"/>
  <c r="Z69" i="1"/>
  <c r="AA69" i="1"/>
  <c r="AB69" i="1"/>
  <c r="V70" i="1"/>
  <c r="X70" i="1"/>
  <c r="Y70" i="1"/>
  <c r="Z70" i="1"/>
  <c r="AA70" i="1"/>
  <c r="AB70" i="1"/>
  <c r="V71" i="1"/>
  <c r="W71" i="1"/>
  <c r="X71" i="1"/>
  <c r="Y71" i="1"/>
  <c r="Z71" i="1"/>
  <c r="AA71" i="1"/>
  <c r="V72" i="1"/>
  <c r="W72" i="1"/>
  <c r="X72" i="1"/>
  <c r="Z72" i="1"/>
  <c r="AA72" i="1"/>
  <c r="AB72" i="1"/>
  <c r="V63" i="1"/>
  <c r="W63" i="1"/>
  <c r="X63" i="1"/>
  <c r="Y63" i="1"/>
  <c r="Z63" i="1"/>
  <c r="AA63" i="1"/>
  <c r="AB63" i="1"/>
  <c r="U63" i="1"/>
  <c r="Y16" i="1"/>
  <c r="AC63" i="1" l="1"/>
  <c r="E79" i="1" l="1"/>
  <c r="A74" i="1"/>
  <c r="A75" i="1"/>
  <c r="A73" i="1"/>
  <c r="A69" i="1"/>
  <c r="A70" i="1"/>
  <c r="A68" i="1"/>
  <c r="A65" i="1"/>
  <c r="A64" i="1"/>
  <c r="M47" i="1"/>
  <c r="A43" i="1"/>
  <c r="S83" i="1" s="1"/>
  <c r="A44" i="1"/>
  <c r="S84" i="1" s="1"/>
  <c r="A45" i="1"/>
  <c r="S85" i="1" s="1"/>
  <c r="A46" i="1"/>
  <c r="S86" i="1" s="1"/>
  <c r="A47" i="1"/>
  <c r="S87" i="1" s="1"/>
  <c r="A42" i="1"/>
  <c r="S82" i="1" s="1"/>
  <c r="T87" i="1"/>
  <c r="AG54" i="14"/>
  <c r="E40" i="14" s="1"/>
  <c r="X54" i="14"/>
  <c r="E37" i="14" s="1"/>
  <c r="AD54" i="14"/>
  <c r="E39" i="14" s="1"/>
  <c r="AA54" i="14"/>
  <c r="E38" i="14" s="1"/>
  <c r="U39" i="14"/>
  <c r="AD30" i="14"/>
  <c r="AA30" i="14"/>
  <c r="G11" i="1"/>
  <c r="P11" i="1" s="1"/>
  <c r="X30" i="14"/>
  <c r="P47" i="1" l="1"/>
  <c r="Z87" i="1"/>
  <c r="E66" i="1"/>
  <c r="E28" i="14"/>
  <c r="N13" i="58" l="1"/>
  <c r="D47" i="58"/>
  <c r="D105" i="58"/>
  <c r="J105" i="58" s="1"/>
  <c r="E103" i="1" s="1"/>
  <c r="D104" i="58"/>
  <c r="J104" i="58" s="1"/>
  <c r="E102" i="1" s="1"/>
  <c r="D102" i="58"/>
  <c r="J102" i="58" s="1"/>
  <c r="D101" i="58"/>
  <c r="J101" i="58" s="1"/>
  <c r="D74" i="58"/>
  <c r="D70" i="58"/>
  <c r="D16" i="58"/>
  <c r="D62" i="58"/>
  <c r="D59" i="58"/>
  <c r="D64" i="58"/>
  <c r="J64" i="58" s="1"/>
  <c r="D60" i="58"/>
  <c r="J60" i="58" s="1"/>
  <c r="D58" i="58"/>
  <c r="J58" i="58" s="1"/>
  <c r="D56" i="58"/>
  <c r="J56" i="58" s="1"/>
  <c r="D55" i="58"/>
  <c r="J55" i="58" s="1"/>
  <c r="D54" i="58"/>
  <c r="J54" i="58" s="1"/>
  <c r="D49" i="58"/>
  <c r="D48" i="58"/>
  <c r="D46" i="58"/>
  <c r="D41" i="58"/>
  <c r="J41" i="58" s="1"/>
  <c r="M37" i="1" s="1"/>
  <c r="D40" i="58"/>
  <c r="D43" i="58"/>
  <c r="D42" i="58"/>
  <c r="J42" i="58" s="1"/>
  <c r="D36" i="58"/>
  <c r="J36" i="58" s="1"/>
  <c r="L32" i="1" s="1"/>
  <c r="Y72" i="1" s="1"/>
  <c r="D35" i="58"/>
  <c r="J35" i="58" s="1"/>
  <c r="D34" i="58"/>
  <c r="J34" i="58" s="1"/>
  <c r="D33" i="58"/>
  <c r="J33" i="58" s="1"/>
  <c r="D32" i="58"/>
  <c r="D30" i="58"/>
  <c r="J30" i="58" s="1"/>
  <c r="D26" i="58"/>
  <c r="D24" i="58"/>
  <c r="J24" i="58" s="1"/>
  <c r="D22" i="58"/>
  <c r="J22" i="58" s="1"/>
  <c r="D21" i="58"/>
  <c r="J21" i="58" s="1"/>
  <c r="D18" i="58"/>
  <c r="J68" i="58"/>
  <c r="K27" i="24"/>
  <c r="K28" i="24"/>
  <c r="M27" i="24"/>
  <c r="M28" i="24"/>
  <c r="L27" i="24"/>
  <c r="L28" i="24"/>
  <c r="J16" i="22"/>
  <c r="L16" i="22" s="1"/>
  <c r="O16" i="22" s="1"/>
  <c r="P16" i="22" s="1"/>
  <c r="A78" i="1"/>
  <c r="J28" i="22"/>
  <c r="D9" i="24"/>
  <c r="D27" i="24"/>
  <c r="K9" i="24"/>
  <c r="L9" i="24"/>
  <c r="F114" i="11"/>
  <c r="F117" i="11"/>
  <c r="F119" i="11"/>
  <c r="F122" i="11"/>
  <c r="F125" i="11"/>
  <c r="F126" i="11"/>
  <c r="E24" i="96" s="1"/>
  <c r="F24" i="96" s="1"/>
  <c r="H24" i="96" s="1"/>
  <c r="H29" i="96" s="1"/>
  <c r="F127" i="11"/>
  <c r="F128" i="11"/>
  <c r="F7" i="11"/>
  <c r="E34" i="11" s="1"/>
  <c r="E47" i="11"/>
  <c r="C81" i="11" s="1"/>
  <c r="E48" i="11"/>
  <c r="C83" i="11" s="1"/>
  <c r="E49" i="11"/>
  <c r="C82" i="11"/>
  <c r="M107" i="58"/>
  <c r="J67" i="58"/>
  <c r="F65" i="58"/>
  <c r="D80" i="58"/>
  <c r="J31" i="58"/>
  <c r="H88" i="58"/>
  <c r="H89" i="58" s="1"/>
  <c r="J27" i="58"/>
  <c r="AD24" i="1" s="1"/>
  <c r="J73" i="58"/>
  <c r="J72" i="58"/>
  <c r="J79" i="58"/>
  <c r="I15" i="23"/>
  <c r="D16" i="20"/>
  <c r="P36" i="14"/>
  <c r="E22" i="14"/>
  <c r="L18" i="14"/>
  <c r="S73" i="1"/>
  <c r="T73" i="1"/>
  <c r="AB55" i="1"/>
  <c r="AB56" i="1"/>
  <c r="AB57" i="1"/>
  <c r="AB58" i="1"/>
  <c r="AB60" i="1"/>
  <c r="AB61" i="1"/>
  <c r="D75" i="58"/>
  <c r="U68" i="1"/>
  <c r="U69" i="1"/>
  <c r="U70" i="1"/>
  <c r="U71" i="1"/>
  <c r="U72" i="1"/>
  <c r="J59" i="58"/>
  <c r="J61" i="58"/>
  <c r="J63" i="58"/>
  <c r="J50" i="58"/>
  <c r="M46" i="1"/>
  <c r="Z86" i="1" s="1"/>
  <c r="AC86" i="1" s="1"/>
  <c r="K31" i="55"/>
  <c r="G34" i="1"/>
  <c r="J74" i="58"/>
  <c r="U30" i="14"/>
  <c r="H11" i="14"/>
  <c r="H7" i="14"/>
  <c r="P7" i="14" s="1"/>
  <c r="H9" i="14"/>
  <c r="P9" i="14" s="1"/>
  <c r="H10" i="14"/>
  <c r="P10" i="14" s="1"/>
  <c r="H12" i="14"/>
  <c r="P12" i="14" s="1"/>
  <c r="H6" i="14"/>
  <c r="P6" i="14" s="1"/>
  <c r="I13" i="14"/>
  <c r="J14" i="14"/>
  <c r="G8" i="14"/>
  <c r="P8" i="14" s="1"/>
  <c r="M16" i="14"/>
  <c r="N17" i="14"/>
  <c r="J77" i="58"/>
  <c r="L80" i="58" s="1"/>
  <c r="J78" i="58"/>
  <c r="J98" i="58"/>
  <c r="E99" i="1" s="1"/>
  <c r="J99" i="58"/>
  <c r="E100" i="1" s="1"/>
  <c r="F108" i="58"/>
  <c r="J92" i="58"/>
  <c r="J93" i="58"/>
  <c r="E95" i="1" s="1"/>
  <c r="J94" i="58"/>
  <c r="E96" i="1" s="1"/>
  <c r="J95" i="58"/>
  <c r="E97" i="1" s="1"/>
  <c r="J91" i="58"/>
  <c r="J83" i="58"/>
  <c r="D85" i="58"/>
  <c r="J39" i="58"/>
  <c r="J45" i="58"/>
  <c r="J53" i="58"/>
  <c r="J66" i="58"/>
  <c r="J71" i="58"/>
  <c r="J76" i="58"/>
  <c r="J19" i="58"/>
  <c r="J107" i="58"/>
  <c r="E104" i="1" s="1"/>
  <c r="J96" i="58"/>
  <c r="E87" i="58"/>
  <c r="E89" i="58" s="1"/>
  <c r="E111" i="58" s="1"/>
  <c r="J82" i="58"/>
  <c r="J84" i="58"/>
  <c r="J86" i="58"/>
  <c r="E80" i="1" s="1"/>
  <c r="J20" i="58"/>
  <c r="Y14" i="1" s="1"/>
  <c r="J23" i="58"/>
  <c r="F75" i="58"/>
  <c r="B35" i="10"/>
  <c r="B36" i="10"/>
  <c r="C108" i="10"/>
  <c r="C110" i="10" s="1"/>
  <c r="D108" i="10"/>
  <c r="D110" i="10" s="1"/>
  <c r="E108" i="10"/>
  <c r="E110" i="10" s="1"/>
  <c r="F108" i="10"/>
  <c r="F110" i="10" s="1"/>
  <c r="G108" i="10"/>
  <c r="G110" i="10" s="1"/>
  <c r="L35" i="10"/>
  <c r="L64" i="10" s="1"/>
  <c r="L93" i="10" s="1"/>
  <c r="L36" i="10"/>
  <c r="L65" i="10" s="1"/>
  <c r="L94" i="10" s="1"/>
  <c r="L37" i="10"/>
  <c r="L66" i="10" s="1"/>
  <c r="H35" i="10"/>
  <c r="H36" i="10"/>
  <c r="H93" i="10" s="1"/>
  <c r="H37" i="10"/>
  <c r="C51" i="10"/>
  <c r="C53" i="10" s="1"/>
  <c r="A76" i="10"/>
  <c r="D51" i="10"/>
  <c r="D53" i="10" s="1"/>
  <c r="E51" i="10"/>
  <c r="F21" i="11"/>
  <c r="Z61" i="1"/>
  <c r="V55" i="1"/>
  <c r="W55" i="1"/>
  <c r="X55" i="1"/>
  <c r="Y55" i="1"/>
  <c r="Z55" i="1"/>
  <c r="AA55" i="1"/>
  <c r="V56" i="1"/>
  <c r="W56" i="1"/>
  <c r="X56" i="1"/>
  <c r="Y56" i="1"/>
  <c r="Z56" i="1"/>
  <c r="AA56" i="1"/>
  <c r="W57" i="1"/>
  <c r="Y57" i="1"/>
  <c r="Z57" i="1"/>
  <c r="AA57" i="1"/>
  <c r="W58" i="1"/>
  <c r="Y58" i="1"/>
  <c r="Z58" i="1"/>
  <c r="AA58" i="1"/>
  <c r="V59" i="1"/>
  <c r="W59" i="1"/>
  <c r="X59" i="1"/>
  <c r="Z59" i="1"/>
  <c r="AA59" i="1"/>
  <c r="V60" i="1"/>
  <c r="W60" i="1"/>
  <c r="X60" i="1"/>
  <c r="Z60" i="1"/>
  <c r="AA60" i="1"/>
  <c r="V61" i="1"/>
  <c r="X61" i="1"/>
  <c r="Y61" i="1"/>
  <c r="U57" i="1"/>
  <c r="U58" i="1"/>
  <c r="U59" i="1"/>
  <c r="U60" i="1"/>
  <c r="U61" i="1"/>
  <c r="T55" i="1"/>
  <c r="T56" i="1"/>
  <c r="T57" i="1"/>
  <c r="T58" i="1"/>
  <c r="T59" i="1"/>
  <c r="T60" i="1"/>
  <c r="T61" i="1"/>
  <c r="T62" i="1"/>
  <c r="T63" i="1"/>
  <c r="T54" i="1"/>
  <c r="C35" i="10"/>
  <c r="C64" i="10" s="1"/>
  <c r="D35" i="10"/>
  <c r="D64" i="10" s="1"/>
  <c r="E35" i="10"/>
  <c r="E92" i="10" s="1"/>
  <c r="F35" i="10"/>
  <c r="F64" i="10" s="1"/>
  <c r="G35" i="10"/>
  <c r="C36" i="10"/>
  <c r="D36" i="10"/>
  <c r="E36" i="10"/>
  <c r="F36" i="10"/>
  <c r="G36" i="10"/>
  <c r="C37" i="10"/>
  <c r="D37" i="10"/>
  <c r="E37" i="10"/>
  <c r="G37" i="10"/>
  <c r="B37" i="10"/>
  <c r="B66" i="10" s="1"/>
  <c r="A67" i="10"/>
  <c r="A69" i="10"/>
  <c r="A71" i="10"/>
  <c r="A73" i="10"/>
  <c r="A75" i="10"/>
  <c r="A77" i="10"/>
  <c r="A37" i="10"/>
  <c r="A94" i="10" s="1"/>
  <c r="E3" i="21"/>
  <c r="F3" i="21"/>
  <c r="G3" i="21"/>
  <c r="H3" i="21"/>
  <c r="I3" i="21"/>
  <c r="J3" i="21"/>
  <c r="K3" i="21"/>
  <c r="E4" i="21"/>
  <c r="F4" i="21"/>
  <c r="G4" i="21"/>
  <c r="H4" i="21"/>
  <c r="I4" i="21"/>
  <c r="J4" i="21"/>
  <c r="K4" i="21"/>
  <c r="E5" i="21"/>
  <c r="F5" i="21"/>
  <c r="G5" i="21"/>
  <c r="H5" i="21"/>
  <c r="I5" i="21"/>
  <c r="J5" i="21"/>
  <c r="K5" i="21"/>
  <c r="B2" i="56"/>
  <c r="E5" i="55" s="1"/>
  <c r="D4" i="21" s="1"/>
  <c r="B3" i="56"/>
  <c r="E6" i="55" s="1"/>
  <c r="D5" i="21" s="1"/>
  <c r="D3" i="21"/>
  <c r="B1" i="56"/>
  <c r="F71" i="11"/>
  <c r="D97" i="58"/>
  <c r="J109" i="58"/>
  <c r="E106" i="1" s="1"/>
  <c r="J110" i="58"/>
  <c r="E107" i="1" s="1"/>
  <c r="J153" i="58"/>
  <c r="J147" i="58"/>
  <c r="J143" i="58"/>
  <c r="J138" i="58"/>
  <c r="J131" i="58"/>
  <c r="J125" i="58"/>
  <c r="D144" i="58"/>
  <c r="D135" i="58"/>
  <c r="D131" i="58"/>
  <c r="D125" i="58"/>
  <c r="G85" i="58"/>
  <c r="H85" i="58" s="1"/>
  <c r="C85" i="11"/>
  <c r="K55" i="11" a="1"/>
  <c r="K55" i="11" s="1"/>
  <c r="G97" i="58"/>
  <c r="H97" i="58"/>
  <c r="D10" i="24"/>
  <c r="D28" i="24"/>
  <c r="L10" i="24"/>
  <c r="K10" i="24"/>
  <c r="B6" i="24"/>
  <c r="I6" i="24" s="1"/>
  <c r="B7" i="24"/>
  <c r="I7" i="24" s="1"/>
  <c r="B8" i="24"/>
  <c r="I8" i="24" s="1"/>
  <c r="B9" i="24"/>
  <c r="I9" i="24" s="1"/>
  <c r="B10" i="24"/>
  <c r="I10" i="24" s="1"/>
  <c r="B11" i="24"/>
  <c r="I11" i="24" s="1"/>
  <c r="B12" i="24"/>
  <c r="I12" i="24" s="1"/>
  <c r="B13" i="24"/>
  <c r="I13" i="24" s="1"/>
  <c r="B14" i="24"/>
  <c r="I14" i="24" s="1"/>
  <c r="B15" i="24"/>
  <c r="I15" i="24" s="1"/>
  <c r="B16" i="24"/>
  <c r="I16" i="24" s="1"/>
  <c r="B17" i="24"/>
  <c r="I17" i="24" s="1"/>
  <c r="B18" i="24"/>
  <c r="I18" i="24" s="1"/>
  <c r="B5" i="24"/>
  <c r="I5" i="24" s="1"/>
  <c r="G56" i="22"/>
  <c r="F56" i="22"/>
  <c r="E56" i="22"/>
  <c r="E38" i="55"/>
  <c r="L10" i="55"/>
  <c r="L35" i="55"/>
  <c r="M46" i="22"/>
  <c r="G28" i="58"/>
  <c r="G38" i="58"/>
  <c r="G44" i="58"/>
  <c r="G52" i="58"/>
  <c r="G70" i="58"/>
  <c r="G75" i="58"/>
  <c r="J75" i="58" s="1"/>
  <c r="G80" i="58"/>
  <c r="J80" i="58" s="1"/>
  <c r="G108" i="58"/>
  <c r="H108" i="58"/>
  <c r="B105" i="1"/>
  <c r="I28" i="22"/>
  <c r="Z89" i="1"/>
  <c r="P41" i="14"/>
  <c r="S67" i="1"/>
  <c r="T67" i="1"/>
  <c r="S68" i="1"/>
  <c r="T68" i="1"/>
  <c r="S69" i="1"/>
  <c r="T69" i="1"/>
  <c r="S70" i="1"/>
  <c r="T70" i="1"/>
  <c r="S71" i="1"/>
  <c r="T71" i="1"/>
  <c r="S72" i="1"/>
  <c r="T72" i="1"/>
  <c r="T74" i="1"/>
  <c r="T66" i="1"/>
  <c r="S66" i="1"/>
  <c r="E77" i="1"/>
  <c r="E93" i="1"/>
  <c r="E94" i="1"/>
  <c r="E110" i="1"/>
  <c r="C6" i="1"/>
  <c r="D6" i="1"/>
  <c r="A16" i="1"/>
  <c r="A17" i="1"/>
  <c r="A18" i="1"/>
  <c r="A19" i="1"/>
  <c r="A20" i="1"/>
  <c r="A21" i="1"/>
  <c r="A22" i="1"/>
  <c r="A23" i="1"/>
  <c r="A35" i="1"/>
  <c r="T101" i="1"/>
  <c r="A41" i="1"/>
  <c r="T82" i="1"/>
  <c r="T83" i="1"/>
  <c r="T84" i="1"/>
  <c r="T85" i="1"/>
  <c r="B49" i="1"/>
  <c r="A50" i="1"/>
  <c r="A51" i="1"/>
  <c r="A52" i="1"/>
  <c r="A53" i="1"/>
  <c r="A54" i="1"/>
  <c r="A55" i="1"/>
  <c r="A56" i="1"/>
  <c r="A57" i="1"/>
  <c r="A58" i="1"/>
  <c r="A59" i="1"/>
  <c r="A60" i="1"/>
  <c r="B62" i="1"/>
  <c r="A79" i="1"/>
  <c r="B80" i="1"/>
  <c r="A93" i="1"/>
  <c r="A94" i="1"/>
  <c r="B93" i="1"/>
  <c r="A95" i="1"/>
  <c r="B94" i="1"/>
  <c r="A96" i="1"/>
  <c r="B95" i="1"/>
  <c r="A97" i="1"/>
  <c r="B96" i="1"/>
  <c r="A98" i="1"/>
  <c r="B97" i="1"/>
  <c r="A99" i="1"/>
  <c r="B98" i="1"/>
  <c r="A100" i="1"/>
  <c r="A101" i="1"/>
  <c r="B100" i="1"/>
  <c r="A102" i="1"/>
  <c r="B101" i="1"/>
  <c r="A103" i="1"/>
  <c r="B102" i="1"/>
  <c r="A104" i="1"/>
  <c r="B103" i="1"/>
  <c r="A105" i="1"/>
  <c r="B104" i="1"/>
  <c r="A106" i="1"/>
  <c r="A107" i="1"/>
  <c r="B106" i="1"/>
  <c r="A108" i="1"/>
  <c r="B107" i="1"/>
  <c r="A109" i="1"/>
  <c r="B108" i="1"/>
  <c r="A110" i="1"/>
  <c r="E113" i="1"/>
  <c r="B111" i="1"/>
  <c r="B112" i="1"/>
  <c r="B113" i="1"/>
  <c r="B114" i="1"/>
  <c r="C94" i="1"/>
  <c r="D94" i="1"/>
  <c r="A111" i="1"/>
  <c r="A112" i="1"/>
  <c r="A113" i="1"/>
  <c r="A114" i="1"/>
  <c r="M89" i="58"/>
  <c r="M104" i="58"/>
  <c r="I28" i="58"/>
  <c r="I38" i="58"/>
  <c r="I44" i="58"/>
  <c r="I52" i="58"/>
  <c r="D8" i="21"/>
  <c r="D25" i="22"/>
  <c r="D26" i="22"/>
  <c r="D6" i="24"/>
  <c r="C6" i="14"/>
  <c r="B9" i="14"/>
  <c r="B10" i="14"/>
  <c r="B13" i="14"/>
  <c r="B14" i="14"/>
  <c r="B15" i="14"/>
  <c r="B16" i="14"/>
  <c r="B17" i="14"/>
  <c r="B6" i="14"/>
  <c r="G61" i="1"/>
  <c r="A29" i="22"/>
  <c r="P13" i="1"/>
  <c r="P35" i="1"/>
  <c r="P41" i="1"/>
  <c r="C17" i="1"/>
  <c r="C20" i="1"/>
  <c r="C27" i="1"/>
  <c r="C57" i="1"/>
  <c r="C75" i="1"/>
  <c r="C81" i="1" s="1"/>
  <c r="D63" i="1"/>
  <c r="C69" i="1"/>
  <c r="C70" i="1" s="1"/>
  <c r="C37" i="1"/>
  <c r="C39" i="1" s="1"/>
  <c r="L24" i="24"/>
  <c r="B25" i="24"/>
  <c r="I25" i="24" s="1"/>
  <c r="B27" i="24"/>
  <c r="I27" i="24" s="1"/>
  <c r="K6" i="24"/>
  <c r="L6" i="24"/>
  <c r="M6" i="24"/>
  <c r="H23" i="24"/>
  <c r="F22" i="24"/>
  <c r="G22" i="24"/>
  <c r="F23" i="24"/>
  <c r="G23" i="24"/>
  <c r="G21" i="24"/>
  <c r="F21" i="24"/>
  <c r="D5" i="24"/>
  <c r="B19" i="24"/>
  <c r="D9" i="1"/>
  <c r="D14" i="1"/>
  <c r="D16" i="1"/>
  <c r="D62" i="1"/>
  <c r="D103" i="1"/>
  <c r="D46" i="1"/>
  <c r="D70" i="1"/>
  <c r="D81" i="1"/>
  <c r="C10" i="1"/>
  <c r="C11" i="1" s="1"/>
  <c r="C46" i="1"/>
  <c r="C64" i="1"/>
  <c r="C103" i="1"/>
  <c r="C111" i="1"/>
  <c r="A95" i="10"/>
  <c r="A97" i="10"/>
  <c r="A99" i="10"/>
  <c r="A101" i="10"/>
  <c r="A103" i="10"/>
  <c r="A105" i="10"/>
  <c r="A107" i="10"/>
  <c r="G82" i="1"/>
  <c r="P33" i="14"/>
  <c r="T100" i="1"/>
  <c r="D32" i="1"/>
  <c r="D29" i="1"/>
  <c r="D13" i="1"/>
  <c r="D22" i="1" s="1"/>
  <c r="D31" i="1"/>
  <c r="D25" i="1"/>
  <c r="D27" i="1"/>
  <c r="D26" i="1"/>
  <c r="D17" i="1"/>
  <c r="D20" i="1"/>
  <c r="D15" i="1"/>
  <c r="D19" i="1"/>
  <c r="B51" i="10"/>
  <c r="J52" i="11" a="1"/>
  <c r="K52" i="11" s="1"/>
  <c r="E61" i="11"/>
  <c r="G10" i="1"/>
  <c r="P10" i="1" s="1"/>
  <c r="J100" i="58"/>
  <c r="E101" i="1" s="1"/>
  <c r="L75" i="58"/>
  <c r="A68" i="10"/>
  <c r="A96" i="10"/>
  <c r="A78" i="10"/>
  <c r="A106" i="10"/>
  <c r="A104" i="10"/>
  <c r="A74" i="10"/>
  <c r="A102" i="10"/>
  <c r="A72" i="10"/>
  <c r="A100" i="10"/>
  <c r="A70" i="10"/>
  <c r="A98" i="10"/>
  <c r="M48" i="22"/>
  <c r="M44" i="22"/>
  <c r="M45" i="22"/>
  <c r="M47" i="22"/>
  <c r="M43" i="22"/>
  <c r="K38" i="23"/>
  <c r="M41" i="22"/>
  <c r="M39" i="22"/>
  <c r="M49" i="22"/>
  <c r="AB25" i="24"/>
  <c r="J43" i="58"/>
  <c r="M39" i="1" s="1"/>
  <c r="Z79" i="1" s="1"/>
  <c r="AC79" i="1" s="1"/>
  <c r="J26" i="58"/>
  <c r="J48" i="58"/>
  <c r="B26" i="24"/>
  <c r="I26" i="24" s="1"/>
  <c r="J37" i="58"/>
  <c r="F73" i="11"/>
  <c r="B97" i="11" s="1"/>
  <c r="B98" i="11" s="1"/>
  <c r="B34" i="24"/>
  <c r="I34" i="24" s="1"/>
  <c r="B108" i="10"/>
  <c r="J32" i="58"/>
  <c r="J25" i="58"/>
  <c r="C60" i="1"/>
  <c r="D53" i="1" s="1"/>
  <c r="B31" i="24"/>
  <c r="I31" i="24" s="1"/>
  <c r="A79" i="10"/>
  <c r="J103" i="58"/>
  <c r="J46" i="58"/>
  <c r="J62" i="58"/>
  <c r="G8" i="1"/>
  <c r="C8" i="22" s="1"/>
  <c r="E8" i="22" s="1"/>
  <c r="J40" i="58"/>
  <c r="M36" i="1" s="1"/>
  <c r="J49" i="58"/>
  <c r="D113" i="58"/>
  <c r="E70" i="11" l="1"/>
  <c r="F67" i="11"/>
  <c r="I24" i="96"/>
  <c r="I26" i="96"/>
  <c r="I21" i="96"/>
  <c r="I20" i="96"/>
  <c r="I23" i="96"/>
  <c r="I22" i="96"/>
  <c r="I25" i="96"/>
  <c r="I28" i="96"/>
  <c r="I27" i="96"/>
  <c r="B33" i="24"/>
  <c r="I33" i="24" s="1"/>
  <c r="G8" i="22"/>
  <c r="K8" i="22"/>
  <c r="H8" i="22"/>
  <c r="I8" i="22"/>
  <c r="J8" i="22"/>
  <c r="F8" i="22"/>
  <c r="J111" i="10"/>
  <c r="M111" i="10"/>
  <c r="E53" i="10"/>
  <c r="F92" i="10"/>
  <c r="B94" i="10"/>
  <c r="F6" i="22"/>
  <c r="J6" i="22"/>
  <c r="K6" i="22"/>
  <c r="H6" i="22"/>
  <c r="I6" i="22"/>
  <c r="E6" i="22"/>
  <c r="H65" i="10"/>
  <c r="F68" i="11"/>
  <c r="D28" i="58"/>
  <c r="J28" i="58" s="1"/>
  <c r="E64" i="10"/>
  <c r="C39" i="11"/>
  <c r="B39" i="11"/>
  <c r="E18" i="11" s="1"/>
  <c r="D49" i="1"/>
  <c r="D65" i="58"/>
  <c r="G57" i="58" s="1"/>
  <c r="J57" i="58" s="1"/>
  <c r="G88" i="58"/>
  <c r="J88" i="58" s="1"/>
  <c r="F87" i="58"/>
  <c r="F89" i="58" s="1"/>
  <c r="F111" i="58" s="1"/>
  <c r="L70" i="58"/>
  <c r="A66" i="10"/>
  <c r="J18" i="58"/>
  <c r="L28" i="58" s="1"/>
  <c r="B28" i="24"/>
  <c r="I28" i="24" s="1"/>
  <c r="L85" i="58"/>
  <c r="D44" i="58"/>
  <c r="J44" i="58" s="1"/>
  <c r="T99" i="1"/>
  <c r="D92" i="10"/>
  <c r="B35" i="24"/>
  <c r="I35" i="24" s="1"/>
  <c r="B32" i="24"/>
  <c r="I32" i="24" s="1"/>
  <c r="B24" i="24"/>
  <c r="I24" i="24" s="1"/>
  <c r="P39" i="1"/>
  <c r="D38" i="58"/>
  <c r="J38" i="58" s="1"/>
  <c r="J85" i="58"/>
  <c r="L97" i="58"/>
  <c r="J47" i="58"/>
  <c r="L52" i="58" s="1"/>
  <c r="M18" i="14"/>
  <c r="P16" i="14"/>
  <c r="J18" i="14"/>
  <c r="W10" i="1" s="1"/>
  <c r="P14" i="14"/>
  <c r="N18" i="14"/>
  <c r="P17" i="14"/>
  <c r="I18" i="14"/>
  <c r="P13" i="14"/>
  <c r="N6" i="24"/>
  <c r="B23" i="24"/>
  <c r="I23" i="24" s="1"/>
  <c r="B30" i="24"/>
  <c r="I30" i="24" s="1"/>
  <c r="I87" i="58"/>
  <c r="I89" i="58" s="1"/>
  <c r="C92" i="10"/>
  <c r="G18" i="14"/>
  <c r="B36" i="24"/>
  <c r="I36" i="24" s="1"/>
  <c r="B29" i="24"/>
  <c r="I29" i="24" s="1"/>
  <c r="D108" i="58"/>
  <c r="J108" i="58" s="1"/>
  <c r="P37" i="1"/>
  <c r="Z77" i="1"/>
  <c r="AC77" i="1" s="1"/>
  <c r="L88" i="58"/>
  <c r="L108" i="58"/>
  <c r="J70" i="58"/>
  <c r="L38" i="58"/>
  <c r="L44" i="58"/>
  <c r="H92" i="10"/>
  <c r="H64" i="10"/>
  <c r="D65" i="10"/>
  <c r="D93" i="10"/>
  <c r="C93" i="10"/>
  <c r="C65" i="10"/>
  <c r="D29" i="22"/>
  <c r="F66" i="10"/>
  <c r="F94" i="10"/>
  <c r="G66" i="10"/>
  <c r="G94" i="10"/>
  <c r="J52" i="11"/>
  <c r="T88" i="1"/>
  <c r="D57" i="1"/>
  <c r="T102" i="1"/>
  <c r="T86" i="1"/>
  <c r="H16" i="1"/>
  <c r="U56" i="1" s="1"/>
  <c r="AC56" i="1" s="1"/>
  <c r="M45" i="1"/>
  <c r="Z85" i="1" s="1"/>
  <c r="AC85" i="1" s="1"/>
  <c r="D55" i="1"/>
  <c r="AC35" i="1"/>
  <c r="AB34" i="1"/>
  <c r="AB35" i="1"/>
  <c r="P32" i="1"/>
  <c r="Y30" i="1"/>
  <c r="H27" i="1"/>
  <c r="M43" i="1"/>
  <c r="P43" i="1" s="1"/>
  <c r="D58" i="1"/>
  <c r="D54" i="1"/>
  <c r="D51" i="1"/>
  <c r="M44" i="1"/>
  <c r="Z84" i="1" s="1"/>
  <c r="AC84" i="1" s="1"/>
  <c r="D94" i="10"/>
  <c r="D66" i="10"/>
  <c r="J97" i="58"/>
  <c r="AC23" i="1"/>
  <c r="E18" i="14"/>
  <c r="K15" i="14"/>
  <c r="P15" i="14" s="1"/>
  <c r="D52" i="58"/>
  <c r="J52" i="58" s="1"/>
  <c r="O19" i="1"/>
  <c r="AE30" i="14"/>
  <c r="E29" i="14"/>
  <c r="H18" i="14"/>
  <c r="W9" i="1" s="1"/>
  <c r="H111" i="58"/>
  <c r="D52" i="1"/>
  <c r="D59" i="1"/>
  <c r="D56" i="1"/>
  <c r="D50" i="1"/>
  <c r="E76" i="1"/>
  <c r="AB23" i="1"/>
  <c r="E24" i="1"/>
  <c r="E71" i="1"/>
  <c r="D64" i="1"/>
  <c r="L20" i="1"/>
  <c r="Y18" i="1" s="1"/>
  <c r="N21" i="1"/>
  <c r="J30" i="1"/>
  <c r="M38" i="1"/>
  <c r="M40" i="1" s="1"/>
  <c r="J8" i="20" s="1"/>
  <c r="M8" i="20" s="1"/>
  <c r="E40" i="1"/>
  <c r="O31" i="1"/>
  <c r="E34" i="1"/>
  <c r="G65" i="58"/>
  <c r="J65" i="58" s="1"/>
  <c r="H15" i="1"/>
  <c r="D10" i="1"/>
  <c r="D11" i="1" s="1"/>
  <c r="J16" i="58"/>
  <c r="P46" i="1"/>
  <c r="AC87" i="1"/>
  <c r="D80" i="1"/>
  <c r="D82" i="1" s="1"/>
  <c r="D114" i="1" s="1"/>
  <c r="C22" i="1"/>
  <c r="Y59" i="1"/>
  <c r="AC72" i="1"/>
  <c r="P36" i="1"/>
  <c r="Z76" i="1"/>
  <c r="C94" i="10"/>
  <c r="C66" i="10"/>
  <c r="G65" i="10"/>
  <c r="G93" i="10"/>
  <c r="E93" i="10"/>
  <c r="E65" i="10"/>
  <c r="B92" i="10"/>
  <c r="B64" i="10"/>
  <c r="E94" i="10"/>
  <c r="E66" i="10"/>
  <c r="F93" i="10"/>
  <c r="F65" i="10"/>
  <c r="G92" i="10"/>
  <c r="G64" i="10"/>
  <c r="H66" i="10"/>
  <c r="H94" i="10"/>
  <c r="B93" i="10"/>
  <c r="B65" i="10"/>
  <c r="P8" i="1"/>
  <c r="L16" i="58"/>
  <c r="F32" i="11" l="1"/>
  <c r="I29" i="96"/>
  <c r="M11" i="55"/>
  <c r="K11" i="55"/>
  <c r="H11" i="55"/>
  <c r="L11" i="55"/>
  <c r="J11" i="55"/>
  <c r="G11" i="55"/>
  <c r="L8" i="22"/>
  <c r="G6" i="22"/>
  <c r="M38" i="58"/>
  <c r="D166" i="11"/>
  <c r="F179" i="11" s="1"/>
  <c r="F34" i="11"/>
  <c r="F33" i="11"/>
  <c r="AB59" i="1"/>
  <c r="Y21" i="1"/>
  <c r="U67" i="1"/>
  <c r="AC67" i="1" s="1"/>
  <c r="Y26" i="1"/>
  <c r="P45" i="1"/>
  <c r="M108" i="58"/>
  <c r="M109" i="58" s="1"/>
  <c r="P27" i="1"/>
  <c r="G40" i="14"/>
  <c r="W11" i="1"/>
  <c r="X10" i="1" s="1"/>
  <c r="K18" i="1" s="1"/>
  <c r="H40" i="14"/>
  <c r="E105" i="1"/>
  <c r="J119" i="58"/>
  <c r="D87" i="58"/>
  <c r="D89" i="58" s="1"/>
  <c r="D111" i="58" s="1"/>
  <c r="E98" i="1"/>
  <c r="P19" i="1"/>
  <c r="H19" i="14"/>
  <c r="P16" i="1"/>
  <c r="D115" i="58"/>
  <c r="D116" i="58" s="1"/>
  <c r="H34" i="14"/>
  <c r="D34" i="93"/>
  <c r="D36" i="93"/>
  <c r="F70" i="11"/>
  <c r="F72" i="11" s="1"/>
  <c r="F74" i="11" s="1"/>
  <c r="F18" i="11"/>
  <c r="Z83" i="1"/>
  <c r="AC83" i="1" s="1"/>
  <c r="P44" i="1"/>
  <c r="Y28" i="1"/>
  <c r="W70" i="1"/>
  <c r="AC70" i="1" s="1"/>
  <c r="Y33" i="1"/>
  <c r="AB71" i="1"/>
  <c r="AC71" i="1" s="1"/>
  <c r="AC59" i="1"/>
  <c r="Z78" i="1"/>
  <c r="AC78" i="1" s="1"/>
  <c r="AA61" i="1"/>
  <c r="Y20" i="1"/>
  <c r="K18" i="14"/>
  <c r="P18" i="14" s="1"/>
  <c r="E48" i="1"/>
  <c r="M42" i="1"/>
  <c r="M48" i="1" s="1"/>
  <c r="J9" i="20" s="1"/>
  <c r="M9" i="20" s="1"/>
  <c r="N34" i="14"/>
  <c r="M40" i="14"/>
  <c r="M34" i="14"/>
  <c r="J40" i="14"/>
  <c r="E19" i="14"/>
  <c r="L34" i="14"/>
  <c r="L19" i="14"/>
  <c r="M63" i="1" s="1"/>
  <c r="I34" i="14"/>
  <c r="N40" i="14"/>
  <c r="N19" i="14"/>
  <c r="O63" i="1" s="1"/>
  <c r="M19" i="14"/>
  <c r="N63" i="1" s="1"/>
  <c r="J19" i="14"/>
  <c r="K63" i="1" s="1"/>
  <c r="J34" i="14"/>
  <c r="L40" i="14"/>
  <c r="E24" i="14"/>
  <c r="I19" i="14"/>
  <c r="J63" i="1" s="1"/>
  <c r="G34" i="14"/>
  <c r="I40" i="14"/>
  <c r="G19" i="14"/>
  <c r="H63" i="1" s="1"/>
  <c r="D60" i="1"/>
  <c r="G7" i="1"/>
  <c r="P38" i="1"/>
  <c r="E61" i="1"/>
  <c r="L65" i="58"/>
  <c r="M65" i="58" s="1"/>
  <c r="U55" i="1"/>
  <c r="AC55" i="1" s="1"/>
  <c r="P15" i="1"/>
  <c r="N65" i="58"/>
  <c r="P31" i="1"/>
  <c r="P30" i="1"/>
  <c r="Y60" i="1"/>
  <c r="AC60" i="1" s="1"/>
  <c r="P20" i="1"/>
  <c r="D21" i="1"/>
  <c r="C80" i="1"/>
  <c r="C82" i="1" s="1"/>
  <c r="C114" i="1" s="1"/>
  <c r="AC76" i="1"/>
  <c r="P40" i="1"/>
  <c r="G16" i="58"/>
  <c r="G87" i="58" s="1"/>
  <c r="G89" i="58" s="1"/>
  <c r="J87" i="58"/>
  <c r="O8" i="22" l="1"/>
  <c r="P8" i="22" s="1"/>
  <c r="I11" i="55"/>
  <c r="N11" i="55" s="1"/>
  <c r="Q11" i="55" s="1"/>
  <c r="L6" i="22"/>
  <c r="F187" i="11"/>
  <c r="F181" i="11"/>
  <c r="F180" i="11"/>
  <c r="F182" i="11"/>
  <c r="F166" i="11"/>
  <c r="E168" i="11"/>
  <c r="E170" i="11" s="1"/>
  <c r="E172" i="11" s="1"/>
  <c r="F186" i="11"/>
  <c r="F184" i="11"/>
  <c r="F183" i="11"/>
  <c r="F185" i="11"/>
  <c r="F165" i="11"/>
  <c r="F168" i="11" s="1"/>
  <c r="C97" i="11"/>
  <c r="H28" i="14"/>
  <c r="I63" i="1"/>
  <c r="K17" i="1"/>
  <c r="Y17" i="1" s="1"/>
  <c r="X9" i="1"/>
  <c r="I18" i="1" s="1"/>
  <c r="V58" i="1" s="1"/>
  <c r="K28" i="1"/>
  <c r="K29" i="1"/>
  <c r="X69" i="1" s="1"/>
  <c r="L87" i="58"/>
  <c r="L111" i="58" s="1"/>
  <c r="Z80" i="1"/>
  <c r="F22" i="11"/>
  <c r="F24" i="11" s="1"/>
  <c r="F75" i="11"/>
  <c r="AC80" i="1"/>
  <c r="G28" i="14"/>
  <c r="I28" i="14"/>
  <c r="J28" i="14"/>
  <c r="N28" i="14"/>
  <c r="P42" i="1"/>
  <c r="Z82" i="1"/>
  <c r="K40" i="14"/>
  <c r="P40" i="14" s="1"/>
  <c r="K19" i="14"/>
  <c r="K34" i="14"/>
  <c r="P34" i="14" s="1"/>
  <c r="E25" i="14"/>
  <c r="E31" i="14"/>
  <c r="M28" i="14"/>
  <c r="L28" i="14"/>
  <c r="C6" i="22"/>
  <c r="P7" i="1"/>
  <c r="X58" i="1"/>
  <c r="M9" i="24"/>
  <c r="G111" i="58"/>
  <c r="J111" i="58" s="1"/>
  <c r="J89" i="58"/>
  <c r="N9" i="24" l="1"/>
  <c r="I172" i="100"/>
  <c r="I126" i="100"/>
  <c r="I80" i="100"/>
  <c r="I103" i="100"/>
  <c r="I34" i="100"/>
  <c r="I11" i="100"/>
  <c r="I149" i="100"/>
  <c r="I195" i="100"/>
  <c r="I57" i="100"/>
  <c r="E173" i="11"/>
  <c r="F27" i="24"/>
  <c r="F28" i="24"/>
  <c r="O6" i="22"/>
  <c r="X11" i="1"/>
  <c r="E97" i="11"/>
  <c r="F25" i="11"/>
  <c r="C96" i="11"/>
  <c r="D96" i="11" s="1"/>
  <c r="P19" i="14"/>
  <c r="L63" i="1"/>
  <c r="P18" i="1"/>
  <c r="X68" i="1"/>
  <c r="Y29" i="1"/>
  <c r="I29" i="1"/>
  <c r="V69" i="1" s="1"/>
  <c r="AC69" i="1" s="1"/>
  <c r="I17" i="1"/>
  <c r="Y15" i="1" s="1"/>
  <c r="Y23" i="1" s="1"/>
  <c r="AE23" i="1" s="1"/>
  <c r="I28" i="1"/>
  <c r="P28" i="1" s="1"/>
  <c r="M87" i="58"/>
  <c r="N87" i="58" s="1"/>
  <c r="L89" i="58"/>
  <c r="D97" i="11"/>
  <c r="K28" i="14"/>
  <c r="P28" i="14" s="1"/>
  <c r="AC82" i="1"/>
  <c r="AC88" i="1" s="1"/>
  <c r="Z88" i="1"/>
  <c r="E35" i="14"/>
  <c r="E42" i="14" s="1"/>
  <c r="E44" i="14" s="1"/>
  <c r="E32" i="14"/>
  <c r="P48" i="1"/>
  <c r="X57" i="1"/>
  <c r="AC58" i="1"/>
  <c r="J11" i="100" l="1"/>
  <c r="M11" i="100"/>
  <c r="I214" i="100"/>
  <c r="F196" i="100"/>
  <c r="F81" i="100"/>
  <c r="F173" i="100"/>
  <c r="F150" i="100"/>
  <c r="F127" i="100"/>
  <c r="F35" i="100"/>
  <c r="F58" i="100"/>
  <c r="F12" i="100"/>
  <c r="F195" i="100"/>
  <c r="F80" i="100"/>
  <c r="F57" i="100"/>
  <c r="F34" i="100"/>
  <c r="F11" i="100"/>
  <c r="F172" i="100"/>
  <c r="F126" i="100"/>
  <c r="F149" i="100"/>
  <c r="G27" i="24"/>
  <c r="G28" i="24"/>
  <c r="Q9" i="22"/>
  <c r="P6" i="22"/>
  <c r="D98" i="11"/>
  <c r="D100" i="11" s="1"/>
  <c r="F97" i="11"/>
  <c r="E96" i="11"/>
  <c r="F96" i="11" s="1"/>
  <c r="P17" i="1"/>
  <c r="V57" i="1"/>
  <c r="AC57" i="1" s="1"/>
  <c r="Y27" i="1"/>
  <c r="Y34" i="1" s="1"/>
  <c r="P29" i="1"/>
  <c r="V68" i="1"/>
  <c r="AC68" i="1" s="1"/>
  <c r="Z14" i="1"/>
  <c r="AD14" i="1" s="1"/>
  <c r="Z15" i="1"/>
  <c r="AD15" i="1" s="1"/>
  <c r="Z20" i="1"/>
  <c r="AD20" i="1" s="1"/>
  <c r="Z21" i="1"/>
  <c r="AD21" i="1" s="1"/>
  <c r="Z16" i="1"/>
  <c r="AD16" i="1" s="1"/>
  <c r="Z19" i="1"/>
  <c r="AD19" i="1" s="1"/>
  <c r="Z17" i="1"/>
  <c r="AD17" i="1" s="1"/>
  <c r="Z18" i="1"/>
  <c r="AD18" i="1" s="1"/>
  <c r="AE86" i="1"/>
  <c r="M10" i="24"/>
  <c r="N10" i="24" l="1"/>
  <c r="I173" i="100"/>
  <c r="I196" i="100"/>
  <c r="I35" i="100"/>
  <c r="I127" i="100"/>
  <c r="I58" i="100"/>
  <c r="I104" i="100"/>
  <c r="I150" i="100"/>
  <c r="I12" i="100"/>
  <c r="I81" i="100"/>
  <c r="E195" i="100"/>
  <c r="E126" i="100"/>
  <c r="E172" i="100"/>
  <c r="F103" i="100"/>
  <c r="F214" i="100" s="1"/>
  <c r="E149" i="100"/>
  <c r="E80" i="100"/>
  <c r="E57" i="100"/>
  <c r="E34" i="100"/>
  <c r="E103" i="100"/>
  <c r="E11" i="100"/>
  <c r="F6" i="24"/>
  <c r="E173" i="100"/>
  <c r="F104" i="100"/>
  <c r="F215" i="100" s="1"/>
  <c r="E150" i="100"/>
  <c r="E196" i="100"/>
  <c r="E104" i="100"/>
  <c r="E127" i="100"/>
  <c r="E58" i="100"/>
  <c r="E35" i="100"/>
  <c r="E81" i="100"/>
  <c r="E12" i="100"/>
  <c r="H24" i="24"/>
  <c r="H28" i="24"/>
  <c r="H27" i="24"/>
  <c r="F10" i="24"/>
  <c r="F98" i="11"/>
  <c r="F9" i="24"/>
  <c r="Z27" i="1"/>
  <c r="AC27" i="1" s="1"/>
  <c r="I33" i="1" s="1"/>
  <c r="V73" i="1" s="1"/>
  <c r="Z32" i="1"/>
  <c r="AC32" i="1" s="1"/>
  <c r="N33" i="1" s="1"/>
  <c r="AA73" i="1" s="1"/>
  <c r="Z29" i="1"/>
  <c r="Z26" i="1"/>
  <c r="Z30" i="1"/>
  <c r="Z31" i="1"/>
  <c r="Z28" i="1"/>
  <c r="Z33" i="1"/>
  <c r="AB27" i="1"/>
  <c r="I26" i="1" s="1"/>
  <c r="AC15" i="1"/>
  <c r="I22" i="1" s="1"/>
  <c r="AB15" i="1"/>
  <c r="I14" i="1" s="1"/>
  <c r="AB14" i="1"/>
  <c r="H14" i="1" s="1"/>
  <c r="Z23" i="1"/>
  <c r="AC14" i="1"/>
  <c r="H22" i="1" s="1"/>
  <c r="AB18" i="1"/>
  <c r="L14" i="1" s="1"/>
  <c r="AC18" i="1"/>
  <c r="AB19" i="1"/>
  <c r="AC19" i="1"/>
  <c r="M22" i="1" s="1"/>
  <c r="Z62" i="1" s="1"/>
  <c r="AC20" i="1"/>
  <c r="AB20" i="1"/>
  <c r="N14" i="1" s="1"/>
  <c r="AB16" i="1"/>
  <c r="J14" i="1" s="1"/>
  <c r="AC16" i="1"/>
  <c r="J22" i="1" s="1"/>
  <c r="AC17" i="1"/>
  <c r="K22" i="1" s="1"/>
  <c r="AB17" i="1"/>
  <c r="K14" i="1" s="1"/>
  <c r="AC21" i="1"/>
  <c r="AB21" i="1"/>
  <c r="O14" i="1" s="1"/>
  <c r="M12" i="100" l="1"/>
  <c r="J12" i="100"/>
  <c r="I215" i="100"/>
  <c r="F100" i="11"/>
  <c r="G9" i="24" s="1"/>
  <c r="D104" i="100"/>
  <c r="D196" i="100"/>
  <c r="D150" i="100"/>
  <c r="D58" i="100"/>
  <c r="D35" i="100"/>
  <c r="D173" i="100"/>
  <c r="D127" i="100"/>
  <c r="D81" i="100"/>
  <c r="D12" i="100"/>
  <c r="E215" i="100"/>
  <c r="D103" i="100"/>
  <c r="D195" i="100"/>
  <c r="D172" i="100"/>
  <c r="D149" i="100"/>
  <c r="D126" i="100"/>
  <c r="D34" i="100"/>
  <c r="D80" i="100"/>
  <c r="D11" i="100"/>
  <c r="D57" i="100"/>
  <c r="E214" i="100"/>
  <c r="B100" i="11"/>
  <c r="G10" i="24"/>
  <c r="G6" i="24"/>
  <c r="H6" i="24" s="1"/>
  <c r="AC33" i="1"/>
  <c r="O33" i="1" s="1"/>
  <c r="AB73" i="1" s="1"/>
  <c r="AB33" i="1"/>
  <c r="O26" i="1" s="1"/>
  <c r="AC26" i="1"/>
  <c r="Z34" i="1"/>
  <c r="AB26" i="1"/>
  <c r="H26" i="1" s="1"/>
  <c r="AC28" i="1"/>
  <c r="J33" i="1" s="1"/>
  <c r="W73" i="1" s="1"/>
  <c r="AB28" i="1"/>
  <c r="J26" i="1" s="1"/>
  <c r="AC29" i="1"/>
  <c r="K33" i="1" s="1"/>
  <c r="X73" i="1" s="1"/>
  <c r="AB29" i="1"/>
  <c r="K26" i="1" s="1"/>
  <c r="V66" i="1"/>
  <c r="V74" i="1" s="1"/>
  <c r="I34" i="1"/>
  <c r="F7" i="20" s="1"/>
  <c r="D8" i="24" s="1"/>
  <c r="AC31" i="1"/>
  <c r="M33" i="1" s="1"/>
  <c r="AB31" i="1"/>
  <c r="N26" i="1" s="1"/>
  <c r="AC30" i="1"/>
  <c r="L33" i="1" s="1"/>
  <c r="Y73" i="1" s="1"/>
  <c r="AB30" i="1"/>
  <c r="L26" i="1" s="1"/>
  <c r="O22" i="1"/>
  <c r="AB62" i="1" s="1"/>
  <c r="X62" i="1"/>
  <c r="N22" i="1"/>
  <c r="AA62" i="1" s="1"/>
  <c r="V62" i="1"/>
  <c r="L22" i="1"/>
  <c r="Y62" i="1" s="1"/>
  <c r="W54" i="1"/>
  <c r="M14" i="1"/>
  <c r="AB54" i="1"/>
  <c r="O24" i="1"/>
  <c r="L6" i="20" s="1"/>
  <c r="M25" i="24" s="1"/>
  <c r="AC24" i="1"/>
  <c r="AB24" i="1"/>
  <c r="V54" i="1"/>
  <c r="AG19" i="1"/>
  <c r="AA54" i="1"/>
  <c r="Y54" i="1"/>
  <c r="K24" i="1"/>
  <c r="H6" i="20" s="1"/>
  <c r="K7" i="24" s="1"/>
  <c r="X54" i="1"/>
  <c r="W62" i="1"/>
  <c r="I24" i="1"/>
  <c r="F6" i="20" s="1"/>
  <c r="D7" i="24" s="1"/>
  <c r="G193" i="100" l="1"/>
  <c r="G9" i="100"/>
  <c r="G170" i="100"/>
  <c r="G147" i="100"/>
  <c r="G78" i="100"/>
  <c r="G101" i="100"/>
  <c r="G124" i="100"/>
  <c r="G32" i="100"/>
  <c r="G55" i="100"/>
  <c r="C172" i="100"/>
  <c r="C149" i="100"/>
  <c r="C126" i="100"/>
  <c r="C195" i="100"/>
  <c r="J195" i="100" s="1"/>
  <c r="L9" i="56" s="1"/>
  <c r="C103" i="100"/>
  <c r="J103" i="100" s="1"/>
  <c r="G9" i="56" s="1"/>
  <c r="C34" i="100"/>
  <c r="J34" i="100" s="1"/>
  <c r="D9" i="56" s="1"/>
  <c r="C11" i="100"/>
  <c r="C57" i="100"/>
  <c r="C80" i="100"/>
  <c r="H10" i="24"/>
  <c r="Q10" i="24" s="1"/>
  <c r="C173" i="100"/>
  <c r="C150" i="100"/>
  <c r="C196" i="100"/>
  <c r="J196" i="100" s="1"/>
  <c r="L10" i="56" s="1"/>
  <c r="C81" i="100"/>
  <c r="C127" i="100"/>
  <c r="C58" i="100"/>
  <c r="C104" i="100"/>
  <c r="J104" i="100" s="1"/>
  <c r="G10" i="56" s="1"/>
  <c r="C35" i="100"/>
  <c r="J35" i="100" s="1"/>
  <c r="D10" i="56" s="1"/>
  <c r="C12" i="100"/>
  <c r="D214" i="100"/>
  <c r="D215" i="100"/>
  <c r="H9" i="24"/>
  <c r="Q9" i="24" s="1"/>
  <c r="Y64" i="1"/>
  <c r="N24" i="1"/>
  <c r="K6" i="20" s="1"/>
  <c r="L25" i="24" s="1"/>
  <c r="Z73" i="1"/>
  <c r="Z74" i="1" s="1"/>
  <c r="M34" i="1"/>
  <c r="J7" i="20" s="1"/>
  <c r="M8" i="24" s="1"/>
  <c r="Y66" i="1"/>
  <c r="Y74" i="1" s="1"/>
  <c r="L34" i="1"/>
  <c r="I7" i="20" s="1"/>
  <c r="L8" i="24" s="1"/>
  <c r="F8" i="24"/>
  <c r="G8" i="24"/>
  <c r="W66" i="1"/>
  <c r="W74" i="1" s="1"/>
  <c r="J34" i="1"/>
  <c r="G7" i="20" s="1"/>
  <c r="D26" i="24" s="1"/>
  <c r="H33" i="1"/>
  <c r="H34" i="1" s="1"/>
  <c r="E7" i="20" s="1"/>
  <c r="AC34" i="1"/>
  <c r="AE34" i="1" s="1"/>
  <c r="AB66" i="1"/>
  <c r="AB74" i="1" s="1"/>
  <c r="O34" i="1"/>
  <c r="L7" i="20" s="1"/>
  <c r="M26" i="24" s="1"/>
  <c r="AA66" i="1"/>
  <c r="AA74" i="1" s="1"/>
  <c r="N34" i="1"/>
  <c r="K7" i="20" s="1"/>
  <c r="L26" i="24" s="1"/>
  <c r="X66" i="1"/>
  <c r="X74" i="1" s="1"/>
  <c r="K34" i="1"/>
  <c r="H7" i="20" s="1"/>
  <c r="K8" i="24" s="1"/>
  <c r="U66" i="1"/>
  <c r="P26" i="1"/>
  <c r="L24" i="1"/>
  <c r="I6" i="20" s="1"/>
  <c r="L7" i="24" s="1"/>
  <c r="V64" i="1"/>
  <c r="V90" i="1" s="1"/>
  <c r="X64" i="1"/>
  <c r="AA64" i="1"/>
  <c r="AB64" i="1"/>
  <c r="AB90" i="1" s="1"/>
  <c r="M24" i="1"/>
  <c r="J6" i="20" s="1"/>
  <c r="M7" i="24" s="1"/>
  <c r="Z54" i="1"/>
  <c r="P22" i="1"/>
  <c r="U62" i="1"/>
  <c r="AC62" i="1" s="1"/>
  <c r="F7" i="24"/>
  <c r="G7" i="24"/>
  <c r="P23" i="1"/>
  <c r="W61" i="1"/>
  <c r="W64" i="1" s="1"/>
  <c r="P21" i="1"/>
  <c r="H24" i="1"/>
  <c r="E6" i="20" s="1"/>
  <c r="U54" i="1"/>
  <c r="P14" i="1"/>
  <c r="H9" i="100" l="1"/>
  <c r="H32" i="100"/>
  <c r="H170" i="100"/>
  <c r="H101" i="100"/>
  <c r="H193" i="100"/>
  <c r="H78" i="100"/>
  <c r="H124" i="100"/>
  <c r="H55" i="100"/>
  <c r="H148" i="100"/>
  <c r="Q26" i="24"/>
  <c r="I171" i="100"/>
  <c r="I102" i="100"/>
  <c r="I79" i="100"/>
  <c r="I194" i="100"/>
  <c r="I56" i="100"/>
  <c r="I10" i="100"/>
  <c r="I33" i="100"/>
  <c r="I148" i="100"/>
  <c r="I125" i="100"/>
  <c r="G212" i="100"/>
  <c r="I170" i="100"/>
  <c r="I124" i="100"/>
  <c r="I9" i="100"/>
  <c r="I147" i="100"/>
  <c r="I193" i="100"/>
  <c r="I32" i="100"/>
  <c r="I78" i="100"/>
  <c r="I55" i="100"/>
  <c r="I101" i="100"/>
  <c r="G102" i="100"/>
  <c r="G79" i="100"/>
  <c r="G56" i="100"/>
  <c r="G10" i="100"/>
  <c r="G148" i="100"/>
  <c r="G194" i="100"/>
  <c r="G125" i="100"/>
  <c r="G33" i="100"/>
  <c r="G171" i="100"/>
  <c r="H10" i="100"/>
  <c r="H102" i="100"/>
  <c r="H79" i="100"/>
  <c r="H33" i="100"/>
  <c r="H171" i="100"/>
  <c r="H56" i="100"/>
  <c r="H194" i="100"/>
  <c r="H125" i="100"/>
  <c r="H147" i="100"/>
  <c r="Q25" i="24"/>
  <c r="C124" i="100"/>
  <c r="C170" i="100"/>
  <c r="C147" i="100"/>
  <c r="C193" i="100"/>
  <c r="C101" i="100"/>
  <c r="C78" i="100"/>
  <c r="C32" i="100"/>
  <c r="C55" i="100"/>
  <c r="C9" i="100"/>
  <c r="D194" i="100"/>
  <c r="D171" i="100"/>
  <c r="D148" i="100"/>
  <c r="D125" i="100"/>
  <c r="D102" i="100"/>
  <c r="D79" i="100"/>
  <c r="D10" i="100"/>
  <c r="D33" i="100"/>
  <c r="D56" i="100"/>
  <c r="J80" i="100"/>
  <c r="F9" i="56" s="1"/>
  <c r="J172" i="100"/>
  <c r="K9" i="56" s="1"/>
  <c r="D193" i="100"/>
  <c r="D101" i="100"/>
  <c r="D170" i="100"/>
  <c r="D147" i="100"/>
  <c r="D124" i="100"/>
  <c r="D78" i="100"/>
  <c r="D32" i="100"/>
  <c r="D9" i="100"/>
  <c r="D55" i="100"/>
  <c r="J58" i="100"/>
  <c r="E10" i="56" s="1"/>
  <c r="J150" i="100"/>
  <c r="I10" i="56" s="1"/>
  <c r="J57" i="100"/>
  <c r="E9" i="56" s="1"/>
  <c r="C215" i="100"/>
  <c r="M127" i="100"/>
  <c r="J127" i="100"/>
  <c r="H10" i="56" s="1"/>
  <c r="J173" i="100"/>
  <c r="K10" i="56" s="1"/>
  <c r="C214" i="100"/>
  <c r="J126" i="100"/>
  <c r="H9" i="56" s="1"/>
  <c r="M126" i="100"/>
  <c r="C125" i="100"/>
  <c r="C102" i="100"/>
  <c r="C194" i="100"/>
  <c r="C171" i="100"/>
  <c r="C10" i="100"/>
  <c r="C56" i="100"/>
  <c r="C148" i="100"/>
  <c r="C79" i="100"/>
  <c r="C33" i="100"/>
  <c r="J81" i="100"/>
  <c r="F10" i="56" s="1"/>
  <c r="J149" i="100"/>
  <c r="I9" i="56" s="1"/>
  <c r="G26" i="24"/>
  <c r="F26" i="24"/>
  <c r="Y90" i="1"/>
  <c r="X90" i="1"/>
  <c r="N8" i="24"/>
  <c r="AA90" i="1"/>
  <c r="H8" i="24"/>
  <c r="M7" i="20"/>
  <c r="K26" i="24"/>
  <c r="AC66" i="1"/>
  <c r="U73" i="1"/>
  <c r="AC73" i="1" s="1"/>
  <c r="P33" i="1"/>
  <c r="P34" i="1" s="1"/>
  <c r="N7" i="24"/>
  <c r="U64" i="1"/>
  <c r="Z64" i="1"/>
  <c r="Z90" i="1" s="1"/>
  <c r="J24" i="1"/>
  <c r="G6" i="20" s="1"/>
  <c r="D25" i="24" s="1"/>
  <c r="K25" i="24"/>
  <c r="AC61" i="1"/>
  <c r="W90" i="1"/>
  <c r="P24" i="1"/>
  <c r="H7" i="24"/>
  <c r="AC54" i="1"/>
  <c r="B9" i="100" l="1"/>
  <c r="B193" i="100"/>
  <c r="B124" i="100"/>
  <c r="B78" i="100"/>
  <c r="B32" i="100"/>
  <c r="N25" i="24"/>
  <c r="B101" i="100"/>
  <c r="B170" i="100"/>
  <c r="B55" i="100"/>
  <c r="B147" i="100"/>
  <c r="B125" i="100"/>
  <c r="B79" i="100"/>
  <c r="B33" i="100"/>
  <c r="N26" i="24"/>
  <c r="B194" i="100"/>
  <c r="B171" i="100"/>
  <c r="B148" i="100"/>
  <c r="B56" i="100"/>
  <c r="B213" i="100" s="1"/>
  <c r="B102" i="100"/>
  <c r="B10" i="100"/>
  <c r="G213" i="100"/>
  <c r="I213" i="100"/>
  <c r="H213" i="100"/>
  <c r="I212" i="100"/>
  <c r="H212" i="100"/>
  <c r="M57" i="100"/>
  <c r="M58" i="100"/>
  <c r="M80" i="100"/>
  <c r="M173" i="100"/>
  <c r="M81" i="100"/>
  <c r="M150" i="100"/>
  <c r="M149" i="100"/>
  <c r="F171" i="100"/>
  <c r="F148" i="100"/>
  <c r="F125" i="100"/>
  <c r="F79" i="100"/>
  <c r="F33" i="100"/>
  <c r="F56" i="100"/>
  <c r="F194" i="100"/>
  <c r="F10" i="100"/>
  <c r="C212" i="100"/>
  <c r="E102" i="100"/>
  <c r="E194" i="100"/>
  <c r="E125" i="100"/>
  <c r="E171" i="100"/>
  <c r="E148" i="100"/>
  <c r="J148" i="100" s="1"/>
  <c r="I8" i="56" s="1"/>
  <c r="E79" i="100"/>
  <c r="E56" i="100"/>
  <c r="F102" i="100"/>
  <c r="E33" i="100"/>
  <c r="E10" i="100"/>
  <c r="D213" i="100"/>
  <c r="E193" i="100"/>
  <c r="E170" i="100"/>
  <c r="E147" i="100"/>
  <c r="E124" i="100"/>
  <c r="F101" i="100"/>
  <c r="E78" i="100"/>
  <c r="E55" i="100"/>
  <c r="E9" i="100"/>
  <c r="E101" i="100"/>
  <c r="E32" i="100"/>
  <c r="C213" i="100"/>
  <c r="J215" i="100"/>
  <c r="O215" i="100" s="1"/>
  <c r="Q215" i="100" s="1"/>
  <c r="C10" i="56"/>
  <c r="J10" i="56" s="1"/>
  <c r="M10" i="56" s="1"/>
  <c r="J214" i="100"/>
  <c r="O214" i="100" s="1"/>
  <c r="Q214" i="100" s="1"/>
  <c r="C9" i="56"/>
  <c r="J9" i="56" s="1"/>
  <c r="M9" i="56" s="1"/>
  <c r="D212" i="100"/>
  <c r="M172" i="100"/>
  <c r="AC64" i="1"/>
  <c r="U74" i="1"/>
  <c r="AC74" i="1" s="1"/>
  <c r="AC90" i="1" s="1"/>
  <c r="AA91" i="1" s="1"/>
  <c r="H26" i="24"/>
  <c r="M6" i="20"/>
  <c r="M10" i="100" l="1"/>
  <c r="J10" i="100"/>
  <c r="C8" i="56" s="1"/>
  <c r="M9" i="100"/>
  <c r="J9" i="100"/>
  <c r="B212" i="100"/>
  <c r="Q8" i="24"/>
  <c r="J79" i="100"/>
  <c r="F8" i="56" s="1"/>
  <c r="J56" i="100"/>
  <c r="E8" i="56" s="1"/>
  <c r="J102" i="100"/>
  <c r="G8" i="56" s="1"/>
  <c r="J125" i="100"/>
  <c r="H8" i="56" s="1"/>
  <c r="J33" i="100"/>
  <c r="D8" i="56" s="1"/>
  <c r="M148" i="100"/>
  <c r="M79" i="100"/>
  <c r="J194" i="100"/>
  <c r="L8" i="56" s="1"/>
  <c r="H25" i="24"/>
  <c r="Q7" i="24" s="1"/>
  <c r="F32" i="100"/>
  <c r="F9" i="100"/>
  <c r="F193" i="100"/>
  <c r="F55" i="100"/>
  <c r="F147" i="100"/>
  <c r="J147" i="100" s="1"/>
  <c r="F78" i="100"/>
  <c r="F170" i="100"/>
  <c r="F124" i="100"/>
  <c r="M125" i="100"/>
  <c r="E213" i="100"/>
  <c r="F213" i="100"/>
  <c r="J171" i="100"/>
  <c r="K8" i="56" s="1"/>
  <c r="J101" i="100"/>
  <c r="E212" i="100"/>
  <c r="U90" i="1"/>
  <c r="U91" i="1"/>
  <c r="N55" i="1"/>
  <c r="N53" i="1"/>
  <c r="N59" i="1"/>
  <c r="X91" i="1"/>
  <c r="K57" i="1" s="1"/>
  <c r="Y91" i="1"/>
  <c r="Z91" i="1"/>
  <c r="W91" i="1"/>
  <c r="AB91" i="1"/>
  <c r="V91" i="1"/>
  <c r="N51" i="1"/>
  <c r="N52" i="1"/>
  <c r="N56" i="1"/>
  <c r="N58" i="1"/>
  <c r="N54" i="1"/>
  <c r="M21" i="14"/>
  <c r="N57" i="1"/>
  <c r="N50" i="1"/>
  <c r="H53" i="1" l="1"/>
  <c r="H58" i="1"/>
  <c r="M56" i="100"/>
  <c r="J213" i="100"/>
  <c r="O213" i="100" s="1"/>
  <c r="Q213" i="100" s="1"/>
  <c r="J8" i="56"/>
  <c r="M8" i="56" s="1"/>
  <c r="I7" i="56"/>
  <c r="J124" i="100"/>
  <c r="J55" i="100"/>
  <c r="J170" i="100"/>
  <c r="M170" i="100" s="1"/>
  <c r="J193" i="100"/>
  <c r="G7" i="56"/>
  <c r="J78" i="100"/>
  <c r="M78" i="100" s="1"/>
  <c r="F212" i="100"/>
  <c r="M171" i="100"/>
  <c r="M124" i="100"/>
  <c r="M147" i="100"/>
  <c r="J32" i="100"/>
  <c r="AE88" i="1"/>
  <c r="AE90" i="1" s="1"/>
  <c r="O59" i="1"/>
  <c r="O55" i="1"/>
  <c r="O53" i="1"/>
  <c r="M57" i="1"/>
  <c r="M59" i="1"/>
  <c r="M55" i="1"/>
  <c r="M53" i="1"/>
  <c r="K51" i="1"/>
  <c r="K59" i="1"/>
  <c r="K55" i="1"/>
  <c r="K53" i="1"/>
  <c r="I50" i="1"/>
  <c r="I59" i="1"/>
  <c r="I55" i="1"/>
  <c r="I53" i="1"/>
  <c r="J55" i="1"/>
  <c r="J53" i="1"/>
  <c r="J59" i="1"/>
  <c r="L50" i="1"/>
  <c r="L55" i="1"/>
  <c r="L53" i="1"/>
  <c r="L59" i="1"/>
  <c r="O50" i="1"/>
  <c r="O56" i="1"/>
  <c r="M51" i="1"/>
  <c r="K56" i="1"/>
  <c r="M56" i="1"/>
  <c r="M50" i="1"/>
  <c r="M54" i="1"/>
  <c r="K58" i="1"/>
  <c r="K54" i="1"/>
  <c r="M52" i="1"/>
  <c r="M58" i="1"/>
  <c r="L21" i="14"/>
  <c r="L22" i="14" s="1"/>
  <c r="M64" i="1" s="1"/>
  <c r="K50" i="1"/>
  <c r="K52" i="1"/>
  <c r="J21" i="14"/>
  <c r="J22" i="14" s="1"/>
  <c r="K64" i="1" s="1"/>
  <c r="O52" i="1"/>
  <c r="L54" i="1"/>
  <c r="L56" i="1"/>
  <c r="I57" i="1"/>
  <c r="L52" i="1"/>
  <c r="K21" i="14"/>
  <c r="K22" i="14" s="1"/>
  <c r="L64" i="1" s="1"/>
  <c r="J51" i="1"/>
  <c r="L51" i="1"/>
  <c r="L57" i="1"/>
  <c r="L58" i="1"/>
  <c r="H21" i="14"/>
  <c r="H24" i="14" s="1"/>
  <c r="H25" i="14" s="1"/>
  <c r="J50" i="1"/>
  <c r="I51" i="1"/>
  <c r="I54" i="1"/>
  <c r="I58" i="1"/>
  <c r="J56" i="1"/>
  <c r="I21" i="14"/>
  <c r="I24" i="14" s="1"/>
  <c r="I25" i="14" s="1"/>
  <c r="I56" i="1"/>
  <c r="I52" i="1"/>
  <c r="J58" i="1"/>
  <c r="J57" i="1"/>
  <c r="J54" i="1"/>
  <c r="J52" i="1"/>
  <c r="O51" i="1"/>
  <c r="O54" i="1"/>
  <c r="O57" i="1"/>
  <c r="N21" i="14"/>
  <c r="N24" i="14" s="1"/>
  <c r="O58" i="1"/>
  <c r="AE89" i="1"/>
  <c r="H55" i="1"/>
  <c r="H52" i="1"/>
  <c r="H56" i="1"/>
  <c r="H54" i="1"/>
  <c r="H59" i="1"/>
  <c r="H57" i="1"/>
  <c r="H50" i="1"/>
  <c r="G21" i="14"/>
  <c r="H51" i="1"/>
  <c r="AC91" i="1"/>
  <c r="M24" i="14"/>
  <c r="M25" i="14" s="1"/>
  <c r="M22" i="14"/>
  <c r="N64" i="1" s="1"/>
  <c r="J212" i="100" l="1"/>
  <c r="O212" i="100" s="1"/>
  <c r="L7" i="56"/>
  <c r="E7" i="56"/>
  <c r="M55" i="100"/>
  <c r="F7" i="56"/>
  <c r="K7" i="56"/>
  <c r="H7" i="56"/>
  <c r="D7" i="56"/>
  <c r="P53" i="1"/>
  <c r="P56" i="1"/>
  <c r="J24" i="14"/>
  <c r="J25" i="14" s="1"/>
  <c r="L24" i="14"/>
  <c r="L25" i="14" s="1"/>
  <c r="K24" i="14"/>
  <c r="K25" i="14" s="1"/>
  <c r="H22" i="14"/>
  <c r="I64" i="1" s="1"/>
  <c r="N22" i="14"/>
  <c r="O64" i="1" s="1"/>
  <c r="P51" i="1"/>
  <c r="P58" i="1"/>
  <c r="P57" i="1"/>
  <c r="P54" i="1"/>
  <c r="P52" i="1"/>
  <c r="I22" i="14"/>
  <c r="J64" i="1" s="1"/>
  <c r="P50" i="1"/>
  <c r="P59" i="1"/>
  <c r="P55" i="1"/>
  <c r="K60" i="1"/>
  <c r="K61" i="1" s="1"/>
  <c r="H10" i="20" s="1"/>
  <c r="K11" i="24" s="1"/>
  <c r="J29" i="14"/>
  <c r="L29" i="14"/>
  <c r="M60" i="1"/>
  <c r="M61" i="1" s="1"/>
  <c r="J10" i="20" s="1"/>
  <c r="M11" i="24" s="1"/>
  <c r="L60" i="1"/>
  <c r="L61" i="1" s="1"/>
  <c r="I10" i="20" s="1"/>
  <c r="L11" i="24" s="1"/>
  <c r="K29" i="14"/>
  <c r="N60" i="1"/>
  <c r="N61" i="1" s="1"/>
  <c r="K10" i="20" s="1"/>
  <c r="L29" i="24" s="1"/>
  <c r="M29" i="14"/>
  <c r="M31" i="14" s="1"/>
  <c r="N25" i="14"/>
  <c r="G22" i="14"/>
  <c r="H64" i="1" s="1"/>
  <c r="G24" i="14"/>
  <c r="P21" i="14"/>
  <c r="H105" i="100" l="1"/>
  <c r="H197" i="100"/>
  <c r="H59" i="100"/>
  <c r="H36" i="100"/>
  <c r="H13" i="100"/>
  <c r="H82" i="100"/>
  <c r="H128" i="100"/>
  <c r="H174" i="100"/>
  <c r="G128" i="100"/>
  <c r="G36" i="100"/>
  <c r="G174" i="100"/>
  <c r="G105" i="100"/>
  <c r="G59" i="100"/>
  <c r="G13" i="100"/>
  <c r="G197" i="100"/>
  <c r="G151" i="100"/>
  <c r="G82" i="100"/>
  <c r="I174" i="100"/>
  <c r="I13" i="100"/>
  <c r="I151" i="100"/>
  <c r="I105" i="100"/>
  <c r="I36" i="100"/>
  <c r="I59" i="100"/>
  <c r="I128" i="100"/>
  <c r="I197" i="100"/>
  <c r="I82" i="100"/>
  <c r="K31" i="14"/>
  <c r="K32" i="14" s="1"/>
  <c r="N29" i="14"/>
  <c r="N31" i="14" s="1"/>
  <c r="N35" i="14" s="1"/>
  <c r="L31" i="14"/>
  <c r="L32" i="14" s="1"/>
  <c r="I29" i="14"/>
  <c r="I31" i="14" s="1"/>
  <c r="I32" i="14" s="1"/>
  <c r="J31" i="14"/>
  <c r="J35" i="14" s="1"/>
  <c r="I60" i="1"/>
  <c r="I61" i="1" s="1"/>
  <c r="F10" i="20" s="1"/>
  <c r="D11" i="24" s="1"/>
  <c r="F11" i="24" s="1"/>
  <c r="H29" i="14"/>
  <c r="H31" i="14" s="1"/>
  <c r="H35" i="14" s="1"/>
  <c r="O60" i="1"/>
  <c r="O61" i="1" s="1"/>
  <c r="L10" i="20" s="1"/>
  <c r="M29" i="24" s="1"/>
  <c r="Q29" i="24" s="1"/>
  <c r="J60" i="1"/>
  <c r="J61" i="1" s="1"/>
  <c r="G10" i="20" s="1"/>
  <c r="D29" i="24" s="1"/>
  <c r="P24" i="14"/>
  <c r="G25" i="14"/>
  <c r="P25" i="14" s="1"/>
  <c r="N11" i="24"/>
  <c r="G29" i="14"/>
  <c r="H60" i="1"/>
  <c r="P22" i="14"/>
  <c r="M35" i="14"/>
  <c r="M32" i="14"/>
  <c r="G216" i="100" l="1"/>
  <c r="I216" i="100"/>
  <c r="H151" i="100"/>
  <c r="D197" i="100"/>
  <c r="D174" i="100"/>
  <c r="D151" i="100"/>
  <c r="D128" i="100"/>
  <c r="D82" i="100"/>
  <c r="D105" i="100"/>
  <c r="D59" i="100"/>
  <c r="D13" i="100"/>
  <c r="D36" i="100"/>
  <c r="F29" i="24"/>
  <c r="G29" i="24"/>
  <c r="K35" i="14"/>
  <c r="K39" i="14" s="1"/>
  <c r="N32" i="14"/>
  <c r="O65" i="1" s="1"/>
  <c r="O66" i="1" s="1"/>
  <c r="L11" i="20" s="1"/>
  <c r="M30" i="24" s="1"/>
  <c r="L35" i="14"/>
  <c r="L37" i="14" s="1"/>
  <c r="L65" i="1"/>
  <c r="N65" i="1"/>
  <c r="M65" i="1"/>
  <c r="J65" i="1"/>
  <c r="H32" i="14"/>
  <c r="J32" i="14"/>
  <c r="I35" i="14"/>
  <c r="I39" i="14" s="1"/>
  <c r="G11" i="24"/>
  <c r="M38" i="14"/>
  <c r="M37" i="14"/>
  <c r="M39" i="14"/>
  <c r="P29" i="14"/>
  <c r="Q29" i="14" s="1"/>
  <c r="R30" i="14" s="1"/>
  <c r="G31" i="14"/>
  <c r="J37" i="14"/>
  <c r="J38" i="14"/>
  <c r="J39" i="14"/>
  <c r="N39" i="14"/>
  <c r="N37" i="14"/>
  <c r="N38" i="14"/>
  <c r="P60" i="1"/>
  <c r="P61" i="1" s="1"/>
  <c r="H61" i="1"/>
  <c r="E10" i="20" s="1"/>
  <c r="M10" i="20" s="1"/>
  <c r="H39" i="14"/>
  <c r="H37" i="14"/>
  <c r="H38" i="14"/>
  <c r="H216" i="100" l="1"/>
  <c r="E151" i="100"/>
  <c r="E105" i="100"/>
  <c r="E197" i="100"/>
  <c r="E174" i="100"/>
  <c r="E36" i="100"/>
  <c r="E13" i="100"/>
  <c r="E128" i="100"/>
  <c r="F105" i="100"/>
  <c r="E59" i="100"/>
  <c r="E82" i="100"/>
  <c r="F174" i="100"/>
  <c r="F151" i="100"/>
  <c r="F128" i="100"/>
  <c r="F197" i="100"/>
  <c r="F13" i="100"/>
  <c r="F36" i="100"/>
  <c r="F82" i="100"/>
  <c r="F59" i="100"/>
  <c r="D216" i="100"/>
  <c r="H11" i="24"/>
  <c r="C197" i="100"/>
  <c r="C128" i="100"/>
  <c r="C105" i="100"/>
  <c r="C82" i="100"/>
  <c r="C36" i="100"/>
  <c r="C13" i="100"/>
  <c r="C59" i="100"/>
  <c r="C174" i="100"/>
  <c r="C151" i="100"/>
  <c r="H29" i="24"/>
  <c r="K38" i="14"/>
  <c r="K37" i="14"/>
  <c r="L39" i="14"/>
  <c r="L38" i="14"/>
  <c r="J66" i="1"/>
  <c r="G11" i="20" s="1"/>
  <c r="D30" i="24" s="1"/>
  <c r="L66" i="1"/>
  <c r="I11" i="20" s="1"/>
  <c r="L12" i="24" s="1"/>
  <c r="K65" i="1"/>
  <c r="M66" i="1"/>
  <c r="J11" i="20" s="1"/>
  <c r="M12" i="24" s="1"/>
  <c r="N66" i="1"/>
  <c r="K11" i="20" s="1"/>
  <c r="L30" i="24" s="1"/>
  <c r="I65" i="1"/>
  <c r="I37" i="14"/>
  <c r="I38" i="14"/>
  <c r="N42" i="14"/>
  <c r="N44" i="14" s="1"/>
  <c r="O76" i="1" s="1"/>
  <c r="L13" i="20" s="1"/>
  <c r="M32" i="24" s="1"/>
  <c r="J42" i="14"/>
  <c r="H42" i="14"/>
  <c r="M42" i="14"/>
  <c r="K29" i="24"/>
  <c r="P31" i="14"/>
  <c r="G32" i="14"/>
  <c r="G35" i="14"/>
  <c r="I175" i="100" l="1"/>
  <c r="I152" i="100"/>
  <c r="I198" i="100"/>
  <c r="I37" i="100"/>
  <c r="I129" i="100"/>
  <c r="I14" i="100"/>
  <c r="I106" i="100"/>
  <c r="I83" i="100"/>
  <c r="I60" i="100"/>
  <c r="H14" i="100"/>
  <c r="H83" i="100"/>
  <c r="H129" i="100"/>
  <c r="H60" i="100"/>
  <c r="H198" i="100"/>
  <c r="H175" i="100"/>
  <c r="H106" i="100"/>
  <c r="H37" i="100"/>
  <c r="N29" i="24"/>
  <c r="B197" i="100"/>
  <c r="B174" i="100"/>
  <c r="B151" i="100"/>
  <c r="B59" i="100"/>
  <c r="B105" i="100"/>
  <c r="B13" i="100"/>
  <c r="B128" i="100"/>
  <c r="B82" i="100"/>
  <c r="B36" i="100"/>
  <c r="H152" i="100"/>
  <c r="Q30" i="24"/>
  <c r="J36" i="100"/>
  <c r="C216" i="100"/>
  <c r="M128" i="100"/>
  <c r="J128" i="100"/>
  <c r="J174" i="100"/>
  <c r="Q11" i="24"/>
  <c r="E216" i="100"/>
  <c r="F216" i="100"/>
  <c r="F30" i="24"/>
  <c r="G30" i="24"/>
  <c r="K42" i="14"/>
  <c r="E57" i="14" s="1"/>
  <c r="G57" i="14" s="1"/>
  <c r="L42" i="14"/>
  <c r="L44" i="14" s="1"/>
  <c r="M82" i="1" s="1"/>
  <c r="J16" i="20" s="1"/>
  <c r="M17" i="24" s="1"/>
  <c r="I66" i="1"/>
  <c r="F11" i="20" s="1"/>
  <c r="D12" i="24" s="1"/>
  <c r="G12" i="24" s="1"/>
  <c r="K66" i="1"/>
  <c r="H11" i="20" s="1"/>
  <c r="K12" i="24" s="1"/>
  <c r="P32" i="14"/>
  <c r="H65" i="1"/>
  <c r="P65" i="1" s="1"/>
  <c r="P64" i="1"/>
  <c r="I42" i="14"/>
  <c r="E55" i="14" s="1"/>
  <c r="G55" i="14" s="1"/>
  <c r="M44" i="14"/>
  <c r="N79" i="1" s="1"/>
  <c r="K14" i="20" s="1"/>
  <c r="L33" i="24" s="1"/>
  <c r="E59" i="14"/>
  <c r="J59" i="14" s="1"/>
  <c r="H80" i="14" s="1"/>
  <c r="H44" i="14"/>
  <c r="I71" i="1" s="1"/>
  <c r="E54" i="14"/>
  <c r="J44" i="14"/>
  <c r="K71" i="1" s="1"/>
  <c r="H12" i="20" s="1"/>
  <c r="E56" i="14"/>
  <c r="G56" i="14" s="1"/>
  <c r="O82" i="1"/>
  <c r="L16" i="20" s="1"/>
  <c r="M35" i="24" s="1"/>
  <c r="O79" i="1"/>
  <c r="L14" i="20" s="1"/>
  <c r="M33" i="24" s="1"/>
  <c r="O71" i="1"/>
  <c r="G38" i="14"/>
  <c r="P38" i="14" s="1"/>
  <c r="G39" i="14"/>
  <c r="P39" i="14" s="1"/>
  <c r="P35" i="14"/>
  <c r="G37" i="14"/>
  <c r="M101" i="14" l="1"/>
  <c r="N101" i="14" s="1"/>
  <c r="P80" i="14"/>
  <c r="Q80" i="14" s="1"/>
  <c r="T80" i="14" s="1"/>
  <c r="I180" i="100"/>
  <c r="I88" i="100"/>
  <c r="I111" i="100"/>
  <c r="I157" i="100"/>
  <c r="I65" i="100"/>
  <c r="I42" i="100"/>
  <c r="I134" i="100"/>
  <c r="I203" i="100"/>
  <c r="I19" i="100"/>
  <c r="Q33" i="24"/>
  <c r="H155" i="100"/>
  <c r="J105" i="100"/>
  <c r="H73" i="14"/>
  <c r="K73" i="14" s="1"/>
  <c r="G54" i="14"/>
  <c r="H54" i="14" s="1"/>
  <c r="N12" i="24"/>
  <c r="G37" i="100"/>
  <c r="G83" i="100"/>
  <c r="G175" i="100"/>
  <c r="G106" i="100"/>
  <c r="G60" i="100"/>
  <c r="G14" i="100"/>
  <c r="G152" i="100"/>
  <c r="G198" i="100"/>
  <c r="G129" i="100"/>
  <c r="J59" i="100"/>
  <c r="E11" i="56" s="1"/>
  <c r="J197" i="100"/>
  <c r="H217" i="100"/>
  <c r="I217" i="100"/>
  <c r="J151" i="100"/>
  <c r="M151" i="100" s="1"/>
  <c r="J82" i="100"/>
  <c r="M82" i="100" s="1"/>
  <c r="B216" i="100"/>
  <c r="M13" i="100"/>
  <c r="J13" i="100"/>
  <c r="E106" i="100"/>
  <c r="E198" i="100"/>
  <c r="E129" i="100"/>
  <c r="F106" i="100"/>
  <c r="E83" i="100"/>
  <c r="E152" i="100"/>
  <c r="E60" i="100"/>
  <c r="E175" i="100"/>
  <c r="E14" i="100"/>
  <c r="E37" i="100"/>
  <c r="K11" i="56"/>
  <c r="L11" i="56"/>
  <c r="C129" i="100"/>
  <c r="C106" i="100"/>
  <c r="C175" i="100"/>
  <c r="C152" i="100"/>
  <c r="C83" i="100"/>
  <c r="C60" i="100"/>
  <c r="C14" i="100"/>
  <c r="C198" i="100"/>
  <c r="C37" i="100"/>
  <c r="G11" i="56"/>
  <c r="H11" i="56"/>
  <c r="C11" i="56"/>
  <c r="D11" i="56"/>
  <c r="M174" i="100"/>
  <c r="I11" i="56"/>
  <c r="O73" i="14"/>
  <c r="J73" i="14"/>
  <c r="F175" i="100"/>
  <c r="F152" i="100"/>
  <c r="F129" i="100"/>
  <c r="F83" i="100"/>
  <c r="F198" i="100"/>
  <c r="F60" i="100"/>
  <c r="F14" i="100"/>
  <c r="F37" i="100"/>
  <c r="H30" i="24"/>
  <c r="K44" i="14"/>
  <c r="L76" i="1" s="1"/>
  <c r="I13" i="20" s="1"/>
  <c r="L14" i="24" s="1"/>
  <c r="E58" i="14"/>
  <c r="G58" i="14" s="1"/>
  <c r="K58" i="14" s="1"/>
  <c r="N82" i="1"/>
  <c r="K16" i="20" s="1"/>
  <c r="L35" i="24" s="1"/>
  <c r="I44" i="14"/>
  <c r="J82" i="1" s="1"/>
  <c r="G16" i="20" s="1"/>
  <c r="D35" i="24" s="1"/>
  <c r="N71" i="1"/>
  <c r="K12" i="20" s="1"/>
  <c r="M79" i="1"/>
  <c r="J14" i="20" s="1"/>
  <c r="M15" i="24" s="1"/>
  <c r="N76" i="1"/>
  <c r="K13" i="20" s="1"/>
  <c r="L32" i="24" s="1"/>
  <c r="M71" i="1"/>
  <c r="J12" i="20" s="1"/>
  <c r="M76" i="1"/>
  <c r="J13" i="20" s="1"/>
  <c r="M14" i="24" s="1"/>
  <c r="F12" i="24"/>
  <c r="P63" i="1"/>
  <c r="P66" i="1" s="1"/>
  <c r="H66" i="1"/>
  <c r="E11" i="20" s="1"/>
  <c r="K82" i="1"/>
  <c r="H16" i="20" s="1"/>
  <c r="K17" i="24" s="1"/>
  <c r="K94" i="14"/>
  <c r="K57" i="14"/>
  <c r="H78" i="14"/>
  <c r="K56" i="14"/>
  <c r="H77" i="14"/>
  <c r="K79" i="1"/>
  <c r="H14" i="20" s="1"/>
  <c r="K15" i="24" s="1"/>
  <c r="I79" i="1"/>
  <c r="F14" i="20" s="1"/>
  <c r="D15" i="24" s="1"/>
  <c r="G15" i="24" s="1"/>
  <c r="I76" i="1"/>
  <c r="F13" i="20" s="1"/>
  <c r="D14" i="24" s="1"/>
  <c r="F14" i="24" s="1"/>
  <c r="I82" i="1"/>
  <c r="F16" i="20" s="1"/>
  <c r="D17" i="24" s="1"/>
  <c r="G17" i="24" s="1"/>
  <c r="K76" i="1"/>
  <c r="H13" i="20" s="1"/>
  <c r="K14" i="24" s="1"/>
  <c r="J60" i="14"/>
  <c r="K59" i="14"/>
  <c r="H75" i="14"/>
  <c r="O81" i="1"/>
  <c r="O83" i="1" s="1"/>
  <c r="O92" i="1" s="1"/>
  <c r="L12" i="20"/>
  <c r="K13" i="24"/>
  <c r="F12" i="20"/>
  <c r="P37" i="14"/>
  <c r="G42" i="14"/>
  <c r="E53" i="14" s="1"/>
  <c r="H53" i="14" s="1"/>
  <c r="H72" i="14" s="1"/>
  <c r="G107" i="100" l="1"/>
  <c r="G15" i="100"/>
  <c r="G130" i="100"/>
  <c r="G38" i="100"/>
  <c r="G61" i="100"/>
  <c r="G199" i="100"/>
  <c r="G153" i="100"/>
  <c r="G176" i="100"/>
  <c r="G84" i="100"/>
  <c r="G65" i="100"/>
  <c r="G134" i="100"/>
  <c r="G180" i="100"/>
  <c r="G111" i="100"/>
  <c r="G42" i="100"/>
  <c r="G19" i="100"/>
  <c r="G157" i="100"/>
  <c r="G88" i="100"/>
  <c r="I177" i="100"/>
  <c r="I39" i="100"/>
  <c r="I85" i="100"/>
  <c r="I200" i="100"/>
  <c r="I154" i="100"/>
  <c r="I131" i="100"/>
  <c r="I108" i="100"/>
  <c r="I16" i="100"/>
  <c r="I62" i="100"/>
  <c r="H16" i="100"/>
  <c r="H108" i="100"/>
  <c r="H62" i="100"/>
  <c r="H200" i="100"/>
  <c r="H131" i="100"/>
  <c r="H39" i="100"/>
  <c r="H85" i="100"/>
  <c r="H177" i="100"/>
  <c r="G217" i="100"/>
  <c r="I93" i="14"/>
  <c r="O72" i="14"/>
  <c r="K72" i="14"/>
  <c r="P72" i="14"/>
  <c r="N72" i="14"/>
  <c r="J72" i="14"/>
  <c r="S72" i="14"/>
  <c r="M72" i="14"/>
  <c r="R72" i="14"/>
  <c r="L72" i="14"/>
  <c r="P78" i="14"/>
  <c r="L78" i="14"/>
  <c r="O78" i="14"/>
  <c r="N78" i="14"/>
  <c r="R78" i="14"/>
  <c r="J78" i="14"/>
  <c r="Q78" i="14" s="1"/>
  <c r="T78" i="14" s="1"/>
  <c r="M78" i="14"/>
  <c r="S78" i="14"/>
  <c r="K78" i="14"/>
  <c r="M94" i="14"/>
  <c r="N73" i="14"/>
  <c r="L73" i="14"/>
  <c r="J216" i="100"/>
  <c r="O216" i="100" s="1"/>
  <c r="I222" i="100"/>
  <c r="G39" i="100"/>
  <c r="G16" i="100"/>
  <c r="G131" i="100"/>
  <c r="G85" i="100"/>
  <c r="G200" i="100"/>
  <c r="G62" i="100"/>
  <c r="G177" i="100"/>
  <c r="G108" i="100"/>
  <c r="G154" i="100"/>
  <c r="G201" i="100"/>
  <c r="G202" i="100" s="1"/>
  <c r="G204" i="100" s="1"/>
  <c r="G155" i="100"/>
  <c r="G63" i="100"/>
  <c r="G64" i="100" s="1"/>
  <c r="G66" i="100" s="1"/>
  <c r="G132" i="100"/>
  <c r="G133" i="100" s="1"/>
  <c r="G135" i="100" s="1"/>
  <c r="G86" i="100"/>
  <c r="G87" i="100" s="1"/>
  <c r="G89" i="100" s="1"/>
  <c r="G178" i="100"/>
  <c r="G109" i="100"/>
  <c r="G17" i="100"/>
  <c r="G40" i="100"/>
  <c r="G41" i="100" s="1"/>
  <c r="G43" i="100" s="1"/>
  <c r="L94" i="14"/>
  <c r="Q32" i="24"/>
  <c r="H154" i="100"/>
  <c r="H157" i="100"/>
  <c r="Q35" i="24"/>
  <c r="M73" i="14"/>
  <c r="S73" i="14"/>
  <c r="P73" i="14"/>
  <c r="M59" i="100"/>
  <c r="P77" i="14"/>
  <c r="N77" i="14"/>
  <c r="L77" i="14"/>
  <c r="J77" i="14"/>
  <c r="K77" i="14"/>
  <c r="O77" i="14"/>
  <c r="M77" i="14"/>
  <c r="S77" i="14"/>
  <c r="R77" i="14"/>
  <c r="I94" i="14"/>
  <c r="J94" i="14"/>
  <c r="I178" i="100"/>
  <c r="I132" i="100"/>
  <c r="I17" i="100"/>
  <c r="I201" i="100"/>
  <c r="I63" i="100"/>
  <c r="I40" i="100"/>
  <c r="I109" i="100"/>
  <c r="I155" i="100"/>
  <c r="I86" i="100"/>
  <c r="R73" i="14"/>
  <c r="F11" i="56"/>
  <c r="E217" i="100"/>
  <c r="C111" i="100"/>
  <c r="C134" i="100"/>
  <c r="C65" i="100"/>
  <c r="C203" i="100"/>
  <c r="C88" i="100"/>
  <c r="C157" i="100"/>
  <c r="C42" i="100"/>
  <c r="C180" i="100"/>
  <c r="C19" i="100"/>
  <c r="H12" i="24"/>
  <c r="D198" i="100"/>
  <c r="D175" i="100"/>
  <c r="D152" i="100"/>
  <c r="D129" i="100"/>
  <c r="D83" i="100"/>
  <c r="D14" i="100"/>
  <c r="D60" i="100"/>
  <c r="D106" i="100"/>
  <c r="D37" i="100"/>
  <c r="D108" i="100"/>
  <c r="D177" i="100"/>
  <c r="D154" i="100"/>
  <c r="D131" i="100"/>
  <c r="D200" i="100"/>
  <c r="D85" i="100"/>
  <c r="D16" i="100"/>
  <c r="D62" i="100"/>
  <c r="D39" i="100"/>
  <c r="Q73" i="14"/>
  <c r="C201" i="100"/>
  <c r="C132" i="100"/>
  <c r="C109" i="100"/>
  <c r="C178" i="100"/>
  <c r="C155" i="100"/>
  <c r="C86" i="100"/>
  <c r="C40" i="100"/>
  <c r="C17" i="100"/>
  <c r="C63" i="100"/>
  <c r="C217" i="100"/>
  <c r="S75" i="14"/>
  <c r="O75" i="14"/>
  <c r="K75" i="14"/>
  <c r="P75" i="14"/>
  <c r="R75" i="14"/>
  <c r="N75" i="14"/>
  <c r="J75" i="14"/>
  <c r="M75" i="14"/>
  <c r="L75" i="14"/>
  <c r="F217" i="100"/>
  <c r="L71" i="1"/>
  <c r="I12" i="20" s="1"/>
  <c r="L79" i="1"/>
  <c r="I14" i="20" s="1"/>
  <c r="L15" i="24" s="1"/>
  <c r="L82" i="1"/>
  <c r="I16" i="20" s="1"/>
  <c r="L17" i="24" s="1"/>
  <c r="F35" i="24"/>
  <c r="G35" i="24"/>
  <c r="H79" i="14"/>
  <c r="J76" i="1"/>
  <c r="G13" i="20" s="1"/>
  <c r="D32" i="24" s="1"/>
  <c r="J79" i="1"/>
  <c r="G14" i="20" s="1"/>
  <c r="D33" i="24" s="1"/>
  <c r="J71" i="1"/>
  <c r="G12" i="20" s="1"/>
  <c r="D31" i="24" s="1"/>
  <c r="N81" i="1"/>
  <c r="N83" i="1" s="1"/>
  <c r="N92" i="1" s="1"/>
  <c r="M81" i="1"/>
  <c r="M83" i="1" s="1"/>
  <c r="M92" i="1" s="1"/>
  <c r="N14" i="24"/>
  <c r="K30" i="24"/>
  <c r="M11" i="20"/>
  <c r="G60" i="14"/>
  <c r="H55" i="14"/>
  <c r="H76" i="14" s="1"/>
  <c r="J99" i="14"/>
  <c r="M99" i="14"/>
  <c r="I99" i="14"/>
  <c r="L99" i="14"/>
  <c r="K99" i="14"/>
  <c r="K81" i="1"/>
  <c r="K83" i="1" s="1"/>
  <c r="K92" i="1" s="1"/>
  <c r="I98" i="14"/>
  <c r="L98" i="14"/>
  <c r="K98" i="14"/>
  <c r="M98" i="14"/>
  <c r="J98" i="14"/>
  <c r="N94" i="14"/>
  <c r="K96" i="14"/>
  <c r="M96" i="14"/>
  <c r="J96" i="14"/>
  <c r="I96" i="14"/>
  <c r="L96" i="14"/>
  <c r="F17" i="24"/>
  <c r="K54" i="14"/>
  <c r="H74" i="14"/>
  <c r="F15" i="24"/>
  <c r="I81" i="1"/>
  <c r="I83" i="1" s="1"/>
  <c r="I92" i="1" s="1"/>
  <c r="G14" i="24"/>
  <c r="E60" i="14"/>
  <c r="H15" i="20"/>
  <c r="H17" i="20" s="1"/>
  <c r="K18" i="24" s="1"/>
  <c r="D13" i="23" s="1"/>
  <c r="C14" i="22" s="1"/>
  <c r="L15" i="20"/>
  <c r="L17" i="20" s="1"/>
  <c r="M31" i="24"/>
  <c r="M34" i="24" s="1"/>
  <c r="M36" i="24" s="1"/>
  <c r="H17" i="23" s="1"/>
  <c r="J15" i="20"/>
  <c r="M13" i="24"/>
  <c r="D13" i="24"/>
  <c r="F15" i="20"/>
  <c r="L31" i="24"/>
  <c r="K15" i="20"/>
  <c r="K17" i="20" s="1"/>
  <c r="G44" i="14"/>
  <c r="P42" i="14"/>
  <c r="L34" i="24" l="1"/>
  <c r="H153" i="100"/>
  <c r="H156" i="100" s="1"/>
  <c r="H158" i="100" s="1"/>
  <c r="Q31" i="24"/>
  <c r="B129" i="100"/>
  <c r="B83" i="100"/>
  <c r="B37" i="100"/>
  <c r="N30" i="24"/>
  <c r="B198" i="100"/>
  <c r="B175" i="100"/>
  <c r="B152" i="100"/>
  <c r="B60" i="100"/>
  <c r="B14" i="100"/>
  <c r="B106" i="100"/>
  <c r="R79" i="14"/>
  <c r="O79" i="14"/>
  <c r="P79" i="14"/>
  <c r="L79" i="14"/>
  <c r="J79" i="14"/>
  <c r="S79" i="14"/>
  <c r="K79" i="14"/>
  <c r="M79" i="14"/>
  <c r="N79" i="14"/>
  <c r="N15" i="24"/>
  <c r="H86" i="100"/>
  <c r="H178" i="100"/>
  <c r="H201" i="100"/>
  <c r="H63" i="100"/>
  <c r="H40" i="100"/>
  <c r="H109" i="100"/>
  <c r="H132" i="100"/>
  <c r="H17" i="100"/>
  <c r="H220" i="100" s="1"/>
  <c r="J152" i="100"/>
  <c r="I202" i="100"/>
  <c r="I204" i="100" s="1"/>
  <c r="G219" i="100"/>
  <c r="G218" i="100"/>
  <c r="K100" i="14"/>
  <c r="J175" i="100"/>
  <c r="K12" i="56" s="1"/>
  <c r="I220" i="100"/>
  <c r="G220" i="100"/>
  <c r="G18" i="100"/>
  <c r="I219" i="100"/>
  <c r="J11" i="56"/>
  <c r="M11" i="56" s="1"/>
  <c r="J37" i="100"/>
  <c r="J83" i="100"/>
  <c r="M83" i="100" s="1"/>
  <c r="I133" i="100"/>
  <c r="I135" i="100" s="1"/>
  <c r="G110" i="100"/>
  <c r="G112" i="100" s="1"/>
  <c r="Q72" i="14"/>
  <c r="T72" i="14" s="1"/>
  <c r="I176" i="100"/>
  <c r="I179" i="100" s="1"/>
  <c r="I181" i="100" s="1"/>
  <c r="I38" i="100"/>
  <c r="I41" i="100" s="1"/>
  <c r="I43" i="100" s="1"/>
  <c r="I15" i="100"/>
  <c r="I107" i="100"/>
  <c r="I110" i="100" s="1"/>
  <c r="I112" i="100" s="1"/>
  <c r="I153" i="100"/>
  <c r="I156" i="100" s="1"/>
  <c r="I158" i="100" s="1"/>
  <c r="I84" i="100"/>
  <c r="I199" i="100"/>
  <c r="I61" i="100"/>
  <c r="I64" i="100" s="1"/>
  <c r="I66" i="100" s="1"/>
  <c r="I130" i="100"/>
  <c r="N17" i="24"/>
  <c r="H88" i="100"/>
  <c r="H203" i="100"/>
  <c r="H180" i="100"/>
  <c r="H19" i="100"/>
  <c r="H65" i="100"/>
  <c r="H111" i="100"/>
  <c r="H134" i="100"/>
  <c r="H42" i="100"/>
  <c r="J106" i="100"/>
  <c r="Q12" i="24"/>
  <c r="I87" i="100"/>
  <c r="I89" i="100" s="1"/>
  <c r="Q77" i="14"/>
  <c r="T77" i="14" s="1"/>
  <c r="G179" i="100"/>
  <c r="G181" i="100" s="1"/>
  <c r="G156" i="100"/>
  <c r="G158" i="100" s="1"/>
  <c r="H219" i="100"/>
  <c r="G222" i="100"/>
  <c r="M129" i="100"/>
  <c r="H14" i="24"/>
  <c r="C177" i="100"/>
  <c r="C154" i="100"/>
  <c r="C200" i="100"/>
  <c r="C108" i="100"/>
  <c r="C62" i="100"/>
  <c r="C131" i="100"/>
  <c r="C16" i="100"/>
  <c r="C85" i="100"/>
  <c r="C39" i="100"/>
  <c r="M97" i="14"/>
  <c r="P76" i="14"/>
  <c r="R76" i="14"/>
  <c r="O76" i="14"/>
  <c r="S76" i="14"/>
  <c r="E88" i="100"/>
  <c r="E111" i="100"/>
  <c r="E180" i="100"/>
  <c r="E134" i="100"/>
  <c r="E65" i="100"/>
  <c r="E19" i="100"/>
  <c r="E203" i="100"/>
  <c r="E42" i="100"/>
  <c r="F111" i="100"/>
  <c r="E157" i="100"/>
  <c r="C220" i="100"/>
  <c r="I12" i="56"/>
  <c r="H17" i="24"/>
  <c r="D203" i="100"/>
  <c r="D65" i="100"/>
  <c r="D180" i="100"/>
  <c r="D157" i="100"/>
  <c r="D134" i="100"/>
  <c r="D88" i="100"/>
  <c r="D111" i="100"/>
  <c r="D42" i="100"/>
  <c r="D19" i="100"/>
  <c r="F180" i="100"/>
  <c r="F157" i="100"/>
  <c r="F134" i="100"/>
  <c r="F65" i="100"/>
  <c r="F19" i="100"/>
  <c r="F88" i="100"/>
  <c r="F42" i="100"/>
  <c r="D12" i="56"/>
  <c r="C222" i="100"/>
  <c r="M175" i="100"/>
  <c r="H15" i="24"/>
  <c r="D201" i="100"/>
  <c r="D178" i="100"/>
  <c r="D155" i="100"/>
  <c r="D132" i="100"/>
  <c r="D86" i="100"/>
  <c r="D63" i="100"/>
  <c r="D40" i="100"/>
  <c r="D109" i="100"/>
  <c r="D17" i="100"/>
  <c r="Q75" i="14"/>
  <c r="T75" i="14" s="1"/>
  <c r="F12" i="56"/>
  <c r="G12" i="56"/>
  <c r="K74" i="14"/>
  <c r="O74" i="14"/>
  <c r="J74" i="14"/>
  <c r="S74" i="14"/>
  <c r="L74" i="14"/>
  <c r="P74" i="14"/>
  <c r="M74" i="14"/>
  <c r="R74" i="14"/>
  <c r="N74" i="14"/>
  <c r="Q216" i="100"/>
  <c r="M152" i="100"/>
  <c r="T73" i="14"/>
  <c r="D219" i="100"/>
  <c r="D217" i="100"/>
  <c r="L81" i="1"/>
  <c r="L83" i="1" s="1"/>
  <c r="L92" i="1" s="1"/>
  <c r="I15" i="20"/>
  <c r="L16" i="24" s="1"/>
  <c r="I14" i="22"/>
  <c r="J14" i="22"/>
  <c r="K14" i="22"/>
  <c r="E14" i="22"/>
  <c r="G14" i="22"/>
  <c r="F14" i="22"/>
  <c r="H14" i="22"/>
  <c r="G32" i="24"/>
  <c r="F32" i="24"/>
  <c r="F33" i="24"/>
  <c r="G33" i="24"/>
  <c r="F31" i="24"/>
  <c r="G31" i="24"/>
  <c r="L100" i="14"/>
  <c r="I100" i="14"/>
  <c r="M100" i="14"/>
  <c r="J100" i="14"/>
  <c r="J81" i="1"/>
  <c r="J83" i="1" s="1"/>
  <c r="J92" i="1" s="1"/>
  <c r="L13" i="24"/>
  <c r="N99" i="14"/>
  <c r="I97" i="14"/>
  <c r="K97" i="14"/>
  <c r="K76" i="14"/>
  <c r="J76" i="14"/>
  <c r="K55" i="14"/>
  <c r="J97" i="14"/>
  <c r="M76" i="14"/>
  <c r="L76" i="14"/>
  <c r="N76" i="14"/>
  <c r="L97" i="14"/>
  <c r="N98" i="14"/>
  <c r="G15" i="20"/>
  <c r="D34" i="24" s="1"/>
  <c r="K95" i="14"/>
  <c r="I95" i="14"/>
  <c r="M95" i="14"/>
  <c r="L95" i="14"/>
  <c r="J95" i="14"/>
  <c r="N96" i="14"/>
  <c r="K93" i="14"/>
  <c r="M93" i="14"/>
  <c r="J93" i="14"/>
  <c r="U81" i="14"/>
  <c r="L93" i="14"/>
  <c r="H81" i="14"/>
  <c r="K16" i="24"/>
  <c r="H60" i="14"/>
  <c r="K53" i="14"/>
  <c r="I13" i="23"/>
  <c r="H18" i="23"/>
  <c r="H35" i="24"/>
  <c r="F17" i="20"/>
  <c r="D16" i="24"/>
  <c r="I17" i="20"/>
  <c r="L18" i="24" s="1"/>
  <c r="H82" i="1"/>
  <c r="H79" i="1"/>
  <c r="P44" i="14"/>
  <c r="H76" i="1"/>
  <c r="H71" i="1"/>
  <c r="F13" i="24"/>
  <c r="G13" i="24"/>
  <c r="J17" i="20"/>
  <c r="M18" i="24" s="1"/>
  <c r="D16" i="23" s="1"/>
  <c r="M16" i="24"/>
  <c r="H222" i="100" l="1"/>
  <c r="M14" i="100"/>
  <c r="J14" i="100"/>
  <c r="Q79" i="14"/>
  <c r="T79" i="14" s="1"/>
  <c r="B217" i="100"/>
  <c r="N13" i="24"/>
  <c r="H107" i="100"/>
  <c r="H61" i="100"/>
  <c r="H64" i="100" s="1"/>
  <c r="H66" i="100" s="1"/>
  <c r="H15" i="100"/>
  <c r="H84" i="100"/>
  <c r="H130" i="100"/>
  <c r="H133" i="100" s="1"/>
  <c r="H135" i="100" s="1"/>
  <c r="H38" i="100"/>
  <c r="H41" i="100" s="1"/>
  <c r="H43" i="100" s="1"/>
  <c r="H176" i="100"/>
  <c r="H199" i="100"/>
  <c r="H202" i="100" s="1"/>
  <c r="H204" i="100" s="1"/>
  <c r="J129" i="100"/>
  <c r="H12" i="56" s="1"/>
  <c r="J198" i="100"/>
  <c r="L12" i="56" s="1"/>
  <c r="H110" i="100"/>
  <c r="H112" i="100" s="1"/>
  <c r="H179" i="100"/>
  <c r="H181" i="100" s="1"/>
  <c r="I218" i="100"/>
  <c r="I18" i="100"/>
  <c r="G20" i="100"/>
  <c r="G223" i="100" s="1"/>
  <c r="G221" i="100"/>
  <c r="J60" i="100"/>
  <c r="H87" i="100"/>
  <c r="H89" i="100" s="1"/>
  <c r="L36" i="24"/>
  <c r="Q34" i="24"/>
  <c r="O81" i="14"/>
  <c r="H23" i="56" s="1"/>
  <c r="S81" i="14"/>
  <c r="L23" i="56" s="1"/>
  <c r="D222" i="100"/>
  <c r="D220" i="100"/>
  <c r="D107" i="100"/>
  <c r="D110" i="100" s="1"/>
  <c r="D112" i="100" s="1"/>
  <c r="D38" i="100"/>
  <c r="D84" i="100"/>
  <c r="D87" i="100" s="1"/>
  <c r="D89" i="100" s="1"/>
  <c r="D153" i="100"/>
  <c r="D156" i="100" s="1"/>
  <c r="D158" i="100" s="1"/>
  <c r="D15" i="100"/>
  <c r="D61" i="100"/>
  <c r="D64" i="100" s="1"/>
  <c r="D66" i="100" s="1"/>
  <c r="D199" i="100"/>
  <c r="D202" i="100" s="1"/>
  <c r="D204" i="100" s="1"/>
  <c r="D176" i="100"/>
  <c r="D179" i="100" s="1"/>
  <c r="D181" i="100" s="1"/>
  <c r="D130" i="100"/>
  <c r="D133" i="100" s="1"/>
  <c r="D135" i="100" s="1"/>
  <c r="F178" i="100"/>
  <c r="F155" i="100"/>
  <c r="F132" i="100"/>
  <c r="F86" i="100"/>
  <c r="F17" i="100"/>
  <c r="F40" i="100"/>
  <c r="F63" i="100"/>
  <c r="F201" i="100"/>
  <c r="E199" i="100"/>
  <c r="E130" i="100"/>
  <c r="E176" i="100"/>
  <c r="F107" i="100"/>
  <c r="E107" i="100"/>
  <c r="E84" i="100"/>
  <c r="E15" i="100"/>
  <c r="E153" i="100"/>
  <c r="E61" i="100"/>
  <c r="E38" i="100"/>
  <c r="Q76" i="14"/>
  <c r="T76" i="14" s="1"/>
  <c r="F199" i="100"/>
  <c r="F84" i="100"/>
  <c r="F176" i="100"/>
  <c r="F153" i="100"/>
  <c r="F130" i="100"/>
  <c r="F61" i="100"/>
  <c r="F38" i="100"/>
  <c r="F15" i="100"/>
  <c r="E177" i="100"/>
  <c r="F108" i="100"/>
  <c r="E154" i="100"/>
  <c r="E108" i="100"/>
  <c r="E85" i="100"/>
  <c r="E62" i="100"/>
  <c r="E39" i="100"/>
  <c r="E200" i="100"/>
  <c r="E131" i="100"/>
  <c r="E16" i="100"/>
  <c r="C176" i="100"/>
  <c r="C153" i="100"/>
  <c r="C130" i="100"/>
  <c r="C15" i="100"/>
  <c r="C107" i="100"/>
  <c r="C84" i="100"/>
  <c r="C61" i="100"/>
  <c r="C199" i="100"/>
  <c r="C38" i="100"/>
  <c r="E155" i="100"/>
  <c r="E109" i="100"/>
  <c r="E132" i="100"/>
  <c r="F109" i="100"/>
  <c r="E40" i="100"/>
  <c r="E17" i="100"/>
  <c r="E178" i="100"/>
  <c r="E86" i="100"/>
  <c r="E63" i="100"/>
  <c r="E201" i="100"/>
  <c r="P81" i="14"/>
  <c r="I23" i="56" s="1"/>
  <c r="F222" i="100"/>
  <c r="E222" i="100"/>
  <c r="F200" i="100"/>
  <c r="F85" i="100"/>
  <c r="F154" i="100"/>
  <c r="F39" i="100"/>
  <c r="F62" i="100"/>
  <c r="F177" i="100"/>
  <c r="F131" i="100"/>
  <c r="F16" i="100"/>
  <c r="R81" i="14"/>
  <c r="K23" i="56" s="1"/>
  <c r="C219" i="100"/>
  <c r="Q74" i="14"/>
  <c r="D41" i="100"/>
  <c r="D43" i="100" s="1"/>
  <c r="H27" i="55"/>
  <c r="L27" i="55"/>
  <c r="I27" i="55"/>
  <c r="K27" i="55"/>
  <c r="J27" i="55"/>
  <c r="M27" i="55"/>
  <c r="H32" i="24"/>
  <c r="H33" i="24"/>
  <c r="L14" i="22"/>
  <c r="G34" i="24"/>
  <c r="E202" i="100" s="1"/>
  <c r="E204" i="100" s="1"/>
  <c r="F34" i="24"/>
  <c r="M102" i="14"/>
  <c r="M104" i="14" s="1"/>
  <c r="K81" i="14"/>
  <c r="N100" i="14"/>
  <c r="G17" i="20"/>
  <c r="M81" i="14"/>
  <c r="L81" i="14"/>
  <c r="N97" i="14"/>
  <c r="J102" i="14"/>
  <c r="J104" i="14" s="1"/>
  <c r="K102" i="14"/>
  <c r="K104" i="14" s="1"/>
  <c r="K60" i="14"/>
  <c r="N95" i="14"/>
  <c r="L102" i="14"/>
  <c r="L104" i="14" s="1"/>
  <c r="I102" i="14"/>
  <c r="I104" i="14" s="1"/>
  <c r="N93" i="14"/>
  <c r="N81" i="14"/>
  <c r="G23" i="56" s="1"/>
  <c r="J81" i="14"/>
  <c r="M28" i="22"/>
  <c r="H13" i="24"/>
  <c r="H31" i="24"/>
  <c r="D36" i="24"/>
  <c r="P71" i="1"/>
  <c r="E12" i="20"/>
  <c r="M12" i="20" s="1"/>
  <c r="H81" i="1"/>
  <c r="H83" i="1" s="1"/>
  <c r="E16" i="20"/>
  <c r="M16" i="20" s="1"/>
  <c r="P82" i="1"/>
  <c r="N16" i="24"/>
  <c r="I16" i="23"/>
  <c r="C17" i="22"/>
  <c r="N17" i="22" s="1"/>
  <c r="P76" i="1"/>
  <c r="E13" i="20"/>
  <c r="M13" i="20" s="1"/>
  <c r="E14" i="20"/>
  <c r="M14" i="20" s="1"/>
  <c r="P79" i="1"/>
  <c r="D14" i="23"/>
  <c r="N18" i="24"/>
  <c r="H49" i="24" s="1"/>
  <c r="G16" i="24"/>
  <c r="G18" i="24" s="1"/>
  <c r="E11" i="23" s="1"/>
  <c r="C11" i="22" s="1"/>
  <c r="F16" i="24"/>
  <c r="D18" i="24"/>
  <c r="G27" i="55"/>
  <c r="J83" i="14" l="1"/>
  <c r="C23" i="56"/>
  <c r="Q36" i="24"/>
  <c r="H50" i="24"/>
  <c r="G17" i="23"/>
  <c r="C12" i="56"/>
  <c r="J217" i="100"/>
  <c r="O217" i="100" s="1"/>
  <c r="I20" i="100"/>
  <c r="I223" i="100" s="1"/>
  <c r="I221" i="100"/>
  <c r="L83" i="14"/>
  <c r="E23" i="56"/>
  <c r="K83" i="14"/>
  <c r="D23" i="56"/>
  <c r="E12" i="56"/>
  <c r="M60" i="100"/>
  <c r="M83" i="14"/>
  <c r="F23" i="56"/>
  <c r="E41" i="100"/>
  <c r="E43" i="100" s="1"/>
  <c r="H218" i="100"/>
  <c r="H225" i="100" s="1"/>
  <c r="H18" i="100"/>
  <c r="E219" i="100"/>
  <c r="E110" i="100"/>
  <c r="E112" i="100" s="1"/>
  <c r="F179" i="100"/>
  <c r="F181" i="100" s="1"/>
  <c r="E179" i="100"/>
  <c r="E181" i="100" s="1"/>
  <c r="E133" i="100"/>
  <c r="E135" i="100" s="1"/>
  <c r="C202" i="100"/>
  <c r="C204" i="100" s="1"/>
  <c r="C218" i="100"/>
  <c r="C18" i="100"/>
  <c r="C133" i="100"/>
  <c r="F202" i="100"/>
  <c r="F204" i="100" s="1"/>
  <c r="F87" i="100"/>
  <c r="F89" i="100" s="1"/>
  <c r="D218" i="100"/>
  <c r="D18" i="100"/>
  <c r="E87" i="100"/>
  <c r="E89" i="100" s="1"/>
  <c r="F110" i="100"/>
  <c r="F112" i="100" s="1"/>
  <c r="C41" i="100"/>
  <c r="C43" i="100" s="1"/>
  <c r="C110" i="100"/>
  <c r="C112" i="100" s="1"/>
  <c r="C179" i="100"/>
  <c r="F41" i="100"/>
  <c r="F43" i="100" s="1"/>
  <c r="F220" i="100"/>
  <c r="F156" i="100"/>
  <c r="F158" i="100" s="1"/>
  <c r="T74" i="14"/>
  <c r="T81" i="14" s="1"/>
  <c r="M23" i="56" s="1"/>
  <c r="Q81" i="14"/>
  <c r="J23" i="56" s="1"/>
  <c r="F219" i="100"/>
  <c r="E220" i="100"/>
  <c r="E18" i="100"/>
  <c r="C64" i="100"/>
  <c r="E218" i="100"/>
  <c r="Q217" i="100"/>
  <c r="E64" i="100"/>
  <c r="E66" i="100" s="1"/>
  <c r="E156" i="100"/>
  <c r="E158" i="100" s="1"/>
  <c r="C87" i="100"/>
  <c r="C156" i="100"/>
  <c r="F218" i="100"/>
  <c r="F18" i="100"/>
  <c r="F64" i="100"/>
  <c r="F66" i="100" s="1"/>
  <c r="F133" i="100"/>
  <c r="F135" i="100" s="1"/>
  <c r="N27" i="55"/>
  <c r="P30" i="55"/>
  <c r="O14" i="22"/>
  <c r="M17" i="22"/>
  <c r="F17" i="22"/>
  <c r="H17" i="22"/>
  <c r="J17" i="22"/>
  <c r="G17" i="22"/>
  <c r="I17" i="22"/>
  <c r="E17" i="22"/>
  <c r="K17" i="22"/>
  <c r="F36" i="24"/>
  <c r="G36" i="24"/>
  <c r="E12" i="23" s="1"/>
  <c r="C13" i="22" s="1"/>
  <c r="K11" i="22"/>
  <c r="H11" i="22"/>
  <c r="F11" i="22"/>
  <c r="N11" i="22"/>
  <c r="P20" i="55" s="1"/>
  <c r="M11" i="22"/>
  <c r="G11" i="22"/>
  <c r="I11" i="22"/>
  <c r="J11" i="22"/>
  <c r="E11" i="22"/>
  <c r="M42" i="22"/>
  <c r="M40" i="22"/>
  <c r="N83" i="14"/>
  <c r="V81" i="14"/>
  <c r="N102" i="14"/>
  <c r="N104" i="14" s="1"/>
  <c r="H34" i="24"/>
  <c r="H16" i="24"/>
  <c r="F18" i="24"/>
  <c r="K32" i="24"/>
  <c r="K35" i="24"/>
  <c r="K31" i="24"/>
  <c r="E15" i="20"/>
  <c r="C15" i="22"/>
  <c r="N15" i="22" s="1"/>
  <c r="I14" i="23"/>
  <c r="K33" i="24"/>
  <c r="H92" i="1"/>
  <c r="N28" i="22"/>
  <c r="N31" i="55"/>
  <c r="N33" i="24" l="1"/>
  <c r="Q15" i="24" s="1"/>
  <c r="B201" i="100"/>
  <c r="B178" i="100"/>
  <c r="B155" i="100"/>
  <c r="B63" i="100"/>
  <c r="B109" i="100"/>
  <c r="B17" i="100"/>
  <c r="B86" i="100"/>
  <c r="B40" i="100"/>
  <c r="B132" i="100"/>
  <c r="B134" i="100"/>
  <c r="B88" i="100"/>
  <c r="J88" i="100" s="1"/>
  <c r="M88" i="100" s="1"/>
  <c r="B42" i="100"/>
  <c r="J42" i="100" s="1"/>
  <c r="N35" i="24"/>
  <c r="B203" i="100"/>
  <c r="J203" i="100" s="1"/>
  <c r="B180" i="100"/>
  <c r="J180" i="100" s="1"/>
  <c r="M180" i="100" s="1"/>
  <c r="B157" i="100"/>
  <c r="J157" i="100" s="1"/>
  <c r="M157" i="100" s="1"/>
  <c r="B65" i="100"/>
  <c r="J65" i="100" s="1"/>
  <c r="M65" i="100" s="1"/>
  <c r="B19" i="100"/>
  <c r="B111" i="100"/>
  <c r="J111" i="100" s="1"/>
  <c r="B200" i="100"/>
  <c r="J200" i="100" s="1"/>
  <c r="L14" i="56" s="1"/>
  <c r="B177" i="100"/>
  <c r="J177" i="100" s="1"/>
  <c r="K14" i="56" s="1"/>
  <c r="B154" i="100"/>
  <c r="B62" i="100"/>
  <c r="J62" i="100" s="1"/>
  <c r="E14" i="56" s="1"/>
  <c r="B108" i="100"/>
  <c r="J108" i="100" s="1"/>
  <c r="G14" i="56" s="1"/>
  <c r="B16" i="100"/>
  <c r="B131" i="100"/>
  <c r="B85" i="100"/>
  <c r="J85" i="100" s="1"/>
  <c r="M85" i="100" s="1"/>
  <c r="B39" i="100"/>
  <c r="J39" i="100" s="1"/>
  <c r="D14" i="56" s="1"/>
  <c r="N32" i="24"/>
  <c r="Q14" i="24" s="1"/>
  <c r="H221" i="100"/>
  <c r="H20" i="100"/>
  <c r="H223" i="100" s="1"/>
  <c r="G18" i="23"/>
  <c r="I17" i="23"/>
  <c r="C18" i="22" s="1"/>
  <c r="B107" i="100"/>
  <c r="J107" i="100" s="1"/>
  <c r="G13" i="56" s="1"/>
  <c r="B15" i="100"/>
  <c r="B130" i="100"/>
  <c r="B84" i="100"/>
  <c r="J84" i="100" s="1"/>
  <c r="M84" i="100" s="1"/>
  <c r="B38" i="100"/>
  <c r="J38" i="100" s="1"/>
  <c r="D13" i="56" s="1"/>
  <c r="N31" i="24"/>
  <c r="Q13" i="24" s="1"/>
  <c r="B199" i="100"/>
  <c r="J199" i="100" s="1"/>
  <c r="B176" i="100"/>
  <c r="J176" i="100" s="1"/>
  <c r="M176" i="100" s="1"/>
  <c r="B153" i="100"/>
  <c r="J153" i="100" s="1"/>
  <c r="M153" i="100" s="1"/>
  <c r="B61" i="100"/>
  <c r="J61" i="100" s="1"/>
  <c r="M61" i="100" s="1"/>
  <c r="K34" i="24"/>
  <c r="N34" i="24" s="1"/>
  <c r="J12" i="56"/>
  <c r="M12" i="56" s="1"/>
  <c r="M177" i="100"/>
  <c r="C89" i="100"/>
  <c r="L13" i="56"/>
  <c r="K13" i="56"/>
  <c r="F13" i="56"/>
  <c r="F20" i="100"/>
  <c r="F223" i="100" s="1"/>
  <c r="F221" i="100"/>
  <c r="I13" i="56"/>
  <c r="C66" i="100"/>
  <c r="C181" i="100"/>
  <c r="C20" i="100"/>
  <c r="C221" i="100"/>
  <c r="C158" i="100"/>
  <c r="E20" i="100"/>
  <c r="E223" i="100" s="1"/>
  <c r="E221" i="100"/>
  <c r="D20" i="100"/>
  <c r="D223" i="100" s="1"/>
  <c r="D221" i="100"/>
  <c r="C135" i="100"/>
  <c r="K30" i="55"/>
  <c r="I30" i="55"/>
  <c r="J30" i="55"/>
  <c r="H30" i="55"/>
  <c r="L30" i="55"/>
  <c r="P14" i="22"/>
  <c r="M30" i="55"/>
  <c r="P28" i="55"/>
  <c r="Q27" i="55"/>
  <c r="I20" i="55"/>
  <c r="J20" i="55"/>
  <c r="M20" i="55"/>
  <c r="L20" i="55"/>
  <c r="K20" i="55"/>
  <c r="H20" i="55"/>
  <c r="L17" i="22"/>
  <c r="O17" i="22" s="1"/>
  <c r="H15" i="22"/>
  <c r="J15" i="22"/>
  <c r="F15" i="22"/>
  <c r="M15" i="22"/>
  <c r="E15" i="22"/>
  <c r="G15" i="22"/>
  <c r="I15" i="22"/>
  <c r="O30" i="55"/>
  <c r="O20" i="55"/>
  <c r="G13" i="22"/>
  <c r="I21" i="55" s="1"/>
  <c r="H13" i="22"/>
  <c r="J21" i="55" s="1"/>
  <c r="E13" i="22"/>
  <c r="J13" i="22"/>
  <c r="L21" i="55" s="1"/>
  <c r="K13" i="22"/>
  <c r="M21" i="55" s="1"/>
  <c r="F13" i="22"/>
  <c r="H21" i="55" s="1"/>
  <c r="I13" i="22"/>
  <c r="K21" i="55" s="1"/>
  <c r="L11" i="22"/>
  <c r="D12" i="23"/>
  <c r="H36" i="24"/>
  <c r="H47" i="24" s="1"/>
  <c r="G20" i="55"/>
  <c r="G30" i="55"/>
  <c r="E17" i="20"/>
  <c r="H18" i="24"/>
  <c r="H46" i="24" s="1"/>
  <c r="D11" i="23"/>
  <c r="K36" i="24"/>
  <c r="J15" i="100" l="1"/>
  <c r="M15" i="100"/>
  <c r="B218" i="100"/>
  <c r="B18" i="100"/>
  <c r="B156" i="100"/>
  <c r="B158" i="100" s="1"/>
  <c r="J155" i="100"/>
  <c r="I15" i="56" s="1"/>
  <c r="M62" i="100"/>
  <c r="J131" i="100"/>
  <c r="H14" i="56" s="1"/>
  <c r="M131" i="100"/>
  <c r="J154" i="100"/>
  <c r="B222" i="100"/>
  <c r="M19" i="100"/>
  <c r="J19" i="100"/>
  <c r="M134" i="100"/>
  <c r="J134" i="100"/>
  <c r="B220" i="100"/>
  <c r="M17" i="100"/>
  <c r="J17" i="100"/>
  <c r="B179" i="100"/>
  <c r="B181" i="100" s="1"/>
  <c r="J178" i="100"/>
  <c r="B87" i="100"/>
  <c r="B89" i="100" s="1"/>
  <c r="J86" i="100"/>
  <c r="M155" i="100"/>
  <c r="E13" i="56"/>
  <c r="K18" i="22"/>
  <c r="L18" i="22" s="1"/>
  <c r="O18" i="22" s="1"/>
  <c r="C28" i="22"/>
  <c r="B219" i="100"/>
  <c r="M16" i="100"/>
  <c r="M22" i="100" s="1"/>
  <c r="J16" i="100"/>
  <c r="B133" i="100"/>
  <c r="M132" i="100"/>
  <c r="J132" i="100"/>
  <c r="H15" i="56" s="1"/>
  <c r="B110" i="100"/>
  <c r="B112" i="100" s="1"/>
  <c r="J109" i="100"/>
  <c r="B202" i="100"/>
  <c r="B204" i="100" s="1"/>
  <c r="J201" i="100"/>
  <c r="J179" i="100"/>
  <c r="J181" i="100" s="1"/>
  <c r="F14" i="56"/>
  <c r="J130" i="100"/>
  <c r="M130" i="100"/>
  <c r="B41" i="100"/>
  <c r="B43" i="100" s="1"/>
  <c r="J40" i="100"/>
  <c r="B64" i="100"/>
  <c r="B66" i="100" s="1"/>
  <c r="J63" i="100"/>
  <c r="E15" i="56" s="1"/>
  <c r="E38" i="56" s="1"/>
  <c r="M179" i="100"/>
  <c r="C223" i="100"/>
  <c r="N36" i="24"/>
  <c r="H28" i="55"/>
  <c r="I28" i="55"/>
  <c r="K28" i="55"/>
  <c r="L28" i="55"/>
  <c r="J28" i="55"/>
  <c r="K26" i="22"/>
  <c r="K28" i="22"/>
  <c r="N30" i="55"/>
  <c r="P17" i="22"/>
  <c r="Q30" i="55"/>
  <c r="N20" i="55"/>
  <c r="O11" i="22"/>
  <c r="Q20" i="55" s="1"/>
  <c r="O28" i="55"/>
  <c r="G21" i="55"/>
  <c r="N21" i="55" s="1"/>
  <c r="L13" i="22"/>
  <c r="G28" i="55"/>
  <c r="L15" i="22"/>
  <c r="C12" i="22"/>
  <c r="I12" i="23"/>
  <c r="E10" i="23"/>
  <c r="H51" i="24"/>
  <c r="C10" i="22"/>
  <c r="N10" i="22" s="1"/>
  <c r="I11" i="23"/>
  <c r="D18" i="23"/>
  <c r="E19" i="20"/>
  <c r="J222" i="100" l="1"/>
  <c r="L15" i="56"/>
  <c r="J202" i="100"/>
  <c r="J204" i="100" s="1"/>
  <c r="I14" i="56"/>
  <c r="J156" i="100"/>
  <c r="J158" i="100" s="1"/>
  <c r="M158" i="100" s="1"/>
  <c r="H13" i="56"/>
  <c r="H38" i="56" s="1"/>
  <c r="J133" i="100"/>
  <c r="J135" i="100" s="1"/>
  <c r="K15" i="56"/>
  <c r="K38" i="56" s="1"/>
  <c r="M178" i="100"/>
  <c r="B221" i="100"/>
  <c r="I38" i="56"/>
  <c r="D15" i="56"/>
  <c r="D38" i="56" s="1"/>
  <c r="J41" i="100"/>
  <c r="J43" i="100" s="1"/>
  <c r="G15" i="56"/>
  <c r="G38" i="56" s="1"/>
  <c r="J110" i="100"/>
  <c r="J112" i="100" s="1"/>
  <c r="B135" i="100"/>
  <c r="M133" i="100"/>
  <c r="F15" i="56"/>
  <c r="F38" i="56" s="1"/>
  <c r="J87" i="100"/>
  <c r="C13" i="56"/>
  <c r="J218" i="100"/>
  <c r="O218" i="100" s="1"/>
  <c r="Q218" i="100" s="1"/>
  <c r="M63" i="100"/>
  <c r="C14" i="56"/>
  <c r="J14" i="56" s="1"/>
  <c r="M14" i="56" s="1"/>
  <c r="J219" i="100"/>
  <c r="O219" i="100" s="1"/>
  <c r="Q219" i="100" s="1"/>
  <c r="Q31" i="55"/>
  <c r="P18" i="22"/>
  <c r="O28" i="22"/>
  <c r="M31" i="55"/>
  <c r="C15" i="56"/>
  <c r="J15" i="56" s="1"/>
  <c r="M15" i="56" s="1"/>
  <c r="J220" i="100"/>
  <c r="O220" i="100" s="1"/>
  <c r="Q220" i="100" s="1"/>
  <c r="M154" i="100"/>
  <c r="J64" i="100"/>
  <c r="B20" i="100"/>
  <c r="M20" i="100" s="1"/>
  <c r="M18" i="100"/>
  <c r="J18" i="100"/>
  <c r="M86" i="100"/>
  <c r="M135" i="100"/>
  <c r="B223" i="100"/>
  <c r="M181" i="100"/>
  <c r="N28" i="55"/>
  <c r="L28" i="22"/>
  <c r="L26" i="22"/>
  <c r="O13" i="22"/>
  <c r="P13" i="22" s="1"/>
  <c r="O15" i="22"/>
  <c r="P11" i="22"/>
  <c r="P25" i="55"/>
  <c r="K10" i="22"/>
  <c r="J10" i="22"/>
  <c r="M10" i="22"/>
  <c r="H10" i="22"/>
  <c r="I10" i="22"/>
  <c r="F10" i="22"/>
  <c r="G10" i="22"/>
  <c r="E10" i="22"/>
  <c r="N12" i="22"/>
  <c r="P26" i="55" s="1"/>
  <c r="M12" i="22"/>
  <c r="G12" i="22"/>
  <c r="K12" i="22"/>
  <c r="J12" i="22"/>
  <c r="E12" i="22"/>
  <c r="F12" i="22"/>
  <c r="H12" i="22"/>
  <c r="I12" i="22"/>
  <c r="C33" i="22"/>
  <c r="I10" i="23"/>
  <c r="C9" i="22"/>
  <c r="C25" i="22"/>
  <c r="J66" i="100" l="1"/>
  <c r="M66" i="100" s="1"/>
  <c r="M64" i="100"/>
  <c r="J13" i="56"/>
  <c r="M13" i="56" s="1"/>
  <c r="M156" i="100"/>
  <c r="J221" i="100"/>
  <c r="J20" i="100"/>
  <c r="J89" i="100"/>
  <c r="M89" i="100" s="1"/>
  <c r="M87" i="100"/>
  <c r="L38" i="56"/>
  <c r="L16" i="56"/>
  <c r="L18" i="56" s="1"/>
  <c r="B225" i="100"/>
  <c r="J223" i="100"/>
  <c r="H26" i="55"/>
  <c r="P15" i="22"/>
  <c r="K26" i="55"/>
  <c r="L26" i="55"/>
  <c r="I26" i="55"/>
  <c r="E35" i="22"/>
  <c r="J26" i="55"/>
  <c r="M26" i="55"/>
  <c r="E25" i="22"/>
  <c r="K25" i="22"/>
  <c r="L25" i="55"/>
  <c r="M25" i="55"/>
  <c r="M32" i="55" s="1"/>
  <c r="Q28" i="55"/>
  <c r="G9" i="22"/>
  <c r="G37" i="22" s="1"/>
  <c r="N9" i="22"/>
  <c r="E9" i="22"/>
  <c r="E37" i="22" s="1"/>
  <c r="I9" i="22"/>
  <c r="J9" i="22"/>
  <c r="F9" i="22"/>
  <c r="F37" i="22" s="1"/>
  <c r="H9" i="22"/>
  <c r="H37" i="22" s="1"/>
  <c r="K9" i="22"/>
  <c r="M9" i="22"/>
  <c r="M37" i="22" s="1"/>
  <c r="Q21" i="55"/>
  <c r="L12" i="22"/>
  <c r="O12" i="22" s="1"/>
  <c r="L10" i="22"/>
  <c r="O26" i="55"/>
  <c r="O25" i="55"/>
  <c r="G26" i="55"/>
  <c r="J25" i="55"/>
  <c r="H25" i="22"/>
  <c r="H54" i="22" s="1"/>
  <c r="F25" i="22"/>
  <c r="F54" i="22" s="1"/>
  <c r="F58" i="22" s="1"/>
  <c r="H25" i="55"/>
  <c r="I25" i="55"/>
  <c r="G25" i="22"/>
  <c r="C26" i="22"/>
  <c r="M25" i="22"/>
  <c r="G25" i="55"/>
  <c r="I25" i="22"/>
  <c r="K25" i="55"/>
  <c r="J25" i="22"/>
  <c r="N25" i="22"/>
  <c r="L19" i="55" l="1"/>
  <c r="L22" i="55" s="1"/>
  <c r="L53" i="55" s="1"/>
  <c r="J37" i="22"/>
  <c r="M19" i="55"/>
  <c r="M22" i="55" s="1"/>
  <c r="M34" i="55" s="1"/>
  <c r="K37" i="22"/>
  <c r="K19" i="55"/>
  <c r="I37" i="22"/>
  <c r="P19" i="55"/>
  <c r="P22" i="55" s="1"/>
  <c r="N37" i="22"/>
  <c r="H32" i="55"/>
  <c r="L32" i="55"/>
  <c r="P12" i="22"/>
  <c r="K32" i="55"/>
  <c r="J32" i="55"/>
  <c r="E31" i="22"/>
  <c r="N26" i="55"/>
  <c r="L25" i="22"/>
  <c r="I31" i="22" s="1"/>
  <c r="O10" i="22"/>
  <c r="L9" i="22"/>
  <c r="O32" i="55"/>
  <c r="O51" i="55" s="1"/>
  <c r="N25" i="55"/>
  <c r="O19" i="55"/>
  <c r="L34" i="55"/>
  <c r="P32" i="55"/>
  <c r="P51" i="55" s="1"/>
  <c r="G32" i="55"/>
  <c r="I32" i="55"/>
  <c r="M57" i="22"/>
  <c r="E54" i="22"/>
  <c r="E58" i="22" s="1"/>
  <c r="G19" i="55"/>
  <c r="M26" i="22"/>
  <c r="I19" i="55"/>
  <c r="I22" i="55" s="1"/>
  <c r="H19" i="55"/>
  <c r="J26" i="22"/>
  <c r="J19" i="55"/>
  <c r="G54" i="22"/>
  <c r="G58" i="22" s="1"/>
  <c r="O9" i="22" l="1"/>
  <c r="O37" i="22" s="1"/>
  <c r="L37" i="22"/>
  <c r="Q25" i="55"/>
  <c r="P9" i="22"/>
  <c r="N19" i="55"/>
  <c r="P10" i="22"/>
  <c r="Q19" i="22"/>
  <c r="Q19" i="55"/>
  <c r="Q22" i="55" s="1"/>
  <c r="Q26" i="55"/>
  <c r="O25" i="22"/>
  <c r="O22" i="55"/>
  <c r="O34" i="55" s="1"/>
  <c r="N32" i="55"/>
  <c r="P34" i="55"/>
  <c r="I34" i="55"/>
  <c r="J22" i="55"/>
  <c r="J34" i="55" s="1"/>
  <c r="H22" i="55"/>
  <c r="H34" i="55" s="1"/>
  <c r="K22" i="55"/>
  <c r="G22" i="55"/>
  <c r="G34" i="55" s="1"/>
  <c r="Q32" i="55" l="1"/>
  <c r="Q34" i="55" s="1"/>
  <c r="N22" i="55"/>
  <c r="K34" i="55"/>
  <c r="N34" i="55" s="1"/>
  <c r="N27" i="22" l="1"/>
  <c r="G26" i="22" l="1"/>
  <c r="I26" i="22"/>
  <c r="N26" i="22"/>
  <c r="N29" i="22" s="1"/>
  <c r="F26" i="22"/>
  <c r="H26" i="22"/>
  <c r="O26" i="22" l="1"/>
  <c r="E26" i="22"/>
  <c r="N19" i="22"/>
  <c r="N8" i="21" l="1"/>
  <c r="K53" i="55"/>
  <c r="AA26" i="93" l="1"/>
  <c r="AA28" i="93"/>
  <c r="Y29" i="93"/>
  <c r="V29" i="93"/>
  <c r="AA27" i="93"/>
  <c r="W29" i="93"/>
  <c r="X29" i="93"/>
  <c r="U29" i="93"/>
  <c r="AA29" i="93" l="1"/>
  <c r="AA32" i="93"/>
  <c r="AA34" i="93"/>
  <c r="AA37" i="93"/>
  <c r="AA33" i="93"/>
  <c r="AA41" i="93"/>
  <c r="AA44" i="93"/>
  <c r="V45" i="93"/>
  <c r="V49" i="93" s="1"/>
  <c r="F34" i="93" s="1"/>
  <c r="AA43" i="93"/>
  <c r="X45" i="93"/>
  <c r="X49" i="93" s="1"/>
  <c r="H34" i="93" s="1"/>
  <c r="AA42" i="93"/>
  <c r="W45" i="93"/>
  <c r="W49" i="93" s="1"/>
  <c r="G34" i="93" s="1"/>
  <c r="U45" i="93"/>
  <c r="Y45" i="93"/>
  <c r="Y49" i="93" s="1"/>
  <c r="I34" i="93" s="1"/>
  <c r="U49" i="93" l="1"/>
  <c r="E34" i="93" s="1"/>
  <c r="E11" i="93" s="1"/>
  <c r="AA45" i="93"/>
  <c r="AA49" i="93" s="1"/>
  <c r="I28" i="93"/>
  <c r="I8" i="93"/>
  <c r="I30" i="93"/>
  <c r="I9" i="93"/>
  <c r="I12" i="93"/>
  <c r="I24" i="93"/>
  <c r="I20" i="93"/>
  <c r="I26" i="93"/>
  <c r="I31" i="93"/>
  <c r="I17" i="93"/>
  <c r="I22" i="93"/>
  <c r="I13" i="93"/>
  <c r="I23" i="93"/>
  <c r="I5" i="93"/>
  <c r="I15" i="93"/>
  <c r="I14" i="93"/>
  <c r="I6" i="93"/>
  <c r="I11" i="93"/>
  <c r="I21" i="93"/>
  <c r="I16" i="93"/>
  <c r="I27" i="93"/>
  <c r="I29" i="93"/>
  <c r="I19" i="93"/>
  <c r="I18" i="93"/>
  <c r="I25" i="93"/>
  <c r="I32" i="93"/>
  <c r="I10" i="93"/>
  <c r="I7" i="93"/>
  <c r="G28" i="93"/>
  <c r="G8" i="93"/>
  <c r="G30" i="93"/>
  <c r="G14" i="93"/>
  <c r="G9" i="93"/>
  <c r="G16" i="93"/>
  <c r="G24" i="93"/>
  <c r="G20" i="93"/>
  <c r="G19" i="93"/>
  <c r="G27" i="93"/>
  <c r="G22" i="93"/>
  <c r="G26" i="93"/>
  <c r="G21" i="93"/>
  <c r="G13" i="93"/>
  <c r="G5" i="93"/>
  <c r="G23" i="93"/>
  <c r="G6" i="93"/>
  <c r="G29" i="93"/>
  <c r="G11" i="93"/>
  <c r="G12" i="93"/>
  <c r="G25" i="93"/>
  <c r="G17" i="93"/>
  <c r="G18" i="93"/>
  <c r="G32" i="93"/>
  <c r="G31" i="93"/>
  <c r="G15" i="93"/>
  <c r="G7" i="93"/>
  <c r="G10" i="93"/>
  <c r="F6" i="93"/>
  <c r="F9" i="93"/>
  <c r="F11" i="93"/>
  <c r="F13" i="93"/>
  <c r="F15" i="93"/>
  <c r="F17" i="93"/>
  <c r="F19" i="93"/>
  <c r="F21" i="93"/>
  <c r="F23" i="93"/>
  <c r="F7" i="93"/>
  <c r="F10" i="93"/>
  <c r="F12" i="93"/>
  <c r="F14" i="93"/>
  <c r="F16" i="93"/>
  <c r="F18" i="93"/>
  <c r="F20" i="93"/>
  <c r="F22" i="93"/>
  <c r="F24" i="93"/>
  <c r="F26" i="93"/>
  <c r="F29" i="93"/>
  <c r="F32" i="93"/>
  <c r="F25" i="93"/>
  <c r="F27" i="93"/>
  <c r="F31" i="93"/>
  <c r="F30" i="93"/>
  <c r="F8" i="93"/>
  <c r="F28" i="93"/>
  <c r="F5" i="93"/>
  <c r="E17" i="93"/>
  <c r="E23" i="93"/>
  <c r="E27" i="93"/>
  <c r="E7" i="93"/>
  <c r="E10" i="93"/>
  <c r="E12" i="93"/>
  <c r="E16" i="93"/>
  <c r="E18" i="93"/>
  <c r="E20" i="93"/>
  <c r="E24" i="93"/>
  <c r="E26" i="93"/>
  <c r="E29" i="93"/>
  <c r="E6" i="93"/>
  <c r="E9" i="93"/>
  <c r="E13" i="93"/>
  <c r="E19" i="93"/>
  <c r="E21" i="93"/>
  <c r="E25" i="93"/>
  <c r="E8" i="93"/>
  <c r="E28" i="93"/>
  <c r="E30" i="93"/>
  <c r="H8" i="93"/>
  <c r="H30" i="93"/>
  <c r="H6" i="93"/>
  <c r="H31" i="93"/>
  <c r="H27" i="93"/>
  <c r="H21" i="93"/>
  <c r="H26" i="93"/>
  <c r="H14" i="93"/>
  <c r="H16" i="93"/>
  <c r="H11" i="93"/>
  <c r="H29" i="93"/>
  <c r="H18" i="93"/>
  <c r="H32" i="93"/>
  <c r="H23" i="93"/>
  <c r="H10" i="93"/>
  <c r="H28" i="93"/>
  <c r="J34" i="93"/>
  <c r="H24" i="93"/>
  <c r="H13" i="93"/>
  <c r="H22" i="93"/>
  <c r="H19" i="93"/>
  <c r="H15" i="93"/>
  <c r="H9" i="93"/>
  <c r="H25" i="93"/>
  <c r="H20" i="93"/>
  <c r="H17" i="93"/>
  <c r="H12" i="93"/>
  <c r="H5" i="93"/>
  <c r="H7" i="93"/>
  <c r="K34" i="93"/>
  <c r="K17" i="93" l="1"/>
  <c r="E31" i="93"/>
  <c r="K31" i="93" s="1"/>
  <c r="E15" i="93"/>
  <c r="K15" i="93" s="1"/>
  <c r="E32" i="93"/>
  <c r="K32" i="93" s="1"/>
  <c r="E22" i="93"/>
  <c r="K22" i="93" s="1"/>
  <c r="E14" i="93"/>
  <c r="E5" i="93"/>
  <c r="K5" i="93" s="1"/>
  <c r="H36" i="93"/>
  <c r="K25" i="93"/>
  <c r="K28" i="93"/>
  <c r="K18" i="93"/>
  <c r="K14" i="93"/>
  <c r="F36" i="93"/>
  <c r="K6" i="93"/>
  <c r="K12" i="93"/>
  <c r="K13" i="93"/>
  <c r="K29" i="93"/>
  <c r="K23" i="93"/>
  <c r="K11" i="93"/>
  <c r="K21" i="93"/>
  <c r="K30" i="93"/>
  <c r="K9" i="93"/>
  <c r="K10" i="93"/>
  <c r="K26" i="93"/>
  <c r="K24" i="93"/>
  <c r="K7" i="93"/>
  <c r="K20" i="93"/>
  <c r="K19" i="93"/>
  <c r="K16" i="93"/>
  <c r="K27" i="93"/>
  <c r="G36" i="93"/>
  <c r="I36" i="93"/>
  <c r="K8" i="93"/>
  <c r="E36" i="93" l="1"/>
  <c r="K36" i="93"/>
  <c r="I62" i="97" l="1"/>
  <c r="N62" i="97" s="1"/>
  <c r="V62" i="97" s="1"/>
  <c r="Z62" i="97" s="1"/>
  <c r="AB62" i="97" s="1"/>
  <c r="L15" i="97"/>
  <c r="I60" i="97"/>
  <c r="N60" i="97" s="1"/>
  <c r="V60" i="97" s="1"/>
  <c r="Z60" i="97" s="1"/>
  <c r="AB60" i="97" s="1"/>
  <c r="L13" i="97"/>
  <c r="L14" i="97"/>
  <c r="I61" i="97"/>
  <c r="N61" i="97" s="1"/>
  <c r="V61" i="97" s="1"/>
  <c r="Z61" i="97" s="1"/>
  <c r="AB61" i="97" s="1"/>
  <c r="I58" i="97"/>
  <c r="H24" i="97"/>
  <c r="H28" i="97" s="1"/>
  <c r="L12" i="97"/>
  <c r="I59" i="97"/>
  <c r="N59" i="97" s="1"/>
  <c r="V59" i="97" s="1"/>
  <c r="Z59" i="97" s="1"/>
  <c r="AB59" i="97" s="1"/>
  <c r="L16" i="97"/>
  <c r="I63" i="97"/>
  <c r="N63" i="97" s="1"/>
  <c r="V63" i="97" s="1"/>
  <c r="Z63" i="97" s="1"/>
  <c r="AB63" i="97" s="1"/>
  <c r="H30" i="97" l="1"/>
  <c r="L28" i="97"/>
  <c r="L24" i="97"/>
  <c r="I75" i="97"/>
  <c r="N75" i="97" s="1"/>
  <c r="V75" i="97" s="1"/>
  <c r="I71" i="97"/>
  <c r="N58" i="97"/>
  <c r="P47" i="55"/>
  <c r="L22" i="10" l="1"/>
  <c r="P53" i="55"/>
  <c r="N29" i="21"/>
  <c r="V58" i="97"/>
  <c r="N71" i="97"/>
  <c r="M87" i="97"/>
  <c r="I82" i="97"/>
  <c r="Z75" i="97"/>
  <c r="M104" i="97" l="1"/>
  <c r="N104" i="97" s="1"/>
  <c r="N82" i="97"/>
  <c r="N76" i="97"/>
  <c r="P45" i="55"/>
  <c r="M7" i="22"/>
  <c r="U87" i="97"/>
  <c r="M92" i="97"/>
  <c r="Z58" i="97"/>
  <c r="V71" i="97"/>
  <c r="V82" i="97" s="1"/>
  <c r="U93" i="97" l="1"/>
  <c r="N99" i="97"/>
  <c r="N105" i="97" s="1"/>
  <c r="N28" i="21"/>
  <c r="P52" i="55"/>
  <c r="N93" i="97"/>
  <c r="T13" i="94" s="1"/>
  <c r="U92" i="97"/>
  <c r="V92" i="97" s="1"/>
  <c r="V77" i="97"/>
  <c r="M27" i="22"/>
  <c r="M29" i="22" s="1"/>
  <c r="M19" i="22"/>
  <c r="Z71" i="97"/>
  <c r="AB71" i="97" s="1"/>
  <c r="AB58" i="97"/>
  <c r="AB70" i="97" s="1"/>
  <c r="O12" i="55"/>
  <c r="M8" i="21" l="1"/>
  <c r="O13" i="55"/>
  <c r="K6" i="56" s="1"/>
  <c r="K16" i="56" s="1"/>
  <c r="K18" i="56" s="1"/>
  <c r="P13" i="94"/>
  <c r="Q13" i="94" s="1"/>
  <c r="T16" i="94"/>
  <c r="O52" i="55" l="1"/>
  <c r="S13" i="94"/>
  <c r="U19" i="94"/>
  <c r="E9" i="1" l="1"/>
  <c r="S16" i="94"/>
  <c r="W13" i="94"/>
  <c r="P16" i="94" l="1"/>
  <c r="S87" i="94"/>
  <c r="F41" i="24"/>
  <c r="G9" i="1"/>
  <c r="E12" i="1"/>
  <c r="E81" i="1" s="1"/>
  <c r="E83" i="1" s="1"/>
  <c r="E108" i="1" l="1"/>
  <c r="E116" i="1" s="1"/>
  <c r="E86" i="1"/>
  <c r="Q16" i="94"/>
  <c r="P87" i="94"/>
  <c r="P9" i="1"/>
  <c r="G12" i="1"/>
  <c r="F9" i="23"/>
  <c r="C7" i="22" l="1"/>
  <c r="C19" i="22" s="1"/>
  <c r="F18" i="23"/>
  <c r="P89" i="94"/>
  <c r="U87" i="94"/>
  <c r="Q87" i="94"/>
  <c r="Q89" i="94" s="1"/>
  <c r="D5" i="20"/>
  <c r="G81" i="1"/>
  <c r="G83" i="1" s="1"/>
  <c r="P85" i="1" s="1"/>
  <c r="P12" i="1"/>
  <c r="P81" i="1" s="1"/>
  <c r="P83" i="1" l="1"/>
  <c r="P94" i="1"/>
  <c r="J229" i="100" s="1"/>
  <c r="M5" i="20"/>
  <c r="M19" i="20" s="1"/>
  <c r="D41" i="24"/>
  <c r="G41" i="24" s="1"/>
  <c r="D15" i="20"/>
  <c r="F84" i="1"/>
  <c r="P92" i="1"/>
  <c r="U111" i="94"/>
  <c r="U113" i="94" s="1"/>
  <c r="U89" i="94"/>
  <c r="V87" i="94"/>
  <c r="W87" i="94" s="1"/>
  <c r="P111" i="94"/>
  <c r="S89" i="94"/>
  <c r="C27" i="22"/>
  <c r="C29" i="22" s="1"/>
  <c r="E9" i="23" l="1"/>
  <c r="H41" i="24"/>
  <c r="H48" i="24" s="1"/>
  <c r="H52" i="24" s="1"/>
  <c r="D17" i="20"/>
  <c r="M17" i="20" s="1"/>
  <c r="M15" i="20"/>
  <c r="Q111" i="94"/>
  <c r="S111" i="94"/>
  <c r="V111" i="94" s="1"/>
  <c r="H54" i="24" l="1"/>
  <c r="I9" i="23"/>
  <c r="E18" i="23"/>
  <c r="I18" i="23" s="1"/>
  <c r="J43" i="55" l="1"/>
  <c r="H43" i="55"/>
  <c r="F27" i="21" l="1"/>
  <c r="H27" i="21"/>
  <c r="H51" i="55"/>
  <c r="J51" i="55"/>
  <c r="K43" i="55"/>
  <c r="O47" i="55"/>
  <c r="I43" i="55"/>
  <c r="L43" i="55"/>
  <c r="J27" i="21" l="1"/>
  <c r="L51" i="55"/>
  <c r="G27" i="21"/>
  <c r="G31" i="21" s="1"/>
  <c r="I51" i="55"/>
  <c r="M43" i="55"/>
  <c r="M29" i="21"/>
  <c r="O53" i="55"/>
  <c r="G43" i="55"/>
  <c r="E36" i="22" s="1"/>
  <c r="I27" i="21"/>
  <c r="K51" i="55"/>
  <c r="C22" i="10"/>
  <c r="G45" i="55" l="1"/>
  <c r="G51" i="55"/>
  <c r="E27" i="21"/>
  <c r="K27" i="21"/>
  <c r="M51" i="55"/>
  <c r="E28" i="21" l="1"/>
  <c r="E36" i="21"/>
  <c r="E31" i="21"/>
  <c r="C24" i="10"/>
  <c r="E7" i="22" s="1"/>
  <c r="G24" i="10"/>
  <c r="I7" i="22" s="1"/>
  <c r="F24" i="10"/>
  <c r="H7" i="22" s="1"/>
  <c r="E24" i="10"/>
  <c r="G7" i="22" s="1"/>
  <c r="D24" i="10"/>
  <c r="F7" i="22" s="1"/>
  <c r="J7" i="22"/>
  <c r="I24" i="10"/>
  <c r="K7" i="22" s="1"/>
  <c r="J24" i="10"/>
  <c r="H12" i="55" l="1"/>
  <c r="H13" i="55" s="1"/>
  <c r="D6" i="56" s="1"/>
  <c r="D16" i="56" s="1"/>
  <c r="D18" i="56" s="1"/>
  <c r="F19" i="22"/>
  <c r="F27" i="22"/>
  <c r="F29" i="22" s="1"/>
  <c r="K12" i="55"/>
  <c r="I19" i="22"/>
  <c r="I27" i="22"/>
  <c r="I29" i="22" s="1"/>
  <c r="M12" i="55"/>
  <c r="M13" i="55" s="1"/>
  <c r="I6" i="56" s="1"/>
  <c r="I16" i="56" s="1"/>
  <c r="I18" i="56" s="1"/>
  <c r="K19" i="22"/>
  <c r="I12" i="55"/>
  <c r="I13" i="55" s="1"/>
  <c r="G19" i="22"/>
  <c r="G27" i="22"/>
  <c r="G29" i="22" s="1"/>
  <c r="L12" i="55"/>
  <c r="L13" i="55" s="1"/>
  <c r="J27" i="22"/>
  <c r="J29" i="22" s="1"/>
  <c r="J19" i="22"/>
  <c r="J12" i="55"/>
  <c r="J13" i="55" s="1"/>
  <c r="H19" i="22"/>
  <c r="H27" i="22"/>
  <c r="H29" i="22" s="1"/>
  <c r="G12" i="55"/>
  <c r="G13" i="55" s="1"/>
  <c r="L7" i="22"/>
  <c r="E19" i="22"/>
  <c r="E27" i="22"/>
  <c r="E29" i="22" s="1"/>
  <c r="I52" i="55" l="1"/>
  <c r="E6" i="56"/>
  <c r="E16" i="56" s="1"/>
  <c r="E18" i="56" s="1"/>
  <c r="J52" i="55"/>
  <c r="F6" i="56"/>
  <c r="F16" i="56" s="1"/>
  <c r="F18" i="56" s="1"/>
  <c r="G52" i="55"/>
  <c r="C6" i="56"/>
  <c r="L52" i="55"/>
  <c r="H6" i="56"/>
  <c r="H16" i="56" s="1"/>
  <c r="H18" i="56" s="1"/>
  <c r="J8" i="21"/>
  <c r="G8" i="21"/>
  <c r="E8" i="21"/>
  <c r="H8" i="21"/>
  <c r="I8" i="21"/>
  <c r="F8" i="21"/>
  <c r="K8" i="21"/>
  <c r="K27" i="22"/>
  <c r="K29" i="22" s="1"/>
  <c r="E32" i="22"/>
  <c r="N12" i="55"/>
  <c r="Q12" i="55" s="1"/>
  <c r="Q13" i="55" s="1"/>
  <c r="K13" i="55"/>
  <c r="G6" i="56" s="1"/>
  <c r="G16" i="56" s="1"/>
  <c r="G18" i="56" s="1"/>
  <c r="L19" i="22"/>
  <c r="O7" i="22"/>
  <c r="O19" i="22" s="1"/>
  <c r="M52" i="55"/>
  <c r="H52" i="55"/>
  <c r="S34" i="55" l="1"/>
  <c r="M6" i="56"/>
  <c r="L8" i="21"/>
  <c r="L29" i="22"/>
  <c r="I32" i="22" s="1"/>
  <c r="L27" i="22"/>
  <c r="Q8" i="22"/>
  <c r="O27" i="22"/>
  <c r="O29" i="22" s="1"/>
  <c r="P7" i="22"/>
  <c r="N13" i="55"/>
  <c r="K52" i="55"/>
  <c r="J6" i="56" l="1"/>
  <c r="Q20" i="22"/>
  <c r="O8" i="21"/>
  <c r="P19" i="22"/>
  <c r="J8" i="55" l="1"/>
  <c r="H9" i="21" l="1"/>
  <c r="J15" i="55"/>
  <c r="J36" i="55" s="1"/>
  <c r="K8" i="55"/>
  <c r="H8" i="55"/>
  <c r="F9" i="21" l="1"/>
  <c r="H15" i="55"/>
  <c r="H36" i="55" s="1"/>
  <c r="I9" i="21"/>
  <c r="K15" i="55"/>
  <c r="K36" i="55" s="1"/>
  <c r="H19" i="21"/>
  <c r="H10" i="21"/>
  <c r="I8" i="55"/>
  <c r="G8" i="55"/>
  <c r="F8" i="55"/>
  <c r="O8" i="55"/>
  <c r="H24" i="21" l="1"/>
  <c r="O15" i="55"/>
  <c r="O36" i="55" s="1"/>
  <c r="M9" i="21"/>
  <c r="E9" i="21"/>
  <c r="G15" i="55"/>
  <c r="G36" i="55" s="1"/>
  <c r="G9" i="21"/>
  <c r="I15" i="55"/>
  <c r="I36" i="55" s="1"/>
  <c r="I21" i="21"/>
  <c r="I10" i="21"/>
  <c r="I24" i="21"/>
  <c r="F19" i="21"/>
  <c r="F10" i="21"/>
  <c r="F15" i="55"/>
  <c r="F36" i="55" s="1"/>
  <c r="F40" i="55" s="1"/>
  <c r="D9" i="21"/>
  <c r="D10" i="21" s="1"/>
  <c r="D15" i="21" s="1"/>
  <c r="D17" i="21" s="1"/>
  <c r="H21" i="21"/>
  <c r="M8" i="55"/>
  <c r="G19" i="21" l="1"/>
  <c r="G24" i="21" s="1"/>
  <c r="G32" i="21" s="1"/>
  <c r="G34" i="21" s="1"/>
  <c r="G35" i="21" s="1"/>
  <c r="E19" i="21"/>
  <c r="E24" i="21"/>
  <c r="E37" i="21" s="1"/>
  <c r="F24" i="21"/>
  <c r="E10" i="21"/>
  <c r="D42" i="21"/>
  <c r="F21" i="21"/>
  <c r="G10" i="21"/>
  <c r="M24" i="21"/>
  <c r="M10" i="21"/>
  <c r="M21" i="21"/>
  <c r="K9" i="21"/>
  <c r="M15" i="55"/>
  <c r="M36" i="55" s="1"/>
  <c r="E21" i="21" l="1"/>
  <c r="K10" i="21"/>
  <c r="E32" i="21"/>
  <c r="E33" i="21" s="1"/>
  <c r="E38" i="21"/>
  <c r="G21" i="21"/>
  <c r="K24" i="21" l="1"/>
  <c r="K21" i="21"/>
  <c r="L19" i="21" l="1"/>
  <c r="O19" i="21" l="1"/>
  <c r="P8" i="55" l="1"/>
  <c r="N9" i="21" l="1"/>
  <c r="P15" i="55"/>
  <c r="P36" i="55" s="1"/>
  <c r="L8" i="55"/>
  <c r="N8" i="55" l="1"/>
  <c r="L15" i="55"/>
  <c r="J9" i="21"/>
  <c r="N21" i="21"/>
  <c r="N10" i="21"/>
  <c r="N24" i="21"/>
  <c r="J10" i="21" l="1"/>
  <c r="J24" i="21"/>
  <c r="L24" i="21" s="1"/>
  <c r="O24" i="21" s="1"/>
  <c r="J21" i="21"/>
  <c r="N15" i="55"/>
  <c r="N36" i="55" s="1"/>
  <c r="L36" i="55"/>
  <c r="Q8" i="55"/>
  <c r="L9" i="21"/>
  <c r="L10" i="21" l="1"/>
  <c r="Q9" i="21"/>
  <c r="L21" i="21"/>
  <c r="I38" i="55"/>
  <c r="K38" i="55"/>
  <c r="O9" i="21"/>
  <c r="H38" i="55"/>
  <c r="O38" i="55"/>
  <c r="G38" i="55"/>
  <c r="C19" i="56" s="1"/>
  <c r="J38" i="55"/>
  <c r="Q15" i="55"/>
  <c r="Q36" i="55" s="1"/>
  <c r="M38" i="55"/>
  <c r="P38" i="55"/>
  <c r="L38" i="55"/>
  <c r="M40" i="55" l="1"/>
  <c r="I19" i="56"/>
  <c r="I20" i="56" s="1"/>
  <c r="O40" i="55"/>
  <c r="K19" i="56"/>
  <c r="K20" i="56" s="1"/>
  <c r="I40" i="55"/>
  <c r="E19" i="56"/>
  <c r="E20" i="56" s="1"/>
  <c r="H40" i="55"/>
  <c r="D19" i="56"/>
  <c r="D20" i="56" s="1"/>
  <c r="L40" i="55"/>
  <c r="H19" i="56"/>
  <c r="H20" i="56" s="1"/>
  <c r="J40" i="55"/>
  <c r="F19" i="56"/>
  <c r="F20" i="56" s="1"/>
  <c r="P40" i="55"/>
  <c r="L19" i="56"/>
  <c r="L20" i="56" s="1"/>
  <c r="K40" i="55"/>
  <c r="G19" i="56"/>
  <c r="G20" i="56" s="1"/>
  <c r="L12" i="21"/>
  <c r="I12" i="21"/>
  <c r="I13" i="21" s="1"/>
  <c r="I15" i="21" s="1"/>
  <c r="I17" i="21" s="1"/>
  <c r="E12" i="21"/>
  <c r="E13" i="21" s="1"/>
  <c r="F12" i="21"/>
  <c r="F13" i="21" s="1"/>
  <c r="F15" i="21" s="1"/>
  <c r="F17" i="21" s="1"/>
  <c r="O10" i="21"/>
  <c r="O12" i="21"/>
  <c r="H12" i="21"/>
  <c r="H13" i="21" s="1"/>
  <c r="H15" i="21" s="1"/>
  <c r="H17" i="21" s="1"/>
  <c r="K12" i="21"/>
  <c r="K13" i="21" s="1"/>
  <c r="K15" i="21" s="1"/>
  <c r="K17" i="21" s="1"/>
  <c r="G12" i="21"/>
  <c r="G13" i="21" s="1"/>
  <c r="G15" i="21" s="1"/>
  <c r="G17" i="21" s="1"/>
  <c r="M12" i="21"/>
  <c r="M13" i="21" s="1"/>
  <c r="M15" i="21" s="1"/>
  <c r="M17" i="21" s="1"/>
  <c r="O21" i="21"/>
  <c r="N12" i="21"/>
  <c r="N13" i="21" s="1"/>
  <c r="N15" i="21" s="1"/>
  <c r="N17" i="21" s="1"/>
  <c r="J12" i="21"/>
  <c r="J13" i="21" s="1"/>
  <c r="J15" i="21" s="1"/>
  <c r="J17" i="21" s="1"/>
  <c r="N38" i="55"/>
  <c r="J19" i="56" s="1"/>
  <c r="G40" i="55"/>
  <c r="S41" i="55" l="1"/>
  <c r="G27" i="56"/>
  <c r="G21" i="56"/>
  <c r="G24" i="56"/>
  <c r="F24" i="56"/>
  <c r="F21" i="56"/>
  <c r="F27" i="56"/>
  <c r="D21" i="56"/>
  <c r="D27" i="56"/>
  <c r="D24" i="56"/>
  <c r="K24" i="56"/>
  <c r="K21" i="56"/>
  <c r="K27" i="56"/>
  <c r="L21" i="56"/>
  <c r="L27" i="56"/>
  <c r="L24" i="56"/>
  <c r="H27" i="56"/>
  <c r="H21" i="56"/>
  <c r="H24" i="56"/>
  <c r="E24" i="56"/>
  <c r="E27" i="56"/>
  <c r="E21" i="56"/>
  <c r="I24" i="56"/>
  <c r="I27" i="56"/>
  <c r="I21" i="56"/>
  <c r="Q38" i="55"/>
  <c r="N40" i="55"/>
  <c r="L13" i="21"/>
  <c r="O13" i="21" s="1"/>
  <c r="E15" i="21"/>
  <c r="Q40" i="55" l="1"/>
  <c r="M19" i="56"/>
  <c r="E17" i="21"/>
  <c r="L15" i="21"/>
  <c r="O15" i="21" l="1"/>
  <c r="L17" i="21"/>
  <c r="D41" i="21" l="1"/>
  <c r="Q29" i="21"/>
  <c r="O17" i="21"/>
  <c r="M101" i="100"/>
  <c r="M105" i="100"/>
  <c r="M112" i="100"/>
  <c r="M103" i="100"/>
  <c r="M104" i="100"/>
  <c r="M110" i="100"/>
  <c r="M106" i="100"/>
  <c r="M111" i="100"/>
  <c r="M109" i="100"/>
  <c r="M102" i="100"/>
  <c r="M108" i="100"/>
  <c r="M107" i="100"/>
  <c r="Q212" i="100"/>
  <c r="C7" i="56"/>
  <c r="C38" i="56" s="1"/>
  <c r="J7" i="56" l="1"/>
  <c r="M7" i="56" s="1"/>
  <c r="M16" i="56" s="1"/>
  <c r="M18" i="56" s="1"/>
  <c r="M20" i="56" s="1"/>
  <c r="M27" i="56" s="1"/>
  <c r="C16" i="56"/>
  <c r="O221" i="100"/>
  <c r="Q221" i="100" s="1"/>
  <c r="J38" i="56"/>
  <c r="M21" i="56" l="1"/>
  <c r="M24" i="56"/>
  <c r="C18" i="56"/>
  <c r="C20" i="56" s="1"/>
  <c r="J16" i="56"/>
  <c r="J18" i="56" s="1"/>
  <c r="J20" i="56" s="1"/>
  <c r="J24" i="56" l="1"/>
  <c r="J27" i="56"/>
  <c r="J21" i="56"/>
  <c r="C24" i="56"/>
  <c r="C27" i="56"/>
  <c r="C21" i="56"/>
</calcChain>
</file>

<file path=xl/comments1.xml><?xml version="1.0" encoding="utf-8"?>
<comments xmlns="http://schemas.openxmlformats.org/spreadsheetml/2006/main">
  <authors>
    <author>Marybeth Purvis</author>
  </authors>
  <commentList>
    <comment ref="C108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sum of line 22,24,25,26 and 27 on Form 7
</t>
        </r>
      </text>
    </comment>
  </commentList>
</comments>
</file>

<file path=xl/comments2.xml><?xml version="1.0" encoding="utf-8"?>
<comments xmlns="http://schemas.openxmlformats.org/spreadsheetml/2006/main">
  <authors>
    <author>Marybeth Purvis</author>
  </authors>
  <commentList>
    <comment ref="D54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Key accounts 912.50 was added here
</t>
        </r>
      </text>
    </comment>
    <comment ref="M62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sum of directior's fee, misc, professional and rate case fees
</t>
        </r>
      </text>
    </comment>
    <comment ref="D88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LT Interest
</t>
        </r>
      </text>
    </comment>
    <comment ref="I88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LT interest adj
</t>
        </r>
      </text>
    </comment>
    <comment ref="C108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sum of line 22,24,25,26 and 27 on Form 7
</t>
        </r>
      </text>
    </comment>
    <comment ref="S111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Must equal base rates proposed test year on income statement
</t>
        </r>
      </text>
    </comment>
  </commentList>
</comments>
</file>

<file path=xl/comments3.xml><?xml version="1.0" encoding="utf-8"?>
<comments xmlns="http://schemas.openxmlformats.org/spreadsheetml/2006/main">
  <authors>
    <author>Marybeth Purvis</author>
  </authors>
  <commentList>
    <comment ref="E18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Matches Form 7 Part E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Matches Form 7 Part E=general + headquarters
</t>
        </r>
      </text>
    </comment>
    <comment ref="E24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Matches form 7.  Note  removed acct 389 to match
</t>
        </r>
      </text>
    </comment>
    <comment ref="E28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Sum matches Form 7 Bal Sheet line 4</t>
        </r>
      </text>
    </comment>
    <comment ref="E34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Matches Balance Sheet Form 7 line 2.
</t>
        </r>
      </text>
    </comment>
    <comment ref="E38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Matches form 7 balance sheet line 23
</t>
        </r>
      </text>
    </comment>
    <comment ref="E39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Matches Form 7 balance sheet line 24
</t>
        </r>
      </text>
    </comment>
  </commentList>
</comments>
</file>

<file path=xl/comments4.xml><?xml version="1.0" encoding="utf-8"?>
<comments xmlns="http://schemas.openxmlformats.org/spreadsheetml/2006/main">
  <authors>
    <author>Marybeth Purvis</author>
  </authors>
  <commentList>
    <comment ref="Q47" authorId="0">
      <text>
        <r>
          <rPr>
            <b/>
            <sz val="9"/>
            <color indexed="81"/>
            <rFont val="Tahoma"/>
            <family val="2"/>
          </rPr>
          <t>Marybeth Purvis:</t>
        </r>
        <r>
          <rPr>
            <sz val="9"/>
            <color indexed="81"/>
            <rFont val="Tahoma"/>
            <family val="2"/>
          </rPr>
          <t xml:space="preserve">
I have demand from B and G added.  
</t>
        </r>
      </text>
    </comment>
  </commentList>
</comments>
</file>

<file path=xl/sharedStrings.xml><?xml version="1.0" encoding="utf-8"?>
<sst xmlns="http://schemas.openxmlformats.org/spreadsheetml/2006/main" count="2164" uniqueCount="683">
  <si>
    <t>Test Year</t>
  </si>
  <si>
    <t xml:space="preserve"> </t>
  </si>
  <si>
    <t>Adjusted</t>
  </si>
  <si>
    <t>Puchased</t>
  </si>
  <si>
    <t>Power</t>
  </si>
  <si>
    <t>Lines</t>
  </si>
  <si>
    <t>Trans-</t>
  </si>
  <si>
    <t>formers</t>
  </si>
  <si>
    <t>Services</t>
  </si>
  <si>
    <t>Meters</t>
  </si>
  <si>
    <t>Consumer</t>
  </si>
  <si>
    <t>Services &amp;</t>
  </si>
  <si>
    <t>Accounting</t>
  </si>
  <si>
    <t>Lighting</t>
  </si>
  <si>
    <t>FUNCTIONALIZATION</t>
  </si>
  <si>
    <t>Total</t>
  </si>
  <si>
    <t>Acct</t>
  </si>
  <si>
    <t>Description</t>
  </si>
  <si>
    <t>No.</t>
  </si>
  <si>
    <t>Purchased Power</t>
  </si>
  <si>
    <t xml:space="preserve">Total Purchased Power </t>
  </si>
  <si>
    <t>Operations Supv &amp; Eng</t>
  </si>
  <si>
    <t>Station Expense</t>
  </si>
  <si>
    <t>Overhead Line Exp.</t>
  </si>
  <si>
    <t>Underground Line Exp</t>
  </si>
  <si>
    <t>Meter Expense</t>
  </si>
  <si>
    <t>Consumer Installations</t>
  </si>
  <si>
    <t>Misc. Distribution Exp</t>
  </si>
  <si>
    <t>Rents</t>
  </si>
  <si>
    <t>Maint Supv &amp; Eng</t>
  </si>
  <si>
    <t>Maint of Station Equip</t>
  </si>
  <si>
    <t>Maint. Overhead Lines</t>
  </si>
  <si>
    <t>Maint of Underground Lines</t>
  </si>
  <si>
    <t>Maint Line Transformers</t>
  </si>
  <si>
    <t>Maintenance of Meters</t>
  </si>
  <si>
    <t>Maint Misc Distrib Plant</t>
  </si>
  <si>
    <t>Supervision</t>
  </si>
  <si>
    <t>Meter Reading Expense</t>
  </si>
  <si>
    <t>Cons Recds &amp; Collections</t>
  </si>
  <si>
    <t>Uncollectible Accounts</t>
  </si>
  <si>
    <t>Customer Information</t>
  </si>
  <si>
    <t>Administrative Salaries</t>
  </si>
  <si>
    <t>Office Supplies</t>
  </si>
  <si>
    <t>Outside Services</t>
  </si>
  <si>
    <t>Property Ins</t>
  </si>
  <si>
    <t>Injuries &amp; Damages</t>
  </si>
  <si>
    <t>Employ Pensions &amp; Benef</t>
  </si>
  <si>
    <t>Regulatory Exp</t>
  </si>
  <si>
    <t xml:space="preserve">Duplicate Charges </t>
  </si>
  <si>
    <t>Misc General Exp</t>
  </si>
  <si>
    <t>Total Admin &amp; General</t>
  </si>
  <si>
    <t>Deprec. Distribution Plant</t>
  </si>
  <si>
    <t>Deprec. General Plant</t>
  </si>
  <si>
    <t>Total Depreciation</t>
  </si>
  <si>
    <t>Total Miscellaneous</t>
  </si>
  <si>
    <t>Interest - RUS Constuc</t>
  </si>
  <si>
    <t>Total Interest on LTD</t>
  </si>
  <si>
    <t>Other Interest Expense</t>
  </si>
  <si>
    <t>Total Costs</t>
  </si>
  <si>
    <t>Margin Requirements</t>
  </si>
  <si>
    <t>Less;  Misc Income</t>
  </si>
  <si>
    <t>Forfeited Discounts</t>
  </si>
  <si>
    <t>Misc Service Revenue</t>
  </si>
  <si>
    <t>Rent from Electric Prop.</t>
  </si>
  <si>
    <t>Total Misc Income</t>
  </si>
  <si>
    <t>Less:  Other Income</t>
  </si>
  <si>
    <t>Interest Income</t>
  </si>
  <si>
    <t>Misc. Non-operating Income</t>
  </si>
  <si>
    <t>Other Capital Credits</t>
  </si>
  <si>
    <t>Total Other Income</t>
  </si>
  <si>
    <t xml:space="preserve">Revenue Requirements   </t>
  </si>
  <si>
    <t xml:space="preserve">     from Rates</t>
  </si>
  <si>
    <t>Actual</t>
  </si>
  <si>
    <t>Adjust</t>
  </si>
  <si>
    <t>ments</t>
  </si>
  <si>
    <t>TEST YEAR EXPENSES</t>
  </si>
  <si>
    <t>Total Dist. Operations</t>
  </si>
  <si>
    <t xml:space="preserve"> Total Consum Accts</t>
  </si>
  <si>
    <t>Total Customer Serv.</t>
  </si>
  <si>
    <t>Total Dist. Maint.</t>
  </si>
  <si>
    <t>Total Revenue Require.</t>
  </si>
  <si>
    <t>Total ST Interest</t>
  </si>
  <si>
    <t>Allocation</t>
  </si>
  <si>
    <t>Basis</t>
  </si>
  <si>
    <t>DA</t>
  </si>
  <si>
    <t>Alloc.</t>
  </si>
  <si>
    <t>Allocation of Dist. Oper. Supervision &amp; Miscellaneous Expenses</t>
  </si>
  <si>
    <t>Allocation of Dist. Maint. Supervision &amp; Miscellaneous Expenses</t>
  </si>
  <si>
    <t>Superv</t>
  </si>
  <si>
    <t>Miscell.</t>
  </si>
  <si>
    <t>Exp.</t>
  </si>
  <si>
    <t>%</t>
  </si>
  <si>
    <t>Subtotal</t>
  </si>
  <si>
    <t>Poles</t>
  </si>
  <si>
    <t>Conductor</t>
  </si>
  <si>
    <t>Transformers</t>
  </si>
  <si>
    <t>&amp; Accounting</t>
  </si>
  <si>
    <t>$$$$</t>
  </si>
  <si>
    <t>Total Distribution Plant</t>
  </si>
  <si>
    <t>Total General Plant</t>
  </si>
  <si>
    <t>Total Utility Plant</t>
  </si>
  <si>
    <t>Accum. Depreciation</t>
  </si>
  <si>
    <t>Net Plant</t>
  </si>
  <si>
    <t>CWIP</t>
  </si>
  <si>
    <t>Plus</t>
  </si>
  <si>
    <t>Cash Working Capital</t>
  </si>
  <si>
    <t>Materials &amp; Supplies</t>
  </si>
  <si>
    <t>Prepayments</t>
  </si>
  <si>
    <t xml:space="preserve">Minus:  Consumer Advances </t>
  </si>
  <si>
    <t>Net Investment Rate Base</t>
  </si>
  <si>
    <t>Percentage</t>
  </si>
  <si>
    <t xml:space="preserve"> Transformers</t>
  </si>
  <si>
    <t>Percent</t>
  </si>
  <si>
    <t>Meter</t>
  </si>
  <si>
    <t>Amount</t>
  </si>
  <si>
    <t>Consumer Accounts</t>
  </si>
  <si>
    <t>Distribution Plant</t>
  </si>
  <si>
    <t>General Plant</t>
  </si>
  <si>
    <t>A.  Lines (poles and conduit)</t>
  </si>
  <si>
    <t>Number of</t>
  </si>
  <si>
    <t>B.  Transformers</t>
  </si>
  <si>
    <t>Rate Class</t>
  </si>
  <si>
    <t>Consumers</t>
  </si>
  <si>
    <t>Weight</t>
  </si>
  <si>
    <t>Number</t>
  </si>
  <si>
    <t>Size</t>
  </si>
  <si>
    <t>Service</t>
  </si>
  <si>
    <t>D.  Meters</t>
  </si>
  <si>
    <t>E.  Consumer &amp; Accounting Services</t>
  </si>
  <si>
    <t>Expense</t>
  </si>
  <si>
    <t>Factor</t>
  </si>
  <si>
    <t>Demand</t>
  </si>
  <si>
    <t>Investment</t>
  </si>
  <si>
    <t>Unit Cost</t>
  </si>
  <si>
    <t>of Units</t>
  </si>
  <si>
    <t>Number of poles</t>
  </si>
  <si>
    <t>Consumer Related Investment</t>
  </si>
  <si>
    <t>Percent Customer Related</t>
  </si>
  <si>
    <t>Percent Demand Related</t>
  </si>
  <si>
    <t xml:space="preserve">Consumer </t>
  </si>
  <si>
    <t>Distribution Maintenance</t>
  </si>
  <si>
    <t>Demand Related</t>
  </si>
  <si>
    <t>SUBTOTAL</t>
  </si>
  <si>
    <t>TOTAL</t>
  </si>
  <si>
    <t>Breakdown of Lines into Demand Related and Consumer Related Components</t>
  </si>
  <si>
    <t>All other OH Conductor Invest.</t>
  </si>
  <si>
    <t xml:space="preserve">  </t>
  </si>
  <si>
    <t>Month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</si>
  <si>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</si>
  <si>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</si>
  <si>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</si>
  <si>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</si>
  <si>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</si>
  <si>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</si>
  <si>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</si>
  <si>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</si>
  <si>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</si>
  <si>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</si>
  <si>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</si>
  <si>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</si>
  <si>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Distibution Operations</t>
  </si>
  <si>
    <t>Customer Service</t>
  </si>
  <si>
    <t>Administative &amp; General</t>
  </si>
  <si>
    <t>Depreciation</t>
  </si>
  <si>
    <t>Miscellaneous</t>
  </si>
  <si>
    <t>Interest on Long Term Debt</t>
  </si>
  <si>
    <t>Revenue Requirements</t>
  </si>
  <si>
    <t>Expenses</t>
  </si>
  <si>
    <t>Short Term Interest</t>
  </si>
  <si>
    <t xml:space="preserve">Purchased </t>
  </si>
  <si>
    <t>Related</t>
  </si>
  <si>
    <t>Costs</t>
  </si>
  <si>
    <t xml:space="preserve">Demand </t>
  </si>
  <si>
    <t>Consumer Related Costs</t>
  </si>
  <si>
    <t>Energy Related</t>
  </si>
  <si>
    <t>Energy</t>
  </si>
  <si>
    <t xml:space="preserve">Consumer Services </t>
  </si>
  <si>
    <t xml:space="preserve">   &amp; Accounting</t>
  </si>
  <si>
    <t xml:space="preserve">Lines </t>
  </si>
  <si>
    <t>Consumer Services</t>
  </si>
  <si>
    <t xml:space="preserve">     &amp; Accounting</t>
  </si>
  <si>
    <t>Consumer Related</t>
  </si>
  <si>
    <t>Total Revenue</t>
  </si>
  <si>
    <t xml:space="preserve">   Requirements</t>
  </si>
  <si>
    <t>Line Expenses are Allocated between Lines and Services Based on Plant Investment.</t>
  </si>
  <si>
    <t>General Plant Percent</t>
  </si>
  <si>
    <t>Distibution Plant Percent</t>
  </si>
  <si>
    <t>Net Plant Percent</t>
  </si>
  <si>
    <t>General Plant Allocation Comes From the Rate Base Schedule Line General Plant Percent</t>
  </si>
  <si>
    <t>Rate Base Allocation Comes from the Rate Base Schedule Line Rate Base Percent.</t>
  </si>
  <si>
    <t>FOOTNOTES</t>
  </si>
  <si>
    <t>Utility Plant Percent</t>
  </si>
  <si>
    <t>Distribution Plant Balances</t>
  </si>
  <si>
    <t xml:space="preserve"> Plant</t>
  </si>
  <si>
    <t>Account</t>
  </si>
  <si>
    <t>Predicted</t>
  </si>
  <si>
    <t>1.  Actual Data</t>
  </si>
  <si>
    <t>2. Demand and Consumer Investment Percents</t>
  </si>
  <si>
    <t>Amount of Conduit</t>
  </si>
  <si>
    <t>Allocation %</t>
  </si>
  <si>
    <t>Classifi-</t>
  </si>
  <si>
    <t>cation</t>
  </si>
  <si>
    <t>Function</t>
  </si>
  <si>
    <t>Street</t>
  </si>
  <si>
    <t>Security</t>
  </si>
  <si>
    <t>Maintenance of Gen. Plant</t>
  </si>
  <si>
    <t>Customer Accounting</t>
  </si>
  <si>
    <t xml:space="preserve">Street </t>
  </si>
  <si>
    <t>Minimum</t>
  </si>
  <si>
    <t>Cost of</t>
  </si>
  <si>
    <t>Transform.</t>
  </si>
  <si>
    <t>Weighted</t>
  </si>
  <si>
    <t>Cost</t>
  </si>
  <si>
    <t>Customers</t>
  </si>
  <si>
    <t>of</t>
  </si>
  <si>
    <t xml:space="preserve">Number </t>
  </si>
  <si>
    <t>Relative</t>
  </si>
  <si>
    <t>C.  Services</t>
  </si>
  <si>
    <t>Min = 1</t>
  </si>
  <si>
    <t xml:space="preserve">Per </t>
  </si>
  <si>
    <t>Unit</t>
  </si>
  <si>
    <t>Average</t>
  </si>
  <si>
    <t>Length of</t>
  </si>
  <si>
    <t>Outdoor</t>
  </si>
  <si>
    <t>Under (Over)</t>
  </si>
  <si>
    <t>Less Other Revenue</t>
  </si>
  <si>
    <t>SUMMARY</t>
  </si>
  <si>
    <t>Mis. Customer Information</t>
  </si>
  <si>
    <t>Consumer Information</t>
  </si>
  <si>
    <t>Street Lights</t>
  </si>
  <si>
    <t>Acct.</t>
  </si>
  <si>
    <t>Adjustment</t>
  </si>
  <si>
    <t>(a)</t>
  </si>
  <si>
    <t>Poles and Conductor</t>
  </si>
  <si>
    <t>$$$</t>
  </si>
  <si>
    <t>Security Lighting</t>
  </si>
  <si>
    <t>Street Lighting</t>
  </si>
  <si>
    <t>Misc. Exp.</t>
  </si>
  <si>
    <t>ENERGY KWH</t>
  </si>
  <si>
    <t>Revenue Increase</t>
  </si>
  <si>
    <t>Stations</t>
  </si>
  <si>
    <t>Records</t>
  </si>
  <si>
    <t>COST OF SERVICE STUDY</t>
  </si>
  <si>
    <t>Witness:  Jim Adkins</t>
  </si>
  <si>
    <t>Interest - CFC</t>
  </si>
  <si>
    <t>Contributions</t>
  </si>
  <si>
    <t>Return Check Charge</t>
  </si>
  <si>
    <t>Demand Charges</t>
  </si>
  <si>
    <t>Energy Charges</t>
  </si>
  <si>
    <t>Renewable Resource Energy</t>
  </si>
  <si>
    <t>TIER</t>
  </si>
  <si>
    <t>y=b*m^x</t>
  </si>
  <si>
    <t>Slope</t>
  </si>
  <si>
    <t>Y intercept</t>
  </si>
  <si>
    <t>Use Intercept</t>
  </si>
  <si>
    <t>50 KVA</t>
  </si>
  <si>
    <t>Security Lights</t>
  </si>
  <si>
    <t>Residential</t>
  </si>
  <si>
    <t>Station Equipment</t>
  </si>
  <si>
    <t>Underground Conductor</t>
  </si>
  <si>
    <t>Land and Land Rights</t>
  </si>
  <si>
    <t>Poles, Towers &amp; Fixtures</t>
  </si>
  <si>
    <t>Overhead Conductor &amp; Devices</t>
  </si>
  <si>
    <t>Line Transformers</t>
  </si>
  <si>
    <t>Total all Expenses</t>
  </si>
  <si>
    <t>Functions as % of Total</t>
  </si>
  <si>
    <t>Admin &amp; General Expense Allocation except General Plant</t>
  </si>
  <si>
    <t>Use zero intercept</t>
  </si>
  <si>
    <t>Number of Transformers</t>
  </si>
  <si>
    <t>Rate Revenue Percent</t>
  </si>
  <si>
    <t>Transfomers</t>
  </si>
  <si>
    <t>Actual Revenue from Rates</t>
  </si>
  <si>
    <t>Total Investment in Poles</t>
  </si>
  <si>
    <t>All other items</t>
  </si>
  <si>
    <t>Formula</t>
  </si>
  <si>
    <t>Size of Pole</t>
  </si>
  <si>
    <t>Average Cost</t>
  </si>
  <si>
    <t>Per Unit</t>
  </si>
  <si>
    <t>2.  Determination of Demand and Consumer Related Investment</t>
  </si>
  <si>
    <t>ACCOUNT 364 - POLES</t>
  </si>
  <si>
    <t>REGRESSION LINE DATA</t>
  </si>
  <si>
    <t>Relevant Data</t>
  </si>
  <si>
    <t>ACCOUNT 365 - CONDUCTOR</t>
  </si>
  <si>
    <t>Consumer-Related</t>
  </si>
  <si>
    <t>Demand-Related</t>
  </si>
  <si>
    <t>Conuctor</t>
  </si>
  <si>
    <t>Per Unit Cost</t>
  </si>
  <si>
    <t>ACCOUNT 368 - TRANSFORMERS</t>
  </si>
  <si>
    <t>Type of Transfomer</t>
  </si>
  <si>
    <t>Size In</t>
  </si>
  <si>
    <t>KVA</t>
  </si>
  <si>
    <t>SUM OF MONTHLY CUSTOMER DEMANDS FOR EACH CLASS - KW</t>
  </si>
  <si>
    <t>Revenue from Rates</t>
  </si>
  <si>
    <t>Less Purchased Power Costs</t>
  </si>
  <si>
    <t xml:space="preserve">   Total  </t>
  </si>
  <si>
    <t>Gross Margin</t>
  </si>
  <si>
    <t>Less Distribution Costs</t>
  </si>
  <si>
    <t>Consumer Svc</t>
  </si>
  <si>
    <t xml:space="preserve">   &amp; Accouting</t>
  </si>
  <si>
    <t>Total Consumer Related</t>
  </si>
  <si>
    <t>Total Distribution Costs</t>
  </si>
  <si>
    <t>Income from Rate Revenue</t>
  </si>
  <si>
    <t>Other Revenue</t>
  </si>
  <si>
    <t xml:space="preserve">   Percent</t>
  </si>
  <si>
    <t>Total Investment in poles</t>
  </si>
  <si>
    <t>Total Investment in conductor</t>
  </si>
  <si>
    <t>Total Investment in transformers</t>
  </si>
  <si>
    <t>Amps</t>
  </si>
  <si>
    <t>SUMMARY OF CLASSIFICATION OF EXPENSES</t>
  </si>
  <si>
    <t>ALLOCATION OF EXPENSES TO RATE CLASSES</t>
  </si>
  <si>
    <t>Outdoor Lighting</t>
  </si>
  <si>
    <t>Net Margins</t>
  </si>
  <si>
    <t>FUNCTIONALIZATION OF RATE BASE</t>
  </si>
  <si>
    <t>ACCONT 368 - TRANSFORMERS CONTINUED</t>
  </si>
  <si>
    <t>Load Dispatching</t>
  </si>
  <si>
    <t>Key Accounts Expneses</t>
  </si>
  <si>
    <t>Other Electric Revenue</t>
  </si>
  <si>
    <t>Net Revenue from Merchandising</t>
  </si>
  <si>
    <t>Purchased</t>
  </si>
  <si>
    <t>Intercept</t>
  </si>
  <si>
    <t>Multiplier</t>
  </si>
  <si>
    <t>Demand Charge</t>
  </si>
  <si>
    <t>Customer Charge</t>
  </si>
  <si>
    <t>Energy Charge</t>
  </si>
  <si>
    <t>MONTHLY CONTRIBUTIONS TO EKPC COINCIDENT PEAK DEMAND - KW</t>
  </si>
  <si>
    <t>MONTHLY PEAK DEMANDS FOR EACH RATE CLASS</t>
  </si>
  <si>
    <t>5 KVA CONV</t>
  </si>
  <si>
    <t>15 KVA CONV</t>
  </si>
  <si>
    <t>Demand kW</t>
  </si>
  <si>
    <t>Metering Point &amp; Substations Charges</t>
  </si>
  <si>
    <t>Supervision, operations</t>
  </si>
  <si>
    <t>Overhead line</t>
  </si>
  <si>
    <t>Installations</t>
  </si>
  <si>
    <t>Miscellaneous distribution</t>
  </si>
  <si>
    <t>Supervision, maintenance</t>
  </si>
  <si>
    <t>Maintenance</t>
  </si>
  <si>
    <t>Underground</t>
  </si>
  <si>
    <t>Street lights</t>
  </si>
  <si>
    <t>Miscellaneous maintenance</t>
  </si>
  <si>
    <t>Meter reading</t>
  </si>
  <si>
    <t>Consumer records</t>
  </si>
  <si>
    <t>Supervision, Customer service</t>
  </si>
  <si>
    <t>Consumer accounting</t>
  </si>
  <si>
    <t>Consumer information</t>
  </si>
  <si>
    <t>Misc customer information</t>
  </si>
  <si>
    <t>Administrative</t>
  </si>
  <si>
    <t>Maintenance general plant</t>
  </si>
  <si>
    <t xml:space="preserve">Wages &amp; </t>
  </si>
  <si>
    <t xml:space="preserve">Salaries </t>
  </si>
  <si>
    <t>Payroll</t>
  </si>
  <si>
    <t>Tax</t>
  </si>
  <si>
    <t>Adj.</t>
  </si>
  <si>
    <t>FAS</t>
  </si>
  <si>
    <t>Retirement</t>
  </si>
  <si>
    <t>Health</t>
  </si>
  <si>
    <t>Insurance</t>
  </si>
  <si>
    <t>Cost of Merchandising</t>
  </si>
  <si>
    <t>Revenue fron Non-utility Operations</t>
  </si>
  <si>
    <t>Revenue from Non-operating rentals</t>
  </si>
  <si>
    <t>Underground Conduit</t>
  </si>
  <si>
    <t>Metering &amp; Substation</t>
  </si>
  <si>
    <t>Maint of Street Lights</t>
  </si>
  <si>
    <t>Consumer Charge Units</t>
  </si>
  <si>
    <t>Energy kWh</t>
  </si>
  <si>
    <t>BILLING UNITS</t>
  </si>
  <si>
    <t>Amount of</t>
  </si>
  <si>
    <t>Adjusments</t>
  </si>
  <si>
    <t>Miscellaneous Amortization</t>
  </si>
  <si>
    <t>PSC Assessment &amp; Sales Taxes</t>
  </si>
  <si>
    <t xml:space="preserve"> Total Consumer Accts</t>
  </si>
  <si>
    <t>425-426</t>
  </si>
  <si>
    <t>Transformer Size</t>
  </si>
  <si>
    <t>Actual Cost Per Unit</t>
  </si>
  <si>
    <t>Regression Equasion</t>
  </si>
  <si>
    <t>COST BASED RATES</t>
  </si>
  <si>
    <t xml:space="preserve">Billing </t>
  </si>
  <si>
    <t>1 x 2</t>
  </si>
  <si>
    <t xml:space="preserve">Number of </t>
  </si>
  <si>
    <t>3 x 4</t>
  </si>
  <si>
    <t>Amort of Prop Loasses and Undercovery</t>
  </si>
  <si>
    <t>Interest - FFB</t>
  </si>
  <si>
    <t>Advertising</t>
  </si>
  <si>
    <t>WellHeads</t>
  </si>
  <si>
    <t>Cash Working capital</t>
  </si>
  <si>
    <t>Materials and Supplies</t>
  </si>
  <si>
    <t>Consumer Advances</t>
  </si>
  <si>
    <t>Cunsumer Services &amp; Acct</t>
  </si>
  <si>
    <t>Rate Base Percent</t>
  </si>
  <si>
    <t>Exhibit R</t>
  </si>
  <si>
    <t>y=mx+b</t>
  </si>
  <si>
    <t xml:space="preserve">Used linear </t>
  </si>
  <si>
    <t>SLOPE - m</t>
  </si>
  <si>
    <t>Zero Intercept - b</t>
  </si>
  <si>
    <t>LINEAR CURVE DATA</t>
  </si>
  <si>
    <t>Linear Curve</t>
  </si>
  <si>
    <t>Amp Size</t>
  </si>
  <si>
    <t>10 KVA CONV</t>
  </si>
  <si>
    <t>25 KVA CONV</t>
  </si>
  <si>
    <t>37.5 KVA CONV</t>
  </si>
  <si>
    <t>50 KVA CONV</t>
  </si>
  <si>
    <t>75 KVA CONV</t>
  </si>
  <si>
    <t>100 KVA CONV</t>
  </si>
  <si>
    <t>167 KVA CONV</t>
  </si>
  <si>
    <t>1.5 KVA CSP</t>
  </si>
  <si>
    <t>25 KVA CSP</t>
  </si>
  <si>
    <t>37.5 KVA CSP</t>
  </si>
  <si>
    <t>50 KVA CSP</t>
  </si>
  <si>
    <t>SubTotal</t>
  </si>
  <si>
    <t>All Other Transformer Investment</t>
  </si>
  <si>
    <t>y=bm^x</t>
  </si>
  <si>
    <t>m</t>
  </si>
  <si>
    <t>Rate E</t>
  </si>
  <si>
    <t xml:space="preserve">Residential  </t>
  </si>
  <si>
    <t>G&amp;T Capital Credits</t>
  </si>
  <si>
    <t>Use linest Line</t>
  </si>
  <si>
    <t>1000 KVA</t>
  </si>
  <si>
    <t>15 KVA</t>
  </si>
  <si>
    <t>Materials</t>
  </si>
  <si>
    <t>&amp; Supplies</t>
  </si>
  <si>
    <t>December 2012</t>
  </si>
  <si>
    <t>January 2013</t>
  </si>
  <si>
    <t>CLASSIFICATION OF RATE BASE</t>
  </si>
  <si>
    <t xml:space="preserve">Related </t>
  </si>
  <si>
    <t xml:space="preserve">  Related</t>
  </si>
  <si>
    <t>Consumer &amp; Accounting Services</t>
  </si>
  <si>
    <t>ALLOCATION OF RATE BASE TO RATE CLASSES</t>
  </si>
  <si>
    <t>Consum. &amp; Acct. Serives</t>
  </si>
  <si>
    <t>fication</t>
  </si>
  <si>
    <t>Classi-</t>
  </si>
  <si>
    <t>Percent of Total</t>
  </si>
  <si>
    <t>GTCCs</t>
  </si>
  <si>
    <t xml:space="preserve">Page 1 of    </t>
  </si>
  <si>
    <t>Depreciaton</t>
  </si>
  <si>
    <t>Wages</t>
  </si>
  <si>
    <t>Taxes</t>
  </si>
  <si>
    <t>Interest</t>
  </si>
  <si>
    <t>&amp; Security</t>
  </si>
  <si>
    <t xml:space="preserve">G&amp;T </t>
  </si>
  <si>
    <t>Capital Credits</t>
  </si>
  <si>
    <t>Amort of Prop Losses and Undercovery</t>
  </si>
  <si>
    <t>Station</t>
  </si>
  <si>
    <t>Street Light Expense</t>
  </si>
  <si>
    <t>Employee Benefits</t>
  </si>
  <si>
    <t>Undergound Lines</t>
  </si>
  <si>
    <t>Underground Lines</t>
  </si>
  <si>
    <t>Maintenance Station Equip</t>
  </si>
  <si>
    <t>Misc Customer Info</t>
  </si>
  <si>
    <t>Key Accounts Expenses</t>
  </si>
  <si>
    <t>Key Accounts expenses</t>
  </si>
  <si>
    <t>Emp Pensions &amp; Benefits</t>
  </si>
  <si>
    <t>Property</t>
  </si>
  <si>
    <t>Donations</t>
  </si>
  <si>
    <t>&amp; General</t>
  </si>
  <si>
    <t>By Thru and Metering Point Charges</t>
  </si>
  <si>
    <t>Other</t>
  </si>
  <si>
    <t>Income</t>
  </si>
  <si>
    <t>Depreciation Expense Allocation Comes from the Distribution Plant Percent in Rate Base</t>
  </si>
  <si>
    <t>.</t>
  </si>
  <si>
    <t>35' Pole and under</t>
  </si>
  <si>
    <t>40' -45' Pole</t>
  </si>
  <si>
    <t>50' Pole and over</t>
  </si>
  <si>
    <t>Use Actual Value to 35 foot poles</t>
  </si>
  <si>
    <t>#6 ACWC</t>
  </si>
  <si>
    <t>#8 ACWC</t>
  </si>
  <si>
    <t>#556.1 ACSR</t>
  </si>
  <si>
    <t>300 KVA CONV</t>
  </si>
  <si>
    <t>10 KVA SP</t>
  </si>
  <si>
    <t>15 KVA SP</t>
  </si>
  <si>
    <t>25 KVA SP</t>
  </si>
  <si>
    <t>333 STEP DOWN</t>
  </si>
  <si>
    <t>Enviro</t>
  </si>
  <si>
    <t>watts</t>
  </si>
  <si>
    <t>Wausau</t>
  </si>
  <si>
    <t>over 500 kW</t>
  </si>
  <si>
    <t>#4 ACSR</t>
  </si>
  <si>
    <t>#2 ACSR</t>
  </si>
  <si>
    <t>#1/0 ACSR</t>
  </si>
  <si>
    <t>#2/0 ACSR</t>
  </si>
  <si>
    <t>#3/0 ACSR</t>
  </si>
  <si>
    <t>#4/0 ACSR</t>
  </si>
  <si>
    <t>336.4 MCM ACSR</t>
  </si>
  <si>
    <t>2/0 TPX</t>
  </si>
  <si>
    <t>4/0 TPX</t>
  </si>
  <si>
    <t>1.5 KVA CONV</t>
  </si>
  <si>
    <t>250 KVA CONV</t>
  </si>
  <si>
    <t>3 KVA CSP</t>
  </si>
  <si>
    <t>5 KVA CSP</t>
  </si>
  <si>
    <t>7.5 KVA CSP</t>
  </si>
  <si>
    <t>10 KVA CSP</t>
  </si>
  <si>
    <t>15 KVA CSP</t>
  </si>
  <si>
    <t>25 KVA URD</t>
  </si>
  <si>
    <t>50 KVA URD</t>
  </si>
  <si>
    <t>750 KVA CONV</t>
  </si>
  <si>
    <t>500 KVA PAD</t>
  </si>
  <si>
    <t>linear</t>
  </si>
  <si>
    <t>predicted</t>
  </si>
  <si>
    <t>Residential TOD</t>
  </si>
  <si>
    <t>Large Power (101-500 kW)</t>
  </si>
  <si>
    <t>Large Power (&gt;500 kW)</t>
  </si>
  <si>
    <t>CUST SUPPLY</t>
  </si>
  <si>
    <t>CUST SUPPLIED</t>
  </si>
  <si>
    <t xml:space="preserve">got cost from CPR </t>
  </si>
  <si>
    <t>AMR &amp; EP</t>
  </si>
  <si>
    <t>DMD AMR AND EP</t>
  </si>
  <si>
    <t>AX MTR</t>
  </si>
  <si>
    <t>Conventilan</t>
  </si>
  <si>
    <t>CSP</t>
  </si>
  <si>
    <t>SP</t>
  </si>
  <si>
    <t>Transformer</t>
  </si>
  <si>
    <t>1.5 kVa</t>
  </si>
  <si>
    <t>3 kVa</t>
  </si>
  <si>
    <t>5 kVa</t>
  </si>
  <si>
    <t>10 kVa</t>
  </si>
  <si>
    <t>15 kVa</t>
  </si>
  <si>
    <t>25 kVa</t>
  </si>
  <si>
    <t>37.5 kVa</t>
  </si>
  <si>
    <t>50 kVa</t>
  </si>
  <si>
    <t>7.5 kVa</t>
  </si>
  <si>
    <t>500 KVA Conv</t>
  </si>
  <si>
    <t>167 KVA PAD</t>
  </si>
  <si>
    <t>200 KVA PAD</t>
  </si>
  <si>
    <t>1500 KVA PAD</t>
  </si>
  <si>
    <t>2500 KVA PAD</t>
  </si>
  <si>
    <t>1000 KVA PAD</t>
  </si>
  <si>
    <t>15 KVA PAD</t>
  </si>
  <si>
    <t>25 KVA PAD</t>
  </si>
  <si>
    <t>37.5 KVA PAD</t>
  </si>
  <si>
    <t>50 KVA PAD</t>
  </si>
  <si>
    <t>75 KVA PAD</t>
  </si>
  <si>
    <t>300 KVA PAD</t>
  </si>
  <si>
    <t>75 KVA 3 PHASE</t>
  </si>
  <si>
    <t>1500 KVA 3 PHASE PAD</t>
  </si>
  <si>
    <t>Padmount</t>
  </si>
  <si>
    <t>B-2</t>
  </si>
  <si>
    <t>Small Commercial</t>
  </si>
  <si>
    <t>GS 1</t>
  </si>
  <si>
    <t>&amp; Farm</t>
  </si>
  <si>
    <t>&amp; Farm TOD</t>
  </si>
  <si>
    <t>SC1</t>
  </si>
  <si>
    <t>SC2</t>
  </si>
  <si>
    <t>LP1</t>
  </si>
  <si>
    <t>Gen Service</t>
  </si>
  <si>
    <t>0-100 kW</t>
  </si>
  <si>
    <t>Large Power</t>
  </si>
  <si>
    <t>under 500 kW</t>
  </si>
  <si>
    <t>LP2</t>
  </si>
  <si>
    <t>B-1</t>
  </si>
  <si>
    <t>Large Indust.</t>
  </si>
  <si>
    <t>Rate</t>
  </si>
  <si>
    <t>G-1</t>
  </si>
  <si>
    <t>Lights</t>
  </si>
  <si>
    <t>EKPC Sched</t>
  </si>
  <si>
    <t>E Rates</t>
  </si>
  <si>
    <t>for All</t>
  </si>
  <si>
    <t>Rate Classes</t>
  </si>
  <si>
    <t>Load Centers - Substations</t>
  </si>
  <si>
    <t>PF Penalty</t>
  </si>
  <si>
    <t>Contract</t>
  </si>
  <si>
    <t>Excess</t>
  </si>
  <si>
    <t>Interrupt.</t>
  </si>
  <si>
    <t>Buy-Thru</t>
  </si>
  <si>
    <t>On-Peak</t>
  </si>
  <si>
    <t>Off-Peak</t>
  </si>
  <si>
    <t>Metering</t>
  </si>
  <si>
    <t>Schedule B</t>
  </si>
  <si>
    <t>Schedule E</t>
  </si>
  <si>
    <t>Schedule G</t>
  </si>
  <si>
    <t>Load Centers</t>
  </si>
  <si>
    <t>Green Power</t>
  </si>
  <si>
    <t>Totals</t>
  </si>
  <si>
    <t>December 31, 2013</t>
  </si>
  <si>
    <t>Kwh</t>
  </si>
  <si>
    <t>Blue Grass Energy</t>
  </si>
  <si>
    <t xml:space="preserve">Case No.  </t>
  </si>
  <si>
    <t>Test Year Billing Determinants</t>
  </si>
  <si>
    <t>Demand includes power factor penalty</t>
  </si>
  <si>
    <t>Billing Demand</t>
  </si>
  <si>
    <t>Total KWH Billing includes green power</t>
  </si>
  <si>
    <t>SCH B</t>
  </si>
  <si>
    <t>Schedule E2</t>
  </si>
  <si>
    <t>Green</t>
  </si>
  <si>
    <t xml:space="preserve">Metering </t>
  </si>
  <si>
    <t>Substation Charge</t>
  </si>
  <si>
    <t>Sch B</t>
  </si>
  <si>
    <t>Interruptible</t>
  </si>
  <si>
    <t>Sch G</t>
  </si>
  <si>
    <t>KWH</t>
  </si>
  <si>
    <t>All KWH</t>
  </si>
  <si>
    <t>Point</t>
  </si>
  <si>
    <t>Ocotber</t>
  </si>
  <si>
    <t xml:space="preserve">Case No. </t>
  </si>
  <si>
    <t>Billing Rates</t>
  </si>
  <si>
    <t>KW-Sch B Contract</t>
  </si>
  <si>
    <t xml:space="preserve">  Excess Contract</t>
  </si>
  <si>
    <t>KW Interruptible</t>
  </si>
  <si>
    <t>KW-Sch G</t>
  </si>
  <si>
    <t>KW-Sch E</t>
  </si>
  <si>
    <t>KW-Sch E2</t>
  </si>
  <si>
    <t>KWH-Sch B</t>
  </si>
  <si>
    <t>KWH-Sch G</t>
  </si>
  <si>
    <t>KWH-Sch E On-Peak</t>
  </si>
  <si>
    <t>KWH-Sch E Off-Peak</t>
  </si>
  <si>
    <t>KWH-E2 On -Peak</t>
  </si>
  <si>
    <t>KWH-E2 Off-Peak</t>
  </si>
  <si>
    <t>KVA 1000-2999</t>
  </si>
  <si>
    <t>KVA 3000-7499</t>
  </si>
  <si>
    <t>KVA 7500-14999</t>
  </si>
  <si>
    <t>KVA 15000-99999</t>
  </si>
  <si>
    <t>Metering Point</t>
  </si>
  <si>
    <t>Total KWH Billing</t>
  </si>
  <si>
    <t>PF</t>
  </si>
  <si>
    <t>Buy Thru</t>
  </si>
  <si>
    <t>Total from</t>
  </si>
  <si>
    <t>Fuel</t>
  </si>
  <si>
    <t>Environmental</t>
  </si>
  <si>
    <t>Penalty</t>
  </si>
  <si>
    <t>Charge</t>
  </si>
  <si>
    <t>Charges</t>
  </si>
  <si>
    <t>Base Rates</t>
  </si>
  <si>
    <t>Surcharge</t>
  </si>
  <si>
    <t>DLC</t>
  </si>
  <si>
    <t>Normalized using rates effective</t>
  </si>
  <si>
    <t>Normalized Adjustment</t>
  </si>
  <si>
    <t>Analysis of Fuel Adjustment and Environmental Surcharge</t>
  </si>
  <si>
    <t>An analysis of fuel adjustment and environmental surcharge as purchased</t>
  </si>
  <si>
    <t>and passed on to consumers as follows:</t>
  </si>
  <si>
    <t>Sales</t>
  </si>
  <si>
    <t>The fuel purchased and environmental surcharge from East Kentucky Power</t>
  </si>
  <si>
    <t xml:space="preserve">Cooperative is passed on to the consumers using the Fuel Adjustment and </t>
  </si>
  <si>
    <t>Environmental Procedures established by this Commission.</t>
  </si>
  <si>
    <t>Purchase Power Costs - Schedule E</t>
  </si>
  <si>
    <t xml:space="preserve">Outdoor </t>
  </si>
  <si>
    <t xml:space="preserve">Total </t>
  </si>
  <si>
    <t>for Sched E</t>
  </si>
  <si>
    <t>for All Rate</t>
  </si>
  <si>
    <t>Schedules</t>
  </si>
  <si>
    <t>0-100 kW TOD</t>
  </si>
  <si>
    <t>0 -100 kW TOD</t>
  </si>
  <si>
    <t>Large Indust</t>
  </si>
  <si>
    <t>SC-1</t>
  </si>
  <si>
    <t>LP-2</t>
  </si>
  <si>
    <t>OL</t>
  </si>
  <si>
    <t>BLUE GRASS ENERGY</t>
  </si>
  <si>
    <t>October 2014 - Mary Elizabeth Purvis &amp; James Adkins</t>
  </si>
  <si>
    <t>COOPERATIVE</t>
  </si>
  <si>
    <t>CASE NO, 2014-00339</t>
  </si>
  <si>
    <t>Envirowatts</t>
  </si>
  <si>
    <t>Small Commercial TOD</t>
  </si>
  <si>
    <t>New Revenue Require.</t>
  </si>
  <si>
    <t>Billing Determinants</t>
  </si>
  <si>
    <t>Customer Charges</t>
  </si>
  <si>
    <t>5 KVA</t>
  </si>
  <si>
    <t>1/0 TPX</t>
  </si>
  <si>
    <t>Revenue</t>
  </si>
  <si>
    <t>Energy Revenue</t>
  </si>
  <si>
    <t>Energy Rate</t>
  </si>
  <si>
    <t>#4ACSR</t>
  </si>
  <si>
    <t>1/0 ACSR</t>
  </si>
  <si>
    <t>3/0 ACSR</t>
  </si>
  <si>
    <t>Consumer Charges</t>
  </si>
  <si>
    <t>CP Demand</t>
  </si>
  <si>
    <t>COSS Suggested</t>
  </si>
  <si>
    <t>Recommended Increase</t>
  </si>
  <si>
    <t>Percent Increase</t>
  </si>
  <si>
    <t xml:space="preserve">Rate </t>
  </si>
  <si>
    <t>Schedule</t>
  </si>
  <si>
    <t>Cons</t>
  </si>
  <si>
    <t>Cons.</t>
  </si>
  <si>
    <t>Acctg</t>
  </si>
  <si>
    <t>GS1 - Residential &amp; Farm</t>
  </si>
  <si>
    <t>GS1 - Residential &amp; Farm TOD</t>
  </si>
  <si>
    <t>SC1 - General Service</t>
  </si>
  <si>
    <t>SC2 - General Service TOD</t>
  </si>
  <si>
    <t>LP2 - Large Power Over 500 kW</t>
  </si>
  <si>
    <t>LP1 - Large Service 100-500 kW</t>
  </si>
  <si>
    <t>Outdoor Lights</t>
  </si>
  <si>
    <t>B2 - Large Industrial Rate</t>
  </si>
  <si>
    <t>G1 - Large Industrial Rate</t>
  </si>
  <si>
    <t>Margins before Other Revenue</t>
  </si>
  <si>
    <t>Return on Rate Base</t>
  </si>
  <si>
    <t>Increase in Revenue</t>
  </si>
  <si>
    <t>Data for Analysis</t>
  </si>
  <si>
    <t>Data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</si>
</sst>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0.0"/>
    <numFmt numFmtId="168" formatCode="0.000%"/>
    <numFmt numFmtId="169" formatCode="_(* #,##0.000_);_(* \(#,##0.000\);_(* &quot;-&quot;??_);_(@_)"/>
    <numFmt numFmtId="170" formatCode="0.0000"/>
    <numFmt numFmtId="171" formatCode="_(* #,##0.00000_);_(* \(#,##0.00000\);_(* &quot;-&quot;??_);_(@_)"/>
    <numFmt numFmtId="172" formatCode="0.00000%"/>
    <numFmt numFmtId="173" formatCode="_(* #,##0.000000_);_(* \(#,##0.000000\);_(* &quot;-&quot;??_);_(@_)"/>
    <numFmt numFmtId="174" formatCode="0.000"/>
    <numFmt numFmtId="175" formatCode="_(&quot;$&quot;* #,##0.000_);_(&quot;$&quot;* \(#,##0.000\);_(&quot;$&quot;* &quot;-&quot;??_);_(@_)"/>
    <numFmt numFmtId="176" formatCode="_(&quot;$&quot;* #,##0.0000_);_(&quot;$&quot;* \(#,##0.0000\);_(&quot;$&quot;* &quot;-&quot;??_);_(@_)"/>
    <numFmt numFmtId="177" formatCode="_(&quot;$&quot;* #,##0.00000_);_(&quot;$&quot;* \(#,##0.00000\);_(&quot;$&quot;* &quot;-&quot;??_);_(@_)"/>
    <numFmt numFmtId="178" formatCode="[$-409]mmmm\ d\,\ yyyy;@"/>
    <numFmt numFmtId="179" formatCode="&quot;$&quot;#,##0.00"/>
    <numFmt numFmtId="180" formatCode="&quot;$&quot;#,##0.000000"/>
    <numFmt numFmtId="181" formatCode="&quot;$&quot;#,##0"/>
    <numFmt numFmtId="182" formatCode="_(&quot;$&quot;* #,##0_);_(&quot;$&quot;* \(#,##0\);_(&quot;$&quot;* &quot;-&quot;??_);_(@_)"/>
    <numFmt numFmtId="183" formatCode="_(* #,##0.0000_);_(* \(#,##0.0000\);_(* &quot;-&quot;??_);_(@_)"/>
  </numFmts>
  <fonts count="48">
    <font>
      <sz val="10"/>
      <name val="Arial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sz val="10"/>
      <name val="P-TIMES"/>
    </font>
    <font>
      <sz val="10"/>
      <name val="Arial"/>
      <family val="2"/>
    </font>
    <font>
      <u val="singleAccounting"/>
      <sz val="10"/>
      <name val="Arial"/>
      <family val="2"/>
    </font>
    <font>
      <b/>
      <sz val="26"/>
      <name val="Arial"/>
      <family val="2"/>
    </font>
    <font>
      <u val="singleAccounting"/>
      <sz val="11"/>
      <name val="Arial"/>
      <family val="2"/>
    </font>
    <font>
      <sz val="11"/>
      <name val="Arial"/>
      <family val="2"/>
    </font>
    <font>
      <u val="singleAccounting"/>
      <sz val="11"/>
      <name val="Arial"/>
      <family val="2"/>
    </font>
    <font>
      <b/>
      <u/>
      <sz val="12"/>
      <name val="Arial"/>
      <family val="2"/>
    </font>
    <font>
      <u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8"/>
      <name val="Arial"/>
      <family val="2"/>
    </font>
    <font>
      <sz val="10"/>
      <name val="Calibri"/>
      <family val="2"/>
      <scheme val="minor"/>
    </font>
    <font>
      <b/>
      <u val="singleAccounting"/>
      <sz val="12"/>
      <name val="Arial"/>
      <family val="2"/>
    </font>
    <font>
      <u val="singleAccounting"/>
      <sz val="12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1"/>
      <name val="Calibri"/>
      <family val="2"/>
      <scheme val="minor"/>
    </font>
    <font>
      <u/>
      <sz val="10"/>
      <name val="Calibri"/>
      <family val="2"/>
      <scheme val="minor"/>
    </font>
    <font>
      <u val="double"/>
      <sz val="10"/>
      <name val="Calibri"/>
      <family val="2"/>
      <scheme val="minor"/>
    </font>
    <font>
      <u val="double"/>
      <sz val="11"/>
      <name val="Calibri"/>
      <family val="2"/>
      <scheme val="minor"/>
    </font>
    <font>
      <u val="singleAccounting"/>
      <sz val="10"/>
      <name val="Calibri"/>
      <family val="2"/>
      <scheme val="minor"/>
    </font>
    <font>
      <u val="doubleAccounting"/>
      <sz val="10"/>
      <name val="Calibri"/>
      <family val="2"/>
      <scheme val="minor"/>
    </font>
    <font>
      <u/>
      <sz val="10"/>
      <color theme="10"/>
      <name val="Arial"/>
      <family val="2"/>
    </font>
    <font>
      <i/>
      <sz val="10"/>
      <name val="Arial"/>
      <family val="2"/>
    </font>
    <font>
      <sz val="10"/>
      <name val="Arial"/>
    </font>
    <font>
      <sz val="9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6" fillId="0" borderId="0"/>
  </cellStyleXfs>
  <cellXfs count="974">
    <xf numFmtId="0" fontId="0" fillId="0" borderId="0" xfId="0"/>
    <xf numFmtId="0" fontId="5" fillId="0" borderId="0" xfId="0" applyFont="1"/>
    <xf numFmtId="0" fontId="5" fillId="0" borderId="0" xfId="0" applyFont="1" applyFill="1" applyBorder="1"/>
    <xf numFmtId="0" fontId="0" fillId="0" borderId="0" xfId="0" applyBorder="1"/>
    <xf numFmtId="165" fontId="11" fillId="0" borderId="0" xfId="1" applyNumberFormat="1" applyFont="1"/>
    <xf numFmtId="0" fontId="11" fillId="0" borderId="0" xfId="0" applyFont="1"/>
    <xf numFmtId="0" fontId="11" fillId="0" borderId="0" xfId="0" applyFont="1" applyAlignment="1">
      <alignment horizontal="center"/>
    </xf>
    <xf numFmtId="165" fontId="11" fillId="0" borderId="0" xfId="0" applyNumberFormat="1" applyFont="1"/>
    <xf numFmtId="165" fontId="11" fillId="0" borderId="3" xfId="1" applyNumberFormat="1" applyFont="1" applyBorder="1"/>
    <xf numFmtId="165" fontId="11" fillId="0" borderId="3" xfId="0" applyNumberFormat="1" applyFont="1" applyBorder="1"/>
    <xf numFmtId="0" fontId="11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11" fillId="0" borderId="2" xfId="1" applyNumberFormat="1" applyFont="1" applyBorder="1"/>
    <xf numFmtId="0" fontId="13" fillId="0" borderId="0" xfId="0" applyFont="1"/>
    <xf numFmtId="165" fontId="13" fillId="0" borderId="0" xfId="1" applyNumberFormat="1" applyFont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65" fontId="13" fillId="0" borderId="5" xfId="1" applyNumberFormat="1" applyFont="1" applyBorder="1"/>
    <xf numFmtId="165" fontId="13" fillId="0" borderId="7" xfId="1" applyNumberFormat="1" applyFont="1" applyBorder="1"/>
    <xf numFmtId="0" fontId="13" fillId="0" borderId="4" xfId="0" applyFont="1" applyBorder="1" applyAlignment="1">
      <alignment horizontal="center"/>
    </xf>
    <xf numFmtId="165" fontId="11" fillId="0" borderId="0" xfId="1" applyNumberFormat="1" applyFont="1" applyAlignment="1">
      <alignment horizontal="center"/>
    </xf>
    <xf numFmtId="165" fontId="11" fillId="0" borderId="2" xfId="1" applyNumberFormat="1" applyFont="1" applyBorder="1" applyAlignment="1">
      <alignment horizontal="center"/>
    </xf>
    <xf numFmtId="165" fontId="11" fillId="0" borderId="3" xfId="1" applyNumberFormat="1" applyFont="1" applyBorder="1" applyAlignment="1">
      <alignment horizontal="center"/>
    </xf>
    <xf numFmtId="165" fontId="11" fillId="0" borderId="2" xfId="0" applyNumberFormat="1" applyFont="1" applyBorder="1"/>
    <xf numFmtId="38" fontId="11" fillId="0" borderId="8" xfId="0" applyNumberFormat="1" applyFont="1" applyBorder="1"/>
    <xf numFmtId="165" fontId="11" fillId="0" borderId="8" xfId="0" applyNumberFormat="1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65" fontId="11" fillId="0" borderId="5" xfId="1" applyNumberFormat="1" applyFont="1" applyBorder="1"/>
    <xf numFmtId="165" fontId="11" fillId="0" borderId="7" xfId="0" applyNumberFormat="1" applyFont="1" applyBorder="1"/>
    <xf numFmtId="165" fontId="5" fillId="0" borderId="4" xfId="1" applyNumberFormat="1" applyFont="1" applyBorder="1" applyAlignment="1">
      <alignment horizontal="center"/>
    </xf>
    <xf numFmtId="165" fontId="13" fillId="0" borderId="6" xfId="0" applyNumberFormat="1" applyFont="1" applyBorder="1"/>
    <xf numFmtId="0" fontId="0" fillId="0" borderId="0" xfId="0" applyAlignment="1">
      <alignment horizontal="right"/>
    </xf>
    <xf numFmtId="0" fontId="12" fillId="0" borderId="6" xfId="0" applyFont="1" applyBorder="1" applyAlignment="1">
      <alignment horizontal="center"/>
    </xf>
    <xf numFmtId="0" fontId="5" fillId="0" borderId="1" xfId="0" applyFont="1" applyBorder="1"/>
    <xf numFmtId="0" fontId="5" fillId="0" borderId="19" xfId="0" applyFont="1" applyBorder="1"/>
    <xf numFmtId="165" fontId="13" fillId="0" borderId="7" xfId="0" applyNumberFormat="1" applyFont="1" applyBorder="1"/>
    <xf numFmtId="165" fontId="13" fillId="0" borderId="0" xfId="0" applyNumberFormat="1" applyFont="1"/>
    <xf numFmtId="10" fontId="13" fillId="0" borderId="0" xfId="3" applyNumberFormat="1" applyFont="1"/>
    <xf numFmtId="0" fontId="14" fillId="0" borderId="5" xfId="0" applyFont="1" applyBorder="1" applyAlignment="1">
      <alignment horizontal="center"/>
    </xf>
    <xf numFmtId="165" fontId="11" fillId="0" borderId="7" xfId="1" applyNumberFormat="1" applyFont="1" applyBorder="1"/>
    <xf numFmtId="165" fontId="13" fillId="0" borderId="5" xfId="0" applyNumberFormat="1" applyFont="1" applyBorder="1"/>
    <xf numFmtId="0" fontId="5" fillId="0" borderId="0" xfId="0" applyFont="1" applyAlignment="1">
      <alignment horizontal="right"/>
    </xf>
    <xf numFmtId="0" fontId="13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15" fillId="3" borderId="0" xfId="0" applyFont="1" applyFill="1" applyBorder="1" applyAlignment="1">
      <alignment horizontal="center"/>
    </xf>
    <xf numFmtId="0" fontId="13" fillId="3" borderId="0" xfId="0" applyFont="1" applyFill="1"/>
    <xf numFmtId="0" fontId="13" fillId="3" borderId="12" xfId="0" applyFont="1" applyFill="1" applyBorder="1" applyAlignment="1">
      <alignment horizontal="center"/>
    </xf>
    <xf numFmtId="0" fontId="13" fillId="3" borderId="14" xfId="0" applyFont="1" applyFill="1" applyBorder="1"/>
    <xf numFmtId="0" fontId="13" fillId="3" borderId="13" xfId="0" applyFont="1" applyFill="1" applyBorder="1"/>
    <xf numFmtId="0" fontId="13" fillId="3" borderId="10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13" xfId="0" applyFont="1" applyFill="1" applyBorder="1" applyAlignment="1">
      <alignment horizontal="center"/>
    </xf>
    <xf numFmtId="165" fontId="13" fillId="3" borderId="0" xfId="1" applyNumberFormat="1" applyFont="1" applyFill="1" applyBorder="1" applyAlignment="1">
      <alignment horizontal="center"/>
    </xf>
    <xf numFmtId="165" fontId="13" fillId="3" borderId="0" xfId="1" applyNumberFormat="1" applyFont="1" applyFill="1" applyBorder="1"/>
    <xf numFmtId="165" fontId="13" fillId="3" borderId="13" xfId="1" applyNumberFormat="1" applyFont="1" applyFill="1" applyBorder="1"/>
    <xf numFmtId="165" fontId="13" fillId="3" borderId="0" xfId="1" applyNumberFormat="1" applyFont="1" applyFill="1"/>
    <xf numFmtId="165" fontId="13" fillId="3" borderId="0" xfId="0" applyNumberFormat="1" applyFont="1" applyFill="1"/>
    <xf numFmtId="165" fontId="13" fillId="3" borderId="2" xfId="1" applyNumberFormat="1" applyFont="1" applyFill="1" applyBorder="1"/>
    <xf numFmtId="0" fontId="15" fillId="3" borderId="0" xfId="0" applyFont="1" applyFill="1" applyBorder="1"/>
    <xf numFmtId="165" fontId="13" fillId="3" borderId="23" xfId="1" applyNumberFormat="1" applyFont="1" applyFill="1" applyBorder="1"/>
    <xf numFmtId="165" fontId="13" fillId="3" borderId="24" xfId="1" applyNumberFormat="1" applyFont="1" applyFill="1" applyBorder="1"/>
    <xf numFmtId="165" fontId="13" fillId="3" borderId="25" xfId="1" applyNumberFormat="1" applyFont="1" applyFill="1" applyBorder="1"/>
    <xf numFmtId="0" fontId="13" fillId="3" borderId="10" xfId="0" applyFont="1" applyFill="1" applyBorder="1"/>
    <xf numFmtId="165" fontId="15" fillId="3" borderId="0" xfId="1" applyNumberFormat="1" applyFont="1" applyFill="1" applyBorder="1"/>
    <xf numFmtId="0" fontId="13" fillId="3" borderId="11" xfId="0" applyFont="1" applyFill="1" applyBorder="1" applyAlignment="1">
      <alignment horizontal="center"/>
    </xf>
    <xf numFmtId="0" fontId="15" fillId="3" borderId="2" xfId="0" applyFont="1" applyFill="1" applyBorder="1"/>
    <xf numFmtId="165" fontId="13" fillId="3" borderId="14" xfId="1" applyNumberFormat="1" applyFont="1" applyFill="1" applyBorder="1"/>
    <xf numFmtId="0" fontId="0" fillId="3" borderId="0" xfId="0" applyFill="1"/>
    <xf numFmtId="165" fontId="13" fillId="3" borderId="0" xfId="0" applyNumberFormat="1" applyFont="1" applyFill="1" applyBorder="1"/>
    <xf numFmtId="167" fontId="13" fillId="3" borderId="10" xfId="0" applyNumberFormat="1" applyFont="1" applyFill="1" applyBorder="1" applyAlignment="1">
      <alignment horizontal="center"/>
    </xf>
    <xf numFmtId="3" fontId="13" fillId="3" borderId="0" xfId="0" applyNumberFormat="1" applyFont="1" applyFill="1"/>
    <xf numFmtId="0" fontId="13" fillId="3" borderId="2" xfId="0" applyFont="1" applyFill="1" applyBorder="1"/>
    <xf numFmtId="165" fontId="15" fillId="3" borderId="0" xfId="0" applyNumberFormat="1" applyFont="1" applyFill="1" applyBorder="1"/>
    <xf numFmtId="41" fontId="13" fillId="3" borderId="0" xfId="0" applyNumberFormat="1" applyFont="1" applyFill="1"/>
    <xf numFmtId="165" fontId="13" fillId="3" borderId="8" xfId="1" applyNumberFormat="1" applyFont="1" applyFill="1" applyBorder="1"/>
    <xf numFmtId="165" fontId="13" fillId="3" borderId="64" xfId="1" applyNumberFormat="1" applyFont="1" applyFill="1" applyBorder="1"/>
    <xf numFmtId="0" fontId="13" fillId="3" borderId="11" xfId="0" applyFont="1" applyFill="1" applyBorder="1"/>
    <xf numFmtId="43" fontId="13" fillId="3" borderId="2" xfId="1" applyFont="1" applyFill="1" applyBorder="1"/>
    <xf numFmtId="0" fontId="13" fillId="3" borderId="25" xfId="0" applyFont="1" applyFill="1" applyBorder="1"/>
    <xf numFmtId="165" fontId="13" fillId="3" borderId="3" xfId="1" applyNumberFormat="1" applyFont="1" applyFill="1" applyBorder="1"/>
    <xf numFmtId="4" fontId="13" fillId="3" borderId="0" xfId="0" applyNumberFormat="1" applyFont="1" applyFill="1"/>
    <xf numFmtId="165" fontId="13" fillId="3" borderId="3" xfId="0" applyNumberFormat="1" applyFont="1" applyFill="1" applyBorder="1"/>
    <xf numFmtId="4" fontId="13" fillId="3" borderId="3" xfId="0" applyNumberFormat="1" applyFont="1" applyFill="1" applyBorder="1"/>
    <xf numFmtId="3" fontId="13" fillId="3" borderId="3" xfId="0" applyNumberFormat="1" applyFont="1" applyFill="1" applyBorder="1"/>
    <xf numFmtId="0" fontId="13" fillId="3" borderId="3" xfId="0" applyFont="1" applyFill="1" applyBorder="1"/>
    <xf numFmtId="0" fontId="15" fillId="3" borderId="2" xfId="0" applyFont="1" applyFill="1" applyBorder="1" applyAlignment="1"/>
    <xf numFmtId="0" fontId="1" fillId="3" borderId="1" xfId="0" applyFont="1" applyFill="1" applyBorder="1" applyAlignment="1"/>
    <xf numFmtId="0" fontId="1" fillId="3" borderId="0" xfId="0" applyFont="1" applyFill="1" applyBorder="1"/>
    <xf numFmtId="0" fontId="1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/>
    <xf numFmtId="0" fontId="5" fillId="3" borderId="0" xfId="0" applyFont="1" applyFill="1" applyBorder="1"/>
    <xf numFmtId="0" fontId="5" fillId="3" borderId="10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4" xfId="0" applyFont="1" applyFill="1" applyBorder="1"/>
    <xf numFmtId="0" fontId="5" fillId="3" borderId="0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5" fillId="3" borderId="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6" xfId="0" applyFont="1" applyFill="1" applyBorder="1"/>
    <xf numFmtId="0" fontId="2" fillId="3" borderId="0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0" xfId="0" applyFont="1" applyFill="1" applyBorder="1" applyAlignment="1"/>
    <xf numFmtId="0" fontId="2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horizontal="center"/>
    </xf>
    <xf numFmtId="165" fontId="5" fillId="3" borderId="0" xfId="1" applyNumberFormat="1" applyFont="1" applyFill="1" applyBorder="1" applyAlignment="1">
      <alignment horizontal="center"/>
    </xf>
    <xf numFmtId="0" fontId="9" fillId="3" borderId="0" xfId="0" applyFont="1" applyFill="1"/>
    <xf numFmtId="165" fontId="5" fillId="3" borderId="0" xfId="1" applyNumberFormat="1" applyFont="1" applyFill="1" applyBorder="1"/>
    <xf numFmtId="165" fontId="5" fillId="3" borderId="0" xfId="1" applyNumberFormat="1" applyFont="1" applyFill="1"/>
    <xf numFmtId="165" fontId="5" fillId="3" borderId="0" xfId="0" applyNumberFormat="1" applyFont="1" applyFill="1"/>
    <xf numFmtId="0" fontId="9" fillId="3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5" fontId="5" fillId="3" borderId="2" xfId="1" applyNumberFormat="1" applyFont="1" applyFill="1" applyBorder="1"/>
    <xf numFmtId="10" fontId="5" fillId="3" borderId="0" xfId="3" applyNumberFormat="1" applyFont="1" applyFill="1" applyBorder="1" applyAlignment="1">
      <alignment horizontal="center"/>
    </xf>
    <xf numFmtId="165" fontId="8" fillId="3" borderId="23" xfId="1" applyNumberFormat="1" applyFont="1" applyFill="1" applyBorder="1"/>
    <xf numFmtId="0" fontId="5" fillId="3" borderId="2" xfId="0" applyFont="1" applyFill="1" applyBorder="1"/>
    <xf numFmtId="0" fontId="5" fillId="3" borderId="0" xfId="0" applyFont="1" applyFill="1" applyAlignment="1">
      <alignment horizontal="left"/>
    </xf>
    <xf numFmtId="165" fontId="5" fillId="3" borderId="3" xfId="0" applyNumberFormat="1" applyFont="1" applyFill="1" applyBorder="1"/>
    <xf numFmtId="10" fontId="5" fillId="3" borderId="3" xfId="3" applyNumberFormat="1" applyFont="1" applyFill="1" applyBorder="1"/>
    <xf numFmtId="165" fontId="5" fillId="3" borderId="23" xfId="1" applyNumberFormat="1" applyFont="1" applyFill="1" applyBorder="1"/>
    <xf numFmtId="0" fontId="5" fillId="3" borderId="23" xfId="0" applyFont="1" applyFill="1" applyBorder="1"/>
    <xf numFmtId="165" fontId="5" fillId="3" borderId="23" xfId="0" applyNumberFormat="1" applyFont="1" applyFill="1" applyBorder="1"/>
    <xf numFmtId="165" fontId="5" fillId="3" borderId="14" xfId="0" applyNumberFormat="1" applyFont="1" applyFill="1" applyBorder="1"/>
    <xf numFmtId="0" fontId="9" fillId="3" borderId="0" xfId="0" applyFont="1" applyFill="1" applyAlignment="1">
      <alignment horizontal="center"/>
    </xf>
    <xf numFmtId="0" fontId="2" fillId="3" borderId="0" xfId="0" applyFont="1" applyFill="1"/>
    <xf numFmtId="165" fontId="5" fillId="3" borderId="0" xfId="0" applyNumberFormat="1" applyFont="1" applyFill="1" applyBorder="1" applyAlignment="1">
      <alignment horizontal="center"/>
    </xf>
    <xf numFmtId="10" fontId="5" fillId="3" borderId="0" xfId="3" applyNumberFormat="1" applyFont="1" applyFill="1" applyAlignment="1">
      <alignment horizontal="center"/>
    </xf>
    <xf numFmtId="165" fontId="5" fillId="3" borderId="0" xfId="0" applyNumberFormat="1" applyFont="1" applyFill="1" applyBorder="1"/>
    <xf numFmtId="165" fontId="8" fillId="3" borderId="0" xfId="1" applyNumberFormat="1" applyFont="1" applyFill="1" applyBorder="1"/>
    <xf numFmtId="165" fontId="8" fillId="3" borderId="2" xfId="1" applyNumberFormat="1" applyFont="1" applyFill="1" applyBorder="1"/>
    <xf numFmtId="165" fontId="5" fillId="3" borderId="3" xfId="1" applyNumberFormat="1" applyFont="1" applyFill="1" applyBorder="1"/>
    <xf numFmtId="9" fontId="5" fillId="3" borderId="3" xfId="3" applyFont="1" applyFill="1" applyBorder="1"/>
    <xf numFmtId="10" fontId="5" fillId="3" borderId="0" xfId="3" applyNumberFormat="1" applyFont="1" applyFill="1"/>
    <xf numFmtId="43" fontId="5" fillId="3" borderId="0" xfId="0" applyNumberFormat="1" applyFont="1" applyFill="1"/>
    <xf numFmtId="9" fontId="5" fillId="3" borderId="0" xfId="3" applyFont="1" applyFill="1" applyBorder="1"/>
    <xf numFmtId="165" fontId="5" fillId="3" borderId="2" xfId="0" applyNumberFormat="1" applyFont="1" applyFill="1" applyBorder="1"/>
    <xf numFmtId="165" fontId="4" fillId="3" borderId="0" xfId="1" applyNumberFormat="1" applyFont="1" applyFill="1" applyBorder="1"/>
    <xf numFmtId="0" fontId="0" fillId="3" borderId="0" xfId="0" applyFill="1" applyBorder="1"/>
    <xf numFmtId="166" fontId="5" fillId="3" borderId="0" xfId="3" applyNumberFormat="1" applyFont="1" applyFill="1"/>
    <xf numFmtId="166" fontId="5" fillId="3" borderId="0" xfId="0" applyNumberFormat="1" applyFont="1" applyFill="1"/>
    <xf numFmtId="0" fontId="10" fillId="3" borderId="0" xfId="0" applyFont="1" applyFill="1" applyAlignment="1">
      <alignment horizontal="center"/>
    </xf>
    <xf numFmtId="165" fontId="10" fillId="3" borderId="0" xfId="1" applyNumberFormat="1" applyFont="1" applyFill="1" applyAlignment="1">
      <alignment horizontal="center"/>
    </xf>
    <xf numFmtId="165" fontId="19" fillId="3" borderId="0" xfId="1" applyNumberFormat="1" applyFont="1" applyFill="1"/>
    <xf numFmtId="165" fontId="19" fillId="3" borderId="3" xfId="1" applyNumberFormat="1" applyFont="1" applyFill="1" applyBorder="1"/>
    <xf numFmtId="165" fontId="19" fillId="3" borderId="0" xfId="1" applyNumberFormat="1" applyFont="1" applyFill="1" applyBorder="1"/>
    <xf numFmtId="0" fontId="5" fillId="3" borderId="3" xfId="0" applyFont="1" applyFill="1" applyBorder="1"/>
    <xf numFmtId="165" fontId="8" fillId="3" borderId="3" xfId="1" applyNumberFormat="1" applyFont="1" applyFill="1" applyBorder="1"/>
    <xf numFmtId="10" fontId="19" fillId="3" borderId="0" xfId="3" applyNumberFormat="1" applyFont="1" applyFill="1"/>
    <xf numFmtId="165" fontId="5" fillId="3" borderId="0" xfId="1" applyNumberFormat="1" applyFont="1" applyFill="1" applyAlignment="1"/>
    <xf numFmtId="0" fontId="0" fillId="3" borderId="0" xfId="0" applyFill="1" applyBorder="1" applyAlignment="1">
      <alignment horizontal="center"/>
    </xf>
    <xf numFmtId="165" fontId="0" fillId="3" borderId="0" xfId="1" applyNumberFormat="1" applyFont="1" applyFill="1" applyBorder="1"/>
    <xf numFmtId="0" fontId="0" fillId="3" borderId="4" xfId="0" applyFill="1" applyBorder="1"/>
    <xf numFmtId="0" fontId="0" fillId="3" borderId="14" xfId="0" applyFill="1" applyBorder="1" applyAlignment="1">
      <alignment horizont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165" fontId="0" fillId="3" borderId="2" xfId="1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/>
    <xf numFmtId="0" fontId="0" fillId="3" borderId="0" xfId="0" applyFill="1" applyBorder="1" applyAlignment="1">
      <alignment horizontal="left"/>
    </xf>
    <xf numFmtId="165" fontId="0" fillId="3" borderId="0" xfId="0" applyNumberFormat="1" applyFill="1"/>
    <xf numFmtId="165" fontId="0" fillId="3" borderId="0" xfId="0" applyNumberFormat="1" applyFill="1" applyBorder="1"/>
    <xf numFmtId="165" fontId="0" fillId="3" borderId="0" xfId="1" applyNumberFormat="1" applyFont="1" applyFill="1" applyBorder="1" applyAlignment="1">
      <alignment horizontal="left"/>
    </xf>
    <xf numFmtId="3" fontId="5" fillId="3" borderId="0" xfId="0" applyNumberFormat="1" applyFont="1" applyFill="1"/>
    <xf numFmtId="3" fontId="0" fillId="3" borderId="0" xfId="0" applyNumberFormat="1" applyFill="1"/>
    <xf numFmtId="3" fontId="29" fillId="3" borderId="0" xfId="0" applyNumberFormat="1" applyFont="1" applyFill="1"/>
    <xf numFmtId="165" fontId="0" fillId="3" borderId="2" xfId="1" applyNumberFormat="1" applyFont="1" applyFill="1" applyBorder="1"/>
    <xf numFmtId="0" fontId="0" fillId="3" borderId="2" xfId="0" applyFill="1" applyBorder="1"/>
    <xf numFmtId="165" fontId="0" fillId="3" borderId="2" xfId="0" applyNumberFormat="1" applyFill="1" applyBorder="1"/>
    <xf numFmtId="10" fontId="0" fillId="3" borderId="0" xfId="3" applyNumberFormat="1" applyFont="1" applyFill="1" applyBorder="1"/>
    <xf numFmtId="166" fontId="0" fillId="3" borderId="0" xfId="3" applyNumberFormat="1" applyFont="1" applyFill="1" applyBorder="1"/>
    <xf numFmtId="166" fontId="0" fillId="3" borderId="0" xfId="3" applyNumberFormat="1" applyFont="1" applyFill="1"/>
    <xf numFmtId="10" fontId="0" fillId="3" borderId="0" xfId="3" applyNumberFormat="1" applyFont="1" applyFill="1"/>
    <xf numFmtId="165" fontId="0" fillId="3" borderId="0" xfId="1" applyNumberFormat="1" applyFont="1" applyFill="1"/>
    <xf numFmtId="9" fontId="0" fillId="3" borderId="0" xfId="3" applyFont="1" applyFill="1"/>
    <xf numFmtId="165" fontId="0" fillId="3" borderId="8" xfId="1" applyNumberFormat="1" applyFont="1" applyFill="1" applyBorder="1"/>
    <xf numFmtId="10" fontId="0" fillId="3" borderId="8" xfId="3" applyNumberFormat="1" applyFont="1" applyFill="1" applyBorder="1"/>
    <xf numFmtId="0" fontId="0" fillId="3" borderId="8" xfId="0" applyFill="1" applyBorder="1"/>
    <xf numFmtId="172" fontId="0" fillId="3" borderId="0" xfId="3" applyNumberFormat="1" applyFont="1" applyFill="1"/>
    <xf numFmtId="0" fontId="0" fillId="3" borderId="31" xfId="0" applyFill="1" applyBorder="1"/>
    <xf numFmtId="0" fontId="4" fillId="3" borderId="0" xfId="0" applyFont="1" applyFill="1"/>
    <xf numFmtId="0" fontId="0" fillId="3" borderId="33" xfId="0" applyFill="1" applyBorder="1"/>
    <xf numFmtId="16" fontId="0" fillId="3" borderId="0" xfId="0" quotePrefix="1" applyNumberFormat="1" applyFill="1" applyAlignment="1">
      <alignment horizontal="center"/>
    </xf>
    <xf numFmtId="165" fontId="1" fillId="3" borderId="0" xfId="1" applyNumberFormat="1" applyFont="1" applyFill="1"/>
    <xf numFmtId="165" fontId="1" fillId="3" borderId="0" xfId="0" applyNumberFormat="1" applyFont="1" applyFill="1"/>
    <xf numFmtId="165" fontId="0" fillId="3" borderId="67" xfId="1" applyNumberFormat="1" applyFont="1" applyFill="1" applyBorder="1"/>
    <xf numFmtId="165" fontId="1" fillId="3" borderId="67" xfId="1" applyNumberFormat="1" applyFont="1" applyFill="1" applyBorder="1"/>
    <xf numFmtId="165" fontId="0" fillId="3" borderId="67" xfId="0" applyNumberFormat="1" applyFill="1" applyBorder="1"/>
    <xf numFmtId="165" fontId="0" fillId="3" borderId="3" xfId="0" applyNumberFormat="1" applyFill="1" applyBorder="1"/>
    <xf numFmtId="0" fontId="0" fillId="3" borderId="0" xfId="0" applyFill="1" applyAlignment="1">
      <alignment horizontal="center"/>
    </xf>
    <xf numFmtId="0" fontId="23" fillId="3" borderId="0" xfId="0" applyFont="1" applyFill="1"/>
    <xf numFmtId="0" fontId="23" fillId="3" borderId="12" xfId="0" applyFont="1" applyFill="1" applyBorder="1"/>
    <xf numFmtId="0" fontId="23" fillId="3" borderId="14" xfId="0" applyFont="1" applyFill="1" applyBorder="1"/>
    <xf numFmtId="0" fontId="23" fillId="3" borderId="10" xfId="0" applyFont="1" applyFill="1" applyBorder="1"/>
    <xf numFmtId="0" fontId="23" fillId="3" borderId="0" xfId="0" applyFont="1" applyFill="1" applyBorder="1"/>
    <xf numFmtId="0" fontId="5" fillId="3" borderId="4" xfId="0" applyFont="1" applyFill="1" applyBorder="1" applyAlignment="1">
      <alignment horizontal="center"/>
    </xf>
    <xf numFmtId="165" fontId="23" fillId="3" borderId="0" xfId="1" applyNumberFormat="1" applyFont="1" applyFill="1" applyBorder="1"/>
    <xf numFmtId="165" fontId="23" fillId="3" borderId="13" xfId="1" applyNumberFormat="1" applyFont="1" applyFill="1" applyBorder="1"/>
    <xf numFmtId="165" fontId="23" fillId="3" borderId="0" xfId="0" applyNumberFormat="1" applyFont="1" applyFill="1" applyBorder="1"/>
    <xf numFmtId="43" fontId="23" fillId="3" borderId="23" xfId="1" applyFont="1" applyFill="1" applyBorder="1"/>
    <xf numFmtId="165" fontId="23" fillId="3" borderId="23" xfId="0" applyNumberFormat="1" applyFont="1" applyFill="1" applyBorder="1"/>
    <xf numFmtId="165" fontId="23" fillId="3" borderId="0" xfId="0" applyNumberFormat="1" applyFont="1" applyFill="1"/>
    <xf numFmtId="165" fontId="23" fillId="3" borderId="2" xfId="1" applyNumberFormat="1" applyFont="1" applyFill="1" applyBorder="1"/>
    <xf numFmtId="0" fontId="0" fillId="3" borderId="10" xfId="0" applyFill="1" applyBorder="1"/>
    <xf numFmtId="0" fontId="0" fillId="3" borderId="13" xfId="0" applyFill="1" applyBorder="1"/>
    <xf numFmtId="0" fontId="23" fillId="3" borderId="11" xfId="0" applyFont="1" applyFill="1" applyBorder="1"/>
    <xf numFmtId="0" fontId="23" fillId="3" borderId="2" xfId="0" applyFont="1" applyFill="1" applyBorder="1"/>
    <xf numFmtId="165" fontId="13" fillId="3" borderId="8" xfId="0" applyNumberFormat="1" applyFont="1" applyFill="1" applyBorder="1"/>
    <xf numFmtId="165" fontId="23" fillId="3" borderId="8" xfId="0" applyNumberFormat="1" applyFont="1" applyFill="1" applyBorder="1"/>
    <xf numFmtId="165" fontId="23" fillId="3" borderId="0" xfId="1" applyNumberFormat="1" applyFont="1" applyFill="1"/>
    <xf numFmtId="0" fontId="15" fillId="3" borderId="0" xfId="0" applyFont="1" applyFill="1"/>
    <xf numFmtId="165" fontId="23" fillId="3" borderId="14" xfId="1" applyNumberFormat="1" applyFont="1" applyFill="1" applyBorder="1"/>
    <xf numFmtId="38" fontId="23" fillId="3" borderId="14" xfId="0" applyNumberFormat="1" applyFont="1" applyFill="1" applyBorder="1"/>
    <xf numFmtId="44" fontId="23" fillId="3" borderId="0" xfId="2" applyFont="1" applyFill="1" applyBorder="1"/>
    <xf numFmtId="165" fontId="23" fillId="3" borderId="4" xfId="1" applyNumberFormat="1" applyFont="1" applyFill="1" applyBorder="1"/>
    <xf numFmtId="165" fontId="23" fillId="3" borderId="12" xfId="1" applyNumberFormat="1" applyFont="1" applyFill="1" applyBorder="1" applyAlignment="1">
      <alignment horizontal="center"/>
    </xf>
    <xf numFmtId="165" fontId="23" fillId="3" borderId="5" xfId="1" applyNumberFormat="1" applyFont="1" applyFill="1" applyBorder="1"/>
    <xf numFmtId="165" fontId="23" fillId="3" borderId="5" xfId="1" applyNumberFormat="1" applyFont="1" applyFill="1" applyBorder="1" applyAlignment="1">
      <alignment horizontal="center"/>
    </xf>
    <xf numFmtId="165" fontId="23" fillId="3" borderId="10" xfId="1" applyNumberFormat="1" applyFont="1" applyFill="1" applyBorder="1" applyAlignment="1">
      <alignment horizontal="center"/>
    </xf>
    <xf numFmtId="165" fontId="23" fillId="3" borderId="6" xfId="1" applyNumberFormat="1" applyFont="1" applyFill="1" applyBorder="1"/>
    <xf numFmtId="165" fontId="24" fillId="3" borderId="6" xfId="1" applyNumberFormat="1" applyFont="1" applyFill="1" applyBorder="1" applyAlignment="1">
      <alignment horizontal="center"/>
    </xf>
    <xf numFmtId="165" fontId="20" fillId="3" borderId="0" xfId="1" applyNumberFormat="1" applyFont="1" applyFill="1" applyBorder="1" applyAlignment="1">
      <alignment horizontal="center"/>
    </xf>
    <xf numFmtId="165" fontId="23" fillId="3" borderId="10" xfId="1" applyNumberFormat="1" applyFont="1" applyFill="1" applyBorder="1"/>
    <xf numFmtId="165" fontId="23" fillId="3" borderId="22" xfId="1" applyNumberFormat="1" applyFont="1" applyFill="1" applyBorder="1"/>
    <xf numFmtId="165" fontId="23" fillId="3" borderId="7" xfId="1" applyNumberFormat="1" applyFont="1" applyFill="1" applyBorder="1"/>
    <xf numFmtId="165" fontId="23" fillId="3" borderId="12" xfId="1" applyNumberFormat="1" applyFont="1" applyFill="1" applyBorder="1"/>
    <xf numFmtId="165" fontId="23" fillId="3" borderId="9" xfId="1" applyNumberFormat="1" applyFont="1" applyFill="1" applyBorder="1"/>
    <xf numFmtId="165" fontId="23" fillId="3" borderId="4" xfId="1" applyNumberFormat="1" applyFont="1" applyFill="1" applyBorder="1" applyAlignment="1">
      <alignment horizontal="center"/>
    </xf>
    <xf numFmtId="165" fontId="23" fillId="3" borderId="11" xfId="1" applyNumberFormat="1" applyFont="1" applyFill="1" applyBorder="1"/>
    <xf numFmtId="37" fontId="23" fillId="3" borderId="0" xfId="0" applyNumberFormat="1" applyFont="1" applyFill="1"/>
    <xf numFmtId="44" fontId="23" fillId="3" borderId="0" xfId="2" applyFont="1" applyFill="1"/>
    <xf numFmtId="165" fontId="15" fillId="3" borderId="0" xfId="1" applyNumberFormat="1" applyFont="1" applyFill="1" applyBorder="1" applyAlignment="1"/>
    <xf numFmtId="43" fontId="15" fillId="3" borderId="0" xfId="1" applyFont="1" applyFill="1" applyBorder="1"/>
    <xf numFmtId="43" fontId="13" fillId="3" borderId="0" xfId="1" applyFont="1" applyFill="1" applyBorder="1"/>
    <xf numFmtId="43" fontId="13" fillId="3" borderId="26" xfId="1" applyFont="1" applyFill="1" applyBorder="1"/>
    <xf numFmtId="43" fontId="13" fillId="3" borderId="0" xfId="1" applyFont="1" applyFill="1"/>
    <xf numFmtId="165" fontId="13" fillId="3" borderId="60" xfId="1" applyNumberFormat="1" applyFont="1" applyFill="1" applyBorder="1" applyAlignment="1"/>
    <xf numFmtId="43" fontId="13" fillId="3" borderId="46" xfId="1" applyFont="1" applyFill="1" applyBorder="1"/>
    <xf numFmtId="43" fontId="13" fillId="3" borderId="27" xfId="1" applyFont="1" applyFill="1" applyBorder="1"/>
    <xf numFmtId="43" fontId="13" fillId="3" borderId="0" xfId="1" applyFont="1" applyFill="1" applyBorder="1" applyAlignment="1">
      <alignment horizontal="center"/>
    </xf>
    <xf numFmtId="165" fontId="13" fillId="3" borderId="61" xfId="1" applyNumberFormat="1" applyFont="1" applyFill="1" applyBorder="1" applyAlignment="1"/>
    <xf numFmtId="43" fontId="13" fillId="3" borderId="10" xfId="1" applyFont="1" applyFill="1" applyBorder="1"/>
    <xf numFmtId="43" fontId="22" fillId="3" borderId="35" xfId="1" applyFont="1" applyFill="1" applyBorder="1" applyAlignment="1">
      <alignment horizontal="center"/>
    </xf>
    <xf numFmtId="43" fontId="22" fillId="3" borderId="0" xfId="1" applyFont="1" applyFill="1" applyBorder="1" applyAlignment="1">
      <alignment horizontal="center"/>
    </xf>
    <xf numFmtId="165" fontId="13" fillId="3" borderId="10" xfId="1" applyNumberFormat="1" applyFont="1" applyFill="1" applyBorder="1"/>
    <xf numFmtId="10" fontId="13" fillId="3" borderId="35" xfId="3" applyNumberFormat="1" applyFont="1" applyFill="1" applyBorder="1"/>
    <xf numFmtId="10" fontId="30" fillId="3" borderId="0" xfId="3" applyNumberFormat="1" applyFont="1" applyFill="1" applyBorder="1"/>
    <xf numFmtId="10" fontId="13" fillId="3" borderId="0" xfId="3" applyNumberFormat="1" applyFont="1" applyFill="1" applyBorder="1"/>
    <xf numFmtId="43" fontId="13" fillId="3" borderId="10" xfId="1" applyFont="1" applyFill="1" applyBorder="1" applyAlignment="1">
      <alignment horizontal="left"/>
    </xf>
    <xf numFmtId="43" fontId="13" fillId="3" borderId="5" xfId="1" applyFont="1" applyFill="1" applyBorder="1"/>
    <xf numFmtId="43" fontId="13" fillId="3" borderId="13" xfId="1" applyFont="1" applyFill="1" applyBorder="1"/>
    <xf numFmtId="165" fontId="13" fillId="3" borderId="5" xfId="1" applyNumberFormat="1" applyFont="1" applyFill="1" applyBorder="1"/>
    <xf numFmtId="3" fontId="13" fillId="3" borderId="0" xfId="0" applyNumberFormat="1" applyFont="1" applyFill="1" applyBorder="1"/>
    <xf numFmtId="165" fontId="13" fillId="3" borderId="62" xfId="1" applyNumberFormat="1" applyFont="1" applyFill="1" applyBorder="1" applyAlignment="1"/>
    <xf numFmtId="43" fontId="13" fillId="3" borderId="48" xfId="1" applyFont="1" applyFill="1" applyBorder="1"/>
    <xf numFmtId="43" fontId="13" fillId="3" borderId="49" xfId="1" applyFont="1" applyFill="1" applyBorder="1"/>
    <xf numFmtId="165" fontId="13" fillId="3" borderId="45" xfId="1" applyNumberFormat="1" applyFont="1" applyFill="1" applyBorder="1"/>
    <xf numFmtId="166" fontId="13" fillId="3" borderId="0" xfId="3" applyNumberFormat="1" applyFont="1" applyFill="1" applyBorder="1"/>
    <xf numFmtId="165" fontId="13" fillId="3" borderId="0" xfId="1" applyNumberFormat="1" applyFont="1" applyFill="1" applyBorder="1" applyAlignment="1"/>
    <xf numFmtId="165" fontId="15" fillId="3" borderId="0" xfId="1" applyNumberFormat="1" applyFont="1" applyFill="1" applyAlignment="1"/>
    <xf numFmtId="43" fontId="13" fillId="3" borderId="60" xfId="1" applyFont="1" applyFill="1" applyBorder="1" applyAlignment="1"/>
    <xf numFmtId="43" fontId="13" fillId="3" borderId="47" xfId="1" applyFont="1" applyFill="1" applyBorder="1"/>
    <xf numFmtId="0" fontId="13" fillId="3" borderId="52" xfId="0" applyFont="1" applyFill="1" applyBorder="1" applyAlignment="1">
      <alignment horizontal="center"/>
    </xf>
    <xf numFmtId="0" fontId="13" fillId="3" borderId="53" xfId="0" applyFont="1" applyFill="1" applyBorder="1" applyAlignment="1">
      <alignment horizontal="center"/>
    </xf>
    <xf numFmtId="165" fontId="13" fillId="3" borderId="5" xfId="1" applyNumberFormat="1" applyFont="1" applyFill="1" applyBorder="1" applyAlignment="1">
      <alignment horizontal="center"/>
    </xf>
    <xf numFmtId="43" fontId="13" fillId="3" borderId="5" xfId="1" applyFont="1" applyFill="1" applyBorder="1" applyAlignment="1">
      <alignment horizontal="center"/>
    </xf>
    <xf numFmtId="166" fontId="13" fillId="3" borderId="35" xfId="3" applyNumberFormat="1" applyFont="1" applyFill="1" applyBorder="1" applyAlignment="1">
      <alignment horizontal="center"/>
    </xf>
    <xf numFmtId="0" fontId="23" fillId="3" borderId="19" xfId="0" applyFont="1" applyFill="1" applyBorder="1"/>
    <xf numFmtId="43" fontId="13" fillId="3" borderId="28" xfId="1" applyFont="1" applyFill="1" applyBorder="1"/>
    <xf numFmtId="165" fontId="22" fillId="3" borderId="5" xfId="1" applyNumberFormat="1" applyFont="1" applyFill="1" applyBorder="1" applyAlignment="1">
      <alignment horizontal="center"/>
    </xf>
    <xf numFmtId="43" fontId="22" fillId="3" borderId="5" xfId="1" applyFont="1" applyFill="1" applyBorder="1" applyAlignment="1">
      <alignment horizontal="center"/>
    </xf>
    <xf numFmtId="166" fontId="22" fillId="3" borderId="35" xfId="3" applyNumberFormat="1" applyFont="1" applyFill="1" applyBorder="1" applyAlignment="1">
      <alignment horizontal="center"/>
    </xf>
    <xf numFmtId="0" fontId="23" fillId="3" borderId="1" xfId="0" applyFont="1" applyFill="1" applyBorder="1"/>
    <xf numFmtId="43" fontId="13" fillId="3" borderId="17" xfId="1" applyFont="1" applyFill="1" applyBorder="1"/>
    <xf numFmtId="44" fontId="13" fillId="3" borderId="5" xfId="2" applyFont="1" applyFill="1" applyBorder="1"/>
    <xf numFmtId="165" fontId="13" fillId="3" borderId="17" xfId="1" applyNumberFormat="1" applyFont="1" applyFill="1" applyBorder="1"/>
    <xf numFmtId="165" fontId="13" fillId="3" borderId="17" xfId="0" applyNumberFormat="1" applyFont="1" applyFill="1" applyBorder="1"/>
    <xf numFmtId="43" fontId="13" fillId="3" borderId="50" xfId="1" applyFont="1" applyFill="1" applyBorder="1"/>
    <xf numFmtId="43" fontId="13" fillId="3" borderId="43" xfId="1" applyFont="1" applyFill="1" applyBorder="1"/>
    <xf numFmtId="10" fontId="13" fillId="3" borderId="51" xfId="3" applyNumberFormat="1" applyFont="1" applyFill="1" applyBorder="1"/>
    <xf numFmtId="10" fontId="13" fillId="3" borderId="0" xfId="1" applyNumberFormat="1" applyFont="1" applyFill="1"/>
    <xf numFmtId="43" fontId="13" fillId="3" borderId="0" xfId="1" applyFont="1" applyFill="1" applyAlignment="1"/>
    <xf numFmtId="43" fontId="15" fillId="3" borderId="0" xfId="1" applyFont="1" applyFill="1" applyBorder="1" applyAlignment="1"/>
    <xf numFmtId="43" fontId="13" fillId="3" borderId="63" xfId="1" applyFont="1" applyFill="1" applyBorder="1" applyAlignment="1"/>
    <xf numFmtId="43" fontId="13" fillId="3" borderId="55" xfId="1" applyFont="1" applyFill="1" applyBorder="1"/>
    <xf numFmtId="0" fontId="13" fillId="3" borderId="38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43" fontId="13" fillId="3" borderId="0" xfId="1" applyFont="1" applyFill="1" applyAlignment="1">
      <alignment horizontal="center"/>
    </xf>
    <xf numFmtId="0" fontId="13" fillId="3" borderId="6" xfId="0" applyFont="1" applyFill="1" applyBorder="1" applyAlignment="1">
      <alignment horizontal="center"/>
    </xf>
    <xf numFmtId="43" fontId="13" fillId="3" borderId="2" xfId="1" applyFont="1" applyFill="1" applyBorder="1" applyAlignment="1">
      <alignment horizontal="center"/>
    </xf>
    <xf numFmtId="0" fontId="13" fillId="3" borderId="1" xfId="0" applyFont="1" applyFill="1" applyBorder="1"/>
    <xf numFmtId="43" fontId="0" fillId="3" borderId="0" xfId="0" applyNumberFormat="1" applyFill="1"/>
    <xf numFmtId="175" fontId="13" fillId="3" borderId="5" xfId="2" applyNumberFormat="1" applyFont="1" applyFill="1" applyBorder="1"/>
    <xf numFmtId="43" fontId="13" fillId="3" borderId="11" xfId="1" applyFont="1" applyFill="1" applyBorder="1"/>
    <xf numFmtId="43" fontId="13" fillId="3" borderId="25" xfId="1" applyFont="1" applyFill="1" applyBorder="1"/>
    <xf numFmtId="43" fontId="13" fillId="3" borderId="6" xfId="1" applyFont="1" applyFill="1" applyBorder="1"/>
    <xf numFmtId="43" fontId="13" fillId="3" borderId="7" xfId="1" applyFont="1" applyFill="1" applyBorder="1"/>
    <xf numFmtId="9" fontId="13" fillId="3" borderId="0" xfId="3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165" fontId="13" fillId="3" borderId="5" xfId="0" applyNumberFormat="1" applyFont="1" applyFill="1" applyBorder="1" applyAlignment="1">
      <alignment horizontal="center"/>
    </xf>
    <xf numFmtId="43" fontId="13" fillId="3" borderId="10" xfId="0" applyNumberFormat="1" applyFont="1" applyFill="1" applyBorder="1"/>
    <xf numFmtId="43" fontId="13" fillId="3" borderId="5" xfId="0" applyNumberFormat="1" applyFont="1" applyFill="1" applyBorder="1"/>
    <xf numFmtId="0" fontId="13" fillId="3" borderId="5" xfId="0" applyFont="1" applyFill="1" applyBorder="1"/>
    <xf numFmtId="0" fontId="13" fillId="3" borderId="0" xfId="0" applyFont="1" applyFill="1" applyBorder="1" applyAlignment="1"/>
    <xf numFmtId="0" fontId="23" fillId="3" borderId="0" xfId="0" applyFont="1" applyFill="1" applyAlignment="1">
      <alignment horizontal="center"/>
    </xf>
    <xf numFmtId="43" fontId="13" fillId="3" borderId="9" xfId="1" applyFont="1" applyFill="1" applyBorder="1"/>
    <xf numFmtId="0" fontId="13" fillId="3" borderId="4" xfId="0" applyFont="1" applyFill="1" applyBorder="1" applyAlignment="1">
      <alignment horizontal="center"/>
    </xf>
    <xf numFmtId="43" fontId="13" fillId="3" borderId="4" xfId="1" applyFont="1" applyFill="1" applyBorder="1" applyAlignment="1">
      <alignment horizontal="center"/>
    </xf>
    <xf numFmtId="165" fontId="13" fillId="3" borderId="12" xfId="1" applyNumberFormat="1" applyFont="1" applyFill="1" applyBorder="1" applyAlignment="1">
      <alignment horizontal="left"/>
    </xf>
    <xf numFmtId="43" fontId="13" fillId="3" borderId="4" xfId="1" applyNumberFormat="1" applyFont="1" applyFill="1" applyBorder="1"/>
    <xf numFmtId="165" fontId="13" fillId="3" borderId="10" xfId="1" applyNumberFormat="1" applyFont="1" applyFill="1" applyBorder="1" applyAlignment="1">
      <alignment horizontal="left"/>
    </xf>
    <xf numFmtId="43" fontId="13" fillId="3" borderId="5" xfId="1" applyNumberFormat="1" applyFont="1" applyFill="1" applyBorder="1"/>
    <xf numFmtId="43" fontId="0" fillId="3" borderId="0" xfId="1" applyFont="1" applyFill="1"/>
    <xf numFmtId="165" fontId="13" fillId="3" borderId="0" xfId="1" applyNumberFormat="1" applyFont="1" applyFill="1" applyAlignment="1"/>
    <xf numFmtId="165" fontId="13" fillId="3" borderId="4" xfId="1" applyNumberFormat="1" applyFont="1" applyFill="1" applyBorder="1" applyAlignment="1">
      <alignment horizontal="center"/>
    </xf>
    <xf numFmtId="165" fontId="22" fillId="3" borderId="0" xfId="1" applyNumberFormat="1" applyFont="1" applyFill="1" applyBorder="1" applyAlignment="1">
      <alignment horizontal="center"/>
    </xf>
    <xf numFmtId="44" fontId="13" fillId="3" borderId="13" xfId="2" applyFont="1" applyFill="1" applyBorder="1"/>
    <xf numFmtId="43" fontId="13" fillId="3" borderId="13" xfId="1" applyFont="1" applyFill="1" applyBorder="1" applyAlignment="1">
      <alignment horizontal="center"/>
    </xf>
    <xf numFmtId="0" fontId="1" fillId="3" borderId="5" xfId="0" applyFont="1" applyFill="1" applyBorder="1"/>
    <xf numFmtId="165" fontId="13" fillId="3" borderId="13" xfId="0" applyNumberFormat="1" applyFont="1" applyFill="1" applyBorder="1" applyAlignment="1">
      <alignment horizontal="center"/>
    </xf>
    <xf numFmtId="165" fontId="13" fillId="3" borderId="4" xfId="0" applyNumberFormat="1" applyFont="1" applyFill="1" applyBorder="1" applyAlignment="1">
      <alignment horizontal="center"/>
    </xf>
    <xf numFmtId="0" fontId="1" fillId="3" borderId="10" xfId="0" applyFont="1" applyFill="1" applyBorder="1"/>
    <xf numFmtId="165" fontId="13" fillId="3" borderId="9" xfId="0" applyNumberFormat="1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165" fontId="13" fillId="3" borderId="6" xfId="0" applyNumberFormat="1" applyFont="1" applyFill="1" applyBorder="1" applyAlignment="1">
      <alignment horizontal="center"/>
    </xf>
    <xf numFmtId="0" fontId="26" fillId="3" borderId="0" xfId="0" applyFont="1" applyFill="1" applyBorder="1" applyAlignment="1">
      <alignment horizontal="center"/>
    </xf>
    <xf numFmtId="0" fontId="23" fillId="3" borderId="4" xfId="0" applyFont="1" applyFill="1" applyBorder="1"/>
    <xf numFmtId="0" fontId="23" fillId="3" borderId="5" xfId="0" applyFont="1" applyFill="1" applyBorder="1"/>
    <xf numFmtId="165" fontId="13" fillId="3" borderId="5" xfId="0" applyNumberFormat="1" applyFont="1" applyFill="1" applyBorder="1"/>
    <xf numFmtId="43" fontId="13" fillId="3" borderId="10" xfId="1" applyNumberFormat="1" applyFont="1" applyFill="1" applyBorder="1"/>
    <xf numFmtId="0" fontId="1" fillId="0" borderId="0" xfId="0" applyFont="1" applyAlignment="1">
      <alignment horizontal="right"/>
    </xf>
    <xf numFmtId="0" fontId="4" fillId="3" borderId="0" xfId="0" applyFont="1" applyFill="1" applyAlignment="1">
      <alignment horizontal="center"/>
    </xf>
    <xf numFmtId="166" fontId="5" fillId="3" borderId="0" xfId="3" applyNumberFormat="1" applyFont="1" applyFill="1" applyBorder="1"/>
    <xf numFmtId="167" fontId="4" fillId="3" borderId="0" xfId="0" applyNumberFormat="1" applyFont="1" applyFill="1" applyAlignment="1">
      <alignment horizontal="center"/>
    </xf>
    <xf numFmtId="165" fontId="0" fillId="0" borderId="0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165" fontId="1" fillId="3" borderId="0" xfId="1" applyNumberFormat="1" applyFont="1" applyFill="1" applyBorder="1" applyAlignment="1">
      <alignment horizontal="center"/>
    </xf>
    <xf numFmtId="3" fontId="5" fillId="2" borderId="3" xfId="0" applyNumberFormat="1" applyFont="1" applyFill="1" applyBorder="1"/>
    <xf numFmtId="44" fontId="13" fillId="3" borderId="5" xfId="1" applyNumberFormat="1" applyFont="1" applyFill="1" applyBorder="1"/>
    <xf numFmtId="44" fontId="1" fillId="3" borderId="5" xfId="2" applyFont="1" applyFill="1" applyBorder="1"/>
    <xf numFmtId="43" fontId="13" fillId="3" borderId="5" xfId="1" applyFont="1" applyFill="1" applyBorder="1" applyAlignment="1">
      <alignment horizontal="left"/>
    </xf>
    <xf numFmtId="43" fontId="13" fillId="3" borderId="12" xfId="1" applyNumberFormat="1" applyFont="1" applyFill="1" applyBorder="1"/>
    <xf numFmtId="165" fontId="13" fillId="3" borderId="12" xfId="1" applyNumberFormat="1" applyFont="1" applyFill="1" applyBorder="1"/>
    <xf numFmtId="165" fontId="13" fillId="3" borderId="11" xfId="1" applyNumberFormat="1" applyFont="1" applyFill="1" applyBorder="1"/>
    <xf numFmtId="165" fontId="13" fillId="3" borderId="51" xfId="3" applyNumberFormat="1" applyFont="1" applyFill="1" applyBorder="1"/>
    <xf numFmtId="3" fontId="23" fillId="3" borderId="14" xfId="0" applyNumberFormat="1" applyFont="1" applyFill="1" applyBorder="1"/>
    <xf numFmtId="3" fontId="23" fillId="3" borderId="14" xfId="2" applyNumberFormat="1" applyFont="1" applyFill="1" applyBorder="1"/>
    <xf numFmtId="165" fontId="13" fillId="3" borderId="6" xfId="1" applyNumberFormat="1" applyFont="1" applyFill="1" applyBorder="1"/>
    <xf numFmtId="43" fontId="13" fillId="3" borderId="28" xfId="1" applyFont="1" applyFill="1" applyBorder="1" applyAlignment="1">
      <alignment horizontal="center"/>
    </xf>
    <xf numFmtId="37" fontId="18" fillId="2" borderId="16" xfId="0" applyNumberFormat="1" applyFont="1" applyFill="1" applyBorder="1" applyProtection="1"/>
    <xf numFmtId="37" fontId="5" fillId="2" borderId="0" xfId="0" applyNumberFormat="1" applyFont="1" applyFill="1"/>
    <xf numFmtId="3" fontId="0" fillId="2" borderId="0" xfId="0" applyNumberFormat="1" applyFill="1"/>
    <xf numFmtId="0" fontId="5" fillId="2" borderId="0" xfId="0" applyFont="1" applyFill="1"/>
    <xf numFmtId="3" fontId="19" fillId="0" borderId="7" xfId="0" applyNumberFormat="1" applyFont="1" applyBorder="1"/>
    <xf numFmtId="165" fontId="23" fillId="3" borderId="0" xfId="1" applyNumberFormat="1" applyFont="1" applyFill="1" applyAlignment="1">
      <alignment horizontal="center"/>
    </xf>
    <xf numFmtId="165" fontId="22" fillId="3" borderId="11" xfId="1" applyNumberFormat="1" applyFont="1" applyFill="1" applyBorder="1" applyAlignment="1">
      <alignment horizontal="center"/>
    </xf>
    <xf numFmtId="37" fontId="0" fillId="0" borderId="0" xfId="0" applyNumberFormat="1" applyFont="1"/>
    <xf numFmtId="0" fontId="0" fillId="0" borderId="0" xfId="0" applyFont="1"/>
    <xf numFmtId="37" fontId="0" fillId="0" borderId="12" xfId="0" applyNumberFormat="1" applyFont="1" applyBorder="1"/>
    <xf numFmtId="37" fontId="0" fillId="0" borderId="14" xfId="0" applyNumberFormat="1" applyFont="1" applyBorder="1"/>
    <xf numFmtId="37" fontId="0" fillId="0" borderId="9" xfId="0" applyNumberFormat="1" applyFont="1" applyBorder="1"/>
    <xf numFmtId="0" fontId="0" fillId="0" borderId="7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Font="1" applyBorder="1" applyAlignment="1">
      <alignment horizontal="center"/>
    </xf>
    <xf numFmtId="37" fontId="0" fillId="0" borderId="7" xfId="0" applyNumberFormat="1" applyFont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25" xfId="0" applyFont="1" applyBorder="1" applyAlignment="1">
      <alignment horizontal="center"/>
    </xf>
    <xf numFmtId="37" fontId="0" fillId="2" borderId="0" xfId="0" applyNumberFormat="1" applyFont="1" applyFill="1"/>
    <xf numFmtId="165" fontId="0" fillId="0" borderId="3" xfId="1" applyNumberFormat="1" applyFont="1" applyBorder="1"/>
    <xf numFmtId="178" fontId="0" fillId="0" borderId="0" xfId="0" quotePrefix="1" applyNumberFormat="1" applyFont="1"/>
    <xf numFmtId="0" fontId="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3" fontId="0" fillId="0" borderId="0" xfId="0" applyNumberFormat="1" applyFont="1"/>
    <xf numFmtId="3" fontId="0" fillId="0" borderId="0" xfId="0" applyNumberFormat="1" applyFont="1" applyAlignment="1">
      <alignment horizontal="center"/>
    </xf>
    <xf numFmtId="3" fontId="39" fillId="0" borderId="0" xfId="0" applyNumberFormat="1" applyFont="1"/>
    <xf numFmtId="3" fontId="39" fillId="0" borderId="0" xfId="0" applyNumberFormat="1" applyFont="1" applyAlignment="1">
      <alignment horizontal="center"/>
    </xf>
    <xf numFmtId="3" fontId="40" fillId="0" borderId="0" xfId="0" applyNumberFormat="1" applyFont="1"/>
    <xf numFmtId="3" fontId="40" fillId="0" borderId="0" xfId="0" applyNumberFormat="1" applyFont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178" fontId="0" fillId="0" borderId="0" xfId="0" applyNumberFormat="1" applyFont="1"/>
    <xf numFmtId="15" fontId="0" fillId="0" borderId="0" xfId="0" applyNumberFormat="1" applyFont="1"/>
    <xf numFmtId="179" fontId="0" fillId="0" borderId="0" xfId="0" applyNumberFormat="1" applyFont="1"/>
    <xf numFmtId="0" fontId="32" fillId="0" borderId="0" xfId="0" applyFont="1"/>
    <xf numFmtId="180" fontId="0" fillId="0" borderId="0" xfId="0" applyNumberFormat="1" applyFont="1"/>
    <xf numFmtId="181" fontId="0" fillId="0" borderId="0" xfId="0" applyNumberFormat="1" applyFont="1"/>
    <xf numFmtId="0" fontId="0" fillId="0" borderId="4" xfId="0" applyFont="1" applyBorder="1"/>
    <xf numFmtId="0" fontId="0" fillId="0" borderId="4" xfId="0" applyFont="1" applyBorder="1" applyAlignment="1"/>
    <xf numFmtId="0" fontId="0" fillId="0" borderId="10" xfId="0" applyFont="1" applyBorder="1" applyAlignment="1">
      <alignment horizontal="center"/>
    </xf>
    <xf numFmtId="0" fontId="0" fillId="0" borderId="10" xfId="0" applyFont="1" applyBorder="1"/>
    <xf numFmtId="0" fontId="38" fillId="0" borderId="0" xfId="0" applyFont="1" applyBorder="1"/>
    <xf numFmtId="0" fontId="0" fillId="0" borderId="1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/>
    <xf numFmtId="0" fontId="38" fillId="0" borderId="6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37" fontId="32" fillId="0" borderId="0" xfId="0" applyNumberFormat="1" applyFont="1"/>
    <xf numFmtId="37" fontId="0" fillId="0" borderId="2" xfId="0" applyNumberFormat="1" applyFont="1" applyBorder="1"/>
    <xf numFmtId="37" fontId="38" fillId="0" borderId="2" xfId="0" applyNumberFormat="1" applyFont="1" applyBorder="1"/>
    <xf numFmtId="37" fontId="38" fillId="0" borderId="8" xfId="0" applyNumberFormat="1" applyFont="1" applyBorder="1"/>
    <xf numFmtId="37" fontId="38" fillId="3" borderId="8" xfId="0" applyNumberFormat="1" applyFont="1" applyFill="1" applyBorder="1"/>
    <xf numFmtId="37" fontId="38" fillId="2" borderId="8" xfId="0" applyNumberFormat="1" applyFont="1" applyFill="1" applyBorder="1"/>
    <xf numFmtId="37" fontId="41" fillId="0" borderId="0" xfId="0" applyNumberFormat="1" applyFont="1"/>
    <xf numFmtId="37" fontId="0" fillId="0" borderId="8" xfId="0" applyNumberFormat="1" applyFont="1" applyBorder="1"/>
    <xf numFmtId="37" fontId="0" fillId="0" borderId="0" xfId="0" applyNumberFormat="1" applyFont="1" applyBorder="1" applyAlignment="1">
      <alignment horizontal="center"/>
    </xf>
    <xf numFmtId="165" fontId="0" fillId="0" borderId="0" xfId="0" applyNumberFormat="1" applyFont="1"/>
    <xf numFmtId="178" fontId="0" fillId="0" borderId="0" xfId="0" applyNumberFormat="1" applyFont="1" applyAlignment="1">
      <alignment horizontal="left"/>
    </xf>
    <xf numFmtId="37" fontId="42" fillId="0" borderId="0" xfId="0" applyNumberFormat="1" applyFont="1"/>
    <xf numFmtId="37" fontId="39" fillId="0" borderId="0" xfId="0" applyNumberFormat="1" applyFont="1"/>
    <xf numFmtId="179" fontId="42" fillId="0" borderId="0" xfId="0" applyNumberFormat="1" applyFont="1"/>
    <xf numFmtId="0" fontId="42" fillId="0" borderId="0" xfId="0" applyFont="1"/>
    <xf numFmtId="37" fontId="43" fillId="0" borderId="0" xfId="0" applyNumberFormat="1" applyFont="1"/>
    <xf numFmtId="179" fontId="43" fillId="0" borderId="0" xfId="0" applyNumberFormat="1" applyFont="1"/>
    <xf numFmtId="0" fontId="43" fillId="0" borderId="0" xfId="0" applyFont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165" fontId="44" fillId="3" borderId="61" xfId="4" applyNumberFormat="1" applyFill="1" applyBorder="1" applyAlignment="1"/>
    <xf numFmtId="165" fontId="23" fillId="3" borderId="23" xfId="1" applyNumberFormat="1" applyFont="1" applyFill="1" applyBorder="1"/>
    <xf numFmtId="0" fontId="14" fillId="3" borderId="0" xfId="0" applyFont="1" applyFill="1"/>
    <xf numFmtId="165" fontId="14" fillId="3" borderId="0" xfId="1" applyNumberFormat="1" applyFont="1" applyFill="1" applyBorder="1" applyAlignment="1">
      <alignment horizontal="center"/>
    </xf>
    <xf numFmtId="37" fontId="38" fillId="2" borderId="0" xfId="0" applyNumberFormat="1" applyFont="1" applyFill="1" applyBorder="1"/>
    <xf numFmtId="37" fontId="38" fillId="0" borderId="0" xfId="0" applyNumberFormat="1" applyFont="1" applyBorder="1"/>
    <xf numFmtId="37" fontId="0" fillId="0" borderId="0" xfId="0" applyNumberFormat="1" applyFont="1" applyBorder="1"/>
    <xf numFmtId="0" fontId="1" fillId="3" borderId="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/>
    <xf numFmtId="0" fontId="5" fillId="3" borderId="5" xfId="0" applyFont="1" applyFill="1" applyBorder="1"/>
    <xf numFmtId="165" fontId="5" fillId="3" borderId="5" xfId="1" applyNumberFormat="1" applyFont="1" applyFill="1" applyBorder="1"/>
    <xf numFmtId="165" fontId="5" fillId="3" borderId="10" xfId="1" applyNumberFormat="1" applyFont="1" applyFill="1" applyBorder="1"/>
    <xf numFmtId="165" fontId="5" fillId="3" borderId="6" xfId="1" applyNumberFormat="1" applyFont="1" applyFill="1" applyBorder="1"/>
    <xf numFmtId="165" fontId="5" fillId="3" borderId="5" xfId="0" applyNumberFormat="1" applyFont="1" applyFill="1" applyBorder="1"/>
    <xf numFmtId="166" fontId="5" fillId="3" borderId="5" xfId="3" applyNumberFormat="1" applyFont="1" applyFill="1" applyBorder="1"/>
    <xf numFmtId="10" fontId="5" fillId="3" borderId="6" xfId="3" applyNumberFormat="1" applyFont="1" applyFill="1" applyBorder="1"/>
    <xf numFmtId="165" fontId="5" fillId="3" borderId="4" xfId="1" applyNumberFormat="1" applyFont="1" applyFill="1" applyBorder="1"/>
    <xf numFmtId="9" fontId="0" fillId="3" borderId="5" xfId="3" applyFont="1" applyFill="1" applyBorder="1"/>
    <xf numFmtId="10" fontId="0" fillId="3" borderId="5" xfId="3" applyNumberFormat="1" applyFont="1" applyFill="1" applyBorder="1"/>
    <xf numFmtId="3" fontId="13" fillId="3" borderId="14" xfId="0" applyNumberFormat="1" applyFont="1" applyFill="1" applyBorder="1"/>
    <xf numFmtId="168" fontId="0" fillId="3" borderId="5" xfId="3" applyNumberFormat="1" applyFont="1" applyFill="1" applyBorder="1"/>
    <xf numFmtId="10" fontId="5" fillId="3" borderId="0" xfId="3" applyNumberFormat="1" applyFont="1" applyFill="1" applyBorder="1"/>
    <xf numFmtId="165" fontId="1" fillId="3" borderId="5" xfId="0" applyNumberFormat="1" applyFont="1" applyFill="1" applyBorder="1"/>
    <xf numFmtId="10" fontId="1" fillId="3" borderId="0" xfId="3" applyNumberFormat="1" applyFont="1" applyFill="1" applyBorder="1"/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37" fontId="0" fillId="0" borderId="19" xfId="0" applyNumberFormat="1" applyFont="1" applyBorder="1"/>
    <xf numFmtId="0" fontId="0" fillId="0" borderId="27" xfId="0" applyFont="1" applyBorder="1"/>
    <xf numFmtId="0" fontId="0" fillId="0" borderId="52" xfId="0" applyFont="1" applyBorder="1" applyAlignment="1">
      <alignment horizontal="center"/>
    </xf>
    <xf numFmtId="0" fontId="0" fillId="0" borderId="53" xfId="0" applyFont="1" applyBorder="1" applyAlignment="1">
      <alignment horizontal="center"/>
    </xf>
    <xf numFmtId="0" fontId="0" fillId="0" borderId="27" xfId="0" applyBorder="1"/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9" xfId="0" applyFont="1" applyBorder="1" applyAlignment="1">
      <alignment horizontal="center"/>
    </xf>
    <xf numFmtId="0" fontId="0" fillId="0" borderId="54" xfId="0" applyFont="1" applyBorder="1" applyAlignment="1">
      <alignment horizontal="center"/>
    </xf>
    <xf numFmtId="37" fontId="0" fillId="0" borderId="1" xfId="0" applyNumberFormat="1" applyFont="1" applyBorder="1"/>
    <xf numFmtId="37" fontId="0" fillId="0" borderId="69" xfId="0" applyNumberFormat="1" applyFont="1" applyBorder="1" applyAlignment="1">
      <alignment horizontal="center"/>
    </xf>
    <xf numFmtId="0" fontId="0" fillId="0" borderId="1" xfId="0" applyFont="1" applyBorder="1"/>
    <xf numFmtId="37" fontId="0" fillId="2" borderId="0" xfId="0" applyNumberFormat="1" applyFont="1" applyFill="1" applyBorder="1"/>
    <xf numFmtId="165" fontId="0" fillId="2" borderId="0" xfId="1" applyNumberFormat="1" applyFont="1" applyFill="1" applyBorder="1"/>
    <xf numFmtId="37" fontId="0" fillId="2" borderId="0" xfId="0" applyNumberFormat="1" applyFill="1" applyBorder="1"/>
    <xf numFmtId="37" fontId="0" fillId="0" borderId="17" xfId="0" applyNumberFormat="1" applyFont="1" applyBorder="1"/>
    <xf numFmtId="165" fontId="0" fillId="0" borderId="17" xfId="1" applyNumberFormat="1" applyFont="1" applyBorder="1"/>
    <xf numFmtId="165" fontId="0" fillId="0" borderId="70" xfId="1" applyNumberFormat="1" applyFont="1" applyBorder="1"/>
    <xf numFmtId="0" fontId="0" fillId="0" borderId="21" xfId="0" applyFont="1" applyBorder="1"/>
    <xf numFmtId="165" fontId="0" fillId="0" borderId="26" xfId="1" applyNumberFormat="1" applyFont="1" applyBorder="1"/>
    <xf numFmtId="0" fontId="0" fillId="0" borderId="26" xfId="0" applyBorder="1"/>
    <xf numFmtId="165" fontId="0" fillId="0" borderId="18" xfId="1" applyNumberFormat="1" applyFont="1" applyBorder="1"/>
    <xf numFmtId="3" fontId="0" fillId="2" borderId="0" xfId="0" applyNumberFormat="1" applyFont="1" applyFill="1"/>
    <xf numFmtId="3" fontId="0" fillId="0" borderId="0" xfId="0" applyNumberFormat="1" applyFont="1" applyBorder="1"/>
    <xf numFmtId="37" fontId="38" fillId="4" borderId="8" xfId="0" applyNumberFormat="1" applyFont="1" applyFill="1" applyBorder="1"/>
    <xf numFmtId="37" fontId="0" fillId="4" borderId="8" xfId="0" applyNumberFormat="1" applyFont="1" applyFill="1" applyBorder="1"/>
    <xf numFmtId="165" fontId="1" fillId="3" borderId="5" xfId="1" applyNumberFormat="1" applyFont="1" applyFill="1" applyBorder="1"/>
    <xf numFmtId="9" fontId="5" fillId="3" borderId="0" xfId="3" applyFont="1" applyFill="1"/>
    <xf numFmtId="43" fontId="23" fillId="3" borderId="0" xfId="1" applyFont="1" applyFill="1"/>
    <xf numFmtId="165" fontId="23" fillId="3" borderId="25" xfId="1" applyNumberFormat="1" applyFont="1" applyFill="1" applyBorder="1"/>
    <xf numFmtId="165" fontId="23" fillId="3" borderId="7" xfId="1" applyNumberFormat="1" applyFont="1" applyFill="1" applyBorder="1" applyAlignment="1">
      <alignment horizontal="center"/>
    </xf>
    <xf numFmtId="44" fontId="0" fillId="0" borderId="0" xfId="2" applyFont="1"/>
    <xf numFmtId="43" fontId="0" fillId="0" borderId="0" xfId="0" applyNumberFormat="1"/>
    <xf numFmtId="182" fontId="0" fillId="0" borderId="0" xfId="2" applyNumberFormat="1" applyFont="1"/>
    <xf numFmtId="182" fontId="0" fillId="0" borderId="0" xfId="0" applyNumberFormat="1"/>
    <xf numFmtId="5" fontId="0" fillId="0" borderId="0" xfId="0" applyNumberFormat="1"/>
    <xf numFmtId="171" fontId="0" fillId="0" borderId="0" xfId="1" applyNumberFormat="1" applyFont="1"/>
    <xf numFmtId="44" fontId="23" fillId="3" borderId="14" xfId="2" applyFont="1" applyFill="1" applyBorder="1"/>
    <xf numFmtId="44" fontId="13" fillId="3" borderId="14" xfId="2" applyFont="1" applyFill="1" applyBorder="1"/>
    <xf numFmtId="177" fontId="23" fillId="3" borderId="0" xfId="2" applyNumberFormat="1" applyFont="1" applyFill="1" applyBorder="1"/>
    <xf numFmtId="177" fontId="13" fillId="3" borderId="0" xfId="2" applyNumberFormat="1" applyFont="1" applyFill="1" applyBorder="1"/>
    <xf numFmtId="44" fontId="13" fillId="3" borderId="0" xfId="2" applyFont="1" applyFill="1" applyBorder="1"/>
    <xf numFmtId="43" fontId="0" fillId="0" borderId="0" xfId="1" applyFont="1"/>
    <xf numFmtId="165" fontId="13" fillId="3" borderId="14" xfId="0" applyNumberFormat="1" applyFont="1" applyFill="1" applyBorder="1"/>
    <xf numFmtId="165" fontId="0" fillId="2" borderId="17" xfId="1" applyNumberFormat="1" applyFont="1" applyFill="1" applyBorder="1"/>
    <xf numFmtId="37" fontId="0" fillId="0" borderId="21" xfId="0" applyNumberFormat="1" applyFont="1" applyBorder="1"/>
    <xf numFmtId="0" fontId="11" fillId="0" borderId="0" xfId="0" applyFont="1" applyAlignment="1">
      <alignment horizontal="center"/>
    </xf>
    <xf numFmtId="165" fontId="1" fillId="3" borderId="14" xfId="1" applyNumberFormat="1" applyFont="1" applyFill="1" applyBorder="1" applyAlignment="1">
      <alignment horizontal="center"/>
    </xf>
    <xf numFmtId="165" fontId="1" fillId="3" borderId="9" xfId="1" applyNumberFormat="1" applyFont="1" applyFill="1" applyBorder="1" applyAlignment="1">
      <alignment horizontal="center"/>
    </xf>
    <xf numFmtId="165" fontId="1" fillId="3" borderId="13" xfId="1" applyNumberFormat="1" applyFont="1" applyFill="1" applyBorder="1" applyAlignment="1">
      <alignment horizontal="center"/>
    </xf>
    <xf numFmtId="165" fontId="20" fillId="3" borderId="2" xfId="1" applyNumberFormat="1" applyFont="1" applyFill="1" applyBorder="1" applyAlignment="1">
      <alignment horizontal="center"/>
    </xf>
    <xf numFmtId="165" fontId="20" fillId="3" borderId="25" xfId="1" applyNumberFormat="1" applyFont="1" applyFill="1" applyBorder="1" applyAlignment="1">
      <alignment horizontal="center"/>
    </xf>
    <xf numFmtId="37" fontId="0" fillId="3" borderId="15" xfId="0" applyNumberFormat="1" applyFill="1" applyBorder="1" applyProtection="1"/>
    <xf numFmtId="37" fontId="17" fillId="3" borderId="0" xfId="0" applyNumberFormat="1" applyFont="1" applyFill="1" applyBorder="1" applyProtection="1">
      <protection locked="0"/>
    </xf>
    <xf numFmtId="0" fontId="13" fillId="0" borderId="1" xfId="0" applyFont="1" applyBorder="1"/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3" fillId="0" borderId="21" xfId="0" applyFont="1" applyBorder="1"/>
    <xf numFmtId="0" fontId="13" fillId="0" borderId="26" xfId="0" applyFont="1" applyBorder="1" applyAlignment="1">
      <alignment horizontal="center"/>
    </xf>
    <xf numFmtId="165" fontId="13" fillId="0" borderId="0" xfId="1" applyNumberFormat="1" applyFont="1" applyBorder="1"/>
    <xf numFmtId="165" fontId="13" fillId="0" borderId="0" xfId="0" applyNumberFormat="1" applyFont="1" applyBorder="1"/>
    <xf numFmtId="165" fontId="13" fillId="0" borderId="67" xfId="1" applyNumberFormat="1" applyFont="1" applyBorder="1"/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19" xfId="0" applyFont="1" applyBorder="1"/>
    <xf numFmtId="0" fontId="13" fillId="0" borderId="27" xfId="0" applyFont="1" applyBorder="1"/>
    <xf numFmtId="0" fontId="13" fillId="0" borderId="71" xfId="0" applyFont="1" applyBorder="1"/>
    <xf numFmtId="0" fontId="13" fillId="0" borderId="1" xfId="0" applyFont="1" applyBorder="1" applyAlignment="1"/>
    <xf numFmtId="0" fontId="13" fillId="0" borderId="0" xfId="0" applyFont="1" applyBorder="1" applyAlignment="1"/>
    <xf numFmtId="0" fontId="13" fillId="0" borderId="0" xfId="0" applyFont="1" applyAlignment="1"/>
    <xf numFmtId="0" fontId="13" fillId="0" borderId="21" xfId="0" applyFont="1" applyBorder="1" applyAlignment="1"/>
    <xf numFmtId="0" fontId="13" fillId="0" borderId="26" xfId="0" applyFont="1" applyBorder="1" applyAlignment="1"/>
    <xf numFmtId="165" fontId="13" fillId="0" borderId="2" xfId="1" applyNumberFormat="1" applyFont="1" applyBorder="1"/>
    <xf numFmtId="0" fontId="13" fillId="0" borderId="26" xfId="0" applyFont="1" applyBorder="1"/>
    <xf numFmtId="183" fontId="13" fillId="0" borderId="0" xfId="1" applyNumberFormat="1" applyFont="1" applyBorder="1"/>
    <xf numFmtId="165" fontId="13" fillId="0" borderId="26" xfId="1" applyNumberFormat="1" applyFont="1" applyBorder="1"/>
    <xf numFmtId="0" fontId="14" fillId="0" borderId="2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7" xfId="0" applyFont="1" applyBorder="1"/>
    <xf numFmtId="165" fontId="13" fillId="0" borderId="17" xfId="1" applyNumberFormat="1" applyFont="1" applyBorder="1"/>
    <xf numFmtId="165" fontId="13" fillId="0" borderId="17" xfId="0" applyNumberFormat="1" applyFont="1" applyBorder="1"/>
    <xf numFmtId="165" fontId="13" fillId="0" borderId="72" xfId="0" applyNumberFormat="1" applyFont="1" applyBorder="1"/>
    <xf numFmtId="0" fontId="13" fillId="0" borderId="18" xfId="0" applyFont="1" applyBorder="1" applyAlignment="1">
      <alignment horizontal="center"/>
    </xf>
    <xf numFmtId="0" fontId="13" fillId="0" borderId="20" xfId="0" applyFont="1" applyBorder="1"/>
    <xf numFmtId="0" fontId="13" fillId="0" borderId="28" xfId="0" applyFont="1" applyBorder="1"/>
    <xf numFmtId="165" fontId="13" fillId="0" borderId="72" xfId="1" applyNumberFormat="1" applyFont="1" applyBorder="1"/>
    <xf numFmtId="0" fontId="13" fillId="0" borderId="18" xfId="0" applyFont="1" applyBorder="1"/>
    <xf numFmtId="43" fontId="13" fillId="0" borderId="0" xfId="1" applyFont="1" applyBorder="1"/>
    <xf numFmtId="0" fontId="0" fillId="0" borderId="28" xfId="0" applyBorder="1"/>
    <xf numFmtId="0" fontId="0" fillId="0" borderId="17" xfId="0" applyBorder="1"/>
    <xf numFmtId="165" fontId="13" fillId="0" borderId="18" xfId="1" applyNumberFormat="1" applyFont="1" applyBorder="1"/>
    <xf numFmtId="0" fontId="14" fillId="0" borderId="18" xfId="0" applyFont="1" applyBorder="1" applyAlignment="1">
      <alignment horizontal="center"/>
    </xf>
    <xf numFmtId="0" fontId="15" fillId="0" borderId="1" xfId="0" applyFont="1" applyBorder="1"/>
    <xf numFmtId="0" fontId="13" fillId="0" borderId="2" xfId="0" applyFont="1" applyBorder="1"/>
    <xf numFmtId="43" fontId="13" fillId="0" borderId="2" xfId="1" applyFont="1" applyBorder="1"/>
    <xf numFmtId="165" fontId="13" fillId="2" borderId="17" xfId="1" applyNumberFormat="1" applyFont="1" applyFill="1" applyBorder="1"/>
    <xf numFmtId="0" fontId="13" fillId="5" borderId="1" xfId="0" applyFont="1" applyFill="1" applyBorder="1"/>
    <xf numFmtId="165" fontId="13" fillId="5" borderId="0" xfId="1" applyNumberFormat="1" applyFont="1" applyFill="1" applyBorder="1"/>
    <xf numFmtId="165" fontId="13" fillId="5" borderId="17" xfId="1" applyNumberFormat="1" applyFont="1" applyFill="1" applyBorder="1"/>
    <xf numFmtId="165" fontId="13" fillId="5" borderId="2" xfId="1" applyNumberFormat="1" applyFont="1" applyFill="1" applyBorder="1"/>
    <xf numFmtId="165" fontId="13" fillId="5" borderId="72" xfId="1" applyNumberFormat="1" applyFont="1" applyFill="1" applyBorder="1"/>
    <xf numFmtId="165" fontId="13" fillId="5" borderId="26" xfId="1" applyNumberFormat="1" applyFont="1" applyFill="1" applyBorder="1"/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2" fontId="36" fillId="3" borderId="0" xfId="0" applyNumberFormat="1" applyFont="1" applyFill="1" applyAlignment="1">
      <alignment vertical="top"/>
    </xf>
    <xf numFmtId="0" fontId="11" fillId="3" borderId="0" xfId="0" applyFont="1" applyFill="1" applyAlignment="1" applyProtection="1">
      <alignment vertical="top"/>
    </xf>
    <xf numFmtId="41" fontId="11" fillId="3" borderId="0" xfId="0" applyNumberFormat="1" applyFont="1" applyFill="1" applyAlignment="1">
      <alignment vertical="top"/>
    </xf>
    <xf numFmtId="10" fontId="1" fillId="3" borderId="0" xfId="0" applyNumberFormat="1" applyFont="1" applyFill="1" applyAlignment="1" applyProtection="1">
      <alignment vertical="top"/>
    </xf>
    <xf numFmtId="37" fontId="1" fillId="3" borderId="0" xfId="0" applyNumberFormat="1" applyFont="1" applyFill="1" applyAlignment="1" applyProtection="1">
      <alignment vertical="top"/>
    </xf>
    <xf numFmtId="37" fontId="1" fillId="3" borderId="0" xfId="0" applyNumberFormat="1" applyFont="1" applyFill="1" applyAlignment="1">
      <alignment vertical="top"/>
    </xf>
    <xf numFmtId="165" fontId="1" fillId="3" borderId="0" xfId="1" applyNumberFormat="1" applyFont="1" applyFill="1" applyAlignment="1" applyProtection="1">
      <alignment vertical="top"/>
    </xf>
    <xf numFmtId="9" fontId="11" fillId="3" borderId="0" xfId="3" applyFont="1" applyFill="1" applyAlignment="1">
      <alignment vertical="top"/>
    </xf>
    <xf numFmtId="41" fontId="1" fillId="3" borderId="0" xfId="0" applyNumberFormat="1" applyFont="1" applyFill="1" applyAlignment="1">
      <alignment vertical="top"/>
    </xf>
    <xf numFmtId="41" fontId="34" fillId="3" borderId="2" xfId="0" applyNumberFormat="1" applyFont="1" applyFill="1" applyBorder="1" applyAlignment="1">
      <alignment vertical="top"/>
    </xf>
    <xf numFmtId="37" fontId="1" fillId="3" borderId="2" xfId="0" applyNumberFormat="1" applyFont="1" applyFill="1" applyBorder="1" applyAlignment="1" applyProtection="1">
      <alignment vertical="top"/>
    </xf>
    <xf numFmtId="0" fontId="1" fillId="3" borderId="2" xfId="0" applyFont="1" applyFill="1" applyBorder="1" applyAlignment="1">
      <alignment vertical="top"/>
    </xf>
    <xf numFmtId="37" fontId="1" fillId="3" borderId="2" xfId="0" applyNumberFormat="1" applyFont="1" applyFill="1" applyBorder="1" applyAlignment="1">
      <alignment vertical="top"/>
    </xf>
    <xf numFmtId="0" fontId="1" fillId="3" borderId="0" xfId="0" applyFont="1" applyFill="1" applyAlignment="1" applyProtection="1">
      <alignment vertical="top"/>
    </xf>
    <xf numFmtId="37" fontId="11" fillId="3" borderId="8" xfId="0" applyNumberFormat="1" applyFont="1" applyFill="1" applyBorder="1" applyAlignment="1" applyProtection="1">
      <alignment vertical="top"/>
    </xf>
    <xf numFmtId="9" fontId="1" fillId="3" borderId="8" xfId="3" applyFont="1" applyFill="1" applyBorder="1" applyAlignment="1" applyProtection="1">
      <alignment vertical="top"/>
    </xf>
    <xf numFmtId="37" fontId="1" fillId="3" borderId="8" xfId="0" applyNumberFormat="1" applyFont="1" applyFill="1" applyBorder="1" applyAlignment="1">
      <alignment vertical="top"/>
    </xf>
    <xf numFmtId="0" fontId="1" fillId="3" borderId="0" xfId="0" applyFont="1" applyFill="1" applyBorder="1" applyAlignment="1">
      <alignment vertical="top"/>
    </xf>
    <xf numFmtId="37" fontId="1" fillId="3" borderId="0" xfId="0" applyNumberFormat="1" applyFont="1" applyFill="1" applyBorder="1" applyAlignment="1">
      <alignment vertical="top"/>
    </xf>
    <xf numFmtId="43" fontId="1" fillId="3" borderId="0" xfId="1" applyFont="1" applyFill="1" applyAlignment="1">
      <alignment vertical="top"/>
    </xf>
    <xf numFmtId="0" fontId="13" fillId="3" borderId="0" xfId="0" applyFont="1" applyFill="1" applyBorder="1" applyAlignment="1">
      <alignment horizontal="center" vertical="top"/>
    </xf>
    <xf numFmtId="0" fontId="13" fillId="3" borderId="0" xfId="0" applyFont="1" applyFill="1" applyBorder="1" applyAlignment="1">
      <alignment vertical="top"/>
    </xf>
    <xf numFmtId="165" fontId="1" fillId="3" borderId="0" xfId="1" applyNumberFormat="1" applyFont="1" applyFill="1" applyBorder="1" applyAlignment="1">
      <alignment vertical="top"/>
    </xf>
    <xf numFmtId="10" fontId="1" fillId="3" borderId="0" xfId="3" applyNumberFormat="1" applyFont="1" applyFill="1" applyAlignment="1">
      <alignment vertical="top"/>
    </xf>
    <xf numFmtId="165" fontId="1" fillId="3" borderId="0" xfId="0" applyNumberFormat="1" applyFont="1" applyFill="1" applyBorder="1" applyAlignment="1">
      <alignment vertical="top"/>
    </xf>
    <xf numFmtId="10" fontId="1" fillId="3" borderId="0" xfId="3" applyNumberFormat="1" applyFont="1" applyFill="1" applyBorder="1" applyAlignment="1">
      <alignment vertical="top"/>
    </xf>
    <xf numFmtId="0" fontId="5" fillId="3" borderId="5" xfId="0" applyFont="1" applyFill="1" applyBorder="1" applyAlignment="1">
      <alignment horizontal="center"/>
    </xf>
    <xf numFmtId="0" fontId="5" fillId="3" borderId="31" xfId="0" applyFont="1" applyFill="1" applyBorder="1" applyAlignment="1"/>
    <xf numFmtId="0" fontId="5" fillId="3" borderId="32" xfId="0" applyFont="1" applyFill="1" applyBorder="1" applyAlignment="1"/>
    <xf numFmtId="167" fontId="5" fillId="3" borderId="32" xfId="0" applyNumberFormat="1" applyFont="1" applyFill="1" applyBorder="1" applyAlignment="1"/>
    <xf numFmtId="0" fontId="5" fillId="3" borderId="33" xfId="0" applyFont="1" applyFill="1" applyBorder="1" applyAlignment="1"/>
    <xf numFmtId="0" fontId="2" fillId="3" borderId="6" xfId="0" applyFont="1" applyFill="1" applyBorder="1" applyAlignment="1">
      <alignment horizontal="center"/>
    </xf>
    <xf numFmtId="165" fontId="11" fillId="3" borderId="0" xfId="1" applyNumberFormat="1" applyFont="1" applyFill="1" applyBorder="1"/>
    <xf numFmtId="165" fontId="11" fillId="3" borderId="0" xfId="1" applyNumberFormat="1" applyFont="1" applyFill="1"/>
    <xf numFmtId="0" fontId="11" fillId="3" borderId="0" xfId="0" applyFont="1" applyFill="1" applyBorder="1"/>
    <xf numFmtId="165" fontId="6" fillId="3" borderId="0" xfId="1" applyNumberFormat="1" applyFont="1" applyFill="1" applyBorder="1"/>
    <xf numFmtId="43" fontId="6" fillId="3" borderId="0" xfId="1" applyFont="1" applyFill="1" applyBorder="1"/>
    <xf numFmtId="10" fontId="6" fillId="3" borderId="0" xfId="3" applyNumberFormat="1" applyFont="1" applyFill="1" applyBorder="1"/>
    <xf numFmtId="43" fontId="11" fillId="3" borderId="0" xfId="1" applyFont="1" applyFill="1" applyBorder="1"/>
    <xf numFmtId="0" fontId="11" fillId="3" borderId="0" xfId="0" applyFont="1" applyFill="1"/>
    <xf numFmtId="43" fontId="11" fillId="3" borderId="0" xfId="1" applyFont="1" applyFill="1"/>
    <xf numFmtId="43" fontId="34" fillId="3" borderId="19" xfId="1" applyFont="1" applyFill="1" applyBorder="1" applyAlignment="1">
      <alignment horizontal="center"/>
    </xf>
    <xf numFmtId="43" fontId="34" fillId="3" borderId="27" xfId="1" applyFont="1" applyFill="1" applyBorder="1" applyAlignment="1">
      <alignment horizontal="center"/>
    </xf>
    <xf numFmtId="165" fontId="34" fillId="3" borderId="27" xfId="1" applyNumberFormat="1" applyFont="1" applyFill="1" applyBorder="1" applyAlignment="1">
      <alignment horizontal="center"/>
    </xf>
    <xf numFmtId="43" fontId="34" fillId="3" borderId="28" xfId="1" applyFont="1" applyFill="1" applyBorder="1" applyAlignment="1">
      <alignment horizontal="center"/>
    </xf>
    <xf numFmtId="43" fontId="11" fillId="3" borderId="1" xfId="1" applyFont="1" applyFill="1" applyBorder="1"/>
    <xf numFmtId="43" fontId="11" fillId="3" borderId="0" xfId="1" applyFont="1" applyFill="1" applyBorder="1" applyAlignment="1">
      <alignment horizontal="center"/>
    </xf>
    <xf numFmtId="43" fontId="11" fillId="3" borderId="17" xfId="1" applyFont="1" applyFill="1" applyBorder="1"/>
    <xf numFmtId="165" fontId="11" fillId="3" borderId="1" xfId="1" applyNumberFormat="1" applyFont="1" applyFill="1" applyBorder="1"/>
    <xf numFmtId="165" fontId="11" fillId="3" borderId="0" xfId="1" applyNumberFormat="1" applyFont="1" applyFill="1" applyBorder="1" applyAlignment="1">
      <alignment horizontal="center"/>
    </xf>
    <xf numFmtId="44" fontId="11" fillId="3" borderId="17" xfId="2" applyFont="1" applyFill="1" applyBorder="1"/>
    <xf numFmtId="164" fontId="11" fillId="3" borderId="0" xfId="1" applyNumberFormat="1" applyFont="1" applyFill="1" applyBorder="1"/>
    <xf numFmtId="0" fontId="11" fillId="3" borderId="1" xfId="0" applyFont="1" applyFill="1" applyBorder="1"/>
    <xf numFmtId="165" fontId="11" fillId="3" borderId="2" xfId="1" applyNumberFormat="1" applyFont="1" applyFill="1" applyBorder="1"/>
    <xf numFmtId="43" fontId="6" fillId="3" borderId="1" xfId="1" applyFont="1" applyFill="1" applyBorder="1"/>
    <xf numFmtId="165" fontId="11" fillId="3" borderId="3" xfId="1" applyNumberFormat="1" applyFont="1" applyFill="1" applyBorder="1"/>
    <xf numFmtId="43" fontId="6" fillId="3" borderId="0" xfId="1" applyFont="1" applyFill="1" applyAlignment="1">
      <alignment horizontal="center"/>
    </xf>
    <xf numFmtId="3" fontId="11" fillId="3" borderId="0" xfId="0" applyNumberFormat="1" applyFont="1" applyFill="1" applyBorder="1"/>
    <xf numFmtId="0" fontId="11" fillId="3" borderId="21" xfId="0" applyFont="1" applyFill="1" applyBorder="1"/>
    <xf numFmtId="0" fontId="11" fillId="3" borderId="26" xfId="0" applyFont="1" applyFill="1" applyBorder="1"/>
    <xf numFmtId="3" fontId="11" fillId="3" borderId="8" xfId="0" applyNumberFormat="1" applyFont="1" applyFill="1" applyBorder="1"/>
    <xf numFmtId="165" fontId="11" fillId="3" borderId="26" xfId="0" applyNumberFormat="1" applyFont="1" applyFill="1" applyBorder="1"/>
    <xf numFmtId="43" fontId="11" fillId="3" borderId="18" xfId="1" applyFont="1" applyFill="1" applyBorder="1"/>
    <xf numFmtId="0" fontId="6" fillId="3" borderId="0" xfId="0" applyFont="1" applyFill="1" applyBorder="1"/>
    <xf numFmtId="43" fontId="6" fillId="3" borderId="0" xfId="1" applyFont="1" applyFill="1"/>
    <xf numFmtId="43" fontId="11" fillId="3" borderId="19" xfId="1" applyFont="1" applyFill="1" applyBorder="1"/>
    <xf numFmtId="43" fontId="11" fillId="3" borderId="27" xfId="1" applyFont="1" applyFill="1" applyBorder="1"/>
    <xf numFmtId="165" fontId="11" fillId="3" borderId="29" xfId="1" applyNumberFormat="1" applyFont="1" applyFill="1" applyBorder="1" applyAlignment="1">
      <alignment horizontal="center"/>
    </xf>
    <xf numFmtId="169" fontId="11" fillId="3" borderId="29" xfId="1" applyNumberFormat="1" applyFont="1" applyFill="1" applyBorder="1" applyAlignment="1">
      <alignment horizontal="center"/>
    </xf>
    <xf numFmtId="43" fontId="11" fillId="3" borderId="30" xfId="1" applyFont="1" applyFill="1" applyBorder="1" applyAlignment="1">
      <alignment horizontal="center"/>
    </xf>
    <xf numFmtId="169" fontId="11" fillId="3" borderId="0" xfId="1" applyNumberFormat="1" applyFont="1" applyFill="1" applyBorder="1" applyAlignment="1"/>
    <xf numFmtId="169" fontId="11" fillId="3" borderId="17" xfId="1" applyNumberFormat="1" applyFont="1" applyFill="1" applyBorder="1" applyAlignment="1"/>
    <xf numFmtId="170" fontId="11" fillId="3" borderId="0" xfId="0" applyNumberFormat="1" applyFont="1" applyFill="1"/>
    <xf numFmtId="165" fontId="11" fillId="3" borderId="17" xfId="1" applyNumberFormat="1" applyFont="1" applyFill="1" applyBorder="1"/>
    <xf numFmtId="3" fontId="11" fillId="3" borderId="17" xfId="0" applyNumberFormat="1" applyFont="1" applyFill="1" applyBorder="1"/>
    <xf numFmtId="10" fontId="6" fillId="3" borderId="17" xfId="3" applyNumberFormat="1" applyFont="1" applyFill="1" applyBorder="1"/>
    <xf numFmtId="43" fontId="6" fillId="3" borderId="21" xfId="1" applyFont="1" applyFill="1" applyBorder="1"/>
    <xf numFmtId="43" fontId="6" fillId="3" borderId="26" xfId="1" applyFont="1" applyFill="1" applyBorder="1"/>
    <xf numFmtId="165" fontId="6" fillId="3" borderId="26" xfId="1" applyNumberFormat="1" applyFont="1" applyFill="1" applyBorder="1"/>
    <xf numFmtId="10" fontId="6" fillId="3" borderId="18" xfId="3" applyNumberFormat="1" applyFont="1" applyFill="1" applyBorder="1"/>
    <xf numFmtId="43" fontId="6" fillId="3" borderId="56" xfId="1" applyFont="1" applyFill="1" applyBorder="1"/>
    <xf numFmtId="43" fontId="11" fillId="3" borderId="39" xfId="1" applyFont="1" applyFill="1" applyBorder="1"/>
    <xf numFmtId="43" fontId="11" fillId="3" borderId="40" xfId="1" applyFont="1" applyFill="1" applyBorder="1"/>
    <xf numFmtId="43" fontId="11" fillId="3" borderId="4" xfId="1" applyFont="1" applyFill="1" applyBorder="1"/>
    <xf numFmtId="0" fontId="11" fillId="3" borderId="4" xfId="0" applyFont="1" applyFill="1" applyBorder="1"/>
    <xf numFmtId="0" fontId="35" fillId="3" borderId="4" xfId="0" applyFont="1" applyFill="1" applyBorder="1" applyAlignment="1">
      <alignment horizontal="center"/>
    </xf>
    <xf numFmtId="0" fontId="35" fillId="3" borderId="41" xfId="0" applyFont="1" applyFill="1" applyBorder="1" applyAlignment="1">
      <alignment horizontal="center"/>
    </xf>
    <xf numFmtId="0" fontId="35" fillId="3" borderId="6" xfId="0" applyFont="1" applyFill="1" applyBorder="1" applyAlignment="1">
      <alignment horizontal="center"/>
    </xf>
    <xf numFmtId="43" fontId="35" fillId="3" borderId="42" xfId="1" applyFont="1" applyFill="1" applyBorder="1" applyAlignment="1">
      <alignment horizontal="center"/>
    </xf>
    <xf numFmtId="43" fontId="11" fillId="3" borderId="4" xfId="1" applyFont="1" applyFill="1" applyBorder="1" applyAlignment="1">
      <alignment horizontal="right"/>
    </xf>
    <xf numFmtId="43" fontId="11" fillId="3" borderId="35" xfId="1" applyFont="1" applyFill="1" applyBorder="1"/>
    <xf numFmtId="165" fontId="11" fillId="3" borderId="5" xfId="1" applyNumberFormat="1" applyFont="1" applyFill="1" applyBorder="1" applyAlignment="1">
      <alignment horizontal="center"/>
    </xf>
    <xf numFmtId="44" fontId="11" fillId="3" borderId="13" xfId="0" applyNumberFormat="1" applyFont="1" applyFill="1" applyBorder="1"/>
    <xf numFmtId="44" fontId="11" fillId="3" borderId="0" xfId="0" applyNumberFormat="1" applyFont="1" applyFill="1" applyBorder="1"/>
    <xf numFmtId="43" fontId="11" fillId="3" borderId="40" xfId="1" applyFont="1" applyFill="1" applyBorder="1" applyAlignment="1">
      <alignment horizontal="center"/>
    </xf>
    <xf numFmtId="44" fontId="11" fillId="3" borderId="22" xfId="0" applyNumberFormat="1" applyFont="1" applyFill="1" applyBorder="1" applyAlignment="1">
      <alignment horizontal="center"/>
    </xf>
    <xf numFmtId="165" fontId="11" fillId="3" borderId="6" xfId="1" applyNumberFormat="1" applyFont="1" applyFill="1" applyBorder="1" applyAlignment="1">
      <alignment horizontal="center"/>
    </xf>
    <xf numFmtId="44" fontId="11" fillId="3" borderId="25" xfId="0" applyNumberFormat="1" applyFont="1" applyFill="1" applyBorder="1"/>
    <xf numFmtId="43" fontId="11" fillId="3" borderId="43" xfId="1" applyFont="1" applyFill="1" applyBorder="1" applyAlignment="1">
      <alignment horizontal="center"/>
    </xf>
    <xf numFmtId="43" fontId="11" fillId="3" borderId="44" xfId="1" applyFont="1" applyFill="1" applyBorder="1"/>
    <xf numFmtId="43" fontId="11" fillId="3" borderId="45" xfId="1" applyFont="1" applyFill="1" applyBorder="1"/>
    <xf numFmtId="43" fontId="11" fillId="3" borderId="4" xfId="1" applyFont="1" applyFill="1" applyBorder="1" applyAlignment="1">
      <alignment horizontal="center"/>
    </xf>
    <xf numFmtId="165" fontId="11" fillId="3" borderId="4" xfId="1" applyNumberFormat="1" applyFont="1" applyFill="1" applyBorder="1" applyAlignment="1">
      <alignment horizontal="center"/>
    </xf>
    <xf numFmtId="43" fontId="11" fillId="3" borderId="6" xfId="1" applyFont="1" applyFill="1" applyBorder="1" applyAlignment="1">
      <alignment horizontal="left"/>
    </xf>
    <xf numFmtId="43" fontId="11" fillId="3" borderId="6" xfId="1" applyFont="1" applyFill="1" applyBorder="1" applyAlignment="1">
      <alignment horizontal="center"/>
    </xf>
    <xf numFmtId="0" fontId="36" fillId="3" borderId="10" xfId="0" applyFont="1" applyFill="1" applyBorder="1"/>
    <xf numFmtId="176" fontId="11" fillId="3" borderId="0" xfId="1" applyNumberFormat="1" applyFont="1" applyFill="1" applyBorder="1"/>
    <xf numFmtId="1" fontId="11" fillId="3" borderId="13" xfId="0" applyNumberFormat="1" applyFont="1" applyFill="1" applyBorder="1"/>
    <xf numFmtId="1" fontId="11" fillId="3" borderId="13" xfId="1" applyNumberFormat="1" applyFont="1" applyFill="1" applyBorder="1"/>
    <xf numFmtId="0" fontId="11" fillId="3" borderId="13" xfId="0" applyFont="1" applyFill="1" applyBorder="1"/>
    <xf numFmtId="43" fontId="11" fillId="3" borderId="10" xfId="1" applyFont="1" applyFill="1" applyBorder="1"/>
    <xf numFmtId="174" fontId="11" fillId="3" borderId="13" xfId="0" applyNumberFormat="1" applyFont="1" applyFill="1" applyBorder="1"/>
    <xf numFmtId="43" fontId="6" fillId="3" borderId="10" xfId="1" applyFont="1" applyFill="1" applyBorder="1"/>
    <xf numFmtId="165" fontId="11" fillId="3" borderId="8" xfId="1" applyNumberFormat="1" applyFont="1" applyFill="1" applyBorder="1"/>
    <xf numFmtId="43" fontId="11" fillId="3" borderId="13" xfId="1" applyFont="1" applyFill="1" applyBorder="1"/>
    <xf numFmtId="43" fontId="11" fillId="3" borderId="11" xfId="1" applyFont="1" applyFill="1" applyBorder="1"/>
    <xf numFmtId="165" fontId="11" fillId="3" borderId="8" xfId="0" applyNumberFormat="1" applyFont="1" applyFill="1" applyBorder="1"/>
    <xf numFmtId="43" fontId="11" fillId="3" borderId="2" xfId="1" applyFont="1" applyFill="1" applyBorder="1"/>
    <xf numFmtId="43" fontId="11" fillId="3" borderId="25" xfId="1" applyFont="1" applyFill="1" applyBorder="1"/>
    <xf numFmtId="165" fontId="11" fillId="3" borderId="27" xfId="1" applyNumberFormat="1" applyFont="1" applyFill="1" applyBorder="1"/>
    <xf numFmtId="43" fontId="11" fillId="3" borderId="28" xfId="1" applyFont="1" applyFill="1" applyBorder="1"/>
    <xf numFmtId="0" fontId="11" fillId="3" borderId="1" xfId="0" applyFont="1" applyFill="1" applyBorder="1" applyAlignment="1"/>
    <xf numFmtId="0" fontId="11" fillId="3" borderId="2" xfId="0" applyFont="1" applyFill="1" applyBorder="1"/>
    <xf numFmtId="43" fontId="11" fillId="3" borderId="65" xfId="1" applyFont="1" applyFill="1" applyBorder="1"/>
    <xf numFmtId="43" fontId="11" fillId="3" borderId="14" xfId="1" applyFont="1" applyFill="1" applyBorder="1"/>
    <xf numFmtId="165" fontId="11" fillId="3" borderId="14" xfId="1" applyNumberFormat="1" applyFont="1" applyFill="1" applyBorder="1"/>
    <xf numFmtId="173" fontId="11" fillId="3" borderId="0" xfId="1" applyNumberFormat="1" applyFont="1" applyFill="1" applyBorder="1"/>
    <xf numFmtId="171" fontId="11" fillId="3" borderId="5" xfId="1" applyNumberFormat="1" applyFont="1" applyFill="1" applyBorder="1"/>
    <xf numFmtId="165" fontId="11" fillId="3" borderId="5" xfId="1" applyNumberFormat="1" applyFont="1" applyFill="1" applyBorder="1"/>
    <xf numFmtId="165" fontId="11" fillId="3" borderId="0" xfId="0" applyNumberFormat="1" applyFont="1" applyFill="1"/>
    <xf numFmtId="10" fontId="6" fillId="3" borderId="5" xfId="3" applyNumberFormat="1" applyFont="1" applyFill="1" applyBorder="1"/>
    <xf numFmtId="10" fontId="6" fillId="3" borderId="26" xfId="3" applyNumberFormat="1" applyFont="1" applyFill="1" applyBorder="1"/>
    <xf numFmtId="10" fontId="6" fillId="3" borderId="50" xfId="3" applyNumberFormat="1" applyFont="1" applyFill="1" applyBorder="1"/>
    <xf numFmtId="10" fontId="11" fillId="3" borderId="0" xfId="0" applyNumberFormat="1" applyFont="1" applyFill="1"/>
    <xf numFmtId="43" fontId="6" fillId="3" borderId="19" xfId="1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0" fontId="11" fillId="3" borderId="40" xfId="0" applyFont="1" applyFill="1" applyBorder="1"/>
    <xf numFmtId="43" fontId="11" fillId="3" borderId="7" xfId="1" applyFont="1" applyFill="1" applyBorder="1" applyAlignment="1">
      <alignment horizontal="center"/>
    </xf>
    <xf numFmtId="43" fontId="11" fillId="3" borderId="69" xfId="1" applyFont="1" applyFill="1" applyBorder="1"/>
    <xf numFmtId="176" fontId="11" fillId="3" borderId="0" xfId="0" applyNumberFormat="1" applyFont="1" applyFill="1" applyBorder="1"/>
    <xf numFmtId="43" fontId="11" fillId="3" borderId="17" xfId="0" applyNumberFormat="1" applyFont="1" applyFill="1" applyBorder="1"/>
    <xf numFmtId="43" fontId="11" fillId="3" borderId="1" xfId="0" applyNumberFormat="1" applyFont="1" applyFill="1" applyBorder="1"/>
    <xf numFmtId="1" fontId="11" fillId="3" borderId="0" xfId="0" applyNumberFormat="1" applyFont="1" applyFill="1" applyBorder="1"/>
    <xf numFmtId="176" fontId="11" fillId="3" borderId="26" xfId="0" applyNumberFormat="1" applyFont="1" applyFill="1" applyBorder="1"/>
    <xf numFmtId="1" fontId="11" fillId="3" borderId="26" xfId="0" applyNumberFormat="1" applyFont="1" applyFill="1" applyBorder="1"/>
    <xf numFmtId="43" fontId="11" fillId="3" borderId="18" xfId="0" applyNumberFormat="1" applyFont="1" applyFill="1" applyBorder="1"/>
    <xf numFmtId="43" fontId="11" fillId="3" borderId="0" xfId="0" applyNumberFormat="1" applyFont="1" applyFill="1" applyBorder="1"/>
    <xf numFmtId="43" fontId="11" fillId="3" borderId="31" xfId="1" applyFont="1" applyFill="1" applyBorder="1"/>
    <xf numFmtId="165" fontId="11" fillId="3" borderId="31" xfId="1" applyNumberFormat="1" applyFont="1" applyFill="1" applyBorder="1" applyAlignment="1">
      <alignment horizontal="center"/>
    </xf>
    <xf numFmtId="43" fontId="11" fillId="3" borderId="34" xfId="1" applyFont="1" applyFill="1" applyBorder="1" applyAlignment="1">
      <alignment horizontal="center"/>
    </xf>
    <xf numFmtId="43" fontId="11" fillId="3" borderId="57" xfId="1" applyFont="1" applyFill="1" applyBorder="1" applyAlignment="1">
      <alignment horizontal="center"/>
    </xf>
    <xf numFmtId="43" fontId="11" fillId="3" borderId="33" xfId="1" applyFont="1" applyFill="1" applyBorder="1"/>
    <xf numFmtId="165" fontId="11" fillId="3" borderId="33" xfId="1" applyNumberFormat="1" applyFont="1" applyFill="1" applyBorder="1" applyAlignment="1">
      <alignment horizontal="center"/>
    </xf>
    <xf numFmtId="43" fontId="11" fillId="3" borderId="37" xfId="1" applyFont="1" applyFill="1" applyBorder="1" applyAlignment="1">
      <alignment horizontal="center"/>
    </xf>
    <xf numFmtId="43" fontId="11" fillId="3" borderId="38" xfId="1" applyFont="1" applyFill="1" applyBorder="1" applyAlignment="1">
      <alignment horizontal="center"/>
    </xf>
    <xf numFmtId="165" fontId="11" fillId="3" borderId="32" xfId="1" applyNumberFormat="1" applyFont="1" applyFill="1" applyBorder="1"/>
    <xf numFmtId="165" fontId="11" fillId="3" borderId="31" xfId="1" applyNumberFormat="1" applyFont="1" applyFill="1" applyBorder="1"/>
    <xf numFmtId="10" fontId="11" fillId="3" borderId="1" xfId="1" applyNumberFormat="1" applyFont="1" applyFill="1" applyBorder="1"/>
    <xf numFmtId="10" fontId="11" fillId="3" borderId="0" xfId="1" applyNumberFormat="1" applyFont="1" applyFill="1" applyBorder="1"/>
    <xf numFmtId="165" fontId="11" fillId="3" borderId="35" xfId="1" applyNumberFormat="1" applyFont="1" applyFill="1" applyBorder="1"/>
    <xf numFmtId="165" fontId="6" fillId="3" borderId="0" xfId="1" applyNumberFormat="1" applyFont="1" applyFill="1" applyBorder="1" applyAlignment="1"/>
    <xf numFmtId="43" fontId="6" fillId="3" borderId="0" xfId="1" applyFont="1" applyFill="1" applyBorder="1" applyAlignment="1"/>
    <xf numFmtId="10" fontId="11" fillId="3" borderId="1" xfId="3" applyNumberFormat="1" applyFont="1" applyFill="1" applyBorder="1"/>
    <xf numFmtId="10" fontId="11" fillId="3" borderId="0" xfId="3" applyNumberFormat="1" applyFont="1" applyFill="1" applyBorder="1"/>
    <xf numFmtId="43" fontId="11" fillId="3" borderId="32" xfId="1" applyFont="1" applyFill="1" applyBorder="1"/>
    <xf numFmtId="165" fontId="11" fillId="3" borderId="58" xfId="1" applyNumberFormat="1" applyFont="1" applyFill="1" applyBorder="1"/>
    <xf numFmtId="43" fontId="11" fillId="3" borderId="59" xfId="1" applyFont="1" applyFill="1" applyBorder="1"/>
    <xf numFmtId="165" fontId="11" fillId="3" borderId="59" xfId="1" applyNumberFormat="1" applyFont="1" applyFill="1" applyBorder="1"/>
    <xf numFmtId="0" fontId="11" fillId="3" borderId="17" xfId="0" applyFont="1" applyFill="1" applyBorder="1" applyAlignment="1">
      <alignment horizontal="center"/>
    </xf>
    <xf numFmtId="165" fontId="11" fillId="3" borderId="17" xfId="1" applyNumberFormat="1" applyFont="1" applyFill="1" applyBorder="1" applyAlignment="1">
      <alignment horizontal="center"/>
    </xf>
    <xf numFmtId="10" fontId="6" fillId="3" borderId="33" xfId="3" applyNumberFormat="1" applyFont="1" applyFill="1" applyBorder="1" applyAlignment="1">
      <alignment horizontal="center"/>
    </xf>
    <xf numFmtId="43" fontId="11" fillId="3" borderId="21" xfId="1" applyFont="1" applyFill="1" applyBorder="1"/>
    <xf numFmtId="10" fontId="6" fillId="3" borderId="36" xfId="3" applyNumberFormat="1" applyFont="1" applyFill="1" applyBorder="1" applyAlignment="1">
      <alignment horizontal="center"/>
    </xf>
    <xf numFmtId="10" fontId="6" fillId="3" borderId="36" xfId="3" applyNumberFormat="1" applyFont="1" applyFill="1" applyBorder="1"/>
    <xf numFmtId="43" fontId="6" fillId="3" borderId="0" xfId="1" applyFont="1" applyFill="1" applyBorder="1" applyAlignment="1">
      <alignment horizontal="center"/>
    </xf>
    <xf numFmtId="43" fontId="6" fillId="3" borderId="31" xfId="1" applyFont="1" applyFill="1" applyBorder="1" applyAlignment="1">
      <alignment horizontal="center"/>
    </xf>
    <xf numFmtId="165" fontId="6" fillId="3" borderId="19" xfId="1" applyNumberFormat="1" applyFont="1" applyFill="1" applyBorder="1" applyAlignment="1">
      <alignment horizontal="center"/>
    </xf>
    <xf numFmtId="165" fontId="11" fillId="3" borderId="0" xfId="1" applyNumberFormat="1" applyFont="1" applyFill="1" applyAlignment="1">
      <alignment horizontal="center"/>
    </xf>
    <xf numFmtId="0" fontId="6" fillId="3" borderId="33" xfId="0" applyFont="1" applyFill="1" applyBorder="1" applyAlignment="1">
      <alignment horizontal="center"/>
    </xf>
    <xf numFmtId="165" fontId="6" fillId="3" borderId="21" xfId="1" applyNumberFormat="1" applyFont="1" applyFill="1" applyBorder="1" applyAlignment="1">
      <alignment horizontal="center"/>
    </xf>
    <xf numFmtId="43" fontId="11" fillId="3" borderId="0" xfId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164" fontId="11" fillId="3" borderId="0" xfId="1" applyNumberFormat="1" applyFont="1" applyFill="1"/>
    <xf numFmtId="175" fontId="11" fillId="3" borderId="0" xfId="2" applyNumberFormat="1" applyFont="1" applyFill="1"/>
    <xf numFmtId="0" fontId="11" fillId="3" borderId="0" xfId="0" applyFont="1" applyFill="1" applyBorder="1" applyAlignment="1">
      <alignment horizontal="center"/>
    </xf>
    <xf numFmtId="165" fontId="11" fillId="3" borderId="2" xfId="0" applyNumberFormat="1" applyFont="1" applyFill="1" applyBorder="1"/>
    <xf numFmtId="0" fontId="37" fillId="3" borderId="0" xfId="0" applyFont="1" applyFill="1"/>
    <xf numFmtId="165" fontId="11" fillId="3" borderId="0" xfId="0" applyNumberFormat="1" applyFont="1" applyFill="1" applyBorder="1"/>
    <xf numFmtId="43" fontId="11" fillId="3" borderId="60" xfId="1" applyFont="1" applyFill="1" applyBorder="1"/>
    <xf numFmtId="165" fontId="11" fillId="3" borderId="27" xfId="0" applyNumberFormat="1" applyFont="1" applyFill="1" applyBorder="1"/>
    <xf numFmtId="0" fontId="11" fillId="3" borderId="0" xfId="0" applyFont="1" applyFill="1" applyBorder="1" applyAlignment="1"/>
    <xf numFmtId="0" fontId="11" fillId="3" borderId="17" xfId="0" applyFont="1" applyFill="1" applyBorder="1" applyAlignment="1"/>
    <xf numFmtId="0" fontId="11" fillId="3" borderId="21" xfId="0" applyFont="1" applyFill="1" applyBorder="1" applyAlignment="1"/>
    <xf numFmtId="0" fontId="11" fillId="3" borderId="26" xfId="0" applyFont="1" applyFill="1" applyBorder="1" applyAlignment="1"/>
    <xf numFmtId="0" fontId="11" fillId="3" borderId="18" xfId="0" applyFont="1" applyFill="1" applyBorder="1" applyAlignment="1"/>
    <xf numFmtId="43" fontId="11" fillId="3" borderId="17" xfId="1" applyFont="1" applyFill="1" applyBorder="1" applyAlignment="1"/>
    <xf numFmtId="0" fontId="11" fillId="3" borderId="17" xfId="0" applyFont="1" applyFill="1" applyBorder="1"/>
    <xf numFmtId="43" fontId="11" fillId="3" borderId="0" xfId="1" applyNumberFormat="1" applyFont="1" applyFill="1" applyBorder="1"/>
    <xf numFmtId="43" fontId="11" fillId="3" borderId="26" xfId="1" applyFont="1" applyFill="1" applyBorder="1"/>
    <xf numFmtId="43" fontId="11" fillId="3" borderId="26" xfId="0" applyNumberFormat="1" applyFont="1" applyFill="1" applyBorder="1"/>
    <xf numFmtId="165" fontId="0" fillId="3" borderId="5" xfId="1" applyNumberFormat="1" applyFont="1" applyFill="1" applyBorder="1"/>
    <xf numFmtId="165" fontId="0" fillId="3" borderId="5" xfId="0" applyNumberFormat="1" applyFill="1" applyBorder="1"/>
    <xf numFmtId="44" fontId="0" fillId="3" borderId="5" xfId="2" applyFont="1" applyFill="1" applyBorder="1"/>
    <xf numFmtId="171" fontId="0" fillId="3" borderId="5" xfId="1" applyNumberFormat="1" applyFont="1" applyFill="1" applyBorder="1"/>
    <xf numFmtId="171" fontId="0" fillId="3" borderId="6" xfId="1" applyNumberFormat="1" applyFont="1" applyFill="1" applyBorder="1"/>
    <xf numFmtId="165" fontId="5" fillId="3" borderId="13" xfId="0" applyNumberFormat="1" applyFont="1" applyFill="1" applyBorder="1"/>
    <xf numFmtId="165" fontId="5" fillId="3" borderId="10" xfId="0" applyNumberFormat="1" applyFont="1" applyFill="1" applyBorder="1"/>
    <xf numFmtId="166" fontId="5" fillId="3" borderId="10" xfId="3" applyNumberFormat="1" applyFont="1" applyFill="1" applyBorder="1"/>
    <xf numFmtId="165" fontId="1" fillId="3" borderId="10" xfId="1" applyNumberFormat="1" applyFont="1" applyFill="1" applyBorder="1"/>
    <xf numFmtId="10" fontId="5" fillId="3" borderId="11" xfId="3" applyNumberFormat="1" applyFont="1" applyFill="1" applyBorder="1"/>
    <xf numFmtId="165" fontId="5" fillId="3" borderId="13" xfId="1" applyNumberFormat="1" applyFont="1" applyFill="1" applyBorder="1"/>
    <xf numFmtId="165" fontId="5" fillId="3" borderId="4" xfId="0" applyNumberFormat="1" applyFont="1" applyFill="1" applyBorder="1"/>
    <xf numFmtId="165" fontId="1" fillId="3" borderId="0" xfId="1" applyNumberFormat="1" applyFont="1" applyFill="1" applyBorder="1"/>
    <xf numFmtId="0" fontId="45" fillId="3" borderId="0" xfId="0" applyFont="1" applyFill="1"/>
    <xf numFmtId="43" fontId="13" fillId="3" borderId="27" xfId="1" applyFont="1" applyFill="1" applyBorder="1" applyAlignment="1">
      <alignment horizontal="center"/>
    </xf>
    <xf numFmtId="43" fontId="13" fillId="3" borderId="63" xfId="1" applyFont="1" applyFill="1" applyBorder="1"/>
    <xf numFmtId="165" fontId="13" fillId="3" borderId="37" xfId="1" applyNumberFormat="1" applyFont="1" applyFill="1" applyBorder="1" applyAlignment="1">
      <alignment vertical="center"/>
    </xf>
    <xf numFmtId="43" fontId="13" fillId="3" borderId="61" xfId="1" applyFont="1" applyFill="1" applyBorder="1" applyAlignment="1"/>
    <xf numFmtId="0" fontId="13" fillId="3" borderId="35" xfId="0" applyFont="1" applyFill="1" applyBorder="1" applyAlignment="1">
      <alignment horizontal="center"/>
    </xf>
    <xf numFmtId="0" fontId="13" fillId="3" borderId="42" xfId="0" applyFont="1" applyFill="1" applyBorder="1" applyAlignment="1">
      <alignment horizontal="center"/>
    </xf>
    <xf numFmtId="10" fontId="13" fillId="3" borderId="35" xfId="3" applyNumberFormat="1" applyFont="1" applyFill="1" applyBorder="1" applyAlignment="1">
      <alignment horizontal="center"/>
    </xf>
    <xf numFmtId="43" fontId="13" fillId="3" borderId="51" xfId="1" applyFont="1" applyFill="1" applyBorder="1"/>
    <xf numFmtId="0" fontId="13" fillId="3" borderId="60" xfId="0" applyFont="1" applyFill="1" applyBorder="1" applyAlignment="1"/>
    <xf numFmtId="0" fontId="13" fillId="3" borderId="46" xfId="0" applyFont="1" applyFill="1" applyBorder="1"/>
    <xf numFmtId="0" fontId="13" fillId="3" borderId="47" xfId="0" applyFont="1" applyFill="1" applyBorder="1"/>
    <xf numFmtId="0" fontId="13" fillId="3" borderId="29" xfId="0" applyFont="1" applyFill="1" applyBorder="1" applyAlignment="1">
      <alignment horizontal="center"/>
    </xf>
    <xf numFmtId="0" fontId="13" fillId="3" borderId="30" xfId="0" applyFont="1" applyFill="1" applyBorder="1" applyAlignment="1">
      <alignment horizontal="center"/>
    </xf>
    <xf numFmtId="0" fontId="13" fillId="3" borderId="61" xfId="0" applyFont="1" applyFill="1" applyBorder="1" applyAlignment="1"/>
    <xf numFmtId="0" fontId="13" fillId="3" borderId="41" xfId="0" applyFont="1" applyFill="1" applyBorder="1" applyAlignment="1">
      <alignment horizontal="center"/>
    </xf>
    <xf numFmtId="165" fontId="13" fillId="3" borderId="35" xfId="0" applyNumberFormat="1" applyFont="1" applyFill="1" applyBorder="1" applyAlignment="1">
      <alignment horizontal="center"/>
    </xf>
    <xf numFmtId="165" fontId="13" fillId="3" borderId="42" xfId="0" applyNumberFormat="1" applyFont="1" applyFill="1" applyBorder="1" applyAlignment="1">
      <alignment horizontal="center"/>
    </xf>
    <xf numFmtId="165" fontId="13" fillId="3" borderId="61" xfId="0" applyNumberFormat="1" applyFont="1" applyFill="1" applyBorder="1" applyAlignment="1"/>
    <xf numFmtId="0" fontId="13" fillId="3" borderId="62" xfId="0" applyFont="1" applyFill="1" applyBorder="1" applyAlignment="1"/>
    <xf numFmtId="0" fontId="13" fillId="3" borderId="48" xfId="0" applyFont="1" applyFill="1" applyBorder="1"/>
    <xf numFmtId="0" fontId="13" fillId="3" borderId="26" xfId="0" applyFont="1" applyFill="1" applyBorder="1"/>
    <xf numFmtId="0" fontId="13" fillId="3" borderId="50" xfId="0" applyFont="1" applyFill="1" applyBorder="1"/>
    <xf numFmtId="0" fontId="13" fillId="3" borderId="49" xfId="0" applyFont="1" applyFill="1" applyBorder="1"/>
    <xf numFmtId="43" fontId="13" fillId="3" borderId="36" xfId="1" applyFont="1" applyFill="1" applyBorder="1"/>
    <xf numFmtId="43" fontId="1" fillId="3" borderId="6" xfId="0" applyNumberFormat="1" applyFont="1" applyFill="1" applyBorder="1"/>
    <xf numFmtId="165" fontId="13" fillId="3" borderId="19" xfId="1" applyNumberFormat="1" applyFont="1" applyFill="1" applyBorder="1" applyAlignment="1">
      <alignment horizontal="center"/>
    </xf>
    <xf numFmtId="165" fontId="13" fillId="3" borderId="65" xfId="1" applyNumberFormat="1" applyFont="1" applyFill="1" applyBorder="1" applyAlignment="1"/>
    <xf numFmtId="0" fontId="13" fillId="3" borderId="66" xfId="0" applyFont="1" applyFill="1" applyBorder="1" applyAlignment="1">
      <alignment horizontal="center"/>
    </xf>
    <xf numFmtId="0" fontId="14" fillId="3" borderId="17" xfId="0" applyFont="1" applyFill="1" applyBorder="1" applyAlignment="1">
      <alignment horizontal="center"/>
    </xf>
    <xf numFmtId="10" fontId="13" fillId="3" borderId="41" xfId="3" applyNumberFormat="1" applyFont="1" applyFill="1" applyBorder="1"/>
    <xf numFmtId="10" fontId="13" fillId="3" borderId="42" xfId="3" applyNumberFormat="1" applyFont="1" applyFill="1" applyBorder="1"/>
    <xf numFmtId="0" fontId="0" fillId="3" borderId="62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/>
    <xf numFmtId="165" fontId="0" fillId="3" borderId="49" xfId="0" applyNumberFormat="1" applyFill="1" applyBorder="1"/>
    <xf numFmtId="9" fontId="0" fillId="3" borderId="18" xfId="3" applyFont="1" applyFill="1" applyBorder="1"/>
    <xf numFmtId="3" fontId="13" fillId="3" borderId="14" xfId="2" applyNumberFormat="1" applyFont="1" applyFill="1" applyBorder="1"/>
    <xf numFmtId="165" fontId="5" fillId="3" borderId="11" xfId="1" applyNumberFormat="1" applyFont="1" applyFill="1" applyBorder="1"/>
    <xf numFmtId="165" fontId="5" fillId="3" borderId="25" xfId="1" applyNumberFormat="1" applyFont="1" applyFill="1" applyBorder="1"/>
    <xf numFmtId="0" fontId="5" fillId="3" borderId="9" xfId="0" applyFont="1" applyFill="1" applyBorder="1"/>
    <xf numFmtId="0" fontId="5" fillId="3" borderId="13" xfId="0" applyFont="1" applyFill="1" applyBorder="1"/>
    <xf numFmtId="182" fontId="0" fillId="3" borderId="0" xfId="2" applyNumberFormat="1" applyFont="1" applyFill="1"/>
    <xf numFmtId="182" fontId="0" fillId="3" borderId="0" xfId="0" applyNumberFormat="1" applyFill="1"/>
    <xf numFmtId="182" fontId="0" fillId="3" borderId="2" xfId="2" applyNumberFormat="1" applyFont="1" applyFill="1" applyBorder="1"/>
    <xf numFmtId="165" fontId="0" fillId="3" borderId="23" xfId="1" applyNumberFormat="1" applyFont="1" applyFill="1" applyBorder="1"/>
    <xf numFmtId="0" fontId="23" fillId="3" borderId="4" xfId="0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182" fontId="0" fillId="3" borderId="6" xfId="2" applyNumberFormat="1" applyFont="1" applyFill="1" applyBorder="1"/>
    <xf numFmtId="165" fontId="0" fillId="3" borderId="7" xfId="1" applyNumberFormat="1" applyFont="1" applyFill="1" applyBorder="1"/>
    <xf numFmtId="182" fontId="0" fillId="3" borderId="5" xfId="0" applyNumberFormat="1" applyFill="1" applyBorder="1"/>
    <xf numFmtId="182" fontId="0" fillId="3" borderId="16" xfId="0" applyNumberFormat="1" applyFill="1" applyBorder="1"/>
    <xf numFmtId="165" fontId="0" fillId="3" borderId="6" xfId="1" applyNumberFormat="1" applyFont="1" applyFill="1" applyBorder="1"/>
    <xf numFmtId="43" fontId="0" fillId="3" borderId="5" xfId="0" applyNumberFormat="1" applyFill="1" applyBorder="1"/>
    <xf numFmtId="165" fontId="0" fillId="3" borderId="6" xfId="0" applyNumberFormat="1" applyFill="1" applyBorder="1"/>
    <xf numFmtId="165" fontId="0" fillId="3" borderId="7" xfId="0" applyNumberFormat="1" applyFill="1" applyBorder="1"/>
    <xf numFmtId="0" fontId="23" fillId="3" borderId="12" xfId="0" applyFont="1" applyFill="1" applyBorder="1" applyAlignment="1">
      <alignment horizontal="center"/>
    </xf>
    <xf numFmtId="0" fontId="23" fillId="3" borderId="10" xfId="0" applyFont="1" applyFill="1" applyBorder="1" applyAlignment="1">
      <alignment horizontal="center"/>
    </xf>
    <xf numFmtId="182" fontId="0" fillId="3" borderId="11" xfId="2" applyNumberFormat="1" applyFont="1" applyFill="1" applyBorder="1"/>
    <xf numFmtId="165" fontId="0" fillId="3" borderId="10" xfId="1" applyNumberFormat="1" applyFont="1" applyFill="1" applyBorder="1"/>
    <xf numFmtId="182" fontId="0" fillId="3" borderId="10" xfId="0" applyNumberFormat="1" applyFill="1" applyBorder="1"/>
    <xf numFmtId="182" fontId="0" fillId="3" borderId="73" xfId="0" applyNumberFormat="1" applyFill="1" applyBorder="1"/>
    <xf numFmtId="43" fontId="0" fillId="3" borderId="10" xfId="0" applyNumberFormat="1" applyFill="1" applyBorder="1"/>
    <xf numFmtId="10" fontId="0" fillId="3" borderId="10" xfId="3" applyNumberFormat="1" applyFont="1" applyFill="1" applyBorder="1"/>
    <xf numFmtId="0" fontId="0" fillId="3" borderId="11" xfId="0" applyFill="1" applyBorder="1"/>
    <xf numFmtId="165" fontId="0" fillId="3" borderId="11" xfId="1" applyNumberFormat="1" applyFont="1" applyFill="1" applyBorder="1"/>
    <xf numFmtId="165" fontId="0" fillId="3" borderId="22" xfId="1" applyNumberFormat="1" applyFont="1" applyFill="1" applyBorder="1"/>
    <xf numFmtId="0" fontId="23" fillId="3" borderId="9" xfId="0" applyFont="1" applyFill="1" applyBorder="1" applyAlignment="1">
      <alignment horizontal="center"/>
    </xf>
    <xf numFmtId="0" fontId="23" fillId="3" borderId="13" xfId="0" applyFont="1" applyFill="1" applyBorder="1" applyAlignment="1">
      <alignment horizontal="center"/>
    </xf>
    <xf numFmtId="182" fontId="0" fillId="3" borderId="25" xfId="2" applyNumberFormat="1" applyFont="1" applyFill="1" applyBorder="1"/>
    <xf numFmtId="165" fontId="0" fillId="3" borderId="13" xfId="1" applyNumberFormat="1" applyFont="1" applyFill="1" applyBorder="1"/>
    <xf numFmtId="165" fontId="0" fillId="3" borderId="25" xfId="1" applyNumberFormat="1" applyFont="1" applyFill="1" applyBorder="1"/>
    <xf numFmtId="165" fontId="0" fillId="3" borderId="24" xfId="1" applyNumberFormat="1" applyFont="1" applyFill="1" applyBorder="1"/>
    <xf numFmtId="182" fontId="0" fillId="3" borderId="13" xfId="0" applyNumberFormat="1" applyFill="1" applyBorder="1"/>
    <xf numFmtId="182" fontId="0" fillId="3" borderId="74" xfId="0" applyNumberFormat="1" applyFill="1" applyBorder="1"/>
    <xf numFmtId="43" fontId="0" fillId="3" borderId="13" xfId="0" applyNumberFormat="1" applyFill="1" applyBorder="1"/>
    <xf numFmtId="10" fontId="0" fillId="3" borderId="13" xfId="3" applyNumberFormat="1" applyFont="1" applyFill="1" applyBorder="1"/>
    <xf numFmtId="0" fontId="0" fillId="3" borderId="25" xfId="0" applyFill="1" applyBorder="1"/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15" fillId="3" borderId="23" xfId="0" applyFont="1" applyFill="1" applyBorder="1" applyAlignment="1">
      <alignment horizontal="center"/>
    </xf>
    <xf numFmtId="0" fontId="15" fillId="3" borderId="24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43" fontId="33" fillId="3" borderId="0" xfId="1" applyFont="1" applyFill="1" applyAlignment="1">
      <alignment horizontal="center"/>
    </xf>
    <xf numFmtId="43" fontId="6" fillId="3" borderId="0" xfId="1" applyFont="1" applyFill="1" applyBorder="1" applyAlignment="1">
      <alignment horizontal="center"/>
    </xf>
    <xf numFmtId="43" fontId="6" fillId="3" borderId="0" xfId="1" applyFont="1" applyFill="1" applyAlignment="1">
      <alignment horizontal="center"/>
    </xf>
    <xf numFmtId="43" fontId="6" fillId="3" borderId="52" xfId="1" applyFont="1" applyFill="1" applyBorder="1" applyAlignment="1">
      <alignment horizontal="center"/>
    </xf>
    <xf numFmtId="43" fontId="6" fillId="3" borderId="53" xfId="1" applyFont="1" applyFill="1" applyBorder="1" applyAlignment="1">
      <alignment horizontal="center"/>
    </xf>
    <xf numFmtId="43" fontId="6" fillId="3" borderId="54" xfId="1" applyFont="1" applyFill="1" applyBorder="1" applyAlignment="1">
      <alignment horizontal="center"/>
    </xf>
    <xf numFmtId="165" fontId="11" fillId="3" borderId="34" xfId="1" applyNumberFormat="1" applyFont="1" applyFill="1" applyBorder="1" applyAlignment="1">
      <alignment horizontal="center"/>
    </xf>
    <xf numFmtId="165" fontId="11" fillId="3" borderId="57" xfId="1" applyNumberFormat="1" applyFont="1" applyFill="1" applyBorder="1" applyAlignment="1">
      <alignment horizontal="center"/>
    </xf>
    <xf numFmtId="43" fontId="11" fillId="3" borderId="0" xfId="1" applyFont="1" applyFill="1" applyAlignment="1">
      <alignment horizontal="center"/>
    </xf>
    <xf numFmtId="165" fontId="11" fillId="3" borderId="0" xfId="1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165" fontId="15" fillId="3" borderId="2" xfId="1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5" fillId="3" borderId="1" xfId="0" applyFont="1" applyFill="1" applyBorder="1"/>
    <xf numFmtId="37" fontId="18" fillId="3" borderId="16" xfId="0" applyNumberFormat="1" applyFont="1" applyFill="1" applyBorder="1" applyProtection="1"/>
    <xf numFmtId="165" fontId="1" fillId="3" borderId="5" xfId="5" applyNumberFormat="1" applyFont="1" applyFill="1" applyBorder="1"/>
    <xf numFmtId="165" fontId="1" fillId="3" borderId="0" xfId="5" applyNumberFormat="1" applyFont="1" applyFill="1" applyBorder="1"/>
    <xf numFmtId="37" fontId="1" fillId="3" borderId="5" xfId="6" applyNumberFormat="1" applyFont="1" applyFill="1" applyBorder="1" applyProtection="1"/>
    <xf numFmtId="165" fontId="1" fillId="3" borderId="0" xfId="6" applyNumberFormat="1" applyFont="1" applyFill="1" applyBorder="1"/>
    <xf numFmtId="165" fontId="1" fillId="3" borderId="5" xfId="6" applyNumberFormat="1" applyFont="1" applyFill="1" applyBorder="1"/>
    <xf numFmtId="37" fontId="1" fillId="3" borderId="0" xfId="6" applyNumberFormat="1" applyFont="1" applyFill="1" applyBorder="1" applyProtection="1"/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19" fillId="3" borderId="0" xfId="0" applyFont="1" applyFill="1"/>
    <xf numFmtId="0" fontId="5" fillId="3" borderId="19" xfId="0" applyFont="1" applyFill="1" applyBorder="1"/>
    <xf numFmtId="165" fontId="5" fillId="3" borderId="4" xfId="1" applyNumberFormat="1" applyFont="1" applyFill="1" applyBorder="1" applyAlignment="1">
      <alignment horizontal="center"/>
    </xf>
    <xf numFmtId="165" fontId="1" fillId="3" borderId="4" xfId="1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9" fillId="3" borderId="5" xfId="0" applyFont="1" applyFill="1" applyBorder="1"/>
    <xf numFmtId="3" fontId="19" fillId="3" borderId="5" xfId="0" applyNumberFormat="1" applyFont="1" applyFill="1" applyBorder="1"/>
    <xf numFmtId="165" fontId="1" fillId="3" borderId="5" xfId="1" applyNumberFormat="1" applyFont="1" applyFill="1" applyBorder="1" applyAlignment="1">
      <alignment horizontal="center"/>
    </xf>
    <xf numFmtId="165" fontId="1" fillId="3" borderId="6" xfId="1" applyNumberFormat="1" applyFont="1" applyFill="1" applyBorder="1" applyAlignment="1">
      <alignment horizontal="center"/>
    </xf>
    <xf numFmtId="37" fontId="5" fillId="3" borderId="5" xfId="0" applyNumberFormat="1" applyFont="1" applyFill="1" applyBorder="1"/>
    <xf numFmtId="3" fontId="1" fillId="3" borderId="5" xfId="0" applyNumberFormat="1" applyFont="1" applyFill="1" applyBorder="1"/>
    <xf numFmtId="3" fontId="1" fillId="3" borderId="10" xfId="0" applyNumberFormat="1" applyFont="1" applyFill="1" applyBorder="1"/>
    <xf numFmtId="37" fontId="1" fillId="3" borderId="0" xfId="0" applyNumberFormat="1" applyFont="1" applyFill="1" applyBorder="1"/>
    <xf numFmtId="10" fontId="5" fillId="3" borderId="5" xfId="3" applyNumberFormat="1" applyFont="1" applyFill="1" applyBorder="1"/>
    <xf numFmtId="10" fontId="1" fillId="3" borderId="5" xfId="3" applyNumberFormat="1" applyFont="1" applyFill="1" applyBorder="1"/>
    <xf numFmtId="37" fontId="5" fillId="3" borderId="0" xfId="0" applyNumberFormat="1" applyFont="1" applyFill="1" applyBorder="1"/>
    <xf numFmtId="0" fontId="5" fillId="3" borderId="20" xfId="0" applyFont="1" applyFill="1" applyBorder="1"/>
    <xf numFmtId="164" fontId="5" fillId="3" borderId="6" xfId="1" applyNumberFormat="1" applyFont="1" applyFill="1" applyBorder="1"/>
    <xf numFmtId="0" fontId="19" fillId="3" borderId="11" xfId="0" applyFont="1" applyFill="1" applyBorder="1"/>
    <xf numFmtId="0" fontId="5" fillId="3" borderId="25" xfId="0" applyFont="1" applyFill="1" applyBorder="1"/>
    <xf numFmtId="10" fontId="5" fillId="3" borderId="11" xfId="1" applyNumberFormat="1" applyFont="1" applyFill="1" applyBorder="1"/>
    <xf numFmtId="37" fontId="1" fillId="3" borderId="0" xfId="0" applyNumberFormat="1" applyFont="1" applyFill="1"/>
    <xf numFmtId="37" fontId="19" fillId="3" borderId="0" xfId="0" applyNumberFormat="1" applyFont="1" applyFill="1"/>
    <xf numFmtId="37" fontId="5" fillId="3" borderId="0" xfId="0" applyNumberFormat="1" applyFont="1" applyFill="1"/>
    <xf numFmtId="0" fontId="5" fillId="3" borderId="21" xfId="0" applyFont="1" applyFill="1" applyBorder="1"/>
    <xf numFmtId="165" fontId="47" fillId="3" borderId="0" xfId="1" applyNumberFormat="1" applyFont="1" applyFill="1" applyAlignment="1">
      <alignment horizontal="right"/>
    </xf>
    <xf numFmtId="0" fontId="5" fillId="3" borderId="12" xfId="0" applyFont="1" applyFill="1" applyBorder="1"/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37" fontId="0" fillId="3" borderId="0" xfId="0" applyNumberFormat="1" applyFill="1" applyProtection="1"/>
    <xf numFmtId="165" fontId="1" fillId="3" borderId="4" xfId="1" applyNumberFormat="1" applyFont="1" applyFill="1" applyBorder="1" applyAlignment="1">
      <alignment horizontal="right" vertical="top"/>
    </xf>
    <xf numFmtId="165" fontId="1" fillId="3" borderId="5" xfId="1" applyNumberFormat="1" applyFont="1" applyFill="1" applyBorder="1" applyAlignment="1">
      <alignment horizontal="right" vertical="top"/>
    </xf>
    <xf numFmtId="165" fontId="1" fillId="3" borderId="6" xfId="1" applyNumberFormat="1" applyFont="1" applyFill="1" applyBorder="1" applyAlignment="1">
      <alignment horizontal="right" vertical="top"/>
    </xf>
    <xf numFmtId="165" fontId="5" fillId="3" borderId="16" xfId="1" applyNumberFormat="1" applyFont="1" applyFill="1" applyBorder="1"/>
    <xf numFmtId="43" fontId="5" fillId="3" borderId="5" xfId="1" applyFont="1" applyFill="1" applyBorder="1"/>
    <xf numFmtId="0" fontId="5" fillId="3" borderId="11" xfId="0" applyFont="1" applyFill="1" applyBorder="1"/>
    <xf numFmtId="10" fontId="5" fillId="3" borderId="0" xfId="0" applyNumberFormat="1" applyFont="1" applyFill="1" applyBorder="1"/>
    <xf numFmtId="0" fontId="19" fillId="3" borderId="0" xfId="0" applyFont="1" applyFill="1" applyBorder="1"/>
    <xf numFmtId="10" fontId="19" fillId="3" borderId="0" xfId="0" applyNumberFormat="1" applyFont="1" applyFill="1"/>
    <xf numFmtId="37" fontId="19" fillId="3" borderId="0" xfId="0" applyNumberFormat="1" applyFont="1" applyFill="1" applyBorder="1"/>
    <xf numFmtId="9" fontId="5" fillId="3" borderId="11" xfId="3" applyFont="1" applyFill="1" applyBorder="1"/>
    <xf numFmtId="10" fontId="1" fillId="3" borderId="0" xfId="3" applyNumberFormat="1" applyFont="1" applyFill="1"/>
    <xf numFmtId="10" fontId="5" fillId="3" borderId="0" xfId="0" applyNumberFormat="1" applyFont="1" applyFill="1"/>
    <xf numFmtId="165" fontId="5" fillId="3" borderId="16" xfId="0" applyNumberFormat="1" applyFont="1" applyFill="1" applyBorder="1"/>
    <xf numFmtId="165" fontId="5" fillId="3" borderId="68" xfId="0" applyNumberFormat="1" applyFont="1" applyFill="1" applyBorder="1"/>
    <xf numFmtId="166" fontId="5" fillId="3" borderId="11" xfId="3" applyNumberFormat="1" applyFont="1" applyFill="1" applyBorder="1"/>
  </cellXfs>
  <cellStyles count="7">
    <cellStyle name="Comma" xfId="1" builtinId="3"/>
    <cellStyle name="Comma 2" xfId="5"/>
    <cellStyle name="Currency" xfId="2" builtinId="4"/>
    <cellStyle name="Hyperlink" xfId="4" builtinId="8"/>
    <cellStyle name="Normal" xfId="0" builtinId="0"/>
    <cellStyle name="Normal 2" xfId="6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ACCOUNT 364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Costs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'[7]9-Classification'!$B$9:$B$15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cat>
          <c:val>
            <c:numRef>
              <c:f>'[7]9-Classification'!$F$9:$F$19</c:f>
              <c:numCache>
                <c:formatCode>General</c:formatCode>
                <c:ptCount val="11"/>
                <c:pt idx="0">
                  <c:v>122.95830500183442</c:v>
                </c:pt>
                <c:pt idx="1">
                  <c:v>254.1765628687005</c:v>
                </c:pt>
                <c:pt idx="2">
                  <c:v>160.44529398762157</c:v>
                </c:pt>
                <c:pt idx="3">
                  <c:v>460.45841944719456</c:v>
                </c:pt>
                <c:pt idx="4">
                  <c:v>618.28365280128264</c:v>
                </c:pt>
                <c:pt idx="5">
                  <c:v>766.46395427603727</c:v>
                </c:pt>
                <c:pt idx="6">
                  <c:v>952.5730248091603</c:v>
                </c:pt>
                <c:pt idx="7">
                  <c:v>1018.2885798816567</c:v>
                </c:pt>
                <c:pt idx="8">
                  <c:v>1279.2170000000001</c:v>
                </c:pt>
                <c:pt idx="9">
                  <c:v>1054.7931249999999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Regression Line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'[7]9-Classification'!$B$9:$B$15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cat>
          <c:val>
            <c:numRef>
              <c:f>'[7]9-Classification'!$G$9:$G$19</c:f>
              <c:numCache>
                <c:formatCode>General</c:formatCode>
                <c:ptCount val="11"/>
                <c:pt idx="0">
                  <c:v>83.06932852734667</c:v>
                </c:pt>
                <c:pt idx="1">
                  <c:v>213.22409814512491</c:v>
                </c:pt>
                <c:pt idx="2">
                  <c:v>343.37886776290316</c:v>
                </c:pt>
                <c:pt idx="3">
                  <c:v>473.5336373806814</c:v>
                </c:pt>
                <c:pt idx="4">
                  <c:v>603.68840699845975</c:v>
                </c:pt>
                <c:pt idx="5">
                  <c:v>733.84317661623788</c:v>
                </c:pt>
                <c:pt idx="6">
                  <c:v>863.99794623401624</c:v>
                </c:pt>
                <c:pt idx="7">
                  <c:v>994.15271585179437</c:v>
                </c:pt>
                <c:pt idx="8">
                  <c:v>1124.3074854695728</c:v>
                </c:pt>
                <c:pt idx="9">
                  <c:v>1254.462255087351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71680"/>
        <c:axId val="96502912"/>
      </c:lineChart>
      <c:catAx>
        <c:axId val="9647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Size of Pole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50291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96502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 Per Size of Pole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471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ACCOUNT 365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Cost Data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'[7]9-Classification'!$I$136:$I$148</c:f>
              <c:numCache>
                <c:formatCode>General</c:formatCode>
                <c:ptCount val="13"/>
              </c:numCache>
            </c:numRef>
          </c:xVal>
          <c:yVal>
            <c:numRef>
              <c:f>'[7]9-Classification'!$J$136:$J$146</c:f>
              <c:numCache>
                <c:formatCode>General</c:formatCode>
                <c:ptCount val="11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25</c:v>
                </c:pt>
                <c:pt idx="7">
                  <c:v>37.5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Regression Data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'[7]9-Classification'!$I$136:$I$148</c:f>
              <c:numCache>
                <c:formatCode>General</c:formatCode>
                <c:ptCount val="13"/>
              </c:numCache>
            </c:numRef>
          </c:xVal>
          <c:yVal>
            <c:numRef>
              <c:f>'[7]9-Classification'!$K$136:$K$146</c:f>
              <c:numCache>
                <c:formatCode>General</c:formatCode>
                <c:ptCount val="11"/>
                <c:pt idx="0">
                  <c:v>0</c:v>
                </c:pt>
                <c:pt idx="1">
                  <c:v>115.4061111111111</c:v>
                </c:pt>
                <c:pt idx="2">
                  <c:v>112.81611111111111</c:v>
                </c:pt>
                <c:pt idx="3">
                  <c:v>116.82505813953489</c:v>
                </c:pt>
                <c:pt idx="4">
                  <c:v>367.46222914233812</c:v>
                </c:pt>
                <c:pt idx="5">
                  <c:v>477.50004926108369</c:v>
                </c:pt>
                <c:pt idx="6">
                  <c:v>566.56215305925491</c:v>
                </c:pt>
                <c:pt idx="7">
                  <c:v>760.09472972972969</c:v>
                </c:pt>
                <c:pt idx="8">
                  <c:v>861.05235029940116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66240"/>
        <c:axId val="97472896"/>
      </c:scatterChart>
      <c:valAx>
        <c:axId val="9746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Transformer Size in KVA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472896"/>
        <c:crosses val="autoZero"/>
        <c:crossBetween val="midCat"/>
      </c:valAx>
      <c:valAx>
        <c:axId val="97472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Cost per Transformer $$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46624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7931034482758808"/>
          <c:y val="0"/>
          <c:w val="0.44827586206896552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 horizontalDpi="-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Account 364 = Poles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Cost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'[7]9-Classification'!$B$9:$B$11</c:f>
              <c:numCache>
                <c:formatCode>General</c:formatCode>
                <c:ptCount val="3"/>
                <c:pt idx="0">
                  <c:v>25</c:v>
                </c:pt>
                <c:pt idx="1">
                  <c:v>30</c:v>
                </c:pt>
                <c:pt idx="2">
                  <c:v>35</c:v>
                </c:pt>
              </c:numCache>
            </c:numRef>
          </c:cat>
          <c:val>
            <c:numRef>
              <c:f>'[7]9-Classification'!$F$9:$F$11</c:f>
              <c:numCache>
                <c:formatCode>General</c:formatCode>
                <c:ptCount val="3"/>
                <c:pt idx="0">
                  <c:v>122.95830500183442</c:v>
                </c:pt>
                <c:pt idx="1">
                  <c:v>254.1765628687005</c:v>
                </c:pt>
                <c:pt idx="2">
                  <c:v>160.44529398762157</c:v>
                </c:pt>
              </c:numCache>
            </c:numRef>
          </c:val>
          <c:smooth val="0"/>
        </c:ser>
        <c:ser>
          <c:idx val="1"/>
          <c:order val="1"/>
          <c:tx>
            <c:v>Predicted Cost+Classification!$H$27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'[7]9-Classification'!$B$9:$B$11</c:f>
              <c:numCache>
                <c:formatCode>General</c:formatCode>
                <c:ptCount val="3"/>
                <c:pt idx="0">
                  <c:v>25</c:v>
                </c:pt>
                <c:pt idx="1">
                  <c:v>30</c:v>
                </c:pt>
                <c:pt idx="2">
                  <c:v>35</c:v>
                </c:pt>
              </c:numCache>
            </c:numRef>
          </c:cat>
          <c:val>
            <c:numRef>
              <c:f>'[7]9-Classification'!$G$9:$G$11</c:f>
              <c:numCache>
                <c:formatCode>General</c:formatCode>
                <c:ptCount val="3"/>
                <c:pt idx="0">
                  <c:v>83.06932852734667</c:v>
                </c:pt>
                <c:pt idx="1">
                  <c:v>213.22409814512491</c:v>
                </c:pt>
                <c:pt idx="2">
                  <c:v>343.37886776290316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05312"/>
        <c:axId val="96607616"/>
      </c:lineChart>
      <c:catAx>
        <c:axId val="9660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Size of Pole in Feet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607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607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Pole Cost - &amp;&amp;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605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Account 365 - Conductor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Cost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'[7]9-Classification'!$J$68:$J$76</c:f>
              <c:strCache>
                <c:ptCount val="9"/>
                <c:pt idx="0">
                  <c:v>100</c:v>
                </c:pt>
                <c:pt idx="1">
                  <c:v>130</c:v>
                </c:pt>
                <c:pt idx="2">
                  <c:v>140</c:v>
                </c:pt>
                <c:pt idx="3">
                  <c:v>175</c:v>
                </c:pt>
                <c:pt idx="4">
                  <c:v>230</c:v>
                </c:pt>
                <c:pt idx="5">
                  <c:v>310</c:v>
                </c:pt>
                <c:pt idx="6">
                  <c:v>350</c:v>
                </c:pt>
                <c:pt idx="7">
                  <c:v>519</c:v>
                </c:pt>
                <c:pt idx="8">
                  <c:v> </c:v>
                </c:pt>
              </c:strCache>
            </c:strRef>
          </c:cat>
          <c:val>
            <c:numRef>
              <c:f>'[7]9-Classification'!$K$68:$K$76</c:f>
              <c:numCache>
                <c:formatCode>General</c:formatCode>
                <c:ptCount val="9"/>
                <c:pt idx="0">
                  <c:v>0.14927063934077764</c:v>
                </c:pt>
                <c:pt idx="1">
                  <c:v>0.18595963649488034</c:v>
                </c:pt>
                <c:pt idx="2">
                  <c:v>0.15033612410853092</c:v>
                </c:pt>
                <c:pt idx="3">
                  <c:v>0.56803282836576219</c:v>
                </c:pt>
                <c:pt idx="4">
                  <c:v>0.71271079291215167</c:v>
                </c:pt>
                <c:pt idx="5">
                  <c:v>0.76394251175227312</c:v>
                </c:pt>
                <c:pt idx="6">
                  <c:v>0.39032025478833987</c:v>
                </c:pt>
                <c:pt idx="7">
                  <c:v>1.392684490470828</c:v>
                </c:pt>
                <c:pt idx="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Predicted Costs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'[7]9-Classification'!$J$68:$J$76</c:f>
              <c:strCache>
                <c:ptCount val="9"/>
                <c:pt idx="0">
                  <c:v>100</c:v>
                </c:pt>
                <c:pt idx="1">
                  <c:v>130</c:v>
                </c:pt>
                <c:pt idx="2">
                  <c:v>140</c:v>
                </c:pt>
                <c:pt idx="3">
                  <c:v>175</c:v>
                </c:pt>
                <c:pt idx="4">
                  <c:v>230</c:v>
                </c:pt>
                <c:pt idx="5">
                  <c:v>310</c:v>
                </c:pt>
                <c:pt idx="6">
                  <c:v>350</c:v>
                </c:pt>
                <c:pt idx="7">
                  <c:v>519</c:v>
                </c:pt>
                <c:pt idx="8">
                  <c:v> </c:v>
                </c:pt>
              </c:strCache>
            </c:strRef>
          </c:cat>
          <c:val>
            <c:numRef>
              <c:f>'[7]9-Classification'!$L$68:$L$76</c:f>
              <c:numCache>
                <c:formatCode>General</c:formatCode>
                <c:ptCount val="9"/>
                <c:pt idx="0">
                  <c:v>0.17261958515356751</c:v>
                </c:pt>
                <c:pt idx="1">
                  <c:v>0.26270586592912831</c:v>
                </c:pt>
                <c:pt idx="2">
                  <c:v>0.29273462618764856</c:v>
                </c:pt>
                <c:pt idx="3">
                  <c:v>0.3978352870924694</c:v>
                </c:pt>
                <c:pt idx="4">
                  <c:v>0.56299346851433085</c:v>
                </c:pt>
                <c:pt idx="5">
                  <c:v>0.80322355058249295</c:v>
                </c:pt>
                <c:pt idx="6">
                  <c:v>0.92333859161657383</c:v>
                </c:pt>
                <c:pt idx="7">
                  <c:v>1.4308246399855662</c:v>
                </c:pt>
                <c:pt idx="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47040"/>
        <c:axId val="96653696"/>
      </c:lineChart>
      <c:catAx>
        <c:axId val="9664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Amp Rating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653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96653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$$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6470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750000000000015"/>
          <c:y val="0"/>
          <c:w val="0.5625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Account 364 - Poles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'[7]9-Classification'!$B$9:$B$11</c:f>
              <c:numCache>
                <c:formatCode>General</c:formatCode>
                <c:ptCount val="3"/>
                <c:pt idx="0">
                  <c:v>25</c:v>
                </c:pt>
                <c:pt idx="1">
                  <c:v>30</c:v>
                </c:pt>
                <c:pt idx="2">
                  <c:v>35</c:v>
                </c:pt>
              </c:numCache>
            </c:numRef>
          </c:cat>
          <c:val>
            <c:numRef>
              <c:f>'[7]9-Classification'!$F$9:$F$18</c:f>
              <c:numCache>
                <c:formatCode>General</c:formatCode>
                <c:ptCount val="10"/>
                <c:pt idx="0">
                  <c:v>122.95830500183442</c:v>
                </c:pt>
                <c:pt idx="1">
                  <c:v>254.1765628687005</c:v>
                </c:pt>
                <c:pt idx="2">
                  <c:v>160.44529398762157</c:v>
                </c:pt>
                <c:pt idx="3">
                  <c:v>460.45841944719456</c:v>
                </c:pt>
                <c:pt idx="4">
                  <c:v>618.28365280128264</c:v>
                </c:pt>
                <c:pt idx="5">
                  <c:v>766.46395427603727</c:v>
                </c:pt>
                <c:pt idx="6">
                  <c:v>952.5730248091603</c:v>
                </c:pt>
                <c:pt idx="7">
                  <c:v>1018.2885798816567</c:v>
                </c:pt>
                <c:pt idx="8">
                  <c:v>1279.2170000000001</c:v>
                </c:pt>
                <c:pt idx="9">
                  <c:v>1054.7931249999999</c:v>
                </c:pt>
              </c:numCache>
            </c:numRef>
          </c:val>
          <c:smooth val="0"/>
        </c:ser>
        <c:ser>
          <c:idx val="1"/>
          <c:order val="1"/>
          <c:tx>
            <c:v>Regression Line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'[7]9-Classification'!$B$9:$B$11</c:f>
              <c:numCache>
                <c:formatCode>General</c:formatCode>
                <c:ptCount val="3"/>
                <c:pt idx="0">
                  <c:v>25</c:v>
                </c:pt>
                <c:pt idx="1">
                  <c:v>30</c:v>
                </c:pt>
                <c:pt idx="2">
                  <c:v>35</c:v>
                </c:pt>
              </c:numCache>
            </c:numRef>
          </c:cat>
          <c:val>
            <c:numRef>
              <c:f>'[7]9-Classification'!$G$9:$G$18</c:f>
              <c:numCache>
                <c:formatCode>General</c:formatCode>
                <c:ptCount val="10"/>
                <c:pt idx="0">
                  <c:v>83.06932852734667</c:v>
                </c:pt>
                <c:pt idx="1">
                  <c:v>213.22409814512491</c:v>
                </c:pt>
                <c:pt idx="2">
                  <c:v>343.37886776290316</c:v>
                </c:pt>
                <c:pt idx="3">
                  <c:v>473.5336373806814</c:v>
                </c:pt>
                <c:pt idx="4">
                  <c:v>603.68840699845975</c:v>
                </c:pt>
                <c:pt idx="5">
                  <c:v>733.84317661623788</c:v>
                </c:pt>
                <c:pt idx="6">
                  <c:v>863.99794623401624</c:v>
                </c:pt>
                <c:pt idx="7">
                  <c:v>994.15271585179437</c:v>
                </c:pt>
                <c:pt idx="8">
                  <c:v>1124.3074854695728</c:v>
                </c:pt>
                <c:pt idx="9">
                  <c:v>1254.462255087351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07968"/>
        <c:axId val="99110272"/>
      </c:lineChart>
      <c:catAx>
        <c:axId val="99107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Pole Size - Feet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11027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9911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$$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107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ACCOUNT 368 - TRANSFOMERS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'3.1 PlantClass.'!$D$179:$D$188</c:f>
              <c:numCache>
                <c:formatCode>_(* #,##0.00_);_(* \(#,##0.00\);_(* "-"??_);_(@_)</c:formatCode>
                <c:ptCount val="10"/>
                <c:pt idx="0">
                  <c:v>77.40604347826087</c:v>
                </c:pt>
                <c:pt idx="1">
                  <c:v>113.31849206349207</c:v>
                </c:pt>
                <c:pt idx="2">
                  <c:v>164.26124289195775</c:v>
                </c:pt>
                <c:pt idx="3">
                  <c:v>205.91597222222222</c:v>
                </c:pt>
                <c:pt idx="4">
                  <c:v>378.97514138817479</c:v>
                </c:pt>
                <c:pt idx="5">
                  <c:v>534.50538505372845</c:v>
                </c:pt>
                <c:pt idx="6">
                  <c:v>695.13137281092315</c:v>
                </c:pt>
                <c:pt idx="7">
                  <c:v>782.03013888888881</c:v>
                </c:pt>
                <c:pt idx="8">
                  <c:v>914.33064276885045</c:v>
                </c:pt>
              </c:numCache>
            </c:numRef>
          </c:xVal>
          <c:yVal>
            <c:numRef>
              <c:f>'3.1 PlantClass.'!$E$179:$E$188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'3.1 PlantClass.'!$D$179:$D$188</c:f>
              <c:numCache>
                <c:formatCode>_(* #,##0.00_);_(* \(#,##0.00\);_(* "-"??_);_(@_)</c:formatCode>
                <c:ptCount val="10"/>
                <c:pt idx="0">
                  <c:v>77.40604347826087</c:v>
                </c:pt>
                <c:pt idx="1">
                  <c:v>113.31849206349207</c:v>
                </c:pt>
                <c:pt idx="2">
                  <c:v>164.26124289195775</c:v>
                </c:pt>
                <c:pt idx="3">
                  <c:v>205.91597222222222</c:v>
                </c:pt>
                <c:pt idx="4">
                  <c:v>378.97514138817479</c:v>
                </c:pt>
                <c:pt idx="5">
                  <c:v>534.50538505372845</c:v>
                </c:pt>
                <c:pt idx="6">
                  <c:v>695.13137281092315</c:v>
                </c:pt>
                <c:pt idx="7">
                  <c:v>782.03013888888881</c:v>
                </c:pt>
                <c:pt idx="8">
                  <c:v>914.33064276885045</c:v>
                </c:pt>
              </c:numCache>
            </c:numRef>
          </c:xVal>
          <c:yVal>
            <c:numRef>
              <c:f>'3.1 PlantClass.'!$F$179:$F$188</c:f>
              <c:numCache>
                <c:formatCode>_(* #,##0.00_);_(* \(#,##0.00\);_(* "-"??_);_(@_)</c:formatCode>
                <c:ptCount val="10"/>
                <c:pt idx="0">
                  <c:v>189.2037836302793</c:v>
                </c:pt>
                <c:pt idx="1">
                  <c:v>231.23373815684795</c:v>
                </c:pt>
                <c:pt idx="2">
                  <c:v>287.2736775256061</c:v>
                </c:pt>
                <c:pt idx="3">
                  <c:v>357.32360173655388</c:v>
                </c:pt>
                <c:pt idx="4">
                  <c:v>427.37352594750155</c:v>
                </c:pt>
                <c:pt idx="5">
                  <c:v>567.47337436939711</c:v>
                </c:pt>
                <c:pt idx="6">
                  <c:v>847.673071213188</c:v>
                </c:pt>
                <c:pt idx="7">
                  <c:v>1197.9226922679265</c:v>
                </c:pt>
                <c:pt idx="8">
                  <c:v>1548.1723133226653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57280"/>
        <c:axId val="101059584"/>
      </c:scatterChart>
      <c:valAx>
        <c:axId val="10105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Size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59584"/>
        <c:crosses val="autoZero"/>
        <c:crossBetween val="midCat"/>
      </c:valAx>
      <c:valAx>
        <c:axId val="101059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5728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714285714285987"/>
          <c:y val="0.33322834645669291"/>
          <c:w val="0.57142857142857573"/>
          <c:h val="0.666771653543316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ACCOUNT 364 - POLES</a:t>
            </a:r>
          </a:p>
        </c:rich>
      </c:tx>
      <c:layout>
        <c:manualLayout>
          <c:xMode val="edge"/>
          <c:yMode val="edge"/>
          <c:x val="0.40598350419872731"/>
          <c:y val="3.22580645161292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90332017800741"/>
          <c:y val="0.16666710419581704"/>
          <c:w val="0.84615502325251746"/>
          <c:h val="0.5940875810850863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'3.1 PlantClass.'!$D$32:$D$34</c:f>
              <c:numCache>
                <c:formatCode>_(* #,##0_);_(* \(#,##0\);_(* "-"??_);_(@_)</c:formatCode>
                <c:ptCount val="3"/>
                <c:pt idx="0" formatCode="_(* #,##0.00_);_(* \(#,##0.00\);_(* &quot;-&quot;??_);_(@_)">
                  <c:v>35</c:v>
                </c:pt>
                <c:pt idx="1">
                  <c:v>42.5</c:v>
                </c:pt>
                <c:pt idx="2">
                  <c:v>50</c:v>
                </c:pt>
              </c:numCache>
            </c:numRef>
          </c:cat>
          <c:val>
            <c:numRef>
              <c:f>'3.1 PlantClass.'!$E$32:$E$34</c:f>
              <c:numCache>
                <c:formatCode>_(* #,##0.00_);_(* \(#,##0.00\);_(* "-"??_);_(@_)</c:formatCode>
                <c:ptCount val="3"/>
                <c:pt idx="0">
                  <c:v>190.88489998019409</c:v>
                </c:pt>
                <c:pt idx="1">
                  <c:v>494.81406771406415</c:v>
                </c:pt>
                <c:pt idx="2">
                  <c:v>703.34201035375327</c:v>
                </c:pt>
              </c:numCache>
            </c:numRef>
          </c:val>
          <c:smooth val="0"/>
        </c:ser>
        <c:ser>
          <c:idx val="1"/>
          <c:order val="1"/>
          <c:tx>
            <c:v>Predicted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'3.1 PlantClass.'!$D$32:$D$34</c:f>
              <c:numCache>
                <c:formatCode>_(* #,##0_);_(* \(#,##0\);_(* "-"??_);_(@_)</c:formatCode>
                <c:ptCount val="3"/>
                <c:pt idx="0" formatCode="_(* #,##0.00_);_(* \(#,##0.00\);_(* &quot;-&quot;??_);_(@_)">
                  <c:v>35</c:v>
                </c:pt>
                <c:pt idx="1">
                  <c:v>42.5</c:v>
                </c:pt>
                <c:pt idx="2">
                  <c:v>50</c:v>
                </c:pt>
              </c:numCache>
            </c:numRef>
          </c:cat>
          <c:val>
            <c:numRef>
              <c:f>'3.1 PlantClass.'!$F$32:$F$34</c:f>
              <c:numCache>
                <c:formatCode>_(* #,##0.00_);_(* \(#,##0.00\);_(* "-"??_);_(@_)</c:formatCode>
                <c:ptCount val="3"/>
                <c:pt idx="0">
                  <c:v>206.78510416255767</c:v>
                </c:pt>
                <c:pt idx="1">
                  <c:v>463.0136593493371</c:v>
                </c:pt>
                <c:pt idx="2">
                  <c:v>719.24221453611676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17952"/>
        <c:axId val="101120256"/>
      </c:lineChart>
      <c:catAx>
        <c:axId val="10111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Pole Size - Feet</a:t>
                </a:r>
              </a:p>
            </c:rich>
          </c:tx>
          <c:layout>
            <c:manualLayout>
              <c:xMode val="edge"/>
              <c:yMode val="edge"/>
              <c:x val="0.49430274207177138"/>
              <c:y val="0.8333355911156265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20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1120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</a:t>
                </a:r>
              </a:p>
            </c:rich>
          </c:tx>
          <c:layout>
            <c:manualLayout>
              <c:xMode val="edge"/>
              <c:yMode val="edge"/>
              <c:x val="2.27920227920228E-2"/>
              <c:y val="0.4489258600739445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17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4871854693377"/>
          <c:y val="0.92204555075776817"/>
          <c:w val="0.2151000142076257"/>
          <c:h val="5.914006716902331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485775</xdr:colOff>
      <xdr:row>21</xdr:row>
      <xdr:rowOff>0</xdr:rowOff>
    </xdr:from>
    <xdr:to>
      <xdr:col>14</xdr:col>
      <xdr:colOff>180975</xdr:colOff>
      <xdr:row>21</xdr:row>
      <xdr:rowOff>0</xdr:rowOff>
    </xdr:to>
    <xdr:graphicFrame macro="">
      <xdr:nvGraphicFramePr>
        <xdr:cNvPr id="245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171</xdr:row>
      <xdr:rowOff>0</xdr:rowOff>
    </xdr:from>
    <xdr:to>
      <xdr:col>1</xdr:col>
      <xdr:colOff>495300</xdr:colOff>
      <xdr:row>171</xdr:row>
      <xdr:rowOff>0</xdr:rowOff>
    </xdr:to>
    <xdr:graphicFrame macro="">
      <xdr:nvGraphicFramePr>
        <xdr:cNvPr id="245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638175</xdr:colOff>
      <xdr:row>21</xdr:row>
      <xdr:rowOff>0</xdr:rowOff>
    </xdr:from>
    <xdr:to>
      <xdr:col>14</xdr:col>
      <xdr:colOff>180975</xdr:colOff>
      <xdr:row>21</xdr:row>
      <xdr:rowOff>0</xdr:rowOff>
    </xdr:to>
    <xdr:graphicFrame macro="">
      <xdr:nvGraphicFramePr>
        <xdr:cNvPr id="245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457200</xdr:colOff>
      <xdr:row>93</xdr:row>
      <xdr:rowOff>0</xdr:rowOff>
    </xdr:from>
    <xdr:to>
      <xdr:col>17</xdr:col>
      <xdr:colOff>609600</xdr:colOff>
      <xdr:row>93</xdr:row>
      <xdr:rowOff>0</xdr:rowOff>
    </xdr:to>
    <xdr:graphicFrame macro="">
      <xdr:nvGraphicFramePr>
        <xdr:cNvPr id="245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781050</xdr:colOff>
      <xdr:row>21</xdr:row>
      <xdr:rowOff>0</xdr:rowOff>
    </xdr:from>
    <xdr:to>
      <xdr:col>14</xdr:col>
      <xdr:colOff>180975</xdr:colOff>
      <xdr:row>21</xdr:row>
      <xdr:rowOff>0</xdr:rowOff>
    </xdr:to>
    <xdr:graphicFrame macro="">
      <xdr:nvGraphicFramePr>
        <xdr:cNvPr id="2461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209550</xdr:colOff>
      <xdr:row>182</xdr:row>
      <xdr:rowOff>0</xdr:rowOff>
    </xdr:from>
    <xdr:to>
      <xdr:col>13</xdr:col>
      <xdr:colOff>342900</xdr:colOff>
      <xdr:row>182</xdr:row>
      <xdr:rowOff>19050</xdr:rowOff>
    </xdr:to>
    <xdr:graphicFrame macro="">
      <xdr:nvGraphicFramePr>
        <xdr:cNvPr id="2470" name="Chart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313321</xdr:colOff>
      <xdr:row>27</xdr:row>
      <xdr:rowOff>0</xdr:rowOff>
    </xdr:from>
    <xdr:to>
      <xdr:col>8</xdr:col>
      <xdr:colOff>764506</xdr:colOff>
      <xdr:row>27</xdr:row>
      <xdr:rowOff>95250</xdr:rowOff>
    </xdr:to>
    <xdr:graphicFrame macro="">
      <xdr:nvGraphicFramePr>
        <xdr:cNvPr id="2471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ybeth%20Purvis/AppData/Local/Microsoft/Windows/Temporary%20Internet%20Files/Content.IE5/3XD1L2H9/Book2_Cost%20of%20Pow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KRECC%202010%20Rate%20Cases-A-05-11/1-adjusted%20state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Blue%20Grass%202014/COSS/bge_schedule_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Blue%20Grass%202014/COSS/bge_depreci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Blue%20Grass%202014/COSS/bge_schedule_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KRECC%20RATE%20CASE%202011/depreciation_adjustment-092320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P_Administrator/My%20Documents/Jackson%20Energy%2010112007/Filing/Jackson%20Energy%20COSA-10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eade%20Co%20Rate%20Case%202010/AZ%20Data/billing_analysis_3-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Blue%20Grass%202014/COSS/bge_billing_analysis_for_201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Blue%20Grass%202014/COSS/bge_billing_analysis_for_2013-9-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Blue%20Grass%202014/COSS/COST6413%20for%20Jim%20and%20Mary%20Beth%20TOU%20updat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Blue%20Grass%202014/COST6413_for_Jim_and_Mary_Beth_TOU_updat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ge_billing_analysis_for_201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Blue%20Grass%202014/COSS/Wausau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CVE%20-%202014-June/PSC-4/CVE-COSS-May%202014-Aug-CopySeptOct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N7">
            <v>16000</v>
          </cell>
        </row>
        <row r="20">
          <cell r="E20">
            <v>13020019</v>
          </cell>
          <cell r="F20">
            <v>44410807.200000003</v>
          </cell>
          <cell r="G20">
            <v>50112</v>
          </cell>
          <cell r="H20">
            <v>1270932</v>
          </cell>
          <cell r="O20">
            <v>4430</v>
          </cell>
          <cell r="R20">
            <v>146741.20000000001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income statement"/>
      <sheetName val="adjusments"/>
      <sheetName val="proposed rev"/>
    </sheetNames>
    <sheetDataSet>
      <sheetData sheetId="0" refreshError="1"/>
      <sheetData sheetId="1" refreshError="1">
        <row r="27">
          <cell r="O27">
            <v>3729639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ed is"/>
      <sheetName val="adjusted bs "/>
      <sheetName val="adjustments"/>
      <sheetName val="proposed rev"/>
    </sheetNames>
    <sheetDataSet>
      <sheetData sheetId="0"/>
      <sheetData sheetId="1"/>
      <sheetData sheetId="2">
        <row r="13">
          <cell r="P13">
            <v>17885</v>
          </cell>
          <cell r="Q13">
            <v>76995</v>
          </cell>
          <cell r="T13">
            <v>86517</v>
          </cell>
        </row>
        <row r="21">
          <cell r="D21">
            <v>10815.404048177157</v>
          </cell>
          <cell r="E21">
            <v>1903.7040256527371</v>
          </cell>
          <cell r="F21">
            <v>846.49746175151256</v>
          </cell>
          <cell r="H21">
            <v>8631</v>
          </cell>
          <cell r="I21">
            <v>16382.168055784898</v>
          </cell>
        </row>
        <row r="22">
          <cell r="D22">
            <v>35227.503637825248</v>
          </cell>
          <cell r="E22">
            <v>6200.6689893686598</v>
          </cell>
          <cell r="F22">
            <v>1513.4122315526838</v>
          </cell>
          <cell r="H22">
            <v>28112</v>
          </cell>
        </row>
        <row r="23">
          <cell r="D23">
            <v>21264.912203212058</v>
          </cell>
          <cell r="E23">
            <v>3743.0038476675973</v>
          </cell>
          <cell r="F23">
            <v>388.88014750776557</v>
          </cell>
          <cell r="H23">
            <v>16970</v>
          </cell>
        </row>
        <row r="24">
          <cell r="D24">
            <v>15942.591942967583</v>
          </cell>
          <cell r="E24">
            <v>2806.1805482229306</v>
          </cell>
          <cell r="F24">
            <v>321.1882237127366</v>
          </cell>
          <cell r="H24">
            <v>12722</v>
          </cell>
        </row>
        <row r="26">
          <cell r="D26">
            <v>46053.36630327571</v>
          </cell>
          <cell r="E26">
            <v>8106.2139182107057</v>
          </cell>
          <cell r="F26">
            <v>551.93804629637941</v>
          </cell>
          <cell r="H26">
            <v>36751</v>
          </cell>
          <cell r="I26">
            <v>506.66499141602776</v>
          </cell>
        </row>
        <row r="34">
          <cell r="J34">
            <v>-2987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rative"/>
      <sheetName val="adjustment"/>
      <sheetName val="calculated"/>
      <sheetName val="changes"/>
      <sheetName val="reserve"/>
      <sheetName val="guideline curve"/>
    </sheetNames>
    <sheetDataSet>
      <sheetData sheetId="0" refreshError="1"/>
      <sheetData sheetId="1">
        <row r="15">
          <cell r="K15">
            <v>116920.86694708146</v>
          </cell>
        </row>
        <row r="16">
          <cell r="K16">
            <v>14331.136952917903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ed is"/>
      <sheetName val="adjusted bs "/>
      <sheetName val="adjustments"/>
      <sheetName val="proposed rev"/>
    </sheetNames>
    <sheetDataSet>
      <sheetData sheetId="0" refreshError="1"/>
      <sheetData sheetId="1" refreshError="1"/>
      <sheetData sheetId="2">
        <row r="21">
          <cell r="D21">
            <v>10815.404048177157</v>
          </cell>
        </row>
        <row r="28">
          <cell r="D28">
            <v>129303.77813545777</v>
          </cell>
          <cell r="E28">
            <v>22759.771329122632</v>
          </cell>
          <cell r="H28">
            <v>103186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ment"/>
      <sheetName val="changes"/>
      <sheetName val="guideline curve"/>
    </sheetNames>
    <sheetDataSet>
      <sheetData sheetId="0" refreshError="1">
        <row r="36">
          <cell r="B36">
            <v>301</v>
          </cell>
          <cell r="C36" t="str">
            <v xml:space="preserve">  Organization</v>
          </cell>
        </row>
        <row r="38">
          <cell r="B38">
            <v>364</v>
          </cell>
        </row>
        <row r="39">
          <cell r="B39">
            <v>365</v>
          </cell>
        </row>
        <row r="42">
          <cell r="B42">
            <v>368</v>
          </cell>
        </row>
        <row r="43">
          <cell r="B43">
            <v>369</v>
          </cell>
        </row>
        <row r="44">
          <cell r="B44">
            <v>370</v>
          </cell>
        </row>
        <row r="46">
          <cell r="B46">
            <v>371</v>
          </cell>
        </row>
        <row r="47">
          <cell r="B47">
            <v>373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rrative"/>
      <sheetName val="1-Rate Design"/>
      <sheetName val="2-Increase"/>
      <sheetName val="Sheet1"/>
      <sheetName val="3-StmtOper-O"/>
      <sheetName val="Cover"/>
      <sheetName val="4-StmtOper-Unbund"/>
      <sheetName val="5-RevReq-Rate Class"/>
      <sheetName val="7-RateBase-Rate Class"/>
      <sheetName val="8-Rate Base"/>
      <sheetName val="6-Costs&amp;Margins"/>
      <sheetName val="Poles"/>
      <sheetName val="Conductor"/>
      <sheetName val="Transformers"/>
      <sheetName val="Conductor 2"/>
      <sheetName val="9-Classification"/>
      <sheetName val=" 10-Energy &amp; Demand Allocations"/>
      <sheetName val="11-Consumer Allocations"/>
      <sheetName val="Sheet3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">
          <cell r="B9">
            <v>25</v>
          </cell>
          <cell r="F9">
            <v>122.95830500183442</v>
          </cell>
          <cell r="G9">
            <v>83.06932852734667</v>
          </cell>
        </row>
        <row r="10">
          <cell r="B10">
            <v>30</v>
          </cell>
          <cell r="F10">
            <v>254.1765628687005</v>
          </cell>
          <cell r="G10">
            <v>213.22409814512491</v>
          </cell>
        </row>
        <row r="11">
          <cell r="B11">
            <v>35</v>
          </cell>
          <cell r="F11">
            <v>160.44529398762157</v>
          </cell>
          <cell r="G11">
            <v>343.37886776290316</v>
          </cell>
        </row>
        <row r="12">
          <cell r="B12">
            <v>40</v>
          </cell>
          <cell r="F12">
            <v>460.45841944719456</v>
          </cell>
          <cell r="G12">
            <v>473.5336373806814</v>
          </cell>
        </row>
        <row r="13">
          <cell r="B13">
            <v>45</v>
          </cell>
          <cell r="F13">
            <v>618.28365280128264</v>
          </cell>
          <cell r="G13">
            <v>603.68840699845975</v>
          </cell>
        </row>
        <row r="14">
          <cell r="B14">
            <v>50</v>
          </cell>
          <cell r="F14">
            <v>766.46395427603727</v>
          </cell>
          <cell r="G14">
            <v>733.84317661623788</v>
          </cell>
        </row>
        <row r="15">
          <cell r="B15">
            <v>55</v>
          </cell>
          <cell r="F15">
            <v>952.5730248091603</v>
          </cell>
          <cell r="G15">
            <v>863.99794623401624</v>
          </cell>
        </row>
        <row r="16">
          <cell r="F16">
            <v>1018.2885798816567</v>
          </cell>
          <cell r="G16">
            <v>994.15271585179437</v>
          </cell>
        </row>
        <row r="17">
          <cell r="F17">
            <v>1279.2170000000001</v>
          </cell>
          <cell r="G17">
            <v>1124.3074854695728</v>
          </cell>
        </row>
        <row r="18">
          <cell r="F18">
            <v>1054.7931249999999</v>
          </cell>
          <cell r="G18">
            <v>1254.462255087351</v>
          </cell>
        </row>
        <row r="19">
          <cell r="F19" t="str">
            <v xml:space="preserve"> </v>
          </cell>
          <cell r="G19" t="str">
            <v xml:space="preserve"> </v>
          </cell>
        </row>
        <row r="68">
          <cell r="J68">
            <v>100</v>
          </cell>
          <cell r="K68">
            <v>0.14927063934077764</v>
          </cell>
          <cell r="L68">
            <v>0.17261958515356751</v>
          </cell>
        </row>
        <row r="69">
          <cell r="J69">
            <v>130</v>
          </cell>
          <cell r="K69">
            <v>0.18595963649488034</v>
          </cell>
          <cell r="L69">
            <v>0.26270586592912831</v>
          </cell>
        </row>
        <row r="70">
          <cell r="J70">
            <v>140</v>
          </cell>
          <cell r="K70">
            <v>0.15033612410853092</v>
          </cell>
          <cell r="L70">
            <v>0.29273462618764856</v>
          </cell>
        </row>
        <row r="71">
          <cell r="J71">
            <v>175</v>
          </cell>
          <cell r="K71">
            <v>0.56803282836576219</v>
          </cell>
          <cell r="L71">
            <v>0.3978352870924694</v>
          </cell>
        </row>
        <row r="72">
          <cell r="J72">
            <v>230</v>
          </cell>
          <cell r="K72">
            <v>0.71271079291215167</v>
          </cell>
          <cell r="L72">
            <v>0.56299346851433085</v>
          </cell>
        </row>
        <row r="73">
          <cell r="J73">
            <v>310</v>
          </cell>
          <cell r="K73">
            <v>0.76394251175227312</v>
          </cell>
          <cell r="L73">
            <v>0.80322355058249295</v>
          </cell>
        </row>
        <row r="74">
          <cell r="J74">
            <v>350</v>
          </cell>
          <cell r="K74">
            <v>0.39032025478833987</v>
          </cell>
          <cell r="L74">
            <v>0.92333859161657383</v>
          </cell>
        </row>
        <row r="75">
          <cell r="J75">
            <v>519</v>
          </cell>
          <cell r="K75">
            <v>1.392684490470828</v>
          </cell>
          <cell r="L75">
            <v>1.4308246399855662</v>
          </cell>
        </row>
        <row r="76">
          <cell r="J76" t="str">
            <v xml:space="preserve"> </v>
          </cell>
          <cell r="K76" t="str">
            <v xml:space="preserve"> </v>
          </cell>
          <cell r="L76" t="str">
            <v xml:space="preserve"> </v>
          </cell>
        </row>
        <row r="136">
          <cell r="J136" t="str">
            <v xml:space="preserve"> </v>
          </cell>
          <cell r="K136" t="str">
            <v xml:space="preserve"> </v>
          </cell>
        </row>
        <row r="137">
          <cell r="J137">
            <v>1.5</v>
          </cell>
          <cell r="K137">
            <v>115.4061111111111</v>
          </cell>
        </row>
        <row r="138">
          <cell r="J138">
            <v>3</v>
          </cell>
          <cell r="K138">
            <v>112.81611111111111</v>
          </cell>
        </row>
        <row r="139">
          <cell r="J139">
            <v>5</v>
          </cell>
          <cell r="K139">
            <v>116.82505813953489</v>
          </cell>
        </row>
        <row r="140">
          <cell r="J140">
            <v>10</v>
          </cell>
          <cell r="K140">
            <v>367.46222914233812</v>
          </cell>
        </row>
        <row r="141">
          <cell r="J141">
            <v>15</v>
          </cell>
          <cell r="K141">
            <v>477.50004926108369</v>
          </cell>
        </row>
        <row r="142">
          <cell r="J142">
            <v>25</v>
          </cell>
          <cell r="K142">
            <v>566.56215305925491</v>
          </cell>
        </row>
        <row r="143">
          <cell r="J143">
            <v>37.5</v>
          </cell>
          <cell r="K143">
            <v>760.09472972972969</v>
          </cell>
        </row>
        <row r="144">
          <cell r="J144">
            <v>50</v>
          </cell>
          <cell r="K144">
            <v>861.05235029940116</v>
          </cell>
        </row>
        <row r="145">
          <cell r="J145" t="str">
            <v xml:space="preserve"> </v>
          </cell>
          <cell r="K145" t="str">
            <v xml:space="preserve"> </v>
          </cell>
        </row>
        <row r="146">
          <cell r="J146" t="str">
            <v xml:space="preserve"> </v>
          </cell>
          <cell r="K146" t="str">
            <v xml:space="preserve"> 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ght detail"/>
      <sheetName val="monthly"/>
      <sheetName val="summary"/>
      <sheetName val="ave use"/>
      <sheetName val="additional"/>
      <sheetName val="power"/>
    </sheetNames>
    <sheetDataSet>
      <sheetData sheetId="0" refreshError="1"/>
      <sheetData sheetId="1">
        <row r="14">
          <cell r="AL14">
            <v>311873</v>
          </cell>
        </row>
        <row r="44">
          <cell r="AL44">
            <v>20425</v>
          </cell>
        </row>
        <row r="75">
          <cell r="AL75">
            <v>4153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summary"/>
      <sheetName val="rate schedules"/>
      <sheetName val="ave bill"/>
      <sheetName val="power cost"/>
      <sheetName val="additional"/>
    </sheetNames>
    <sheetDataSet>
      <sheetData sheetId="0" refreshError="1">
        <row r="5">
          <cell r="D5">
            <v>84846446</v>
          </cell>
        </row>
        <row r="6">
          <cell r="D6">
            <v>68264</v>
          </cell>
        </row>
        <row r="16">
          <cell r="D16">
            <v>8193000</v>
          </cell>
        </row>
        <row r="28">
          <cell r="D28">
            <v>91232321</v>
          </cell>
        </row>
        <row r="29">
          <cell r="D29">
            <v>79940</v>
          </cell>
        </row>
        <row r="39">
          <cell r="D39">
            <v>9202200</v>
          </cell>
        </row>
        <row r="51">
          <cell r="D51">
            <v>77591828</v>
          </cell>
        </row>
        <row r="52">
          <cell r="D52">
            <v>69966</v>
          </cell>
        </row>
        <row r="62">
          <cell r="D62">
            <v>6657086</v>
          </cell>
        </row>
        <row r="74">
          <cell r="D74">
            <v>70214395</v>
          </cell>
        </row>
        <row r="75">
          <cell r="D75">
            <v>61586</v>
          </cell>
        </row>
        <row r="85">
          <cell r="D85">
            <v>9608403</v>
          </cell>
        </row>
        <row r="97">
          <cell r="D97">
            <v>45517162</v>
          </cell>
        </row>
        <row r="98">
          <cell r="D98">
            <v>23880</v>
          </cell>
        </row>
        <row r="108">
          <cell r="D108">
            <v>10207157</v>
          </cell>
        </row>
        <row r="120">
          <cell r="D120">
            <v>52750653</v>
          </cell>
        </row>
        <row r="121">
          <cell r="D121">
            <v>9575</v>
          </cell>
        </row>
        <row r="131">
          <cell r="D131">
            <v>10335610</v>
          </cell>
        </row>
        <row r="143">
          <cell r="D143">
            <v>60577470</v>
          </cell>
        </row>
        <row r="144">
          <cell r="D144">
            <v>8960</v>
          </cell>
        </row>
        <row r="154">
          <cell r="D154">
            <v>9445089</v>
          </cell>
        </row>
        <row r="166">
          <cell r="D166">
            <v>62839685</v>
          </cell>
        </row>
        <row r="167">
          <cell r="D167">
            <v>8429</v>
          </cell>
        </row>
        <row r="177">
          <cell r="D177">
            <v>4067400</v>
          </cell>
        </row>
        <row r="189">
          <cell r="D189">
            <v>61335221</v>
          </cell>
        </row>
        <row r="190">
          <cell r="D190">
            <v>7870</v>
          </cell>
        </row>
        <row r="200">
          <cell r="D200">
            <v>4721100</v>
          </cell>
        </row>
        <row r="212">
          <cell r="D212">
            <v>45867668</v>
          </cell>
        </row>
        <row r="213">
          <cell r="D213">
            <v>5719</v>
          </cell>
        </row>
        <row r="223">
          <cell r="D223">
            <v>4230000</v>
          </cell>
        </row>
        <row r="235">
          <cell r="D235">
            <v>53344887</v>
          </cell>
        </row>
        <row r="236">
          <cell r="D236">
            <v>32885</v>
          </cell>
        </row>
        <row r="246">
          <cell r="D246">
            <v>4396200</v>
          </cell>
        </row>
        <row r="258">
          <cell r="D258">
            <v>78126638</v>
          </cell>
        </row>
        <row r="259">
          <cell r="D259">
            <v>60373</v>
          </cell>
        </row>
        <row r="269">
          <cell r="D269">
            <v>4043400</v>
          </cell>
        </row>
        <row r="294">
          <cell r="C294">
            <v>12</v>
          </cell>
        </row>
      </sheetData>
      <sheetData sheetId="1" refreshError="1"/>
      <sheetData sheetId="2" refreshError="1"/>
      <sheetData sheetId="3" refreshError="1"/>
      <sheetData sheetId="4" refreshError="1">
        <row r="11">
          <cell r="K11">
            <v>22400</v>
          </cell>
        </row>
        <row r="12">
          <cell r="K12">
            <v>22300</v>
          </cell>
        </row>
        <row r="13">
          <cell r="K13">
            <v>22300</v>
          </cell>
        </row>
        <row r="14">
          <cell r="K14">
            <v>22300</v>
          </cell>
        </row>
        <row r="15">
          <cell r="K15">
            <v>22300</v>
          </cell>
        </row>
        <row r="16">
          <cell r="K16">
            <v>22900</v>
          </cell>
        </row>
        <row r="17">
          <cell r="K17">
            <v>22900</v>
          </cell>
        </row>
        <row r="18">
          <cell r="K18">
            <v>22900</v>
          </cell>
        </row>
        <row r="19">
          <cell r="K19">
            <v>22900</v>
          </cell>
        </row>
        <row r="20">
          <cell r="K20">
            <v>22900</v>
          </cell>
        </row>
        <row r="21">
          <cell r="K21">
            <v>22900</v>
          </cell>
        </row>
        <row r="22">
          <cell r="K22">
            <v>22800</v>
          </cell>
        </row>
      </sheetData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summary"/>
      <sheetName val="rate schedules"/>
      <sheetName val="ave bill"/>
      <sheetName val="power cost"/>
      <sheetName val="additional"/>
      <sheetName val="Adkins Changes"/>
    </sheetNames>
    <sheetDataSet>
      <sheetData sheetId="0">
        <row r="258">
          <cell r="C258">
            <v>51697</v>
          </cell>
        </row>
        <row r="261">
          <cell r="C261">
            <v>27</v>
          </cell>
        </row>
        <row r="262">
          <cell r="C262">
            <v>1207</v>
          </cell>
        </row>
        <row r="263">
          <cell r="C263">
            <v>2473</v>
          </cell>
        </row>
        <row r="264">
          <cell r="C264">
            <v>81</v>
          </cell>
        </row>
        <row r="266">
          <cell r="C266">
            <v>52</v>
          </cell>
        </row>
        <row r="267">
          <cell r="C267">
            <v>10</v>
          </cell>
        </row>
        <row r="268">
          <cell r="C268">
            <v>5</v>
          </cell>
        </row>
        <row r="269">
          <cell r="C269">
            <v>13</v>
          </cell>
        </row>
        <row r="270">
          <cell r="C270">
            <v>1</v>
          </cell>
        </row>
        <row r="271">
          <cell r="C271">
            <v>1</v>
          </cell>
        </row>
        <row r="273">
          <cell r="C273">
            <v>1</v>
          </cell>
        </row>
        <row r="274">
          <cell r="C274">
            <v>1</v>
          </cell>
        </row>
        <row r="275">
          <cell r="C275">
            <v>1</v>
          </cell>
        </row>
        <row r="276">
          <cell r="C276">
            <v>1</v>
          </cell>
        </row>
      </sheetData>
      <sheetData sheetId="1">
        <row r="10">
          <cell r="C10">
            <v>793939806</v>
          </cell>
        </row>
      </sheetData>
      <sheetData sheetId="2">
        <row r="12">
          <cell r="B12">
            <v>624720</v>
          </cell>
        </row>
        <row r="13">
          <cell r="B13">
            <v>9123</v>
          </cell>
        </row>
        <row r="43">
          <cell r="B43">
            <v>447</v>
          </cell>
        </row>
        <row r="75">
          <cell r="B75">
            <v>30758</v>
          </cell>
        </row>
        <row r="106">
          <cell r="B106">
            <v>323</v>
          </cell>
        </row>
        <row r="140">
          <cell r="B140">
            <v>673</v>
          </cell>
        </row>
        <row r="141">
          <cell r="B141">
            <v>110568</v>
          </cell>
        </row>
        <row r="173">
          <cell r="B173">
            <v>276</v>
          </cell>
        </row>
        <row r="175">
          <cell r="B175">
            <v>208910.72200000001</v>
          </cell>
        </row>
        <row r="208">
          <cell r="B208">
            <v>363601</v>
          </cell>
        </row>
        <row r="209">
          <cell r="B209">
            <v>15994.288999999999</v>
          </cell>
        </row>
        <row r="243">
          <cell r="B243">
            <v>181668</v>
          </cell>
        </row>
        <row r="244">
          <cell r="B244">
            <v>104067043.2</v>
          </cell>
        </row>
        <row r="303">
          <cell r="B303">
            <v>180862</v>
          </cell>
        </row>
      </sheetData>
      <sheetData sheetId="3"/>
      <sheetData sheetId="4">
        <row r="75">
          <cell r="B75">
            <v>2110848</v>
          </cell>
          <cell r="C75">
            <v>113791.96</v>
          </cell>
          <cell r="D75">
            <v>32497.43</v>
          </cell>
          <cell r="E75">
            <v>15576117.899999999</v>
          </cell>
          <cell r="F75">
            <v>628200</v>
          </cell>
          <cell r="G75">
            <v>64278</v>
          </cell>
          <cell r="H75">
            <v>18525733.289999999</v>
          </cell>
          <cell r="I75">
            <v>8961377.8291380014</v>
          </cell>
          <cell r="J75">
            <v>2136153.0523029999</v>
          </cell>
          <cell r="K75">
            <v>29288278.218681</v>
          </cell>
          <cell r="L75">
            <v>23854682.936766002</v>
          </cell>
          <cell r="M75">
            <v>6455.25</v>
          </cell>
          <cell r="N75">
            <v>64251418.286888003</v>
          </cell>
          <cell r="O75">
            <v>11083</v>
          </cell>
          <cell r="P75">
            <v>57024</v>
          </cell>
          <cell r="Q75">
            <v>13056</v>
          </cell>
          <cell r="R75">
            <v>32844</v>
          </cell>
          <cell r="S75">
            <v>869088</v>
          </cell>
          <cell r="T75">
            <v>573480</v>
          </cell>
          <cell r="U75">
            <v>1488468</v>
          </cell>
          <cell r="V75">
            <v>84333726.576887995</v>
          </cell>
        </row>
      </sheetData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CP"/>
      <sheetName val="Class Peak"/>
      <sheetName val="NCP"/>
      <sheetName val="TOU"/>
    </sheetNames>
    <sheetDataSet>
      <sheetData sheetId="0" refreshError="1"/>
      <sheetData sheetId="1">
        <row r="11">
          <cell r="D11">
            <v>201120.55402385938</v>
          </cell>
        </row>
        <row r="12">
          <cell r="D12">
            <v>276.95246974747215</v>
          </cell>
          <cell r="E12">
            <v>240.94535236416624</v>
          </cell>
          <cell r="F12">
            <v>233.67016998433093</v>
          </cell>
          <cell r="G12">
            <v>157.5792470210173</v>
          </cell>
          <cell r="H12">
            <v>162.14346017477959</v>
          </cell>
          <cell r="I12">
            <v>158.51317372621949</v>
          </cell>
          <cell r="J12">
            <v>174.58083784547969</v>
          </cell>
          <cell r="K12">
            <v>173.58256773386239</v>
          </cell>
          <cell r="L12">
            <v>164.5696323364015</v>
          </cell>
          <cell r="M12">
            <v>135.78874340520332</v>
          </cell>
          <cell r="N12">
            <v>204.99634505382568</v>
          </cell>
          <cell r="O12">
            <v>226.64905765046331</v>
          </cell>
        </row>
      </sheetData>
      <sheetData sheetId="2">
        <row r="9">
          <cell r="D9">
            <v>201120.55402385938</v>
          </cell>
        </row>
      </sheetData>
      <sheetData sheetId="3">
        <row r="9">
          <cell r="D9">
            <v>501355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CP"/>
      <sheetName val="Class Peak"/>
      <sheetName val="NCP"/>
      <sheetName val="TOU"/>
    </sheetNames>
    <sheetDataSet>
      <sheetData sheetId="0"/>
      <sheetData sheetId="1">
        <row r="23">
          <cell r="F23">
            <v>4681.4399999999996</v>
          </cell>
        </row>
        <row r="25">
          <cell r="F25">
            <v>3733.44</v>
          </cell>
        </row>
        <row r="26">
          <cell r="F26">
            <v>6208.8</v>
          </cell>
        </row>
        <row r="27">
          <cell r="F27">
            <v>5241.6000000000004</v>
          </cell>
        </row>
        <row r="28">
          <cell r="F28">
            <v>5237.28</v>
          </cell>
        </row>
      </sheetData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summary"/>
      <sheetName val="rate schedules"/>
      <sheetName val="ave bill"/>
      <sheetName val="power cost"/>
      <sheetName val="additional"/>
    </sheetNames>
    <sheetDataSet>
      <sheetData sheetId="0"/>
      <sheetData sheetId="1">
        <row r="10">
          <cell r="F10">
            <v>77312670.675060004</v>
          </cell>
        </row>
        <row r="11">
          <cell r="F11">
            <v>37530.452859999998</v>
          </cell>
        </row>
        <row r="12">
          <cell r="F12">
            <v>7980425.1752000004</v>
          </cell>
        </row>
        <row r="13">
          <cell r="F13">
            <v>78246.040000000008</v>
          </cell>
        </row>
        <row r="14">
          <cell r="F14">
            <v>3052922.6646399996</v>
          </cell>
        </row>
        <row r="15">
          <cell r="F15">
            <v>5573017.7770949993</v>
          </cell>
        </row>
        <row r="16">
          <cell r="F16">
            <v>11705947.46473</v>
          </cell>
        </row>
        <row r="17">
          <cell r="F17">
            <v>5252228.4984440003</v>
          </cell>
        </row>
        <row r="18">
          <cell r="F18">
            <v>2045660.1099999999</v>
          </cell>
        </row>
        <row r="19">
          <cell r="F19">
            <v>7678.35</v>
          </cell>
        </row>
      </sheetData>
      <sheetData sheetId="2">
        <row r="76">
          <cell r="E76">
            <v>1222829.28</v>
          </cell>
        </row>
        <row r="206">
          <cell r="B206">
            <v>60</v>
          </cell>
        </row>
        <row r="208">
          <cell r="B208">
            <v>363601</v>
          </cell>
        </row>
        <row r="209">
          <cell r="B209">
            <v>15994.288999999999</v>
          </cell>
        </row>
        <row r="211">
          <cell r="B211">
            <v>198304474</v>
          </cell>
        </row>
        <row r="215">
          <cell r="G215">
            <v>11707249.37466</v>
          </cell>
        </row>
      </sheetData>
      <sheetData sheetId="3"/>
      <sheetData sheetId="4"/>
      <sheetData sheetId="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7">
          <cell r="M7">
            <v>7593.2640000000001</v>
          </cell>
          <cell r="N7">
            <v>4650620.8799632071</v>
          </cell>
          <cell r="O7">
            <v>2355963.8210795615</v>
          </cell>
          <cell r="P7">
            <v>2294657.0588836456</v>
          </cell>
        </row>
        <row r="8">
          <cell r="M8">
            <v>8153.2799999999988</v>
          </cell>
          <cell r="N8">
            <v>5103173.3864786141</v>
          </cell>
          <cell r="O8">
            <v>2585222.958732082</v>
          </cell>
          <cell r="P8">
            <v>2517950.427746532</v>
          </cell>
        </row>
        <row r="9">
          <cell r="M9">
            <v>9163.6416000000008</v>
          </cell>
          <cell r="N9">
            <v>2936466.8608513465</v>
          </cell>
          <cell r="O9">
            <v>1487588.4026090675</v>
          </cell>
          <cell r="P9">
            <v>1448878.458242279</v>
          </cell>
        </row>
        <row r="10">
          <cell r="M10">
            <v>10537.459200000001</v>
          </cell>
          <cell r="N10">
            <v>5672546.3743676217</v>
          </cell>
          <cell r="O10">
            <v>2873662.3294719919</v>
          </cell>
          <cell r="P10">
            <v>2798884.0448956299</v>
          </cell>
        </row>
        <row r="11">
          <cell r="M11">
            <v>10735.027200000002</v>
          </cell>
          <cell r="N11">
            <v>6519042.3629209464</v>
          </cell>
          <cell r="O11">
            <v>3302489.7861053497</v>
          </cell>
          <cell r="P11">
            <v>3216552.5768155968</v>
          </cell>
        </row>
        <row r="12">
          <cell r="M12">
            <v>10744.9596</v>
          </cell>
          <cell r="N12">
            <v>6401359.2927589556</v>
          </cell>
          <cell r="O12">
            <v>3242872.5730898241</v>
          </cell>
          <cell r="P12">
            <v>3158486.7196691316</v>
          </cell>
        </row>
        <row r="28">
          <cell r="D28">
            <v>1866707</v>
          </cell>
          <cell r="E28">
            <v>2269</v>
          </cell>
        </row>
        <row r="29">
          <cell r="D29">
            <v>1608897</v>
          </cell>
          <cell r="E29">
            <v>2442</v>
          </cell>
        </row>
        <row r="30">
          <cell r="D30">
            <v>1817781</v>
          </cell>
          <cell r="E30">
            <v>2546</v>
          </cell>
        </row>
        <row r="31">
          <cell r="D31">
            <v>1760436</v>
          </cell>
          <cell r="E31">
            <v>2700</v>
          </cell>
        </row>
        <row r="32">
          <cell r="D32">
            <v>1913082</v>
          </cell>
          <cell r="E32">
            <v>2748</v>
          </cell>
        </row>
        <row r="33">
          <cell r="D33">
            <v>1927597</v>
          </cell>
          <cell r="E33">
            <v>2892</v>
          </cell>
        </row>
      </sheetData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1TY Adjusted"/>
      <sheetName val="1.1Payroll"/>
      <sheetName val="2 Functionalization2"/>
      <sheetName val="2.1 SummaryFunc."/>
      <sheetName val="2.22Rate Base"/>
      <sheetName val="3Classific. Summary"/>
      <sheetName val="1"/>
      <sheetName val="3.2 Classific. 2"/>
      <sheetName val="2.1 PlantClass."/>
      <sheetName val="4 Allocation"/>
      <sheetName val="4.1 kW &amp; kWh"/>
      <sheetName val="4.2 Consumer Alloc."/>
      <sheetName val="5 IncStmt"/>
      <sheetName val="12 Inc Stmt Func"/>
      <sheetName val="Summary-PurchPower"/>
      <sheetName val="PurchPower"/>
      <sheetName val="Sheet4"/>
      <sheetName val="Sheet5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5" t="str">
            <v>Expense</v>
          </cell>
        </row>
        <row r="6">
          <cell r="I6" t="str">
            <v>Purchased Power</v>
          </cell>
        </row>
        <row r="7">
          <cell r="I7" t="str">
            <v>Distibution Operations</v>
          </cell>
          <cell r="L7">
            <v>527711.43371139362</v>
          </cell>
        </row>
        <row r="8">
          <cell r="I8" t="str">
            <v>Distribution Maintenance</v>
          </cell>
        </row>
        <row r="9">
          <cell r="I9" t="str">
            <v>Consumer Accounts</v>
          </cell>
        </row>
        <row r="10">
          <cell r="I10" t="str">
            <v>Customer Service</v>
          </cell>
        </row>
        <row r="11">
          <cell r="I11" t="str">
            <v>Administative &amp; General</v>
          </cell>
        </row>
        <row r="12">
          <cell r="I12" t="str">
            <v>Depreciation</v>
          </cell>
        </row>
        <row r="13">
          <cell r="I13" t="str">
            <v>Miscellaneous</v>
          </cell>
        </row>
        <row r="14">
          <cell r="I14" t="str">
            <v>Interest on Long Term Debt</v>
          </cell>
        </row>
        <row r="15">
          <cell r="I15" t="str">
            <v>Short Term Interest</v>
          </cell>
        </row>
        <row r="16">
          <cell r="I16" t="str">
            <v>Total Costs</v>
          </cell>
        </row>
        <row r="17">
          <cell r="I17" t="str">
            <v>Margin Requirements</v>
          </cell>
        </row>
        <row r="18">
          <cell r="I18" t="str">
            <v>Revenue Requirements</v>
          </cell>
        </row>
        <row r="41">
          <cell r="G41">
            <v>7413594.2899999991</v>
          </cell>
        </row>
      </sheetData>
      <sheetData sheetId="9"/>
      <sheetData sheetId="10"/>
      <sheetData sheetId="11">
        <row r="51">
          <cell r="C51">
            <v>0</v>
          </cell>
        </row>
      </sheetData>
      <sheetData sheetId="12">
        <row r="58">
          <cell r="I58">
            <v>3.1537069830047542E-4</v>
          </cell>
        </row>
        <row r="59">
          <cell r="I59">
            <v>5.1996743882290884E-2</v>
          </cell>
        </row>
        <row r="60">
          <cell r="I60">
            <v>3.9555607971617959E-2</v>
          </cell>
        </row>
        <row r="61">
          <cell r="I61">
            <v>1.2996842619245903E-2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SC@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view="pageBreakPreview" zoomScale="60" zoomScaleNormal="100" workbookViewId="0">
      <selection activeCell="K15" sqref="K15"/>
    </sheetView>
  </sheetViews>
  <sheetFormatPr defaultColWidth="11" defaultRowHeight="12.75"/>
  <cols>
    <col min="1" max="1" width="5.28515625" customWidth="1"/>
    <col min="4" max="4" width="11.28515625" bestFit="1" customWidth="1"/>
  </cols>
  <sheetData>
    <row r="1" spans="1:8">
      <c r="H1" s="48" t="s">
        <v>388</v>
      </c>
    </row>
    <row r="2" spans="1:8">
      <c r="H2" s="347" t="s">
        <v>431</v>
      </c>
    </row>
    <row r="3" spans="1:8">
      <c r="H3" s="38" t="s">
        <v>243</v>
      </c>
    </row>
    <row r="8" spans="1:8" ht="27" customHeight="1">
      <c r="A8" s="868" t="s">
        <v>642</v>
      </c>
      <c r="B8" s="868"/>
      <c r="C8" s="868"/>
      <c r="D8" s="868"/>
      <c r="E8" s="868"/>
      <c r="F8" s="868"/>
      <c r="G8" s="868"/>
      <c r="H8" s="868"/>
    </row>
    <row r="9" spans="1:8" ht="32.25" customHeight="1">
      <c r="A9" s="868" t="s">
        <v>644</v>
      </c>
      <c r="B9" s="868"/>
      <c r="C9" s="868"/>
      <c r="D9" s="868"/>
      <c r="E9" s="868"/>
      <c r="F9" s="868"/>
      <c r="G9" s="868"/>
      <c r="H9" s="868"/>
    </row>
    <row r="10" spans="1:8" ht="15.95" customHeight="1"/>
    <row r="11" spans="1:8" ht="23.25" customHeight="1">
      <c r="A11" s="870" t="s">
        <v>645</v>
      </c>
      <c r="B11" s="870"/>
      <c r="C11" s="870"/>
      <c r="D11" s="870"/>
      <c r="E11" s="870"/>
      <c r="F11" s="870"/>
      <c r="G11" s="870"/>
      <c r="H11" s="870"/>
    </row>
    <row r="12" spans="1:8" ht="15.95" customHeight="1"/>
    <row r="13" spans="1:8" ht="43.5" customHeight="1">
      <c r="A13" s="868" t="s">
        <v>242</v>
      </c>
      <c r="B13" s="868"/>
      <c r="C13" s="868"/>
      <c r="D13" s="868"/>
      <c r="E13" s="868"/>
      <c r="F13" s="868"/>
      <c r="G13" s="868"/>
      <c r="H13" s="868"/>
    </row>
    <row r="14" spans="1:8" ht="30.75" customHeight="1">
      <c r="A14" s="868" t="s">
        <v>1</v>
      </c>
      <c r="B14" s="868"/>
      <c r="C14" s="868"/>
      <c r="D14" s="868"/>
      <c r="E14" s="868"/>
      <c r="F14" s="868"/>
      <c r="G14" s="868"/>
      <c r="H14" s="868"/>
    </row>
    <row r="15" spans="1:8" ht="15.95" customHeight="1"/>
    <row r="16" spans="1:8" ht="15.95" customHeight="1"/>
    <row r="17" spans="1:8" ht="15.95" customHeight="1"/>
    <row r="18" spans="1:8" ht="15.95" customHeight="1"/>
    <row r="19" spans="1:8" ht="15.95" customHeight="1"/>
    <row r="20" spans="1:8" ht="15.95" customHeight="1"/>
    <row r="21" spans="1:8" ht="15.95" customHeight="1"/>
    <row r="22" spans="1:8" ht="15.95" customHeight="1"/>
    <row r="23" spans="1:8" ht="15.95" customHeight="1"/>
    <row r="24" spans="1:8" ht="15.95" customHeight="1"/>
    <row r="25" spans="1:8" ht="15.95" customHeight="1"/>
    <row r="26" spans="1:8" ht="15.95" customHeight="1"/>
    <row r="27" spans="1:8" ht="15.95" customHeight="1"/>
    <row r="28" spans="1:8" ht="15.95" customHeight="1"/>
    <row r="29" spans="1:8" ht="15.95" customHeight="1"/>
    <row r="30" spans="1:8" ht="15.95" customHeight="1">
      <c r="A30" s="869" t="s">
        <v>643</v>
      </c>
      <c r="B30" s="869"/>
      <c r="C30" s="869"/>
      <c r="D30" s="869"/>
      <c r="E30" s="869"/>
      <c r="F30" s="869"/>
      <c r="G30" s="869"/>
      <c r="H30" s="869"/>
    </row>
    <row r="31" spans="1:8" ht="15.95" customHeight="1"/>
    <row r="32" spans="1:8" ht="15.95" customHeight="1"/>
    <row r="33" ht="15.95" customHeight="1"/>
  </sheetData>
  <customSheetViews>
    <customSheetView guid="{18050E3F-BBF0-4BF6-9B33-B0817BE1B1C5}" scale="60" showPageBreaks="1" printArea="1" view="pageBreakPreview" showRuler="0" topLeftCell="A9">
      <selection activeCell="L14" sqref="L14"/>
      <rowBreaks count="1" manualBreakCount="1">
        <brk id="42" max="7" man="1"/>
      </rowBreaks>
      <pageMargins left="0.75" right="0.75" top="1" bottom="1" header="0.5" footer="0.5"/>
      <printOptions horizontalCentered="1"/>
      <pageSetup scale="99" orientation="portrait" horizontalDpi="4294967293" r:id="rId1"/>
      <headerFooter alignWithMargins="0">
        <oddHeader xml:space="preserve">&amp;C&amp;"Arial,Bold"&amp;12 </oddHeader>
      </headerFooter>
    </customSheetView>
  </customSheetViews>
  <mergeCells count="6">
    <mergeCell ref="A8:H8"/>
    <mergeCell ref="A13:H13"/>
    <mergeCell ref="A30:H30"/>
    <mergeCell ref="A11:H11"/>
    <mergeCell ref="A14:H14"/>
    <mergeCell ref="A9:H9"/>
  </mergeCells>
  <phoneticPr fontId="3" type="noConversion"/>
  <printOptions horizontalCentered="1"/>
  <pageMargins left="0.75" right="0.75" top="1" bottom="1" header="0.5" footer="0.5"/>
  <pageSetup scale="99" orientation="portrait" horizontalDpi="4294967293" r:id="rId2"/>
  <headerFooter alignWithMargins="0">
    <oddHeader xml:space="preserve">&amp;C&amp;"Arial,Bold"&amp;12 </oddHeader>
  </headerFooter>
  <rowBreaks count="1" manualBreakCount="1">
    <brk id="42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154"/>
  <sheetViews>
    <sheetView view="pageBreakPreview" zoomScale="60" zoomScaleNormal="85" workbookViewId="0">
      <pane ySplit="8" topLeftCell="A9" activePane="bottomLeft" state="frozen"/>
      <selection pane="bottomLeft" activeCell="J14" sqref="J14"/>
    </sheetView>
  </sheetViews>
  <sheetFormatPr defaultRowHeight="14.25"/>
  <cols>
    <col min="1" max="1" width="4" style="52" customWidth="1"/>
    <col min="2" max="2" width="9" style="52" customWidth="1"/>
    <col min="3" max="3" width="40.7109375" style="52" customWidth="1"/>
    <col min="4" max="4" width="15.140625" style="52" customWidth="1"/>
    <col min="5" max="5" width="1.5703125" style="52" customWidth="1"/>
    <col min="6" max="6" width="16.28515625" style="52" customWidth="1"/>
    <col min="7" max="7" width="14" style="52" customWidth="1"/>
    <col min="8" max="8" width="15.140625" style="52" hidden="1" customWidth="1"/>
    <col min="9" max="9" width="2.85546875" style="52" customWidth="1"/>
    <col min="10" max="10" width="14.28515625" style="52" customWidth="1"/>
    <col min="11" max="11" width="9.140625" style="52"/>
    <col min="12" max="12" width="14.28515625" style="52" bestFit="1" customWidth="1"/>
    <col min="13" max="13" width="16.5703125" style="52" bestFit="1" customWidth="1"/>
    <col min="14" max="14" width="12.7109375" style="52" bestFit="1" customWidth="1"/>
    <col min="15" max="15" width="9.7109375" style="52" bestFit="1" customWidth="1"/>
    <col min="16" max="16384" width="9.140625" style="52"/>
  </cols>
  <sheetData>
    <row r="2" spans="1:14" ht="15">
      <c r="A2" s="49"/>
      <c r="B2" s="49"/>
      <c r="C2" s="50"/>
      <c r="D2" s="51"/>
      <c r="E2" s="51"/>
      <c r="F2" s="51"/>
      <c r="G2" s="51" t="s">
        <v>1</v>
      </c>
      <c r="H2" s="51" t="s">
        <v>1</v>
      </c>
      <c r="I2" s="51"/>
      <c r="J2" s="51"/>
    </row>
    <row r="3" spans="1:14" ht="15">
      <c r="A3" s="49"/>
      <c r="B3" s="49"/>
      <c r="C3" s="50"/>
      <c r="D3" s="51"/>
      <c r="E3" s="51"/>
      <c r="F3" s="51"/>
      <c r="G3" s="51"/>
      <c r="H3" s="51"/>
      <c r="I3" s="51"/>
      <c r="J3" s="51"/>
    </row>
    <row r="4" spans="1:14" ht="15">
      <c r="A4" s="49"/>
      <c r="B4" s="49"/>
      <c r="C4" s="50"/>
      <c r="D4" s="95" t="s">
        <v>75</v>
      </c>
      <c r="E4" s="95"/>
      <c r="F4" s="95"/>
      <c r="G4" s="95"/>
      <c r="H4" s="95"/>
      <c r="I4" s="95"/>
      <c r="J4" s="95"/>
    </row>
    <row r="5" spans="1:14">
      <c r="A5" s="49">
        <v>1</v>
      </c>
      <c r="B5" s="53"/>
      <c r="C5" s="54"/>
      <c r="D5" s="50"/>
      <c r="E5" s="50"/>
      <c r="G5" s="50"/>
      <c r="H5" s="50"/>
      <c r="I5" s="50"/>
      <c r="J5" s="55"/>
    </row>
    <row r="6" spans="1:14">
      <c r="A6" s="49">
        <v>2</v>
      </c>
      <c r="B6" s="56"/>
      <c r="C6" s="49"/>
      <c r="D6" s="50"/>
      <c r="E6" s="49" t="s">
        <v>1</v>
      </c>
      <c r="F6" s="49"/>
      <c r="G6" s="49" t="s">
        <v>318</v>
      </c>
      <c r="H6" s="49" t="s">
        <v>15</v>
      </c>
      <c r="I6" s="49"/>
      <c r="J6" s="57"/>
    </row>
    <row r="7" spans="1:14">
      <c r="A7" s="49">
        <v>3</v>
      </c>
      <c r="B7" s="56" t="s">
        <v>16</v>
      </c>
      <c r="C7" s="50" t="s">
        <v>17</v>
      </c>
      <c r="D7" s="49" t="s">
        <v>72</v>
      </c>
      <c r="E7" s="49" t="s">
        <v>1</v>
      </c>
      <c r="F7" s="58" t="s">
        <v>430</v>
      </c>
      <c r="G7" s="59" t="s">
        <v>4</v>
      </c>
      <c r="H7" s="49" t="s">
        <v>365</v>
      </c>
      <c r="I7" s="49"/>
      <c r="J7" s="57" t="s">
        <v>2</v>
      </c>
    </row>
    <row r="8" spans="1:14">
      <c r="A8" s="49">
        <v>4</v>
      </c>
      <c r="B8" s="56" t="s">
        <v>18</v>
      </c>
      <c r="C8" s="50"/>
      <c r="D8" s="59" t="s">
        <v>0</v>
      </c>
      <c r="E8" s="49" t="s">
        <v>1</v>
      </c>
      <c r="F8" s="60" t="s">
        <v>231</v>
      </c>
      <c r="G8" s="60" t="s">
        <v>231</v>
      </c>
      <c r="H8" s="59" t="s">
        <v>366</v>
      </c>
      <c r="I8" s="59"/>
      <c r="J8" s="61" t="s">
        <v>0</v>
      </c>
    </row>
    <row r="9" spans="1:14">
      <c r="A9" s="49">
        <v>5</v>
      </c>
      <c r="B9" s="56"/>
      <c r="C9" s="50"/>
      <c r="D9" s="50"/>
      <c r="E9" s="50"/>
      <c r="F9" s="50"/>
      <c r="G9" s="62" t="s">
        <v>232</v>
      </c>
      <c r="H9" s="50"/>
      <c r="I9" s="50"/>
      <c r="J9" s="55"/>
    </row>
    <row r="10" spans="1:14">
      <c r="A10" s="49">
        <v>6</v>
      </c>
      <c r="B10" s="56">
        <v>555</v>
      </c>
      <c r="C10" s="50" t="s">
        <v>19</v>
      </c>
      <c r="D10" s="63"/>
      <c r="E10" s="63"/>
      <c r="F10" s="63"/>
      <c r="G10" s="63"/>
      <c r="H10" s="63"/>
      <c r="I10" s="63"/>
      <c r="J10" s="64"/>
    </row>
    <row r="11" spans="1:14">
      <c r="A11" s="49">
        <v>7</v>
      </c>
      <c r="B11" s="56"/>
      <c r="C11" s="50" t="s">
        <v>247</v>
      </c>
      <c r="D11" s="63" t="s">
        <v>1</v>
      </c>
      <c r="E11" s="63"/>
      <c r="F11" s="63"/>
      <c r="G11" s="63"/>
      <c r="H11" s="63"/>
      <c r="I11" s="63"/>
      <c r="J11" s="64">
        <f>[1]Sheet1!$E$20</f>
        <v>13020019</v>
      </c>
    </row>
    <row r="12" spans="1:14">
      <c r="A12" s="49"/>
      <c r="B12" s="56"/>
      <c r="C12" s="50" t="s">
        <v>329</v>
      </c>
      <c r="D12" s="63" t="s">
        <v>1</v>
      </c>
      <c r="E12" s="63"/>
      <c r="F12" s="63"/>
      <c r="G12" s="63"/>
      <c r="H12" s="63"/>
      <c r="I12" s="63"/>
      <c r="J12" s="64">
        <f>[1]Sheet1!$G$20+[1]Sheet1!$H$20</f>
        <v>1321044</v>
      </c>
    </row>
    <row r="13" spans="1:14">
      <c r="A13" s="49">
        <v>8</v>
      </c>
      <c r="B13" s="56"/>
      <c r="C13" s="50" t="s">
        <v>248</v>
      </c>
      <c r="D13" s="63" t="s">
        <v>1</v>
      </c>
      <c r="E13" s="63"/>
      <c r="F13" s="63"/>
      <c r="G13" s="63" t="s">
        <v>1</v>
      </c>
      <c r="H13" s="63">
        <v>0</v>
      </c>
      <c r="I13" s="63"/>
      <c r="J13" s="64">
        <f>[1]Sheet1!$F$20-[1]Sheet1!$O$20-[1]Sheet1!$R$20</f>
        <v>44259636</v>
      </c>
      <c r="M13" s="65">
        <v>75910446</v>
      </c>
      <c r="N13" s="66">
        <f>(M13-J13)</f>
        <v>31650810</v>
      </c>
    </row>
    <row r="14" spans="1:14">
      <c r="A14" s="49">
        <v>9</v>
      </c>
      <c r="B14" s="56"/>
      <c r="C14" s="50" t="s">
        <v>249</v>
      </c>
      <c r="D14" s="63"/>
      <c r="E14" s="63"/>
      <c r="F14" s="63"/>
      <c r="G14" s="63" t="s">
        <v>1</v>
      </c>
      <c r="H14" s="63">
        <v>0</v>
      </c>
      <c r="I14" s="63"/>
      <c r="J14" s="64">
        <f>[1]Sheet1!$O$20</f>
        <v>4430</v>
      </c>
    </row>
    <row r="15" spans="1:14">
      <c r="A15" s="49"/>
      <c r="B15" s="56"/>
      <c r="C15" s="50" t="s">
        <v>382</v>
      </c>
      <c r="D15" s="67"/>
      <c r="E15" s="67"/>
      <c r="F15" s="67"/>
      <c r="G15" s="67"/>
      <c r="H15" s="67"/>
      <c r="I15" s="63"/>
      <c r="J15" s="64">
        <f>[1]Sheet1!$R$20</f>
        <v>146741.20000000001</v>
      </c>
    </row>
    <row r="16" spans="1:14" ht="15">
      <c r="A16" s="49">
        <v>10</v>
      </c>
      <c r="B16" s="56"/>
      <c r="C16" s="68" t="s">
        <v>20</v>
      </c>
      <c r="D16" s="69">
        <f>57651734+8614470+146741.2</f>
        <v>66412945.200000003</v>
      </c>
      <c r="E16" s="69"/>
      <c r="F16" s="69"/>
      <c r="G16" s="69">
        <f>(J16-D16)</f>
        <v>-7661075</v>
      </c>
      <c r="H16" s="69">
        <v>0</v>
      </c>
      <c r="I16" s="69"/>
      <c r="J16" s="70">
        <f>SUM(J11:J15)</f>
        <v>58751870.200000003</v>
      </c>
      <c r="L16" s="66">
        <f>SUM(J11:J14)</f>
        <v>58605129</v>
      </c>
    </row>
    <row r="17" spans="1:12">
      <c r="A17" s="49">
        <v>11</v>
      </c>
      <c r="B17" s="56"/>
      <c r="C17" s="50"/>
      <c r="D17" s="63"/>
      <c r="E17" s="63"/>
      <c r="F17" s="63"/>
      <c r="G17" s="63"/>
      <c r="H17" s="63"/>
      <c r="I17" s="63"/>
      <c r="J17" s="64"/>
    </row>
    <row r="18" spans="1:12">
      <c r="A18" s="49">
        <v>12</v>
      </c>
      <c r="B18" s="56">
        <v>580</v>
      </c>
      <c r="C18" s="50" t="s">
        <v>21</v>
      </c>
      <c r="D18" s="63">
        <f>87147.95</f>
        <v>87147.95</v>
      </c>
      <c r="E18" s="63"/>
      <c r="F18" s="63"/>
      <c r="G18" s="63" t="s">
        <v>1</v>
      </c>
      <c r="H18" s="63"/>
      <c r="I18" s="63"/>
      <c r="J18" s="64">
        <f t="shared" ref="J18:J28" si="0">SUM(D18,F18:H18)</f>
        <v>87147.95</v>
      </c>
    </row>
    <row r="19" spans="1:12">
      <c r="A19" s="49"/>
      <c r="B19" s="56">
        <v>581</v>
      </c>
      <c r="C19" s="50" t="s">
        <v>314</v>
      </c>
      <c r="D19" s="63">
        <v>0</v>
      </c>
      <c r="E19" s="63"/>
      <c r="F19" s="63"/>
      <c r="G19" s="63"/>
      <c r="H19" s="63"/>
      <c r="I19" s="63"/>
      <c r="J19" s="64">
        <f t="shared" si="0"/>
        <v>0</v>
      </c>
    </row>
    <row r="20" spans="1:12">
      <c r="A20" s="49">
        <v>13</v>
      </c>
      <c r="B20" s="56">
        <v>582</v>
      </c>
      <c r="C20" s="50" t="s">
        <v>22</v>
      </c>
      <c r="D20" s="63">
        <v>24929.3</v>
      </c>
      <c r="E20" s="63"/>
      <c r="F20" s="63"/>
      <c r="G20" s="63" t="s">
        <v>1</v>
      </c>
      <c r="H20" s="63"/>
      <c r="I20" s="63"/>
      <c r="J20" s="64">
        <f t="shared" si="0"/>
        <v>24929.3</v>
      </c>
    </row>
    <row r="21" spans="1:12">
      <c r="A21" s="49">
        <v>14</v>
      </c>
      <c r="B21" s="56">
        <v>583</v>
      </c>
      <c r="C21" s="50" t="s">
        <v>23</v>
      </c>
      <c r="D21" s="65">
        <f>1615846.25+171637.1+97902.87+0+0</f>
        <v>1885386.2200000002</v>
      </c>
      <c r="E21" s="63"/>
      <c r="F21" s="63"/>
      <c r="G21" s="63" t="s">
        <v>1</v>
      </c>
      <c r="H21" s="50"/>
      <c r="I21" s="63"/>
      <c r="J21" s="64">
        <f t="shared" si="0"/>
        <v>1885386.2200000002</v>
      </c>
    </row>
    <row r="22" spans="1:12">
      <c r="A22" s="49">
        <v>15</v>
      </c>
      <c r="B22" s="56">
        <v>584</v>
      </c>
      <c r="C22" s="50" t="s">
        <v>24</v>
      </c>
      <c r="D22" s="63">
        <f>24039.57+32871.13</f>
        <v>56910.7</v>
      </c>
      <c r="E22" s="63"/>
      <c r="F22" s="63"/>
      <c r="G22" s="63" t="s">
        <v>1</v>
      </c>
      <c r="H22" s="63"/>
      <c r="I22" s="63"/>
      <c r="J22" s="64">
        <f t="shared" si="0"/>
        <v>56910.7</v>
      </c>
    </row>
    <row r="23" spans="1:12">
      <c r="A23" s="49">
        <v>16</v>
      </c>
      <c r="B23" s="56">
        <v>585</v>
      </c>
      <c r="C23" s="50" t="s">
        <v>229</v>
      </c>
      <c r="D23" s="63">
        <v>0</v>
      </c>
      <c r="E23" s="63"/>
      <c r="F23" s="63"/>
      <c r="G23" s="50"/>
      <c r="H23" s="63"/>
      <c r="I23" s="63"/>
      <c r="J23" s="64">
        <f t="shared" si="0"/>
        <v>0</v>
      </c>
    </row>
    <row r="24" spans="1:12">
      <c r="A24" s="49">
        <v>17</v>
      </c>
      <c r="B24" s="56">
        <v>586</v>
      </c>
      <c r="C24" s="50" t="s">
        <v>25</v>
      </c>
      <c r="D24" s="63">
        <f>832056.07+711787.3+62955.17+0</f>
        <v>1606798.54</v>
      </c>
      <c r="E24" s="63"/>
      <c r="F24" s="63"/>
      <c r="G24" s="63" t="s">
        <v>1</v>
      </c>
      <c r="H24" s="63"/>
      <c r="I24" s="63"/>
      <c r="J24" s="64">
        <f t="shared" si="0"/>
        <v>1606798.54</v>
      </c>
    </row>
    <row r="25" spans="1:12">
      <c r="A25" s="49">
        <v>18</v>
      </c>
      <c r="B25" s="56">
        <v>587</v>
      </c>
      <c r="C25" s="50" t="s">
        <v>26</v>
      </c>
      <c r="D25" s="63">
        <v>181345.26</v>
      </c>
      <c r="E25" s="63"/>
      <c r="F25" s="63"/>
      <c r="G25" s="63" t="s">
        <v>1</v>
      </c>
      <c r="H25" s="63"/>
      <c r="I25" s="63"/>
      <c r="J25" s="64">
        <f t="shared" si="0"/>
        <v>181345.26</v>
      </c>
    </row>
    <row r="26" spans="1:12">
      <c r="A26" s="49">
        <v>19</v>
      </c>
      <c r="B26" s="56">
        <v>588</v>
      </c>
      <c r="C26" s="50" t="s">
        <v>27</v>
      </c>
      <c r="D26" s="63">
        <f>508362.91+0+283764.37+14620.11+0+0+218806.08+0</f>
        <v>1025553.47</v>
      </c>
      <c r="E26" s="63"/>
      <c r="F26" s="63"/>
      <c r="G26" s="63" t="s">
        <v>1</v>
      </c>
      <c r="H26" s="63"/>
      <c r="I26" s="63"/>
      <c r="J26" s="64">
        <f t="shared" si="0"/>
        <v>1025553.47</v>
      </c>
    </row>
    <row r="27" spans="1:12">
      <c r="A27" s="49">
        <v>20</v>
      </c>
      <c r="B27" s="56">
        <v>589</v>
      </c>
      <c r="C27" s="50" t="s">
        <v>28</v>
      </c>
      <c r="D27" s="67">
        <v>0</v>
      </c>
      <c r="E27" s="67"/>
      <c r="F27" s="67"/>
      <c r="G27" s="67">
        <v>0</v>
      </c>
      <c r="H27" s="67"/>
      <c r="I27" s="67"/>
      <c r="J27" s="71">
        <f t="shared" si="0"/>
        <v>0</v>
      </c>
    </row>
    <row r="28" spans="1:12" ht="15">
      <c r="A28" s="49">
        <v>21</v>
      </c>
      <c r="B28" s="56"/>
      <c r="C28" s="68" t="s">
        <v>76</v>
      </c>
      <c r="D28" s="63">
        <f>SUM(D18:D27)</f>
        <v>4868071.4399999995</v>
      </c>
      <c r="E28" s="63"/>
      <c r="F28" s="63"/>
      <c r="G28" s="63">
        <f>SUM(G18:G27)</f>
        <v>0</v>
      </c>
      <c r="H28" s="63">
        <v>0</v>
      </c>
      <c r="I28" s="63">
        <f>SUM(I18:I27)</f>
        <v>0</v>
      </c>
      <c r="J28" s="64">
        <f t="shared" si="0"/>
        <v>4868071.4399999995</v>
      </c>
      <c r="L28" s="66">
        <f>SUM(J18:J27)</f>
        <v>4868071.4399999995</v>
      </c>
    </row>
    <row r="29" spans="1:12">
      <c r="A29" s="49">
        <v>22</v>
      </c>
      <c r="B29" s="72"/>
      <c r="C29" s="50"/>
      <c r="D29" s="63"/>
      <c r="E29" s="63"/>
      <c r="F29" s="63"/>
      <c r="G29" s="63"/>
      <c r="H29" s="63"/>
      <c r="I29" s="63"/>
      <c r="J29" s="64" t="s">
        <v>1</v>
      </c>
    </row>
    <row r="30" spans="1:12">
      <c r="A30" s="49">
        <v>23</v>
      </c>
      <c r="B30" s="56">
        <v>590</v>
      </c>
      <c r="C30" s="50" t="s">
        <v>29</v>
      </c>
      <c r="D30" s="63">
        <f>0</f>
        <v>0</v>
      </c>
      <c r="E30" s="63"/>
      <c r="F30" s="63"/>
      <c r="G30" s="63" t="s">
        <v>1</v>
      </c>
      <c r="H30" s="63"/>
      <c r="I30" s="63"/>
      <c r="J30" s="64">
        <f t="shared" ref="J30:J50" si="1">SUM(D30,F30:H30)</f>
        <v>0</v>
      </c>
    </row>
    <row r="31" spans="1:12">
      <c r="A31" s="49">
        <v>24</v>
      </c>
      <c r="B31" s="56">
        <v>592</v>
      </c>
      <c r="C31" s="50" t="s">
        <v>30</v>
      </c>
      <c r="D31" s="63">
        <v>0</v>
      </c>
      <c r="E31" s="50"/>
      <c r="F31" s="50"/>
      <c r="G31" s="50"/>
      <c r="H31" s="63"/>
      <c r="I31" s="63"/>
      <c r="J31" s="64">
        <f t="shared" si="1"/>
        <v>0</v>
      </c>
    </row>
    <row r="32" spans="1:12">
      <c r="A32" s="49">
        <v>25</v>
      </c>
      <c r="B32" s="56">
        <v>593</v>
      </c>
      <c r="C32" s="50" t="s">
        <v>31</v>
      </c>
      <c r="D32" s="63">
        <f>906159.18+1396601.11+6045.96+0+110453.58+0+0+0+200+351683.32+0+122971.15+416120.71+600+0+2340384.82+0+0+9440+0</f>
        <v>5660659.8300000001</v>
      </c>
      <c r="E32" s="63"/>
      <c r="F32" s="63"/>
      <c r="G32" s="63" t="s">
        <v>1</v>
      </c>
      <c r="H32" s="63">
        <v>0</v>
      </c>
      <c r="I32" s="63"/>
      <c r="J32" s="64">
        <f t="shared" si="1"/>
        <v>5660659.8300000001</v>
      </c>
    </row>
    <row r="33" spans="1:14">
      <c r="A33" s="49">
        <v>26</v>
      </c>
      <c r="B33" s="56">
        <v>594</v>
      </c>
      <c r="C33" s="50" t="s">
        <v>32</v>
      </c>
      <c r="D33" s="63">
        <f>5730.59+0</f>
        <v>5730.59</v>
      </c>
      <c r="E33" s="63"/>
      <c r="F33" s="63"/>
      <c r="G33" s="63" t="s">
        <v>1</v>
      </c>
      <c r="H33" s="63"/>
      <c r="I33" s="63"/>
      <c r="J33" s="64">
        <f t="shared" si="1"/>
        <v>5730.59</v>
      </c>
    </row>
    <row r="34" spans="1:14">
      <c r="A34" s="49">
        <v>27</v>
      </c>
      <c r="B34" s="56">
        <v>595</v>
      </c>
      <c r="C34" s="50" t="s">
        <v>33</v>
      </c>
      <c r="D34" s="63">
        <f>16590.86</f>
        <v>16590.86</v>
      </c>
      <c r="E34" s="63"/>
      <c r="F34" s="63"/>
      <c r="G34" s="63" t="s">
        <v>1</v>
      </c>
      <c r="H34" s="63"/>
      <c r="I34" s="63"/>
      <c r="J34" s="64">
        <f t="shared" si="1"/>
        <v>16590.86</v>
      </c>
    </row>
    <row r="35" spans="1:14">
      <c r="A35" s="49">
        <v>28</v>
      </c>
      <c r="B35" s="56">
        <v>596</v>
      </c>
      <c r="C35" s="50" t="s">
        <v>361</v>
      </c>
      <c r="D35" s="63">
        <f>23457.92</f>
        <v>23457.919999999998</v>
      </c>
      <c r="E35" s="63"/>
      <c r="F35" s="63"/>
      <c r="G35" s="50" t="s">
        <v>1</v>
      </c>
      <c r="H35" s="63"/>
      <c r="I35" s="63"/>
      <c r="J35" s="64">
        <f t="shared" si="1"/>
        <v>23457.919999999998</v>
      </c>
    </row>
    <row r="36" spans="1:14">
      <c r="A36" s="49">
        <v>29</v>
      </c>
      <c r="B36" s="56">
        <v>597</v>
      </c>
      <c r="C36" s="50" t="s">
        <v>34</v>
      </c>
      <c r="D36" s="63">
        <f>0</f>
        <v>0</v>
      </c>
      <c r="E36" s="63"/>
      <c r="F36" s="63"/>
      <c r="G36" s="63" t="s">
        <v>1</v>
      </c>
      <c r="H36" s="63"/>
      <c r="I36" s="63"/>
      <c r="J36" s="64">
        <f t="shared" si="1"/>
        <v>0</v>
      </c>
    </row>
    <row r="37" spans="1:14">
      <c r="A37" s="49">
        <v>30</v>
      </c>
      <c r="B37" s="56">
        <v>598</v>
      </c>
      <c r="C37" s="50" t="s">
        <v>35</v>
      </c>
      <c r="D37" s="67">
        <v>245520.58</v>
      </c>
      <c r="E37" s="67"/>
      <c r="F37" s="67"/>
      <c r="G37" s="67" t="s">
        <v>1</v>
      </c>
      <c r="H37" s="63"/>
      <c r="I37" s="67"/>
      <c r="J37" s="71">
        <f t="shared" si="1"/>
        <v>245520.58</v>
      </c>
    </row>
    <row r="38" spans="1:14" ht="15">
      <c r="A38" s="49">
        <v>31</v>
      </c>
      <c r="B38" s="56" t="s">
        <v>1</v>
      </c>
      <c r="C38" s="68" t="s">
        <v>79</v>
      </c>
      <c r="D38" s="69">
        <f>SUM(D30:D37)</f>
        <v>5951959.7800000003</v>
      </c>
      <c r="E38" s="69"/>
      <c r="F38" s="69"/>
      <c r="G38" s="69">
        <f>SUM(G30:G37)</f>
        <v>0</v>
      </c>
      <c r="H38" s="67">
        <v>0</v>
      </c>
      <c r="I38" s="69">
        <f>SUM(I30:I37)</f>
        <v>0</v>
      </c>
      <c r="J38" s="70">
        <f t="shared" si="1"/>
        <v>5951959.7800000003</v>
      </c>
      <c r="L38" s="66">
        <f>SUM(J30:J37)</f>
        <v>5951959.7800000003</v>
      </c>
      <c r="M38" s="65">
        <f>(J38-L38)</f>
        <v>0</v>
      </c>
      <c r="N38" s="66" t="s">
        <v>1</v>
      </c>
    </row>
    <row r="39" spans="1:14">
      <c r="A39" s="49">
        <v>32</v>
      </c>
      <c r="B39" s="56" t="s">
        <v>1</v>
      </c>
      <c r="C39" s="50" t="s">
        <v>1</v>
      </c>
      <c r="D39" s="63"/>
      <c r="E39" s="63"/>
      <c r="F39" s="63"/>
      <c r="G39" s="63"/>
      <c r="H39" s="63"/>
      <c r="I39" s="63"/>
      <c r="J39" s="64">
        <f t="shared" si="1"/>
        <v>0</v>
      </c>
    </row>
    <row r="40" spans="1:14">
      <c r="A40" s="49">
        <v>33</v>
      </c>
      <c r="B40" s="56">
        <v>901</v>
      </c>
      <c r="C40" s="50" t="s">
        <v>36</v>
      </c>
      <c r="D40" s="63">
        <f>75527.05</f>
        <v>75527.05</v>
      </c>
      <c r="E40" s="63"/>
      <c r="F40" s="63"/>
      <c r="G40" s="63" t="s">
        <v>1</v>
      </c>
      <c r="H40" s="63"/>
      <c r="I40" s="63"/>
      <c r="J40" s="64">
        <f t="shared" si="1"/>
        <v>75527.05</v>
      </c>
    </row>
    <row r="41" spans="1:14">
      <c r="A41" s="49">
        <v>34</v>
      </c>
      <c r="B41" s="56">
        <v>902</v>
      </c>
      <c r="C41" s="50" t="s">
        <v>37</v>
      </c>
      <c r="D41" s="63">
        <f>37553.07</f>
        <v>37553.07</v>
      </c>
      <c r="E41" s="63"/>
      <c r="F41" s="63"/>
      <c r="G41" s="63" t="s">
        <v>1</v>
      </c>
      <c r="H41" s="63"/>
      <c r="I41" s="63"/>
      <c r="J41" s="64">
        <f t="shared" si="1"/>
        <v>37553.07</v>
      </c>
    </row>
    <row r="42" spans="1:14">
      <c r="A42" s="49">
        <v>35</v>
      </c>
      <c r="B42" s="56">
        <v>903</v>
      </c>
      <c r="C42" s="50" t="s">
        <v>38</v>
      </c>
      <c r="D42" s="63">
        <f>165933.06+11393.05+407214.84+602586.78+533854.83+5922.44+563.84+54629.61+15795.41+2620.79+8827.92+0+25204.52+330487.73+215950.72+30815.92+699376.25</f>
        <v>3111177.7100000004</v>
      </c>
      <c r="E42" s="63"/>
      <c r="F42" s="63"/>
      <c r="G42" s="63" t="s">
        <v>1</v>
      </c>
      <c r="H42" s="63"/>
      <c r="I42" s="63"/>
      <c r="J42" s="64">
        <f t="shared" si="1"/>
        <v>3111177.7100000004</v>
      </c>
    </row>
    <row r="43" spans="1:14">
      <c r="A43" s="49">
        <v>36</v>
      </c>
      <c r="B43" s="56">
        <v>904</v>
      </c>
      <c r="C43" s="50" t="s">
        <v>39</v>
      </c>
      <c r="D43" s="67">
        <f>-104074.25</f>
        <v>-104074.25</v>
      </c>
      <c r="E43" s="67"/>
      <c r="F43" s="63"/>
      <c r="G43" s="63">
        <v>0</v>
      </c>
      <c r="H43" s="67"/>
      <c r="I43" s="67"/>
      <c r="J43" s="71">
        <f t="shared" si="1"/>
        <v>-104074.25</v>
      </c>
    </row>
    <row r="44" spans="1:14" ht="15">
      <c r="A44" s="49">
        <v>37</v>
      </c>
      <c r="B44" s="56" t="s">
        <v>1</v>
      </c>
      <c r="C44" s="68" t="s">
        <v>369</v>
      </c>
      <c r="D44" s="69">
        <f>SUM(D40:D43)</f>
        <v>3120183.5800000005</v>
      </c>
      <c r="E44" s="69"/>
      <c r="F44" s="69"/>
      <c r="G44" s="69">
        <f>SUM(G40:G43)</f>
        <v>0</v>
      </c>
      <c r="H44" s="69">
        <v>0</v>
      </c>
      <c r="I44" s="69">
        <f>SUM(I40:I43)</f>
        <v>0</v>
      </c>
      <c r="J44" s="70">
        <f t="shared" si="1"/>
        <v>3120183.5800000005</v>
      </c>
      <c r="L44" s="66">
        <f>SUM(J40:J43)</f>
        <v>3120183.5800000005</v>
      </c>
    </row>
    <row r="45" spans="1:14" ht="15">
      <c r="A45" s="49">
        <v>38</v>
      </c>
      <c r="B45" s="56"/>
      <c r="C45" s="68"/>
      <c r="D45" s="73"/>
      <c r="E45" s="73"/>
      <c r="F45" s="73"/>
      <c r="G45" s="63"/>
      <c r="H45" s="63"/>
      <c r="I45" s="63"/>
      <c r="J45" s="64">
        <f t="shared" si="1"/>
        <v>0</v>
      </c>
    </row>
    <row r="46" spans="1:14">
      <c r="A46" s="49">
        <v>39</v>
      </c>
      <c r="B46" s="56">
        <v>907</v>
      </c>
      <c r="C46" s="50" t="s">
        <v>40</v>
      </c>
      <c r="D46" s="63">
        <f>3544.27+0</f>
        <v>3544.27</v>
      </c>
      <c r="E46" s="63"/>
      <c r="F46" s="63"/>
      <c r="G46" s="63" t="s">
        <v>1</v>
      </c>
      <c r="H46" s="63"/>
      <c r="I46" s="63"/>
      <c r="J46" s="64">
        <f t="shared" si="1"/>
        <v>3544.27</v>
      </c>
    </row>
    <row r="47" spans="1:14">
      <c r="A47" s="49">
        <v>40</v>
      </c>
      <c r="B47" s="56">
        <v>908</v>
      </c>
      <c r="C47" s="50" t="s">
        <v>206</v>
      </c>
      <c r="D47" s="63">
        <f>0+104.09+(-21181.76)+6528.37+0+0+126.25+0+(-5510.04)+(-1077.13)+67009.73+40108.55+16532.53+0+7194.31+10088.8+82915.94+49860.1+30+0+0+0+0</f>
        <v>252729.74000000002</v>
      </c>
      <c r="E47" s="63"/>
      <c r="F47" s="63"/>
      <c r="G47" s="63" t="s">
        <v>1</v>
      </c>
      <c r="H47" s="63"/>
      <c r="I47" s="63"/>
      <c r="J47" s="64">
        <f t="shared" si="1"/>
        <v>252729.74000000002</v>
      </c>
    </row>
    <row r="48" spans="1:14">
      <c r="A48" s="49">
        <v>41</v>
      </c>
      <c r="B48" s="56">
        <v>909</v>
      </c>
      <c r="C48" s="50" t="s">
        <v>228</v>
      </c>
      <c r="D48" s="63">
        <f>21655.34+2288.98+12806.56</f>
        <v>36750.879999999997</v>
      </c>
      <c r="E48" s="63"/>
      <c r="F48" s="63"/>
      <c r="G48" s="63" t="s">
        <v>1</v>
      </c>
      <c r="H48" s="63"/>
      <c r="I48" s="63"/>
      <c r="J48" s="64">
        <f t="shared" si="1"/>
        <v>36750.879999999997</v>
      </c>
    </row>
    <row r="49" spans="1:17">
      <c r="A49" s="49">
        <v>42</v>
      </c>
      <c r="B49" s="56">
        <v>910</v>
      </c>
      <c r="C49" s="50" t="s">
        <v>227</v>
      </c>
      <c r="D49" s="63">
        <f>31839.84+5441.62+37551.37+124708.59+0+1907.02+44443.43+24234.44+0+99916.01</f>
        <v>370042.31999999995</v>
      </c>
      <c r="E49" s="63"/>
      <c r="F49" s="63"/>
      <c r="G49" s="63" t="s">
        <v>1</v>
      </c>
      <c r="H49" s="63"/>
      <c r="I49" s="63"/>
      <c r="J49" s="64">
        <f t="shared" si="1"/>
        <v>370042.31999999995</v>
      </c>
    </row>
    <row r="50" spans="1:17">
      <c r="A50" s="49">
        <v>43</v>
      </c>
      <c r="B50" s="56">
        <v>912</v>
      </c>
      <c r="C50" s="50" t="s">
        <v>315</v>
      </c>
      <c r="D50" s="63">
        <v>0</v>
      </c>
      <c r="E50" s="63"/>
      <c r="F50" s="63"/>
      <c r="G50" s="63" t="s">
        <v>1</v>
      </c>
      <c r="H50" s="63"/>
      <c r="I50" s="63"/>
      <c r="J50" s="64">
        <f t="shared" si="1"/>
        <v>0</v>
      </c>
    </row>
    <row r="51" spans="1:17">
      <c r="A51" s="49"/>
      <c r="B51" s="56">
        <v>913</v>
      </c>
      <c r="C51" s="50" t="s">
        <v>381</v>
      </c>
      <c r="D51" s="67">
        <v>148618.07</v>
      </c>
      <c r="E51" s="67"/>
      <c r="F51" s="67"/>
      <c r="G51" s="67"/>
      <c r="H51" s="63"/>
      <c r="I51" s="67"/>
      <c r="J51" s="71"/>
    </row>
    <row r="52" spans="1:17" ht="15">
      <c r="A52" s="49">
        <v>44</v>
      </c>
      <c r="B52" s="74"/>
      <c r="C52" s="75" t="s">
        <v>78</v>
      </c>
      <c r="D52" s="67">
        <f>SUM(D46:D51)</f>
        <v>811685.28</v>
      </c>
      <c r="E52" s="67"/>
      <c r="F52" s="67"/>
      <c r="G52" s="67">
        <f>SUM(G46:G50)</f>
        <v>0</v>
      </c>
      <c r="H52" s="69">
        <v>0</v>
      </c>
      <c r="I52" s="67">
        <f>SUM(I46:I50)</f>
        <v>0</v>
      </c>
      <c r="J52" s="70">
        <f t="shared" ref="J52:J68" si="2">SUM(D52,F52:H52)</f>
        <v>811685.28</v>
      </c>
      <c r="L52" s="66">
        <f>SUM(J46:J50)</f>
        <v>663067.21</v>
      </c>
    </row>
    <row r="53" spans="1:17">
      <c r="A53" s="49">
        <v>45</v>
      </c>
      <c r="B53" s="49" t="s">
        <v>1</v>
      </c>
      <c r="C53" s="50" t="s">
        <v>1</v>
      </c>
      <c r="D53" s="63" t="s">
        <v>1</v>
      </c>
      <c r="E53" s="63"/>
      <c r="F53" s="63"/>
      <c r="G53" s="65"/>
      <c r="H53" s="65"/>
      <c r="I53" s="65"/>
      <c r="J53" s="70">
        <f t="shared" si="2"/>
        <v>0</v>
      </c>
    </row>
    <row r="54" spans="1:17">
      <c r="A54" s="49">
        <v>46</v>
      </c>
      <c r="B54" s="53">
        <v>920</v>
      </c>
      <c r="C54" s="54" t="s">
        <v>41</v>
      </c>
      <c r="D54" s="76">
        <f>179937+115994.25+0+12402.39+0+6344.99+7778.01+589792.19+0+0+0+139205.29+370512.35+18239.76+156609.98+2262.14+0+499235.58+5883.6+12643.75+0</f>
        <v>2116841.2799999998</v>
      </c>
      <c r="E54" s="76"/>
      <c r="F54" s="76"/>
      <c r="G54" s="76" t="s">
        <v>1</v>
      </c>
      <c r="H54" s="76"/>
      <c r="I54" s="76"/>
      <c r="J54" s="64">
        <f t="shared" si="2"/>
        <v>2116841.2799999998</v>
      </c>
      <c r="L54" s="77"/>
      <c r="M54" s="77"/>
      <c r="N54" s="77"/>
      <c r="O54" s="77"/>
      <c r="P54" s="77"/>
      <c r="Q54" s="77"/>
    </row>
    <row r="55" spans="1:17">
      <c r="A55" s="49">
        <v>47</v>
      </c>
      <c r="B55" s="56">
        <v>921</v>
      </c>
      <c r="C55" s="50" t="s">
        <v>42</v>
      </c>
      <c r="D55" s="63">
        <f>343536.25+38.35+0+44.76+0+0+14855.05+29312.21+180804.55+16955.86+0+3345.51+0+43562.85+38311.96+26280.67+16552.91+12413.24+6600.69+11635.14+0</f>
        <v>744249.99999999988</v>
      </c>
      <c r="E55" s="63"/>
      <c r="F55" s="63"/>
      <c r="G55" s="63">
        <v>0</v>
      </c>
      <c r="H55" s="63"/>
      <c r="I55" s="63"/>
      <c r="J55" s="64">
        <f t="shared" si="2"/>
        <v>744249.99999999988</v>
      </c>
      <c r="L55" s="77"/>
      <c r="M55" s="77"/>
      <c r="N55" s="77"/>
      <c r="O55" s="77"/>
      <c r="P55" s="77"/>
      <c r="Q55" s="77"/>
    </row>
    <row r="56" spans="1:17">
      <c r="A56" s="49">
        <v>48</v>
      </c>
      <c r="B56" s="56">
        <v>923</v>
      </c>
      <c r="C56" s="50" t="s">
        <v>43</v>
      </c>
      <c r="D56" s="63">
        <f>118341.33+0</f>
        <v>118341.33</v>
      </c>
      <c r="E56" s="63"/>
      <c r="F56" s="63"/>
      <c r="G56" s="63" t="s">
        <v>1</v>
      </c>
      <c r="H56" s="63" t="s">
        <v>1</v>
      </c>
      <c r="I56" s="63"/>
      <c r="J56" s="64">
        <f t="shared" si="2"/>
        <v>118341.33</v>
      </c>
      <c r="L56" s="77"/>
      <c r="M56" s="77"/>
      <c r="N56" s="77"/>
      <c r="O56" s="77"/>
      <c r="P56" s="77"/>
      <c r="Q56" s="77"/>
    </row>
    <row r="57" spans="1:17">
      <c r="A57" s="49">
        <v>49</v>
      </c>
      <c r="B57" s="56">
        <v>924</v>
      </c>
      <c r="C57" s="50" t="s">
        <v>44</v>
      </c>
      <c r="D57" s="63">
        <v>0</v>
      </c>
      <c r="E57" s="63"/>
      <c r="F57" s="63"/>
      <c r="G57" s="63">
        <f>(D57/$D$65)*(11175)</f>
        <v>0</v>
      </c>
      <c r="H57" s="63"/>
      <c r="I57" s="63"/>
      <c r="J57" s="64">
        <f t="shared" si="2"/>
        <v>0</v>
      </c>
    </row>
    <row r="58" spans="1:17">
      <c r="A58" s="49">
        <v>50</v>
      </c>
      <c r="B58" s="56">
        <v>925</v>
      </c>
      <c r="C58" s="50" t="s">
        <v>45</v>
      </c>
      <c r="D58" s="63">
        <f>26498.25</f>
        <v>26498.25</v>
      </c>
      <c r="E58" s="63"/>
      <c r="F58" s="63"/>
      <c r="G58" s="63" t="s">
        <v>1</v>
      </c>
      <c r="H58" s="63"/>
      <c r="I58" s="63"/>
      <c r="J58" s="64">
        <f t="shared" si="2"/>
        <v>26498.25</v>
      </c>
    </row>
    <row r="59" spans="1:17">
      <c r="A59" s="49">
        <v>51</v>
      </c>
      <c r="B59" s="56">
        <v>926</v>
      </c>
      <c r="C59" s="50" t="s">
        <v>46</v>
      </c>
      <c r="D59" s="63">
        <f>8264+149548.92+0+0-3345.36</f>
        <v>154467.56000000003</v>
      </c>
      <c r="E59" s="63"/>
      <c r="F59" s="63"/>
      <c r="G59" s="63" t="s">
        <v>1</v>
      </c>
      <c r="H59" s="63"/>
      <c r="I59" s="63"/>
      <c r="J59" s="64">
        <f t="shared" si="2"/>
        <v>154467.56000000003</v>
      </c>
    </row>
    <row r="60" spans="1:17">
      <c r="A60" s="49">
        <v>52</v>
      </c>
      <c r="B60" s="56">
        <v>928</v>
      </c>
      <c r="C60" s="50" t="s">
        <v>47</v>
      </c>
      <c r="D60" s="63">
        <f>16364.41</f>
        <v>16364.41</v>
      </c>
      <c r="E60" s="63"/>
      <c r="F60" s="63"/>
      <c r="G60" s="63" t="s">
        <v>1</v>
      </c>
      <c r="H60" s="63"/>
      <c r="I60" s="63"/>
      <c r="J60" s="64">
        <f t="shared" si="2"/>
        <v>16364.41</v>
      </c>
    </row>
    <row r="61" spans="1:17">
      <c r="A61" s="49">
        <v>53</v>
      </c>
      <c r="B61" s="56">
        <v>929</v>
      </c>
      <c r="C61" s="50" t="s">
        <v>48</v>
      </c>
      <c r="D61" s="63">
        <v>-84878.35</v>
      </c>
      <c r="E61" s="63"/>
      <c r="F61" s="63"/>
      <c r="G61" s="63" t="s">
        <v>1</v>
      </c>
      <c r="H61" s="63"/>
      <c r="I61" s="63"/>
      <c r="J61" s="64">
        <f t="shared" si="2"/>
        <v>-84878.35</v>
      </c>
    </row>
    <row r="62" spans="1:17">
      <c r="A62" s="49">
        <v>54</v>
      </c>
      <c r="B62" s="56">
        <v>930</v>
      </c>
      <c r="C62" s="50" t="s">
        <v>49</v>
      </c>
      <c r="D62" s="63">
        <f>0+2273.86+0+13498.16+212245.86+172745.63+115543.34+57935.86+276265.25+23043.99+3484.12+0+99.09</f>
        <v>877135.15999999992</v>
      </c>
      <c r="E62" s="63"/>
      <c r="F62" s="63"/>
      <c r="G62" s="63" t="s">
        <v>1</v>
      </c>
      <c r="H62" s="63"/>
      <c r="I62" s="63"/>
      <c r="J62" s="64">
        <f t="shared" si="2"/>
        <v>877135.15999999992</v>
      </c>
    </row>
    <row r="63" spans="1:17">
      <c r="A63" s="49">
        <v>55</v>
      </c>
      <c r="B63" s="56">
        <v>931</v>
      </c>
      <c r="C63" s="50" t="s">
        <v>28</v>
      </c>
      <c r="D63" s="63">
        <v>22200</v>
      </c>
      <c r="E63" s="63"/>
      <c r="F63" s="63"/>
      <c r="G63" s="63" t="s">
        <v>1</v>
      </c>
      <c r="H63" s="63"/>
      <c r="I63" s="63"/>
      <c r="J63" s="64">
        <f t="shared" si="2"/>
        <v>22200</v>
      </c>
    </row>
    <row r="64" spans="1:17">
      <c r="A64" s="49">
        <v>56</v>
      </c>
      <c r="B64" s="56">
        <v>935</v>
      </c>
      <c r="C64" s="50" t="s">
        <v>205</v>
      </c>
      <c r="D64" s="63">
        <f>306167.78+0+98439.78+118534.38+34101.56+26390.44</f>
        <v>583633.93999999994</v>
      </c>
      <c r="E64" s="63"/>
      <c r="F64" s="63"/>
      <c r="G64" s="63" t="s">
        <v>1</v>
      </c>
      <c r="H64" s="63"/>
      <c r="I64" s="63"/>
      <c r="J64" s="64">
        <f t="shared" si="2"/>
        <v>583633.93999999994</v>
      </c>
    </row>
    <row r="65" spans="1:15" ht="15">
      <c r="A65" s="49">
        <v>57</v>
      </c>
      <c r="B65" s="56"/>
      <c r="C65" s="68" t="s">
        <v>50</v>
      </c>
      <c r="D65" s="69">
        <f>SUM(D54:D64)</f>
        <v>4574853.58</v>
      </c>
      <c r="E65" s="69"/>
      <c r="F65" s="69">
        <f>SUM(F54:F64)</f>
        <v>0</v>
      </c>
      <c r="G65" s="69">
        <f>SUM(G54:G64)</f>
        <v>0</v>
      </c>
      <c r="H65" s="69">
        <v>0</v>
      </c>
      <c r="I65" s="69"/>
      <c r="J65" s="70">
        <f t="shared" si="2"/>
        <v>4574853.58</v>
      </c>
      <c r="L65" s="66">
        <f>SUM(J54:J64)</f>
        <v>4574853.58</v>
      </c>
      <c r="M65" s="65">
        <f>(J65-L65)</f>
        <v>0</v>
      </c>
      <c r="N65" s="66">
        <f>(3502109-J65)</f>
        <v>-1072744.58</v>
      </c>
      <c r="O65" s="52" t="s">
        <v>1</v>
      </c>
    </row>
    <row r="66" spans="1:15">
      <c r="A66" s="49">
        <v>58</v>
      </c>
      <c r="B66" s="56"/>
      <c r="C66" s="78" t="s">
        <v>1</v>
      </c>
      <c r="D66" s="78" t="s">
        <v>1</v>
      </c>
      <c r="E66" s="78"/>
      <c r="F66" s="78"/>
      <c r="G66" s="63" t="s">
        <v>1</v>
      </c>
      <c r="H66" s="63"/>
      <c r="I66" s="63"/>
      <c r="J66" s="64">
        <f t="shared" si="2"/>
        <v>0</v>
      </c>
    </row>
    <row r="67" spans="1:15">
      <c r="A67" s="49">
        <v>59</v>
      </c>
      <c r="B67" s="79">
        <v>403.6</v>
      </c>
      <c r="C67" s="50" t="s">
        <v>51</v>
      </c>
      <c r="D67" s="63">
        <v>7662550.5800000001</v>
      </c>
      <c r="E67" s="63"/>
      <c r="F67" s="63"/>
      <c r="G67" s="50"/>
      <c r="H67" s="63"/>
      <c r="I67" s="63"/>
      <c r="J67" s="64">
        <f t="shared" si="2"/>
        <v>7662550.5800000001</v>
      </c>
    </row>
    <row r="68" spans="1:15">
      <c r="A68" s="49">
        <v>60</v>
      </c>
      <c r="B68" s="79">
        <v>403.7</v>
      </c>
      <c r="C68" s="50" t="s">
        <v>52</v>
      </c>
      <c r="D68" s="63">
        <v>593330.59</v>
      </c>
      <c r="E68" s="63"/>
      <c r="F68" s="63"/>
      <c r="G68" s="63" t="s">
        <v>1</v>
      </c>
      <c r="H68" s="63"/>
      <c r="I68" s="63"/>
      <c r="J68" s="64">
        <f t="shared" si="2"/>
        <v>593330.59</v>
      </c>
      <c r="L68" s="52" t="s">
        <v>1</v>
      </c>
    </row>
    <row r="69" spans="1:15">
      <c r="A69" s="49"/>
      <c r="B69" s="79">
        <v>407</v>
      </c>
      <c r="C69" s="50" t="s">
        <v>379</v>
      </c>
      <c r="D69" s="63">
        <v>470772</v>
      </c>
      <c r="E69" s="63"/>
      <c r="F69" s="63"/>
      <c r="G69" s="63"/>
      <c r="H69" s="63"/>
      <c r="I69" s="63"/>
      <c r="J69" s="64"/>
    </row>
    <row r="70" spans="1:15" ht="15">
      <c r="A70" s="49">
        <v>61</v>
      </c>
      <c r="B70" s="56"/>
      <c r="C70" s="68" t="s">
        <v>53</v>
      </c>
      <c r="D70" s="69">
        <f>SUM(D67:D69)</f>
        <v>8726653.1699999999</v>
      </c>
      <c r="E70" s="69"/>
      <c r="F70" s="69"/>
      <c r="G70" s="69">
        <f>SUM(G67:G68)</f>
        <v>0</v>
      </c>
      <c r="H70" s="69">
        <v>0</v>
      </c>
      <c r="I70" s="69"/>
      <c r="J70" s="70">
        <f t="shared" ref="J70:J80" si="3">SUM(D70,F70:H70)</f>
        <v>8726653.1699999999</v>
      </c>
      <c r="L70" s="66">
        <f>SUM(J67:J68)</f>
        <v>8255881.1699999999</v>
      </c>
    </row>
    <row r="71" spans="1:15">
      <c r="A71" s="49">
        <v>62</v>
      </c>
      <c r="B71" s="56"/>
      <c r="C71" s="50"/>
      <c r="D71" s="63"/>
      <c r="E71" s="63"/>
      <c r="F71" s="63"/>
      <c r="G71" s="63"/>
      <c r="H71" s="63"/>
      <c r="I71" s="63"/>
      <c r="J71" s="64">
        <f t="shared" si="3"/>
        <v>0</v>
      </c>
    </row>
    <row r="72" spans="1:15">
      <c r="A72" s="49">
        <v>63</v>
      </c>
      <c r="B72" s="56">
        <v>408.71</v>
      </c>
      <c r="C72" s="50" t="s">
        <v>368</v>
      </c>
      <c r="D72" s="65">
        <v>120557.14</v>
      </c>
      <c r="E72" s="63"/>
      <c r="F72" s="63"/>
      <c r="G72" s="63" t="s">
        <v>1</v>
      </c>
      <c r="H72" s="63"/>
      <c r="I72" s="63"/>
      <c r="J72" s="64">
        <f t="shared" si="3"/>
        <v>120557.14</v>
      </c>
    </row>
    <row r="73" spans="1:15">
      <c r="A73" s="49">
        <v>64</v>
      </c>
      <c r="B73" s="56">
        <v>408.5</v>
      </c>
      <c r="C73" s="50" t="s">
        <v>367</v>
      </c>
      <c r="D73" s="80">
        <v>0</v>
      </c>
      <c r="E73" s="63"/>
      <c r="F73" s="63"/>
      <c r="G73" s="63" t="s">
        <v>1</v>
      </c>
      <c r="H73" s="63"/>
      <c r="I73" s="63"/>
      <c r="J73" s="64">
        <f t="shared" si="3"/>
        <v>0</v>
      </c>
    </row>
    <row r="74" spans="1:15">
      <c r="A74" s="49">
        <v>65</v>
      </c>
      <c r="B74" s="56" t="s">
        <v>370</v>
      </c>
      <c r="C74" s="50" t="s">
        <v>245</v>
      </c>
      <c r="D74" s="67">
        <f>17181.01+63715.14</f>
        <v>80896.149999999994</v>
      </c>
      <c r="E74" s="67"/>
      <c r="F74" s="67"/>
      <c r="G74" s="81"/>
      <c r="H74" s="63" t="s">
        <v>1</v>
      </c>
      <c r="I74" s="67"/>
      <c r="J74" s="64">
        <f t="shared" si="3"/>
        <v>80896.149999999994</v>
      </c>
    </row>
    <row r="75" spans="1:15" ht="15">
      <c r="A75" s="49">
        <v>66</v>
      </c>
      <c r="B75" s="56"/>
      <c r="C75" s="68" t="s">
        <v>54</v>
      </c>
      <c r="D75" s="69">
        <f>SUM(D72:D74)</f>
        <v>201453.28999999998</v>
      </c>
      <c r="E75" s="69"/>
      <c r="F75" s="69">
        <f>SUM(F72:F74)</f>
        <v>0</v>
      </c>
      <c r="G75" s="69">
        <f>SUM(G72:G74)</f>
        <v>0</v>
      </c>
      <c r="H75" s="69">
        <v>0</v>
      </c>
      <c r="I75" s="69"/>
      <c r="J75" s="70">
        <f t="shared" si="3"/>
        <v>201453.28999999998</v>
      </c>
      <c r="L75" s="66">
        <f>SUM(J72:J74)</f>
        <v>201453.28999999998</v>
      </c>
    </row>
    <row r="76" spans="1:15">
      <c r="A76" s="49">
        <v>67</v>
      </c>
      <c r="B76" s="56"/>
      <c r="C76" s="50"/>
      <c r="D76" s="63"/>
      <c r="E76" s="63"/>
      <c r="F76" s="63"/>
      <c r="G76" s="63"/>
      <c r="H76" s="63"/>
      <c r="I76" s="63"/>
      <c r="J76" s="64">
        <f t="shared" si="3"/>
        <v>0</v>
      </c>
    </row>
    <row r="77" spans="1:15">
      <c r="A77" s="49">
        <v>68</v>
      </c>
      <c r="B77" s="56">
        <v>427.1</v>
      </c>
      <c r="C77" s="50" t="s">
        <v>55</v>
      </c>
      <c r="D77" s="63">
        <v>1391391.58</v>
      </c>
      <c r="E77" s="63"/>
      <c r="F77" s="63"/>
      <c r="G77" s="63" t="s">
        <v>1</v>
      </c>
      <c r="H77" s="63" t="s">
        <v>1</v>
      </c>
      <c r="I77" s="63"/>
      <c r="J77" s="64">
        <f t="shared" si="3"/>
        <v>1391391.58</v>
      </c>
    </row>
    <row r="78" spans="1:15">
      <c r="A78" s="49">
        <v>69</v>
      </c>
      <c r="B78" s="56">
        <v>427.2</v>
      </c>
      <c r="C78" s="50" t="s">
        <v>244</v>
      </c>
      <c r="D78" s="67">
        <v>1390363.23</v>
      </c>
      <c r="E78" s="63"/>
      <c r="F78" s="63"/>
      <c r="G78" s="63">
        <v>0</v>
      </c>
      <c r="H78" s="63" t="s">
        <v>1</v>
      </c>
      <c r="I78" s="63"/>
      <c r="J78" s="64">
        <f t="shared" si="3"/>
        <v>1390363.23</v>
      </c>
    </row>
    <row r="79" spans="1:15">
      <c r="A79" s="49">
        <v>70</v>
      </c>
      <c r="B79" s="56">
        <v>427.4</v>
      </c>
      <c r="C79" s="50" t="s">
        <v>380</v>
      </c>
      <c r="D79" s="67">
        <v>2621589.44</v>
      </c>
      <c r="E79" s="67"/>
      <c r="F79" s="67"/>
      <c r="G79" s="67"/>
      <c r="H79" s="63" t="s">
        <v>1</v>
      </c>
      <c r="I79" s="67"/>
      <c r="J79" s="64">
        <f t="shared" si="3"/>
        <v>2621589.44</v>
      </c>
    </row>
    <row r="80" spans="1:15" ht="15">
      <c r="A80" s="49">
        <v>71</v>
      </c>
      <c r="B80" s="56"/>
      <c r="C80" s="68" t="s">
        <v>56</v>
      </c>
      <c r="D80" s="69">
        <f>SUM(D77:D79)</f>
        <v>5403344.25</v>
      </c>
      <c r="E80" s="69"/>
      <c r="F80" s="69"/>
      <c r="G80" s="69">
        <f>SUM(G77:G79)</f>
        <v>0</v>
      </c>
      <c r="H80" s="69">
        <v>0</v>
      </c>
      <c r="I80" s="69"/>
      <c r="J80" s="70">
        <f t="shared" si="3"/>
        <v>5403344.25</v>
      </c>
      <c r="L80" s="66">
        <f>SUM(J77:J79)</f>
        <v>5403344.25</v>
      </c>
    </row>
    <row r="81" spans="1:14">
      <c r="A81" s="49">
        <v>72</v>
      </c>
      <c r="B81" s="56"/>
      <c r="C81" s="50"/>
      <c r="D81" s="63"/>
      <c r="E81" s="63"/>
      <c r="F81" s="63"/>
      <c r="G81" s="63"/>
      <c r="H81" s="63"/>
      <c r="I81" s="63"/>
      <c r="J81" s="64" t="s">
        <v>1</v>
      </c>
    </row>
    <row r="82" spans="1:14">
      <c r="A82" s="49">
        <v>73</v>
      </c>
      <c r="B82" s="56">
        <v>431</v>
      </c>
      <c r="C82" s="50" t="s">
        <v>57</v>
      </c>
      <c r="D82" s="63">
        <v>54021.35</v>
      </c>
      <c r="E82" s="63"/>
      <c r="F82" s="63"/>
      <c r="G82" s="63" t="s">
        <v>1</v>
      </c>
      <c r="H82" s="63">
        <v>0</v>
      </c>
      <c r="I82" s="63"/>
      <c r="J82" s="64">
        <f>SUM(D82,F82:H82)</f>
        <v>54021.35</v>
      </c>
    </row>
    <row r="83" spans="1:14">
      <c r="A83" s="49">
        <v>74</v>
      </c>
      <c r="B83" s="58"/>
      <c r="D83" s="63"/>
      <c r="E83" s="63"/>
      <c r="F83" s="63"/>
      <c r="G83" s="63">
        <v>0</v>
      </c>
      <c r="H83" s="63" t="s">
        <v>1</v>
      </c>
      <c r="I83" s="63"/>
      <c r="J83" s="64">
        <f>SUM(D83,F83:H83)</f>
        <v>0</v>
      </c>
    </row>
    <row r="84" spans="1:14">
      <c r="A84" s="49">
        <v>75</v>
      </c>
      <c r="B84" s="56" t="s">
        <v>1</v>
      </c>
      <c r="C84" s="50" t="s">
        <v>1</v>
      </c>
      <c r="D84" s="67">
        <v>0</v>
      </c>
      <c r="E84" s="67"/>
      <c r="F84" s="67"/>
      <c r="G84" s="67"/>
      <c r="H84" s="63">
        <v>0</v>
      </c>
      <c r="I84" s="67"/>
      <c r="J84" s="64">
        <f>SUM(D84,F84:H84)</f>
        <v>0</v>
      </c>
    </row>
    <row r="85" spans="1:14" ht="15">
      <c r="A85" s="49">
        <v>76</v>
      </c>
      <c r="B85" s="56"/>
      <c r="C85" s="68" t="s">
        <v>81</v>
      </c>
      <c r="D85" s="69">
        <f>SUM(D82:D84)</f>
        <v>54021.35</v>
      </c>
      <c r="E85" s="69"/>
      <c r="F85" s="69"/>
      <c r="G85" s="69">
        <f>SUM(G82:G84)</f>
        <v>0</v>
      </c>
      <c r="H85" s="69">
        <f>SUM(F85:G85)</f>
        <v>0</v>
      </c>
      <c r="I85" s="69"/>
      <c r="J85" s="70">
        <f>SUM(D85,F85:H85)</f>
        <v>54021.35</v>
      </c>
      <c r="L85" s="66">
        <f>SUM(J82:J84)</f>
        <v>54021.35</v>
      </c>
    </row>
    <row r="86" spans="1:14" ht="15">
      <c r="A86" s="49">
        <v>77</v>
      </c>
      <c r="B86" s="56"/>
      <c r="C86" s="82" t="s">
        <v>1</v>
      </c>
      <c r="D86" s="82" t="s">
        <v>1</v>
      </c>
      <c r="E86" s="82"/>
      <c r="F86" s="82"/>
      <c r="G86" s="63"/>
      <c r="H86" s="63"/>
      <c r="I86" s="63"/>
      <c r="J86" s="64">
        <f>SUM(D86,F86:H86)</f>
        <v>0</v>
      </c>
    </row>
    <row r="87" spans="1:14" ht="15">
      <c r="A87" s="49">
        <v>78</v>
      </c>
      <c r="B87" s="56"/>
      <c r="C87" s="68" t="s">
        <v>58</v>
      </c>
      <c r="D87" s="63">
        <f>SUM(D16,D28,D38,D44,D52,D65,D70,D75,D80,D85)</f>
        <v>100125170.92</v>
      </c>
      <c r="E87" s="63">
        <f>SUM(E16,E28,E38,E44,E52,E65,E70,E75,E80,E85)</f>
        <v>0</v>
      </c>
      <c r="F87" s="63">
        <f>SUM(F16,F28,F38,F44,F52,F65,F70,F75,F80,F85)</f>
        <v>0</v>
      </c>
      <c r="G87" s="63">
        <f>SUM(G16,G28,G38,G44,G52,G65,G70,G75,G80,G85)</f>
        <v>-7661075</v>
      </c>
      <c r="H87" s="63">
        <v>0</v>
      </c>
      <c r="I87" s="63">
        <f>SUM(I16,I28,I38,I44,I52,I65,I70,I75,I80,I85)</f>
        <v>0</v>
      </c>
      <c r="J87" s="64">
        <f>SUM(J16,J28,J38,J44,J52,J65,J70,J75,J80,J85)</f>
        <v>92464095.920000002</v>
      </c>
      <c r="L87" s="66">
        <f>SUM(L16,L28,L38,L44,L52,L65,L70,L75,L80,L85)</f>
        <v>91697964.649999991</v>
      </c>
      <c r="M87" s="66">
        <f>(J87-L87)</f>
        <v>766131.27000001073</v>
      </c>
      <c r="N87" s="66">
        <f>(J87-M87)</f>
        <v>91697964.649999991</v>
      </c>
    </row>
    <row r="88" spans="1:14" ht="15">
      <c r="A88" s="49">
        <v>79</v>
      </c>
      <c r="B88" s="56"/>
      <c r="C88" s="68" t="s">
        <v>59</v>
      </c>
      <c r="D88" s="67">
        <v>3617966</v>
      </c>
      <c r="E88" s="67"/>
      <c r="F88" s="67"/>
      <c r="G88" s="67">
        <f>(G80)</f>
        <v>0</v>
      </c>
      <c r="H88" s="67">
        <f>(H80*1.32)</f>
        <v>0</v>
      </c>
      <c r="I88" s="67"/>
      <c r="J88" s="64">
        <f>SUM(D88,F88:H88)</f>
        <v>3617966</v>
      </c>
      <c r="L88" s="66">
        <f>(J88)</f>
        <v>3617966</v>
      </c>
    </row>
    <row r="89" spans="1:14" ht="15">
      <c r="A89" s="49">
        <v>80</v>
      </c>
      <c r="B89" s="56"/>
      <c r="C89" s="68" t="s">
        <v>80</v>
      </c>
      <c r="D89" s="69">
        <f t="shared" ref="D89:I89" si="4">(D87+D88)</f>
        <v>103743136.92</v>
      </c>
      <c r="E89" s="69">
        <f t="shared" si="4"/>
        <v>0</v>
      </c>
      <c r="F89" s="69">
        <f t="shared" si="4"/>
        <v>0</v>
      </c>
      <c r="G89" s="69">
        <f t="shared" si="4"/>
        <v>-7661075</v>
      </c>
      <c r="H89" s="69">
        <f t="shared" si="4"/>
        <v>0</v>
      </c>
      <c r="I89" s="69">
        <f t="shared" si="4"/>
        <v>0</v>
      </c>
      <c r="J89" s="70">
        <f>SUM(D89,F89:H89)</f>
        <v>96082061.920000002</v>
      </c>
      <c r="L89" s="69">
        <f>(L87+L88)</f>
        <v>95315930.649999991</v>
      </c>
      <c r="M89" s="52">
        <f>(M97)</f>
        <v>0</v>
      </c>
    </row>
    <row r="90" spans="1:14">
      <c r="A90" s="49">
        <v>81</v>
      </c>
      <c r="B90" s="56"/>
      <c r="C90" s="50"/>
      <c r="D90" s="63"/>
      <c r="E90" s="63"/>
      <c r="F90" s="63"/>
      <c r="G90" s="63"/>
      <c r="H90" s="63"/>
      <c r="I90" s="63"/>
      <c r="J90" s="63" t="s">
        <v>1</v>
      </c>
    </row>
    <row r="91" spans="1:14" ht="15">
      <c r="A91" s="49">
        <v>82</v>
      </c>
      <c r="B91" s="56"/>
      <c r="C91" s="68" t="s">
        <v>60</v>
      </c>
      <c r="D91" s="73"/>
      <c r="E91" s="73"/>
      <c r="F91" s="73"/>
      <c r="G91" s="63"/>
      <c r="H91" s="63"/>
      <c r="I91" s="63"/>
      <c r="J91" s="64">
        <f t="shared" ref="J91:J108" si="5">SUM(D91,F91:H91)</f>
        <v>0</v>
      </c>
    </row>
    <row r="92" spans="1:14">
      <c r="A92" s="49">
        <v>83</v>
      </c>
      <c r="B92" s="56">
        <v>450</v>
      </c>
      <c r="C92" s="50" t="s">
        <v>61</v>
      </c>
      <c r="D92" s="63">
        <v>1124919.1599999999</v>
      </c>
      <c r="E92" s="63"/>
      <c r="F92" s="63"/>
      <c r="G92" s="63"/>
      <c r="H92" s="63"/>
      <c r="I92" s="63"/>
      <c r="J92" s="64">
        <f t="shared" si="5"/>
        <v>1124919.1599999999</v>
      </c>
    </row>
    <row r="93" spans="1:14">
      <c r="A93" s="49">
        <v>84</v>
      </c>
      <c r="B93" s="56">
        <v>451</v>
      </c>
      <c r="C93" s="50" t="s">
        <v>62</v>
      </c>
      <c r="D93" s="63">
        <v>326809.63</v>
      </c>
      <c r="E93" s="63"/>
      <c r="F93" s="63"/>
      <c r="G93" s="63" t="s">
        <v>1</v>
      </c>
      <c r="H93" s="63">
        <v>0</v>
      </c>
      <c r="I93" s="63"/>
      <c r="J93" s="64">
        <f t="shared" si="5"/>
        <v>326809.63</v>
      </c>
    </row>
    <row r="94" spans="1:14">
      <c r="A94" s="49">
        <v>85</v>
      </c>
      <c r="B94" s="56">
        <v>452</v>
      </c>
      <c r="C94" s="50" t="s">
        <v>246</v>
      </c>
      <c r="D94" s="63">
        <v>0</v>
      </c>
      <c r="E94" s="63"/>
      <c r="F94" s="63"/>
      <c r="G94" s="63" t="s">
        <v>1</v>
      </c>
      <c r="H94" s="63"/>
      <c r="I94" s="63"/>
      <c r="J94" s="64">
        <f t="shared" si="5"/>
        <v>0</v>
      </c>
    </row>
    <row r="95" spans="1:14">
      <c r="A95" s="49">
        <v>86</v>
      </c>
      <c r="B95" s="56">
        <v>454</v>
      </c>
      <c r="C95" s="50" t="s">
        <v>63</v>
      </c>
      <c r="D95" s="78">
        <v>915266.04</v>
      </c>
      <c r="E95" s="63"/>
      <c r="F95" s="63"/>
      <c r="G95" s="63" t="s">
        <v>1</v>
      </c>
      <c r="H95" s="63">
        <v>0</v>
      </c>
      <c r="I95" s="63"/>
      <c r="J95" s="64">
        <f t="shared" si="5"/>
        <v>915266.04</v>
      </c>
      <c r="M95" s="66" t="s">
        <v>1</v>
      </c>
    </row>
    <row r="96" spans="1:14">
      <c r="A96" s="49"/>
      <c r="B96" s="56">
        <v>456</v>
      </c>
      <c r="C96" s="50" t="s">
        <v>316</v>
      </c>
      <c r="D96" s="67">
        <v>233945.2</v>
      </c>
      <c r="E96" s="67"/>
      <c r="F96" s="67"/>
      <c r="G96" s="67"/>
      <c r="H96" s="67"/>
      <c r="I96" s="67"/>
      <c r="J96" s="64">
        <f t="shared" si="5"/>
        <v>233945.2</v>
      </c>
      <c r="M96" s="66"/>
    </row>
    <row r="97" spans="1:13" ht="15">
      <c r="A97" s="49">
        <v>87</v>
      </c>
      <c r="B97" s="56"/>
      <c r="C97" s="68" t="s">
        <v>64</v>
      </c>
      <c r="D97" s="67">
        <f>SUM(D92:D96)</f>
        <v>2600940.0300000003</v>
      </c>
      <c r="E97" s="67"/>
      <c r="F97" s="67"/>
      <c r="G97" s="67">
        <f>SUM(G92:G95)</f>
        <v>0</v>
      </c>
      <c r="H97" s="67">
        <f>SUM(H92:H95)</f>
        <v>0</v>
      </c>
      <c r="I97" s="67"/>
      <c r="J97" s="70">
        <f t="shared" si="5"/>
        <v>2600940.0300000003</v>
      </c>
      <c r="L97" s="66">
        <f>SUM(J91:J96)</f>
        <v>2600940.0300000003</v>
      </c>
    </row>
    <row r="98" spans="1:13">
      <c r="A98" s="49">
        <v>88</v>
      </c>
      <c r="B98" s="56"/>
      <c r="C98" s="50"/>
      <c r="D98" s="63"/>
      <c r="E98" s="63"/>
      <c r="F98" s="63"/>
      <c r="G98" s="63"/>
      <c r="H98" s="63"/>
      <c r="I98" s="63"/>
      <c r="J98" s="64">
        <f t="shared" si="5"/>
        <v>0</v>
      </c>
    </row>
    <row r="99" spans="1:13" ht="15">
      <c r="A99" s="49">
        <v>89</v>
      </c>
      <c r="B99" s="56"/>
      <c r="C99" s="68" t="s">
        <v>65</v>
      </c>
      <c r="D99" s="63"/>
      <c r="E99" s="63"/>
      <c r="F99" s="63"/>
      <c r="G99" s="63"/>
      <c r="H99" s="63"/>
      <c r="I99" s="63"/>
      <c r="J99" s="64">
        <f t="shared" si="5"/>
        <v>0</v>
      </c>
    </row>
    <row r="100" spans="1:13">
      <c r="A100" s="49">
        <v>90</v>
      </c>
      <c r="B100" s="56">
        <v>415</v>
      </c>
      <c r="C100" s="50" t="s">
        <v>317</v>
      </c>
      <c r="D100" s="63">
        <v>8776.3700000000008</v>
      </c>
      <c r="E100" s="63"/>
      <c r="F100" s="63"/>
      <c r="G100" s="63"/>
      <c r="H100" s="63"/>
      <c r="I100" s="63"/>
      <c r="J100" s="64">
        <f t="shared" si="5"/>
        <v>8776.3700000000008</v>
      </c>
    </row>
    <row r="101" spans="1:13">
      <c r="A101" s="49"/>
      <c r="B101" s="56">
        <v>416</v>
      </c>
      <c r="C101" s="50" t="s">
        <v>356</v>
      </c>
      <c r="D101" s="63">
        <f>3365.55-8092.82</f>
        <v>-4727.2699999999995</v>
      </c>
      <c r="E101" s="63"/>
      <c r="F101" s="63"/>
      <c r="G101" s="63"/>
      <c r="H101" s="63"/>
      <c r="I101" s="63"/>
      <c r="J101" s="64">
        <f t="shared" si="5"/>
        <v>-4727.2699999999995</v>
      </c>
    </row>
    <row r="102" spans="1:13">
      <c r="A102" s="49"/>
      <c r="B102" s="56">
        <v>417</v>
      </c>
      <c r="C102" s="50" t="s">
        <v>357</v>
      </c>
      <c r="D102" s="63">
        <f>5100+9240</f>
        <v>14340</v>
      </c>
      <c r="E102" s="63"/>
      <c r="F102" s="63"/>
      <c r="G102" s="63"/>
      <c r="H102" s="63"/>
      <c r="I102" s="63"/>
      <c r="J102" s="64">
        <f t="shared" si="5"/>
        <v>14340</v>
      </c>
    </row>
    <row r="103" spans="1:13">
      <c r="A103" s="49"/>
      <c r="B103" s="56">
        <v>418</v>
      </c>
      <c r="C103" s="50" t="s">
        <v>358</v>
      </c>
      <c r="D103" s="63">
        <v>124271.41</v>
      </c>
      <c r="E103" s="63"/>
      <c r="F103" s="63"/>
      <c r="G103" s="63"/>
      <c r="H103" s="63"/>
      <c r="I103" s="63"/>
      <c r="J103" s="64">
        <f t="shared" si="5"/>
        <v>124271.41</v>
      </c>
    </row>
    <row r="104" spans="1:13">
      <c r="A104" s="49">
        <v>91</v>
      </c>
      <c r="B104" s="56">
        <v>419</v>
      </c>
      <c r="C104" s="50" t="s">
        <v>66</v>
      </c>
      <c r="D104" s="63">
        <f>160584.05+660.3+45.17</f>
        <v>161289.51999999999</v>
      </c>
      <c r="E104" s="63"/>
      <c r="F104" s="63"/>
      <c r="G104" s="63"/>
      <c r="H104" s="63"/>
      <c r="I104" s="63"/>
      <c r="J104" s="64">
        <f t="shared" si="5"/>
        <v>161289.51999999999</v>
      </c>
      <c r="M104" s="52">
        <f>(47984+50722+441865-116105)</f>
        <v>424466</v>
      </c>
    </row>
    <row r="105" spans="1:13">
      <c r="A105" s="49">
        <v>92</v>
      </c>
      <c r="B105" s="56">
        <v>421</v>
      </c>
      <c r="C105" s="50" t="s">
        <v>67</v>
      </c>
      <c r="D105" s="63">
        <f>232.66+8415.23-122329.64</f>
        <v>-113681.75</v>
      </c>
      <c r="E105" s="63"/>
      <c r="F105" s="63"/>
      <c r="G105" s="63"/>
      <c r="H105" s="63"/>
      <c r="I105" s="63"/>
      <c r="J105" s="64">
        <f t="shared" si="5"/>
        <v>-113681.75</v>
      </c>
    </row>
    <row r="106" spans="1:13">
      <c r="A106" s="49"/>
      <c r="B106" s="56">
        <v>423</v>
      </c>
      <c r="C106" s="50" t="s">
        <v>413</v>
      </c>
      <c r="D106" s="63">
        <v>4358338.5599999996</v>
      </c>
      <c r="E106" s="63"/>
      <c r="F106" s="63">
        <f>-(D106)</f>
        <v>-4358338.5599999996</v>
      </c>
      <c r="G106" s="63"/>
      <c r="H106" s="63"/>
      <c r="I106" s="63"/>
      <c r="J106" s="64">
        <f t="shared" si="5"/>
        <v>0</v>
      </c>
    </row>
    <row r="107" spans="1:13">
      <c r="A107" s="49">
        <v>93</v>
      </c>
      <c r="B107" s="56">
        <v>424</v>
      </c>
      <c r="C107" s="50" t="s">
        <v>68</v>
      </c>
      <c r="D107" s="67">
        <v>150928.4</v>
      </c>
      <c r="E107" s="67"/>
      <c r="F107" s="67"/>
      <c r="G107" s="67"/>
      <c r="H107" s="67">
        <v>0</v>
      </c>
      <c r="I107" s="67"/>
      <c r="J107" s="64">
        <f t="shared" si="5"/>
        <v>150928.4</v>
      </c>
      <c r="M107" s="83">
        <f>('[2]income statement'!$O$27)</f>
        <v>3729639</v>
      </c>
    </row>
    <row r="108" spans="1:13" ht="15">
      <c r="A108" s="49">
        <v>94</v>
      </c>
      <c r="B108" s="56"/>
      <c r="C108" s="68" t="s">
        <v>69</v>
      </c>
      <c r="D108" s="69">
        <f>SUM(D100:D107)</f>
        <v>4699535.24</v>
      </c>
      <c r="E108" s="69"/>
      <c r="F108" s="69">
        <f>SUM(F100:F107)</f>
        <v>-4358338.5599999996</v>
      </c>
      <c r="G108" s="69">
        <f>SUM(G100:G107)</f>
        <v>0</v>
      </c>
      <c r="H108" s="69">
        <f>SUM(H100:H107)</f>
        <v>0</v>
      </c>
      <c r="I108" s="69"/>
      <c r="J108" s="70">
        <f t="shared" si="5"/>
        <v>341196.68000000063</v>
      </c>
      <c r="L108" s="66">
        <f>SUM(J99:J107)</f>
        <v>341196.68000000005</v>
      </c>
      <c r="M108" s="66">
        <f>SUM(L97,L108)</f>
        <v>2942136.7100000004</v>
      </c>
    </row>
    <row r="109" spans="1:13">
      <c r="A109" s="49">
        <v>95</v>
      </c>
      <c r="B109" s="56"/>
      <c r="C109" s="50"/>
      <c r="D109" s="63"/>
      <c r="E109" s="63"/>
      <c r="F109" s="63"/>
      <c r="G109" s="63"/>
      <c r="H109" s="63"/>
      <c r="I109" s="63"/>
      <c r="J109" s="64">
        <f>SUM(D109,G109,H109)</f>
        <v>0</v>
      </c>
      <c r="M109" s="52">
        <f>(M107-M108)</f>
        <v>787502.28999999957</v>
      </c>
    </row>
    <row r="110" spans="1:13" ht="15">
      <c r="A110" s="49">
        <v>96</v>
      </c>
      <c r="B110" s="56"/>
      <c r="C110" s="68" t="s">
        <v>70</v>
      </c>
      <c r="D110" s="63"/>
      <c r="E110" s="63"/>
      <c r="F110" s="63"/>
      <c r="G110" s="63"/>
      <c r="H110" s="63"/>
      <c r="I110" s="63"/>
      <c r="J110" s="64">
        <f>SUM(D110,G110,H110)</f>
        <v>0</v>
      </c>
    </row>
    <row r="111" spans="1:13" ht="15" thickBot="1">
      <c r="A111" s="49">
        <v>97</v>
      </c>
      <c r="B111" s="56"/>
      <c r="C111" s="50" t="s">
        <v>71</v>
      </c>
      <c r="D111" s="84">
        <f>(D89-D97-D108)</f>
        <v>96442661.650000006</v>
      </c>
      <c r="E111" s="84">
        <f>(E89-E97-E108)</f>
        <v>0</v>
      </c>
      <c r="F111" s="84">
        <f>(F89-F97-F108)</f>
        <v>4358338.5599999996</v>
      </c>
      <c r="G111" s="84">
        <f>(G89-G97-G108)</f>
        <v>-7661075</v>
      </c>
      <c r="H111" s="84">
        <f>(H89-H97-H108)</f>
        <v>0</v>
      </c>
      <c r="I111" s="84"/>
      <c r="J111" s="85">
        <f>SUM(D111,F111:H111)</f>
        <v>93139925.210000008</v>
      </c>
      <c r="L111" s="66">
        <f>SUM(L87,L88,-L97,-L108)</f>
        <v>92373793.939999983</v>
      </c>
    </row>
    <row r="112" spans="1:13" ht="15" thickTop="1">
      <c r="A112" s="49">
        <v>98</v>
      </c>
      <c r="B112" s="72"/>
      <c r="C112" s="50"/>
      <c r="D112" s="50"/>
      <c r="E112" s="50"/>
      <c r="F112" s="50"/>
      <c r="G112" s="50"/>
      <c r="H112" s="50"/>
      <c r="I112" s="50"/>
      <c r="J112" s="55"/>
    </row>
    <row r="113" spans="1:10">
      <c r="A113" s="49">
        <v>99</v>
      </c>
      <c r="B113" s="86"/>
      <c r="C113" s="81" t="s">
        <v>250</v>
      </c>
      <c r="D113" s="87">
        <f>(D80+D88)/(D80)</f>
        <v>1.6695790296907327</v>
      </c>
      <c r="E113" s="81"/>
      <c r="F113" s="81"/>
      <c r="G113" s="81"/>
      <c r="H113" s="81"/>
      <c r="I113" s="81"/>
      <c r="J113" s="88"/>
    </row>
    <row r="114" spans="1:10">
      <c r="A114" s="49" t="s">
        <v>1</v>
      </c>
      <c r="B114" s="50"/>
    </row>
    <row r="115" spans="1:10">
      <c r="A115" s="49" t="s">
        <v>1</v>
      </c>
      <c r="B115" s="50"/>
      <c r="C115" s="52" t="s">
        <v>105</v>
      </c>
      <c r="D115" s="66">
        <f>SUM(D38,D52,D44,D65,D28)</f>
        <v>19326753.66</v>
      </c>
      <c r="J115" s="66" t="s">
        <v>1</v>
      </c>
    </row>
    <row r="116" spans="1:10">
      <c r="A116" s="49" t="s">
        <v>1</v>
      </c>
      <c r="B116" s="50"/>
      <c r="D116" s="65">
        <f>D115*0.125</f>
        <v>2415844.2075</v>
      </c>
    </row>
    <row r="117" spans="1:10">
      <c r="A117" s="49" t="s">
        <v>1</v>
      </c>
      <c r="B117" s="50"/>
    </row>
    <row r="118" spans="1:10">
      <c r="A118" s="49" t="s">
        <v>1</v>
      </c>
      <c r="B118" s="50"/>
    </row>
    <row r="119" spans="1:10">
      <c r="A119" s="49" t="s">
        <v>1</v>
      </c>
      <c r="B119" s="50"/>
      <c r="J119" s="66">
        <f>(J97+J108)</f>
        <v>2942136.7100000009</v>
      </c>
    </row>
    <row r="120" spans="1:10">
      <c r="A120" s="49" t="s">
        <v>1</v>
      </c>
      <c r="B120" s="50"/>
    </row>
    <row r="121" spans="1:10">
      <c r="A121" s="49" t="s">
        <v>1</v>
      </c>
      <c r="D121" s="58" t="s">
        <v>1</v>
      </c>
      <c r="E121" s="58"/>
      <c r="F121" s="58"/>
      <c r="G121" s="77"/>
    </row>
    <row r="122" spans="1:10">
      <c r="A122" s="49" t="s">
        <v>1</v>
      </c>
      <c r="B122" s="52">
        <v>583</v>
      </c>
      <c r="D122" s="65">
        <v>1496188.48</v>
      </c>
      <c r="E122" s="65"/>
      <c r="F122" s="65"/>
      <c r="G122" s="77"/>
      <c r="H122" s="52">
        <v>594</v>
      </c>
    </row>
    <row r="123" spans="1:10">
      <c r="A123" s="49" t="s">
        <v>1</v>
      </c>
      <c r="B123" s="52">
        <v>583.1</v>
      </c>
      <c r="D123" s="65">
        <v>95416.52</v>
      </c>
      <c r="E123" s="65">
        <v>27870</v>
      </c>
      <c r="F123" s="65"/>
      <c r="G123" s="77"/>
      <c r="H123" s="52">
        <v>594.1</v>
      </c>
      <c r="J123" s="52">
        <v>77.010000000000005</v>
      </c>
    </row>
    <row r="124" spans="1:10">
      <c r="B124" s="52">
        <v>583.20000000000005</v>
      </c>
      <c r="D124" s="65">
        <v>47753.1</v>
      </c>
      <c r="E124" s="65"/>
      <c r="F124" s="65"/>
      <c r="G124" s="77"/>
      <c r="J124" s="65">
        <v>138283.85999999999</v>
      </c>
    </row>
    <row r="125" spans="1:10" ht="15" thickBot="1">
      <c r="B125" s="52" t="s">
        <v>1</v>
      </c>
      <c r="D125" s="89">
        <f>SUM(D122:D124)</f>
        <v>1639358.1</v>
      </c>
      <c r="E125" s="65"/>
      <c r="F125" s="65"/>
      <c r="G125" s="77"/>
      <c r="J125" s="89">
        <f>SUM(J123:J124)</f>
        <v>138360.87</v>
      </c>
    </row>
    <row r="126" spans="1:10" ht="15" thickTop="1">
      <c r="B126" s="52" t="s">
        <v>1</v>
      </c>
      <c r="D126" s="65"/>
      <c r="E126" s="65"/>
      <c r="F126" s="65"/>
      <c r="G126" s="77"/>
    </row>
    <row r="127" spans="1:10">
      <c r="B127" s="52">
        <v>586</v>
      </c>
      <c r="D127" s="65">
        <v>1188664.67</v>
      </c>
      <c r="E127" s="65"/>
      <c r="F127" s="65"/>
      <c r="G127" s="77"/>
      <c r="H127" s="52">
        <v>920</v>
      </c>
    </row>
    <row r="128" spans="1:10">
      <c r="B128" s="52">
        <v>586.1</v>
      </c>
      <c r="D128" s="65">
        <v>24669.51</v>
      </c>
      <c r="E128" s="65"/>
      <c r="F128" s="65"/>
      <c r="G128" s="77"/>
      <c r="H128" s="52">
        <v>920.1</v>
      </c>
      <c r="J128" s="90">
        <v>38767.07</v>
      </c>
    </row>
    <row r="129" spans="2:10">
      <c r="B129" s="52">
        <v>586.20000000000005</v>
      </c>
      <c r="D129" s="65">
        <v>9071.1200000000008</v>
      </c>
      <c r="E129" s="65"/>
      <c r="F129" s="65"/>
      <c r="G129" s="77"/>
      <c r="H129" s="52">
        <v>920.2</v>
      </c>
      <c r="J129" s="90">
        <v>27000</v>
      </c>
    </row>
    <row r="130" spans="2:10">
      <c r="B130" s="52">
        <v>586.29999999999995</v>
      </c>
      <c r="D130" s="65">
        <v>2664.54</v>
      </c>
      <c r="E130" s="65"/>
      <c r="F130" s="65"/>
      <c r="G130" s="77"/>
      <c r="J130" s="90">
        <v>4632.08</v>
      </c>
    </row>
    <row r="131" spans="2:10" ht="15" thickBot="1">
      <c r="B131" s="52" t="s">
        <v>1</v>
      </c>
      <c r="D131" s="89">
        <f>SUM(D127:D130)</f>
        <v>1225069.8400000001</v>
      </c>
      <c r="E131" s="65"/>
      <c r="F131" s="65"/>
      <c r="G131" s="77"/>
      <c r="J131" s="89">
        <f>SUM(J128:J130)</f>
        <v>70399.150000000009</v>
      </c>
    </row>
    <row r="132" spans="2:10" ht="15" thickTop="1">
      <c r="B132" s="52" t="s">
        <v>1</v>
      </c>
      <c r="D132" s="65"/>
      <c r="E132" s="65">
        <v>32120</v>
      </c>
      <c r="F132" s="65"/>
      <c r="G132" s="77"/>
      <c r="H132" s="52">
        <v>921</v>
      </c>
    </row>
    <row r="133" spans="2:10">
      <c r="B133" s="52">
        <v>588</v>
      </c>
      <c r="D133" s="65">
        <v>816588.29</v>
      </c>
      <c r="E133" s="65"/>
      <c r="F133" s="65"/>
      <c r="G133" s="65"/>
      <c r="H133" s="52">
        <v>921.2</v>
      </c>
    </row>
    <row r="134" spans="2:10">
      <c r="B134" s="52">
        <v>588.1</v>
      </c>
      <c r="D134" s="80">
        <v>230213.02</v>
      </c>
      <c r="H134" s="52">
        <v>921.4</v>
      </c>
      <c r="J134" s="63">
        <v>279600</v>
      </c>
    </row>
    <row r="135" spans="2:10" ht="15" thickBot="1">
      <c r="D135" s="91">
        <f>SUM(D133:D134)</f>
        <v>1046801.31</v>
      </c>
      <c r="H135" s="52">
        <v>921.5</v>
      </c>
      <c r="J135" s="90">
        <v>85798.04</v>
      </c>
    </row>
    <row r="136" spans="2:10" ht="15" thickTop="1">
      <c r="H136" s="52">
        <v>921.7</v>
      </c>
      <c r="J136" s="90">
        <v>13450</v>
      </c>
    </row>
    <row r="137" spans="2:10">
      <c r="J137" s="90">
        <v>1740</v>
      </c>
    </row>
    <row r="138" spans="2:10" ht="15" thickBot="1">
      <c r="B138" s="52">
        <v>593</v>
      </c>
      <c r="D138" s="80">
        <v>1056170.58</v>
      </c>
      <c r="J138" s="91">
        <f>SUM(J134:J137)</f>
        <v>380588.04</v>
      </c>
    </row>
    <row r="139" spans="2:10" ht="15" thickTop="1">
      <c r="B139" s="52">
        <v>593.1</v>
      </c>
      <c r="D139" s="80">
        <v>351000.08</v>
      </c>
      <c r="H139" s="52">
        <v>930</v>
      </c>
    </row>
    <row r="140" spans="2:10">
      <c r="B140" s="52">
        <v>593.20000000000005</v>
      </c>
      <c r="D140" s="80">
        <v>1832599.6</v>
      </c>
      <c r="H140" s="52">
        <v>930.2</v>
      </c>
    </row>
    <row r="141" spans="2:10">
      <c r="B141" s="52">
        <v>593.4</v>
      </c>
      <c r="D141" s="80">
        <v>82801.45</v>
      </c>
      <c r="H141" s="52">
        <v>930.3</v>
      </c>
      <c r="J141" s="90">
        <v>13707.82</v>
      </c>
    </row>
    <row r="142" spans="2:10">
      <c r="B142" s="52">
        <v>593.5</v>
      </c>
      <c r="D142" s="80">
        <v>89191.42</v>
      </c>
      <c r="H142" s="52">
        <v>930.4</v>
      </c>
      <c r="J142" s="90">
        <v>13609.33</v>
      </c>
    </row>
    <row r="143" spans="2:10" ht="15" thickBot="1">
      <c r="B143" s="52">
        <v>593.6</v>
      </c>
      <c r="D143" s="80">
        <v>60558.81</v>
      </c>
      <c r="J143" s="92">
        <f>(J141-J142)</f>
        <v>98.489999999999782</v>
      </c>
    </row>
    <row r="144" spans="2:10" ht="15.75" thickTop="1" thickBot="1">
      <c r="D144" s="93">
        <f>SUM(D138:D143)</f>
        <v>3472321.9400000004</v>
      </c>
    </row>
    <row r="145" spans="8:10" ht="15" thickTop="1">
      <c r="H145" s="52">
        <v>932.1</v>
      </c>
      <c r="J145" s="90">
        <v>19554.82</v>
      </c>
    </row>
    <row r="146" spans="8:10">
      <c r="H146" s="52">
        <v>935</v>
      </c>
      <c r="J146" s="90">
        <v>9009.16</v>
      </c>
    </row>
    <row r="147" spans="8:10" ht="15" thickBot="1">
      <c r="J147" s="92">
        <f>(J145-J146)</f>
        <v>10545.66</v>
      </c>
    </row>
    <row r="148" spans="8:10" ht="15" thickTop="1"/>
    <row r="149" spans="8:10">
      <c r="J149" s="52">
        <v>493.06</v>
      </c>
    </row>
    <row r="150" spans="8:10">
      <c r="J150" s="90">
        <v>42202.03</v>
      </c>
    </row>
    <row r="151" spans="8:10">
      <c r="J151" s="52">
        <v>122.45</v>
      </c>
    </row>
    <row r="152" spans="8:10">
      <c r="J152" s="90">
        <v>44482.13</v>
      </c>
    </row>
    <row r="153" spans="8:10" ht="15" thickBot="1">
      <c r="J153" s="94">
        <f>SUM(J149:J152)</f>
        <v>87299.669999999984</v>
      </c>
    </row>
    <row r="154" spans="8:10" ht="15" thickTop="1"/>
  </sheetData>
  <customSheetViews>
    <customSheetView guid="{18050E3F-BBF0-4BF6-9B33-B0817BE1B1C5}" scale="60" showPageBreaks="1" printArea="1" view="pageBreakPreview" showRuler="0" topLeftCell="D1">
      <pane ySplit="8" topLeftCell="A86" activePane="bottomLeft" state="frozen"/>
      <selection pane="bottomLeft" activeCell="M84" sqref="M84"/>
      <rowBreaks count="3" manualBreakCount="3">
        <brk id="51" max="14" man="1"/>
        <brk id="107" max="13" man="1"/>
        <brk id="109" max="14" man="1"/>
      </rowBreaks>
      <pageMargins left="0.75" right="0.75" top="1" bottom="1" header="0.5" footer="0.5"/>
      <printOptions horizontalCentered="1" verticalCentered="1" gridLines="1"/>
      <pageSetup scale="59" orientation="landscape" horizontalDpi="4294967293" r:id="rId1"/>
      <headerFooter alignWithMargins="0">
        <oddHeader>&amp;C&amp;"Arial,Bold"&amp;12 SOUTH KENTUCKY RECC
TEST YEAR REVENUE REQUIREMENTS WITH ADJUSTMENTS&amp;RExhibit R
Schedule 1 ____
Page ____ of ____
Witness:  Jim Adkins</oddHeader>
      </headerFooter>
    </customSheetView>
  </customSheetViews>
  <phoneticPr fontId="16" type="noConversion"/>
  <printOptions horizontalCentered="1" verticalCentered="1" gridLines="1"/>
  <pageMargins left="0.75" right="0.75" top="1" bottom="0.76" header="0.5" footer="0.5"/>
  <pageSetup scale="71" orientation="portrait" horizontalDpi="4294967293" r:id="rId2"/>
  <headerFooter alignWithMargins="0">
    <oddHeader>&amp;C&amp;"Arial,Bold"&amp;12BLUE GRASS ENERGY COOPERATIVE
CASE NO. 2014-00339
TEST YEAR REVENUE REQUIREMENTS WITH ADJUSTMENTS&amp;RExhibit R
Schedule 1 
Page ____ of ____
Witness:  Jim Adkins</oddHeader>
  </headerFooter>
  <rowBreaks count="2" manualBreakCount="2">
    <brk id="52" max="9" man="1"/>
    <brk id="113" max="14" man="1"/>
  </rowBreak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154"/>
  <sheetViews>
    <sheetView topLeftCell="A5" zoomScaleNormal="100" workbookViewId="0">
      <pane xSplit="4" ySplit="4" topLeftCell="E9" activePane="bottomRight" state="frozen"/>
      <selection activeCell="A5" sqref="A5"/>
      <selection pane="topRight" activeCell="E5" sqref="E5"/>
      <selection pane="bottomLeft" activeCell="A9" sqref="A9"/>
      <selection pane="bottomRight" activeCell="F18" sqref="F18"/>
    </sheetView>
  </sheetViews>
  <sheetFormatPr defaultRowHeight="14.25"/>
  <cols>
    <col min="1" max="1" width="4" style="52" customWidth="1"/>
    <col min="2" max="2" width="9" style="52" customWidth="1"/>
    <col min="3" max="3" width="40.7109375" style="52" customWidth="1"/>
    <col min="4" max="4" width="15.140625" style="52" customWidth="1"/>
    <col min="5" max="5" width="1.5703125" style="52" customWidth="1"/>
    <col min="6" max="14" width="14.85546875" style="52" customWidth="1"/>
    <col min="15" max="15" width="16.28515625" style="52" customWidth="1"/>
    <col min="16" max="16" width="14" style="52" customWidth="1"/>
    <col min="17" max="17" width="15.140625" style="52" customWidth="1"/>
    <col min="18" max="18" width="2.85546875" style="52" customWidth="1"/>
    <col min="19" max="19" width="14.28515625" style="52" customWidth="1"/>
    <col min="20" max="20" width="16.140625" style="52" bestFit="1" customWidth="1"/>
    <col min="21" max="21" width="16.5703125" style="52" bestFit="1" customWidth="1"/>
    <col min="22" max="22" width="16.42578125" style="52" bestFit="1" customWidth="1"/>
    <col min="23" max="23" width="11.5703125" style="52" bestFit="1" customWidth="1"/>
    <col min="24" max="24" width="9.7109375" style="52" bestFit="1" customWidth="1"/>
    <col min="25" max="16384" width="9.140625" style="52"/>
  </cols>
  <sheetData>
    <row r="2" spans="1:23" ht="15">
      <c r="A2" s="49"/>
      <c r="B2" s="49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 t="s">
        <v>1</v>
      </c>
      <c r="Q2" s="51" t="s">
        <v>1</v>
      </c>
      <c r="R2" s="51"/>
      <c r="S2" s="51"/>
    </row>
    <row r="3" spans="1:23" ht="15">
      <c r="A3" s="49"/>
      <c r="B3" s="49"/>
      <c r="C3" s="50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spans="1:23" ht="15">
      <c r="A4" s="49"/>
      <c r="B4" s="49"/>
      <c r="C4" s="50"/>
      <c r="D4" s="871" t="s">
        <v>75</v>
      </c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</row>
    <row r="5" spans="1:23">
      <c r="A5" s="49"/>
      <c r="B5" s="53"/>
      <c r="C5" s="54"/>
      <c r="D5" s="50"/>
      <c r="E5" s="50"/>
      <c r="P5" s="50"/>
      <c r="Q5" s="50"/>
      <c r="R5" s="50"/>
      <c r="S5" s="55"/>
    </row>
    <row r="6" spans="1:23">
      <c r="A6" s="49"/>
      <c r="B6" s="56"/>
      <c r="C6" s="49"/>
      <c r="D6" s="50"/>
      <c r="E6" s="49" t="s">
        <v>1</v>
      </c>
      <c r="F6" s="49"/>
      <c r="G6" s="49" t="s">
        <v>349</v>
      </c>
      <c r="H6" s="49"/>
      <c r="I6" s="49" t="s">
        <v>1</v>
      </c>
      <c r="J6" s="49" t="s">
        <v>353</v>
      </c>
      <c r="K6" s="49"/>
      <c r="L6" s="49"/>
      <c r="M6" s="49"/>
      <c r="N6" s="49"/>
      <c r="O6" s="49" t="s">
        <v>437</v>
      </c>
      <c r="P6" s="49" t="s">
        <v>318</v>
      </c>
      <c r="Q6" s="49" t="s">
        <v>15</v>
      </c>
      <c r="R6" s="49"/>
      <c r="S6" s="57"/>
    </row>
    <row r="7" spans="1:23">
      <c r="A7" s="49"/>
      <c r="B7" s="56" t="s">
        <v>16</v>
      </c>
      <c r="C7" s="50" t="s">
        <v>17</v>
      </c>
      <c r="D7" s="49" t="s">
        <v>72</v>
      </c>
      <c r="E7" s="49" t="s">
        <v>1</v>
      </c>
      <c r="F7" s="49" t="s">
        <v>433</v>
      </c>
      <c r="G7" s="49" t="s">
        <v>434</v>
      </c>
      <c r="H7" s="49" t="s">
        <v>432</v>
      </c>
      <c r="I7" s="58" t="s">
        <v>435</v>
      </c>
      <c r="J7" s="58" t="s">
        <v>436</v>
      </c>
      <c r="K7" s="58" t="s">
        <v>450</v>
      </c>
      <c r="L7" s="58"/>
      <c r="M7" s="58" t="s">
        <v>345</v>
      </c>
      <c r="N7" s="58" t="s">
        <v>454</v>
      </c>
      <c r="O7" s="58" t="s">
        <v>438</v>
      </c>
      <c r="P7" s="59" t="s">
        <v>4</v>
      </c>
      <c r="Q7" s="49" t="s">
        <v>365</v>
      </c>
      <c r="R7" s="49"/>
      <c r="S7" s="57" t="s">
        <v>2</v>
      </c>
    </row>
    <row r="8" spans="1:23">
      <c r="A8" s="49"/>
      <c r="B8" s="56" t="s">
        <v>18</v>
      </c>
      <c r="C8" s="50"/>
      <c r="D8" s="59" t="s">
        <v>0</v>
      </c>
      <c r="E8" s="49" t="s">
        <v>1</v>
      </c>
      <c r="F8" s="60" t="s">
        <v>231</v>
      </c>
      <c r="G8" s="60" t="s">
        <v>231</v>
      </c>
      <c r="H8" s="60" t="s">
        <v>231</v>
      </c>
      <c r="I8" s="60" t="s">
        <v>231</v>
      </c>
      <c r="J8" s="60" t="s">
        <v>231</v>
      </c>
      <c r="K8" s="60" t="s">
        <v>434</v>
      </c>
      <c r="L8" s="60" t="s">
        <v>451</v>
      </c>
      <c r="M8" s="60" t="s">
        <v>452</v>
      </c>
      <c r="N8" s="60" t="s">
        <v>455</v>
      </c>
      <c r="O8" s="60" t="s">
        <v>231</v>
      </c>
      <c r="P8" s="443" t="s">
        <v>231</v>
      </c>
      <c r="Q8" s="444" t="s">
        <v>366</v>
      </c>
      <c r="R8" s="59"/>
      <c r="S8" s="61" t="s">
        <v>0</v>
      </c>
    </row>
    <row r="9" spans="1:23">
      <c r="A9" s="49"/>
      <c r="B9" s="56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62" t="s">
        <v>232</v>
      </c>
      <c r="Q9" s="63"/>
      <c r="R9" s="50"/>
      <c r="S9" s="55"/>
    </row>
    <row r="10" spans="1:23">
      <c r="A10" s="49"/>
      <c r="B10" s="56">
        <v>555</v>
      </c>
      <c r="C10" s="50" t="s">
        <v>19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4"/>
    </row>
    <row r="11" spans="1:23">
      <c r="A11" s="49"/>
      <c r="B11" s="56"/>
      <c r="C11" s="50" t="s">
        <v>247</v>
      </c>
      <c r="D11" s="63" t="s">
        <v>1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>
        <f>(T11-U11)</f>
        <v>51687.096335999668</v>
      </c>
      <c r="Q11" s="63">
        <f>P11</f>
        <v>51687.096335999668</v>
      </c>
      <c r="R11" s="63"/>
      <c r="S11" s="64">
        <f>(U11+Q11)</f>
        <v>18577420.386335999</v>
      </c>
      <c r="T11" s="65">
        <f>SUM('Power Cost'!H92:K92)</f>
        <v>18577420.386335999</v>
      </c>
      <c r="U11" s="65">
        <v>18525733.289999999</v>
      </c>
    </row>
    <row r="12" spans="1:23">
      <c r="A12" s="49"/>
      <c r="B12" s="56"/>
      <c r="C12" s="50" t="s">
        <v>329</v>
      </c>
      <c r="D12" s="63" t="s">
        <v>1</v>
      </c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>
        <f>(T12-U12)</f>
        <v>57024</v>
      </c>
      <c r="Q12" s="63">
        <f>P12</f>
        <v>57024</v>
      </c>
      <c r="R12" s="63"/>
      <c r="S12" s="64">
        <f>(U12+Q12)</f>
        <v>1545492</v>
      </c>
      <c r="T12" s="52">
        <f>('Power Cost'!U90)</f>
        <v>1545492</v>
      </c>
      <c r="U12" s="65">
        <v>1488468</v>
      </c>
    </row>
    <row r="13" spans="1:23">
      <c r="A13" s="49"/>
      <c r="B13" s="56"/>
      <c r="C13" s="50" t="s">
        <v>248</v>
      </c>
      <c r="D13" s="63" t="s">
        <v>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>
        <f>(T13-U13)</f>
        <v>-269797.21772150695</v>
      </c>
      <c r="Q13" s="63">
        <f>P13</f>
        <v>-269797.21772150695</v>
      </c>
      <c r="R13" s="63"/>
      <c r="S13" s="64">
        <f>(U13+Q13)</f>
        <v>63975165.819166496</v>
      </c>
      <c r="T13" s="65">
        <f>SUM('Power Cost'!N93)-(T14)</f>
        <v>63975165.819166496</v>
      </c>
      <c r="U13" s="65">
        <v>64244963.036888003</v>
      </c>
      <c r="V13" s="65">
        <v>75910446</v>
      </c>
      <c r="W13" s="66">
        <f>(V13-S13)</f>
        <v>11935280.180833504</v>
      </c>
    </row>
    <row r="14" spans="1:23">
      <c r="A14" s="49"/>
      <c r="B14" s="56"/>
      <c r="C14" s="50" t="s">
        <v>249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f>(T14-U14)</f>
        <v>0</v>
      </c>
      <c r="Q14" s="63">
        <f>P14</f>
        <v>0</v>
      </c>
      <c r="R14" s="63"/>
      <c r="S14" s="64">
        <f>(U14+Q14)</f>
        <v>6455.25</v>
      </c>
      <c r="T14" s="52">
        <f>('Power Cost'!U91)</f>
        <v>6455.25</v>
      </c>
      <c r="U14" s="65">
        <v>6455.25</v>
      </c>
    </row>
    <row r="15" spans="1:23">
      <c r="A15" s="49"/>
      <c r="B15" s="56"/>
      <c r="C15" s="50" t="s">
        <v>453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3">
        <v>0</v>
      </c>
      <c r="Q15" s="63">
        <f>P15</f>
        <v>0</v>
      </c>
      <c r="R15" s="63"/>
      <c r="S15" s="64">
        <f>(U15+Q15)</f>
        <v>0</v>
      </c>
      <c r="T15" s="52">
        <v>0</v>
      </c>
      <c r="U15" s="65">
        <v>0</v>
      </c>
    </row>
    <row r="16" spans="1:23" ht="15">
      <c r="A16" s="49"/>
      <c r="B16" s="56"/>
      <c r="C16" s="68" t="s">
        <v>20</v>
      </c>
      <c r="D16" s="69">
        <v>96070322</v>
      </c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>
        <f>(S16-D16)</f>
        <v>-11965788.544497505</v>
      </c>
      <c r="Q16" s="69">
        <f>SUM(F16:P16)</f>
        <v>-11965788.544497505</v>
      </c>
      <c r="R16" s="69"/>
      <c r="S16" s="70">
        <f>SUM(S11:S15)</f>
        <v>84104533.455502495</v>
      </c>
      <c r="T16" s="70">
        <f>SUM(T11:T15)</f>
        <v>84104533.455502495</v>
      </c>
      <c r="U16" s="66">
        <f>SUM(U11:U15)</f>
        <v>84265619.576887995</v>
      </c>
    </row>
    <row r="17" spans="1:21">
      <c r="A17" s="49"/>
      <c r="B17" s="56"/>
      <c r="C17" s="50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4"/>
    </row>
    <row r="18" spans="1:21">
      <c r="A18" s="49"/>
      <c r="B18" s="56">
        <v>580</v>
      </c>
      <c r="C18" s="50" t="s">
        <v>21</v>
      </c>
      <c r="D18" s="63">
        <v>234904.52</v>
      </c>
      <c r="E18" s="63"/>
      <c r="F18" s="63">
        <f>'1.1TYAdj.'!U4</f>
        <v>941.74454491507936</v>
      </c>
      <c r="G18" s="63">
        <f>'1.1TYAdj.'!V4</f>
        <v>165.76383769901807</v>
      </c>
      <c r="H18" s="63"/>
      <c r="I18" s="63"/>
      <c r="J18" s="63">
        <f>'1.1TYAdj.'!X4</f>
        <v>751.53892826888762</v>
      </c>
      <c r="K18" s="63"/>
      <c r="L18" s="63"/>
      <c r="M18" s="63"/>
      <c r="N18" s="63"/>
      <c r="O18" s="63"/>
      <c r="P18" s="63" t="s">
        <v>1</v>
      </c>
      <c r="Q18" s="63">
        <f t="shared" ref="Q18:Q26" si="0">SUM(F18:P18)</f>
        <v>1859.0473108829851</v>
      </c>
      <c r="R18" s="63"/>
      <c r="S18" s="64">
        <f>SUM(D18,F18:P18)</f>
        <v>236763.56731088297</v>
      </c>
    </row>
    <row r="19" spans="1:21">
      <c r="A19" s="49"/>
      <c r="B19" s="56">
        <v>581</v>
      </c>
      <c r="C19" s="50" t="s">
        <v>314</v>
      </c>
      <c r="D19" s="63">
        <v>0</v>
      </c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>
        <f t="shared" si="0"/>
        <v>0</v>
      </c>
      <c r="R19" s="63"/>
      <c r="S19" s="64">
        <f t="shared" ref="S19:S27" si="1">SUM(D19,F19:P19)</f>
        <v>0</v>
      </c>
      <c r="U19" s="66">
        <f>SUM(Q11:Q15)</f>
        <v>-161086.12138550729</v>
      </c>
    </row>
    <row r="20" spans="1:21">
      <c r="A20" s="49"/>
      <c r="B20" s="56">
        <v>582</v>
      </c>
      <c r="C20" s="50" t="s">
        <v>22</v>
      </c>
      <c r="D20" s="63">
        <v>50572.11</v>
      </c>
      <c r="E20" s="63"/>
      <c r="F20" s="63">
        <f>'1.1TYAdj.'!U5</f>
        <v>202.74624224917144</v>
      </c>
      <c r="G20" s="63">
        <f>'1.1TYAdj.'!V5</f>
        <v>35.686954998298411</v>
      </c>
      <c r="H20" s="63"/>
      <c r="I20" s="63"/>
      <c r="J20" s="63">
        <f>'1.1TYAdj.'!X5</f>
        <v>161.79726703298982</v>
      </c>
      <c r="K20" s="63"/>
      <c r="L20" s="63"/>
      <c r="M20" s="63"/>
      <c r="N20" s="63"/>
      <c r="O20" s="63"/>
      <c r="P20" s="63" t="s">
        <v>1</v>
      </c>
      <c r="Q20" s="63">
        <f t="shared" si="0"/>
        <v>400.23046428045967</v>
      </c>
      <c r="R20" s="63"/>
      <c r="S20" s="64">
        <f t="shared" si="1"/>
        <v>50972.34046428046</v>
      </c>
    </row>
    <row r="21" spans="1:21">
      <c r="A21" s="49"/>
      <c r="B21" s="56">
        <v>583</v>
      </c>
      <c r="C21" s="50" t="s">
        <v>23</v>
      </c>
      <c r="D21" s="63">
        <v>1260597.81</v>
      </c>
      <c r="E21" s="63"/>
      <c r="F21" s="63">
        <f>'1.1TYAdj.'!U6</f>
        <v>5053.8027573900908</v>
      </c>
      <c r="G21" s="63">
        <f>'1.1TYAdj.'!V6</f>
        <v>889.55942942510273</v>
      </c>
      <c r="H21" s="63"/>
      <c r="I21" s="63"/>
      <c r="J21" s="63">
        <f>'1.1TYAdj.'!X6</f>
        <v>4033.0783209514525</v>
      </c>
      <c r="K21" s="63"/>
      <c r="L21" s="63"/>
      <c r="M21" s="63"/>
      <c r="N21" s="63"/>
      <c r="O21" s="63"/>
      <c r="P21" s="63" t="s">
        <v>1</v>
      </c>
      <c r="Q21" s="63">
        <f t="shared" si="0"/>
        <v>9976.4405077666452</v>
      </c>
      <c r="R21" s="63"/>
      <c r="S21" s="64">
        <f t="shared" si="1"/>
        <v>1270574.2505077666</v>
      </c>
    </row>
    <row r="22" spans="1:21">
      <c r="A22" s="49"/>
      <c r="B22" s="56">
        <v>584</v>
      </c>
      <c r="C22" s="50" t="s">
        <v>24</v>
      </c>
      <c r="D22" s="63">
        <v>120534.27</v>
      </c>
      <c r="E22" s="63"/>
      <c r="F22" s="63">
        <f>'1.1TYAdj.'!U7</f>
        <v>483.22821224479338</v>
      </c>
      <c r="G22" s="63">
        <f>'1.1TYAdj.'!V7</f>
        <v>85.056784643605937</v>
      </c>
      <c r="H22" s="63"/>
      <c r="I22" s="63"/>
      <c r="J22" s="63">
        <f>'1.1TYAdj.'!X7</f>
        <v>385.62985546413813</v>
      </c>
      <c r="K22" s="63"/>
      <c r="L22" s="63"/>
      <c r="M22" s="63"/>
      <c r="N22" s="63"/>
      <c r="O22" s="63"/>
      <c r="P22" s="63" t="s">
        <v>1</v>
      </c>
      <c r="Q22" s="63">
        <f t="shared" si="0"/>
        <v>953.91485235253742</v>
      </c>
      <c r="R22" s="63"/>
      <c r="S22" s="64">
        <f t="shared" si="1"/>
        <v>121488.18485235254</v>
      </c>
    </row>
    <row r="23" spans="1:21">
      <c r="A23" s="49"/>
      <c r="B23" s="56">
        <v>585</v>
      </c>
      <c r="C23" s="50" t="s">
        <v>229</v>
      </c>
      <c r="D23" s="63">
        <v>26089.27</v>
      </c>
      <c r="E23" s="63"/>
      <c r="F23" s="63">
        <f>'1.1TYAdj.'!U8</f>
        <v>104.59325220015619</v>
      </c>
      <c r="G23" s="63">
        <f>'1.1TYAdj.'!V8</f>
        <v>18.410278005573758</v>
      </c>
      <c r="H23" s="63"/>
      <c r="I23" s="63"/>
      <c r="J23" s="63">
        <f>'1.1TYAdj.'!X8</f>
        <v>83.468389689213481</v>
      </c>
      <c r="K23" s="63"/>
      <c r="L23" s="63"/>
      <c r="M23" s="63"/>
      <c r="N23" s="63"/>
      <c r="O23" s="63"/>
      <c r="P23" s="50"/>
      <c r="Q23" s="63">
        <f t="shared" si="0"/>
        <v>206.47191989494343</v>
      </c>
      <c r="R23" s="63"/>
      <c r="S23" s="64">
        <f t="shared" si="1"/>
        <v>26295.741919894943</v>
      </c>
    </row>
    <row r="24" spans="1:21">
      <c r="A24" s="49"/>
      <c r="B24" s="56">
        <v>586</v>
      </c>
      <c r="C24" s="50" t="s">
        <v>25</v>
      </c>
      <c r="D24" s="63">
        <v>517709.94</v>
      </c>
      <c r="E24" s="63"/>
      <c r="F24" s="63">
        <f>'1.1TYAdj.'!U9</f>
        <v>2075.5263110446449</v>
      </c>
      <c r="G24" s="63">
        <f>'1.1TYAdj.'!V9</f>
        <v>365.32965167859857</v>
      </c>
      <c r="H24" s="63"/>
      <c r="I24" s="63"/>
      <c r="J24" s="63">
        <f>'1.1TYAdj.'!X9</f>
        <v>1656.3290202408627</v>
      </c>
      <c r="K24" s="63"/>
      <c r="L24" s="63"/>
      <c r="M24" s="63"/>
      <c r="N24" s="63"/>
      <c r="O24" s="63"/>
      <c r="P24" s="63" t="s">
        <v>1</v>
      </c>
      <c r="Q24" s="63">
        <f t="shared" si="0"/>
        <v>4097.184982964106</v>
      </c>
      <c r="R24" s="63"/>
      <c r="S24" s="64">
        <f t="shared" si="1"/>
        <v>521807.12498296413</v>
      </c>
    </row>
    <row r="25" spans="1:21">
      <c r="A25" s="49"/>
      <c r="B25" s="56">
        <v>587</v>
      </c>
      <c r="C25" s="50" t="s">
        <v>26</v>
      </c>
      <c r="D25" s="63">
        <v>305880.98</v>
      </c>
      <c r="E25" s="63"/>
      <c r="F25" s="63">
        <f>'1.1TYAdj.'!U10</f>
        <v>1226.2928968258186</v>
      </c>
      <c r="G25" s="63">
        <f>'1.1TYAdj.'!V10</f>
        <v>215.84942309299367</v>
      </c>
      <c r="H25" s="63"/>
      <c r="I25" s="63"/>
      <c r="J25" s="63">
        <f>'1.1TYAdj.'!X10</f>
        <v>978.61660510848003</v>
      </c>
      <c r="K25" s="63"/>
      <c r="L25" s="63"/>
      <c r="M25" s="63"/>
      <c r="N25" s="63"/>
      <c r="O25" s="63"/>
      <c r="P25" s="63" t="s">
        <v>1</v>
      </c>
      <c r="Q25" s="63">
        <f t="shared" si="0"/>
        <v>2420.7589250272922</v>
      </c>
      <c r="R25" s="63"/>
      <c r="S25" s="64">
        <f t="shared" si="1"/>
        <v>308301.73892502731</v>
      </c>
    </row>
    <row r="26" spans="1:21">
      <c r="A26" s="49"/>
      <c r="B26" s="56">
        <v>588</v>
      </c>
      <c r="C26" s="50" t="s">
        <v>27</v>
      </c>
      <c r="D26" s="63">
        <v>181456.8</v>
      </c>
      <c r="E26" s="63"/>
      <c r="F26" s="63">
        <f>'1.1TYAdj.'!U11</f>
        <v>727.46983130740341</v>
      </c>
      <c r="G26" s="63">
        <f>'1.1TYAdj.'!V11</f>
        <v>128.04766610954607</v>
      </c>
      <c r="H26" s="63">
        <f>[3]adjustments!$F$21</f>
        <v>846.49746175151256</v>
      </c>
      <c r="I26" s="63"/>
      <c r="J26" s="63">
        <f>'1.1TYAdj.'!X11</f>
        <v>580.54161324397637</v>
      </c>
      <c r="K26" s="63">
        <f>[3]adjustments!$I$21</f>
        <v>16382.168055784898</v>
      </c>
      <c r="L26" s="63"/>
      <c r="M26" s="63"/>
      <c r="N26" s="63"/>
      <c r="O26" s="63"/>
      <c r="P26" s="63" t="s">
        <v>1</v>
      </c>
      <c r="Q26" s="63">
        <f t="shared" si="0"/>
        <v>18664.724628197335</v>
      </c>
      <c r="R26" s="63"/>
      <c r="S26" s="64">
        <f t="shared" si="1"/>
        <v>200121.52462819731</v>
      </c>
    </row>
    <row r="27" spans="1:21">
      <c r="A27" s="49"/>
      <c r="B27" s="56">
        <v>589</v>
      </c>
      <c r="C27" s="50" t="s">
        <v>28</v>
      </c>
      <c r="D27" s="67">
        <v>0</v>
      </c>
      <c r="E27" s="67"/>
      <c r="F27" s="67" t="s">
        <v>1</v>
      </c>
      <c r="G27" s="67"/>
      <c r="H27" s="67"/>
      <c r="I27" s="67"/>
      <c r="J27" s="67"/>
      <c r="K27" s="67"/>
      <c r="L27" s="67"/>
      <c r="M27" s="67"/>
      <c r="N27" s="67"/>
      <c r="O27" s="67"/>
      <c r="P27" s="67">
        <v>0</v>
      </c>
      <c r="Q27" s="67"/>
      <c r="R27" s="67"/>
      <c r="S27" s="71">
        <f t="shared" si="1"/>
        <v>0</v>
      </c>
    </row>
    <row r="28" spans="1:21" ht="15">
      <c r="A28" s="49"/>
      <c r="B28" s="56"/>
      <c r="C28" s="68" t="s">
        <v>76</v>
      </c>
      <c r="D28" s="69">
        <f>SUM(D18:D27)</f>
        <v>2697745.6999999997</v>
      </c>
      <c r="E28" s="69"/>
      <c r="F28" s="69">
        <f t="shared" ref="F28:R28" si="2">SUM(F18:F27)</f>
        <v>10815.404048177157</v>
      </c>
      <c r="G28" s="69">
        <f t="shared" si="2"/>
        <v>1903.7040256527371</v>
      </c>
      <c r="H28" s="69">
        <f t="shared" si="2"/>
        <v>846.49746175151256</v>
      </c>
      <c r="I28" s="69">
        <f t="shared" si="2"/>
        <v>0</v>
      </c>
      <c r="J28" s="69">
        <f t="shared" si="2"/>
        <v>8631</v>
      </c>
      <c r="K28" s="69">
        <f t="shared" si="2"/>
        <v>16382.168055784898</v>
      </c>
      <c r="L28" s="69"/>
      <c r="M28" s="69"/>
      <c r="N28" s="69"/>
      <c r="O28" s="69"/>
      <c r="P28" s="69">
        <f t="shared" si="2"/>
        <v>0</v>
      </c>
      <c r="Q28" s="69">
        <f>SUM(F28:P28)</f>
        <v>38578.773591366305</v>
      </c>
      <c r="R28" s="69">
        <f t="shared" si="2"/>
        <v>0</v>
      </c>
      <c r="S28" s="70">
        <f>SUM(D28,F28:P28)</f>
        <v>2736324.4735913659</v>
      </c>
      <c r="U28" s="66">
        <f>SUM(S18:S27)</f>
        <v>2736324.4735913663</v>
      </c>
    </row>
    <row r="29" spans="1:21">
      <c r="A29" s="49"/>
      <c r="B29" s="72"/>
      <c r="C29" s="50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4" t="s">
        <v>1</v>
      </c>
    </row>
    <row r="30" spans="1:21">
      <c r="A30" s="49"/>
      <c r="B30" s="56">
        <v>590</v>
      </c>
      <c r="C30" s="50" t="s">
        <v>29</v>
      </c>
      <c r="D30" s="63">
        <f>24036.59+280697.28</f>
        <v>304733.87000000005</v>
      </c>
      <c r="E30" s="63"/>
      <c r="F30" s="63">
        <f>'1.1TYAdj.'!U15</f>
        <v>1738.4400222418942</v>
      </c>
      <c r="G30" s="63">
        <f>'1.1TYAdj.'!V15</f>
        <v>305.99645227822174</v>
      </c>
      <c r="H30" s="63"/>
      <c r="I30" s="63"/>
      <c r="J30" s="63">
        <f>'1.1TYAdj.'!X15</f>
        <v>1387.2974482582767</v>
      </c>
      <c r="K30" s="63"/>
      <c r="L30" s="63"/>
      <c r="M30" s="63"/>
      <c r="N30" s="63"/>
      <c r="O30" s="63"/>
      <c r="P30" s="63" t="s">
        <v>1</v>
      </c>
      <c r="Q30" s="63">
        <f t="shared" ref="Q30:Q37" si="3">SUM(F30:P30)</f>
        <v>3431.7339227783928</v>
      </c>
      <c r="R30" s="63"/>
      <c r="S30" s="64">
        <f>SUM(D30,F30:P30)</f>
        <v>308165.60392277845</v>
      </c>
    </row>
    <row r="31" spans="1:21">
      <c r="A31" s="49"/>
      <c r="B31" s="56">
        <v>592</v>
      </c>
      <c r="C31" s="50" t="s">
        <v>30</v>
      </c>
      <c r="D31" s="63">
        <v>149.99</v>
      </c>
      <c r="E31" s="50"/>
      <c r="F31" s="63">
        <f>'1.1TYAdj.'!U16</f>
        <v>0.85566011725595748</v>
      </c>
      <c r="G31" s="63">
        <f>'1.1TYAdj.'!V16</f>
        <v>0.15061144295253584</v>
      </c>
      <c r="H31" s="50"/>
      <c r="I31" s="50"/>
      <c r="J31" s="63">
        <f>'1.1TYAdj.'!X16</f>
        <v>0.68282775480211277</v>
      </c>
      <c r="K31" s="63"/>
      <c r="L31" s="63"/>
      <c r="M31" s="63"/>
      <c r="N31" s="63"/>
      <c r="O31" s="50"/>
      <c r="P31" s="50"/>
      <c r="Q31" s="63">
        <f t="shared" si="3"/>
        <v>1.6890993150106062</v>
      </c>
      <c r="R31" s="63"/>
      <c r="S31" s="64">
        <f t="shared" ref="S31:S37" si="4">SUM(D31,F31:P31)</f>
        <v>151.6790993150106</v>
      </c>
    </row>
    <row r="32" spans="1:21">
      <c r="A32" s="49"/>
      <c r="B32" s="56">
        <v>593</v>
      </c>
      <c r="C32" s="50" t="s">
        <v>31</v>
      </c>
      <c r="D32" s="63">
        <f>1416756.57+2823570.35+572737.64+0</f>
        <v>4813064.5599999996</v>
      </c>
      <c r="E32" s="63"/>
      <c r="F32" s="63">
        <f>'1.1TYAdj.'!U17</f>
        <v>27457.479737116424</v>
      </c>
      <c r="G32" s="63">
        <f>'1.1TYAdj.'!V17</f>
        <v>4833.0061897813985</v>
      </c>
      <c r="H32" s="63"/>
      <c r="I32" s="63"/>
      <c r="J32" s="63">
        <f>'1.1TYAdj.'!X17</f>
        <v>21911.421209563428</v>
      </c>
      <c r="K32" s="63"/>
      <c r="L32" s="63"/>
      <c r="M32" s="63"/>
      <c r="N32" s="63"/>
      <c r="O32" s="63"/>
      <c r="P32" s="63" t="s">
        <v>1</v>
      </c>
      <c r="Q32" s="63">
        <f t="shared" si="3"/>
        <v>54201.907136461246</v>
      </c>
      <c r="R32" s="63"/>
      <c r="S32" s="64">
        <f t="shared" si="4"/>
        <v>4867266.4671364604</v>
      </c>
    </row>
    <row r="33" spans="1:23">
      <c r="A33" s="49"/>
      <c r="B33" s="56">
        <v>594</v>
      </c>
      <c r="C33" s="50" t="s">
        <v>32</v>
      </c>
      <c r="D33" s="63">
        <f>284957.92+17476.89</f>
        <v>302434.81</v>
      </c>
      <c r="E33" s="63"/>
      <c r="F33" s="63">
        <f>'1.1TYAdj.'!U18</f>
        <v>1725.3243882051015</v>
      </c>
      <c r="G33" s="63">
        <f>'1.1TYAdj.'!V18</f>
        <v>303.68786674562313</v>
      </c>
      <c r="H33" s="63"/>
      <c r="I33" s="63"/>
      <c r="J33" s="63">
        <f>'1.1TYAdj.'!X18</f>
        <v>1376.831003975622</v>
      </c>
      <c r="K33" s="63"/>
      <c r="L33" s="63"/>
      <c r="M33" s="63"/>
      <c r="N33" s="63"/>
      <c r="O33" s="63"/>
      <c r="P33" s="63" t="s">
        <v>1</v>
      </c>
      <c r="Q33" s="63">
        <f t="shared" si="3"/>
        <v>3405.8432589263466</v>
      </c>
      <c r="R33" s="63"/>
      <c r="S33" s="64">
        <f t="shared" si="4"/>
        <v>305840.65325892635</v>
      </c>
    </row>
    <row r="34" spans="1:23">
      <c r="A34" s="49"/>
      <c r="B34" s="56">
        <v>595</v>
      </c>
      <c r="C34" s="50" t="s">
        <v>33</v>
      </c>
      <c r="D34" s="63">
        <f>16801.08</f>
        <v>16801.080000000002</v>
      </c>
      <c r="E34" s="63"/>
      <c r="F34" s="63">
        <f>'1.1TYAdj.'!U19</f>
        <v>95.846483651088221</v>
      </c>
      <c r="G34" s="63">
        <f>'1.1TYAdj.'!V19</f>
        <v>16.870690725788325</v>
      </c>
      <c r="H34" s="63"/>
      <c r="I34" s="63"/>
      <c r="J34" s="63">
        <f>'1.1TYAdj.'!X19</f>
        <v>76.486724012605379</v>
      </c>
      <c r="K34" s="63"/>
      <c r="L34" s="63"/>
      <c r="M34" s="63"/>
      <c r="N34" s="63"/>
      <c r="O34" s="63"/>
      <c r="P34" s="63" t="s">
        <v>1</v>
      </c>
      <c r="Q34" s="63">
        <f t="shared" si="3"/>
        <v>189.20389838948194</v>
      </c>
      <c r="R34" s="63"/>
      <c r="S34" s="64">
        <f t="shared" si="4"/>
        <v>16990.28389838948</v>
      </c>
    </row>
    <row r="35" spans="1:23">
      <c r="A35" s="49"/>
      <c r="B35" s="56">
        <v>596</v>
      </c>
      <c r="C35" s="50" t="s">
        <v>361</v>
      </c>
      <c r="D35" s="63">
        <f>195353.39</f>
        <v>195353.39</v>
      </c>
      <c r="E35" s="63"/>
      <c r="F35" s="63">
        <f>'1.1TYAdj.'!U20</f>
        <v>1114.4483271801371</v>
      </c>
      <c r="G35" s="63">
        <f>'1.1TYAdj.'!V20</f>
        <v>196.16278387605499</v>
      </c>
      <c r="H35" s="63"/>
      <c r="I35" s="63"/>
      <c r="J35" s="63">
        <f>'1.1TYAdj.'!X20</f>
        <v>889.34406751571112</v>
      </c>
      <c r="K35" s="63"/>
      <c r="L35" s="63"/>
      <c r="M35" s="63"/>
      <c r="N35" s="63"/>
      <c r="O35" s="63"/>
      <c r="P35" s="50" t="s">
        <v>1</v>
      </c>
      <c r="Q35" s="63">
        <f t="shared" si="3"/>
        <v>2199.9551785719032</v>
      </c>
      <c r="R35" s="63"/>
      <c r="S35" s="64">
        <f t="shared" si="4"/>
        <v>197553.34517857194</v>
      </c>
    </row>
    <row r="36" spans="1:23">
      <c r="A36" s="49"/>
      <c r="B36" s="56">
        <v>597</v>
      </c>
      <c r="C36" s="50" t="s">
        <v>34</v>
      </c>
      <c r="D36" s="63">
        <f>193445.15</f>
        <v>193445.15</v>
      </c>
      <c r="E36" s="63"/>
      <c r="F36" s="63">
        <f>'1.1TYAdj.'!U21</f>
        <v>1103.5622356930212</v>
      </c>
      <c r="G36" s="63">
        <f>'1.1TYAdj.'!V21</f>
        <v>194.24663760030492</v>
      </c>
      <c r="H36" s="63"/>
      <c r="I36" s="63"/>
      <c r="J36" s="63">
        <f>'1.1TYAdj.'!X21</f>
        <v>880.65682680083944</v>
      </c>
      <c r="K36" s="63"/>
      <c r="L36" s="63"/>
      <c r="M36" s="63"/>
      <c r="N36" s="63"/>
      <c r="O36" s="63"/>
      <c r="P36" s="63" t="s">
        <v>1</v>
      </c>
      <c r="Q36" s="63">
        <f t="shared" si="3"/>
        <v>2178.4657000941656</v>
      </c>
      <c r="R36" s="63"/>
      <c r="S36" s="64">
        <f t="shared" si="4"/>
        <v>195623.61570009415</v>
      </c>
    </row>
    <row r="37" spans="1:23">
      <c r="A37" s="49"/>
      <c r="B37" s="56">
        <v>598</v>
      </c>
      <c r="C37" s="50" t="s">
        <v>35</v>
      </c>
      <c r="D37" s="67">
        <v>349101.35</v>
      </c>
      <c r="E37" s="67"/>
      <c r="F37" s="63">
        <f>'1.1TYAdj.'!U22</f>
        <v>1991.5467836203279</v>
      </c>
      <c r="G37" s="63">
        <f>'1.1TYAdj.'!V22</f>
        <v>350.54775691831617</v>
      </c>
      <c r="H37" s="67">
        <f>[3]adjustments!$F$22</f>
        <v>1513.4122315526838</v>
      </c>
      <c r="I37" s="67"/>
      <c r="J37" s="63">
        <f>'1.1TYAdj.'!X22</f>
        <v>1589.279892118718</v>
      </c>
      <c r="K37" s="63"/>
      <c r="L37" s="63"/>
      <c r="M37" s="63"/>
      <c r="N37" s="63"/>
      <c r="O37" s="67"/>
      <c r="P37" s="67" t="s">
        <v>1</v>
      </c>
      <c r="Q37" s="63">
        <f t="shared" si="3"/>
        <v>5444.7866642100462</v>
      </c>
      <c r="R37" s="67"/>
      <c r="S37" s="64">
        <f t="shared" si="4"/>
        <v>354546.13666421</v>
      </c>
    </row>
    <row r="38" spans="1:23" ht="15">
      <c r="A38" s="49"/>
      <c r="B38" s="56" t="s">
        <v>1</v>
      </c>
      <c r="C38" s="68" t="s">
        <v>79</v>
      </c>
      <c r="D38" s="69">
        <f>SUM(D30:D37)</f>
        <v>6175084.1999999993</v>
      </c>
      <c r="E38" s="69"/>
      <c r="F38" s="69">
        <f>SUM(F30:F37)</f>
        <v>35227.503637825241</v>
      </c>
      <c r="G38" s="69">
        <f>SUM(G30:G37)</f>
        <v>6200.6689893686598</v>
      </c>
      <c r="H38" s="69">
        <f>SUM(H30:H37)</f>
        <v>1513.4122315526838</v>
      </c>
      <c r="I38" s="69">
        <f>SUM(I30:I37)</f>
        <v>0</v>
      </c>
      <c r="J38" s="69">
        <f>SUM(J30:J37)</f>
        <v>28111.999999999996</v>
      </c>
      <c r="K38" s="69"/>
      <c r="L38" s="69"/>
      <c r="M38" s="69"/>
      <c r="N38" s="69"/>
      <c r="O38" s="69"/>
      <c r="P38" s="69">
        <f>SUM(P30:P37)</f>
        <v>0</v>
      </c>
      <c r="Q38" s="69">
        <f>SUM(E38:P38)</f>
        <v>71053.584858746573</v>
      </c>
      <c r="R38" s="69">
        <f>SUM(R30:R37)</f>
        <v>0</v>
      </c>
      <c r="S38" s="70">
        <f>SUM(D38,F38:P38)</f>
        <v>6246137.7848587455</v>
      </c>
      <c r="U38" s="66">
        <f>SUM(S30:S37)</f>
        <v>6246137.7848587455</v>
      </c>
      <c r="V38" s="65">
        <f>(S38-U38)</f>
        <v>0</v>
      </c>
      <c r="W38" s="66" t="s">
        <v>1</v>
      </c>
    </row>
    <row r="39" spans="1:23">
      <c r="A39" s="49"/>
      <c r="B39" s="56" t="s">
        <v>1</v>
      </c>
      <c r="C39" s="50" t="s">
        <v>1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4">
        <f>SUM(D39,F39:Q39)</f>
        <v>0</v>
      </c>
    </row>
    <row r="40" spans="1:23">
      <c r="A40" s="49"/>
      <c r="B40" s="56">
        <v>901</v>
      </c>
      <c r="C40" s="50" t="s">
        <v>36</v>
      </c>
      <c r="D40" s="63">
        <v>140605.04</v>
      </c>
      <c r="E40" s="63"/>
      <c r="F40" s="63">
        <f>'1.1TYAdj.'!U26</f>
        <v>1185.2476029509851</v>
      </c>
      <c r="G40" s="63">
        <f>'1.1TYAdj.'!V26</f>
        <v>208.62471925062636</v>
      </c>
      <c r="H40" s="63">
        <f>[3]adjustments!$F$23</f>
        <v>388.88014750776557</v>
      </c>
      <c r="I40" s="63"/>
      <c r="J40" s="63">
        <f>'1.1TYAdj.'!X26</f>
        <v>945.86103294797795</v>
      </c>
      <c r="K40" s="63"/>
      <c r="L40" s="63"/>
      <c r="M40" s="63"/>
      <c r="N40" s="63"/>
      <c r="O40" s="63"/>
      <c r="P40" s="63" t="s">
        <v>1</v>
      </c>
      <c r="Q40" s="63">
        <f>SUM(F40:P40)</f>
        <v>2728.6135026573547</v>
      </c>
      <c r="R40" s="63"/>
      <c r="S40" s="64">
        <f>SUM(D40,F40:P40)</f>
        <v>143333.65350265737</v>
      </c>
    </row>
    <row r="41" spans="1:23">
      <c r="A41" s="49"/>
      <c r="B41" s="56">
        <v>902</v>
      </c>
      <c r="C41" s="50" t="s">
        <v>37</v>
      </c>
      <c r="D41" s="63">
        <v>100208.98</v>
      </c>
      <c r="E41" s="63"/>
      <c r="F41" s="63">
        <f>'1.1TYAdj.'!U27</f>
        <v>844.72401088298966</v>
      </c>
      <c r="G41" s="63">
        <f>'1.1TYAdj.'!V27</f>
        <v>148.68649316476584</v>
      </c>
      <c r="H41" s="63"/>
      <c r="I41" s="63"/>
      <c r="J41" s="63">
        <f>'1.1TYAdj.'!X27</f>
        <v>674.11359744617437</v>
      </c>
      <c r="K41" s="63"/>
      <c r="L41" s="63"/>
      <c r="M41" s="63"/>
      <c r="N41" s="63"/>
      <c r="O41" s="63"/>
      <c r="P41" s="63" t="s">
        <v>1</v>
      </c>
      <c r="Q41" s="63">
        <f>SUM(F41:P41)</f>
        <v>1667.5241014939297</v>
      </c>
      <c r="R41" s="63"/>
      <c r="S41" s="64">
        <f>SUM(D41,F41:P41)</f>
        <v>101876.50410149393</v>
      </c>
    </row>
    <row r="42" spans="1:23">
      <c r="A42" s="49"/>
      <c r="B42" s="56">
        <v>903</v>
      </c>
      <c r="C42" s="50" t="s">
        <v>38</v>
      </c>
      <c r="D42" s="63">
        <f>2281600.99+225.68</f>
        <v>2281826.6700000004</v>
      </c>
      <c r="E42" s="63"/>
      <c r="F42" s="63">
        <f>'1.1TYAdj.'!U28</f>
        <v>19234.940589378082</v>
      </c>
      <c r="G42" s="63">
        <f>'1.1TYAdj.'!V28</f>
        <v>3385.692635252205</v>
      </c>
      <c r="H42" s="63"/>
      <c r="I42" s="63"/>
      <c r="J42" s="63">
        <f>'1.1TYAdj.'!X28</f>
        <v>15350.025369605848</v>
      </c>
      <c r="K42" s="63"/>
      <c r="L42" s="63"/>
      <c r="M42" s="63"/>
      <c r="N42" s="63"/>
      <c r="O42" s="63"/>
      <c r="P42" s="63" t="s">
        <v>1</v>
      </c>
      <c r="Q42" s="63">
        <f>SUM(F42:P42)</f>
        <v>37970.658594236134</v>
      </c>
      <c r="R42" s="63"/>
      <c r="S42" s="64">
        <f>SUM(D42,F42:P42)</f>
        <v>2319797.3285942366</v>
      </c>
    </row>
    <row r="43" spans="1:23">
      <c r="A43" s="49"/>
      <c r="B43" s="56">
        <v>904</v>
      </c>
      <c r="C43" s="50" t="s">
        <v>39</v>
      </c>
      <c r="D43" s="67">
        <v>340357.45</v>
      </c>
      <c r="E43" s="67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>
        <v>0</v>
      </c>
      <c r="Q43" s="63">
        <f>SUM(F43:P43)</f>
        <v>0</v>
      </c>
      <c r="R43" s="67"/>
      <c r="S43" s="64">
        <f>SUM(D43,F43:P43)</f>
        <v>340357.45</v>
      </c>
    </row>
    <row r="44" spans="1:23" ht="15">
      <c r="A44" s="49"/>
      <c r="B44" s="56" t="s">
        <v>1</v>
      </c>
      <c r="C44" s="68" t="s">
        <v>369</v>
      </c>
      <c r="D44" s="69">
        <f>SUM(D40:D43)</f>
        <v>2862998.1400000006</v>
      </c>
      <c r="E44" s="69"/>
      <c r="F44" s="69">
        <f>SUM(F40:F43)</f>
        <v>21264.912203212058</v>
      </c>
      <c r="G44" s="69">
        <f>SUM(G40:G43)</f>
        <v>3743.0038476675973</v>
      </c>
      <c r="H44" s="69">
        <f>SUM(H40:H43)</f>
        <v>388.88014750776557</v>
      </c>
      <c r="I44" s="69"/>
      <c r="J44" s="69">
        <f>SUM(J40:J43)</f>
        <v>16970</v>
      </c>
      <c r="K44" s="69">
        <f>SUM(K40:K43)</f>
        <v>0</v>
      </c>
      <c r="L44" s="69"/>
      <c r="M44" s="69"/>
      <c r="N44" s="69"/>
      <c r="O44" s="69"/>
      <c r="P44" s="69">
        <f>SUM(P40:P43)</f>
        <v>0</v>
      </c>
      <c r="Q44" s="69">
        <f>SUM(F44:P44)</f>
        <v>42366.796198387427</v>
      </c>
      <c r="R44" s="69">
        <f>SUM(R40:R43)</f>
        <v>0</v>
      </c>
      <c r="S44" s="70">
        <f>SUM(D44,F44:P44)</f>
        <v>2905364.9361983882</v>
      </c>
      <c r="U44" s="66">
        <f>SUM(S40:S43)</f>
        <v>2905364.9361983882</v>
      </c>
    </row>
    <row r="45" spans="1:23" ht="15">
      <c r="A45" s="49"/>
      <c r="B45" s="56"/>
      <c r="C45" s="68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63"/>
      <c r="Q45" s="63"/>
      <c r="R45" s="63"/>
      <c r="S45" s="64"/>
    </row>
    <row r="46" spans="1:23">
      <c r="A46" s="49"/>
      <c r="B46" s="56">
        <v>907</v>
      </c>
      <c r="C46" s="50" t="s">
        <v>40</v>
      </c>
      <c r="D46" s="63">
        <v>0</v>
      </c>
      <c r="E46" s="63"/>
      <c r="F46" s="63">
        <f>'1.1TYAdj.'!U32</f>
        <v>0</v>
      </c>
      <c r="G46" s="63">
        <f>'1.1TYAdj.'!V32</f>
        <v>0</v>
      </c>
      <c r="H46" s="63"/>
      <c r="I46" s="63"/>
      <c r="J46" s="63">
        <f>'1.1TYAdj.'!X32</f>
        <v>0</v>
      </c>
      <c r="K46" s="63"/>
      <c r="L46" s="63"/>
      <c r="M46" s="63"/>
      <c r="N46" s="63"/>
      <c r="O46" s="63"/>
      <c r="P46" s="63" t="s">
        <v>1</v>
      </c>
      <c r="Q46" s="63">
        <f t="shared" ref="Q46:Q52" si="5">SUM(F46:P46)</f>
        <v>0</v>
      </c>
      <c r="R46" s="63"/>
      <c r="S46" s="64">
        <f t="shared" ref="S46:S64" si="6">SUM(D46,F46:P46)</f>
        <v>0</v>
      </c>
    </row>
    <row r="47" spans="1:23">
      <c r="A47" s="49"/>
      <c r="B47" s="56">
        <v>908</v>
      </c>
      <c r="C47" s="50" t="s">
        <v>206</v>
      </c>
      <c r="D47" s="63">
        <v>944348.21</v>
      </c>
      <c r="E47" s="63"/>
      <c r="F47" s="63">
        <f>'1.1TYAdj.'!U33</f>
        <v>16145.417997664326</v>
      </c>
      <c r="G47" s="63">
        <f>'1.1TYAdj.'!V33</f>
        <v>2841.8815516356076</v>
      </c>
      <c r="H47" s="63"/>
      <c r="I47" s="63"/>
      <c r="J47" s="63">
        <f>'1.1TYAdj.'!X33</f>
        <v>12883.852795146662</v>
      </c>
      <c r="K47" s="63"/>
      <c r="L47" s="63"/>
      <c r="M47" s="63"/>
      <c r="N47" s="63"/>
      <c r="O47" s="63"/>
      <c r="P47" s="63" t="s">
        <v>1</v>
      </c>
      <c r="Q47" s="63">
        <f t="shared" si="5"/>
        <v>31871.152344446593</v>
      </c>
      <c r="R47" s="63"/>
      <c r="S47" s="64">
        <f t="shared" si="6"/>
        <v>976219.36234444648</v>
      </c>
    </row>
    <row r="48" spans="1:23">
      <c r="A48" s="49"/>
      <c r="B48" s="56">
        <v>909</v>
      </c>
      <c r="C48" s="50" t="s">
        <v>228</v>
      </c>
      <c r="D48" s="63">
        <v>0</v>
      </c>
      <c r="E48" s="63"/>
      <c r="F48" s="63">
        <f>'1.1TYAdj.'!U34</f>
        <v>0</v>
      </c>
      <c r="G48" s="63">
        <f>'1.1TYAdj.'!V34</f>
        <v>0</v>
      </c>
      <c r="H48" s="63">
        <f>[3]adjustments!$F$24</f>
        <v>321.1882237127366</v>
      </c>
      <c r="I48" s="63"/>
      <c r="J48" s="63">
        <f>'1.1TYAdj.'!X34</f>
        <v>0</v>
      </c>
      <c r="K48" s="63"/>
      <c r="L48" s="63"/>
      <c r="M48" s="63"/>
      <c r="N48" s="63"/>
      <c r="O48" s="63"/>
      <c r="P48" s="63" t="s">
        <v>1</v>
      </c>
      <c r="Q48" s="63">
        <f t="shared" si="5"/>
        <v>321.1882237127366</v>
      </c>
      <c r="R48" s="63"/>
      <c r="S48" s="64">
        <f t="shared" si="6"/>
        <v>321.1882237127366</v>
      </c>
    </row>
    <row r="49" spans="1:26">
      <c r="A49" s="49"/>
      <c r="B49" s="56">
        <v>910</v>
      </c>
      <c r="C49" s="50" t="s">
        <v>227</v>
      </c>
      <c r="D49" s="63">
        <v>0</v>
      </c>
      <c r="E49" s="63"/>
      <c r="F49" s="63">
        <f>'1.1TYAdj.'!U35</f>
        <v>0</v>
      </c>
      <c r="G49" s="63">
        <f>'1.1TYAdj.'!V35</f>
        <v>0</v>
      </c>
      <c r="H49" s="63"/>
      <c r="I49" s="63"/>
      <c r="J49" s="63">
        <f>'1.1TYAdj.'!X35</f>
        <v>0</v>
      </c>
      <c r="K49" s="63"/>
      <c r="L49" s="63"/>
      <c r="M49" s="63"/>
      <c r="N49" s="63"/>
      <c r="O49" s="63"/>
      <c r="P49" s="63" t="s">
        <v>1</v>
      </c>
      <c r="Q49" s="63">
        <f t="shared" si="5"/>
        <v>0</v>
      </c>
      <c r="R49" s="63"/>
      <c r="S49" s="64">
        <f t="shared" si="6"/>
        <v>0</v>
      </c>
    </row>
    <row r="50" spans="1:26">
      <c r="A50" s="49"/>
      <c r="B50" s="56">
        <v>912</v>
      </c>
      <c r="C50" s="50" t="s">
        <v>315</v>
      </c>
      <c r="D50" s="63">
        <f>247481.46-259344.79</f>
        <v>-11863.330000000016</v>
      </c>
      <c r="E50" s="63"/>
      <c r="F50" s="63">
        <f>'1.1TYAdj.'!U36</f>
        <v>-202.82605469674309</v>
      </c>
      <c r="G50" s="63">
        <f>'1.1TYAdj.'!V36</f>
        <v>-35.701003412676876</v>
      </c>
      <c r="H50" s="63"/>
      <c r="I50" s="63"/>
      <c r="J50" s="63">
        <f>'1.1TYAdj.'!X36</f>
        <v>-161.85279514666257</v>
      </c>
      <c r="K50" s="63"/>
      <c r="L50" s="63"/>
      <c r="M50" s="63"/>
      <c r="N50" s="63"/>
      <c r="O50" s="63"/>
      <c r="P50" s="63" t="s">
        <v>1</v>
      </c>
      <c r="Q50" s="63">
        <f t="shared" si="5"/>
        <v>-400.37985325608253</v>
      </c>
      <c r="R50" s="63"/>
      <c r="S50" s="64">
        <f t="shared" si="6"/>
        <v>-12263.709853256098</v>
      </c>
    </row>
    <row r="51" spans="1:26">
      <c r="A51" s="49"/>
      <c r="B51" s="56">
        <v>913</v>
      </c>
      <c r="C51" s="50" t="s">
        <v>381</v>
      </c>
      <c r="D51" s="67">
        <v>60695.81</v>
      </c>
      <c r="E51" s="67"/>
      <c r="F51" s="63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3">
        <f t="shared" si="5"/>
        <v>0</v>
      </c>
      <c r="R51" s="67"/>
      <c r="S51" s="64">
        <f t="shared" si="6"/>
        <v>60695.81</v>
      </c>
    </row>
    <row r="52" spans="1:26" ht="15">
      <c r="A52" s="49"/>
      <c r="B52" s="56"/>
      <c r="C52" s="68" t="s">
        <v>78</v>
      </c>
      <c r="D52" s="69">
        <f>SUM(D46:D51)</f>
        <v>993180.69</v>
      </c>
      <c r="E52" s="69"/>
      <c r="F52" s="69">
        <f>SUM(F46:F50)</f>
        <v>15942.591942967583</v>
      </c>
      <c r="G52" s="69">
        <f>SUM(G46:G50)</f>
        <v>2806.1805482229306</v>
      </c>
      <c r="H52" s="69">
        <f>SUM(H46:H50)</f>
        <v>321.1882237127366</v>
      </c>
      <c r="I52" s="69"/>
      <c r="J52" s="69">
        <f>SUM(J46:J50)</f>
        <v>12722</v>
      </c>
      <c r="K52" s="69"/>
      <c r="L52" s="69"/>
      <c r="M52" s="69"/>
      <c r="N52" s="69"/>
      <c r="O52" s="69"/>
      <c r="P52" s="69">
        <f>SUM(P46:P50)</f>
        <v>0</v>
      </c>
      <c r="Q52" s="69">
        <f t="shared" si="5"/>
        <v>31791.960714903249</v>
      </c>
      <c r="R52" s="69">
        <f>SUM(R46:R50)</f>
        <v>0</v>
      </c>
      <c r="S52" s="70">
        <f t="shared" si="6"/>
        <v>1024972.6507149033</v>
      </c>
      <c r="U52" s="66">
        <f>SUM(S46:S51)</f>
        <v>1024972.6507149031</v>
      </c>
    </row>
    <row r="53" spans="1:26">
      <c r="A53" s="49"/>
      <c r="B53" s="56" t="s">
        <v>1</v>
      </c>
      <c r="C53" s="50" t="s">
        <v>1</v>
      </c>
      <c r="D53" s="63" t="s">
        <v>1</v>
      </c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4"/>
    </row>
    <row r="54" spans="1:26">
      <c r="A54" s="49"/>
      <c r="B54" s="56">
        <v>920</v>
      </c>
      <c r="C54" s="50" t="s">
        <v>41</v>
      </c>
      <c r="D54" s="63">
        <f>2413480.73+177043.6</f>
        <v>2590524.33</v>
      </c>
      <c r="E54" s="63"/>
      <c r="F54" s="63">
        <f>'1.1TYAdj.'!U41</f>
        <v>30679.832284947675</v>
      </c>
      <c r="G54" s="63">
        <f>'1.1TYAdj.'!V41</f>
        <v>5400.1977149480063</v>
      </c>
      <c r="H54" s="63"/>
      <c r="I54" s="63"/>
      <c r="J54" s="63">
        <f>'1.1TYAdj.'!X41</f>
        <v>24482.781755389584</v>
      </c>
      <c r="K54" s="63"/>
      <c r="L54" s="63"/>
      <c r="M54" s="63"/>
      <c r="N54" s="63"/>
      <c r="O54" s="63"/>
      <c r="P54" s="63" t="s">
        <v>1</v>
      </c>
      <c r="Q54" s="63">
        <f t="shared" ref="Q54:Q64" si="7">SUM(F54:P54)</f>
        <v>60562.811755285264</v>
      </c>
      <c r="R54" s="63"/>
      <c r="S54" s="64">
        <f t="shared" si="6"/>
        <v>2651087.1417552857</v>
      </c>
      <c r="U54" s="77"/>
      <c r="V54" s="77"/>
      <c r="W54" s="77"/>
      <c r="X54" s="77"/>
      <c r="Y54" s="77"/>
      <c r="Z54" s="77"/>
    </row>
    <row r="55" spans="1:26">
      <c r="A55" s="49"/>
      <c r="B55" s="56">
        <v>921</v>
      </c>
      <c r="C55" s="50" t="s">
        <v>42</v>
      </c>
      <c r="D55" s="63">
        <v>388751.32</v>
      </c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>
        <v>0</v>
      </c>
      <c r="Q55" s="63">
        <f t="shared" si="7"/>
        <v>0</v>
      </c>
      <c r="R55" s="63"/>
      <c r="S55" s="64">
        <f t="shared" si="6"/>
        <v>388751.32</v>
      </c>
      <c r="U55" s="77"/>
      <c r="V55" s="77"/>
      <c r="W55" s="77"/>
      <c r="X55" s="77"/>
      <c r="Y55" s="77"/>
      <c r="Z55" s="77"/>
    </row>
    <row r="56" spans="1:26">
      <c r="A56" s="49"/>
      <c r="B56" s="56">
        <v>923</v>
      </c>
      <c r="C56" s="50" t="s">
        <v>43</v>
      </c>
      <c r="D56" s="63">
        <v>131999.24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 t="s">
        <v>1</v>
      </c>
      <c r="Q56" s="63">
        <f t="shared" si="7"/>
        <v>0</v>
      </c>
      <c r="R56" s="63"/>
      <c r="S56" s="64">
        <f t="shared" si="6"/>
        <v>131999.24</v>
      </c>
      <c r="U56" s="77"/>
      <c r="V56" s="77"/>
      <c r="W56" s="77"/>
      <c r="X56" s="77"/>
      <c r="Y56" s="77"/>
      <c r="Z56" s="77"/>
    </row>
    <row r="57" spans="1:26">
      <c r="A57" s="49"/>
      <c r="B57" s="56">
        <v>924</v>
      </c>
      <c r="C57" s="50" t="s">
        <v>44</v>
      </c>
      <c r="D57" s="63">
        <v>0</v>
      </c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>
        <f>(D57/$D$65)*(11175)</f>
        <v>0</v>
      </c>
      <c r="Q57" s="63">
        <f t="shared" si="7"/>
        <v>0</v>
      </c>
      <c r="R57" s="63"/>
      <c r="S57" s="64">
        <f t="shared" si="6"/>
        <v>0</v>
      </c>
    </row>
    <row r="58" spans="1:26">
      <c r="A58" s="49"/>
      <c r="B58" s="56">
        <v>925</v>
      </c>
      <c r="C58" s="50" t="s">
        <v>45</v>
      </c>
      <c r="D58" s="63">
        <v>0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 t="s">
        <v>1</v>
      </c>
      <c r="Q58" s="63">
        <f t="shared" si="7"/>
        <v>0</v>
      </c>
      <c r="R58" s="63"/>
      <c r="S58" s="64">
        <f t="shared" si="6"/>
        <v>0</v>
      </c>
    </row>
    <row r="59" spans="1:26">
      <c r="A59" s="49"/>
      <c r="B59" s="56">
        <v>926</v>
      </c>
      <c r="C59" s="50" t="s">
        <v>46</v>
      </c>
      <c r="D59" s="63">
        <v>0</v>
      </c>
      <c r="E59" s="63"/>
      <c r="F59" s="63">
        <f>'1.1TYAdj.'!U42</f>
        <v>0</v>
      </c>
      <c r="G59" s="63">
        <f>'1.1TYAdj.'!V42</f>
        <v>0</v>
      </c>
      <c r="H59" s="63"/>
      <c r="I59" s="63"/>
      <c r="J59" s="63">
        <f>'1.1TYAdj.'!X42</f>
        <v>0</v>
      </c>
      <c r="K59" s="63"/>
      <c r="L59" s="63"/>
      <c r="M59" s="63"/>
      <c r="N59" s="63"/>
      <c r="O59" s="63"/>
      <c r="P59" s="63" t="s">
        <v>1</v>
      </c>
      <c r="Q59" s="63">
        <f t="shared" si="7"/>
        <v>0</v>
      </c>
      <c r="R59" s="63"/>
      <c r="S59" s="64">
        <f t="shared" si="6"/>
        <v>0</v>
      </c>
    </row>
    <row r="60" spans="1:26">
      <c r="A60" s="49"/>
      <c r="B60" s="56">
        <v>928</v>
      </c>
      <c r="C60" s="50" t="s">
        <v>47</v>
      </c>
      <c r="D60" s="63">
        <v>135353.92000000001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1</v>
      </c>
      <c r="Q60" s="63">
        <f t="shared" si="7"/>
        <v>0</v>
      </c>
      <c r="R60" s="63"/>
      <c r="S60" s="64">
        <f t="shared" si="6"/>
        <v>135353.92000000001</v>
      </c>
    </row>
    <row r="61" spans="1:26">
      <c r="A61" s="49"/>
      <c r="B61" s="56">
        <v>929</v>
      </c>
      <c r="C61" s="50" t="s">
        <v>48</v>
      </c>
      <c r="D61" s="63">
        <v>-140016.4</v>
      </c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 t="s">
        <v>1</v>
      </c>
      <c r="Q61" s="63">
        <f t="shared" si="7"/>
        <v>0</v>
      </c>
      <c r="R61" s="63"/>
      <c r="S61" s="64">
        <f t="shared" si="6"/>
        <v>-140016.4</v>
      </c>
    </row>
    <row r="62" spans="1:26">
      <c r="A62" s="49"/>
      <c r="B62" s="56">
        <v>930</v>
      </c>
      <c r="C62" s="50" t="s">
        <v>49</v>
      </c>
      <c r="D62" s="63">
        <f>263706.17+112616.43+180491.92+201889.46+0+130534.3</f>
        <v>889238.28</v>
      </c>
      <c r="E62" s="63"/>
      <c r="F62" s="63">
        <f>'1.1TYAdj.'!U43</f>
        <v>10531.335674332517</v>
      </c>
      <c r="G62" s="63">
        <f>'1.1TYAdj.'!V43</f>
        <v>1853.7029249597108</v>
      </c>
      <c r="H62" s="63"/>
      <c r="I62" s="63"/>
      <c r="J62" s="63">
        <f>'1.1TYAdj.'!X43</f>
        <v>8404.1004694126968</v>
      </c>
      <c r="K62" s="63">
        <f>[3]adjustments!$I$26</f>
        <v>506.66499141602776</v>
      </c>
      <c r="L62" s="63"/>
      <c r="M62" s="63">
        <v>-92292</v>
      </c>
      <c r="N62" s="63"/>
      <c r="O62" s="63"/>
      <c r="P62" s="63" t="s">
        <v>1</v>
      </c>
      <c r="Q62" s="63">
        <f t="shared" si="7"/>
        <v>-70996.19593987905</v>
      </c>
      <c r="R62" s="63"/>
      <c r="S62" s="64">
        <f t="shared" si="6"/>
        <v>818242.08406012109</v>
      </c>
    </row>
    <row r="63" spans="1:26">
      <c r="A63" s="49"/>
      <c r="B63" s="56">
        <v>931</v>
      </c>
      <c r="C63" s="50" t="s">
        <v>28</v>
      </c>
      <c r="D63" s="63">
        <v>0</v>
      </c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 t="s">
        <v>1</v>
      </c>
      <c r="Q63" s="63">
        <f t="shared" si="7"/>
        <v>0</v>
      </c>
      <c r="R63" s="63"/>
      <c r="S63" s="64">
        <f t="shared" si="6"/>
        <v>0</v>
      </c>
    </row>
    <row r="64" spans="1:26">
      <c r="A64" s="49"/>
      <c r="B64" s="56">
        <v>935</v>
      </c>
      <c r="C64" s="50" t="s">
        <v>205</v>
      </c>
      <c r="D64" s="63">
        <v>408862.49</v>
      </c>
      <c r="E64" s="63"/>
      <c r="F64" s="63">
        <f>'1.1TYAdj.'!U44</f>
        <v>4842.1983439955156</v>
      </c>
      <c r="G64" s="63">
        <f>'1.1TYAdj.'!V44</f>
        <v>852.31327830298801</v>
      </c>
      <c r="H64" s="63">
        <f>[3]adjustments!$F$26</f>
        <v>551.93804629637941</v>
      </c>
      <c r="I64" s="63"/>
      <c r="J64" s="63">
        <f>'1.1TYAdj.'!X44</f>
        <v>3864.1177751977161</v>
      </c>
      <c r="K64" s="63"/>
      <c r="L64" s="63"/>
      <c r="M64" s="63"/>
      <c r="N64" s="63"/>
      <c r="O64" s="63"/>
      <c r="P64" s="63" t="s">
        <v>1</v>
      </c>
      <c r="Q64" s="63">
        <f t="shared" si="7"/>
        <v>10110.567443792599</v>
      </c>
      <c r="R64" s="63"/>
      <c r="S64" s="64">
        <f t="shared" si="6"/>
        <v>418973.05744379258</v>
      </c>
    </row>
    <row r="65" spans="1:24" ht="15">
      <c r="A65" s="49"/>
      <c r="B65" s="56"/>
      <c r="C65" s="68" t="s">
        <v>50</v>
      </c>
      <c r="D65" s="69">
        <f>SUM(D54:D64)</f>
        <v>4404713.18</v>
      </c>
      <c r="E65" s="69"/>
      <c r="F65" s="69">
        <f t="shared" ref="F65:P65" si="8">SUM(F54:F64)</f>
        <v>46053.36630327571</v>
      </c>
      <c r="G65" s="69">
        <f t="shared" si="8"/>
        <v>8106.2139182107048</v>
      </c>
      <c r="H65" s="69">
        <f t="shared" si="8"/>
        <v>551.93804629637941</v>
      </c>
      <c r="I65" s="69">
        <f t="shared" si="8"/>
        <v>0</v>
      </c>
      <c r="J65" s="69">
        <f t="shared" si="8"/>
        <v>36750.999999999993</v>
      </c>
      <c r="K65" s="69">
        <f t="shared" si="8"/>
        <v>506.66499141602776</v>
      </c>
      <c r="L65" s="69"/>
      <c r="M65" s="69">
        <f t="shared" si="8"/>
        <v>-92292</v>
      </c>
      <c r="N65" s="69"/>
      <c r="O65" s="69">
        <f t="shared" si="8"/>
        <v>0</v>
      </c>
      <c r="P65" s="69">
        <f t="shared" si="8"/>
        <v>0</v>
      </c>
      <c r="Q65" s="69">
        <f>SUM(F65:P65)</f>
        <v>-322.8167408011941</v>
      </c>
      <c r="R65" s="69"/>
      <c r="S65" s="70">
        <f>SUM(D65,F65:P65)</f>
        <v>4404390.3632591981</v>
      </c>
      <c r="T65" s="66"/>
      <c r="U65" s="66">
        <f>SUM(S54:S64)</f>
        <v>4404390.3632591991</v>
      </c>
      <c r="V65" s="65">
        <f>(S65-U65)</f>
        <v>-9.3132257461547852E-10</v>
      </c>
      <c r="W65" s="66"/>
      <c r="X65" s="52" t="s">
        <v>1</v>
      </c>
    </row>
    <row r="66" spans="1:24">
      <c r="A66" s="49"/>
      <c r="B66" s="56"/>
      <c r="C66" s="78" t="s">
        <v>1</v>
      </c>
      <c r="D66" s="78" t="s">
        <v>1</v>
      </c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63" t="s">
        <v>1</v>
      </c>
      <c r="Q66" s="63"/>
      <c r="R66" s="63"/>
      <c r="S66" s="64">
        <f>SUM(D66,F66:Q66)</f>
        <v>0</v>
      </c>
      <c r="T66" s="52" t="s">
        <v>457</v>
      </c>
    </row>
    <row r="67" spans="1:24">
      <c r="A67" s="49"/>
      <c r="B67" s="79">
        <v>403.6</v>
      </c>
      <c r="C67" s="50" t="s">
        <v>51</v>
      </c>
      <c r="D67" s="63">
        <v>7774404.46</v>
      </c>
      <c r="E67" s="63"/>
      <c r="F67" s="63"/>
      <c r="G67" s="63"/>
      <c r="H67" s="63">
        <f>[4]adjustment!$K$15</f>
        <v>116920.86694708146</v>
      </c>
      <c r="I67" s="63"/>
      <c r="J67" s="63"/>
      <c r="K67" s="63"/>
      <c r="L67" s="63"/>
      <c r="M67" s="63"/>
      <c r="N67" s="63"/>
      <c r="O67" s="63"/>
      <c r="P67" s="50"/>
      <c r="Q67" s="63">
        <f>SUM(F67:P67)</f>
        <v>116920.86694708146</v>
      </c>
      <c r="R67" s="63"/>
      <c r="S67" s="64">
        <f>SUM(D67,F67:P67)</f>
        <v>7891325.3269470818</v>
      </c>
    </row>
    <row r="68" spans="1:24">
      <c r="A68" s="49"/>
      <c r="B68" s="79">
        <v>403.7</v>
      </c>
      <c r="C68" s="50" t="s">
        <v>52</v>
      </c>
      <c r="D68" s="63">
        <v>478637.41</v>
      </c>
      <c r="E68" s="63"/>
      <c r="F68" s="63"/>
      <c r="G68" s="63"/>
      <c r="H68" s="63">
        <f>[4]adjustment!$K$16</f>
        <v>14331.136952917903</v>
      </c>
      <c r="I68" s="63"/>
      <c r="J68" s="63"/>
      <c r="K68" s="63"/>
      <c r="L68" s="63"/>
      <c r="M68" s="63"/>
      <c r="N68" s="63"/>
      <c r="O68" s="63"/>
      <c r="P68" s="63" t="s">
        <v>1</v>
      </c>
      <c r="Q68" s="63">
        <f>SUM(F68:P68)</f>
        <v>14331.136952917903</v>
      </c>
      <c r="R68" s="63"/>
      <c r="S68" s="64">
        <f>SUM(D68,F68:P68)</f>
        <v>492968.54695291788</v>
      </c>
      <c r="U68" s="52" t="s">
        <v>1</v>
      </c>
    </row>
    <row r="69" spans="1:24">
      <c r="A69" s="49"/>
      <c r="B69" s="79">
        <v>407</v>
      </c>
      <c r="C69" s="50" t="s">
        <v>439</v>
      </c>
      <c r="D69" s="63">
        <v>0</v>
      </c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>
        <f>SUM(F69:P69)</f>
        <v>0</v>
      </c>
      <c r="R69" s="63"/>
      <c r="S69" s="64">
        <f>SUM(D69,F69:P69)</f>
        <v>0</v>
      </c>
    </row>
    <row r="70" spans="1:24" ht="15">
      <c r="A70" s="49"/>
      <c r="B70" s="56"/>
      <c r="C70" s="68" t="s">
        <v>53</v>
      </c>
      <c r="D70" s="69">
        <f>SUM(D67:D69)</f>
        <v>8253041.8700000001</v>
      </c>
      <c r="E70" s="69"/>
      <c r="F70" s="69"/>
      <c r="G70" s="69"/>
      <c r="H70" s="69">
        <f>SUM(H67:H68)</f>
        <v>131252.00389999937</v>
      </c>
      <c r="I70" s="69"/>
      <c r="J70" s="69"/>
      <c r="K70" s="69"/>
      <c r="L70" s="69"/>
      <c r="M70" s="69"/>
      <c r="N70" s="69"/>
      <c r="O70" s="69"/>
      <c r="P70" s="69">
        <f>SUM(P67:P68)</f>
        <v>0</v>
      </c>
      <c r="Q70" s="69">
        <f>SUM(F70:P70)</f>
        <v>131252.00389999937</v>
      </c>
      <c r="R70" s="69"/>
      <c r="S70" s="70">
        <f>SUM(D70,F70:P70)</f>
        <v>8384293.8738999991</v>
      </c>
      <c r="U70" s="66">
        <f>SUM(S67:S68)</f>
        <v>8384293.8739</v>
      </c>
    </row>
    <row r="71" spans="1:24">
      <c r="A71" s="49"/>
      <c r="B71" s="56"/>
      <c r="C71" s="50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4">
        <f>SUM(D71,F71:Q71)</f>
        <v>0</v>
      </c>
    </row>
    <row r="72" spans="1:24">
      <c r="A72" s="49"/>
      <c r="B72" s="56">
        <v>408.71</v>
      </c>
      <c r="C72" s="50" t="s">
        <v>368</v>
      </c>
      <c r="D72" s="65">
        <v>160.49</v>
      </c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 t="s">
        <v>1</v>
      </c>
      <c r="Q72" s="63">
        <f>SUM(F72:P72)</f>
        <v>0</v>
      </c>
      <c r="R72" s="63"/>
      <c r="S72" s="64">
        <f>SUM(D72,F72:P72)</f>
        <v>160.49</v>
      </c>
    </row>
    <row r="73" spans="1:24">
      <c r="A73" s="49"/>
      <c r="B73" s="56">
        <v>408.5</v>
      </c>
      <c r="C73" s="50" t="s">
        <v>367</v>
      </c>
      <c r="D73" s="80">
        <v>0</v>
      </c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 t="s">
        <v>1</v>
      </c>
      <c r="Q73" s="63">
        <f>SUM(F73:P73)</f>
        <v>0</v>
      </c>
      <c r="R73" s="63"/>
      <c r="S73" s="64">
        <f>SUM(D73,F73:P73)</f>
        <v>0</v>
      </c>
    </row>
    <row r="74" spans="1:24">
      <c r="A74" s="49"/>
      <c r="B74" s="56" t="s">
        <v>370</v>
      </c>
      <c r="C74" s="50" t="s">
        <v>245</v>
      </c>
      <c r="D74" s="67">
        <f>2986.68+20111.08+0</f>
        <v>23097.760000000002</v>
      </c>
      <c r="E74" s="67"/>
      <c r="F74" s="67"/>
      <c r="G74" s="67"/>
      <c r="H74" s="67"/>
      <c r="I74" s="67"/>
      <c r="J74" s="67"/>
      <c r="K74" s="67"/>
      <c r="L74" s="67">
        <f>[3]adjustments!$J$34</f>
        <v>-2987</v>
      </c>
      <c r="M74" s="67"/>
      <c r="N74" s="67"/>
      <c r="O74" s="67"/>
      <c r="P74" s="81"/>
      <c r="Q74" s="63">
        <f>SUM(F74:P74)</f>
        <v>-2987</v>
      </c>
      <c r="R74" s="67"/>
      <c r="S74" s="64">
        <f>SUM(D74,F74:P74)</f>
        <v>20110.760000000002</v>
      </c>
    </row>
    <row r="75" spans="1:24" ht="15">
      <c r="A75" s="49"/>
      <c r="B75" s="56"/>
      <c r="C75" s="68" t="s">
        <v>54</v>
      </c>
      <c r="D75" s="69">
        <f>SUM(D72:D74)</f>
        <v>23258.250000000004</v>
      </c>
      <c r="E75" s="69"/>
      <c r="F75" s="69"/>
      <c r="G75" s="69"/>
      <c r="H75" s="69"/>
      <c r="I75" s="69"/>
      <c r="J75" s="69"/>
      <c r="K75" s="69"/>
      <c r="L75" s="69">
        <f>SUM(L72:L74)</f>
        <v>-2987</v>
      </c>
      <c r="M75" s="69"/>
      <c r="N75" s="69"/>
      <c r="O75" s="69">
        <f>SUM(O72:O74)</f>
        <v>0</v>
      </c>
      <c r="P75" s="69">
        <f>SUM(P72:P74)</f>
        <v>0</v>
      </c>
      <c r="Q75" s="69">
        <f>SUM(F75:P75)</f>
        <v>-2987</v>
      </c>
      <c r="R75" s="69"/>
      <c r="S75" s="70">
        <f>SUM(D75,F75:P75)</f>
        <v>20271.250000000004</v>
      </c>
      <c r="U75" s="66">
        <f>SUM(S72:S74)</f>
        <v>20271.250000000004</v>
      </c>
    </row>
    <row r="76" spans="1:24">
      <c r="A76" s="49"/>
      <c r="B76" s="56"/>
      <c r="C76" s="50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4">
        <f>SUM(D76,F76:Q76)</f>
        <v>0</v>
      </c>
    </row>
    <row r="77" spans="1:24">
      <c r="A77" s="49"/>
      <c r="B77" s="56">
        <v>427.1</v>
      </c>
      <c r="C77" s="50" t="s">
        <v>55</v>
      </c>
      <c r="D77" s="63">
        <v>3128862.98</v>
      </c>
      <c r="E77" s="63"/>
      <c r="F77" s="63"/>
      <c r="G77" s="63"/>
      <c r="H77" s="63"/>
      <c r="I77" s="63" t="s">
        <v>1</v>
      </c>
      <c r="J77" s="63"/>
      <c r="K77" s="63"/>
      <c r="L77" s="63"/>
      <c r="M77" s="63"/>
      <c r="N77" s="63"/>
      <c r="O77" s="63"/>
      <c r="P77" s="63" t="s">
        <v>1</v>
      </c>
      <c r="Q77" s="63">
        <f>SUM(F77:P77)</f>
        <v>0</v>
      </c>
      <c r="R77" s="63"/>
      <c r="S77" s="64">
        <f>SUM(D77,F77:P77)</f>
        <v>3128862.98</v>
      </c>
    </row>
    <row r="78" spans="1:24">
      <c r="A78" s="49"/>
      <c r="B78" s="56">
        <v>427.2</v>
      </c>
      <c r="C78" s="50" t="s">
        <v>244</v>
      </c>
      <c r="D78" s="63">
        <v>655206.94999999995</v>
      </c>
      <c r="E78" s="63"/>
      <c r="F78" s="63"/>
      <c r="G78" s="63"/>
      <c r="H78" s="63"/>
      <c r="I78" s="63" t="s">
        <v>1</v>
      </c>
      <c r="J78" s="63"/>
      <c r="K78" s="63"/>
      <c r="L78" s="63"/>
      <c r="M78" s="63"/>
      <c r="N78" s="63"/>
      <c r="O78" s="63"/>
      <c r="P78" s="63">
        <v>0</v>
      </c>
      <c r="Q78" s="63">
        <f>SUM(F78:P78)</f>
        <v>0</v>
      </c>
      <c r="R78" s="63"/>
      <c r="S78" s="64">
        <f>SUM(D78,F78:P78)</f>
        <v>655206.94999999995</v>
      </c>
    </row>
    <row r="79" spans="1:24">
      <c r="A79" s="49"/>
      <c r="B79" s="56">
        <v>427.4</v>
      </c>
      <c r="C79" s="50" t="s">
        <v>380</v>
      </c>
      <c r="D79" s="67">
        <v>435252.82</v>
      </c>
      <c r="E79" s="67"/>
      <c r="F79" s="67"/>
      <c r="G79" s="67"/>
      <c r="H79" s="67"/>
      <c r="I79" s="67">
        <v>482472</v>
      </c>
      <c r="J79" s="67"/>
      <c r="K79" s="67"/>
      <c r="L79" s="67"/>
      <c r="M79" s="67"/>
      <c r="N79" s="67"/>
      <c r="O79" s="67"/>
      <c r="P79" s="67"/>
      <c r="Q79" s="63">
        <f>SUM(F79:P79)</f>
        <v>482472</v>
      </c>
      <c r="R79" s="67"/>
      <c r="S79" s="64">
        <f>SUM(D79,F79:P79)</f>
        <v>917724.82000000007</v>
      </c>
    </row>
    <row r="80" spans="1:24" ht="15">
      <c r="A80" s="49"/>
      <c r="B80" s="56"/>
      <c r="C80" s="68" t="s">
        <v>56</v>
      </c>
      <c r="D80" s="69">
        <f>SUM(D77:D79)</f>
        <v>4219322.75</v>
      </c>
      <c r="E80" s="69"/>
      <c r="F80" s="69"/>
      <c r="G80" s="69"/>
      <c r="H80" s="69"/>
      <c r="I80" s="69">
        <v>482472</v>
      </c>
      <c r="J80" s="69"/>
      <c r="K80" s="69"/>
      <c r="L80" s="69"/>
      <c r="M80" s="69"/>
      <c r="N80" s="69"/>
      <c r="O80" s="69"/>
      <c r="P80" s="69">
        <f>SUM(P77:P79)</f>
        <v>0</v>
      </c>
      <c r="Q80" s="69">
        <f>SUM(F80:P80)</f>
        <v>482472</v>
      </c>
      <c r="R80" s="69"/>
      <c r="S80" s="70">
        <f>SUM(D80,F80:P80)</f>
        <v>4701794.75</v>
      </c>
      <c r="U80" s="66">
        <f>SUM(S77:S79)</f>
        <v>4701794.75</v>
      </c>
    </row>
    <row r="81" spans="1:23">
      <c r="A81" s="49"/>
      <c r="B81" s="56"/>
      <c r="C81" s="50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4" t="s">
        <v>1</v>
      </c>
    </row>
    <row r="82" spans="1:23">
      <c r="A82" s="49"/>
      <c r="B82" s="56">
        <v>431</v>
      </c>
      <c r="C82" s="50" t="s">
        <v>57</v>
      </c>
      <c r="D82" s="63">
        <v>2878.86</v>
      </c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 t="s">
        <v>1</v>
      </c>
      <c r="Q82" s="63">
        <v>0</v>
      </c>
      <c r="R82" s="63"/>
      <c r="S82" s="64">
        <f>SUM(D82,F82:Q82)</f>
        <v>2878.86</v>
      </c>
    </row>
    <row r="83" spans="1:23">
      <c r="A83" s="49"/>
      <c r="B83" s="58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>
        <v>0</v>
      </c>
      <c r="Q83" s="63" t="s">
        <v>1</v>
      </c>
      <c r="R83" s="63"/>
      <c r="S83" s="64">
        <f>SUM(D83,F83:Q83)</f>
        <v>0</v>
      </c>
    </row>
    <row r="84" spans="1:23">
      <c r="A84" s="49"/>
      <c r="B84" s="56" t="s">
        <v>1</v>
      </c>
      <c r="C84" s="50" t="s">
        <v>1</v>
      </c>
      <c r="D84" s="67">
        <v>0</v>
      </c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3">
        <v>0</v>
      </c>
      <c r="R84" s="67"/>
      <c r="S84" s="64">
        <f>SUM(D84,F84:Q84)</f>
        <v>0</v>
      </c>
    </row>
    <row r="85" spans="1:23" ht="15">
      <c r="A85" s="49"/>
      <c r="B85" s="56"/>
      <c r="C85" s="68" t="s">
        <v>81</v>
      </c>
      <c r="D85" s="69">
        <f>SUM(D82:D84)</f>
        <v>2878.86</v>
      </c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>
        <f>SUM(P82:P84)</f>
        <v>0</v>
      </c>
      <c r="Q85" s="69">
        <f>SUM(F85:P85)</f>
        <v>0</v>
      </c>
      <c r="R85" s="69"/>
      <c r="S85" s="70">
        <f>SUM(D85,F85:Q85)</f>
        <v>2878.86</v>
      </c>
      <c r="U85" s="66">
        <f>SUM(S82:S84)</f>
        <v>2878.86</v>
      </c>
    </row>
    <row r="86" spans="1:23" ht="15">
      <c r="A86" s="49"/>
      <c r="B86" s="56"/>
      <c r="C86" s="82" t="s">
        <v>1</v>
      </c>
      <c r="D86" s="82" t="s">
        <v>1</v>
      </c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63"/>
      <c r="Q86" s="63"/>
      <c r="R86" s="63"/>
      <c r="S86" s="64">
        <f>SUM(D86,F86:Q86)</f>
        <v>0</v>
      </c>
    </row>
    <row r="87" spans="1:23" ht="15">
      <c r="A87" s="49"/>
      <c r="B87" s="56"/>
      <c r="C87" s="68" t="s">
        <v>58</v>
      </c>
      <c r="D87" s="63">
        <f t="shared" ref="D87:P87" si="9">SUM(D16,D28,D38,D44,D52,D65,D70,D75,D80,D85)</f>
        <v>125702545.64</v>
      </c>
      <c r="E87" s="63">
        <f t="shared" si="9"/>
        <v>0</v>
      </c>
      <c r="F87" s="63">
        <f t="shared" si="9"/>
        <v>129303.77813545775</v>
      </c>
      <c r="G87" s="63">
        <f t="shared" si="9"/>
        <v>22759.771329122628</v>
      </c>
      <c r="H87" s="63">
        <f t="shared" si="9"/>
        <v>134873.92001082044</v>
      </c>
      <c r="I87" s="63">
        <f>SUM(I16,I28,I38,I44,I52,I65,I70,I75,I80,I85)</f>
        <v>482472</v>
      </c>
      <c r="J87" s="63">
        <f t="shared" si="9"/>
        <v>103186</v>
      </c>
      <c r="K87" s="63">
        <f t="shared" si="9"/>
        <v>16888.833047200926</v>
      </c>
      <c r="L87" s="63">
        <f t="shared" si="9"/>
        <v>-2987</v>
      </c>
      <c r="M87" s="63">
        <f t="shared" si="9"/>
        <v>-92292</v>
      </c>
      <c r="N87" s="63"/>
      <c r="O87" s="63">
        <f t="shared" si="9"/>
        <v>0</v>
      </c>
      <c r="P87" s="63">
        <f t="shared" si="9"/>
        <v>-11965788.544497505</v>
      </c>
      <c r="Q87" s="63">
        <f>SUM(F87:P87)</f>
        <v>-11171583.241974903</v>
      </c>
      <c r="R87" s="63">
        <f>SUM(R16,R28,R38,R44,R52,R65,R70,R75,R80,R85)</f>
        <v>0</v>
      </c>
      <c r="S87" s="64">
        <f>SUM(S16,S28,S38,S44,S52,S65,S70,S75,S80,S85)</f>
        <v>114530962.3980251</v>
      </c>
      <c r="U87" s="66">
        <f>SUM(F87:P87)+D87</f>
        <v>114530962.3980251</v>
      </c>
      <c r="V87" s="66">
        <f>(S87-U87)</f>
        <v>0</v>
      </c>
      <c r="W87" s="66">
        <f>(S87-V87)</f>
        <v>114530962.3980251</v>
      </c>
    </row>
    <row r="88" spans="1:23" ht="15">
      <c r="A88" s="49"/>
      <c r="B88" s="56"/>
      <c r="C88" s="68" t="s">
        <v>59</v>
      </c>
      <c r="D88" s="67">
        <v>4219323</v>
      </c>
      <c r="E88" s="67"/>
      <c r="F88" s="67"/>
      <c r="G88" s="67"/>
      <c r="H88" s="67"/>
      <c r="I88" s="67">
        <v>482472</v>
      </c>
      <c r="J88" s="67"/>
      <c r="K88" s="67"/>
      <c r="L88" s="67"/>
      <c r="M88" s="67"/>
      <c r="N88" s="67"/>
      <c r="O88" s="67"/>
      <c r="P88" s="67">
        <f>(P80)</f>
        <v>0</v>
      </c>
      <c r="Q88" s="63">
        <f>SUM(F88:P88)</f>
        <v>482472</v>
      </c>
      <c r="R88" s="67"/>
      <c r="S88" s="64">
        <f>SUM(D88,F88:P88)</f>
        <v>4701795</v>
      </c>
      <c r="U88" s="66">
        <f>(S88)</f>
        <v>4701795</v>
      </c>
    </row>
    <row r="89" spans="1:23" ht="15">
      <c r="A89" s="49"/>
      <c r="B89" s="56"/>
      <c r="C89" s="68" t="s">
        <v>80</v>
      </c>
      <c r="D89" s="69">
        <f>(D87+D88)</f>
        <v>129921868.64</v>
      </c>
      <c r="E89" s="69">
        <f t="shared" ref="E89:R89" si="10">(E87+E88)</f>
        <v>0</v>
      </c>
      <c r="F89" s="69">
        <f t="shared" si="10"/>
        <v>129303.77813545775</v>
      </c>
      <c r="G89" s="69">
        <f t="shared" si="10"/>
        <v>22759.771329122628</v>
      </c>
      <c r="H89" s="69">
        <f t="shared" si="10"/>
        <v>134873.92001082044</v>
      </c>
      <c r="I89" s="69">
        <f>(I87+I88)</f>
        <v>964944</v>
      </c>
      <c r="J89" s="69">
        <f t="shared" si="10"/>
        <v>103186</v>
      </c>
      <c r="K89" s="69">
        <f t="shared" si="10"/>
        <v>16888.833047200926</v>
      </c>
      <c r="L89" s="69">
        <f t="shared" si="10"/>
        <v>-2987</v>
      </c>
      <c r="M89" s="69">
        <f t="shared" si="10"/>
        <v>-92292</v>
      </c>
      <c r="N89" s="69"/>
      <c r="O89" s="69">
        <f t="shared" si="10"/>
        <v>0</v>
      </c>
      <c r="P89" s="69">
        <f t="shared" si="10"/>
        <v>-11965788.544497505</v>
      </c>
      <c r="Q89" s="69">
        <f t="shared" si="10"/>
        <v>-10689111.241974903</v>
      </c>
      <c r="R89" s="69">
        <f t="shared" si="10"/>
        <v>0</v>
      </c>
      <c r="S89" s="70">
        <f>SUM(D89,F89:P89)</f>
        <v>119232757.3980251</v>
      </c>
      <c r="T89" s="66"/>
      <c r="U89" s="69">
        <f>(U87+U88)</f>
        <v>119232757.3980251</v>
      </c>
      <c r="V89" s="52">
        <f>(V97)</f>
        <v>0</v>
      </c>
    </row>
    <row r="90" spans="1:23">
      <c r="A90" s="49"/>
      <c r="B90" s="56"/>
      <c r="C90" s="50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 t="s">
        <v>1</v>
      </c>
    </row>
    <row r="91" spans="1:23" ht="15">
      <c r="A91" s="49"/>
      <c r="B91" s="56"/>
      <c r="C91" s="68" t="s">
        <v>60</v>
      </c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63"/>
      <c r="Q91" s="63"/>
      <c r="R91" s="63"/>
      <c r="S91" s="64">
        <f t="shared" ref="S91:S97" si="11">SUM(D91,F91:P91)</f>
        <v>0</v>
      </c>
    </row>
    <row r="92" spans="1:23">
      <c r="A92" s="49"/>
      <c r="B92" s="56">
        <v>450</v>
      </c>
      <c r="C92" s="50" t="s">
        <v>61</v>
      </c>
      <c r="D92" s="63">
        <v>1385477.75</v>
      </c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4">
        <f t="shared" si="11"/>
        <v>1385477.75</v>
      </c>
    </row>
    <row r="93" spans="1:23">
      <c r="A93" s="49"/>
      <c r="B93" s="56">
        <v>451</v>
      </c>
      <c r="C93" s="50" t="s">
        <v>62</v>
      </c>
      <c r="D93" s="63">
        <v>233075.17</v>
      </c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 t="s">
        <v>1</v>
      </c>
      <c r="Q93" s="63">
        <v>0</v>
      </c>
      <c r="R93" s="63"/>
      <c r="S93" s="64">
        <f t="shared" si="11"/>
        <v>233075.17</v>
      </c>
    </row>
    <row r="94" spans="1:23">
      <c r="A94" s="49"/>
      <c r="B94" s="56">
        <v>452</v>
      </c>
      <c r="C94" s="50" t="s">
        <v>246</v>
      </c>
      <c r="D94" s="63">
        <v>0</v>
      </c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 t="s">
        <v>1</v>
      </c>
      <c r="Q94" s="63"/>
      <c r="R94" s="63"/>
      <c r="S94" s="64">
        <f t="shared" si="11"/>
        <v>0</v>
      </c>
    </row>
    <row r="95" spans="1:23">
      <c r="A95" s="49"/>
      <c r="B95" s="56">
        <v>454</v>
      </c>
      <c r="C95" s="50" t="s">
        <v>63</v>
      </c>
      <c r="D95" s="78">
        <v>1330885.1200000001</v>
      </c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 t="s">
        <v>1</v>
      </c>
      <c r="Q95" s="63">
        <v>0</v>
      </c>
      <c r="R95" s="63"/>
      <c r="S95" s="64">
        <f t="shared" si="11"/>
        <v>1330885.1200000001</v>
      </c>
      <c r="V95" s="66" t="s">
        <v>1</v>
      </c>
    </row>
    <row r="96" spans="1:23">
      <c r="A96" s="49"/>
      <c r="B96" s="56">
        <v>456</v>
      </c>
      <c r="C96" s="50" t="s">
        <v>316</v>
      </c>
      <c r="D96" s="67">
        <v>85029.09</v>
      </c>
      <c r="E96" s="67"/>
      <c r="F96" s="67"/>
      <c r="G96" s="67"/>
      <c r="H96" s="67"/>
      <c r="I96" s="67"/>
      <c r="J96" s="67"/>
      <c r="K96" s="67"/>
      <c r="L96" s="67"/>
      <c r="M96" s="67"/>
      <c r="N96" s="67">
        <f>[3]adjustments!$P$13+[3]adjustments!$Q$13+[3]adjustments!$T$13</f>
        <v>181397</v>
      </c>
      <c r="O96" s="67"/>
      <c r="P96" s="67"/>
      <c r="Q96" s="67">
        <f>SUM(F96:P96)</f>
        <v>181397</v>
      </c>
      <c r="R96" s="67"/>
      <c r="S96" s="64">
        <f t="shared" si="11"/>
        <v>266426.08999999997</v>
      </c>
      <c r="V96" s="66"/>
    </row>
    <row r="97" spans="1:22" ht="15">
      <c r="A97" s="49"/>
      <c r="B97" s="56"/>
      <c r="C97" s="68" t="s">
        <v>64</v>
      </c>
      <c r="D97" s="67">
        <f>SUM(D92:D96)</f>
        <v>3034467.13</v>
      </c>
      <c r="E97" s="67"/>
      <c r="F97" s="67"/>
      <c r="G97" s="67"/>
      <c r="H97" s="67"/>
      <c r="I97" s="67">
        <f>SUM(I92:I96)</f>
        <v>0</v>
      </c>
      <c r="J97" s="67"/>
      <c r="K97" s="67"/>
      <c r="L97" s="67"/>
      <c r="M97" s="67"/>
      <c r="N97" s="67">
        <f>SUM(N92:N96)</f>
        <v>181397</v>
      </c>
      <c r="O97" s="67"/>
      <c r="P97" s="67">
        <f>SUM(P92:P95)</f>
        <v>0</v>
      </c>
      <c r="Q97" s="67">
        <f>SUM(Q92:Q96)</f>
        <v>181397</v>
      </c>
      <c r="R97" s="67"/>
      <c r="S97" s="70">
        <f t="shared" si="11"/>
        <v>3215864.13</v>
      </c>
      <c r="U97" s="66">
        <f>SUM(S91:S96)</f>
        <v>3215864.13</v>
      </c>
    </row>
    <row r="98" spans="1:22">
      <c r="A98" s="49"/>
      <c r="B98" s="56"/>
      <c r="C98" s="50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4"/>
    </row>
    <row r="99" spans="1:22" ht="15">
      <c r="A99" s="49"/>
      <c r="B99" s="56"/>
      <c r="C99" s="68" t="s">
        <v>65</v>
      </c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4"/>
    </row>
    <row r="100" spans="1:22">
      <c r="A100" s="49"/>
      <c r="B100" s="56">
        <v>415</v>
      </c>
      <c r="C100" s="50" t="s">
        <v>317</v>
      </c>
      <c r="D100" s="63">
        <v>163037.09</v>
      </c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4">
        <f>SUM(D100,F100:P100)</f>
        <v>163037.09</v>
      </c>
    </row>
    <row r="101" spans="1:22">
      <c r="A101" s="49"/>
      <c r="B101" s="56">
        <v>416</v>
      </c>
      <c r="C101" s="50" t="s">
        <v>356</v>
      </c>
      <c r="D101" s="63">
        <v>-114546.33</v>
      </c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4">
        <f t="shared" ref="S101:S107" si="12">SUM(D101,F101:P101)</f>
        <v>-114546.33</v>
      </c>
    </row>
    <row r="102" spans="1:22">
      <c r="A102" s="49"/>
      <c r="B102" s="56">
        <v>417</v>
      </c>
      <c r="C102" s="50" t="s">
        <v>357</v>
      </c>
      <c r="D102" s="63">
        <v>0</v>
      </c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4">
        <f t="shared" si="12"/>
        <v>0</v>
      </c>
    </row>
    <row r="103" spans="1:22">
      <c r="A103" s="49"/>
      <c r="B103" s="56">
        <v>418</v>
      </c>
      <c r="C103" s="50" t="s">
        <v>358</v>
      </c>
      <c r="D103" s="63">
        <v>0</v>
      </c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4">
        <f t="shared" si="12"/>
        <v>0</v>
      </c>
    </row>
    <row r="104" spans="1:22">
      <c r="A104" s="49"/>
      <c r="B104" s="56">
        <v>419</v>
      </c>
      <c r="C104" s="50" t="s">
        <v>66</v>
      </c>
      <c r="D104" s="63">
        <v>260388.91</v>
      </c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4">
        <f t="shared" si="12"/>
        <v>260388.91</v>
      </c>
      <c r="V104" s="52">
        <f>(47984+50722+441865-116105)</f>
        <v>424466</v>
      </c>
    </row>
    <row r="105" spans="1:22">
      <c r="A105" s="49"/>
      <c r="B105" s="56">
        <v>421</v>
      </c>
      <c r="C105" s="50" t="s">
        <v>67</v>
      </c>
      <c r="D105" s="63">
        <f>44105.11-6591.22</f>
        <v>37513.89</v>
      </c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4">
        <f t="shared" si="12"/>
        <v>37513.89</v>
      </c>
      <c r="U105" s="66">
        <f>S105+S101+S100</f>
        <v>86004.65</v>
      </c>
    </row>
    <row r="106" spans="1:22">
      <c r="A106" s="49"/>
      <c r="B106" s="56">
        <v>423</v>
      </c>
      <c r="C106" s="50" t="s">
        <v>413</v>
      </c>
      <c r="D106" s="63">
        <v>7776965.04</v>
      </c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>
        <f>-(D106)</f>
        <v>-7776965.04</v>
      </c>
      <c r="P106" s="63"/>
      <c r="Q106" s="63">
        <f>SUM(F106:P106)</f>
        <v>-7776965.04</v>
      </c>
      <c r="R106" s="63"/>
      <c r="S106" s="64">
        <f t="shared" si="12"/>
        <v>0</v>
      </c>
    </row>
    <row r="107" spans="1:22">
      <c r="A107" s="49"/>
      <c r="B107" s="56">
        <v>424</v>
      </c>
      <c r="C107" s="50" t="s">
        <v>68</v>
      </c>
      <c r="D107" s="67">
        <v>171272.45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>
        <v>0</v>
      </c>
      <c r="R107" s="67"/>
      <c r="S107" s="64">
        <f t="shared" si="12"/>
        <v>171272.45</v>
      </c>
      <c r="V107" s="83">
        <f>('[2]income statement'!$O$27)</f>
        <v>3729639</v>
      </c>
    </row>
    <row r="108" spans="1:22" ht="15">
      <c r="A108" s="49"/>
      <c r="B108" s="56"/>
      <c r="C108" s="68" t="s">
        <v>69</v>
      </c>
      <c r="D108" s="69">
        <f>SUM(D100:D107)</f>
        <v>8294631.0499999998</v>
      </c>
      <c r="E108" s="69"/>
      <c r="F108" s="69"/>
      <c r="G108" s="69"/>
      <c r="H108" s="69"/>
      <c r="I108" s="69"/>
      <c r="J108" s="69"/>
      <c r="K108" s="69"/>
      <c r="L108" s="69"/>
      <c r="M108" s="69"/>
      <c r="N108" s="69">
        <f>SUM(N100:N107)</f>
        <v>0</v>
      </c>
      <c r="O108" s="69">
        <f>SUM(O100:O107)</f>
        <v>-7776965.04</v>
      </c>
      <c r="P108" s="69">
        <f>SUM(P100:P107)</f>
        <v>0</v>
      </c>
      <c r="Q108" s="69">
        <f>SUM(Q100:Q107)</f>
        <v>-7776965.04</v>
      </c>
      <c r="R108" s="69"/>
      <c r="S108" s="70">
        <f>SUM(D108,F108:P108)</f>
        <v>517666.00999999978</v>
      </c>
      <c r="U108" s="66">
        <f>SUM(S99:S107)</f>
        <v>517666.01</v>
      </c>
      <c r="V108" s="66">
        <f>SUM(U97,U108)</f>
        <v>3733530.1399999997</v>
      </c>
    </row>
    <row r="109" spans="1:22">
      <c r="A109" s="49"/>
      <c r="B109" s="56"/>
      <c r="C109" s="50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4">
        <f>SUM(D109,P109,Q109)</f>
        <v>0</v>
      </c>
      <c r="V109" s="52">
        <f>(V107-V108)</f>
        <v>-3891.1399999996647</v>
      </c>
    </row>
    <row r="110" spans="1:22" ht="15">
      <c r="A110" s="49"/>
      <c r="B110" s="56"/>
      <c r="C110" s="68" t="s">
        <v>70</v>
      </c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4">
        <f>SUM(D110,P110,Q110)</f>
        <v>0</v>
      </c>
    </row>
    <row r="111" spans="1:22" ht="15" thickBot="1">
      <c r="A111" s="49"/>
      <c r="B111" s="56"/>
      <c r="C111" s="50" t="s">
        <v>71</v>
      </c>
      <c r="D111" s="84">
        <f t="shared" ref="D111:P111" si="13">(D89-D97-D108)</f>
        <v>118592770.46000001</v>
      </c>
      <c r="E111" s="84">
        <f t="shared" si="13"/>
        <v>0</v>
      </c>
      <c r="F111" s="84">
        <f t="shared" si="13"/>
        <v>129303.77813545775</v>
      </c>
      <c r="G111" s="84">
        <f t="shared" si="13"/>
        <v>22759.771329122628</v>
      </c>
      <c r="H111" s="84">
        <f t="shared" si="13"/>
        <v>134873.92001082044</v>
      </c>
      <c r="I111" s="84">
        <f t="shared" si="13"/>
        <v>964944</v>
      </c>
      <c r="J111" s="84">
        <f t="shared" si="13"/>
        <v>103186</v>
      </c>
      <c r="K111" s="84">
        <f t="shared" si="13"/>
        <v>16888.833047200926</v>
      </c>
      <c r="L111" s="84">
        <f t="shared" si="13"/>
        <v>-2987</v>
      </c>
      <c r="M111" s="84">
        <f t="shared" si="13"/>
        <v>-92292</v>
      </c>
      <c r="N111" s="84">
        <f t="shared" si="13"/>
        <v>-181397</v>
      </c>
      <c r="O111" s="84">
        <f t="shared" si="13"/>
        <v>7776965.04</v>
      </c>
      <c r="P111" s="84">
        <f t="shared" si="13"/>
        <v>-11965788.544497505</v>
      </c>
      <c r="Q111" s="84">
        <f>SUM(F111:P111)</f>
        <v>-3093543.2019749023</v>
      </c>
      <c r="R111" s="84"/>
      <c r="S111" s="85">
        <f>SUM(D111,F111:P111)</f>
        <v>115499227.25802511</v>
      </c>
      <c r="T111" s="66"/>
      <c r="U111" s="66">
        <f>SUM(U87,U88,-U97,-U108)</f>
        <v>115499227.25802509</v>
      </c>
      <c r="V111" s="66">
        <f>S111-U111</f>
        <v>0</v>
      </c>
    </row>
    <row r="112" spans="1:22" ht="15" thickTop="1">
      <c r="A112" s="49"/>
      <c r="B112" s="72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5"/>
      <c r="U112" s="52">
        <v>115399470</v>
      </c>
    </row>
    <row r="113" spans="1:21">
      <c r="A113" s="49"/>
      <c r="B113" s="86"/>
      <c r="C113" s="81" t="s">
        <v>250</v>
      </c>
      <c r="D113" s="87">
        <f>(D80+D88)/(D80)</f>
        <v>2.000000059251215</v>
      </c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8"/>
      <c r="U113" s="66">
        <f>U112-U111</f>
        <v>-99757.258025094867</v>
      </c>
    </row>
    <row r="114" spans="1:21">
      <c r="A114" s="49"/>
      <c r="B114" s="50"/>
    </row>
    <row r="115" spans="1:21">
      <c r="A115" s="49"/>
      <c r="B115" s="50"/>
      <c r="C115" s="52" t="s">
        <v>105</v>
      </c>
      <c r="D115" s="66">
        <f>SUM(D38,D52,D44,D65,D28)</f>
        <v>17133721.91</v>
      </c>
      <c r="S115" s="66" t="s">
        <v>1</v>
      </c>
    </row>
    <row r="116" spans="1:21">
      <c r="A116" s="49"/>
      <c r="B116" s="50"/>
      <c r="D116" s="65">
        <f>D115*0.125</f>
        <v>2141715.23875</v>
      </c>
    </row>
    <row r="117" spans="1:21">
      <c r="A117" s="49"/>
      <c r="B117" s="50"/>
    </row>
    <row r="118" spans="1:21">
      <c r="A118" s="49"/>
      <c r="B118" s="50"/>
    </row>
    <row r="119" spans="1:21">
      <c r="A119" s="49"/>
      <c r="B119" s="50"/>
      <c r="S119" s="66">
        <f>(S97+S108)</f>
        <v>3733530.1399999997</v>
      </c>
    </row>
    <row r="120" spans="1:21">
      <c r="A120" s="49"/>
      <c r="B120" s="50"/>
    </row>
    <row r="121" spans="1:21">
      <c r="A121" s="49"/>
      <c r="D121" s="58" t="s">
        <v>1</v>
      </c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77"/>
    </row>
    <row r="122" spans="1:21">
      <c r="A122" s="49"/>
      <c r="B122" s="52">
        <v>583</v>
      </c>
      <c r="D122" s="65">
        <v>1496188.48</v>
      </c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77"/>
      <c r="Q122" s="52">
        <v>594</v>
      </c>
    </row>
    <row r="123" spans="1:21">
      <c r="A123" s="49"/>
      <c r="B123" s="52">
        <v>583.1</v>
      </c>
      <c r="D123" s="65">
        <v>95416.52</v>
      </c>
      <c r="E123" s="65">
        <v>27870</v>
      </c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77"/>
      <c r="Q123" s="52">
        <v>594.1</v>
      </c>
      <c r="S123" s="52">
        <v>77.010000000000005</v>
      </c>
    </row>
    <row r="124" spans="1:21">
      <c r="B124" s="52">
        <v>583.20000000000005</v>
      </c>
      <c r="D124" s="65">
        <v>47753.1</v>
      </c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77"/>
      <c r="S124" s="65">
        <v>138283.85999999999</v>
      </c>
    </row>
    <row r="125" spans="1:21" ht="15" thickBot="1">
      <c r="B125" s="52" t="s">
        <v>1</v>
      </c>
      <c r="D125" s="89">
        <f>SUM(D122:D124)</f>
        <v>1639358.1</v>
      </c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77"/>
      <c r="S125" s="89">
        <f>SUM(S123:S124)</f>
        <v>138360.87</v>
      </c>
    </row>
    <row r="126" spans="1:21" ht="15" thickTop="1">
      <c r="B126" s="52" t="s">
        <v>1</v>
      </c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77"/>
    </row>
    <row r="127" spans="1:21">
      <c r="B127" s="52">
        <v>586</v>
      </c>
      <c r="D127" s="65">
        <v>1188664.67</v>
      </c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77"/>
      <c r="Q127" s="52">
        <v>920</v>
      </c>
    </row>
    <row r="128" spans="1:21">
      <c r="B128" s="52">
        <v>586.1</v>
      </c>
      <c r="D128" s="65">
        <v>24669.51</v>
      </c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77"/>
      <c r="Q128" s="52">
        <v>920.1</v>
      </c>
      <c r="S128" s="90">
        <v>38767.07</v>
      </c>
    </row>
    <row r="129" spans="2:19">
      <c r="B129" s="52">
        <v>586.20000000000005</v>
      </c>
      <c r="D129" s="65">
        <v>9071.1200000000008</v>
      </c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77"/>
      <c r="Q129" s="52">
        <v>920.2</v>
      </c>
      <c r="S129" s="90">
        <v>27000</v>
      </c>
    </row>
    <row r="130" spans="2:19">
      <c r="B130" s="52">
        <v>586.29999999999995</v>
      </c>
      <c r="D130" s="65">
        <v>2664.54</v>
      </c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77"/>
      <c r="S130" s="90">
        <v>4632.08</v>
      </c>
    </row>
    <row r="131" spans="2:19" ht="15" thickBot="1">
      <c r="B131" s="52" t="s">
        <v>1</v>
      </c>
      <c r="D131" s="89">
        <f>SUM(D127:D130)</f>
        <v>1225069.8400000001</v>
      </c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77"/>
      <c r="S131" s="89">
        <f>SUM(S128:S130)</f>
        <v>70399.150000000009</v>
      </c>
    </row>
    <row r="132" spans="2:19" ht="15" thickTop="1">
      <c r="B132" s="52" t="s">
        <v>1</v>
      </c>
      <c r="D132" s="65"/>
      <c r="E132" s="65">
        <v>32120</v>
      </c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77"/>
      <c r="Q132" s="52">
        <v>921</v>
      </c>
    </row>
    <row r="133" spans="2:19">
      <c r="B133" s="52">
        <v>588</v>
      </c>
      <c r="D133" s="65">
        <v>816588.29</v>
      </c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52">
        <v>921.2</v>
      </c>
    </row>
    <row r="134" spans="2:19">
      <c r="B134" s="52">
        <v>588.1</v>
      </c>
      <c r="D134" s="80">
        <v>230213.02</v>
      </c>
      <c r="Q134" s="52">
        <v>921.4</v>
      </c>
      <c r="S134" s="63">
        <v>279600</v>
      </c>
    </row>
    <row r="135" spans="2:19" ht="15" thickBot="1">
      <c r="D135" s="91">
        <f>SUM(D133:D134)</f>
        <v>1046801.31</v>
      </c>
      <c r="Q135" s="52">
        <v>921.5</v>
      </c>
      <c r="S135" s="90">
        <v>85798.04</v>
      </c>
    </row>
    <row r="136" spans="2:19" ht="15" thickTop="1">
      <c r="Q136" s="52">
        <v>921.7</v>
      </c>
      <c r="S136" s="90">
        <v>13450</v>
      </c>
    </row>
    <row r="137" spans="2:19">
      <c r="S137" s="90">
        <v>1740</v>
      </c>
    </row>
    <row r="138" spans="2:19" ht="15" thickBot="1">
      <c r="B138" s="52">
        <v>593</v>
      </c>
      <c r="D138" s="80">
        <v>1056170.58</v>
      </c>
      <c r="S138" s="91">
        <f>SUM(S134:S137)</f>
        <v>380588.04</v>
      </c>
    </row>
    <row r="139" spans="2:19" ht="15" thickTop="1">
      <c r="B139" s="52">
        <v>593.1</v>
      </c>
      <c r="D139" s="80">
        <v>351000.08</v>
      </c>
      <c r="Q139" s="52">
        <v>930</v>
      </c>
    </row>
    <row r="140" spans="2:19">
      <c r="B140" s="52">
        <v>593.20000000000005</v>
      </c>
      <c r="D140" s="80">
        <v>1832599.6</v>
      </c>
      <c r="Q140" s="52">
        <v>930.2</v>
      </c>
    </row>
    <row r="141" spans="2:19">
      <c r="B141" s="52">
        <v>593.4</v>
      </c>
      <c r="D141" s="80">
        <v>82801.45</v>
      </c>
      <c r="Q141" s="52">
        <v>930.3</v>
      </c>
      <c r="S141" s="90">
        <v>13707.82</v>
      </c>
    </row>
    <row r="142" spans="2:19">
      <c r="B142" s="52">
        <v>593.5</v>
      </c>
      <c r="D142" s="80">
        <v>89191.42</v>
      </c>
      <c r="Q142" s="52">
        <v>930.4</v>
      </c>
      <c r="S142" s="90">
        <v>13609.33</v>
      </c>
    </row>
    <row r="143" spans="2:19" ht="15" thickBot="1">
      <c r="B143" s="52">
        <v>593.6</v>
      </c>
      <c r="D143" s="80">
        <v>60558.81</v>
      </c>
      <c r="S143" s="92">
        <f>(S141-S142)</f>
        <v>98.489999999999782</v>
      </c>
    </row>
    <row r="144" spans="2:19" ht="15.75" thickTop="1" thickBot="1">
      <c r="D144" s="93">
        <f>SUM(D138:D143)</f>
        <v>3472321.9400000004</v>
      </c>
    </row>
    <row r="145" spans="17:19" ht="15" thickTop="1">
      <c r="Q145" s="52">
        <v>932.1</v>
      </c>
      <c r="S145" s="90">
        <v>19554.82</v>
      </c>
    </row>
    <row r="146" spans="17:19">
      <c r="Q146" s="52">
        <v>935</v>
      </c>
      <c r="S146" s="90">
        <v>9009.16</v>
      </c>
    </row>
    <row r="147" spans="17:19" ht="15" thickBot="1">
      <c r="S147" s="92">
        <f>(S145-S146)</f>
        <v>10545.66</v>
      </c>
    </row>
    <row r="148" spans="17:19" ht="15" thickTop="1"/>
    <row r="149" spans="17:19">
      <c r="S149" s="52">
        <v>493.06</v>
      </c>
    </row>
    <row r="150" spans="17:19">
      <c r="S150" s="90">
        <v>42202.03</v>
      </c>
    </row>
    <row r="151" spans="17:19">
      <c r="S151" s="52">
        <v>122.45</v>
      </c>
    </row>
    <row r="152" spans="17:19">
      <c r="S152" s="90">
        <v>44482.13</v>
      </c>
    </row>
    <row r="153" spans="17:19" ht="15" thickBot="1">
      <c r="S153" s="94">
        <f>SUM(S149:S152)</f>
        <v>87299.669999999984</v>
      </c>
    </row>
    <row r="154" spans="17:19" ht="15" thickTop="1"/>
  </sheetData>
  <mergeCells count="1">
    <mergeCell ref="D4:S4"/>
  </mergeCells>
  <printOptions gridLines="1"/>
  <pageMargins left="0.2" right="0.22" top="0.75" bottom="0.75" header="0.3" footer="0.3"/>
  <pageSetup scale="50" orientation="landscape" r:id="rId1"/>
  <headerFooter>
    <oddHeader>&amp;CBLUE GRASS ENERGY &amp;"Arial,Bold"&amp;12COOPERATIVE
CASE NO. 2014-00339
ACTUAL TEST YEAR WITH ADJUSTMENTS&amp;RExhibit R
Schedule 1
Page ____ of ____
Witness:  Jim Adkins</oddHeader>
  </headerFooter>
  <rowBreaks count="1" manualBreakCount="1">
    <brk id="65" max="18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view="pageBreakPreview" zoomScale="60" zoomScaleNormal="100" workbookViewId="0">
      <pane xSplit="2" topLeftCell="E1" activePane="topRight" state="frozen"/>
      <selection pane="topRight" activeCell="Z7" sqref="Z7"/>
    </sheetView>
  </sheetViews>
  <sheetFormatPr defaultRowHeight="12.75"/>
  <cols>
    <col min="1" max="1" width="9.42578125" style="572" bestFit="1" customWidth="1"/>
    <col min="2" max="2" width="24.140625" style="572" customWidth="1"/>
    <col min="3" max="3" width="14.7109375" style="572" bestFit="1" customWidth="1"/>
    <col min="4" max="4" width="9.7109375" style="572" bestFit="1" customWidth="1"/>
    <col min="5" max="5" width="10.140625" style="572" customWidth="1"/>
    <col min="6" max="6" width="10.28515625" style="572" customWidth="1"/>
    <col min="7" max="7" width="10.42578125" style="572" bestFit="1" customWidth="1"/>
    <col min="8" max="8" width="9.85546875" style="572" customWidth="1"/>
    <col min="9" max="9" width="10.42578125" style="572" bestFit="1" customWidth="1"/>
    <col min="10" max="10" width="2.28515625" style="572" customWidth="1"/>
    <col min="11" max="11" width="9.42578125" style="572" bestFit="1" customWidth="1"/>
    <col min="12" max="16" width="9.140625" style="572"/>
    <col min="17" max="17" width="9.140625" style="572" customWidth="1"/>
    <col min="18" max="18" width="35.42578125" style="572" bestFit="1" customWidth="1"/>
    <col min="19" max="25" width="14.85546875" style="572" customWidth="1"/>
    <col min="26" max="26" width="8.5703125" style="572" customWidth="1"/>
    <col min="27" max="27" width="12.42578125" style="572" customWidth="1"/>
    <col min="28" max="16384" width="9.140625" style="572"/>
  </cols>
  <sheetData>
    <row r="1" spans="1:27">
      <c r="U1" s="573" t="s">
        <v>347</v>
      </c>
      <c r="V1" s="573" t="s">
        <v>349</v>
      </c>
      <c r="W1" s="573" t="s">
        <v>352</v>
      </c>
      <c r="Y1" s="573" t="s">
        <v>354</v>
      </c>
    </row>
    <row r="2" spans="1:27">
      <c r="E2" s="573" t="s">
        <v>347</v>
      </c>
      <c r="F2" s="573" t="s">
        <v>349</v>
      </c>
      <c r="G2" s="573" t="s">
        <v>352</v>
      </c>
      <c r="I2" s="573" t="s">
        <v>354</v>
      </c>
      <c r="U2" s="573" t="s">
        <v>348</v>
      </c>
      <c r="V2" s="573" t="s">
        <v>350</v>
      </c>
      <c r="W2" s="573">
        <v>106</v>
      </c>
      <c r="X2" s="573" t="s">
        <v>353</v>
      </c>
      <c r="Y2" s="573" t="s">
        <v>355</v>
      </c>
    </row>
    <row r="3" spans="1:27">
      <c r="E3" s="573" t="s">
        <v>348</v>
      </c>
      <c r="F3" s="573" t="s">
        <v>350</v>
      </c>
      <c r="G3" s="573">
        <v>106</v>
      </c>
      <c r="H3" s="573" t="s">
        <v>353</v>
      </c>
      <c r="I3" s="573" t="s">
        <v>355</v>
      </c>
      <c r="S3" s="574" t="s">
        <v>114</v>
      </c>
      <c r="T3" s="574" t="s">
        <v>112</v>
      </c>
      <c r="U3" s="574" t="s">
        <v>351</v>
      </c>
      <c r="V3" s="574" t="s">
        <v>351</v>
      </c>
      <c r="W3" s="574" t="s">
        <v>351</v>
      </c>
      <c r="X3" s="574" t="s">
        <v>351</v>
      </c>
      <c r="Y3" s="574" t="s">
        <v>351</v>
      </c>
      <c r="AA3" s="574" t="s">
        <v>15</v>
      </c>
    </row>
    <row r="4" spans="1:27" ht="15">
      <c r="C4" s="574" t="s">
        <v>114</v>
      </c>
      <c r="D4" s="574" t="s">
        <v>112</v>
      </c>
      <c r="E4" s="574" t="s">
        <v>351</v>
      </c>
      <c r="F4" s="574" t="s">
        <v>351</v>
      </c>
      <c r="G4" s="574" t="s">
        <v>351</v>
      </c>
      <c r="H4" s="574" t="s">
        <v>351</v>
      </c>
      <c r="I4" s="574" t="s">
        <v>351</v>
      </c>
      <c r="K4" s="574" t="s">
        <v>15</v>
      </c>
      <c r="Q4" s="575">
        <v>580</v>
      </c>
      <c r="R4" s="576" t="s">
        <v>330</v>
      </c>
      <c r="S4" s="577">
        <f t="shared" ref="S4:S11" si="0">C5</f>
        <v>234904.52</v>
      </c>
      <c r="T4" s="578">
        <f>S4/$S$12</f>
        <v>8.7074374727017456E-2</v>
      </c>
      <c r="U4" s="579">
        <f>T4*$U$13</f>
        <v>941.74454491507936</v>
      </c>
      <c r="V4" s="579">
        <f>$V$13*T4</f>
        <v>165.76383769901807</v>
      </c>
      <c r="W4" s="579">
        <f>T4*$W$13</f>
        <v>0</v>
      </c>
      <c r="X4" s="579">
        <f>T4*$X$13</f>
        <v>751.53892826888762</v>
      </c>
      <c r="Y4" s="579">
        <f>T4*$Y$13</f>
        <v>0</v>
      </c>
      <c r="AA4" s="580">
        <f t="shared" ref="AA4:AA9" si="1">SUM(U4:Y4)</f>
        <v>1859.0473108829851</v>
      </c>
    </row>
    <row r="5" spans="1:27" ht="15">
      <c r="A5" s="575">
        <v>580</v>
      </c>
      <c r="B5" s="576" t="s">
        <v>330</v>
      </c>
      <c r="C5" s="577">
        <f>'1TestYr_adj'!D18</f>
        <v>234904.52</v>
      </c>
      <c r="D5" s="578">
        <f t="shared" ref="D5:D28" si="2">C5/$C$34</f>
        <v>1.4485453267168026E-2</v>
      </c>
      <c r="E5" s="579">
        <f>(D5*$E$34)</f>
        <v>1873.0238354494361</v>
      </c>
      <c r="F5" s="579">
        <f>(D5*$F$34)</f>
        <v>329.68560395943655</v>
      </c>
      <c r="G5" s="579">
        <f t="shared" ref="G5:G32" si="3">(D5*$G$34)</f>
        <v>0</v>
      </c>
      <c r="H5" s="579">
        <f t="shared" ref="H5:H32" si="4">(D5*$H$34)</f>
        <v>1494.6959808259996</v>
      </c>
      <c r="I5" s="579">
        <f t="shared" ref="I5:I32" si="5">(D5*$I$34)</f>
        <v>0</v>
      </c>
      <c r="K5" s="580">
        <f>SUM(E5:I5)</f>
        <v>3697.4054202348725</v>
      </c>
      <c r="Q5" s="575">
        <v>582</v>
      </c>
      <c r="R5" s="576" t="s">
        <v>440</v>
      </c>
      <c r="S5" s="577">
        <f t="shared" si="0"/>
        <v>50572.11</v>
      </c>
      <c r="T5" s="578">
        <f t="shared" ref="T5:T11" si="6">S5/$S$12</f>
        <v>1.8746062684855732E-2</v>
      </c>
      <c r="U5" s="579">
        <f t="shared" ref="U5:U11" si="7">T5*$U$13</f>
        <v>202.74624224917144</v>
      </c>
      <c r="V5" s="579">
        <f t="shared" ref="V5:V11" si="8">$V$13*T5</f>
        <v>35.686954998298411</v>
      </c>
      <c r="W5" s="579">
        <f t="shared" ref="W5:W11" si="9">T5*$W$13</f>
        <v>0</v>
      </c>
      <c r="X5" s="579">
        <f t="shared" ref="X5:X11" si="10">T5*$X$13</f>
        <v>161.79726703298982</v>
      </c>
      <c r="Y5" s="579">
        <f t="shared" ref="Y5:Y11" si="11">T5*$Y$13</f>
        <v>0</v>
      </c>
      <c r="AA5" s="580">
        <f t="shared" si="1"/>
        <v>400.23046428045967</v>
      </c>
    </row>
    <row r="6" spans="1:27" ht="15">
      <c r="A6" s="575">
        <v>582</v>
      </c>
      <c r="B6" s="576" t="s">
        <v>440</v>
      </c>
      <c r="C6" s="577">
        <f>'1TestYr_adj'!D20</f>
        <v>50572.11</v>
      </c>
      <c r="D6" s="578">
        <f t="shared" si="2"/>
        <v>3.1185433810600191E-3</v>
      </c>
      <c r="E6" s="579">
        <f t="shared" ref="E6:E32" si="12">(D6*$E$34)</f>
        <v>403.23944145038496</v>
      </c>
      <c r="F6" s="579">
        <f t="shared" ref="F6:F32" si="13">(D6*$F$34)</f>
        <v>70.977334232874966</v>
      </c>
      <c r="G6" s="579">
        <f t="shared" si="3"/>
        <v>0</v>
      </c>
      <c r="H6" s="579">
        <f t="shared" si="4"/>
        <v>321.79001731805909</v>
      </c>
      <c r="I6" s="579">
        <f t="shared" si="5"/>
        <v>0</v>
      </c>
      <c r="K6" s="580">
        <f>SUM(E6:I6)</f>
        <v>796.00679300131901</v>
      </c>
      <c r="Q6" s="575">
        <v>583</v>
      </c>
      <c r="R6" s="576" t="s">
        <v>331</v>
      </c>
      <c r="S6" s="577">
        <f t="shared" si="0"/>
        <v>1260597.81</v>
      </c>
      <c r="T6" s="578">
        <f t="shared" si="6"/>
        <v>0.46727822047867601</v>
      </c>
      <c r="U6" s="579">
        <f t="shared" si="7"/>
        <v>5053.8027573900908</v>
      </c>
      <c r="V6" s="579">
        <f t="shared" si="8"/>
        <v>889.55942942510273</v>
      </c>
      <c r="W6" s="579">
        <f t="shared" si="9"/>
        <v>0</v>
      </c>
      <c r="X6" s="579">
        <f t="shared" si="10"/>
        <v>4033.0783209514525</v>
      </c>
      <c r="Y6" s="579">
        <f t="shared" si="11"/>
        <v>0</v>
      </c>
      <c r="AA6" s="580">
        <f t="shared" si="1"/>
        <v>9976.4405077666452</v>
      </c>
    </row>
    <row r="7" spans="1:27" ht="15">
      <c r="A7" s="575">
        <v>583</v>
      </c>
      <c r="B7" s="576" t="s">
        <v>331</v>
      </c>
      <c r="C7" s="577">
        <f>'1TestYr_adj'!D21</f>
        <v>1260597.81</v>
      </c>
      <c r="D7" s="578">
        <f t="shared" si="2"/>
        <v>7.7735118359788732E-2</v>
      </c>
      <c r="E7" s="579">
        <f t="shared" si="12"/>
        <v>10051.444497727671</v>
      </c>
      <c r="F7" s="579">
        <f t="shared" si="13"/>
        <v>1769.2335181110736</v>
      </c>
      <c r="G7" s="579">
        <f t="shared" si="3"/>
        <v>0</v>
      </c>
      <c r="H7" s="579">
        <f t="shared" si="4"/>
        <v>8021.1759230731586</v>
      </c>
      <c r="I7" s="579">
        <f t="shared" si="5"/>
        <v>0</v>
      </c>
      <c r="K7" s="580">
        <f t="shared" ref="K7:K32" si="14">SUM(E7:I7)</f>
        <v>19841.853938911903</v>
      </c>
      <c r="Q7" s="575">
        <v>584</v>
      </c>
      <c r="R7" s="576" t="s">
        <v>444</v>
      </c>
      <c r="S7" s="577">
        <f t="shared" si="0"/>
        <v>120534.27</v>
      </c>
      <c r="T7" s="578">
        <f t="shared" si="6"/>
        <v>4.4679626400664828E-2</v>
      </c>
      <c r="U7" s="579">
        <f t="shared" si="7"/>
        <v>483.22821224479338</v>
      </c>
      <c r="V7" s="579">
        <f t="shared" si="8"/>
        <v>85.056784643605937</v>
      </c>
      <c r="W7" s="579">
        <f t="shared" si="9"/>
        <v>0</v>
      </c>
      <c r="X7" s="579">
        <f t="shared" si="10"/>
        <v>385.62985546413813</v>
      </c>
      <c r="Y7" s="579">
        <f t="shared" si="11"/>
        <v>0</v>
      </c>
      <c r="AA7" s="580">
        <f t="shared" si="1"/>
        <v>953.91485235253742</v>
      </c>
    </row>
    <row r="8" spans="1:27" ht="15">
      <c r="A8" s="575">
        <v>584</v>
      </c>
      <c r="B8" s="576" t="s">
        <v>443</v>
      </c>
      <c r="C8" s="577">
        <f>'1TestYr_adj'!D22</f>
        <v>120534.27</v>
      </c>
      <c r="D8" s="578">
        <f t="shared" si="2"/>
        <v>7.4327796467143891E-3</v>
      </c>
      <c r="E8" s="579">
        <f t="shared" si="12"/>
        <v>961.08649036850341</v>
      </c>
      <c r="F8" s="579">
        <f>(D8*$F$34)</f>
        <v>169.16836509897638</v>
      </c>
      <c r="G8" s="579">
        <f t="shared" si="3"/>
        <v>0</v>
      </c>
      <c r="H8" s="579">
        <f t="shared" si="4"/>
        <v>766.95880062587082</v>
      </c>
      <c r="I8" s="579">
        <f t="shared" si="5"/>
        <v>0</v>
      </c>
      <c r="K8" s="580">
        <f>SUM(E8:I8)</f>
        <v>1897.2136560933504</v>
      </c>
      <c r="Q8" s="575">
        <v>585</v>
      </c>
      <c r="R8" s="576" t="s">
        <v>441</v>
      </c>
      <c r="S8" s="577">
        <f t="shared" si="0"/>
        <v>26089.27</v>
      </c>
      <c r="T8" s="578">
        <f t="shared" si="6"/>
        <v>9.6707669666566427E-3</v>
      </c>
      <c r="U8" s="579">
        <f t="shared" si="7"/>
        <v>104.59325220015619</v>
      </c>
      <c r="V8" s="579">
        <f t="shared" si="8"/>
        <v>18.410278005573758</v>
      </c>
      <c r="W8" s="579">
        <f t="shared" si="9"/>
        <v>0</v>
      </c>
      <c r="X8" s="579">
        <f t="shared" si="10"/>
        <v>83.468389689213481</v>
      </c>
      <c r="Y8" s="579">
        <f t="shared" si="11"/>
        <v>0</v>
      </c>
      <c r="AA8" s="580">
        <f t="shared" si="1"/>
        <v>206.47191989494343</v>
      </c>
    </row>
    <row r="9" spans="1:27" ht="15">
      <c r="A9" s="575">
        <v>585</v>
      </c>
      <c r="B9" s="576" t="s">
        <v>236</v>
      </c>
      <c r="C9" s="577">
        <f>'1TestYr_adj'!D23</f>
        <v>26089.27</v>
      </c>
      <c r="D9" s="578">
        <f t="shared" si="2"/>
        <v>1.608802169321939E-3</v>
      </c>
      <c r="E9" s="579">
        <f t="shared" si="12"/>
        <v>208.02419876584713</v>
      </c>
      <c r="F9" s="579">
        <f t="shared" si="13"/>
        <v>36.615969487563753</v>
      </c>
      <c r="G9" s="579">
        <f t="shared" si="3"/>
        <v>0</v>
      </c>
      <c r="H9" s="579">
        <f t="shared" si="4"/>
        <v>166.00586064365356</v>
      </c>
      <c r="I9" s="579">
        <f t="shared" si="5"/>
        <v>0</v>
      </c>
      <c r="K9" s="580">
        <f>SUM(E9:I9)</f>
        <v>410.64602889706441</v>
      </c>
      <c r="Q9" s="575">
        <v>586</v>
      </c>
      <c r="R9" s="576" t="s">
        <v>113</v>
      </c>
      <c r="S9" s="577">
        <f t="shared" si="0"/>
        <v>517709.94</v>
      </c>
      <c r="T9" s="578">
        <f t="shared" si="6"/>
        <v>0.19190464838846746</v>
      </c>
      <c r="U9" s="579">
        <f t="shared" si="7"/>
        <v>2075.5263110446449</v>
      </c>
      <c r="V9" s="579">
        <f t="shared" si="8"/>
        <v>365.32965167859857</v>
      </c>
      <c r="W9" s="579">
        <f t="shared" si="9"/>
        <v>0</v>
      </c>
      <c r="X9" s="579">
        <f t="shared" si="10"/>
        <v>1656.3290202408627</v>
      </c>
      <c r="Y9" s="579">
        <f t="shared" si="11"/>
        <v>0</v>
      </c>
      <c r="AA9" s="580">
        <f t="shared" si="1"/>
        <v>4097.184982964106</v>
      </c>
    </row>
    <row r="10" spans="1:27" ht="15">
      <c r="A10" s="575">
        <v>586</v>
      </c>
      <c r="B10" s="576" t="s">
        <v>113</v>
      </c>
      <c r="C10" s="577">
        <f>'1TestYr_adj'!D24</f>
        <v>517709.94</v>
      </c>
      <c r="D10" s="578">
        <f t="shared" si="2"/>
        <v>3.1924728999758553E-2</v>
      </c>
      <c r="E10" s="579">
        <f t="shared" si="12"/>
        <v>4127.9880756193934</v>
      </c>
      <c r="F10" s="579">
        <f t="shared" si="13"/>
        <v>726.59953177871444</v>
      </c>
      <c r="G10" s="579">
        <f t="shared" si="3"/>
        <v>0</v>
      </c>
      <c r="H10" s="579">
        <f t="shared" si="4"/>
        <v>3294.1850865690858</v>
      </c>
      <c r="I10" s="579">
        <f t="shared" si="5"/>
        <v>0</v>
      </c>
      <c r="K10" s="580">
        <f>SUM(E10:I10)</f>
        <v>8148.7726939671938</v>
      </c>
      <c r="Q10" s="575">
        <v>587</v>
      </c>
      <c r="R10" s="576" t="s">
        <v>332</v>
      </c>
      <c r="S10" s="577">
        <f t="shared" si="0"/>
        <v>305880.98</v>
      </c>
      <c r="T10" s="578">
        <f t="shared" si="6"/>
        <v>0.11338391902542927</v>
      </c>
      <c r="U10" s="579">
        <f t="shared" si="7"/>
        <v>1226.2928968258186</v>
      </c>
      <c r="V10" s="579">
        <f t="shared" si="8"/>
        <v>215.84942309299367</v>
      </c>
      <c r="W10" s="579">
        <f t="shared" si="9"/>
        <v>0</v>
      </c>
      <c r="X10" s="579">
        <f t="shared" si="10"/>
        <v>978.61660510848003</v>
      </c>
      <c r="Y10" s="579">
        <f t="shared" si="11"/>
        <v>0</v>
      </c>
      <c r="AA10" s="580">
        <f t="shared" ref="AA10:AA41" si="15">SUM(U10:Y10)</f>
        <v>2420.7589250272922</v>
      </c>
    </row>
    <row r="11" spans="1:27" ht="15">
      <c r="A11" s="575">
        <v>587</v>
      </c>
      <c r="B11" s="576" t="s">
        <v>332</v>
      </c>
      <c r="C11" s="577">
        <f>'1TestYr_adj'!D25</f>
        <v>305880.98</v>
      </c>
      <c r="D11" s="578">
        <f t="shared" si="2"/>
        <v>1.8862236627484041E-2</v>
      </c>
      <c r="E11" s="579">
        <f t="shared" si="12"/>
        <v>2438.9584600187013</v>
      </c>
      <c r="F11" s="579">
        <f t="shared" si="13"/>
        <v>429.30019239733798</v>
      </c>
      <c r="G11" s="579">
        <f t="shared" si="3"/>
        <v>0</v>
      </c>
      <c r="H11" s="579">
        <f t="shared" si="4"/>
        <v>1946.3187486435679</v>
      </c>
      <c r="I11" s="579">
        <f t="shared" si="5"/>
        <v>0</v>
      </c>
      <c r="K11" s="580">
        <f t="shared" si="14"/>
        <v>4814.5774010596069</v>
      </c>
      <c r="Q11" s="575">
        <v>588</v>
      </c>
      <c r="R11" s="576" t="s">
        <v>333</v>
      </c>
      <c r="S11" s="577">
        <f t="shared" si="0"/>
        <v>181456.8</v>
      </c>
      <c r="T11" s="578">
        <f t="shared" si="6"/>
        <v>6.7262381328232687E-2</v>
      </c>
      <c r="U11" s="579">
        <f t="shared" si="7"/>
        <v>727.46983130740341</v>
      </c>
      <c r="V11" s="579">
        <f t="shared" si="8"/>
        <v>128.04766610954607</v>
      </c>
      <c r="W11" s="579">
        <f t="shared" si="9"/>
        <v>0</v>
      </c>
      <c r="X11" s="579">
        <f t="shared" si="10"/>
        <v>580.54161324397637</v>
      </c>
      <c r="Y11" s="579">
        <f t="shared" si="11"/>
        <v>0</v>
      </c>
      <c r="AA11" s="580">
        <f t="shared" si="15"/>
        <v>1436.0591106609259</v>
      </c>
    </row>
    <row r="12" spans="1:27" ht="15">
      <c r="A12" s="575">
        <v>588</v>
      </c>
      <c r="B12" s="576" t="s">
        <v>333</v>
      </c>
      <c r="C12" s="577">
        <f>'1TestYr_adj'!D26</f>
        <v>181456.8</v>
      </c>
      <c r="D12" s="578">
        <f t="shared" si="2"/>
        <v>1.1189584587005202E-2</v>
      </c>
      <c r="E12" s="579">
        <f t="shared" si="12"/>
        <v>1446.8555628660583</v>
      </c>
      <c r="F12" s="579">
        <f t="shared" si="13"/>
        <v>254.67238646811347</v>
      </c>
      <c r="G12" s="579">
        <f t="shared" si="3"/>
        <v>0</v>
      </c>
      <c r="H12" s="579">
        <f t="shared" si="4"/>
        <v>1154.6084751947187</v>
      </c>
      <c r="I12" s="579">
        <f t="shared" si="5"/>
        <v>0</v>
      </c>
      <c r="K12" s="580">
        <f t="shared" si="14"/>
        <v>2856.1364245288905</v>
      </c>
      <c r="L12" s="580"/>
      <c r="Q12" s="575"/>
      <c r="R12" s="576"/>
      <c r="S12" s="577">
        <f t="shared" ref="S12:Y12" si="16">SUM(S4:S11)</f>
        <v>2697745.6999999997</v>
      </c>
      <c r="T12" s="578">
        <f t="shared" si="16"/>
        <v>1.0000000000000002</v>
      </c>
      <c r="U12" s="581">
        <f t="shared" si="16"/>
        <v>10815.404048177157</v>
      </c>
      <c r="V12" s="581">
        <f t="shared" si="16"/>
        <v>1903.7040256527371</v>
      </c>
      <c r="W12" s="581">
        <f t="shared" si="16"/>
        <v>0</v>
      </c>
      <c r="X12" s="581">
        <f t="shared" si="16"/>
        <v>8631</v>
      </c>
      <c r="Y12" s="581">
        <f t="shared" si="16"/>
        <v>0</v>
      </c>
      <c r="AA12" s="580">
        <f>SUM(U12:Y12)</f>
        <v>21350.108073829895</v>
      </c>
    </row>
    <row r="13" spans="1:27" ht="15">
      <c r="A13" s="575">
        <v>590</v>
      </c>
      <c r="B13" s="576" t="s">
        <v>334</v>
      </c>
      <c r="C13" s="577">
        <f>'1TestYr_adj'!D30</f>
        <v>304733.87000000005</v>
      </c>
      <c r="D13" s="578">
        <f t="shared" si="2"/>
        <v>1.879149976683402E-2</v>
      </c>
      <c r="E13" s="579">
        <f t="shared" si="12"/>
        <v>2429.8119166832121</v>
      </c>
      <c r="F13" s="579">
        <f t="shared" si="13"/>
        <v>427.69023762440349</v>
      </c>
      <c r="G13" s="579">
        <f t="shared" si="3"/>
        <v>0</v>
      </c>
      <c r="H13" s="579">
        <f t="shared" si="4"/>
        <v>1939.0196949405349</v>
      </c>
      <c r="I13" s="579">
        <f t="shared" si="5"/>
        <v>0</v>
      </c>
      <c r="K13" s="580">
        <f t="shared" si="14"/>
        <v>4796.5218492481508</v>
      </c>
      <c r="Q13" s="575"/>
      <c r="R13" s="576"/>
      <c r="S13" s="577"/>
      <c r="T13" s="578"/>
      <c r="U13" s="579">
        <f>[3]adjustments!$D$21</f>
        <v>10815.404048177157</v>
      </c>
      <c r="V13" s="579">
        <f>[3]adjustments!$E$21</f>
        <v>1903.7040256527371</v>
      </c>
      <c r="W13" s="579">
        <v>0</v>
      </c>
      <c r="X13" s="579">
        <f>[3]adjustments!$H$21</f>
        <v>8631</v>
      </c>
      <c r="Y13" s="579">
        <v>0</v>
      </c>
      <c r="AA13" s="580">
        <f>SUM(AA4:AA11)</f>
        <v>21350.108073829895</v>
      </c>
    </row>
    <row r="14" spans="1:27" ht="15">
      <c r="A14" s="575">
        <v>592</v>
      </c>
      <c r="B14" s="576" t="s">
        <v>445</v>
      </c>
      <c r="C14" s="577">
        <f>'1TestYr_adj'!D31</f>
        <v>149.99</v>
      </c>
      <c r="D14" s="578">
        <f t="shared" si="2"/>
        <v>9.2491755183873531E-6</v>
      </c>
      <c r="E14" s="579">
        <f t="shared" si="12"/>
        <v>1.1959533391654658</v>
      </c>
      <c r="F14" s="579">
        <f t="shared" si="13"/>
        <v>0.2105091197814154</v>
      </c>
      <c r="G14" s="579">
        <f t="shared" si="3"/>
        <v>0</v>
      </c>
      <c r="H14" s="579">
        <f t="shared" si="4"/>
        <v>0.95438542504031731</v>
      </c>
      <c r="I14" s="579">
        <f t="shared" si="5"/>
        <v>0</v>
      </c>
      <c r="K14" s="580">
        <f t="shared" si="14"/>
        <v>2.3608478839871987</v>
      </c>
      <c r="Q14" s="575"/>
      <c r="R14" s="576"/>
      <c r="S14" s="577"/>
      <c r="T14" s="578"/>
      <c r="U14" s="579"/>
      <c r="V14" s="579"/>
      <c r="W14" s="579"/>
      <c r="X14" s="579"/>
      <c r="Y14" s="579"/>
      <c r="AA14" s="580"/>
    </row>
    <row r="15" spans="1:27" ht="15">
      <c r="A15" s="575">
        <v>593</v>
      </c>
      <c r="B15" s="576" t="s">
        <v>335</v>
      </c>
      <c r="C15" s="577">
        <f>'1TestYr_adj'!D32</f>
        <v>4813064.5599999996</v>
      </c>
      <c r="D15" s="578">
        <f t="shared" si="2"/>
        <v>0.29679897924374821</v>
      </c>
      <c r="E15" s="579">
        <f t="shared" si="12"/>
        <v>38377.229362963946</v>
      </c>
      <c r="F15" s="579">
        <f t="shared" si="13"/>
        <v>6755.0768983047228</v>
      </c>
      <c r="G15" s="579">
        <f t="shared" si="3"/>
        <v>0</v>
      </c>
      <c r="H15" s="579">
        <f t="shared" si="4"/>
        <v>30625.499472245399</v>
      </c>
      <c r="I15" s="579">
        <f t="shared" si="5"/>
        <v>0</v>
      </c>
      <c r="K15" s="580">
        <f t="shared" si="14"/>
        <v>75757.805733514077</v>
      </c>
      <c r="Q15" s="575">
        <v>590</v>
      </c>
      <c r="R15" s="576" t="s">
        <v>334</v>
      </c>
      <c r="S15" s="577">
        <f>C13</f>
        <v>304733.87000000005</v>
      </c>
      <c r="T15" s="578">
        <f>S15/$S$23</f>
        <v>4.9348941671111153E-2</v>
      </c>
      <c r="U15" s="579">
        <f>T15*$U$24</f>
        <v>1738.4400222418942</v>
      </c>
      <c r="V15" s="579">
        <f>T15*$V$24</f>
        <v>305.99645227822174</v>
      </c>
      <c r="W15" s="579">
        <f>T15*$W$24</f>
        <v>0</v>
      </c>
      <c r="X15" s="579">
        <f>T15*$X$24</f>
        <v>1387.2974482582767</v>
      </c>
      <c r="Y15" s="579">
        <f>T15*$Y$24</f>
        <v>0</v>
      </c>
      <c r="AA15" s="580">
        <f t="shared" si="15"/>
        <v>3431.7339227783928</v>
      </c>
    </row>
    <row r="16" spans="1:27" ht="15">
      <c r="A16" s="575">
        <v>594</v>
      </c>
      <c r="B16" s="576" t="s">
        <v>336</v>
      </c>
      <c r="C16" s="577">
        <f>'1TestYr_adj'!D33</f>
        <v>302434.81</v>
      </c>
      <c r="D16" s="578">
        <f t="shared" si="2"/>
        <v>1.8649727585573244E-2</v>
      </c>
      <c r="E16" s="579">
        <f t="shared" si="12"/>
        <v>2411.4802380116889</v>
      </c>
      <c r="F16" s="579">
        <f t="shared" si="13"/>
        <v>424.4635351980773</v>
      </c>
      <c r="G16" s="579">
        <f t="shared" si="3"/>
        <v>0</v>
      </c>
      <c r="H16" s="579">
        <f t="shared" si="4"/>
        <v>1924.3907906449606</v>
      </c>
      <c r="I16" s="579">
        <f t="shared" si="5"/>
        <v>0</v>
      </c>
      <c r="K16" s="580">
        <f t="shared" si="14"/>
        <v>4760.3345638547271</v>
      </c>
      <c r="Q16" s="575">
        <v>592</v>
      </c>
      <c r="R16" s="576" t="s">
        <v>445</v>
      </c>
      <c r="S16" s="577">
        <f t="shared" ref="S16:S22" si="17">C14</f>
        <v>149.99</v>
      </c>
      <c r="T16" s="578">
        <f t="shared" ref="T16:T22" si="18">S16/$S$23</f>
        <v>2.4289547339289727E-5</v>
      </c>
      <c r="U16" s="579">
        <f t="shared" ref="U16:U22" si="19">T16*$U$24</f>
        <v>0.85566011725595748</v>
      </c>
      <c r="V16" s="579">
        <f t="shared" ref="V16:V22" si="20">T16*$V$24</f>
        <v>0.15061144295253584</v>
      </c>
      <c r="W16" s="579">
        <f t="shared" ref="W16:W22" si="21">T16*$W$24</f>
        <v>0</v>
      </c>
      <c r="X16" s="579">
        <f t="shared" ref="X16:X22" si="22">T16*$X$24</f>
        <v>0.68282775480211277</v>
      </c>
      <c r="Y16" s="579">
        <f t="shared" ref="Y16:Y22" si="23">T16*$Y$24</f>
        <v>0</v>
      </c>
      <c r="AA16" s="580"/>
    </row>
    <row r="17" spans="1:27" ht="15">
      <c r="A17" s="575">
        <v>595</v>
      </c>
      <c r="B17" s="576" t="s">
        <v>95</v>
      </c>
      <c r="C17" s="577">
        <f>'1TestYr_adj'!D34</f>
        <v>16801.080000000002</v>
      </c>
      <c r="D17" s="578">
        <f t="shared" si="2"/>
        <v>1.0360433216778946E-3</v>
      </c>
      <c r="E17" s="579">
        <f t="shared" si="12"/>
        <v>133.96431580496116</v>
      </c>
      <c r="F17" s="579">
        <f t="shared" si="13"/>
        <v>23.580109088453518</v>
      </c>
      <c r="G17" s="579">
        <f t="shared" si="3"/>
        <v>0</v>
      </c>
      <c r="H17" s="579">
        <f t="shared" si="4"/>
        <v>106.90516619065521</v>
      </c>
      <c r="I17" s="579">
        <f t="shared" si="5"/>
        <v>0</v>
      </c>
      <c r="K17" s="580">
        <f t="shared" si="14"/>
        <v>264.44959108406988</v>
      </c>
      <c r="Q17" s="575">
        <v>593</v>
      </c>
      <c r="R17" s="576" t="s">
        <v>335</v>
      </c>
      <c r="S17" s="577">
        <f t="shared" si="17"/>
        <v>4813064.5599999996</v>
      </c>
      <c r="T17" s="578">
        <f t="shared" si="18"/>
        <v>0.77943302538287662</v>
      </c>
      <c r="U17" s="579">
        <f t="shared" si="19"/>
        <v>27457.479737116424</v>
      </c>
      <c r="V17" s="579">
        <f t="shared" si="20"/>
        <v>4833.0061897813985</v>
      </c>
      <c r="W17" s="579">
        <f t="shared" si="21"/>
        <v>0</v>
      </c>
      <c r="X17" s="579">
        <f t="shared" si="22"/>
        <v>21911.421209563428</v>
      </c>
      <c r="Y17" s="579">
        <f t="shared" si="23"/>
        <v>0</v>
      </c>
      <c r="AA17" s="580">
        <f t="shared" si="15"/>
        <v>54201.907136461246</v>
      </c>
    </row>
    <row r="18" spans="1:27" ht="15">
      <c r="A18" s="575">
        <v>596</v>
      </c>
      <c r="B18" s="576" t="s">
        <v>337</v>
      </c>
      <c r="C18" s="577">
        <f>'1TestYr_adj'!D35</f>
        <v>195353.39</v>
      </c>
      <c r="D18" s="578">
        <f t="shared" si="2"/>
        <v>1.204652171626093E-2</v>
      </c>
      <c r="E18" s="579">
        <f t="shared" si="12"/>
        <v>1557.660771303377</v>
      </c>
      <c r="F18" s="579">
        <f t="shared" si="13"/>
        <v>274.17607957340863</v>
      </c>
      <c r="G18" s="579">
        <f t="shared" si="3"/>
        <v>0</v>
      </c>
      <c r="H18" s="579">
        <f t="shared" si="4"/>
        <v>1243.0323898141</v>
      </c>
      <c r="I18" s="579">
        <f t="shared" si="5"/>
        <v>0</v>
      </c>
      <c r="K18" s="580">
        <f t="shared" si="14"/>
        <v>3074.8692406908858</v>
      </c>
      <c r="Q18" s="575">
        <v>594</v>
      </c>
      <c r="R18" s="576" t="s">
        <v>336</v>
      </c>
      <c r="S18" s="577">
        <f t="shared" si="17"/>
        <v>302434.81</v>
      </c>
      <c r="T18" s="578">
        <f t="shared" si="18"/>
        <v>4.8976629338916548E-2</v>
      </c>
      <c r="U18" s="579">
        <f t="shared" si="19"/>
        <v>1725.3243882051015</v>
      </c>
      <c r="V18" s="579">
        <f t="shared" si="20"/>
        <v>303.68786674562313</v>
      </c>
      <c r="W18" s="579">
        <f t="shared" si="21"/>
        <v>0</v>
      </c>
      <c r="X18" s="579">
        <f t="shared" si="22"/>
        <v>1376.831003975622</v>
      </c>
      <c r="Y18" s="579">
        <f t="shared" si="23"/>
        <v>0</v>
      </c>
      <c r="AA18" s="580">
        <f t="shared" si="15"/>
        <v>3405.8432589263466</v>
      </c>
    </row>
    <row r="19" spans="1:27" ht="15">
      <c r="A19" s="575">
        <v>597</v>
      </c>
      <c r="B19" s="576" t="s">
        <v>9</v>
      </c>
      <c r="C19" s="577">
        <f>'1TestYr_adj'!D36</f>
        <v>193445.15</v>
      </c>
      <c r="D19" s="578">
        <f t="shared" si="2"/>
        <v>1.1928849560175807E-2</v>
      </c>
      <c r="E19" s="579">
        <f t="shared" si="12"/>
        <v>1542.4453169402252</v>
      </c>
      <c r="F19" s="579">
        <f t="shared" si="13"/>
        <v>271.49788820910641</v>
      </c>
      <c r="G19" s="579">
        <f t="shared" si="3"/>
        <v>0</v>
      </c>
      <c r="H19" s="579">
        <f t="shared" si="4"/>
        <v>1230.8902707163006</v>
      </c>
      <c r="I19" s="579">
        <f t="shared" si="5"/>
        <v>0</v>
      </c>
      <c r="K19" s="580">
        <f t="shared" si="14"/>
        <v>3044.833475865632</v>
      </c>
      <c r="Q19" s="575">
        <v>595</v>
      </c>
      <c r="R19" s="576" t="s">
        <v>95</v>
      </c>
      <c r="S19" s="577">
        <f t="shared" si="17"/>
        <v>16801.080000000002</v>
      </c>
      <c r="T19" s="578">
        <f t="shared" si="18"/>
        <v>2.7207855724461221E-3</v>
      </c>
      <c r="U19" s="579">
        <f t="shared" si="19"/>
        <v>95.846483651088221</v>
      </c>
      <c r="V19" s="579">
        <f t="shared" si="20"/>
        <v>16.870690725788325</v>
      </c>
      <c r="W19" s="579">
        <f t="shared" si="21"/>
        <v>0</v>
      </c>
      <c r="X19" s="579">
        <f t="shared" si="22"/>
        <v>76.486724012605379</v>
      </c>
      <c r="Y19" s="579">
        <f t="shared" si="23"/>
        <v>0</v>
      </c>
      <c r="AA19" s="580">
        <f t="shared" si="15"/>
        <v>189.20389838948194</v>
      </c>
    </row>
    <row r="20" spans="1:27" ht="15">
      <c r="A20" s="575">
        <v>598</v>
      </c>
      <c r="B20" s="576" t="s">
        <v>338</v>
      </c>
      <c r="C20" s="577">
        <f>'1TestYr_adj'!D37</f>
        <v>349101.35</v>
      </c>
      <c r="D20" s="578">
        <f t="shared" si="2"/>
        <v>2.1527432894566136E-2</v>
      </c>
      <c r="E20" s="579">
        <f t="shared" si="12"/>
        <v>2783.5784068249345</v>
      </c>
      <c r="F20" s="579">
        <f t="shared" si="13"/>
        <v>489.95944998335767</v>
      </c>
      <c r="G20" s="579">
        <f t="shared" si="3"/>
        <v>0</v>
      </c>
      <c r="H20" s="579">
        <f t="shared" si="4"/>
        <v>2221.3296906587011</v>
      </c>
      <c r="I20" s="579">
        <f t="shared" si="5"/>
        <v>0</v>
      </c>
      <c r="K20" s="580">
        <f t="shared" si="14"/>
        <v>5494.8675474669935</v>
      </c>
      <c r="Q20" s="575">
        <v>596</v>
      </c>
      <c r="R20" s="576" t="s">
        <v>337</v>
      </c>
      <c r="S20" s="577">
        <f t="shared" si="17"/>
        <v>195353.39</v>
      </c>
      <c r="T20" s="578">
        <f t="shared" si="18"/>
        <v>3.1635745144981187E-2</v>
      </c>
      <c r="U20" s="579">
        <f t="shared" si="19"/>
        <v>1114.4483271801371</v>
      </c>
      <c r="V20" s="579">
        <f t="shared" si="20"/>
        <v>196.16278387605499</v>
      </c>
      <c r="W20" s="579">
        <f t="shared" si="21"/>
        <v>0</v>
      </c>
      <c r="X20" s="579">
        <f t="shared" si="22"/>
        <v>889.34406751571112</v>
      </c>
      <c r="Y20" s="579">
        <f t="shared" si="23"/>
        <v>0</v>
      </c>
      <c r="AA20" s="580">
        <f t="shared" si="15"/>
        <v>2199.9551785719032</v>
      </c>
    </row>
    <row r="21" spans="1:27" ht="15">
      <c r="A21" s="575">
        <v>901</v>
      </c>
      <c r="B21" s="576" t="s">
        <v>36</v>
      </c>
      <c r="C21" s="577">
        <f>'1TestYr_adj'!D40</f>
        <v>140605.04</v>
      </c>
      <c r="D21" s="578">
        <f t="shared" si="2"/>
        <v>8.6704493214872641E-3</v>
      </c>
      <c r="E21" s="579">
        <f t="shared" si="12"/>
        <v>1121.1218554003194</v>
      </c>
      <c r="F21" s="579">
        <f t="shared" si="13"/>
        <v>197.33744387779657</v>
      </c>
      <c r="G21" s="579">
        <f t="shared" si="3"/>
        <v>0</v>
      </c>
      <c r="H21" s="579">
        <f t="shared" si="4"/>
        <v>894.66898368698469</v>
      </c>
      <c r="I21" s="579">
        <f t="shared" si="5"/>
        <v>0</v>
      </c>
      <c r="K21" s="580">
        <f t="shared" si="14"/>
        <v>2213.1282829651009</v>
      </c>
      <c r="Q21" s="575">
        <v>597</v>
      </c>
      <c r="R21" s="576" t="s">
        <v>9</v>
      </c>
      <c r="S21" s="577">
        <f t="shared" si="17"/>
        <v>193445.15</v>
      </c>
      <c r="T21" s="578">
        <f t="shared" si="18"/>
        <v>3.1326722638049212E-2</v>
      </c>
      <c r="U21" s="579">
        <f t="shared" si="19"/>
        <v>1103.5622356930212</v>
      </c>
      <c r="V21" s="579">
        <f t="shared" si="20"/>
        <v>194.24663760030492</v>
      </c>
      <c r="W21" s="579">
        <f t="shared" si="21"/>
        <v>0</v>
      </c>
      <c r="X21" s="579">
        <f t="shared" si="22"/>
        <v>880.65682680083944</v>
      </c>
      <c r="Y21" s="579">
        <f t="shared" si="23"/>
        <v>0</v>
      </c>
      <c r="AA21" s="580">
        <f t="shared" si="15"/>
        <v>2178.4657000941656</v>
      </c>
    </row>
    <row r="22" spans="1:27" ht="15">
      <c r="A22" s="575">
        <v>902</v>
      </c>
      <c r="B22" s="576" t="s">
        <v>339</v>
      </c>
      <c r="C22" s="577">
        <f>'1TestYr_adj'!D41</f>
        <v>100208.98</v>
      </c>
      <c r="D22" s="578">
        <f t="shared" si="2"/>
        <v>6.179414924585425E-3</v>
      </c>
      <c r="E22" s="579">
        <f t="shared" si="12"/>
        <v>799.02169641553019</v>
      </c>
      <c r="F22" s="579">
        <f t="shared" si="13"/>
        <v>140.64207063133182</v>
      </c>
      <c r="G22" s="579">
        <f t="shared" si="3"/>
        <v>0</v>
      </c>
      <c r="H22" s="579">
        <f t="shared" si="4"/>
        <v>637.62910840827158</v>
      </c>
      <c r="I22" s="579">
        <f t="shared" si="5"/>
        <v>0</v>
      </c>
      <c r="K22" s="580">
        <f t="shared" si="14"/>
        <v>1577.2928754551335</v>
      </c>
      <c r="Q22" s="575">
        <v>598</v>
      </c>
      <c r="R22" s="576" t="s">
        <v>338</v>
      </c>
      <c r="S22" s="577">
        <f t="shared" si="17"/>
        <v>349101.35</v>
      </c>
      <c r="T22" s="578">
        <f t="shared" si="18"/>
        <v>5.6533860704279952E-2</v>
      </c>
      <c r="U22" s="579">
        <f t="shared" si="19"/>
        <v>1991.5467836203279</v>
      </c>
      <c r="V22" s="579">
        <f t="shared" si="20"/>
        <v>350.54775691831617</v>
      </c>
      <c r="W22" s="579">
        <f t="shared" si="21"/>
        <v>0</v>
      </c>
      <c r="X22" s="579">
        <f t="shared" si="22"/>
        <v>1589.279892118718</v>
      </c>
      <c r="Y22" s="579">
        <f t="shared" si="23"/>
        <v>0</v>
      </c>
      <c r="AA22" s="580">
        <f t="shared" si="15"/>
        <v>3931.3744326573624</v>
      </c>
    </row>
    <row r="23" spans="1:27" ht="15">
      <c r="A23" s="575">
        <v>903</v>
      </c>
      <c r="B23" s="576" t="s">
        <v>340</v>
      </c>
      <c r="C23" s="577">
        <f>'1TestYr_adj'!D42</f>
        <v>2281826.6700000004</v>
      </c>
      <c r="D23" s="578">
        <f t="shared" si="2"/>
        <v>0.1407094831213237</v>
      </c>
      <c r="E23" s="579">
        <f t="shared" si="12"/>
        <v>18194.267787074576</v>
      </c>
      <c r="F23" s="579">
        <f t="shared" si="13"/>
        <v>3202.5156596803677</v>
      </c>
      <c r="G23" s="579">
        <f t="shared" si="3"/>
        <v>0</v>
      </c>
      <c r="H23" s="579">
        <f t="shared" si="4"/>
        <v>14519.248725356905</v>
      </c>
      <c r="I23" s="579">
        <f t="shared" si="5"/>
        <v>0</v>
      </c>
      <c r="K23" s="580">
        <f t="shared" si="14"/>
        <v>35916.032172111853</v>
      </c>
      <c r="Q23" s="575"/>
      <c r="R23" s="576"/>
      <c r="S23" s="577">
        <f t="shared" ref="S23:Y23" si="24">SUM(S15:S22)</f>
        <v>6175084.1999999993</v>
      </c>
      <c r="T23" s="582">
        <f t="shared" si="24"/>
        <v>1</v>
      </c>
      <c r="U23" s="583">
        <f t="shared" si="24"/>
        <v>35227.503637825241</v>
      </c>
      <c r="V23" s="583">
        <f t="shared" si="24"/>
        <v>6200.6689893686598</v>
      </c>
      <c r="W23" s="577">
        <f t="shared" si="24"/>
        <v>0</v>
      </c>
      <c r="X23" s="579">
        <f t="shared" si="24"/>
        <v>28111.999999999996</v>
      </c>
      <c r="Y23" s="577">
        <f t="shared" si="24"/>
        <v>0</v>
      </c>
      <c r="AA23" s="580">
        <f>SUM(U23:Y23)</f>
        <v>69540.172627193897</v>
      </c>
    </row>
    <row r="24" spans="1:27" ht="15">
      <c r="A24" s="575">
        <v>907</v>
      </c>
      <c r="B24" s="576" t="s">
        <v>341</v>
      </c>
      <c r="C24" s="577">
        <f>'1TestYr_adj'!D46</f>
        <v>0</v>
      </c>
      <c r="D24" s="578">
        <f t="shared" si="2"/>
        <v>0</v>
      </c>
      <c r="E24" s="579">
        <f t="shared" si="12"/>
        <v>0</v>
      </c>
      <c r="F24" s="579">
        <f t="shared" si="13"/>
        <v>0</v>
      </c>
      <c r="G24" s="579">
        <f t="shared" si="3"/>
        <v>0</v>
      </c>
      <c r="H24" s="579">
        <f t="shared" si="4"/>
        <v>0</v>
      </c>
      <c r="I24" s="579">
        <f t="shared" si="5"/>
        <v>0</v>
      </c>
      <c r="K24" s="580">
        <f t="shared" si="14"/>
        <v>0</v>
      </c>
      <c r="Q24" s="575"/>
      <c r="R24" s="576"/>
      <c r="S24" s="577"/>
      <c r="T24" s="578"/>
      <c r="U24" s="579">
        <f>[3]adjustments!$D$22</f>
        <v>35227.503637825248</v>
      </c>
      <c r="V24" s="579">
        <f>[3]adjustments!$E$22</f>
        <v>6200.6689893686598</v>
      </c>
      <c r="W24" s="579">
        <v>0</v>
      </c>
      <c r="X24" s="579">
        <f>[3]adjustments!$H$22</f>
        <v>28112</v>
      </c>
      <c r="Y24" s="579">
        <v>0</v>
      </c>
      <c r="AA24" s="580"/>
    </row>
    <row r="25" spans="1:27" ht="15">
      <c r="A25" s="575">
        <v>908</v>
      </c>
      <c r="B25" s="576" t="s">
        <v>342</v>
      </c>
      <c r="C25" s="577">
        <f>'1TestYr_adj'!D47</f>
        <v>944348.21</v>
      </c>
      <c r="D25" s="578">
        <f t="shared" si="2"/>
        <v>5.8233497864957122E-2</v>
      </c>
      <c r="E25" s="579">
        <f t="shared" si="12"/>
        <v>7529.8112879820683</v>
      </c>
      <c r="F25" s="579">
        <f t="shared" si="13"/>
        <v>1325.381095101375</v>
      </c>
      <c r="G25" s="579">
        <f t="shared" si="3"/>
        <v>0</v>
      </c>
      <c r="H25" s="579">
        <f t="shared" si="4"/>
        <v>6008.8817106934648</v>
      </c>
      <c r="I25" s="579">
        <f t="shared" si="5"/>
        <v>0</v>
      </c>
      <c r="K25" s="580">
        <f t="shared" si="14"/>
        <v>14864.074093776908</v>
      </c>
      <c r="Q25" s="575"/>
      <c r="R25" s="576"/>
      <c r="S25" s="577"/>
      <c r="T25" s="578"/>
      <c r="U25" s="579"/>
      <c r="V25" s="579"/>
      <c r="W25" s="579"/>
      <c r="X25" s="579"/>
      <c r="Y25" s="579"/>
      <c r="AA25" s="580"/>
    </row>
    <row r="26" spans="1:27" ht="15">
      <c r="A26" s="575">
        <v>909</v>
      </c>
      <c r="B26" s="576" t="s">
        <v>343</v>
      </c>
      <c r="C26" s="577">
        <f>'1TestYr_adj'!D48</f>
        <v>0</v>
      </c>
      <c r="D26" s="578">
        <f t="shared" si="2"/>
        <v>0</v>
      </c>
      <c r="E26" s="579">
        <f t="shared" si="12"/>
        <v>0</v>
      </c>
      <c r="F26" s="579">
        <f t="shared" si="13"/>
        <v>0</v>
      </c>
      <c r="G26" s="579">
        <f t="shared" si="3"/>
        <v>0</v>
      </c>
      <c r="H26" s="579">
        <f t="shared" si="4"/>
        <v>0</v>
      </c>
      <c r="I26" s="579">
        <f t="shared" si="5"/>
        <v>0</v>
      </c>
      <c r="K26" s="580">
        <f t="shared" si="14"/>
        <v>0</v>
      </c>
      <c r="Q26" s="575">
        <v>901</v>
      </c>
      <c r="R26" s="576" t="s">
        <v>36</v>
      </c>
      <c r="S26" s="577">
        <f>C21</f>
        <v>140605.04</v>
      </c>
      <c r="T26" s="578">
        <f>S26/$S$29</f>
        <v>5.5737244133646315E-2</v>
      </c>
      <c r="U26" s="579">
        <f>T26*$U$30</f>
        <v>1185.2476029509851</v>
      </c>
      <c r="V26" s="579">
        <f>T26*$V$30</f>
        <v>208.62471925062636</v>
      </c>
      <c r="W26" s="579">
        <f>T26*$W$30</f>
        <v>0</v>
      </c>
      <c r="X26" s="579">
        <f>T26*$X$30</f>
        <v>945.86103294797795</v>
      </c>
      <c r="Y26" s="579">
        <f>T26*$Y$30</f>
        <v>0</v>
      </c>
      <c r="AA26" s="580">
        <f t="shared" si="15"/>
        <v>2339.7333551495894</v>
      </c>
    </row>
    <row r="27" spans="1:27" ht="15">
      <c r="A27" s="575">
        <v>910</v>
      </c>
      <c r="B27" s="576" t="s">
        <v>344</v>
      </c>
      <c r="C27" s="577">
        <f>'1TestYr_adj'!D49</f>
        <v>0</v>
      </c>
      <c r="D27" s="578">
        <f t="shared" si="2"/>
        <v>0</v>
      </c>
      <c r="E27" s="579">
        <f t="shared" si="12"/>
        <v>0</v>
      </c>
      <c r="F27" s="579">
        <f t="shared" si="13"/>
        <v>0</v>
      </c>
      <c r="G27" s="579">
        <f t="shared" si="3"/>
        <v>0</v>
      </c>
      <c r="H27" s="579">
        <f t="shared" si="4"/>
        <v>0</v>
      </c>
      <c r="I27" s="579">
        <f t="shared" si="5"/>
        <v>0</v>
      </c>
      <c r="K27" s="580">
        <f t="shared" si="14"/>
        <v>0</v>
      </c>
      <c r="Q27" s="575">
        <v>902</v>
      </c>
      <c r="R27" s="576" t="s">
        <v>339</v>
      </c>
      <c r="S27" s="577">
        <f>C22</f>
        <v>100208.98</v>
      </c>
      <c r="T27" s="578">
        <f>S27/$S$29</f>
        <v>3.9723841923758066E-2</v>
      </c>
      <c r="U27" s="579">
        <f>T27*$U$30</f>
        <v>844.72401088298966</v>
      </c>
      <c r="V27" s="579">
        <f>T27*$V$30</f>
        <v>148.68649316476584</v>
      </c>
      <c r="W27" s="579">
        <f>T27*$W$30</f>
        <v>0</v>
      </c>
      <c r="X27" s="579">
        <f>T27*$X$30</f>
        <v>674.11359744617437</v>
      </c>
      <c r="Y27" s="579">
        <f>T27*$Y$30</f>
        <v>0</v>
      </c>
      <c r="AA27" s="580">
        <f t="shared" si="15"/>
        <v>1667.5241014939297</v>
      </c>
    </row>
    <row r="28" spans="1:27" ht="15">
      <c r="A28" s="575">
        <v>912</v>
      </c>
      <c r="B28" s="576" t="s">
        <v>447</v>
      </c>
      <c r="C28" s="577">
        <f>'1TestYr_adj'!D50</f>
        <v>-11863.330000000016</v>
      </c>
      <c r="D28" s="578">
        <f t="shared" si="2"/>
        <v>-7.315555797223174E-4</v>
      </c>
      <c r="E28" s="579">
        <f t="shared" si="12"/>
        <v>-94.592900374170696</v>
      </c>
      <c r="F28" s="579">
        <f>(D28*$F$34)</f>
        <v>-16.650037709023682</v>
      </c>
      <c r="G28" s="579">
        <f t="shared" si="3"/>
        <v>0</v>
      </c>
      <c r="H28" s="579">
        <f t="shared" si="4"/>
        <v>-75.486294049227027</v>
      </c>
      <c r="I28" s="579">
        <f t="shared" si="5"/>
        <v>0</v>
      </c>
      <c r="K28" s="580">
        <f>SUM(E28:I28)</f>
        <v>-186.7292321324214</v>
      </c>
      <c r="Q28" s="575">
        <v>903</v>
      </c>
      <c r="R28" s="576" t="s">
        <v>340</v>
      </c>
      <c r="S28" s="577">
        <f>C23</f>
        <v>2281826.6700000004</v>
      </c>
      <c r="T28" s="578">
        <f>S28/$S$29</f>
        <v>0.90453891394259567</v>
      </c>
      <c r="U28" s="579">
        <f>T28*$U$30</f>
        <v>19234.940589378082</v>
      </c>
      <c r="V28" s="579">
        <f>T28*$V$30</f>
        <v>3385.692635252205</v>
      </c>
      <c r="W28" s="579">
        <f>T28*$W$30</f>
        <v>0</v>
      </c>
      <c r="X28" s="579">
        <f>T28*$X$30</f>
        <v>15350.025369605848</v>
      </c>
      <c r="Y28" s="579">
        <f>T28*$Y$30</f>
        <v>0</v>
      </c>
      <c r="AA28" s="580">
        <f t="shared" si="15"/>
        <v>37970.658594236134</v>
      </c>
    </row>
    <row r="29" spans="1:27" ht="15">
      <c r="A29" s="575">
        <v>920</v>
      </c>
      <c r="B29" s="576" t="s">
        <v>345</v>
      </c>
      <c r="C29" s="577">
        <f>'1TestYr_adj'!D54</f>
        <v>2590524.33</v>
      </c>
      <c r="D29" s="578">
        <f>C29/$C$34</f>
        <v>0.15974541111289287</v>
      </c>
      <c r="E29" s="579">
        <f t="shared" si="12"/>
        <v>20655.685196698985</v>
      </c>
      <c r="F29" s="579">
        <f t="shared" si="13"/>
        <v>3635.7690278061264</v>
      </c>
      <c r="G29" s="579">
        <f t="shared" si="3"/>
        <v>0</v>
      </c>
      <c r="H29" s="579">
        <f t="shared" si="4"/>
        <v>16483.489991094961</v>
      </c>
      <c r="I29" s="579">
        <f t="shared" si="5"/>
        <v>0</v>
      </c>
      <c r="K29" s="580">
        <f t="shared" si="14"/>
        <v>40774.944215600073</v>
      </c>
      <c r="Q29" s="575"/>
      <c r="R29" s="576"/>
      <c r="S29" s="577">
        <f t="shared" ref="S29:Y29" si="25">SUM(S26:S28)</f>
        <v>2522640.6900000004</v>
      </c>
      <c r="T29" s="582">
        <f t="shared" si="25"/>
        <v>1</v>
      </c>
      <c r="U29" s="579">
        <f t="shared" si="25"/>
        <v>21264.912203212058</v>
      </c>
      <c r="V29" s="579">
        <f t="shared" si="25"/>
        <v>3743.0038476675973</v>
      </c>
      <c r="W29" s="579">
        <f t="shared" si="25"/>
        <v>0</v>
      </c>
      <c r="X29" s="579">
        <f t="shared" si="25"/>
        <v>16970</v>
      </c>
      <c r="Y29" s="579">
        <f t="shared" si="25"/>
        <v>0</v>
      </c>
      <c r="AA29" s="580">
        <f>SUM(U29:Y29)</f>
        <v>41977.916050879656</v>
      </c>
    </row>
    <row r="30" spans="1:27" ht="15">
      <c r="A30" s="575">
        <v>926</v>
      </c>
      <c r="B30" s="576" t="s">
        <v>449</v>
      </c>
      <c r="C30" s="577">
        <f>'1TestYr_adj'!D59</f>
        <v>0</v>
      </c>
      <c r="D30" s="578">
        <f>C30/$C$34</f>
        <v>0</v>
      </c>
      <c r="E30" s="579">
        <f t="shared" si="12"/>
        <v>0</v>
      </c>
      <c r="F30" s="579">
        <f>(D30*$F$34)</f>
        <v>0</v>
      </c>
      <c r="G30" s="579">
        <f t="shared" si="3"/>
        <v>0</v>
      </c>
      <c r="H30" s="579">
        <f t="shared" si="4"/>
        <v>0</v>
      </c>
      <c r="I30" s="579">
        <f t="shared" si="5"/>
        <v>0</v>
      </c>
      <c r="K30" s="580">
        <f>SUM(E30:I30)</f>
        <v>0</v>
      </c>
      <c r="Q30" s="575"/>
      <c r="R30" s="576"/>
      <c r="S30" s="577"/>
      <c r="T30" s="578"/>
      <c r="U30" s="579">
        <f>[3]adjustments!$D$23</f>
        <v>21264.912203212058</v>
      </c>
      <c r="V30" s="579">
        <f>[3]adjustments!$E$23</f>
        <v>3743.0038476675973</v>
      </c>
      <c r="W30" s="579">
        <v>0</v>
      </c>
      <c r="X30" s="579">
        <f>[3]adjustments!$H$23</f>
        <v>16970</v>
      </c>
      <c r="Y30" s="579">
        <v>0</v>
      </c>
      <c r="AA30" s="580"/>
    </row>
    <row r="31" spans="1:27" ht="15">
      <c r="A31" s="575">
        <v>930</v>
      </c>
      <c r="B31" s="576" t="s">
        <v>164</v>
      </c>
      <c r="C31" s="577">
        <f>'1TestYr_adj'!D62</f>
        <v>889238.28</v>
      </c>
      <c r="D31" s="578">
        <f>C31/$C$34</f>
        <v>5.4835128537828383E-2</v>
      </c>
      <c r="E31" s="579">
        <f t="shared" si="12"/>
        <v>7090.3892944846684</v>
      </c>
      <c r="F31" s="579">
        <f t="shared" si="13"/>
        <v>1248.0349863240206</v>
      </c>
      <c r="G31" s="579">
        <f t="shared" si="3"/>
        <v>0</v>
      </c>
      <c r="H31" s="579">
        <f t="shared" si="4"/>
        <v>5658.2175733043587</v>
      </c>
      <c r="I31" s="579">
        <f t="shared" si="5"/>
        <v>0</v>
      </c>
      <c r="K31" s="580">
        <f>SUM(E31:I31)</f>
        <v>13996.641854113048</v>
      </c>
      <c r="Q31" s="575"/>
      <c r="R31" s="576"/>
      <c r="S31" s="577"/>
      <c r="T31" s="578"/>
      <c r="U31" s="579"/>
      <c r="V31" s="579"/>
      <c r="W31" s="579"/>
      <c r="X31" s="579"/>
      <c r="Y31" s="579"/>
      <c r="AA31" s="580"/>
    </row>
    <row r="32" spans="1:27" ht="17.25">
      <c r="A32" s="575">
        <v>935</v>
      </c>
      <c r="B32" s="576" t="s">
        <v>346</v>
      </c>
      <c r="C32" s="584">
        <f>'1TestYr_adj'!D64</f>
        <v>408862.49</v>
      </c>
      <c r="D32" s="578">
        <f>C32/$C$34</f>
        <v>2.5212620393992226E-2</v>
      </c>
      <c r="E32" s="585">
        <f t="shared" si="12"/>
        <v>3260.0870736382881</v>
      </c>
      <c r="F32" s="585">
        <f t="shared" si="13"/>
        <v>573.83347477523671</v>
      </c>
      <c r="G32" s="585">
        <f t="shared" si="3"/>
        <v>0</v>
      </c>
      <c r="H32" s="585">
        <f t="shared" si="4"/>
        <v>2601.5894479744816</v>
      </c>
      <c r="I32" s="585">
        <f t="shared" si="5"/>
        <v>0</v>
      </c>
      <c r="J32" s="586"/>
      <c r="K32" s="587">
        <f t="shared" si="14"/>
        <v>6435.5099963880057</v>
      </c>
      <c r="Q32" s="575">
        <v>907</v>
      </c>
      <c r="R32" s="576" t="s">
        <v>341</v>
      </c>
      <c r="S32" s="577">
        <f>C24</f>
        <v>0</v>
      </c>
      <c r="T32" s="578">
        <f>S32/$S$37</f>
        <v>0</v>
      </c>
      <c r="U32" s="579">
        <f t="shared" ref="U32:U37" si="26">T32*$U$38</f>
        <v>0</v>
      </c>
      <c r="V32" s="579">
        <f t="shared" ref="V32:V37" si="27">T32*$V$38</f>
        <v>0</v>
      </c>
      <c r="W32" s="579">
        <f t="shared" ref="W32:W37" si="28">T32*$W$38</f>
        <v>0</v>
      </c>
      <c r="X32" s="579">
        <f t="shared" ref="X32:X37" si="29">T32*$X$38</f>
        <v>0</v>
      </c>
      <c r="Y32" s="579">
        <f t="shared" ref="Y32:Y37" si="30">T32*$Y$38</f>
        <v>0</v>
      </c>
      <c r="AA32" s="580">
        <f t="shared" si="15"/>
        <v>0</v>
      </c>
    </row>
    <row r="33" spans="1:27" ht="15">
      <c r="A33" s="588"/>
      <c r="B33" s="588"/>
      <c r="C33" s="588"/>
      <c r="D33" s="588"/>
      <c r="E33" s="588"/>
      <c r="Q33" s="575">
        <v>908</v>
      </c>
      <c r="R33" s="576" t="s">
        <v>342</v>
      </c>
      <c r="S33" s="577">
        <f>C25</f>
        <v>944348.21</v>
      </c>
      <c r="T33" s="578">
        <f>S33/$S$37</f>
        <v>1.012722275990148</v>
      </c>
      <c r="U33" s="579">
        <f t="shared" si="26"/>
        <v>16145.417997664326</v>
      </c>
      <c r="V33" s="579">
        <f t="shared" si="27"/>
        <v>2841.8815516356076</v>
      </c>
      <c r="W33" s="579">
        <f t="shared" si="28"/>
        <v>0</v>
      </c>
      <c r="X33" s="579">
        <f t="shared" si="29"/>
        <v>12883.852795146662</v>
      </c>
      <c r="Y33" s="579">
        <f t="shared" si="30"/>
        <v>0</v>
      </c>
      <c r="AA33" s="580">
        <f t="shared" si="15"/>
        <v>31871.152344446593</v>
      </c>
    </row>
    <row r="34" spans="1:27" ht="15.75" thickBot="1">
      <c r="A34" s="588"/>
      <c r="B34" s="588" t="s">
        <v>15</v>
      </c>
      <c r="C34" s="589">
        <f>SUM(C5:C32)</f>
        <v>16216580.569999997</v>
      </c>
      <c r="D34" s="590">
        <f>SUM(D5:D32)</f>
        <v>1.0000000000000004</v>
      </c>
      <c r="E34" s="591">
        <f>U49</f>
        <v>129303.77813545775</v>
      </c>
      <c r="F34" s="591">
        <f>V49</f>
        <v>22759.771329122628</v>
      </c>
      <c r="G34" s="591">
        <f>W49</f>
        <v>0</v>
      </c>
      <c r="H34" s="591">
        <f>X49</f>
        <v>103185.99999999999</v>
      </c>
      <c r="I34" s="591">
        <f>Y49</f>
        <v>0</v>
      </c>
      <c r="J34" s="591">
        <f>SUM(D34:H34)</f>
        <v>255250.54946458037</v>
      </c>
      <c r="K34" s="591">
        <f>SUM(E34:I34)</f>
        <v>255249.54946458037</v>
      </c>
      <c r="Q34" s="575">
        <v>909</v>
      </c>
      <c r="R34" s="576" t="s">
        <v>343</v>
      </c>
      <c r="S34" s="577">
        <f>C26</f>
        <v>0</v>
      </c>
      <c r="T34" s="578">
        <f>S34/$S$37</f>
        <v>0</v>
      </c>
      <c r="U34" s="579">
        <f t="shared" si="26"/>
        <v>0</v>
      </c>
      <c r="V34" s="579">
        <f t="shared" si="27"/>
        <v>0</v>
      </c>
      <c r="W34" s="579">
        <f t="shared" si="28"/>
        <v>0</v>
      </c>
      <c r="X34" s="579">
        <f t="shared" si="29"/>
        <v>0</v>
      </c>
      <c r="Y34" s="579">
        <f t="shared" si="30"/>
        <v>0</v>
      </c>
      <c r="AA34" s="580">
        <f t="shared" si="15"/>
        <v>0</v>
      </c>
    </row>
    <row r="35" spans="1:27" ht="15.75" thickTop="1">
      <c r="Q35" s="575">
        <v>910</v>
      </c>
      <c r="R35" s="576" t="s">
        <v>446</v>
      </c>
      <c r="S35" s="577">
        <f>C27</f>
        <v>0</v>
      </c>
      <c r="T35" s="578">
        <f>S35/$S$37</f>
        <v>0</v>
      </c>
      <c r="U35" s="579">
        <f t="shared" si="26"/>
        <v>0</v>
      </c>
      <c r="V35" s="579">
        <f t="shared" si="27"/>
        <v>0</v>
      </c>
      <c r="W35" s="579">
        <f t="shared" si="28"/>
        <v>0</v>
      </c>
      <c r="X35" s="579">
        <f t="shared" si="29"/>
        <v>0</v>
      </c>
      <c r="Y35" s="579">
        <f t="shared" si="30"/>
        <v>0</v>
      </c>
      <c r="AA35" s="580">
        <f t="shared" si="15"/>
        <v>0</v>
      </c>
    </row>
    <row r="36" spans="1:27" ht="15">
      <c r="D36" s="580">
        <f t="shared" ref="D36:I36" si="31">SUM(D5:D32)</f>
        <v>1.0000000000000004</v>
      </c>
      <c r="E36" s="580">
        <f t="shared" si="31"/>
        <v>129303.77813545777</v>
      </c>
      <c r="F36" s="580">
        <f t="shared" si="31"/>
        <v>22759.771329122639</v>
      </c>
      <c r="G36" s="580">
        <f t="shared" si="31"/>
        <v>0</v>
      </c>
      <c r="H36" s="580">
        <f t="shared" si="31"/>
        <v>103185.99999999999</v>
      </c>
      <c r="I36" s="580">
        <f t="shared" si="31"/>
        <v>0</v>
      </c>
      <c r="K36" s="580">
        <f>SUM(K5:K32)</f>
        <v>255249.54946458043</v>
      </c>
      <c r="Q36" s="575">
        <v>912</v>
      </c>
      <c r="R36" s="576" t="s">
        <v>448</v>
      </c>
      <c r="S36" s="577">
        <f>C28</f>
        <v>-11863.330000000016</v>
      </c>
      <c r="T36" s="578">
        <f>S36/$S$37</f>
        <v>-1.2722275990147977E-2</v>
      </c>
      <c r="U36" s="579">
        <f t="shared" si="26"/>
        <v>-202.82605469674309</v>
      </c>
      <c r="V36" s="579">
        <f t="shared" si="27"/>
        <v>-35.701003412676876</v>
      </c>
      <c r="W36" s="579">
        <f t="shared" si="28"/>
        <v>0</v>
      </c>
      <c r="X36" s="579">
        <f t="shared" si="29"/>
        <v>-161.85279514666257</v>
      </c>
      <c r="Y36" s="579">
        <f t="shared" si="30"/>
        <v>0</v>
      </c>
      <c r="AA36" s="580">
        <f t="shared" si="15"/>
        <v>-400.37985325608253</v>
      </c>
    </row>
    <row r="37" spans="1:27" ht="15">
      <c r="Q37" s="575"/>
      <c r="R37" s="576"/>
      <c r="S37" s="577">
        <f>SUM(S32:S36)</f>
        <v>932484.87999999989</v>
      </c>
      <c r="T37" s="582">
        <f>SUM(T32:T36)</f>
        <v>1</v>
      </c>
      <c r="U37" s="579">
        <f t="shared" si="26"/>
        <v>15942.591942967583</v>
      </c>
      <c r="V37" s="579">
        <f t="shared" si="27"/>
        <v>2806.1805482229306</v>
      </c>
      <c r="W37" s="579">
        <f t="shared" si="28"/>
        <v>0</v>
      </c>
      <c r="X37" s="579">
        <f t="shared" si="29"/>
        <v>12722</v>
      </c>
      <c r="Y37" s="579">
        <f t="shared" si="30"/>
        <v>0</v>
      </c>
      <c r="AA37" s="580">
        <f t="shared" si="15"/>
        <v>31470.772491190513</v>
      </c>
    </row>
    <row r="38" spans="1:27" ht="15">
      <c r="Q38" s="575"/>
      <c r="R38" s="576"/>
      <c r="S38" s="577"/>
      <c r="T38" s="582"/>
      <c r="U38" s="579">
        <f>[3]adjustments!$D$24</f>
        <v>15942.591942967583</v>
      </c>
      <c r="V38" s="579">
        <f>[3]adjustments!$E$24</f>
        <v>2806.1805482229306</v>
      </c>
      <c r="W38" s="579">
        <v>0</v>
      </c>
      <c r="X38" s="579">
        <f>[3]adjustments!$H$24</f>
        <v>12722</v>
      </c>
      <c r="Y38" s="579">
        <v>0</v>
      </c>
      <c r="AA38" s="580">
        <f t="shared" si="15"/>
        <v>31470.772491190513</v>
      </c>
    </row>
    <row r="39" spans="1:27" ht="15">
      <c r="E39" s="580"/>
      <c r="F39" s="580"/>
      <c r="G39" s="580"/>
      <c r="H39" s="580"/>
      <c r="I39" s="580"/>
      <c r="J39" s="580"/>
      <c r="K39" s="580"/>
      <c r="Q39" s="575"/>
      <c r="R39" s="576"/>
      <c r="S39" s="577"/>
      <c r="T39" s="582"/>
      <c r="U39" s="579"/>
      <c r="V39" s="579"/>
      <c r="W39" s="579"/>
      <c r="X39" s="579"/>
      <c r="Y39" s="579"/>
      <c r="AA39" s="580"/>
    </row>
    <row r="40" spans="1:27" ht="15">
      <c r="Q40" s="575"/>
      <c r="R40" s="576"/>
      <c r="S40" s="577"/>
      <c r="T40" s="578"/>
      <c r="U40" s="579"/>
      <c r="V40" s="579"/>
      <c r="W40" s="579"/>
      <c r="X40" s="579"/>
      <c r="Y40" s="579"/>
      <c r="AA40" s="580"/>
    </row>
    <row r="41" spans="1:27" ht="15">
      <c r="Q41" s="575">
        <v>920</v>
      </c>
      <c r="R41" s="576" t="s">
        <v>345</v>
      </c>
      <c r="S41" s="577">
        <f>C29</f>
        <v>2590524.33</v>
      </c>
      <c r="T41" s="578">
        <f>S41/$S$45</f>
        <v>0.66618001565643337</v>
      </c>
      <c r="U41" s="579">
        <f>T41*$U$46</f>
        <v>30679.832284947675</v>
      </c>
      <c r="V41" s="579">
        <f>T41*$V$46</f>
        <v>5400.1977149480063</v>
      </c>
      <c r="W41" s="579">
        <f>T41*$W$46</f>
        <v>0</v>
      </c>
      <c r="X41" s="579">
        <f>T41*$X$46</f>
        <v>24482.781755389584</v>
      </c>
      <c r="Y41" s="579">
        <f>T41*$Y$46</f>
        <v>0</v>
      </c>
      <c r="AA41" s="580">
        <f t="shared" si="15"/>
        <v>60562.811755285264</v>
      </c>
    </row>
    <row r="42" spans="1:27" ht="15">
      <c r="Q42" s="575">
        <v>926</v>
      </c>
      <c r="R42" s="576" t="s">
        <v>442</v>
      </c>
      <c r="S42" s="577">
        <f>C30</f>
        <v>0</v>
      </c>
      <c r="T42" s="578">
        <f>S42/$S$45</f>
        <v>0</v>
      </c>
      <c r="U42" s="579">
        <f>T42*$U$46</f>
        <v>0</v>
      </c>
      <c r="V42" s="579">
        <f>T42*$V$46</f>
        <v>0</v>
      </c>
      <c r="W42" s="579">
        <f>T42*$W$46</f>
        <v>0</v>
      </c>
      <c r="X42" s="579">
        <f>T42*$X$46</f>
        <v>0</v>
      </c>
      <c r="Y42" s="579">
        <f>T42*$Y$46</f>
        <v>0</v>
      </c>
      <c r="AA42" s="580">
        <f>SUM(U42:Y42)</f>
        <v>0</v>
      </c>
    </row>
    <row r="43" spans="1:27" ht="15">
      <c r="Q43" s="575">
        <v>930</v>
      </c>
      <c r="R43" s="576" t="s">
        <v>164</v>
      </c>
      <c r="S43" s="577">
        <f>C31</f>
        <v>889238.28</v>
      </c>
      <c r="T43" s="578">
        <f>S43/$S$45</f>
        <v>0.22867678347290407</v>
      </c>
      <c r="U43" s="579">
        <f>T43*$U$46</f>
        <v>10531.335674332517</v>
      </c>
      <c r="V43" s="579">
        <f>T43*$V$46</f>
        <v>1853.7029249597108</v>
      </c>
      <c r="W43" s="579">
        <f>T43*$W$46</f>
        <v>0</v>
      </c>
      <c r="X43" s="579">
        <f>T43*$X$46</f>
        <v>8404.1004694126968</v>
      </c>
      <c r="Y43" s="579">
        <f>T43*$Y$46</f>
        <v>0</v>
      </c>
      <c r="AA43" s="580">
        <f>SUM(U43:Y43)</f>
        <v>20789.139068704924</v>
      </c>
    </row>
    <row r="44" spans="1:27" ht="15">
      <c r="Q44" s="575">
        <v>935</v>
      </c>
      <c r="R44" s="576" t="s">
        <v>346</v>
      </c>
      <c r="S44" s="577">
        <f>C32</f>
        <v>408862.49</v>
      </c>
      <c r="T44" s="578">
        <f>S44/$S$45</f>
        <v>0.10514320087066246</v>
      </c>
      <c r="U44" s="579">
        <f>T44*$U$46</f>
        <v>4842.1983439955156</v>
      </c>
      <c r="V44" s="579">
        <f>T44*$V$46</f>
        <v>852.31327830298801</v>
      </c>
      <c r="W44" s="579">
        <f>T44*$W$46</f>
        <v>0</v>
      </c>
      <c r="X44" s="579">
        <f>T44*$X$46</f>
        <v>3864.1177751977161</v>
      </c>
      <c r="Y44" s="579">
        <f>T44*$Y$46</f>
        <v>0</v>
      </c>
      <c r="Z44" s="592"/>
      <c r="AA44" s="593">
        <f>SUM(U44:Y44)</f>
        <v>9558.6293974962191</v>
      </c>
    </row>
    <row r="45" spans="1:27" ht="15">
      <c r="Q45" s="588"/>
      <c r="R45" s="588"/>
      <c r="S45" s="577">
        <f>SUM(S41:S44)</f>
        <v>3888625.1000000006</v>
      </c>
      <c r="T45" s="578">
        <f t="shared" ref="T45:Y45" si="32">SUM(T41:T44)</f>
        <v>0.99999999999999989</v>
      </c>
      <c r="U45" s="579">
        <f t="shared" si="32"/>
        <v>46053.36630327571</v>
      </c>
      <c r="V45" s="579">
        <f t="shared" si="32"/>
        <v>8106.2139182107048</v>
      </c>
      <c r="W45" s="579">
        <f t="shared" si="32"/>
        <v>0</v>
      </c>
      <c r="X45" s="579">
        <f t="shared" si="32"/>
        <v>36750.999999999993</v>
      </c>
      <c r="Y45" s="579">
        <f t="shared" si="32"/>
        <v>0</v>
      </c>
      <c r="Z45" s="592"/>
      <c r="AA45" s="593">
        <f>SUM(U45:Y45)</f>
        <v>90910.580221486409</v>
      </c>
    </row>
    <row r="46" spans="1:27">
      <c r="Q46" s="588"/>
      <c r="R46" s="588"/>
      <c r="S46" s="588"/>
      <c r="T46" s="588"/>
      <c r="U46" s="579">
        <f>[3]adjustments!$D$26</f>
        <v>46053.36630327571</v>
      </c>
      <c r="V46" s="580">
        <f>[3]adjustments!$E$26</f>
        <v>8106.2139182107057</v>
      </c>
      <c r="W46" s="580">
        <v>0</v>
      </c>
      <c r="X46" s="580">
        <f>[3]adjustments!$H$26</f>
        <v>36751</v>
      </c>
      <c r="Y46" s="580">
        <v>0</v>
      </c>
      <c r="AA46" s="580">
        <f>SUM(U46:Y46)</f>
        <v>90910.580221486423</v>
      </c>
    </row>
    <row r="47" spans="1:27">
      <c r="Q47" s="588"/>
      <c r="R47" s="588"/>
      <c r="S47" s="588"/>
      <c r="T47" s="588"/>
      <c r="U47" s="588"/>
    </row>
    <row r="48" spans="1:27">
      <c r="Q48" s="588"/>
      <c r="R48" s="588"/>
      <c r="S48" s="588"/>
      <c r="T48" s="588"/>
      <c r="U48" s="588"/>
    </row>
    <row r="49" spans="17:27" ht="15.75" thickBot="1">
      <c r="Q49" s="588"/>
      <c r="R49" s="588" t="s">
        <v>15</v>
      </c>
      <c r="S49" s="589">
        <f>SUM(S45+S29+S23+S12+S37)</f>
        <v>16216580.57</v>
      </c>
      <c r="T49" s="589"/>
      <c r="U49" s="589">
        <f>SUM(U45+U29+U23+U12+U37)</f>
        <v>129303.77813545775</v>
      </c>
      <c r="V49" s="589">
        <f>SUM(V45+V29+V23+V12+V37)</f>
        <v>22759.771329122628</v>
      </c>
      <c r="W49" s="589">
        <f>SUM(W45+W29+W23+W12+W37)</f>
        <v>0</v>
      </c>
      <c r="X49" s="589">
        <f>SUM(X45+X29+X23+X12+X37)</f>
        <v>103185.99999999999</v>
      </c>
      <c r="Y49" s="589">
        <f>SUM(Y45+Y29+Y23+Y12+Y37)</f>
        <v>0</v>
      </c>
      <c r="AA49" s="589">
        <f>SUM(AA45+AA29+AA23+AA12+AA37)</f>
        <v>255249.54946458037</v>
      </c>
    </row>
    <row r="50" spans="17:27" ht="13.5" thickTop="1">
      <c r="U50" s="580">
        <f>[5]adjustments!$D$28</f>
        <v>129303.77813545777</v>
      </c>
      <c r="V50" s="580">
        <f>[5]adjustments!$E$28</f>
        <v>22759.771329122632</v>
      </c>
      <c r="W50" s="580">
        <v>0</v>
      </c>
      <c r="X50" s="580">
        <f>[5]adjustments!$H$28</f>
        <v>103186</v>
      </c>
      <c r="Y50" s="594">
        <v>0</v>
      </c>
      <c r="AA50" s="580">
        <f>SUM(U50:Y50)</f>
        <v>255249.5494645804</v>
      </c>
    </row>
    <row r="54" spans="17:27" ht="14.25">
      <c r="Q54" s="595"/>
      <c r="R54" s="596"/>
      <c r="S54" s="597"/>
      <c r="T54" s="598"/>
    </row>
    <row r="55" spans="17:27" ht="14.25">
      <c r="Q55" s="595"/>
      <c r="R55" s="596"/>
      <c r="S55" s="597"/>
      <c r="T55" s="598"/>
    </row>
    <row r="56" spans="17:27" ht="14.25">
      <c r="Q56" s="595"/>
      <c r="R56" s="596"/>
      <c r="S56" s="597"/>
      <c r="T56" s="598"/>
    </row>
    <row r="57" spans="17:27" ht="14.25">
      <c r="Q57" s="595"/>
      <c r="R57" s="596"/>
      <c r="S57" s="597"/>
      <c r="T57" s="598"/>
    </row>
    <row r="58" spans="17:27" ht="14.25">
      <c r="Q58" s="595"/>
      <c r="R58" s="596"/>
      <c r="S58" s="597"/>
      <c r="T58" s="598"/>
    </row>
    <row r="59" spans="17:27" ht="14.25">
      <c r="Q59" s="595"/>
      <c r="R59" s="596"/>
      <c r="S59" s="597"/>
      <c r="T59" s="598"/>
    </row>
    <row r="60" spans="17:27" ht="14.25">
      <c r="Q60" s="595"/>
      <c r="R60" s="596"/>
      <c r="S60" s="597"/>
      <c r="T60" s="598"/>
    </row>
    <row r="61" spans="17:27" ht="14.25">
      <c r="Q61" s="595"/>
      <c r="R61" s="596"/>
      <c r="S61" s="597"/>
      <c r="T61" s="598"/>
    </row>
    <row r="62" spans="17:27" ht="14.25">
      <c r="Q62" s="595"/>
      <c r="R62" s="596"/>
      <c r="S62" s="597"/>
      <c r="T62" s="598"/>
    </row>
    <row r="63" spans="17:27" ht="14.25">
      <c r="Q63" s="595"/>
      <c r="R63" s="596"/>
      <c r="S63" s="597"/>
      <c r="T63" s="598"/>
    </row>
    <row r="64" spans="17:27" ht="14.25">
      <c r="Q64" s="595"/>
      <c r="R64" s="596"/>
      <c r="S64" s="597"/>
      <c r="T64" s="598"/>
    </row>
    <row r="65" spans="17:21">
      <c r="Q65" s="592"/>
      <c r="R65" s="592"/>
      <c r="S65" s="599"/>
      <c r="T65" s="600"/>
    </row>
    <row r="66" spans="17:21">
      <c r="Q66" s="592"/>
      <c r="R66" s="592"/>
      <c r="S66" s="592"/>
      <c r="U66" s="583"/>
    </row>
  </sheetData>
  <customSheetViews>
    <customSheetView guid="{18050E3F-BBF0-4BF6-9B33-B0817BE1B1C5}" showRuler="0" topLeftCell="A14">
      <pane xSplit="2" topLeftCell="G1" activePane="topRight" state="frozen"/>
      <selection pane="topRight" activeCell="N6" sqref="N6"/>
      <pageMargins left="0.75" right="0.75" top="1" bottom="1" header="0.5" footer="0.5"/>
      <pageSetup orientation="landscape" r:id="rId1"/>
      <headerFooter alignWithMargins="0"/>
    </customSheetView>
  </customSheetViews>
  <phoneticPr fontId="16" type="noConversion"/>
  <printOptions horizontalCentered="1" verticalCentered="1" gridLines="1"/>
  <pageMargins left="0.75" right="0.75" top="1" bottom="1" header="0.5" footer="0.5"/>
  <pageSetup scale="62" orientation="landscape" r:id="rId2"/>
  <headerFooter alignWithMargins="0">
    <oddHeader>&amp;C&amp;"Arial,Bold"&amp;12BLUE GRASS ENERGY ENERGY COOPERATIVE
CASE NO. 2014-000339
ALLOCATION OF TEST YEAR ADJUSTMENTS TO VARIOUS ACCOUNTS&amp;RExhibit R
Schedule 1.1
Page ____ of ____
Witness:  Jim Adkins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"/>
  <sheetViews>
    <sheetView view="pageBreakPreview" topLeftCell="L1" zoomScale="80" zoomScaleNormal="100" zoomScaleSheetLayoutView="80" workbookViewId="0">
      <pane ySplit="4" topLeftCell="A76" activePane="bottomLeft" state="frozen"/>
      <selection pane="bottomLeft" activeCell="H58" sqref="H58"/>
    </sheetView>
  </sheetViews>
  <sheetFormatPr defaultRowHeight="12.75"/>
  <cols>
    <col min="1" max="1" width="9.140625" style="101" bestFit="1" customWidth="1"/>
    <col min="2" max="2" width="31" style="100" customWidth="1"/>
    <col min="3" max="3" width="0.140625" style="100" hidden="1" customWidth="1"/>
    <col min="4" max="4" width="0.42578125" style="100" hidden="1" customWidth="1"/>
    <col min="5" max="5" width="14.28515625" style="100" customWidth="1"/>
    <col min="6" max="6" width="0.42578125" style="100" customWidth="1"/>
    <col min="7" max="7" width="13.7109375" style="100" customWidth="1"/>
    <col min="8" max="8" width="12.28515625" style="100" customWidth="1"/>
    <col min="9" max="9" width="14.5703125" style="100" customWidth="1"/>
    <col min="10" max="10" width="11.85546875" style="100" customWidth="1"/>
    <col min="11" max="11" width="14.140625" style="100" customWidth="1"/>
    <col min="12" max="12" width="12.42578125" style="100" customWidth="1"/>
    <col min="13" max="13" width="12" style="100" customWidth="1"/>
    <col min="14" max="14" width="12.7109375" style="100" customWidth="1"/>
    <col min="15" max="15" width="13.42578125" style="100" customWidth="1"/>
    <col min="16" max="16" width="15" style="100" customWidth="1"/>
    <col min="17" max="17" width="8.28515625" style="99" customWidth="1"/>
    <col min="18" max="18" width="2.140625" style="100" customWidth="1"/>
    <col min="19" max="19" width="5" style="121" customWidth="1"/>
    <col min="20" max="20" width="25.5703125" style="100" customWidth="1"/>
    <col min="21" max="21" width="12.140625" style="100" customWidth="1"/>
    <col min="22" max="22" width="13.7109375" style="100" customWidth="1"/>
    <col min="23" max="23" width="13.7109375" style="100" bestFit="1" customWidth="1"/>
    <col min="24" max="24" width="11.85546875" style="100" customWidth="1"/>
    <col min="25" max="25" width="14.28515625" style="100" customWidth="1"/>
    <col min="26" max="26" width="12.5703125" style="100" bestFit="1" customWidth="1"/>
    <col min="27" max="27" width="11.5703125" style="100" customWidth="1"/>
    <col min="28" max="28" width="12" style="100" bestFit="1" customWidth="1"/>
    <col min="29" max="29" width="15.7109375" style="100" customWidth="1"/>
    <col min="30" max="30" width="10.28515625" style="100" customWidth="1"/>
    <col min="31" max="31" width="15" style="100" customWidth="1"/>
    <col min="32" max="32" width="9.140625" style="100"/>
    <col min="33" max="33" width="10.28515625" style="100" customWidth="1"/>
    <col min="34" max="16384" width="9.140625" style="100"/>
  </cols>
  <sheetData>
    <row r="1" spans="1:31" ht="15.75">
      <c r="A1" s="96"/>
      <c r="B1" s="97"/>
      <c r="C1" s="875" t="s">
        <v>167</v>
      </c>
      <c r="D1" s="876"/>
      <c r="E1" s="877"/>
      <c r="F1" s="98"/>
      <c r="G1" s="872" t="s">
        <v>14</v>
      </c>
      <c r="H1" s="873"/>
      <c r="I1" s="873"/>
      <c r="J1" s="873"/>
      <c r="K1" s="873"/>
      <c r="L1" s="873"/>
      <c r="M1" s="873"/>
      <c r="N1" s="873"/>
      <c r="O1" s="873"/>
      <c r="P1" s="874"/>
      <c r="R1" s="878" t="s">
        <v>190</v>
      </c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</row>
    <row r="2" spans="1:31" s="99" customFormat="1">
      <c r="A2" s="101"/>
      <c r="C2" s="102"/>
      <c r="E2" s="212"/>
      <c r="F2" s="104"/>
      <c r="G2" s="104"/>
      <c r="H2" s="104"/>
      <c r="I2" s="104"/>
      <c r="J2" s="104"/>
      <c r="K2" s="104"/>
      <c r="L2" s="104"/>
      <c r="M2" s="104" t="s">
        <v>10</v>
      </c>
      <c r="N2" s="104"/>
      <c r="O2" s="104"/>
      <c r="P2" s="104"/>
      <c r="Q2" s="105"/>
    </row>
    <row r="3" spans="1:31" s="99" customFormat="1">
      <c r="A3" s="212" t="s">
        <v>16</v>
      </c>
      <c r="B3" s="106" t="s">
        <v>17</v>
      </c>
      <c r="C3" s="107" t="s">
        <v>72</v>
      </c>
      <c r="D3" s="108" t="s">
        <v>73</v>
      </c>
      <c r="E3" s="601" t="s">
        <v>2</v>
      </c>
      <c r="F3" s="109"/>
      <c r="G3" s="109" t="s">
        <v>3</v>
      </c>
      <c r="H3" s="109"/>
      <c r="I3" s="109"/>
      <c r="J3" s="109" t="s">
        <v>6</v>
      </c>
      <c r="K3" s="109"/>
      <c r="L3" s="109"/>
      <c r="M3" s="109" t="s">
        <v>11</v>
      </c>
      <c r="N3" s="109" t="s">
        <v>204</v>
      </c>
      <c r="O3" s="109" t="s">
        <v>207</v>
      </c>
      <c r="P3" s="109"/>
      <c r="Q3" s="110" t="s">
        <v>85</v>
      </c>
    </row>
    <row r="4" spans="1:31" s="109" customFormat="1" ht="13.5" customHeight="1" thickBot="1">
      <c r="A4" s="601" t="s">
        <v>18</v>
      </c>
      <c r="B4" s="111"/>
      <c r="C4" s="112" t="s">
        <v>0</v>
      </c>
      <c r="D4" s="112" t="s">
        <v>74</v>
      </c>
      <c r="E4" s="606" t="s">
        <v>0</v>
      </c>
      <c r="F4" s="113"/>
      <c r="G4" s="113" t="s">
        <v>4</v>
      </c>
      <c r="H4" s="113" t="s">
        <v>240</v>
      </c>
      <c r="I4" s="113" t="s">
        <v>5</v>
      </c>
      <c r="J4" s="113" t="s">
        <v>7</v>
      </c>
      <c r="K4" s="113" t="s">
        <v>8</v>
      </c>
      <c r="L4" s="113" t="s">
        <v>9</v>
      </c>
      <c r="M4" s="113" t="s">
        <v>12</v>
      </c>
      <c r="N4" s="113" t="s">
        <v>13</v>
      </c>
      <c r="O4" s="113" t="s">
        <v>13</v>
      </c>
      <c r="P4" s="113" t="s">
        <v>15</v>
      </c>
      <c r="Q4" s="114" t="s">
        <v>83</v>
      </c>
    </row>
    <row r="5" spans="1:31" s="109" customFormat="1" ht="13.5" customHeight="1">
      <c r="A5" s="602"/>
      <c r="B5" s="102"/>
      <c r="C5" s="112"/>
      <c r="D5" s="112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7"/>
      <c r="P5" s="116"/>
    </row>
    <row r="6" spans="1:31">
      <c r="A6" s="603">
        <v>555</v>
      </c>
      <c r="B6" s="107" t="str">
        <f>'1TestYr_adj'!C10</f>
        <v>Purchased Power</v>
      </c>
      <c r="C6" s="119">
        <f>('1TestYr'!D10)</f>
        <v>0</v>
      </c>
      <c r="D6" s="119">
        <f>('1TestYr'!E10)</f>
        <v>0</v>
      </c>
      <c r="E6" s="120" t="s">
        <v>1</v>
      </c>
      <c r="AE6" s="102"/>
    </row>
    <row r="7" spans="1:31">
      <c r="A7" s="603"/>
      <c r="B7" s="107" t="str">
        <f>'1TestYr_adj'!C11</f>
        <v>Demand Charges</v>
      </c>
      <c r="C7" s="122">
        <v>14211359</v>
      </c>
      <c r="D7" s="123">
        <v>1465107</v>
      </c>
      <c r="E7" s="123">
        <f>'1TestYr_adj'!S11</f>
        <v>18577420.386335999</v>
      </c>
      <c r="F7" s="123"/>
      <c r="G7" s="123">
        <f>(E7)</f>
        <v>18577420.386335999</v>
      </c>
      <c r="H7" s="123"/>
      <c r="I7" s="123"/>
      <c r="J7" s="123"/>
      <c r="K7" s="123"/>
      <c r="L7" s="123"/>
      <c r="M7" s="123"/>
      <c r="P7" s="124">
        <f>SUM(G7:N7)</f>
        <v>18577420.386335999</v>
      </c>
      <c r="S7" s="125">
        <v>1</v>
      </c>
      <c r="T7" s="102" t="s">
        <v>184</v>
      </c>
      <c r="U7" s="102"/>
      <c r="V7" s="102"/>
      <c r="W7" s="102"/>
      <c r="X7" s="102"/>
      <c r="AA7" s="99"/>
      <c r="AB7" s="99"/>
      <c r="AC7" s="99"/>
      <c r="AD7" s="99"/>
    </row>
    <row r="8" spans="1:31">
      <c r="A8" s="603"/>
      <c r="B8" s="107" t="str">
        <f>'1TestYr_adj'!C12</f>
        <v>Metering Point &amp; Substations Charges</v>
      </c>
      <c r="C8" s="122"/>
      <c r="D8" s="123"/>
      <c r="E8" s="123">
        <f>'1TestYr_adj'!S12</f>
        <v>1545492</v>
      </c>
      <c r="F8" s="123"/>
      <c r="G8" s="123">
        <f>(E8)</f>
        <v>1545492</v>
      </c>
      <c r="H8" s="123"/>
      <c r="I8" s="123"/>
      <c r="J8" s="123"/>
      <c r="K8" s="123"/>
      <c r="L8" s="123"/>
      <c r="M8" s="123"/>
      <c r="P8" s="124">
        <f>SUM(G8:N8)</f>
        <v>1545492</v>
      </c>
      <c r="S8" s="125"/>
      <c r="T8" s="102"/>
      <c r="U8" s="102"/>
      <c r="V8" s="102"/>
      <c r="W8" s="126" t="s">
        <v>234</v>
      </c>
      <c r="X8" s="126" t="s">
        <v>91</v>
      </c>
      <c r="AA8" s="99"/>
      <c r="AB8" s="99"/>
      <c r="AC8" s="99"/>
      <c r="AD8" s="99"/>
    </row>
    <row r="9" spans="1:31">
      <c r="A9" s="603"/>
      <c r="B9" s="107" t="str">
        <f>'1TestYr_adj'!C13</f>
        <v>Energy Charges</v>
      </c>
      <c r="C9" s="127">
        <v>2758291</v>
      </c>
      <c r="D9" s="127">
        <f>-(C9)</f>
        <v>-2758291</v>
      </c>
      <c r="E9" s="123">
        <f>'1TestYr_adj'!S13</f>
        <v>63975165.819166496</v>
      </c>
      <c r="F9" s="123"/>
      <c r="G9" s="123">
        <f>(E9)</f>
        <v>63975165.819166496</v>
      </c>
      <c r="H9" s="123"/>
      <c r="I9" s="123"/>
      <c r="J9" s="123"/>
      <c r="K9" s="123"/>
      <c r="L9" s="123"/>
      <c r="M9" s="123"/>
      <c r="P9" s="124">
        <f>SUM(G9:N9)</f>
        <v>63975165.819166496</v>
      </c>
      <c r="S9" s="125"/>
      <c r="T9" s="107" t="s">
        <v>233</v>
      </c>
      <c r="U9" s="109"/>
      <c r="V9" s="109"/>
      <c r="W9" s="120">
        <f>('2.22Rate Base'!H18)</f>
        <v>122687775.76000001</v>
      </c>
      <c r="X9" s="128">
        <f>(W9/$W$11)</f>
        <v>0.80522154536473833</v>
      </c>
      <c r="AA9" s="109"/>
      <c r="AB9" s="109"/>
      <c r="AC9" s="109"/>
      <c r="AD9" s="109"/>
    </row>
    <row r="10" spans="1:31">
      <c r="A10" s="603"/>
      <c r="B10" s="107" t="str">
        <f>'1TestYr_adj'!C14</f>
        <v>Renewable Resource Energy</v>
      </c>
      <c r="C10" s="129">
        <f>SUM(C7:C9)</f>
        <v>16969650</v>
      </c>
      <c r="D10" s="129">
        <f>SUM(D7:D9)</f>
        <v>-1293184</v>
      </c>
      <c r="E10" s="123">
        <f>'1TestYr_adj'!S14</f>
        <v>6455.25</v>
      </c>
      <c r="F10" s="123"/>
      <c r="G10" s="123">
        <f>(E10)</f>
        <v>6455.25</v>
      </c>
      <c r="H10" s="123"/>
      <c r="I10" s="122"/>
      <c r="J10" s="122"/>
      <c r="K10" s="122"/>
      <c r="L10" s="122"/>
      <c r="M10" s="122"/>
      <c r="N10" s="102"/>
      <c r="O10" s="102"/>
      <c r="P10" s="124">
        <f>SUM(G10:N10)</f>
        <v>6455.25</v>
      </c>
      <c r="T10" s="100" t="s">
        <v>8</v>
      </c>
      <c r="W10" s="122">
        <f>('2.22Rate Base'!J18)</f>
        <v>29677466.409999996</v>
      </c>
      <c r="X10" s="128">
        <f>(W10/$W$11)</f>
        <v>0.19477845463526161</v>
      </c>
      <c r="AA10" s="102"/>
      <c r="AB10" s="102"/>
      <c r="AC10" s="102"/>
      <c r="AD10" s="102"/>
    </row>
    <row r="11" spans="1:31" ht="13.5" thickBot="1">
      <c r="A11" s="603"/>
      <c r="B11" s="107" t="str">
        <f>'1TestYr_adj'!C15</f>
        <v>By Thru and Metering Point Charges</v>
      </c>
      <c r="C11" s="129">
        <f>SUM(C8:C10)</f>
        <v>19727941</v>
      </c>
      <c r="D11" s="129">
        <f>SUM(D8:D10)</f>
        <v>-4051475</v>
      </c>
      <c r="E11" s="123">
        <f>'1TestYr_adj'!S15</f>
        <v>0</v>
      </c>
      <c r="F11" s="127"/>
      <c r="G11" s="127">
        <f>(E11)</f>
        <v>0</v>
      </c>
      <c r="H11" s="123"/>
      <c r="I11" s="127"/>
      <c r="J11" s="127"/>
      <c r="K11" s="127"/>
      <c r="L11" s="127"/>
      <c r="M11" s="127"/>
      <c r="N11" s="130"/>
      <c r="O11" s="130"/>
      <c r="P11" s="124">
        <f>SUM(G11:N11)</f>
        <v>0</v>
      </c>
      <c r="T11" s="131" t="s">
        <v>15</v>
      </c>
      <c r="W11" s="132">
        <f>SUM(W9:W10)</f>
        <v>152365242.17000002</v>
      </c>
      <c r="X11" s="133">
        <f>SUM(X9:X10)</f>
        <v>1</v>
      </c>
    </row>
    <row r="12" spans="1:31" ht="13.5" thickTop="1">
      <c r="A12" s="603"/>
      <c r="B12" s="107" t="str">
        <f>'1TestYr_adj'!C16</f>
        <v xml:space="preserve">Total Purchased Power </v>
      </c>
      <c r="C12" s="122"/>
      <c r="D12" s="123"/>
      <c r="E12" s="134">
        <f>SUM(E7:E11)</f>
        <v>84104533.455502495</v>
      </c>
      <c r="F12" s="127"/>
      <c r="G12" s="127">
        <f>SUM(G7:G11)</f>
        <v>84104533.455502495</v>
      </c>
      <c r="H12" s="134"/>
      <c r="I12" s="134"/>
      <c r="J12" s="134"/>
      <c r="K12" s="134"/>
      <c r="L12" s="134"/>
      <c r="M12" s="134"/>
      <c r="N12" s="135"/>
      <c r="O12" s="135"/>
      <c r="P12" s="136">
        <f>SUM(G12:O12)</f>
        <v>84104533.455502495</v>
      </c>
      <c r="Q12" s="99" t="s">
        <v>84</v>
      </c>
      <c r="AB12" s="99"/>
      <c r="AC12" s="99" t="s">
        <v>89</v>
      </c>
    </row>
    <row r="13" spans="1:31">
      <c r="A13" s="603"/>
      <c r="B13" s="109"/>
      <c r="C13" s="122">
        <v>76777.740000000005</v>
      </c>
      <c r="D13" s="123" t="e">
        <f>(#REF!)</f>
        <v>#REF!</v>
      </c>
      <c r="E13" s="123"/>
      <c r="F13" s="123"/>
      <c r="G13" s="123"/>
      <c r="H13" s="123"/>
      <c r="I13" s="123"/>
      <c r="J13" s="123"/>
      <c r="K13" s="123"/>
      <c r="L13" s="123"/>
      <c r="M13" s="123"/>
      <c r="P13" s="137">
        <f>SUM(G13:O13)</f>
        <v>0</v>
      </c>
      <c r="S13" s="138">
        <v>2</v>
      </c>
      <c r="T13" s="139" t="s">
        <v>86</v>
      </c>
      <c r="Y13" s="126" t="s">
        <v>72</v>
      </c>
      <c r="Z13" s="126" t="s">
        <v>91</v>
      </c>
      <c r="AB13" s="126" t="s">
        <v>88</v>
      </c>
      <c r="AC13" s="126" t="s">
        <v>90</v>
      </c>
      <c r="AD13" s="126" t="s">
        <v>28</v>
      </c>
    </row>
    <row r="14" spans="1:31">
      <c r="A14" s="603">
        <v>580</v>
      </c>
      <c r="B14" s="107" t="str">
        <f>'1TestYr_adj'!C18</f>
        <v>Operations Supv &amp; Eng</v>
      </c>
      <c r="C14" s="122">
        <v>0</v>
      </c>
      <c r="D14" s="123" t="e">
        <f>(#REF!)</f>
        <v>#REF!</v>
      </c>
      <c r="E14" s="123">
        <f>'1TestYr_adj'!S18</f>
        <v>236763.56731088297</v>
      </c>
      <c r="F14" s="123"/>
      <c r="G14" s="123"/>
      <c r="H14" s="123">
        <f>AB14</f>
        <v>5248.4067459243224</v>
      </c>
      <c r="I14" s="123">
        <f>AB15</f>
        <v>115416.26363961044</v>
      </c>
      <c r="J14" s="123">
        <f>AB16</f>
        <v>0</v>
      </c>
      <c r="K14" s="123">
        <f>AB17</f>
        <v>27918.529503971855</v>
      </c>
      <c r="L14" s="123">
        <f>AB18</f>
        <v>53728.2771378943</v>
      </c>
      <c r="M14" s="123">
        <f>AB19</f>
        <v>0</v>
      </c>
      <c r="N14" s="124">
        <f>AB20</f>
        <v>31744.528730993083</v>
      </c>
      <c r="O14" s="123">
        <f>AB21</f>
        <v>2707.5615524889317</v>
      </c>
      <c r="P14" s="124">
        <f>SUM(H14:O14)</f>
        <v>236763.56731088294</v>
      </c>
      <c r="Q14" s="99">
        <v>2</v>
      </c>
      <c r="T14" s="100" t="s">
        <v>240</v>
      </c>
      <c r="Y14" s="140">
        <f>E16</f>
        <v>50972.34046428046</v>
      </c>
      <c r="Z14" s="141">
        <f t="shared" ref="Z14:Z21" si="0">Y14/$Y$23</f>
        <v>2.2167290371296396E-2</v>
      </c>
      <c r="AB14" s="123">
        <f t="shared" ref="AB14:AB21" si="1">(Z14*$AB$23)</f>
        <v>5248.4067459243224</v>
      </c>
      <c r="AC14" s="123">
        <f t="shared" ref="AC14:AC21" si="2">(Z14*$AC$23)</f>
        <v>4436.1519459797928</v>
      </c>
      <c r="AD14" s="123">
        <f t="shared" ref="AD14:AD21" si="3">$AD$24*Z14</f>
        <v>0</v>
      </c>
      <c r="AE14" s="124"/>
    </row>
    <row r="15" spans="1:31">
      <c r="A15" s="603">
        <v>581</v>
      </c>
      <c r="B15" s="107" t="str">
        <f>'1TestYr_adj'!C19</f>
        <v>Load Dispatching</v>
      </c>
      <c r="C15" s="122">
        <v>189903.91</v>
      </c>
      <c r="D15" s="123" t="e">
        <f>(#REF!)</f>
        <v>#REF!</v>
      </c>
      <c r="E15" s="123">
        <f>'1TestYr_adj'!S19</f>
        <v>0</v>
      </c>
      <c r="F15" s="123"/>
      <c r="G15" s="123" t="s">
        <v>1</v>
      </c>
      <c r="H15" s="123">
        <f>(E15)</f>
        <v>0</v>
      </c>
      <c r="I15" s="123" t="s">
        <v>1</v>
      </c>
      <c r="J15" s="123"/>
      <c r="K15" s="123" t="s">
        <v>1</v>
      </c>
      <c r="L15" s="123"/>
      <c r="M15" s="123"/>
      <c r="N15" s="123"/>
      <c r="O15" s="123"/>
      <c r="P15" s="124">
        <f t="shared" ref="P15:P23" si="4">SUM(H15:O15)</f>
        <v>0</v>
      </c>
      <c r="Q15" s="99" t="s">
        <v>84</v>
      </c>
      <c r="T15" s="100" t="s">
        <v>5</v>
      </c>
      <c r="Y15" s="140">
        <f>I17+I18</f>
        <v>1120918.6654448763</v>
      </c>
      <c r="Z15" s="141">
        <f t="shared" si="0"/>
        <v>0.48747476206110224</v>
      </c>
      <c r="AB15" s="123">
        <f t="shared" si="1"/>
        <v>115416.26363961044</v>
      </c>
      <c r="AC15" s="123">
        <f t="shared" si="2"/>
        <v>97554.192601435498</v>
      </c>
      <c r="AD15" s="123">
        <f t="shared" si="3"/>
        <v>0</v>
      </c>
    </row>
    <row r="16" spans="1:31">
      <c r="A16" s="603">
        <f>('1TestYr'!B20)</f>
        <v>582</v>
      </c>
      <c r="B16" s="107" t="str">
        <f>'1TestYr_adj'!C20</f>
        <v>Station Expense</v>
      </c>
      <c r="C16" s="122">
        <v>0</v>
      </c>
      <c r="D16" s="123" t="e">
        <f>(#REF!)</f>
        <v>#REF!</v>
      </c>
      <c r="E16" s="123">
        <f>'1TestYr_adj'!S20</f>
        <v>50972.34046428046</v>
      </c>
      <c r="F16" s="123"/>
      <c r="G16" s="123"/>
      <c r="H16" s="123">
        <f>(E16)</f>
        <v>50972.34046428046</v>
      </c>
      <c r="I16" s="123" t="s">
        <v>1</v>
      </c>
      <c r="J16" s="123"/>
      <c r="K16" s="123" t="s">
        <v>1</v>
      </c>
      <c r="L16" s="123"/>
      <c r="M16" s="123"/>
      <c r="N16" s="123"/>
      <c r="O16" s="123"/>
      <c r="P16" s="124">
        <f t="shared" si="4"/>
        <v>50972.34046428046</v>
      </c>
      <c r="Q16" s="99" t="s">
        <v>84</v>
      </c>
      <c r="T16" s="100" t="s">
        <v>95</v>
      </c>
      <c r="Y16" s="142">
        <f>0</f>
        <v>0</v>
      </c>
      <c r="Z16" s="141">
        <f t="shared" si="0"/>
        <v>0</v>
      </c>
      <c r="AB16" s="123">
        <f t="shared" si="1"/>
        <v>0</v>
      </c>
      <c r="AC16" s="123">
        <f t="shared" si="2"/>
        <v>0</v>
      </c>
      <c r="AD16" s="123">
        <f t="shared" si="3"/>
        <v>0</v>
      </c>
    </row>
    <row r="17" spans="1:33">
      <c r="A17" s="603">
        <f>('1TestYr'!B21)</f>
        <v>583</v>
      </c>
      <c r="B17" s="107" t="str">
        <f>'1TestYr_adj'!C21</f>
        <v>Overhead Line Exp.</v>
      </c>
      <c r="C17" s="122">
        <f>(354789.72+70911.29)</f>
        <v>425701.00999999995</v>
      </c>
      <c r="D17" s="123" t="e">
        <f>(#REF!)</f>
        <v>#REF!</v>
      </c>
      <c r="E17" s="123">
        <f>'1TestYr_adj'!S21</f>
        <v>1270574.2505077666</v>
      </c>
      <c r="F17" s="123"/>
      <c r="G17" s="123"/>
      <c r="I17" s="123">
        <f>(X9*E17)</f>
        <v>1023093.761494508</v>
      </c>
      <c r="J17" s="123"/>
      <c r="K17" s="123">
        <f>E17*X10</f>
        <v>247480.48901325854</v>
      </c>
      <c r="L17" s="123" t="s">
        <v>1</v>
      </c>
      <c r="M17" s="123"/>
      <c r="N17" s="123"/>
      <c r="O17" s="123"/>
      <c r="P17" s="124">
        <f t="shared" si="4"/>
        <v>1270574.2505077666</v>
      </c>
      <c r="Q17" s="99">
        <v>1</v>
      </c>
      <c r="T17" s="100" t="s">
        <v>8</v>
      </c>
      <c r="Y17" s="201">
        <f>K17+K18</f>
        <v>271143.7699152428</v>
      </c>
      <c r="Z17" s="141">
        <f t="shared" si="0"/>
        <v>0.117917337625317</v>
      </c>
      <c r="AB17" s="123">
        <f t="shared" si="1"/>
        <v>27918.529503971855</v>
      </c>
      <c r="AC17" s="123">
        <f t="shared" si="2"/>
        <v>23597.797385676335</v>
      </c>
      <c r="AD17" s="123">
        <f t="shared" si="3"/>
        <v>0</v>
      </c>
    </row>
    <row r="18" spans="1:33">
      <c r="A18" s="603">
        <f>('1TestYr'!B22)</f>
        <v>584</v>
      </c>
      <c r="B18" s="107" t="str">
        <f>'1TestYr_adj'!C22</f>
        <v>Underground Line Exp</v>
      </c>
      <c r="C18" s="122"/>
      <c r="D18" s="123"/>
      <c r="E18" s="123">
        <f>'1TestYr_adj'!S22</f>
        <v>121488.18485235254</v>
      </c>
      <c r="F18" s="123"/>
      <c r="G18" s="123"/>
      <c r="H18" s="123"/>
      <c r="I18" s="123">
        <f>(X9*E18)</f>
        <v>97824.903950368302</v>
      </c>
      <c r="J18" s="123"/>
      <c r="K18" s="123">
        <f>E18*X10</f>
        <v>23663.280901984224</v>
      </c>
      <c r="L18" s="123" t="s">
        <v>1</v>
      </c>
      <c r="M18" s="123"/>
      <c r="N18" s="123"/>
      <c r="O18" s="123"/>
      <c r="P18" s="124">
        <f t="shared" si="4"/>
        <v>121488.18485235253</v>
      </c>
      <c r="Q18" s="99">
        <v>1</v>
      </c>
      <c r="T18" s="100" t="s">
        <v>9</v>
      </c>
      <c r="Y18" s="124">
        <f>L20</f>
        <v>521807.12498296413</v>
      </c>
      <c r="Z18" s="141">
        <f t="shared" si="0"/>
        <v>0.22692797607389595</v>
      </c>
      <c r="AB18" s="123">
        <f t="shared" si="1"/>
        <v>53728.2771378943</v>
      </c>
      <c r="AC18" s="123">
        <f t="shared" si="2"/>
        <v>45413.172552699136</v>
      </c>
      <c r="AD18" s="123">
        <f t="shared" si="3"/>
        <v>0</v>
      </c>
    </row>
    <row r="19" spans="1:33">
      <c r="A19" s="603">
        <f>('1TestYr'!B23)</f>
        <v>585</v>
      </c>
      <c r="B19" s="107" t="str">
        <f>'1TestYr_adj'!C23</f>
        <v>Street Lights</v>
      </c>
      <c r="C19" s="122">
        <v>42228.91</v>
      </c>
      <c r="D19" s="123" t="e">
        <f>(#REF!)</f>
        <v>#REF!</v>
      </c>
      <c r="E19" s="123">
        <f>'1TestYr_adj'!S23</f>
        <v>26295.741919894943</v>
      </c>
      <c r="F19" s="123"/>
      <c r="G19" s="123"/>
      <c r="H19" s="123"/>
      <c r="I19" s="123"/>
      <c r="J19" s="123"/>
      <c r="K19" s="123"/>
      <c r="L19" s="123"/>
      <c r="M19" s="123"/>
      <c r="N19" s="123" t="s">
        <v>1</v>
      </c>
      <c r="O19" s="123">
        <f>E19</f>
        <v>26295.741919894943</v>
      </c>
      <c r="P19" s="124">
        <f t="shared" si="4"/>
        <v>26295.741919894943</v>
      </c>
      <c r="Q19" s="99" t="s">
        <v>84</v>
      </c>
      <c r="T19" s="100" t="s">
        <v>386</v>
      </c>
      <c r="Y19" s="124">
        <v>0</v>
      </c>
      <c r="Z19" s="141">
        <f t="shared" si="0"/>
        <v>0</v>
      </c>
      <c r="AB19" s="123">
        <f t="shared" si="1"/>
        <v>0</v>
      </c>
      <c r="AC19" s="123">
        <f t="shared" si="2"/>
        <v>0</v>
      </c>
      <c r="AD19" s="123">
        <f t="shared" si="3"/>
        <v>0</v>
      </c>
      <c r="AG19" s="124">
        <f>SUM(AD17:AD22)</f>
        <v>0</v>
      </c>
    </row>
    <row r="20" spans="1:33">
      <c r="A20" s="603">
        <f>('1TestYr'!B24)</f>
        <v>586</v>
      </c>
      <c r="B20" s="107" t="str">
        <f>'1TestYr_adj'!C24</f>
        <v>Meter Expense</v>
      </c>
      <c r="C20" s="122">
        <f>(101430.3+63260.76)</f>
        <v>164691.06</v>
      </c>
      <c r="D20" s="123" t="e">
        <f>(#REF!)</f>
        <v>#REF!</v>
      </c>
      <c r="E20" s="123">
        <f>'1TestYr_adj'!S24</f>
        <v>521807.12498296413</v>
      </c>
      <c r="F20" s="123"/>
      <c r="G20" s="123"/>
      <c r="H20" s="123"/>
      <c r="I20" s="123"/>
      <c r="J20" s="123"/>
      <c r="K20" s="123" t="s">
        <v>1</v>
      </c>
      <c r="L20" s="123">
        <f>(E20)</f>
        <v>521807.12498296413</v>
      </c>
      <c r="M20" s="123"/>
      <c r="O20" s="123"/>
      <c r="P20" s="124">
        <f t="shared" si="4"/>
        <v>521807.12498296413</v>
      </c>
      <c r="Q20" s="99" t="s">
        <v>84</v>
      </c>
      <c r="T20" s="100" t="s">
        <v>235</v>
      </c>
      <c r="X20" s="124" t="s">
        <v>1</v>
      </c>
      <c r="Y20" s="124">
        <f>N21</f>
        <v>308301.73892502731</v>
      </c>
      <c r="Z20" s="141">
        <f t="shared" si="0"/>
        <v>0.13407691517551285</v>
      </c>
      <c r="AB20" s="123">
        <f t="shared" si="1"/>
        <v>31744.528730993083</v>
      </c>
      <c r="AC20" s="123">
        <f t="shared" si="2"/>
        <v>26831.676682369114</v>
      </c>
      <c r="AD20" s="123">
        <f t="shared" si="3"/>
        <v>0</v>
      </c>
      <c r="AE20" s="124"/>
      <c r="AF20" s="124"/>
    </row>
    <row r="21" spans="1:33">
      <c r="A21" s="603">
        <f>('1TestYr'!B25)</f>
        <v>587</v>
      </c>
      <c r="B21" s="107" t="str">
        <f>'1TestYr_adj'!C25</f>
        <v>Consumer Installations</v>
      </c>
      <c r="C21" s="127">
        <v>0</v>
      </c>
      <c r="D21" s="127">
        <f>(C21/$C$22)*(103795)</f>
        <v>0</v>
      </c>
      <c r="E21" s="123">
        <f>'1TestYr_adj'!S25</f>
        <v>308301.73892502731</v>
      </c>
      <c r="F21" s="123"/>
      <c r="G21" s="122"/>
      <c r="H21" s="122" t="s">
        <v>1</v>
      </c>
      <c r="I21" s="122" t="s">
        <v>1</v>
      </c>
      <c r="J21" s="122"/>
      <c r="K21" s="122" t="s">
        <v>1</v>
      </c>
      <c r="L21" s="122" t="s">
        <v>1</v>
      </c>
      <c r="M21" s="122">
        <v>0</v>
      </c>
      <c r="N21" s="142">
        <f>(E21)</f>
        <v>308301.73892502731</v>
      </c>
      <c r="O21" s="123">
        <v>0</v>
      </c>
      <c r="P21" s="124">
        <f t="shared" si="4"/>
        <v>308301.73892502731</v>
      </c>
      <c r="Q21" s="99" t="s">
        <v>84</v>
      </c>
      <c r="T21" s="100" t="s">
        <v>236</v>
      </c>
      <c r="Y21" s="124">
        <f>O19</f>
        <v>26295.741919894943</v>
      </c>
      <c r="Z21" s="141">
        <f t="shared" si="0"/>
        <v>1.1435718692875418E-2</v>
      </c>
      <c r="AB21" s="123">
        <f t="shared" si="1"/>
        <v>2707.5615524889317</v>
      </c>
      <c r="AC21" s="123">
        <f t="shared" si="2"/>
        <v>2288.5334600374044</v>
      </c>
      <c r="AD21" s="123">
        <f t="shared" si="3"/>
        <v>0</v>
      </c>
    </row>
    <row r="22" spans="1:33">
      <c r="A22" s="603">
        <f>('1TestYr'!B26)</f>
        <v>588</v>
      </c>
      <c r="B22" s="107" t="str">
        <f>'1TestYr_adj'!C26</f>
        <v>Misc. Distribution Exp</v>
      </c>
      <c r="C22" s="143">
        <f>SUM(C13:C21)</f>
        <v>899302.62999999989</v>
      </c>
      <c r="D22" s="143" t="e">
        <f>SUM(D13:D21)</f>
        <v>#REF!</v>
      </c>
      <c r="E22" s="123">
        <f>'1TestYr_adj'!S26</f>
        <v>200121.52462819731</v>
      </c>
      <c r="F22" s="123"/>
      <c r="G22" s="122"/>
      <c r="H22" s="122">
        <f>AC14</f>
        <v>4436.1519459797928</v>
      </c>
      <c r="I22" s="122">
        <f>AC15</f>
        <v>97554.192601435498</v>
      </c>
      <c r="J22" s="122">
        <f>AC16</f>
        <v>0</v>
      </c>
      <c r="K22" s="122">
        <f>AC17</f>
        <v>23597.797385676335</v>
      </c>
      <c r="L22" s="122">
        <f>AC18</f>
        <v>45413.172552699136</v>
      </c>
      <c r="M22" s="122">
        <f>AC19</f>
        <v>0</v>
      </c>
      <c r="N22" s="122">
        <f>AC20</f>
        <v>26831.676682369114</v>
      </c>
      <c r="O22" s="122">
        <f>AC21</f>
        <v>2288.5334600374044</v>
      </c>
      <c r="P22" s="124">
        <f t="shared" si="4"/>
        <v>200121.52462819728</v>
      </c>
      <c r="Q22" s="99">
        <v>2</v>
      </c>
      <c r="Y22" s="124"/>
      <c r="Z22" s="141"/>
      <c r="AB22" s="123"/>
      <c r="AC22" s="123"/>
      <c r="AD22" s="123"/>
    </row>
    <row r="23" spans="1:33" ht="13.5" thickBot="1">
      <c r="A23" s="603">
        <f>('1TestYr'!B27)</f>
        <v>589</v>
      </c>
      <c r="B23" s="107" t="str">
        <f>'1TestYr_adj'!C27</f>
        <v>Rents</v>
      </c>
      <c r="C23" s="122"/>
      <c r="D23" s="123"/>
      <c r="E23" s="123">
        <f>'1TestYr_adj'!S27</f>
        <v>0</v>
      </c>
      <c r="F23" s="127"/>
      <c r="G23" s="127"/>
      <c r="I23" s="124"/>
      <c r="J23" s="144"/>
      <c r="K23" s="144" t="s">
        <v>1</v>
      </c>
      <c r="L23" s="144" t="s">
        <v>1</v>
      </c>
      <c r="M23" s="144" t="s">
        <v>1</v>
      </c>
      <c r="N23" s="144" t="s">
        <v>1</v>
      </c>
      <c r="O23" s="144"/>
      <c r="P23" s="124">
        <f t="shared" si="4"/>
        <v>0</v>
      </c>
      <c r="Q23" s="99" t="s">
        <v>84</v>
      </c>
      <c r="Y23" s="145">
        <f>SUM(Y13:Y22)</f>
        <v>2299439.3816522863</v>
      </c>
      <c r="Z23" s="146">
        <f>SUM(Z14:Z22)</f>
        <v>0.99999999999999989</v>
      </c>
      <c r="AB23" s="132">
        <f>(E14)</f>
        <v>236763.56731088297</v>
      </c>
      <c r="AC23" s="145">
        <f>(E22)</f>
        <v>200121.52462819731</v>
      </c>
      <c r="AD23" s="132">
        <v>0</v>
      </c>
      <c r="AE23" s="124">
        <f>SUM(Y23+AB23+AC23)</f>
        <v>2736324.4735913663</v>
      </c>
    </row>
    <row r="24" spans="1:33" ht="13.5" thickTop="1">
      <c r="A24" s="603"/>
      <c r="B24" s="107" t="str">
        <f>'1TestYr_adj'!C28</f>
        <v>Total Dist. Operations</v>
      </c>
      <c r="C24" s="122"/>
      <c r="D24" s="123"/>
      <c r="E24" s="134">
        <f>SUM(E14:E23)</f>
        <v>2736324.4735913663</v>
      </c>
      <c r="F24" s="127"/>
      <c r="G24" s="127"/>
      <c r="H24" s="129">
        <f>SUM(H14:H23)</f>
        <v>60656.899156184576</v>
      </c>
      <c r="I24" s="129">
        <f t="shared" ref="I24:O24" si="5">SUM(I14:I23)</f>
        <v>1333889.1216859224</v>
      </c>
      <c r="J24" s="129">
        <f t="shared" si="5"/>
        <v>0</v>
      </c>
      <c r="K24" s="129">
        <f t="shared" si="5"/>
        <v>322660.09680489096</v>
      </c>
      <c r="L24" s="129">
        <f t="shared" si="5"/>
        <v>620948.57467355754</v>
      </c>
      <c r="M24" s="129">
        <f t="shared" si="5"/>
        <v>0</v>
      </c>
      <c r="N24" s="129">
        <f t="shared" si="5"/>
        <v>366877.94433838956</v>
      </c>
      <c r="O24" s="129">
        <f t="shared" si="5"/>
        <v>31291.83693242128</v>
      </c>
      <c r="P24" s="129">
        <f>SUM(P14:P23)</f>
        <v>2736324.4735913663</v>
      </c>
      <c r="AB24" s="124">
        <f>SUM(AB14:AB22)</f>
        <v>236763.56731088294</v>
      </c>
      <c r="AC24" s="124">
        <f>SUM(AC14:AC22)</f>
        <v>200121.52462819728</v>
      </c>
      <c r="AD24" s="124">
        <f>E23</f>
        <v>0</v>
      </c>
    </row>
    <row r="25" spans="1:33">
      <c r="A25" s="603" t="s">
        <v>1</v>
      </c>
      <c r="B25" s="109" t="s">
        <v>1</v>
      </c>
      <c r="C25" s="122">
        <v>75345.47</v>
      </c>
      <c r="D25" s="123" t="e">
        <f>(#REF!)</f>
        <v>#REF!</v>
      </c>
      <c r="E25" s="123" t="s">
        <v>1</v>
      </c>
      <c r="F25" s="123"/>
      <c r="G25" s="123"/>
      <c r="H25" s="123"/>
      <c r="I25" s="123"/>
      <c r="J25" s="123"/>
      <c r="K25" s="123"/>
      <c r="L25" s="123"/>
      <c r="M25" s="123"/>
      <c r="P25" s="137" t="s">
        <v>1</v>
      </c>
      <c r="S25" s="138">
        <v>3</v>
      </c>
      <c r="T25" s="139" t="s">
        <v>87</v>
      </c>
      <c r="Y25" s="126" t="s">
        <v>72</v>
      </c>
      <c r="Z25" s="126" t="s">
        <v>91</v>
      </c>
      <c r="AB25" s="126" t="s">
        <v>88</v>
      </c>
      <c r="AC25" s="126" t="s">
        <v>237</v>
      </c>
    </row>
    <row r="26" spans="1:33">
      <c r="A26" s="603">
        <v>590</v>
      </c>
      <c r="B26" s="107" t="str">
        <f>'1TestYr_adj'!C30</f>
        <v>Maint Supv &amp; Eng</v>
      </c>
      <c r="C26" s="122">
        <v>3408.56</v>
      </c>
      <c r="D26" s="123" t="e">
        <f>(#REF!)</f>
        <v>#REF!</v>
      </c>
      <c r="E26" s="123">
        <f>'1TestYr_adj'!S30</f>
        <v>308165.60392277845</v>
      </c>
      <c r="F26" s="123"/>
      <c r="G26" s="123"/>
      <c r="H26" s="123">
        <f>(AB26)</f>
        <v>8.3716128542309569</v>
      </c>
      <c r="I26" s="123">
        <f>+AB27</f>
        <v>229905.97241580652</v>
      </c>
      <c r="J26" s="123">
        <f>+AB28</f>
        <v>937.74343151518508</v>
      </c>
      <c r="K26" s="123">
        <f>+AB29</f>
        <v>55612.930722418394</v>
      </c>
      <c r="L26" s="123">
        <f>+AB30</f>
        <v>10797.039164801889</v>
      </c>
      <c r="N26" s="123">
        <f>+AB31</f>
        <v>0</v>
      </c>
      <c r="O26" s="123">
        <f>+AB33</f>
        <v>10903.546575382314</v>
      </c>
      <c r="P26" s="142">
        <f t="shared" ref="P26:P33" si="6">SUM(G26:O26)</f>
        <v>308165.60392277851</v>
      </c>
      <c r="Q26" s="99">
        <v>3</v>
      </c>
      <c r="S26" s="100"/>
      <c r="T26" s="100" t="s">
        <v>240</v>
      </c>
      <c r="Y26" s="124">
        <f>H27</f>
        <v>151.6790993150106</v>
      </c>
      <c r="Z26" s="147">
        <f t="shared" ref="Z26:Z33" si="7">(Y26/$Y$34)</f>
        <v>2.7165954758301819E-5</v>
      </c>
      <c r="AB26" s="123">
        <f>($AB$34*Z26)</f>
        <v>8.3716128542309569</v>
      </c>
      <c r="AC26" s="123">
        <f>Z26*$AC$35</f>
        <v>9.6315843083506234</v>
      </c>
    </row>
    <row r="27" spans="1:33">
      <c r="A27" s="603">
        <v>592</v>
      </c>
      <c r="B27" s="107" t="str">
        <f>'1TestYr_adj'!C31</f>
        <v>Maint of Station Equip</v>
      </c>
      <c r="C27" s="122">
        <f>(367239.65+75667.75+334721.48)</f>
        <v>777628.88</v>
      </c>
      <c r="D27" s="123" t="e">
        <f>(#REF!)+(417787)</f>
        <v>#REF!</v>
      </c>
      <c r="E27" s="123">
        <f>'1TestYr_adj'!S31</f>
        <v>151.6790993150106</v>
      </c>
      <c r="F27" s="123"/>
      <c r="G27" s="123"/>
      <c r="H27" s="123">
        <f>E27</f>
        <v>151.6790993150106</v>
      </c>
      <c r="I27" s="123"/>
      <c r="J27" s="123"/>
      <c r="K27" s="123"/>
      <c r="L27" s="123"/>
      <c r="M27" s="123"/>
      <c r="N27" s="100" t="s">
        <v>1</v>
      </c>
      <c r="P27" s="142">
        <f t="shared" si="6"/>
        <v>151.6790993150106</v>
      </c>
      <c r="Q27" s="99" t="s">
        <v>84</v>
      </c>
      <c r="S27" s="100"/>
      <c r="T27" s="100" t="s">
        <v>5</v>
      </c>
      <c r="Y27" s="124">
        <f>I28+I29</f>
        <v>4165497.3098221049</v>
      </c>
      <c r="Z27" s="147">
        <f t="shared" si="7"/>
        <v>0.74604683160362506</v>
      </c>
      <c r="AB27" s="123">
        <f t="shared" ref="AB27:AB33" si="8">($AB$34*Z27)</f>
        <v>229905.97241580652</v>
      </c>
      <c r="AC27" s="123">
        <f t="shared" ref="AC27:AC33" si="9">Z27*$AC$35</f>
        <v>264508.02191563969</v>
      </c>
    </row>
    <row r="28" spans="1:33">
      <c r="A28" s="603">
        <v>593</v>
      </c>
      <c r="B28" s="107" t="str">
        <f>'1TestYr_adj'!C32</f>
        <v>Maint. Overhead Lines</v>
      </c>
      <c r="C28" s="122">
        <v>0</v>
      </c>
      <c r="D28" s="123">
        <v>0</v>
      </c>
      <c r="E28" s="123">
        <f>'1TestYr_adj'!S32</f>
        <v>4867266.4671364604</v>
      </c>
      <c r="F28" s="123"/>
      <c r="G28" s="123"/>
      <c r="H28" s="123"/>
      <c r="I28" s="123">
        <f>E28*X9</f>
        <v>3919227.8263695911</v>
      </c>
      <c r="J28" s="123"/>
      <c r="K28" s="123">
        <f>E28*X10</f>
        <v>948038.64076686907</v>
      </c>
      <c r="L28" s="123"/>
      <c r="M28" s="123"/>
      <c r="N28" s="123"/>
      <c r="P28" s="142">
        <f t="shared" si="6"/>
        <v>4867266.4671364604</v>
      </c>
      <c r="Q28" s="99">
        <v>1</v>
      </c>
      <c r="S28" s="100"/>
      <c r="T28" s="100" t="s">
        <v>95</v>
      </c>
      <c r="Y28" s="124">
        <f>J30</f>
        <v>16990.28389838948</v>
      </c>
      <c r="Z28" s="147">
        <f t="shared" si="7"/>
        <v>3.0429853934969627E-3</v>
      </c>
      <c r="AB28" s="123">
        <f t="shared" si="8"/>
        <v>937.74343151518508</v>
      </c>
      <c r="AC28" s="123">
        <f t="shared" si="9"/>
        <v>1078.8787151899689</v>
      </c>
    </row>
    <row r="29" spans="1:33">
      <c r="A29" s="603">
        <v>594</v>
      </c>
      <c r="B29" s="107" t="str">
        <f>'1TestYr_adj'!C33</f>
        <v>Maint of Underground Lines</v>
      </c>
      <c r="C29" s="122">
        <v>52902.09</v>
      </c>
      <c r="D29" s="123" t="e">
        <f>(#REF!)</f>
        <v>#REF!</v>
      </c>
      <c r="E29" s="123">
        <f>'1TestYr_adj'!S33</f>
        <v>305840.65325892635</v>
      </c>
      <c r="F29" s="123"/>
      <c r="G29" s="123"/>
      <c r="H29" s="123"/>
      <c r="I29" s="123">
        <f>E29*X9</f>
        <v>246269.48345251378</v>
      </c>
      <c r="J29" s="148"/>
      <c r="K29" s="123">
        <f>E29*X10</f>
        <v>59571.169806412559</v>
      </c>
      <c r="L29" s="123"/>
      <c r="M29" s="123"/>
      <c r="P29" s="142">
        <f t="shared" si="6"/>
        <v>305840.65325892635</v>
      </c>
      <c r="Q29" s="99">
        <v>1</v>
      </c>
      <c r="S29" s="100"/>
      <c r="T29" s="100" t="s">
        <v>8</v>
      </c>
      <c r="Y29" s="124">
        <f>K28+K29</f>
        <v>1007609.8105732816</v>
      </c>
      <c r="Z29" s="147">
        <f t="shared" si="7"/>
        <v>0.18046443215756855</v>
      </c>
      <c r="AB29" s="123">
        <f t="shared" si="8"/>
        <v>55612.930722418394</v>
      </c>
      <c r="AC29" s="123">
        <f t="shared" si="9"/>
        <v>63982.967226766355</v>
      </c>
    </row>
    <row r="30" spans="1:33">
      <c r="A30" s="603">
        <v>595</v>
      </c>
      <c r="B30" s="107" t="str">
        <f>'1TestYr_adj'!C34</f>
        <v>Maint Line Transformers</v>
      </c>
      <c r="C30" s="122">
        <v>0</v>
      </c>
      <c r="D30" s="123">
        <v>0</v>
      </c>
      <c r="E30" s="123">
        <f>'1TestYr_adj'!S34</f>
        <v>16990.28389838948</v>
      </c>
      <c r="F30" s="123"/>
      <c r="G30" s="123"/>
      <c r="H30" s="123"/>
      <c r="I30" s="123"/>
      <c r="J30" s="123">
        <f>(E30)</f>
        <v>16990.28389838948</v>
      </c>
      <c r="K30" s="123"/>
      <c r="L30" s="123"/>
      <c r="M30" s="123"/>
      <c r="P30" s="142">
        <f t="shared" si="6"/>
        <v>16990.28389838948</v>
      </c>
      <c r="Q30" s="99" t="s">
        <v>84</v>
      </c>
      <c r="S30" s="100"/>
      <c r="T30" s="100" t="s">
        <v>9</v>
      </c>
      <c r="Y30" s="124">
        <f>L32</f>
        <v>195623.61570009415</v>
      </c>
      <c r="Z30" s="147">
        <f t="shared" si="7"/>
        <v>3.5036483719667368E-2</v>
      </c>
      <c r="AB30" s="123">
        <f t="shared" si="8"/>
        <v>10797.039164801889</v>
      </c>
      <c r="AC30" s="123">
        <f t="shared" si="9"/>
        <v>12422.049945106555</v>
      </c>
    </row>
    <row r="31" spans="1:33">
      <c r="A31" s="603">
        <v>596</v>
      </c>
      <c r="B31" s="107" t="str">
        <f>'1TestYr_adj'!C35</f>
        <v>Maint of Street Lights</v>
      </c>
      <c r="C31" s="122">
        <v>1001</v>
      </c>
      <c r="D31" s="123" t="e">
        <f>(#REF!)</f>
        <v>#REF!</v>
      </c>
      <c r="E31" s="123">
        <f>'1TestYr_adj'!S35</f>
        <v>197553.34517857194</v>
      </c>
      <c r="F31" s="123"/>
      <c r="G31" s="123"/>
      <c r="H31" s="123"/>
      <c r="I31" s="123"/>
      <c r="J31" s="123"/>
      <c r="K31" s="123"/>
      <c r="L31" s="123"/>
      <c r="M31" s="123"/>
      <c r="O31" s="123">
        <f>E31</f>
        <v>197553.34517857194</v>
      </c>
      <c r="P31" s="142">
        <f t="shared" si="6"/>
        <v>197553.34517857194</v>
      </c>
      <c r="Q31" s="99" t="s">
        <v>84</v>
      </c>
      <c r="S31" s="100"/>
      <c r="T31" s="100" t="s">
        <v>386</v>
      </c>
      <c r="Y31" s="124">
        <v>0</v>
      </c>
      <c r="Z31" s="147">
        <f t="shared" si="7"/>
        <v>0</v>
      </c>
      <c r="AB31" s="123">
        <f t="shared" si="8"/>
        <v>0</v>
      </c>
      <c r="AC31" s="123">
        <f t="shared" si="9"/>
        <v>0</v>
      </c>
    </row>
    <row r="32" spans="1:33">
      <c r="A32" s="603">
        <v>597</v>
      </c>
      <c r="B32" s="107" t="str">
        <f>'1TestYr_adj'!C36</f>
        <v>Maintenance of Meters</v>
      </c>
      <c r="C32" s="127">
        <v>72405.600000000006</v>
      </c>
      <c r="D32" s="123" t="e">
        <f>(#REF!)</f>
        <v>#REF!</v>
      </c>
      <c r="E32" s="123">
        <f>'1TestYr_adj'!S36</f>
        <v>195623.61570009415</v>
      </c>
      <c r="F32" s="123"/>
      <c r="G32" s="123"/>
      <c r="H32" s="123"/>
      <c r="I32" s="123"/>
      <c r="J32" s="123"/>
      <c r="K32" s="123"/>
      <c r="L32" s="123">
        <f>E32</f>
        <v>195623.61570009415</v>
      </c>
      <c r="M32" s="123"/>
      <c r="P32" s="142">
        <f t="shared" si="6"/>
        <v>195623.61570009415</v>
      </c>
      <c r="Q32" s="99" t="s">
        <v>84</v>
      </c>
      <c r="T32" s="100" t="s">
        <v>235</v>
      </c>
      <c r="Y32" s="124">
        <f>0</f>
        <v>0</v>
      </c>
      <c r="Z32" s="147">
        <f t="shared" si="7"/>
        <v>0</v>
      </c>
      <c r="AB32" s="123">
        <v>0</v>
      </c>
      <c r="AC32" s="123">
        <f t="shared" si="9"/>
        <v>0</v>
      </c>
    </row>
    <row r="33" spans="1:32">
      <c r="A33" s="603">
        <v>598</v>
      </c>
      <c r="B33" s="107" t="str">
        <f>'1TestYr_adj'!C37</f>
        <v>Maint Misc Distrib Plant</v>
      </c>
      <c r="C33" s="122"/>
      <c r="D33" s="123"/>
      <c r="E33" s="123">
        <f>'1TestYr_adj'!S37</f>
        <v>354546.13666421</v>
      </c>
      <c r="F33" s="123"/>
      <c r="G33" s="123"/>
      <c r="H33" s="123">
        <f>AC26</f>
        <v>9.6315843083506234</v>
      </c>
      <c r="I33" s="123">
        <f>AC27</f>
        <v>264508.02191563969</v>
      </c>
      <c r="J33" s="123">
        <f>AC28</f>
        <v>1078.8787151899689</v>
      </c>
      <c r="K33" s="123">
        <f>AC29</f>
        <v>63982.967226766355</v>
      </c>
      <c r="L33" s="123">
        <f>AC30</f>
        <v>12422.049945106555</v>
      </c>
      <c r="M33" s="123">
        <f>AC31</f>
        <v>0</v>
      </c>
      <c r="N33" s="124">
        <f>AC32</f>
        <v>0</v>
      </c>
      <c r="O33" s="124">
        <f>AC33</f>
        <v>12544.587277199144</v>
      </c>
      <c r="P33" s="142">
        <f t="shared" si="6"/>
        <v>354546.13666421006</v>
      </c>
      <c r="Q33" s="99">
        <v>3</v>
      </c>
      <c r="T33" s="100" t="s">
        <v>236</v>
      </c>
      <c r="Y33" s="124">
        <f>O31</f>
        <v>197553.34517857194</v>
      </c>
      <c r="Z33" s="147">
        <f t="shared" si="7"/>
        <v>3.5382101170884001E-2</v>
      </c>
      <c r="AB33" s="123">
        <f t="shared" si="8"/>
        <v>10903.546575382314</v>
      </c>
      <c r="AC33" s="123">
        <f t="shared" si="9"/>
        <v>12544.587277199144</v>
      </c>
    </row>
    <row r="34" spans="1:32" ht="13.5" thickBot="1">
      <c r="A34" s="603"/>
      <c r="B34" s="107" t="str">
        <f>'1TestYr_adj'!C38</f>
        <v>Total Dist. Maint.</v>
      </c>
      <c r="C34" s="122"/>
      <c r="D34" s="123"/>
      <c r="E34" s="134">
        <f>SUM(E26:E33)</f>
        <v>6246137.7848587455</v>
      </c>
      <c r="F34" s="123"/>
      <c r="G34" s="129">
        <f t="shared" ref="G34:P34" si="10">SUM(G26:G33)</f>
        <v>0</v>
      </c>
      <c r="H34" s="129">
        <f t="shared" si="10"/>
        <v>169.68229647759219</v>
      </c>
      <c r="I34" s="129">
        <f t="shared" si="10"/>
        <v>4659911.3041535513</v>
      </c>
      <c r="J34" s="129">
        <f t="shared" si="10"/>
        <v>19006.906045094634</v>
      </c>
      <c r="K34" s="129">
        <f t="shared" si="10"/>
        <v>1127205.7085224662</v>
      </c>
      <c r="L34" s="129">
        <f t="shared" si="10"/>
        <v>218842.70481000259</v>
      </c>
      <c r="M34" s="129">
        <f t="shared" si="10"/>
        <v>0</v>
      </c>
      <c r="N34" s="129">
        <f t="shared" si="10"/>
        <v>0</v>
      </c>
      <c r="O34" s="129">
        <f t="shared" si="10"/>
        <v>221001.4790311534</v>
      </c>
      <c r="P34" s="129">
        <f t="shared" si="10"/>
        <v>6246137.7848587455</v>
      </c>
      <c r="Y34" s="132">
        <f>SUM(Y26:Y33)</f>
        <v>5583426.044271756</v>
      </c>
      <c r="Z34" s="146">
        <f>SUM(Z26:Z33)</f>
        <v>1.0000000000000002</v>
      </c>
      <c r="AB34" s="132">
        <f>(E26)</f>
        <v>308165.60392277845</v>
      </c>
      <c r="AC34" s="132">
        <f>SUM(AC26:AC33)</f>
        <v>354546.13666421006</v>
      </c>
      <c r="AE34" s="124">
        <f>SUM(AC34,AB34,Y34)</f>
        <v>6246137.7848587446</v>
      </c>
    </row>
    <row r="35" spans="1:32" ht="13.5" thickTop="1">
      <c r="A35" s="603" t="str">
        <f>('1TestYr'!B38)</f>
        <v xml:space="preserve"> </v>
      </c>
      <c r="B35" s="109" t="s">
        <v>1</v>
      </c>
      <c r="C35" s="122">
        <v>0</v>
      </c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P35" s="137">
        <f t="shared" ref="P35:P47" si="11">SUM(G35:O35)</f>
        <v>0</v>
      </c>
      <c r="Y35" s="142"/>
      <c r="Z35" s="149"/>
      <c r="AB35" s="142">
        <f>E26</f>
        <v>308165.60392277845</v>
      </c>
      <c r="AC35" s="142">
        <f>E33</f>
        <v>354546.13666421</v>
      </c>
      <c r="AE35" s="124"/>
      <c r="AF35" s="124"/>
    </row>
    <row r="36" spans="1:32">
      <c r="A36" s="603">
        <v>901</v>
      </c>
      <c r="B36" s="107" t="str">
        <f>'1TestYr_adj'!C40</f>
        <v>Supervision</v>
      </c>
      <c r="C36" s="122">
        <v>57203.53</v>
      </c>
      <c r="D36" s="123"/>
      <c r="E36" s="123">
        <f>'1TestYr_adj'!S40</f>
        <v>143333.65350265737</v>
      </c>
      <c r="F36" s="123"/>
      <c r="G36" s="123"/>
      <c r="H36" s="123"/>
      <c r="I36" s="123"/>
      <c r="J36" s="123"/>
      <c r="K36" s="123"/>
      <c r="L36" s="123"/>
      <c r="M36" s="123">
        <f>(E36)</f>
        <v>143333.65350265737</v>
      </c>
      <c r="P36" s="142">
        <f t="shared" si="11"/>
        <v>143333.65350265737</v>
      </c>
      <c r="Q36" s="99" t="s">
        <v>84</v>
      </c>
      <c r="S36" s="138">
        <v>4</v>
      </c>
      <c r="T36" s="100" t="s">
        <v>188</v>
      </c>
    </row>
    <row r="37" spans="1:32">
      <c r="A37" s="603">
        <v>902</v>
      </c>
      <c r="B37" s="107" t="str">
        <f>'1TestYr_adj'!C41</f>
        <v>Meter Reading Expense</v>
      </c>
      <c r="C37" s="122">
        <f>(467413.25+813.58)</f>
        <v>468226.83</v>
      </c>
      <c r="D37" s="123">
        <v>35476</v>
      </c>
      <c r="E37" s="123">
        <f>'1TestYr_adj'!S41</f>
        <v>101876.50410149393</v>
      </c>
      <c r="F37" s="123"/>
      <c r="G37" s="123"/>
      <c r="H37" s="123"/>
      <c r="I37" s="123"/>
      <c r="J37" s="123"/>
      <c r="K37" s="123"/>
      <c r="L37" s="123"/>
      <c r="M37" s="123">
        <f>(E37)</f>
        <v>101876.50410149393</v>
      </c>
      <c r="P37" s="142">
        <f t="shared" si="11"/>
        <v>101876.50410149393</v>
      </c>
      <c r="Q37" s="99" t="s">
        <v>84</v>
      </c>
      <c r="S37" s="138"/>
    </row>
    <row r="38" spans="1:32">
      <c r="A38" s="603">
        <v>903</v>
      </c>
      <c r="B38" s="107" t="str">
        <f>'1TestYr_adj'!C42</f>
        <v>Cons Recds &amp; Collections</v>
      </c>
      <c r="C38" s="127">
        <v>84000</v>
      </c>
      <c r="D38" s="127"/>
      <c r="E38" s="123">
        <f>'1TestYr_adj'!S42</f>
        <v>2319797.3285942366</v>
      </c>
      <c r="F38" s="123"/>
      <c r="G38" s="123"/>
      <c r="H38" s="123"/>
      <c r="I38" s="123"/>
      <c r="J38" s="123"/>
      <c r="K38" s="123"/>
      <c r="L38" s="123"/>
      <c r="M38" s="122">
        <f>(E38)</f>
        <v>2319797.3285942366</v>
      </c>
      <c r="P38" s="142">
        <f t="shared" si="11"/>
        <v>2319797.3285942366</v>
      </c>
      <c r="Q38" s="99" t="s">
        <v>84</v>
      </c>
      <c r="S38" s="138">
        <v>5</v>
      </c>
      <c r="T38" s="100" t="s">
        <v>189</v>
      </c>
    </row>
    <row r="39" spans="1:32">
      <c r="A39" s="603">
        <v>904</v>
      </c>
      <c r="B39" s="107" t="str">
        <f>'1TestYr_adj'!C43</f>
        <v>Uncollectible Accounts</v>
      </c>
      <c r="C39" s="143">
        <f>SUM(C36:C38)</f>
        <v>609430.36</v>
      </c>
      <c r="D39" s="123">
        <v>35476</v>
      </c>
      <c r="E39" s="123">
        <f>'1TestYr_adj'!S43</f>
        <v>340357.45</v>
      </c>
      <c r="F39" s="123"/>
      <c r="G39" s="127"/>
      <c r="H39" s="127"/>
      <c r="I39" s="127"/>
      <c r="J39" s="127"/>
      <c r="K39" s="127"/>
      <c r="L39" s="127"/>
      <c r="M39" s="127">
        <f>(E39)</f>
        <v>340357.45</v>
      </c>
      <c r="N39" s="130"/>
      <c r="O39" s="130"/>
      <c r="P39" s="150">
        <f t="shared" si="11"/>
        <v>340357.45</v>
      </c>
      <c r="Q39" s="99" t="s">
        <v>84</v>
      </c>
      <c r="S39" s="138"/>
    </row>
    <row r="40" spans="1:32">
      <c r="A40" s="603"/>
      <c r="B40" s="107" t="str">
        <f>'1TestYr_adj'!C44</f>
        <v xml:space="preserve"> Total Consumer Accts</v>
      </c>
      <c r="C40" s="151"/>
      <c r="D40" s="123"/>
      <c r="E40" s="129">
        <f>SUM(E36:E39)</f>
        <v>2905364.9361983882</v>
      </c>
      <c r="F40" s="123"/>
      <c r="G40" s="134"/>
      <c r="H40" s="134"/>
      <c r="I40" s="134"/>
      <c r="J40" s="134"/>
      <c r="K40" s="134"/>
      <c r="L40" s="134"/>
      <c r="M40" s="129">
        <f>SUM(M36:M39)</f>
        <v>2905364.9361983882</v>
      </c>
      <c r="N40" s="135"/>
      <c r="O40" s="135"/>
      <c r="P40" s="136">
        <f t="shared" si="11"/>
        <v>2905364.9361983882</v>
      </c>
      <c r="S40" s="348">
        <v>6</v>
      </c>
      <c r="T40" s="98" t="s">
        <v>456</v>
      </c>
    </row>
    <row r="41" spans="1:32">
      <c r="A41" s="603" t="str">
        <f>('1TestYr'!B44)</f>
        <v xml:space="preserve"> </v>
      </c>
      <c r="B41" s="109"/>
      <c r="C41" s="122">
        <v>0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P41" s="137">
        <f t="shared" si="11"/>
        <v>0</v>
      </c>
      <c r="S41" s="197"/>
      <c r="T41" s="98"/>
      <c r="W41" s="99"/>
      <c r="X41" s="99"/>
      <c r="Y41" s="99"/>
      <c r="AA41" s="99"/>
      <c r="AB41" s="99"/>
      <c r="AC41" s="99"/>
    </row>
    <row r="42" spans="1:32">
      <c r="A42" s="603">
        <f>'1TestYr'!B46</f>
        <v>907</v>
      </c>
      <c r="B42" s="107" t="str">
        <f>'1TestYr_adj'!C46</f>
        <v>Customer Information</v>
      </c>
      <c r="C42" s="122">
        <v>84141.05</v>
      </c>
      <c r="D42" s="123">
        <v>8826</v>
      </c>
      <c r="E42" s="123">
        <f>'1TestYr_adj'!S46</f>
        <v>0</v>
      </c>
      <c r="F42" s="123"/>
      <c r="G42" s="123"/>
      <c r="H42" s="123"/>
      <c r="I42" s="123"/>
      <c r="J42" s="123"/>
      <c r="K42" s="123"/>
      <c r="L42" s="123"/>
      <c r="M42" s="123">
        <f>(E42)</f>
        <v>0</v>
      </c>
      <c r="P42" s="142">
        <f t="shared" si="11"/>
        <v>0</v>
      </c>
      <c r="Q42" s="99" t="s">
        <v>84</v>
      </c>
      <c r="S42" s="350"/>
      <c r="T42" s="98"/>
      <c r="V42" s="126"/>
      <c r="W42" s="126"/>
      <c r="X42" s="126"/>
      <c r="Y42" s="126"/>
      <c r="AA42" s="126"/>
      <c r="AB42" s="126"/>
      <c r="AC42" s="126"/>
    </row>
    <row r="43" spans="1:32">
      <c r="A43" s="603">
        <f>'1TestYr'!B47</f>
        <v>908</v>
      </c>
      <c r="B43" s="107" t="str">
        <f>'1TestYr_adj'!C47</f>
        <v>Customer Accounting</v>
      </c>
      <c r="C43" s="122">
        <v>960</v>
      </c>
      <c r="D43" s="123"/>
      <c r="E43" s="123">
        <f>'1TestYr_adj'!S47</f>
        <v>976219.36234444648</v>
      </c>
      <c r="F43" s="123"/>
      <c r="G43" s="123"/>
      <c r="H43" s="123"/>
      <c r="I43" s="123"/>
      <c r="J43" s="123"/>
      <c r="K43" s="123"/>
      <c r="L43" s="123"/>
      <c r="M43" s="123">
        <f>(E43)</f>
        <v>976219.36234444648</v>
      </c>
      <c r="P43" s="142">
        <f>SUM(G43:O43)</f>
        <v>976219.36234444648</v>
      </c>
      <c r="Q43" s="99" t="s">
        <v>84</v>
      </c>
    </row>
    <row r="44" spans="1:32">
      <c r="A44" s="603">
        <f>'1TestYr'!B48</f>
        <v>909</v>
      </c>
      <c r="B44" s="107" t="str">
        <f>'1TestYr_adj'!C48</f>
        <v>Consumer Information</v>
      </c>
      <c r="C44" s="127">
        <v>0</v>
      </c>
      <c r="D44" s="127"/>
      <c r="E44" s="123">
        <f>'1TestYr_adj'!S48</f>
        <v>321.1882237127366</v>
      </c>
      <c r="F44" s="123"/>
      <c r="G44" s="123"/>
      <c r="H44" s="123"/>
      <c r="I44" s="123"/>
      <c r="J44" s="123"/>
      <c r="K44" s="123"/>
      <c r="L44" s="123"/>
      <c r="M44" s="122">
        <f>(E44)</f>
        <v>321.1882237127366</v>
      </c>
      <c r="P44" s="142">
        <f t="shared" si="11"/>
        <v>321.1882237127366</v>
      </c>
      <c r="Q44" s="99" t="s">
        <v>84</v>
      </c>
      <c r="T44" s="152"/>
      <c r="V44" s="123"/>
      <c r="W44" s="123"/>
      <c r="X44" s="123"/>
      <c r="Y44" s="123"/>
      <c r="AA44" s="153"/>
      <c r="AC44" s="154"/>
    </row>
    <row r="45" spans="1:32">
      <c r="A45" s="603">
        <f>'1TestYr'!B49</f>
        <v>910</v>
      </c>
      <c r="B45" s="107" t="str">
        <f>'1TestYr_adj'!C49</f>
        <v>Mis. Customer Information</v>
      </c>
      <c r="E45" s="123">
        <f>'1TestYr_adj'!S49</f>
        <v>0</v>
      </c>
      <c r="F45" s="123"/>
      <c r="G45" s="123"/>
      <c r="H45" s="123"/>
      <c r="I45" s="123"/>
      <c r="J45" s="123"/>
      <c r="K45" s="123"/>
      <c r="L45" s="123"/>
      <c r="M45" s="122">
        <f>(E45)</f>
        <v>0</v>
      </c>
      <c r="P45" s="142">
        <f t="shared" si="11"/>
        <v>0</v>
      </c>
      <c r="Q45" s="99" t="s">
        <v>84</v>
      </c>
      <c r="T45" s="152"/>
      <c r="V45" s="123"/>
      <c r="W45" s="123"/>
      <c r="X45" s="123"/>
      <c r="Y45" s="123"/>
      <c r="AA45" s="153"/>
    </row>
    <row r="46" spans="1:32">
      <c r="A46" s="603">
        <f>'1TestYr'!B50</f>
        <v>912</v>
      </c>
      <c r="B46" s="107" t="str">
        <f>'1TestYr_adj'!C50</f>
        <v>Key Accounts Expneses</v>
      </c>
      <c r="C46" s="143">
        <f>SUM(C41:C44)</f>
        <v>85101.05</v>
      </c>
      <c r="D46" s="143">
        <f>SUM(D41:D44)</f>
        <v>8826</v>
      </c>
      <c r="E46" s="123">
        <f>'1TestYr_adj'!S50</f>
        <v>-12263.709853256098</v>
      </c>
      <c r="F46" s="123"/>
      <c r="G46" s="122"/>
      <c r="H46" s="122"/>
      <c r="I46" s="122"/>
      <c r="J46" s="122"/>
      <c r="K46" s="122"/>
      <c r="L46" s="122"/>
      <c r="M46" s="122">
        <f>(E46)</f>
        <v>-12263.709853256098</v>
      </c>
      <c r="N46" s="102"/>
      <c r="O46" s="102"/>
      <c r="P46" s="142">
        <f t="shared" si="11"/>
        <v>-12263.709853256098</v>
      </c>
      <c r="Q46" s="99" t="s">
        <v>84</v>
      </c>
      <c r="T46" s="152"/>
      <c r="V46" s="123"/>
      <c r="W46" s="123"/>
      <c r="X46" s="123"/>
      <c r="Y46" s="123"/>
      <c r="AB46" s="153"/>
      <c r="AC46" s="154"/>
    </row>
    <row r="47" spans="1:32">
      <c r="A47" s="603">
        <f>'1TestYr'!B51</f>
        <v>913</v>
      </c>
      <c r="B47" s="107" t="str">
        <f>'1TestYr_adj'!C51</f>
        <v>Advertising</v>
      </c>
      <c r="C47" s="143"/>
      <c r="D47" s="143"/>
      <c r="E47" s="123">
        <f>'1TestYr_adj'!S51</f>
        <v>60695.81</v>
      </c>
      <c r="F47" s="123"/>
      <c r="G47" s="127"/>
      <c r="H47" s="127"/>
      <c r="I47" s="127"/>
      <c r="J47" s="127"/>
      <c r="K47" s="127"/>
      <c r="L47" s="127"/>
      <c r="M47" s="127">
        <f>E47</f>
        <v>60695.81</v>
      </c>
      <c r="N47" s="130"/>
      <c r="O47" s="130"/>
      <c r="P47" s="150">
        <f t="shared" si="11"/>
        <v>60695.81</v>
      </c>
      <c r="Q47" s="109" t="s">
        <v>84</v>
      </c>
      <c r="V47" s="142"/>
      <c r="W47" s="142"/>
      <c r="X47" s="142"/>
      <c r="Y47" s="142"/>
      <c r="Z47" s="102"/>
      <c r="AA47" s="349"/>
      <c r="AB47" s="349"/>
      <c r="AC47" s="349"/>
    </row>
    <row r="48" spans="1:32">
      <c r="A48" s="603"/>
      <c r="B48" s="107" t="str">
        <f>'1TestYr_adj'!C52</f>
        <v>Total Customer Serv.</v>
      </c>
      <c r="C48" s="122"/>
      <c r="D48" s="123"/>
      <c r="E48" s="134">
        <f>SUM(E42:E47)</f>
        <v>1024972.6507149031</v>
      </c>
      <c r="F48" s="127"/>
      <c r="G48" s="127"/>
      <c r="H48" s="127"/>
      <c r="I48" s="127"/>
      <c r="J48" s="127"/>
      <c r="K48" s="127"/>
      <c r="L48" s="127"/>
      <c r="M48" s="144">
        <f>SUM(M42:M47)</f>
        <v>1024972.6507149031</v>
      </c>
      <c r="N48" s="130"/>
      <c r="O48" s="130"/>
      <c r="P48" s="136">
        <f>SUM(G48:O48)</f>
        <v>1024972.6507149031</v>
      </c>
      <c r="Q48" s="109"/>
    </row>
    <row r="49" spans="1:31">
      <c r="A49" s="603"/>
      <c r="B49" s="107" t="str">
        <f>('1TestYr'!C53)</f>
        <v xml:space="preserve"> </v>
      </c>
      <c r="C49" s="122">
        <v>618796.41</v>
      </c>
      <c r="D49" s="123">
        <f t="shared" ref="D49:D59" si="12">(C49/$C$60)*(24277)</f>
        <v>13029.666900559967</v>
      </c>
      <c r="E49" s="123"/>
      <c r="F49" s="123"/>
      <c r="G49" s="123"/>
      <c r="H49" s="123"/>
      <c r="I49" s="123"/>
      <c r="J49" s="123"/>
      <c r="K49" s="123"/>
      <c r="L49" s="123"/>
      <c r="M49" s="123"/>
      <c r="Q49" s="109"/>
      <c r="T49" s="123"/>
      <c r="U49" s="123" t="s">
        <v>1</v>
      </c>
    </row>
    <row r="50" spans="1:31">
      <c r="A50" s="603">
        <f>('1TestYr'!B54)</f>
        <v>920</v>
      </c>
      <c r="B50" s="107" t="str">
        <f>'1TestYr_adj'!C54</f>
        <v>Administrative Salaries</v>
      </c>
      <c r="C50" s="122">
        <v>114229.51</v>
      </c>
      <c r="D50" s="123">
        <f t="shared" si="12"/>
        <v>2405.2700394854965</v>
      </c>
      <c r="E50" s="123">
        <f>'1TestYr_adj'!S54</f>
        <v>2651087.1417552857</v>
      </c>
      <c r="F50" s="123"/>
      <c r="G50" s="123" t="s">
        <v>1</v>
      </c>
      <c r="H50" s="123">
        <f>($E$50*U91)</f>
        <v>12488.117983489507</v>
      </c>
      <c r="I50" s="123">
        <f t="shared" ref="I50:O50" si="13">($E$50*V91)</f>
        <v>1230568.6938139941</v>
      </c>
      <c r="J50" s="123">
        <f t="shared" si="13"/>
        <v>3902.249304885986</v>
      </c>
      <c r="K50" s="123">
        <f t="shared" si="13"/>
        <v>297667.48031444114</v>
      </c>
      <c r="L50" s="123">
        <f t="shared" si="13"/>
        <v>172414.95953307947</v>
      </c>
      <c r="M50" s="123">
        <f t="shared" si="13"/>
        <v>806925.49750662444</v>
      </c>
      <c r="N50" s="123">
        <f t="shared" si="13"/>
        <v>75322.580112504147</v>
      </c>
      <c r="O50" s="123">
        <f t="shared" si="13"/>
        <v>51797.563186267536</v>
      </c>
      <c r="P50" s="142">
        <f>SUM(H50:O50)</f>
        <v>2651087.1417552866</v>
      </c>
      <c r="Q50" s="99">
        <v>7</v>
      </c>
      <c r="V50" s="99"/>
      <c r="W50" s="99"/>
      <c r="X50" s="99"/>
      <c r="Y50" s="99"/>
      <c r="Z50" s="99" t="s">
        <v>10</v>
      </c>
      <c r="AA50" s="99"/>
      <c r="AB50" s="99"/>
      <c r="AC50" s="99"/>
    </row>
    <row r="51" spans="1:31">
      <c r="A51" s="603">
        <f>('1TestYr'!B55)</f>
        <v>921</v>
      </c>
      <c r="B51" s="107" t="str">
        <f>'1TestYr_adj'!C55</f>
        <v>Office Supplies</v>
      </c>
      <c r="C51" s="122">
        <v>61723.83</v>
      </c>
      <c r="D51" s="123">
        <f t="shared" si="12"/>
        <v>1299.6858606965582</v>
      </c>
      <c r="E51" s="123">
        <f>'1TestYr_adj'!S55</f>
        <v>388751.32</v>
      </c>
      <c r="F51" s="123"/>
      <c r="G51" s="123"/>
      <c r="H51" s="123">
        <f>($E$51*U91)</f>
        <v>1831.2383150042128</v>
      </c>
      <c r="I51" s="123">
        <f t="shared" ref="I51:O51" si="14">($E$51*V91)</f>
        <v>180448.69085447225</v>
      </c>
      <c r="J51" s="123">
        <f t="shared" si="14"/>
        <v>572.21980535845398</v>
      </c>
      <c r="K51" s="123">
        <f t="shared" si="14"/>
        <v>43649.499132154393</v>
      </c>
      <c r="L51" s="123">
        <f t="shared" si="14"/>
        <v>25282.663119799574</v>
      </c>
      <c r="M51" s="123">
        <f t="shared" si="14"/>
        <v>118326.30748216766</v>
      </c>
      <c r="N51" s="123">
        <f t="shared" si="14"/>
        <v>11045.186702219935</v>
      </c>
      <c r="O51" s="123">
        <f t="shared" si="14"/>
        <v>7595.514588823592</v>
      </c>
      <c r="P51" s="142">
        <f t="shared" ref="P51:P59" si="15">SUM(H51:O51)</f>
        <v>388751.32000000007</v>
      </c>
      <c r="Q51" s="99">
        <v>7</v>
      </c>
      <c r="S51" s="138">
        <v>7</v>
      </c>
      <c r="T51" s="100" t="s">
        <v>266</v>
      </c>
      <c r="V51" s="99"/>
      <c r="W51" s="99" t="s">
        <v>6</v>
      </c>
      <c r="X51" s="99"/>
      <c r="Y51" s="99"/>
      <c r="Z51" s="99" t="s">
        <v>11</v>
      </c>
      <c r="AA51" s="99" t="s">
        <v>204</v>
      </c>
      <c r="AB51" s="99" t="s">
        <v>203</v>
      </c>
      <c r="AC51" s="99"/>
    </row>
    <row r="52" spans="1:31">
      <c r="A52" s="603">
        <f>('1TestYr'!B56)</f>
        <v>923</v>
      </c>
      <c r="B52" s="107" t="str">
        <f>'1TestYr_adj'!C56</f>
        <v>Outside Services</v>
      </c>
      <c r="C52" s="122">
        <v>0</v>
      </c>
      <c r="D52" s="123">
        <f t="shared" si="12"/>
        <v>0</v>
      </c>
      <c r="E52" s="123">
        <f>'1TestYr_adj'!S56</f>
        <v>131999.24</v>
      </c>
      <c r="F52" s="123"/>
      <c r="G52" s="123"/>
      <c r="H52" s="123">
        <f>($E$52*U91)</f>
        <v>621.79098411662414</v>
      </c>
      <c r="I52" s="123">
        <f t="shared" ref="I52:O52" si="16">($E$52*V91)</f>
        <v>61270.763149525221</v>
      </c>
      <c r="J52" s="123">
        <f t="shared" si="16"/>
        <v>194.29536450259215</v>
      </c>
      <c r="K52" s="123">
        <f t="shared" si="16"/>
        <v>14821.044753815986</v>
      </c>
      <c r="L52" s="123">
        <f t="shared" si="16"/>
        <v>8584.6456212407775</v>
      </c>
      <c r="M52" s="123">
        <f t="shared" si="16"/>
        <v>40177.310934024463</v>
      </c>
      <c r="N52" s="123">
        <f t="shared" si="16"/>
        <v>3750.3570414915571</v>
      </c>
      <c r="O52" s="123">
        <f t="shared" si="16"/>
        <v>2579.0321512827959</v>
      </c>
      <c r="P52" s="142">
        <f t="shared" si="15"/>
        <v>131999.24000000002</v>
      </c>
      <c r="Q52" s="99">
        <v>7</v>
      </c>
      <c r="S52" s="155" t="s">
        <v>230</v>
      </c>
      <c r="T52" s="155" t="s">
        <v>17</v>
      </c>
      <c r="U52" s="156" t="s">
        <v>240</v>
      </c>
      <c r="V52" s="126" t="s">
        <v>5</v>
      </c>
      <c r="W52" s="126" t="s">
        <v>7</v>
      </c>
      <c r="X52" s="126" t="s">
        <v>8</v>
      </c>
      <c r="Y52" s="126" t="s">
        <v>9</v>
      </c>
      <c r="Z52" s="126" t="s">
        <v>12</v>
      </c>
      <c r="AA52" s="126" t="s">
        <v>13</v>
      </c>
      <c r="AB52" s="126" t="s">
        <v>13</v>
      </c>
      <c r="AC52" s="126" t="s">
        <v>15</v>
      </c>
    </row>
    <row r="53" spans="1:31">
      <c r="A53" s="603">
        <f>('1TestYr'!B57)</f>
        <v>924</v>
      </c>
      <c r="B53" s="107" t="str">
        <f>'1TestYr_adj'!C57</f>
        <v>Property Ins</v>
      </c>
      <c r="C53" s="122">
        <v>32598.94</v>
      </c>
      <c r="D53" s="123">
        <f t="shared" si="12"/>
        <v>686.41854194231712</v>
      </c>
      <c r="E53" s="123">
        <f>'1TestYr_adj'!S57</f>
        <v>0</v>
      </c>
      <c r="F53" s="123"/>
      <c r="G53" s="123"/>
      <c r="H53" s="123">
        <f>($E$53*U91)</f>
        <v>0</v>
      </c>
      <c r="I53" s="123">
        <f t="shared" ref="I53:O53" si="17">($E$53*V91)</f>
        <v>0</v>
      </c>
      <c r="J53" s="123">
        <f t="shared" si="17"/>
        <v>0</v>
      </c>
      <c r="K53" s="123">
        <f t="shared" si="17"/>
        <v>0</v>
      </c>
      <c r="L53" s="123">
        <f t="shared" si="17"/>
        <v>0</v>
      </c>
      <c r="M53" s="123">
        <f t="shared" si="17"/>
        <v>0</v>
      </c>
      <c r="N53" s="123">
        <f t="shared" si="17"/>
        <v>0</v>
      </c>
      <c r="O53" s="123">
        <f t="shared" si="17"/>
        <v>0</v>
      </c>
      <c r="P53" s="142">
        <f t="shared" si="15"/>
        <v>0</v>
      </c>
      <c r="Q53" s="99">
        <v>7</v>
      </c>
    </row>
    <row r="54" spans="1:31">
      <c r="A54" s="603">
        <f>('1TestYr'!B58)</f>
        <v>925</v>
      </c>
      <c r="B54" s="107" t="str">
        <f>'1TestYr_adj'!C58</f>
        <v>Injuries &amp; Damages</v>
      </c>
      <c r="C54" s="122">
        <v>-382.05</v>
      </c>
      <c r="D54" s="123">
        <f t="shared" si="12"/>
        <v>-8.044623657979745</v>
      </c>
      <c r="E54" s="123">
        <f>'1TestYr_adj'!S58</f>
        <v>0</v>
      </c>
      <c r="F54" s="123"/>
      <c r="G54" s="123"/>
      <c r="H54" s="123">
        <f>($E$54*U91)</f>
        <v>0</v>
      </c>
      <c r="I54" s="123">
        <f t="shared" ref="I54:O54" si="18">($E$54*V91)</f>
        <v>0</v>
      </c>
      <c r="J54" s="123">
        <f t="shared" si="18"/>
        <v>0</v>
      </c>
      <c r="K54" s="123">
        <f t="shared" si="18"/>
        <v>0</v>
      </c>
      <c r="L54" s="123">
        <f t="shared" si="18"/>
        <v>0</v>
      </c>
      <c r="M54" s="123">
        <f t="shared" si="18"/>
        <v>0</v>
      </c>
      <c r="N54" s="123">
        <f t="shared" si="18"/>
        <v>0</v>
      </c>
      <c r="O54" s="123">
        <f t="shared" si="18"/>
        <v>0</v>
      </c>
      <c r="P54" s="142">
        <f t="shared" si="15"/>
        <v>0</v>
      </c>
      <c r="Q54" s="99">
        <v>7</v>
      </c>
      <c r="S54" s="115">
        <v>580</v>
      </c>
      <c r="T54" s="107" t="str">
        <f>(B14)</f>
        <v>Operations Supv &amp; Eng</v>
      </c>
      <c r="U54" s="157">
        <f>(H14)</f>
        <v>5248.4067459243224</v>
      </c>
      <c r="V54" s="157">
        <f t="shared" ref="V54:AB63" si="19">(I14)</f>
        <v>115416.26363961044</v>
      </c>
      <c r="W54" s="157">
        <f t="shared" si="19"/>
        <v>0</v>
      </c>
      <c r="X54" s="157">
        <f t="shared" si="19"/>
        <v>27918.529503971855</v>
      </c>
      <c r="Y54" s="157">
        <f t="shared" si="19"/>
        <v>53728.2771378943</v>
      </c>
      <c r="Z54" s="157">
        <f t="shared" si="19"/>
        <v>0</v>
      </c>
      <c r="AA54" s="157">
        <f t="shared" si="19"/>
        <v>31744.528730993083</v>
      </c>
      <c r="AB54" s="157">
        <f t="shared" si="19"/>
        <v>2707.5615524889317</v>
      </c>
      <c r="AC54" s="124">
        <f>SUM(U54:AB54)</f>
        <v>236763.56731088294</v>
      </c>
    </row>
    <row r="55" spans="1:31">
      <c r="A55" s="603">
        <f>('1TestYr'!B59)</f>
        <v>926</v>
      </c>
      <c r="B55" s="107" t="str">
        <f>'1TestYr_adj'!C59</f>
        <v>Employ Pensions &amp; Benef</v>
      </c>
      <c r="C55" s="122">
        <v>0</v>
      </c>
      <c r="D55" s="123">
        <f t="shared" si="12"/>
        <v>0</v>
      </c>
      <c r="E55" s="123">
        <f>'1TestYr_adj'!S59</f>
        <v>0</v>
      </c>
      <c r="F55" s="123"/>
      <c r="G55" s="123"/>
      <c r="H55" s="123">
        <f>($E$55*U91)</f>
        <v>0</v>
      </c>
      <c r="I55" s="123">
        <f t="shared" ref="I55:O55" si="20">($E$55*V91)</f>
        <v>0</v>
      </c>
      <c r="J55" s="123">
        <f t="shared" si="20"/>
        <v>0</v>
      </c>
      <c r="K55" s="123">
        <f t="shared" si="20"/>
        <v>0</v>
      </c>
      <c r="L55" s="123">
        <f t="shared" si="20"/>
        <v>0</v>
      </c>
      <c r="M55" s="123">
        <f t="shared" si="20"/>
        <v>0</v>
      </c>
      <c r="N55" s="123">
        <f t="shared" si="20"/>
        <v>0</v>
      </c>
      <c r="O55" s="123">
        <f t="shared" si="20"/>
        <v>0</v>
      </c>
      <c r="P55" s="142">
        <f t="shared" si="15"/>
        <v>0</v>
      </c>
      <c r="Q55" s="99">
        <v>7</v>
      </c>
      <c r="S55" s="115">
        <v>581</v>
      </c>
      <c r="T55" s="107" t="str">
        <f t="shared" ref="T55:T63" si="21">(B15)</f>
        <v>Load Dispatching</v>
      </c>
      <c r="U55" s="157">
        <f t="shared" ref="U55:U63" si="22">(H15)</f>
        <v>0</v>
      </c>
      <c r="V55" s="157" t="str">
        <f t="shared" si="19"/>
        <v xml:space="preserve"> </v>
      </c>
      <c r="W55" s="157">
        <f t="shared" si="19"/>
        <v>0</v>
      </c>
      <c r="X55" s="157" t="str">
        <f t="shared" si="19"/>
        <v xml:space="preserve"> </v>
      </c>
      <c r="Y55" s="157">
        <f t="shared" si="19"/>
        <v>0</v>
      </c>
      <c r="Z55" s="157">
        <f t="shared" si="19"/>
        <v>0</v>
      </c>
      <c r="AA55" s="157">
        <f t="shared" si="19"/>
        <v>0</v>
      </c>
      <c r="AB55" s="157">
        <f t="shared" si="19"/>
        <v>0</v>
      </c>
      <c r="AC55" s="124">
        <f t="shared" ref="AC55:AC63" si="23">SUM(U55:AB55)</f>
        <v>0</v>
      </c>
    </row>
    <row r="56" spans="1:31">
      <c r="A56" s="603">
        <f>('1TestYr'!B60)</f>
        <v>928</v>
      </c>
      <c r="B56" s="107" t="str">
        <f>'1TestYr_adj'!C60</f>
        <v>Regulatory Exp</v>
      </c>
      <c r="C56" s="122">
        <v>-1303.9000000000001</v>
      </c>
      <c r="D56" s="123">
        <f t="shared" si="12"/>
        <v>-27.455528825127058</v>
      </c>
      <c r="E56" s="123">
        <f>'1TestYr_adj'!S60</f>
        <v>135353.92000000001</v>
      </c>
      <c r="F56" s="123"/>
      <c r="G56" s="123"/>
      <c r="H56" s="123">
        <f>($E$56*U91)</f>
        <v>637.59342190790517</v>
      </c>
      <c r="I56" s="123">
        <f t="shared" ref="I56:O56" si="24">($E$56*V91)</f>
        <v>62827.922143186479</v>
      </c>
      <c r="J56" s="123">
        <f t="shared" si="24"/>
        <v>199.23326242828898</v>
      </c>
      <c r="K56" s="123">
        <f t="shared" si="24"/>
        <v>15197.712546863368</v>
      </c>
      <c r="L56" s="123">
        <f t="shared" si="24"/>
        <v>8802.8191423357803</v>
      </c>
      <c r="M56" s="123">
        <f t="shared" si="24"/>
        <v>41198.392733011751</v>
      </c>
      <c r="N56" s="123">
        <f t="shared" si="24"/>
        <v>3845.6700732934901</v>
      </c>
      <c r="O56" s="123">
        <f t="shared" si="24"/>
        <v>2644.5766769729848</v>
      </c>
      <c r="P56" s="142">
        <f t="shared" si="15"/>
        <v>135353.92000000007</v>
      </c>
      <c r="Q56" s="99">
        <v>7</v>
      </c>
      <c r="S56" s="115">
        <v>582</v>
      </c>
      <c r="T56" s="107" t="str">
        <f t="shared" si="21"/>
        <v>Station Expense</v>
      </c>
      <c r="U56" s="157">
        <f t="shared" si="22"/>
        <v>50972.34046428046</v>
      </c>
      <c r="V56" s="157" t="str">
        <f t="shared" si="19"/>
        <v xml:space="preserve"> </v>
      </c>
      <c r="W56" s="157">
        <f t="shared" si="19"/>
        <v>0</v>
      </c>
      <c r="X56" s="157" t="str">
        <f t="shared" si="19"/>
        <v xml:space="preserve"> </v>
      </c>
      <c r="Y56" s="157">
        <f t="shared" si="19"/>
        <v>0</v>
      </c>
      <c r="Z56" s="157">
        <f t="shared" si="19"/>
        <v>0</v>
      </c>
      <c r="AA56" s="157">
        <f t="shared" si="19"/>
        <v>0</v>
      </c>
      <c r="AB56" s="157">
        <f t="shared" si="19"/>
        <v>0</v>
      </c>
      <c r="AC56" s="124">
        <f t="shared" si="23"/>
        <v>50972.34046428046</v>
      </c>
    </row>
    <row r="57" spans="1:31">
      <c r="A57" s="603">
        <f>('1TestYr'!B61)</f>
        <v>929</v>
      </c>
      <c r="B57" s="107" t="str">
        <f>'1TestYr_adj'!C61</f>
        <v xml:space="preserve">Duplicate Charges </v>
      </c>
      <c r="C57" s="122">
        <f>SUM(831.5,41445,1870.42,34240.47,197309.71)</f>
        <v>275697.09999999998</v>
      </c>
      <c r="D57" s="123">
        <f t="shared" si="12"/>
        <v>5805.2072061154504</v>
      </c>
      <c r="E57" s="123">
        <f>'1TestYr_adj'!S61</f>
        <v>-140016.4</v>
      </c>
      <c r="F57" s="123"/>
      <c r="G57" s="123"/>
      <c r="H57" s="123">
        <f>($E$57*U91)</f>
        <v>-659.55633644911063</v>
      </c>
      <c r="I57" s="123">
        <f t="shared" ref="I57:O57" si="25">($E$57*V91)</f>
        <v>-64992.129359602251</v>
      </c>
      <c r="J57" s="123">
        <f t="shared" si="25"/>
        <v>-206.09616748051536</v>
      </c>
      <c r="K57" s="123">
        <f t="shared" si="25"/>
        <v>-15721.221809066481</v>
      </c>
      <c r="L57" s="123">
        <f t="shared" si="25"/>
        <v>-9106.0461799772274</v>
      </c>
      <c r="M57" s="123">
        <f t="shared" si="25"/>
        <v>-42617.536575685917</v>
      </c>
      <c r="N57" s="123">
        <f t="shared" si="25"/>
        <v>-3978.1402655371235</v>
      </c>
      <c r="O57" s="123">
        <f t="shared" si="25"/>
        <v>-2735.6733062014027</v>
      </c>
      <c r="P57" s="142">
        <f t="shared" si="15"/>
        <v>-140016.40000000005</v>
      </c>
      <c r="Q57" s="99">
        <v>7</v>
      </c>
      <c r="S57" s="115">
        <v>583</v>
      </c>
      <c r="T57" s="107" t="str">
        <f t="shared" si="21"/>
        <v>Overhead Line Exp.</v>
      </c>
      <c r="U57" s="157">
        <f t="shared" si="22"/>
        <v>0</v>
      </c>
      <c r="V57" s="157">
        <f t="shared" si="19"/>
        <v>1023093.761494508</v>
      </c>
      <c r="W57" s="157">
        <f t="shared" si="19"/>
        <v>0</v>
      </c>
      <c r="X57" s="157">
        <f t="shared" si="19"/>
        <v>247480.48901325854</v>
      </c>
      <c r="Y57" s="157" t="str">
        <f t="shared" si="19"/>
        <v xml:space="preserve"> </v>
      </c>
      <c r="Z57" s="157">
        <f t="shared" si="19"/>
        <v>0</v>
      </c>
      <c r="AA57" s="157">
        <f t="shared" si="19"/>
        <v>0</v>
      </c>
      <c r="AB57" s="157">
        <f t="shared" si="19"/>
        <v>0</v>
      </c>
      <c r="AC57" s="124">
        <f t="shared" si="23"/>
        <v>1270574.2505077666</v>
      </c>
    </row>
    <row r="58" spans="1:31">
      <c r="A58" s="603">
        <f>('1TestYr'!B62)</f>
        <v>930</v>
      </c>
      <c r="B58" s="107" t="str">
        <f>'1TestYr_adj'!C62</f>
        <v>Misc General Exp</v>
      </c>
      <c r="C58" s="122">
        <v>21502.5</v>
      </c>
      <c r="D58" s="123">
        <f t="shared" si="12"/>
        <v>452.76670646697943</v>
      </c>
      <c r="E58" s="123">
        <f>'1TestYr_adj'!S62</f>
        <v>818242.08406012109</v>
      </c>
      <c r="F58" s="123"/>
      <c r="G58" s="123"/>
      <c r="H58" s="123">
        <f>($E$58*U91)</f>
        <v>3854.3824244244151</v>
      </c>
      <c r="I58" s="123">
        <f t="shared" ref="I58:O58" si="26">($E$58*V91)</f>
        <v>379807.61806978274</v>
      </c>
      <c r="J58" s="123">
        <f t="shared" si="26"/>
        <v>1204.4057524408615</v>
      </c>
      <c r="K58" s="123">
        <f t="shared" si="26"/>
        <v>91873.275537879745</v>
      </c>
      <c r="L58" s="123">
        <f t="shared" si="26"/>
        <v>53214.839146359081</v>
      </c>
      <c r="M58" s="123">
        <f t="shared" si="26"/>
        <v>249052.69629270345</v>
      </c>
      <c r="N58" s="123">
        <f t="shared" si="26"/>
        <v>23247.860833135113</v>
      </c>
      <c r="O58" s="123">
        <f t="shared" si="26"/>
        <v>15987.006003395871</v>
      </c>
      <c r="P58" s="142">
        <f t="shared" si="15"/>
        <v>818242.08406012121</v>
      </c>
      <c r="Q58" s="99">
        <v>7</v>
      </c>
      <c r="S58" s="115">
        <v>584</v>
      </c>
      <c r="T58" s="107" t="str">
        <f t="shared" si="21"/>
        <v>Underground Line Exp</v>
      </c>
      <c r="U58" s="157">
        <f t="shared" si="22"/>
        <v>0</v>
      </c>
      <c r="V58" s="157">
        <f t="shared" si="19"/>
        <v>97824.903950368302</v>
      </c>
      <c r="W58" s="157">
        <f t="shared" si="19"/>
        <v>0</v>
      </c>
      <c r="X58" s="157">
        <f t="shared" si="19"/>
        <v>23663.280901984224</v>
      </c>
      <c r="Y58" s="157" t="str">
        <f t="shared" si="19"/>
        <v xml:space="preserve"> </v>
      </c>
      <c r="Z58" s="157">
        <f t="shared" si="19"/>
        <v>0</v>
      </c>
      <c r="AA58" s="157">
        <f t="shared" si="19"/>
        <v>0</v>
      </c>
      <c r="AB58" s="157">
        <f t="shared" si="19"/>
        <v>0</v>
      </c>
      <c r="AC58" s="124">
        <f t="shared" si="23"/>
        <v>121488.18485235253</v>
      </c>
    </row>
    <row r="59" spans="1:31">
      <c r="A59" s="603">
        <f>('1TestYr'!B63)</f>
        <v>931</v>
      </c>
      <c r="B59" s="107" t="str">
        <f>'1TestYr_adj'!C63</f>
        <v>Rents</v>
      </c>
      <c r="C59" s="127">
        <v>30085.05</v>
      </c>
      <c r="D59" s="127">
        <f t="shared" si="12"/>
        <v>633.48489721634223</v>
      </c>
      <c r="E59" s="123">
        <f>'1TestYr_adj'!S63</f>
        <v>0</v>
      </c>
      <c r="F59" s="123"/>
      <c r="G59" s="123"/>
      <c r="H59" s="123">
        <f t="shared" ref="H59:O59" si="27">($E$59*U91)</f>
        <v>0</v>
      </c>
      <c r="I59" s="123">
        <f t="shared" si="27"/>
        <v>0</v>
      </c>
      <c r="J59" s="123">
        <f t="shared" si="27"/>
        <v>0</v>
      </c>
      <c r="K59" s="123">
        <f t="shared" si="27"/>
        <v>0</v>
      </c>
      <c r="L59" s="123">
        <f t="shared" si="27"/>
        <v>0</v>
      </c>
      <c r="M59" s="123">
        <f t="shared" si="27"/>
        <v>0</v>
      </c>
      <c r="N59" s="123">
        <f t="shared" si="27"/>
        <v>0</v>
      </c>
      <c r="O59" s="123">
        <f t="shared" si="27"/>
        <v>0</v>
      </c>
      <c r="P59" s="142">
        <f t="shared" si="15"/>
        <v>0</v>
      </c>
      <c r="Q59" s="99">
        <v>7</v>
      </c>
      <c r="S59" s="115">
        <v>585</v>
      </c>
      <c r="T59" s="107" t="str">
        <f t="shared" si="21"/>
        <v>Street Lights</v>
      </c>
      <c r="U59" s="157">
        <f t="shared" si="22"/>
        <v>0</v>
      </c>
      <c r="V59" s="157">
        <f t="shared" si="19"/>
        <v>0</v>
      </c>
      <c r="W59" s="157">
        <f t="shared" si="19"/>
        <v>0</v>
      </c>
      <c r="X59" s="157">
        <f t="shared" si="19"/>
        <v>0</v>
      </c>
      <c r="Y59" s="157">
        <f t="shared" si="19"/>
        <v>0</v>
      </c>
      <c r="Z59" s="157">
        <f t="shared" si="19"/>
        <v>0</v>
      </c>
      <c r="AA59" s="157" t="str">
        <f t="shared" si="19"/>
        <v xml:space="preserve"> </v>
      </c>
      <c r="AB59" s="157">
        <f t="shared" si="19"/>
        <v>26295.741919894943</v>
      </c>
      <c r="AC59" s="124">
        <f t="shared" si="23"/>
        <v>26295.741919894943</v>
      </c>
    </row>
    <row r="60" spans="1:31">
      <c r="A60" s="603">
        <f>('1TestYr'!B64)</f>
        <v>935</v>
      </c>
      <c r="B60" s="107" t="str">
        <f>'1TestYr_adj'!C64</f>
        <v>Maintenance of Gen. Plant</v>
      </c>
      <c r="C60" s="143">
        <f>SUM(C49:C59)</f>
        <v>1152947.3899999999</v>
      </c>
      <c r="D60" s="143">
        <f>SUM(D49:D59)</f>
        <v>24277</v>
      </c>
      <c r="E60" s="123">
        <f>'1TestYr_adj'!S64</f>
        <v>418973.05744379258</v>
      </c>
      <c r="F60" s="123"/>
      <c r="G60" s="127"/>
      <c r="H60" s="123">
        <f>($E$60*'2.22Rate Base'!G22)</f>
        <v>1973.5997700163025</v>
      </c>
      <c r="I60" s="123">
        <f>($E$60*'2.22Rate Base'!H22)</f>
        <v>194476.86947796852</v>
      </c>
      <c r="J60" s="123">
        <f>($E$60*'2.22Rate Base'!I22)</f>
        <v>616.7044818804045</v>
      </c>
      <c r="K60" s="123">
        <f>($E$60*'2.22Rate Base'!J22)</f>
        <v>47042.834754333177</v>
      </c>
      <c r="L60" s="123">
        <f>($E$60*'2.22Rate Base'!K22)</f>
        <v>27248.150996950553</v>
      </c>
      <c r="M60" s="123">
        <f>($E$60*'2.22Rate Base'!L22)</f>
        <v>127525.05849198942</v>
      </c>
      <c r="N60" s="123">
        <f>($E$60*'2.22Rate Base'!M22)</f>
        <v>11903.845478046496</v>
      </c>
      <c r="O60" s="123">
        <f>($E$60*'2.22Rate Base'!N22)</f>
        <v>8185.9939926077968</v>
      </c>
      <c r="P60" s="142">
        <f>SUM(H60:O60)</f>
        <v>418973.05744379276</v>
      </c>
      <c r="Q60" s="353">
        <v>4</v>
      </c>
      <c r="S60" s="115">
        <v>586</v>
      </c>
      <c r="T60" s="107" t="str">
        <f t="shared" si="21"/>
        <v>Meter Expense</v>
      </c>
      <c r="U60" s="157">
        <f t="shared" si="22"/>
        <v>0</v>
      </c>
      <c r="V60" s="157">
        <f t="shared" si="19"/>
        <v>0</v>
      </c>
      <c r="W60" s="157">
        <f t="shared" si="19"/>
        <v>0</v>
      </c>
      <c r="X60" s="157" t="str">
        <f t="shared" si="19"/>
        <v xml:space="preserve"> </v>
      </c>
      <c r="Y60" s="157">
        <f t="shared" si="19"/>
        <v>521807.12498296413</v>
      </c>
      <c r="Z60" s="157">
        <f t="shared" si="19"/>
        <v>0</v>
      </c>
      <c r="AA60" s="157">
        <f t="shared" si="19"/>
        <v>0</v>
      </c>
      <c r="AB60" s="157">
        <f t="shared" si="19"/>
        <v>0</v>
      </c>
      <c r="AC60" s="124">
        <f t="shared" si="23"/>
        <v>521807.12498296413</v>
      </c>
    </row>
    <row r="61" spans="1:31">
      <c r="A61" s="603"/>
      <c r="B61" s="107" t="str">
        <f>'1TestYr_adj'!C65</f>
        <v>Total Admin &amp; General</v>
      </c>
      <c r="C61" s="122"/>
      <c r="D61" s="123"/>
      <c r="E61" s="134">
        <f>SUM(E50:E60)</f>
        <v>4404390.3632591991</v>
      </c>
      <c r="F61" s="123"/>
      <c r="G61" s="129">
        <f>SUM(G50:G60)</f>
        <v>0</v>
      </c>
      <c r="H61" s="129">
        <f>SUM(H50:H60)</f>
        <v>20747.166562509858</v>
      </c>
      <c r="I61" s="129">
        <f t="shared" ref="I61:O61" si="28">SUM(I50:I60)</f>
        <v>2044408.4281493269</v>
      </c>
      <c r="J61" s="129">
        <f t="shared" si="28"/>
        <v>6483.0118040160714</v>
      </c>
      <c r="K61" s="129">
        <f t="shared" si="28"/>
        <v>494530.62523042131</v>
      </c>
      <c r="L61" s="129">
        <f t="shared" si="28"/>
        <v>286442.03137978807</v>
      </c>
      <c r="M61" s="129">
        <f t="shared" si="28"/>
        <v>1340587.7268648352</v>
      </c>
      <c r="N61" s="129">
        <f t="shared" si="28"/>
        <v>125137.35997515361</v>
      </c>
      <c r="O61" s="129">
        <f t="shared" si="28"/>
        <v>86054.013293149168</v>
      </c>
      <c r="P61" s="129">
        <f>SUM(P50:P60)</f>
        <v>4404390.3632592009</v>
      </c>
      <c r="S61" s="115">
        <v>587</v>
      </c>
      <c r="T61" s="107" t="str">
        <f t="shared" si="21"/>
        <v>Consumer Installations</v>
      </c>
      <c r="U61" s="157" t="str">
        <f t="shared" si="22"/>
        <v xml:space="preserve"> </v>
      </c>
      <c r="V61" s="157" t="str">
        <f t="shared" si="19"/>
        <v xml:space="preserve"> </v>
      </c>
      <c r="W61" s="157">
        <f t="shared" si="19"/>
        <v>0</v>
      </c>
      <c r="X61" s="157" t="str">
        <f t="shared" si="19"/>
        <v xml:space="preserve"> </v>
      </c>
      <c r="Y61" s="157" t="str">
        <f t="shared" si="19"/>
        <v xml:space="preserve"> </v>
      </c>
      <c r="Z61" s="157">
        <f t="shared" si="19"/>
        <v>0</v>
      </c>
      <c r="AA61" s="157">
        <f t="shared" si="19"/>
        <v>308301.73892502731</v>
      </c>
      <c r="AB61" s="157">
        <f t="shared" si="19"/>
        <v>0</v>
      </c>
      <c r="AC61" s="124">
        <f t="shared" si="23"/>
        <v>308301.73892502731</v>
      </c>
    </row>
    <row r="62" spans="1:31">
      <c r="A62" s="603"/>
      <c r="B62" s="109" t="str">
        <f>('1TestYr'!C66)</f>
        <v xml:space="preserve"> </v>
      </c>
      <c r="C62" s="122">
        <v>1202310.72</v>
      </c>
      <c r="D62" s="123">
        <f>(1708797-1202311)</f>
        <v>506486</v>
      </c>
      <c r="E62" s="123"/>
      <c r="F62" s="123"/>
      <c r="G62" s="123"/>
      <c r="H62" s="123"/>
      <c r="I62" s="123" t="s">
        <v>1</v>
      </c>
      <c r="J62" s="123"/>
      <c r="K62" s="123"/>
      <c r="L62" s="123"/>
      <c r="M62" s="123"/>
      <c r="S62" s="115">
        <v>588</v>
      </c>
      <c r="T62" s="107" t="str">
        <f t="shared" si="21"/>
        <v>Misc. Distribution Exp</v>
      </c>
      <c r="U62" s="157">
        <f t="shared" si="22"/>
        <v>4436.1519459797928</v>
      </c>
      <c r="V62" s="157">
        <f t="shared" si="19"/>
        <v>97554.192601435498</v>
      </c>
      <c r="W62" s="157">
        <f t="shared" si="19"/>
        <v>0</v>
      </c>
      <c r="X62" s="157">
        <f t="shared" si="19"/>
        <v>23597.797385676335</v>
      </c>
      <c r="Y62" s="157">
        <f t="shared" si="19"/>
        <v>45413.172552699136</v>
      </c>
      <c r="Z62" s="157">
        <f t="shared" si="19"/>
        <v>0</v>
      </c>
      <c r="AA62" s="157">
        <f t="shared" si="19"/>
        <v>26831.676682369114</v>
      </c>
      <c r="AB62" s="157">
        <f t="shared" si="19"/>
        <v>2288.5334600374044</v>
      </c>
      <c r="AC62" s="124">
        <f t="shared" si="23"/>
        <v>200121.52462819728</v>
      </c>
    </row>
    <row r="63" spans="1:31">
      <c r="A63" s="604">
        <f>'1TestYr_adj'!B67</f>
        <v>403.6</v>
      </c>
      <c r="B63" s="107" t="str">
        <f>'1TestYr_adj'!C67</f>
        <v>Deprec. Distribution Plant</v>
      </c>
      <c r="C63" s="127">
        <v>64164.72</v>
      </c>
      <c r="D63" s="127">
        <f>(189533-133585)-(237146-174354)</f>
        <v>-6844</v>
      </c>
      <c r="E63" s="123">
        <f>'1TestYr_adj'!S67</f>
        <v>7891325.3269470818</v>
      </c>
      <c r="F63" s="123"/>
      <c r="G63" s="123"/>
      <c r="H63" s="123">
        <f>($E$63*'2.22Rate Base'!G19)</f>
        <v>73622.229902866471</v>
      </c>
      <c r="I63" s="123">
        <f>($E$63*'2.22Rate Base'!H19)</f>
        <v>4776054.1731149042</v>
      </c>
      <c r="J63" s="123">
        <f>($E$63*'2.22Rate Base'!I19)</f>
        <v>1270681.1450918671</v>
      </c>
      <c r="K63" s="123">
        <f>($E$63*'2.22Rate Base'!J19)</f>
        <v>1155299.9996693223</v>
      </c>
      <c r="L63" s="123">
        <f>($E$63*'2.22Rate Base'!K19)</f>
        <v>287690.44624881842</v>
      </c>
      <c r="M63" s="123">
        <f>($E$63*'2.22Rate Base'!L19)</f>
        <v>0</v>
      </c>
      <c r="N63" s="123">
        <f>($E$63*'2.22Rate Base'!M19)</f>
        <v>210962.56945364978</v>
      </c>
      <c r="O63" s="123">
        <f>($E$63*'2.22Rate Base'!N19)</f>
        <v>117014.76346565328</v>
      </c>
      <c r="P63" s="142">
        <f>SUM(H63:O63)</f>
        <v>7891325.3269470818</v>
      </c>
      <c r="Q63" s="352">
        <v>6</v>
      </c>
      <c r="S63" s="115">
        <v>589</v>
      </c>
      <c r="T63" s="107" t="str">
        <f t="shared" si="21"/>
        <v>Rents</v>
      </c>
      <c r="U63" s="157">
        <f t="shared" si="22"/>
        <v>0</v>
      </c>
      <c r="V63" s="157">
        <f t="shared" si="19"/>
        <v>0</v>
      </c>
      <c r="W63" s="157">
        <f t="shared" si="19"/>
        <v>0</v>
      </c>
      <c r="X63" s="157" t="str">
        <f t="shared" si="19"/>
        <v xml:space="preserve"> </v>
      </c>
      <c r="Y63" s="157" t="str">
        <f t="shared" si="19"/>
        <v xml:space="preserve"> </v>
      </c>
      <c r="Z63" s="157" t="str">
        <f t="shared" si="19"/>
        <v xml:space="preserve"> </v>
      </c>
      <c r="AA63" s="157" t="str">
        <f t="shared" si="19"/>
        <v xml:space="preserve"> </v>
      </c>
      <c r="AB63" s="157">
        <f t="shared" si="19"/>
        <v>0</v>
      </c>
      <c r="AC63" s="124">
        <f t="shared" si="23"/>
        <v>0</v>
      </c>
      <c r="AE63" s="124"/>
    </row>
    <row r="64" spans="1:31" ht="13.5" thickBot="1">
      <c r="A64" s="603">
        <f>'1TestYr'!B68</f>
        <v>403.7</v>
      </c>
      <c r="B64" s="107" t="str">
        <f>'1TestYr_adj'!C68</f>
        <v>Deprec. General Plant</v>
      </c>
      <c r="C64" s="143">
        <f>SUM(C62:C63)</f>
        <v>1266475.44</v>
      </c>
      <c r="D64" s="143">
        <f>SUM(D62:D63)</f>
        <v>499642</v>
      </c>
      <c r="E64" s="123">
        <f>'1TestYr_adj'!S68</f>
        <v>492968.54695291788</v>
      </c>
      <c r="F64" s="122"/>
      <c r="G64" s="122"/>
      <c r="H64" s="123">
        <f>($E$64*'2.22Rate Base'!G22)</f>
        <v>2322.1603241685107</v>
      </c>
      <c r="I64" s="123">
        <f>($E$64*'2.22Rate Base'!H22)</f>
        <v>228823.73474663822</v>
      </c>
      <c r="J64" s="123">
        <f>($E$64*'2.22Rate Base'!I22)</f>
        <v>725.62162871945623</v>
      </c>
      <c r="K64" s="123">
        <f>($E$64*'2.22Rate Base'!J22)</f>
        <v>55351.14366274255</v>
      </c>
      <c r="L64" s="123">
        <f>($E$64*'2.22Rate Base'!K22)</f>
        <v>32060.489727128701</v>
      </c>
      <c r="M64" s="123">
        <f>($E$64*'2.22Rate Base'!L22)</f>
        <v>150047.45930068704</v>
      </c>
      <c r="N64" s="123">
        <f>($E$64*'2.22Rate Base'!M22)</f>
        <v>14006.202318276506</v>
      </c>
      <c r="O64" s="123">
        <f>($E$64*'2.22Rate Base'!N22)</f>
        <v>9631.7352445569977</v>
      </c>
      <c r="P64" s="142">
        <f>SUM(G64:O64)</f>
        <v>492968.546952918</v>
      </c>
      <c r="Q64" s="352">
        <v>4</v>
      </c>
      <c r="S64" s="115" t="s">
        <v>1</v>
      </c>
      <c r="T64" s="109" t="s">
        <v>1</v>
      </c>
      <c r="U64" s="158">
        <f t="shared" ref="U64:AC64" si="29">SUM(U54:U63)</f>
        <v>60656.899156184576</v>
      </c>
      <c r="V64" s="158">
        <f t="shared" si="29"/>
        <v>1333889.1216859224</v>
      </c>
      <c r="W64" s="158">
        <f t="shared" si="29"/>
        <v>0</v>
      </c>
      <c r="X64" s="158">
        <f t="shared" si="29"/>
        <v>322660.09680489096</v>
      </c>
      <c r="Y64" s="158">
        <f t="shared" si="29"/>
        <v>620948.57467355754</v>
      </c>
      <c r="Z64" s="158">
        <f t="shared" si="29"/>
        <v>0</v>
      </c>
      <c r="AA64" s="158">
        <f t="shared" si="29"/>
        <v>366877.94433838956</v>
      </c>
      <c r="AB64" s="158">
        <f t="shared" si="29"/>
        <v>31291.83693242128</v>
      </c>
      <c r="AC64" s="158">
        <f t="shared" si="29"/>
        <v>2736324.4735913663</v>
      </c>
      <c r="AE64" s="124"/>
    </row>
    <row r="65" spans="1:31" ht="13.5" thickTop="1">
      <c r="A65" s="603">
        <f>'1TestYr'!B69</f>
        <v>407</v>
      </c>
      <c r="B65" s="107" t="str">
        <f>'1TestYr_adj'!C69</f>
        <v>Amort of Prop Losses and Undercovery</v>
      </c>
      <c r="C65" s="143"/>
      <c r="D65" s="143"/>
      <c r="E65" s="123">
        <f>'1TestYr_adj'!S69</f>
        <v>0</v>
      </c>
      <c r="F65" s="127"/>
      <c r="G65" s="127"/>
      <c r="H65" s="123">
        <f>($E$65*'2.22Rate Base'!G32)</f>
        <v>0</v>
      </c>
      <c r="I65" s="123">
        <f>($E$65*'2.22Rate Base'!H32)</f>
        <v>0</v>
      </c>
      <c r="J65" s="123">
        <f>($E$65*'2.22Rate Base'!I32)</f>
        <v>0</v>
      </c>
      <c r="K65" s="123">
        <f>($E$65*'2.22Rate Base'!J32)</f>
        <v>0</v>
      </c>
      <c r="L65" s="123">
        <f>($E$65*'2.22Rate Base'!K32)</f>
        <v>0</v>
      </c>
      <c r="M65" s="123">
        <f>($E$65*'2.22Rate Base'!L32)</f>
        <v>0</v>
      </c>
      <c r="N65" s="123">
        <f>($E$65*'2.22Rate Base'!M32)</f>
        <v>0</v>
      </c>
      <c r="O65" s="123">
        <f>($E$65*'2.22Rate Base'!N32)</f>
        <v>0</v>
      </c>
      <c r="P65" s="142">
        <f>SUM(G65:O65)</f>
        <v>0</v>
      </c>
      <c r="S65" s="115"/>
      <c r="T65" s="109"/>
      <c r="U65" s="124" t="s">
        <v>1</v>
      </c>
      <c r="V65" s="124" t="s">
        <v>1</v>
      </c>
      <c r="W65" s="124" t="s">
        <v>1</v>
      </c>
      <c r="X65" s="124" t="s">
        <v>1</v>
      </c>
      <c r="Y65" s="124" t="s">
        <v>1</v>
      </c>
      <c r="Z65" s="124" t="s">
        <v>1</v>
      </c>
      <c r="AA65" s="124" t="s">
        <v>1</v>
      </c>
      <c r="AC65" s="124" t="s">
        <v>1</v>
      </c>
    </row>
    <row r="66" spans="1:31">
      <c r="A66" s="603"/>
      <c r="B66" s="107" t="str">
        <f>'1TestYr_adj'!C70</f>
        <v>Total Depreciation</v>
      </c>
      <c r="C66" s="122"/>
      <c r="D66" s="123"/>
      <c r="E66" s="134">
        <f>SUM(E63:E65)</f>
        <v>8384293.8739</v>
      </c>
      <c r="F66" s="134"/>
      <c r="G66" s="134"/>
      <c r="H66" s="129">
        <f>SUM(H63:H65)</f>
        <v>75944.390227034979</v>
      </c>
      <c r="I66" s="129">
        <f t="shared" ref="I66:O66" si="30">SUM(I63:I65)</f>
        <v>5004877.907861542</v>
      </c>
      <c r="J66" s="129">
        <f t="shared" si="30"/>
        <v>1271406.7667205865</v>
      </c>
      <c r="K66" s="129">
        <f t="shared" si="30"/>
        <v>1210651.1433320649</v>
      </c>
      <c r="L66" s="129">
        <f t="shared" si="30"/>
        <v>319750.93597594713</v>
      </c>
      <c r="M66" s="129">
        <f t="shared" si="30"/>
        <v>150047.45930068704</v>
      </c>
      <c r="N66" s="129">
        <f t="shared" si="30"/>
        <v>224968.77177192629</v>
      </c>
      <c r="O66" s="129">
        <f t="shared" si="30"/>
        <v>126646.49871021028</v>
      </c>
      <c r="P66" s="129">
        <f>SUM(P63:P65)</f>
        <v>8384293.8739</v>
      </c>
      <c r="Q66" s="99" t="s">
        <v>1</v>
      </c>
      <c r="S66" s="115">
        <f t="shared" ref="S66:S73" si="31">(A26)</f>
        <v>590</v>
      </c>
      <c r="T66" s="115" t="str">
        <f t="shared" ref="T66:T73" si="32">(B26)</f>
        <v>Maint Supv &amp; Eng</v>
      </c>
      <c r="U66" s="157">
        <f t="shared" ref="U66:U73" si="33">(H26)</f>
        <v>8.3716128542309569</v>
      </c>
      <c r="V66" s="157">
        <f t="shared" ref="V66:V73" si="34">(I26)</f>
        <v>229905.97241580652</v>
      </c>
      <c r="W66" s="157">
        <f t="shared" ref="W66:W73" si="35">(J26)</f>
        <v>937.74343151518508</v>
      </c>
      <c r="X66" s="157">
        <f t="shared" ref="X66:X73" si="36">(K26)</f>
        <v>55612.930722418394</v>
      </c>
      <c r="Y66" s="157">
        <f t="shared" ref="Y66:Y73" si="37">(L26)</f>
        <v>10797.039164801889</v>
      </c>
      <c r="Z66" s="157">
        <f t="shared" ref="Z66:Z73" si="38">(M26)</f>
        <v>0</v>
      </c>
      <c r="AA66" s="157">
        <f t="shared" ref="AA66:AA73" si="39">(N26)</f>
        <v>0</v>
      </c>
      <c r="AB66" s="157">
        <f t="shared" ref="AB66:AB73" si="40">(O26)</f>
        <v>10903.546575382314</v>
      </c>
      <c r="AC66" s="124">
        <f t="shared" ref="AC66:AC73" si="41">SUM(U66:AB66)</f>
        <v>308165.60392277851</v>
      </c>
    </row>
    <row r="67" spans="1:31">
      <c r="A67" s="603"/>
      <c r="B67" s="109"/>
      <c r="C67" s="122">
        <v>21911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S67" s="115">
        <f t="shared" si="31"/>
        <v>592</v>
      </c>
      <c r="T67" s="115" t="str">
        <f t="shared" si="32"/>
        <v>Maint of Station Equip</v>
      </c>
      <c r="U67" s="157">
        <f t="shared" si="33"/>
        <v>151.6790993150106</v>
      </c>
      <c r="V67" s="157">
        <f t="shared" si="34"/>
        <v>0</v>
      </c>
      <c r="W67" s="157">
        <f t="shared" si="35"/>
        <v>0</v>
      </c>
      <c r="X67" s="157">
        <f t="shared" si="36"/>
        <v>0</v>
      </c>
      <c r="Y67" s="157">
        <f t="shared" si="37"/>
        <v>0</v>
      </c>
      <c r="Z67" s="157">
        <f t="shared" si="38"/>
        <v>0</v>
      </c>
      <c r="AA67" s="157" t="str">
        <f t="shared" si="39"/>
        <v xml:space="preserve"> </v>
      </c>
      <c r="AB67" s="157">
        <f t="shared" si="40"/>
        <v>0</v>
      </c>
      <c r="AC67" s="124">
        <f t="shared" si="41"/>
        <v>151.6790993150106</v>
      </c>
    </row>
    <row r="68" spans="1:31">
      <c r="A68" s="603">
        <f>'1TestYr'!B72</f>
        <v>408.71</v>
      </c>
      <c r="B68" s="107" t="str">
        <f>'1TestYr_adj'!C72</f>
        <v>PSC Assessment &amp; Sales Taxes</v>
      </c>
      <c r="C68" s="122"/>
      <c r="D68" s="123"/>
      <c r="E68" s="123">
        <f>'1TestYr_adj'!S72</f>
        <v>160.49</v>
      </c>
      <c r="F68" s="123"/>
      <c r="G68" s="123"/>
      <c r="H68" s="123"/>
      <c r="I68" s="123"/>
      <c r="J68" s="123"/>
      <c r="K68" s="123"/>
      <c r="L68" s="123"/>
      <c r="M68" s="123"/>
      <c r="S68" s="115">
        <f t="shared" si="31"/>
        <v>593</v>
      </c>
      <c r="T68" s="115" t="str">
        <f t="shared" si="32"/>
        <v>Maint. Overhead Lines</v>
      </c>
      <c r="U68" s="157">
        <f t="shared" si="33"/>
        <v>0</v>
      </c>
      <c r="V68" s="157">
        <f t="shared" si="34"/>
        <v>3919227.8263695911</v>
      </c>
      <c r="W68" s="157">
        <f t="shared" si="35"/>
        <v>0</v>
      </c>
      <c r="X68" s="157">
        <f t="shared" si="36"/>
        <v>948038.64076686907</v>
      </c>
      <c r="Y68" s="157">
        <f t="shared" si="37"/>
        <v>0</v>
      </c>
      <c r="Z68" s="157">
        <f t="shared" si="38"/>
        <v>0</v>
      </c>
      <c r="AA68" s="157">
        <f t="shared" si="39"/>
        <v>0</v>
      </c>
      <c r="AB68" s="157">
        <f t="shared" si="40"/>
        <v>0</v>
      </c>
      <c r="AC68" s="124">
        <f t="shared" si="41"/>
        <v>4867266.4671364604</v>
      </c>
    </row>
    <row r="69" spans="1:31">
      <c r="A69" s="603">
        <f>'1TestYr'!B73</f>
        <v>408.5</v>
      </c>
      <c r="B69" s="107" t="str">
        <f>'1TestYr_adj'!C73</f>
        <v>Miscellaneous Amortization</v>
      </c>
      <c r="C69" s="127">
        <f>(6790.94+879.77)</f>
        <v>7670.7099999999991</v>
      </c>
      <c r="D69" s="127">
        <v>-7471</v>
      </c>
      <c r="E69" s="123">
        <f>'1TestYr_adj'!S73</f>
        <v>0</v>
      </c>
      <c r="F69" s="123"/>
      <c r="G69" s="123"/>
      <c r="H69" s="123"/>
      <c r="I69" s="123"/>
      <c r="J69" s="123"/>
      <c r="K69" s="123"/>
      <c r="L69" s="123"/>
      <c r="M69" s="123"/>
      <c r="S69" s="115">
        <f t="shared" si="31"/>
        <v>594</v>
      </c>
      <c r="T69" s="115" t="str">
        <f t="shared" si="32"/>
        <v>Maint of Underground Lines</v>
      </c>
      <c r="U69" s="157">
        <f t="shared" si="33"/>
        <v>0</v>
      </c>
      <c r="V69" s="157">
        <f t="shared" si="34"/>
        <v>246269.48345251378</v>
      </c>
      <c r="W69" s="157">
        <f t="shared" si="35"/>
        <v>0</v>
      </c>
      <c r="X69" s="157">
        <f t="shared" si="36"/>
        <v>59571.169806412559</v>
      </c>
      <c r="Y69" s="157">
        <f t="shared" si="37"/>
        <v>0</v>
      </c>
      <c r="Z69" s="157">
        <f t="shared" si="38"/>
        <v>0</v>
      </c>
      <c r="AA69" s="157">
        <f t="shared" si="39"/>
        <v>0</v>
      </c>
      <c r="AB69" s="157">
        <f t="shared" si="40"/>
        <v>0</v>
      </c>
      <c r="AC69" s="124">
        <f t="shared" si="41"/>
        <v>305840.65325892635</v>
      </c>
    </row>
    <row r="70" spans="1:31">
      <c r="A70" s="603" t="str">
        <f>'1TestYr'!B74</f>
        <v>425-426</v>
      </c>
      <c r="B70" s="107" t="str">
        <f>'1TestYr_adj'!C74</f>
        <v>Contributions</v>
      </c>
      <c r="C70" s="143">
        <f>SUM(C67:C69)</f>
        <v>29581.71</v>
      </c>
      <c r="D70" s="143">
        <f>SUM(D67:D69)</f>
        <v>-7471</v>
      </c>
      <c r="E70" s="123">
        <f>'1TestYr_adj'!S74</f>
        <v>20110.760000000002</v>
      </c>
      <c r="F70" s="123"/>
      <c r="G70" s="127"/>
      <c r="H70" s="127"/>
      <c r="I70" s="127"/>
      <c r="J70" s="127"/>
      <c r="K70" s="127"/>
      <c r="L70" s="127"/>
      <c r="M70" s="127"/>
      <c r="N70" s="130"/>
      <c r="O70" s="130"/>
      <c r="P70" s="130"/>
      <c r="Q70" s="109"/>
      <c r="S70" s="115">
        <f t="shared" si="31"/>
        <v>595</v>
      </c>
      <c r="T70" s="115" t="str">
        <f t="shared" si="32"/>
        <v>Maint Line Transformers</v>
      </c>
      <c r="U70" s="157">
        <f t="shared" si="33"/>
        <v>0</v>
      </c>
      <c r="V70" s="157">
        <f t="shared" si="34"/>
        <v>0</v>
      </c>
      <c r="W70" s="157">
        <f t="shared" si="35"/>
        <v>16990.28389838948</v>
      </c>
      <c r="X70" s="157">
        <f t="shared" si="36"/>
        <v>0</v>
      </c>
      <c r="Y70" s="157">
        <f t="shared" si="37"/>
        <v>0</v>
      </c>
      <c r="Z70" s="157">
        <f t="shared" si="38"/>
        <v>0</v>
      </c>
      <c r="AA70" s="157">
        <f t="shared" si="39"/>
        <v>0</v>
      </c>
      <c r="AB70" s="157">
        <f t="shared" si="40"/>
        <v>0</v>
      </c>
      <c r="AC70" s="124">
        <f t="shared" si="41"/>
        <v>16990.28389838948</v>
      </c>
      <c r="AD70" s="102"/>
    </row>
    <row r="71" spans="1:31">
      <c r="A71" s="603"/>
      <c r="B71" s="107" t="str">
        <f>'1TestYr_adj'!C75</f>
        <v>Total Miscellaneous</v>
      </c>
      <c r="C71" s="122"/>
      <c r="D71" s="123"/>
      <c r="E71" s="134">
        <f>SUM(E68:E70)</f>
        <v>20271.250000000004</v>
      </c>
      <c r="F71" s="123"/>
      <c r="G71" s="134"/>
      <c r="H71" s="134">
        <f>($E$71*'2.22Rate Base'!G44)</f>
        <v>185.76590323743045</v>
      </c>
      <c r="I71" s="134">
        <f>($E$71*'2.22Rate Base'!H44)</f>
        <v>12166.281069446244</v>
      </c>
      <c r="J71" s="134">
        <f>($E$71*'2.22Rate Base'!I44)</f>
        <v>3148.2371854640292</v>
      </c>
      <c r="K71" s="134">
        <f>($E$71*'2.22Rate Base'!J44)</f>
        <v>2942.9533263315366</v>
      </c>
      <c r="L71" s="134">
        <f>($E$71*'2.22Rate Base'!K44)</f>
        <v>759.77829072616646</v>
      </c>
      <c r="M71" s="134">
        <f>($E$71*'2.22Rate Base'!L44)</f>
        <v>221.08520243074904</v>
      </c>
      <c r="N71" s="134">
        <f>($E$71*'2.22Rate Base'!M44)</f>
        <v>543.14018655425411</v>
      </c>
      <c r="O71" s="134">
        <f>($E$71*'2.22Rate Base'!N44)</f>
        <v>304.00883580959726</v>
      </c>
      <c r="P71" s="136">
        <f>SUM(G71:O71)</f>
        <v>20271.250000000007</v>
      </c>
      <c r="Q71" s="99">
        <v>5</v>
      </c>
      <c r="S71" s="115">
        <f t="shared" si="31"/>
        <v>596</v>
      </c>
      <c r="T71" s="115" t="str">
        <f t="shared" si="32"/>
        <v>Maint of Street Lights</v>
      </c>
      <c r="U71" s="157">
        <f t="shared" si="33"/>
        <v>0</v>
      </c>
      <c r="V71" s="157">
        <f t="shared" si="34"/>
        <v>0</v>
      </c>
      <c r="W71" s="157">
        <f t="shared" si="35"/>
        <v>0</v>
      </c>
      <c r="X71" s="157">
        <f t="shared" si="36"/>
        <v>0</v>
      </c>
      <c r="Y71" s="157">
        <f t="shared" si="37"/>
        <v>0</v>
      </c>
      <c r="Z71" s="157">
        <f t="shared" si="38"/>
        <v>0</v>
      </c>
      <c r="AA71" s="157">
        <f t="shared" si="39"/>
        <v>0</v>
      </c>
      <c r="AB71" s="157">
        <f t="shared" si="40"/>
        <v>197553.34517857194</v>
      </c>
      <c r="AC71" s="124">
        <f>SUM(U71:AB71)</f>
        <v>197553.34517857194</v>
      </c>
      <c r="AD71" s="102"/>
    </row>
    <row r="72" spans="1:31">
      <c r="A72" s="603"/>
      <c r="B72" s="115"/>
      <c r="C72" s="122">
        <v>334909.24</v>
      </c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S72" s="115">
        <f t="shared" si="31"/>
        <v>597</v>
      </c>
      <c r="T72" s="115" t="str">
        <f t="shared" si="32"/>
        <v>Maintenance of Meters</v>
      </c>
      <c r="U72" s="157">
        <f t="shared" si="33"/>
        <v>0</v>
      </c>
      <c r="V72" s="157">
        <f t="shared" si="34"/>
        <v>0</v>
      </c>
      <c r="W72" s="157">
        <f t="shared" si="35"/>
        <v>0</v>
      </c>
      <c r="X72" s="157">
        <f t="shared" si="36"/>
        <v>0</v>
      </c>
      <c r="Y72" s="157">
        <f t="shared" si="37"/>
        <v>195623.61570009415</v>
      </c>
      <c r="Z72" s="157">
        <f t="shared" si="38"/>
        <v>0</v>
      </c>
      <c r="AA72" s="157">
        <f t="shared" si="39"/>
        <v>0</v>
      </c>
      <c r="AB72" s="157">
        <f t="shared" si="40"/>
        <v>0</v>
      </c>
      <c r="AC72" s="124">
        <f t="shared" si="41"/>
        <v>195623.61570009415</v>
      </c>
      <c r="AD72" s="102"/>
    </row>
    <row r="73" spans="1:31">
      <c r="A73" s="603">
        <f>'1TestYr'!B77</f>
        <v>427.1</v>
      </c>
      <c r="B73" s="107" t="str">
        <f>'1TestYr_adj'!C77</f>
        <v>Interest - RUS Constuc</v>
      </c>
      <c r="C73" s="123">
        <v>301500</v>
      </c>
      <c r="D73" s="123"/>
      <c r="E73" s="123">
        <f>'1TestYr_adj'!S77</f>
        <v>3128862.98</v>
      </c>
      <c r="F73" s="123"/>
      <c r="G73" s="123"/>
      <c r="H73" s="123"/>
      <c r="I73" s="123"/>
      <c r="J73" s="123"/>
      <c r="K73" s="123"/>
      <c r="L73" s="123"/>
      <c r="M73" s="123"/>
      <c r="S73" s="115">
        <f t="shared" si="31"/>
        <v>598</v>
      </c>
      <c r="T73" s="115" t="str">
        <f t="shared" si="32"/>
        <v>Maint Misc Distrib Plant</v>
      </c>
      <c r="U73" s="157">
        <f t="shared" si="33"/>
        <v>9.6315843083506234</v>
      </c>
      <c r="V73" s="157">
        <f t="shared" si="34"/>
        <v>264508.02191563969</v>
      </c>
      <c r="W73" s="157">
        <f t="shared" si="35"/>
        <v>1078.8787151899689</v>
      </c>
      <c r="X73" s="157">
        <f t="shared" si="36"/>
        <v>63982.967226766355</v>
      </c>
      <c r="Y73" s="157">
        <f t="shared" si="37"/>
        <v>12422.049945106555</v>
      </c>
      <c r="Z73" s="157">
        <f t="shared" si="38"/>
        <v>0</v>
      </c>
      <c r="AA73" s="157">
        <f t="shared" si="39"/>
        <v>0</v>
      </c>
      <c r="AB73" s="157">
        <f t="shared" si="40"/>
        <v>12544.587277199144</v>
      </c>
      <c r="AC73" s="124">
        <f t="shared" si="41"/>
        <v>354546.13666421006</v>
      </c>
      <c r="AD73" s="102"/>
    </row>
    <row r="74" spans="1:31" ht="13.5" thickBot="1">
      <c r="A74" s="603">
        <f>'1TestYr'!B78</f>
        <v>427.2</v>
      </c>
      <c r="B74" s="107" t="str">
        <f>'1TestYr_adj'!C78</f>
        <v>Interest - CFC</v>
      </c>
      <c r="C74" s="127">
        <v>372800</v>
      </c>
      <c r="D74" s="127"/>
      <c r="E74" s="123">
        <f>'1TestYr_adj'!S78</f>
        <v>655206.94999999995</v>
      </c>
      <c r="F74" s="123"/>
      <c r="G74" s="123"/>
      <c r="H74" s="123"/>
      <c r="I74" s="123"/>
      <c r="J74" s="123"/>
      <c r="K74" s="123"/>
      <c r="L74" s="123"/>
      <c r="M74" s="123"/>
      <c r="S74" s="115"/>
      <c r="T74" s="115" t="str">
        <f>(B34)</f>
        <v>Total Dist. Maint.</v>
      </c>
      <c r="U74" s="158">
        <f t="shared" ref="U74:AB74" si="42">SUM(U66:U73)</f>
        <v>169.68229647759219</v>
      </c>
      <c r="V74" s="158">
        <f t="shared" si="42"/>
        <v>4659911.3041535513</v>
      </c>
      <c r="W74" s="158">
        <f t="shared" si="42"/>
        <v>19006.906045094634</v>
      </c>
      <c r="X74" s="158">
        <f t="shared" si="42"/>
        <v>1127205.7085224662</v>
      </c>
      <c r="Y74" s="158">
        <f t="shared" si="42"/>
        <v>218842.70481000259</v>
      </c>
      <c r="Z74" s="158">
        <f t="shared" si="42"/>
        <v>0</v>
      </c>
      <c r="AA74" s="158">
        <f t="shared" si="42"/>
        <v>0</v>
      </c>
      <c r="AB74" s="158">
        <f t="shared" si="42"/>
        <v>221001.4790311534</v>
      </c>
      <c r="AC74" s="132">
        <f>SUM(U74:AB74)</f>
        <v>6246137.7848587455</v>
      </c>
      <c r="AD74" s="102"/>
      <c r="AE74" s="124"/>
    </row>
    <row r="75" spans="1:31" ht="13.5" thickTop="1">
      <c r="A75" s="603">
        <f>'1TestYr'!B79</f>
        <v>427.4</v>
      </c>
      <c r="B75" s="107" t="str">
        <f>'1TestYr_adj'!C79</f>
        <v>Interest - FFB</v>
      </c>
      <c r="C75" s="143">
        <f>SUM(C72:C74)</f>
        <v>1009209.24</v>
      </c>
      <c r="D75" s="123">
        <v>73120</v>
      </c>
      <c r="E75" s="123">
        <f>'1TestYr_adj'!S79</f>
        <v>917724.82000000007</v>
      </c>
      <c r="F75" s="123"/>
      <c r="G75" s="127"/>
      <c r="H75" s="127"/>
      <c r="I75" s="127"/>
      <c r="J75" s="127"/>
      <c r="K75" s="127"/>
      <c r="L75" s="127"/>
      <c r="M75" s="127"/>
      <c r="N75" s="130"/>
      <c r="O75" s="130"/>
      <c r="P75" s="130"/>
      <c r="Q75" s="109"/>
      <c r="S75" s="115"/>
      <c r="T75" s="115"/>
      <c r="U75" s="159"/>
      <c r="V75" s="159"/>
      <c r="W75" s="159"/>
      <c r="X75" s="159"/>
      <c r="Y75" s="159"/>
      <c r="Z75" s="159"/>
      <c r="AA75" s="159"/>
      <c r="AB75" s="159"/>
      <c r="AC75" s="142"/>
      <c r="AD75" s="102"/>
    </row>
    <row r="76" spans="1:31">
      <c r="A76" s="603"/>
      <c r="B76" s="107" t="str">
        <f>'1TestYr_adj'!C80</f>
        <v>Total Interest on LTD</v>
      </c>
      <c r="C76" s="122"/>
      <c r="D76" s="123"/>
      <c r="E76" s="134">
        <f>SUM(E73:E75)</f>
        <v>4701794.75</v>
      </c>
      <c r="F76" s="123"/>
      <c r="G76" s="134">
        <v>0</v>
      </c>
      <c r="H76" s="134">
        <f>($E$76*'2.22Rate Base'!G44)</f>
        <v>43087.286110662062</v>
      </c>
      <c r="I76" s="134">
        <f>($E$76*'2.22Rate Base'!H44)</f>
        <v>2821895.8603611877</v>
      </c>
      <c r="J76" s="134">
        <f>($E$76*'2.22Rate Base'!I44)</f>
        <v>730214.71642693703</v>
      </c>
      <c r="K76" s="134">
        <f>($E$76*'2.22Rate Base'!J44)</f>
        <v>682600.35761192103</v>
      </c>
      <c r="L76" s="134">
        <f>($E$76*'2.22Rate Base'!K44)</f>
        <v>176226.01361535487</v>
      </c>
      <c r="M76" s="134">
        <f>($E$76*'2.22Rate Base'!L44)</f>
        <v>51279.385538217073</v>
      </c>
      <c r="N76" s="134">
        <f>($E$76*'2.22Rate Base'!M44)</f>
        <v>125978.10582252264</v>
      </c>
      <c r="O76" s="134">
        <f>($E$76*'2.22Rate Base'!N44)</f>
        <v>70513.024513198543</v>
      </c>
      <c r="P76" s="136">
        <f>SUM(H76:O76)</f>
        <v>4701794.75</v>
      </c>
      <c r="Q76" s="99">
        <v>5</v>
      </c>
      <c r="S76" s="115">
        <v>901</v>
      </c>
      <c r="T76" s="107" t="s">
        <v>36</v>
      </c>
      <c r="U76" s="142" t="s">
        <v>1</v>
      </c>
      <c r="V76" s="142" t="s">
        <v>1</v>
      </c>
      <c r="W76" s="142" t="s">
        <v>1</v>
      </c>
      <c r="X76" s="142" t="s">
        <v>1</v>
      </c>
      <c r="Y76" s="142" t="s">
        <v>1</v>
      </c>
      <c r="Z76" s="124">
        <f>(M36)</f>
        <v>143333.65350265737</v>
      </c>
      <c r="AA76" s="142" t="s">
        <v>1</v>
      </c>
      <c r="AC76" s="124">
        <f>SUM(U76:AA76)</f>
        <v>143333.65350265737</v>
      </c>
      <c r="AD76" s="102"/>
    </row>
    <row r="77" spans="1:31">
      <c r="A77" s="603"/>
      <c r="B77" s="115"/>
      <c r="C77" s="122">
        <v>32877.120000000003</v>
      </c>
      <c r="D77" s="123"/>
      <c r="E77" s="123" t="str">
        <f>('1TestYr'!J81)</f>
        <v xml:space="preserve"> </v>
      </c>
      <c r="F77" s="123"/>
      <c r="G77" s="123"/>
      <c r="H77" s="123"/>
      <c r="I77" s="123"/>
      <c r="J77" s="123"/>
      <c r="K77" s="123"/>
      <c r="L77" s="123"/>
      <c r="M77" s="123"/>
      <c r="P77" s="124"/>
      <c r="S77" s="115">
        <v>902</v>
      </c>
      <c r="T77" s="107" t="s">
        <v>37</v>
      </c>
      <c r="Z77" s="124">
        <f>(M37)</f>
        <v>101876.50410149393</v>
      </c>
      <c r="AC77" s="124">
        <f>SUM(U77:AA77)</f>
        <v>101876.50410149393</v>
      </c>
    </row>
    <row r="78" spans="1:31">
      <c r="A78" s="603">
        <f>('1TestYr'!B82)</f>
        <v>431</v>
      </c>
      <c r="B78" s="107" t="str">
        <f>'1TestYr_adj'!C82</f>
        <v>Other Interest Expense</v>
      </c>
      <c r="C78" s="127">
        <v>26952.1</v>
      </c>
      <c r="D78" s="127"/>
      <c r="E78" s="127">
        <f>'1TestYr_adj'!S82</f>
        <v>2878.86</v>
      </c>
      <c r="F78" s="123"/>
      <c r="G78" s="123"/>
      <c r="H78" s="123"/>
      <c r="I78" s="123"/>
      <c r="J78" s="123"/>
      <c r="K78" s="123"/>
      <c r="L78" s="123"/>
      <c r="M78" s="123"/>
      <c r="S78" s="115">
        <v>903</v>
      </c>
      <c r="T78" s="107" t="s">
        <v>38</v>
      </c>
      <c r="Z78" s="124">
        <f>(M38)</f>
        <v>2319797.3285942366</v>
      </c>
      <c r="AC78" s="124">
        <f>SUM(U78:AA78)</f>
        <v>2319797.3285942366</v>
      </c>
    </row>
    <row r="79" spans="1:31">
      <c r="A79" s="603" t="str">
        <f>('1TestYr'!B84)</f>
        <v xml:space="preserve"> </v>
      </c>
      <c r="B79" s="115" t="str">
        <f>'1TestYr_adj'!C85</f>
        <v>Total ST Interest</v>
      </c>
      <c r="C79" s="151"/>
      <c r="D79" s="123"/>
      <c r="E79" s="127">
        <f>SUM(E78)</f>
        <v>2878.86</v>
      </c>
      <c r="F79" s="123"/>
      <c r="G79" s="134"/>
      <c r="H79" s="134">
        <f>($E$79*'2.22Rate Base'!G44)</f>
        <v>26.381896932557634</v>
      </c>
      <c r="I79" s="134">
        <f>($E$79*'2.22Rate Base'!H44)</f>
        <v>1727.8174715217863</v>
      </c>
      <c r="J79" s="134">
        <f>($E$79*'2.22Rate Base'!I44)</f>
        <v>447.1028724792489</v>
      </c>
      <c r="K79" s="134">
        <f>($E$79*'2.22Rate Base'!J44)</f>
        <v>417.94909603713666</v>
      </c>
      <c r="L79" s="134">
        <f>($E$79*'2.22Rate Base'!K44)</f>
        <v>107.90135438317476</v>
      </c>
      <c r="M79" s="134">
        <f>($E$79*'2.22Rate Base'!L44)</f>
        <v>31.397834167591348</v>
      </c>
      <c r="N79" s="134">
        <f>($E$79*'2.22Rate Base'!M44)</f>
        <v>77.135083305843494</v>
      </c>
      <c r="O79" s="134">
        <f>($E$79*'2.22Rate Base'!N44)</f>
        <v>43.174391172661629</v>
      </c>
      <c r="P79" s="136">
        <f>SUM(G79:O79)</f>
        <v>2878.860000000001</v>
      </c>
      <c r="Q79" s="99">
        <v>5</v>
      </c>
      <c r="S79" s="115">
        <v>904</v>
      </c>
      <c r="T79" s="107" t="s">
        <v>39</v>
      </c>
      <c r="U79" s="157" t="s">
        <v>1</v>
      </c>
      <c r="Z79" s="124">
        <f>(M39)</f>
        <v>340357.45</v>
      </c>
      <c r="AC79" s="124">
        <f>SUM(U79:AA79)</f>
        <v>340357.45</v>
      </c>
      <c r="AE79" s="124"/>
    </row>
    <row r="80" spans="1:31" ht="13.5" thickBot="1">
      <c r="A80" s="603" t="s">
        <v>1</v>
      </c>
      <c r="B80" s="115" t="str">
        <f>('1TestYr'!C86)</f>
        <v xml:space="preserve"> </v>
      </c>
      <c r="C80" s="143" t="e">
        <f>SUM(C10,C22,#REF!,C39,C46,C60,C64,C70,C75,#REF!)</f>
        <v>#REF!</v>
      </c>
      <c r="D80" s="143" t="e">
        <f>SUM(D10,D22,#REF!,D39,D46,D60,D64,D70,D75,#REF!)</f>
        <v>#REF!</v>
      </c>
      <c r="E80" s="123">
        <f>('1TestYr'!J86)</f>
        <v>0</v>
      </c>
      <c r="F80" s="123"/>
      <c r="G80" s="123"/>
      <c r="H80" s="123"/>
      <c r="I80" s="123"/>
      <c r="J80" s="123"/>
      <c r="K80" s="123"/>
      <c r="L80" s="123"/>
      <c r="M80" s="123"/>
      <c r="S80" s="115" t="s">
        <v>1</v>
      </c>
      <c r="T80" s="107" t="s">
        <v>77</v>
      </c>
      <c r="U80" s="158" t="s">
        <v>1</v>
      </c>
      <c r="V80" s="160"/>
      <c r="W80" s="160"/>
      <c r="X80" s="160"/>
      <c r="Y80" s="160"/>
      <c r="Z80" s="132">
        <f>SUM(Z76:Z79)</f>
        <v>2905364.9361983882</v>
      </c>
      <c r="AA80" s="160"/>
      <c r="AB80" s="160"/>
      <c r="AC80" s="132">
        <f>SUM(AC76:AC79)</f>
        <v>2905364.9361983882</v>
      </c>
    </row>
    <row r="81" spans="1:31" ht="13.5" thickTop="1">
      <c r="A81" s="603" t="s">
        <v>1</v>
      </c>
      <c r="B81" s="115" t="str">
        <f>'1TestYr_adj'!C87</f>
        <v>Total Costs</v>
      </c>
      <c r="C81" s="144">
        <f>(C75)</f>
        <v>1009209.24</v>
      </c>
      <c r="D81" s="127">
        <f>(D75)</f>
        <v>73120</v>
      </c>
      <c r="E81" s="127">
        <f>SUM(E12,E24,E34,E61,E66,E71,E79,E48,E40,E76)</f>
        <v>114530962.3980251</v>
      </c>
      <c r="F81" s="123"/>
      <c r="G81" s="127">
        <f t="shared" ref="G81:P81" si="43">SUM(G12,G24,G34,G61,G66,G71,G79,G48,G40,G76)</f>
        <v>84104533.455502495</v>
      </c>
      <c r="H81" s="123">
        <f>SUM(H12,H24,H34,H61,H66,H71,H79,H48,H40,H76)</f>
        <v>200817.57215303904</v>
      </c>
      <c r="I81" s="123">
        <f t="shared" si="43"/>
        <v>15878876.720752496</v>
      </c>
      <c r="J81" s="123">
        <f t="shared" si="43"/>
        <v>2030706.7410545773</v>
      </c>
      <c r="K81" s="123">
        <f t="shared" si="43"/>
        <v>3841008.8339241329</v>
      </c>
      <c r="L81" s="123">
        <f t="shared" si="43"/>
        <v>1623077.9400997597</v>
      </c>
      <c r="M81" s="123">
        <f t="shared" si="43"/>
        <v>5472504.641653629</v>
      </c>
      <c r="N81" s="123">
        <f t="shared" si="43"/>
        <v>843582.45717785228</v>
      </c>
      <c r="O81" s="123">
        <f t="shared" si="43"/>
        <v>535854.03570711496</v>
      </c>
      <c r="P81" s="127">
        <f t="shared" si="43"/>
        <v>114530962.3980251</v>
      </c>
      <c r="S81" s="115" t="s">
        <v>1</v>
      </c>
      <c r="T81" s="107" t="s">
        <v>1</v>
      </c>
      <c r="U81" s="157" t="s">
        <v>1</v>
      </c>
      <c r="Z81" s="124" t="s">
        <v>1</v>
      </c>
    </row>
    <row r="82" spans="1:31">
      <c r="A82" s="603" t="s">
        <v>1</v>
      </c>
      <c r="B82" s="115" t="str">
        <f>'1TestYr_adj'!C88</f>
        <v>Margin Requirements</v>
      </c>
      <c r="C82" s="143" t="e">
        <f>(C80+C81)</f>
        <v>#REF!</v>
      </c>
      <c r="D82" s="143" t="e">
        <f>(D80+D81)</f>
        <v>#REF!</v>
      </c>
      <c r="E82" s="127">
        <f>'1TestYr_adj'!S88</f>
        <v>4701795</v>
      </c>
      <c r="F82" s="123"/>
      <c r="G82" s="127">
        <f>(G76)</f>
        <v>0</v>
      </c>
      <c r="H82" s="134">
        <f>($E$82*'2.22Rate Base'!G44)</f>
        <v>43087.28840166414</v>
      </c>
      <c r="I82" s="134">
        <f>($E$82*'2.22Rate Base'!H44)</f>
        <v>2821896.0104047353</v>
      </c>
      <c r="J82" s="134">
        <f>($E$82*'2.22Rate Base'!I44)</f>
        <v>730214.75525331905</v>
      </c>
      <c r="K82" s="134">
        <f>($E$82*'2.22Rate Base'!J44)</f>
        <v>682600.39390659111</v>
      </c>
      <c r="L82" s="134">
        <f>($E$82*'2.22Rate Base'!K44)</f>
        <v>176226.02298550089</v>
      </c>
      <c r="M82" s="134">
        <f>($E$82*'2.22Rate Base'!L44)</f>
        <v>51279.388264802787</v>
      </c>
      <c r="N82" s="134">
        <f>($E$82*'2.22Rate Base'!M44)</f>
        <v>125978.11252092785</v>
      </c>
      <c r="O82" s="134">
        <f>($E$82*'2.22Rate Base'!N44)</f>
        <v>70513.028262459644</v>
      </c>
      <c r="P82" s="123">
        <f>SUM(H82:O82)</f>
        <v>4701795.0000000019</v>
      </c>
      <c r="Q82" s="352">
        <v>5</v>
      </c>
      <c r="S82" s="115">
        <f>A42</f>
        <v>907</v>
      </c>
      <c r="T82" s="115" t="str">
        <f>B42</f>
        <v>Customer Information</v>
      </c>
      <c r="U82" s="159" t="s">
        <v>1</v>
      </c>
      <c r="V82" s="159" t="s">
        <v>1</v>
      </c>
      <c r="W82" s="159" t="s">
        <v>1</v>
      </c>
      <c r="X82" s="159" t="s">
        <v>1</v>
      </c>
      <c r="Y82" s="159" t="s">
        <v>1</v>
      </c>
      <c r="Z82" s="124">
        <f t="shared" ref="Z82:Z87" si="44">(M42)</f>
        <v>0</v>
      </c>
      <c r="AA82" s="159" t="s">
        <v>1</v>
      </c>
      <c r="AC82" s="124">
        <f t="shared" ref="AC82:AC87" si="45">SUM(U82:AA82)</f>
        <v>0</v>
      </c>
    </row>
    <row r="83" spans="1:31" ht="13.5" thickBot="1">
      <c r="A83" s="603" t="s">
        <v>1</v>
      </c>
      <c r="B83" s="115" t="str">
        <f>'1TestYr_adj'!C89</f>
        <v>Total Revenue Require.</v>
      </c>
      <c r="C83" s="143"/>
      <c r="D83" s="143"/>
      <c r="E83" s="161">
        <f>(E81+E82)</f>
        <v>119232757.3980251</v>
      </c>
      <c r="F83" s="123"/>
      <c r="G83" s="161">
        <f t="shared" ref="G83:O83" si="46">(G81+G82)</f>
        <v>84104533.455502495</v>
      </c>
      <c r="H83" s="161">
        <f t="shared" si="46"/>
        <v>243904.86055470319</v>
      </c>
      <c r="I83" s="161">
        <f t="shared" si="46"/>
        <v>18700772.731157232</v>
      </c>
      <c r="J83" s="161">
        <f t="shared" si="46"/>
        <v>2760921.4963078965</v>
      </c>
      <c r="K83" s="161">
        <f t="shared" si="46"/>
        <v>4523609.2278307239</v>
      </c>
      <c r="L83" s="161">
        <f t="shared" si="46"/>
        <v>1799303.9630852607</v>
      </c>
      <c r="M83" s="161">
        <f t="shared" si="46"/>
        <v>5523784.0299184322</v>
      </c>
      <c r="N83" s="161">
        <f t="shared" si="46"/>
        <v>969560.56969878008</v>
      </c>
      <c r="O83" s="161">
        <f t="shared" si="46"/>
        <v>606367.06396957464</v>
      </c>
      <c r="P83" s="161">
        <f>(P81+P82)</f>
        <v>119232757.3980251</v>
      </c>
      <c r="S83" s="115">
        <f>A43</f>
        <v>908</v>
      </c>
      <c r="T83" s="115" t="str">
        <f t="shared" ref="T83:T88" si="47">B43</f>
        <v>Customer Accounting</v>
      </c>
      <c r="U83" s="100" t="s">
        <v>1</v>
      </c>
      <c r="Z83" s="124">
        <f t="shared" si="44"/>
        <v>976219.36234444648</v>
      </c>
      <c r="AC83" s="124">
        <f t="shared" si="45"/>
        <v>976219.36234444648</v>
      </c>
    </row>
    <row r="84" spans="1:31" ht="14.25" thickTop="1" thickBot="1">
      <c r="A84" s="605" t="s">
        <v>1</v>
      </c>
      <c r="B84" s="109" t="s">
        <v>1</v>
      </c>
      <c r="C84" s="143"/>
      <c r="D84" s="143"/>
      <c r="E84" s="123" t="s">
        <v>1</v>
      </c>
      <c r="F84" s="123">
        <f>(E83-P83)</f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S84" s="115">
        <f>A44</f>
        <v>909</v>
      </c>
      <c r="T84" s="115" t="str">
        <f t="shared" si="47"/>
        <v>Consumer Information</v>
      </c>
      <c r="U84" s="157" t="s">
        <v>1</v>
      </c>
      <c r="Z84" s="124">
        <f t="shared" si="44"/>
        <v>321.1882237127366</v>
      </c>
      <c r="AC84" s="124">
        <f t="shared" si="45"/>
        <v>321.1882237127366</v>
      </c>
    </row>
    <row r="85" spans="1:31">
      <c r="F85" s="123"/>
      <c r="G85" s="143"/>
      <c r="H85" s="143"/>
      <c r="I85" s="143"/>
      <c r="J85" s="143"/>
      <c r="K85" s="143"/>
      <c r="L85" s="143"/>
      <c r="M85" s="143"/>
      <c r="N85" s="143"/>
      <c r="O85" s="143"/>
      <c r="P85" s="143">
        <f>SUM(G83:O83)</f>
        <v>119232757.3980251</v>
      </c>
      <c r="S85" s="115">
        <f>A45</f>
        <v>910</v>
      </c>
      <c r="T85" s="115" t="str">
        <f t="shared" si="47"/>
        <v>Mis. Customer Information</v>
      </c>
      <c r="U85" s="157" t="s">
        <v>1</v>
      </c>
      <c r="Z85" s="124">
        <f t="shared" si="44"/>
        <v>0</v>
      </c>
      <c r="AC85" s="124">
        <f t="shared" si="45"/>
        <v>0</v>
      </c>
    </row>
    <row r="86" spans="1:31">
      <c r="E86" s="124">
        <f>('1TestYr'!J89-'2 Functionalization2'!E83)</f>
        <v>-23150695.478025094</v>
      </c>
      <c r="F86" s="12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S86" s="115">
        <f>A46</f>
        <v>912</v>
      </c>
      <c r="T86" s="115" t="str">
        <f t="shared" si="47"/>
        <v>Key Accounts Expneses</v>
      </c>
      <c r="U86" s="157"/>
      <c r="Z86" s="124">
        <f t="shared" si="44"/>
        <v>-12263.709853256098</v>
      </c>
      <c r="AC86" s="124">
        <f t="shared" si="45"/>
        <v>-12263.709853256098</v>
      </c>
      <c r="AE86" s="124">
        <f>SUM(V88:AA88)</f>
        <v>1024972.6507149031</v>
      </c>
    </row>
    <row r="87" spans="1:31">
      <c r="F87" s="12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S87" s="115">
        <f>A47</f>
        <v>913</v>
      </c>
      <c r="T87" s="115" t="str">
        <f t="shared" si="47"/>
        <v>Advertising</v>
      </c>
      <c r="U87" s="157" t="s">
        <v>1</v>
      </c>
      <c r="Z87" s="124">
        <f t="shared" si="44"/>
        <v>60695.81</v>
      </c>
      <c r="AC87" s="124">
        <f t="shared" si="45"/>
        <v>60695.81</v>
      </c>
    </row>
    <row r="88" spans="1:31" ht="13.5" thickBot="1">
      <c r="F88" s="12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S88" s="115"/>
      <c r="T88" s="115" t="str">
        <f t="shared" si="47"/>
        <v>Total Customer Serv.</v>
      </c>
      <c r="U88" s="158" t="s">
        <v>1</v>
      </c>
      <c r="V88" s="160"/>
      <c r="W88" s="160"/>
      <c r="X88" s="160"/>
      <c r="Y88" s="160"/>
      <c r="Z88" s="132">
        <f>SUM(Z82:Z87)</f>
        <v>1024972.6507149031</v>
      </c>
      <c r="AA88" s="160"/>
      <c r="AB88" s="160"/>
      <c r="AC88" s="132">
        <f>SUM(AC82:AC87)</f>
        <v>1024972.6507149031</v>
      </c>
      <c r="AE88" s="124">
        <f>SUM(U89:AB90)</f>
        <v>12912799.845363405</v>
      </c>
    </row>
    <row r="89" spans="1:31" ht="13.5" thickTop="1">
      <c r="F89" s="12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T89" s="115"/>
      <c r="U89" s="157" t="s">
        <v>1</v>
      </c>
      <c r="Z89" s="124" t="str">
        <f>(U89)</f>
        <v xml:space="preserve"> </v>
      </c>
      <c r="AE89" s="123">
        <f>SUM(U90:AB91)</f>
        <v>12912800.845363405</v>
      </c>
    </row>
    <row r="90" spans="1:31">
      <c r="F90" s="12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T90" s="107" t="s">
        <v>264</v>
      </c>
      <c r="U90" s="157">
        <f>SUM(U64,U74,U88,U80)</f>
        <v>60826.581452662169</v>
      </c>
      <c r="V90" s="157">
        <f t="shared" ref="V90:AC90" si="48">SUM(V64,V74,V88,V80)</f>
        <v>5993800.4258394735</v>
      </c>
      <c r="W90" s="157">
        <f t="shared" si="48"/>
        <v>19006.906045094634</v>
      </c>
      <c r="X90" s="157">
        <f t="shared" si="48"/>
        <v>1449865.8053273573</v>
      </c>
      <c r="Y90" s="157">
        <f t="shared" si="48"/>
        <v>839791.27948356012</v>
      </c>
      <c r="Z90" s="157">
        <f t="shared" si="48"/>
        <v>3930337.5869132914</v>
      </c>
      <c r="AA90" s="157">
        <f t="shared" si="48"/>
        <v>366877.94433838956</v>
      </c>
      <c r="AB90" s="157">
        <f t="shared" si="48"/>
        <v>252293.31596357469</v>
      </c>
      <c r="AC90" s="157">
        <f t="shared" si="48"/>
        <v>12912799.845363401</v>
      </c>
      <c r="AE90" s="124">
        <f>(AC90-AE88)</f>
        <v>-3.7252902984619141E-9</v>
      </c>
    </row>
    <row r="91" spans="1:31">
      <c r="F91" s="12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T91" s="107" t="s">
        <v>265</v>
      </c>
      <c r="U91" s="162">
        <f t="shared" ref="U91:AB91" si="49">(U90/$AC$90)</f>
        <v>4.7105648798934311E-3</v>
      </c>
      <c r="V91" s="162">
        <f t="shared" si="49"/>
        <v>0.46417512062588562</v>
      </c>
      <c r="W91" s="162">
        <f t="shared" si="49"/>
        <v>1.4719430543887386E-3</v>
      </c>
      <c r="X91" s="162">
        <f t="shared" si="49"/>
        <v>0.11228128854238847</v>
      </c>
      <c r="Y91" s="162">
        <f t="shared" si="49"/>
        <v>6.503556854752178E-2</v>
      </c>
      <c r="Z91" s="162">
        <f t="shared" si="49"/>
        <v>0.30437532014596802</v>
      </c>
      <c r="AA91" s="162">
        <f t="shared" si="49"/>
        <v>2.841195935288383E-2</v>
      </c>
      <c r="AB91" s="162">
        <f t="shared" si="49"/>
        <v>1.9538234851070323E-2</v>
      </c>
      <c r="AC91" s="162">
        <f>SUM(U91:AB91)</f>
        <v>1.0000000000000002</v>
      </c>
    </row>
    <row r="92" spans="1:31">
      <c r="F92" s="123"/>
      <c r="G92" s="123"/>
      <c r="H92" s="153">
        <f>(H82/H83)</f>
        <v>0.17665612855632487</v>
      </c>
      <c r="I92" s="153">
        <f t="shared" ref="I92:P92" si="50">(I82/I83)</f>
        <v>0.15089729451142911</v>
      </c>
      <c r="J92" s="153">
        <f t="shared" si="50"/>
        <v>0.26448225935790459</v>
      </c>
      <c r="K92" s="153">
        <f t="shared" si="50"/>
        <v>0.15089729451142911</v>
      </c>
      <c r="L92" s="153">
        <f t="shared" si="50"/>
        <v>9.7941218716223299E-2</v>
      </c>
      <c r="M92" s="153">
        <f t="shared" si="50"/>
        <v>9.2833803760354501E-3</v>
      </c>
      <c r="N92" s="153">
        <f t="shared" si="50"/>
        <v>0.12993320526645005</v>
      </c>
      <c r="O92" s="153">
        <f t="shared" si="50"/>
        <v>0.11628769511465045</v>
      </c>
      <c r="P92" s="153">
        <f t="shared" si="50"/>
        <v>3.9433752121527971E-2</v>
      </c>
      <c r="U92" s="77"/>
      <c r="V92" s="77"/>
      <c r="W92" s="77"/>
      <c r="X92" s="77"/>
      <c r="Y92" s="77"/>
      <c r="Z92" s="77"/>
      <c r="AA92" s="77"/>
      <c r="AB92" s="77"/>
      <c r="AC92" s="77"/>
    </row>
    <row r="93" spans="1:31">
      <c r="A93" s="118">
        <f>('1TestYr'!B90)</f>
        <v>0</v>
      </c>
      <c r="B93" s="119" t="str">
        <f>('1TestYr'!C91)</f>
        <v>Less;  Misc Income</v>
      </c>
      <c r="C93" s="143"/>
      <c r="D93" s="143"/>
      <c r="E93" s="123">
        <f>('1TestYr'!J91)</f>
        <v>0</v>
      </c>
      <c r="F93" s="123"/>
      <c r="G93" s="123"/>
      <c r="H93" s="123"/>
      <c r="I93" s="123"/>
      <c r="J93" s="123"/>
      <c r="K93" s="123"/>
      <c r="L93" s="123"/>
      <c r="M93" s="123"/>
      <c r="U93" s="77"/>
      <c r="V93" s="77"/>
      <c r="W93" s="77"/>
      <c r="X93" s="77"/>
      <c r="Y93" s="77"/>
      <c r="Z93" s="77"/>
      <c r="AA93" s="77"/>
      <c r="AB93" s="77"/>
      <c r="AC93" s="77"/>
    </row>
    <row r="94" spans="1:31">
      <c r="A94" s="118">
        <f>('1TestYr'!B91)</f>
        <v>0</v>
      </c>
      <c r="B94" s="119" t="str">
        <f>('1TestYr'!C92)</f>
        <v>Forfeited Discounts</v>
      </c>
      <c r="C94" s="123">
        <f>('1TestYr'!D92)</f>
        <v>1124919.1599999999</v>
      </c>
      <c r="D94" s="123">
        <f>('1TestYr'!E92)</f>
        <v>0</v>
      </c>
      <c r="E94" s="123">
        <f>('1TestYr'!J92)</f>
        <v>1124919.1599999999</v>
      </c>
      <c r="F94" s="123"/>
      <c r="G94" s="123"/>
      <c r="H94" s="123"/>
      <c r="I94" s="123"/>
      <c r="J94" s="123"/>
      <c r="K94" s="123"/>
      <c r="L94" s="123"/>
      <c r="M94" s="123"/>
      <c r="P94" s="124">
        <f>(P81-P12)</f>
        <v>30426428.9425226</v>
      </c>
      <c r="U94" s="77"/>
      <c r="V94" s="77"/>
      <c r="W94" s="77"/>
      <c r="X94" s="77"/>
      <c r="Y94" s="77"/>
      <c r="Z94" s="77"/>
      <c r="AA94" s="77"/>
      <c r="AB94" s="77"/>
      <c r="AC94" s="77"/>
    </row>
    <row r="95" spans="1:31">
      <c r="A95" s="118">
        <f>('1TestYr'!B92)</f>
        <v>450</v>
      </c>
      <c r="B95" s="119" t="str">
        <f>('1TestYr'!C93)</f>
        <v>Misc Service Revenue</v>
      </c>
      <c r="C95" s="143"/>
      <c r="D95" s="143"/>
      <c r="E95" s="123">
        <f>('1TestYr'!J93)</f>
        <v>326809.63</v>
      </c>
      <c r="F95" s="123"/>
      <c r="G95" s="123"/>
      <c r="H95" s="123"/>
      <c r="I95" s="123"/>
      <c r="J95" s="123"/>
      <c r="K95" s="123"/>
      <c r="L95" s="123"/>
      <c r="M95" s="123"/>
      <c r="U95" s="77"/>
      <c r="V95" s="77"/>
      <c r="W95" s="77"/>
      <c r="X95" s="77"/>
      <c r="Y95" s="77"/>
      <c r="Z95" s="77"/>
      <c r="AA95" s="77"/>
      <c r="AB95" s="77"/>
      <c r="AC95" s="77"/>
    </row>
    <row r="96" spans="1:31">
      <c r="A96" s="118">
        <f>('1TestYr'!B93)</f>
        <v>451</v>
      </c>
      <c r="B96" s="119" t="str">
        <f>('1TestYr'!C94)</f>
        <v>Return Check Charge</v>
      </c>
      <c r="C96" s="143"/>
      <c r="D96" s="143"/>
      <c r="E96" s="123">
        <f>('1TestYr'!J94)</f>
        <v>0</v>
      </c>
      <c r="F96" s="123"/>
      <c r="G96" s="123"/>
      <c r="H96" s="123"/>
      <c r="I96" s="123"/>
      <c r="J96" s="123"/>
      <c r="K96" s="123"/>
      <c r="L96" s="123"/>
      <c r="M96" s="123"/>
      <c r="T96" s="77"/>
      <c r="U96" s="77"/>
      <c r="V96" s="77"/>
      <c r="W96" s="77"/>
      <c r="X96" s="77"/>
      <c r="Y96" s="77"/>
      <c r="Z96" s="77"/>
      <c r="AA96" s="77"/>
      <c r="AB96" s="77"/>
      <c r="AC96" s="77"/>
    </row>
    <row r="97" spans="1:29">
      <c r="A97" s="118">
        <f>('1TestYr'!B94)</f>
        <v>452</v>
      </c>
      <c r="B97" s="119" t="str">
        <f>('1TestYr'!C95)</f>
        <v>Rent from Electric Prop.</v>
      </c>
      <c r="C97" s="122"/>
      <c r="D97" s="123"/>
      <c r="E97" s="123">
        <f>('1TestYr'!J95)</f>
        <v>915266.04</v>
      </c>
      <c r="F97" s="123"/>
      <c r="G97" s="123"/>
      <c r="H97" s="123"/>
      <c r="I97" s="123"/>
      <c r="J97" s="123"/>
      <c r="K97" s="123"/>
      <c r="L97" s="123"/>
      <c r="M97" s="123"/>
      <c r="T97" s="77"/>
      <c r="U97" s="77"/>
      <c r="V97" s="77"/>
      <c r="W97" s="77"/>
      <c r="X97" s="77"/>
      <c r="Y97" s="77"/>
      <c r="Z97" s="77"/>
      <c r="AA97" s="77"/>
      <c r="AB97" s="77"/>
      <c r="AC97" s="77"/>
    </row>
    <row r="98" spans="1:29">
      <c r="A98" s="118">
        <f>('1TestYr'!B95)</f>
        <v>454</v>
      </c>
      <c r="B98" s="119" t="str">
        <f>('1TestYr'!C97)</f>
        <v>Total Misc Income</v>
      </c>
      <c r="C98" s="151"/>
      <c r="D98" s="123"/>
      <c r="E98" s="123">
        <f>('1TestYr'!J97)</f>
        <v>2600940.0300000003</v>
      </c>
      <c r="F98" s="123"/>
      <c r="G98" s="123"/>
      <c r="H98" s="123"/>
      <c r="I98" s="123"/>
      <c r="J98" s="123"/>
      <c r="K98" s="123"/>
      <c r="L98" s="123"/>
      <c r="M98" s="123"/>
      <c r="T98" s="77"/>
      <c r="U98" s="77"/>
      <c r="V98" s="77"/>
      <c r="W98" s="77"/>
      <c r="X98" s="77"/>
      <c r="Y98" s="77"/>
      <c r="Z98" s="77"/>
      <c r="AA98" s="77"/>
      <c r="AB98" s="77"/>
      <c r="AC98" s="77"/>
    </row>
    <row r="99" spans="1:29">
      <c r="A99" s="118">
        <f>('1TestYr'!B97)</f>
        <v>0</v>
      </c>
      <c r="B99" s="119" t="s">
        <v>1</v>
      </c>
      <c r="C99" s="122">
        <v>249793.5</v>
      </c>
      <c r="D99" s="123"/>
      <c r="E99" s="123">
        <f>('1TestYr'!J98)</f>
        <v>0</v>
      </c>
      <c r="F99" s="123"/>
      <c r="G99" s="123"/>
      <c r="H99" s="123"/>
      <c r="I99" s="123"/>
      <c r="J99" s="123"/>
      <c r="K99" s="123"/>
      <c r="L99" s="123"/>
      <c r="M99" s="123"/>
      <c r="P99" s="124" t="s">
        <v>1</v>
      </c>
      <c r="T99" s="77" t="str">
        <f>(B22)</f>
        <v>Misc. Distribution Exp</v>
      </c>
      <c r="U99" s="77"/>
      <c r="V99" s="77"/>
      <c r="W99" s="77"/>
      <c r="X99" s="77"/>
      <c r="Y99" s="77"/>
      <c r="Z99" s="77"/>
      <c r="AA99" s="77"/>
      <c r="AB99" s="77"/>
      <c r="AC99" s="77"/>
    </row>
    <row r="100" spans="1:29">
      <c r="A100" s="118">
        <f>('1TestYr'!B98)</f>
        <v>0</v>
      </c>
      <c r="B100" s="119" t="str">
        <f>('1TestYr'!C99)</f>
        <v>Less:  Other Income</v>
      </c>
      <c r="C100" s="122">
        <v>70175.22</v>
      </c>
      <c r="D100" s="123"/>
      <c r="E100" s="123">
        <f>('1TestYr'!J99)</f>
        <v>0</v>
      </c>
      <c r="F100" s="123"/>
      <c r="G100" s="123"/>
      <c r="H100" s="123"/>
      <c r="I100" s="123"/>
      <c r="J100" s="123"/>
      <c r="K100" s="123"/>
      <c r="L100" s="123"/>
      <c r="M100" s="123"/>
      <c r="P100" s="100" t="s">
        <v>1</v>
      </c>
      <c r="T100" s="77" t="e">
        <f>(#REF!)</f>
        <v>#REF!</v>
      </c>
      <c r="U100" s="77"/>
      <c r="V100" s="77"/>
      <c r="W100" s="77"/>
      <c r="X100" s="77"/>
      <c r="Y100" s="77"/>
      <c r="Z100" s="77"/>
      <c r="AA100" s="77"/>
      <c r="AB100" s="77"/>
      <c r="AC100" s="77"/>
    </row>
    <row r="101" spans="1:29">
      <c r="A101" s="118">
        <f>('1TestYr'!B99)</f>
        <v>0</v>
      </c>
      <c r="B101" s="119" t="str">
        <f>('1TestYr'!C100)</f>
        <v>Net Revenue from Merchandising</v>
      </c>
      <c r="C101" s="122">
        <v>282821.45</v>
      </c>
      <c r="D101" s="123">
        <v>10755</v>
      </c>
      <c r="E101" s="123">
        <f>('1TestYr'!J100)</f>
        <v>8776.3700000000008</v>
      </c>
      <c r="F101" s="123"/>
      <c r="G101" s="123"/>
      <c r="H101" s="123"/>
      <c r="I101" s="123"/>
      <c r="J101" s="123"/>
      <c r="K101" s="123"/>
      <c r="L101" s="123"/>
      <c r="M101" s="123"/>
      <c r="P101" s="100" t="s">
        <v>1</v>
      </c>
      <c r="T101" s="77" t="str">
        <f>(B39)</f>
        <v>Uncollectible Accounts</v>
      </c>
      <c r="U101" s="77"/>
      <c r="V101" s="77"/>
      <c r="W101" s="77"/>
      <c r="X101" s="77"/>
      <c r="Y101" s="77"/>
      <c r="Z101" s="77"/>
      <c r="AA101" s="77"/>
      <c r="AB101" s="77"/>
      <c r="AC101" s="77"/>
    </row>
    <row r="102" spans="1:29">
      <c r="A102" s="118">
        <f>('1TestYr'!B100)</f>
        <v>415</v>
      </c>
      <c r="B102" s="119" t="str">
        <f>('1TestYr'!C104)</f>
        <v>Interest Income</v>
      </c>
      <c r="C102" s="127">
        <v>1080</v>
      </c>
      <c r="D102" s="127">
        <v>15537</v>
      </c>
      <c r="E102" s="123">
        <f>('1TestYr'!J104)</f>
        <v>161289.51999999999</v>
      </c>
      <c r="F102" s="123"/>
      <c r="G102" s="123"/>
      <c r="H102" s="123"/>
      <c r="I102" s="123"/>
      <c r="J102" s="123"/>
      <c r="K102" s="123"/>
      <c r="L102" s="123"/>
      <c r="M102" s="123"/>
      <c r="P102" s="124" t="s">
        <v>1</v>
      </c>
      <c r="T102" s="77" t="str">
        <f>(B46)</f>
        <v>Key Accounts Expneses</v>
      </c>
      <c r="U102" s="77"/>
      <c r="V102" s="77"/>
      <c r="W102" s="77"/>
      <c r="X102" s="77"/>
      <c r="Y102" s="77"/>
      <c r="Z102" s="77"/>
      <c r="AA102" s="77"/>
      <c r="AB102" s="77"/>
      <c r="AC102" s="77"/>
    </row>
    <row r="103" spans="1:29">
      <c r="A103" s="118">
        <f>('1TestYr'!B104)</f>
        <v>419</v>
      </c>
      <c r="B103" s="119" t="str">
        <f>('1TestYr'!C105)</f>
        <v>Misc. Non-operating Income</v>
      </c>
      <c r="C103" s="143">
        <f>SUM(C99:C102)</f>
        <v>603870.16999999993</v>
      </c>
      <c r="D103" s="143">
        <f>SUM(D99:D102)</f>
        <v>26292</v>
      </c>
      <c r="E103" s="123">
        <f>('1TestYr'!J105)</f>
        <v>-113681.75</v>
      </c>
      <c r="F103" s="123"/>
      <c r="G103" s="123"/>
      <c r="H103" s="123"/>
      <c r="I103" s="123"/>
      <c r="J103" s="123"/>
      <c r="K103" s="123"/>
      <c r="L103" s="123"/>
      <c r="M103" s="123"/>
      <c r="P103" s="100" t="s">
        <v>1</v>
      </c>
      <c r="T103" s="77"/>
      <c r="U103" s="77"/>
      <c r="V103" s="77"/>
      <c r="W103" s="77"/>
      <c r="X103" s="77"/>
      <c r="Y103" s="77"/>
      <c r="Z103" s="77"/>
      <c r="AA103" s="77"/>
      <c r="AB103" s="77"/>
      <c r="AC103" s="77"/>
    </row>
    <row r="104" spans="1:29">
      <c r="A104" s="118">
        <f>('1TestYr'!B105)</f>
        <v>421</v>
      </c>
      <c r="B104" s="119" t="str">
        <f>('1TestYr'!C107)</f>
        <v>Other Capital Credits</v>
      </c>
      <c r="C104" s="122"/>
      <c r="D104" s="123"/>
      <c r="E104" s="123">
        <f>('1TestYr'!J107)</f>
        <v>150928.4</v>
      </c>
      <c r="F104" s="123"/>
      <c r="G104" s="123"/>
      <c r="H104" s="123"/>
      <c r="I104" s="123"/>
      <c r="J104" s="123"/>
      <c r="K104" s="123"/>
      <c r="L104" s="123"/>
      <c r="M104" s="123"/>
      <c r="P104" s="100" t="s">
        <v>1</v>
      </c>
      <c r="T104" s="77"/>
      <c r="U104" s="77"/>
      <c r="V104" s="77"/>
      <c r="W104" s="77"/>
      <c r="X104" s="77"/>
      <c r="Y104" s="77"/>
      <c r="Z104" s="77"/>
      <c r="AA104" s="77"/>
      <c r="AB104" s="77"/>
      <c r="AC104" s="77"/>
    </row>
    <row r="105" spans="1:29">
      <c r="A105" s="118">
        <f>('1TestYr'!B107)</f>
        <v>424</v>
      </c>
      <c r="B105" s="119" t="str">
        <f>('1TestYr'!C108)</f>
        <v>Total Other Income</v>
      </c>
      <c r="C105" s="122"/>
      <c r="D105" s="123"/>
      <c r="E105" s="123">
        <f>('1TestYr'!J108)</f>
        <v>341196.68000000063</v>
      </c>
      <c r="F105" s="123"/>
      <c r="G105" s="123"/>
      <c r="H105" s="123"/>
      <c r="I105" s="123"/>
      <c r="J105" s="123"/>
      <c r="K105" s="123"/>
      <c r="L105" s="123"/>
      <c r="M105" s="123"/>
      <c r="P105" s="124" t="s">
        <v>1</v>
      </c>
    </row>
    <row r="106" spans="1:29">
      <c r="A106" s="118">
        <f>('1TestYr'!B108)</f>
        <v>0</v>
      </c>
      <c r="B106" s="119">
        <f>('1TestYr'!C109)</f>
        <v>0</v>
      </c>
      <c r="C106" s="122"/>
      <c r="D106" s="123"/>
      <c r="E106" s="123">
        <f>('1TestYr'!J109)</f>
        <v>0</v>
      </c>
      <c r="F106" s="123"/>
      <c r="G106" s="123"/>
      <c r="H106" s="123"/>
      <c r="I106" s="123"/>
      <c r="J106" s="123"/>
      <c r="K106" s="123"/>
      <c r="L106" s="123"/>
      <c r="M106" s="123"/>
    </row>
    <row r="107" spans="1:29">
      <c r="A107" s="118">
        <f>('1TestYr'!B109)</f>
        <v>0</v>
      </c>
      <c r="B107" s="119" t="str">
        <f>('1TestYr'!C110)</f>
        <v xml:space="preserve">Revenue Requirements   </v>
      </c>
      <c r="C107" s="122">
        <v>48706.6</v>
      </c>
      <c r="D107" s="123"/>
      <c r="E107" s="123">
        <f>('1TestYr'!J110)</f>
        <v>0</v>
      </c>
      <c r="F107" s="123"/>
      <c r="G107" s="123"/>
      <c r="H107" s="123"/>
      <c r="I107" s="123"/>
      <c r="J107" s="123"/>
      <c r="K107" s="123"/>
      <c r="L107" s="123"/>
      <c r="M107" s="123"/>
    </row>
    <row r="108" spans="1:29">
      <c r="A108" s="118">
        <f>('1TestYr'!B110)</f>
        <v>0</v>
      </c>
      <c r="B108" s="119" t="str">
        <f>('1TestYr'!C111)</f>
        <v xml:space="preserve">     from Rates</v>
      </c>
      <c r="C108" s="122">
        <v>21071.33</v>
      </c>
      <c r="D108" s="123"/>
      <c r="E108" s="123">
        <f>(E83-E98-E105)</f>
        <v>116290620.68802509</v>
      </c>
      <c r="F108" s="123"/>
      <c r="G108" s="123"/>
      <c r="H108" s="123"/>
      <c r="I108" s="123"/>
      <c r="J108" s="123"/>
      <c r="K108" s="123"/>
      <c r="L108" s="123"/>
      <c r="M108" s="123"/>
    </row>
    <row r="109" spans="1:29">
      <c r="A109" s="118">
        <f>('1TestYr'!B111)</f>
        <v>0</v>
      </c>
      <c r="F109" s="123"/>
      <c r="G109" s="123"/>
      <c r="H109" s="123"/>
      <c r="I109" s="123"/>
      <c r="J109" s="123"/>
      <c r="K109" s="123"/>
      <c r="L109" s="123"/>
      <c r="M109" s="123"/>
    </row>
    <row r="110" spans="1:29">
      <c r="A110" s="118">
        <f>('1TestYr'!B112)</f>
        <v>0</v>
      </c>
      <c r="B110" s="119" t="s">
        <v>1</v>
      </c>
      <c r="C110" s="127">
        <v>79170.52</v>
      </c>
      <c r="D110" s="127"/>
      <c r="E110" s="123">
        <f>('1TestYr'!J112)</f>
        <v>0</v>
      </c>
      <c r="F110" s="123"/>
      <c r="G110" s="123"/>
      <c r="H110" s="123"/>
      <c r="I110" s="123"/>
      <c r="J110" s="123"/>
      <c r="K110" s="123"/>
      <c r="L110" s="123"/>
      <c r="M110" s="123"/>
    </row>
    <row r="111" spans="1:29">
      <c r="A111" s="163">
        <f>('1TestYr'!B113)</f>
        <v>0</v>
      </c>
      <c r="B111" s="123" t="str">
        <f>('1TestYr'!C113)</f>
        <v>TIER</v>
      </c>
      <c r="C111" s="143">
        <f>SUM(C107:C110)</f>
        <v>148948.45000000001</v>
      </c>
      <c r="D111" s="123"/>
      <c r="E111" s="123">
        <v>2.3199999999999998</v>
      </c>
    </row>
    <row r="112" spans="1:29">
      <c r="A112" s="163">
        <f>('1TestYr'!B114)</f>
        <v>0</v>
      </c>
      <c r="B112" s="123">
        <f>('1TestYr'!C114)</f>
        <v>0</v>
      </c>
      <c r="C112" s="143"/>
      <c r="D112" s="123"/>
      <c r="E112" s="123">
        <v>2.3199999999999998</v>
      </c>
    </row>
    <row r="113" spans="1:5">
      <c r="A113" s="163">
        <f>('1TestYr'!B115)</f>
        <v>0</v>
      </c>
      <c r="B113" s="123" t="str">
        <f>('1TestYr'!C115)</f>
        <v>Cash Working Capital</v>
      </c>
      <c r="C113" s="143"/>
      <c r="D113" s="123"/>
      <c r="E113" s="123">
        <f>('1TestYr'!J116)</f>
        <v>0</v>
      </c>
    </row>
    <row r="114" spans="1:5">
      <c r="A114" s="163">
        <f>('1TestYr'!B116)</f>
        <v>0</v>
      </c>
      <c r="B114" s="123">
        <f>('1TestYr'!C116)</f>
        <v>0</v>
      </c>
      <c r="C114" s="143" t="e">
        <f>(C82-C103-C111)</f>
        <v>#REF!</v>
      </c>
      <c r="D114" s="143" t="e">
        <f>(D82-D103-D111)</f>
        <v>#REF!</v>
      </c>
      <c r="E114" s="123">
        <v>31101322.096949998</v>
      </c>
    </row>
    <row r="115" spans="1:5">
      <c r="A115" s="115"/>
      <c r="B115" s="102"/>
      <c r="C115" s="122"/>
      <c r="D115" s="123"/>
      <c r="E115" s="123"/>
    </row>
    <row r="116" spans="1:5">
      <c r="A116" s="115"/>
      <c r="B116" s="102"/>
      <c r="C116" s="122"/>
      <c r="D116" s="123"/>
      <c r="E116" s="123">
        <f>(E108-E114)</f>
        <v>85189298.591075093</v>
      </c>
    </row>
    <row r="117" spans="1:5">
      <c r="A117" s="115"/>
      <c r="B117" s="102"/>
      <c r="C117" s="102"/>
    </row>
    <row r="118" spans="1:5">
      <c r="A118" s="115"/>
      <c r="B118" s="102"/>
      <c r="C118" s="102"/>
    </row>
    <row r="119" spans="1:5">
      <c r="A119" s="115"/>
      <c r="B119" s="102"/>
      <c r="C119" s="102"/>
    </row>
    <row r="120" spans="1:5">
      <c r="A120" s="115"/>
      <c r="B120" s="102"/>
      <c r="C120" s="102"/>
    </row>
    <row r="121" spans="1:5">
      <c r="A121" s="115"/>
      <c r="B121" s="102"/>
      <c r="C121" s="102"/>
    </row>
    <row r="122" spans="1:5">
      <c r="A122" s="115"/>
      <c r="B122" s="102"/>
      <c r="C122" s="102"/>
    </row>
    <row r="123" spans="1:5">
      <c r="A123" s="115"/>
      <c r="B123" s="102"/>
      <c r="C123" s="102"/>
    </row>
  </sheetData>
  <customSheetViews>
    <customSheetView guid="{18050E3F-BBF0-4BF6-9B33-B0817BE1B1C5}" scale="60" showPageBreaks="1" printArea="1" hiddenColumns="1" view="pageBreakPreview" showRuler="0">
      <pane xSplit="6" ySplit="1" topLeftCell="K64" activePane="bottomRight" state="frozen"/>
      <selection pane="bottomRight" activeCell="E80" sqref="E80"/>
      <rowBreaks count="1" manualBreakCount="1">
        <brk id="46" max="29" man="1"/>
      </rowBreaks>
      <colBreaks count="2" manualBreakCount="2">
        <brk id="16" max="86" man="1"/>
        <brk id="18" max="84" man="1"/>
      </colBreaks>
      <pageMargins left="0.75" right="0.75" top="1" bottom="1" header="0.5" footer="0.5"/>
      <printOptions horizontalCentered="1" verticalCentered="1" gridLines="1"/>
      <pageSetup scale="73" orientation="landscape" horizontalDpi="4294967293" r:id="rId1"/>
      <headerFooter alignWithMargins="0">
        <oddHeader xml:space="preserve">&amp;C&amp;"Arial,Bold"&amp;12MEADE COUNTY RECC
CASE NO. 2010-00222
FUNCTIONALIZATION OF TEST YEAR EXPENSES&amp;R&amp;11Exhibit R
Schedule 2
Page ____ of ____
Witness:  Jim Adkins
</oddHeader>
      </headerFooter>
    </customSheetView>
  </customSheetViews>
  <mergeCells count="3">
    <mergeCell ref="G1:P1"/>
    <mergeCell ref="C1:E1"/>
    <mergeCell ref="R1:AD1"/>
  </mergeCells>
  <phoneticPr fontId="3" type="noConversion"/>
  <printOptions horizontalCentered="1" verticalCentered="1" gridLines="1"/>
  <pageMargins left="0.75" right="0.75" top="1" bottom="1" header="0.5" footer="0.5"/>
  <pageSetup scale="62" orientation="landscape" horizontalDpi="4294967293" r:id="rId2"/>
  <headerFooter alignWithMargins="0">
    <oddHeader xml:space="preserve">&amp;C&amp;"Arial,Bold"&amp;12BLUE GRASS ENERGY COOPERATIVE
CASE NO. 2014-00339
FUNCTIONALIZATION OF TEST YEAR EXPENSES&amp;R&amp;11Exhibit R
Schedule 2.1
Page ____ of ____.
Witness:  Jim Adkins
</oddHeader>
  </headerFooter>
  <rowBreaks count="1" manualBreakCount="1">
    <brk id="49" max="29" man="1"/>
  </rowBreaks>
  <colBreaks count="1" manualBreakCount="1">
    <brk id="18" max="9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2"/>
  <sheetViews>
    <sheetView view="pageBreakPreview" zoomScale="60" zoomScaleNormal="100" workbookViewId="0">
      <selection activeCell="T14" sqref="T14"/>
    </sheetView>
  </sheetViews>
  <sheetFormatPr defaultRowHeight="14.25"/>
  <cols>
    <col min="1" max="1" width="2.5703125" style="13" customWidth="1"/>
    <col min="2" max="2" width="26.140625" style="13" customWidth="1"/>
    <col min="3" max="3" width="1.7109375" style="13" customWidth="1"/>
    <col min="4" max="4" width="13" style="13" bestFit="1" customWidth="1"/>
    <col min="5" max="5" width="11.28515625" style="13" customWidth="1"/>
    <col min="6" max="6" width="13.42578125" style="13" bestFit="1" customWidth="1"/>
    <col min="7" max="7" width="12.140625" style="13" customWidth="1"/>
    <col min="8" max="8" width="11.85546875" style="13" bestFit="1" customWidth="1"/>
    <col min="9" max="9" width="12.28515625" style="13" bestFit="1" customWidth="1"/>
    <col min="10" max="10" width="11.85546875" style="13" customWidth="1"/>
    <col min="11" max="11" width="11.7109375" style="13" customWidth="1"/>
    <col min="12" max="12" width="10.5703125" style="13" bestFit="1" customWidth="1"/>
    <col min="13" max="13" width="14.85546875" style="13" customWidth="1"/>
    <col min="14" max="16384" width="9.140625" style="13"/>
  </cols>
  <sheetData>
    <row r="2" spans="2:13" ht="17.25" customHeight="1">
      <c r="B2" s="15"/>
      <c r="C2" s="15"/>
      <c r="D2" s="22"/>
      <c r="E2" s="22"/>
      <c r="F2" s="22"/>
      <c r="G2" s="22"/>
      <c r="H2" s="22"/>
      <c r="I2" s="22"/>
      <c r="J2" s="22" t="s">
        <v>139</v>
      </c>
      <c r="K2" s="15"/>
      <c r="L2" s="15"/>
      <c r="M2" s="15"/>
    </row>
    <row r="3" spans="2:13" ht="17.25" customHeight="1">
      <c r="B3" s="16"/>
      <c r="C3" s="16"/>
      <c r="D3" s="18" t="s">
        <v>169</v>
      </c>
      <c r="E3" s="18"/>
      <c r="F3" s="18"/>
      <c r="G3" s="18"/>
      <c r="H3" s="18"/>
      <c r="I3" s="18"/>
      <c r="J3" s="18" t="s">
        <v>11</v>
      </c>
      <c r="K3" s="18" t="s">
        <v>204</v>
      </c>
      <c r="L3" s="18" t="s">
        <v>203</v>
      </c>
      <c r="M3" s="16"/>
    </row>
    <row r="4" spans="2:13" ht="17.25" customHeight="1">
      <c r="B4" s="17" t="s">
        <v>129</v>
      </c>
      <c r="C4" s="17"/>
      <c r="D4" s="19" t="s">
        <v>4</v>
      </c>
      <c r="E4" s="19" t="s">
        <v>240</v>
      </c>
      <c r="F4" s="19" t="s">
        <v>5</v>
      </c>
      <c r="G4" s="19" t="s">
        <v>95</v>
      </c>
      <c r="H4" s="19" t="s">
        <v>8</v>
      </c>
      <c r="I4" s="19" t="s">
        <v>9</v>
      </c>
      <c r="J4" s="19" t="s">
        <v>12</v>
      </c>
      <c r="K4" s="19" t="s">
        <v>13</v>
      </c>
      <c r="L4" s="19" t="s">
        <v>13</v>
      </c>
      <c r="M4" s="45" t="s">
        <v>15</v>
      </c>
    </row>
    <row r="5" spans="2:13" ht="17.25" customHeight="1">
      <c r="B5" s="16" t="s">
        <v>19</v>
      </c>
      <c r="C5" s="16"/>
      <c r="D5" s="20">
        <f>('2 Functionalization2'!G12)</f>
        <v>84104533.455502495</v>
      </c>
      <c r="E5" s="20"/>
      <c r="F5" s="20"/>
      <c r="G5" s="20"/>
      <c r="H5" s="20"/>
      <c r="I5" s="20"/>
      <c r="J5" s="20"/>
      <c r="K5" s="20"/>
      <c r="L5" s="15"/>
      <c r="M5" s="47">
        <f t="shared" ref="M5:M17" si="0">SUM(D5:L5)</f>
        <v>84104533.455502495</v>
      </c>
    </row>
    <row r="6" spans="2:13" ht="17.25" customHeight="1">
      <c r="B6" s="16" t="s">
        <v>160</v>
      </c>
      <c r="C6" s="16"/>
      <c r="D6" s="20"/>
      <c r="E6" s="20">
        <f>('2 Functionalization2'!H24)</f>
        <v>60656.899156184576</v>
      </c>
      <c r="F6" s="20">
        <f>('2 Functionalization2'!I24)</f>
        <v>1333889.1216859224</v>
      </c>
      <c r="G6" s="20">
        <f>('2 Functionalization2'!J24)</f>
        <v>0</v>
      </c>
      <c r="H6" s="20">
        <f>('2 Functionalization2'!K24)</f>
        <v>322660.09680489096</v>
      </c>
      <c r="I6" s="20">
        <f>('2 Functionalization2'!L24)</f>
        <v>620948.57467355754</v>
      </c>
      <c r="J6" s="20">
        <f>('2 Functionalization2'!M24)</f>
        <v>0</v>
      </c>
      <c r="K6" s="20">
        <f>('2 Functionalization2'!N24)</f>
        <v>366877.94433838956</v>
      </c>
      <c r="L6" s="20">
        <f>('2 Functionalization2'!O24)</f>
        <v>31291.83693242128</v>
      </c>
      <c r="M6" s="47">
        <f t="shared" si="0"/>
        <v>2736324.4735913663</v>
      </c>
    </row>
    <row r="7" spans="2:13" ht="17.25" customHeight="1">
      <c r="B7" s="16" t="s">
        <v>140</v>
      </c>
      <c r="C7" s="16"/>
      <c r="D7" s="20"/>
      <c r="E7" s="20">
        <f>('2 Functionalization2'!H34)</f>
        <v>169.68229647759219</v>
      </c>
      <c r="F7" s="20">
        <f>('2 Functionalization2'!I34)</f>
        <v>4659911.3041535513</v>
      </c>
      <c r="G7" s="20">
        <f>('2 Functionalization2'!J34)</f>
        <v>19006.906045094634</v>
      </c>
      <c r="H7" s="20">
        <f>('2 Functionalization2'!K34)</f>
        <v>1127205.7085224662</v>
      </c>
      <c r="I7" s="20">
        <f>('2 Functionalization2'!L34)</f>
        <v>218842.70481000259</v>
      </c>
      <c r="J7" s="20">
        <f>('2 Functionalization2'!M34)</f>
        <v>0</v>
      </c>
      <c r="K7" s="20">
        <f>('2 Functionalization2'!N34)</f>
        <v>0</v>
      </c>
      <c r="L7" s="20">
        <f>('2 Functionalization2'!O34)</f>
        <v>221001.4790311534</v>
      </c>
      <c r="M7" s="47">
        <f t="shared" si="0"/>
        <v>6246137.7848587455</v>
      </c>
    </row>
    <row r="8" spans="2:13" ht="17.25" customHeight="1">
      <c r="B8" s="16" t="s">
        <v>115</v>
      </c>
      <c r="C8" s="16"/>
      <c r="D8" s="20"/>
      <c r="E8" s="20">
        <f>'2 Functionalization2'!H40</f>
        <v>0</v>
      </c>
      <c r="F8" s="20">
        <f>'2 Functionalization2'!I40</f>
        <v>0</v>
      </c>
      <c r="G8" s="20">
        <f>'2 Functionalization2'!J40</f>
        <v>0</v>
      </c>
      <c r="H8" s="20">
        <f>'2 Functionalization2'!K40</f>
        <v>0</v>
      </c>
      <c r="I8" s="20">
        <f>'2 Functionalization2'!L40</f>
        <v>0</v>
      </c>
      <c r="J8" s="20">
        <f>'2 Functionalization2'!M40</f>
        <v>2905364.9361983882</v>
      </c>
      <c r="K8" s="20">
        <f>'2 Functionalization2'!N40</f>
        <v>0</v>
      </c>
      <c r="L8" s="20">
        <f>'2 Functionalization2'!O40</f>
        <v>0</v>
      </c>
      <c r="M8" s="47">
        <f t="shared" si="0"/>
        <v>2905364.9361983882</v>
      </c>
    </row>
    <row r="9" spans="2:13" ht="17.25" customHeight="1">
      <c r="B9" s="16" t="s">
        <v>161</v>
      </c>
      <c r="C9" s="16"/>
      <c r="D9" s="20"/>
      <c r="E9" s="20">
        <f>'2 Functionalization2'!H48</f>
        <v>0</v>
      </c>
      <c r="F9" s="20">
        <f>'2 Functionalization2'!I48</f>
        <v>0</v>
      </c>
      <c r="G9" s="20">
        <f>'2 Functionalization2'!J48</f>
        <v>0</v>
      </c>
      <c r="H9" s="20">
        <f>'2 Functionalization2'!K48</f>
        <v>0</v>
      </c>
      <c r="I9" s="20">
        <f>'2 Functionalization2'!L48</f>
        <v>0</v>
      </c>
      <c r="J9" s="20">
        <f>'2 Functionalization2'!M48</f>
        <v>1024972.6507149031</v>
      </c>
      <c r="K9" s="20">
        <f>'2 Functionalization2'!N48</f>
        <v>0</v>
      </c>
      <c r="L9" s="20">
        <f>'2 Functionalization2'!O48</f>
        <v>0</v>
      </c>
      <c r="M9" s="47">
        <f t="shared" si="0"/>
        <v>1024972.6507149031</v>
      </c>
    </row>
    <row r="10" spans="2:13" ht="17.25" customHeight="1">
      <c r="B10" s="16" t="s">
        <v>162</v>
      </c>
      <c r="C10" s="16"/>
      <c r="D10" s="20"/>
      <c r="E10" s="20">
        <f>('2 Functionalization2'!H61)</f>
        <v>20747.166562509858</v>
      </c>
      <c r="F10" s="20">
        <f>('2 Functionalization2'!I61)</f>
        <v>2044408.4281493269</v>
      </c>
      <c r="G10" s="20">
        <f>('2 Functionalization2'!J61)</f>
        <v>6483.0118040160714</v>
      </c>
      <c r="H10" s="20">
        <f>('2 Functionalization2'!K61)</f>
        <v>494530.62523042131</v>
      </c>
      <c r="I10" s="20">
        <f>('2 Functionalization2'!L61)</f>
        <v>286442.03137978807</v>
      </c>
      <c r="J10" s="20">
        <f>('2 Functionalization2'!M61)</f>
        <v>1340587.7268648352</v>
      </c>
      <c r="K10" s="20">
        <f>('2 Functionalization2'!N61)</f>
        <v>125137.35997515361</v>
      </c>
      <c r="L10" s="20">
        <f>('2 Functionalization2'!O61)</f>
        <v>86054.013293149168</v>
      </c>
      <c r="M10" s="47">
        <f t="shared" si="0"/>
        <v>4404390.3632592</v>
      </c>
    </row>
    <row r="11" spans="2:13" ht="17.25" customHeight="1">
      <c r="B11" s="16" t="s">
        <v>163</v>
      </c>
      <c r="C11" s="16"/>
      <c r="D11" s="20"/>
      <c r="E11" s="20">
        <f>('2 Functionalization2'!H66)</f>
        <v>75944.390227034979</v>
      </c>
      <c r="F11" s="20">
        <f>('2 Functionalization2'!I66)</f>
        <v>5004877.907861542</v>
      </c>
      <c r="G11" s="20">
        <f>('2 Functionalization2'!J66)</f>
        <v>1271406.7667205865</v>
      </c>
      <c r="H11" s="20">
        <f>('2 Functionalization2'!K66)</f>
        <v>1210651.1433320649</v>
      </c>
      <c r="I11" s="20">
        <f>('2 Functionalization2'!L66)</f>
        <v>319750.93597594713</v>
      </c>
      <c r="J11" s="20">
        <f>('2 Functionalization2'!M66)</f>
        <v>150047.45930068704</v>
      </c>
      <c r="K11" s="20">
        <f>('2 Functionalization2'!N66)</f>
        <v>224968.77177192629</v>
      </c>
      <c r="L11" s="20">
        <f>('2 Functionalization2'!O66)</f>
        <v>126646.49871021028</v>
      </c>
      <c r="M11" s="47">
        <f t="shared" si="0"/>
        <v>8384293.8738999991</v>
      </c>
    </row>
    <row r="12" spans="2:13" ht="17.25" customHeight="1">
      <c r="B12" s="16" t="s">
        <v>164</v>
      </c>
      <c r="C12" s="16"/>
      <c r="D12" s="20"/>
      <c r="E12" s="20">
        <f>('2 Functionalization2'!H71)</f>
        <v>185.76590323743045</v>
      </c>
      <c r="F12" s="20">
        <f>('2 Functionalization2'!I71)</f>
        <v>12166.281069446244</v>
      </c>
      <c r="G12" s="20">
        <f>('2 Functionalization2'!J71)</f>
        <v>3148.2371854640292</v>
      </c>
      <c r="H12" s="20">
        <f>('2 Functionalization2'!K71)</f>
        <v>2942.9533263315366</v>
      </c>
      <c r="I12" s="20">
        <f>('2 Functionalization2'!L71)</f>
        <v>759.77829072616646</v>
      </c>
      <c r="J12" s="20">
        <f>('2 Functionalization2'!M71)</f>
        <v>221.08520243074904</v>
      </c>
      <c r="K12" s="20">
        <f>('2 Functionalization2'!N71)</f>
        <v>543.14018655425411</v>
      </c>
      <c r="L12" s="20">
        <f>('2 Functionalization2'!O71)</f>
        <v>304.00883580959726</v>
      </c>
      <c r="M12" s="47">
        <f t="shared" si="0"/>
        <v>20271.250000000007</v>
      </c>
    </row>
    <row r="13" spans="2:13" ht="17.25" customHeight="1">
      <c r="B13" s="16" t="s">
        <v>165</v>
      </c>
      <c r="C13" s="16"/>
      <c r="D13" s="20"/>
      <c r="E13" s="20">
        <f>('2 Functionalization2'!H76)</f>
        <v>43087.286110662062</v>
      </c>
      <c r="F13" s="20">
        <f>('2 Functionalization2'!I76)</f>
        <v>2821895.8603611877</v>
      </c>
      <c r="G13" s="20">
        <f>('2 Functionalization2'!J76)</f>
        <v>730214.71642693703</v>
      </c>
      <c r="H13" s="20">
        <f>('2 Functionalization2'!K76)</f>
        <v>682600.35761192103</v>
      </c>
      <c r="I13" s="20">
        <f>('2 Functionalization2'!L76)</f>
        <v>176226.01361535487</v>
      </c>
      <c r="J13" s="20">
        <f>('2 Functionalization2'!M76)</f>
        <v>51279.385538217073</v>
      </c>
      <c r="K13" s="20">
        <f>('2 Functionalization2'!N76)</f>
        <v>125978.10582252264</v>
      </c>
      <c r="L13" s="20">
        <f>('2 Functionalization2'!O76)</f>
        <v>70513.024513198543</v>
      </c>
      <c r="M13" s="47">
        <f t="shared" si="0"/>
        <v>4701794.75</v>
      </c>
    </row>
    <row r="14" spans="2:13" ht="17.25" customHeight="1">
      <c r="B14" s="16" t="s">
        <v>168</v>
      </c>
      <c r="C14" s="16"/>
      <c r="D14" s="20"/>
      <c r="E14" s="20">
        <f>('2 Functionalization2'!H79)</f>
        <v>26.381896932557634</v>
      </c>
      <c r="F14" s="20">
        <f>('2 Functionalization2'!I79)</f>
        <v>1727.8174715217863</v>
      </c>
      <c r="G14" s="20">
        <f>('2 Functionalization2'!J79)</f>
        <v>447.1028724792489</v>
      </c>
      <c r="H14" s="20">
        <f>('2 Functionalization2'!K79)</f>
        <v>417.94909603713666</v>
      </c>
      <c r="I14" s="20">
        <f>('2 Functionalization2'!L79)</f>
        <v>107.90135438317476</v>
      </c>
      <c r="J14" s="20">
        <f>('2 Functionalization2'!M79)</f>
        <v>31.397834167591348</v>
      </c>
      <c r="K14" s="20">
        <f>('2 Functionalization2'!N79)</f>
        <v>77.135083305843494</v>
      </c>
      <c r="L14" s="20">
        <f>('2 Functionalization2'!O79)</f>
        <v>43.174391172661629</v>
      </c>
      <c r="M14" s="47">
        <f t="shared" si="0"/>
        <v>2878.860000000001</v>
      </c>
    </row>
    <row r="15" spans="2:13" ht="17.25" customHeight="1">
      <c r="B15" s="16" t="s">
        <v>58</v>
      </c>
      <c r="C15" s="16"/>
      <c r="D15" s="21">
        <f t="shared" ref="D15:L15" si="1">SUM(D5:D14)</f>
        <v>84104533.455502495</v>
      </c>
      <c r="E15" s="21">
        <f t="shared" si="1"/>
        <v>200817.57215303904</v>
      </c>
      <c r="F15" s="21">
        <f t="shared" si="1"/>
        <v>15878876.720752498</v>
      </c>
      <c r="G15" s="21">
        <f t="shared" si="1"/>
        <v>2030706.7410545773</v>
      </c>
      <c r="H15" s="21">
        <f t="shared" si="1"/>
        <v>3841008.8339241329</v>
      </c>
      <c r="I15" s="21">
        <f t="shared" si="1"/>
        <v>1623077.9400997597</v>
      </c>
      <c r="J15" s="21">
        <f t="shared" si="1"/>
        <v>5472504.6416536281</v>
      </c>
      <c r="K15" s="21">
        <f t="shared" si="1"/>
        <v>843582.45717785228</v>
      </c>
      <c r="L15" s="21">
        <f t="shared" si="1"/>
        <v>535854.03570711496</v>
      </c>
      <c r="M15" s="42">
        <f t="shared" si="0"/>
        <v>114530962.39802508</v>
      </c>
    </row>
    <row r="16" spans="2:13" ht="17.25" customHeight="1">
      <c r="B16" s="16" t="s">
        <v>59</v>
      </c>
      <c r="C16" s="16"/>
      <c r="D16" s="20">
        <f>(D13)</f>
        <v>0</v>
      </c>
      <c r="E16" s="20">
        <f>('2 Functionalization2'!H82)</f>
        <v>43087.28840166414</v>
      </c>
      <c r="F16" s="20">
        <f>('2 Functionalization2'!I82)</f>
        <v>2821896.0104047353</v>
      </c>
      <c r="G16" s="20">
        <f>('2 Functionalization2'!J82)</f>
        <v>730214.75525331905</v>
      </c>
      <c r="H16" s="20">
        <f>('2 Functionalization2'!K82)</f>
        <v>682600.39390659111</v>
      </c>
      <c r="I16" s="20">
        <f>('2 Functionalization2'!L82)</f>
        <v>176226.02298550089</v>
      </c>
      <c r="J16" s="20">
        <f>('2 Functionalization2'!M82)</f>
        <v>51279.388264802787</v>
      </c>
      <c r="K16" s="20">
        <f>('2 Functionalization2'!N82)</f>
        <v>125978.11252092785</v>
      </c>
      <c r="L16" s="20">
        <f>('2 Functionalization2'!O82)</f>
        <v>70513.028262459644</v>
      </c>
      <c r="M16" s="42">
        <f t="shared" si="0"/>
        <v>4701795.0000000019</v>
      </c>
    </row>
    <row r="17" spans="2:13" ht="17.25" customHeight="1">
      <c r="B17" s="17" t="s">
        <v>166</v>
      </c>
      <c r="C17" s="17"/>
      <c r="D17" s="21">
        <f t="shared" ref="D17:L17" si="2">SUM(D15:D16)</f>
        <v>84104533.455502495</v>
      </c>
      <c r="E17" s="21">
        <f>SUM(E15:E16)</f>
        <v>243904.86055470319</v>
      </c>
      <c r="F17" s="21">
        <f t="shared" si="2"/>
        <v>18700772.731157232</v>
      </c>
      <c r="G17" s="21">
        <f>SUM(G15:G16)</f>
        <v>2760921.4963078965</v>
      </c>
      <c r="H17" s="21">
        <f t="shared" si="2"/>
        <v>4523609.2278307239</v>
      </c>
      <c r="I17" s="21">
        <f t="shared" si="2"/>
        <v>1799303.9630852607</v>
      </c>
      <c r="J17" s="21">
        <f t="shared" si="2"/>
        <v>5523784.0299184313</v>
      </c>
      <c r="K17" s="21">
        <f t="shared" si="2"/>
        <v>969560.56969878008</v>
      </c>
      <c r="L17" s="21">
        <f t="shared" si="2"/>
        <v>606367.06396957464</v>
      </c>
      <c r="M17" s="37">
        <f t="shared" si="0"/>
        <v>119232757.3980251</v>
      </c>
    </row>
    <row r="18" spans="2:13">
      <c r="B18" s="13" t="s">
        <v>1</v>
      </c>
      <c r="D18" s="14"/>
      <c r="E18" s="14"/>
      <c r="F18" s="14"/>
      <c r="G18" s="14"/>
      <c r="H18" s="14"/>
      <c r="I18" s="14"/>
      <c r="J18" s="14"/>
      <c r="K18" s="14"/>
    </row>
    <row r="19" spans="2:13">
      <c r="D19" s="14"/>
      <c r="E19" s="44">
        <f>(E16/E17)</f>
        <v>0.17665612855632487</v>
      </c>
      <c r="F19" s="14"/>
      <c r="G19" s="14"/>
      <c r="H19" s="14"/>
      <c r="I19" s="14"/>
      <c r="J19" s="14"/>
      <c r="K19" s="14"/>
      <c r="M19" s="43">
        <f>SUM(M5:M14)</f>
        <v>114530962.3980251</v>
      </c>
    </row>
    <row r="20" spans="2:13">
      <c r="D20" s="14"/>
      <c r="E20" s="14"/>
      <c r="F20" s="14"/>
      <c r="G20" s="14"/>
      <c r="H20" s="14"/>
      <c r="I20" s="14"/>
      <c r="J20" s="14"/>
      <c r="K20" s="14"/>
    </row>
    <row r="21" spans="2:13">
      <c r="D21" s="14"/>
      <c r="E21" s="14"/>
      <c r="F21" s="14"/>
      <c r="G21" s="14"/>
      <c r="H21" s="14"/>
      <c r="I21" s="14"/>
      <c r="J21" s="14"/>
      <c r="K21" s="14"/>
    </row>
    <row r="22" spans="2:13">
      <c r="D22" s="14"/>
      <c r="E22" s="14"/>
      <c r="F22" s="14"/>
      <c r="G22" s="14"/>
      <c r="H22" s="14"/>
      <c r="I22" s="14"/>
      <c r="J22" s="14"/>
      <c r="K22" s="14"/>
    </row>
  </sheetData>
  <customSheetViews>
    <customSheetView guid="{18050E3F-BBF0-4BF6-9B33-B0817BE1B1C5}" showRuler="0" topLeftCell="C1">
      <selection activeCell="N15" sqref="N15"/>
      <colBreaks count="1" manualBreakCount="1">
        <brk id="8" max="1048575" man="1"/>
      </colBreaks>
      <pageMargins left="0.75" right="0.75" top="1" bottom="1" header="0.5" footer="0.5"/>
      <printOptions horizontalCentered="1" verticalCentered="1" gridLines="1"/>
      <pageSetup scale="120" orientation="landscape" horizontalDpi="4294967293" r:id="rId1"/>
      <headerFooter alignWithMargins="0">
        <oddHeader>&amp;C&amp;"Arial,Bold"&amp;12 MEADE COUNTY RECC
CASE NO. 2010-00222
FUNCTIONALIZATION SUMMARY&amp;R&amp;11Exhibit R
Schedule 2
Page ____ of ____
Witness:  Jim Adkins</oddHeader>
      </headerFooter>
    </customSheetView>
  </customSheetViews>
  <phoneticPr fontId="3" type="noConversion"/>
  <printOptions horizontalCentered="1" verticalCentered="1" gridLines="1"/>
  <pageMargins left="0.75" right="0.75" top="1" bottom="1" header="0.5" footer="0.5"/>
  <pageSetup scale="80" orientation="landscape" horizontalDpi="4294967293" r:id="rId2"/>
  <headerFooter alignWithMargins="0">
    <oddHeader>&amp;C&amp;"Arial,Bold"&amp;12 BLUE GRASS ENERGY COOPERATIVE
CASE NO. 2014-00339
FUNCTIONALIZATION SUMMARY&amp;R&amp;11 Exhibit R
Schedule 2
Page ____ of ____
Witness:  Jim Adkins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11"/>
  <sheetViews>
    <sheetView view="pageBreakPreview" topLeftCell="A69" zoomScale="87" zoomScaleNormal="100" zoomScaleSheetLayoutView="87" workbookViewId="0">
      <selection activeCell="A87" sqref="A87"/>
    </sheetView>
  </sheetViews>
  <sheetFormatPr defaultRowHeight="12.75"/>
  <cols>
    <col min="1" max="1" width="6" style="206" customWidth="1"/>
    <col min="2" max="2" width="7.140625" style="206" customWidth="1"/>
    <col min="3" max="3" width="24.5703125" style="77" customWidth="1"/>
    <col min="4" max="4" width="9.7109375" style="77" customWidth="1"/>
    <col min="5" max="5" width="14" style="190" customWidth="1"/>
    <col min="6" max="6" width="3.28515625" style="77" customWidth="1"/>
    <col min="7" max="7" width="13.5703125" style="77" customWidth="1"/>
    <col min="8" max="8" width="16.5703125" style="77" customWidth="1"/>
    <col min="9" max="9" width="14.28515625" style="77" customWidth="1"/>
    <col min="10" max="10" width="15.5703125" style="77" bestFit="1" customWidth="1"/>
    <col min="11" max="11" width="13.7109375" style="77" customWidth="1"/>
    <col min="12" max="12" width="13" style="77" customWidth="1"/>
    <col min="13" max="13" width="12.140625" style="77" customWidth="1"/>
    <col min="14" max="14" width="14" style="77" customWidth="1"/>
    <col min="15" max="15" width="11.42578125" style="77" customWidth="1"/>
    <col min="16" max="16" width="17.42578125" style="77" customWidth="1"/>
    <col min="17" max="17" width="13.7109375" style="77" customWidth="1"/>
    <col min="18" max="18" width="13" style="77" bestFit="1" customWidth="1"/>
    <col min="19" max="19" width="12.5703125" style="77" customWidth="1"/>
    <col min="20" max="20" width="14.28515625" style="77" customWidth="1"/>
    <col min="21" max="21" width="11.5703125" style="77" customWidth="1"/>
    <col min="22" max="22" width="11.42578125" style="77" customWidth="1"/>
    <col min="23" max="23" width="9.140625" style="77"/>
    <col min="24" max="24" width="11.5703125" style="77" bestFit="1" customWidth="1"/>
    <col min="25" max="26" width="9.140625" style="77"/>
    <col min="27" max="27" width="14.28515625" style="77" bestFit="1" customWidth="1"/>
    <col min="28" max="29" width="9.140625" style="77"/>
    <col min="30" max="30" width="13.7109375" style="77" bestFit="1" customWidth="1"/>
    <col min="31" max="31" width="11.28515625" style="77" bestFit="1" customWidth="1"/>
    <col min="32" max="32" width="9.140625" style="77"/>
    <col min="33" max="33" width="11.42578125" style="77" bestFit="1" customWidth="1"/>
    <col min="34" max="16384" width="9.140625" style="77"/>
  </cols>
  <sheetData>
    <row r="1" spans="1:19" ht="18" customHeight="1">
      <c r="A1" s="882" t="s">
        <v>312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</row>
    <row r="2" spans="1:19" ht="12.75" customHeight="1">
      <c r="A2" s="164" t="s">
        <v>146</v>
      </c>
      <c r="B2" s="164" t="s">
        <v>1</v>
      </c>
      <c r="C2" s="152"/>
      <c r="D2" s="152"/>
      <c r="E2" s="165"/>
      <c r="F2" s="152"/>
      <c r="G2" s="152"/>
      <c r="H2" s="879" t="s">
        <v>192</v>
      </c>
      <c r="I2" s="880"/>
      <c r="J2" s="880"/>
      <c r="K2" s="880"/>
      <c r="L2" s="880"/>
      <c r="M2" s="880"/>
      <c r="N2" s="881"/>
      <c r="O2" s="164"/>
      <c r="P2" s="152"/>
      <c r="Q2" s="152"/>
      <c r="R2" s="152"/>
      <c r="S2" s="152"/>
    </row>
    <row r="3" spans="1:19">
      <c r="A3" s="164" t="s">
        <v>1</v>
      </c>
      <c r="B3" s="164"/>
      <c r="C3" s="152"/>
      <c r="D3" s="152"/>
      <c r="E3" s="165"/>
      <c r="F3" s="152"/>
      <c r="G3" s="166"/>
      <c r="H3" s="166"/>
      <c r="I3" s="166"/>
      <c r="J3" s="167" t="s">
        <v>1</v>
      </c>
      <c r="K3" s="166"/>
      <c r="L3" s="167" t="s">
        <v>10</v>
      </c>
      <c r="M3" s="166"/>
      <c r="N3" s="166"/>
      <c r="O3" s="152"/>
      <c r="P3" s="152"/>
      <c r="Q3" s="152"/>
      <c r="R3" s="152"/>
      <c r="S3" s="164"/>
    </row>
    <row r="4" spans="1:19">
      <c r="A4" s="164" t="s">
        <v>1</v>
      </c>
      <c r="B4" s="164" t="s">
        <v>193</v>
      </c>
      <c r="C4" s="152"/>
      <c r="D4" s="164" t="s">
        <v>1</v>
      </c>
      <c r="E4" s="165"/>
      <c r="F4" s="152"/>
      <c r="G4" s="168"/>
      <c r="H4" s="168"/>
      <c r="I4" s="168"/>
      <c r="J4" s="152"/>
      <c r="K4" s="168"/>
      <c r="L4" s="164" t="s">
        <v>96</v>
      </c>
      <c r="M4" s="169" t="s">
        <v>204</v>
      </c>
      <c r="N4" s="169" t="s">
        <v>203</v>
      </c>
      <c r="O4" s="117" t="s">
        <v>1</v>
      </c>
      <c r="P4" s="152"/>
      <c r="Q4" s="152"/>
      <c r="R4" s="152"/>
      <c r="S4" s="152"/>
    </row>
    <row r="5" spans="1:19">
      <c r="A5" s="164" t="s">
        <v>1</v>
      </c>
      <c r="B5" s="116" t="s">
        <v>194</v>
      </c>
      <c r="C5" s="116" t="s">
        <v>17</v>
      </c>
      <c r="D5" s="164" t="s">
        <v>1</v>
      </c>
      <c r="E5" s="170" t="s">
        <v>97</v>
      </c>
      <c r="F5" s="152"/>
      <c r="G5" s="171" t="s">
        <v>240</v>
      </c>
      <c r="H5" s="171" t="s">
        <v>5</v>
      </c>
      <c r="I5" s="171" t="s">
        <v>111</v>
      </c>
      <c r="J5" s="172" t="s">
        <v>8</v>
      </c>
      <c r="K5" s="171" t="s">
        <v>9</v>
      </c>
      <c r="L5" s="173" t="s">
        <v>8</v>
      </c>
      <c r="M5" s="174" t="s">
        <v>13</v>
      </c>
      <c r="N5" s="174" t="s">
        <v>13</v>
      </c>
      <c r="O5" s="117" t="s">
        <v>1</v>
      </c>
      <c r="P5" s="152"/>
      <c r="Q5" s="152"/>
      <c r="R5" s="152"/>
      <c r="S5" s="152"/>
    </row>
    <row r="6" spans="1:19">
      <c r="A6" s="164">
        <v>1</v>
      </c>
      <c r="B6" s="164">
        <f>([6]adjustment!B36)</f>
        <v>301</v>
      </c>
      <c r="C6" s="176" t="str">
        <f>([6]adjustment!C36)</f>
        <v xml:space="preserve">  Organization</v>
      </c>
      <c r="D6" s="152"/>
      <c r="E6" s="165">
        <v>0</v>
      </c>
      <c r="F6" s="152"/>
      <c r="G6" s="152"/>
      <c r="H6" s="165">
        <f>(E6)</f>
        <v>0</v>
      </c>
      <c r="I6" s="152"/>
      <c r="J6" s="152"/>
      <c r="K6" s="152"/>
      <c r="L6" s="152"/>
      <c r="M6" s="152"/>
      <c r="N6" s="152"/>
      <c r="O6" s="152"/>
      <c r="P6" s="177">
        <f>SUM(H6:N6)</f>
        <v>0</v>
      </c>
    </row>
    <row r="7" spans="1:19">
      <c r="A7" s="164">
        <v>2</v>
      </c>
      <c r="B7" s="164">
        <v>389</v>
      </c>
      <c r="C7" s="176" t="s">
        <v>260</v>
      </c>
      <c r="D7" s="152"/>
      <c r="E7" s="165"/>
      <c r="F7" s="152"/>
      <c r="G7" s="152"/>
      <c r="H7" s="165">
        <f>(E7)</f>
        <v>0</v>
      </c>
      <c r="I7" s="152"/>
      <c r="J7" s="152"/>
      <c r="K7" s="152"/>
      <c r="L7" s="152"/>
      <c r="M7" s="152"/>
      <c r="N7" s="152"/>
      <c r="O7" s="152"/>
      <c r="P7" s="177">
        <f>SUM(G7:N7)</f>
        <v>0</v>
      </c>
    </row>
    <row r="8" spans="1:19">
      <c r="A8" s="164">
        <v>3</v>
      </c>
      <c r="B8" s="164">
        <v>362</v>
      </c>
      <c r="C8" s="176" t="s">
        <v>258</v>
      </c>
      <c r="D8" s="152"/>
      <c r="E8" s="165">
        <f>1345642.26+545573.23</f>
        <v>1891215.49</v>
      </c>
      <c r="F8" s="152"/>
      <c r="G8" s="178">
        <f>(E8)</f>
        <v>1891215.49</v>
      </c>
      <c r="H8" s="165"/>
      <c r="I8" s="152"/>
      <c r="J8" s="152"/>
      <c r="K8" s="152"/>
      <c r="L8" s="152"/>
      <c r="M8" s="152"/>
      <c r="N8" s="152"/>
      <c r="O8" s="152"/>
      <c r="P8" s="177">
        <f t="shared" ref="P8:P16" si="0">SUM(G8:N8)</f>
        <v>1891215.49</v>
      </c>
    </row>
    <row r="9" spans="1:19">
      <c r="A9" s="164">
        <v>4</v>
      </c>
      <c r="B9" s="164">
        <f>([6]adjustment!B38)</f>
        <v>364</v>
      </c>
      <c r="C9" s="176" t="s">
        <v>261</v>
      </c>
      <c r="D9" s="152"/>
      <c r="E9" s="165">
        <v>57805699.039999999</v>
      </c>
      <c r="F9" s="152"/>
      <c r="G9" s="152"/>
      <c r="H9" s="165">
        <f>(E9)</f>
        <v>57805699.039999999</v>
      </c>
      <c r="I9" s="152"/>
      <c r="J9" s="152"/>
      <c r="K9" s="152"/>
      <c r="L9" s="152"/>
      <c r="M9" s="152"/>
      <c r="N9" s="152"/>
      <c r="O9" s="152"/>
      <c r="P9" s="177">
        <f t="shared" si="0"/>
        <v>57805699.039999999</v>
      </c>
    </row>
    <row r="10" spans="1:19">
      <c r="A10" s="164">
        <v>5</v>
      </c>
      <c r="B10" s="164">
        <f>([6]adjustment!B39)</f>
        <v>365</v>
      </c>
      <c r="C10" s="176" t="s">
        <v>262</v>
      </c>
      <c r="D10" s="152"/>
      <c r="E10" s="165">
        <v>50743403.600000001</v>
      </c>
      <c r="F10" s="152"/>
      <c r="G10" s="152"/>
      <c r="H10" s="165">
        <f>(E10-M10)</f>
        <v>50743403.600000001</v>
      </c>
      <c r="I10" s="152"/>
      <c r="J10" s="152"/>
      <c r="K10" s="152"/>
      <c r="L10" s="152"/>
      <c r="M10" s="165"/>
      <c r="N10" s="152"/>
      <c r="O10" s="152"/>
      <c r="P10" s="177">
        <f t="shared" si="0"/>
        <v>50743403.600000001</v>
      </c>
    </row>
    <row r="11" spans="1:19">
      <c r="A11" s="164"/>
      <c r="B11" s="164">
        <v>366</v>
      </c>
      <c r="C11" s="176" t="s">
        <v>359</v>
      </c>
      <c r="D11" s="152"/>
      <c r="E11" s="179">
        <v>0</v>
      </c>
      <c r="F11" s="152"/>
      <c r="G11" s="152"/>
      <c r="H11" s="165">
        <f>(E11-M11)</f>
        <v>0</v>
      </c>
      <c r="I11" s="152"/>
      <c r="J11" s="152"/>
      <c r="K11" s="152"/>
      <c r="L11" s="152"/>
      <c r="M11" s="165"/>
      <c r="N11" s="152"/>
      <c r="O11" s="152"/>
      <c r="P11" s="177"/>
    </row>
    <row r="12" spans="1:19">
      <c r="A12" s="164">
        <v>6</v>
      </c>
      <c r="B12" s="164">
        <v>367</v>
      </c>
      <c r="C12" s="176" t="s">
        <v>259</v>
      </c>
      <c r="D12" s="152"/>
      <c r="E12" s="165">
        <v>14138673.119999999</v>
      </c>
      <c r="F12" s="152"/>
      <c r="G12" s="152"/>
      <c r="H12" s="165">
        <f>(E12)</f>
        <v>14138673.119999999</v>
      </c>
      <c r="I12" s="152"/>
      <c r="J12" s="152"/>
      <c r="K12" s="152"/>
      <c r="L12" s="152"/>
      <c r="M12" s="152"/>
      <c r="N12" s="152"/>
      <c r="O12" s="152"/>
      <c r="P12" s="177">
        <f t="shared" si="0"/>
        <v>14138673.119999999</v>
      </c>
    </row>
    <row r="13" spans="1:19">
      <c r="A13" s="164">
        <v>7</v>
      </c>
      <c r="B13" s="164">
        <f>([6]adjustment!B42)</f>
        <v>368</v>
      </c>
      <c r="C13" s="176" t="s">
        <v>263</v>
      </c>
      <c r="D13" s="152"/>
      <c r="E13" s="165">
        <f>22840564.83+9800824.43</f>
        <v>32641389.259999998</v>
      </c>
      <c r="F13" s="152"/>
      <c r="G13" s="152"/>
      <c r="H13" s="165" t="s">
        <v>1</v>
      </c>
      <c r="I13" s="178">
        <f>(E13)</f>
        <v>32641389.259999998</v>
      </c>
      <c r="J13" s="152"/>
      <c r="K13" s="152"/>
      <c r="L13" s="152"/>
      <c r="M13" s="152"/>
      <c r="N13" s="152"/>
      <c r="O13" s="152"/>
      <c r="P13" s="177">
        <f t="shared" si="0"/>
        <v>32641389.259999998</v>
      </c>
      <c r="R13" s="77">
        <v>370</v>
      </c>
      <c r="S13" s="180">
        <v>450100.68</v>
      </c>
    </row>
    <row r="14" spans="1:19">
      <c r="A14" s="164">
        <v>8</v>
      </c>
      <c r="B14" s="164">
        <f>([6]adjustment!B43)</f>
        <v>369</v>
      </c>
      <c r="C14" s="176" t="s">
        <v>8</v>
      </c>
      <c r="D14" s="152"/>
      <c r="E14" s="165">
        <f>10324375.44+19353090.97</f>
        <v>29677466.409999996</v>
      </c>
      <c r="F14" s="152"/>
      <c r="G14" s="152"/>
      <c r="H14" s="152"/>
      <c r="I14" s="165" t="s">
        <v>1</v>
      </c>
      <c r="J14" s="178">
        <f>(E14)</f>
        <v>29677466.409999996</v>
      </c>
      <c r="K14" s="152"/>
      <c r="L14" s="152"/>
      <c r="M14" s="152"/>
      <c r="N14" s="152"/>
      <c r="O14" s="152"/>
      <c r="P14" s="177">
        <f t="shared" si="0"/>
        <v>29677466.409999996</v>
      </c>
      <c r="R14" s="77">
        <v>370.1</v>
      </c>
      <c r="S14" s="180">
        <v>6940121.3899999997</v>
      </c>
    </row>
    <row r="15" spans="1:19">
      <c r="A15" s="164">
        <v>9</v>
      </c>
      <c r="B15" s="164">
        <f>([6]adjustment!B44)</f>
        <v>370</v>
      </c>
      <c r="C15" s="176" t="s">
        <v>9</v>
      </c>
      <c r="D15" s="152"/>
      <c r="E15" s="181">
        <f>450100.68+6940121.39</f>
        <v>7390222.0699999994</v>
      </c>
      <c r="F15" s="152"/>
      <c r="G15" s="152"/>
      <c r="H15" s="152"/>
      <c r="I15" s="152"/>
      <c r="J15" s="178" t="s">
        <v>1</v>
      </c>
      <c r="K15" s="178">
        <f>(E15)</f>
        <v>7390222.0699999994</v>
      </c>
      <c r="L15" s="152"/>
      <c r="M15" s="165"/>
      <c r="N15" s="152"/>
      <c r="O15" s="152"/>
      <c r="P15" s="177">
        <f t="shared" si="0"/>
        <v>7390222.0699999994</v>
      </c>
      <c r="R15" s="77">
        <v>370.2</v>
      </c>
      <c r="S15" s="182"/>
    </row>
    <row r="16" spans="1:19">
      <c r="A16" s="164">
        <v>10</v>
      </c>
      <c r="B16" s="164">
        <f>([6]adjustment!B46)</f>
        <v>371</v>
      </c>
      <c r="C16" s="176" t="s">
        <v>256</v>
      </c>
      <c r="D16" s="152"/>
      <c r="E16" s="165">
        <v>5419228.4000000004</v>
      </c>
      <c r="F16" s="152"/>
      <c r="G16" s="152"/>
      <c r="H16" s="152"/>
      <c r="I16" s="152"/>
      <c r="J16" s="152"/>
      <c r="K16" s="152"/>
      <c r="L16" s="152"/>
      <c r="M16" s="178">
        <f>(E16)</f>
        <v>5419228.4000000004</v>
      </c>
      <c r="N16" s="152"/>
      <c r="O16" s="152"/>
      <c r="P16" s="177">
        <f t="shared" si="0"/>
        <v>5419228.4000000004</v>
      </c>
      <c r="R16" s="77">
        <v>370.3</v>
      </c>
      <c r="S16" s="182"/>
    </row>
    <row r="17" spans="1:32">
      <c r="A17" s="164">
        <v>11</v>
      </c>
      <c r="B17" s="164">
        <f>([6]adjustment!B47)</f>
        <v>373</v>
      </c>
      <c r="C17" s="176" t="s">
        <v>229</v>
      </c>
      <c r="D17" s="152"/>
      <c r="E17" s="183">
        <v>3005887.4</v>
      </c>
      <c r="F17" s="184"/>
      <c r="G17" s="183" t="s">
        <v>1</v>
      </c>
      <c r="H17" s="184"/>
      <c r="I17" s="184"/>
      <c r="J17" s="184"/>
      <c r="K17" s="184"/>
      <c r="L17" s="184"/>
      <c r="M17" s="184"/>
      <c r="N17" s="185">
        <f>(E17)</f>
        <v>3005887.4</v>
      </c>
      <c r="P17" s="177">
        <f>SUM(G17:N17)</f>
        <v>3005887.4</v>
      </c>
      <c r="S17" s="181">
        <f>SUM(S13:S16)</f>
        <v>7390222.0699999994</v>
      </c>
    </row>
    <row r="18" spans="1:32">
      <c r="A18" s="164">
        <v>12</v>
      </c>
      <c r="B18" s="164"/>
      <c r="C18" s="152" t="s">
        <v>98</v>
      </c>
      <c r="D18" s="152"/>
      <c r="E18" s="183">
        <f>SUM(E6:E17)</f>
        <v>202713184.78999999</v>
      </c>
      <c r="F18" s="183" t="s">
        <v>1</v>
      </c>
      <c r="G18" s="183">
        <f>SUM(G6:G17)</f>
        <v>1891215.49</v>
      </c>
      <c r="H18" s="183">
        <f>SUM(H6:H17)</f>
        <v>122687775.76000001</v>
      </c>
      <c r="I18" s="183">
        <f t="shared" ref="I18:N18" si="1">SUM(I7:I17)</f>
        <v>32641389.259999998</v>
      </c>
      <c r="J18" s="183">
        <f t="shared" si="1"/>
        <v>29677466.409999996</v>
      </c>
      <c r="K18" s="183">
        <f t="shared" si="1"/>
        <v>7390222.0699999994</v>
      </c>
      <c r="L18" s="183">
        <f t="shared" si="1"/>
        <v>0</v>
      </c>
      <c r="M18" s="183">
        <f t="shared" si="1"/>
        <v>5419228.4000000004</v>
      </c>
      <c r="N18" s="183">
        <f t="shared" si="1"/>
        <v>3005887.4</v>
      </c>
      <c r="P18" s="177">
        <f>SUM(G18:N18)</f>
        <v>202713184.78999999</v>
      </c>
    </row>
    <row r="19" spans="1:32">
      <c r="A19" s="164">
        <v>13</v>
      </c>
      <c r="B19" s="164"/>
      <c r="C19" s="152" t="s">
        <v>186</v>
      </c>
      <c r="D19" s="152"/>
      <c r="E19" s="186">
        <f>(E18/$E$18)</f>
        <v>1</v>
      </c>
      <c r="F19" s="165"/>
      <c r="G19" s="187">
        <f>(G18/$E$18)</f>
        <v>9.3295139729524645E-3</v>
      </c>
      <c r="H19" s="187">
        <f t="shared" ref="H19:M19" si="2">(H18/$E$18)</f>
        <v>0.60522839640202963</v>
      </c>
      <c r="I19" s="187">
        <f t="shared" si="2"/>
        <v>0.16102252694522426</v>
      </c>
      <c r="J19" s="187">
        <f t="shared" si="2"/>
        <v>0.14640126364125877</v>
      </c>
      <c r="K19" s="187">
        <f t="shared" si="2"/>
        <v>3.6456543651345985E-2</v>
      </c>
      <c r="L19" s="187">
        <f t="shared" si="2"/>
        <v>0</v>
      </c>
      <c r="M19" s="187">
        <f t="shared" si="2"/>
        <v>2.6733477674942708E-2</v>
      </c>
      <c r="N19" s="187">
        <f>(N18/$E$18)</f>
        <v>1.4828277712246188E-2</v>
      </c>
      <c r="P19" s="188">
        <f>SUM(G19:N19)</f>
        <v>0.99999999999999989</v>
      </c>
    </row>
    <row r="20" spans="1:32">
      <c r="A20" s="164">
        <v>14</v>
      </c>
      <c r="B20" s="164"/>
      <c r="C20" s="152"/>
      <c r="D20" s="152"/>
      <c r="E20" s="165"/>
      <c r="F20" s="152"/>
      <c r="G20" s="152"/>
      <c r="H20" s="152" t="s">
        <v>1</v>
      </c>
      <c r="I20" s="152"/>
      <c r="J20" s="152"/>
      <c r="K20" s="152"/>
      <c r="L20" s="152"/>
      <c r="M20" s="152"/>
      <c r="N20" s="152"/>
      <c r="T20" s="77">
        <v>108.7</v>
      </c>
      <c r="U20" s="180">
        <v>2408194.73</v>
      </c>
      <c r="W20" s="100">
        <v>108.6</v>
      </c>
      <c r="X20" s="180">
        <v>16403586.460000001</v>
      </c>
      <c r="Z20" s="77">
        <v>108.54</v>
      </c>
      <c r="AA20" s="190">
        <v>2610145.73</v>
      </c>
      <c r="AC20" s="77">
        <v>108.8</v>
      </c>
      <c r="AD20" s="77">
        <v>-150372.41</v>
      </c>
    </row>
    <row r="21" spans="1:32">
      <c r="A21" s="164">
        <v>15</v>
      </c>
      <c r="B21" s="164"/>
      <c r="C21" s="152" t="s">
        <v>99</v>
      </c>
      <c r="D21" s="152"/>
      <c r="E21" s="183">
        <f>9491445+8067755</f>
        <v>17559200</v>
      </c>
      <c r="F21" s="183" t="s">
        <v>1</v>
      </c>
      <c r="G21" s="183">
        <f>($E$21*'2 Functionalization2'!U91)</f>
        <v>82713.750839024739</v>
      </c>
      <c r="H21" s="183">
        <f>($E$21*'2 Functionalization2'!V91)</f>
        <v>8150543.7780940505</v>
      </c>
      <c r="I21" s="183">
        <f>($E$21*'2 Functionalization2'!W91)</f>
        <v>25846.142480622741</v>
      </c>
      <c r="J21" s="183">
        <f>($E$21*'2 Functionalization2'!X91)</f>
        <v>1971569.6017735077</v>
      </c>
      <c r="K21" s="183">
        <f>($E$21*'2 Functionalization2'!Y91)</f>
        <v>1141972.5552396444</v>
      </c>
      <c r="L21" s="183">
        <f>($E$21*'2 Functionalization2'!Z91)</f>
        <v>5344587.1215070812</v>
      </c>
      <c r="M21" s="183">
        <f>($E$21*'2 Functionalization2'!AA91)</f>
        <v>498891.27666915773</v>
      </c>
      <c r="N21" s="183">
        <f>($E$21*'2 Functionalization2'!AB91)</f>
        <v>343075.77339691401</v>
      </c>
      <c r="P21" s="177">
        <f>SUM(G21:N21)</f>
        <v>17559200.000000004</v>
      </c>
      <c r="T21" s="77">
        <v>108.71</v>
      </c>
      <c r="U21" s="180">
        <v>220990.02</v>
      </c>
      <c r="W21" s="100">
        <v>108.61</v>
      </c>
      <c r="X21" s="180">
        <v>11845341.58</v>
      </c>
      <c r="Z21" s="77">
        <v>108.55</v>
      </c>
      <c r="AA21" s="190">
        <v>3488.88</v>
      </c>
      <c r="AC21" s="77">
        <v>108.81</v>
      </c>
    </row>
    <row r="22" spans="1:32">
      <c r="A22" s="164">
        <v>16</v>
      </c>
      <c r="B22" s="164"/>
      <c r="C22" s="77" t="s">
        <v>185</v>
      </c>
      <c r="E22" s="186">
        <f>(E21/$E$21)</f>
        <v>1</v>
      </c>
      <c r="G22" s="186">
        <f>(G21/$E$21)</f>
        <v>4.7105648798934311E-3</v>
      </c>
      <c r="H22" s="186">
        <f t="shared" ref="H22:M22" si="3">(H21/$E$21)</f>
        <v>0.46417512062588562</v>
      </c>
      <c r="I22" s="186">
        <f t="shared" si="3"/>
        <v>1.4719430543887386E-3</v>
      </c>
      <c r="J22" s="186">
        <f t="shared" si="3"/>
        <v>0.11228128854238847</v>
      </c>
      <c r="K22" s="186">
        <f t="shared" si="3"/>
        <v>6.503556854752178E-2</v>
      </c>
      <c r="L22" s="186">
        <f t="shared" si="3"/>
        <v>0.30437532014596802</v>
      </c>
      <c r="M22" s="186">
        <f t="shared" si="3"/>
        <v>2.841195935288383E-2</v>
      </c>
      <c r="N22" s="186">
        <f>(N21/$E$21)</f>
        <v>1.9538234851070323E-2</v>
      </c>
      <c r="P22" s="189">
        <f>SUM(G22:N22)</f>
        <v>1.0000000000000002</v>
      </c>
      <c r="T22" s="77">
        <v>108.72</v>
      </c>
      <c r="U22" s="180">
        <v>986635.75</v>
      </c>
      <c r="W22" s="100">
        <v>108.62</v>
      </c>
      <c r="X22" s="180">
        <v>3411482.43</v>
      </c>
      <c r="Z22" s="77">
        <v>108.56</v>
      </c>
      <c r="AA22" s="190">
        <v>7448.99</v>
      </c>
      <c r="AC22" s="77">
        <v>108.9</v>
      </c>
    </row>
    <row r="23" spans="1:32">
      <c r="A23" s="164">
        <v>17</v>
      </c>
      <c r="B23" s="164"/>
      <c r="D23" s="152"/>
      <c r="N23" s="152"/>
      <c r="T23" s="77">
        <v>108.73</v>
      </c>
      <c r="U23" s="180">
        <v>1289079.92</v>
      </c>
      <c r="W23" s="100">
        <v>108.63</v>
      </c>
      <c r="X23" s="180">
        <v>7773861.4500000002</v>
      </c>
      <c r="Z23" s="77">
        <v>108.57</v>
      </c>
      <c r="AA23" s="190">
        <v>292660.3</v>
      </c>
    </row>
    <row r="24" spans="1:32">
      <c r="A24" s="164">
        <v>18</v>
      </c>
      <c r="B24" s="164"/>
      <c r="C24" s="152" t="s">
        <v>100</v>
      </c>
      <c r="E24" s="165">
        <f>(E18+E21)</f>
        <v>220272384.78999999</v>
      </c>
      <c r="F24" s="165" t="s">
        <v>1</v>
      </c>
      <c r="G24" s="165">
        <f>(G18+G21)</f>
        <v>1973929.2408390248</v>
      </c>
      <c r="H24" s="165">
        <f t="shared" ref="H24:M24" si="4">(H18+H21)</f>
        <v>130838319.53809406</v>
      </c>
      <c r="I24" s="165">
        <f t="shared" si="4"/>
        <v>32667235.402480621</v>
      </c>
      <c r="J24" s="165">
        <f t="shared" si="4"/>
        <v>31649036.011773504</v>
      </c>
      <c r="K24" s="165">
        <f t="shared" si="4"/>
        <v>8532194.6252396442</v>
      </c>
      <c r="L24" s="165">
        <f t="shared" si="4"/>
        <v>5344587.1215070812</v>
      </c>
      <c r="M24" s="165">
        <f t="shared" si="4"/>
        <v>5918119.676669158</v>
      </c>
      <c r="N24" s="165">
        <f>(N18+N21)</f>
        <v>3348963.1733969138</v>
      </c>
      <c r="P24" s="190">
        <f>SUM(G24:N24)</f>
        <v>220272384.78999999</v>
      </c>
      <c r="T24" s="77">
        <v>108.74</v>
      </c>
      <c r="U24" s="180">
        <v>273721.82</v>
      </c>
      <c r="W24" s="100">
        <v>108.64</v>
      </c>
      <c r="X24" s="180">
        <v>2889538.57</v>
      </c>
      <c r="Z24" s="77">
        <v>108.58</v>
      </c>
      <c r="AA24" s="190">
        <v>703827.15</v>
      </c>
    </row>
    <row r="25" spans="1:32">
      <c r="A25" s="164">
        <v>19</v>
      </c>
      <c r="B25" s="164"/>
      <c r="C25" s="152" t="s">
        <v>191</v>
      </c>
      <c r="E25" s="186">
        <f>(E24/$E$24)</f>
        <v>1</v>
      </c>
      <c r="F25" s="165"/>
      <c r="G25" s="186">
        <f t="shared" ref="G25:M25" si="5">(G24/$E$24)</f>
        <v>8.9613105279669984E-3</v>
      </c>
      <c r="H25" s="186">
        <f t="shared" si="5"/>
        <v>0.59398421487482755</v>
      </c>
      <c r="I25" s="186">
        <f t="shared" si="5"/>
        <v>0.1483038168112831</v>
      </c>
      <c r="J25" s="186">
        <f t="shared" si="5"/>
        <v>0.1436813608839192</v>
      </c>
      <c r="K25" s="186">
        <f t="shared" si="5"/>
        <v>3.8734744863156319E-2</v>
      </c>
      <c r="L25" s="186">
        <f t="shared" si="5"/>
        <v>2.4263536832374262E-2</v>
      </c>
      <c r="M25" s="186">
        <f t="shared" si="5"/>
        <v>2.6867279265675028E-2</v>
      </c>
      <c r="N25" s="186">
        <f>(N24/$E$24)</f>
        <v>1.5203735940797564E-2</v>
      </c>
      <c r="P25" s="190">
        <f>SUM(G25:N25)</f>
        <v>1</v>
      </c>
      <c r="T25" s="77">
        <v>108.75</v>
      </c>
      <c r="U25" s="180">
        <v>154309.72</v>
      </c>
      <c r="W25" s="100">
        <v>108.65</v>
      </c>
      <c r="X25" s="180">
        <v>2957191.24</v>
      </c>
      <c r="Z25" s="77">
        <v>108.59</v>
      </c>
      <c r="AA25" s="190">
        <v>1701892.74</v>
      </c>
    </row>
    <row r="26" spans="1:32">
      <c r="A26" s="164">
        <v>20</v>
      </c>
      <c r="B26" s="164"/>
      <c r="C26" s="152"/>
      <c r="E26" s="165"/>
      <c r="F26" s="165"/>
      <c r="G26" s="165"/>
      <c r="H26" s="186"/>
      <c r="I26" s="186"/>
      <c r="J26" s="186"/>
      <c r="K26" s="186"/>
      <c r="L26" s="186"/>
      <c r="M26" s="186"/>
      <c r="N26" s="186"/>
      <c r="P26" s="191"/>
      <c r="T26" s="77">
        <v>108.76</v>
      </c>
      <c r="U26" s="180">
        <v>288227.84000000003</v>
      </c>
      <c r="W26" s="100">
        <v>108.66</v>
      </c>
      <c r="X26" s="180">
        <v>6805979.4299999997</v>
      </c>
    </row>
    <row r="27" spans="1:32">
      <c r="A27" s="164">
        <v>21</v>
      </c>
      <c r="B27" s="164"/>
      <c r="C27" s="152" t="s">
        <v>101</v>
      </c>
      <c r="E27" s="165"/>
      <c r="F27" s="165"/>
      <c r="G27" s="165"/>
      <c r="T27" s="77">
        <v>108.77</v>
      </c>
      <c r="U27" s="180">
        <v>802207.07</v>
      </c>
      <c r="W27" s="100">
        <v>108.67</v>
      </c>
      <c r="X27" s="180">
        <v>332260.67</v>
      </c>
    </row>
    <row r="28" spans="1:32">
      <c r="A28" s="164">
        <v>22</v>
      </c>
      <c r="B28" s="164"/>
      <c r="C28" s="152" t="s">
        <v>116</v>
      </c>
      <c r="D28" s="152"/>
      <c r="E28" s="165">
        <f>X30+AD30</f>
        <v>54621212.400000013</v>
      </c>
      <c r="F28" s="152"/>
      <c r="G28" s="165">
        <f t="shared" ref="G28:M28" si="6">(G19*$E$28)</f>
        <v>509589.36430540454</v>
      </c>
      <c r="H28" s="165">
        <f>(H19*$E$28)</f>
        <v>33058308.790386666</v>
      </c>
      <c r="I28" s="165">
        <f t="shared" si="6"/>
        <v>8795245.6454598196</v>
      </c>
      <c r="J28" s="165">
        <f t="shared" si="6"/>
        <v>7996614.5169775952</v>
      </c>
      <c r="K28" s="165">
        <f t="shared" si="6"/>
        <v>1991300.614150041</v>
      </c>
      <c r="L28" s="165">
        <f t="shared" si="6"/>
        <v>0</v>
      </c>
      <c r="M28" s="165">
        <f t="shared" si="6"/>
        <v>1460214.9622737041</v>
      </c>
      <c r="N28" s="165">
        <f>(N19*$E$28)</f>
        <v>809938.50644678529</v>
      </c>
      <c r="P28" s="190">
        <f>SUM(G28:N28)</f>
        <v>54621212.400000006</v>
      </c>
      <c r="T28" s="77">
        <v>108.78</v>
      </c>
      <c r="U28" s="180">
        <v>164796.07999999999</v>
      </c>
      <c r="W28" s="100">
        <v>108.68</v>
      </c>
      <c r="X28" s="180">
        <v>1079865.53</v>
      </c>
    </row>
    <row r="29" spans="1:32">
      <c r="A29" s="164">
        <v>23</v>
      </c>
      <c r="B29" s="164" t="s">
        <v>1</v>
      </c>
      <c r="C29" s="77" t="s">
        <v>117</v>
      </c>
      <c r="D29" s="152"/>
      <c r="E29" s="183">
        <f>U30+AA30</f>
        <v>11977109.91</v>
      </c>
      <c r="F29" s="184"/>
      <c r="G29" s="185">
        <f t="shared" ref="G29:M29" si="7">($E$29*G22)</f>
        <v>56418.953304669572</v>
      </c>
      <c r="H29" s="185">
        <f t="shared" si="7"/>
        <v>5559476.4372237399</v>
      </c>
      <c r="I29" s="185">
        <f t="shared" si="7"/>
        <v>17629.623743675031</v>
      </c>
      <c r="J29" s="185">
        <f t="shared" si="7"/>
        <v>1344805.3337086104</v>
      </c>
      <c r="K29" s="185">
        <f t="shared" si="7"/>
        <v>778938.15255300747</v>
      </c>
      <c r="L29" s="185">
        <f t="shared" si="7"/>
        <v>3645536.6632796964</v>
      </c>
      <c r="M29" s="185">
        <f t="shared" si="7"/>
        <v>340293.15992794209</v>
      </c>
      <c r="N29" s="185">
        <f>($E$29*N22)</f>
        <v>234011.58625866176</v>
      </c>
      <c r="P29" s="190">
        <f>SUM(G29:N29)</f>
        <v>11977109.91</v>
      </c>
      <c r="Q29" s="177">
        <f>SUM(P28:P29)</f>
        <v>66598322.310000002</v>
      </c>
      <c r="R29" s="124">
        <v>57505856</v>
      </c>
      <c r="T29" s="77">
        <v>108.79</v>
      </c>
      <c r="U29" s="180">
        <v>69483.17</v>
      </c>
      <c r="W29" s="100">
        <v>108.69</v>
      </c>
      <c r="X29" s="180">
        <v>1272477.45</v>
      </c>
    </row>
    <row r="30" spans="1:32">
      <c r="A30" s="164">
        <v>24</v>
      </c>
      <c r="B30" s="164"/>
      <c r="C30" s="152"/>
      <c r="D30" s="152"/>
      <c r="E30" s="16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R30" s="177">
        <f>R29-Q29</f>
        <v>-9092466.3100000024</v>
      </c>
      <c r="U30" s="181">
        <f>SUM(U20:U29)</f>
        <v>6657646.1200000001</v>
      </c>
      <c r="X30" s="181">
        <f>SUM(X20:X29)</f>
        <v>54771584.81000001</v>
      </c>
      <c r="AA30" s="181">
        <f>SUM(AA20:AA29)</f>
        <v>5319463.79</v>
      </c>
      <c r="AD30" s="181">
        <f>SUM(AD20:AD29)</f>
        <v>-150372.41</v>
      </c>
      <c r="AE30" s="181">
        <f>SUM(U30:AD30)</f>
        <v>66598322.31000001</v>
      </c>
    </row>
    <row r="31" spans="1:32">
      <c r="A31" s="164">
        <v>25</v>
      </c>
      <c r="B31" s="164"/>
      <c r="C31" s="152" t="s">
        <v>102</v>
      </c>
      <c r="D31" s="152"/>
      <c r="E31" s="178">
        <f>(E24-E28-E29)</f>
        <v>153674062.47999999</v>
      </c>
      <c r="F31" s="152"/>
      <c r="G31" s="178">
        <f t="shared" ref="G31:N31" si="8">(G24-G28-G29)</f>
        <v>1407920.9232289507</v>
      </c>
      <c r="H31" s="178">
        <f t="shared" si="8"/>
        <v>92220534.310483664</v>
      </c>
      <c r="I31" s="178">
        <f t="shared" si="8"/>
        <v>23854360.133277126</v>
      </c>
      <c r="J31" s="178">
        <f t="shared" si="8"/>
        <v>22307616.161087301</v>
      </c>
      <c r="K31" s="178">
        <f t="shared" si="8"/>
        <v>5761955.8585365955</v>
      </c>
      <c r="L31" s="178">
        <f>(L24-L28-L29)</f>
        <v>1699050.4582273848</v>
      </c>
      <c r="M31" s="178">
        <f t="shared" si="8"/>
        <v>4117611.5544675123</v>
      </c>
      <c r="N31" s="178">
        <f t="shared" si="8"/>
        <v>2305013.0806914666</v>
      </c>
      <c r="O31" s="178"/>
      <c r="P31" s="177">
        <f>SUM(G31:N31)</f>
        <v>153674062.47999999</v>
      </c>
    </row>
    <row r="32" spans="1:32">
      <c r="A32" s="164">
        <v>26</v>
      </c>
      <c r="B32" s="164"/>
      <c r="C32" s="152" t="s">
        <v>187</v>
      </c>
      <c r="D32" s="152"/>
      <c r="E32" s="186">
        <f t="shared" ref="E32:N32" si="9">(E31/$E$31)</f>
        <v>1</v>
      </c>
      <c r="F32" s="152"/>
      <c r="G32" s="186">
        <f>(G31/$E$31)</f>
        <v>9.1617342608625672E-3</v>
      </c>
      <c r="H32" s="186">
        <f>(H31/$E$31)</f>
        <v>0.60010474651495449</v>
      </c>
      <c r="I32" s="186">
        <f t="shared" si="9"/>
        <v>0.15522697681257477</v>
      </c>
      <c r="J32" s="186">
        <f t="shared" si="9"/>
        <v>0.14516188224015059</v>
      </c>
      <c r="K32" s="186">
        <f t="shared" si="9"/>
        <v>3.749465437140044E-2</v>
      </c>
      <c r="L32" s="186">
        <f t="shared" si="9"/>
        <v>1.1056195370956038E-2</v>
      </c>
      <c r="M32" s="186">
        <f t="shared" si="9"/>
        <v>2.6794447208704473E-2</v>
      </c>
      <c r="N32" s="186">
        <f t="shared" si="9"/>
        <v>1.4999363220396767E-2</v>
      </c>
      <c r="O32" s="186"/>
      <c r="P32" s="177">
        <f>SUM(G32:N32)</f>
        <v>1.0000000000000002</v>
      </c>
      <c r="U32" s="100" t="s">
        <v>103</v>
      </c>
      <c r="W32" s="100" t="s">
        <v>383</v>
      </c>
      <c r="Z32" s="100" t="s">
        <v>384</v>
      </c>
      <c r="AC32" s="100" t="s">
        <v>107</v>
      </c>
      <c r="AF32" s="100" t="s">
        <v>385</v>
      </c>
    </row>
    <row r="33" spans="1:33">
      <c r="A33" s="164">
        <v>27</v>
      </c>
      <c r="B33" s="164"/>
      <c r="C33" s="152"/>
      <c r="D33" s="152"/>
      <c r="E33" s="165"/>
      <c r="F33" s="152"/>
      <c r="G33" s="152"/>
      <c r="H33" s="178"/>
      <c r="I33" s="178"/>
      <c r="J33" s="178"/>
      <c r="K33" s="178"/>
      <c r="L33" s="178"/>
      <c r="M33" s="178"/>
      <c r="N33" s="178"/>
      <c r="O33" s="178"/>
      <c r="P33" s="177">
        <f>SUM(H33:N33)</f>
        <v>0</v>
      </c>
      <c r="T33" s="77">
        <v>107.2</v>
      </c>
      <c r="U33" s="190">
        <v>1731296.56</v>
      </c>
      <c r="W33" s="77">
        <v>131.19999999999999</v>
      </c>
      <c r="X33" s="190">
        <v>6023</v>
      </c>
      <c r="Z33" s="77">
        <v>154</v>
      </c>
      <c r="AA33" s="190">
        <v>1378197.09</v>
      </c>
      <c r="AC33" s="77">
        <v>165.12</v>
      </c>
      <c r="AD33" s="190">
        <v>-4257.2299999999996</v>
      </c>
      <c r="AF33" s="77">
        <v>252</v>
      </c>
      <c r="AG33" s="77">
        <v>-384769.68</v>
      </c>
    </row>
    <row r="34" spans="1:33">
      <c r="A34" s="164">
        <v>28</v>
      </c>
      <c r="B34" s="164" t="s">
        <v>1</v>
      </c>
      <c r="C34" s="152" t="s">
        <v>103</v>
      </c>
      <c r="D34" s="152"/>
      <c r="E34" s="521">
        <v>1731297</v>
      </c>
      <c r="F34" s="184"/>
      <c r="G34" s="183">
        <f t="shared" ref="G34:N34" si="10">(G18/$E$18)*($E$34)</f>
        <v>16152.159552830683</v>
      </c>
      <c r="H34" s="183">
        <f t="shared" si="10"/>
        <v>1047830.1070056447</v>
      </c>
      <c r="I34" s="183">
        <f t="shared" si="10"/>
        <v>278777.81783268595</v>
      </c>
      <c r="J34" s="183">
        <f t="shared" si="10"/>
        <v>253464.0685383204</v>
      </c>
      <c r="K34" s="183">
        <f t="shared" si="10"/>
        <v>63117.104653944349</v>
      </c>
      <c r="L34" s="183">
        <f t="shared" si="10"/>
        <v>0</v>
      </c>
      <c r="M34" s="183">
        <f t="shared" si="10"/>
        <v>46283.589698195283</v>
      </c>
      <c r="N34" s="183">
        <f t="shared" si="10"/>
        <v>25672.152718378689</v>
      </c>
      <c r="O34" s="165"/>
      <c r="P34" s="177">
        <f t="shared" ref="P34:P40" si="11">SUM(G34:N34)</f>
        <v>1731297</v>
      </c>
      <c r="T34" s="77">
        <v>107.21</v>
      </c>
      <c r="U34" s="190"/>
      <c r="W34" s="77">
        <v>131.31</v>
      </c>
      <c r="X34" s="190">
        <v>100</v>
      </c>
      <c r="Z34" s="77">
        <v>154.01</v>
      </c>
      <c r="AA34" s="190">
        <v>-22171.72</v>
      </c>
      <c r="AC34" s="77">
        <v>165.14</v>
      </c>
      <c r="AD34" s="190">
        <v>179338</v>
      </c>
      <c r="AF34" s="77">
        <v>252.1</v>
      </c>
    </row>
    <row r="35" spans="1:33">
      <c r="A35" s="164">
        <v>29</v>
      </c>
      <c r="B35" s="164"/>
      <c r="C35" s="152" t="s">
        <v>92</v>
      </c>
      <c r="D35" s="152"/>
      <c r="E35" s="165">
        <f>(E31+E34)</f>
        <v>155405359.47999999</v>
      </c>
      <c r="F35" s="165" t="s">
        <v>1</v>
      </c>
      <c r="G35" s="165">
        <f t="shared" ref="G35:M35" si="12">(G31+G34)</f>
        <v>1424073.0827817814</v>
      </c>
      <c r="H35" s="165">
        <f t="shared" si="12"/>
        <v>93268364.417489305</v>
      </c>
      <c r="I35" s="165">
        <f t="shared" si="12"/>
        <v>24133137.951109812</v>
      </c>
      <c r="J35" s="165">
        <f t="shared" si="12"/>
        <v>22561080.22962562</v>
      </c>
      <c r="K35" s="165">
        <f t="shared" si="12"/>
        <v>5825072.9631905397</v>
      </c>
      <c r="L35" s="165">
        <f t="shared" si="12"/>
        <v>1699050.4582273848</v>
      </c>
      <c r="M35" s="165">
        <f t="shared" si="12"/>
        <v>4163895.1441657078</v>
      </c>
      <c r="N35" s="165">
        <f>(N31+N34)</f>
        <v>2330685.2334098453</v>
      </c>
      <c r="O35" s="152"/>
      <c r="P35" s="177">
        <f t="shared" si="11"/>
        <v>155405359.47999999</v>
      </c>
      <c r="T35" s="77">
        <v>107.22</v>
      </c>
      <c r="U35" s="190"/>
      <c r="W35" s="77">
        <v>131.4</v>
      </c>
      <c r="X35" s="190">
        <v>109067.99</v>
      </c>
      <c r="Z35" s="77">
        <v>154.1</v>
      </c>
      <c r="AA35" s="77">
        <v>14899.26</v>
      </c>
      <c r="AC35" s="77">
        <v>165.15</v>
      </c>
      <c r="AD35" s="190">
        <v>120.95</v>
      </c>
    </row>
    <row r="36" spans="1:33">
      <c r="A36" s="164">
        <v>30</v>
      </c>
      <c r="B36" s="164"/>
      <c r="C36" s="152" t="s">
        <v>104</v>
      </c>
      <c r="D36" s="152"/>
      <c r="E36" s="165"/>
      <c r="F36" s="152"/>
      <c r="G36" s="152"/>
      <c r="H36" s="178"/>
      <c r="I36" s="178"/>
      <c r="J36" s="178"/>
      <c r="K36" s="178"/>
      <c r="L36" s="178"/>
      <c r="M36" s="178"/>
      <c r="O36" s="165"/>
      <c r="P36" s="177">
        <f t="shared" si="11"/>
        <v>0</v>
      </c>
      <c r="T36" s="77">
        <v>107.3</v>
      </c>
      <c r="U36" s="190"/>
      <c r="W36" s="77">
        <v>131.85</v>
      </c>
      <c r="X36" s="190">
        <v>53825.98</v>
      </c>
      <c r="Z36" s="77">
        <v>154.6</v>
      </c>
      <c r="AA36" s="77">
        <v>0</v>
      </c>
      <c r="AC36" s="77">
        <v>165.16</v>
      </c>
      <c r="AD36" s="190">
        <v>-233.09</v>
      </c>
    </row>
    <row r="37" spans="1:33" ht="15">
      <c r="A37" s="164">
        <v>31</v>
      </c>
      <c r="B37" s="164"/>
      <c r="C37" s="152" t="s">
        <v>105</v>
      </c>
      <c r="D37" s="152"/>
      <c r="E37" s="522">
        <f>X54</f>
        <v>205662.54</v>
      </c>
      <c r="F37" s="152"/>
      <c r="G37" s="178">
        <f t="shared" ref="G37:N37" si="13">(G35/$E$35)*($E$37)</f>
        <v>1884.6099538042231</v>
      </c>
      <c r="H37" s="178">
        <f t="shared" si="13"/>
        <v>123430.80568090118</v>
      </c>
      <c r="I37" s="178">
        <f t="shared" si="13"/>
        <v>31937.65302434369</v>
      </c>
      <c r="J37" s="178">
        <f t="shared" si="13"/>
        <v>29857.201068832714</v>
      </c>
      <c r="K37" s="178">
        <f t="shared" si="13"/>
        <v>7708.8673473276867</v>
      </c>
      <c r="L37" s="178">
        <f t="shared" si="13"/>
        <v>2248.5133974557561</v>
      </c>
      <c r="M37" s="178">
        <f t="shared" si="13"/>
        <v>5510.4743781567922</v>
      </c>
      <c r="N37" s="178">
        <f t="shared" si="13"/>
        <v>3084.4151491779789</v>
      </c>
      <c r="O37" s="178"/>
      <c r="P37" s="177">
        <f t="shared" si="11"/>
        <v>205662.54</v>
      </c>
      <c r="T37" s="77">
        <v>107.31</v>
      </c>
      <c r="U37" s="190"/>
      <c r="W37" s="77">
        <v>131.9</v>
      </c>
      <c r="X37" s="190">
        <v>28902</v>
      </c>
      <c r="AC37" s="77">
        <v>165.2</v>
      </c>
      <c r="AD37" s="190">
        <v>44674.16</v>
      </c>
    </row>
    <row r="38" spans="1:33">
      <c r="A38" s="164">
        <v>32</v>
      </c>
      <c r="B38" s="164"/>
      <c r="C38" s="152" t="s">
        <v>106</v>
      </c>
      <c r="D38" s="152"/>
      <c r="E38" s="165">
        <f>AA54</f>
        <v>1370924.6300000001</v>
      </c>
      <c r="F38" s="152"/>
      <c r="G38" s="178">
        <f>(G35/$E$35)*($E$38)</f>
        <v>12562.60962066</v>
      </c>
      <c r="H38" s="178">
        <f t="shared" ref="H38:N38" si="14">(H35/$E$35)*($E$38)</f>
        <v>822776.63014709123</v>
      </c>
      <c r="I38" s="178">
        <f t="shared" si="14"/>
        <v>212893.00013248285</v>
      </c>
      <c r="J38" s="178">
        <f t="shared" si="14"/>
        <v>199024.92854617618</v>
      </c>
      <c r="K38" s="178">
        <f t="shared" si="14"/>
        <v>51386.490295482545</v>
      </c>
      <c r="L38" s="178">
        <f t="shared" si="14"/>
        <v>14988.351293614654</v>
      </c>
      <c r="M38" s="178">
        <f t="shared" si="14"/>
        <v>36732.236449083437</v>
      </c>
      <c r="N38" s="178">
        <f t="shared" si="14"/>
        <v>20560.38351540935</v>
      </c>
      <c r="O38" s="178"/>
      <c r="P38" s="177">
        <f t="shared" si="11"/>
        <v>1370924.6300000004</v>
      </c>
      <c r="T38" s="77">
        <v>107.32</v>
      </c>
      <c r="U38" s="190"/>
      <c r="W38" s="77">
        <v>131.94999999999999</v>
      </c>
      <c r="X38" s="190">
        <v>7743.57</v>
      </c>
      <c r="AC38" s="77">
        <v>165.21</v>
      </c>
      <c r="AD38" s="190">
        <v>10067</v>
      </c>
    </row>
    <row r="39" spans="1:33">
      <c r="A39" s="164">
        <v>33</v>
      </c>
      <c r="B39" s="164"/>
      <c r="C39" s="152" t="s">
        <v>107</v>
      </c>
      <c r="D39" s="152"/>
      <c r="E39" s="165">
        <f>AD54</f>
        <v>301267.41000000003</v>
      </c>
      <c r="F39" s="152"/>
      <c r="G39" s="178">
        <f t="shared" ref="G39:N39" si="15">(G35/$E$35)*($E$39)</f>
        <v>2760.695066990897</v>
      </c>
      <c r="H39" s="178">
        <f t="shared" si="15"/>
        <v>180809.19909721229</v>
      </c>
      <c r="I39" s="178">
        <f t="shared" si="15"/>
        <v>46784.280735435299</v>
      </c>
      <c r="J39" s="178">
        <f t="shared" si="15"/>
        <v>43736.703999943129</v>
      </c>
      <c r="K39" s="178">
        <f t="shared" si="15"/>
        <v>11292.433224655217</v>
      </c>
      <c r="L39" s="178">
        <f t="shared" si="15"/>
        <v>3293.7636946514244</v>
      </c>
      <c r="M39" s="178">
        <f t="shared" si="15"/>
        <v>8072.0890823319478</v>
      </c>
      <c r="N39" s="178">
        <f t="shared" si="15"/>
        <v>4518.2450987798429</v>
      </c>
      <c r="O39" s="178"/>
      <c r="P39" s="177">
        <f t="shared" si="11"/>
        <v>301267.41000000003</v>
      </c>
      <c r="U39" s="190">
        <f>SUM(U33:U38)</f>
        <v>1731296.56</v>
      </c>
      <c r="W39" s="77">
        <v>131.16</v>
      </c>
      <c r="X39" s="177">
        <v>0</v>
      </c>
      <c r="Z39" s="152"/>
      <c r="AA39" s="178"/>
      <c r="AB39" s="152"/>
      <c r="AC39" s="152">
        <v>165.22</v>
      </c>
      <c r="AD39" s="165">
        <v>3547.03</v>
      </c>
      <c r="AF39" s="152"/>
      <c r="AG39" s="152"/>
    </row>
    <row r="40" spans="1:33" s="152" customFormat="1">
      <c r="A40" s="164">
        <v>34</v>
      </c>
      <c r="B40" s="164"/>
      <c r="C40" s="152" t="s">
        <v>108</v>
      </c>
      <c r="E40" s="521">
        <f>AG54</f>
        <v>-384769.68</v>
      </c>
      <c r="F40" s="184"/>
      <c r="G40" s="183">
        <f t="shared" ref="G40:N40" si="16">(G18/$E$18)*($E$40)</f>
        <v>-3589.7141059284481</v>
      </c>
      <c r="H40" s="183">
        <f t="shared" si="16"/>
        <v>-232873.53641052209</v>
      </c>
      <c r="I40" s="183">
        <f t="shared" si="16"/>
        <v>-61956.586165505316</v>
      </c>
      <c r="J40" s="183">
        <f t="shared" si="16"/>
        <v>-56330.767362842773</v>
      </c>
      <c r="K40" s="183">
        <f t="shared" si="16"/>
        <v>-14027.372634634427</v>
      </c>
      <c r="L40" s="183">
        <f t="shared" si="16"/>
        <v>0</v>
      </c>
      <c r="M40" s="183">
        <f t="shared" si="16"/>
        <v>-10286.231650274849</v>
      </c>
      <c r="N40" s="183">
        <f t="shared" si="16"/>
        <v>-5705.4716702920978</v>
      </c>
      <c r="O40" s="178"/>
      <c r="P40" s="177">
        <f t="shared" si="11"/>
        <v>-384769.68</v>
      </c>
      <c r="W40" s="152">
        <v>131.16999999999999</v>
      </c>
      <c r="X40" s="178">
        <v>0</v>
      </c>
      <c r="AC40" s="152">
        <v>165.23</v>
      </c>
      <c r="AD40" s="165">
        <v>12954.98</v>
      </c>
    </row>
    <row r="41" spans="1:33">
      <c r="A41" s="164">
        <v>35</v>
      </c>
      <c r="B41" s="164"/>
      <c r="C41" s="152"/>
      <c r="D41" s="152"/>
      <c r="E41" s="16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77">
        <f>SUM(N41:N41)</f>
        <v>0</v>
      </c>
      <c r="W41" s="152">
        <v>131.18</v>
      </c>
      <c r="X41" s="178">
        <v>0</v>
      </c>
      <c r="Z41" s="152"/>
      <c r="AA41" s="152"/>
      <c r="AC41" s="152">
        <v>165.24</v>
      </c>
      <c r="AD41" s="165">
        <v>3167.28</v>
      </c>
      <c r="AF41" s="152"/>
      <c r="AG41" s="152"/>
    </row>
    <row r="42" spans="1:33" ht="13.5" thickBot="1">
      <c r="A42" s="164">
        <v>36</v>
      </c>
      <c r="B42" s="164"/>
      <c r="C42" s="152" t="s">
        <v>109</v>
      </c>
      <c r="D42" s="152"/>
      <c r="E42" s="192">
        <f>SUM(E35,E37,E38,E39)-E40</f>
        <v>157667983.73999998</v>
      </c>
      <c r="F42" s="192" t="s">
        <v>1</v>
      </c>
      <c r="G42" s="192">
        <f>SUM(G35,G37,G38,G39)-G40</f>
        <v>1444870.711529165</v>
      </c>
      <c r="H42" s="192">
        <f t="shared" ref="H42:N42" si="17">SUM(H35,H37,H38,H39)-H40</f>
        <v>94628254.588825032</v>
      </c>
      <c r="I42" s="192">
        <f t="shared" si="17"/>
        <v>24486709.471167579</v>
      </c>
      <c r="J42" s="192">
        <f t="shared" si="17"/>
        <v>22890029.830603417</v>
      </c>
      <c r="K42" s="192">
        <f t="shared" si="17"/>
        <v>5909488.1266926397</v>
      </c>
      <c r="L42" s="192">
        <f t="shared" si="17"/>
        <v>1719581.0866131065</v>
      </c>
      <c r="M42" s="192">
        <f t="shared" si="17"/>
        <v>4224496.175725556</v>
      </c>
      <c r="N42" s="192">
        <f t="shared" si="17"/>
        <v>2364553.7488435046</v>
      </c>
      <c r="O42" s="165"/>
      <c r="P42" s="177">
        <f>SUM(G42:N42)</f>
        <v>157667983.74000001</v>
      </c>
      <c r="W42" s="152">
        <v>131.19</v>
      </c>
      <c r="X42" s="178">
        <v>0</v>
      </c>
      <c r="Z42" s="152"/>
      <c r="AA42" s="152"/>
      <c r="AC42" s="152">
        <v>165.25</v>
      </c>
      <c r="AD42" s="165">
        <v>3980.32</v>
      </c>
      <c r="AF42" s="152"/>
      <c r="AG42" s="152"/>
    </row>
    <row r="43" spans="1:33" ht="13.5" thickTop="1">
      <c r="A43" s="164">
        <v>37</v>
      </c>
      <c r="B43" s="164"/>
      <c r="N43" s="152"/>
      <c r="O43" s="152"/>
      <c r="P43" s="178"/>
      <c r="W43" s="152">
        <v>131.19999999999999</v>
      </c>
      <c r="X43" s="178"/>
      <c r="Z43" s="152"/>
      <c r="AA43" s="152"/>
      <c r="AC43" s="77">
        <v>165.26</v>
      </c>
      <c r="AD43" s="190">
        <v>35342.01</v>
      </c>
    </row>
    <row r="44" spans="1:33" ht="13.5" thickBot="1">
      <c r="A44" s="164">
        <v>38</v>
      </c>
      <c r="B44" s="164"/>
      <c r="C44" s="152" t="s">
        <v>387</v>
      </c>
      <c r="D44" s="152"/>
      <c r="E44" s="193">
        <f>(E42/$E$42)</f>
        <v>1</v>
      </c>
      <c r="F44" s="194"/>
      <c r="G44" s="193">
        <f>(G42/$E$42)</f>
        <v>9.1640082993121007E-3</v>
      </c>
      <c r="H44" s="193">
        <f t="shared" ref="H44:N44" si="18">(H42/$E$42)</f>
        <v>0.6001741910067826</v>
      </c>
      <c r="I44" s="193">
        <f t="shared" si="18"/>
        <v>0.15530552804903638</v>
      </c>
      <c r="J44" s="193">
        <f t="shared" si="18"/>
        <v>0.14517868046280008</v>
      </c>
      <c r="K44" s="193">
        <f t="shared" si="18"/>
        <v>3.7480584114258683E-2</v>
      </c>
      <c r="L44" s="193">
        <f t="shared" si="18"/>
        <v>1.0906342846679361E-2</v>
      </c>
      <c r="M44" s="193">
        <f t="shared" si="18"/>
        <v>2.6793620845002357E-2</v>
      </c>
      <c r="N44" s="193">
        <f t="shared" si="18"/>
        <v>1.4997044376128615E-2</v>
      </c>
      <c r="O44" s="186"/>
      <c r="P44" s="195">
        <f>SUM(G44,H44,I44,J44,K44,L44,M44,N44)</f>
        <v>1.0000000000000002</v>
      </c>
      <c r="W44" s="152">
        <v>131.21</v>
      </c>
      <c r="X44" s="178">
        <v>0</v>
      </c>
      <c r="Z44" s="152"/>
      <c r="AA44" s="152"/>
      <c r="AC44" s="77">
        <v>165.27</v>
      </c>
      <c r="AD44" s="190">
        <v>12566</v>
      </c>
    </row>
    <row r="45" spans="1:33" ht="13.5" thickTop="1">
      <c r="A45" s="164">
        <v>39</v>
      </c>
      <c r="B45" s="164"/>
      <c r="C45" s="152"/>
      <c r="D45" s="152"/>
      <c r="E45" s="165"/>
      <c r="F45" s="152"/>
      <c r="G45" s="152"/>
      <c r="H45" s="186"/>
      <c r="I45" s="152"/>
      <c r="J45" s="152"/>
      <c r="K45" s="152"/>
      <c r="L45" s="152"/>
      <c r="M45" s="152"/>
      <c r="N45" s="152"/>
      <c r="O45" s="152"/>
      <c r="P45" s="178" t="s">
        <v>1</v>
      </c>
      <c r="W45" s="152">
        <v>131.22</v>
      </c>
      <c r="X45" s="178">
        <v>0</v>
      </c>
      <c r="Z45" s="152"/>
      <c r="AA45" s="152"/>
    </row>
    <row r="46" spans="1:33" ht="13.5" thickBot="1">
      <c r="A46" s="164">
        <v>40</v>
      </c>
      <c r="B46" s="164"/>
      <c r="W46" s="152">
        <v>131.22999999999999</v>
      </c>
      <c r="X46" s="178">
        <v>0</v>
      </c>
      <c r="Z46" s="152"/>
      <c r="AA46" s="152"/>
    </row>
    <row r="47" spans="1:33">
      <c r="A47" s="164" t="s">
        <v>1</v>
      </c>
      <c r="B47" s="164"/>
      <c r="C47" s="152"/>
      <c r="D47" s="152"/>
      <c r="E47" s="165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R47" s="196"/>
      <c r="T47" s="196" t="s">
        <v>417</v>
      </c>
      <c r="W47" s="152">
        <v>131.4</v>
      </c>
      <c r="X47" s="178">
        <v>0</v>
      </c>
      <c r="Z47" s="152"/>
      <c r="AA47" s="152"/>
    </row>
    <row r="48" spans="1:33" ht="13.5" thickBot="1">
      <c r="A48" s="77"/>
      <c r="B48" s="77"/>
      <c r="C48" s="197" t="s">
        <v>421</v>
      </c>
      <c r="D48" s="197"/>
      <c r="E48" s="197"/>
      <c r="R48" s="198" t="s">
        <v>107</v>
      </c>
      <c r="T48" s="198" t="s">
        <v>418</v>
      </c>
      <c r="W48" s="152">
        <v>135</v>
      </c>
      <c r="X48" s="178">
        <v>0</v>
      </c>
      <c r="Z48" s="152"/>
      <c r="AA48" s="152"/>
    </row>
    <row r="49" spans="1:33">
      <c r="A49" s="77"/>
      <c r="B49" s="77"/>
      <c r="P49" s="199" t="s">
        <v>419</v>
      </c>
      <c r="R49" s="190"/>
      <c r="S49" s="190"/>
      <c r="T49" s="190"/>
      <c r="W49" s="152">
        <v>135.1</v>
      </c>
      <c r="X49" s="178">
        <v>0</v>
      </c>
      <c r="Z49" s="152"/>
      <c r="AA49" s="152"/>
    </row>
    <row r="50" spans="1:33">
      <c r="A50" s="77"/>
      <c r="B50" s="77"/>
      <c r="G50" s="200" t="s">
        <v>10</v>
      </c>
      <c r="H50" s="98" t="s">
        <v>172</v>
      </c>
      <c r="I50" s="98" t="s">
        <v>175</v>
      </c>
      <c r="J50" s="98" t="s">
        <v>13</v>
      </c>
      <c r="P50" s="199" t="s">
        <v>420</v>
      </c>
      <c r="R50" s="190"/>
      <c r="S50" s="190"/>
      <c r="T50" s="190"/>
      <c r="W50" s="152">
        <v>135.15</v>
      </c>
      <c r="X50" s="178">
        <v>0</v>
      </c>
      <c r="Z50" s="152"/>
      <c r="AA50" s="152"/>
    </row>
    <row r="51" spans="1:33">
      <c r="A51" s="77"/>
      <c r="B51" s="77"/>
      <c r="E51" s="200" t="s">
        <v>15</v>
      </c>
      <c r="G51" s="200" t="s">
        <v>422</v>
      </c>
      <c r="H51" s="98" t="s">
        <v>170</v>
      </c>
      <c r="I51" s="98" t="s">
        <v>423</v>
      </c>
      <c r="J51" s="98" t="s">
        <v>170</v>
      </c>
      <c r="M51" s="98" t="s">
        <v>15</v>
      </c>
      <c r="P51" s="199" t="s">
        <v>153</v>
      </c>
      <c r="R51" s="190"/>
      <c r="S51" s="190"/>
      <c r="T51" s="190"/>
      <c r="X51" s="177"/>
      <c r="Z51" s="152"/>
      <c r="AA51" s="152"/>
    </row>
    <row r="52" spans="1:33">
      <c r="A52" s="77"/>
      <c r="B52" s="77"/>
      <c r="P52" s="199" t="s">
        <v>154</v>
      </c>
      <c r="R52" s="190"/>
      <c r="S52" s="190"/>
      <c r="T52" s="190"/>
      <c r="Z52" s="152"/>
      <c r="AA52" s="152"/>
    </row>
    <row r="53" spans="1:33">
      <c r="A53" s="77"/>
      <c r="B53" s="98" t="s">
        <v>240</v>
      </c>
      <c r="E53" s="190">
        <f>(G42)</f>
        <v>1444870.711529165</v>
      </c>
      <c r="G53" s="201" t="s">
        <v>1</v>
      </c>
      <c r="H53" s="177">
        <f>(E53)</f>
        <v>1444870.711529165</v>
      </c>
      <c r="K53" s="177">
        <f>SUM(G53:J53)</f>
        <v>1444870.711529165</v>
      </c>
      <c r="P53" s="199" t="s">
        <v>155</v>
      </c>
      <c r="R53" s="190"/>
      <c r="S53" s="190"/>
      <c r="T53" s="190"/>
      <c r="Z53" s="152"/>
      <c r="AA53" s="152"/>
    </row>
    <row r="54" spans="1:33">
      <c r="A54" s="77"/>
      <c r="B54" s="98" t="s">
        <v>5</v>
      </c>
      <c r="E54" s="190">
        <f>(H42)</f>
        <v>94628254.588825032</v>
      </c>
      <c r="G54" s="201">
        <f>($E$54)*('3.1 PlantClass.'!D100)</f>
        <v>32178189.281105909</v>
      </c>
      <c r="H54" s="177">
        <f>(E54-G54)</f>
        <v>62450065.307719126</v>
      </c>
      <c r="K54" s="177">
        <f t="shared" ref="K54:K59" si="19">SUM(G54:J54)</f>
        <v>94628254.588825032</v>
      </c>
      <c r="P54" s="199" t="s">
        <v>156</v>
      </c>
      <c r="R54" s="190"/>
      <c r="S54" s="190"/>
      <c r="T54" s="190"/>
      <c r="X54" s="177">
        <f>SUM(X33:X53)</f>
        <v>205662.54</v>
      </c>
      <c r="AA54" s="177">
        <f>SUM(AA33:AA53)</f>
        <v>1370924.6300000001</v>
      </c>
      <c r="AD54" s="177">
        <f>SUM(AD33:AD53)</f>
        <v>301267.41000000003</v>
      </c>
      <c r="AG54" s="177">
        <f>SUM(AG33:AG53)</f>
        <v>-384769.68</v>
      </c>
    </row>
    <row r="55" spans="1:33">
      <c r="A55" s="77"/>
      <c r="B55" s="98" t="s">
        <v>95</v>
      </c>
      <c r="E55" s="190">
        <f>(I42)</f>
        <v>24486709.471167579</v>
      </c>
      <c r="G55" s="190">
        <f>(E55*'3.1 PlantClass.'!E172)</f>
        <v>5102078.635103683</v>
      </c>
      <c r="H55" s="177">
        <f>(E55-G55)</f>
        <v>19384630.836063895</v>
      </c>
      <c r="K55" s="177">
        <f t="shared" si="19"/>
        <v>24486709.471167579</v>
      </c>
      <c r="P55" s="199" t="s">
        <v>157</v>
      </c>
      <c r="R55" s="190"/>
      <c r="S55" s="190"/>
      <c r="T55" s="190"/>
    </row>
    <row r="56" spans="1:33">
      <c r="A56" s="77"/>
      <c r="B56" s="98" t="s">
        <v>8</v>
      </c>
      <c r="E56" s="190">
        <f>(J42)</f>
        <v>22890029.830603417</v>
      </c>
      <c r="G56" s="177">
        <f>(E56)</f>
        <v>22890029.830603417</v>
      </c>
      <c r="K56" s="177">
        <f t="shared" si="19"/>
        <v>22890029.830603417</v>
      </c>
      <c r="P56" s="199" t="s">
        <v>158</v>
      </c>
      <c r="R56" s="190"/>
      <c r="S56" s="190"/>
      <c r="T56" s="190"/>
    </row>
    <row r="57" spans="1:33">
      <c r="A57" s="77"/>
      <c r="B57" s="98" t="s">
        <v>9</v>
      </c>
      <c r="E57" s="190">
        <f>(K42)</f>
        <v>5909488.1266926397</v>
      </c>
      <c r="G57" s="177">
        <f>(E57)</f>
        <v>5909488.1266926397</v>
      </c>
      <c r="K57" s="177">
        <f t="shared" si="19"/>
        <v>5909488.1266926397</v>
      </c>
      <c r="P57" s="199" t="s">
        <v>159</v>
      </c>
      <c r="R57" s="190"/>
      <c r="S57" s="190"/>
      <c r="T57" s="190"/>
    </row>
    <row r="58" spans="1:33">
      <c r="A58" s="77"/>
      <c r="B58" s="98" t="s">
        <v>424</v>
      </c>
      <c r="E58" s="190">
        <f>(L42)</f>
        <v>1719581.0866131065</v>
      </c>
      <c r="G58" s="177">
        <f>(E58)</f>
        <v>1719581.0866131065</v>
      </c>
      <c r="K58" s="177">
        <f t="shared" si="19"/>
        <v>1719581.0866131065</v>
      </c>
      <c r="P58" s="199" t="s">
        <v>148</v>
      </c>
      <c r="R58" s="190"/>
      <c r="T58" s="190"/>
    </row>
    <row r="59" spans="1:33">
      <c r="A59" s="77"/>
      <c r="B59" s="98" t="s">
        <v>13</v>
      </c>
      <c r="E59" s="190">
        <f>(M42+N42)</f>
        <v>6589049.924569061</v>
      </c>
      <c r="J59" s="177">
        <f>(E59)</f>
        <v>6589049.924569061</v>
      </c>
      <c r="K59" s="177">
        <f t="shared" si="19"/>
        <v>6589049.924569061</v>
      </c>
      <c r="P59" s="199" t="s">
        <v>149</v>
      </c>
      <c r="R59" s="190"/>
      <c r="S59" s="190"/>
      <c r="T59" s="190"/>
    </row>
    <row r="60" spans="1:33" ht="13.5" thickBot="1">
      <c r="A60" s="77"/>
      <c r="B60" s="77"/>
      <c r="E60" s="202">
        <f>SUM(E53:E59)</f>
        <v>157667983.74000004</v>
      </c>
      <c r="F60" s="203" t="s">
        <v>1</v>
      </c>
      <c r="G60" s="202">
        <f t="shared" ref="G60:M60" si="20">SUM(G53:G59)</f>
        <v>67799366.960118756</v>
      </c>
      <c r="H60" s="202">
        <f t="shared" si="20"/>
        <v>83279566.855312183</v>
      </c>
      <c r="I60" s="202">
        <f>SUM(I53:I59)</f>
        <v>0</v>
      </c>
      <c r="J60" s="202">
        <f>SUM(J53:J59)</f>
        <v>6589049.924569061</v>
      </c>
      <c r="K60" s="202">
        <f>SUM(K53:K59)</f>
        <v>157667983.74000004</v>
      </c>
      <c r="L60" s="190">
        <f t="shared" si="20"/>
        <v>0</v>
      </c>
      <c r="M60" s="190">
        <f t="shared" si="20"/>
        <v>0</v>
      </c>
      <c r="P60" s="199" t="s">
        <v>150</v>
      </c>
      <c r="R60" s="190"/>
      <c r="S60" s="190"/>
      <c r="T60" s="190"/>
    </row>
    <row r="61" spans="1:33">
      <c r="A61" s="77"/>
      <c r="B61" s="77"/>
      <c r="P61" s="199" t="s">
        <v>151</v>
      </c>
      <c r="R61" s="183"/>
      <c r="S61" s="183"/>
      <c r="T61" s="183"/>
    </row>
    <row r="62" spans="1:33">
      <c r="A62" s="77"/>
      <c r="B62" s="77"/>
      <c r="R62" s="190">
        <f>SUM(R49:R61)</f>
        <v>0</v>
      </c>
      <c r="S62" s="190" t="s">
        <v>1</v>
      </c>
      <c r="T62" s="190">
        <f>SUM(T49:T61)</f>
        <v>0</v>
      </c>
    </row>
    <row r="63" spans="1:33">
      <c r="A63" s="77"/>
      <c r="B63" s="77"/>
      <c r="R63" s="190">
        <f>(R62/13)</f>
        <v>0</v>
      </c>
      <c r="S63" s="190" t="s">
        <v>1</v>
      </c>
      <c r="T63" s="190">
        <f>(T62/13)</f>
        <v>0</v>
      </c>
    </row>
    <row r="64" spans="1:33">
      <c r="A64" s="77"/>
      <c r="B64" s="77"/>
    </row>
    <row r="65" spans="1:22">
      <c r="A65" s="77"/>
      <c r="B65" s="98" t="s">
        <v>425</v>
      </c>
    </row>
    <row r="66" spans="1:22">
      <c r="A66" s="77"/>
      <c r="B66" s="77"/>
      <c r="E66" s="77"/>
    </row>
    <row r="67" spans="1:22">
      <c r="A67" s="77"/>
      <c r="B67" s="77"/>
      <c r="E67" s="77"/>
    </row>
    <row r="68" spans="1:22">
      <c r="A68" s="77"/>
      <c r="B68" s="77"/>
      <c r="J68" s="206" t="str">
        <f>('4 Allocation'!E3)</f>
        <v>GS 1</v>
      </c>
      <c r="K68" s="206" t="str">
        <f>('4 Allocation'!F3)</f>
        <v>GS 1</v>
      </c>
      <c r="L68" s="206" t="str">
        <f>('4 Allocation'!G3)</f>
        <v>SC1</v>
      </c>
      <c r="M68" s="206" t="str">
        <f>('4 Allocation'!H3)</f>
        <v>SC2</v>
      </c>
      <c r="N68" s="206" t="str">
        <f>('4 Allocation'!I3)</f>
        <v>LP1</v>
      </c>
      <c r="O68" s="206" t="str">
        <f>('4 Allocation'!J3)</f>
        <v>LP2</v>
      </c>
      <c r="P68" s="206">
        <f>('4 Allocation'!K3)</f>
        <v>0</v>
      </c>
      <c r="Q68" s="206" t="str">
        <f>('4 Allocation'!L3)</f>
        <v>Total</v>
      </c>
      <c r="R68" s="206" t="str">
        <f>('4 Allocation'!M3)</f>
        <v>B-2</v>
      </c>
      <c r="S68" s="206" t="str">
        <f>('4 Allocation'!N3)</f>
        <v>G-1</v>
      </c>
      <c r="T68" s="206" t="str">
        <f>('4 Allocation'!O3)</f>
        <v>Total</v>
      </c>
      <c r="U68" s="98" t="s">
        <v>1</v>
      </c>
      <c r="V68" s="98" t="s">
        <v>1</v>
      </c>
    </row>
    <row r="69" spans="1:22">
      <c r="A69" s="77"/>
      <c r="B69" s="77"/>
      <c r="D69" s="98" t="s">
        <v>428</v>
      </c>
      <c r="H69" s="190"/>
      <c r="J69" s="206" t="str">
        <f>('4 Allocation'!E4)</f>
        <v>Residential</v>
      </c>
      <c r="K69" s="206" t="str">
        <f>('4 Allocation'!F4)</f>
        <v>Residential</v>
      </c>
      <c r="L69" s="206" t="str">
        <f>('4 Allocation'!G4)</f>
        <v>Gen Service</v>
      </c>
      <c r="M69" s="206" t="str">
        <f>('4 Allocation'!H4)</f>
        <v>Gen Service</v>
      </c>
      <c r="N69" s="206" t="str">
        <f>('4 Allocation'!I4)</f>
        <v>Large Power</v>
      </c>
      <c r="O69" s="206" t="str">
        <f>('4 Allocation'!J4)</f>
        <v>Large Power</v>
      </c>
      <c r="P69" s="206" t="str">
        <f>('4 Allocation'!K4)</f>
        <v>Outdoor</v>
      </c>
      <c r="Q69" s="206" t="str">
        <f>('4 Allocation'!L4)</f>
        <v>EKPC Sched</v>
      </c>
      <c r="R69" s="206" t="str">
        <f>('4 Allocation'!M4)</f>
        <v>Large Indust.</v>
      </c>
      <c r="S69" s="206" t="str">
        <f>('4 Allocation'!N4)</f>
        <v>Large Indust.</v>
      </c>
      <c r="T69" s="206" t="str">
        <f>('4 Allocation'!O4)</f>
        <v>for All</v>
      </c>
      <c r="U69" s="98" t="s">
        <v>1</v>
      </c>
      <c r="V69" s="98" t="s">
        <v>1</v>
      </c>
    </row>
    <row r="70" spans="1:22">
      <c r="A70" s="77"/>
      <c r="B70" s="77"/>
      <c r="C70" s="98" t="s">
        <v>202</v>
      </c>
      <c r="D70" s="98" t="s">
        <v>427</v>
      </c>
      <c r="H70" s="98" t="s">
        <v>114</v>
      </c>
      <c r="J70" s="206" t="str">
        <f>('4 Allocation'!E5)</f>
        <v>&amp; Farm</v>
      </c>
      <c r="K70" s="206" t="str">
        <f>('4 Allocation'!F5)</f>
        <v>&amp; Farm TOD</v>
      </c>
      <c r="L70" s="206" t="str">
        <f>('4 Allocation'!G5)</f>
        <v>0-100 kW</v>
      </c>
      <c r="M70" s="206" t="str">
        <f>('4 Allocation'!H5)</f>
        <v>0-100 kW TOD</v>
      </c>
      <c r="N70" s="206" t="str">
        <f>('4 Allocation'!I5)</f>
        <v>under 500 kW</v>
      </c>
      <c r="O70" s="206" t="str">
        <f>('4 Allocation'!J5)</f>
        <v>over 500 kW</v>
      </c>
      <c r="P70" s="206" t="str">
        <f>('4 Allocation'!K5)</f>
        <v>Lights</v>
      </c>
      <c r="Q70" s="206" t="str">
        <f>('4 Allocation'!L5)</f>
        <v>E Rates</v>
      </c>
      <c r="R70" s="206" t="str">
        <f>('4 Allocation'!M5)</f>
        <v>Rate</v>
      </c>
      <c r="S70" s="206" t="str">
        <f>('4 Allocation'!N5)</f>
        <v>Rate</v>
      </c>
      <c r="T70" s="206" t="str">
        <f>('4 Allocation'!O5)</f>
        <v>Rate Classes</v>
      </c>
      <c r="U70" s="98" t="s">
        <v>1</v>
      </c>
      <c r="V70" s="98" t="s">
        <v>1</v>
      </c>
    </row>
    <row r="71" spans="1:22">
      <c r="A71" s="77"/>
      <c r="B71" s="77"/>
    </row>
    <row r="72" spans="1:22">
      <c r="A72" s="77"/>
      <c r="B72" s="77"/>
      <c r="C72" s="98" t="s">
        <v>240</v>
      </c>
      <c r="D72" s="98" t="s">
        <v>131</v>
      </c>
      <c r="H72" s="177">
        <f>(H53)</f>
        <v>1444870.711529165</v>
      </c>
      <c r="J72" s="190">
        <f>($H$72*'4.1 kW &amp; kWh'!C82)</f>
        <v>1028717.2112485901</v>
      </c>
      <c r="K72" s="190">
        <f>($H$72*'4.1 kW &amp; kWh'!D82)</f>
        <v>1237.0436388260191</v>
      </c>
      <c r="L72" s="190">
        <f>($H$72*'4.1 kW &amp; kWh'!E82)</f>
        <v>176869.6443550298</v>
      </c>
      <c r="M72" s="190">
        <f>($H$72*'4.1 kW &amp; kWh'!F82)</f>
        <v>4760.8401904368156</v>
      </c>
      <c r="N72" s="190">
        <f>($H$72*'4.1 kW &amp; kWh'!G82)</f>
        <v>39949.982019383911</v>
      </c>
      <c r="O72" s="190">
        <f>($H$72*'4.1 kW &amp; kWh'!H82)</f>
        <v>56168.865944262114</v>
      </c>
      <c r="P72" s="190">
        <f>($H$72*'4.1 kW &amp; kWh'!I82)</f>
        <v>16686.556471731667</v>
      </c>
      <c r="Q72" s="190">
        <f t="shared" ref="Q72:Q80" si="21">SUM(J72:P72)</f>
        <v>1324390.1438682606</v>
      </c>
      <c r="R72" s="190">
        <f>($H$72*'4.1 kW &amp; kWh'!K82)</f>
        <v>82441.873786193319</v>
      </c>
      <c r="S72" s="190">
        <f>($H$72*'4.1 kW &amp; kWh'!L82)</f>
        <v>38038.693874711273</v>
      </c>
      <c r="T72" s="190">
        <f>SUM(Q72:S72)</f>
        <v>1444870.711529165</v>
      </c>
      <c r="U72" s="200" t="s">
        <v>1</v>
      </c>
      <c r="V72" s="200" t="s">
        <v>1</v>
      </c>
    </row>
    <row r="73" spans="1:22">
      <c r="A73" s="77"/>
      <c r="B73" s="77"/>
      <c r="C73" s="98" t="s">
        <v>5</v>
      </c>
      <c r="D73" s="98" t="s">
        <v>10</v>
      </c>
      <c r="H73" s="177">
        <f>(G54)</f>
        <v>32178189.281105909</v>
      </c>
      <c r="J73" s="190">
        <f>($H$73*'4.21 Consumer Alloc'!I4)</f>
        <v>30510053.503595468</v>
      </c>
      <c r="K73" s="190">
        <f>($H$73*'4.21 Consumer Alloc'!I5)</f>
        <v>21903.648771733533</v>
      </c>
      <c r="L73" s="190">
        <f>($H$73*'4.21 Consumer Alloc'!I6)</f>
        <v>1472155.7621844066</v>
      </c>
      <c r="M73" s="190">
        <f>($H$73*'4.21 Consumer Alloc'!I7)</f>
        <v>24785.707820645839</v>
      </c>
      <c r="N73" s="190">
        <f>($H$73*'4.21 Consumer Alloc'!I8)</f>
        <v>32855.473157600296</v>
      </c>
      <c r="O73" s="190">
        <f>($H$73*'4.21 Consumer Alloc'!I9)</f>
        <v>13833.883434779074</v>
      </c>
      <c r="P73" s="190">
        <f>($H$73*'4.21 Consumer Alloc'!I12)</f>
        <v>99142.831282583356</v>
      </c>
      <c r="Q73" s="190">
        <f t="shared" si="21"/>
        <v>32174730.810247216</v>
      </c>
      <c r="R73" s="190">
        <f>($H$73*'4.21 Consumer Alloc'!I10)</f>
        <v>2882.0590489123069</v>
      </c>
      <c r="S73" s="190">
        <f>($H$73*'4.21 Consumer Alloc'!I11)</f>
        <v>576.41180978246143</v>
      </c>
      <c r="T73" s="190">
        <f t="shared" ref="T73:T80" si="22">SUM(Q73:S73)</f>
        <v>32178189.281105913</v>
      </c>
      <c r="V73" s="200" t="s">
        <v>1</v>
      </c>
    </row>
    <row r="74" spans="1:22">
      <c r="A74" s="77"/>
      <c r="B74" s="77"/>
      <c r="C74" s="98" t="s">
        <v>5</v>
      </c>
      <c r="D74" s="98" t="s">
        <v>131</v>
      </c>
      <c r="H74" s="177">
        <f>(H54)</f>
        <v>62450065.307719126</v>
      </c>
      <c r="J74" s="190">
        <f>($H$74*'4.1 kW &amp; kWh'!C82)</f>
        <v>44463118.058263987</v>
      </c>
      <c r="K74" s="190">
        <f>($H$74*'4.1 kW &amp; kWh'!D82)</f>
        <v>53467.38321757727</v>
      </c>
      <c r="L74" s="190">
        <f>($H$74*'4.1 kW &amp; kWh'!E82)</f>
        <v>7644643.0485359794</v>
      </c>
      <c r="M74" s="190">
        <f>($H$74*'4.1 kW &amp; kWh'!F82)</f>
        <v>205772.58466104063</v>
      </c>
      <c r="N74" s="190">
        <f>($H$74*'4.1 kW &amp; kWh'!G82)</f>
        <v>1726714.3463045901</v>
      </c>
      <c r="O74" s="190">
        <f>($H$74*'4.1 kW &amp; kWh'!H82)</f>
        <v>2427725.4141080184</v>
      </c>
      <c r="P74" s="190">
        <f>($H$74*'4.1 kW &amp; kWh'!I82)</f>
        <v>721224.76641367737</v>
      </c>
      <c r="Q74" s="190">
        <f t="shared" si="21"/>
        <v>57242665.60150487</v>
      </c>
      <c r="R74" s="190">
        <f>($H$74*'4.1 kW &amp; kWh'!K82)</f>
        <v>3563294.8754215143</v>
      </c>
      <c r="S74" s="190">
        <f>($H$74*'4.1 kW &amp; kWh'!L82)</f>
        <v>1644104.8307927474</v>
      </c>
      <c r="T74" s="190">
        <f t="shared" si="22"/>
        <v>62450065.307719134</v>
      </c>
    </row>
    <row r="75" spans="1:22">
      <c r="A75" s="77"/>
      <c r="B75" s="77"/>
      <c r="C75" s="98" t="s">
        <v>95</v>
      </c>
      <c r="D75" s="98" t="s">
        <v>10</v>
      </c>
      <c r="H75" s="177">
        <f>(G55)</f>
        <v>5102078.635103683</v>
      </c>
      <c r="J75" s="190">
        <f>($H$75*'4.21 Consumer Alloc'!I20)</f>
        <v>4796894.4726059148</v>
      </c>
      <c r="K75" s="190">
        <f>($H$75*'4.21 Consumer Alloc'!I21)</f>
        <v>3443.7662231778118</v>
      </c>
      <c r="L75" s="190">
        <f>($H$75*'4.21 Consumer Alloc'!I22)</f>
        <v>231457.34036831924</v>
      </c>
      <c r="M75" s="190">
        <f>($H$75*'4.21 Consumer Alloc'!I23)</f>
        <v>3896.8933578064712</v>
      </c>
      <c r="N75" s="190">
        <f>($H$75*'4.21 Consumer Alloc'!I24)</f>
        <v>9279.2285465537789</v>
      </c>
      <c r="O75" s="190">
        <f>($H$75*'4.21 Consumer Alloc'!I25)</f>
        <v>52819.446710032556</v>
      </c>
      <c r="P75" s="190">
        <f>($H$75*'4.21 Consumer Alloc'!I28)</f>
        <v>4287.4872918791443</v>
      </c>
      <c r="Q75" s="190">
        <f t="shared" si="21"/>
        <v>5102078.6351036849</v>
      </c>
      <c r="R75" s="190">
        <f>($H$75*'4.21 Consumer Alloc'!I26)</f>
        <v>0</v>
      </c>
      <c r="S75" s="190">
        <f>($H$75*'4.21 Consumer Alloc'!I27)</f>
        <v>0</v>
      </c>
      <c r="T75" s="190">
        <f t="shared" si="22"/>
        <v>5102078.6351036849</v>
      </c>
    </row>
    <row r="76" spans="1:22">
      <c r="A76" s="77"/>
      <c r="B76" s="77"/>
      <c r="C76" s="98" t="s">
        <v>95</v>
      </c>
      <c r="D76" s="98" t="s">
        <v>131</v>
      </c>
      <c r="H76" s="177">
        <f>(H55)</f>
        <v>19384630.836063895</v>
      </c>
      <c r="J76" s="190">
        <f>($H$76*'4.1 kW &amp; kWh'!C110)</f>
        <v>16616552.709234206</v>
      </c>
      <c r="K76" s="190">
        <f>($H$76*'4.1 kW &amp; kWh'!D110)</f>
        <v>14245.100987830492</v>
      </c>
      <c r="L76" s="190">
        <f>($H$76*'4.1 kW &amp; kWh'!E110)</f>
        <v>1565812.1210919654</v>
      </c>
      <c r="M76" s="190">
        <f>($H$76*'4.1 kW &amp; kWh'!F110)</f>
        <v>16003.755430772528</v>
      </c>
      <c r="N76" s="190">
        <f>($H$76*'4.1 kW &amp; kWh'!G110)</f>
        <v>390037.31344642298</v>
      </c>
      <c r="O76" s="190">
        <f>($H$76*'4.1 kW &amp; kWh'!H110)</f>
        <v>619699.99715022347</v>
      </c>
      <c r="P76" s="190">
        <f>($H$76*'4.1 kW &amp; kWh'!I110)</f>
        <v>162279.83872247636</v>
      </c>
      <c r="Q76" s="190">
        <f t="shared" si="21"/>
        <v>19384630.836063895</v>
      </c>
      <c r="R76" s="190">
        <f>($H$76*'4.1 kW &amp; kWh'!K110)</f>
        <v>0</v>
      </c>
      <c r="S76" s="190">
        <f>($H$76*'4.1 kW &amp; kWh'!L110)</f>
        <v>0</v>
      </c>
      <c r="T76" s="190">
        <f t="shared" si="22"/>
        <v>19384630.836063895</v>
      </c>
    </row>
    <row r="77" spans="1:22">
      <c r="A77" s="77"/>
      <c r="B77" s="77"/>
      <c r="C77" s="98" t="s">
        <v>8</v>
      </c>
      <c r="D77" s="98" t="s">
        <v>10</v>
      </c>
      <c r="H77" s="177">
        <f>(G56)</f>
        <v>22890029.830603417</v>
      </c>
      <c r="J77" s="190">
        <f>($H$77*'4.21 Consumer Alloc'!J37)</f>
        <v>21267352.042780526</v>
      </c>
      <c r="K77" s="190">
        <f>($H$77*'4.21 Consumer Alloc'!J38)</f>
        <v>15268.167569584177</v>
      </c>
      <c r="L77" s="190">
        <f>($H$77*'4.21 Consumer Alloc'!J39)</f>
        <v>1231417.8938753046</v>
      </c>
      <c r="M77" s="190">
        <f>($H$77*'4.21 Consumer Alloc'!J40)</f>
        <v>20732.564383961671</v>
      </c>
      <c r="N77" s="190">
        <f>($H$77*'4.21 Consumer Alloc'!J41)</f>
        <v>32005.540875078514</v>
      </c>
      <c r="O77" s="190">
        <f>($H$77*'4.21 Consumer Alloc'!J45)</f>
        <v>323253.62111895951</v>
      </c>
      <c r="P77" s="190">
        <f>($H$77*'4.21 Consumer Alloc'!P37)</f>
        <v>0</v>
      </c>
      <c r="Q77" s="190">
        <f t="shared" si="21"/>
        <v>22890029.830603413</v>
      </c>
      <c r="R77" s="190">
        <f>($H$77*'4.21 Consumer Alloc'!J43)</f>
        <v>0</v>
      </c>
      <c r="S77" s="190">
        <f>($H$77*'4.21 Consumer Alloc'!J44)</f>
        <v>0</v>
      </c>
      <c r="T77" s="190">
        <f t="shared" si="22"/>
        <v>22890029.830603413</v>
      </c>
    </row>
    <row r="78" spans="1:22">
      <c r="A78" s="77"/>
      <c r="B78" s="77"/>
      <c r="C78" s="98" t="s">
        <v>9</v>
      </c>
      <c r="D78" s="98" t="s">
        <v>10</v>
      </c>
      <c r="H78" s="177">
        <f>(G57)</f>
        <v>5909488.1266926397</v>
      </c>
      <c r="J78" s="190">
        <f>($H$78*'4.21 Consumer Alloc'!I54)</f>
        <v>5068967.5510152457</v>
      </c>
      <c r="K78" s="190">
        <f>($H$78*'4.21 Consumer Alloc'!I55)</f>
        <v>3639.0917787039607</v>
      </c>
      <c r="L78" s="190">
        <f>($H$78*'4.21 Consumer Alloc'!I56)</f>
        <v>818155.19478551799</v>
      </c>
      <c r="M78" s="190">
        <f>($H$78*'4.21 Consumer Alloc'!I57)</f>
        <v>4117.919644322903</v>
      </c>
      <c r="N78" s="190">
        <f>($H$78*'4.21 Consumer Alloc'!I58)</f>
        <v>9571.0006864873067</v>
      </c>
      <c r="O78" s="190">
        <f>($H$78*'4.21 Consumer Alloc'!I59)</f>
        <v>4029.8950258893924</v>
      </c>
      <c r="P78" s="190">
        <f>($H$78*'4.21 Consumer Alloc'!I62)</f>
        <v>0</v>
      </c>
      <c r="Q78" s="190">
        <f t="shared" si="21"/>
        <v>5908480.6529361671</v>
      </c>
      <c r="R78" s="190">
        <f>($H$78*'4.21 Consumer Alloc'!I60)</f>
        <v>839.56146372695673</v>
      </c>
      <c r="S78" s="190">
        <f>($H$78*'4.21 Consumer Alloc'!I61)</f>
        <v>167.91229274539134</v>
      </c>
      <c r="T78" s="190">
        <f t="shared" si="22"/>
        <v>5909488.1266926387</v>
      </c>
    </row>
    <row r="79" spans="1:22">
      <c r="A79" s="77"/>
      <c r="B79" s="77"/>
      <c r="C79" s="98" t="s">
        <v>426</v>
      </c>
      <c r="D79" s="98" t="s">
        <v>10</v>
      </c>
      <c r="H79" s="177">
        <f>(G58)</f>
        <v>1719581.0866131065</v>
      </c>
      <c r="J79" s="190">
        <f>($H$79*'4.21 Consumer Alloc'!I71)</f>
        <v>1552439.283640597</v>
      </c>
      <c r="K79" s="190">
        <f>($H$79*'4.21 Consumer Alloc'!I72)</f>
        <v>1393.1508184793101</v>
      </c>
      <c r="L79" s="190">
        <f>($H$79*'4.21 Consumer Alloc'!I73)</f>
        <v>117042.99968408415</v>
      </c>
      <c r="M79" s="190">
        <f>($H$79*'4.21 Consumer Alloc'!I74)</f>
        <v>1970.5751708753401</v>
      </c>
      <c r="N79" s="190">
        <f>($H$79*'4.21 Consumer Alloc'!I75)</f>
        <v>4179.4524554379304</v>
      </c>
      <c r="O79" s="190">
        <f>($H$79*'4.21 Consumer Alloc'!I76)</f>
        <v>1759.769454921234</v>
      </c>
      <c r="P79" s="190">
        <f>($H$79*'4.21 Consumer Alloc'!I79)</f>
        <v>33096.86402343111</v>
      </c>
      <c r="Q79" s="190">
        <f t="shared" si="21"/>
        <v>1711882.0952478261</v>
      </c>
      <c r="R79" s="190">
        <f>($H$79*'4.21 Consumer Alloc'!I77)</f>
        <v>5499.2795466288553</v>
      </c>
      <c r="S79" s="190">
        <f>($H$79*'4.21 Consumer Alloc'!I78)</f>
        <v>2199.7118186515422</v>
      </c>
      <c r="T79" s="190">
        <f t="shared" si="22"/>
        <v>1719581.0866131065</v>
      </c>
    </row>
    <row r="80" spans="1:22">
      <c r="A80" s="77"/>
      <c r="B80" s="77"/>
      <c r="C80" s="98" t="s">
        <v>13</v>
      </c>
      <c r="D80" s="98" t="s">
        <v>13</v>
      </c>
      <c r="H80" s="177">
        <f>(J59)</f>
        <v>6589049.924569061</v>
      </c>
      <c r="P80" s="177">
        <f>(H80)</f>
        <v>6589049.924569061</v>
      </c>
      <c r="Q80" s="190">
        <f t="shared" si="21"/>
        <v>6589049.924569061</v>
      </c>
      <c r="T80" s="190">
        <f t="shared" si="22"/>
        <v>6589049.924569061</v>
      </c>
    </row>
    <row r="81" spans="1:22" ht="13.5" thickBot="1">
      <c r="A81" s="77"/>
      <c r="B81" s="77"/>
      <c r="H81" s="204">
        <f>SUM(H72:H80)</f>
        <v>157667983.74000004</v>
      </c>
      <c r="J81" s="204">
        <f>SUM(J72:J80)</f>
        <v>125304094.83238454</v>
      </c>
      <c r="K81" s="204">
        <f>SUM(K72:K80)</f>
        <v>114597.35300591256</v>
      </c>
      <c r="L81" s="204">
        <f>SUM(L72:L80)</f>
        <v>13257554.004880609</v>
      </c>
      <c r="M81" s="204">
        <f>SUM(M72:M80)</f>
        <v>282040.84065986221</v>
      </c>
      <c r="N81" s="205">
        <f>SUM(N72:N80)</f>
        <v>2244592.3374915547</v>
      </c>
      <c r="O81" s="205">
        <f t="shared" ref="O81:S81" si="23">SUM(O72:O80)</f>
        <v>3499290.8929470852</v>
      </c>
      <c r="P81" s="205">
        <f t="shared" si="23"/>
        <v>7625768.26877484</v>
      </c>
      <c r="Q81" s="205">
        <f t="shared" si="23"/>
        <v>152327938.53014439</v>
      </c>
      <c r="R81" s="205">
        <f t="shared" si="23"/>
        <v>3654957.6492669759</v>
      </c>
      <c r="S81" s="205">
        <f t="shared" si="23"/>
        <v>1685087.5605886381</v>
      </c>
      <c r="T81" s="205">
        <f>SUM(T72:T80)</f>
        <v>157667983.74000004</v>
      </c>
      <c r="U81" s="177">
        <f>SUM(U72:U80)</f>
        <v>0</v>
      </c>
      <c r="V81" s="177">
        <f>SUM(V72:V80)</f>
        <v>0</v>
      </c>
    </row>
    <row r="82" spans="1:22">
      <c r="A82" s="77"/>
      <c r="B82" s="77"/>
      <c r="E82" s="77"/>
    </row>
    <row r="83" spans="1:22">
      <c r="A83" s="77"/>
      <c r="B83" s="77"/>
      <c r="C83" s="98" t="s">
        <v>429</v>
      </c>
      <c r="E83" s="77"/>
      <c r="J83" s="189">
        <f>(J81/$H$81)</f>
        <v>0.79473392035643287</v>
      </c>
      <c r="K83" s="189">
        <f>(K81/$H$81)</f>
        <v>7.2682703417383432E-4</v>
      </c>
      <c r="L83" s="189">
        <f>(L81/$H$81)</f>
        <v>8.4085263795487961E-2</v>
      </c>
      <c r="M83" s="189">
        <f>(M81/$H$81)</f>
        <v>1.7888275981568795E-3</v>
      </c>
      <c r="N83" s="189">
        <f>(N81/$H$81)</f>
        <v>1.4236196114443659E-2</v>
      </c>
    </row>
    <row r="84" spans="1:22">
      <c r="A84" s="77"/>
      <c r="B84" s="77"/>
      <c r="E84" s="77"/>
    </row>
    <row r="85" spans="1:22">
      <c r="A85" s="77"/>
      <c r="B85" s="77"/>
      <c r="E85" s="77"/>
    </row>
    <row r="86" spans="1:22">
      <c r="A86" s="77"/>
      <c r="B86" s="77"/>
      <c r="E86" s="77"/>
    </row>
    <row r="87" spans="1:22">
      <c r="A87" s="77"/>
      <c r="B87" s="77"/>
      <c r="E87" s="77"/>
    </row>
    <row r="88" spans="1:22">
      <c r="A88" s="77"/>
      <c r="B88" s="77"/>
      <c r="E88" s="77"/>
    </row>
    <row r="89" spans="1:22">
      <c r="A89" s="77"/>
      <c r="B89" s="77"/>
      <c r="E89" s="77"/>
      <c r="I89" s="77" t="str">
        <f>('4 Allocation'!J3)</f>
        <v>LP2</v>
      </c>
      <c r="J89" s="77" t="str">
        <f>('4 Allocation'!M3)</f>
        <v>B-2</v>
      </c>
      <c r="K89" s="77" t="e">
        <f>('4 Allocation'!#REF!)</f>
        <v>#REF!</v>
      </c>
      <c r="L89" s="77" t="str">
        <f>('4 Allocation'!N3)</f>
        <v>G-1</v>
      </c>
      <c r="M89" s="77" t="str">
        <f>('4 Allocation'!O3)</f>
        <v>Total</v>
      </c>
      <c r="N89" s="77" t="e">
        <f>('4 Allocation'!#REF!)</f>
        <v>#REF!</v>
      </c>
    </row>
    <row r="90" spans="1:22">
      <c r="A90" s="77"/>
      <c r="B90" s="77"/>
      <c r="D90" s="98" t="s">
        <v>428</v>
      </c>
      <c r="E90" s="77"/>
      <c r="I90" s="77" t="str">
        <f>('4 Allocation'!J4)</f>
        <v>Large Power</v>
      </c>
      <c r="J90" s="77" t="str">
        <f>('4 Allocation'!M4)</f>
        <v>Large Indust.</v>
      </c>
      <c r="K90" s="77" t="e">
        <f>('4 Allocation'!#REF!)</f>
        <v>#REF!</v>
      </c>
      <c r="L90" s="77" t="str">
        <f>('4 Allocation'!N4)</f>
        <v>Large Indust.</v>
      </c>
      <c r="M90" s="77" t="str">
        <f>('4 Allocation'!O4)</f>
        <v>for All</v>
      </c>
      <c r="N90" s="77" t="e">
        <f>('4 Allocation'!#REF!)</f>
        <v>#REF!</v>
      </c>
    </row>
    <row r="91" spans="1:22">
      <c r="A91" s="77"/>
      <c r="B91" s="77"/>
      <c r="C91" s="98" t="s">
        <v>202</v>
      </c>
      <c r="D91" s="98" t="s">
        <v>427</v>
      </c>
      <c r="E91" s="77"/>
      <c r="I91" s="77" t="str">
        <f>('4 Allocation'!J5)</f>
        <v>over 500 kW</v>
      </c>
      <c r="J91" s="77" t="str">
        <f>('4 Allocation'!M5)</f>
        <v>Rate</v>
      </c>
      <c r="K91" s="77" t="e">
        <f>('4 Allocation'!#REF!)</f>
        <v>#REF!</v>
      </c>
      <c r="L91" s="77" t="str">
        <f>('4 Allocation'!N5)</f>
        <v>Rate</v>
      </c>
      <c r="M91" s="77" t="str">
        <f>('4 Allocation'!O5)</f>
        <v>Rate Classes</v>
      </c>
      <c r="N91" s="77" t="e">
        <f>('4 Allocation'!#REF!)</f>
        <v>#REF!</v>
      </c>
    </row>
    <row r="92" spans="1:22">
      <c r="A92" s="77"/>
      <c r="B92" s="77"/>
      <c r="E92" s="77"/>
    </row>
    <row r="93" spans="1:22">
      <c r="A93" s="77"/>
      <c r="B93" s="77"/>
      <c r="C93" s="98" t="s">
        <v>240</v>
      </c>
      <c r="D93" s="98" t="s">
        <v>131</v>
      </c>
      <c r="E93" s="77"/>
      <c r="I93" s="190" t="e">
        <f>($H$72*'4.1 kW &amp; kWh'!H55)</f>
        <v>#VALUE!</v>
      </c>
      <c r="J93" s="190" t="e">
        <f>($H$72*'4.1 kW &amp; kWh'!#REF!)</f>
        <v>#REF!</v>
      </c>
      <c r="K93" s="190" t="e">
        <f>($H$72*'4.1 kW &amp; kWh'!J55)</f>
        <v>#VALUE!</v>
      </c>
      <c r="L93" s="190" t="e">
        <f>($H$72*'4.1 kW &amp; kWh'!K55)</f>
        <v>#VALUE!</v>
      </c>
      <c r="M93" s="190" t="e">
        <f>($H$72*'4.1 kW &amp; kWh'!L55)</f>
        <v>#VALUE!</v>
      </c>
      <c r="N93" s="190" t="e">
        <f t="shared" ref="N93:N101" si="24">SUM(J72:N72)+SUM(I93:M93)</f>
        <v>#VALUE!</v>
      </c>
    </row>
    <row r="94" spans="1:22">
      <c r="A94" s="77"/>
      <c r="B94" s="77"/>
      <c r="C94" s="98" t="s">
        <v>5</v>
      </c>
      <c r="D94" s="98" t="s">
        <v>10</v>
      </c>
      <c r="E94" s="77"/>
      <c r="I94" s="190" t="e">
        <f>($H$73*#REF!)</f>
        <v>#REF!</v>
      </c>
      <c r="J94" s="190" t="e">
        <f>($H$73*#REF!)</f>
        <v>#REF!</v>
      </c>
      <c r="K94" s="190" t="e">
        <f>($H$73*#REF!)</f>
        <v>#REF!</v>
      </c>
      <c r="L94" s="190" t="e">
        <f>($H$73*#REF!)</f>
        <v>#REF!</v>
      </c>
      <c r="M94" s="190" t="e">
        <f>($H$73*#REF!)</f>
        <v>#REF!</v>
      </c>
      <c r="N94" s="190" t="e">
        <f t="shared" si="24"/>
        <v>#REF!</v>
      </c>
    </row>
    <row r="95" spans="1:22">
      <c r="A95" s="77"/>
      <c r="B95" s="77"/>
      <c r="C95" s="98" t="s">
        <v>5</v>
      </c>
      <c r="D95" s="98" t="s">
        <v>131</v>
      </c>
      <c r="E95" s="77"/>
      <c r="I95" s="190">
        <f>($H$74*'4.1 kW &amp; kWh'!H84)</f>
        <v>2427725.4141080184</v>
      </c>
      <c r="J95" s="190" t="e">
        <f>($H$74*'4.1 kW &amp; kWh'!#REF!)</f>
        <v>#REF!</v>
      </c>
      <c r="K95" s="190" t="e">
        <f>($H$74*'4.1 kW &amp; kWh'!J84)</f>
        <v>#VALUE!</v>
      </c>
      <c r="L95" s="190">
        <f>($H$74*'4.1 kW &amp; kWh'!K84)</f>
        <v>3563294.8754215143</v>
      </c>
      <c r="M95" s="190">
        <f>($H$74*'4.1 kW &amp; kWh'!L84)</f>
        <v>1644104.8307927474</v>
      </c>
      <c r="N95" s="190" t="e">
        <f t="shared" si="24"/>
        <v>#REF!</v>
      </c>
    </row>
    <row r="96" spans="1:22">
      <c r="A96" s="77"/>
      <c r="B96" s="77"/>
      <c r="C96" s="98" t="s">
        <v>95</v>
      </c>
      <c r="D96" s="98" t="s">
        <v>10</v>
      </c>
      <c r="E96" s="77"/>
      <c r="I96" s="190" t="e">
        <f>($H$75*#REF!)</f>
        <v>#REF!</v>
      </c>
      <c r="J96" s="190" t="e">
        <f>($H$75*#REF!)</f>
        <v>#REF!</v>
      </c>
      <c r="K96" s="190" t="e">
        <f>($H$75*#REF!)</f>
        <v>#REF!</v>
      </c>
      <c r="L96" s="190" t="e">
        <f>($H$75*#REF!)</f>
        <v>#REF!</v>
      </c>
      <c r="M96" s="190" t="e">
        <f>($H$75*#REF!)</f>
        <v>#REF!</v>
      </c>
      <c r="N96" s="190" t="e">
        <f t="shared" si="24"/>
        <v>#REF!</v>
      </c>
    </row>
    <row r="97" spans="1:14">
      <c r="A97" s="77"/>
      <c r="B97" s="77"/>
      <c r="C97" s="98" t="s">
        <v>95</v>
      </c>
      <c r="D97" s="98" t="s">
        <v>131</v>
      </c>
      <c r="E97" s="77"/>
      <c r="I97" s="190">
        <f>($H$76*'4.1 kW &amp; kWh'!H110)</f>
        <v>619699.99715022347</v>
      </c>
      <c r="J97" s="190" t="e">
        <f>($H$76*'4.1 kW &amp; kWh'!#REF!)</f>
        <v>#REF!</v>
      </c>
      <c r="K97" s="190">
        <f>($H$76*'4.1 kW &amp; kWh'!J110)</f>
        <v>19384630.836063895</v>
      </c>
      <c r="L97" s="190">
        <f>($H$76*'4.1 kW &amp; kWh'!K110)</f>
        <v>0</v>
      </c>
      <c r="M97" s="190">
        <f>($H$76*'4.1 kW &amp; kWh'!L110)</f>
        <v>0</v>
      </c>
      <c r="N97" s="190" t="e">
        <f t="shared" si="24"/>
        <v>#REF!</v>
      </c>
    </row>
    <row r="98" spans="1:14">
      <c r="A98" s="77"/>
      <c r="B98" s="77"/>
      <c r="C98" s="98" t="s">
        <v>8</v>
      </c>
      <c r="D98" s="98" t="s">
        <v>10</v>
      </c>
      <c r="E98" s="77"/>
      <c r="I98" s="190" t="e">
        <f>($H$77*#REF!)</f>
        <v>#REF!</v>
      </c>
      <c r="J98" s="190" t="e">
        <f>($H$77*#REF!)</f>
        <v>#REF!</v>
      </c>
      <c r="K98" s="190" t="e">
        <f>($H$77*#REF!)</f>
        <v>#REF!</v>
      </c>
      <c r="L98" s="190" t="e">
        <f>($H$77*#REF!)</f>
        <v>#REF!</v>
      </c>
      <c r="M98" s="190" t="e">
        <f>($H$77*#REF!)</f>
        <v>#REF!</v>
      </c>
      <c r="N98" s="190" t="e">
        <f t="shared" si="24"/>
        <v>#REF!</v>
      </c>
    </row>
    <row r="99" spans="1:14">
      <c r="A99" s="77"/>
      <c r="B99" s="77"/>
      <c r="C99" s="98" t="s">
        <v>9</v>
      </c>
      <c r="D99" s="98" t="s">
        <v>10</v>
      </c>
      <c r="E99" s="77"/>
      <c r="I99" s="190" t="e">
        <f>($H$78*#REF!)</f>
        <v>#REF!</v>
      </c>
      <c r="J99" s="190" t="e">
        <f>($H$78*#REF!)</f>
        <v>#REF!</v>
      </c>
      <c r="K99" s="190" t="e">
        <f>($H$78*#REF!)</f>
        <v>#REF!</v>
      </c>
      <c r="L99" s="190" t="e">
        <f>($H$78*#REF!)</f>
        <v>#REF!</v>
      </c>
      <c r="M99" s="190" t="e">
        <f>($H$78*#REF!)</f>
        <v>#REF!</v>
      </c>
      <c r="N99" s="190" t="e">
        <f t="shared" si="24"/>
        <v>#REF!</v>
      </c>
    </row>
    <row r="100" spans="1:14">
      <c r="A100" s="77"/>
      <c r="B100" s="77"/>
      <c r="C100" s="98" t="s">
        <v>426</v>
      </c>
      <c r="D100" s="98" t="s">
        <v>10</v>
      </c>
      <c r="E100" s="77"/>
      <c r="I100" s="190" t="e">
        <f>($H$79*#REF!)</f>
        <v>#REF!</v>
      </c>
      <c r="J100" s="190" t="e">
        <f>($H$79*#REF!)</f>
        <v>#REF!</v>
      </c>
      <c r="K100" s="190" t="e">
        <f>($H$79*#REF!)</f>
        <v>#REF!</v>
      </c>
      <c r="L100" s="190" t="e">
        <f>($H$79*#REF!)</f>
        <v>#REF!</v>
      </c>
      <c r="M100" s="190" t="e">
        <f>($H$79*#REF!)</f>
        <v>#REF!</v>
      </c>
      <c r="N100" s="190" t="e">
        <f t="shared" si="24"/>
        <v>#REF!</v>
      </c>
    </row>
    <row r="101" spans="1:14">
      <c r="A101" s="77"/>
      <c r="B101" s="77"/>
      <c r="C101" s="98" t="s">
        <v>13</v>
      </c>
      <c r="D101" s="98" t="s">
        <v>13</v>
      </c>
      <c r="E101" s="77"/>
      <c r="M101" s="177">
        <f>(H80)</f>
        <v>6589049.924569061</v>
      </c>
      <c r="N101" s="190">
        <f t="shared" si="24"/>
        <v>6589049.924569061</v>
      </c>
    </row>
    <row r="102" spans="1:14" ht="13.5" thickBot="1">
      <c r="A102" s="77"/>
      <c r="B102" s="77"/>
      <c r="E102" s="77"/>
      <c r="I102" s="205" t="e">
        <f t="shared" ref="I102:N102" si="25">SUM(I93:I101)</f>
        <v>#VALUE!</v>
      </c>
      <c r="J102" s="205" t="e">
        <f t="shared" si="25"/>
        <v>#REF!</v>
      </c>
      <c r="K102" s="205" t="e">
        <f t="shared" si="25"/>
        <v>#VALUE!</v>
      </c>
      <c r="L102" s="205" t="e">
        <f t="shared" si="25"/>
        <v>#VALUE!</v>
      </c>
      <c r="M102" s="205" t="e">
        <f t="shared" si="25"/>
        <v>#VALUE!</v>
      </c>
      <c r="N102" s="205" t="e">
        <f t="shared" si="25"/>
        <v>#VALUE!</v>
      </c>
    </row>
    <row r="103" spans="1:14" ht="13.5" thickTop="1">
      <c r="A103" s="77"/>
      <c r="B103" s="77"/>
      <c r="E103" s="77"/>
    </row>
    <row r="104" spans="1:14">
      <c r="A104" s="77"/>
      <c r="B104" s="77"/>
      <c r="E104" s="77"/>
      <c r="I104" s="189" t="e">
        <f t="shared" ref="I104:N104" si="26">(I102/$H$81)</f>
        <v>#VALUE!</v>
      </c>
      <c r="J104" s="189" t="e">
        <f t="shared" si="26"/>
        <v>#REF!</v>
      </c>
      <c r="K104" s="189" t="e">
        <f t="shared" si="26"/>
        <v>#VALUE!</v>
      </c>
      <c r="L104" s="189" t="e">
        <f t="shared" si="26"/>
        <v>#VALUE!</v>
      </c>
      <c r="M104" s="189" t="e">
        <f t="shared" si="26"/>
        <v>#VALUE!</v>
      </c>
      <c r="N104" s="189" t="e">
        <f t="shared" si="26"/>
        <v>#VALUE!</v>
      </c>
    </row>
    <row r="105" spans="1:14">
      <c r="A105" s="77"/>
      <c r="B105" s="77"/>
      <c r="E105" s="77"/>
    </row>
    <row r="106" spans="1:14">
      <c r="A106" s="77"/>
      <c r="B106" s="77"/>
      <c r="E106" s="77"/>
    </row>
    <row r="107" spans="1:14">
      <c r="A107" s="77"/>
      <c r="B107" s="77"/>
      <c r="E107" s="77"/>
    </row>
    <row r="108" spans="1:14">
      <c r="A108" s="77"/>
      <c r="B108" s="77"/>
      <c r="E108" s="77"/>
    </row>
    <row r="109" spans="1:14">
      <c r="A109" s="77"/>
      <c r="B109" s="77"/>
      <c r="E109" s="77"/>
    </row>
    <row r="110" spans="1:14">
      <c r="A110" s="77"/>
      <c r="B110" s="77"/>
      <c r="E110" s="77"/>
    </row>
    <row r="111" spans="1:14">
      <c r="A111" s="77"/>
      <c r="B111" s="77"/>
      <c r="E111" s="77"/>
    </row>
    <row r="112" spans="1:14">
      <c r="A112" s="77"/>
      <c r="B112" s="77"/>
      <c r="E112" s="77"/>
    </row>
    <row r="113" spans="1:5">
      <c r="A113" s="77"/>
      <c r="B113" s="77"/>
      <c r="E113" s="77"/>
    </row>
    <row r="114" spans="1:5">
      <c r="A114" s="77"/>
      <c r="B114" s="77"/>
      <c r="E114" s="77"/>
    </row>
    <row r="115" spans="1:5">
      <c r="A115" s="77"/>
      <c r="B115" s="77"/>
      <c r="E115" s="77"/>
    </row>
    <row r="116" spans="1:5">
      <c r="A116" s="77"/>
      <c r="B116" s="77"/>
      <c r="E116" s="77"/>
    </row>
    <row r="117" spans="1:5">
      <c r="A117" s="77"/>
      <c r="B117" s="77"/>
      <c r="E117" s="77"/>
    </row>
    <row r="118" spans="1:5">
      <c r="A118" s="77"/>
      <c r="B118" s="77"/>
      <c r="E118" s="77"/>
    </row>
    <row r="119" spans="1:5">
      <c r="A119" s="77"/>
      <c r="B119" s="77"/>
      <c r="E119" s="77"/>
    </row>
    <row r="120" spans="1:5">
      <c r="A120" s="77"/>
      <c r="B120" s="77"/>
      <c r="E120" s="77"/>
    </row>
    <row r="121" spans="1:5">
      <c r="A121" s="77"/>
      <c r="B121" s="77"/>
      <c r="E121" s="77"/>
    </row>
    <row r="122" spans="1:5">
      <c r="A122" s="77"/>
      <c r="B122" s="77"/>
      <c r="E122" s="77"/>
    </row>
    <row r="123" spans="1:5">
      <c r="A123" s="77"/>
      <c r="B123" s="77"/>
      <c r="E123" s="77"/>
    </row>
    <row r="124" spans="1:5">
      <c r="A124" s="77"/>
      <c r="B124" s="77"/>
      <c r="E124" s="77"/>
    </row>
    <row r="125" spans="1:5">
      <c r="A125" s="77"/>
      <c r="B125" s="77"/>
      <c r="E125" s="77"/>
    </row>
    <row r="126" spans="1:5">
      <c r="A126" s="77"/>
      <c r="B126" s="77"/>
      <c r="E126" s="77"/>
    </row>
    <row r="127" spans="1:5">
      <c r="A127" s="77"/>
      <c r="B127" s="77"/>
      <c r="E127" s="77"/>
    </row>
    <row r="128" spans="1:5">
      <c r="A128" s="77"/>
      <c r="B128" s="77"/>
      <c r="E128" s="77"/>
    </row>
    <row r="129" spans="1:5">
      <c r="A129" s="77"/>
      <c r="B129" s="77"/>
      <c r="E129" s="77"/>
    </row>
    <row r="130" spans="1:5">
      <c r="A130" s="77"/>
      <c r="B130" s="77"/>
      <c r="E130" s="77"/>
    </row>
    <row r="131" spans="1:5">
      <c r="A131" s="77"/>
      <c r="B131" s="77"/>
      <c r="E131" s="77"/>
    </row>
    <row r="132" spans="1:5">
      <c r="A132" s="77"/>
      <c r="B132" s="77"/>
      <c r="E132" s="77"/>
    </row>
    <row r="133" spans="1:5">
      <c r="A133" s="77"/>
      <c r="B133" s="77"/>
      <c r="E133" s="77"/>
    </row>
    <row r="134" spans="1:5">
      <c r="A134" s="77"/>
      <c r="B134" s="77"/>
      <c r="E134" s="77"/>
    </row>
    <row r="135" spans="1:5">
      <c r="A135" s="77"/>
      <c r="B135" s="77"/>
      <c r="E135" s="77"/>
    </row>
    <row r="136" spans="1:5">
      <c r="A136" s="77"/>
      <c r="B136" s="77"/>
      <c r="E136" s="77"/>
    </row>
    <row r="137" spans="1:5">
      <c r="A137" s="77"/>
      <c r="B137" s="77"/>
      <c r="E137" s="77"/>
    </row>
    <row r="138" spans="1:5">
      <c r="A138" s="77"/>
      <c r="B138" s="77"/>
      <c r="E138" s="77"/>
    </row>
    <row r="139" spans="1:5">
      <c r="A139" s="77"/>
      <c r="B139" s="77"/>
      <c r="E139" s="77"/>
    </row>
    <row r="140" spans="1:5">
      <c r="A140" s="77"/>
      <c r="B140" s="77"/>
      <c r="E140" s="77"/>
    </row>
    <row r="141" spans="1:5">
      <c r="A141" s="77"/>
      <c r="B141" s="77"/>
      <c r="E141" s="77"/>
    </row>
    <row r="142" spans="1:5">
      <c r="A142" s="77"/>
      <c r="B142" s="77"/>
      <c r="E142" s="77"/>
    </row>
    <row r="143" spans="1:5">
      <c r="A143" s="77"/>
      <c r="B143" s="77"/>
      <c r="E143" s="77"/>
    </row>
    <row r="144" spans="1:5">
      <c r="A144" s="77"/>
      <c r="B144" s="77"/>
      <c r="E144" s="77"/>
    </row>
    <row r="145" spans="1:5">
      <c r="A145" s="77"/>
      <c r="B145" s="77"/>
      <c r="E145" s="77"/>
    </row>
    <row r="146" spans="1:5">
      <c r="A146" s="77"/>
      <c r="B146" s="77"/>
      <c r="E146" s="77"/>
    </row>
    <row r="147" spans="1:5">
      <c r="A147" s="77"/>
      <c r="B147" s="77"/>
      <c r="E147" s="77"/>
    </row>
    <row r="148" spans="1:5">
      <c r="A148" s="77"/>
      <c r="B148" s="77"/>
      <c r="E148" s="77"/>
    </row>
    <row r="149" spans="1:5">
      <c r="A149" s="77"/>
      <c r="B149" s="77"/>
      <c r="E149" s="77"/>
    </row>
    <row r="150" spans="1:5">
      <c r="A150" s="77"/>
      <c r="B150" s="77"/>
      <c r="E150" s="77"/>
    </row>
    <row r="151" spans="1:5">
      <c r="A151" s="77"/>
      <c r="B151" s="77"/>
      <c r="E151" s="77"/>
    </row>
    <row r="152" spans="1:5">
      <c r="A152" s="77"/>
      <c r="B152" s="77"/>
      <c r="E152" s="77"/>
    </row>
    <row r="153" spans="1:5">
      <c r="A153" s="77"/>
      <c r="B153" s="77"/>
      <c r="E153" s="77"/>
    </row>
    <row r="154" spans="1:5">
      <c r="A154" s="77"/>
      <c r="B154" s="77"/>
      <c r="E154" s="77"/>
    </row>
    <row r="155" spans="1:5">
      <c r="A155" s="77"/>
      <c r="B155" s="77"/>
      <c r="E155" s="77"/>
    </row>
    <row r="156" spans="1:5">
      <c r="A156" s="77"/>
      <c r="B156" s="77"/>
      <c r="E156" s="77"/>
    </row>
    <row r="157" spans="1:5">
      <c r="A157" s="77"/>
      <c r="B157" s="77"/>
      <c r="E157" s="77"/>
    </row>
    <row r="158" spans="1:5">
      <c r="A158" s="77"/>
      <c r="B158" s="77"/>
      <c r="E158" s="77"/>
    </row>
    <row r="159" spans="1:5">
      <c r="A159" s="77"/>
      <c r="B159" s="77"/>
      <c r="E159" s="77"/>
    </row>
    <row r="160" spans="1:5">
      <c r="A160" s="77"/>
      <c r="B160" s="77"/>
      <c r="E160" s="77"/>
    </row>
    <row r="161" spans="1:5">
      <c r="A161" s="77"/>
      <c r="B161" s="77"/>
      <c r="E161" s="77"/>
    </row>
    <row r="162" spans="1:5">
      <c r="A162" s="77"/>
      <c r="B162" s="77"/>
      <c r="E162" s="77"/>
    </row>
    <row r="163" spans="1:5">
      <c r="A163" s="77"/>
      <c r="B163" s="77"/>
      <c r="E163" s="77"/>
    </row>
    <row r="164" spans="1:5">
      <c r="A164" s="77"/>
      <c r="B164" s="77"/>
      <c r="E164" s="77"/>
    </row>
    <row r="165" spans="1:5">
      <c r="A165" s="77"/>
      <c r="B165" s="77"/>
      <c r="E165" s="77"/>
    </row>
    <row r="166" spans="1:5">
      <c r="A166" s="77"/>
      <c r="B166" s="77"/>
      <c r="E166" s="77"/>
    </row>
    <row r="167" spans="1:5">
      <c r="A167" s="77"/>
      <c r="B167" s="77"/>
      <c r="E167" s="77"/>
    </row>
    <row r="168" spans="1:5">
      <c r="A168" s="77"/>
      <c r="B168" s="77"/>
      <c r="E168" s="77"/>
    </row>
    <row r="169" spans="1:5">
      <c r="A169" s="77"/>
      <c r="B169" s="77"/>
      <c r="E169" s="77"/>
    </row>
    <row r="170" spans="1:5">
      <c r="A170" s="77"/>
      <c r="B170" s="77"/>
      <c r="E170" s="77"/>
    </row>
    <row r="171" spans="1:5">
      <c r="A171" s="77"/>
      <c r="B171" s="77"/>
      <c r="E171" s="77"/>
    </row>
    <row r="172" spans="1:5">
      <c r="A172" s="77"/>
      <c r="B172" s="77"/>
      <c r="E172" s="77"/>
    </row>
    <row r="173" spans="1:5">
      <c r="A173" s="77"/>
      <c r="B173" s="77"/>
      <c r="E173" s="77"/>
    </row>
    <row r="174" spans="1:5">
      <c r="A174" s="77"/>
      <c r="B174" s="77"/>
      <c r="E174" s="77"/>
    </row>
    <row r="175" spans="1:5">
      <c r="A175" s="77"/>
      <c r="B175" s="77"/>
      <c r="E175" s="77"/>
    </row>
    <row r="176" spans="1:5">
      <c r="A176" s="77"/>
      <c r="B176" s="77"/>
      <c r="E176" s="77"/>
    </row>
    <row r="177" spans="1:5">
      <c r="A177" s="77"/>
      <c r="B177" s="77"/>
      <c r="E177" s="77"/>
    </row>
    <row r="178" spans="1:5">
      <c r="A178" s="77"/>
      <c r="B178" s="77"/>
      <c r="E178" s="77"/>
    </row>
    <row r="179" spans="1:5">
      <c r="A179" s="77"/>
      <c r="B179" s="77"/>
      <c r="E179" s="77"/>
    </row>
    <row r="180" spans="1:5">
      <c r="A180" s="77"/>
      <c r="B180" s="77"/>
      <c r="E180" s="77"/>
    </row>
    <row r="181" spans="1:5">
      <c r="A181" s="77"/>
      <c r="B181" s="77"/>
      <c r="E181" s="77"/>
    </row>
    <row r="182" spans="1:5">
      <c r="A182" s="77"/>
      <c r="B182" s="77"/>
      <c r="E182" s="77"/>
    </row>
    <row r="183" spans="1:5">
      <c r="A183" s="77"/>
      <c r="B183" s="77"/>
      <c r="E183" s="77"/>
    </row>
    <row r="184" spans="1:5">
      <c r="A184" s="77"/>
      <c r="B184" s="77"/>
      <c r="E184" s="77"/>
    </row>
    <row r="185" spans="1:5">
      <c r="A185" s="77"/>
      <c r="B185" s="77"/>
      <c r="E185" s="77"/>
    </row>
    <row r="186" spans="1:5">
      <c r="A186" s="77"/>
      <c r="B186" s="77"/>
      <c r="E186" s="77"/>
    </row>
    <row r="187" spans="1:5">
      <c r="A187" s="77"/>
      <c r="B187" s="77"/>
      <c r="E187" s="77"/>
    </row>
    <row r="188" spans="1:5">
      <c r="A188" s="77"/>
      <c r="B188" s="77"/>
      <c r="E188" s="77"/>
    </row>
    <row r="189" spans="1:5">
      <c r="A189" s="77"/>
      <c r="B189" s="77"/>
      <c r="E189" s="77"/>
    </row>
    <row r="190" spans="1:5">
      <c r="A190" s="77"/>
      <c r="B190" s="77"/>
      <c r="E190" s="77"/>
    </row>
    <row r="191" spans="1:5">
      <c r="A191" s="77"/>
      <c r="B191" s="77"/>
      <c r="E191" s="77"/>
    </row>
    <row r="192" spans="1:5">
      <c r="A192" s="77"/>
      <c r="B192" s="77"/>
      <c r="E192" s="77"/>
    </row>
    <row r="193" spans="1:5">
      <c r="A193" s="77"/>
      <c r="B193" s="77"/>
      <c r="E193" s="77"/>
    </row>
    <row r="194" spans="1:5">
      <c r="A194" s="77"/>
      <c r="B194" s="77"/>
      <c r="E194" s="77"/>
    </row>
    <row r="195" spans="1:5">
      <c r="A195" s="77"/>
      <c r="B195" s="77"/>
      <c r="E195" s="77"/>
    </row>
    <row r="196" spans="1:5">
      <c r="A196" s="77"/>
      <c r="B196" s="77"/>
      <c r="E196" s="77"/>
    </row>
    <row r="197" spans="1:5">
      <c r="A197" s="77"/>
      <c r="B197" s="77"/>
      <c r="E197" s="77"/>
    </row>
    <row r="198" spans="1:5">
      <c r="A198" s="77"/>
      <c r="B198" s="77"/>
      <c r="E198" s="77"/>
    </row>
    <row r="199" spans="1:5">
      <c r="A199" s="77"/>
      <c r="B199" s="77"/>
      <c r="E199" s="77"/>
    </row>
    <row r="200" spans="1:5">
      <c r="A200" s="77"/>
      <c r="B200" s="77"/>
      <c r="E200" s="77"/>
    </row>
    <row r="201" spans="1:5">
      <c r="A201" s="77"/>
      <c r="B201" s="77"/>
      <c r="E201" s="77"/>
    </row>
    <row r="202" spans="1:5">
      <c r="A202" s="77"/>
      <c r="B202" s="77"/>
      <c r="E202" s="77"/>
    </row>
    <row r="203" spans="1:5">
      <c r="A203" s="77"/>
      <c r="B203" s="77"/>
      <c r="E203" s="77"/>
    </row>
    <row r="204" spans="1:5">
      <c r="A204" s="77"/>
      <c r="B204" s="77"/>
      <c r="E204" s="77"/>
    </row>
    <row r="205" spans="1:5">
      <c r="A205" s="77"/>
      <c r="B205" s="77"/>
      <c r="E205" s="77"/>
    </row>
    <row r="206" spans="1:5">
      <c r="A206" s="77"/>
      <c r="B206" s="77"/>
      <c r="E206" s="77"/>
    </row>
    <row r="207" spans="1:5">
      <c r="A207" s="77"/>
      <c r="B207" s="77"/>
      <c r="E207" s="77"/>
    </row>
    <row r="208" spans="1:5">
      <c r="A208" s="77"/>
      <c r="B208" s="77"/>
      <c r="E208" s="77"/>
    </row>
    <row r="209" spans="1:5">
      <c r="A209" s="77"/>
      <c r="B209" s="77"/>
      <c r="E209" s="77"/>
    </row>
    <row r="210" spans="1:5">
      <c r="A210" s="77"/>
      <c r="B210" s="77"/>
      <c r="E210" s="77"/>
    </row>
    <row r="211" spans="1:5">
      <c r="A211" s="77"/>
      <c r="B211" s="77"/>
      <c r="E211" s="77"/>
    </row>
  </sheetData>
  <customSheetViews>
    <customSheetView guid="{18050E3F-BBF0-4BF6-9B33-B0817BE1B1C5}" scale="60" showPageBreaks="1" printArea="1" hiddenColumns="1" view="pageBreakPreview" showRuler="0" topLeftCell="F1">
      <selection activeCell="R17" sqref="R17"/>
      <rowBreaks count="2" manualBreakCount="2">
        <brk id="45" max="14" man="1"/>
        <brk id="69" max="14" man="1"/>
      </rowBreaks>
      <pageMargins left="0.75" right="0.75" top="1" bottom="1" header="0.5" footer="0.5"/>
      <printOptions horizontalCentered="1" verticalCentered="1" gridLines="1"/>
      <pageSetup scale="71" orientation="landscape" horizontalDpi="4294967293" r:id="rId1"/>
      <headerFooter alignWithMargins="0">
        <oddHeader>&amp;C&amp;"Arial,Bold"&amp;12 MEADE COUNTY
CASE NO. 2010-00222
RATE BASE &amp;R&amp;11Exhibit R 
Schedule 2
Page ____ of ____
Witness:  Jim Adkins</oddHeader>
      </headerFooter>
    </customSheetView>
  </customSheetViews>
  <mergeCells count="2">
    <mergeCell ref="H2:N2"/>
    <mergeCell ref="A1:M1"/>
  </mergeCells>
  <phoneticPr fontId="3" type="noConversion"/>
  <printOptions horizontalCentered="1" verticalCentered="1" gridLines="1"/>
  <pageMargins left="0.75" right="0.75" top="1" bottom="1" header="0.5" footer="0.5"/>
  <pageSetup scale="69" orientation="landscape" horizontalDpi="4294967293" r:id="rId2"/>
  <headerFooter alignWithMargins="0">
    <oddHeader>&amp;C&amp;"Arial,Bold"&amp;12 BLUE GRASS ENERGY COOPERATIVE
CASE NO. 2014-00339
RATE BASE &amp;R&amp;11Exhibit R 
Schedule 2.2
Page ____ of ____
Witness:  Jim Adkins</oddHeader>
  </headerFooter>
  <rowBreaks count="1" manualBreakCount="1">
    <brk id="45" max="20" man="1"/>
  </rowBreaks>
  <ignoredErrors>
    <ignoredError sqref="E37" unlockedFormula="1"/>
  </ignoredErrors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8"/>
  <sheetViews>
    <sheetView topLeftCell="A3" zoomScaleNormal="100" workbookViewId="0">
      <selection activeCell="L17" sqref="L17"/>
    </sheetView>
  </sheetViews>
  <sheetFormatPr defaultRowHeight="15"/>
  <cols>
    <col min="1" max="1" width="3.42578125" style="5" customWidth="1"/>
    <col min="2" max="2" width="21" style="5" customWidth="1"/>
    <col min="3" max="3" width="2.5703125" style="5" customWidth="1"/>
    <col min="4" max="4" width="14.28515625" style="5" customWidth="1"/>
    <col min="5" max="5" width="14.85546875" style="5" customWidth="1"/>
    <col min="6" max="6" width="14.7109375" style="5" customWidth="1"/>
    <col min="7" max="8" width="13" style="5" customWidth="1"/>
    <col min="9" max="9" width="16.28515625" style="5" customWidth="1"/>
    <col min="10" max="10" width="9.140625" style="5"/>
    <col min="11" max="11" width="14.42578125" style="5" bestFit="1" customWidth="1"/>
    <col min="12" max="16384" width="9.140625" style="5"/>
  </cols>
  <sheetData>
    <row r="2" spans="1:10" ht="15.75">
      <c r="A2" s="883" t="s">
        <v>308</v>
      </c>
      <c r="B2" s="883"/>
      <c r="C2" s="883"/>
      <c r="D2" s="883"/>
      <c r="E2" s="883"/>
      <c r="F2" s="883"/>
      <c r="G2" s="883"/>
      <c r="H2" s="883"/>
      <c r="I2" s="883"/>
      <c r="J2" s="883"/>
    </row>
    <row r="5" spans="1:10" ht="20.100000000000001" customHeight="1">
      <c r="B5" s="29"/>
      <c r="C5" s="29"/>
      <c r="D5" s="32" t="s">
        <v>10</v>
      </c>
      <c r="E5" s="32" t="s">
        <v>131</v>
      </c>
      <c r="F5" s="32" t="s">
        <v>175</v>
      </c>
      <c r="G5" s="29"/>
      <c r="H5" s="29"/>
      <c r="I5" s="29"/>
    </row>
    <row r="6" spans="1:10" ht="20.100000000000001" customHeight="1">
      <c r="B6" s="30" t="s">
        <v>1</v>
      </c>
      <c r="C6" s="30"/>
      <c r="D6" s="33" t="s">
        <v>170</v>
      </c>
      <c r="E6" s="33" t="s">
        <v>170</v>
      </c>
      <c r="F6" s="33" t="s">
        <v>170</v>
      </c>
      <c r="G6" s="33" t="s">
        <v>204</v>
      </c>
      <c r="H6" s="33" t="s">
        <v>207</v>
      </c>
      <c r="I6" s="30"/>
    </row>
    <row r="7" spans="1:10" ht="20.100000000000001" customHeight="1">
      <c r="B7" s="31"/>
      <c r="C7" s="31"/>
      <c r="D7" s="39" t="s">
        <v>171</v>
      </c>
      <c r="E7" s="39" t="s">
        <v>171</v>
      </c>
      <c r="F7" s="39" t="s">
        <v>171</v>
      </c>
      <c r="G7" s="39" t="s">
        <v>13</v>
      </c>
      <c r="H7" s="39" t="s">
        <v>13</v>
      </c>
      <c r="I7" s="39" t="s">
        <v>15</v>
      </c>
    </row>
    <row r="8" spans="1:10" ht="20.100000000000001" customHeight="1">
      <c r="B8" s="30"/>
      <c r="C8" s="30"/>
      <c r="D8" s="30"/>
      <c r="E8" s="30"/>
      <c r="F8" s="30"/>
      <c r="G8" s="30"/>
      <c r="H8" s="30"/>
      <c r="I8" s="30"/>
    </row>
    <row r="9" spans="1:10" ht="20.100000000000001" customHeight="1">
      <c r="B9" s="30" t="s">
        <v>19</v>
      </c>
      <c r="C9" s="30"/>
      <c r="D9" s="34">
        <v>0</v>
      </c>
      <c r="E9" s="34">
        <f>('3.2 Classific. 2'!G41)</f>
        <v>20122912.386335999</v>
      </c>
      <c r="F9" s="34">
        <f>('3.2 Classific. 2'!F41)</f>
        <v>63981621.069166496</v>
      </c>
      <c r="G9" s="34">
        <v>0</v>
      </c>
      <c r="H9" s="34">
        <v>0</v>
      </c>
      <c r="I9" s="34">
        <f>SUM(D9:H9)</f>
        <v>84104533.455502495</v>
      </c>
    </row>
    <row r="10" spans="1:10" ht="20.100000000000001" customHeight="1">
      <c r="B10" s="30" t="s">
        <v>240</v>
      </c>
      <c r="C10" s="30"/>
      <c r="D10" s="34"/>
      <c r="E10" s="34">
        <f>('3.2 Classific. 2'!K36)</f>
        <v>243904.86055470319</v>
      </c>
      <c r="F10" s="34"/>
      <c r="G10" s="34"/>
      <c r="H10" s="34"/>
      <c r="I10" s="34">
        <f t="shared" ref="I10:I18" si="0">SUM(D10:H10)</f>
        <v>243904.86055470319</v>
      </c>
    </row>
    <row r="11" spans="1:10" ht="20.100000000000001" customHeight="1">
      <c r="B11" s="30" t="s">
        <v>5</v>
      </c>
      <c r="C11" s="30"/>
      <c r="D11" s="34">
        <f>('3.2 Classific. 2'!F18)</f>
        <v>6359168.3822221197</v>
      </c>
      <c r="E11" s="34">
        <f>('3.2 Classific. 2'!G18)</f>
        <v>12341604.348935116</v>
      </c>
      <c r="F11" s="34">
        <v>0</v>
      </c>
      <c r="G11" s="34">
        <v>0</v>
      </c>
      <c r="H11" s="34">
        <v>0</v>
      </c>
      <c r="I11" s="34">
        <f t="shared" si="0"/>
        <v>18700772.731157236</v>
      </c>
    </row>
    <row r="12" spans="1:10" ht="20.100000000000001" customHeight="1">
      <c r="B12" s="30" t="s">
        <v>95</v>
      </c>
      <c r="C12" s="30"/>
      <c r="D12" s="34">
        <f>('3.2 Classific. 2'!F36)</f>
        <v>575268.74307458103</v>
      </c>
      <c r="E12" s="34">
        <f>('3.2 Classific. 2'!G36)</f>
        <v>2185652.7532333154</v>
      </c>
      <c r="F12" s="34">
        <v>0</v>
      </c>
      <c r="G12" s="34">
        <v>0</v>
      </c>
      <c r="H12" s="34">
        <v>0</v>
      </c>
      <c r="I12" s="34">
        <f t="shared" si="0"/>
        <v>2760921.4963078965</v>
      </c>
    </row>
    <row r="13" spans="1:10" ht="20.100000000000001" customHeight="1">
      <c r="B13" s="30" t="s">
        <v>8</v>
      </c>
      <c r="C13" s="30"/>
      <c r="D13" s="34">
        <f>('3.2 Classific. 2'!K18)</f>
        <v>4523609.2278307239</v>
      </c>
      <c r="E13" s="34">
        <v>0</v>
      </c>
      <c r="F13" s="34">
        <v>0</v>
      </c>
      <c r="G13" s="34">
        <v>0</v>
      </c>
      <c r="H13" s="34">
        <v>0</v>
      </c>
      <c r="I13" s="34">
        <f t="shared" si="0"/>
        <v>4523609.2278307239</v>
      </c>
    </row>
    <row r="14" spans="1:10" ht="20.100000000000001" customHeight="1">
      <c r="B14" s="30" t="s">
        <v>9</v>
      </c>
      <c r="C14" s="30"/>
      <c r="D14" s="34">
        <f>('3.2 Classific. 2'!L18)</f>
        <v>1799303.9630852607</v>
      </c>
      <c r="E14" s="34">
        <v>0</v>
      </c>
      <c r="F14" s="34"/>
      <c r="G14" s="34">
        <v>0</v>
      </c>
      <c r="H14" s="34">
        <v>0</v>
      </c>
      <c r="I14" s="34">
        <f t="shared" si="0"/>
        <v>1799303.9630852607</v>
      </c>
    </row>
    <row r="15" spans="1:10" ht="20.100000000000001" customHeight="1">
      <c r="B15" s="30" t="s">
        <v>176</v>
      </c>
      <c r="C15" s="30"/>
      <c r="D15" s="30"/>
      <c r="E15" s="34"/>
      <c r="F15" s="34"/>
      <c r="G15" s="34"/>
      <c r="H15" s="34"/>
      <c r="I15" s="34">
        <f t="shared" si="0"/>
        <v>0</v>
      </c>
    </row>
    <row r="16" spans="1:10" ht="20.100000000000001" customHeight="1">
      <c r="B16" s="30" t="s">
        <v>177</v>
      </c>
      <c r="C16" s="30"/>
      <c r="D16" s="34">
        <f>('3.2 Classific. 2'!M18)</f>
        <v>5523784.0299184313</v>
      </c>
      <c r="E16" s="34">
        <v>0</v>
      </c>
      <c r="F16" s="34">
        <v>0</v>
      </c>
      <c r="G16" s="34"/>
      <c r="H16" s="34"/>
      <c r="I16" s="34">
        <f t="shared" si="0"/>
        <v>5523784.0299184313</v>
      </c>
    </row>
    <row r="17" spans="2:9" ht="20.100000000000001" customHeight="1">
      <c r="B17" s="30" t="s">
        <v>13</v>
      </c>
      <c r="C17" s="30"/>
      <c r="D17" s="34"/>
      <c r="E17" s="34"/>
      <c r="F17" s="34"/>
      <c r="G17" s="34">
        <f>('3.2 Classific. 2'!L36)</f>
        <v>969560.56969878008</v>
      </c>
      <c r="H17" s="34">
        <f>('3.2 Classific. 2'!M36)</f>
        <v>606367.06396957464</v>
      </c>
      <c r="I17" s="34">
        <f t="shared" si="0"/>
        <v>1575927.6336683547</v>
      </c>
    </row>
    <row r="18" spans="2:9" ht="20.100000000000001" customHeight="1">
      <c r="B18" s="31"/>
      <c r="C18" s="31"/>
      <c r="D18" s="35">
        <f>SUM(D9:D17)</f>
        <v>18781134.346131116</v>
      </c>
      <c r="E18" s="35">
        <f>SUM(E9:E17)</f>
        <v>34894074.349059135</v>
      </c>
      <c r="F18" s="35">
        <f>SUM(F9:F17)</f>
        <v>63981621.069166496</v>
      </c>
      <c r="G18" s="35">
        <f>SUM(G9:G17)</f>
        <v>969560.56969878008</v>
      </c>
      <c r="H18" s="35">
        <f>SUM(H9:H17)</f>
        <v>606367.06396957464</v>
      </c>
      <c r="I18" s="46">
        <f t="shared" si="0"/>
        <v>119232757.3980251</v>
      </c>
    </row>
    <row r="38" spans="11:11">
      <c r="K38" s="7">
        <f>SUM('2.22Rate Base'!G66:J66)</f>
        <v>0</v>
      </c>
    </row>
  </sheetData>
  <customSheetViews>
    <customSheetView guid="{18050E3F-BBF0-4BF6-9B33-B0817BE1B1C5}" scale="60" showPageBreaks="1" printArea="1" view="pageBreakPreview" showRuler="0" topLeftCell="A4">
      <selection activeCell="E11" sqref="E11"/>
      <rowBreaks count="1" manualBreakCount="1">
        <brk id="21" max="8" man="1"/>
      </rowBreaks>
      <pageMargins left="0.75" right="0.75" top="1" bottom="1" header="0.5" footer="0.5"/>
      <printOptions horizontalCentered="1" verticalCentered="1" gridLines="1"/>
      <pageSetup scale="105" orientation="landscape" horizontalDpi="4294967293" r:id="rId1"/>
      <headerFooter alignWithMargins="0">
        <oddHeader>&amp;C&amp;"Arial,Bold"&amp;14 MEADE COUNTY RECC
CASE NO. 2010-0022&amp;R&amp;11Exhibit R
Schedule 3
Page  ____ of ____
Witness:  Jim Adkins</oddHeader>
      </headerFooter>
    </customSheetView>
  </customSheetViews>
  <mergeCells count="1">
    <mergeCell ref="A2:J2"/>
  </mergeCells>
  <phoneticPr fontId="3" type="noConversion"/>
  <printOptions horizontalCentered="1" verticalCentered="1" gridLines="1"/>
  <pageMargins left="0.75" right="0.75" top="1" bottom="1" header="0.5" footer="0.5"/>
  <pageSetup scale="105" orientation="landscape" horizontalDpi="4294967293" r:id="rId2"/>
  <headerFooter alignWithMargins="0">
    <oddHeader>&amp;C&amp;"Arial,Bold"&amp;14 BLUE GRASS ENERGY COOPERATIVE
CASE NO. 2014-00339&amp;R&amp;11Revised Exhibit R
Schedule 3
Page  ____ of ____
Witness:  Jim Adkins</oddHeader>
  </headerFooter>
  <rowBreaks count="1" manualBreakCount="1">
    <brk id="21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54"/>
  <sheetViews>
    <sheetView zoomScaleNormal="100" workbookViewId="0">
      <selection activeCell="F25" sqref="F25"/>
    </sheetView>
  </sheetViews>
  <sheetFormatPr defaultRowHeight="15"/>
  <cols>
    <col min="1" max="1" width="3" style="5" customWidth="1"/>
    <col min="2" max="2" width="27.5703125" style="5" customWidth="1"/>
    <col min="3" max="3" width="2.42578125" style="5" customWidth="1"/>
    <col min="4" max="4" width="16.140625" style="5" bestFit="1" customWidth="1"/>
    <col min="5" max="5" width="2.28515625" style="5" customWidth="1"/>
    <col min="6" max="6" width="15" style="5" customWidth="1"/>
    <col min="7" max="7" width="15.42578125" style="5" bestFit="1" customWidth="1"/>
    <col min="8" max="8" width="17" style="5" bestFit="1" customWidth="1"/>
    <col min="9" max="9" width="28.7109375" style="5" customWidth="1"/>
    <col min="10" max="10" width="12.7109375" style="5" customWidth="1"/>
    <col min="11" max="11" width="14" style="5" bestFit="1" customWidth="1"/>
    <col min="12" max="13" width="14.42578125" style="5" bestFit="1" customWidth="1"/>
    <col min="14" max="14" width="15.42578125" style="5" bestFit="1" customWidth="1"/>
    <col min="15" max="15" width="2.28515625" style="5" customWidth="1"/>
    <col min="16" max="16" width="26.5703125" style="5" customWidth="1"/>
    <col min="17" max="17" width="12.85546875" style="5" customWidth="1"/>
    <col min="18" max="18" width="11.85546875" style="5" customWidth="1"/>
    <col min="19" max="19" width="12.28515625" style="5" customWidth="1"/>
    <col min="20" max="20" width="10.85546875" style="5" customWidth="1"/>
    <col min="21" max="21" width="14.42578125" style="5" bestFit="1" customWidth="1"/>
    <col min="22" max="22" width="9.7109375" style="5" customWidth="1"/>
    <col min="23" max="23" width="11.42578125" style="5" customWidth="1"/>
    <col min="24" max="24" width="13.140625" style="5" customWidth="1"/>
    <col min="25" max="26" width="14.42578125" style="5" bestFit="1" customWidth="1"/>
    <col min="27" max="27" width="10.28515625" style="5" customWidth="1"/>
    <col min="28" max="31" width="13.140625" style="5" bestFit="1" customWidth="1"/>
    <col min="32" max="32" width="11" style="5" customWidth="1"/>
    <col min="33" max="33" width="11.5703125" style="5" customWidth="1"/>
    <col min="34" max="34" width="11.85546875" style="5" customWidth="1"/>
    <col min="35" max="35" width="10.5703125" style="5" customWidth="1"/>
    <col min="36" max="36" width="10.85546875" style="5" customWidth="1"/>
    <col min="37" max="39" width="13.140625" style="5" bestFit="1" customWidth="1"/>
    <col min="40" max="40" width="11.28515625" style="5" customWidth="1"/>
    <col min="41" max="41" width="9.28515625" style="5" bestFit="1" customWidth="1"/>
    <col min="42" max="42" width="9.85546875" style="5" bestFit="1" customWidth="1"/>
    <col min="43" max="43" width="9.7109375" style="5" bestFit="1" customWidth="1"/>
    <col min="44" max="44" width="9.28515625" style="5" bestFit="1" customWidth="1"/>
    <col min="45" max="45" width="9.85546875" style="5" bestFit="1" customWidth="1"/>
    <col min="46" max="47" width="9.28515625" style="5" bestFit="1" customWidth="1"/>
    <col min="48" max="48" width="9.7109375" style="5" bestFit="1" customWidth="1"/>
    <col min="49" max="49" width="13.140625" style="5" bestFit="1" customWidth="1"/>
    <col min="50" max="50" width="14.42578125" style="5" bestFit="1" customWidth="1"/>
    <col min="51" max="52" width="13.140625" style="5" bestFit="1" customWidth="1"/>
    <col min="53" max="54" width="9.7109375" style="5" bestFit="1" customWidth="1"/>
    <col min="55" max="55" width="9.28515625" style="5" bestFit="1" customWidth="1"/>
    <col min="56" max="56" width="10.5703125" style="5" customWidth="1"/>
    <col min="57" max="57" width="5.5703125" style="5" customWidth="1"/>
    <col min="58" max="66" width="12.85546875" style="5" customWidth="1"/>
    <col min="67" max="16384" width="9.140625" style="5"/>
  </cols>
  <sheetData>
    <row r="1" spans="2:66">
      <c r="K1" s="884" t="s">
        <v>173</v>
      </c>
      <c r="L1" s="884"/>
      <c r="M1" s="884"/>
      <c r="N1" s="884"/>
    </row>
    <row r="2" spans="2:66">
      <c r="K2"/>
      <c r="L2"/>
      <c r="M2"/>
      <c r="N2" s="10"/>
    </row>
    <row r="3" spans="2:66" ht="15" customHeight="1">
      <c r="F3" s="6" t="s">
        <v>10</v>
      </c>
      <c r="G3" s="6" t="s">
        <v>172</v>
      </c>
      <c r="M3" s="6" t="s">
        <v>10</v>
      </c>
    </row>
    <row r="4" spans="2:66" ht="15" customHeight="1">
      <c r="D4" s="6">
        <v>2</v>
      </c>
      <c r="F4" s="6" t="s">
        <v>170</v>
      </c>
      <c r="G4" s="6" t="s">
        <v>170</v>
      </c>
      <c r="M4" s="6" t="s">
        <v>11</v>
      </c>
    </row>
    <row r="5" spans="2:66" ht="15" customHeight="1">
      <c r="B5" s="11" t="str">
        <f>('2.1 SummaryFunc.'!B4)</f>
        <v>Expense</v>
      </c>
      <c r="D5" s="11" t="str">
        <f>('2.1 SummaryFunc.'!F4)</f>
        <v>Lines</v>
      </c>
      <c r="F5" s="11" t="s">
        <v>171</v>
      </c>
      <c r="G5" s="11" t="s">
        <v>171</v>
      </c>
      <c r="H5" s="11" t="s">
        <v>15</v>
      </c>
      <c r="I5" s="5" t="str">
        <f t="shared" ref="I5:I18" si="0">(B5)</f>
        <v>Expense</v>
      </c>
      <c r="K5" s="11" t="s">
        <v>8</v>
      </c>
      <c r="L5" s="11" t="s">
        <v>9</v>
      </c>
      <c r="M5" s="11" t="s">
        <v>12</v>
      </c>
      <c r="N5" s="11" t="s">
        <v>15</v>
      </c>
    </row>
    <row r="6" spans="2:66" ht="15" customHeight="1">
      <c r="B6" s="5" t="str">
        <f>('2.1 SummaryFunc.'!B5)</f>
        <v>Purchased Power</v>
      </c>
      <c r="D6" s="23">
        <f>('2.1 SummaryFunc.'!F5)</f>
        <v>0</v>
      </c>
      <c r="F6" s="4">
        <f>(D6*'3.1 PlantClass.'!$D$100)</f>
        <v>0</v>
      </c>
      <c r="G6" s="4">
        <f>(D6*'3.1 PlantClass.'!$F$100)</f>
        <v>0</v>
      </c>
      <c r="H6" s="7">
        <f>(F6+G6)</f>
        <v>0</v>
      </c>
      <c r="I6" s="5" t="str">
        <f t="shared" si="0"/>
        <v>Purchased Power</v>
      </c>
      <c r="J6" s="5" t="s">
        <v>1</v>
      </c>
      <c r="K6" s="4">
        <f>('2.1 SummaryFunc.'!H5)</f>
        <v>0</v>
      </c>
      <c r="L6" s="4">
        <f>('2.1 SummaryFunc.'!I5)</f>
        <v>0</v>
      </c>
      <c r="M6" s="4">
        <f>('2.1 SummaryFunc.'!J5)</f>
        <v>0</v>
      </c>
      <c r="N6" s="7">
        <f>SUM(K6:M6)</f>
        <v>0</v>
      </c>
    </row>
    <row r="7" spans="2:66" ht="15" customHeight="1">
      <c r="B7" s="5" t="str">
        <f>('2.1 SummaryFunc.'!B6)</f>
        <v>Distibution Operations</v>
      </c>
      <c r="D7" s="23">
        <f>('2.1 SummaryFunc.'!F6)</f>
        <v>1333889.1216859224</v>
      </c>
      <c r="F7" s="4">
        <f>(D7*'3.1 PlantClass.'!$D$100)</f>
        <v>453586.89985481929</v>
      </c>
      <c r="G7" s="4">
        <f>(D7*'3.1 PlantClass.'!$F$100)</f>
        <v>880302.2218311032</v>
      </c>
      <c r="H7" s="7">
        <f>(F7+G7)</f>
        <v>1333889.1216859226</v>
      </c>
      <c r="I7" s="5" t="str">
        <f t="shared" si="0"/>
        <v>Distibution Operations</v>
      </c>
      <c r="K7" s="4">
        <f>('2.1 SummaryFunc.'!H6)</f>
        <v>322660.09680489096</v>
      </c>
      <c r="L7" s="4">
        <f>('2.1 SummaryFunc.'!I6)</f>
        <v>620948.57467355754</v>
      </c>
      <c r="M7" s="4">
        <f>('2.1 SummaryFunc.'!J6)</f>
        <v>0</v>
      </c>
      <c r="N7" s="7">
        <f t="shared" ref="N7:N18" si="1">SUM(K7:M7)</f>
        <v>943608.67147844844</v>
      </c>
      <c r="Q7" s="7">
        <f>SUM(H7,H25,N7,N25)</f>
        <v>2736324.4735913663</v>
      </c>
    </row>
    <row r="8" spans="2:66" ht="15" customHeight="1">
      <c r="B8" s="5" t="str">
        <f>('2.1 SummaryFunc.'!B7)</f>
        <v>Distribution Maintenance</v>
      </c>
      <c r="D8" s="23">
        <f>('2.1 SummaryFunc.'!F7)</f>
        <v>4659911.3041535513</v>
      </c>
      <c r="F8" s="4">
        <f>(D8*'3.1 PlantClass.'!$D$100)</f>
        <v>1584595.516738252</v>
      </c>
      <c r="G8" s="4">
        <f>(D8*'3.1 PlantClass.'!$F$100)</f>
        <v>3075315.7874152996</v>
      </c>
      <c r="H8" s="7">
        <f t="shared" ref="H8:H17" si="2">(F8+G8)</f>
        <v>4659911.3041535513</v>
      </c>
      <c r="I8" s="5" t="str">
        <f t="shared" si="0"/>
        <v>Distribution Maintenance</v>
      </c>
      <c r="K8" s="4">
        <f>('2.1 SummaryFunc.'!H7)</f>
        <v>1127205.7085224662</v>
      </c>
      <c r="L8" s="4">
        <f>('2.1 SummaryFunc.'!I7)</f>
        <v>218842.70481000259</v>
      </c>
      <c r="M8" s="4">
        <f>('2.1 SummaryFunc.'!J7)</f>
        <v>0</v>
      </c>
      <c r="N8" s="7">
        <f t="shared" si="1"/>
        <v>1346048.4133324688</v>
      </c>
      <c r="Q8" s="7">
        <f t="shared" ref="Q8:Q15" si="3">SUM(H8,H26,N8,N26)</f>
        <v>6246137.7848587465</v>
      </c>
    </row>
    <row r="9" spans="2:66" ht="15" customHeight="1">
      <c r="B9" s="5" t="str">
        <f>('2.1 SummaryFunc.'!B8)</f>
        <v>Consumer Accounts</v>
      </c>
      <c r="D9" s="23">
        <f>('2.1 SummaryFunc.'!F8)</f>
        <v>0</v>
      </c>
      <c r="F9" s="4">
        <f>(D9*'3.1 PlantClass.'!$D$100)</f>
        <v>0</v>
      </c>
      <c r="G9" s="4">
        <f>(D9*'3.1 PlantClass.'!$F$100)</f>
        <v>0</v>
      </c>
      <c r="H9" s="7">
        <f t="shared" si="2"/>
        <v>0</v>
      </c>
      <c r="I9" s="5" t="str">
        <f t="shared" si="0"/>
        <v>Consumer Accounts</v>
      </c>
      <c r="K9" s="4">
        <f>('2.1 SummaryFunc.'!H8)</f>
        <v>0</v>
      </c>
      <c r="L9" s="4">
        <f>('2.1 SummaryFunc.'!I8)</f>
        <v>0</v>
      </c>
      <c r="M9" s="4">
        <f>('2.1 SummaryFunc.'!J8)</f>
        <v>2905364.9361983882</v>
      </c>
      <c r="N9" s="7">
        <f t="shared" si="1"/>
        <v>2905364.9361983882</v>
      </c>
      <c r="Q9" s="7">
        <f t="shared" si="3"/>
        <v>2905364.9361983882</v>
      </c>
      <c r="BN9" s="7" t="s">
        <v>1</v>
      </c>
    </row>
    <row r="10" spans="2:66" ht="15" customHeight="1">
      <c r="B10" s="5" t="str">
        <f>('2.1 SummaryFunc.'!B9)</f>
        <v>Customer Service</v>
      </c>
      <c r="D10" s="23">
        <f>('2.1 SummaryFunc.'!F9)</f>
        <v>0</v>
      </c>
      <c r="F10" s="4">
        <f>(D10*'3.1 PlantClass.'!$D$100)</f>
        <v>0</v>
      </c>
      <c r="G10" s="4">
        <f>(D10*'3.1 PlantClass.'!$F$100)</f>
        <v>0</v>
      </c>
      <c r="H10" s="7">
        <f t="shared" si="2"/>
        <v>0</v>
      </c>
      <c r="I10" s="5" t="str">
        <f t="shared" si="0"/>
        <v>Customer Service</v>
      </c>
      <c r="K10" s="4">
        <f>('2.1 SummaryFunc.'!H9)</f>
        <v>0</v>
      </c>
      <c r="L10" s="4">
        <f>('2.1 SummaryFunc.'!I9)</f>
        <v>0</v>
      </c>
      <c r="M10" s="4">
        <f>('2.1 SummaryFunc.'!J9)</f>
        <v>1024972.6507149031</v>
      </c>
      <c r="N10" s="7">
        <f t="shared" si="1"/>
        <v>1024972.6507149031</v>
      </c>
      <c r="Q10" s="7">
        <f t="shared" si="3"/>
        <v>1024972.6507149031</v>
      </c>
    </row>
    <row r="11" spans="2:66" ht="15" customHeight="1">
      <c r="B11" s="5" t="str">
        <f>('2.1 SummaryFunc.'!B10)</f>
        <v>Administative &amp; General</v>
      </c>
      <c r="D11" s="23">
        <f>('2.1 SummaryFunc.'!F10)</f>
        <v>2044408.4281493269</v>
      </c>
      <c r="F11" s="4">
        <f>(D11*'3.1 PlantClass.'!$D$100)</f>
        <v>695197.87356033584</v>
      </c>
      <c r="G11" s="4">
        <f>(D11*'3.1 PlantClass.'!$F$100)</f>
        <v>1349210.5545889912</v>
      </c>
      <c r="H11" s="7">
        <f t="shared" si="2"/>
        <v>2044408.4281493272</v>
      </c>
      <c r="I11" s="5" t="str">
        <f t="shared" si="0"/>
        <v>Administative &amp; General</v>
      </c>
      <c r="K11" s="4">
        <f>('2.1 SummaryFunc.'!H10)</f>
        <v>494530.62523042131</v>
      </c>
      <c r="L11" s="4">
        <f>('2.1 SummaryFunc.'!I10)</f>
        <v>286442.03137978807</v>
      </c>
      <c r="M11" s="4">
        <f>('2.1 SummaryFunc.'!J10)</f>
        <v>1340587.7268648352</v>
      </c>
      <c r="N11" s="7">
        <f t="shared" si="1"/>
        <v>2121560.3834750447</v>
      </c>
      <c r="Q11" s="7">
        <f t="shared" si="3"/>
        <v>4404390.3632592</v>
      </c>
    </row>
    <row r="12" spans="2:66" ht="15" customHeight="1">
      <c r="B12" s="5" t="str">
        <f>('2.1 SummaryFunc.'!B11)</f>
        <v>Depreciation</v>
      </c>
      <c r="D12" s="23">
        <f>('2.1 SummaryFunc.'!F11)</f>
        <v>5004877.907861542</v>
      </c>
      <c r="F12" s="4">
        <f>(D12*'3.1 PlantClass.'!$D$100)</f>
        <v>1701900.868274207</v>
      </c>
      <c r="G12" s="4">
        <f>(D12*'3.1 PlantClass.'!$F$100)</f>
        <v>3302977.0395873352</v>
      </c>
      <c r="H12" s="7">
        <f t="shared" si="2"/>
        <v>5004877.907861542</v>
      </c>
      <c r="I12" s="5" t="str">
        <f t="shared" si="0"/>
        <v>Depreciation</v>
      </c>
      <c r="K12" s="4">
        <f>('2.1 SummaryFunc.'!H11)</f>
        <v>1210651.1433320649</v>
      </c>
      <c r="L12" s="4">
        <f>('2.1 SummaryFunc.'!I11)</f>
        <v>319750.93597594713</v>
      </c>
      <c r="M12" s="4">
        <f>('2.1 SummaryFunc.'!J11)</f>
        <v>150047.45930068704</v>
      </c>
      <c r="N12" s="7">
        <f t="shared" si="1"/>
        <v>1680449.5386086991</v>
      </c>
      <c r="Q12" s="7">
        <f t="shared" si="3"/>
        <v>8384293.8738999991</v>
      </c>
    </row>
    <row r="13" spans="2:66" ht="15" customHeight="1">
      <c r="B13" s="5" t="str">
        <f>('2.1 SummaryFunc.'!B12)</f>
        <v>Miscellaneous</v>
      </c>
      <c r="D13" s="23">
        <f>('2.1 SummaryFunc.'!F12)</f>
        <v>12166.281069446244</v>
      </c>
      <c r="F13" s="4">
        <f>(D13*'3.1 PlantClass.'!$D$100)</f>
        <v>4137.1247604730634</v>
      </c>
      <c r="G13" s="4">
        <f>(D13*'3.1 PlantClass.'!$F$100)</f>
        <v>8029.1563089731808</v>
      </c>
      <c r="H13" s="7">
        <f t="shared" si="2"/>
        <v>12166.281069446244</v>
      </c>
      <c r="I13" s="5" t="str">
        <f t="shared" si="0"/>
        <v>Miscellaneous</v>
      </c>
      <c r="K13" s="4">
        <f>('2.1 SummaryFunc.'!H12)</f>
        <v>2942.9533263315366</v>
      </c>
      <c r="L13" s="4">
        <f>('2.1 SummaryFunc.'!I12)</f>
        <v>759.77829072616646</v>
      </c>
      <c r="M13" s="4">
        <f>('2.1 SummaryFunc.'!J12)</f>
        <v>221.08520243074904</v>
      </c>
      <c r="N13" s="7">
        <f t="shared" si="1"/>
        <v>3923.8168194884524</v>
      </c>
      <c r="Q13" s="7">
        <f t="shared" si="3"/>
        <v>20271.250000000007</v>
      </c>
    </row>
    <row r="14" spans="2:66" ht="15" customHeight="1">
      <c r="B14" s="5" t="str">
        <f>('2.1 SummaryFunc.'!B13)</f>
        <v>Interest on Long Term Debt</v>
      </c>
      <c r="D14" s="23">
        <f>('2.1 SummaryFunc.'!F13)</f>
        <v>2821895.8603611877</v>
      </c>
      <c r="F14" s="4">
        <f>(D14*'3.1 PlantClass.'!$D$100)</f>
        <v>959581.25319786672</v>
      </c>
      <c r="G14" s="4">
        <f>(D14*'3.1 PlantClass.'!$F$100)</f>
        <v>1862314.6071633212</v>
      </c>
      <c r="H14" s="7">
        <f t="shared" si="2"/>
        <v>2821895.8603611877</v>
      </c>
      <c r="I14" s="5" t="str">
        <f t="shared" si="0"/>
        <v>Interest on Long Term Debt</v>
      </c>
      <c r="K14" s="4">
        <f>('2.1 SummaryFunc.'!H13)</f>
        <v>682600.35761192103</v>
      </c>
      <c r="L14" s="4">
        <f>('2.1 SummaryFunc.'!I13)</f>
        <v>176226.01361535487</v>
      </c>
      <c r="M14" s="4">
        <f>('2.1 SummaryFunc.'!J13)</f>
        <v>51279.385538217073</v>
      </c>
      <c r="N14" s="7">
        <f t="shared" si="1"/>
        <v>910105.75676549296</v>
      </c>
      <c r="Q14" s="7">
        <f t="shared" si="3"/>
        <v>4701794.7500000009</v>
      </c>
    </row>
    <row r="15" spans="2:66" ht="15" customHeight="1">
      <c r="B15" s="5" t="str">
        <f>('2.1 SummaryFunc.'!B14)</f>
        <v>Short Term Interest</v>
      </c>
      <c r="D15" s="24">
        <f>('2.1 SummaryFunc.'!F14)</f>
        <v>1727.8174715217863</v>
      </c>
      <c r="F15" s="12">
        <f>(D15*'3.1 PlantClass.'!$D$100)</f>
        <v>587.54161622669949</v>
      </c>
      <c r="G15" s="12">
        <f>(D15*'3.1 PlantClass.'!$F$100)</f>
        <v>1140.2758552950868</v>
      </c>
      <c r="H15" s="26">
        <f t="shared" si="2"/>
        <v>1727.8174715217863</v>
      </c>
      <c r="I15" s="5" t="str">
        <f t="shared" si="0"/>
        <v>Short Term Interest</v>
      </c>
      <c r="K15" s="12">
        <f>('2.1 SummaryFunc.'!H14)</f>
        <v>417.94909603713666</v>
      </c>
      <c r="L15" s="12">
        <f>('2.1 SummaryFunc.'!I14)</f>
        <v>107.90135438317476</v>
      </c>
      <c r="M15" s="12">
        <f>('2.1 SummaryFunc.'!J14)</f>
        <v>31.397834167591348</v>
      </c>
      <c r="N15" s="26">
        <f t="shared" si="1"/>
        <v>557.24828458790273</v>
      </c>
      <c r="Q15" s="7">
        <f t="shared" si="3"/>
        <v>2878.8600000000006</v>
      </c>
    </row>
    <row r="16" spans="2:66" ht="15" customHeight="1">
      <c r="B16" s="5" t="str">
        <f>('2.1 SummaryFunc.'!B15)</f>
        <v>Total Costs</v>
      </c>
      <c r="D16" s="23">
        <f>('2.1 SummaryFunc.'!F15)</f>
        <v>15878876.720752498</v>
      </c>
      <c r="F16" s="4">
        <f>(D16*'3.1 PlantClass.'!$D$100)</f>
        <v>5399587.07800218</v>
      </c>
      <c r="G16" s="4">
        <f>(D16*'3.1 PlantClass.'!$F$100)</f>
        <v>10479289.642750319</v>
      </c>
      <c r="H16" s="7">
        <f t="shared" si="2"/>
        <v>15878876.7207525</v>
      </c>
      <c r="I16" s="5" t="str">
        <f t="shared" si="0"/>
        <v>Total Costs</v>
      </c>
      <c r="K16" s="4">
        <f>('2.1 SummaryFunc.'!H15)</f>
        <v>3841008.8339241329</v>
      </c>
      <c r="L16" s="4">
        <f>('2.1 SummaryFunc.'!I15)</f>
        <v>1623077.9400997597</v>
      </c>
      <c r="M16" s="4">
        <f>('2.1 SummaryFunc.'!J15)</f>
        <v>5472504.6416536281</v>
      </c>
      <c r="N16" s="7">
        <f t="shared" si="1"/>
        <v>10936591.415677521</v>
      </c>
    </row>
    <row r="17" spans="2:66" ht="15" customHeight="1">
      <c r="B17" s="5" t="str">
        <f>('2.1 SummaryFunc.'!B16)</f>
        <v>Margin Requirements</v>
      </c>
      <c r="D17" s="23">
        <f>('2.1 SummaryFunc.'!F16)</f>
        <v>2821896.0104047353</v>
      </c>
      <c r="F17" s="4">
        <f>(D17*'3.1 PlantClass.'!$D$100)</f>
        <v>959581.30421993928</v>
      </c>
      <c r="G17" s="12">
        <f>(D17*'3.1 PlantClass.'!$F$100)</f>
        <v>1862314.7061847963</v>
      </c>
      <c r="H17" s="26">
        <f t="shared" si="2"/>
        <v>2821896.0104047358</v>
      </c>
      <c r="I17" s="5" t="str">
        <f t="shared" si="0"/>
        <v>Margin Requirements</v>
      </c>
      <c r="K17" s="4">
        <f>('2.1 SummaryFunc.'!H16)</f>
        <v>682600.39390659111</v>
      </c>
      <c r="L17" s="4">
        <f>('2.1 SummaryFunc.'!I16)</f>
        <v>176226.02298550089</v>
      </c>
      <c r="M17" s="4">
        <f>('2.1 SummaryFunc.'!J16)</f>
        <v>51279.388264802787</v>
      </c>
      <c r="N17" s="7">
        <f t="shared" si="1"/>
        <v>910105.80515689473</v>
      </c>
    </row>
    <row r="18" spans="2:66" ht="15" customHeight="1" thickBot="1">
      <c r="B18" s="5" t="str">
        <f>('2.1 SummaryFunc.'!B17)</f>
        <v>Revenue Requirements</v>
      </c>
      <c r="D18" s="25">
        <f>(D16+D17)</f>
        <v>18700772.731157232</v>
      </c>
      <c r="F18" s="25">
        <f>(F16+F17)</f>
        <v>6359168.3822221197</v>
      </c>
      <c r="G18" s="25">
        <f>(G16+G17)</f>
        <v>12341604.348935116</v>
      </c>
      <c r="H18" s="9">
        <f>(F18+G18)</f>
        <v>18700772.731157236</v>
      </c>
      <c r="I18" s="5" t="str">
        <f t="shared" si="0"/>
        <v>Revenue Requirements</v>
      </c>
      <c r="K18" s="8">
        <f>('2.1 SummaryFunc.'!H17)</f>
        <v>4523609.2278307239</v>
      </c>
      <c r="L18" s="8">
        <f>('2.1 SummaryFunc.'!I17)</f>
        <v>1799303.9630852607</v>
      </c>
      <c r="M18" s="8">
        <f>('2.1 SummaryFunc.'!J17)</f>
        <v>5523784.0299184313</v>
      </c>
      <c r="N18" s="9">
        <f t="shared" si="1"/>
        <v>11846697.220834415</v>
      </c>
      <c r="BN18" s="7" t="s">
        <v>1</v>
      </c>
    </row>
    <row r="19" spans="2:66" ht="15.75" thickTop="1">
      <c r="B19" s="5" t="str">
        <f>('2.1 SummaryFunc.'!B18)</f>
        <v xml:space="preserve"> </v>
      </c>
    </row>
    <row r="21" spans="2:66">
      <c r="F21" s="6" t="str">
        <f t="shared" ref="F21:G23" si="4">(F3)</f>
        <v>Consumer</v>
      </c>
      <c r="G21" s="6" t="str">
        <f t="shared" si="4"/>
        <v xml:space="preserve">Demand </v>
      </c>
      <c r="H21" s="6"/>
      <c r="L21" s="6" t="s">
        <v>223</v>
      </c>
      <c r="M21" s="515" t="s">
        <v>203</v>
      </c>
      <c r="N21" s="5" t="s">
        <v>1</v>
      </c>
    </row>
    <row r="22" spans="2:66">
      <c r="D22" s="6">
        <v>3</v>
      </c>
      <c r="F22" s="6" t="str">
        <f t="shared" si="4"/>
        <v>Related</v>
      </c>
      <c r="G22" s="6" t="str">
        <f t="shared" si="4"/>
        <v>Related</v>
      </c>
      <c r="H22" s="6"/>
      <c r="K22" s="5" t="s">
        <v>240</v>
      </c>
      <c r="L22" s="11" t="s">
        <v>13</v>
      </c>
      <c r="M22" s="11" t="s">
        <v>13</v>
      </c>
      <c r="N22" s="11" t="s">
        <v>15</v>
      </c>
    </row>
    <row r="23" spans="2:66">
      <c r="B23" s="11" t="str">
        <f>(B5)</f>
        <v>Expense</v>
      </c>
      <c r="D23" s="11" t="s">
        <v>95</v>
      </c>
      <c r="E23" s="11"/>
      <c r="F23" s="11" t="str">
        <f t="shared" si="4"/>
        <v>Costs</v>
      </c>
      <c r="G23" s="11" t="str">
        <f t="shared" si="4"/>
        <v>Costs</v>
      </c>
      <c r="H23" s="11" t="str">
        <f>(H5)</f>
        <v>Total</v>
      </c>
      <c r="I23" s="5" t="str">
        <f>(B23)</f>
        <v>Expense</v>
      </c>
      <c r="N23" s="5" t="s">
        <v>1</v>
      </c>
    </row>
    <row r="24" spans="2:66">
      <c r="B24" s="5" t="str">
        <f>(B6)</f>
        <v>Purchased Power</v>
      </c>
      <c r="D24" s="4">
        <v>0</v>
      </c>
      <c r="F24" s="4">
        <v>0</v>
      </c>
      <c r="G24" s="4">
        <v>0</v>
      </c>
      <c r="H24" s="7">
        <f>(F24+G24)</f>
        <v>0</v>
      </c>
      <c r="I24" s="5" t="str">
        <f t="shared" ref="I24:I36" si="5">(B24)</f>
        <v>Purchased Power</v>
      </c>
      <c r="L24" s="4">
        <f>('2.1 SummaryFunc.'!K5)</f>
        <v>0</v>
      </c>
    </row>
    <row r="25" spans="2:66">
      <c r="B25" s="5" t="str">
        <f t="shared" ref="B25:B36" si="6">(B7)</f>
        <v>Distibution Operations</v>
      </c>
      <c r="D25" s="4">
        <f>('2.1 SummaryFunc.'!G6)</f>
        <v>0</v>
      </c>
      <c r="F25" s="4">
        <v>0</v>
      </c>
      <c r="G25" s="4">
        <v>0</v>
      </c>
      <c r="H25" s="7">
        <f t="shared" ref="H25:H36" si="7">(F25+G25)</f>
        <v>0</v>
      </c>
      <c r="I25" s="5" t="str">
        <f t="shared" si="5"/>
        <v>Distibution Operations</v>
      </c>
      <c r="K25" s="4">
        <f>('2.1 SummaryFunc.'!E6)</f>
        <v>60656.899156184576</v>
      </c>
      <c r="L25" s="4">
        <f>('2.1 SummaryFunc.'!K6)</f>
        <v>366877.94433838956</v>
      </c>
      <c r="M25" s="4">
        <f>('2.1 SummaryFunc.'!L6)</f>
        <v>31291.83693242128</v>
      </c>
      <c r="N25" s="7">
        <f>SUM(K25:M25)</f>
        <v>458826.68042699539</v>
      </c>
      <c r="Q25" s="7">
        <f>SUM(L25:M25)</f>
        <v>398169.78127081081</v>
      </c>
      <c r="AB25" s="7" t="e">
        <f>SUM(#REF!,#REF!,#REF!,#REF!,#REF!,#REF!,#REF!,#REF!)</f>
        <v>#REF!</v>
      </c>
    </row>
    <row r="26" spans="2:66">
      <c r="B26" s="5" t="str">
        <f t="shared" si="6"/>
        <v>Distribution Maintenance</v>
      </c>
      <c r="D26" s="4">
        <f>('2.1 SummaryFunc.'!G7)</f>
        <v>19006.906045094634</v>
      </c>
      <c r="F26" s="4">
        <f>(D26*'3.1 PlantClass.'!$E$172)</f>
        <v>3960.3005608526305</v>
      </c>
      <c r="G26" s="4">
        <f>(D26*'3.1 PlantClass.'!$E$173)</f>
        <v>15046.605484242004</v>
      </c>
      <c r="H26" s="7">
        <f t="shared" si="7"/>
        <v>19006.906045094634</v>
      </c>
      <c r="I26" s="5" t="str">
        <f t="shared" si="5"/>
        <v>Distribution Maintenance</v>
      </c>
      <c r="K26" s="4">
        <f>('2.1 SummaryFunc.'!E7)</f>
        <v>169.68229647759219</v>
      </c>
      <c r="L26" s="4">
        <f>('2.1 SummaryFunc.'!K7)</f>
        <v>0</v>
      </c>
      <c r="M26" s="4">
        <f>('2.1 SummaryFunc.'!L7)</f>
        <v>221001.4790311534</v>
      </c>
      <c r="N26" s="7">
        <f t="shared" ref="N26:N36" si="8">SUM(K26:M26)</f>
        <v>221171.16132763098</v>
      </c>
      <c r="Q26" s="7">
        <f t="shared" ref="Q26:Q36" si="9">SUM(L26:M26)</f>
        <v>221001.4790311534</v>
      </c>
    </row>
    <row r="27" spans="2:66">
      <c r="B27" s="5" t="str">
        <f t="shared" si="6"/>
        <v>Consumer Accounts</v>
      </c>
      <c r="D27" s="4">
        <f>('2.1 SummaryFunc.'!G8)</f>
        <v>0</v>
      </c>
      <c r="F27" s="4">
        <f>(D27*'3.1 PlantClass.'!$E$172)</f>
        <v>0</v>
      </c>
      <c r="G27" s="4">
        <f>(D27*'3.1 PlantClass.'!$E$173)</f>
        <v>0</v>
      </c>
      <c r="H27" s="7">
        <f t="shared" si="7"/>
        <v>0</v>
      </c>
      <c r="I27" s="5" t="str">
        <f t="shared" si="5"/>
        <v>Consumer Accounts</v>
      </c>
      <c r="K27" s="4">
        <f>('2.1 SummaryFunc.'!E8)</f>
        <v>0</v>
      </c>
      <c r="L27" s="4">
        <f>('2.1 SummaryFunc.'!K8)</f>
        <v>0</v>
      </c>
      <c r="M27" s="4">
        <f>('2.1 SummaryFunc.'!L8)</f>
        <v>0</v>
      </c>
      <c r="N27" s="7">
        <f t="shared" si="8"/>
        <v>0</v>
      </c>
      <c r="Q27" s="7">
        <f t="shared" si="9"/>
        <v>0</v>
      </c>
    </row>
    <row r="28" spans="2:66">
      <c r="B28" s="5" t="str">
        <f t="shared" si="6"/>
        <v>Customer Service</v>
      </c>
      <c r="D28" s="4">
        <f>('2.1 SummaryFunc.'!G9)</f>
        <v>0</v>
      </c>
      <c r="F28" s="4">
        <f>(D28*'3.1 PlantClass.'!$E$172)</f>
        <v>0</v>
      </c>
      <c r="G28" s="4">
        <f>(D28*'3.1 PlantClass.'!$E$173)</f>
        <v>0</v>
      </c>
      <c r="H28" s="7">
        <f t="shared" si="7"/>
        <v>0</v>
      </c>
      <c r="I28" s="5" t="str">
        <f t="shared" si="5"/>
        <v>Customer Service</v>
      </c>
      <c r="K28" s="4">
        <f>('2.1 SummaryFunc.'!E9)</f>
        <v>0</v>
      </c>
      <c r="L28" s="4">
        <f>('2.1 SummaryFunc.'!K9)</f>
        <v>0</v>
      </c>
      <c r="M28" s="4">
        <f>('2.1 SummaryFunc.'!L9)</f>
        <v>0</v>
      </c>
      <c r="N28" s="7">
        <f t="shared" si="8"/>
        <v>0</v>
      </c>
      <c r="Q28" s="7">
        <f t="shared" si="9"/>
        <v>0</v>
      </c>
    </row>
    <row r="29" spans="2:66">
      <c r="B29" s="5" t="str">
        <f t="shared" si="6"/>
        <v>Administative &amp; General</v>
      </c>
      <c r="D29" s="4">
        <f>('2.1 SummaryFunc.'!G10)</f>
        <v>6483.0118040160714</v>
      </c>
      <c r="F29" s="4">
        <f>(D29*'3.1 PlantClass.'!$E$172)</f>
        <v>1350.8077128673594</v>
      </c>
      <c r="G29" s="4">
        <f>(D29*'3.1 PlantClass.'!$E$173)</f>
        <v>5132.204091148712</v>
      </c>
      <c r="H29" s="7">
        <f t="shared" si="7"/>
        <v>6483.0118040160714</v>
      </c>
      <c r="I29" s="5" t="str">
        <f t="shared" si="5"/>
        <v>Administative &amp; General</v>
      </c>
      <c r="K29" s="4">
        <f>('2.1 SummaryFunc.'!E10)</f>
        <v>20747.166562509858</v>
      </c>
      <c r="L29" s="4">
        <f>('2.1 SummaryFunc.'!K10)</f>
        <v>125137.35997515361</v>
      </c>
      <c r="M29" s="4">
        <f>('2.1 SummaryFunc.'!L10)</f>
        <v>86054.013293149168</v>
      </c>
      <c r="N29" s="7">
        <f t="shared" si="8"/>
        <v>231938.53983081266</v>
      </c>
      <c r="Q29" s="7">
        <f t="shared" si="9"/>
        <v>211191.37326830276</v>
      </c>
    </row>
    <row r="30" spans="2:66">
      <c r="B30" s="5" t="str">
        <f t="shared" si="6"/>
        <v>Depreciation</v>
      </c>
      <c r="D30" s="4">
        <f>('2.1 SummaryFunc.'!G11)</f>
        <v>1271406.7667205865</v>
      </c>
      <c r="F30" s="4">
        <f>(D30*'3.1 PlantClass.'!$E$172)</f>
        <v>264911.75993448216</v>
      </c>
      <c r="G30" s="4">
        <f>(D30*'3.1 PlantClass.'!$E$173)</f>
        <v>1006495.0067861043</v>
      </c>
      <c r="H30" s="7">
        <f t="shared" si="7"/>
        <v>1271406.7667205865</v>
      </c>
      <c r="I30" s="5" t="str">
        <f t="shared" si="5"/>
        <v>Depreciation</v>
      </c>
      <c r="K30" s="4">
        <f>('2.1 SummaryFunc.'!E11)</f>
        <v>75944.390227034979</v>
      </c>
      <c r="L30" s="4">
        <f>('2.1 SummaryFunc.'!K11)</f>
        <v>224968.77177192629</v>
      </c>
      <c r="M30" s="4">
        <f>('2.1 SummaryFunc.'!L11)</f>
        <v>126646.49871021028</v>
      </c>
      <c r="N30" s="7">
        <f t="shared" si="8"/>
        <v>427559.6607091715</v>
      </c>
      <c r="Q30" s="7">
        <f t="shared" si="9"/>
        <v>351615.27048213658</v>
      </c>
    </row>
    <row r="31" spans="2:66">
      <c r="B31" s="5" t="str">
        <f t="shared" si="6"/>
        <v>Miscellaneous</v>
      </c>
      <c r="D31" s="4">
        <f>('2.1 SummaryFunc.'!G12)</f>
        <v>3148.2371854640292</v>
      </c>
      <c r="F31" s="4">
        <f>(D31*'3.1 PlantClass.'!$E$172)</f>
        <v>655.9702805764158</v>
      </c>
      <c r="G31" s="4">
        <f>(D31*'3.1 PlantClass.'!$E$173)</f>
        <v>2492.2669048876132</v>
      </c>
      <c r="H31" s="7">
        <f t="shared" si="7"/>
        <v>3148.2371854640292</v>
      </c>
      <c r="I31" s="5" t="str">
        <f t="shared" si="5"/>
        <v>Miscellaneous</v>
      </c>
      <c r="K31" s="4">
        <f>('2.1 SummaryFunc.'!E12)</f>
        <v>185.76590323743045</v>
      </c>
      <c r="L31" s="4">
        <f>('2.1 SummaryFunc.'!K12)</f>
        <v>543.14018655425411</v>
      </c>
      <c r="M31" s="4">
        <f>('2.1 SummaryFunc.'!L12)</f>
        <v>304.00883580959726</v>
      </c>
      <c r="N31" s="7">
        <f t="shared" si="8"/>
        <v>1032.9149256012818</v>
      </c>
      <c r="Q31" s="7">
        <f t="shared" si="9"/>
        <v>847.14902236385137</v>
      </c>
    </row>
    <row r="32" spans="2:66">
      <c r="B32" s="5" t="str">
        <f t="shared" si="6"/>
        <v>Interest on Long Term Debt</v>
      </c>
      <c r="D32" s="4">
        <f>('2.1 SummaryFunc.'!G13)</f>
        <v>730214.71642693703</v>
      </c>
      <c r="F32" s="4">
        <f>(D32*'3.1 PlantClass.'!$E$172)</f>
        <v>152148.36881643799</v>
      </c>
      <c r="G32" s="4">
        <f>(D32*'3.1 PlantClass.'!$E$173)</f>
        <v>578066.34761049901</v>
      </c>
      <c r="H32" s="7">
        <f t="shared" si="7"/>
        <v>730214.71642693703</v>
      </c>
      <c r="I32" s="5" t="str">
        <f t="shared" si="5"/>
        <v>Interest on Long Term Debt</v>
      </c>
      <c r="K32" s="4">
        <f>('2.1 SummaryFunc.'!E13)</f>
        <v>43087.286110662062</v>
      </c>
      <c r="L32" s="4">
        <f>('2.1 SummaryFunc.'!K13)</f>
        <v>125978.10582252264</v>
      </c>
      <c r="M32" s="4">
        <f>('2.1 SummaryFunc.'!L13)</f>
        <v>70513.024513198543</v>
      </c>
      <c r="N32" s="7">
        <f t="shared" si="8"/>
        <v>239578.41644638323</v>
      </c>
      <c r="Q32" s="7">
        <f t="shared" si="9"/>
        <v>196491.13033572119</v>
      </c>
    </row>
    <row r="33" spans="2:17">
      <c r="B33" s="5" t="str">
        <f t="shared" si="6"/>
        <v>Short Term Interest</v>
      </c>
      <c r="D33" s="12">
        <f>('2.1 SummaryFunc.'!G14)</f>
        <v>447.1028724792489</v>
      </c>
      <c r="F33" s="12">
        <f>(D33*'3.1 PlantClass.'!$E$172)</f>
        <v>93.158863017338362</v>
      </c>
      <c r="G33" s="12">
        <f>(D33*'3.1 PlantClass.'!$E$173)</f>
        <v>353.94400946191053</v>
      </c>
      <c r="H33" s="26">
        <f t="shared" si="7"/>
        <v>447.1028724792489</v>
      </c>
      <c r="I33" s="5" t="str">
        <f t="shared" si="5"/>
        <v>Short Term Interest</v>
      </c>
      <c r="K33" s="12">
        <f>('2.1 SummaryFunc.'!E14)</f>
        <v>26.381896932557634</v>
      </c>
      <c r="L33" s="12">
        <f>('2.1 SummaryFunc.'!K14)</f>
        <v>77.135083305843494</v>
      </c>
      <c r="M33" s="12">
        <f>('2.1 SummaryFunc.'!L14)</f>
        <v>43.174391172661629</v>
      </c>
      <c r="N33" s="26">
        <f t="shared" si="8"/>
        <v>146.69137141106276</v>
      </c>
      <c r="Q33" s="7">
        <f t="shared" si="9"/>
        <v>120.30947447850512</v>
      </c>
    </row>
    <row r="34" spans="2:17">
      <c r="B34" s="5" t="str">
        <f t="shared" si="6"/>
        <v>Total Costs</v>
      </c>
      <c r="D34" s="4">
        <f>('2.1 SummaryFunc.'!G15)</f>
        <v>2030706.7410545773</v>
      </c>
      <c r="F34" s="4">
        <f>(D34*'3.1 PlantClass.'!$E$172)</f>
        <v>423120.36616823386</v>
      </c>
      <c r="G34" s="4">
        <f>(D34*'3.1 PlantClass.'!$E$173)</f>
        <v>1607586.3748863435</v>
      </c>
      <c r="H34" s="7">
        <f t="shared" si="7"/>
        <v>2030706.7410545773</v>
      </c>
      <c r="I34" s="5" t="str">
        <f t="shared" si="5"/>
        <v>Total Costs</v>
      </c>
      <c r="K34" s="4">
        <f>SUM(K25:K33)</f>
        <v>200817.57215303904</v>
      </c>
      <c r="L34" s="4">
        <f>SUM(L25:L33)</f>
        <v>843582.45717785228</v>
      </c>
      <c r="M34" s="4">
        <f>SUM(M25:M33)</f>
        <v>535854.03570711496</v>
      </c>
      <c r="N34" s="7">
        <f t="shared" si="8"/>
        <v>1580254.0650380063</v>
      </c>
      <c r="Q34" s="7">
        <f t="shared" si="9"/>
        <v>1379436.4928849672</v>
      </c>
    </row>
    <row r="35" spans="2:17">
      <c r="B35" s="5" t="str">
        <f t="shared" si="6"/>
        <v>Margin Requirements</v>
      </c>
      <c r="D35" s="4">
        <f>('2.1 SummaryFunc.'!G16)</f>
        <v>730214.75525331905</v>
      </c>
      <c r="F35" s="4">
        <f>(D35*'3.1 PlantClass.'!$E$172)</f>
        <v>152148.37690634711</v>
      </c>
      <c r="G35" s="4">
        <f>(D35*'3.1 PlantClass.'!$E$173)</f>
        <v>578066.37834697193</v>
      </c>
      <c r="H35" s="7">
        <f t="shared" si="7"/>
        <v>730214.75525331905</v>
      </c>
      <c r="I35" s="5" t="str">
        <f t="shared" si="5"/>
        <v>Margin Requirements</v>
      </c>
      <c r="K35" s="4">
        <f>('2.1 SummaryFunc.'!E16)</f>
        <v>43087.28840166414</v>
      </c>
      <c r="L35" s="4">
        <f>('2.1 SummaryFunc.'!K16)</f>
        <v>125978.11252092785</v>
      </c>
      <c r="M35" s="4">
        <f>('2.1 SummaryFunc.'!L16)</f>
        <v>70513.028262459644</v>
      </c>
      <c r="N35" s="26">
        <f t="shared" si="8"/>
        <v>239578.42918505165</v>
      </c>
      <c r="Q35" s="7">
        <f t="shared" si="9"/>
        <v>196491.1407833875</v>
      </c>
    </row>
    <row r="36" spans="2:17" ht="15.75" thickBot="1">
      <c r="B36" s="5" t="str">
        <f t="shared" si="6"/>
        <v>Revenue Requirements</v>
      </c>
      <c r="D36" s="8">
        <f>SUM(D34:D35)</f>
        <v>2760921.4963078965</v>
      </c>
      <c r="F36" s="8">
        <f>(D36*'3.1 PlantClass.'!$E$172)</f>
        <v>575268.74307458103</v>
      </c>
      <c r="G36" s="8">
        <f>(D36*'3.1 PlantClass.'!$E$173)</f>
        <v>2185652.7532333154</v>
      </c>
      <c r="H36" s="9">
        <f t="shared" si="7"/>
        <v>2760921.4963078965</v>
      </c>
      <c r="I36" s="5" t="str">
        <f t="shared" si="5"/>
        <v>Revenue Requirements</v>
      </c>
      <c r="K36" s="8">
        <f>SUM(K34:K35)</f>
        <v>243904.86055470319</v>
      </c>
      <c r="L36" s="8">
        <f>SUM(L34:L35)</f>
        <v>969560.56969878008</v>
      </c>
      <c r="M36" s="8">
        <f>SUM(M34:M35)</f>
        <v>606367.06396957464</v>
      </c>
      <c r="N36" s="9">
        <f t="shared" si="8"/>
        <v>1819832.494223058</v>
      </c>
      <c r="Q36" s="7">
        <f t="shared" si="9"/>
        <v>1575927.6336683547</v>
      </c>
    </row>
    <row r="37" spans="2:17" ht="15.75" thickTop="1">
      <c r="G37" s="6" t="s">
        <v>1</v>
      </c>
    </row>
    <row r="38" spans="2:17">
      <c r="F38" s="6" t="s">
        <v>175</v>
      </c>
      <c r="G38" s="6" t="s">
        <v>172</v>
      </c>
    </row>
    <row r="39" spans="2:17">
      <c r="F39" s="6" t="s">
        <v>170</v>
      </c>
      <c r="G39" s="6" t="s">
        <v>170</v>
      </c>
    </row>
    <row r="40" spans="2:17">
      <c r="F40" s="11" t="s">
        <v>171</v>
      </c>
      <c r="G40" s="11" t="s">
        <v>171</v>
      </c>
    </row>
    <row r="41" spans="2:17" ht="15.75" thickBot="1">
      <c r="B41" s="5" t="s">
        <v>19</v>
      </c>
      <c r="D41" s="4">
        <f>('2.1 SummaryFunc.'!D5)</f>
        <v>84104533.455502495</v>
      </c>
      <c r="F41" s="27">
        <f>('2 Functionalization2'!E9+'2 Functionalization2'!E10)</f>
        <v>63981621.069166496</v>
      </c>
      <c r="G41" s="27">
        <f>(D41-F41)</f>
        <v>20122912.386335999</v>
      </c>
      <c r="H41" s="28">
        <f>(F41+G41)</f>
        <v>84104533.455502495</v>
      </c>
    </row>
    <row r="42" spans="2:17" ht="15.75" thickTop="1"/>
    <row r="46" spans="2:17">
      <c r="B46" s="5" t="s">
        <v>5</v>
      </c>
      <c r="H46" s="7">
        <f>(H18)</f>
        <v>18700772.731157236</v>
      </c>
    </row>
    <row r="47" spans="2:17">
      <c r="B47" s="5" t="s">
        <v>95</v>
      </c>
      <c r="H47" s="7">
        <f>(H36)</f>
        <v>2760921.4963078965</v>
      </c>
    </row>
    <row r="48" spans="2:17">
      <c r="B48" s="5" t="s">
        <v>19</v>
      </c>
      <c r="H48" s="7">
        <f>(H41)</f>
        <v>84104533.455502495</v>
      </c>
    </row>
    <row r="49" spans="2:8">
      <c r="B49" s="5" t="s">
        <v>181</v>
      </c>
      <c r="H49" s="7">
        <f>(N18)</f>
        <v>11846697.220834415</v>
      </c>
    </row>
    <row r="50" spans="2:8">
      <c r="B50" s="5" t="s">
        <v>13</v>
      </c>
      <c r="H50" s="7">
        <f>(L36)</f>
        <v>969560.56969878008</v>
      </c>
    </row>
    <row r="51" spans="2:8">
      <c r="B51" s="5" t="s">
        <v>240</v>
      </c>
      <c r="H51" s="7">
        <f>(K36)</f>
        <v>243904.86055470319</v>
      </c>
    </row>
    <row r="52" spans="2:8" ht="15.75" thickBot="1">
      <c r="H52" s="9">
        <f>SUM(H46:H51)</f>
        <v>118626390.33405554</v>
      </c>
    </row>
    <row r="53" spans="2:8" ht="15.75" thickTop="1"/>
    <row r="54" spans="2:8">
      <c r="H54" s="7">
        <f>('2.1 SummaryFunc.'!M17-'3.2 Classific. 2'!H52)</f>
        <v>606367.06396955252</v>
      </c>
    </row>
  </sheetData>
  <customSheetViews>
    <customSheetView guid="{18050E3F-BBF0-4BF6-9B33-B0817BE1B1C5}" scale="60" showPageBreaks="1" printArea="1" view="pageBreakPreview" showRuler="0">
      <selection activeCell="J37" sqref="J37"/>
      <rowBreaks count="1" manualBreakCount="1">
        <brk id="43" max="14" man="1"/>
      </rowBreaks>
      <colBreaks count="6" manualBreakCount="6">
        <brk id="8" max="40" man="1"/>
        <brk id="14" max="40" man="1"/>
        <brk id="24" max="40" man="1"/>
        <brk id="32" max="40" man="1"/>
        <brk id="40" max="40" man="1"/>
        <brk id="48" max="1048575" man="1"/>
      </colBreaks>
      <pageMargins left="0.75" right="0.75" top="1" bottom="1" header="0.5" footer="0.5"/>
      <printOptions horizontalCentered="1" verticalCentered="1" gridLines="1"/>
      <pageSetup scale="95" orientation="portrait" horizontalDpi="4294967293" r:id="rId1"/>
      <headerFooter alignWithMargins="0">
        <oddHeader>&amp;C&amp;"Arial,Bold"&amp;12 MEADE COUNTY RECC
CASE NO. 2010-00222
CLASSIFICATION OF EXPENSES&amp;R&amp;11Exhibit R
Schedule 3
Page ____ of ____
Witness:  Jim Adkins</oddHeader>
      </headerFooter>
    </customSheetView>
  </customSheetViews>
  <mergeCells count="1">
    <mergeCell ref="K1:N1"/>
  </mergeCells>
  <phoneticPr fontId="3" type="noConversion"/>
  <printOptions horizontalCentered="1" verticalCentered="1" gridLines="1"/>
  <pageMargins left="0.75" right="0.75" top="1" bottom="1" header="0.5" footer="0.5"/>
  <pageSetup scale="91" orientation="portrait" horizontalDpi="4294967293" r:id="rId2"/>
  <headerFooter alignWithMargins="0">
    <oddHeader>&amp;C&amp;"Arial,Bold"&amp;12 BLUE GRASS ENERGY COOPERATIVE
CASE NO. 2014-00339
CLASSIFICATION OF EXPENSES&amp;R&amp;11Revised Exhibit R
Schedule 3.2
Page ____ of ____
Witness:  Jim Adkins</oddHeader>
  </headerFooter>
  <rowBreaks count="1" manualBreakCount="1">
    <brk id="43" max="14" man="1"/>
  </rowBreaks>
  <colBreaks count="6" manualBreakCount="6">
    <brk id="8" max="40" man="1"/>
    <brk id="14" max="40" man="1"/>
    <brk id="24" max="40" man="1"/>
    <brk id="32" max="40" man="1"/>
    <brk id="40" max="40" man="1"/>
    <brk id="4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0"/>
  <sheetViews>
    <sheetView view="pageBreakPreview" topLeftCell="A163" zoomScale="76" zoomScaleNormal="100" zoomScaleSheetLayoutView="76" workbookViewId="0">
      <selection activeCell="E172" sqref="E172"/>
    </sheetView>
  </sheetViews>
  <sheetFormatPr defaultRowHeight="15"/>
  <cols>
    <col min="1" max="1" width="7.7109375" style="615" customWidth="1"/>
    <col min="2" max="3" width="27.85546875" style="615" customWidth="1"/>
    <col min="4" max="4" width="19" style="615" customWidth="1"/>
    <col min="5" max="5" width="15" style="615" customWidth="1"/>
    <col min="6" max="6" width="15.140625" style="615" customWidth="1"/>
    <col min="7" max="7" width="15.85546875" style="615" customWidth="1"/>
    <col min="8" max="8" width="16.42578125" style="608" customWidth="1"/>
    <col min="9" max="9" width="14.85546875" style="615" customWidth="1"/>
    <col min="10" max="10" width="13.85546875" style="615" customWidth="1"/>
    <col min="11" max="11" width="14.85546875" style="608" customWidth="1"/>
    <col min="12" max="12" width="14.28515625" style="615" customWidth="1"/>
    <col min="13" max="13" width="13.85546875" style="614" customWidth="1"/>
    <col min="14" max="14" width="14" style="614" bestFit="1" customWidth="1"/>
    <col min="15" max="16" width="13.85546875" style="614" customWidth="1"/>
    <col min="17" max="17" width="13.42578125" style="614" customWidth="1"/>
    <col min="18" max="18" width="13.7109375" style="614" customWidth="1"/>
    <col min="19" max="19" width="12.7109375" style="614" customWidth="1"/>
    <col min="20" max="28" width="9.140625" style="614"/>
    <col min="29" max="16384" width="9.140625" style="615"/>
  </cols>
  <sheetData>
    <row r="1" spans="1:12" ht="20.25">
      <c r="A1" s="885" t="s">
        <v>279</v>
      </c>
      <c r="B1" s="885"/>
      <c r="C1" s="885"/>
      <c r="D1" s="885"/>
      <c r="E1" s="885"/>
      <c r="F1" s="885"/>
      <c r="G1" s="609"/>
      <c r="H1" s="610"/>
      <c r="I1" s="611"/>
      <c r="J1" s="612"/>
      <c r="L1" s="613"/>
    </row>
    <row r="2" spans="1:12" ht="16.5" thickBot="1">
      <c r="B2" s="611" t="s">
        <v>196</v>
      </c>
      <c r="C2" s="611"/>
      <c r="D2" s="611"/>
      <c r="E2" s="611"/>
      <c r="F2" s="613"/>
      <c r="G2" s="613"/>
      <c r="H2" s="607"/>
      <c r="I2" s="613"/>
      <c r="J2" s="613"/>
      <c r="K2" s="607"/>
      <c r="L2" s="613"/>
    </row>
    <row r="3" spans="1:12" ht="17.25">
      <c r="B3" s="616" t="s">
        <v>93</v>
      </c>
      <c r="C3" s="617" t="s">
        <v>125</v>
      </c>
      <c r="D3" s="618" t="s">
        <v>132</v>
      </c>
      <c r="E3" s="617" t="s">
        <v>124</v>
      </c>
      <c r="F3" s="619" t="s">
        <v>133</v>
      </c>
      <c r="L3" s="613"/>
    </row>
    <row r="4" spans="1:12">
      <c r="B4" s="620"/>
      <c r="C4" s="613"/>
      <c r="D4" s="607"/>
      <c r="E4" s="621" t="s">
        <v>134</v>
      </c>
      <c r="F4" s="622"/>
      <c r="L4" s="613" t="s">
        <v>1</v>
      </c>
    </row>
    <row r="5" spans="1:12">
      <c r="B5" s="623" t="s">
        <v>458</v>
      </c>
      <c r="C5" s="607">
        <v>35</v>
      </c>
      <c r="D5" s="607">
        <v>6746445.0199999996</v>
      </c>
      <c r="E5" s="624">
        <v>35343</v>
      </c>
      <c r="F5" s="625">
        <f>(D5/E5)</f>
        <v>190.88489998019409</v>
      </c>
      <c r="L5" s="613"/>
    </row>
    <row r="6" spans="1:12">
      <c r="B6" s="620" t="s">
        <v>459</v>
      </c>
      <c r="C6" s="626">
        <v>42.5</v>
      </c>
      <c r="D6" s="607">
        <v>27431997.100000001</v>
      </c>
      <c r="E6" s="624">
        <v>55439</v>
      </c>
      <c r="F6" s="625">
        <f>(D6/E6)</f>
        <v>494.81406771406415</v>
      </c>
      <c r="K6" s="608" t="s">
        <v>1</v>
      </c>
      <c r="L6" s="613"/>
    </row>
    <row r="7" spans="1:12">
      <c r="B7" s="623" t="s">
        <v>460</v>
      </c>
      <c r="C7" s="607">
        <v>50</v>
      </c>
      <c r="D7" s="607">
        <v>2445520.17</v>
      </c>
      <c r="E7" s="607">
        <v>3477</v>
      </c>
      <c r="F7" s="625">
        <f>(D7/E7)</f>
        <v>703.34201035375327</v>
      </c>
      <c r="K7" s="608" t="s">
        <v>1</v>
      </c>
      <c r="L7" s="613"/>
    </row>
    <row r="8" spans="1:12">
      <c r="B8" s="623"/>
      <c r="C8" s="607"/>
      <c r="D8" s="607"/>
      <c r="E8" s="607"/>
      <c r="F8" s="625"/>
      <c r="K8" s="608" t="s">
        <v>1</v>
      </c>
      <c r="L8" s="613"/>
    </row>
    <row r="9" spans="1:12">
      <c r="B9" s="627" t="s">
        <v>1</v>
      </c>
      <c r="C9" s="607" t="s">
        <v>1</v>
      </c>
      <c r="D9" s="628">
        <v>0</v>
      </c>
      <c r="E9" s="628" t="s">
        <v>1</v>
      </c>
      <c r="F9" s="625" t="s">
        <v>1</v>
      </c>
      <c r="G9" s="609"/>
      <c r="H9" s="607"/>
      <c r="I9" s="609"/>
      <c r="J9" s="613"/>
      <c r="K9" s="607"/>
      <c r="L9" s="613"/>
    </row>
    <row r="10" spans="1:12" ht="16.5" thickBot="1">
      <c r="B10" s="629" t="s">
        <v>92</v>
      </c>
      <c r="C10" s="613"/>
      <c r="D10" s="607">
        <f>SUM(D5:D9)</f>
        <v>36623962.290000007</v>
      </c>
      <c r="E10" s="630">
        <f>SUM(E5:E9)</f>
        <v>94259</v>
      </c>
      <c r="F10" s="622"/>
      <c r="G10" s="631"/>
      <c r="I10" s="614"/>
      <c r="J10" s="614"/>
      <c r="L10" s="613"/>
    </row>
    <row r="11" spans="1:12" ht="15.75" thickTop="1">
      <c r="B11" s="627" t="s">
        <v>273</v>
      </c>
      <c r="C11" s="609"/>
      <c r="D11" s="632">
        <f>3779766.07+14605299.56+272020.81+106048.94</f>
        <v>18763135.379999999</v>
      </c>
      <c r="E11" s="609"/>
      <c r="F11" s="622"/>
      <c r="G11" s="614"/>
      <c r="I11" s="614"/>
      <c r="J11" s="614"/>
      <c r="L11" s="613"/>
    </row>
    <row r="12" spans="1:12" ht="15.75" thickBot="1">
      <c r="B12" s="633" t="s">
        <v>272</v>
      </c>
      <c r="C12" s="634"/>
      <c r="D12" s="635">
        <f>SUM(D10:D11)</f>
        <v>55387097.670000002</v>
      </c>
      <c r="E12" s="636"/>
      <c r="F12" s="637"/>
      <c r="K12" s="607" t="s">
        <v>1</v>
      </c>
      <c r="L12" s="613"/>
    </row>
    <row r="13" spans="1:12">
      <c r="B13" s="609"/>
      <c r="C13" s="609"/>
      <c r="D13" s="609"/>
      <c r="E13" s="609"/>
      <c r="F13" s="609"/>
      <c r="K13" s="607"/>
      <c r="L13" s="613" t="s">
        <v>1</v>
      </c>
    </row>
    <row r="14" spans="1:12" ht="15.75">
      <c r="A14" s="631"/>
      <c r="B14" s="631"/>
      <c r="C14" s="631"/>
      <c r="D14" s="631"/>
      <c r="E14" s="631"/>
      <c r="F14" s="631"/>
      <c r="K14" s="607"/>
      <c r="L14" s="613"/>
    </row>
    <row r="15" spans="1:12" ht="15.75">
      <c r="B15" s="638" t="s">
        <v>278</v>
      </c>
      <c r="C15" s="621"/>
      <c r="D15" s="613"/>
      <c r="E15" s="613"/>
      <c r="F15" s="613"/>
      <c r="K15" s="607"/>
      <c r="L15" s="613"/>
    </row>
    <row r="16" spans="1:12" ht="16.5" thickBot="1">
      <c r="B16" s="639" t="s">
        <v>1</v>
      </c>
      <c r="C16" s="639"/>
      <c r="D16" s="639"/>
      <c r="E16" s="639"/>
      <c r="L16" s="613" t="s">
        <v>1</v>
      </c>
    </row>
    <row r="17" spans="2:10">
      <c r="B17" s="640" t="s">
        <v>1</v>
      </c>
      <c r="C17" s="641"/>
      <c r="D17" s="642" t="s">
        <v>274</v>
      </c>
      <c r="E17" s="643" t="s">
        <v>252</v>
      </c>
      <c r="F17" s="644" t="s">
        <v>253</v>
      </c>
    </row>
    <row r="18" spans="2:10">
      <c r="B18" s="620" t="s">
        <v>394</v>
      </c>
      <c r="C18" s="613"/>
      <c r="D18" s="624" t="s">
        <v>389</v>
      </c>
      <c r="E18" s="645">
        <f>(B39)</f>
        <v>34.163807358237271</v>
      </c>
      <c r="F18" s="646">
        <f>(C39)</f>
        <v>-988.94815337574687</v>
      </c>
    </row>
    <row r="19" spans="2:10">
      <c r="B19" s="620"/>
      <c r="C19" s="613"/>
      <c r="D19" s="607"/>
      <c r="E19" s="645"/>
      <c r="F19" s="622"/>
    </row>
    <row r="20" spans="2:10">
      <c r="B20" s="620" t="s">
        <v>461</v>
      </c>
      <c r="C20" s="613"/>
      <c r="D20" s="607"/>
      <c r="E20" s="613" t="s">
        <v>1</v>
      </c>
      <c r="F20" s="647">
        <f>F5</f>
        <v>190.88489998019409</v>
      </c>
    </row>
    <row r="21" spans="2:10">
      <c r="B21" s="620" t="s">
        <v>135</v>
      </c>
      <c r="C21" s="613"/>
      <c r="D21" s="607"/>
      <c r="E21" s="613"/>
      <c r="F21" s="648">
        <f>(E10)</f>
        <v>94259</v>
      </c>
    </row>
    <row r="22" spans="2:10">
      <c r="B22" s="620" t="s">
        <v>136</v>
      </c>
      <c r="C22" s="613"/>
      <c r="D22" s="607"/>
      <c r="E22" s="613"/>
      <c r="F22" s="648">
        <f>(F20*F21)</f>
        <v>17992619.787233114</v>
      </c>
    </row>
    <row r="23" spans="2:10">
      <c r="B23" s="620" t="s">
        <v>304</v>
      </c>
      <c r="C23" s="613"/>
      <c r="D23" s="607"/>
      <c r="E23" s="613"/>
      <c r="F23" s="649">
        <f>D12</f>
        <v>55387097.670000002</v>
      </c>
    </row>
    <row r="24" spans="2:10" ht="15.75">
      <c r="B24" s="629" t="s">
        <v>137</v>
      </c>
      <c r="C24" s="611"/>
      <c r="D24" s="610"/>
      <c r="E24" s="611"/>
      <c r="F24" s="650">
        <f>(F22/F23)</f>
        <v>0.32485218659468917</v>
      </c>
    </row>
    <row r="25" spans="2:10" ht="16.5" thickBot="1">
      <c r="B25" s="651" t="s">
        <v>138</v>
      </c>
      <c r="C25" s="652"/>
      <c r="D25" s="653"/>
      <c r="E25" s="652"/>
      <c r="F25" s="654">
        <f>(1-F24)</f>
        <v>0.67514781340531083</v>
      </c>
      <c r="G25" s="612"/>
    </row>
    <row r="26" spans="2:10" ht="15.75">
      <c r="B26" s="611"/>
      <c r="C26" s="611"/>
      <c r="D26" s="610"/>
      <c r="E26" s="611"/>
      <c r="F26" s="612"/>
      <c r="G26" s="612"/>
      <c r="H26" s="610"/>
      <c r="I26" s="611"/>
      <c r="J26" s="612"/>
    </row>
    <row r="27" spans="2:10" ht="15.75">
      <c r="B27" s="611"/>
      <c r="C27" s="611"/>
      <c r="D27" s="610"/>
      <c r="E27" s="611"/>
      <c r="F27" s="612"/>
      <c r="G27" s="611"/>
      <c r="H27" s="610"/>
      <c r="I27" s="611"/>
      <c r="J27" s="612"/>
    </row>
    <row r="28" spans="2:10" ht="16.5" thickBot="1">
      <c r="B28" s="611"/>
      <c r="C28" s="611"/>
      <c r="D28" s="611"/>
      <c r="E28" s="611"/>
      <c r="F28" s="611"/>
      <c r="G28" s="611"/>
      <c r="H28" s="610"/>
      <c r="I28" s="611"/>
      <c r="J28" s="612"/>
    </row>
    <row r="29" spans="2:10" ht="15.75">
      <c r="B29" s="655" t="s">
        <v>682</v>
      </c>
      <c r="C29" s="656"/>
      <c r="D29" s="888" t="s">
        <v>281</v>
      </c>
      <c r="E29" s="889"/>
      <c r="F29" s="890"/>
      <c r="G29" s="611"/>
      <c r="H29" s="610"/>
      <c r="I29" s="611"/>
      <c r="J29" s="612"/>
    </row>
    <row r="30" spans="2:10" ht="15.75">
      <c r="B30" s="657" t="s">
        <v>390</v>
      </c>
      <c r="C30" s="658"/>
      <c r="D30" s="659"/>
      <c r="E30" s="660" t="s">
        <v>276</v>
      </c>
      <c r="F30" s="661" t="s">
        <v>195</v>
      </c>
      <c r="G30" s="611"/>
      <c r="H30" s="610"/>
      <c r="I30" s="611"/>
      <c r="J30" s="612"/>
    </row>
    <row r="31" spans="2:10" ht="15.75">
      <c r="B31" s="620"/>
      <c r="C31" s="613"/>
      <c r="D31" s="662" t="s">
        <v>275</v>
      </c>
      <c r="E31" s="662" t="s">
        <v>277</v>
      </c>
      <c r="F31" s="663" t="s">
        <v>212</v>
      </c>
      <c r="G31" s="611"/>
      <c r="H31" s="610"/>
      <c r="I31" s="611"/>
      <c r="J31" s="612"/>
    </row>
    <row r="32" spans="2:10" ht="15.75">
      <c r="B32" s="620"/>
      <c r="C32" s="613"/>
      <c r="D32" s="664">
        <f>C5</f>
        <v>35</v>
      </c>
      <c r="E32" s="621">
        <f>F5</f>
        <v>190.88489998019409</v>
      </c>
      <c r="F32" s="665">
        <f>$B$39*D32+$C$39</f>
        <v>206.78510416255767</v>
      </c>
      <c r="G32" s="611"/>
      <c r="H32" s="610"/>
      <c r="I32" s="611"/>
      <c r="J32" s="612"/>
    </row>
    <row r="33" spans="1:12" ht="15.75">
      <c r="B33" s="620"/>
      <c r="C33" s="613"/>
      <c r="D33" s="666">
        <f>C6</f>
        <v>42.5</v>
      </c>
      <c r="E33" s="621">
        <f>F6</f>
        <v>494.81406771406415</v>
      </c>
      <c r="F33" s="665">
        <f>$B$39*D33+$C$39</f>
        <v>463.0136593493371</v>
      </c>
      <c r="G33" s="611"/>
      <c r="H33" s="610"/>
      <c r="I33" s="611"/>
      <c r="J33" s="612"/>
    </row>
    <row r="34" spans="1:12" ht="15.75">
      <c r="B34" s="620"/>
      <c r="C34" s="613"/>
      <c r="D34" s="666">
        <f>C7</f>
        <v>50</v>
      </c>
      <c r="E34" s="621">
        <f>F7</f>
        <v>703.34201035375327</v>
      </c>
      <c r="F34" s="665">
        <f>$B$39*D34+$C$39</f>
        <v>719.24221453611676</v>
      </c>
      <c r="G34" s="611"/>
      <c r="H34" s="610"/>
      <c r="I34" s="611"/>
      <c r="J34" s="612"/>
    </row>
    <row r="35" spans="1:12" ht="15.75">
      <c r="B35" s="620"/>
      <c r="C35" s="613"/>
      <c r="D35" s="666"/>
      <c r="E35" s="667"/>
      <c r="F35" s="665"/>
      <c r="G35" s="611"/>
      <c r="H35" s="610"/>
      <c r="I35" s="611"/>
      <c r="J35" s="612"/>
    </row>
    <row r="36" spans="1:12" ht="15.75">
      <c r="B36" s="620" t="s">
        <v>393</v>
      </c>
      <c r="C36" s="613"/>
      <c r="D36" s="666"/>
      <c r="E36" s="668"/>
      <c r="F36" s="665"/>
      <c r="G36" s="611"/>
      <c r="H36" s="610"/>
      <c r="I36" s="611"/>
      <c r="J36" s="612"/>
    </row>
    <row r="37" spans="1:12" ht="15.75">
      <c r="B37" s="620" t="s">
        <v>274</v>
      </c>
      <c r="C37" s="624" t="s">
        <v>389</v>
      </c>
      <c r="D37" s="666"/>
      <c r="E37" s="668"/>
      <c r="F37" s="665"/>
      <c r="G37" s="611"/>
      <c r="H37" s="610"/>
      <c r="I37" s="611"/>
      <c r="J37" s="612"/>
    </row>
    <row r="38" spans="1:12" ht="15.75">
      <c r="B38" s="669" t="s">
        <v>391</v>
      </c>
      <c r="C38" s="670" t="s">
        <v>392</v>
      </c>
      <c r="D38" s="671"/>
      <c r="E38" s="672"/>
      <c r="F38" s="665"/>
      <c r="G38" s="631"/>
      <c r="L38" s="613"/>
    </row>
    <row r="39" spans="1:12">
      <c r="B39" s="627">
        <f>INDEX(LINEST(E32:E34,D32:D34),1)</f>
        <v>34.163807358237271</v>
      </c>
      <c r="C39" s="609">
        <f>INDEX(LINEST(E32:E34,D32:D34),2)</f>
        <v>-988.94815337574687</v>
      </c>
      <c r="D39" s="613"/>
      <c r="E39" s="613"/>
      <c r="F39" s="665"/>
      <c r="G39" s="613"/>
      <c r="H39" s="607"/>
      <c r="I39" s="613"/>
      <c r="J39" s="613"/>
      <c r="K39" s="607"/>
      <c r="L39" s="613"/>
    </row>
    <row r="40" spans="1:12" ht="15.75" thickBot="1">
      <c r="B40" s="633" t="s">
        <v>280</v>
      </c>
      <c r="C40" s="673"/>
      <c r="D40" s="674"/>
      <c r="E40" s="675"/>
      <c r="F40" s="637"/>
      <c r="L40" s="614"/>
    </row>
    <row r="41" spans="1:12">
      <c r="B41" s="609"/>
      <c r="C41" s="621"/>
      <c r="D41" s="613"/>
      <c r="E41" s="613"/>
      <c r="F41" s="613"/>
      <c r="H41" s="608" t="s">
        <v>1</v>
      </c>
      <c r="L41" s="614"/>
    </row>
    <row r="42" spans="1:12" ht="20.25">
      <c r="A42" s="885" t="s">
        <v>282</v>
      </c>
      <c r="B42" s="885"/>
      <c r="C42" s="885"/>
      <c r="D42" s="885"/>
      <c r="E42" s="885"/>
      <c r="F42" s="885"/>
      <c r="L42" s="614"/>
    </row>
    <row r="43" spans="1:12">
      <c r="B43" s="613" t="s">
        <v>196</v>
      </c>
      <c r="C43" s="613"/>
      <c r="D43" s="613"/>
      <c r="E43" s="613"/>
      <c r="F43" s="613"/>
    </row>
    <row r="44" spans="1:12">
      <c r="B44" s="676"/>
      <c r="C44" s="677"/>
      <c r="D44" s="676" t="s">
        <v>124</v>
      </c>
      <c r="E44" s="658"/>
      <c r="F44" s="676" t="s">
        <v>1</v>
      </c>
    </row>
    <row r="45" spans="1:12">
      <c r="B45" s="678" t="s">
        <v>94</v>
      </c>
      <c r="C45" s="671" t="s">
        <v>132</v>
      </c>
      <c r="D45" s="679" t="s">
        <v>134</v>
      </c>
      <c r="E45" s="679" t="s">
        <v>133</v>
      </c>
      <c r="F45" s="679" t="s">
        <v>307</v>
      </c>
    </row>
    <row r="46" spans="1:12">
      <c r="B46" s="680" t="s">
        <v>475</v>
      </c>
      <c r="C46" s="607">
        <v>7377935.3799999999</v>
      </c>
      <c r="D46" s="607">
        <v>8599915</v>
      </c>
      <c r="E46" s="681">
        <f t="shared" ref="E46:E55" si="0">(C46/D46)</f>
        <v>0.85790794211338139</v>
      </c>
      <c r="F46" s="682">
        <v>180</v>
      </c>
    </row>
    <row r="47" spans="1:12">
      <c r="B47" s="680" t="s">
        <v>474</v>
      </c>
      <c r="C47" s="607">
        <v>2318726.88</v>
      </c>
      <c r="D47" s="607">
        <v>13017732</v>
      </c>
      <c r="E47" s="681">
        <f t="shared" si="0"/>
        <v>0.17812064958780838</v>
      </c>
      <c r="F47" s="683">
        <v>140</v>
      </c>
    </row>
    <row r="48" spans="1:12">
      <c r="B48" s="680" t="s">
        <v>476</v>
      </c>
      <c r="C48" s="607">
        <v>6432100.1600000001</v>
      </c>
      <c r="D48" s="607">
        <v>8842042</v>
      </c>
      <c r="E48" s="681">
        <f t="shared" si="0"/>
        <v>0.72744510374413518</v>
      </c>
      <c r="F48" s="683">
        <v>230</v>
      </c>
    </row>
    <row r="49" spans="2:12">
      <c r="B49" s="680" t="s">
        <v>477</v>
      </c>
      <c r="C49" s="607">
        <v>62273.64</v>
      </c>
      <c r="D49" s="607">
        <v>189062</v>
      </c>
      <c r="E49" s="681">
        <f t="shared" si="0"/>
        <v>0.32938210745681312</v>
      </c>
      <c r="F49" s="682">
        <v>270</v>
      </c>
    </row>
    <row r="50" spans="2:12">
      <c r="B50" s="680" t="s">
        <v>478</v>
      </c>
      <c r="C50" s="607">
        <v>840195.76</v>
      </c>
      <c r="D50" s="607">
        <v>1386287</v>
      </c>
      <c r="E50" s="681">
        <f t="shared" si="0"/>
        <v>0.60607634638426244</v>
      </c>
      <c r="F50" s="682">
        <v>300</v>
      </c>
      <c r="L50" s="614"/>
    </row>
    <row r="51" spans="2:12">
      <c r="B51" s="680" t="s">
        <v>479</v>
      </c>
      <c r="C51" s="607">
        <v>1944344.84</v>
      </c>
      <c r="D51" s="608">
        <v>2590666</v>
      </c>
      <c r="E51" s="681">
        <f t="shared" si="0"/>
        <v>0.75051930275844125</v>
      </c>
      <c r="F51" s="684">
        <v>340</v>
      </c>
      <c r="L51" s="614"/>
    </row>
    <row r="52" spans="2:12">
      <c r="B52" s="680" t="s">
        <v>462</v>
      </c>
      <c r="C52" s="607">
        <v>-22216.76</v>
      </c>
      <c r="D52" s="607">
        <v>-272425</v>
      </c>
      <c r="E52" s="681">
        <f t="shared" si="0"/>
        <v>8.1551839955951166E-2</v>
      </c>
      <c r="F52" s="684">
        <v>140</v>
      </c>
      <c r="I52" s="614"/>
      <c r="J52" s="614" t="e">
        <f t="array" ref="J52:K52">LOGEST(C86:C89,D86:D89)</f>
        <v>#VALUE!</v>
      </c>
      <c r="K52" s="608" t="e">
        <v>#VALUE!</v>
      </c>
      <c r="L52" s="614"/>
    </row>
    <row r="53" spans="2:12">
      <c r="B53" s="685" t="s">
        <v>463</v>
      </c>
      <c r="C53" s="608">
        <v>193417.42</v>
      </c>
      <c r="D53" s="608">
        <v>3115791</v>
      </c>
      <c r="E53" s="681">
        <f t="shared" si="0"/>
        <v>6.20765064152249E-2</v>
      </c>
      <c r="F53" s="684">
        <v>100</v>
      </c>
      <c r="I53" s="614"/>
      <c r="J53" s="614"/>
      <c r="L53" s="614"/>
    </row>
    <row r="54" spans="2:12">
      <c r="B54" s="685" t="s">
        <v>480</v>
      </c>
      <c r="C54" s="608">
        <v>7416917.2800000003</v>
      </c>
      <c r="D54" s="615">
        <v>4989425</v>
      </c>
      <c r="E54" s="681">
        <f t="shared" si="0"/>
        <v>1.4865274615812445</v>
      </c>
      <c r="F54" s="608">
        <v>530</v>
      </c>
      <c r="I54" s="614"/>
      <c r="J54" s="614"/>
      <c r="L54" s="614"/>
    </row>
    <row r="55" spans="2:12">
      <c r="B55" s="680" t="s">
        <v>464</v>
      </c>
      <c r="C55" s="607">
        <v>189440.28</v>
      </c>
      <c r="D55" s="607">
        <v>83755</v>
      </c>
      <c r="E55" s="681">
        <f t="shared" si="0"/>
        <v>2.2618384574055281</v>
      </c>
      <c r="F55" s="682">
        <v>730</v>
      </c>
      <c r="I55" s="614"/>
      <c r="J55" s="614"/>
      <c r="K55" s="608" t="e">
        <f t="array" ref="K55">INDEX(LINEST(C86:C89,D86:D89),2)</f>
        <v>#VALUE!</v>
      </c>
      <c r="L55" s="614"/>
    </row>
    <row r="56" spans="2:12">
      <c r="B56" s="680"/>
      <c r="C56" s="607"/>
      <c r="D56" s="632"/>
      <c r="E56" s="681"/>
      <c r="F56" s="686"/>
      <c r="I56" s="607"/>
      <c r="J56" s="614"/>
      <c r="K56" s="607"/>
      <c r="L56" s="614"/>
    </row>
    <row r="57" spans="2:12">
      <c r="B57" s="680"/>
      <c r="C57" s="607"/>
      <c r="D57" s="632"/>
      <c r="E57" s="681"/>
      <c r="F57" s="686"/>
      <c r="I57" s="607"/>
      <c r="J57" s="614"/>
      <c r="K57" s="607"/>
      <c r="L57" s="614"/>
    </row>
    <row r="58" spans="2:12">
      <c r="B58" s="680"/>
      <c r="C58" s="607"/>
      <c r="D58" s="632"/>
      <c r="E58" s="681"/>
      <c r="F58" s="686"/>
      <c r="I58" s="607"/>
      <c r="J58" s="614"/>
      <c r="K58" s="607"/>
      <c r="L58" s="614"/>
    </row>
    <row r="59" spans="2:12" ht="16.5" thickBot="1">
      <c r="B59" s="687" t="s">
        <v>142</v>
      </c>
      <c r="C59" s="607">
        <f>SUM(C46:C56)</f>
        <v>26753134.880000003</v>
      </c>
      <c r="D59" s="688">
        <f>SUM(D46:D56)</f>
        <v>42542250</v>
      </c>
      <c r="E59" s="681">
        <f>(C59/D59)</f>
        <v>0.62886036540145396</v>
      </c>
      <c r="F59" s="689"/>
      <c r="I59" s="607"/>
      <c r="J59" s="614"/>
      <c r="K59" s="607"/>
      <c r="L59" s="614"/>
    </row>
    <row r="60" spans="2:12" ht="15.75" thickTop="1">
      <c r="B60" s="685" t="s">
        <v>145</v>
      </c>
      <c r="C60" s="607">
        <f>(C61-C59)</f>
        <v>16129443.119999997</v>
      </c>
      <c r="D60" s="607" t="s">
        <v>1</v>
      </c>
      <c r="E60" s="681" t="s">
        <v>1</v>
      </c>
      <c r="F60" s="689"/>
      <c r="I60" s="607"/>
      <c r="J60" s="614"/>
      <c r="K60" s="607"/>
      <c r="L60" s="614"/>
    </row>
    <row r="61" spans="2:12" ht="15.75" thickBot="1">
      <c r="B61" s="690" t="s">
        <v>143</v>
      </c>
      <c r="C61" s="691">
        <v>42882578</v>
      </c>
      <c r="D61" s="628" t="s">
        <v>1</v>
      </c>
      <c r="E61" s="692">
        <f>(E59)</f>
        <v>0.62886036540145396</v>
      </c>
      <c r="F61" s="693"/>
      <c r="I61" s="607"/>
      <c r="J61" s="614"/>
      <c r="K61" s="607"/>
      <c r="L61" s="614"/>
    </row>
    <row r="62" spans="2:12" ht="15.75" thickTop="1">
      <c r="I62" s="607"/>
      <c r="J62" s="614"/>
      <c r="K62" s="607"/>
      <c r="L62" s="614"/>
    </row>
    <row r="63" spans="2:12" ht="16.5" thickBot="1">
      <c r="B63" s="639" t="s">
        <v>197</v>
      </c>
      <c r="C63" s="639"/>
      <c r="D63" s="639"/>
      <c r="E63" s="639"/>
      <c r="I63" s="607"/>
      <c r="J63" s="614"/>
      <c r="K63" s="607"/>
      <c r="L63" s="614"/>
    </row>
    <row r="64" spans="2:12">
      <c r="B64" s="640" t="s">
        <v>414</v>
      </c>
      <c r="C64" s="641"/>
      <c r="D64" s="641"/>
      <c r="E64" s="694"/>
      <c r="F64" s="695"/>
      <c r="I64" s="607"/>
      <c r="J64" s="614"/>
      <c r="K64" s="607"/>
      <c r="L64" s="614"/>
    </row>
    <row r="65" spans="1:12">
      <c r="B65" s="620"/>
      <c r="C65" s="613"/>
      <c r="D65" s="613"/>
      <c r="E65" s="607"/>
      <c r="F65" s="622"/>
      <c r="I65" s="607"/>
      <c r="J65" s="613"/>
      <c r="K65" s="607"/>
      <c r="L65" s="614"/>
    </row>
    <row r="66" spans="1:12">
      <c r="B66" s="620" t="s">
        <v>274</v>
      </c>
      <c r="D66" s="613" t="s">
        <v>1</v>
      </c>
      <c r="E66" s="607"/>
      <c r="F66" s="624" t="s">
        <v>251</v>
      </c>
      <c r="I66" s="607"/>
      <c r="J66" s="613"/>
      <c r="K66" s="607"/>
      <c r="L66" s="614"/>
    </row>
    <row r="67" spans="1:12">
      <c r="B67" s="696" t="s">
        <v>319</v>
      </c>
      <c r="D67" s="609" t="s">
        <v>1</v>
      </c>
      <c r="E67" s="607"/>
      <c r="F67" s="609">
        <f>INDEX(LOGEST($C$81:$C$86,$D$81:$D$86),2)</f>
        <v>0.22618590578993941</v>
      </c>
      <c r="G67" s="614"/>
      <c r="I67" s="607"/>
      <c r="J67" s="613"/>
      <c r="K67" s="607"/>
      <c r="L67" s="614"/>
    </row>
    <row r="68" spans="1:12">
      <c r="B68" s="696" t="s">
        <v>252</v>
      </c>
      <c r="D68" s="697" t="s">
        <v>1</v>
      </c>
      <c r="E68" s="607"/>
      <c r="F68" s="609">
        <f>INDEX(LOGEST($C$82:$C$86,$D$82:$D$86),1)</f>
        <v>1.0018518613862857</v>
      </c>
      <c r="G68" s="614"/>
      <c r="I68" s="607"/>
      <c r="J68" s="613"/>
      <c r="K68" s="607"/>
      <c r="L68" s="614"/>
    </row>
    <row r="69" spans="1:12">
      <c r="B69" s="698"/>
      <c r="C69" s="699"/>
      <c r="D69" s="613"/>
      <c r="E69" s="700" t="s">
        <v>1</v>
      </c>
      <c r="F69" s="658" t="s">
        <v>1</v>
      </c>
      <c r="G69" s="614"/>
      <c r="I69" s="607"/>
      <c r="J69" s="613"/>
      <c r="K69" s="607"/>
      <c r="L69" s="614"/>
    </row>
    <row r="70" spans="1:12">
      <c r="B70" s="620" t="s">
        <v>267</v>
      </c>
      <c r="C70" s="613"/>
      <c r="D70" s="613"/>
      <c r="E70" s="701" t="str">
        <f>D67</f>
        <v xml:space="preserve"> </v>
      </c>
      <c r="F70" s="702">
        <f>(F67)</f>
        <v>0.22618590578993941</v>
      </c>
      <c r="I70" s="607"/>
      <c r="J70" s="613"/>
      <c r="K70" s="607"/>
      <c r="L70" s="614"/>
    </row>
    <row r="71" spans="1:12">
      <c r="B71" s="620" t="s">
        <v>198</v>
      </c>
      <c r="C71" s="613"/>
      <c r="D71" s="613"/>
      <c r="E71" s="607" t="s">
        <v>1</v>
      </c>
      <c r="F71" s="703">
        <f>(D59)</f>
        <v>42542250</v>
      </c>
      <c r="I71" s="607"/>
      <c r="J71" s="613"/>
      <c r="K71" s="607"/>
      <c r="L71" s="614"/>
    </row>
    <row r="72" spans="1:12">
      <c r="B72" s="620" t="s">
        <v>136</v>
      </c>
      <c r="C72" s="613"/>
      <c r="D72" s="613"/>
      <c r="E72" s="607" t="s">
        <v>1</v>
      </c>
      <c r="F72" s="703">
        <f>(F70*F71)</f>
        <v>9622457.3505920507</v>
      </c>
      <c r="G72" s="614"/>
      <c r="I72" s="607"/>
      <c r="J72" s="613"/>
      <c r="K72" s="607"/>
      <c r="L72" s="614"/>
    </row>
    <row r="73" spans="1:12">
      <c r="B73" s="620" t="s">
        <v>305</v>
      </c>
      <c r="C73" s="613"/>
      <c r="D73" s="613"/>
      <c r="E73" s="607" t="s">
        <v>1</v>
      </c>
      <c r="F73" s="703">
        <f>(C59)</f>
        <v>26753134.880000003</v>
      </c>
      <c r="G73" s="704"/>
      <c r="I73" s="607"/>
      <c r="J73" s="613"/>
      <c r="K73" s="607"/>
      <c r="L73" s="614"/>
    </row>
    <row r="74" spans="1:12" ht="15.75">
      <c r="B74" s="629" t="s">
        <v>137</v>
      </c>
      <c r="C74" s="611"/>
      <c r="D74" s="611"/>
      <c r="E74" s="612" t="s">
        <v>1</v>
      </c>
      <c r="F74" s="705">
        <f>(F72/F73)</f>
        <v>0.35967588074269258</v>
      </c>
      <c r="G74" s="614"/>
      <c r="I74" s="607"/>
      <c r="J74" s="613"/>
      <c r="K74" s="607"/>
      <c r="L74" s="614"/>
    </row>
    <row r="75" spans="1:12" ht="16.5" thickBot="1">
      <c r="A75" s="613"/>
      <c r="B75" s="651" t="s">
        <v>138</v>
      </c>
      <c r="C75" s="652"/>
      <c r="D75" s="652"/>
      <c r="E75" s="706" t="s">
        <v>1</v>
      </c>
      <c r="F75" s="707">
        <f>(1-F74)</f>
        <v>0.64032411925730748</v>
      </c>
      <c r="G75" s="708"/>
      <c r="I75" s="607"/>
      <c r="J75" s="613"/>
      <c r="K75" s="607"/>
      <c r="L75" s="614"/>
    </row>
    <row r="76" spans="1:12">
      <c r="E76" s="614"/>
      <c r="F76" s="614"/>
      <c r="G76" s="614"/>
      <c r="I76" s="607"/>
      <c r="J76" s="613"/>
      <c r="K76" s="607"/>
      <c r="L76" s="614"/>
    </row>
    <row r="77" spans="1:12">
      <c r="B77" s="614"/>
      <c r="C77" s="609"/>
      <c r="D77" s="609"/>
      <c r="E77" s="609"/>
      <c r="F77" s="614"/>
      <c r="G77" s="614"/>
      <c r="I77" s="607"/>
      <c r="J77" s="613"/>
      <c r="K77" s="607"/>
      <c r="L77" s="614"/>
    </row>
    <row r="78" spans="1:12" ht="15.75" thickBot="1">
      <c r="B78" s="609"/>
      <c r="C78" s="609"/>
      <c r="D78" s="609"/>
      <c r="E78" s="609"/>
      <c r="F78" s="609"/>
      <c r="G78" s="614"/>
      <c r="I78" s="607"/>
      <c r="J78" s="613"/>
      <c r="K78" s="607"/>
      <c r="L78" s="614"/>
    </row>
    <row r="79" spans="1:12" ht="15.75">
      <c r="B79" s="709" t="s">
        <v>681</v>
      </c>
      <c r="C79" s="710"/>
      <c r="D79" s="710"/>
      <c r="E79" s="711"/>
      <c r="F79" s="614"/>
      <c r="G79" s="614"/>
      <c r="I79" s="607"/>
      <c r="J79" s="613"/>
      <c r="K79" s="607"/>
      <c r="L79" s="614"/>
    </row>
    <row r="80" spans="1:12">
      <c r="B80" s="712" t="s">
        <v>285</v>
      </c>
      <c r="C80" s="713" t="s">
        <v>286</v>
      </c>
      <c r="D80" s="713" t="s">
        <v>395</v>
      </c>
      <c r="E80" s="714" t="s">
        <v>1</v>
      </c>
      <c r="F80" s="614"/>
      <c r="G80" s="614"/>
      <c r="I80" s="607"/>
      <c r="J80" s="613"/>
      <c r="K80" s="607"/>
      <c r="L80" s="614"/>
    </row>
    <row r="81" spans="1:12">
      <c r="B81" s="627" t="s">
        <v>656</v>
      </c>
      <c r="C81" s="715">
        <f>(E47)</f>
        <v>0.17812064958780838</v>
      </c>
      <c r="D81" s="607">
        <f>(F47)</f>
        <v>140</v>
      </c>
      <c r="E81" s="716" t="s">
        <v>1</v>
      </c>
      <c r="F81" s="614"/>
      <c r="G81" s="614"/>
      <c r="I81" s="607"/>
      <c r="J81" s="613"/>
      <c r="K81" s="607"/>
      <c r="L81" s="614"/>
    </row>
    <row r="82" spans="1:12">
      <c r="B82" s="627" t="str">
        <f>B46</f>
        <v>#2 ACSR</v>
      </c>
      <c r="C82" s="681">
        <f>E46</f>
        <v>0.85790794211338139</v>
      </c>
      <c r="D82" s="607">
        <f>F46</f>
        <v>180</v>
      </c>
      <c r="E82" s="716" t="s">
        <v>1</v>
      </c>
      <c r="F82" s="614"/>
      <c r="G82" s="614"/>
      <c r="I82" s="607"/>
      <c r="J82" s="613"/>
      <c r="K82" s="607"/>
      <c r="L82" s="614"/>
    </row>
    <row r="83" spans="1:12">
      <c r="B83" s="627" t="s">
        <v>657</v>
      </c>
      <c r="C83" s="681">
        <f>(E48)</f>
        <v>0.72744510374413518</v>
      </c>
      <c r="D83" s="607">
        <f>(F48)</f>
        <v>230</v>
      </c>
      <c r="E83" s="716" t="s">
        <v>1</v>
      </c>
      <c r="F83" s="614"/>
      <c r="G83" s="614"/>
      <c r="I83" s="607"/>
      <c r="J83" s="613"/>
      <c r="K83" s="607"/>
      <c r="L83" s="614"/>
    </row>
    <row r="84" spans="1:12">
      <c r="B84" s="627" t="s">
        <v>658</v>
      </c>
      <c r="C84" s="681">
        <f>(E50)</f>
        <v>0.60607634638426244</v>
      </c>
      <c r="D84" s="607">
        <f>(F50)</f>
        <v>300</v>
      </c>
      <c r="E84" s="716" t="s">
        <v>1</v>
      </c>
      <c r="F84" s="614"/>
      <c r="G84" s="614"/>
      <c r="I84" s="607"/>
      <c r="J84" s="613"/>
      <c r="K84" s="607"/>
      <c r="L84" s="614"/>
    </row>
    <row r="85" spans="1:12">
      <c r="B85" s="627" t="str">
        <f>B51</f>
        <v>#4/0 ACSR</v>
      </c>
      <c r="C85" s="681">
        <f>E51</f>
        <v>0.75051930275844125</v>
      </c>
      <c r="D85" s="607">
        <f>F51</f>
        <v>340</v>
      </c>
      <c r="E85" s="716" t="s">
        <v>1</v>
      </c>
      <c r="F85" s="614"/>
      <c r="G85" s="614"/>
      <c r="I85" s="607"/>
      <c r="J85" s="613"/>
      <c r="K85" s="607"/>
      <c r="L85" s="614"/>
    </row>
    <row r="86" spans="1:12">
      <c r="B86" s="717" t="str">
        <f>B54</f>
        <v>336.4 MCM ACSR</v>
      </c>
      <c r="C86" s="681">
        <f>E54</f>
        <v>1.4865274615812445</v>
      </c>
      <c r="D86" s="607">
        <f>F54</f>
        <v>530</v>
      </c>
      <c r="E86" s="716" t="s">
        <v>1</v>
      </c>
      <c r="F86" s="614"/>
      <c r="G86" s="614"/>
      <c r="I86" s="607"/>
      <c r="J86" s="613"/>
      <c r="K86" s="607"/>
      <c r="L86" s="614"/>
    </row>
    <row r="87" spans="1:12">
      <c r="B87" s="627"/>
      <c r="C87" s="715"/>
      <c r="D87" s="718"/>
      <c r="E87" s="716"/>
      <c r="F87" s="614"/>
      <c r="G87" s="614"/>
      <c r="I87" s="607"/>
      <c r="J87" s="613"/>
      <c r="K87" s="607"/>
      <c r="L87" s="614"/>
    </row>
    <row r="88" spans="1:12" ht="15.75" thickBot="1">
      <c r="B88" s="633"/>
      <c r="C88" s="719"/>
      <c r="D88" s="720"/>
      <c r="E88" s="721"/>
      <c r="F88" s="614"/>
      <c r="G88" s="614"/>
      <c r="I88" s="607"/>
      <c r="J88" s="613"/>
      <c r="K88" s="607"/>
      <c r="L88" s="614"/>
    </row>
    <row r="89" spans="1:12">
      <c r="B89" s="609"/>
      <c r="C89" s="715"/>
      <c r="D89" s="718"/>
      <c r="E89" s="722"/>
      <c r="F89" s="614"/>
      <c r="G89" s="614"/>
      <c r="I89" s="607"/>
      <c r="J89" s="613"/>
      <c r="K89" s="607"/>
      <c r="L89" s="614"/>
    </row>
    <row r="90" spans="1:12">
      <c r="B90" s="614"/>
      <c r="C90" s="614"/>
      <c r="D90" s="614"/>
      <c r="E90" s="614"/>
      <c r="F90" s="614"/>
      <c r="K90" s="607"/>
      <c r="L90" s="614"/>
    </row>
    <row r="91" spans="1:12" ht="15.75">
      <c r="A91" s="611" t="s">
        <v>144</v>
      </c>
      <c r="B91" s="614"/>
      <c r="C91" s="614"/>
      <c r="D91" s="614"/>
      <c r="E91" s="614"/>
      <c r="F91" s="614"/>
      <c r="K91" s="607"/>
      <c r="L91" s="614"/>
    </row>
    <row r="92" spans="1:12">
      <c r="B92" s="614"/>
      <c r="C92" s="614"/>
      <c r="D92" s="614"/>
      <c r="E92" s="614"/>
      <c r="F92" s="614"/>
      <c r="K92" s="607"/>
      <c r="L92" s="614"/>
    </row>
    <row r="93" spans="1:12" ht="15.75" thickBot="1">
      <c r="B93" s="614"/>
      <c r="C93" s="614"/>
      <c r="D93" s="614"/>
      <c r="E93" s="614"/>
      <c r="F93" s="614"/>
      <c r="K93" s="607"/>
      <c r="L93" s="614"/>
    </row>
    <row r="94" spans="1:12" ht="15.75" thickBot="1">
      <c r="A94" s="723" t="s">
        <v>16</v>
      </c>
      <c r="B94" s="724" t="s">
        <v>15</v>
      </c>
      <c r="C94" s="891" t="s">
        <v>283</v>
      </c>
      <c r="D94" s="892"/>
      <c r="E94" s="725" t="s">
        <v>284</v>
      </c>
      <c r="F94" s="726"/>
      <c r="K94" s="607"/>
      <c r="L94" s="614"/>
    </row>
    <row r="95" spans="1:12" ht="15.75" thickBot="1">
      <c r="A95" s="727" t="s">
        <v>18</v>
      </c>
      <c r="B95" s="728" t="s">
        <v>132</v>
      </c>
      <c r="C95" s="725" t="s">
        <v>112</v>
      </c>
      <c r="D95" s="729" t="s">
        <v>114</v>
      </c>
      <c r="E95" s="730" t="s">
        <v>112</v>
      </c>
      <c r="F95" s="729" t="s">
        <v>114</v>
      </c>
      <c r="K95" s="607"/>
      <c r="L95" s="614"/>
    </row>
    <row r="96" spans="1:12" ht="15.75">
      <c r="A96" s="731">
        <v>364</v>
      </c>
      <c r="B96" s="732">
        <f>D12</f>
        <v>55387097.670000002</v>
      </c>
      <c r="C96" s="733">
        <f>F24</f>
        <v>0.32485218659468917</v>
      </c>
      <c r="D96" s="665">
        <f>(C96*B96)</f>
        <v>17992619.787233114</v>
      </c>
      <c r="E96" s="734">
        <f>F25</f>
        <v>0.67514781340531083</v>
      </c>
      <c r="F96" s="735">
        <f>(E96*B96)</f>
        <v>37394477.882766888</v>
      </c>
      <c r="G96" s="631"/>
      <c r="H96" s="736"/>
      <c r="I96" s="737"/>
      <c r="J96" s="737"/>
      <c r="K96" s="607"/>
      <c r="L96" s="613"/>
    </row>
    <row r="97" spans="1:16" ht="15.75">
      <c r="A97" s="731">
        <v>365</v>
      </c>
      <c r="B97" s="731">
        <f>C61</f>
        <v>42882578</v>
      </c>
      <c r="C97" s="738">
        <f>F74</f>
        <v>0.35967588074269258</v>
      </c>
      <c r="D97" s="665">
        <f>(C97*B97)</f>
        <v>15423829.010667212</v>
      </c>
      <c r="E97" s="739">
        <f>F75</f>
        <v>0.64032411925730748</v>
      </c>
      <c r="F97" s="735">
        <f>(E97*B97)</f>
        <v>27458748.989332791</v>
      </c>
      <c r="G97" s="631"/>
      <c r="H97" s="736"/>
      <c r="I97" s="737"/>
      <c r="J97" s="737"/>
      <c r="K97" s="607"/>
      <c r="L97" s="613"/>
    </row>
    <row r="98" spans="1:16" ht="15" customHeight="1" thickBot="1">
      <c r="A98" s="740"/>
      <c r="B98" s="741">
        <f>(B96+B97)</f>
        <v>98269675.670000002</v>
      </c>
      <c r="C98" s="741" t="s">
        <v>1</v>
      </c>
      <c r="D98" s="742">
        <f>(D96+D97)</f>
        <v>33416448.797900327</v>
      </c>
      <c r="E98" s="742" t="s">
        <v>1</v>
      </c>
      <c r="F98" s="743">
        <f>(F96+F97)</f>
        <v>64853226.872099683</v>
      </c>
      <c r="H98" s="736"/>
      <c r="I98" s="737"/>
      <c r="J98" s="737"/>
      <c r="K98" s="607"/>
    </row>
    <row r="99" spans="1:16" ht="15.75" thickTop="1">
      <c r="A99" s="740"/>
      <c r="B99" s="731"/>
      <c r="C99" s="620"/>
      <c r="D99" s="665"/>
      <c r="E99" s="613"/>
      <c r="F99" s="665"/>
      <c r="G99" s="744"/>
      <c r="H99" s="745"/>
      <c r="I99" s="744"/>
      <c r="J99" s="744"/>
      <c r="K99" s="745"/>
      <c r="L99" s="744"/>
      <c r="M99" s="744"/>
      <c r="N99" s="744"/>
    </row>
    <row r="100" spans="1:16" ht="16.5" thickBot="1">
      <c r="A100" s="727" t="s">
        <v>91</v>
      </c>
      <c r="B100" s="746">
        <f>(D100+F100)</f>
        <v>1</v>
      </c>
      <c r="C100" s="747"/>
      <c r="D100" s="748">
        <f>(D98/B98)</f>
        <v>0.34004842867413448</v>
      </c>
      <c r="E100" s="706"/>
      <c r="F100" s="749">
        <f>(F98/B98)</f>
        <v>0.65995157132586557</v>
      </c>
      <c r="L100" s="613"/>
    </row>
    <row r="101" spans="1:16">
      <c r="A101" s="620"/>
      <c r="L101" s="613"/>
    </row>
    <row r="102" spans="1:16">
      <c r="A102" s="613"/>
      <c r="L102" s="613"/>
    </row>
    <row r="103" spans="1:16">
      <c r="A103" s="613"/>
    </row>
    <row r="104" spans="1:16" ht="20.25">
      <c r="A104" s="885" t="s">
        <v>287</v>
      </c>
      <c r="B104" s="885"/>
      <c r="C104" s="885"/>
      <c r="D104" s="885"/>
      <c r="E104" s="885"/>
      <c r="F104" s="885"/>
      <c r="L104" s="613"/>
    </row>
    <row r="105" spans="1:16" ht="16.5" thickBot="1">
      <c r="A105" s="631"/>
      <c r="B105" s="631"/>
      <c r="C105" s="631"/>
      <c r="D105" s="631"/>
      <c r="E105" s="631"/>
      <c r="F105" s="750"/>
      <c r="L105" s="613"/>
    </row>
    <row r="106" spans="1:16" ht="15.75">
      <c r="B106" s="613"/>
      <c r="C106" s="751" t="s">
        <v>289</v>
      </c>
      <c r="D106" s="752" t="s">
        <v>119</v>
      </c>
      <c r="E106" s="751" t="s">
        <v>15</v>
      </c>
      <c r="F106" s="751" t="s">
        <v>277</v>
      </c>
      <c r="H106" s="753" t="s">
        <v>508</v>
      </c>
      <c r="I106" s="893" t="s">
        <v>505</v>
      </c>
      <c r="J106" s="893"/>
      <c r="K106" s="894" t="s">
        <v>506</v>
      </c>
      <c r="L106" s="894"/>
      <c r="O106" s="895" t="s">
        <v>507</v>
      </c>
      <c r="P106" s="895"/>
    </row>
    <row r="107" spans="1:16" ht="16.5" thickBot="1">
      <c r="A107" s="609"/>
      <c r="B107" s="631" t="s">
        <v>288</v>
      </c>
      <c r="C107" s="754" t="s">
        <v>290</v>
      </c>
      <c r="D107" s="755" t="s">
        <v>270</v>
      </c>
      <c r="E107" s="754" t="s">
        <v>212</v>
      </c>
      <c r="F107" s="754" t="s">
        <v>212</v>
      </c>
      <c r="H107" s="753" t="s">
        <v>290</v>
      </c>
      <c r="I107" s="756" t="s">
        <v>124</v>
      </c>
      <c r="J107" s="756" t="s">
        <v>132</v>
      </c>
      <c r="K107" s="756" t="s">
        <v>124</v>
      </c>
      <c r="L107" s="756" t="s">
        <v>132</v>
      </c>
      <c r="O107" s="756" t="s">
        <v>124</v>
      </c>
      <c r="P107" s="756" t="s">
        <v>132</v>
      </c>
    </row>
    <row r="108" spans="1:16">
      <c r="A108" s="613"/>
      <c r="B108" s="613" t="s">
        <v>483</v>
      </c>
      <c r="C108" s="757">
        <v>1.5</v>
      </c>
      <c r="D108" s="608">
        <v>91</v>
      </c>
      <c r="E108" s="608">
        <v>3610.63</v>
      </c>
      <c r="F108" s="613">
        <f>(E108/D108)</f>
        <v>39.677252747252751</v>
      </c>
      <c r="H108" s="758">
        <v>1.5</v>
      </c>
      <c r="I108" s="608">
        <f>(D108)</f>
        <v>91</v>
      </c>
      <c r="J108" s="608">
        <f>(E108)</f>
        <v>3610.63</v>
      </c>
      <c r="K108" s="608">
        <f>(D109)</f>
        <v>460</v>
      </c>
      <c r="L108" s="608">
        <f>(E109)</f>
        <v>35606.78</v>
      </c>
      <c r="M108" s="615">
        <f>(L108/K108)</f>
        <v>77.40604347826087</v>
      </c>
    </row>
    <row r="109" spans="1:16">
      <c r="A109" s="613"/>
      <c r="B109" s="613" t="s">
        <v>403</v>
      </c>
      <c r="C109" s="757">
        <v>1.5</v>
      </c>
      <c r="D109" s="608">
        <v>460</v>
      </c>
      <c r="E109" s="608">
        <v>35606.78</v>
      </c>
      <c r="F109" s="613">
        <f>(E109/D109)</f>
        <v>77.40604347826087</v>
      </c>
      <c r="H109" s="758">
        <v>3</v>
      </c>
      <c r="I109" s="608"/>
      <c r="J109" s="608"/>
      <c r="K109" s="608">
        <f>(D110)</f>
        <v>882</v>
      </c>
      <c r="L109" s="608">
        <f>(E110)</f>
        <v>99946.91</v>
      </c>
      <c r="M109" s="615">
        <f>(L109/K109)</f>
        <v>113.31849206349207</v>
      </c>
    </row>
    <row r="110" spans="1:16">
      <c r="A110" s="613"/>
      <c r="B110" s="613" t="s">
        <v>485</v>
      </c>
      <c r="C110" s="757">
        <v>3</v>
      </c>
      <c r="D110" s="608">
        <v>882</v>
      </c>
      <c r="E110" s="608">
        <v>99946.91</v>
      </c>
      <c r="F110" s="613">
        <f t="shared" ref="F110:F132" si="1">(E110/D110)</f>
        <v>113.31849206349207</v>
      </c>
      <c r="H110" s="758">
        <v>5</v>
      </c>
      <c r="I110" s="608">
        <f>(D111)</f>
        <v>1339</v>
      </c>
      <c r="J110" s="608">
        <f>(E111)</f>
        <v>196856.5</v>
      </c>
      <c r="K110" s="608">
        <f t="shared" ref="K110:L112" si="2">(D112)</f>
        <v>1231</v>
      </c>
      <c r="L110" s="608">
        <f t="shared" si="2"/>
        <v>202205.59</v>
      </c>
      <c r="M110" s="615">
        <f>(L110/K110)</f>
        <v>164.26124289195775</v>
      </c>
    </row>
    <row r="111" spans="1:16">
      <c r="A111" s="613"/>
      <c r="B111" s="613" t="s">
        <v>326</v>
      </c>
      <c r="C111" s="757">
        <v>5</v>
      </c>
      <c r="D111" s="608">
        <v>1339</v>
      </c>
      <c r="E111" s="608">
        <v>196856.5</v>
      </c>
      <c r="F111" s="613">
        <f>(E111/D111)</f>
        <v>147.0175504107543</v>
      </c>
      <c r="G111" s="615" t="s">
        <v>1</v>
      </c>
      <c r="H111" s="758">
        <v>7.5</v>
      </c>
      <c r="I111" s="608" t="s">
        <v>1</v>
      </c>
      <c r="J111" s="608" t="s">
        <v>1</v>
      </c>
      <c r="K111" s="608">
        <f t="shared" si="2"/>
        <v>216</v>
      </c>
      <c r="L111" s="608">
        <f t="shared" si="2"/>
        <v>44477.85</v>
      </c>
      <c r="M111" s="615">
        <f t="shared" ref="M111:M116" si="3">(L111/K111)</f>
        <v>205.91597222222222</v>
      </c>
    </row>
    <row r="112" spans="1:16">
      <c r="A112" s="613"/>
      <c r="B112" s="613" t="s">
        <v>486</v>
      </c>
      <c r="C112" s="757">
        <v>5</v>
      </c>
      <c r="D112" s="608">
        <v>1231</v>
      </c>
      <c r="E112" s="608">
        <v>202205.59</v>
      </c>
      <c r="F112" s="613">
        <f t="shared" si="1"/>
        <v>164.26124289195775</v>
      </c>
      <c r="H112" s="758">
        <v>10</v>
      </c>
      <c r="I112" s="608">
        <f>(D115)</f>
        <v>1290</v>
      </c>
      <c r="J112" s="608">
        <f>(E115)</f>
        <v>839957.8</v>
      </c>
      <c r="K112" s="608">
        <f t="shared" si="2"/>
        <v>4668</v>
      </c>
      <c r="L112" s="608">
        <f t="shared" si="2"/>
        <v>1769055.96</v>
      </c>
      <c r="M112" s="615">
        <f t="shared" si="3"/>
        <v>378.97514138817479</v>
      </c>
      <c r="O112" s="704">
        <f>(D116)</f>
        <v>2789</v>
      </c>
      <c r="P112" s="704">
        <f>(E116)</f>
        <v>967853.7</v>
      </c>
    </row>
    <row r="113" spans="1:16">
      <c r="A113" s="613"/>
      <c r="B113" s="613" t="s">
        <v>487</v>
      </c>
      <c r="C113" s="757">
        <v>7.5</v>
      </c>
      <c r="D113" s="608">
        <v>216</v>
      </c>
      <c r="E113" s="608">
        <v>44477.85</v>
      </c>
      <c r="F113" s="613">
        <f t="shared" si="1"/>
        <v>205.91597222222222</v>
      </c>
      <c r="H113" s="758">
        <v>15</v>
      </c>
      <c r="I113" s="608">
        <f>(D117)</f>
        <v>3048</v>
      </c>
      <c r="J113" s="608">
        <f>(E117)</f>
        <v>2446321.59</v>
      </c>
      <c r="K113" s="608">
        <f>(D118)</f>
        <v>12284</v>
      </c>
      <c r="L113" s="608">
        <f>(E118)</f>
        <v>6565864.1500000004</v>
      </c>
      <c r="M113" s="615">
        <f t="shared" si="3"/>
        <v>534.50538505372845</v>
      </c>
      <c r="O113" s="704">
        <f>(D119)</f>
        <v>1483</v>
      </c>
      <c r="P113" s="704">
        <f>(E119)</f>
        <v>695485.29</v>
      </c>
    </row>
    <row r="114" spans="1:16">
      <c r="A114" s="613"/>
      <c r="B114" s="613" t="s">
        <v>488</v>
      </c>
      <c r="C114" s="757">
        <v>10</v>
      </c>
      <c r="D114" s="608">
        <v>4668</v>
      </c>
      <c r="E114" s="608">
        <v>1769055.96</v>
      </c>
      <c r="F114" s="613">
        <f t="shared" si="1"/>
        <v>378.97514138817479</v>
      </c>
      <c r="G114" s="615" t="s">
        <v>1</v>
      </c>
      <c r="H114" s="758">
        <v>25</v>
      </c>
      <c r="I114" s="608">
        <f>(D122)</f>
        <v>1709</v>
      </c>
      <c r="J114" s="608">
        <f>(E122)</f>
        <v>1416872.25</v>
      </c>
      <c r="K114" s="608">
        <f>(D120)</f>
        <v>6738</v>
      </c>
      <c r="L114" s="608">
        <f>(E120)</f>
        <v>4683795.1900000004</v>
      </c>
      <c r="M114" s="615">
        <f t="shared" si="3"/>
        <v>695.13137281092315</v>
      </c>
      <c r="O114" s="704">
        <f>(D121)</f>
        <v>304</v>
      </c>
      <c r="P114" s="704">
        <f>(E121)</f>
        <v>169846.57</v>
      </c>
    </row>
    <row r="115" spans="1:16">
      <c r="A115" s="613"/>
      <c r="B115" s="613" t="s">
        <v>396</v>
      </c>
      <c r="C115" s="757">
        <v>10</v>
      </c>
      <c r="D115" s="608">
        <v>1290</v>
      </c>
      <c r="E115" s="608">
        <v>839957.8</v>
      </c>
      <c r="F115" s="613">
        <f t="shared" si="1"/>
        <v>651.13007751937982</v>
      </c>
      <c r="G115" s="615" t="s">
        <v>1</v>
      </c>
      <c r="H115" s="758">
        <v>37.5</v>
      </c>
      <c r="I115" s="608">
        <f>(D124)</f>
        <v>203</v>
      </c>
      <c r="J115" s="608">
        <f>(E124)</f>
        <v>112392.57</v>
      </c>
      <c r="K115" s="608">
        <f>(D123)</f>
        <v>72</v>
      </c>
      <c r="L115" s="608">
        <f>(E123)</f>
        <v>56306.17</v>
      </c>
      <c r="M115" s="615">
        <f t="shared" si="3"/>
        <v>782.03013888888881</v>
      </c>
    </row>
    <row r="116" spans="1:16">
      <c r="A116" s="613"/>
      <c r="B116" s="613" t="s">
        <v>466</v>
      </c>
      <c r="C116" s="757">
        <v>10</v>
      </c>
      <c r="D116" s="608">
        <v>2789</v>
      </c>
      <c r="E116" s="608">
        <v>967853.7</v>
      </c>
      <c r="F116" s="613">
        <f t="shared" si="1"/>
        <v>347.0253495876658</v>
      </c>
      <c r="H116" s="608">
        <v>50</v>
      </c>
      <c r="I116" s="608">
        <f>(D126)</f>
        <v>1066</v>
      </c>
      <c r="J116" s="608">
        <f>(E126)</f>
        <v>1023519.78</v>
      </c>
      <c r="K116" s="608">
        <f>(D125)</f>
        <v>809</v>
      </c>
      <c r="L116" s="608">
        <f>(E125)</f>
        <v>739693.49</v>
      </c>
      <c r="M116" s="615">
        <f t="shared" si="3"/>
        <v>914.33064276885045</v>
      </c>
    </row>
    <row r="117" spans="1:16">
      <c r="A117" s="613"/>
      <c r="B117" s="613" t="s">
        <v>327</v>
      </c>
      <c r="C117" s="757">
        <v>15</v>
      </c>
      <c r="D117" s="608">
        <v>3048</v>
      </c>
      <c r="E117" s="608">
        <v>2446321.59</v>
      </c>
      <c r="F117" s="613">
        <f t="shared" si="1"/>
        <v>802.59894685039365</v>
      </c>
      <c r="G117" s="615" t="s">
        <v>1</v>
      </c>
      <c r="I117" s="615" t="s">
        <v>1</v>
      </c>
      <c r="J117" s="615" t="s">
        <v>1</v>
      </c>
      <c r="L117" s="608"/>
    </row>
    <row r="118" spans="1:16">
      <c r="A118" s="613"/>
      <c r="B118" s="613" t="s">
        <v>489</v>
      </c>
      <c r="C118" s="757">
        <v>15</v>
      </c>
      <c r="D118" s="608">
        <v>12284</v>
      </c>
      <c r="E118" s="608">
        <v>6565864.1500000004</v>
      </c>
      <c r="F118" s="613">
        <f t="shared" si="1"/>
        <v>534.50538505372845</v>
      </c>
      <c r="J118" s="615" t="s">
        <v>1</v>
      </c>
      <c r="L118" s="615" t="s">
        <v>1</v>
      </c>
    </row>
    <row r="119" spans="1:16">
      <c r="A119" s="613"/>
      <c r="B119" s="613" t="s">
        <v>467</v>
      </c>
      <c r="C119" s="757">
        <v>15</v>
      </c>
      <c r="D119" s="608">
        <v>1483</v>
      </c>
      <c r="E119" s="608">
        <v>695485.29</v>
      </c>
      <c r="F119" s="613">
        <f t="shared" si="1"/>
        <v>468.97187457855699</v>
      </c>
      <c r="I119" s="893" t="s">
        <v>532</v>
      </c>
      <c r="J119" s="893"/>
      <c r="L119" s="895" t="s">
        <v>15</v>
      </c>
      <c r="M119" s="895"/>
      <c r="N119" s="757" t="s">
        <v>221</v>
      </c>
    </row>
    <row r="120" spans="1:16">
      <c r="A120" s="613"/>
      <c r="B120" s="613" t="s">
        <v>404</v>
      </c>
      <c r="C120" s="757">
        <v>25</v>
      </c>
      <c r="D120" s="608">
        <v>6738</v>
      </c>
      <c r="E120" s="608">
        <v>4683795.1900000004</v>
      </c>
      <c r="F120" s="613">
        <f t="shared" si="1"/>
        <v>695.13137281092315</v>
      </c>
      <c r="I120" s="756" t="s">
        <v>124</v>
      </c>
      <c r="J120" s="756" t="s">
        <v>132</v>
      </c>
      <c r="L120" s="756" t="s">
        <v>124</v>
      </c>
      <c r="M120" s="756" t="s">
        <v>132</v>
      </c>
      <c r="N120" s="757" t="s">
        <v>212</v>
      </c>
    </row>
    <row r="121" spans="1:16">
      <c r="A121" s="613"/>
      <c r="B121" s="613" t="s">
        <v>468</v>
      </c>
      <c r="C121" s="757">
        <v>25</v>
      </c>
      <c r="D121" s="608">
        <v>304</v>
      </c>
      <c r="E121" s="615">
        <v>169846.57</v>
      </c>
      <c r="F121" s="615">
        <f t="shared" si="1"/>
        <v>558.70582236842108</v>
      </c>
      <c r="H121" s="758">
        <v>1.5</v>
      </c>
      <c r="L121" s="704">
        <f t="shared" ref="L121:M125" si="4">SUM(I108,K108,O108)</f>
        <v>551</v>
      </c>
      <c r="M121" s="704">
        <f t="shared" si="4"/>
        <v>39217.409999999996</v>
      </c>
      <c r="N121" s="759">
        <f t="shared" ref="N121:N129" si="5">(M121/L121)</f>
        <v>71.174972776769508</v>
      </c>
    </row>
    <row r="122" spans="1:16">
      <c r="A122" s="613"/>
      <c r="B122" s="613" t="s">
        <v>397</v>
      </c>
      <c r="C122" s="757">
        <v>25</v>
      </c>
      <c r="D122" s="608">
        <v>1709</v>
      </c>
      <c r="E122" s="704">
        <v>1416872.25</v>
      </c>
      <c r="F122" s="613">
        <f>(E122/D122)</f>
        <v>829.06509654768865</v>
      </c>
      <c r="H122" s="758">
        <v>3</v>
      </c>
      <c r="L122" s="704">
        <f t="shared" si="4"/>
        <v>882</v>
      </c>
      <c r="M122" s="704">
        <f t="shared" si="4"/>
        <v>99946.91</v>
      </c>
      <c r="N122" s="759">
        <f t="shared" si="5"/>
        <v>113.31849206349207</v>
      </c>
    </row>
    <row r="123" spans="1:16">
      <c r="A123" s="613"/>
      <c r="B123" s="613" t="s">
        <v>405</v>
      </c>
      <c r="C123" s="757">
        <v>37.5</v>
      </c>
      <c r="D123" s="608">
        <v>72</v>
      </c>
      <c r="E123" s="704">
        <v>56306.17</v>
      </c>
      <c r="F123" s="613">
        <f t="shared" si="1"/>
        <v>782.03013888888881</v>
      </c>
      <c r="H123" s="758">
        <v>5</v>
      </c>
      <c r="L123" s="704">
        <f t="shared" si="4"/>
        <v>2570</v>
      </c>
      <c r="M123" s="704">
        <f t="shared" si="4"/>
        <v>399062.08999999997</v>
      </c>
      <c r="N123" s="759">
        <f t="shared" si="5"/>
        <v>155.27707782101166</v>
      </c>
    </row>
    <row r="124" spans="1:16">
      <c r="A124" s="613"/>
      <c r="B124" s="613" t="s">
        <v>398</v>
      </c>
      <c r="C124" s="757">
        <v>37.5</v>
      </c>
      <c r="D124" s="608">
        <v>203</v>
      </c>
      <c r="E124" s="704">
        <v>112392.57</v>
      </c>
      <c r="F124" s="613">
        <f t="shared" si="1"/>
        <v>553.65798029556652</v>
      </c>
      <c r="H124" s="758">
        <v>7.5</v>
      </c>
      <c r="L124" s="704">
        <f t="shared" si="4"/>
        <v>216</v>
      </c>
      <c r="M124" s="704">
        <f t="shared" si="4"/>
        <v>44477.85</v>
      </c>
      <c r="N124" s="759">
        <f t="shared" si="5"/>
        <v>205.91597222222222</v>
      </c>
    </row>
    <row r="125" spans="1:16">
      <c r="A125" s="613"/>
      <c r="B125" s="613" t="s">
        <v>406</v>
      </c>
      <c r="C125" s="757">
        <v>50</v>
      </c>
      <c r="D125" s="608">
        <v>809</v>
      </c>
      <c r="E125" s="704">
        <v>739693.49</v>
      </c>
      <c r="F125" s="613">
        <f t="shared" si="1"/>
        <v>914.33064276885045</v>
      </c>
      <c r="H125" s="758">
        <v>10</v>
      </c>
      <c r="L125" s="704">
        <f t="shared" si="4"/>
        <v>8747</v>
      </c>
      <c r="M125" s="704">
        <f t="shared" si="4"/>
        <v>3576867.46</v>
      </c>
      <c r="N125" s="759">
        <f t="shared" si="5"/>
        <v>408.925055447582</v>
      </c>
    </row>
    <row r="126" spans="1:16">
      <c r="A126" s="613"/>
      <c r="B126" s="613" t="s">
        <v>399</v>
      </c>
      <c r="C126" s="757">
        <v>50</v>
      </c>
      <c r="D126" s="608">
        <v>1066</v>
      </c>
      <c r="E126" s="704">
        <v>1023519.78</v>
      </c>
      <c r="F126" s="613">
        <f t="shared" si="1"/>
        <v>960.14988742964351</v>
      </c>
      <c r="H126" s="758">
        <v>15</v>
      </c>
      <c r="I126" s="608">
        <f>(D148)</f>
        <v>23</v>
      </c>
      <c r="J126" s="608">
        <f>(E148)</f>
        <v>31338.42</v>
      </c>
      <c r="L126" s="704">
        <f t="shared" ref="L126:M129" si="6">SUM(I113,K113,O113)+I126</f>
        <v>16838</v>
      </c>
      <c r="M126" s="704">
        <f t="shared" si="6"/>
        <v>9739009.4500000011</v>
      </c>
      <c r="N126" s="759">
        <f t="shared" si="5"/>
        <v>578.39466979451242</v>
      </c>
    </row>
    <row r="127" spans="1:16">
      <c r="A127" s="613"/>
      <c r="B127" s="613" t="s">
        <v>400</v>
      </c>
      <c r="C127" s="757">
        <v>75</v>
      </c>
      <c r="D127" s="608">
        <v>181</v>
      </c>
      <c r="E127" s="704">
        <v>243914.23999999999</v>
      </c>
      <c r="F127" s="613">
        <f t="shared" si="1"/>
        <v>1347.5924861878452</v>
      </c>
      <c r="H127" s="758">
        <v>25</v>
      </c>
      <c r="I127" s="608">
        <f t="shared" ref="I127:J129" si="7">(D149)</f>
        <v>2476</v>
      </c>
      <c r="J127" s="608">
        <f t="shared" si="7"/>
        <v>3287784.23</v>
      </c>
      <c r="L127" s="704">
        <f t="shared" si="6"/>
        <v>11227</v>
      </c>
      <c r="M127" s="704">
        <f t="shared" si="6"/>
        <v>9558298.2400000002</v>
      </c>
      <c r="N127" s="759">
        <f t="shared" si="5"/>
        <v>851.36708292509127</v>
      </c>
    </row>
    <row r="128" spans="1:16">
      <c r="A128" s="613"/>
      <c r="B128" s="613" t="s">
        <v>401</v>
      </c>
      <c r="C128" s="757">
        <v>100</v>
      </c>
      <c r="D128" s="607">
        <v>77</v>
      </c>
      <c r="E128" s="607">
        <v>156788.9</v>
      </c>
      <c r="F128" s="613">
        <f t="shared" si="1"/>
        <v>2036.2194805194804</v>
      </c>
      <c r="H128" s="758">
        <v>37.5</v>
      </c>
      <c r="I128" s="608">
        <f t="shared" si="7"/>
        <v>48</v>
      </c>
      <c r="J128" s="608">
        <f t="shared" si="7"/>
        <v>39712.25</v>
      </c>
      <c r="L128" s="704">
        <f t="shared" si="6"/>
        <v>323</v>
      </c>
      <c r="M128" s="704">
        <f t="shared" si="6"/>
        <v>208410.99</v>
      </c>
      <c r="N128" s="759">
        <f t="shared" si="5"/>
        <v>645.23526315789468</v>
      </c>
    </row>
    <row r="129" spans="1:14">
      <c r="A129" s="613"/>
      <c r="B129" s="613" t="s">
        <v>402</v>
      </c>
      <c r="C129" s="757">
        <v>167</v>
      </c>
      <c r="D129" s="607">
        <v>44</v>
      </c>
      <c r="E129" s="607">
        <v>93800.83</v>
      </c>
      <c r="F129" s="613">
        <f t="shared" si="1"/>
        <v>2131.8370454545457</v>
      </c>
      <c r="H129" s="608">
        <v>50</v>
      </c>
      <c r="I129" s="608">
        <f t="shared" si="7"/>
        <v>2344</v>
      </c>
      <c r="J129" s="608">
        <f t="shared" si="7"/>
        <v>3505309.52</v>
      </c>
      <c r="L129" s="704">
        <f t="shared" si="6"/>
        <v>4219</v>
      </c>
      <c r="M129" s="704">
        <f t="shared" si="6"/>
        <v>5268522.79</v>
      </c>
      <c r="N129" s="759">
        <f t="shared" si="5"/>
        <v>1248.7610310500118</v>
      </c>
    </row>
    <row r="130" spans="1:14">
      <c r="A130" s="613"/>
      <c r="B130" s="613" t="s">
        <v>484</v>
      </c>
      <c r="C130" s="757">
        <v>250</v>
      </c>
      <c r="D130" s="607">
        <v>4</v>
      </c>
      <c r="E130" s="607">
        <v>14768</v>
      </c>
      <c r="F130" s="613">
        <f t="shared" si="1"/>
        <v>3692</v>
      </c>
      <c r="L130" s="613"/>
    </row>
    <row r="131" spans="1:14">
      <c r="A131" s="613"/>
      <c r="B131" s="613" t="s">
        <v>465</v>
      </c>
      <c r="C131" s="757">
        <v>300</v>
      </c>
      <c r="D131" s="607">
        <v>2</v>
      </c>
      <c r="E131" s="608">
        <v>12538.63</v>
      </c>
      <c r="F131" s="613">
        <f t="shared" si="1"/>
        <v>6269.3149999999996</v>
      </c>
      <c r="L131" s="613"/>
    </row>
    <row r="132" spans="1:14">
      <c r="A132" s="613"/>
      <c r="B132" s="613" t="s">
        <v>469</v>
      </c>
      <c r="C132" s="757">
        <v>333</v>
      </c>
      <c r="D132" s="607">
        <v>7</v>
      </c>
      <c r="E132" s="608">
        <v>24072.94</v>
      </c>
      <c r="F132" s="613">
        <f t="shared" si="1"/>
        <v>3438.9914285714285</v>
      </c>
      <c r="L132" s="613"/>
    </row>
    <row r="133" spans="1:14" s="614" customFormat="1">
      <c r="A133" s="613"/>
      <c r="B133" s="613"/>
      <c r="C133" s="757"/>
      <c r="D133" s="608"/>
      <c r="E133" s="615"/>
      <c r="F133" s="613"/>
      <c r="H133" s="608"/>
      <c r="K133" s="608"/>
    </row>
    <row r="134" spans="1:14" s="614" customFormat="1" ht="15.75">
      <c r="A134" s="886" t="s">
        <v>313</v>
      </c>
      <c r="B134" s="886"/>
      <c r="C134" s="886"/>
      <c r="D134" s="886"/>
      <c r="E134" s="886"/>
      <c r="F134" s="886"/>
      <c r="H134" s="608"/>
      <c r="K134" s="608"/>
    </row>
    <row r="135" spans="1:14" s="614" customFormat="1" ht="15.75" thickBot="1">
      <c r="A135" s="613"/>
      <c r="B135" s="613"/>
      <c r="D135" s="608"/>
      <c r="E135" s="615"/>
      <c r="F135" s="613"/>
      <c r="H135" s="608"/>
      <c r="K135" s="608"/>
    </row>
    <row r="136" spans="1:14" s="614" customFormat="1" ht="15.75">
      <c r="A136" s="613"/>
      <c r="B136" s="613"/>
      <c r="C136" s="751" t="s">
        <v>289</v>
      </c>
      <c r="D136" s="752" t="s">
        <v>119</v>
      </c>
      <c r="E136" s="751" t="s">
        <v>15</v>
      </c>
      <c r="F136" s="751" t="s">
        <v>277</v>
      </c>
      <c r="H136" s="608"/>
      <c r="K136" s="608"/>
    </row>
    <row r="137" spans="1:14" s="614" customFormat="1" ht="16.5" thickBot="1">
      <c r="A137" s="613"/>
      <c r="B137" s="631" t="s">
        <v>288</v>
      </c>
      <c r="C137" s="754" t="s">
        <v>290</v>
      </c>
      <c r="D137" s="755" t="s">
        <v>270</v>
      </c>
      <c r="E137" s="754" t="s">
        <v>212</v>
      </c>
      <c r="F137" s="754" t="s">
        <v>212</v>
      </c>
      <c r="H137" s="608"/>
      <c r="K137" s="608"/>
    </row>
    <row r="138" spans="1:14" s="614" customFormat="1">
      <c r="A138" s="613"/>
      <c r="B138" s="756" t="s">
        <v>490</v>
      </c>
      <c r="C138" s="760">
        <v>25</v>
      </c>
      <c r="D138" s="624">
        <v>2</v>
      </c>
      <c r="E138" s="624">
        <v>957.78</v>
      </c>
      <c r="F138" s="621">
        <f>(E138/D138)</f>
        <v>478.89</v>
      </c>
      <c r="H138" s="608"/>
      <c r="K138" s="608"/>
    </row>
    <row r="139" spans="1:14" s="614" customFormat="1">
      <c r="A139" s="613"/>
      <c r="B139" s="756" t="s">
        <v>491</v>
      </c>
      <c r="C139" s="760">
        <v>50</v>
      </c>
      <c r="D139" s="624">
        <v>5</v>
      </c>
      <c r="E139" s="624">
        <v>5054.09</v>
      </c>
      <c r="F139" s="621">
        <f>(E139/D139)</f>
        <v>1010.818</v>
      </c>
      <c r="H139" s="608"/>
      <c r="K139" s="608"/>
    </row>
    <row r="140" spans="1:14" s="614" customFormat="1">
      <c r="A140" s="613"/>
      <c r="B140" s="756" t="s">
        <v>518</v>
      </c>
      <c r="C140" s="760">
        <v>500</v>
      </c>
      <c r="D140" s="624">
        <v>5</v>
      </c>
      <c r="E140" s="624">
        <v>25813.22</v>
      </c>
      <c r="F140" s="621">
        <f>(E140/D140)</f>
        <v>5162.6440000000002</v>
      </c>
      <c r="H140" s="608"/>
      <c r="K140" s="608"/>
    </row>
    <row r="141" spans="1:14" s="614" customFormat="1">
      <c r="A141" s="613"/>
      <c r="B141" s="756" t="s">
        <v>492</v>
      </c>
      <c r="C141" s="760">
        <v>750</v>
      </c>
      <c r="D141" s="624">
        <v>2</v>
      </c>
      <c r="E141" s="624">
        <v>9314.84</v>
      </c>
      <c r="F141" s="621">
        <f>(E141/D141)</f>
        <v>4657.42</v>
      </c>
      <c r="H141" s="608"/>
      <c r="K141" s="608"/>
    </row>
    <row r="142" spans="1:14" s="614" customFormat="1">
      <c r="A142" s="613"/>
      <c r="B142" s="756" t="s">
        <v>493</v>
      </c>
      <c r="C142" s="760">
        <v>500</v>
      </c>
      <c r="D142" s="624">
        <v>6</v>
      </c>
      <c r="E142" s="624">
        <v>48148.23</v>
      </c>
      <c r="F142" s="621">
        <f t="shared" ref="F142:F155" si="8">(E142/D142)</f>
        <v>8024.7050000000008</v>
      </c>
      <c r="H142" s="608"/>
      <c r="K142" s="608"/>
    </row>
    <row r="143" spans="1:14" s="614" customFormat="1">
      <c r="A143" s="613"/>
      <c r="B143" s="756" t="s">
        <v>519</v>
      </c>
      <c r="C143" s="760">
        <v>167</v>
      </c>
      <c r="D143" s="624">
        <v>8</v>
      </c>
      <c r="E143" s="624">
        <v>24090.69</v>
      </c>
      <c r="F143" s="621">
        <f t="shared" si="8"/>
        <v>3011.3362499999998</v>
      </c>
      <c r="H143" s="608"/>
      <c r="K143" s="608"/>
    </row>
    <row r="144" spans="1:14" s="614" customFormat="1">
      <c r="A144" s="613"/>
      <c r="B144" s="756" t="s">
        <v>520</v>
      </c>
      <c r="C144" s="760">
        <v>200</v>
      </c>
      <c r="D144" s="624">
        <v>1</v>
      </c>
      <c r="E144" s="624">
        <v>4260.2299999999996</v>
      </c>
      <c r="F144" s="621">
        <f t="shared" si="8"/>
        <v>4260.2299999999996</v>
      </c>
      <c r="H144" s="608"/>
      <c r="K144" s="608"/>
    </row>
    <row r="145" spans="1:11" s="614" customFormat="1">
      <c r="A145" s="613"/>
      <c r="B145" s="756" t="s">
        <v>521</v>
      </c>
      <c r="C145" s="760">
        <v>1500</v>
      </c>
      <c r="D145" s="624">
        <v>1</v>
      </c>
      <c r="E145" s="624">
        <v>7108.76</v>
      </c>
      <c r="F145" s="621">
        <f t="shared" si="8"/>
        <v>7108.76</v>
      </c>
      <c r="H145" s="608"/>
      <c r="K145" s="608"/>
    </row>
    <row r="146" spans="1:11" s="614" customFormat="1">
      <c r="A146" s="613"/>
      <c r="B146" s="756" t="s">
        <v>522</v>
      </c>
      <c r="C146" s="760">
        <v>2500</v>
      </c>
      <c r="D146" s="624">
        <v>3</v>
      </c>
      <c r="E146" s="624">
        <v>32023.37</v>
      </c>
      <c r="F146" s="621">
        <f t="shared" si="8"/>
        <v>10674.456666666667</v>
      </c>
      <c r="H146" s="608"/>
      <c r="K146" s="608"/>
    </row>
    <row r="147" spans="1:11" s="614" customFormat="1">
      <c r="A147" s="613"/>
      <c r="B147" s="756" t="s">
        <v>523</v>
      </c>
      <c r="C147" s="760">
        <v>1000</v>
      </c>
      <c r="D147" s="624">
        <v>16</v>
      </c>
      <c r="E147" s="624">
        <v>207684.75</v>
      </c>
      <c r="F147" s="621">
        <f t="shared" si="8"/>
        <v>12980.296875</v>
      </c>
      <c r="H147" s="608"/>
      <c r="K147" s="608"/>
    </row>
    <row r="148" spans="1:11" s="614" customFormat="1">
      <c r="A148" s="613"/>
      <c r="B148" s="756" t="s">
        <v>524</v>
      </c>
      <c r="C148" s="760">
        <v>15</v>
      </c>
      <c r="D148" s="624">
        <v>23</v>
      </c>
      <c r="E148" s="624">
        <v>31338.42</v>
      </c>
      <c r="F148" s="621">
        <f t="shared" si="8"/>
        <v>1362.54</v>
      </c>
      <c r="H148" s="608"/>
      <c r="K148" s="608"/>
    </row>
    <row r="149" spans="1:11" s="614" customFormat="1">
      <c r="A149" s="613"/>
      <c r="B149" s="756" t="s">
        <v>525</v>
      </c>
      <c r="C149" s="760">
        <v>25</v>
      </c>
      <c r="D149" s="624">
        <v>2476</v>
      </c>
      <c r="E149" s="624">
        <v>3287784.23</v>
      </c>
      <c r="F149" s="621">
        <f t="shared" si="8"/>
        <v>1327.8611591276251</v>
      </c>
      <c r="H149" s="608"/>
      <c r="K149" s="608"/>
    </row>
    <row r="150" spans="1:11" s="614" customFormat="1">
      <c r="A150" s="613"/>
      <c r="B150" s="756" t="s">
        <v>526</v>
      </c>
      <c r="C150" s="760">
        <v>37.5</v>
      </c>
      <c r="D150" s="624">
        <v>48</v>
      </c>
      <c r="E150" s="624">
        <v>39712.25</v>
      </c>
      <c r="F150" s="621">
        <f t="shared" si="8"/>
        <v>827.33854166666663</v>
      </c>
      <c r="H150" s="608"/>
      <c r="K150" s="608"/>
    </row>
    <row r="151" spans="1:11" s="614" customFormat="1">
      <c r="A151" s="613"/>
      <c r="B151" s="756" t="s">
        <v>527</v>
      </c>
      <c r="C151" s="757">
        <v>50</v>
      </c>
      <c r="D151" s="624">
        <v>2344</v>
      </c>
      <c r="E151" s="624">
        <v>3505309.52</v>
      </c>
      <c r="F151" s="621">
        <f t="shared" si="8"/>
        <v>1495.439215017065</v>
      </c>
      <c r="H151" s="608"/>
      <c r="K151" s="608"/>
    </row>
    <row r="152" spans="1:11" s="614" customFormat="1">
      <c r="A152" s="613"/>
      <c r="B152" s="756" t="s">
        <v>528</v>
      </c>
      <c r="C152" s="760">
        <v>75</v>
      </c>
      <c r="D152" s="624">
        <v>181</v>
      </c>
      <c r="E152" s="621">
        <v>453994.07</v>
      </c>
      <c r="F152" s="621">
        <f t="shared" si="8"/>
        <v>2508.2545303867405</v>
      </c>
      <c r="H152" s="608"/>
      <c r="K152" s="608"/>
    </row>
    <row r="153" spans="1:11" s="614" customFormat="1">
      <c r="A153" s="613"/>
      <c r="B153" s="756" t="s">
        <v>529</v>
      </c>
      <c r="C153" s="760">
        <v>300</v>
      </c>
      <c r="D153" s="624">
        <v>48</v>
      </c>
      <c r="E153" s="621">
        <v>370104.65</v>
      </c>
      <c r="F153" s="621">
        <f t="shared" si="8"/>
        <v>7710.5135416666672</v>
      </c>
      <c r="H153" s="608"/>
      <c r="K153" s="608"/>
    </row>
    <row r="154" spans="1:11" s="614" customFormat="1">
      <c r="A154" s="613"/>
      <c r="B154" s="756" t="s">
        <v>530</v>
      </c>
      <c r="C154" s="760">
        <v>75</v>
      </c>
      <c r="D154" s="624">
        <v>37</v>
      </c>
      <c r="E154" s="621">
        <v>148797.20000000001</v>
      </c>
      <c r="F154" s="621">
        <f t="shared" si="8"/>
        <v>4021.5459459459462</v>
      </c>
      <c r="H154" s="608"/>
      <c r="K154" s="608"/>
    </row>
    <row r="155" spans="1:11" s="614" customFormat="1">
      <c r="A155" s="613"/>
      <c r="B155" s="756" t="s">
        <v>531</v>
      </c>
      <c r="C155" s="760">
        <v>1500</v>
      </c>
      <c r="D155" s="624">
        <v>9</v>
      </c>
      <c r="E155" s="621">
        <v>187635.61</v>
      </c>
      <c r="F155" s="621">
        <f t="shared" si="8"/>
        <v>20848.40111111111</v>
      </c>
      <c r="H155" s="608"/>
      <c r="K155" s="608"/>
    </row>
    <row r="156" spans="1:11" s="614" customFormat="1">
      <c r="A156" s="613"/>
      <c r="B156" s="613"/>
      <c r="D156" s="628"/>
      <c r="E156" s="692"/>
      <c r="F156" s="621" t="s">
        <v>1</v>
      </c>
      <c r="H156" s="608"/>
      <c r="K156" s="608"/>
    </row>
    <row r="157" spans="1:11" s="614" customFormat="1">
      <c r="A157" s="613"/>
      <c r="B157" s="614" t="s">
        <v>407</v>
      </c>
      <c r="C157" s="614" t="s">
        <v>1</v>
      </c>
      <c r="D157" s="608">
        <f>SUM(D108:D132)+SUM(D138:D156)</f>
        <v>46212</v>
      </c>
      <c r="E157" s="608">
        <f>SUM(E108:E137)</f>
        <v>22615552.309999999</v>
      </c>
      <c r="F157" s="613" t="s">
        <v>1</v>
      </c>
      <c r="H157" s="608"/>
      <c r="K157" s="608"/>
    </row>
    <row r="158" spans="1:11" s="614" customFormat="1" ht="15.75">
      <c r="A158" s="613"/>
      <c r="B158" s="614" t="s">
        <v>408</v>
      </c>
      <c r="D158" s="761"/>
      <c r="E158" s="761">
        <f>E160-E157</f>
        <v>-21819720.439999998</v>
      </c>
      <c r="F158" s="704" t="s">
        <v>1</v>
      </c>
      <c r="G158" s="762" t="s">
        <v>1</v>
      </c>
      <c r="H158" s="608"/>
      <c r="K158" s="608"/>
    </row>
    <row r="159" spans="1:11" s="614" customFormat="1">
      <c r="A159" s="613"/>
      <c r="D159" s="763"/>
      <c r="E159" s="763"/>
      <c r="F159" s="704"/>
      <c r="H159" s="608"/>
      <c r="K159" s="608"/>
    </row>
    <row r="160" spans="1:11" s="614" customFormat="1">
      <c r="A160" s="613"/>
      <c r="B160" s="614" t="s">
        <v>15</v>
      </c>
      <c r="D160" s="763"/>
      <c r="E160" s="763">
        <f>545699.04+250132.83</f>
        <v>795831.87</v>
      </c>
      <c r="F160" s="704"/>
      <c r="H160" s="608"/>
      <c r="K160" s="608"/>
    </row>
    <row r="161" spans="1:11" s="614" customFormat="1">
      <c r="A161" s="613"/>
      <c r="B161" s="613" t="s">
        <v>1</v>
      </c>
      <c r="C161" s="614" t="s">
        <v>1</v>
      </c>
      <c r="D161" s="607" t="s">
        <v>1</v>
      </c>
      <c r="E161" s="609" t="s">
        <v>1</v>
      </c>
      <c r="F161" s="613" t="s">
        <v>1</v>
      </c>
      <c r="H161" s="608"/>
      <c r="K161" s="608"/>
    </row>
    <row r="162" spans="1:11" s="614" customFormat="1" ht="15.75">
      <c r="B162" s="639" t="s">
        <v>197</v>
      </c>
      <c r="D162" s="704"/>
      <c r="E162" s="704"/>
      <c r="H162" s="608"/>
      <c r="K162" s="608"/>
    </row>
    <row r="163" spans="1:11" s="614" customFormat="1" ht="15.75" thickBot="1">
      <c r="D163" s="704"/>
      <c r="E163" s="704"/>
      <c r="H163" s="608"/>
      <c r="K163" s="608"/>
    </row>
    <row r="164" spans="1:11" s="614" customFormat="1">
      <c r="B164" s="764" t="s">
        <v>373</v>
      </c>
      <c r="C164" s="641" t="s">
        <v>409</v>
      </c>
      <c r="D164" s="765" t="s">
        <v>389</v>
      </c>
      <c r="E164" s="765"/>
      <c r="F164" s="711"/>
      <c r="H164" s="608"/>
      <c r="K164" s="608"/>
    </row>
    <row r="165" spans="1:11" s="614" customFormat="1">
      <c r="B165" s="696" t="s">
        <v>319</v>
      </c>
      <c r="C165" s="766" t="s">
        <v>1</v>
      </c>
      <c r="D165" s="609">
        <f>INDEX(LINEST(D180:D187,C180:C187),2)</f>
        <v>147.17382910371066</v>
      </c>
      <c r="E165" s="763"/>
      <c r="F165" s="767" t="str">
        <f>C165</f>
        <v xml:space="preserve"> </v>
      </c>
      <c r="H165" s="608"/>
      <c r="K165" s="608"/>
    </row>
    <row r="166" spans="1:11" s="614" customFormat="1" ht="15.75" thickBot="1">
      <c r="B166" s="768" t="s">
        <v>410</v>
      </c>
      <c r="C166" s="769" t="s">
        <v>1</v>
      </c>
      <c r="D166" s="634">
        <f>INDEX(LINEST(D179:D185,C179:C185),1)</f>
        <v>28.019969684379092</v>
      </c>
      <c r="E166" s="636"/>
      <c r="F166" s="770" t="str">
        <f>C166</f>
        <v xml:space="preserve"> </v>
      </c>
      <c r="H166" s="608"/>
      <c r="K166" s="608"/>
    </row>
    <row r="167" spans="1:11" s="614" customFormat="1">
      <c r="B167" s="640" t="s">
        <v>1</v>
      </c>
      <c r="C167" s="641"/>
      <c r="D167" s="641"/>
      <c r="E167" s="694" t="s">
        <v>494</v>
      </c>
      <c r="F167" s="695" t="s">
        <v>1</v>
      </c>
      <c r="H167" s="608"/>
      <c r="K167" s="608"/>
    </row>
    <row r="168" spans="1:11" s="614" customFormat="1">
      <c r="B168" s="620" t="s">
        <v>254</v>
      </c>
      <c r="C168" s="613"/>
      <c r="D168" s="613"/>
      <c r="E168" s="773">
        <f>D165</f>
        <v>147.17382910371066</v>
      </c>
      <c r="F168" s="771" t="str">
        <f>(F165)</f>
        <v xml:space="preserve"> </v>
      </c>
      <c r="H168" s="608"/>
      <c r="K168" s="608"/>
    </row>
    <row r="169" spans="1:11" s="614" customFormat="1">
      <c r="B169" s="620" t="s">
        <v>268</v>
      </c>
      <c r="C169" s="613"/>
      <c r="D169" s="613"/>
      <c r="E169" s="607">
        <f>(D157)</f>
        <v>46212</v>
      </c>
      <c r="F169" s="648" t="s">
        <v>1</v>
      </c>
      <c r="H169" s="608"/>
      <c r="K169" s="608"/>
    </row>
    <row r="170" spans="1:11" s="614" customFormat="1">
      <c r="B170" s="620" t="s">
        <v>136</v>
      </c>
      <c r="C170" s="613"/>
      <c r="D170" s="613"/>
      <c r="E170" s="607">
        <f>(E168*E169)</f>
        <v>6801196.9905406768</v>
      </c>
      <c r="F170" s="648" t="s">
        <v>1</v>
      </c>
      <c r="H170" s="608"/>
      <c r="K170" s="608"/>
    </row>
    <row r="171" spans="1:11" s="614" customFormat="1">
      <c r="B171" s="620" t="s">
        <v>306</v>
      </c>
      <c r="C171" s="613"/>
      <c r="D171" s="613"/>
      <c r="E171" s="607">
        <f>('2.22Rate Base'!I13)</f>
        <v>32641389.259999998</v>
      </c>
      <c r="F171" s="649" t="s">
        <v>1</v>
      </c>
      <c r="H171" s="608"/>
      <c r="K171" s="608"/>
    </row>
    <row r="172" spans="1:11" s="614" customFormat="1" ht="15.75">
      <c r="B172" s="629" t="s">
        <v>137</v>
      </c>
      <c r="C172" s="611"/>
      <c r="D172" s="611"/>
      <c r="E172" s="612">
        <f>(E170/E171)</f>
        <v>0.20836113733906303</v>
      </c>
      <c r="F172" s="650" t="s">
        <v>1</v>
      </c>
      <c r="H172" s="608"/>
      <c r="K172" s="608"/>
    </row>
    <row r="173" spans="1:11" s="614" customFormat="1" ht="16.5" thickBot="1">
      <c r="B173" s="651" t="s">
        <v>138</v>
      </c>
      <c r="C173" s="652"/>
      <c r="D173" s="652"/>
      <c r="E173" s="706">
        <f>(1-E172)</f>
        <v>0.79163886266093697</v>
      </c>
      <c r="F173" s="654" t="s">
        <v>1</v>
      </c>
      <c r="H173" s="608"/>
      <c r="K173" s="608"/>
    </row>
    <row r="174" spans="1:11" s="614" customFormat="1">
      <c r="D174" s="704"/>
      <c r="E174" s="704"/>
      <c r="H174" s="608"/>
      <c r="K174" s="608"/>
    </row>
    <row r="175" spans="1:11" s="614" customFormat="1" ht="15.75">
      <c r="A175" s="887" t="s">
        <v>287</v>
      </c>
      <c r="B175" s="887"/>
      <c r="C175" s="887"/>
      <c r="D175" s="887"/>
      <c r="E175" s="887"/>
      <c r="F175" s="887"/>
      <c r="H175" s="608"/>
      <c r="K175" s="608"/>
    </row>
    <row r="176" spans="1:11" s="614" customFormat="1" ht="15.75" thickBot="1">
      <c r="H176" s="608"/>
      <c r="K176" s="608"/>
    </row>
    <row r="177" spans="1:12" s="614" customFormat="1">
      <c r="A177" s="615"/>
      <c r="B177" s="640" t="s">
        <v>681</v>
      </c>
      <c r="C177" s="641"/>
      <c r="D177" s="641"/>
      <c r="E177" s="641" t="s">
        <v>1</v>
      </c>
      <c r="F177" s="695" t="s">
        <v>494</v>
      </c>
      <c r="H177" s="608"/>
      <c r="K177" s="608"/>
    </row>
    <row r="178" spans="1:12" s="614" customFormat="1">
      <c r="A178" s="615"/>
      <c r="B178" s="620"/>
      <c r="C178" s="613" t="s">
        <v>371</v>
      </c>
      <c r="D178" s="609" t="s">
        <v>372</v>
      </c>
      <c r="E178" s="609" t="s">
        <v>1</v>
      </c>
      <c r="F178" s="772" t="s">
        <v>495</v>
      </c>
      <c r="H178" s="608"/>
      <c r="K178" s="608"/>
    </row>
    <row r="179" spans="1:12" s="614" customFormat="1">
      <c r="A179" s="615"/>
      <c r="B179" s="620" t="s">
        <v>509</v>
      </c>
      <c r="C179" s="613">
        <v>1.5</v>
      </c>
      <c r="D179" s="722">
        <f t="shared" ref="D179:D187" si="9">(M108)</f>
        <v>77.40604347826087</v>
      </c>
      <c r="E179" s="613" t="s">
        <v>1</v>
      </c>
      <c r="F179" s="716">
        <f t="shared" ref="F179:F187" si="10">$D$165+$D$166*C179</f>
        <v>189.2037836302793</v>
      </c>
      <c r="H179" s="608"/>
      <c r="K179" s="608"/>
    </row>
    <row r="180" spans="1:12" s="614" customFormat="1">
      <c r="A180" s="615"/>
      <c r="B180" s="620" t="s">
        <v>510</v>
      </c>
      <c r="C180" s="613">
        <v>3</v>
      </c>
      <c r="D180" s="722">
        <f t="shared" si="9"/>
        <v>113.31849206349207</v>
      </c>
      <c r="E180" s="613" t="s">
        <v>1</v>
      </c>
      <c r="F180" s="716">
        <f t="shared" si="10"/>
        <v>231.23373815684795</v>
      </c>
      <c r="H180" s="608"/>
      <c r="I180" s="614" t="s">
        <v>1</v>
      </c>
      <c r="K180" s="608"/>
    </row>
    <row r="181" spans="1:12" s="614" customFormat="1">
      <c r="A181" s="615"/>
      <c r="B181" s="620" t="s">
        <v>511</v>
      </c>
      <c r="C181" s="613">
        <v>5</v>
      </c>
      <c r="D181" s="722">
        <f t="shared" si="9"/>
        <v>164.26124289195775</v>
      </c>
      <c r="E181" s="613" t="s">
        <v>1</v>
      </c>
      <c r="F181" s="716">
        <f t="shared" si="10"/>
        <v>287.2736775256061</v>
      </c>
      <c r="H181" s="608"/>
      <c r="K181" s="608"/>
    </row>
    <row r="182" spans="1:12" s="614" customFormat="1">
      <c r="A182" s="615"/>
      <c r="B182" s="620" t="s">
        <v>517</v>
      </c>
      <c r="C182" s="613">
        <v>7.5</v>
      </c>
      <c r="D182" s="722">
        <f t="shared" si="9"/>
        <v>205.91597222222222</v>
      </c>
      <c r="E182" s="613" t="s">
        <v>1</v>
      </c>
      <c r="F182" s="716">
        <f t="shared" si="10"/>
        <v>357.32360173655388</v>
      </c>
      <c r="H182" s="608"/>
      <c r="K182" s="608"/>
    </row>
    <row r="183" spans="1:12" s="614" customFormat="1">
      <c r="A183" s="615"/>
      <c r="B183" s="620" t="s">
        <v>512</v>
      </c>
      <c r="C183" s="613">
        <v>10</v>
      </c>
      <c r="D183" s="722">
        <f t="shared" si="9"/>
        <v>378.97514138817479</v>
      </c>
      <c r="E183" s="613" t="s">
        <v>1</v>
      </c>
      <c r="F183" s="716">
        <f t="shared" si="10"/>
        <v>427.37352594750155</v>
      </c>
      <c r="H183" s="608"/>
      <c r="K183" s="608"/>
    </row>
    <row r="184" spans="1:12" s="614" customFormat="1">
      <c r="A184" s="615"/>
      <c r="B184" s="620" t="s">
        <v>513</v>
      </c>
      <c r="C184" s="613">
        <v>15</v>
      </c>
      <c r="D184" s="722">
        <f t="shared" si="9"/>
        <v>534.50538505372845</v>
      </c>
      <c r="E184" s="613" t="s">
        <v>1</v>
      </c>
      <c r="F184" s="716">
        <f t="shared" si="10"/>
        <v>567.47337436939711</v>
      </c>
      <c r="H184" s="608"/>
      <c r="K184" s="608"/>
    </row>
    <row r="185" spans="1:12" s="614" customFormat="1">
      <c r="A185" s="615"/>
      <c r="B185" s="620" t="s">
        <v>514</v>
      </c>
      <c r="C185" s="613">
        <v>25</v>
      </c>
      <c r="D185" s="722">
        <f t="shared" si="9"/>
        <v>695.13137281092315</v>
      </c>
      <c r="E185" s="613" t="s">
        <v>1</v>
      </c>
      <c r="F185" s="716">
        <f t="shared" si="10"/>
        <v>847.673071213188</v>
      </c>
      <c r="H185" s="608"/>
      <c r="K185" s="608"/>
    </row>
    <row r="186" spans="1:12" s="614" customFormat="1">
      <c r="A186" s="615"/>
      <c r="B186" s="620" t="s">
        <v>515</v>
      </c>
      <c r="C186" s="613">
        <v>37.5</v>
      </c>
      <c r="D186" s="722">
        <f t="shared" si="9"/>
        <v>782.03013888888881</v>
      </c>
      <c r="E186" s="613" t="s">
        <v>1</v>
      </c>
      <c r="F186" s="716">
        <f t="shared" si="10"/>
        <v>1197.9226922679265</v>
      </c>
      <c r="H186" s="608"/>
      <c r="K186" s="608"/>
    </row>
    <row r="187" spans="1:12" s="614" customFormat="1" ht="15.75" thickBot="1">
      <c r="A187" s="615"/>
      <c r="B187" s="747" t="s">
        <v>516</v>
      </c>
      <c r="C187" s="774">
        <v>50</v>
      </c>
      <c r="D187" s="775">
        <f t="shared" si="9"/>
        <v>914.33064276885045</v>
      </c>
      <c r="E187" s="774" t="s">
        <v>1</v>
      </c>
      <c r="F187" s="721">
        <f t="shared" si="10"/>
        <v>1548.1723133226653</v>
      </c>
      <c r="H187" s="608"/>
      <c r="K187" s="608"/>
    </row>
    <row r="188" spans="1:12" s="614" customFormat="1">
      <c r="A188" s="615"/>
      <c r="B188" s="615"/>
      <c r="C188" s="615" t="s">
        <v>1</v>
      </c>
      <c r="H188" s="608"/>
      <c r="K188" s="608"/>
    </row>
    <row r="189" spans="1:12">
      <c r="A189" s="614"/>
      <c r="B189" s="614"/>
      <c r="C189" s="614"/>
      <c r="D189" s="614"/>
      <c r="E189" s="614"/>
      <c r="F189" s="614"/>
      <c r="G189" s="609"/>
      <c r="H189" s="607"/>
      <c r="I189" s="609"/>
      <c r="J189" s="609"/>
      <c r="K189" s="607"/>
      <c r="L189" s="613"/>
    </row>
    <row r="190" spans="1:12">
      <c r="A190" s="614"/>
      <c r="B190" s="614"/>
      <c r="C190" s="614"/>
      <c r="D190" s="614"/>
      <c r="E190" s="614"/>
      <c r="F190" s="614"/>
      <c r="G190" s="609"/>
      <c r="H190" s="607"/>
      <c r="I190" s="609"/>
      <c r="J190" s="609"/>
      <c r="K190" s="607"/>
      <c r="L190" s="613"/>
    </row>
    <row r="191" spans="1:12">
      <c r="A191" s="614"/>
      <c r="B191" s="614"/>
      <c r="C191" s="614"/>
      <c r="D191" s="614"/>
      <c r="E191" s="614"/>
      <c r="F191" s="614"/>
      <c r="G191" s="609"/>
      <c r="H191" s="607"/>
      <c r="I191" s="609"/>
      <c r="J191" s="609"/>
      <c r="K191" s="607"/>
      <c r="L191" s="613"/>
    </row>
    <row r="192" spans="1:12">
      <c r="A192" s="614"/>
      <c r="B192" s="614"/>
      <c r="C192" s="614"/>
      <c r="D192" s="614"/>
      <c r="E192" s="614"/>
      <c r="F192" s="614"/>
      <c r="G192" s="609"/>
      <c r="H192" s="607"/>
      <c r="I192" s="609"/>
      <c r="J192" s="609"/>
      <c r="K192" s="607"/>
      <c r="L192" s="613"/>
    </row>
    <row r="193" spans="1:12">
      <c r="A193" s="614"/>
      <c r="B193" s="614"/>
      <c r="C193" s="614"/>
      <c r="D193" s="614"/>
      <c r="E193" s="614"/>
      <c r="F193" s="614"/>
      <c r="G193" s="609"/>
      <c r="H193" s="607"/>
      <c r="I193" s="609"/>
      <c r="J193" s="609"/>
      <c r="K193" s="607"/>
      <c r="L193" s="613"/>
    </row>
    <row r="194" spans="1:12">
      <c r="A194" s="614"/>
      <c r="B194" s="614"/>
      <c r="C194" s="614"/>
      <c r="D194" s="614"/>
      <c r="E194" s="614"/>
      <c r="F194" s="614"/>
      <c r="G194" s="609"/>
      <c r="H194" s="607"/>
      <c r="I194" s="609"/>
      <c r="J194" s="609"/>
      <c r="K194" s="607"/>
      <c r="L194" s="613"/>
    </row>
    <row r="195" spans="1:12">
      <c r="A195" s="614"/>
      <c r="B195" s="614"/>
      <c r="C195" s="614"/>
      <c r="D195" s="614"/>
      <c r="E195" s="614"/>
      <c r="F195" s="614"/>
      <c r="G195" s="609"/>
      <c r="H195" s="607"/>
      <c r="I195" s="609"/>
      <c r="J195" s="609"/>
      <c r="K195" s="607"/>
      <c r="L195" s="613"/>
    </row>
    <row r="196" spans="1:12">
      <c r="A196" s="614"/>
      <c r="B196" s="614"/>
      <c r="C196" s="614"/>
      <c r="D196" s="614"/>
      <c r="E196" s="614"/>
      <c r="F196" s="614"/>
      <c r="G196" s="609"/>
      <c r="H196" s="607"/>
      <c r="I196" s="609"/>
      <c r="J196" s="609"/>
      <c r="K196" s="607"/>
      <c r="L196" s="613"/>
    </row>
    <row r="197" spans="1:12">
      <c r="A197" s="614"/>
      <c r="B197" s="614"/>
      <c r="C197" s="614"/>
      <c r="D197" s="614"/>
      <c r="E197" s="614"/>
      <c r="F197" s="614"/>
      <c r="G197" s="609"/>
      <c r="H197" s="607"/>
      <c r="I197" s="609"/>
      <c r="J197" s="609"/>
      <c r="K197" s="607"/>
      <c r="L197" s="613"/>
    </row>
    <row r="198" spans="1:12">
      <c r="A198" s="614"/>
      <c r="B198" s="614"/>
      <c r="C198" s="614"/>
      <c r="D198" s="614"/>
      <c r="E198" s="614"/>
      <c r="F198" s="614"/>
      <c r="G198" s="609"/>
      <c r="H198" s="607"/>
      <c r="I198" s="609"/>
      <c r="J198" s="609"/>
      <c r="K198" s="607"/>
      <c r="L198" s="613"/>
    </row>
    <row r="199" spans="1:12">
      <c r="A199" s="614"/>
      <c r="B199" s="614"/>
      <c r="C199" s="614"/>
      <c r="D199" s="614"/>
      <c r="E199" s="614"/>
      <c r="F199" s="614"/>
      <c r="G199" s="609"/>
      <c r="H199" s="607"/>
      <c r="I199" s="609"/>
      <c r="J199" s="609"/>
      <c r="K199" s="607"/>
      <c r="L199" s="613"/>
    </row>
    <row r="200" spans="1:12">
      <c r="A200" s="614"/>
      <c r="B200" s="614"/>
      <c r="C200" s="614"/>
      <c r="D200" s="614"/>
      <c r="E200" s="614"/>
      <c r="F200" s="614"/>
      <c r="G200" s="609"/>
      <c r="H200" s="607"/>
      <c r="I200" s="609"/>
      <c r="J200" s="609"/>
      <c r="K200" s="607"/>
      <c r="L200" s="613"/>
    </row>
    <row r="201" spans="1:12">
      <c r="A201" s="614"/>
      <c r="B201" s="614"/>
      <c r="C201" s="614"/>
      <c r="D201" s="614"/>
      <c r="E201" s="614"/>
      <c r="F201" s="614"/>
      <c r="G201" s="609"/>
      <c r="H201" s="607"/>
      <c r="I201" s="609"/>
      <c r="J201" s="609"/>
      <c r="K201" s="607"/>
      <c r="L201" s="613"/>
    </row>
    <row r="202" spans="1:12">
      <c r="A202" s="614"/>
      <c r="B202" s="614"/>
      <c r="C202" s="614"/>
      <c r="D202" s="614"/>
      <c r="E202" s="614"/>
      <c r="F202" s="614"/>
      <c r="G202" s="609"/>
      <c r="H202" s="607"/>
      <c r="I202" s="609"/>
      <c r="J202" s="609"/>
      <c r="K202" s="607"/>
      <c r="L202" s="613"/>
    </row>
    <row r="203" spans="1:12">
      <c r="A203" s="614"/>
      <c r="B203" s="614"/>
      <c r="C203" s="614"/>
      <c r="D203" s="614"/>
      <c r="E203" s="614"/>
      <c r="F203" s="614"/>
      <c r="G203" s="609"/>
      <c r="H203" s="607"/>
      <c r="I203" s="609"/>
      <c r="J203" s="609"/>
      <c r="K203" s="607"/>
      <c r="L203" s="613"/>
    </row>
    <row r="204" spans="1:12">
      <c r="A204" s="614"/>
      <c r="B204" s="614"/>
      <c r="C204" s="614"/>
      <c r="D204" s="614"/>
      <c r="E204" s="614"/>
      <c r="F204" s="614"/>
      <c r="G204" s="609"/>
      <c r="H204" s="607"/>
      <c r="I204" s="609"/>
      <c r="J204" s="609"/>
      <c r="K204" s="607"/>
      <c r="L204" s="613"/>
    </row>
    <row r="205" spans="1:12">
      <c r="A205" s="614"/>
      <c r="B205" s="614"/>
      <c r="C205" s="614"/>
      <c r="D205" s="614"/>
      <c r="E205" s="614"/>
      <c r="F205" s="614"/>
      <c r="G205" s="609"/>
      <c r="H205" s="607"/>
      <c r="I205" s="609"/>
      <c r="J205" s="609"/>
      <c r="K205" s="607"/>
      <c r="L205" s="613"/>
    </row>
    <row r="206" spans="1:12">
      <c r="A206" s="614"/>
      <c r="B206" s="614"/>
      <c r="C206" s="614"/>
      <c r="D206" s="614"/>
      <c r="E206" s="614"/>
      <c r="F206" s="614"/>
      <c r="G206" s="609"/>
      <c r="H206" s="607"/>
      <c r="I206" s="609"/>
      <c r="J206" s="609"/>
      <c r="K206" s="607"/>
      <c r="L206" s="613"/>
    </row>
    <row r="207" spans="1:12">
      <c r="A207" s="614"/>
      <c r="B207" s="614"/>
      <c r="C207" s="614"/>
      <c r="D207" s="614"/>
      <c r="E207" s="614"/>
      <c r="F207" s="614"/>
      <c r="G207" s="609"/>
      <c r="H207" s="607"/>
      <c r="I207" s="609"/>
      <c r="J207" s="609"/>
      <c r="K207" s="607"/>
      <c r="L207" s="613"/>
    </row>
    <row r="208" spans="1:12">
      <c r="A208" s="614"/>
      <c r="B208" s="614"/>
      <c r="C208" s="614"/>
      <c r="D208" s="614"/>
      <c r="E208" s="614"/>
      <c r="F208" s="614"/>
      <c r="G208" s="609"/>
      <c r="H208" s="607"/>
      <c r="I208" s="609"/>
      <c r="J208" s="609"/>
      <c r="K208" s="607"/>
      <c r="L208" s="613"/>
    </row>
    <row r="209" spans="1:12">
      <c r="A209" s="614"/>
      <c r="B209" s="614"/>
      <c r="C209" s="614"/>
      <c r="D209" s="614"/>
      <c r="E209" s="614"/>
      <c r="F209" s="614"/>
      <c r="G209" s="613"/>
      <c r="H209" s="607"/>
      <c r="I209" s="613"/>
      <c r="J209" s="613"/>
      <c r="K209" s="607"/>
      <c r="L209" s="613"/>
    </row>
    <row r="210" spans="1:12">
      <c r="A210" s="614"/>
      <c r="B210" s="614"/>
      <c r="C210" s="614"/>
      <c r="D210" s="614"/>
      <c r="E210" s="614"/>
      <c r="F210" s="614"/>
      <c r="G210" s="613"/>
      <c r="H210" s="607"/>
      <c r="I210" s="613"/>
      <c r="J210" s="613"/>
      <c r="K210" s="607"/>
      <c r="L210" s="613"/>
    </row>
    <row r="211" spans="1:12">
      <c r="A211" s="614"/>
      <c r="B211" s="614"/>
      <c r="C211" s="614"/>
      <c r="D211" s="614"/>
      <c r="E211" s="614"/>
      <c r="F211" s="614"/>
      <c r="G211" s="613"/>
      <c r="H211" s="607"/>
      <c r="I211" s="613"/>
      <c r="J211" s="613"/>
      <c r="K211" s="607"/>
      <c r="L211" s="613"/>
    </row>
    <row r="212" spans="1:12">
      <c r="A212" s="614"/>
      <c r="B212" s="614"/>
      <c r="C212" s="614"/>
      <c r="D212" s="614"/>
      <c r="E212" s="614"/>
      <c r="F212" s="614"/>
      <c r="G212" s="613"/>
      <c r="H212" s="607"/>
      <c r="I212" s="613"/>
      <c r="J212" s="613"/>
      <c r="K212" s="607"/>
      <c r="L212" s="613"/>
    </row>
    <row r="213" spans="1:12">
      <c r="A213" s="614"/>
      <c r="B213" s="614"/>
      <c r="C213" s="614"/>
      <c r="D213" s="614"/>
      <c r="E213" s="614"/>
      <c r="F213" s="614"/>
      <c r="G213" s="613"/>
      <c r="H213" s="607"/>
      <c r="I213" s="613"/>
      <c r="J213" s="613"/>
      <c r="K213" s="607"/>
      <c r="L213" s="613"/>
    </row>
    <row r="214" spans="1:12">
      <c r="A214" s="614"/>
      <c r="B214" s="614"/>
      <c r="C214" s="614"/>
      <c r="D214" s="614"/>
      <c r="E214" s="614"/>
      <c r="F214" s="614"/>
      <c r="G214" s="613"/>
      <c r="H214" s="607"/>
      <c r="I214" s="613"/>
      <c r="J214" s="613"/>
      <c r="K214" s="607"/>
      <c r="L214" s="613"/>
    </row>
    <row r="215" spans="1:12">
      <c r="A215" s="614"/>
      <c r="B215" s="614"/>
      <c r="C215" s="614"/>
      <c r="D215" s="614"/>
      <c r="E215" s="614"/>
      <c r="F215" s="614"/>
      <c r="G215" s="613"/>
      <c r="H215" s="607"/>
      <c r="I215" s="613"/>
      <c r="J215" s="613"/>
      <c r="K215" s="607"/>
      <c r="L215" s="613"/>
    </row>
    <row r="216" spans="1:12">
      <c r="A216" s="614"/>
      <c r="B216" s="614"/>
      <c r="C216" s="614"/>
      <c r="D216" s="614"/>
      <c r="E216" s="614"/>
      <c r="F216" s="614"/>
      <c r="G216" s="613"/>
      <c r="H216" s="607"/>
      <c r="I216" s="613"/>
      <c r="J216" s="613"/>
      <c r="K216" s="607"/>
      <c r="L216" s="613"/>
    </row>
    <row r="217" spans="1:12">
      <c r="B217" s="609"/>
      <c r="C217" s="609"/>
      <c r="D217" s="609"/>
      <c r="E217" s="609"/>
      <c r="F217" s="609"/>
      <c r="G217" s="613"/>
      <c r="H217" s="607"/>
      <c r="I217" s="613"/>
      <c r="J217" s="613"/>
      <c r="K217" s="607"/>
      <c r="L217" s="613"/>
    </row>
    <row r="218" spans="1:12">
      <c r="B218" s="609"/>
      <c r="C218" s="609"/>
      <c r="D218" s="609"/>
      <c r="E218" s="609"/>
      <c r="F218" s="609"/>
      <c r="G218" s="613"/>
      <c r="H218" s="607"/>
      <c r="I218" s="613"/>
      <c r="J218" s="613"/>
      <c r="K218" s="607"/>
      <c r="L218" s="613"/>
    </row>
    <row r="219" spans="1:12">
      <c r="B219" s="609"/>
      <c r="C219" s="609"/>
      <c r="D219" s="609"/>
      <c r="E219" s="609"/>
      <c r="F219" s="609"/>
      <c r="G219" s="613"/>
      <c r="H219" s="607"/>
      <c r="I219" s="613"/>
      <c r="J219" s="613"/>
      <c r="K219" s="607"/>
      <c r="L219" s="613"/>
    </row>
    <row r="220" spans="1:12">
      <c r="B220" s="609"/>
      <c r="C220" s="609"/>
      <c r="D220" s="609"/>
      <c r="E220" s="609"/>
      <c r="F220" s="609"/>
      <c r="G220" s="613"/>
      <c r="H220" s="607"/>
      <c r="I220" s="613"/>
      <c r="J220" s="613"/>
      <c r="K220" s="607"/>
      <c r="L220" s="613"/>
    </row>
    <row r="221" spans="1:12">
      <c r="B221" s="609"/>
      <c r="C221" s="609"/>
      <c r="D221" s="609"/>
      <c r="E221" s="609"/>
      <c r="F221" s="609"/>
      <c r="G221" s="613"/>
      <c r="H221" s="607"/>
      <c r="I221" s="613"/>
      <c r="J221" s="613"/>
      <c r="K221" s="607"/>
      <c r="L221" s="613"/>
    </row>
    <row r="222" spans="1:12">
      <c r="B222" s="609"/>
      <c r="C222" s="609"/>
      <c r="D222" s="609"/>
      <c r="E222" s="609"/>
      <c r="F222" s="609"/>
      <c r="G222" s="613"/>
      <c r="H222" s="607"/>
      <c r="I222" s="613"/>
      <c r="J222" s="613"/>
      <c r="K222" s="607"/>
      <c r="L222" s="613"/>
    </row>
    <row r="223" spans="1:12">
      <c r="B223" s="609"/>
      <c r="C223" s="609"/>
      <c r="D223" s="609"/>
      <c r="E223" s="609"/>
      <c r="F223" s="609"/>
      <c r="G223" s="613"/>
      <c r="H223" s="607"/>
      <c r="I223" s="613"/>
      <c r="J223" s="613"/>
      <c r="K223" s="607"/>
      <c r="L223" s="613"/>
    </row>
    <row r="224" spans="1:12">
      <c r="B224" s="609"/>
      <c r="C224" s="609"/>
      <c r="D224" s="609"/>
      <c r="E224" s="609"/>
      <c r="F224" s="609"/>
      <c r="G224" s="613"/>
      <c r="H224" s="607"/>
      <c r="I224" s="613"/>
      <c r="J224" s="613"/>
      <c r="K224" s="607"/>
      <c r="L224" s="613"/>
    </row>
    <row r="225" spans="2:12">
      <c r="B225" s="609"/>
      <c r="C225" s="609"/>
      <c r="D225" s="609"/>
      <c r="E225" s="609"/>
      <c r="F225" s="609"/>
      <c r="G225" s="613"/>
      <c r="H225" s="607"/>
      <c r="I225" s="613"/>
      <c r="J225" s="613"/>
      <c r="K225" s="607"/>
      <c r="L225" s="613"/>
    </row>
    <row r="226" spans="2:12">
      <c r="B226" s="609"/>
      <c r="C226" s="609"/>
      <c r="D226" s="609"/>
      <c r="E226" s="609"/>
      <c r="F226" s="609"/>
      <c r="G226" s="613"/>
      <c r="H226" s="607"/>
      <c r="I226" s="613"/>
      <c r="J226" s="613"/>
      <c r="K226" s="607"/>
      <c r="L226" s="613"/>
    </row>
    <row r="227" spans="2:12">
      <c r="B227" s="609"/>
      <c r="C227" s="609"/>
      <c r="D227" s="609"/>
      <c r="E227" s="609"/>
      <c r="F227" s="609"/>
      <c r="G227" s="613"/>
      <c r="H227" s="607"/>
      <c r="I227" s="613"/>
      <c r="J227" s="613"/>
      <c r="K227" s="607"/>
      <c r="L227" s="613"/>
    </row>
    <row r="228" spans="2:12">
      <c r="B228" s="609"/>
      <c r="C228" s="609"/>
      <c r="D228" s="609"/>
      <c r="E228" s="609"/>
      <c r="F228" s="609"/>
      <c r="G228" s="613"/>
      <c r="H228" s="607"/>
      <c r="I228" s="613"/>
      <c r="J228" s="613"/>
      <c r="K228" s="607"/>
      <c r="L228" s="613"/>
    </row>
    <row r="229" spans="2:12">
      <c r="B229" s="609"/>
      <c r="C229" s="609"/>
      <c r="D229" s="609"/>
      <c r="E229" s="609"/>
      <c r="F229" s="609"/>
      <c r="G229" s="613"/>
      <c r="H229" s="607"/>
      <c r="I229" s="613"/>
      <c r="J229" s="613"/>
      <c r="K229" s="607"/>
      <c r="L229" s="613"/>
    </row>
    <row r="230" spans="2:12">
      <c r="B230" s="609"/>
      <c r="C230" s="609"/>
      <c r="D230" s="609"/>
      <c r="E230" s="609"/>
      <c r="F230" s="609"/>
      <c r="G230" s="613"/>
      <c r="H230" s="607"/>
      <c r="I230" s="613"/>
      <c r="J230" s="613"/>
      <c r="K230" s="607"/>
      <c r="L230" s="613"/>
    </row>
    <row r="231" spans="2:12">
      <c r="B231" s="609"/>
      <c r="C231" s="609"/>
      <c r="D231" s="609"/>
      <c r="E231" s="609"/>
      <c r="F231" s="609"/>
      <c r="G231" s="613"/>
      <c r="H231" s="607"/>
      <c r="I231" s="613"/>
      <c r="J231" s="613"/>
      <c r="K231" s="607"/>
      <c r="L231" s="613"/>
    </row>
    <row r="232" spans="2:12">
      <c r="B232" s="609"/>
      <c r="C232" s="609"/>
      <c r="D232" s="609"/>
      <c r="E232" s="609"/>
      <c r="F232" s="609"/>
      <c r="G232" s="613"/>
      <c r="H232" s="607"/>
      <c r="I232" s="613"/>
      <c r="J232" s="613"/>
      <c r="K232" s="607"/>
      <c r="L232" s="613"/>
    </row>
    <row r="233" spans="2:12">
      <c r="B233" s="609"/>
      <c r="C233" s="609"/>
      <c r="D233" s="609"/>
      <c r="E233" s="609"/>
      <c r="F233" s="609"/>
      <c r="G233" s="613"/>
      <c r="H233" s="607"/>
      <c r="I233" s="613"/>
      <c r="J233" s="613"/>
      <c r="K233" s="607"/>
      <c r="L233" s="613"/>
    </row>
    <row r="234" spans="2:12">
      <c r="B234" s="609"/>
      <c r="C234" s="609"/>
      <c r="D234" s="609"/>
      <c r="E234" s="609"/>
      <c r="F234" s="609"/>
      <c r="G234" s="613"/>
      <c r="H234" s="607"/>
      <c r="I234" s="613"/>
      <c r="J234" s="613"/>
      <c r="K234" s="607"/>
      <c r="L234" s="613"/>
    </row>
    <row r="235" spans="2:12">
      <c r="B235" s="609"/>
      <c r="C235" s="609"/>
      <c r="D235" s="609"/>
      <c r="E235" s="609"/>
      <c r="F235" s="609"/>
      <c r="G235" s="613"/>
      <c r="H235" s="607"/>
      <c r="I235" s="613"/>
      <c r="J235" s="613"/>
      <c r="K235" s="607"/>
      <c r="L235" s="613"/>
    </row>
    <row r="236" spans="2:12">
      <c r="B236" s="609"/>
      <c r="C236" s="609"/>
      <c r="D236" s="609"/>
      <c r="E236" s="609"/>
      <c r="F236" s="609"/>
      <c r="G236" s="613"/>
      <c r="H236" s="607"/>
      <c r="I236" s="613"/>
      <c r="J236" s="613"/>
      <c r="K236" s="607"/>
      <c r="L236" s="613"/>
    </row>
    <row r="237" spans="2:12">
      <c r="B237" s="609"/>
      <c r="C237" s="609"/>
      <c r="D237" s="609"/>
      <c r="E237" s="609"/>
      <c r="F237" s="609"/>
      <c r="G237" s="613"/>
      <c r="H237" s="607"/>
      <c r="I237" s="613"/>
      <c r="J237" s="613"/>
      <c r="K237" s="607"/>
      <c r="L237" s="613"/>
    </row>
    <row r="238" spans="2:12">
      <c r="B238" s="609"/>
      <c r="C238" s="609"/>
      <c r="D238" s="609"/>
      <c r="E238" s="609"/>
      <c r="F238" s="609"/>
      <c r="G238" s="613"/>
      <c r="H238" s="607"/>
      <c r="I238" s="613"/>
      <c r="J238" s="613"/>
      <c r="K238" s="607"/>
      <c r="L238" s="613"/>
    </row>
    <row r="239" spans="2:12">
      <c r="B239" s="609"/>
      <c r="C239" s="609"/>
      <c r="D239" s="609"/>
      <c r="E239" s="609"/>
      <c r="F239" s="609"/>
      <c r="G239" s="613"/>
      <c r="I239" s="613"/>
      <c r="J239" s="613"/>
      <c r="K239" s="607"/>
      <c r="L239" s="613"/>
    </row>
    <row r="240" spans="2:12">
      <c r="B240" s="609"/>
      <c r="C240" s="609"/>
      <c r="D240" s="609"/>
      <c r="E240" s="609"/>
      <c r="F240" s="609"/>
      <c r="G240" s="613"/>
      <c r="I240" s="613"/>
      <c r="J240" s="613"/>
      <c r="K240" s="607"/>
      <c r="L240" s="613"/>
    </row>
    <row r="241" spans="2:6">
      <c r="B241" s="609"/>
      <c r="C241" s="609"/>
      <c r="D241" s="609"/>
      <c r="E241" s="609"/>
      <c r="F241" s="609"/>
    </row>
    <row r="242" spans="2:6">
      <c r="B242" s="609"/>
      <c r="C242" s="609"/>
      <c r="D242" s="609"/>
      <c r="E242" s="609"/>
      <c r="F242" s="609"/>
    </row>
    <row r="243" spans="2:6">
      <c r="B243" s="609"/>
      <c r="C243" s="609"/>
      <c r="D243" s="609"/>
      <c r="E243" s="609"/>
      <c r="F243" s="609"/>
    </row>
    <row r="244" spans="2:6">
      <c r="B244" s="609"/>
      <c r="C244" s="609"/>
      <c r="D244" s="609"/>
      <c r="E244" s="609"/>
      <c r="F244" s="609"/>
    </row>
    <row r="245" spans="2:6">
      <c r="B245" s="609"/>
      <c r="C245" s="609"/>
      <c r="D245" s="609"/>
      <c r="E245" s="609"/>
      <c r="F245" s="609"/>
    </row>
    <row r="246" spans="2:6">
      <c r="B246" s="609"/>
      <c r="C246" s="609"/>
      <c r="D246" s="609"/>
      <c r="E246" s="609"/>
      <c r="F246" s="609"/>
    </row>
    <row r="247" spans="2:6">
      <c r="B247" s="609"/>
      <c r="C247" s="609"/>
      <c r="D247" s="609"/>
      <c r="E247" s="609"/>
      <c r="F247" s="609"/>
    </row>
    <row r="248" spans="2:6">
      <c r="B248" s="609"/>
      <c r="C248" s="609"/>
      <c r="D248" s="609"/>
      <c r="E248" s="609"/>
      <c r="F248" s="609"/>
    </row>
    <row r="249" spans="2:6">
      <c r="B249" s="613"/>
      <c r="C249" s="613"/>
      <c r="D249" s="613"/>
      <c r="E249" s="613"/>
      <c r="F249" s="613"/>
    </row>
    <row r="250" spans="2:6">
      <c r="B250" s="613"/>
      <c r="C250" s="613"/>
      <c r="D250" s="613"/>
      <c r="E250" s="613"/>
      <c r="F250" s="613"/>
    </row>
    <row r="251" spans="2:6">
      <c r="B251" s="613"/>
      <c r="C251" s="613"/>
      <c r="D251" s="613"/>
      <c r="E251" s="613"/>
      <c r="F251" s="613"/>
    </row>
    <row r="252" spans="2:6">
      <c r="B252" s="613"/>
      <c r="C252" s="613"/>
      <c r="D252" s="613"/>
      <c r="E252" s="613"/>
      <c r="F252" s="613"/>
    </row>
    <row r="253" spans="2:6">
      <c r="B253" s="613"/>
      <c r="C253" s="613"/>
      <c r="D253" s="613"/>
      <c r="E253" s="613"/>
      <c r="F253" s="613"/>
    </row>
    <row r="254" spans="2:6">
      <c r="B254" s="613"/>
      <c r="C254" s="613"/>
      <c r="D254" s="613"/>
      <c r="E254" s="613"/>
      <c r="F254" s="613"/>
    </row>
    <row r="255" spans="2:6">
      <c r="B255" s="613"/>
      <c r="C255" s="613"/>
      <c r="D255" s="613"/>
      <c r="E255" s="613"/>
      <c r="F255" s="613"/>
    </row>
    <row r="256" spans="2:6">
      <c r="B256" s="613"/>
      <c r="C256" s="613"/>
      <c r="D256" s="613"/>
      <c r="E256" s="613"/>
      <c r="F256" s="613"/>
    </row>
    <row r="257" spans="2:6">
      <c r="B257" s="613"/>
      <c r="C257" s="613"/>
      <c r="D257" s="613"/>
      <c r="E257" s="613"/>
      <c r="F257" s="613"/>
    </row>
    <row r="258" spans="2:6">
      <c r="B258" s="613"/>
      <c r="C258" s="613"/>
      <c r="D258" s="613"/>
      <c r="E258" s="613"/>
      <c r="F258" s="613"/>
    </row>
    <row r="259" spans="2:6">
      <c r="B259" s="613"/>
      <c r="C259" s="613"/>
      <c r="D259" s="613"/>
      <c r="E259" s="613"/>
      <c r="F259" s="613"/>
    </row>
    <row r="260" spans="2:6">
      <c r="B260" s="613"/>
      <c r="C260" s="613"/>
      <c r="D260" s="613"/>
      <c r="E260" s="613"/>
      <c r="F260" s="613"/>
    </row>
    <row r="261" spans="2:6">
      <c r="B261" s="613"/>
      <c r="C261" s="613"/>
      <c r="D261" s="613"/>
      <c r="E261" s="613"/>
      <c r="F261" s="613"/>
    </row>
    <row r="262" spans="2:6">
      <c r="B262" s="613"/>
      <c r="C262" s="613"/>
      <c r="D262" s="613"/>
      <c r="E262" s="613"/>
      <c r="F262" s="613"/>
    </row>
    <row r="263" spans="2:6">
      <c r="B263" s="613"/>
      <c r="C263" s="613"/>
      <c r="D263" s="613"/>
      <c r="E263" s="613"/>
      <c r="F263" s="613"/>
    </row>
    <row r="264" spans="2:6">
      <c r="B264" s="613"/>
      <c r="C264" s="613"/>
      <c r="D264" s="613"/>
      <c r="E264" s="613"/>
      <c r="F264" s="613"/>
    </row>
    <row r="265" spans="2:6">
      <c r="B265" s="613"/>
      <c r="C265" s="613"/>
      <c r="D265" s="613"/>
      <c r="E265" s="613"/>
      <c r="F265" s="613"/>
    </row>
    <row r="266" spans="2:6">
      <c r="B266" s="613"/>
      <c r="C266" s="613"/>
      <c r="D266" s="613"/>
      <c r="E266" s="613"/>
      <c r="F266" s="613"/>
    </row>
    <row r="267" spans="2:6">
      <c r="B267" s="613"/>
      <c r="C267" s="613"/>
      <c r="D267" s="613"/>
      <c r="E267" s="613"/>
      <c r="F267" s="613"/>
    </row>
    <row r="268" spans="2:6">
      <c r="B268" s="613"/>
      <c r="C268" s="613"/>
      <c r="D268" s="613"/>
      <c r="E268" s="613"/>
      <c r="F268" s="613"/>
    </row>
    <row r="269" spans="2:6">
      <c r="B269" s="613"/>
      <c r="C269" s="613"/>
      <c r="D269" s="613"/>
      <c r="E269" s="613"/>
      <c r="F269" s="613"/>
    </row>
    <row r="270" spans="2:6">
      <c r="B270" s="613"/>
      <c r="C270" s="613"/>
      <c r="D270" s="613"/>
      <c r="E270" s="613"/>
      <c r="F270" s="613"/>
    </row>
    <row r="271" spans="2:6">
      <c r="B271" s="613"/>
      <c r="C271" s="613"/>
      <c r="D271" s="613"/>
      <c r="E271" s="613"/>
      <c r="F271" s="613"/>
    </row>
    <row r="272" spans="2:6">
      <c r="B272" s="613"/>
      <c r="C272" s="613"/>
      <c r="D272" s="613"/>
      <c r="E272" s="613"/>
      <c r="F272" s="613"/>
    </row>
    <row r="273" spans="2:6">
      <c r="B273" s="613"/>
      <c r="C273" s="613"/>
      <c r="D273" s="613"/>
      <c r="E273" s="613"/>
      <c r="F273" s="613"/>
    </row>
    <row r="274" spans="2:6">
      <c r="B274" s="613"/>
      <c r="C274" s="613"/>
      <c r="D274" s="613"/>
      <c r="E274" s="613"/>
      <c r="F274" s="613"/>
    </row>
    <row r="275" spans="2:6">
      <c r="B275" s="613"/>
      <c r="C275" s="613"/>
      <c r="D275" s="613"/>
      <c r="E275" s="613"/>
      <c r="F275" s="613"/>
    </row>
    <row r="276" spans="2:6">
      <c r="B276" s="613"/>
      <c r="C276" s="613"/>
      <c r="D276" s="613"/>
      <c r="E276" s="613"/>
      <c r="F276" s="613"/>
    </row>
    <row r="277" spans="2:6">
      <c r="B277" s="613"/>
      <c r="C277" s="613"/>
      <c r="D277" s="613"/>
      <c r="E277" s="613"/>
      <c r="F277" s="613"/>
    </row>
    <row r="278" spans="2:6">
      <c r="B278" s="613"/>
      <c r="C278" s="613"/>
      <c r="D278" s="613"/>
      <c r="E278" s="613"/>
      <c r="F278" s="613"/>
    </row>
    <row r="279" spans="2:6">
      <c r="B279" s="613"/>
      <c r="C279" s="613"/>
      <c r="D279" s="613"/>
      <c r="E279" s="613"/>
      <c r="F279" s="613"/>
    </row>
    <row r="280" spans="2:6">
      <c r="B280" s="613"/>
      <c r="C280" s="613"/>
      <c r="D280" s="613"/>
      <c r="E280" s="613"/>
      <c r="F280" s="613"/>
    </row>
  </sheetData>
  <customSheetViews>
    <customSheetView guid="{18050E3F-BBF0-4BF6-9B33-B0817BE1B1C5}" scale="60" showPageBreaks="1" printArea="1" view="pageBreakPreview" showRuler="0">
      <selection activeCell="D290" sqref="D290"/>
      <rowBreaks count="8" manualBreakCount="8">
        <brk id="34" max="5" man="1"/>
        <brk id="76" max="5" man="1"/>
        <brk id="99" max="5" man="1"/>
        <brk id="139" max="5" man="1"/>
        <brk id="170" max="5" man="1"/>
        <brk id="209" max="5" man="1"/>
        <brk id="243" max="5" man="1"/>
        <brk id="297" max="5" man="1"/>
      </rowBreaks>
      <pageMargins left="0.75" right="0.75" top="1" bottom="1" header="0.5" footer="0.5"/>
      <printOptions horizontalCentered="1" verticalCentered="1" gridLines="1"/>
      <pageSetup scale="70" pageOrder="overThenDown" orientation="landscape" horizontalDpi="4294967293" r:id="rId1"/>
      <headerFooter alignWithMargins="0">
        <oddHeader>&amp;C&amp;"Arial,Bold"&amp;12MEADE COUNTY RECC
CASE NO. 2010-00222
DEMAND AND CONSUMER RELATED INVESTMENTS&amp;R&amp;11Exhibit R 
Schedule 3.1
Page ____ of ____
Witness:  Jim Adkins</oddHeader>
      </headerFooter>
    </customSheetView>
  </customSheetViews>
  <mergeCells count="12">
    <mergeCell ref="I106:J106"/>
    <mergeCell ref="K106:L106"/>
    <mergeCell ref="O106:P106"/>
    <mergeCell ref="L119:M119"/>
    <mergeCell ref="I119:J119"/>
    <mergeCell ref="A104:F104"/>
    <mergeCell ref="A134:F134"/>
    <mergeCell ref="A175:F175"/>
    <mergeCell ref="A1:F1"/>
    <mergeCell ref="D29:F29"/>
    <mergeCell ref="C94:D94"/>
    <mergeCell ref="A42:F42"/>
  </mergeCells>
  <phoneticPr fontId="3" type="noConversion"/>
  <printOptions horizontalCentered="1" verticalCentered="1" gridLines="1"/>
  <pageMargins left="0.75" right="0.75" top="1" bottom="1" header="0.5" footer="0.5"/>
  <pageSetup scale="76" pageOrder="overThenDown" orientation="landscape" horizontalDpi="4294967293" r:id="rId2"/>
  <headerFooter alignWithMargins="0">
    <oddHeader>&amp;C&amp;"Arial,Bold"&amp;12BLUE GRASS ENERGY COOPERATIVE
CASE NO. 2014-00339
DEMAND AND CONSUMER RELATED INVESTMENTS&amp;R&amp;11Revised Exhibit R 
Schedule 3.1
Page ____ of ____
Witness:  Jim Adkins</oddHeader>
  </headerFooter>
  <rowBreaks count="6" manualBreakCount="6">
    <brk id="40" max="5" man="1"/>
    <brk id="76" max="5" man="1"/>
    <brk id="102" max="5" man="1"/>
    <brk id="132" max="5" man="1"/>
    <brk id="161" max="5" man="1"/>
    <brk id="200" max="5" man="1"/>
  </row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82"/>
  <sheetViews>
    <sheetView tabSelected="1" view="pageBreakPreview" zoomScale="60" zoomScaleNormal="130" workbookViewId="0">
      <pane xSplit="3" topLeftCell="D1" activePane="topRight" state="frozen"/>
      <selection pane="topRight" activeCell="Q37" sqref="Q36:Q37"/>
    </sheetView>
  </sheetViews>
  <sheetFormatPr defaultColWidth="13" defaultRowHeight="14.25"/>
  <cols>
    <col min="1" max="1" width="23" style="226" customWidth="1"/>
    <col min="2" max="2" width="12.42578125" style="226" customWidth="1"/>
    <col min="3" max="3" width="14.28515625" style="226" customWidth="1"/>
    <col min="4" max="4" width="10" style="226" customWidth="1"/>
    <col min="5" max="5" width="15.28515625" style="226" customWidth="1"/>
    <col min="6" max="6" width="14.42578125" style="226" customWidth="1"/>
    <col min="7" max="7" width="12.85546875" style="226" customWidth="1"/>
    <col min="8" max="8" width="14.140625" style="226" customWidth="1"/>
    <col min="9" max="9" width="13" style="226" customWidth="1"/>
    <col min="10" max="12" width="14.28515625" style="226" customWidth="1"/>
    <col min="13" max="14" width="13" style="226" customWidth="1"/>
    <col min="15" max="15" width="14.5703125" style="226" customWidth="1"/>
    <col min="16" max="16384" width="13" style="226"/>
  </cols>
  <sheetData>
    <row r="2" spans="1:17">
      <c r="C2" s="65" t="s">
        <v>1</v>
      </c>
    </row>
    <row r="3" spans="1:17" s="372" customFormat="1">
      <c r="A3" s="244"/>
      <c r="B3" s="244"/>
      <c r="C3" s="232"/>
      <c r="D3" s="232"/>
      <c r="E3" s="516" t="s">
        <v>535</v>
      </c>
      <c r="F3" s="516" t="s">
        <v>535</v>
      </c>
      <c r="G3" s="516" t="s">
        <v>538</v>
      </c>
      <c r="H3" s="516" t="s">
        <v>539</v>
      </c>
      <c r="I3" s="516" t="s">
        <v>540</v>
      </c>
      <c r="J3" s="516" t="s">
        <v>545</v>
      </c>
      <c r="K3" s="516"/>
      <c r="L3" s="516" t="s">
        <v>15</v>
      </c>
      <c r="M3" s="516" t="s">
        <v>533</v>
      </c>
      <c r="N3" s="516" t="s">
        <v>549</v>
      </c>
      <c r="O3" s="517" t="s">
        <v>15</v>
      </c>
    </row>
    <row r="4" spans="1:17">
      <c r="A4" s="233"/>
      <c r="B4" s="234" t="s">
        <v>200</v>
      </c>
      <c r="C4" s="235"/>
      <c r="D4" s="62" t="s">
        <v>470</v>
      </c>
      <c r="E4" s="354" t="s">
        <v>257</v>
      </c>
      <c r="F4" s="354" t="s">
        <v>257</v>
      </c>
      <c r="G4" s="354" t="s">
        <v>541</v>
      </c>
      <c r="H4" s="354" t="s">
        <v>541</v>
      </c>
      <c r="I4" s="354" t="s">
        <v>543</v>
      </c>
      <c r="J4" s="354" t="s">
        <v>543</v>
      </c>
      <c r="K4" s="354" t="s">
        <v>223</v>
      </c>
      <c r="L4" s="354" t="s">
        <v>551</v>
      </c>
      <c r="M4" s="354" t="s">
        <v>547</v>
      </c>
      <c r="N4" s="354" t="s">
        <v>547</v>
      </c>
      <c r="O4" s="518" t="s">
        <v>553</v>
      </c>
    </row>
    <row r="5" spans="1:17" ht="16.5">
      <c r="A5" s="236" t="s">
        <v>202</v>
      </c>
      <c r="B5" s="237" t="s">
        <v>201</v>
      </c>
      <c r="C5" s="373" t="s">
        <v>114</v>
      </c>
      <c r="D5" s="373" t="s">
        <v>471</v>
      </c>
      <c r="E5" s="519" t="s">
        <v>536</v>
      </c>
      <c r="F5" s="519" t="s">
        <v>537</v>
      </c>
      <c r="G5" s="519" t="s">
        <v>542</v>
      </c>
      <c r="H5" s="519" t="s">
        <v>636</v>
      </c>
      <c r="I5" s="519" t="s">
        <v>544</v>
      </c>
      <c r="J5" s="519" t="s">
        <v>473</v>
      </c>
      <c r="K5" s="519" t="s">
        <v>550</v>
      </c>
      <c r="L5" s="519" t="s">
        <v>552</v>
      </c>
      <c r="M5" s="519" t="s">
        <v>548</v>
      </c>
      <c r="N5" s="519" t="s">
        <v>548</v>
      </c>
      <c r="O5" s="520" t="s">
        <v>554</v>
      </c>
    </row>
    <row r="6" spans="1:17">
      <c r="A6" s="233" t="s">
        <v>19</v>
      </c>
      <c r="B6" s="233" t="s">
        <v>131</v>
      </c>
      <c r="C6" s="239">
        <f>('2 Functionalization2'!G7)</f>
        <v>18577420.386335999</v>
      </c>
      <c r="D6" s="226">
        <v>0</v>
      </c>
      <c r="E6" s="233">
        <f>('Power Cost'!$I$88+'Power Cost'!$H$88)*'4.1 kW &amp; kWh'!C53</f>
        <v>11812562.96824027</v>
      </c>
      <c r="F6" s="233">
        <f>('Power Cost'!$I$88+'Power Cost'!$H$88)*'4.1 kW &amp; kWh'!D53</f>
        <v>14124.299944787708</v>
      </c>
      <c r="G6" s="233">
        <f>('Power Cost'!$I$88+'Power Cost'!$H$88)*'4.1 kW &amp; kWh'!E53</f>
        <v>1996883.0823677073</v>
      </c>
      <c r="H6" s="233">
        <f>('Power Cost'!$I$88+'Power Cost'!$H$88)*'4.1 kW &amp; kWh'!F53</f>
        <v>24717.524903378486</v>
      </c>
      <c r="I6" s="233">
        <f>('Power Cost'!$I$88+'Power Cost'!$H$88)*'4.1 kW &amp; kWh'!G53</f>
        <v>422554.21049900219</v>
      </c>
      <c r="J6" s="233">
        <f>('Power Cost'!$I$88+'Power Cost'!$H$88)*'4.1 kW &amp; kWh'!H53</f>
        <v>892232.81216410652</v>
      </c>
      <c r="K6" s="233">
        <f>('Power Cost'!$I$88+'Power Cost'!$H$88)*'4.1 kW &amp; kWh'!I53</f>
        <v>134616.65964874809</v>
      </c>
      <c r="L6" s="233">
        <f t="shared" ref="L6:L18" si="0">SUM(D6:K6)</f>
        <v>15297691.557768002</v>
      </c>
      <c r="M6" s="233">
        <f>('Power Cost'!I87+'Power Cost'!J87+'Power Cost'!K87)</f>
        <v>2145306.9000000004</v>
      </c>
      <c r="N6" s="233">
        <f>('Power Cost'!I89)</f>
        <v>1134421.928568</v>
      </c>
      <c r="O6" s="233">
        <f t="shared" ref="O6:O18" si="1">SUM(L6:N6)</f>
        <v>18577420.386335999</v>
      </c>
      <c r="P6" s="226">
        <f>(O6-C6)</f>
        <v>0</v>
      </c>
    </row>
    <row r="7" spans="1:17">
      <c r="A7" s="233" t="s">
        <v>19</v>
      </c>
      <c r="B7" s="233" t="s">
        <v>175</v>
      </c>
      <c r="C7" s="239">
        <f>('3Classific. Summary'!F9)</f>
        <v>63981621.069166496</v>
      </c>
      <c r="D7" s="239">
        <f>('Power Cost'!U91)</f>
        <v>6455.25</v>
      </c>
      <c r="E7" s="233">
        <f>('Power Cost'!$M$88+'Power Cost'!$N$88)*('4.1 kW &amp; kWh'!C24)</f>
        <v>41269233.781070635</v>
      </c>
      <c r="F7" s="233">
        <f>('Power Cost'!$M$88+'Power Cost'!$N$88)*('4.1 kW &amp; kWh'!D24)</f>
        <v>22738.628764291992</v>
      </c>
      <c r="G7" s="233">
        <f>('Power Cost'!$M$88+'Power Cost'!$N$88)*('4.1 kW &amp; kWh'!E24)</f>
        <v>3659720.4612421836</v>
      </c>
      <c r="H7" s="233">
        <f>('Power Cost'!$M$88+'Power Cost'!$N$88)*('4.1 kW &amp; kWh'!F24)</f>
        <v>34263.286289863565</v>
      </c>
      <c r="I7" s="233">
        <f>('Power Cost'!$M$88+'Power Cost'!$N$88)*('4.1 kW &amp; kWh'!G24)</f>
        <v>1949315.8851364073</v>
      </c>
      <c r="J7" s="233">
        <f>('Power Cost'!$M$88+'Power Cost'!$N$88)*('4.1 kW &amp; kWh'!H24)</f>
        <v>4207349.6149294209</v>
      </c>
      <c r="K7" s="233">
        <f>('Power Cost'!$M$88+'Power Cost'!$N$88)*('4.1 kW &amp; kWh'!I24)</f>
        <v>468275.34334280191</v>
      </c>
      <c r="L7" s="233">
        <f t="shared" si="0"/>
        <v>51617352.250775613</v>
      </c>
      <c r="M7" s="233">
        <f>('Power Cost'!L87+'Power Cost'!M87)</f>
        <v>8505282.8801380005</v>
      </c>
      <c r="N7" s="233">
        <f>('Power Cost'!M89)</f>
        <v>3858985.9382528956</v>
      </c>
      <c r="O7" s="233">
        <f t="shared" si="1"/>
        <v>63981621.069166511</v>
      </c>
      <c r="P7" s="226">
        <f>(O7-C7)</f>
        <v>1.4901161193847656E-8</v>
      </c>
    </row>
    <row r="8" spans="1:17">
      <c r="A8" s="233" t="s">
        <v>360</v>
      </c>
      <c r="B8" s="233" t="s">
        <v>131</v>
      </c>
      <c r="C8" s="239">
        <f>('2 Functionalization2'!G8)+'2 Functionalization2'!E11</f>
        <v>1545492</v>
      </c>
      <c r="D8" s="239"/>
      <c r="E8" s="233">
        <f>($C$8-$M$8-$N$8)*'4.1 kW &amp; kWh'!C83</f>
        <v>1015352.3758045569</v>
      </c>
      <c r="F8" s="233">
        <f>($C$8-$M$8-$N$8)*'4.1 kW &amp; kWh'!D83</f>
        <v>1220.9722787970259</v>
      </c>
      <c r="G8" s="233">
        <f>($C$8-$M$8-$N$8)*'4.1 kW &amp; kWh'!E83</f>
        <v>174571.79839114181</v>
      </c>
      <c r="H8" s="233">
        <f>($C$8-$M$8-$N$8)*'4.1 kW &amp; kWh'!F83</f>
        <v>4698.9885513033541</v>
      </c>
      <c r="I8" s="233">
        <f>($C$8-$M$8-$N$8)*'4.1 kW &amp; kWh'!G83</f>
        <v>39430.961894277694</v>
      </c>
      <c r="J8" s="233">
        <f>($C$8-$M$8-$N$8)*'4.1 kW &amp; kWh'!H83</f>
        <v>55439.134155764186</v>
      </c>
      <c r="K8" s="233">
        <f>($C$8-$M$8-$N$8)*'4.1 kW &amp; kWh'!I83</f>
        <v>16469.768924159111</v>
      </c>
      <c r="L8" s="233">
        <f t="shared" si="0"/>
        <v>1307184</v>
      </c>
      <c r="M8" s="233">
        <f>(60*('Power Cost'!C49+'Power Cost'!C52))</f>
        <v>172860</v>
      </c>
      <c r="N8" s="233">
        <f>('Power Cost'!C51*12)+(12*'Power Cost'!C52)</f>
        <v>65448</v>
      </c>
      <c r="O8" s="233">
        <f t="shared" si="1"/>
        <v>1545492</v>
      </c>
      <c r="P8" s="226">
        <f t="shared" ref="P8:P20" si="2">(O8-C8)</f>
        <v>0</v>
      </c>
      <c r="Q8" s="226">
        <f>SUM(O6:O8)</f>
        <v>84104533.45550251</v>
      </c>
    </row>
    <row r="9" spans="1:17">
      <c r="A9" s="233" t="s">
        <v>240</v>
      </c>
      <c r="B9" s="233" t="s">
        <v>131</v>
      </c>
      <c r="C9" s="239">
        <f>('3Classific. Summary'!E10)</f>
        <v>243904.86055470319</v>
      </c>
      <c r="D9" s="239"/>
      <c r="E9" s="233">
        <f>($C$9*'4.1 kW &amp; kWh'!C84)</f>
        <v>173655.07235887097</v>
      </c>
      <c r="F9" s="233">
        <f>($C$9*'4.1 kW &amp; kWh'!D84)</f>
        <v>208.82211385447721</v>
      </c>
      <c r="G9" s="233">
        <f>($C$9*'4.1 kW &amp; kWh'!E84)</f>
        <v>29856.903872815965</v>
      </c>
      <c r="H9" s="233">
        <f>($C$9*'4.1 kW &amp; kWh'!F84)</f>
        <v>803.66502933870231</v>
      </c>
      <c r="I9" s="233">
        <f>($C$9*'4.1 kW &amp; kWh'!G84)</f>
        <v>6743.8523847495462</v>
      </c>
      <c r="J9" s="233">
        <f>($C$9*'4.1 kW &amp; kWh'!H84)</f>
        <v>9481.7199257585835</v>
      </c>
      <c r="K9" s="233">
        <f>($C$9*'4.1 kW &amp; kWh'!I84)</f>
        <v>2816.8141252365194</v>
      </c>
      <c r="L9" s="233">
        <f t="shared" si="0"/>
        <v>223566.84981062476</v>
      </c>
      <c r="M9" s="233">
        <f>($C$9*'4.1 kW &amp; kWh'!K84)</f>
        <v>13916.797931635587</v>
      </c>
      <c r="N9" s="233">
        <f>($C$9*'4.1 kW &amp; kWh'!L84)</f>
        <v>6421.2128124428527</v>
      </c>
      <c r="O9" s="233">
        <f t="shared" si="1"/>
        <v>243904.86055470319</v>
      </c>
      <c r="P9" s="226">
        <f t="shared" si="2"/>
        <v>0</v>
      </c>
      <c r="Q9" s="226">
        <f>SUM(O6,O8)</f>
        <v>20122912.386335999</v>
      </c>
    </row>
    <row r="10" spans="1:17">
      <c r="A10" s="233" t="s">
        <v>178</v>
      </c>
      <c r="B10" s="233" t="s">
        <v>10</v>
      </c>
      <c r="C10" s="239">
        <f>('3Classific. Summary'!D11)</f>
        <v>6359168.3822221197</v>
      </c>
      <c r="D10" s="239"/>
      <c r="E10" s="233">
        <f>($C$10*'4.21 Consumer Alloc'!I4)</f>
        <v>6029505.4480859656</v>
      </c>
      <c r="F10" s="233">
        <f>($C$10*'4.21 Consumer Alloc'!I5)</f>
        <v>4328.6770895555856</v>
      </c>
      <c r="G10" s="233">
        <f>($C$10*'4.21 Consumer Alloc'!I6)</f>
        <v>290932.66544013069</v>
      </c>
      <c r="H10" s="233">
        <f>($C$10*'4.21 Consumer Alloc'!I7)</f>
        <v>4898.239864497109</v>
      </c>
      <c r="I10" s="233">
        <f>($C$10*'4.21 Consumer Alloc'!I8)</f>
        <v>6493.0156343333774</v>
      </c>
      <c r="J10" s="233">
        <f>($C$10*'4.21 Consumer Alloc'!I9)</f>
        <v>2733.9013197193171</v>
      </c>
      <c r="K10" s="233">
        <f>($C$10*'4.21 Consumer Alloc'!I12)</f>
        <v>19592.959457988436</v>
      </c>
      <c r="L10" s="233">
        <f t="shared" si="0"/>
        <v>6358484.9068921907</v>
      </c>
      <c r="M10" s="233">
        <f>($C$10*'4.21 Consumer Alloc'!I10)</f>
        <v>569.56277494152437</v>
      </c>
      <c r="N10" s="233">
        <f>($C$10*'4.21 Consumer Alloc'!I11)</f>
        <v>113.91255498830488</v>
      </c>
      <c r="O10" s="233">
        <f t="shared" si="1"/>
        <v>6359168.3822221207</v>
      </c>
      <c r="P10" s="226">
        <f t="shared" si="2"/>
        <v>9.3132257461547852E-10</v>
      </c>
    </row>
    <row r="11" spans="1:17">
      <c r="A11" s="233" t="s">
        <v>178</v>
      </c>
      <c r="B11" s="233" t="s">
        <v>131</v>
      </c>
      <c r="C11" s="239">
        <f>('3Classific. Summary'!E11)</f>
        <v>12341604.348935116</v>
      </c>
      <c r="D11" s="239"/>
      <c r="E11" s="233">
        <f>($C$11*'4.1 kW &amp; kWh'!C82)</f>
        <v>8786959.7652327623</v>
      </c>
      <c r="F11" s="233">
        <f>($C$11*'4.1 kW &amp; kWh'!D82)</f>
        <v>10566.41471858747</v>
      </c>
      <c r="G11" s="233">
        <f>($C$11*'4.1 kW &amp; kWh'!E82)</f>
        <v>1510761.5889427499</v>
      </c>
      <c r="H11" s="233">
        <f>($C$11*'4.1 kW &amp; kWh'!F82)</f>
        <v>40665.511128463397</v>
      </c>
      <c r="I11" s="233">
        <f>($C$11*'4.1 kW &amp; kWh'!G82)</f>
        <v>341239.43955407385</v>
      </c>
      <c r="J11" s="233">
        <f>($C$11*'4.1 kW &amp; kWh'!H82)</f>
        <v>479775.74372644216</v>
      </c>
      <c r="K11" s="233">
        <f>($C$11*'4.1 kW &amp; kWh'!I82)</f>
        <v>142531.00729152543</v>
      </c>
      <c r="L11" s="233">
        <f t="shared" si="0"/>
        <v>11312499.470594602</v>
      </c>
      <c r="M11" s="233">
        <f>($C$11*'4.1 kW &amp; kWh'!K82)</f>
        <v>704191.02549128374</v>
      </c>
      <c r="N11" s="233">
        <f>($C$11*'4.1 kW &amp; kWh'!L82)</f>
        <v>324913.85284922918</v>
      </c>
      <c r="O11" s="233">
        <f t="shared" si="1"/>
        <v>12341604.348935114</v>
      </c>
      <c r="P11" s="226">
        <f t="shared" si="2"/>
        <v>-1.862645149230957E-9</v>
      </c>
    </row>
    <row r="12" spans="1:17">
      <c r="A12" s="233" t="s">
        <v>95</v>
      </c>
      <c r="B12" s="233" t="s">
        <v>10</v>
      </c>
      <c r="C12" s="239">
        <f>('3Classific. Summary'!D12)</f>
        <v>575268.74307458103</v>
      </c>
      <c r="D12" s="239"/>
      <c r="E12" s="233">
        <f>($C$12*'4.21 Consumer Alloc'!I20)</f>
        <v>540858.66786357982</v>
      </c>
      <c r="F12" s="233">
        <f>($C$12*'4.21 Consumer Alloc'!I21)</f>
        <v>388.29097086425787</v>
      </c>
      <c r="G12" s="233">
        <f>($C$12*'4.21 Consumer Alloc'!I22)</f>
        <v>26097.240515455651</v>
      </c>
      <c r="H12" s="233">
        <f>($C$12*'4.21 Consumer Alloc'!I23)</f>
        <v>439.38188808323918</v>
      </c>
      <c r="I12" s="233">
        <f>($C$12*'4.21 Consumer Alloc'!I24)</f>
        <v>1046.2500726567664</v>
      </c>
      <c r="J12" s="233">
        <f>($C$12*'4.21 Consumer Alloc'!I25)</f>
        <v>5955.4896919297989</v>
      </c>
      <c r="K12" s="233">
        <f>($C$12*'4.21 Consumer Alloc'!I28)</f>
        <v>483.42207201152479</v>
      </c>
      <c r="L12" s="233">
        <f t="shared" si="0"/>
        <v>575268.74307458091</v>
      </c>
      <c r="M12" s="233">
        <f>($C$12*'4.21 Consumer Alloc'!R20)</f>
        <v>0</v>
      </c>
      <c r="N12" s="233">
        <f>($C$12*'4.21 Consumer Alloc'!U20)</f>
        <v>0</v>
      </c>
      <c r="O12" s="233">
        <f t="shared" si="1"/>
        <v>575268.74307458091</v>
      </c>
      <c r="P12" s="226">
        <f t="shared" si="2"/>
        <v>-1.1641532182693481E-10</v>
      </c>
    </row>
    <row r="13" spans="1:17">
      <c r="A13" s="233" t="s">
        <v>95</v>
      </c>
      <c r="B13" s="233" t="s">
        <v>131</v>
      </c>
      <c r="C13" s="239">
        <f>('3Classific. Summary'!E12)</f>
        <v>2185652.7532333154</v>
      </c>
      <c r="D13" s="239"/>
      <c r="E13" s="233">
        <f>($C$13*'4.1 kW &amp; kWh'!C110)</f>
        <v>1873546.8570604322</v>
      </c>
      <c r="F13" s="233">
        <f>($C$13*'4.1 kW &amp; kWh'!D110)</f>
        <v>1606.1613170478286</v>
      </c>
      <c r="G13" s="233">
        <f>($C$13*'4.1 kW &amp; kWh'!E110)</f>
        <v>176548.19441512067</v>
      </c>
      <c r="H13" s="233">
        <f>($C$13*'4.1 kW &amp; kWh'!F110)</f>
        <v>1804.4528376710173</v>
      </c>
      <c r="I13" s="233">
        <f>($C$13*'4.1 kW &amp; kWh'!G110)</f>
        <v>43977.423929678494</v>
      </c>
      <c r="J13" s="233">
        <f>($C$13*'4.1 kW &amp; kWh'!H110)</f>
        <v>69872.31360786072</v>
      </c>
      <c r="K13" s="233">
        <f>($C$13*'4.1 kW &amp; kWh'!I110)</f>
        <v>18297.350065504739</v>
      </c>
      <c r="L13" s="233">
        <f t="shared" si="0"/>
        <v>2185652.7532333154</v>
      </c>
      <c r="M13" s="233">
        <v>0</v>
      </c>
      <c r="N13" s="233">
        <v>0</v>
      </c>
      <c r="O13" s="233">
        <f t="shared" si="1"/>
        <v>2185652.7532333154</v>
      </c>
      <c r="P13" s="226">
        <f t="shared" si="2"/>
        <v>0</v>
      </c>
    </row>
    <row r="14" spans="1:17">
      <c r="A14" s="233" t="s">
        <v>8</v>
      </c>
      <c r="B14" s="233" t="s">
        <v>10</v>
      </c>
      <c r="C14" s="239">
        <f>('3Classific. Summary'!D13)</f>
        <v>4523609.2278307239</v>
      </c>
      <c r="D14" s="239"/>
      <c r="E14" s="233">
        <f>($C$14*'4.21 Consumer Alloc'!J37)</f>
        <v>4202929.8635348463</v>
      </c>
      <c r="F14" s="233">
        <f>($C$14*'4.21 Consumer Alloc'!J38)</f>
        <v>3017.3496592606257</v>
      </c>
      <c r="G14" s="233">
        <f>($C$14*'4.21 Consumer Alloc'!J39)</f>
        <v>243357.19041320958</v>
      </c>
      <c r="H14" s="233">
        <f>($C$14*'4.21 Consumer Alloc'!J40)</f>
        <v>4097.2432215223234</v>
      </c>
      <c r="I14" s="233">
        <f>($C$14*'4.21 Consumer Alloc'!J41)</f>
        <v>6325.0489892612759</v>
      </c>
      <c r="J14" s="233">
        <f>($C$14*'4.21 Consumer Alloc'!J42)</f>
        <v>0</v>
      </c>
      <c r="K14" s="233">
        <f>($C$14*'4.21 Consumer Alloc'!J45)</f>
        <v>63882.532012623153</v>
      </c>
      <c r="L14" s="233">
        <f t="shared" si="0"/>
        <v>4523609.2278307229</v>
      </c>
      <c r="M14" s="268">
        <v>0</v>
      </c>
      <c r="N14" s="268" t="s">
        <v>1</v>
      </c>
      <c r="O14" s="233">
        <f t="shared" si="1"/>
        <v>4523609.2278307229</v>
      </c>
      <c r="P14" s="226">
        <f t="shared" si="2"/>
        <v>-9.3132257461547852E-10</v>
      </c>
    </row>
    <row r="15" spans="1:17">
      <c r="A15" s="233" t="s">
        <v>9</v>
      </c>
      <c r="B15" s="233" t="s">
        <v>10</v>
      </c>
      <c r="C15" s="239">
        <f>('3Classific. Summary'!D14)</f>
        <v>1799303.9630852607</v>
      </c>
      <c r="D15" s="239"/>
      <c r="E15" s="233">
        <f>($C$15*'4.21 Consumer Alloc'!I54)</f>
        <v>1543384.6735549411</v>
      </c>
      <c r="F15" s="233">
        <f>($C$15*'4.21 Consumer Alloc'!I55)</f>
        <v>1108.02020734707</v>
      </c>
      <c r="G15" s="233">
        <f>($C$15*'4.21 Consumer Alloc'!I56)</f>
        <v>249109.54262637143</v>
      </c>
      <c r="H15" s="233">
        <f>($C$15*'4.21 Consumer Alloc'!I57)</f>
        <v>1253.8123398927373</v>
      </c>
      <c r="I15" s="233">
        <f>($C$15*'4.21 Consumer Alloc'!I58)</f>
        <v>2914.1507854296187</v>
      </c>
      <c r="J15" s="233">
        <f>($C$15*'4.21 Consumer Alloc'!I59)</f>
        <v>1227.0108570229975</v>
      </c>
      <c r="K15" s="233">
        <v>0</v>
      </c>
      <c r="L15" s="233">
        <f t="shared" si="0"/>
        <v>1798997.2103710051</v>
      </c>
      <c r="M15" s="233">
        <f>($C$15*'4.21 Consumer Alloc'!I60)</f>
        <v>255.62726187979112</v>
      </c>
      <c r="N15" s="233">
        <f>($C$15*'4.21 Consumer Alloc'!I61)</f>
        <v>51.125452375958226</v>
      </c>
      <c r="O15" s="233">
        <f t="shared" si="1"/>
        <v>1799303.9630852609</v>
      </c>
      <c r="P15" s="226">
        <f t="shared" si="2"/>
        <v>2.3283064365386963E-10</v>
      </c>
    </row>
    <row r="16" spans="1:17">
      <c r="A16" s="233" t="s">
        <v>179</v>
      </c>
      <c r="B16" s="233"/>
      <c r="C16" s="239"/>
      <c r="D16" s="239"/>
      <c r="E16" s="233"/>
      <c r="F16" s="233"/>
      <c r="G16" s="233"/>
      <c r="I16" s="233"/>
      <c r="J16" s="226">
        <f>SUM(D16:I16)</f>
        <v>0</v>
      </c>
      <c r="L16" s="233">
        <f t="shared" si="0"/>
        <v>0</v>
      </c>
      <c r="O16" s="233">
        <f t="shared" si="1"/>
        <v>0</v>
      </c>
      <c r="P16" s="226">
        <f t="shared" si="2"/>
        <v>0</v>
      </c>
    </row>
    <row r="17" spans="1:17">
      <c r="A17" s="233" t="s">
        <v>180</v>
      </c>
      <c r="B17" s="233" t="s">
        <v>10</v>
      </c>
      <c r="C17" s="239">
        <f>('3Classific. Summary'!D16)</f>
        <v>5523784.0299184313</v>
      </c>
      <c r="D17" s="239"/>
      <c r="E17" s="233">
        <f>($C$17*'4.21 Consumer Alloc'!I71)</f>
        <v>4986876.9720432088</v>
      </c>
      <c r="F17" s="233">
        <f>($C$17*'4.21 Consumer Alloc'!I72)</f>
        <v>4475.1970711313306</v>
      </c>
      <c r="G17" s="233">
        <f>($C$17*'4.21 Consumer Alloc'!I73)</f>
        <v>375975.43814702029</v>
      </c>
      <c r="H17" s="233">
        <f>($C$17*'4.21 Consumer Alloc'!I74)</f>
        <v>6330.0484887712901</v>
      </c>
      <c r="I17" s="233">
        <f>($C$17*'4.21 Consumer Alloc'!I75)</f>
        <v>13425.591213393991</v>
      </c>
      <c r="J17" s="233">
        <f>($C$17*'4.21 Consumer Alloc'!I76)</f>
        <v>5652.8805109027335</v>
      </c>
      <c r="K17" s="233">
        <f>($C$17*'4.21 Consumer Alloc'!I79)</f>
        <v>106316.55020880318</v>
      </c>
      <c r="L17" s="233">
        <f t="shared" si="0"/>
        <v>5499052.6776832324</v>
      </c>
      <c r="M17" s="233">
        <f>($C$17*'4.21 Consumer Alloc'!I77)</f>
        <v>17665.251596571041</v>
      </c>
      <c r="N17" s="233">
        <f>($C$17*'4.21 Consumer Alloc'!I78)</f>
        <v>7066.1006386284162</v>
      </c>
      <c r="O17" s="233">
        <f t="shared" si="1"/>
        <v>5523784.0299184313</v>
      </c>
      <c r="P17" s="226">
        <f t="shared" si="2"/>
        <v>0</v>
      </c>
    </row>
    <row r="18" spans="1:17">
      <c r="A18" s="233" t="s">
        <v>13</v>
      </c>
      <c r="B18" s="233" t="s">
        <v>13</v>
      </c>
      <c r="C18" s="239">
        <f>('3Classific. Summary'!I17)</f>
        <v>1575927.6336683547</v>
      </c>
      <c r="D18" s="239"/>
      <c r="E18" s="233"/>
      <c r="F18" s="233"/>
      <c r="G18" s="233"/>
      <c r="H18" s="233"/>
      <c r="I18" s="233" t="s">
        <v>1</v>
      </c>
      <c r="J18" s="226" t="s">
        <v>1</v>
      </c>
      <c r="K18" s="226">
        <f>(C18)</f>
        <v>1575927.6336683547</v>
      </c>
      <c r="L18" s="233">
        <f t="shared" si="0"/>
        <v>1575927.6336683547</v>
      </c>
      <c r="M18" s="239"/>
      <c r="O18" s="233">
        <f t="shared" si="1"/>
        <v>1575927.6336683547</v>
      </c>
      <c r="P18" s="226">
        <f t="shared" si="2"/>
        <v>0</v>
      </c>
    </row>
    <row r="19" spans="1:17">
      <c r="A19" s="236" t="s">
        <v>166</v>
      </c>
      <c r="B19" s="236"/>
      <c r="C19" s="240">
        <f>SUM(C6:C18)</f>
        <v>119232757.3980251</v>
      </c>
      <c r="D19" s="240">
        <f t="shared" ref="D19:N19" si="3">SUM(D6:D18)</f>
        <v>6455.25</v>
      </c>
      <c r="E19" s="240">
        <f t="shared" si="3"/>
        <v>82234866.444850057</v>
      </c>
      <c r="F19" s="240">
        <f t="shared" si="3"/>
        <v>63782.834135525365</v>
      </c>
      <c r="G19" s="240">
        <f t="shared" si="3"/>
        <v>8733814.106373908</v>
      </c>
      <c r="H19" s="240">
        <f t="shared" si="3"/>
        <v>123972.15454278523</v>
      </c>
      <c r="I19" s="240">
        <f t="shared" si="3"/>
        <v>2833465.8300932632</v>
      </c>
      <c r="J19" s="240">
        <f t="shared" si="3"/>
        <v>5729720.620888928</v>
      </c>
      <c r="K19" s="240">
        <f t="shared" si="3"/>
        <v>2549210.0408177567</v>
      </c>
      <c r="L19" s="240">
        <f t="shared" si="3"/>
        <v>102275287.28170225</v>
      </c>
      <c r="M19" s="241">
        <f t="shared" si="3"/>
        <v>11560048.045194313</v>
      </c>
      <c r="N19" s="241">
        <f t="shared" si="3"/>
        <v>5397422.0711285612</v>
      </c>
      <c r="O19" s="241">
        <f>SUM(O6:O18)</f>
        <v>119232757.39802511</v>
      </c>
      <c r="P19" s="226">
        <f t="shared" si="2"/>
        <v>1.4901161193847656E-8</v>
      </c>
      <c r="Q19" s="226">
        <f>SUM(O9:O18)</f>
        <v>35128223.9425226</v>
      </c>
    </row>
    <row r="20" spans="1:17">
      <c r="A20" s="213"/>
      <c r="B20" s="213"/>
      <c r="C20" s="213"/>
      <c r="D20" s="213"/>
      <c r="E20" s="213"/>
      <c r="F20" s="213"/>
      <c r="G20" s="213"/>
      <c r="H20" s="213"/>
      <c r="I20" s="213"/>
      <c r="P20" s="226">
        <f t="shared" si="2"/>
        <v>0</v>
      </c>
      <c r="Q20" s="226">
        <f>(O19-Q8)</f>
        <v>35128223.9425226</v>
      </c>
    </row>
    <row r="21" spans="1:17" ht="15">
      <c r="A21" s="213"/>
      <c r="B21" s="213"/>
      <c r="C21" s="213"/>
      <c r="D21" s="896" t="s">
        <v>226</v>
      </c>
      <c r="E21" s="896"/>
      <c r="F21" s="896"/>
      <c r="G21" s="896"/>
      <c r="J21" s="896" t="s">
        <v>226</v>
      </c>
      <c r="K21" s="896"/>
      <c r="L21" s="896"/>
      <c r="M21" s="896"/>
      <c r="N21" s="896"/>
      <c r="O21" s="896"/>
    </row>
    <row r="22" spans="1:17">
      <c r="A22" s="242"/>
      <c r="B22" s="243"/>
      <c r="C22" s="232"/>
      <c r="D22" s="244">
        <f t="shared" ref="D22:J24" si="4">D3</f>
        <v>0</v>
      </c>
      <c r="E22" s="244" t="str">
        <f t="shared" si="4"/>
        <v>GS 1</v>
      </c>
      <c r="F22" s="244" t="str">
        <f t="shared" si="4"/>
        <v>GS 1</v>
      </c>
      <c r="G22" s="244" t="str">
        <f t="shared" si="4"/>
        <v>SC1</v>
      </c>
      <c r="H22" s="244" t="str">
        <f t="shared" si="4"/>
        <v>SC2</v>
      </c>
      <c r="I22" s="244" t="str">
        <f t="shared" si="4"/>
        <v>LP1</v>
      </c>
      <c r="J22" s="244" t="str">
        <f t="shared" si="4"/>
        <v>LP2</v>
      </c>
      <c r="K22" s="244">
        <f t="shared" ref="K22:L24" si="5">K3</f>
        <v>0</v>
      </c>
      <c r="L22" s="244" t="str">
        <f t="shared" si="5"/>
        <v>Total</v>
      </c>
      <c r="M22" s="244" t="str">
        <f t="shared" ref="M22:O24" si="6">M3</f>
        <v>B-2</v>
      </c>
      <c r="N22" s="244" t="str">
        <f t="shared" si="6"/>
        <v>G-1</v>
      </c>
      <c r="O22" s="244" t="str">
        <f t="shared" si="6"/>
        <v>Total</v>
      </c>
    </row>
    <row r="23" spans="1:17">
      <c r="A23" s="239"/>
      <c r="B23" s="214"/>
      <c r="C23" s="235"/>
      <c r="D23" s="244" t="str">
        <f t="shared" si="4"/>
        <v>Enviro</v>
      </c>
      <c r="E23" s="244" t="str">
        <f t="shared" si="4"/>
        <v>Residential</v>
      </c>
      <c r="F23" s="244" t="str">
        <f t="shared" si="4"/>
        <v>Residential</v>
      </c>
      <c r="G23" s="244" t="str">
        <f t="shared" si="4"/>
        <v>Gen Service</v>
      </c>
      <c r="H23" s="244" t="str">
        <f t="shared" si="4"/>
        <v>Gen Service</v>
      </c>
      <c r="I23" s="244" t="str">
        <f t="shared" si="4"/>
        <v>Large Power</v>
      </c>
      <c r="J23" s="244" t="str">
        <f t="shared" si="4"/>
        <v>Large Power</v>
      </c>
      <c r="K23" s="244" t="str">
        <f t="shared" si="5"/>
        <v>Outdoor</v>
      </c>
      <c r="L23" s="244" t="str">
        <f t="shared" si="5"/>
        <v>EKPC Sched</v>
      </c>
      <c r="M23" s="244" t="str">
        <f t="shared" si="6"/>
        <v>Large Indust.</v>
      </c>
      <c r="N23" s="244" t="str">
        <f t="shared" si="6"/>
        <v>Large Indust.</v>
      </c>
      <c r="O23" s="244" t="str">
        <f t="shared" si="6"/>
        <v>for All</v>
      </c>
    </row>
    <row r="24" spans="1:17">
      <c r="A24" s="239"/>
      <c r="B24" s="214"/>
      <c r="C24" s="235" t="s">
        <v>114</v>
      </c>
      <c r="D24" s="244" t="str">
        <f t="shared" si="4"/>
        <v>watts</v>
      </c>
      <c r="E24" s="244" t="str">
        <f t="shared" si="4"/>
        <v>&amp; Farm</v>
      </c>
      <c r="F24" s="244" t="str">
        <f t="shared" si="4"/>
        <v>&amp; Farm TOD</v>
      </c>
      <c r="G24" s="244" t="str">
        <f t="shared" si="4"/>
        <v>0-100 kW</v>
      </c>
      <c r="H24" s="244" t="str">
        <f t="shared" si="4"/>
        <v>0-100 kW TOD</v>
      </c>
      <c r="I24" s="244" t="str">
        <f t="shared" si="4"/>
        <v>under 500 kW</v>
      </c>
      <c r="J24" s="244" t="str">
        <f t="shared" si="4"/>
        <v>over 500 kW</v>
      </c>
      <c r="K24" s="244" t="str">
        <f t="shared" si="5"/>
        <v>Lights</v>
      </c>
      <c r="L24" s="244" t="str">
        <f t="shared" si="5"/>
        <v>E Rates</v>
      </c>
      <c r="M24" s="244" t="str">
        <f t="shared" si="6"/>
        <v>Rate</v>
      </c>
      <c r="N24" s="244" t="str">
        <f t="shared" si="6"/>
        <v>Rate</v>
      </c>
      <c r="O24" s="244" t="str">
        <f t="shared" si="6"/>
        <v>Rate Classes</v>
      </c>
    </row>
    <row r="25" spans="1:17">
      <c r="A25" s="239" t="s">
        <v>181</v>
      </c>
      <c r="B25" s="214"/>
      <c r="C25" s="231">
        <f t="shared" ref="C25:H25" si="7">SUM(C10,C12,C14,C15,C17)</f>
        <v>18781134.346131116</v>
      </c>
      <c r="D25" s="231">
        <f t="shared" si="7"/>
        <v>0</v>
      </c>
      <c r="E25" s="231">
        <f t="shared" si="7"/>
        <v>17303555.625082541</v>
      </c>
      <c r="F25" s="231">
        <f t="shared" si="7"/>
        <v>13317.53499815887</v>
      </c>
      <c r="G25" s="231">
        <f t="shared" si="7"/>
        <v>1185472.0771421876</v>
      </c>
      <c r="H25" s="231">
        <f t="shared" si="7"/>
        <v>17018.725802766698</v>
      </c>
      <c r="I25" s="231">
        <f>SUM(I10,I12,I14,E15,I17)</f>
        <v>1570674.5794645865</v>
      </c>
      <c r="J25" s="242">
        <f t="shared" ref="J25:O25" si="8">SUM(J10,J12,J14,J15,J17)</f>
        <v>15569.282379574848</v>
      </c>
      <c r="K25" s="242">
        <f t="shared" si="8"/>
        <v>190275.46375142629</v>
      </c>
      <c r="L25" s="231">
        <f t="shared" si="8"/>
        <v>18755412.765851732</v>
      </c>
      <c r="M25" s="243">
        <f t="shared" si="8"/>
        <v>18490.441633392358</v>
      </c>
      <c r="N25" s="231">
        <f t="shared" si="8"/>
        <v>7231.1386459926789</v>
      </c>
      <c r="O25" s="231">
        <f t="shared" si="8"/>
        <v>18781134.346131116</v>
      </c>
    </row>
    <row r="26" spans="1:17">
      <c r="A26" s="239" t="s">
        <v>141</v>
      </c>
      <c r="B26" s="214"/>
      <c r="C26" s="233">
        <f>SUM(C6,C8,C11,C13,C9)</f>
        <v>34894074.349059135</v>
      </c>
      <c r="D26" s="231">
        <f>SUM(D11,D13,D15,D16,D18)</f>
        <v>0</v>
      </c>
      <c r="E26" s="233">
        <f t="shared" ref="E26:J26" si="9">SUM(E6,E11,E13,E9,E8)</f>
        <v>23662077.038696896</v>
      </c>
      <c r="F26" s="233">
        <f t="shared" si="9"/>
        <v>27726.670373074507</v>
      </c>
      <c r="G26" s="233">
        <f t="shared" si="9"/>
        <v>3888621.5679895361</v>
      </c>
      <c r="H26" s="233">
        <f t="shared" si="9"/>
        <v>72690.142450154963</v>
      </c>
      <c r="I26" s="233">
        <f t="shared" si="9"/>
        <v>853945.88826178177</v>
      </c>
      <c r="J26" s="239">
        <f t="shared" si="9"/>
        <v>1506801.7235799325</v>
      </c>
      <c r="K26" s="239">
        <f t="shared" ref="K26:L28" si="10">SUM(K11,K13,K15,K16,K18)</f>
        <v>1736755.991025385</v>
      </c>
      <c r="L26" s="233">
        <f t="shared" si="10"/>
        <v>16873077.067867275</v>
      </c>
      <c r="M26" s="214">
        <f>SUM(M6,M11,M13,M9,M8)</f>
        <v>3036274.7234229199</v>
      </c>
      <c r="N26" s="233">
        <f>SUM(N6,N11,N13,N9,N8)</f>
        <v>1531204.994229672</v>
      </c>
      <c r="O26" s="233">
        <f>SUM(O6,O11,O13,O9,O8)</f>
        <v>34894074.349059127</v>
      </c>
    </row>
    <row r="27" spans="1:17">
      <c r="A27" s="239" t="s">
        <v>174</v>
      </c>
      <c r="B27" s="214"/>
      <c r="C27" s="233">
        <f>(C7)</f>
        <v>63981621.069166496</v>
      </c>
      <c r="D27" s="231">
        <f>D7</f>
        <v>6455.25</v>
      </c>
      <c r="E27" s="233">
        <f t="shared" ref="E27:J27" si="11">(E7)</f>
        <v>41269233.781070635</v>
      </c>
      <c r="F27" s="233">
        <f t="shared" si="11"/>
        <v>22738.628764291992</v>
      </c>
      <c r="G27" s="233">
        <f t="shared" si="11"/>
        <v>3659720.4612421836</v>
      </c>
      <c r="H27" s="233">
        <f t="shared" si="11"/>
        <v>34263.286289863565</v>
      </c>
      <c r="I27" s="233">
        <f t="shared" si="11"/>
        <v>1949315.8851364073</v>
      </c>
      <c r="J27" s="239">
        <f t="shared" si="11"/>
        <v>4207349.6149294209</v>
      </c>
      <c r="K27" s="239">
        <f t="shared" si="10"/>
        <v>2719892.5451111947</v>
      </c>
      <c r="L27" s="233">
        <f t="shared" si="10"/>
        <v>112873217.93029079</v>
      </c>
      <c r="M27" s="214">
        <f>(M7)</f>
        <v>8505282.8801380005</v>
      </c>
      <c r="N27" s="233">
        <f>(N7)</f>
        <v>3858985.9382528956</v>
      </c>
      <c r="O27" s="233">
        <f>(O7)</f>
        <v>63981621.069166511</v>
      </c>
    </row>
    <row r="28" spans="1:17">
      <c r="A28" s="239" t="s">
        <v>13</v>
      </c>
      <c r="B28" s="214"/>
      <c r="C28" s="233">
        <f>(C18)</f>
        <v>1575927.6336683547</v>
      </c>
      <c r="D28" s="233"/>
      <c r="E28" s="233"/>
      <c r="F28" s="233"/>
      <c r="G28" s="233"/>
      <c r="H28" s="233"/>
      <c r="I28" s="233" t="str">
        <f>(I18)</f>
        <v xml:space="preserve"> </v>
      </c>
      <c r="J28" s="239" t="str">
        <f t="shared" ref="J28:O28" si="12">(J18)</f>
        <v xml:space="preserve"> </v>
      </c>
      <c r="K28" s="245">
        <f t="shared" si="10"/>
        <v>1700541.5339426626</v>
      </c>
      <c r="L28" s="236">
        <f t="shared" si="10"/>
        <v>11059630.27495591</v>
      </c>
      <c r="M28" s="214">
        <f t="shared" si="12"/>
        <v>0</v>
      </c>
      <c r="N28" s="233">
        <f t="shared" si="12"/>
        <v>0</v>
      </c>
      <c r="O28" s="233">
        <f t="shared" si="12"/>
        <v>1575927.6336683547</v>
      </c>
    </row>
    <row r="29" spans="1:17">
      <c r="A29" s="245" t="str">
        <f>(A19)</f>
        <v>Revenue Requirements</v>
      </c>
      <c r="B29" s="219"/>
      <c r="C29" s="241">
        <f>SUM(C25:C28)</f>
        <v>119232757.3980251</v>
      </c>
      <c r="D29" s="241">
        <f t="shared" ref="D29:I29" si="13">SUM(D25:D28)</f>
        <v>6455.25</v>
      </c>
      <c r="E29" s="241">
        <f t="shared" si="13"/>
        <v>82234866.444850072</v>
      </c>
      <c r="F29" s="241">
        <f t="shared" si="13"/>
        <v>63782.834135525365</v>
      </c>
      <c r="G29" s="241">
        <f t="shared" si="13"/>
        <v>8733814.106373908</v>
      </c>
      <c r="H29" s="241">
        <f t="shared" si="13"/>
        <v>123972.15454278523</v>
      </c>
      <c r="I29" s="241">
        <f t="shared" si="13"/>
        <v>4373936.3528627753</v>
      </c>
      <c r="J29" s="241">
        <f t="shared" ref="J29:O29" si="14">SUM(J25:J28)</f>
        <v>5729720.620888928</v>
      </c>
      <c r="K29" s="236">
        <f t="shared" si="14"/>
        <v>6347465.5338306688</v>
      </c>
      <c r="L29" s="241">
        <f>SUM(L14,L16,L18,L19,L21)</f>
        <v>108374824.14320132</v>
      </c>
      <c r="M29" s="241">
        <f t="shared" si="14"/>
        <v>11560048.045194313</v>
      </c>
      <c r="N29" s="241">
        <f t="shared" si="14"/>
        <v>5397422.0711285602</v>
      </c>
      <c r="O29" s="241">
        <f t="shared" si="14"/>
        <v>119232757.39802511</v>
      </c>
    </row>
    <row r="30" spans="1:17">
      <c r="A30" s="213"/>
      <c r="B30" s="213"/>
      <c r="C30" s="213"/>
      <c r="D30" s="213"/>
      <c r="E30" s="213"/>
      <c r="F30" s="213"/>
      <c r="G30" s="213"/>
      <c r="H30" s="213"/>
      <c r="I30" s="213"/>
    </row>
    <row r="31" spans="1:17" s="77" customFormat="1" ht="12.75">
      <c r="E31" s="177">
        <f>SUM(E25:H25)</f>
        <v>18519363.963025656</v>
      </c>
      <c r="I31" s="177">
        <f>SUM(I25:M25)</f>
        <v>20550422.533080712</v>
      </c>
    </row>
    <row r="32" spans="1:17" s="77" customFormat="1" ht="12.75">
      <c r="E32" s="177">
        <f>SUM(E27:H27)</f>
        <v>44985956.157366976</v>
      </c>
      <c r="I32" s="177">
        <f>SUM(I29:M29)</f>
        <v>136385994.69597799</v>
      </c>
    </row>
    <row r="33" spans="1:15" s="77" customFormat="1">
      <c r="A33" s="226"/>
      <c r="B33" s="226"/>
      <c r="C33" s="226">
        <f>C10+C12+C14+C15+C17</f>
        <v>18781134.346131116</v>
      </c>
      <c r="D33" s="226"/>
      <c r="E33" s="226"/>
      <c r="F33" s="226"/>
      <c r="G33" s="226"/>
      <c r="H33" s="226"/>
      <c r="I33" s="226"/>
    </row>
    <row r="34" spans="1:15" s="77" customFormat="1">
      <c r="A34" s="226"/>
      <c r="B34" s="226"/>
      <c r="C34" s="226"/>
      <c r="D34" s="226"/>
      <c r="E34" s="226"/>
      <c r="F34" s="226"/>
      <c r="G34" s="226"/>
      <c r="H34" s="226"/>
      <c r="I34" s="226"/>
    </row>
    <row r="35" spans="1:15" s="77" customFormat="1">
      <c r="A35" s="226"/>
      <c r="B35" s="226"/>
      <c r="C35" s="226"/>
      <c r="E35" s="226">
        <f>SUM(E12,E14,E15)+(0.5*E17)</f>
        <v>8780611.6909749713</v>
      </c>
      <c r="F35" s="226"/>
      <c r="G35" s="226"/>
      <c r="H35" s="226"/>
      <c r="I35" s="226"/>
    </row>
    <row r="36" spans="1:15" s="77" customFormat="1">
      <c r="A36" s="226"/>
      <c r="B36" s="226"/>
      <c r="C36" s="226"/>
      <c r="D36" s="226"/>
      <c r="E36" s="497">
        <f>(E35/'12 Inc Stmt Func'!G43)</f>
        <v>13.85297572265525</v>
      </c>
      <c r="F36" s="226"/>
      <c r="G36" s="226"/>
      <c r="H36" s="226"/>
      <c r="I36" s="226"/>
    </row>
    <row r="37" spans="1:15" s="77" customFormat="1">
      <c r="A37" s="226"/>
      <c r="B37" s="226"/>
      <c r="C37" s="226"/>
      <c r="D37" s="226">
        <f>SUM(D8:D18)</f>
        <v>0</v>
      </c>
      <c r="E37" s="226">
        <f t="shared" ref="E37:O37" si="15">SUM(E8:E18)</f>
        <v>29153069.695539162</v>
      </c>
      <c r="F37" s="226">
        <f t="shared" si="15"/>
        <v>26919.905426445668</v>
      </c>
      <c r="G37" s="226">
        <f t="shared" si="15"/>
        <v>3077210.562764016</v>
      </c>
      <c r="H37" s="226">
        <f t="shared" si="15"/>
        <v>64991.34334954316</v>
      </c>
      <c r="I37" s="226">
        <f t="shared" si="15"/>
        <v>461595.73445785471</v>
      </c>
      <c r="J37" s="226">
        <f t="shared" si="15"/>
        <v>630138.19379540044</v>
      </c>
      <c r="K37" s="226">
        <f t="shared" si="15"/>
        <v>1946318.0378262068</v>
      </c>
      <c r="L37" s="226">
        <f t="shared" si="15"/>
        <v>35360243.473158628</v>
      </c>
      <c r="M37" s="226">
        <f t="shared" si="15"/>
        <v>909458.26505631162</v>
      </c>
      <c r="N37" s="226">
        <f t="shared" si="15"/>
        <v>404014.20430766471</v>
      </c>
      <c r="O37" s="226">
        <f t="shared" si="15"/>
        <v>36673715.9425226</v>
      </c>
    </row>
    <row r="38" spans="1:15" s="77" customFormat="1">
      <c r="A38" s="226"/>
      <c r="B38" s="226"/>
      <c r="C38" s="226"/>
      <c r="D38" s="226"/>
      <c r="E38" s="226"/>
      <c r="F38" s="226"/>
      <c r="G38" s="226"/>
      <c r="H38" s="226"/>
      <c r="I38" s="226"/>
    </row>
    <row r="39" spans="1:15" s="77" customFormat="1">
      <c r="A39" s="226"/>
      <c r="B39" s="226"/>
      <c r="C39" s="226"/>
      <c r="D39" s="226"/>
      <c r="E39" s="226"/>
      <c r="F39" s="226"/>
      <c r="G39" s="226"/>
      <c r="H39" s="226"/>
      <c r="I39" s="226"/>
      <c r="M39" s="177">
        <f>SUM('2.22Rate Base'!K80:N80)</f>
        <v>0</v>
      </c>
    </row>
    <row r="40" spans="1:15" s="77" customFormat="1">
      <c r="A40" s="226"/>
      <c r="B40" s="226"/>
      <c r="C40" s="226"/>
      <c r="D40" s="226"/>
      <c r="E40" s="226"/>
      <c r="F40" s="226"/>
      <c r="G40" s="226"/>
      <c r="H40" s="226"/>
      <c r="I40" s="226"/>
      <c r="M40" s="177">
        <f>SUM('2.22Rate Base'!K81:N81)</f>
        <v>15898784.536037939</v>
      </c>
    </row>
    <row r="41" spans="1:15" s="77" customFormat="1">
      <c r="A41" s="226"/>
      <c r="B41" s="226"/>
      <c r="C41" s="226"/>
      <c r="D41" s="226"/>
      <c r="E41" s="226"/>
      <c r="F41" s="226"/>
      <c r="G41" s="226"/>
      <c r="H41" s="226"/>
      <c r="I41" s="226"/>
      <c r="M41" s="177">
        <f>SUM('2.22Rate Base'!H82:L82)</f>
        <v>0</v>
      </c>
    </row>
    <row r="42" spans="1:15" s="77" customFormat="1">
      <c r="A42" s="226"/>
      <c r="B42" s="226"/>
      <c r="C42" s="226"/>
      <c r="D42" s="226"/>
      <c r="E42" s="226"/>
      <c r="F42" s="226"/>
      <c r="G42" s="226"/>
      <c r="H42" s="226"/>
      <c r="I42" s="226"/>
      <c r="M42" s="177">
        <f>SUM('2.22Rate Base'!H83:L83)</f>
        <v>0.87954601118609466</v>
      </c>
    </row>
    <row r="43" spans="1:15" s="77" customFormat="1">
      <c r="A43" s="226"/>
      <c r="B43" s="226"/>
      <c r="C43" s="226"/>
      <c r="D43" s="226"/>
      <c r="E43" s="226"/>
      <c r="F43" s="226"/>
      <c r="G43" s="226"/>
      <c r="H43" s="226"/>
      <c r="I43" s="226"/>
      <c r="M43" s="177">
        <f>SUM('2.22Rate Base'!H84:L84)</f>
        <v>0</v>
      </c>
    </row>
    <row r="44" spans="1:15" s="77" customFormat="1">
      <c r="A44" s="226"/>
      <c r="B44" s="226"/>
      <c r="C44" s="226"/>
      <c r="D44" s="226"/>
      <c r="E44" s="226"/>
      <c r="F44" s="226"/>
      <c r="G44" s="226"/>
      <c r="H44" s="226"/>
      <c r="I44" s="226"/>
      <c r="M44" s="177">
        <f>SUM('2.22Rate Base'!H85:L85)</f>
        <v>0</v>
      </c>
    </row>
    <row r="45" spans="1:15" s="77" customFormat="1">
      <c r="A45" s="226"/>
      <c r="B45" s="226"/>
      <c r="C45" s="226"/>
      <c r="D45" s="226"/>
      <c r="E45" s="226"/>
      <c r="F45" s="226"/>
      <c r="G45" s="226"/>
      <c r="H45" s="226"/>
      <c r="I45" s="226"/>
      <c r="M45" s="177">
        <f>SUM('2.22Rate Base'!H86:L86)</f>
        <v>0</v>
      </c>
    </row>
    <row r="46" spans="1:15" s="77" customFormat="1">
      <c r="A46" s="226"/>
      <c r="B46" s="226"/>
      <c r="C46" s="226"/>
      <c r="D46" s="226"/>
      <c r="E46" s="226"/>
      <c r="F46" s="226"/>
      <c r="G46" s="226"/>
      <c r="H46" s="226"/>
      <c r="I46" s="226"/>
      <c r="M46" s="177">
        <f>SUM('2.22Rate Base'!H87:L87)</f>
        <v>0</v>
      </c>
    </row>
    <row r="47" spans="1:15" s="77" customFormat="1">
      <c r="A47" s="226"/>
      <c r="B47" s="226"/>
      <c r="C47" s="226"/>
      <c r="D47" s="226"/>
      <c r="E47" s="226"/>
      <c r="F47" s="226"/>
      <c r="G47" s="226"/>
      <c r="H47" s="226"/>
      <c r="I47" s="226"/>
      <c r="M47" s="177">
        <f>SUM('2.22Rate Base'!H88:L88)</f>
        <v>0</v>
      </c>
    </row>
    <row r="48" spans="1:15" s="77" customFormat="1">
      <c r="A48" s="226"/>
      <c r="B48" s="226"/>
      <c r="C48" s="226"/>
      <c r="D48" s="226"/>
      <c r="E48" s="226"/>
      <c r="F48" s="226"/>
      <c r="G48" s="226"/>
      <c r="H48" s="226"/>
      <c r="I48" s="226"/>
      <c r="M48" s="177">
        <f>SUM('2.22Rate Base'!H89:H89)</f>
        <v>0</v>
      </c>
    </row>
    <row r="49" spans="1:13" s="77" customFormat="1">
      <c r="A49" s="226"/>
      <c r="B49" s="226"/>
      <c r="C49" s="226"/>
      <c r="D49" s="226"/>
      <c r="E49" s="226"/>
      <c r="F49" s="226"/>
      <c r="G49" s="226"/>
      <c r="H49" s="226"/>
      <c r="I49" s="226"/>
      <c r="M49" s="177">
        <f>SUM('2.22Rate Base'!H90:H90)</f>
        <v>0</v>
      </c>
    </row>
    <row r="50" spans="1:13" s="207" customFormat="1"/>
    <row r="51" spans="1:13" s="207" customFormat="1">
      <c r="A51" s="211"/>
      <c r="B51" s="213"/>
    </row>
    <row r="52" spans="1:13" s="207" customFormat="1">
      <c r="A52" s="211"/>
      <c r="B52" s="211"/>
    </row>
    <row r="53" spans="1:13" s="207" customFormat="1"/>
    <row r="54" spans="1:13" s="207" customFormat="1">
      <c r="E54" s="218">
        <f>(E25)</f>
        <v>17303555.625082541</v>
      </c>
      <c r="F54" s="218">
        <f>(F25)</f>
        <v>13317.53499815887</v>
      </c>
      <c r="G54" s="218">
        <f>(G25)</f>
        <v>1185472.0771421876</v>
      </c>
      <c r="H54" s="218">
        <f>(H25)</f>
        <v>17018.725802766698</v>
      </c>
      <c r="I54" s="218" t="s">
        <v>1</v>
      </c>
    </row>
    <row r="55" spans="1:13" s="207" customFormat="1"/>
    <row r="56" spans="1:13" s="207" customFormat="1">
      <c r="E56" s="246">
        <f>([8]monthly!$AL$14)</f>
        <v>311873</v>
      </c>
      <c r="F56" s="246">
        <f>([8]monthly!$AL$44)</f>
        <v>20425</v>
      </c>
      <c r="G56" s="246">
        <f>([8]monthly!$AL$75)</f>
        <v>4153</v>
      </c>
      <c r="M56" s="207">
        <v>311873</v>
      </c>
    </row>
    <row r="57" spans="1:13" s="207" customFormat="1">
      <c r="M57" s="207">
        <f>(E25/M56)</f>
        <v>55.482698486507459</v>
      </c>
    </row>
    <row r="58" spans="1:13" s="207" customFormat="1">
      <c r="E58" s="247">
        <f>(E54/E56)</f>
        <v>55.482698486507459</v>
      </c>
      <c r="F58" s="247">
        <f>(F54/F56)</f>
        <v>0.65202129733947956</v>
      </c>
      <c r="G58" s="247">
        <f>(G54/G56)</f>
        <v>285.44957311393875</v>
      </c>
    </row>
    <row r="59" spans="1:13" s="207" customFormat="1"/>
    <row r="60" spans="1:13" s="207" customFormat="1"/>
    <row r="61" spans="1:13" s="207" customFormat="1"/>
    <row r="62" spans="1:13" s="207" customFormat="1"/>
    <row r="63" spans="1:13" s="207" customFormat="1"/>
    <row r="64" spans="1:13" s="207" customFormat="1"/>
    <row r="65" s="207" customFormat="1"/>
    <row r="66" s="207" customFormat="1"/>
    <row r="67" s="207" customFormat="1"/>
    <row r="68" s="207" customFormat="1"/>
    <row r="69" s="207" customFormat="1"/>
    <row r="70" s="207" customFormat="1"/>
    <row r="71" s="207" customFormat="1"/>
    <row r="72" s="207" customFormat="1"/>
    <row r="73" s="207" customFormat="1"/>
    <row r="74" s="207" customFormat="1"/>
    <row r="75" s="207" customFormat="1"/>
    <row r="76" s="207" customFormat="1"/>
    <row r="77" s="207" customFormat="1"/>
    <row r="78" s="207" customFormat="1"/>
    <row r="79" s="207" customFormat="1"/>
    <row r="80" s="207" customFormat="1"/>
    <row r="81" s="207" customFormat="1"/>
    <row r="82" s="207" customFormat="1"/>
  </sheetData>
  <customSheetViews>
    <customSheetView guid="{18050E3F-BBF0-4BF6-9B33-B0817BE1B1C5}" showRuler="0">
      <pane xSplit="3" topLeftCell="D1" activePane="topRight" state="frozen"/>
      <selection pane="topRight" activeCell="Q12" sqref="Q12"/>
      <rowBreaks count="1" manualBreakCount="1">
        <brk id="31" max="8" man="1"/>
      </rowBreaks>
      <pageMargins left="0.75" right="0.75" top="1" bottom="1" header="0.5" footer="0.5"/>
      <printOptions horizontalCentered="1" verticalCentered="1" gridLines="1"/>
      <pageSetup scale="90" orientation="landscape" horizontalDpi="4294967293" r:id="rId1"/>
      <headerFooter alignWithMargins="0">
        <oddHeader>&amp;C&amp;"Arial,Bold"&amp;12MEADE COUNTY RECC
CASE NO. 2010-222
&amp;R&amp;11Exhibit R
Schedule 4
Page ____ of ____
Witness:  Jim Adkins</oddHeader>
      </headerFooter>
    </customSheetView>
  </customSheetViews>
  <mergeCells count="2">
    <mergeCell ref="D21:G21"/>
    <mergeCell ref="J21:O21"/>
  </mergeCells>
  <phoneticPr fontId="3" type="noConversion"/>
  <printOptions horizontalCentered="1" verticalCentered="1" gridLines="1"/>
  <pageMargins left="0.75" right="0.75" top="1" bottom="1" header="0.5" footer="0.5"/>
  <pageSetup scale="79" orientation="landscape" horizontalDpi="4294967293" r:id="rId2"/>
  <headerFooter alignWithMargins="0">
    <oddHeader>&amp;C&amp;"Arial,Bold"&amp;12BLUE GRASS ENERGY COOPERATIVE
CASE NO. 2014-00339
ALLOCATION OF REVENUE REQUIREMENTS TO EACH RATE CLASS
&amp;R&amp;11Revised Exhibit R
Schedule 4
Page ____ of ____
Witness:  Jim Adkins</oddHeader>
  </headerFooter>
  <colBreaks count="1" manualBreakCount="1">
    <brk id="9" max="3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122"/>
  <sheetViews>
    <sheetView topLeftCell="A88" zoomScaleNormal="100" workbookViewId="0">
      <selection activeCell="O98" sqref="O98"/>
    </sheetView>
  </sheetViews>
  <sheetFormatPr defaultRowHeight="12.75"/>
  <cols>
    <col min="1" max="1" width="12.140625" style="100" customWidth="1"/>
    <col min="2" max="2" width="11.28515625" style="100" customWidth="1"/>
    <col min="3" max="3" width="12.28515625" style="100" customWidth="1"/>
    <col min="4" max="4" width="12.140625" style="100" customWidth="1"/>
    <col min="5" max="5" width="11.7109375" style="100" customWidth="1"/>
    <col min="6" max="6" width="13.42578125" style="100" bestFit="1" customWidth="1"/>
    <col min="7" max="7" width="13.140625" style="100" customWidth="1"/>
    <col min="8" max="8" width="12.5703125" style="100" customWidth="1"/>
    <col min="9" max="9" width="10.5703125" style="100" customWidth="1"/>
    <col min="10" max="10" width="13.7109375" style="102" customWidth="1"/>
    <col min="11" max="11" width="12.7109375" style="923" customWidth="1"/>
    <col min="12" max="12" width="13.140625" style="100" customWidth="1"/>
    <col min="13" max="13" width="14.140625" style="100" customWidth="1"/>
    <col min="14" max="16" width="9.140625" style="100"/>
    <col min="17" max="17" width="12.85546875" style="100" bestFit="1" customWidth="1"/>
    <col min="18" max="16384" width="9.140625" style="100"/>
  </cols>
  <sheetData>
    <row r="4" spans="1:17">
      <c r="A4" s="921" t="s">
        <v>238</v>
      </c>
      <c r="B4" s="922"/>
      <c r="C4" s="922"/>
      <c r="D4" s="922"/>
      <c r="E4" s="922"/>
      <c r="F4" s="922"/>
      <c r="G4" s="922"/>
      <c r="H4" s="922"/>
      <c r="I4" s="921" t="s">
        <v>238</v>
      </c>
      <c r="J4" s="922"/>
      <c r="K4" s="922"/>
      <c r="L4" s="922"/>
      <c r="M4" s="922"/>
    </row>
    <row r="5" spans="1:17" ht="13.5" thickBot="1">
      <c r="G5" s="102"/>
    </row>
    <row r="6" spans="1:17">
      <c r="A6" s="924"/>
      <c r="B6" s="925">
        <f>'4 Allocation'!D3</f>
        <v>0</v>
      </c>
      <c r="C6" s="925" t="str">
        <f>'4 Allocation'!E3</f>
        <v>GS 1</v>
      </c>
      <c r="D6" s="925" t="str">
        <f>'4 Allocation'!F3</f>
        <v>GS 1</v>
      </c>
      <c r="E6" s="925" t="str">
        <f>'4 Allocation'!G3</f>
        <v>SC1</v>
      </c>
      <c r="F6" s="925" t="str">
        <f>'4 Allocation'!H3</f>
        <v>SC2</v>
      </c>
      <c r="G6" s="925" t="str">
        <f>'4 Allocation'!I3</f>
        <v>LP1</v>
      </c>
      <c r="H6" s="925" t="str">
        <f>'4 Allocation'!J3</f>
        <v>LP2</v>
      </c>
      <c r="I6" s="212"/>
      <c r="J6" s="448" t="s">
        <v>632</v>
      </c>
      <c r="K6" s="926" t="s">
        <v>533</v>
      </c>
      <c r="L6" s="925" t="str">
        <f>'4 Allocation'!N3</f>
        <v>G-1</v>
      </c>
      <c r="M6" s="925" t="str">
        <f>'4 Allocation'!O3</f>
        <v>Total</v>
      </c>
    </row>
    <row r="7" spans="1:17">
      <c r="A7" s="913"/>
      <c r="B7" s="925" t="str">
        <f>'4 Allocation'!D4</f>
        <v>Enviro</v>
      </c>
      <c r="C7" s="925" t="str">
        <f>'4 Allocation'!E4</f>
        <v>Residential</v>
      </c>
      <c r="D7" s="925" t="str">
        <f>'4 Allocation'!F4</f>
        <v>Residential</v>
      </c>
      <c r="E7" s="925" t="str">
        <f>'4 Allocation'!G4</f>
        <v>Gen Service</v>
      </c>
      <c r="F7" s="925" t="str">
        <f>'4 Allocation'!H4</f>
        <v>Gen Service</v>
      </c>
      <c r="G7" s="925" t="str">
        <f>'4 Allocation'!I4</f>
        <v>Large Power</v>
      </c>
      <c r="H7" s="925" t="str">
        <f>'4 Allocation'!J4</f>
        <v>Large Power</v>
      </c>
      <c r="I7" s="927" t="s">
        <v>631</v>
      </c>
      <c r="J7" s="927" t="s">
        <v>633</v>
      </c>
      <c r="K7" s="926" t="s">
        <v>638</v>
      </c>
      <c r="L7" s="925" t="str">
        <f>'4 Allocation'!N4</f>
        <v>Large Indust.</v>
      </c>
      <c r="M7" s="925" t="str">
        <f>'4 Allocation'!O4</f>
        <v>for All</v>
      </c>
    </row>
    <row r="8" spans="1:17">
      <c r="A8" s="913" t="s">
        <v>147</v>
      </c>
      <c r="B8" s="925" t="str">
        <f>'4 Allocation'!D5</f>
        <v>watts</v>
      </c>
      <c r="C8" s="925" t="str">
        <f>'4 Allocation'!E5</f>
        <v>&amp; Farm</v>
      </c>
      <c r="D8" s="925" t="str">
        <f>'4 Allocation'!F5</f>
        <v>&amp; Farm TOD</v>
      </c>
      <c r="E8" s="925" t="str">
        <f>'4 Allocation'!G5</f>
        <v>0-100 kW</v>
      </c>
      <c r="F8" s="926" t="s">
        <v>637</v>
      </c>
      <c r="G8" s="925" t="str">
        <f>'4 Allocation'!I5</f>
        <v>under 500 kW</v>
      </c>
      <c r="H8" s="925" t="str">
        <f>'4 Allocation'!J5</f>
        <v>over 500 kW</v>
      </c>
      <c r="I8" s="928" t="s">
        <v>550</v>
      </c>
      <c r="J8" s="928" t="s">
        <v>554</v>
      </c>
      <c r="K8" s="926" t="s">
        <v>548</v>
      </c>
      <c r="L8" s="925" t="str">
        <f>'4 Allocation'!N5</f>
        <v>Rate</v>
      </c>
      <c r="M8" s="925" t="str">
        <f>'4 Allocation'!O5</f>
        <v>Rate Classes</v>
      </c>
    </row>
    <row r="9" spans="1:17">
      <c r="A9" s="913"/>
      <c r="B9" s="451"/>
      <c r="C9" s="451"/>
      <c r="D9" s="451"/>
      <c r="E9" s="451"/>
      <c r="F9" s="451"/>
      <c r="G9" s="451"/>
      <c r="H9" s="929"/>
      <c r="I9" s="831"/>
      <c r="J9" s="451"/>
      <c r="K9" s="102" t="s">
        <v>1</v>
      </c>
      <c r="L9" s="102"/>
      <c r="M9" s="102"/>
    </row>
    <row r="10" spans="1:17">
      <c r="A10" s="913" t="s">
        <v>152</v>
      </c>
      <c r="B10" s="930">
        <f>'[9]power cost'!$K11</f>
        <v>22400</v>
      </c>
      <c r="C10" s="930">
        <f>[9]monthly!$D$5-B10+9967232</f>
        <v>94791278</v>
      </c>
      <c r="D10" s="930">
        <f>[9]monthly!$D$6</f>
        <v>68264</v>
      </c>
      <c r="E10" s="930">
        <v>6297194.6480105733</v>
      </c>
      <c r="F10" s="930">
        <v>27586.421798316809</v>
      </c>
      <c r="G10" s="930">
        <v>3088098.4975490873</v>
      </c>
      <c r="H10" s="930">
        <v>8860060.5538305044</v>
      </c>
      <c r="I10" s="931">
        <v>761783</v>
      </c>
      <c r="J10" s="930">
        <f>SUM(C10:I10)</f>
        <v>113894265.12118848</v>
      </c>
      <c r="K10" s="930">
        <v>14910658.508964412</v>
      </c>
      <c r="L10" s="930">
        <v>7693517.492346229</v>
      </c>
      <c r="M10" s="930">
        <f>[9]monthly!$D$16</f>
        <v>8193000</v>
      </c>
      <c r="Q10" s="123"/>
    </row>
    <row r="11" spans="1:17">
      <c r="A11" s="913" t="s">
        <v>153</v>
      </c>
      <c r="B11" s="930">
        <f>'[9]power cost'!$K12</f>
        <v>22300</v>
      </c>
      <c r="C11" s="930">
        <f>[9]monthly!$D$28-B11</f>
        <v>91210021</v>
      </c>
      <c r="D11" s="930">
        <f>[9]monthly!$D$29</f>
        <v>79940</v>
      </c>
      <c r="E11" s="930">
        <v>6698555.8051749058</v>
      </c>
      <c r="F11" s="930">
        <v>28681.671370150874</v>
      </c>
      <c r="G11" s="930">
        <v>3519045.5984820593</v>
      </c>
      <c r="H11" s="930">
        <v>8959354.799847737</v>
      </c>
      <c r="I11" s="931">
        <v>757450</v>
      </c>
      <c r="J11" s="930">
        <f t="shared" ref="J11:J21" si="0">SUM(C11:I11)</f>
        <v>111253048.87487485</v>
      </c>
      <c r="K11" s="930">
        <v>15686841.045161771</v>
      </c>
      <c r="L11" s="930">
        <v>8652944.3796270527</v>
      </c>
      <c r="M11" s="930">
        <f>[9]monthly!$D$39</f>
        <v>9202200</v>
      </c>
      <c r="Q11" s="123"/>
    </row>
    <row r="12" spans="1:17">
      <c r="A12" s="913" t="s">
        <v>154</v>
      </c>
      <c r="B12" s="930">
        <f>'[9]power cost'!$K13</f>
        <v>22300</v>
      </c>
      <c r="C12" s="930">
        <f>[9]monthly!$D$51-B12</f>
        <v>77569528</v>
      </c>
      <c r="D12" s="930">
        <f>[9]monthly!$D$52</f>
        <v>69966</v>
      </c>
      <c r="E12" s="930">
        <v>5881176.5653616842</v>
      </c>
      <c r="F12" s="930">
        <v>38826.062632750276</v>
      </c>
      <c r="G12" s="930">
        <v>3104981.2976937531</v>
      </c>
      <c r="H12" s="930">
        <v>8407181.9195567761</v>
      </c>
      <c r="I12" s="931">
        <v>757303</v>
      </c>
      <c r="J12" s="930">
        <f t="shared" si="0"/>
        <v>95828962.845244974</v>
      </c>
      <c r="K12" s="930">
        <v>14024180.473554762</v>
      </c>
      <c r="L12" s="930">
        <v>8442956.6080712508</v>
      </c>
      <c r="M12" s="930">
        <f>[9]monthly!$D$62</f>
        <v>6657086</v>
      </c>
      <c r="Q12" s="123"/>
    </row>
    <row r="13" spans="1:17">
      <c r="A13" s="913" t="s">
        <v>155</v>
      </c>
      <c r="B13" s="930">
        <f>'[9]power cost'!$K14</f>
        <v>22300</v>
      </c>
      <c r="C13" s="930">
        <f>[9]monthly!$D$74-B13</f>
        <v>70192095</v>
      </c>
      <c r="D13" s="930">
        <f>[9]monthly!$D$75</f>
        <v>61586</v>
      </c>
      <c r="E13" s="930">
        <v>6115516.943748503</v>
      </c>
      <c r="F13" s="930">
        <v>28926.179369053545</v>
      </c>
      <c r="G13" s="930">
        <v>3383527.4403549535</v>
      </c>
      <c r="H13" s="930">
        <v>7568428.0853136349</v>
      </c>
      <c r="I13" s="931">
        <v>754585</v>
      </c>
      <c r="J13" s="930">
        <f t="shared" si="0"/>
        <v>88104664.648786142</v>
      </c>
      <c r="K13" s="930">
        <v>15181989.355161622</v>
      </c>
      <c r="L13" s="930">
        <v>9029474.1768995281</v>
      </c>
      <c r="M13" s="930">
        <f>[9]monthly!$D$85</f>
        <v>9608403</v>
      </c>
      <c r="Q13" s="123"/>
    </row>
    <row r="14" spans="1:17">
      <c r="A14" s="913" t="s">
        <v>156</v>
      </c>
      <c r="B14" s="930">
        <f>'[9]power cost'!$K15</f>
        <v>22300</v>
      </c>
      <c r="C14" s="930">
        <f>[9]monthly!$D$97-B14</f>
        <v>45494862</v>
      </c>
      <c r="D14" s="930">
        <f>[9]monthly!$D$98</f>
        <v>23880</v>
      </c>
      <c r="E14" s="930">
        <v>4832354.2463853359</v>
      </c>
      <c r="F14" s="930">
        <v>29596.161642570438</v>
      </c>
      <c r="G14" s="930">
        <v>2696909.2381912284</v>
      </c>
      <c r="H14" s="930">
        <v>6180999.5420484319</v>
      </c>
      <c r="I14" s="931">
        <v>751816</v>
      </c>
      <c r="J14" s="930">
        <f t="shared" si="0"/>
        <v>60010417.188267566</v>
      </c>
      <c r="K14" s="930">
        <v>14983339.912530595</v>
      </c>
      <c r="L14" s="930">
        <v>7939710.0521013085</v>
      </c>
      <c r="M14" s="930">
        <f>[9]monthly!$D$108</f>
        <v>10207157</v>
      </c>
      <c r="Q14" s="123"/>
    </row>
    <row r="15" spans="1:17">
      <c r="A15" s="913" t="s">
        <v>157</v>
      </c>
      <c r="B15" s="930">
        <f>'[9]power cost'!$K16</f>
        <v>22900</v>
      </c>
      <c r="C15" s="930">
        <f>[9]monthly!$D$120-B15</f>
        <v>52727753</v>
      </c>
      <c r="D15" s="930">
        <f>[9]monthly!$D$121</f>
        <v>9575</v>
      </c>
      <c r="E15" s="930">
        <v>5314498.9230808327</v>
      </c>
      <c r="F15" s="930">
        <v>44547.508411813411</v>
      </c>
      <c r="G15" s="930">
        <v>2902577.5946951741</v>
      </c>
      <c r="H15" s="930">
        <v>6253384.7783048982</v>
      </c>
      <c r="I15" s="931">
        <v>750281</v>
      </c>
      <c r="J15" s="930">
        <f t="shared" si="0"/>
        <v>68002617.804492712</v>
      </c>
      <c r="K15" s="930">
        <v>16663436.18472356</v>
      </c>
      <c r="L15" s="930">
        <v>7603005.5218480378</v>
      </c>
      <c r="M15" s="930">
        <f>[9]monthly!$D$131</f>
        <v>10335610</v>
      </c>
      <c r="Q15" s="123"/>
    </row>
    <row r="16" spans="1:17">
      <c r="A16" s="913" t="s">
        <v>158</v>
      </c>
      <c r="B16" s="930">
        <f>'[9]power cost'!$K17</f>
        <v>22900</v>
      </c>
      <c r="C16" s="930">
        <f>[9]monthly!$D$143-B16</f>
        <v>60554570</v>
      </c>
      <c r="D16" s="930">
        <f>[9]monthly!$D$144</f>
        <v>8960</v>
      </c>
      <c r="E16" s="930">
        <v>5836864.9301758129</v>
      </c>
      <c r="F16" s="930">
        <v>55765.485727156745</v>
      </c>
      <c r="G16" s="930">
        <v>3276981.410444166</v>
      </c>
      <c r="H16" s="930">
        <v>5759604.4491948029</v>
      </c>
      <c r="I16" s="931">
        <v>748732</v>
      </c>
      <c r="J16" s="930">
        <f t="shared" si="0"/>
        <v>76241478.275541931</v>
      </c>
      <c r="K16" s="930">
        <v>17689008.011324562</v>
      </c>
      <c r="L16" s="930">
        <v>7385776.7926523797</v>
      </c>
      <c r="M16" s="930">
        <f>[9]monthly!$D$154</f>
        <v>9445089</v>
      </c>
      <c r="Q16" s="123"/>
    </row>
    <row r="17" spans="1:17">
      <c r="A17" s="913" t="s">
        <v>159</v>
      </c>
      <c r="B17" s="930">
        <f>'[9]power cost'!$K18</f>
        <v>22900</v>
      </c>
      <c r="C17" s="930">
        <f>[9]monthly!$D$166-B17</f>
        <v>62816785</v>
      </c>
      <c r="D17" s="930">
        <f>[9]monthly!$D$167</f>
        <v>8429</v>
      </c>
      <c r="E17" s="930">
        <v>6107165.9048096258</v>
      </c>
      <c r="F17" s="930">
        <v>60631.36048635756</v>
      </c>
      <c r="G17" s="930">
        <v>3377909.1123577598</v>
      </c>
      <c r="H17" s="930">
        <v>6113996.1077441182</v>
      </c>
      <c r="I17" s="931">
        <v>746269</v>
      </c>
      <c r="J17" s="930">
        <f t="shared" si="0"/>
        <v>79231185.48539786</v>
      </c>
      <c r="K17" s="930">
        <v>19233928.627289314</v>
      </c>
      <c r="L17" s="930">
        <v>8290896.4976342898</v>
      </c>
      <c r="M17" s="930">
        <f>[9]monthly!$D$177</f>
        <v>4067400</v>
      </c>
      <c r="Q17" s="123"/>
    </row>
    <row r="18" spans="1:17">
      <c r="A18" s="913" t="s">
        <v>148</v>
      </c>
      <c r="B18" s="930">
        <f>'[9]power cost'!$K19</f>
        <v>22900</v>
      </c>
      <c r="C18" s="930">
        <f>[9]monthly!$D$189-B18</f>
        <v>61312321</v>
      </c>
      <c r="D18" s="930">
        <f>[9]monthly!$D$190</f>
        <v>7870</v>
      </c>
      <c r="E18" s="930">
        <v>6159317.2908360744</v>
      </c>
      <c r="F18" s="930">
        <v>57660.0777581574</v>
      </c>
      <c r="G18" s="930">
        <v>3425672.6567612067</v>
      </c>
      <c r="H18" s="930">
        <v>5320987.5900942832</v>
      </c>
      <c r="I18" s="931">
        <v>745410</v>
      </c>
      <c r="J18" s="930">
        <f t="shared" si="0"/>
        <v>77029238.615449741</v>
      </c>
      <c r="K18" s="930">
        <v>20015988.365931377</v>
      </c>
      <c r="L18" s="930">
        <v>9503756.9023100473</v>
      </c>
      <c r="M18" s="930">
        <f>[9]monthly!$D$200</f>
        <v>4721100</v>
      </c>
      <c r="Q18" s="123"/>
    </row>
    <row r="19" spans="1:17">
      <c r="A19" s="913" t="s">
        <v>149</v>
      </c>
      <c r="B19" s="930">
        <f>'[9]power cost'!$K20</f>
        <v>22900</v>
      </c>
      <c r="C19" s="930">
        <f>[9]monthly!$D$212-B19</f>
        <v>45844768</v>
      </c>
      <c r="D19" s="930">
        <f>[9]monthly!$D$213</f>
        <v>5719</v>
      </c>
      <c r="E19" s="930">
        <v>4853487.4877816755</v>
      </c>
      <c r="F19" s="930">
        <v>67313.038299485997</v>
      </c>
      <c r="G19" s="930">
        <v>2996739.5522968094</v>
      </c>
      <c r="H19" s="930">
        <v>4623506.0570951737</v>
      </c>
      <c r="I19" s="931">
        <v>744042</v>
      </c>
      <c r="J19" s="930">
        <f t="shared" si="0"/>
        <v>59135575.135473147</v>
      </c>
      <c r="K19" s="930">
        <v>17964061.085736752</v>
      </c>
      <c r="L19" s="930">
        <v>9945455.3183412179</v>
      </c>
      <c r="M19" s="930">
        <f>[9]monthly!$D$223</f>
        <v>4230000</v>
      </c>
      <c r="Q19" s="123"/>
    </row>
    <row r="20" spans="1:17">
      <c r="A20" s="913" t="s">
        <v>150</v>
      </c>
      <c r="B20" s="930">
        <f>'[9]power cost'!$K21</f>
        <v>22900</v>
      </c>
      <c r="C20" s="930">
        <f>[9]monthly!$D$235-B20</f>
        <v>53321987</v>
      </c>
      <c r="D20" s="930">
        <f>[9]monthly!$D$236</f>
        <v>32885</v>
      </c>
      <c r="E20" s="930">
        <v>5080669.8327923147</v>
      </c>
      <c r="F20" s="930">
        <v>101784.94057141614</v>
      </c>
      <c r="G20" s="930">
        <v>2853472.4558313857</v>
      </c>
      <c r="H20" s="930">
        <v>5671342.8971794834</v>
      </c>
      <c r="I20" s="931">
        <v>744423</v>
      </c>
      <c r="J20" s="930">
        <f t="shared" si="0"/>
        <v>67806565.126374602</v>
      </c>
      <c r="K20" s="930">
        <v>16496327.728545787</v>
      </c>
      <c r="L20" s="930">
        <v>10025105.852379628</v>
      </c>
      <c r="M20" s="930">
        <f>[9]monthly!$D$246</f>
        <v>4396200</v>
      </c>
      <c r="Q20" s="123"/>
    </row>
    <row r="21" spans="1:17">
      <c r="A21" s="913" t="s">
        <v>151</v>
      </c>
      <c r="B21" s="930">
        <f>'[9]power cost'!$K22</f>
        <v>22800</v>
      </c>
      <c r="C21" s="930">
        <f>[9]monthly!$D$258-B21</f>
        <v>78103838</v>
      </c>
      <c r="D21" s="930">
        <f>[9]monthly!$D$259</f>
        <v>60373</v>
      </c>
      <c r="E21" s="930">
        <v>7229102.4218426608</v>
      </c>
      <c r="F21" s="930">
        <v>117840.09193277081</v>
      </c>
      <c r="G21" s="930">
        <v>2875132.1453424175</v>
      </c>
      <c r="H21" s="930">
        <v>7222378.2197901569</v>
      </c>
      <c r="I21" s="932">
        <v>746813</v>
      </c>
      <c r="J21" s="930">
        <f t="shared" si="0"/>
        <v>96355476.878908023</v>
      </c>
      <c r="K21" s="930">
        <v>15244287.701075491</v>
      </c>
      <c r="L21" s="930">
        <v>9554443.6057890356</v>
      </c>
      <c r="M21" s="930">
        <f>[9]monthly!$D$269</f>
        <v>4043400</v>
      </c>
      <c r="Q21" s="123"/>
    </row>
    <row r="22" spans="1:17" ht="13.5" thickBot="1">
      <c r="A22" s="913"/>
      <c r="B22" s="914">
        <f>SUM(B10:B21)</f>
        <v>271800</v>
      </c>
      <c r="C22" s="914">
        <f>([10]summary!$C$10)</f>
        <v>793939806</v>
      </c>
      <c r="D22" s="914">
        <f>SUM(D10:D21)</f>
        <v>437447</v>
      </c>
      <c r="E22" s="914">
        <v>70405905</v>
      </c>
      <c r="F22" s="914">
        <v>659159</v>
      </c>
      <c r="G22" s="914">
        <f>34051767+3449280</f>
        <v>37501047</v>
      </c>
      <c r="H22" s="914">
        <v>80941225</v>
      </c>
      <c r="I22" s="914">
        <v>9008707</v>
      </c>
      <c r="J22" s="914">
        <f>SUM(C22:I22)</f>
        <v>992893296</v>
      </c>
      <c r="K22" s="914">
        <f>34208283+26012696+49843353+43068317+44961398</f>
        <v>198094047</v>
      </c>
      <c r="L22" s="914">
        <f>('[10]rate schedules'!$B$244)</f>
        <v>104067043.2</v>
      </c>
      <c r="M22" s="914">
        <f>SUM(J22:L22)</f>
        <v>1295054386.2</v>
      </c>
      <c r="Q22" s="914"/>
    </row>
    <row r="23" spans="1:17" ht="13.5" thickTop="1">
      <c r="A23" s="913"/>
      <c r="B23" s="933"/>
      <c r="C23" s="934" t="s">
        <v>1</v>
      </c>
      <c r="D23" s="934" t="s">
        <v>1</v>
      </c>
      <c r="E23" s="934" t="s">
        <v>1</v>
      </c>
      <c r="F23" s="934" t="s">
        <v>1</v>
      </c>
      <c r="G23" s="934" t="s">
        <v>1</v>
      </c>
      <c r="H23" s="934" t="s">
        <v>1</v>
      </c>
      <c r="I23" s="934" t="s">
        <v>1</v>
      </c>
      <c r="J23" s="935" t="s">
        <v>1</v>
      </c>
      <c r="K23" s="936" t="s">
        <v>1</v>
      </c>
      <c r="L23" s="936" t="s">
        <v>1</v>
      </c>
      <c r="M23" s="936" t="s">
        <v>1</v>
      </c>
    </row>
    <row r="24" spans="1:17">
      <c r="A24" s="913" t="s">
        <v>110</v>
      </c>
      <c r="B24" s="937">
        <v>0</v>
      </c>
      <c r="C24" s="937">
        <f t="shared" ref="C24:I24" si="1">(C22/($J$22))</f>
        <v>0.7996224863220347</v>
      </c>
      <c r="D24" s="937">
        <f t="shared" si="1"/>
        <v>4.4057805784600642E-4</v>
      </c>
      <c r="E24" s="937">
        <f t="shared" si="1"/>
        <v>7.0909840245310704E-2</v>
      </c>
      <c r="F24" s="937">
        <f t="shared" si="1"/>
        <v>6.6387697716915591E-4</v>
      </c>
      <c r="G24" s="937">
        <f t="shared" si="1"/>
        <v>3.7769463396598459E-2</v>
      </c>
      <c r="H24" s="937">
        <f>(H22/($J$22))</f>
        <v>8.1520567543443265E-2</v>
      </c>
      <c r="I24" s="937">
        <f t="shared" si="1"/>
        <v>9.0731874575976593E-3</v>
      </c>
      <c r="J24" s="937">
        <f>J22/$J$22</f>
        <v>1</v>
      </c>
      <c r="K24" s="938" t="s">
        <v>1</v>
      </c>
      <c r="L24" s="938" t="s">
        <v>1</v>
      </c>
      <c r="M24" s="938" t="s">
        <v>1</v>
      </c>
      <c r="Q24" s="939"/>
    </row>
    <row r="25" spans="1:17">
      <c r="A25" s="940" t="s">
        <v>1</v>
      </c>
      <c r="B25" s="454"/>
      <c r="C25" s="454"/>
      <c r="D25" s="941"/>
      <c r="E25" s="454"/>
      <c r="F25" s="941"/>
      <c r="G25" s="457"/>
      <c r="H25" s="942"/>
      <c r="I25" s="943"/>
      <c r="J25" s="944"/>
      <c r="K25" s="122"/>
      <c r="L25" s="102"/>
      <c r="M25" s="102"/>
      <c r="Q25" s="945" t="s">
        <v>1</v>
      </c>
    </row>
    <row r="26" spans="1:17"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</row>
    <row r="27" spans="1:17">
      <c r="A27" s="913"/>
      <c r="B27" s="451"/>
      <c r="C27" s="77"/>
      <c r="D27" s="77"/>
      <c r="E27" s="77"/>
      <c r="F27" s="77"/>
      <c r="G27" s="77"/>
      <c r="H27" s="77"/>
      <c r="I27" s="102"/>
    </row>
    <row r="28" spans="1:17">
      <c r="A28" s="913" t="s">
        <v>1</v>
      </c>
      <c r="B28" s="933"/>
      <c r="C28" s="933"/>
      <c r="D28" s="933"/>
      <c r="E28" s="933"/>
      <c r="F28" s="933"/>
      <c r="G28" s="933"/>
      <c r="H28" s="933"/>
      <c r="I28" s="933"/>
      <c r="J28" s="933"/>
      <c r="K28" s="933"/>
      <c r="L28" s="933"/>
      <c r="M28" s="933"/>
    </row>
    <row r="29" spans="1:17">
      <c r="A29" s="102" t="s">
        <v>1</v>
      </c>
      <c r="B29" s="831"/>
      <c r="C29" s="933"/>
      <c r="D29" s="933"/>
      <c r="E29" s="933"/>
      <c r="F29" s="933"/>
      <c r="G29" s="933"/>
      <c r="H29" s="933"/>
      <c r="I29" s="122"/>
      <c r="J29" s="939"/>
      <c r="K29" s="946"/>
      <c r="L29" s="947"/>
      <c r="M29" s="947"/>
    </row>
    <row r="30" spans="1:17" ht="13.5" thickBot="1">
      <c r="A30" s="948" t="s">
        <v>1</v>
      </c>
      <c r="B30" s="949" t="s">
        <v>1</v>
      </c>
      <c r="C30" s="949" t="s">
        <v>1</v>
      </c>
      <c r="D30" s="949" t="s">
        <v>1</v>
      </c>
      <c r="E30" s="949" t="s">
        <v>1</v>
      </c>
      <c r="F30" s="949" t="s">
        <v>1</v>
      </c>
      <c r="G30" s="949" t="s">
        <v>1</v>
      </c>
      <c r="H30" s="949" t="s">
        <v>1</v>
      </c>
      <c r="I30" s="949" t="s">
        <v>1</v>
      </c>
      <c r="J30" s="949" t="s">
        <v>1</v>
      </c>
      <c r="K30" s="949" t="s">
        <v>1</v>
      </c>
      <c r="L30" s="949" t="s">
        <v>1</v>
      </c>
      <c r="M30" s="949" t="s">
        <v>1</v>
      </c>
      <c r="N30" s="949" t="s">
        <v>1</v>
      </c>
    </row>
    <row r="33" spans="1:13">
      <c r="A33" s="921" t="s">
        <v>324</v>
      </c>
      <c r="B33" s="922"/>
      <c r="C33" s="922"/>
      <c r="D33" s="922"/>
      <c r="E33" s="922"/>
      <c r="F33" s="922"/>
      <c r="G33" s="922"/>
      <c r="H33" s="922"/>
      <c r="I33" s="921" t="s">
        <v>324</v>
      </c>
      <c r="J33" s="922"/>
      <c r="K33" s="922"/>
      <c r="L33" s="922"/>
      <c r="M33" s="922"/>
    </row>
    <row r="35" spans="1:13">
      <c r="A35" s="950"/>
      <c r="B35" s="212">
        <f t="shared" ref="B35:F36" si="2">(B6)</f>
        <v>0</v>
      </c>
      <c r="C35" s="212" t="str">
        <f t="shared" si="2"/>
        <v>GS 1</v>
      </c>
      <c r="D35" s="212" t="str">
        <f t="shared" si="2"/>
        <v>GS 1</v>
      </c>
      <c r="E35" s="212" t="str">
        <f>(E6)</f>
        <v>SC1</v>
      </c>
      <c r="F35" s="212" t="str">
        <f t="shared" si="2"/>
        <v>SC2</v>
      </c>
      <c r="G35" s="212" t="str">
        <f t="shared" ref="G35:H37" si="3">(G6)</f>
        <v>LP1</v>
      </c>
      <c r="H35" s="212" t="str">
        <f t="shared" si="3"/>
        <v>LP2</v>
      </c>
      <c r="I35" s="449"/>
      <c r="J35" s="951" t="s">
        <v>632</v>
      </c>
      <c r="K35" s="952" t="s">
        <v>533</v>
      </c>
      <c r="L35" s="212" t="str">
        <f>(L6)</f>
        <v>G-1</v>
      </c>
      <c r="M35" s="448" t="s">
        <v>15</v>
      </c>
    </row>
    <row r="36" spans="1:13">
      <c r="A36" s="450"/>
      <c r="B36" s="601" t="str">
        <f t="shared" si="2"/>
        <v>Enviro</v>
      </c>
      <c r="C36" s="601" t="str">
        <f t="shared" si="2"/>
        <v>Residential</v>
      </c>
      <c r="D36" s="601" t="str">
        <f t="shared" si="2"/>
        <v>Residential</v>
      </c>
      <c r="E36" s="601" t="str">
        <f>(E7)</f>
        <v>Gen Service</v>
      </c>
      <c r="F36" s="601" t="str">
        <f t="shared" si="2"/>
        <v>Gen Service</v>
      </c>
      <c r="G36" s="601" t="str">
        <f t="shared" si="3"/>
        <v>Large Power</v>
      </c>
      <c r="H36" s="601" t="str">
        <f t="shared" si="3"/>
        <v>Large Power</v>
      </c>
      <c r="I36" s="953" t="s">
        <v>631</v>
      </c>
      <c r="J36" s="954" t="s">
        <v>633</v>
      </c>
      <c r="K36" s="952" t="s">
        <v>547</v>
      </c>
      <c r="L36" s="601" t="str">
        <f>(L7)</f>
        <v>Large Indust.</v>
      </c>
      <c r="M36" s="927" t="s">
        <v>634</v>
      </c>
    </row>
    <row r="37" spans="1:13">
      <c r="A37" s="450" t="str">
        <f>(A8)</f>
        <v>Month</v>
      </c>
      <c r="B37" s="928" t="str">
        <f>(B8)</f>
        <v>watts</v>
      </c>
      <c r="C37" s="928" t="str">
        <f>(C8)</f>
        <v>&amp; Farm</v>
      </c>
      <c r="D37" s="928" t="str">
        <f>(D8)</f>
        <v>&amp; Farm TOD</v>
      </c>
      <c r="E37" s="928" t="str">
        <f>(E8)</f>
        <v>0-100 kW</v>
      </c>
      <c r="F37" s="928" t="s">
        <v>636</v>
      </c>
      <c r="G37" s="928" t="str">
        <f t="shared" si="3"/>
        <v>under 500 kW</v>
      </c>
      <c r="H37" s="928" t="str">
        <f t="shared" si="3"/>
        <v>over 500 kW</v>
      </c>
      <c r="I37" s="955" t="s">
        <v>550</v>
      </c>
      <c r="J37" s="956" t="s">
        <v>554</v>
      </c>
      <c r="K37" s="126" t="s">
        <v>548</v>
      </c>
      <c r="L37" s="928" t="str">
        <f>(L8)</f>
        <v>Rate</v>
      </c>
      <c r="M37" s="928" t="s">
        <v>635</v>
      </c>
    </row>
    <row r="38" spans="1:13">
      <c r="A38" s="450" t="s">
        <v>1</v>
      </c>
      <c r="B38" s="451"/>
      <c r="C38" s="451"/>
      <c r="D38" s="451"/>
      <c r="E38" s="451"/>
      <c r="F38" s="451"/>
      <c r="G38" s="451"/>
      <c r="H38" s="923"/>
      <c r="J38" s="831"/>
      <c r="K38" s="100"/>
      <c r="L38" s="451"/>
      <c r="M38" s="102"/>
    </row>
    <row r="39" spans="1:13">
      <c r="A39" s="450" t="str">
        <f>A10</f>
        <v>January</v>
      </c>
      <c r="B39" s="957">
        <v>0</v>
      </c>
      <c r="C39" s="190">
        <f>201121+119+1327</f>
        <v>202567</v>
      </c>
      <c r="D39" s="190">
        <f>[11]CP!$D$12</f>
        <v>276.95246974747215</v>
      </c>
      <c r="E39" s="190">
        <f>(36582+391)</f>
        <v>36973</v>
      </c>
      <c r="F39" s="190">
        <f>(D39*1.75)</f>
        <v>484.66682205807626</v>
      </c>
      <c r="G39" s="190">
        <f>8013+852</f>
        <v>8865</v>
      </c>
      <c r="H39" s="190">
        <f>3510+8273+1068</f>
        <v>12851</v>
      </c>
      <c r="I39" s="958">
        <v>5978</v>
      </c>
      <c r="J39" s="190">
        <f t="shared" ref="J39:J50" si="4">SUM(B39:I39)</f>
        <v>267995.61929180555</v>
      </c>
      <c r="K39" s="190">
        <f>3960+4593+5996+4993+5138</f>
        <v>24680</v>
      </c>
      <c r="L39" s="200">
        <v>15000</v>
      </c>
      <c r="M39" s="190">
        <f t="shared" ref="M39:M51" si="5">SUM(J39,K39,L39)</f>
        <v>307675.61929180555</v>
      </c>
    </row>
    <row r="40" spans="1:13">
      <c r="A40" s="450" t="str">
        <f t="shared" ref="A40:A50" si="6">A11</f>
        <v>February</v>
      </c>
      <c r="B40" s="957">
        <v>0</v>
      </c>
      <c r="C40" s="190">
        <f>208901+123+1621</f>
        <v>210645</v>
      </c>
      <c r="D40" s="190">
        <f>[11]CP!$E$12</f>
        <v>240.94535236416624</v>
      </c>
      <c r="E40" s="190">
        <f>28533+347</f>
        <v>28880</v>
      </c>
      <c r="F40" s="190">
        <f t="shared" ref="F40:F50" si="7">(D40*1.75)</f>
        <v>421.65436663729093</v>
      </c>
      <c r="G40" s="190">
        <f>5630+592</f>
        <v>6222</v>
      </c>
      <c r="H40" s="190">
        <f>3340+6654+944</f>
        <v>10938</v>
      </c>
      <c r="I40" s="959">
        <v>5300</v>
      </c>
      <c r="J40" s="190">
        <f t="shared" si="4"/>
        <v>262647.59971900145</v>
      </c>
      <c r="K40" s="190">
        <f>(4380+4197+6636+5144+5345)</f>
        <v>25702</v>
      </c>
      <c r="L40" s="200">
        <v>15000</v>
      </c>
      <c r="M40" s="190">
        <f t="shared" si="5"/>
        <v>303349.59971900145</v>
      </c>
    </row>
    <row r="41" spans="1:13">
      <c r="A41" s="450" t="str">
        <f t="shared" si="6"/>
        <v>March</v>
      </c>
      <c r="B41" s="957">
        <v>0</v>
      </c>
      <c r="C41" s="190">
        <f>178038+104+1708</f>
        <v>179850</v>
      </c>
      <c r="D41" s="190">
        <f>[11]CP!$F$12</f>
        <v>233.67016998433093</v>
      </c>
      <c r="E41" s="190">
        <f>27338+383</f>
        <v>27721</v>
      </c>
      <c r="F41" s="190">
        <f t="shared" si="7"/>
        <v>408.92279747257913</v>
      </c>
      <c r="G41" s="190">
        <f>5204+705</f>
        <v>5909</v>
      </c>
      <c r="H41" s="190">
        <f>3227+7947+979</f>
        <v>12153</v>
      </c>
      <c r="I41" s="959">
        <v>5500</v>
      </c>
      <c r="J41" s="190">
        <f t="shared" si="4"/>
        <v>231775.59296745691</v>
      </c>
      <c r="K41" s="190">
        <f>SUM([12]CP!F23,[12]CP!F25,[12]CP!F26,[12]CP!F27,[12]CP!F28)</f>
        <v>25102.559999999998</v>
      </c>
      <c r="L41" s="200">
        <v>15000</v>
      </c>
      <c r="M41" s="190">
        <f t="shared" si="5"/>
        <v>271878.1529674569</v>
      </c>
    </row>
    <row r="42" spans="1:13">
      <c r="A42" s="450" t="str">
        <f t="shared" si="6"/>
        <v>April</v>
      </c>
      <c r="B42" s="957">
        <v>0</v>
      </c>
      <c r="C42" s="190">
        <f>130114+76+1629</f>
        <v>131819</v>
      </c>
      <c r="D42" s="190">
        <f>[11]CP!$G$12</f>
        <v>157.5792470210173</v>
      </c>
      <c r="E42" s="190">
        <f>26167+326</f>
        <v>26493</v>
      </c>
      <c r="F42" s="190">
        <f t="shared" si="7"/>
        <v>275.76368228678029</v>
      </c>
      <c r="G42" s="190">
        <f>4485+596</f>
        <v>5081</v>
      </c>
      <c r="H42" s="190">
        <f>3059+7071+989</f>
        <v>11119</v>
      </c>
      <c r="I42" s="959">
        <v>0</v>
      </c>
      <c r="J42" s="190">
        <f t="shared" si="4"/>
        <v>174945.34292930781</v>
      </c>
      <c r="K42" s="190">
        <f>3685+4360+6364+5124+6121</f>
        <v>25654</v>
      </c>
      <c r="L42" s="200">
        <v>15000</v>
      </c>
      <c r="M42" s="190">
        <f t="shared" si="5"/>
        <v>215599.34292930781</v>
      </c>
    </row>
    <row r="43" spans="1:13">
      <c r="A43" s="450" t="str">
        <f t="shared" si="6"/>
        <v>May</v>
      </c>
      <c r="B43" s="957">
        <v>0</v>
      </c>
      <c r="C43" s="190">
        <f>113971+67+1651</f>
        <v>115689</v>
      </c>
      <c r="D43" s="190">
        <f>[11]CP!$H$12</f>
        <v>162.14346017477959</v>
      </c>
      <c r="E43" s="190">
        <f>28446+369</f>
        <v>28815</v>
      </c>
      <c r="F43" s="190">
        <f t="shared" si="7"/>
        <v>283.75105530586427</v>
      </c>
      <c r="G43" s="190">
        <f>4911+465</f>
        <v>5376</v>
      </c>
      <c r="H43" s="190">
        <f>3702+8143+1186</f>
        <v>13031</v>
      </c>
      <c r="I43" s="959">
        <v>0</v>
      </c>
      <c r="J43" s="190">
        <f t="shared" si="4"/>
        <v>163356.89451548064</v>
      </c>
      <c r="K43" s="190">
        <f>4514+3287+5339+847+6322</f>
        <v>20309</v>
      </c>
      <c r="L43" s="200">
        <v>15000</v>
      </c>
      <c r="M43" s="190">
        <f t="shared" si="5"/>
        <v>198665.89451548064</v>
      </c>
    </row>
    <row r="44" spans="1:13">
      <c r="A44" s="450" t="str">
        <f t="shared" si="6"/>
        <v>June</v>
      </c>
      <c r="B44" s="957">
        <v>0</v>
      </c>
      <c r="C44" s="190">
        <f>145922+85+2492</f>
        <v>148499</v>
      </c>
      <c r="D44" s="190">
        <f>[11]CP!$I$12</f>
        <v>158.51317372621949</v>
      </c>
      <c r="E44" s="190">
        <f>27078+330</f>
        <v>27408</v>
      </c>
      <c r="F44" s="190">
        <f t="shared" si="7"/>
        <v>277.3980540208841</v>
      </c>
      <c r="G44" s="190">
        <f>4538+412</f>
        <v>4950</v>
      </c>
      <c r="H44" s="190">
        <f>3976+7950+1075</f>
        <v>13001</v>
      </c>
      <c r="I44" s="959">
        <v>0</v>
      </c>
      <c r="J44" s="190">
        <f t="shared" si="4"/>
        <v>194293.9112277471</v>
      </c>
      <c r="K44" s="190">
        <f>4859+3239+6047+4902+7080</f>
        <v>26127</v>
      </c>
      <c r="L44" s="200">
        <v>15000</v>
      </c>
      <c r="M44" s="190">
        <f t="shared" si="5"/>
        <v>235420.9112277471</v>
      </c>
    </row>
    <row r="45" spans="1:13">
      <c r="A45" s="450" t="str">
        <f t="shared" si="6"/>
        <v>July</v>
      </c>
      <c r="B45" s="957">
        <v>0</v>
      </c>
      <c r="C45" s="190">
        <f>153107+90+2600</f>
        <v>155797</v>
      </c>
      <c r="D45" s="190">
        <f>[11]CP!$J$12</f>
        <v>174.58083784547969</v>
      </c>
      <c r="E45" s="190">
        <f>28973+335</f>
        <v>29308</v>
      </c>
      <c r="F45" s="190">
        <f t="shared" si="7"/>
        <v>305.51646622958947</v>
      </c>
      <c r="G45" s="190">
        <f>5013+378</f>
        <v>5391</v>
      </c>
      <c r="H45" s="190">
        <f>3829+8446+1044</f>
        <v>13319</v>
      </c>
      <c r="I45" s="959">
        <v>0</v>
      </c>
      <c r="J45" s="190">
        <f t="shared" si="4"/>
        <v>204295.09730407508</v>
      </c>
      <c r="K45" s="190">
        <f>4566+3377+6275+5345+6211</f>
        <v>25774</v>
      </c>
      <c r="L45" s="200">
        <v>15000</v>
      </c>
      <c r="M45" s="190">
        <f t="shared" si="5"/>
        <v>245069.09730407508</v>
      </c>
    </row>
    <row r="46" spans="1:13">
      <c r="A46" s="450" t="str">
        <f t="shared" si="6"/>
        <v>August</v>
      </c>
      <c r="B46" s="957">
        <v>0</v>
      </c>
      <c r="C46" s="190">
        <f>141312+83+3090</f>
        <v>144485</v>
      </c>
      <c r="D46" s="190">
        <f>[11]CP!$K$12</f>
        <v>173.58256773386239</v>
      </c>
      <c r="E46" s="190">
        <f>27409+327</f>
        <v>27736</v>
      </c>
      <c r="F46" s="190">
        <f t="shared" si="7"/>
        <v>303.7694935342592</v>
      </c>
      <c r="G46" s="190">
        <f>4963+502</f>
        <v>5465</v>
      </c>
      <c r="H46" s="190">
        <f>4118+8663+941</f>
        <v>13722</v>
      </c>
      <c r="I46" s="959">
        <v>0</v>
      </c>
      <c r="J46" s="190">
        <f t="shared" si="4"/>
        <v>191885.35206126812</v>
      </c>
      <c r="K46" s="190">
        <f>4444+2993+6710+4242+5668</f>
        <v>24057</v>
      </c>
      <c r="L46" s="200">
        <v>15000</v>
      </c>
      <c r="M46" s="190">
        <f t="shared" si="5"/>
        <v>230942.35206126812</v>
      </c>
    </row>
    <row r="47" spans="1:13">
      <c r="A47" s="450" t="str">
        <f t="shared" si="6"/>
        <v>September</v>
      </c>
      <c r="B47" s="957">
        <v>0</v>
      </c>
      <c r="C47" s="190">
        <f>139011+81+3283</f>
        <v>142375</v>
      </c>
      <c r="D47" s="190">
        <f>[11]CP!$L$12</f>
        <v>164.5696323364015</v>
      </c>
      <c r="E47" s="190">
        <f>31255+407</f>
        <v>31662</v>
      </c>
      <c r="F47" s="190">
        <f t="shared" si="7"/>
        <v>287.9968565887026</v>
      </c>
      <c r="G47" s="190">
        <f>5563+535</f>
        <v>6098</v>
      </c>
      <c r="H47" s="190">
        <f>4110+9054+1007</f>
        <v>14171</v>
      </c>
      <c r="I47" s="959">
        <v>0</v>
      </c>
      <c r="J47" s="190">
        <f t="shared" si="4"/>
        <v>194758.56648892511</v>
      </c>
      <c r="K47" s="190">
        <f>4740+3298+6165+5210+6536</f>
        <v>25949</v>
      </c>
      <c r="L47" s="200">
        <v>15000</v>
      </c>
      <c r="M47" s="190">
        <f t="shared" si="5"/>
        <v>235707.56648892511</v>
      </c>
    </row>
    <row r="48" spans="1:13">
      <c r="A48" s="450" t="str">
        <f t="shared" si="6"/>
        <v>October</v>
      </c>
      <c r="B48" s="957">
        <v>0</v>
      </c>
      <c r="C48" s="190">
        <f>124769+73+3245</f>
        <v>128087</v>
      </c>
      <c r="D48" s="190">
        <f>[11]CP!$M$12</f>
        <v>135.78874340520332</v>
      </c>
      <c r="E48" s="190">
        <f>20675+215</f>
        <v>20890</v>
      </c>
      <c r="F48" s="190">
        <f t="shared" si="7"/>
        <v>237.6303009591058</v>
      </c>
      <c r="G48" s="190">
        <f>4428+597</f>
        <v>5025</v>
      </c>
      <c r="H48" s="190">
        <f>3333+7439+945</f>
        <v>11717</v>
      </c>
      <c r="I48" s="959">
        <v>0</v>
      </c>
      <c r="J48" s="190">
        <f t="shared" si="4"/>
        <v>166092.4190443643</v>
      </c>
      <c r="K48" s="190">
        <f>4350+3652+6443+4380+5773</f>
        <v>24598</v>
      </c>
      <c r="L48" s="200">
        <v>15000</v>
      </c>
      <c r="M48" s="190">
        <f t="shared" si="5"/>
        <v>205690.4190443643</v>
      </c>
    </row>
    <row r="49" spans="1:13">
      <c r="A49" s="450" t="str">
        <f t="shared" si="6"/>
        <v>November</v>
      </c>
      <c r="B49" s="957">
        <v>0</v>
      </c>
      <c r="C49" s="190">
        <f>169874+99+4720</f>
        <v>174693</v>
      </c>
      <c r="D49" s="190">
        <f>[11]CP!$N$12</f>
        <v>204.99634505382568</v>
      </c>
      <c r="E49" s="190">
        <f>15288+345</f>
        <v>15633</v>
      </c>
      <c r="F49" s="190">
        <f t="shared" si="7"/>
        <v>358.74360384419492</v>
      </c>
      <c r="G49" s="190">
        <f>3766+351</f>
        <v>4117</v>
      </c>
      <c r="H49" s="190">
        <f>2194+3947+988</f>
        <v>7129</v>
      </c>
      <c r="I49" s="959">
        <v>0</v>
      </c>
      <c r="J49" s="190">
        <f t="shared" si="4"/>
        <v>202135.73994889803</v>
      </c>
      <c r="K49" s="190">
        <f>1296+1572+2368+3779+2197</f>
        <v>11212</v>
      </c>
      <c r="L49" s="200">
        <v>15000</v>
      </c>
      <c r="M49" s="190">
        <f t="shared" si="5"/>
        <v>228347.73994889803</v>
      </c>
    </row>
    <row r="50" spans="1:13">
      <c r="A50" s="450" t="str">
        <f t="shared" si="6"/>
        <v>December</v>
      </c>
      <c r="B50" s="957">
        <v>0</v>
      </c>
      <c r="C50" s="190">
        <f>191871+112+5407</f>
        <v>197390</v>
      </c>
      <c r="D50" s="190">
        <f>[11]CP!$O$12</f>
        <v>226.64905765046331</v>
      </c>
      <c r="E50" s="190">
        <f>24585+478</f>
        <v>25063</v>
      </c>
      <c r="F50" s="190">
        <f t="shared" si="7"/>
        <v>396.63585088831076</v>
      </c>
      <c r="G50" s="190">
        <f>5769+839</f>
        <v>6608</v>
      </c>
      <c r="H50" s="190">
        <f>3480+8202+1088</f>
        <v>12770</v>
      </c>
      <c r="I50" s="960">
        <v>5238</v>
      </c>
      <c r="J50" s="190">
        <f t="shared" si="4"/>
        <v>247692.28490853877</v>
      </c>
      <c r="K50" s="190">
        <f>4303+4137+6772+1080+5892</f>
        <v>22184</v>
      </c>
      <c r="L50" s="200">
        <v>15000</v>
      </c>
      <c r="M50" s="190">
        <f t="shared" si="5"/>
        <v>284876.2849085388</v>
      </c>
    </row>
    <row r="51" spans="1:13" ht="13.5" thickBot="1">
      <c r="A51" s="450"/>
      <c r="B51" s="961">
        <f t="shared" ref="B51:L51" si="8">SUM(B39:B50)</f>
        <v>0</v>
      </c>
      <c r="C51" s="961">
        <f t="shared" si="8"/>
        <v>1931896</v>
      </c>
      <c r="D51" s="961">
        <f t="shared" si="8"/>
        <v>2309.9710570432217</v>
      </c>
      <c r="E51" s="961">
        <f t="shared" si="8"/>
        <v>326582</v>
      </c>
      <c r="F51" s="961">
        <f t="shared" si="8"/>
        <v>4042.4493498256375</v>
      </c>
      <c r="G51" s="914">
        <f t="shared" si="8"/>
        <v>69107</v>
      </c>
      <c r="H51" s="205">
        <f t="shared" si="8"/>
        <v>145921</v>
      </c>
      <c r="I51" s="205">
        <f t="shared" si="8"/>
        <v>22016</v>
      </c>
      <c r="J51" s="914">
        <f t="shared" si="8"/>
        <v>2501874.4204068687</v>
      </c>
      <c r="K51" s="914">
        <f t="shared" si="8"/>
        <v>281348.56</v>
      </c>
      <c r="L51" s="914">
        <f t="shared" si="8"/>
        <v>180000</v>
      </c>
      <c r="M51" s="190">
        <f>SUM(J51,K51,L51)</f>
        <v>2963222.9804068687</v>
      </c>
    </row>
    <row r="52" spans="1:13" ht="13.5" thickTop="1">
      <c r="C52" s="100">
        <f>1898007+1111+32873</f>
        <v>1931991</v>
      </c>
      <c r="E52" s="100">
        <f>322280+4251</f>
        <v>326531</v>
      </c>
      <c r="F52" s="962"/>
      <c r="G52" s="962"/>
      <c r="H52" s="923"/>
      <c r="J52" s="962"/>
      <c r="K52" s="495" t="s">
        <v>1</v>
      </c>
      <c r="L52" s="788" t="s">
        <v>1</v>
      </c>
      <c r="M52" s="122"/>
    </row>
    <row r="53" spans="1:13">
      <c r="A53" s="963" t="s">
        <v>199</v>
      </c>
      <c r="B53" s="937"/>
      <c r="C53" s="937">
        <f t="shared" ref="C53:I53" si="9">C51/$J$51</f>
        <v>0.77217944443663333</v>
      </c>
      <c r="D53" s="937">
        <f t="shared" si="9"/>
        <v>9.2329616474817364E-4</v>
      </c>
      <c r="E53" s="937">
        <f t="shared" si="9"/>
        <v>0.13053492906605976</v>
      </c>
      <c r="F53" s="937">
        <f t="shared" si="9"/>
        <v>1.6157682883093036E-3</v>
      </c>
      <c r="G53" s="937">
        <f>G51/$J$51</f>
        <v>2.7622089836452077E-2</v>
      </c>
      <c r="H53" s="937">
        <f t="shared" si="9"/>
        <v>5.8324670019316766E-2</v>
      </c>
      <c r="I53" s="937">
        <f t="shared" si="9"/>
        <v>8.7998021884806016E-3</v>
      </c>
      <c r="J53" s="944">
        <f>SUM(B53:I53)</f>
        <v>1</v>
      </c>
      <c r="K53" s="938" t="s">
        <v>1</v>
      </c>
      <c r="L53" s="938" t="s">
        <v>1</v>
      </c>
      <c r="M53" s="937">
        <f>M51/$M$51</f>
        <v>1</v>
      </c>
    </row>
    <row r="54" spans="1:13">
      <c r="B54" s="454"/>
      <c r="C54" s="454"/>
      <c r="D54" s="941"/>
      <c r="E54" s="454"/>
      <c r="F54" s="941"/>
      <c r="G54" s="457"/>
      <c r="H54" s="942"/>
      <c r="I54" s="943"/>
      <c r="K54" s="122"/>
      <c r="L54" s="102"/>
      <c r="M54" s="964"/>
    </row>
    <row r="55" spans="1:13">
      <c r="A55" s="450"/>
      <c r="B55" s="147"/>
      <c r="C55" s="915" t="s">
        <v>1</v>
      </c>
      <c r="D55" s="916" t="s">
        <v>146</v>
      </c>
      <c r="E55" s="915" t="s">
        <v>1</v>
      </c>
      <c r="F55" s="916" t="s">
        <v>1</v>
      </c>
      <c r="G55" s="917" t="s">
        <v>1</v>
      </c>
      <c r="H55" s="918" t="s">
        <v>1</v>
      </c>
      <c r="I55" s="919" t="s">
        <v>1</v>
      </c>
      <c r="J55" s="920" t="s">
        <v>1</v>
      </c>
      <c r="K55" s="917" t="s">
        <v>1</v>
      </c>
      <c r="L55" s="920" t="s">
        <v>1</v>
      </c>
      <c r="M55" s="915" t="s">
        <v>1</v>
      </c>
    </row>
    <row r="56" spans="1:13" s="923" customFormat="1">
      <c r="A56" s="100"/>
      <c r="B56" s="929"/>
      <c r="C56" s="929"/>
      <c r="D56" s="929"/>
      <c r="E56" s="929"/>
      <c r="F56" s="929"/>
      <c r="G56" s="929"/>
      <c r="H56" s="929"/>
      <c r="I56" s="965"/>
      <c r="J56" s="965"/>
      <c r="L56" s="966"/>
      <c r="M56" s="966"/>
    </row>
    <row r="57" spans="1:13" s="923" customFormat="1">
      <c r="A57" s="102"/>
      <c r="B57" s="929"/>
      <c r="C57" s="929"/>
      <c r="D57" s="929"/>
      <c r="E57" s="929"/>
      <c r="F57" s="929"/>
      <c r="G57" s="929"/>
      <c r="H57" s="929"/>
      <c r="I57" s="77"/>
      <c r="J57" s="965"/>
    </row>
    <row r="58" spans="1:13">
      <c r="A58" s="102"/>
      <c r="B58" s="102"/>
      <c r="C58" s="102"/>
      <c r="D58" s="102"/>
      <c r="E58" s="102"/>
      <c r="F58" s="967"/>
      <c r="G58" s="967"/>
      <c r="H58" s="965"/>
      <c r="I58" s="77"/>
      <c r="L58" s="180"/>
      <c r="M58" s="180"/>
    </row>
    <row r="59" spans="1:13">
      <c r="A59" s="450" t="s">
        <v>1</v>
      </c>
      <c r="B59" s="102"/>
      <c r="C59" s="102"/>
      <c r="D59" s="102"/>
      <c r="E59" s="102"/>
      <c r="F59" s="463" t="s">
        <v>1</v>
      </c>
      <c r="G59" s="463" t="s">
        <v>1</v>
      </c>
      <c r="H59" s="100" t="s">
        <v>1</v>
      </c>
      <c r="I59" s="77"/>
    </row>
    <row r="62" spans="1:13">
      <c r="A62" s="921" t="s">
        <v>325</v>
      </c>
      <c r="B62" s="922"/>
      <c r="C62" s="922"/>
      <c r="D62" s="922"/>
      <c r="E62" s="922"/>
      <c r="F62" s="922"/>
      <c r="G62" s="922"/>
      <c r="H62" s="922"/>
      <c r="I62" s="921" t="s">
        <v>325</v>
      </c>
      <c r="J62" s="922"/>
      <c r="K62" s="922"/>
      <c r="L62" s="922"/>
      <c r="M62" s="922"/>
    </row>
    <row r="64" spans="1:13">
      <c r="B64" s="99">
        <f t="shared" ref="B64:H64" si="10">(B35)</f>
        <v>0</v>
      </c>
      <c r="C64" s="99" t="str">
        <f t="shared" si="10"/>
        <v>GS 1</v>
      </c>
      <c r="D64" s="99" t="str">
        <f t="shared" si="10"/>
        <v>GS 1</v>
      </c>
      <c r="E64" s="99" t="str">
        <f t="shared" si="10"/>
        <v>SC1</v>
      </c>
      <c r="F64" s="99" t="str">
        <f t="shared" si="10"/>
        <v>SC2</v>
      </c>
      <c r="G64" s="99" t="str">
        <f t="shared" si="10"/>
        <v>LP1</v>
      </c>
      <c r="H64" s="99" t="str">
        <f t="shared" si="10"/>
        <v>LP2</v>
      </c>
      <c r="I64" s="449"/>
      <c r="J64" s="951" t="s">
        <v>632</v>
      </c>
      <c r="K64" s="952" t="s">
        <v>533</v>
      </c>
      <c r="L64" s="212" t="str">
        <f t="shared" ref="L64:M66" si="11">(L35)</f>
        <v>G-1</v>
      </c>
      <c r="M64" s="99" t="str">
        <f t="shared" si="11"/>
        <v>Total</v>
      </c>
    </row>
    <row r="65" spans="1:13">
      <c r="B65" s="99" t="str">
        <f t="shared" ref="B65:G66" si="12">(B36)</f>
        <v>Enviro</v>
      </c>
      <c r="C65" s="99" t="str">
        <f t="shared" si="12"/>
        <v>Residential</v>
      </c>
      <c r="D65" s="99" t="str">
        <f t="shared" si="12"/>
        <v>Residential</v>
      </c>
      <c r="E65" s="99" t="str">
        <f t="shared" si="12"/>
        <v>Gen Service</v>
      </c>
      <c r="F65" s="99" t="str">
        <f t="shared" si="12"/>
        <v>Gen Service</v>
      </c>
      <c r="G65" s="99" t="str">
        <f t="shared" si="12"/>
        <v>Large Power</v>
      </c>
      <c r="H65" s="99" t="str">
        <f>(H36)</f>
        <v>Large Power</v>
      </c>
      <c r="I65" s="953" t="s">
        <v>631</v>
      </c>
      <c r="J65" s="954" t="s">
        <v>633</v>
      </c>
      <c r="K65" s="952" t="s">
        <v>547</v>
      </c>
      <c r="L65" s="601" t="str">
        <f t="shared" si="11"/>
        <v>Large Indust.</v>
      </c>
      <c r="M65" s="99" t="str">
        <f t="shared" si="11"/>
        <v>for All Rate</v>
      </c>
    </row>
    <row r="66" spans="1:13">
      <c r="A66" s="100" t="str">
        <f>(A37)</f>
        <v>Month</v>
      </c>
      <c r="B66" s="99" t="str">
        <f t="shared" si="12"/>
        <v>watts</v>
      </c>
      <c r="C66" s="99" t="str">
        <f t="shared" si="12"/>
        <v>&amp; Farm</v>
      </c>
      <c r="D66" s="99" t="str">
        <f t="shared" si="12"/>
        <v>&amp; Farm TOD</v>
      </c>
      <c r="E66" s="99" t="str">
        <f t="shared" si="12"/>
        <v>0-100 kW</v>
      </c>
      <c r="F66" s="99" t="str">
        <f t="shared" si="12"/>
        <v>0-100 kW TOD</v>
      </c>
      <c r="G66" s="99" t="str">
        <f t="shared" si="12"/>
        <v>under 500 kW</v>
      </c>
      <c r="H66" s="99" t="str">
        <f>(H37)</f>
        <v>over 500 kW</v>
      </c>
      <c r="I66" s="955" t="s">
        <v>550</v>
      </c>
      <c r="J66" s="956" t="s">
        <v>554</v>
      </c>
      <c r="K66" s="126" t="s">
        <v>548</v>
      </c>
      <c r="L66" s="928" t="str">
        <f t="shared" si="11"/>
        <v>Rate</v>
      </c>
      <c r="M66" s="99" t="str">
        <f t="shared" si="11"/>
        <v>Schedules</v>
      </c>
    </row>
    <row r="67" spans="1:13">
      <c r="A67" s="100" t="str">
        <f t="shared" ref="A67:A79" si="13">(A38)</f>
        <v xml:space="preserve"> </v>
      </c>
      <c r="H67" s="923"/>
      <c r="J67" s="100"/>
      <c r="K67" s="100"/>
      <c r="L67" s="102"/>
      <c r="M67" s="102"/>
    </row>
    <row r="68" spans="1:13">
      <c r="A68" s="100" t="str">
        <f t="shared" si="13"/>
        <v>January</v>
      </c>
      <c r="B68" s="123">
        <v>0</v>
      </c>
      <c r="C68" s="123">
        <f>201121+119+1327</f>
        <v>202567</v>
      </c>
      <c r="D68" s="123">
        <f>(D39)</f>
        <v>276.95246974747215</v>
      </c>
      <c r="E68" s="123">
        <f>36532+391-124</f>
        <v>36799</v>
      </c>
      <c r="F68" s="123">
        <v>800</v>
      </c>
      <c r="G68" s="123">
        <f>8013+852</f>
        <v>8865</v>
      </c>
      <c r="H68" s="123">
        <f>3510+8273+1068</f>
        <v>12851</v>
      </c>
      <c r="I68" s="448">
        <v>5978</v>
      </c>
      <c r="J68" s="123">
        <f t="shared" ref="J68:J79" si="14">SUM(B68:I68)</f>
        <v>268136.95246974751</v>
      </c>
      <c r="K68" s="123">
        <f>3960+4593+5999+5515+5270</f>
        <v>25337</v>
      </c>
      <c r="L68" s="200">
        <v>9576</v>
      </c>
      <c r="M68" s="123">
        <f>SUM(J68:L68)</f>
        <v>303049.95246974751</v>
      </c>
    </row>
    <row r="69" spans="1:13">
      <c r="A69" s="100" t="str">
        <f t="shared" si="13"/>
        <v>February</v>
      </c>
      <c r="B69" s="123">
        <v>0</v>
      </c>
      <c r="C69" s="123">
        <f>208901+123+1621-356</f>
        <v>210289</v>
      </c>
      <c r="D69" s="123">
        <f t="shared" ref="D69:D79" si="15">(D40)</f>
        <v>240.94535236416624</v>
      </c>
      <c r="E69" s="123">
        <f>28533+347</f>
        <v>28880</v>
      </c>
      <c r="F69" s="123">
        <v>584</v>
      </c>
      <c r="G69" s="123">
        <f>6459+592</f>
        <v>7051</v>
      </c>
      <c r="H69" s="123">
        <f>3340+6654+944</f>
        <v>10938</v>
      </c>
      <c r="I69" s="927">
        <v>5300</v>
      </c>
      <c r="J69" s="123">
        <f t="shared" si="14"/>
        <v>263282.94535236416</v>
      </c>
      <c r="K69" s="123">
        <f>4380+4197+6636+5144+5345</f>
        <v>25702</v>
      </c>
      <c r="L69" s="200">
        <v>9288</v>
      </c>
      <c r="M69" s="123">
        <f t="shared" ref="M69:M79" si="16">SUM(J69:L69)</f>
        <v>298272.94535236416</v>
      </c>
    </row>
    <row r="70" spans="1:13">
      <c r="A70" s="100" t="str">
        <f t="shared" si="13"/>
        <v>March</v>
      </c>
      <c r="B70" s="123">
        <v>0</v>
      </c>
      <c r="C70" s="123">
        <f>178784+105+1715</f>
        <v>180604</v>
      </c>
      <c r="D70" s="123">
        <f t="shared" si="15"/>
        <v>233.67016998433093</v>
      </c>
      <c r="E70" s="123">
        <f>30274+381</f>
        <v>30655</v>
      </c>
      <c r="F70" s="123">
        <v>800</v>
      </c>
      <c r="G70" s="123">
        <f>6638+702</f>
        <v>7340</v>
      </c>
      <c r="H70" s="123">
        <f>3379+7947+1027</f>
        <v>12353</v>
      </c>
      <c r="I70" s="927">
        <v>5500</v>
      </c>
      <c r="J70" s="123">
        <f t="shared" si="14"/>
        <v>237485.67016998434</v>
      </c>
      <c r="K70" s="123">
        <f>4694+4305+6552+5242+5472</f>
        <v>26265</v>
      </c>
      <c r="L70" s="200">
        <v>12571</v>
      </c>
      <c r="M70" s="123">
        <f t="shared" si="16"/>
        <v>276321.67016998434</v>
      </c>
    </row>
    <row r="71" spans="1:13">
      <c r="A71" s="100" t="str">
        <f t="shared" si="13"/>
        <v>April</v>
      </c>
      <c r="B71" s="123">
        <v>0</v>
      </c>
      <c r="C71" s="123">
        <f>130113+76+1529</f>
        <v>131718</v>
      </c>
      <c r="D71" s="123">
        <f t="shared" si="15"/>
        <v>157.5792470210173</v>
      </c>
      <c r="E71" s="123">
        <f>26269+326</f>
        <v>26595</v>
      </c>
      <c r="F71" s="123">
        <v>655</v>
      </c>
      <c r="G71" s="123">
        <f>5841+596</f>
        <v>6437</v>
      </c>
      <c r="H71" s="123">
        <f>3059+7071+989</f>
        <v>11119</v>
      </c>
      <c r="I71" s="927">
        <v>4615</v>
      </c>
      <c r="J71" s="123">
        <f t="shared" si="14"/>
        <v>181296.57924702103</v>
      </c>
      <c r="K71" s="123">
        <f>3685+4360+6364+5124+6121</f>
        <v>25654</v>
      </c>
      <c r="L71" s="200">
        <v>11065</v>
      </c>
      <c r="M71" s="123">
        <f t="shared" si="16"/>
        <v>218015.57924702103</v>
      </c>
    </row>
    <row r="72" spans="1:13">
      <c r="A72" s="100" t="str">
        <f t="shared" si="13"/>
        <v>May</v>
      </c>
      <c r="B72" s="123">
        <v>0</v>
      </c>
      <c r="C72" s="123">
        <f>114587+87+1660</f>
        <v>116334</v>
      </c>
      <c r="D72" s="123">
        <f t="shared" si="15"/>
        <v>162.14346017477959</v>
      </c>
      <c r="E72" s="123">
        <f>28434+369</f>
        <v>28803</v>
      </c>
      <c r="F72" s="123">
        <v>866</v>
      </c>
      <c r="G72" s="123">
        <f>5452+465</f>
        <v>5917</v>
      </c>
      <c r="H72" s="123">
        <f>3702+6143+1166</f>
        <v>11011</v>
      </c>
      <c r="I72" s="927">
        <v>4611</v>
      </c>
      <c r="J72" s="123">
        <f t="shared" si="14"/>
        <v>167704.14346017479</v>
      </c>
      <c r="K72" s="123">
        <f>4514+3298+5954+847+6525</f>
        <v>21138</v>
      </c>
      <c r="L72" s="200">
        <v>13837</v>
      </c>
      <c r="M72" s="123">
        <f t="shared" si="16"/>
        <v>202679.14346017479</v>
      </c>
    </row>
    <row r="73" spans="1:13">
      <c r="A73" s="100" t="str">
        <f t="shared" si="13"/>
        <v>June</v>
      </c>
      <c r="B73" s="123">
        <v>0</v>
      </c>
      <c r="C73" s="123">
        <f>145923+85+2492</f>
        <v>148500</v>
      </c>
      <c r="D73" s="123">
        <f t="shared" si="15"/>
        <v>158.51317372621949</v>
      </c>
      <c r="E73" s="123">
        <f>27078+330</f>
        <v>27408</v>
      </c>
      <c r="F73" s="123">
        <v>694</v>
      </c>
      <c r="G73" s="123">
        <f>4646+412</f>
        <v>5058</v>
      </c>
      <c r="H73" s="123">
        <f>3976+8123+1075</f>
        <v>13174</v>
      </c>
      <c r="I73" s="927">
        <v>4615</v>
      </c>
      <c r="J73" s="123">
        <f t="shared" si="14"/>
        <v>199607.51317372621</v>
      </c>
      <c r="K73" s="123">
        <f>4893+3239+6348+5060+7080</f>
        <v>26620</v>
      </c>
      <c r="L73" s="200">
        <v>11789</v>
      </c>
      <c r="M73" s="123">
        <f t="shared" si="16"/>
        <v>238016.51317372621</v>
      </c>
    </row>
    <row r="74" spans="1:13">
      <c r="A74" s="100" t="str">
        <f t="shared" si="13"/>
        <v>July</v>
      </c>
      <c r="B74" s="123">
        <v>0</v>
      </c>
      <c r="C74" s="123">
        <f>153107+90+2800</f>
        <v>155997</v>
      </c>
      <c r="D74" s="123">
        <f t="shared" si="15"/>
        <v>174.58083784547969</v>
      </c>
      <c r="E74" s="123">
        <f>28973+335</f>
        <v>29308</v>
      </c>
      <c r="F74" s="123">
        <v>825</v>
      </c>
      <c r="G74" s="123">
        <f>5059+382</f>
        <v>5441</v>
      </c>
      <c r="H74" s="123">
        <f>3829+8446+1044</f>
        <v>13319</v>
      </c>
      <c r="I74" s="927">
        <v>4609</v>
      </c>
      <c r="J74" s="123">
        <f t="shared" si="14"/>
        <v>209673.58083784548</v>
      </c>
      <c r="K74" s="123">
        <f>4811+3377+8413+6429+6211</f>
        <v>29241</v>
      </c>
      <c r="L74" s="200">
        <v>11939</v>
      </c>
      <c r="M74" s="123">
        <f t="shared" si="16"/>
        <v>250853.58083784548</v>
      </c>
    </row>
    <row r="75" spans="1:13">
      <c r="A75" s="100" t="str">
        <f t="shared" si="13"/>
        <v>August</v>
      </c>
      <c r="B75" s="123">
        <v>0</v>
      </c>
      <c r="C75" s="123">
        <f>143407+84+3136</f>
        <v>146627</v>
      </c>
      <c r="D75" s="123">
        <f t="shared" si="15"/>
        <v>173.58256773386239</v>
      </c>
      <c r="E75" s="123">
        <f>27414+327</f>
        <v>27741</v>
      </c>
      <c r="F75" s="123">
        <v>843</v>
      </c>
      <c r="G75" s="123">
        <f>4896+502</f>
        <v>5398</v>
      </c>
      <c r="H75" s="123">
        <f>4118+8663+941</f>
        <v>13722</v>
      </c>
      <c r="I75" s="927">
        <v>4607</v>
      </c>
      <c r="J75" s="123">
        <f t="shared" si="14"/>
        <v>199111.58256773386</v>
      </c>
      <c r="K75" s="123">
        <f>4444+2993+6780+4242+5668</f>
        <v>24127</v>
      </c>
      <c r="L75" s="776">
        <v>11896</v>
      </c>
      <c r="M75" s="123">
        <f t="shared" si="16"/>
        <v>235134.58256773386</v>
      </c>
    </row>
    <row r="76" spans="1:13">
      <c r="A76" s="100" t="str">
        <f t="shared" si="13"/>
        <v>September</v>
      </c>
      <c r="B76" s="123">
        <v>0</v>
      </c>
      <c r="C76" s="123">
        <f>140506+82+3317</f>
        <v>143905</v>
      </c>
      <c r="D76" s="123">
        <f t="shared" si="15"/>
        <v>164.5696323364015</v>
      </c>
      <c r="E76" s="123">
        <f>31281+407</f>
        <v>31688</v>
      </c>
      <c r="F76" s="123">
        <v>912</v>
      </c>
      <c r="G76" s="123">
        <f>5451+535</f>
        <v>5986</v>
      </c>
      <c r="H76" s="123">
        <f>4110+9054+1026</f>
        <v>14190</v>
      </c>
      <c r="I76" s="927">
        <v>4609</v>
      </c>
      <c r="J76" s="123">
        <f t="shared" si="14"/>
        <v>201454.56963233641</v>
      </c>
      <c r="K76" s="123">
        <f>4765+3297+6587+5282+6536</f>
        <v>26467</v>
      </c>
      <c r="L76" s="776">
        <v>12580</v>
      </c>
      <c r="M76" s="123">
        <f t="shared" si="16"/>
        <v>240501.56963233641</v>
      </c>
    </row>
    <row r="77" spans="1:13">
      <c r="A77" s="100" t="str">
        <f t="shared" si="13"/>
        <v>October</v>
      </c>
      <c r="B77" s="123">
        <v>0</v>
      </c>
      <c r="C77" s="123">
        <f>124827+73+3247</f>
        <v>128147</v>
      </c>
      <c r="D77" s="123">
        <f t="shared" si="15"/>
        <v>135.78874340520332</v>
      </c>
      <c r="E77" s="123">
        <f>20685+215</f>
        <v>20900</v>
      </c>
      <c r="F77" s="123">
        <v>486</v>
      </c>
      <c r="G77" s="123">
        <f>4359+597</f>
        <v>4956</v>
      </c>
      <c r="H77" s="123">
        <f>333+7439+951</f>
        <v>8723</v>
      </c>
      <c r="I77" s="927">
        <v>4611</v>
      </c>
      <c r="J77" s="123">
        <f t="shared" si="14"/>
        <v>167958.7887434052</v>
      </c>
      <c r="K77" s="123">
        <f>4408+3652+6445+4951+5820</f>
        <v>25276</v>
      </c>
      <c r="L77" s="776">
        <v>11785</v>
      </c>
      <c r="M77" s="123">
        <f t="shared" si="16"/>
        <v>205019.7887434052</v>
      </c>
    </row>
    <row r="78" spans="1:13">
      <c r="A78" s="100" t="str">
        <f t="shared" si="13"/>
        <v>November</v>
      </c>
      <c r="B78" s="123">
        <v>0</v>
      </c>
      <c r="C78" s="123">
        <f>169355+99+4706</f>
        <v>174160</v>
      </c>
      <c r="D78" s="123">
        <f t="shared" si="15"/>
        <v>204.99634505382568</v>
      </c>
      <c r="E78" s="123">
        <f>19012+344</f>
        <v>19356</v>
      </c>
      <c r="F78" s="123">
        <v>635</v>
      </c>
      <c r="G78" s="123">
        <f>4792+668</f>
        <v>5460</v>
      </c>
      <c r="H78" s="123">
        <f>3112+7653+988</f>
        <v>11753</v>
      </c>
      <c r="I78" s="927">
        <v>4615</v>
      </c>
      <c r="J78" s="123">
        <f t="shared" si="14"/>
        <v>216183.99634505383</v>
      </c>
      <c r="K78" s="123">
        <f>5080+3696+6390+6330+5200</f>
        <v>26696</v>
      </c>
      <c r="L78" s="776">
        <v>14756</v>
      </c>
      <c r="M78" s="123">
        <f t="shared" si="16"/>
        <v>257635.99634505383</v>
      </c>
    </row>
    <row r="79" spans="1:13">
      <c r="A79" s="100" t="str">
        <f t="shared" si="13"/>
        <v>December</v>
      </c>
      <c r="B79" s="123">
        <v>0</v>
      </c>
      <c r="C79" s="123">
        <f>193692+446+5458</f>
        <v>199596</v>
      </c>
      <c r="D79" s="123">
        <f t="shared" si="15"/>
        <v>226.64905765046331</v>
      </c>
      <c r="E79" s="123">
        <f>24670+478</f>
        <v>25148</v>
      </c>
      <c r="F79" s="123">
        <v>870</v>
      </c>
      <c r="G79" s="123">
        <f>6531+838</f>
        <v>7369</v>
      </c>
      <c r="H79" s="123">
        <f>3565+8314+1088</f>
        <v>12967</v>
      </c>
      <c r="I79" s="174">
        <v>5238</v>
      </c>
      <c r="J79" s="123">
        <f t="shared" si="14"/>
        <v>251414.64905765047</v>
      </c>
      <c r="K79" s="123">
        <f>4303+4137+6772+2223+5892</f>
        <v>23327</v>
      </c>
      <c r="L79" s="842">
        <v>12273</v>
      </c>
      <c r="M79" s="123">
        <f t="shared" si="16"/>
        <v>287014.64905765047</v>
      </c>
    </row>
    <row r="80" spans="1:13" ht="13.5" thickBot="1">
      <c r="A80" s="100" t="s">
        <v>1</v>
      </c>
      <c r="B80" s="132">
        <f>SUM(B68:B79)</f>
        <v>0</v>
      </c>
      <c r="C80" s="132">
        <f>1904321+1115+33008</f>
        <v>1938444</v>
      </c>
      <c r="D80" s="132">
        <v>2331</v>
      </c>
      <c r="E80" s="132">
        <f>329033+4248</f>
        <v>333281</v>
      </c>
      <c r="F80" s="132">
        <v>8971</v>
      </c>
      <c r="G80" s="132">
        <f>68137+7142</f>
        <v>75279</v>
      </c>
      <c r="H80" s="132">
        <f>(43033+95781+2307)*0.75</f>
        <v>105840.75</v>
      </c>
      <c r="I80" s="132">
        <v>31443</v>
      </c>
      <c r="J80" s="132">
        <f>SUM(C80:I80)</f>
        <v>2495589.75</v>
      </c>
      <c r="K80" s="132">
        <f>(45143+77240+65388+71142)*0.6</f>
        <v>155347.79999999999</v>
      </c>
      <c r="L80" s="132">
        <f>143355*0.5</f>
        <v>71677.5</v>
      </c>
      <c r="M80" s="132">
        <f>SUM(C80,D80,E80,F80,G80,H80,I80,K80,L80)</f>
        <v>2722615.05</v>
      </c>
    </row>
    <row r="81" spans="1:14" ht="13.5" thickTop="1">
      <c r="C81" s="201" t="s">
        <v>1</v>
      </c>
      <c r="D81" s="201" t="s">
        <v>1</v>
      </c>
      <c r="E81" s="201" t="s">
        <v>1</v>
      </c>
      <c r="F81" s="201" t="s">
        <v>1</v>
      </c>
      <c r="G81" s="124">
        <f t="shared" ref="D81:L81" si="17">SUM(G68:G79)</f>
        <v>75278</v>
      </c>
      <c r="H81" s="124">
        <f>SUM(H68:H79)</f>
        <v>146120</v>
      </c>
      <c r="I81" s="124">
        <f>SUM(I68:I79)</f>
        <v>58908</v>
      </c>
      <c r="J81" s="124">
        <f t="shared" si="17"/>
        <v>2563310.9710570434</v>
      </c>
      <c r="K81" s="124">
        <f t="shared" si="17"/>
        <v>305850</v>
      </c>
      <c r="L81" s="124">
        <f t="shared" si="17"/>
        <v>143355</v>
      </c>
    </row>
    <row r="82" spans="1:14">
      <c r="A82" s="100" t="str">
        <f>A53</f>
        <v>Allocation %</v>
      </c>
      <c r="B82" s="937"/>
      <c r="C82" s="937">
        <f>C80/$M$80</f>
        <v>0.71197872795127615</v>
      </c>
      <c r="D82" s="937">
        <f>D80/$M$80</f>
        <v>8.561621665905359E-4</v>
      </c>
      <c r="E82" s="937">
        <f>E80/$M$80</f>
        <v>0.12241209053773504</v>
      </c>
      <c r="F82" s="937">
        <f t="shared" ref="F82:N82" si="18">F80/$M$80</f>
        <v>3.2949939066854129E-3</v>
      </c>
      <c r="G82" s="937">
        <f t="shared" si="18"/>
        <v>2.7649520265452147E-2</v>
      </c>
      <c r="H82" s="937">
        <f t="shared" si="18"/>
        <v>3.8874665737266091E-2</v>
      </c>
      <c r="I82" s="937">
        <f t="shared" si="18"/>
        <v>1.1548823253584821E-2</v>
      </c>
      <c r="J82" s="937">
        <v>0</v>
      </c>
      <c r="K82" s="937">
        <f t="shared" si="18"/>
        <v>5.7058305029203449E-2</v>
      </c>
      <c r="L82" s="937">
        <f>L80/$M$80</f>
        <v>2.6326711152206406E-2</v>
      </c>
      <c r="M82" s="937">
        <f t="shared" si="18"/>
        <v>1</v>
      </c>
      <c r="N82" s="937">
        <f t="shared" si="18"/>
        <v>0</v>
      </c>
    </row>
    <row r="83" spans="1:14">
      <c r="B83" s="454" t="s">
        <v>1</v>
      </c>
      <c r="C83" s="457">
        <f>(C80/$J$80)</f>
        <v>0.77674786090141623</v>
      </c>
      <c r="D83" s="457">
        <f t="shared" ref="D83:I83" si="19">(D80/$J$80)</f>
        <v>9.3404775364220021E-4</v>
      </c>
      <c r="E83" s="457">
        <f>(E80/$J$80)</f>
        <v>0.13354799201270962</v>
      </c>
      <c r="F83" s="457">
        <f t="shared" si="19"/>
        <v>3.5947414834509557E-3</v>
      </c>
      <c r="G83" s="457">
        <f t="shared" si="19"/>
        <v>3.0164813747932728E-2</v>
      </c>
      <c r="H83" s="457">
        <f t="shared" si="19"/>
        <v>4.24111174522976E-2</v>
      </c>
      <c r="I83" s="457">
        <f t="shared" si="19"/>
        <v>1.2599426648550708E-2</v>
      </c>
      <c r="J83" s="968">
        <f>SUM(C83:I83)</f>
        <v>1.0000000000000002</v>
      </c>
      <c r="K83" s="122"/>
      <c r="L83" s="102"/>
      <c r="M83" s="964">
        <f>SUM(C82:L82)</f>
        <v>1</v>
      </c>
    </row>
    <row r="84" spans="1:14">
      <c r="B84" s="147"/>
      <c r="C84" s="147">
        <f>C80/$M$80</f>
        <v>0.71197872795127615</v>
      </c>
      <c r="D84" s="147">
        <f t="shared" ref="D84:M84" si="20">D80/$M$80</f>
        <v>8.561621665905359E-4</v>
      </c>
      <c r="E84" s="147">
        <f t="shared" si="20"/>
        <v>0.12241209053773504</v>
      </c>
      <c r="F84" s="147">
        <f t="shared" si="20"/>
        <v>3.2949939066854129E-3</v>
      </c>
      <c r="G84" s="147">
        <f t="shared" si="20"/>
        <v>2.7649520265452147E-2</v>
      </c>
      <c r="H84" s="147">
        <f t="shared" si="20"/>
        <v>3.8874665737266091E-2</v>
      </c>
      <c r="I84" s="147">
        <f t="shared" si="20"/>
        <v>1.1548823253584821E-2</v>
      </c>
      <c r="J84" s="969" t="s">
        <v>1</v>
      </c>
      <c r="K84" s="147">
        <f t="shared" si="20"/>
        <v>5.7058305029203449E-2</v>
      </c>
      <c r="L84" s="147">
        <f t="shared" si="20"/>
        <v>2.6326711152206406E-2</v>
      </c>
      <c r="M84" s="147">
        <f t="shared" si="20"/>
        <v>1</v>
      </c>
    </row>
    <row r="85" spans="1:14">
      <c r="M85" s="970">
        <f>SUM(C84:L84)</f>
        <v>1</v>
      </c>
    </row>
    <row r="86" spans="1:14">
      <c r="C86" s="919"/>
      <c r="D86" s="918"/>
      <c r="E86" s="919"/>
      <c r="F86" s="918"/>
      <c r="G86" s="919"/>
      <c r="H86" s="918"/>
      <c r="I86" s="919"/>
      <c r="J86" s="918"/>
      <c r="K86" s="919"/>
      <c r="L86" s="918"/>
      <c r="M86" s="919"/>
    </row>
    <row r="88" spans="1:14">
      <c r="H88" s="98" t="s">
        <v>1</v>
      </c>
    </row>
    <row r="90" spans="1:14">
      <c r="A90" s="921" t="s">
        <v>291</v>
      </c>
      <c r="B90" s="922"/>
      <c r="C90" s="922"/>
      <c r="D90" s="922"/>
      <c r="E90" s="922"/>
      <c r="F90" s="922"/>
      <c r="G90" s="922"/>
      <c r="H90" s="922"/>
      <c r="I90" s="921" t="s">
        <v>291</v>
      </c>
      <c r="J90" s="922"/>
      <c r="K90" s="922"/>
      <c r="L90" s="922"/>
      <c r="M90" s="922"/>
    </row>
    <row r="91" spans="1:14" ht="3" customHeight="1">
      <c r="B91" s="102"/>
      <c r="J91" s="100"/>
      <c r="K91" s="100"/>
    </row>
    <row r="92" spans="1:14">
      <c r="A92" s="950"/>
      <c r="B92" s="212">
        <f t="shared" ref="B92:G94" si="21">(B35)</f>
        <v>0</v>
      </c>
      <c r="C92" s="212" t="str">
        <f t="shared" si="21"/>
        <v>GS 1</v>
      </c>
      <c r="D92" s="212" t="str">
        <f t="shared" si="21"/>
        <v>GS 1</v>
      </c>
      <c r="E92" s="212" t="str">
        <f t="shared" si="21"/>
        <v>SC1</v>
      </c>
      <c r="F92" s="212" t="str">
        <f t="shared" si="21"/>
        <v>SC2</v>
      </c>
      <c r="G92" s="212" t="str">
        <f t="shared" si="21"/>
        <v>LP1</v>
      </c>
      <c r="H92" s="449" t="str">
        <f>(H35)</f>
        <v>LP2</v>
      </c>
      <c r="I92" s="212"/>
      <c r="J92" s="951" t="s">
        <v>632</v>
      </c>
      <c r="K92" s="952" t="s">
        <v>533</v>
      </c>
      <c r="L92" s="212">
        <f>(L63)</f>
        <v>0</v>
      </c>
      <c r="M92" s="212" t="str">
        <f>(M35)</f>
        <v>Total</v>
      </c>
    </row>
    <row r="93" spans="1:14">
      <c r="A93" s="450"/>
      <c r="B93" s="601" t="str">
        <f t="shared" si="21"/>
        <v>Enviro</v>
      </c>
      <c r="C93" s="601" t="str">
        <f t="shared" si="21"/>
        <v>Residential</v>
      </c>
      <c r="D93" s="601" t="str">
        <f t="shared" si="21"/>
        <v>Residential</v>
      </c>
      <c r="E93" s="601" t="str">
        <f t="shared" si="21"/>
        <v>Gen Service</v>
      </c>
      <c r="F93" s="601" t="str">
        <f t="shared" si="21"/>
        <v>Gen Service</v>
      </c>
      <c r="G93" s="601" t="str">
        <f t="shared" si="21"/>
        <v>Large Power</v>
      </c>
      <c r="H93" s="103" t="str">
        <f>(H36)</f>
        <v>Large Power</v>
      </c>
      <c r="I93" s="927" t="s">
        <v>631</v>
      </c>
      <c r="J93" s="954" t="s">
        <v>633</v>
      </c>
      <c r="K93" s="952" t="s">
        <v>547</v>
      </c>
      <c r="L93" s="601" t="str">
        <f>(L64)</f>
        <v>G-1</v>
      </c>
      <c r="M93" s="601" t="str">
        <f>(M36)</f>
        <v>for All Rate</v>
      </c>
    </row>
    <row r="94" spans="1:14">
      <c r="A94" s="450" t="str">
        <f t="shared" ref="A94:A107" si="22">(A37)</f>
        <v>Month</v>
      </c>
      <c r="B94" s="928" t="str">
        <f t="shared" si="21"/>
        <v>watts</v>
      </c>
      <c r="C94" s="928" t="str">
        <f t="shared" si="21"/>
        <v>&amp; Farm</v>
      </c>
      <c r="D94" s="928" t="str">
        <f t="shared" si="21"/>
        <v>&amp; Farm TOD</v>
      </c>
      <c r="E94" s="928" t="str">
        <f t="shared" si="21"/>
        <v>0-100 kW</v>
      </c>
      <c r="F94" s="928" t="str">
        <f t="shared" si="21"/>
        <v>0-100 kW TOD</v>
      </c>
      <c r="G94" s="928" t="str">
        <f t="shared" si="21"/>
        <v>under 500 kW</v>
      </c>
      <c r="H94" s="955" t="str">
        <f>(H37)</f>
        <v>over 500 kW</v>
      </c>
      <c r="I94" s="928" t="s">
        <v>550</v>
      </c>
      <c r="J94" s="956" t="s">
        <v>554</v>
      </c>
      <c r="K94" s="126" t="s">
        <v>548</v>
      </c>
      <c r="L94" s="928" t="str">
        <f>(L65)</f>
        <v>Large Indust.</v>
      </c>
      <c r="M94" s="928" t="str">
        <f>(M37)</f>
        <v>Schedules</v>
      </c>
    </row>
    <row r="95" spans="1:14">
      <c r="A95" s="450" t="str">
        <f t="shared" si="22"/>
        <v xml:space="preserve"> </v>
      </c>
      <c r="B95" s="451"/>
      <c r="C95" s="451"/>
      <c r="D95" s="451"/>
      <c r="E95" s="451"/>
      <c r="F95" s="451"/>
      <c r="G95" s="451"/>
      <c r="H95" s="450"/>
      <c r="I95" s="451"/>
    </row>
    <row r="96" spans="1:14">
      <c r="A96" s="450" t="str">
        <f t="shared" si="22"/>
        <v>January</v>
      </c>
      <c r="B96" s="190">
        <v>0</v>
      </c>
      <c r="C96" s="190">
        <f>501355+296+3308</f>
        <v>504959</v>
      </c>
      <c r="D96" s="190">
        <v>451</v>
      </c>
      <c r="E96" s="190">
        <f>44520+900</f>
        <v>45420</v>
      </c>
      <c r="F96" s="190">
        <v>392</v>
      </c>
      <c r="G96" s="200">
        <f>11362+971</f>
        <v>12333</v>
      </c>
      <c r="H96" s="190">
        <f>4376+11222+1189</f>
        <v>16787</v>
      </c>
      <c r="I96" s="927">
        <v>4619</v>
      </c>
      <c r="J96" s="190">
        <f t="shared" ref="J96:J107" si="23">SUM(C96:I96)</f>
        <v>584961</v>
      </c>
      <c r="K96" s="200" t="s">
        <v>1</v>
      </c>
      <c r="L96" s="190">
        <f>(L68)</f>
        <v>9576</v>
      </c>
      <c r="M96" s="190" t="e">
        <f>SUM(J96,#REF!,L96)</f>
        <v>#REF!</v>
      </c>
    </row>
    <row r="97" spans="1:13">
      <c r="A97" s="450" t="str">
        <f t="shared" si="22"/>
        <v>February</v>
      </c>
      <c r="B97" s="190">
        <v>0</v>
      </c>
      <c r="C97" s="190">
        <f>475528+280+3690</f>
        <v>479498</v>
      </c>
      <c r="D97" s="190">
        <v>425</v>
      </c>
      <c r="E97" s="190">
        <f>45065+945</f>
        <v>46010</v>
      </c>
      <c r="F97" s="190">
        <v>363</v>
      </c>
      <c r="G97" s="190">
        <f>10654+973</f>
        <v>11627</v>
      </c>
      <c r="H97" s="190">
        <f>4516+10593+1073</f>
        <v>16182</v>
      </c>
      <c r="I97" s="927">
        <v>4619</v>
      </c>
      <c r="J97" s="190">
        <f t="shared" si="23"/>
        <v>558724</v>
      </c>
      <c r="K97" s="200" t="s">
        <v>1</v>
      </c>
      <c r="L97" s="190">
        <f t="shared" ref="L97:L107" si="24">(L69)</f>
        <v>9288</v>
      </c>
      <c r="M97" s="190" t="e">
        <f>SUM(J97,#REF!,L97)</f>
        <v>#REF!</v>
      </c>
    </row>
    <row r="98" spans="1:13">
      <c r="A98" s="450" t="str">
        <f t="shared" si="22"/>
        <v>March</v>
      </c>
      <c r="B98" s="190">
        <v>0</v>
      </c>
      <c r="C98" s="190">
        <f>494907+289+4748</f>
        <v>499944</v>
      </c>
      <c r="D98" s="190">
        <v>462</v>
      </c>
      <c r="E98" s="190">
        <f>44626+952</f>
        <v>45578</v>
      </c>
      <c r="F98" s="190">
        <v>420</v>
      </c>
      <c r="G98" s="190">
        <f>10521+929</f>
        <v>11450</v>
      </c>
      <c r="H98" s="190">
        <f>4437+11401+1141</f>
        <v>16979</v>
      </c>
      <c r="I98" s="927">
        <v>4613</v>
      </c>
      <c r="J98" s="190">
        <f t="shared" si="23"/>
        <v>579446</v>
      </c>
      <c r="K98" s="200" t="s">
        <v>1</v>
      </c>
      <c r="L98" s="190">
        <f t="shared" si="24"/>
        <v>12571</v>
      </c>
      <c r="M98" s="190" t="e">
        <f>SUM(J98,#REF!,L98)</f>
        <v>#REF!</v>
      </c>
    </row>
    <row r="99" spans="1:13">
      <c r="A99" s="450" t="str">
        <f t="shared" si="22"/>
        <v>April</v>
      </c>
      <c r="B99" s="190">
        <v>0</v>
      </c>
      <c r="C99" s="190">
        <f>469064+273+5513</f>
        <v>474850</v>
      </c>
      <c r="D99" s="190">
        <v>405</v>
      </c>
      <c r="E99" s="190">
        <f>44310+958</f>
        <v>45268</v>
      </c>
      <c r="F99" s="190">
        <v>456</v>
      </c>
      <c r="G99" s="190">
        <f>10109+823</f>
        <v>10932</v>
      </c>
      <c r="H99" s="190">
        <f>4971+11019+1182</f>
        <v>17172</v>
      </c>
      <c r="I99" s="927">
        <v>4615</v>
      </c>
      <c r="J99" s="190">
        <f t="shared" si="23"/>
        <v>553698</v>
      </c>
      <c r="K99" s="200" t="s">
        <v>1</v>
      </c>
      <c r="L99" s="190">
        <f t="shared" si="24"/>
        <v>11065</v>
      </c>
      <c r="M99" s="190" t="e">
        <f>SUM(J99,#REF!,L99)</f>
        <v>#REF!</v>
      </c>
    </row>
    <row r="100" spans="1:13">
      <c r="A100" s="450" t="str">
        <f t="shared" si="22"/>
        <v>May</v>
      </c>
      <c r="B100" s="190">
        <v>0</v>
      </c>
      <c r="C100" s="190">
        <f>446331+260+6466</f>
        <v>453057</v>
      </c>
      <c r="D100" s="190">
        <v>375</v>
      </c>
      <c r="E100" s="190">
        <f>45074+1061</f>
        <v>46135</v>
      </c>
      <c r="F100" s="190">
        <v>506</v>
      </c>
      <c r="G100" s="190">
        <f>9560+898</f>
        <v>10458</v>
      </c>
      <c r="H100" s="190">
        <f>5365+12031+1195</f>
        <v>18591</v>
      </c>
      <c r="I100" s="927">
        <v>4611</v>
      </c>
      <c r="J100" s="190">
        <f t="shared" si="23"/>
        <v>533733</v>
      </c>
      <c r="K100" s="200" t="s">
        <v>1</v>
      </c>
      <c r="L100" s="190">
        <f t="shared" si="24"/>
        <v>13837</v>
      </c>
      <c r="M100" s="190" t="e">
        <f>SUM(J100,#REF!,L100)</f>
        <v>#REF!</v>
      </c>
    </row>
    <row r="101" spans="1:13">
      <c r="A101" s="450" t="str">
        <f t="shared" si="22"/>
        <v>June</v>
      </c>
      <c r="B101" s="190">
        <v>0</v>
      </c>
      <c r="C101" s="190">
        <f>417868+344+7136</f>
        <v>425348</v>
      </c>
      <c r="D101" s="190">
        <v>351</v>
      </c>
      <c r="E101" s="190">
        <f>38169+885</f>
        <v>39054</v>
      </c>
      <c r="F101" s="190">
        <v>458</v>
      </c>
      <c r="G101" s="190">
        <f>8685+749</f>
        <v>9434</v>
      </c>
      <c r="H101" s="190">
        <f>5346+11357+1194</f>
        <v>17897</v>
      </c>
      <c r="I101" s="927">
        <v>4615</v>
      </c>
      <c r="J101" s="190">
        <f t="shared" si="23"/>
        <v>497157</v>
      </c>
      <c r="K101" s="200" t="s">
        <v>1</v>
      </c>
      <c r="L101" s="190">
        <f t="shared" si="24"/>
        <v>11789</v>
      </c>
      <c r="M101" s="190" t="e">
        <f>SUM(J101,#REF!,L101)</f>
        <v>#REF!</v>
      </c>
    </row>
    <row r="102" spans="1:13">
      <c r="A102" s="450" t="str">
        <f t="shared" si="22"/>
        <v>July</v>
      </c>
      <c r="B102" s="190">
        <v>0</v>
      </c>
      <c r="C102" s="190">
        <f>424218+247+7760</f>
        <v>432225</v>
      </c>
      <c r="D102" s="190">
        <v>356</v>
      </c>
      <c r="E102" s="190">
        <f>38669+930</f>
        <v>39599</v>
      </c>
      <c r="F102" s="190">
        <v>433</v>
      </c>
      <c r="G102" s="190">
        <f>8844+754</f>
        <v>9598</v>
      </c>
      <c r="H102" s="190">
        <f>5636+11480+1177</f>
        <v>18293</v>
      </c>
      <c r="I102" s="927">
        <v>4609</v>
      </c>
      <c r="J102" s="190">
        <f t="shared" si="23"/>
        <v>505113</v>
      </c>
      <c r="K102" s="200" t="s">
        <v>1</v>
      </c>
      <c r="L102" s="190">
        <f t="shared" si="24"/>
        <v>11939</v>
      </c>
      <c r="M102" s="190" t="e">
        <f>SUM(J102,#REF!,L102)</f>
        <v>#REF!</v>
      </c>
    </row>
    <row r="103" spans="1:13">
      <c r="A103" s="450" t="str">
        <f t="shared" si="22"/>
        <v>August</v>
      </c>
      <c r="B103" s="190">
        <v>0</v>
      </c>
      <c r="C103" s="190">
        <f>422771+247+9245</f>
        <v>432263</v>
      </c>
      <c r="D103" s="190">
        <v>355</v>
      </c>
      <c r="E103" s="190">
        <f>41626+938</f>
        <v>42564</v>
      </c>
      <c r="F103" s="190">
        <v>474</v>
      </c>
      <c r="G103" s="190">
        <f>10269+946</f>
        <v>11215</v>
      </c>
      <c r="H103" s="190">
        <f>6001+12533+1199</f>
        <v>19733</v>
      </c>
      <c r="I103" s="927">
        <v>4607</v>
      </c>
      <c r="J103" s="190">
        <f t="shared" si="23"/>
        <v>511211</v>
      </c>
      <c r="K103" s="200" t="s">
        <v>1</v>
      </c>
      <c r="L103" s="190">
        <f t="shared" si="24"/>
        <v>11896</v>
      </c>
      <c r="M103" s="190" t="e">
        <f>SUM(J103,#REF!,L103)</f>
        <v>#REF!</v>
      </c>
    </row>
    <row r="104" spans="1:13">
      <c r="A104" s="450" t="str">
        <f t="shared" si="22"/>
        <v>September</v>
      </c>
      <c r="B104" s="190">
        <v>0</v>
      </c>
      <c r="C104" s="190">
        <f>411799+240+9723</f>
        <v>421762</v>
      </c>
      <c r="D104" s="190">
        <v>346</v>
      </c>
      <c r="E104" s="190">
        <f>42288+951</f>
        <v>43239</v>
      </c>
      <c r="F104" s="190">
        <v>475</v>
      </c>
      <c r="G104" s="190">
        <f>9750+904</f>
        <v>10654</v>
      </c>
      <c r="H104" s="190">
        <f>5996+12185+1174</f>
        <v>19355</v>
      </c>
      <c r="I104" s="927">
        <v>4609</v>
      </c>
      <c r="J104" s="190">
        <f t="shared" si="23"/>
        <v>500440</v>
      </c>
      <c r="K104" s="200" t="s">
        <v>1</v>
      </c>
      <c r="L104" s="190">
        <f t="shared" si="24"/>
        <v>12580</v>
      </c>
      <c r="M104" s="190" t="e">
        <f>SUM(J104,#REF!,L104)</f>
        <v>#REF!</v>
      </c>
    </row>
    <row r="105" spans="1:13">
      <c r="A105" s="450" t="str">
        <f t="shared" si="22"/>
        <v>October</v>
      </c>
      <c r="B105" s="190">
        <v>0</v>
      </c>
      <c r="C105" s="190">
        <f>486540+264+12655</f>
        <v>499459</v>
      </c>
      <c r="D105" s="190">
        <v>409</v>
      </c>
      <c r="E105" s="190">
        <f>48486+1074</f>
        <v>49560</v>
      </c>
      <c r="F105" s="190">
        <v>531</v>
      </c>
      <c r="G105" s="190">
        <f>10266+870</f>
        <v>11136</v>
      </c>
      <c r="H105" s="190">
        <f>5431+11116+1177</f>
        <v>17724</v>
      </c>
      <c r="I105" s="927">
        <v>4611</v>
      </c>
      <c r="J105" s="190">
        <f t="shared" si="23"/>
        <v>583430</v>
      </c>
      <c r="K105" s="200" t="s">
        <v>1</v>
      </c>
      <c r="L105" s="190">
        <f t="shared" si="24"/>
        <v>11785</v>
      </c>
      <c r="M105" s="190" t="e">
        <f>SUM(J105,#REF!,L105)</f>
        <v>#REF!</v>
      </c>
    </row>
    <row r="106" spans="1:13">
      <c r="A106" s="450" t="str">
        <f t="shared" si="22"/>
        <v>November</v>
      </c>
      <c r="B106" s="190">
        <v>0</v>
      </c>
      <c r="C106" s="190">
        <f>501957+293+13948</f>
        <v>516198</v>
      </c>
      <c r="D106" s="190">
        <v>468</v>
      </c>
      <c r="E106" s="190">
        <f>45114+893</f>
        <v>46007</v>
      </c>
      <c r="F106" s="190">
        <v>463</v>
      </c>
      <c r="G106" s="190">
        <f>11433+876</f>
        <v>12309</v>
      </c>
      <c r="H106" s="190">
        <f>4757+10437+1172</f>
        <v>16366</v>
      </c>
      <c r="I106" s="927">
        <v>4615</v>
      </c>
      <c r="J106" s="190">
        <f t="shared" si="23"/>
        <v>596426</v>
      </c>
      <c r="K106" s="200" t="s">
        <v>1</v>
      </c>
      <c r="L106" s="190">
        <f t="shared" si="24"/>
        <v>14756</v>
      </c>
      <c r="M106" s="190" t="e">
        <f>SUM(J106,#REF!,L106)</f>
        <v>#REF!</v>
      </c>
    </row>
    <row r="107" spans="1:13">
      <c r="A107" s="450" t="str">
        <f t="shared" si="22"/>
        <v>December</v>
      </c>
      <c r="B107" s="190">
        <v>0</v>
      </c>
      <c r="C107" s="190">
        <f>514700+300+14505</f>
        <v>529505</v>
      </c>
      <c r="D107" s="190">
        <v>457</v>
      </c>
      <c r="E107" s="190">
        <f>44873+901</f>
        <v>45774</v>
      </c>
      <c r="F107" s="190">
        <v>489</v>
      </c>
      <c r="G107" s="190">
        <f>11024+899</f>
        <v>11923</v>
      </c>
      <c r="H107" s="190">
        <f>4471+10703+1170</f>
        <v>16344</v>
      </c>
      <c r="I107" s="174">
        <v>4622</v>
      </c>
      <c r="J107" s="190">
        <f t="shared" si="23"/>
        <v>609114</v>
      </c>
      <c r="K107" s="200" t="s">
        <v>1</v>
      </c>
      <c r="L107" s="190">
        <f t="shared" si="24"/>
        <v>12273</v>
      </c>
      <c r="M107" s="190" t="e">
        <f>SUM(J107,#REF!,L107)</f>
        <v>#REF!</v>
      </c>
    </row>
    <row r="108" spans="1:13" ht="13.5" thickBot="1">
      <c r="A108" s="450" t="s">
        <v>1</v>
      </c>
      <c r="B108" s="971">
        <f t="shared" ref="B108:I108" si="25">SUM(B96:B107)</f>
        <v>0</v>
      </c>
      <c r="C108" s="971">
        <f t="shared" si="25"/>
        <v>5669068</v>
      </c>
      <c r="D108" s="971">
        <f t="shared" si="25"/>
        <v>4860</v>
      </c>
      <c r="E108" s="971">
        <f t="shared" si="25"/>
        <v>534208</v>
      </c>
      <c r="F108" s="971">
        <f t="shared" si="25"/>
        <v>5460</v>
      </c>
      <c r="G108" s="971">
        <f t="shared" si="25"/>
        <v>133069</v>
      </c>
      <c r="H108" s="971">
        <f t="shared" si="25"/>
        <v>211423</v>
      </c>
      <c r="I108" s="972">
        <f t="shared" si="25"/>
        <v>55365</v>
      </c>
      <c r="J108" s="971">
        <f>SUM(J96:J107)</f>
        <v>6613453</v>
      </c>
      <c r="K108" s="971">
        <f>SUM(K96:K107)</f>
        <v>0</v>
      </c>
      <c r="L108" s="971">
        <f>SUM(L96:L107)</f>
        <v>143355</v>
      </c>
      <c r="M108" s="971">
        <f>SUM(I108:J108)</f>
        <v>6668818</v>
      </c>
    </row>
    <row r="109" spans="1:13" ht="13.5" thickTop="1">
      <c r="A109" s="450" t="s">
        <v>1</v>
      </c>
      <c r="C109" s="455" t="s">
        <v>1</v>
      </c>
      <c r="D109" s="455" t="s">
        <v>1</v>
      </c>
      <c r="E109" s="455" t="s">
        <v>1</v>
      </c>
      <c r="F109" s="455" t="s">
        <v>1</v>
      </c>
      <c r="G109" s="451" t="s">
        <v>1</v>
      </c>
      <c r="H109" s="451"/>
      <c r="I109" s="102"/>
    </row>
    <row r="110" spans="1:13">
      <c r="A110" s="100" t="str">
        <f>A82</f>
        <v>Allocation %</v>
      </c>
      <c r="B110" s="937"/>
      <c r="C110" s="937">
        <f t="shared" ref="C110:J110" si="26">C108/$J$108</f>
        <v>0.85720243267775553</v>
      </c>
      <c r="D110" s="937">
        <f t="shared" si="26"/>
        <v>7.3486573504037906E-4</v>
      </c>
      <c r="E110" s="937">
        <f t="shared" si="26"/>
        <v>8.0775957733426093E-2</v>
      </c>
      <c r="F110" s="937">
        <f t="shared" si="26"/>
        <v>8.2558989986017894E-4</v>
      </c>
      <c r="G110" s="937">
        <f t="shared" si="26"/>
        <v>2.0120956480676584E-2</v>
      </c>
      <c r="H110" s="937">
        <f t="shared" si="26"/>
        <v>3.1968625164494252E-2</v>
      </c>
      <c r="I110" s="937">
        <f t="shared" si="26"/>
        <v>8.3715723087470339E-3</v>
      </c>
      <c r="J110" s="937">
        <f t="shared" si="26"/>
        <v>1</v>
      </c>
      <c r="K110" s="937">
        <f>K108/$M$108</f>
        <v>0</v>
      </c>
      <c r="L110" s="937">
        <v>0</v>
      </c>
      <c r="M110" s="937">
        <f>M108/$M$108</f>
        <v>1</v>
      </c>
    </row>
    <row r="111" spans="1:13">
      <c r="B111" s="454" t="s">
        <v>1</v>
      </c>
      <c r="C111" s="454" t="s">
        <v>1</v>
      </c>
      <c r="D111" s="941"/>
      <c r="E111" s="454" t="s">
        <v>1</v>
      </c>
      <c r="F111" s="941"/>
      <c r="G111" s="457" t="s">
        <v>1</v>
      </c>
      <c r="H111" s="942"/>
      <c r="I111" s="943"/>
      <c r="J111" s="973">
        <f>SUM(C110:I110)</f>
        <v>1</v>
      </c>
      <c r="K111" s="122"/>
      <c r="L111" s="102"/>
      <c r="M111" s="964">
        <f>SUM(C110:L110)</f>
        <v>2</v>
      </c>
    </row>
    <row r="112" spans="1:13">
      <c r="B112" s="969" t="s">
        <v>1</v>
      </c>
      <c r="C112" s="919" t="s">
        <v>1</v>
      </c>
      <c r="D112" s="918" t="s">
        <v>1</v>
      </c>
      <c r="E112" s="919" t="s">
        <v>1</v>
      </c>
      <c r="F112" s="918" t="s">
        <v>1</v>
      </c>
      <c r="G112" s="919" t="s">
        <v>1</v>
      </c>
      <c r="H112" s="918" t="s">
        <v>1</v>
      </c>
      <c r="I112" s="919" t="s">
        <v>1</v>
      </c>
      <c r="J112" s="918">
        <v>6613453</v>
      </c>
      <c r="K112" s="919">
        <v>0</v>
      </c>
      <c r="L112" s="918">
        <v>180674.87999999998</v>
      </c>
      <c r="M112" s="919">
        <v>6668818</v>
      </c>
    </row>
    <row r="113" spans="1:13">
      <c r="A113" s="963"/>
      <c r="B113" s="457"/>
      <c r="C113" s="457"/>
      <c r="D113" s="457"/>
      <c r="E113" s="457"/>
      <c r="F113" s="457"/>
      <c r="G113" s="457"/>
      <c r="H113" s="457"/>
      <c r="I113" s="963"/>
      <c r="J113" s="457"/>
      <c r="K113" s="457"/>
      <c r="L113" s="457"/>
      <c r="M113" s="457"/>
    </row>
    <row r="115" spans="1:13">
      <c r="B115" s="147" t="s">
        <v>1</v>
      </c>
      <c r="C115" s="147" t="s">
        <v>1</v>
      </c>
      <c r="D115" s="147" t="s">
        <v>1</v>
      </c>
      <c r="E115" s="147" t="s">
        <v>1</v>
      </c>
      <c r="F115" s="147" t="s">
        <v>1</v>
      </c>
    </row>
    <row r="116" spans="1:13">
      <c r="B116" s="147" t="s">
        <v>1</v>
      </c>
      <c r="C116" s="147" t="s">
        <v>1</v>
      </c>
      <c r="D116" s="147" t="s">
        <v>1</v>
      </c>
      <c r="E116" s="147" t="s">
        <v>1</v>
      </c>
      <c r="F116" s="147" t="s">
        <v>1</v>
      </c>
    </row>
    <row r="117" spans="1:13">
      <c r="B117" s="147" t="s">
        <v>1</v>
      </c>
      <c r="C117" s="147" t="s">
        <v>1</v>
      </c>
      <c r="D117" s="147" t="s">
        <v>1</v>
      </c>
      <c r="E117" s="147" t="s">
        <v>1</v>
      </c>
      <c r="F117" s="147" t="s">
        <v>1</v>
      </c>
    </row>
    <row r="118" spans="1:13">
      <c r="A118" s="100" t="s">
        <v>1</v>
      </c>
      <c r="B118" s="147" t="s">
        <v>1</v>
      </c>
      <c r="C118" s="147" t="s">
        <v>1</v>
      </c>
      <c r="D118" s="147" t="s">
        <v>1</v>
      </c>
      <c r="E118" s="147" t="s">
        <v>1</v>
      </c>
      <c r="F118" s="147" t="s">
        <v>1</v>
      </c>
    </row>
    <row r="119" spans="1:13">
      <c r="B119" s="147" t="s">
        <v>1</v>
      </c>
    </row>
    <row r="120" spans="1:13">
      <c r="B120" s="147" t="s">
        <v>1</v>
      </c>
    </row>
    <row r="121" spans="1:13">
      <c r="B121" s="147" t="s">
        <v>1</v>
      </c>
    </row>
    <row r="122" spans="1:13">
      <c r="B122" s="100" t="s">
        <v>1</v>
      </c>
    </row>
  </sheetData>
  <customSheetViews>
    <customSheetView guid="{18050E3F-BBF0-4BF6-9B33-B0817BE1B1C5}" scale="60" showPageBreaks="1" printArea="1" view="pageBreakPreview" showRuler="0" topLeftCell="A86">
      <selection activeCell="E120" sqref="E120"/>
      <rowBreaks count="3" manualBreakCount="3">
        <brk id="30" max="17" man="1"/>
        <brk id="57" max="17" man="1"/>
        <brk id="87" max="17" man="1"/>
      </rowBreaks>
      <colBreaks count="1" manualBreakCount="1">
        <brk id="9" max="114" man="1"/>
      </colBreaks>
      <pageMargins left="0.75" right="0.75" top="1" bottom="1" header="0.5" footer="0.5"/>
      <printOptions horizontalCentered="1" verticalCentered="1" gridLines="1"/>
      <pageSetup orientation="landscape" horizontalDpi="4294967293" r:id="rId1"/>
      <headerFooter alignWithMargins="0">
        <oddHeader>&amp;C&amp;"Arial,Bold"&amp;12 MEADE COUNTY RECC
CASE NO. 2010-00210
LOAD DATA USED IN THE ALLOCATION OF THE DEMAND RELATED AND ENERGY RELATED COSTS&amp;R&amp;11Exhibit R
Schedule 4.1
Page ____ of ____
Witness:  Jim Adkins</oddHeader>
      </headerFooter>
    </customSheetView>
  </customSheetViews>
  <mergeCells count="8">
    <mergeCell ref="A4:H4"/>
    <mergeCell ref="I4:M4"/>
    <mergeCell ref="I90:M90"/>
    <mergeCell ref="I33:M33"/>
    <mergeCell ref="I62:M62"/>
    <mergeCell ref="A33:H33"/>
    <mergeCell ref="A90:H90"/>
    <mergeCell ref="A62:H62"/>
  </mergeCells>
  <phoneticPr fontId="3" type="noConversion"/>
  <printOptions horizontalCentered="1" verticalCentered="1" gridLines="1"/>
  <pageMargins left="0.75" right="0.75" top="1" bottom="1" header="0.5" footer="0.5"/>
  <pageSetup scale="75" orientation="landscape" horizontalDpi="4294967293" r:id="rId2"/>
  <headerFooter alignWithMargins="0">
    <oddHeader>&amp;C&amp;"Arial,Bold"&amp;12 BLUE GRASS ENERGY COOPERATIVE
CASE NO. 2014-00339
LOAD DATA USED IN THE ALLOCATION OF THE DEMAND RELATED AND ENERGY RELATED COSTS&amp;R&amp;11Revised Exhibit R
Schedule 4.1
Page ____ of ____
Witness:  Jim Adkins</oddHeader>
  </headerFooter>
  <rowBreaks count="3" manualBreakCount="3">
    <brk id="30" max="18" man="1"/>
    <brk id="57" max="18" man="1"/>
    <brk id="87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topLeftCell="G4" workbookViewId="0">
      <selection activeCell="L9" sqref="L9"/>
    </sheetView>
  </sheetViews>
  <sheetFormatPr defaultColWidth="14" defaultRowHeight="14.25"/>
  <cols>
    <col min="1" max="1" width="28" style="207" customWidth="1"/>
    <col min="2" max="2" width="17" style="207" customWidth="1"/>
    <col min="3" max="3" width="15" style="207" bestFit="1" customWidth="1"/>
    <col min="4" max="9" width="14.140625" style="207" bestFit="1" customWidth="1"/>
    <col min="10" max="10" width="15" style="207" bestFit="1" customWidth="1"/>
    <col min="11" max="12" width="14.140625" style="207" bestFit="1" customWidth="1"/>
    <col min="13" max="13" width="15" style="207" bestFit="1" customWidth="1"/>
    <col min="14" max="16384" width="14" style="207"/>
  </cols>
  <sheetData>
    <row r="1" spans="1:26">
      <c r="A1" s="343"/>
      <c r="B1" s="836">
        <f>('4 Allocation'!D3)</f>
        <v>0</v>
      </c>
      <c r="C1" s="836" t="str">
        <f>('4 Allocation'!E3)</f>
        <v>GS 1</v>
      </c>
      <c r="D1" s="836" t="str">
        <f>('4 Allocation'!F3)</f>
        <v>GS 1</v>
      </c>
      <c r="E1" s="836" t="str">
        <f>('4 Allocation'!G3)</f>
        <v>SC1</v>
      </c>
      <c r="F1" s="836" t="str">
        <f>('4 Allocation'!H3)</f>
        <v>SC2</v>
      </c>
      <c r="G1" s="836" t="str">
        <f>('4 Allocation'!I3)</f>
        <v>LP1</v>
      </c>
      <c r="H1" s="321" t="str">
        <f>('4 Allocation'!J3)</f>
        <v>LP2</v>
      </c>
      <c r="I1" s="846">
        <f>('4 Allocation'!K3)</f>
        <v>0</v>
      </c>
      <c r="J1" s="836" t="str">
        <f>('4 Allocation'!L3)</f>
        <v>Total</v>
      </c>
      <c r="K1" s="857" t="str">
        <f>('4 Allocation'!M3)</f>
        <v>B-2</v>
      </c>
      <c r="L1" s="836" t="str">
        <f>('4 Allocation'!N3)</f>
        <v>G-1</v>
      </c>
      <c r="M1" s="836" t="str">
        <f>('4 Allocation'!O3)</f>
        <v>Total</v>
      </c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 spans="1:26">
      <c r="A2" s="344"/>
      <c r="B2" s="837" t="str">
        <f>('4 Allocation'!D4)</f>
        <v>Enviro</v>
      </c>
      <c r="C2" s="837" t="str">
        <f>('4 Allocation'!E4)</f>
        <v>Residential</v>
      </c>
      <c r="D2" s="837" t="str">
        <f>('4 Allocation'!F4)</f>
        <v>Residential</v>
      </c>
      <c r="E2" s="837" t="str">
        <f>('4 Allocation'!G4)</f>
        <v>Gen Service</v>
      </c>
      <c r="F2" s="837" t="str">
        <f>('4 Allocation'!H4)</f>
        <v>Gen Service</v>
      </c>
      <c r="G2" s="837" t="str">
        <f>('4 Allocation'!I4)</f>
        <v>Large Power</v>
      </c>
      <c r="H2" s="321" t="str">
        <f>('4 Allocation'!J4)</f>
        <v>Large Power</v>
      </c>
      <c r="I2" s="847" t="str">
        <f>('4 Allocation'!K4)</f>
        <v>Outdoor</v>
      </c>
      <c r="J2" s="837" t="str">
        <f>('4 Allocation'!L4)</f>
        <v>EKPC Sched</v>
      </c>
      <c r="K2" s="858" t="str">
        <f>('4 Allocation'!M4)</f>
        <v>Large Indust.</v>
      </c>
      <c r="L2" s="837" t="str">
        <f>('4 Allocation'!N4)</f>
        <v>Large Indust.</v>
      </c>
      <c r="M2" s="837" t="str">
        <f>('4 Allocation'!O4)</f>
        <v>for All</v>
      </c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</row>
    <row r="3" spans="1:26">
      <c r="A3" s="344"/>
      <c r="B3" s="837" t="str">
        <f>('4 Allocation'!D5)</f>
        <v>watts</v>
      </c>
      <c r="C3" s="837" t="str">
        <f>('4 Allocation'!E5)</f>
        <v>&amp; Farm</v>
      </c>
      <c r="D3" s="837" t="str">
        <f>('4 Allocation'!F5)</f>
        <v>&amp; Farm TOD</v>
      </c>
      <c r="E3" s="837" t="str">
        <f>('4 Allocation'!G5)</f>
        <v>0-100 kW</v>
      </c>
      <c r="F3" s="837" t="str">
        <f>('4 Allocation'!H5)</f>
        <v>0-100 kW TOD</v>
      </c>
      <c r="G3" s="837" t="str">
        <f>('4 Allocation'!I5)</f>
        <v>under 500 kW</v>
      </c>
      <c r="H3" s="321" t="str">
        <f>('4 Allocation'!J5)</f>
        <v>over 500 kW</v>
      </c>
      <c r="I3" s="847" t="str">
        <f>('4 Allocation'!K5)</f>
        <v>Lights</v>
      </c>
      <c r="J3" s="837" t="str">
        <f>('4 Allocation'!L5)</f>
        <v>E Rates</v>
      </c>
      <c r="K3" s="858" t="str">
        <f>('4 Allocation'!M5)</f>
        <v>Rate</v>
      </c>
      <c r="L3" s="837" t="str">
        <f>('4 Allocation'!N5)</f>
        <v>Rate</v>
      </c>
      <c r="M3" s="837" t="str">
        <f>('4 Allocation'!O5)</f>
        <v>Rate Classes</v>
      </c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</row>
    <row r="4" spans="1:26" s="77" customFormat="1">
      <c r="A4" s="319" t="s">
        <v>292</v>
      </c>
      <c r="B4" s="838">
        <f>('12 Inc Stmt Func'!F8)</f>
        <v>7678.35</v>
      </c>
      <c r="C4" s="838">
        <f>('12 Inc Stmt Func'!G8)</f>
        <v>77312670.675060004</v>
      </c>
      <c r="D4" s="838">
        <f>('12 Inc Stmt Func'!H8)</f>
        <v>37530.452859999998</v>
      </c>
      <c r="E4" s="838">
        <f>('12 Inc Stmt Func'!I8)</f>
        <v>7980425.1752000004</v>
      </c>
      <c r="F4" s="838">
        <f>('12 Inc Stmt Func'!J8)</f>
        <v>78246.040000000008</v>
      </c>
      <c r="G4" s="838">
        <f>('12 Inc Stmt Func'!K8)</f>
        <v>3052922.6646399996</v>
      </c>
      <c r="H4" s="834">
        <f>('12 Inc Stmt Func'!L8)</f>
        <v>5573017.7770949993</v>
      </c>
      <c r="I4" s="848">
        <f>('12 Inc Stmt Func'!M8)</f>
        <v>2045660.1099999999</v>
      </c>
      <c r="J4" s="838">
        <f>('12 Inc Stmt Func'!N8)</f>
        <v>96088151.244855002</v>
      </c>
      <c r="K4" s="859">
        <f>('12 Inc Stmt Func'!O8)</f>
        <v>11705947.46473</v>
      </c>
      <c r="L4" s="838">
        <f>('12 Inc Stmt Func'!P8)</f>
        <v>5252228.4984440003</v>
      </c>
      <c r="M4" s="838">
        <f>('12 Inc Stmt Func'!Q8)</f>
        <v>113046327.208029</v>
      </c>
      <c r="N4" s="832"/>
      <c r="O4" s="832"/>
    </row>
    <row r="5" spans="1:26" s="77" customFormat="1">
      <c r="A5" s="319"/>
      <c r="B5" s="168"/>
      <c r="C5" s="168"/>
      <c r="D5" s="168"/>
      <c r="E5" s="168"/>
      <c r="F5" s="168"/>
      <c r="G5" s="168"/>
      <c r="I5" s="220"/>
      <c r="J5" s="168"/>
      <c r="K5" s="221"/>
      <c r="L5" s="168"/>
      <c r="M5" s="168"/>
    </row>
    <row r="6" spans="1:26" s="77" customFormat="1">
      <c r="A6" s="319" t="s">
        <v>19</v>
      </c>
      <c r="B6" s="776">
        <f>('12 Inc Stmt Func'!F13)</f>
        <v>6455.25</v>
      </c>
      <c r="C6" s="776">
        <f>('12 Inc Stmt Func'!G13)</f>
        <v>54097149.125115462</v>
      </c>
      <c r="D6" s="776">
        <f>('12 Inc Stmt Func'!H13)</f>
        <v>38083.900987876725</v>
      </c>
      <c r="E6" s="776">
        <f>('12 Inc Stmt Func'!I13)</f>
        <v>5831175.3420010321</v>
      </c>
      <c r="F6" s="776">
        <f>('12 Inc Stmt Func'!J13)</f>
        <v>63679.799744545409</v>
      </c>
      <c r="G6" s="776">
        <f>('12 Inc Stmt Func'!K13)</f>
        <v>2411301.0575296874</v>
      </c>
      <c r="H6" s="190">
        <f>('12 Inc Stmt Func'!L13)</f>
        <v>5155021.5612492915</v>
      </c>
      <c r="I6" s="849">
        <f>('12 Inc Stmt Func'!M13)</f>
        <v>619361.77191570913</v>
      </c>
      <c r="J6" s="776">
        <f>('12 Inc Stmt Func'!N13)</f>
        <v>68222227.808543593</v>
      </c>
      <c r="K6" s="860">
        <f>('12 Inc Stmt Func'!O13)</f>
        <v>10823449.780138001</v>
      </c>
      <c r="L6" s="776">
        <f>('12 Inc Stmt Func'!P13)</f>
        <v>5058855.866820896</v>
      </c>
      <c r="M6" s="776">
        <f>('12 Inc Stmt Func'!Q13)</f>
        <v>84104533.45550251</v>
      </c>
    </row>
    <row r="7" spans="1:26" s="77" customFormat="1">
      <c r="A7" s="319" t="s">
        <v>160</v>
      </c>
      <c r="B7" s="168"/>
      <c r="C7" s="776">
        <f>(Sheet2!J9)</f>
        <v>1932431.3510410092</v>
      </c>
      <c r="D7" s="776">
        <f>(Sheet2!J32)</f>
        <v>1711.9743329441394</v>
      </c>
      <c r="E7" s="776">
        <f>(Sheet2!J55)</f>
        <v>239263.5298182953</v>
      </c>
      <c r="F7" s="776">
        <f>(Sheet2!J78)</f>
        <v>4174.7813367378167</v>
      </c>
      <c r="G7" s="776">
        <f>(Sheet2!J101)</f>
        <v>27937.043126595741</v>
      </c>
      <c r="H7" s="190">
        <f>(Sheet2!J124)</f>
        <v>37197.922505376606</v>
      </c>
      <c r="I7" s="849">
        <f>(Sheet2!J147)</f>
        <v>414990.89350832975</v>
      </c>
      <c r="J7" s="777">
        <f>SUM(C7:I7)</f>
        <v>2657707.4956692886</v>
      </c>
      <c r="K7" s="860">
        <f>(Sheet2!J170)</f>
        <v>53818.376546254665</v>
      </c>
      <c r="L7" s="776">
        <f>(Sheet2!J193)</f>
        <v>24798.127784456537</v>
      </c>
      <c r="M7" s="777">
        <f>SUM(J7:L7)</f>
        <v>2736324</v>
      </c>
    </row>
    <row r="8" spans="1:26" s="77" customFormat="1">
      <c r="A8" s="319" t="s">
        <v>140</v>
      </c>
      <c r="B8" s="168"/>
      <c r="C8" s="776">
        <f>(Sheet2!J10)</f>
        <v>4943744.966517522</v>
      </c>
      <c r="D8" s="776">
        <f>(Sheet2!J33)</f>
        <v>4612.112714177626</v>
      </c>
      <c r="E8" s="776">
        <f>(Sheet2!J56)</f>
        <v>541305.79838400707</v>
      </c>
      <c r="F8" s="776">
        <f>(Sheet2!J79)</f>
        <v>12543.169450470938</v>
      </c>
      <c r="G8" s="776">
        <f>(Sheet2!J102)</f>
        <v>88914.294321616049</v>
      </c>
      <c r="H8" s="190">
        <f>(Sheet2!J125)</f>
        <v>120910.96610329184</v>
      </c>
      <c r="I8" s="849">
        <f>(Sheet2!J148)</f>
        <v>277449.66733924038</v>
      </c>
      <c r="J8" s="777">
        <f t="shared" ref="J8:J15" si="0">SUM(C8:I8)</f>
        <v>5989480.9748303266</v>
      </c>
      <c r="K8" s="860">
        <f>(Sheet2!J171)</f>
        <v>175655.00430375204</v>
      </c>
      <c r="L8" s="776">
        <f>(Sheet2!J194)</f>
        <v>81002.020865920669</v>
      </c>
      <c r="M8" s="777">
        <f t="shared" ref="M8:M15" si="1">SUM(J8:L8)</f>
        <v>6246138</v>
      </c>
    </row>
    <row r="9" spans="1:26" s="77" customFormat="1">
      <c r="A9" s="319" t="s">
        <v>115</v>
      </c>
      <c r="B9" s="168"/>
      <c r="C9" s="776">
        <f>(Sheet2!J11)</f>
        <v>2622966.0264885132</v>
      </c>
      <c r="D9" s="776">
        <f>(Sheet2!J34)</f>
        <v>2353.8358094052223</v>
      </c>
      <c r="E9" s="776">
        <f>(Sheet2!J57)</f>
        <v>197753.17951384661</v>
      </c>
      <c r="F9" s="776">
        <f>(Sheet2!J80)</f>
        <v>3329.438809356071</v>
      </c>
      <c r="G9" s="776">
        <f>(Sheet2!J103)</f>
        <v>7061.5074282156666</v>
      </c>
      <c r="H9" s="190">
        <f>(Sheet2!J126)</f>
        <v>2973.2662855644912</v>
      </c>
      <c r="I9" s="849">
        <f>(Sheet2!J149)</f>
        <v>55919.705665754183</v>
      </c>
      <c r="J9" s="777">
        <f t="shared" si="0"/>
        <v>2892356.9600006556</v>
      </c>
      <c r="K9" s="860">
        <f>(Sheet2!J172)</f>
        <v>9291.4571423890338</v>
      </c>
      <c r="L9" s="776">
        <f>(Sheet2!J195)</f>
        <v>3716.5828569556138</v>
      </c>
      <c r="M9" s="777">
        <f t="shared" si="1"/>
        <v>2905365</v>
      </c>
    </row>
    <row r="10" spans="1:26" s="77" customFormat="1">
      <c r="A10" s="319" t="s">
        <v>161</v>
      </c>
      <c r="B10" s="168"/>
      <c r="C10" s="776">
        <f>(Sheet2!J12)</f>
        <v>925346.53971168341</v>
      </c>
      <c r="D10" s="776">
        <f>(Sheet2!J35)</f>
        <v>830.40078678398027</v>
      </c>
      <c r="E10" s="776">
        <f>(Sheet2!J58)</f>
        <v>69764.592415996231</v>
      </c>
      <c r="F10" s="776">
        <f>(Sheet2!J81)</f>
        <v>1174.5800602536563</v>
      </c>
      <c r="G10" s="776">
        <f>(Sheet2!J104)</f>
        <v>2491.2023603519406</v>
      </c>
      <c r="H10" s="190">
        <f>(Sheet2!J127)</f>
        <v>1048.9273096218699</v>
      </c>
      <c r="I10" s="849">
        <f>(Sheet2!J150)</f>
        <v>19727.700375713321</v>
      </c>
      <c r="J10" s="777">
        <f t="shared" si="0"/>
        <v>1020383.9430204043</v>
      </c>
      <c r="K10" s="860">
        <f>(Sheet2!J173)</f>
        <v>3277.8978425683431</v>
      </c>
      <c r="L10" s="776">
        <f>(Sheet2!J196)</f>
        <v>1311.1591370273372</v>
      </c>
      <c r="M10" s="777">
        <f t="shared" si="1"/>
        <v>1024973</v>
      </c>
    </row>
    <row r="11" spans="1:26" s="77" customFormat="1">
      <c r="A11" s="319" t="s">
        <v>162</v>
      </c>
      <c r="B11" s="168"/>
      <c r="C11" s="776">
        <f>(Sheet2!J13)</f>
        <v>3555659.0018889261</v>
      </c>
      <c r="D11" s="776">
        <f>(Sheet2!J36)</f>
        <v>3243.167208263179</v>
      </c>
      <c r="E11" s="776">
        <f>(Sheet2!J59)</f>
        <v>357489.06348423217</v>
      </c>
      <c r="F11" s="776">
        <f>(Sheet2!J82)</f>
        <v>7238.5415839487887</v>
      </c>
      <c r="G11" s="776">
        <f>(Sheet2!J105)</f>
        <v>43114.798819292293</v>
      </c>
      <c r="H11" s="190">
        <f>(Sheet2!J128)</f>
        <v>55300.832088700816</v>
      </c>
      <c r="I11" s="849">
        <f>(Sheet2!J151)</f>
        <v>261984.95136716202</v>
      </c>
      <c r="J11" s="777">
        <f t="shared" si="0"/>
        <v>4284030.3564405255</v>
      </c>
      <c r="K11" s="860">
        <f>(Sheet2!J174)</f>
        <v>82557.671920485518</v>
      </c>
      <c r="L11" s="776">
        <f>(Sheet2!J197)</f>
        <v>37801.971638988645</v>
      </c>
      <c r="M11" s="777">
        <f t="shared" si="1"/>
        <v>4404390</v>
      </c>
    </row>
    <row r="12" spans="1:26" s="77" customFormat="1">
      <c r="A12" s="319" t="s">
        <v>163</v>
      </c>
      <c r="B12" s="168"/>
      <c r="C12" s="776">
        <f>(Sheet2!J14)</f>
        <v>6664443.6575226458</v>
      </c>
      <c r="D12" s="776">
        <f>(Sheet2!J37)</f>
        <v>6095.8329217024275</v>
      </c>
      <c r="E12" s="776">
        <f>(Sheet2!J60)</f>
        <v>704412.6928969553</v>
      </c>
      <c r="F12" s="776">
        <f>(Sheet2!J83)</f>
        <v>14969.03113525902</v>
      </c>
      <c r="G12" s="776">
        <f>(Sheet2!J106)</f>
        <v>119820.77806434751</v>
      </c>
      <c r="H12" s="190">
        <f>(Sheet2!J129)</f>
        <v>167376.48754200948</v>
      </c>
      <c r="I12" s="849">
        <f>(Sheet2!J152)</f>
        <v>424514.87150480598</v>
      </c>
      <c r="J12" s="777">
        <f t="shared" si="0"/>
        <v>8101633.3515877267</v>
      </c>
      <c r="K12" s="860">
        <f>(Sheet2!J175)</f>
        <v>193473.24538108686</v>
      </c>
      <c r="L12" s="776">
        <f>(Sheet2!J198)</f>
        <v>89187.403031185808</v>
      </c>
      <c r="M12" s="777">
        <f t="shared" si="1"/>
        <v>8384294</v>
      </c>
    </row>
    <row r="13" spans="1:26" s="77" customFormat="1">
      <c r="A13" s="319" t="s">
        <v>164</v>
      </c>
      <c r="B13" s="168"/>
      <c r="C13" s="776">
        <f>(Sheet2!J15)</f>
        <v>16106.660282233783</v>
      </c>
      <c r="D13" s="776">
        <f>(Sheet2!J38)</f>
        <v>14.733692516496349</v>
      </c>
      <c r="E13" s="776">
        <f>(Sheet2!J61)</f>
        <v>1704.5134037142859</v>
      </c>
      <c r="F13" s="776">
        <f>(Sheet2!J84)</f>
        <v>36.261771449137669</v>
      </c>
      <c r="G13" s="776">
        <f>(Sheet2!J107)</f>
        <v>291.92519127647455</v>
      </c>
      <c r="H13" s="190">
        <f>(Sheet2!J130)</f>
        <v>408.34064100619497</v>
      </c>
      <c r="I13" s="849">
        <f>(Sheet2!J153)</f>
        <v>1021.9995598550281</v>
      </c>
      <c r="J13" s="777">
        <f t="shared" si="0"/>
        <v>19584.4345420514</v>
      </c>
      <c r="K13" s="860">
        <f>(Sheet2!J176)</f>
        <v>469.91506132203176</v>
      </c>
      <c r="L13" s="776">
        <f>(Sheet2!J199)</f>
        <v>216.65039662656909</v>
      </c>
      <c r="M13" s="777">
        <f t="shared" si="1"/>
        <v>20271.000000000004</v>
      </c>
    </row>
    <row r="14" spans="1:26" s="77" customFormat="1">
      <c r="A14" s="319" t="s">
        <v>165</v>
      </c>
      <c r="B14" s="168"/>
      <c r="C14" s="776">
        <f>(Sheet2!J16)</f>
        <v>3735901.4008282819</v>
      </c>
      <c r="D14" s="776">
        <f>(Sheet2!J39)</f>
        <v>3417.3915334366066</v>
      </c>
      <c r="E14" s="776">
        <f>(Sheet2!J62)</f>
        <v>395351.65186599054</v>
      </c>
      <c r="F14" s="776">
        <f>(Sheet2!J85)</f>
        <v>8410.7002096691303</v>
      </c>
      <c r="G14" s="776">
        <f>(Sheet2!J108)</f>
        <v>67710.295701373805</v>
      </c>
      <c r="H14" s="190">
        <f>(Sheet2!J131)</f>
        <v>94712.160428911011</v>
      </c>
      <c r="I14" s="849">
        <f>(Sheet2!J154)</f>
        <v>237046.66288604212</v>
      </c>
      <c r="J14" s="777">
        <f t="shared" si="0"/>
        <v>4542550.2634537052</v>
      </c>
      <c r="K14" s="860">
        <f>(Sheet2!J177)</f>
        <v>108993.97759239597</v>
      </c>
      <c r="L14" s="776">
        <f>(Sheet2!J200)</f>
        <v>50250.75895389876</v>
      </c>
      <c r="M14" s="777">
        <f t="shared" si="1"/>
        <v>4701795</v>
      </c>
    </row>
    <row r="15" spans="1:26" s="77" customFormat="1">
      <c r="A15" s="319" t="s">
        <v>168</v>
      </c>
      <c r="B15" s="175"/>
      <c r="C15" s="842">
        <f>(Sheet2!J17)</f>
        <v>2287.5934000178354</v>
      </c>
      <c r="D15" s="842">
        <f>(Sheet2!J40)</f>
        <v>2.0924332756016857</v>
      </c>
      <c r="E15" s="842">
        <f>(Sheet2!J63)</f>
        <v>242.06970253027853</v>
      </c>
      <c r="F15" s="842">
        <f>(Sheet2!J86)</f>
        <v>5.1497842192299155</v>
      </c>
      <c r="G15" s="842">
        <f>(Sheet2!J109)</f>
        <v>41.458309485512324</v>
      </c>
      <c r="H15" s="183">
        <f>(Sheet2!J132)</f>
        <v>57.991270285112876</v>
      </c>
      <c r="I15" s="855">
        <f>(Sheet2!J155)</f>
        <v>145.14120505071202</v>
      </c>
      <c r="J15" s="777">
        <f t="shared" si="0"/>
        <v>2781.4961048642826</v>
      </c>
      <c r="K15" s="861">
        <f>(Sheet2!J178)</f>
        <v>66.735878322133274</v>
      </c>
      <c r="L15" s="842">
        <f>(Sheet2!J201)</f>
        <v>30.768016813584001</v>
      </c>
      <c r="M15" s="844">
        <f t="shared" si="1"/>
        <v>2879</v>
      </c>
    </row>
    <row r="16" spans="1:26" s="77" customFormat="1">
      <c r="A16" s="319" t="s">
        <v>58</v>
      </c>
      <c r="B16" s="839">
        <f t="shared" ref="B16:I16" si="2">SUM(B6:B15)</f>
        <v>6455.25</v>
      </c>
      <c r="C16" s="839">
        <f t="shared" si="2"/>
        <v>78496036.322796315</v>
      </c>
      <c r="D16" s="839">
        <f t="shared" si="2"/>
        <v>60365.442420382002</v>
      </c>
      <c r="E16" s="839">
        <f t="shared" si="2"/>
        <v>8338462.4334866004</v>
      </c>
      <c r="F16" s="839">
        <f t="shared" si="2"/>
        <v>115561.4538859092</v>
      </c>
      <c r="G16" s="839">
        <f t="shared" si="2"/>
        <v>2768684.3608522429</v>
      </c>
      <c r="H16" s="835">
        <f t="shared" si="2"/>
        <v>5635008.4554240601</v>
      </c>
      <c r="I16" s="856">
        <f t="shared" si="2"/>
        <v>2312163.3653276623</v>
      </c>
      <c r="J16" s="845">
        <f>SUM(C16:I16)</f>
        <v>97726281.834193155</v>
      </c>
      <c r="K16" s="862">
        <f>SUM(K6:K15)</f>
        <v>11451054.061806574</v>
      </c>
      <c r="L16" s="839">
        <f>SUM(L6:L15)</f>
        <v>5347171.3095027702</v>
      </c>
      <c r="M16" s="839">
        <f>SUM(M6:M15)</f>
        <v>114530962.45550251</v>
      </c>
    </row>
    <row r="17" spans="1:13" s="77" customFormat="1">
      <c r="A17" s="319"/>
      <c r="B17" s="168"/>
      <c r="C17" s="168"/>
      <c r="D17" s="168"/>
      <c r="E17" s="168"/>
      <c r="F17" s="168"/>
      <c r="G17" s="168"/>
      <c r="I17" s="220"/>
      <c r="J17" s="168"/>
      <c r="K17" s="221"/>
      <c r="L17" s="168"/>
      <c r="M17" s="168"/>
    </row>
    <row r="18" spans="1:13" s="77" customFormat="1">
      <c r="A18" s="319" t="s">
        <v>678</v>
      </c>
      <c r="B18" s="840">
        <f>(B4-B16)</f>
        <v>1223.1000000000004</v>
      </c>
      <c r="C18" s="840">
        <f t="shared" ref="C18:M18" si="3">(C4-C16)</f>
        <v>-1183365.647736311</v>
      </c>
      <c r="D18" s="840">
        <f t="shared" si="3"/>
        <v>-22834.989560382004</v>
      </c>
      <c r="E18" s="840">
        <f t="shared" si="3"/>
        <v>-358037.2582866</v>
      </c>
      <c r="F18" s="840">
        <f t="shared" si="3"/>
        <v>-37315.413885909191</v>
      </c>
      <c r="G18" s="840">
        <f t="shared" si="3"/>
        <v>284238.30378775671</v>
      </c>
      <c r="H18" s="833">
        <f t="shared" si="3"/>
        <v>-61990.678329060785</v>
      </c>
      <c r="I18" s="850">
        <f t="shared" si="3"/>
        <v>-266503.25532766245</v>
      </c>
      <c r="J18" s="840">
        <f t="shared" si="3"/>
        <v>-1638130.5893381536</v>
      </c>
      <c r="K18" s="863">
        <f t="shared" si="3"/>
        <v>254893.40292342566</v>
      </c>
      <c r="L18" s="840">
        <f t="shared" si="3"/>
        <v>-94942.811058769934</v>
      </c>
      <c r="M18" s="840">
        <f t="shared" si="3"/>
        <v>-1484635.2474735081</v>
      </c>
    </row>
    <row r="19" spans="1:13" s="190" customFormat="1">
      <c r="A19" s="268" t="s">
        <v>302</v>
      </c>
      <c r="B19" s="776">
        <f>('12 Inc Stmt Func'!F38)</f>
        <v>0</v>
      </c>
      <c r="C19" s="776">
        <f>('12 Inc Stmt Func'!G38)</f>
        <v>2553544.2000174634</v>
      </c>
      <c r="D19" s="776">
        <f>('12 Inc Stmt Func'!H38)</f>
        <v>1239.5855606576151</v>
      </c>
      <c r="E19" s="776">
        <f>('12 Inc Stmt Func'!I38)</f>
        <v>263583.81157797843</v>
      </c>
      <c r="F19" s="776">
        <f>('12 Inc Stmt Func'!J38)</f>
        <v>2584.3722622919131</v>
      </c>
      <c r="G19" s="776">
        <f>('12 Inc Stmt Func'!K38)</f>
        <v>100834.35089389738</v>
      </c>
      <c r="H19" s="190">
        <f>('12 Inc Stmt Func'!L38)</f>
        <v>184070.05083431763</v>
      </c>
      <c r="I19" s="849">
        <f>('12 Inc Stmt Func'!M38)</f>
        <v>67565.684427748958</v>
      </c>
      <c r="J19" s="776">
        <f>('12 Inc Stmt Func'!N38)</f>
        <v>3173422.0555743556</v>
      </c>
      <c r="K19" s="860">
        <f>('12 Inc Stmt Func'!O38)</f>
        <v>386633.31628916366</v>
      </c>
      <c r="L19" s="776">
        <f>('12 Inc Stmt Func'!P38)</f>
        <v>173474.76813648047</v>
      </c>
      <c r="M19" s="776">
        <f>('12 Inc Stmt Func'!Q38)</f>
        <v>3733530.1399999997</v>
      </c>
    </row>
    <row r="20" spans="1:13" s="77" customFormat="1" ht="15" thickBot="1">
      <c r="A20" s="319" t="s">
        <v>311</v>
      </c>
      <c r="B20" s="841">
        <f>(B18+B19)</f>
        <v>1223.1000000000004</v>
      </c>
      <c r="C20" s="841">
        <f>(C18+C19)</f>
        <v>1370178.5522811525</v>
      </c>
      <c r="D20" s="841">
        <f t="shared" ref="D20:M20" si="4">(D18+D19)</f>
        <v>-21595.403999724389</v>
      </c>
      <c r="E20" s="841">
        <f t="shared" si="4"/>
        <v>-94453.446708621574</v>
      </c>
      <c r="F20" s="841">
        <f t="shared" si="4"/>
        <v>-34731.041623617275</v>
      </c>
      <c r="G20" s="841">
        <f t="shared" si="4"/>
        <v>385072.65468165406</v>
      </c>
      <c r="H20" s="841">
        <f t="shared" si="4"/>
        <v>122079.37250525685</v>
      </c>
      <c r="I20" s="851">
        <f t="shared" si="4"/>
        <v>-198937.57089991349</v>
      </c>
      <c r="J20" s="841">
        <f t="shared" si="4"/>
        <v>1535291.466236202</v>
      </c>
      <c r="K20" s="864">
        <f t="shared" si="4"/>
        <v>641526.71921258932</v>
      </c>
      <c r="L20" s="841">
        <f t="shared" si="4"/>
        <v>78531.95707771054</v>
      </c>
      <c r="M20" s="841">
        <f t="shared" si="4"/>
        <v>2248894.8925264915</v>
      </c>
    </row>
    <row r="21" spans="1:13" s="77" customFormat="1" ht="15" thickTop="1">
      <c r="A21" s="319" t="s">
        <v>250</v>
      </c>
      <c r="B21" s="168"/>
      <c r="C21" s="843">
        <f>(C14+C20)/(C14)</f>
        <v>1.3667598272206465</v>
      </c>
      <c r="D21" s="843">
        <f t="shared" ref="D21:M21" si="5">(D14+D20)/(D14)</f>
        <v>-5.3192653778268015</v>
      </c>
      <c r="E21" s="843">
        <f t="shared" si="5"/>
        <v>0.76109004157990023</v>
      </c>
      <c r="F21" s="843">
        <f t="shared" si="5"/>
        <v>-3.1293876559397145</v>
      </c>
      <c r="G21" s="843">
        <f t="shared" si="5"/>
        <v>6.6870620736905328</v>
      </c>
      <c r="H21" s="843">
        <f t="shared" si="5"/>
        <v>2.2889514076377457</v>
      </c>
      <c r="I21" s="852">
        <f t="shared" si="5"/>
        <v>0.1607662032536151</v>
      </c>
      <c r="J21" s="843">
        <f t="shared" si="5"/>
        <v>1.3379800722488691</v>
      </c>
      <c r="K21" s="865">
        <f t="shared" si="5"/>
        <v>6.8858914353204215</v>
      </c>
      <c r="L21" s="843">
        <f t="shared" si="5"/>
        <v>2.5628014126066758</v>
      </c>
      <c r="M21" s="843">
        <f t="shared" si="5"/>
        <v>1.4783056029721611</v>
      </c>
    </row>
    <row r="22" spans="1:13" s="77" customFormat="1">
      <c r="A22" s="319"/>
      <c r="B22" s="168"/>
      <c r="C22" s="168"/>
      <c r="D22" s="168"/>
      <c r="E22" s="168"/>
      <c r="F22" s="168"/>
      <c r="G22" s="168"/>
      <c r="H22" s="168"/>
      <c r="I22" s="220"/>
      <c r="J22" s="168"/>
      <c r="K22" s="221"/>
      <c r="L22" s="168"/>
      <c r="M22" s="168"/>
    </row>
    <row r="23" spans="1:13" s="77" customFormat="1">
      <c r="A23" s="319" t="s">
        <v>109</v>
      </c>
      <c r="B23" s="776">
        <f>('2.22Rate Base'!I81)</f>
        <v>0</v>
      </c>
      <c r="C23" s="776">
        <f>('2.22Rate Base'!J81)</f>
        <v>125304094.83238454</v>
      </c>
      <c r="D23" s="776">
        <f>('2.22Rate Base'!K81)</f>
        <v>114597.35300591256</v>
      </c>
      <c r="E23" s="776">
        <f>('2.22Rate Base'!L81)</f>
        <v>13257554.004880609</v>
      </c>
      <c r="F23" s="776">
        <f>('2.22Rate Base'!M81)</f>
        <v>282040.84065986221</v>
      </c>
      <c r="G23" s="776">
        <f>('2.22Rate Base'!N81)</f>
        <v>2244592.3374915547</v>
      </c>
      <c r="H23" s="776">
        <f>('2.22Rate Base'!O81)</f>
        <v>3499290.8929470852</v>
      </c>
      <c r="I23" s="849">
        <f>('2.22Rate Base'!P81)</f>
        <v>7625768.26877484</v>
      </c>
      <c r="J23" s="776">
        <f>('2.22Rate Base'!Q81)</f>
        <v>152327938.53014439</v>
      </c>
      <c r="K23" s="860">
        <f>('2.22Rate Base'!R81)</f>
        <v>3654957.6492669759</v>
      </c>
      <c r="L23" s="776">
        <f>('2.22Rate Base'!S81)</f>
        <v>1685087.5605886381</v>
      </c>
      <c r="M23" s="776">
        <f>('2.22Rate Base'!T81)</f>
        <v>157667983.74000004</v>
      </c>
    </row>
    <row r="24" spans="1:13" s="77" customFormat="1" ht="15" thickBot="1">
      <c r="A24" s="811" t="s">
        <v>679</v>
      </c>
      <c r="B24" s="168"/>
      <c r="C24" s="460">
        <f t="shared" ref="C24:M24" si="6">(C20+C14)/(C23)</f>
        <v>4.0749505911516146E-2</v>
      </c>
      <c r="D24" s="460">
        <f t="shared" si="6"/>
        <v>-0.15862506410030169</v>
      </c>
      <c r="E24" s="460">
        <f t="shared" si="6"/>
        <v>2.2696359000053623E-2</v>
      </c>
      <c r="F24" s="460">
        <f t="shared" si="6"/>
        <v>-9.3321028799833131E-2</v>
      </c>
      <c r="G24" s="460">
        <f t="shared" si="6"/>
        <v>0.20172168585812589</v>
      </c>
      <c r="H24" s="460">
        <f t="shared" si="6"/>
        <v>6.1952989781763217E-2</v>
      </c>
      <c r="I24" s="853">
        <f t="shared" si="6"/>
        <v>4.9974101812368934E-3</v>
      </c>
      <c r="J24" s="460">
        <f t="shared" si="6"/>
        <v>3.9899717598339025E-2</v>
      </c>
      <c r="K24" s="866">
        <f t="shared" si="6"/>
        <v>0.20534319924486863</v>
      </c>
      <c r="L24" s="460">
        <f t="shared" si="6"/>
        <v>7.642494018923425E-2</v>
      </c>
      <c r="M24" s="460">
        <f t="shared" si="6"/>
        <v>4.4084345646154897E-2</v>
      </c>
    </row>
    <row r="25" spans="1:13" s="77" customFormat="1">
      <c r="A25" s="319"/>
      <c r="B25" s="168"/>
      <c r="C25" s="168"/>
      <c r="D25" s="168"/>
      <c r="E25" s="168"/>
      <c r="F25" s="168"/>
      <c r="G25" s="168"/>
      <c r="H25" s="168"/>
      <c r="I25" s="220"/>
      <c r="J25" s="168"/>
      <c r="K25" s="221"/>
      <c r="L25" s="168"/>
      <c r="M25" s="168"/>
    </row>
    <row r="26" spans="1:13" s="77" customFormat="1">
      <c r="A26" s="319" t="s">
        <v>680</v>
      </c>
      <c r="B26" s="168"/>
      <c r="C26" s="776">
        <f>('-6 Increase'!E19)</f>
        <v>2010129.4375515601</v>
      </c>
      <c r="D26" s="776">
        <f>('-6 Increase'!F19)</f>
        <v>975.79177435999986</v>
      </c>
      <c r="E26" s="776">
        <f>('-6 Increase'!G19)</f>
        <v>279314.88113200007</v>
      </c>
      <c r="F26" s="776">
        <f>('-6 Increase'!H19)</f>
        <v>2738.6114000000007</v>
      </c>
      <c r="G26" s="776">
        <f>('-6 Increase'!I19)</f>
        <v>0</v>
      </c>
      <c r="H26" s="776">
        <f>('-6 Increase'!J19)</f>
        <v>0</v>
      </c>
      <c r="I26" s="849">
        <f>('-6 Increase'!K19)</f>
        <v>159741</v>
      </c>
      <c r="J26" s="776">
        <f>('-6 Increase'!L19)</f>
        <v>2452899.7218579198</v>
      </c>
      <c r="K26" s="860">
        <f>('-6 Increase'!M19)</f>
        <v>0</v>
      </c>
      <c r="L26" s="776">
        <f>('-6 Increase'!N19)</f>
        <v>0</v>
      </c>
      <c r="M26" s="776">
        <f>('-6 Increase'!O19)</f>
        <v>2452899.7218579198</v>
      </c>
    </row>
    <row r="27" spans="1:13" s="77" customFormat="1" ht="15" thickBot="1">
      <c r="A27" s="811" t="s">
        <v>679</v>
      </c>
      <c r="B27" s="168"/>
      <c r="C27" s="460">
        <f>(C14+C20+C26)/(C23)</f>
        <v>5.6791515075226631E-2</v>
      </c>
      <c r="D27" s="460">
        <f>(D14+D20+D26)/(D23)</f>
        <v>-0.15011010499553376</v>
      </c>
      <c r="E27" s="460">
        <f>(E14+E20+E26)/(E23)</f>
        <v>4.3764716031009232E-2</v>
      </c>
      <c r="F27" s="460">
        <f>(F14+F20+F26)/(F23)</f>
        <v>-8.3611047105009245E-2</v>
      </c>
      <c r="G27" s="460">
        <f>(G14+G20+G26)/(G23)</f>
        <v>0.20172168585812589</v>
      </c>
      <c r="H27" s="460">
        <f t="shared" ref="H27:M27" si="7">(H14+H20+H26)/(H23)</f>
        <v>6.1952989781763217E-2</v>
      </c>
      <c r="I27" s="853">
        <f t="shared" si="7"/>
        <v>2.5944938924549216E-2</v>
      </c>
      <c r="J27" s="460">
        <f t="shared" si="7"/>
        <v>5.6002474226746445E-2</v>
      </c>
      <c r="K27" s="866">
        <f t="shared" si="7"/>
        <v>0.20534319924486863</v>
      </c>
      <c r="L27" s="460">
        <f t="shared" si="7"/>
        <v>7.642494018923425E-2</v>
      </c>
      <c r="M27" s="460">
        <f t="shared" si="7"/>
        <v>5.9641719208455506E-2</v>
      </c>
    </row>
    <row r="28" spans="1:13" s="77" customFormat="1">
      <c r="A28" s="168"/>
      <c r="B28" s="168"/>
      <c r="C28" s="344"/>
      <c r="D28" s="460" t="s">
        <v>1</v>
      </c>
      <c r="E28" s="460" t="s">
        <v>1</v>
      </c>
      <c r="F28" s="460" t="s">
        <v>1</v>
      </c>
      <c r="G28" s="460" t="s">
        <v>1</v>
      </c>
      <c r="H28" s="168"/>
      <c r="I28" s="220"/>
      <c r="J28" s="168"/>
      <c r="K28" s="221"/>
      <c r="L28" s="168"/>
      <c r="M28" s="168"/>
    </row>
    <row r="29" spans="1:13" s="77" customFormat="1" ht="12.75">
      <c r="A29" s="168"/>
      <c r="B29" s="168"/>
      <c r="C29" s="168"/>
      <c r="D29" s="168"/>
      <c r="E29" s="168"/>
      <c r="F29" s="168"/>
      <c r="G29" s="168"/>
      <c r="H29" s="168"/>
      <c r="I29" s="220"/>
      <c r="J29" s="168"/>
      <c r="K29" s="221"/>
      <c r="L29" s="168"/>
      <c r="M29" s="168"/>
    </row>
    <row r="30" spans="1:13" s="77" customFormat="1" ht="12.75">
      <c r="A30" s="168"/>
      <c r="B30" s="168"/>
      <c r="C30" s="168"/>
      <c r="D30" s="168"/>
      <c r="E30" s="168"/>
      <c r="F30" s="168"/>
      <c r="G30" s="168"/>
      <c r="H30" s="168"/>
      <c r="I30" s="220"/>
      <c r="J30" s="168"/>
      <c r="K30" s="221"/>
      <c r="L30" s="168"/>
      <c r="M30" s="168"/>
    </row>
    <row r="31" spans="1:13" s="77" customFormat="1" ht="12.75">
      <c r="A31" s="168"/>
      <c r="B31" s="168"/>
      <c r="C31" s="168"/>
      <c r="D31" s="168"/>
      <c r="E31" s="168"/>
      <c r="F31" s="168"/>
      <c r="G31" s="168"/>
      <c r="H31" s="168"/>
      <c r="I31" s="220"/>
      <c r="J31" s="168"/>
      <c r="K31" s="221"/>
      <c r="L31" s="168"/>
      <c r="M31" s="168"/>
    </row>
    <row r="32" spans="1:13" s="77" customFormat="1" ht="12.75">
      <c r="A32" s="168"/>
      <c r="B32" s="168"/>
      <c r="C32" s="168"/>
      <c r="D32" s="168"/>
      <c r="E32" s="168"/>
      <c r="F32" s="168"/>
      <c r="G32" s="168"/>
      <c r="H32" s="168"/>
      <c r="I32" s="220"/>
      <c r="J32" s="168"/>
      <c r="K32" s="221"/>
      <c r="L32" s="168"/>
      <c r="M32" s="168"/>
    </row>
    <row r="33" spans="1:13" s="77" customFormat="1" ht="12.75">
      <c r="A33" s="168"/>
      <c r="B33" s="168"/>
      <c r="C33" s="168"/>
      <c r="D33" s="168"/>
      <c r="E33" s="168"/>
      <c r="F33" s="168"/>
      <c r="G33" s="168"/>
      <c r="H33" s="168"/>
      <c r="I33" s="220"/>
      <c r="J33" s="168"/>
      <c r="K33" s="221"/>
      <c r="L33" s="168"/>
      <c r="M33" s="168"/>
    </row>
    <row r="34" spans="1:13" s="77" customFormat="1" ht="12.75">
      <c r="A34" s="175"/>
      <c r="B34" s="175"/>
      <c r="C34" s="175"/>
      <c r="D34" s="175"/>
      <c r="E34" s="175"/>
      <c r="F34" s="175"/>
      <c r="G34" s="175"/>
      <c r="H34" s="175"/>
      <c r="I34" s="854"/>
      <c r="J34" s="175"/>
      <c r="K34" s="867"/>
      <c r="L34" s="175"/>
      <c r="M34" s="175"/>
    </row>
    <row r="35" spans="1:13" s="77" customFormat="1" ht="12.75"/>
    <row r="36" spans="1:13" s="77" customFormat="1" ht="12.75"/>
    <row r="37" spans="1:13" s="77" customFormat="1" ht="12.75"/>
    <row r="38" spans="1:13" s="77" customFormat="1" ht="12.75">
      <c r="C38" s="177">
        <f>SUM(C7:C15)</f>
        <v>24398887.197680835</v>
      </c>
      <c r="D38" s="177">
        <f>SUM(D7:D15)</f>
        <v>22281.541432505281</v>
      </c>
      <c r="E38" s="177">
        <f t="shared" ref="E38:L38" si="8">SUM(E7:E15)</f>
        <v>2507287.0914855674</v>
      </c>
      <c r="F38" s="177">
        <f t="shared" si="8"/>
        <v>51881.65414136379</v>
      </c>
      <c r="G38" s="177">
        <f t="shared" si="8"/>
        <v>357383.30332255497</v>
      </c>
      <c r="H38" s="177">
        <f t="shared" si="8"/>
        <v>479986.89417476743</v>
      </c>
      <c r="I38" s="177">
        <f t="shared" si="8"/>
        <v>1692801.5934119537</v>
      </c>
      <c r="J38" s="177">
        <f t="shared" si="8"/>
        <v>29510509.275649551</v>
      </c>
      <c r="K38" s="177">
        <f t="shared" si="8"/>
        <v>627604.28166857664</v>
      </c>
      <c r="L38" s="177">
        <f t="shared" si="8"/>
        <v>288315.44268187345</v>
      </c>
    </row>
    <row r="39" spans="1:13" s="77" customFormat="1" ht="12.75"/>
    <row r="40" spans="1:13" s="77" customFormat="1" ht="12.75"/>
  </sheetData>
  <customSheetViews>
    <customSheetView guid="{18050E3F-BBF0-4BF6-9B33-B0817BE1B1C5}" showRuler="0">
      <selection activeCell="D9" sqref="D9"/>
      <pageMargins left="0.75" right="0.75" top="1" bottom="1" header="0.5" footer="0.5"/>
      <printOptions horizontalCentered="1" verticalCentered="1" gridLines="1"/>
      <pageSetup orientation="landscape" r:id="rId1"/>
      <headerFooter alignWithMargins="0">
        <oddHeader>&amp;CMEADE COUNTY RECC
CASE NO. 2010-00222
STATEMENT OF OPERATIONS&amp;RExhibit R
Schedule  5
Page ____ of ____</oddHeader>
      </headerFooter>
    </customSheetView>
  </customSheetViews>
  <phoneticPr fontId="16" type="noConversion"/>
  <printOptions horizontalCentered="1" verticalCentered="1" gridLines="1"/>
  <pageMargins left="0.75" right="0.75" top="1" bottom="1" header="0.5" footer="0.5"/>
  <pageSetup orientation="landscape" r:id="rId2"/>
  <headerFooter alignWithMargins="0">
    <oddHeader>&amp;CBLUE GRASS ENERGY COOPERATIVE
CASE NO. 2014-00339
STATEMENT OF OPERATIONS&amp;RExhibit R
Schedule  5
Page ____ of ____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54"/>
  <sheetViews>
    <sheetView topLeftCell="A2" zoomScale="85" zoomScaleNormal="85" workbookViewId="0">
      <pane ySplit="5" topLeftCell="A7" activePane="bottomLeft" state="frozen"/>
      <selection activeCell="A2" sqref="A2"/>
      <selection pane="bottomLeft" activeCell="R4" sqref="R4"/>
    </sheetView>
  </sheetViews>
  <sheetFormatPr defaultColWidth="12.85546875" defaultRowHeight="14.25"/>
  <cols>
    <col min="1" max="1" width="3.28515625" style="207" customWidth="1"/>
    <col min="2" max="3" width="4.85546875" style="207" customWidth="1"/>
    <col min="4" max="4" width="20.28515625" style="207" customWidth="1"/>
    <col min="5" max="5" width="12.85546875" style="207" hidden="1" customWidth="1"/>
    <col min="6" max="6" width="12.85546875" style="207" customWidth="1"/>
    <col min="7" max="7" width="14.42578125" style="207" customWidth="1"/>
    <col min="8" max="8" width="12.85546875" style="207" customWidth="1"/>
    <col min="9" max="9" width="13.85546875" style="207" customWidth="1"/>
    <col min="10" max="10" width="13.42578125" style="207" bestFit="1" customWidth="1"/>
    <col min="11" max="11" width="12.85546875" style="207" customWidth="1"/>
    <col min="12" max="12" width="13.42578125" style="207" bestFit="1" customWidth="1"/>
    <col min="13" max="14" width="14" style="207" bestFit="1" customWidth="1"/>
    <col min="15" max="15" width="14.7109375" style="207" customWidth="1"/>
    <col min="16" max="16" width="16.140625" style="207" customWidth="1"/>
    <col min="17" max="17" width="14" style="207" bestFit="1" customWidth="1"/>
    <col min="18" max="18" width="12.85546875" style="207"/>
    <col min="19" max="19" width="14.28515625" style="207" bestFit="1" customWidth="1"/>
    <col min="20" max="16384" width="12.85546875" style="207"/>
  </cols>
  <sheetData>
    <row r="1" spans="2:18" ht="15">
      <c r="B1" s="897" t="s">
        <v>1</v>
      </c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</row>
    <row r="3" spans="2:18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512" t="s">
        <v>1</v>
      </c>
      <c r="M3" s="209"/>
      <c r="N3" s="209"/>
      <c r="O3" s="209"/>
      <c r="P3" s="209"/>
      <c r="Q3" s="209"/>
    </row>
    <row r="4" spans="2:18">
      <c r="B4" s="210"/>
      <c r="C4" s="211"/>
      <c r="D4" s="211"/>
      <c r="E4" s="212" t="s">
        <v>1</v>
      </c>
      <c r="F4" s="212"/>
      <c r="G4" s="212" t="str">
        <f>('4 Allocation'!E3)</f>
        <v>GS 1</v>
      </c>
      <c r="H4" s="212" t="str">
        <f>('4 Allocation'!F3)</f>
        <v>GS 1</v>
      </c>
      <c r="I4" s="212" t="str">
        <f>('4 Allocation'!G3)</f>
        <v>SC1</v>
      </c>
      <c r="J4" s="212" t="str">
        <f>('4 Allocation'!H3)</f>
        <v>SC2</v>
      </c>
      <c r="K4" s="212" t="str">
        <f>('4 Allocation'!I3)</f>
        <v>LP1</v>
      </c>
      <c r="L4" s="212" t="str">
        <f>('4 Allocation'!J3)</f>
        <v>LP2</v>
      </c>
      <c r="M4" s="212">
        <f>('4 Allocation'!K3)</f>
        <v>0</v>
      </c>
      <c r="N4" s="212" t="str">
        <f>('4 Allocation'!L3)</f>
        <v>Total</v>
      </c>
      <c r="O4" s="212" t="str">
        <f>('4 Allocation'!M3)</f>
        <v>B-2</v>
      </c>
      <c r="P4" s="212" t="str">
        <f>('4 Allocation'!N3)</f>
        <v>G-1</v>
      </c>
      <c r="Q4" s="212" t="str">
        <f>('4 Allocation'!O3)</f>
        <v>Total</v>
      </c>
    </row>
    <row r="5" spans="2:18">
      <c r="B5" s="210"/>
      <c r="C5" s="211"/>
      <c r="D5" s="211"/>
      <c r="E5" s="212" t="str">
        <f>('-5 IncStmt'!B2)</f>
        <v>Enviro</v>
      </c>
      <c r="F5" s="448" t="s">
        <v>646</v>
      </c>
      <c r="G5" s="212" t="str">
        <f>('4 Allocation'!E4)</f>
        <v>Residential</v>
      </c>
      <c r="H5" s="212" t="str">
        <f>('4 Allocation'!F4)</f>
        <v>Residential</v>
      </c>
      <c r="I5" s="212" t="str">
        <f>('4 Allocation'!G4)</f>
        <v>Gen Service</v>
      </c>
      <c r="J5" s="212" t="str">
        <f>('4 Allocation'!H4)</f>
        <v>Gen Service</v>
      </c>
      <c r="K5" s="212" t="str">
        <f>('4 Allocation'!I4)</f>
        <v>Large Power</v>
      </c>
      <c r="L5" s="212" t="str">
        <f>('4 Allocation'!J4)</f>
        <v>Large Power</v>
      </c>
      <c r="M5" s="212" t="str">
        <f>('4 Allocation'!K4)</f>
        <v>Outdoor</v>
      </c>
      <c r="N5" s="212" t="str">
        <f>('4 Allocation'!L4)</f>
        <v>EKPC Sched</v>
      </c>
      <c r="O5" s="212" t="str">
        <f>('4 Allocation'!M4)</f>
        <v>Large Indust.</v>
      </c>
      <c r="P5" s="212" t="str">
        <f>('4 Allocation'!N4)</f>
        <v>Large Indust.</v>
      </c>
      <c r="Q5" s="212" t="str">
        <f>('4 Allocation'!O4)</f>
        <v>for All</v>
      </c>
    </row>
    <row r="6" spans="2:18">
      <c r="B6" s="210"/>
      <c r="C6" s="211"/>
      <c r="D6" s="211"/>
      <c r="E6" s="212" t="str">
        <f>('-5 IncStmt'!B3)</f>
        <v>watts</v>
      </c>
      <c r="F6" s="212"/>
      <c r="G6" s="212" t="str">
        <f>('4 Allocation'!E5)</f>
        <v>&amp; Farm</v>
      </c>
      <c r="H6" s="212" t="str">
        <f>('4 Allocation'!F5)</f>
        <v>&amp; Farm TOD</v>
      </c>
      <c r="I6" s="212" t="str">
        <f>('4 Allocation'!G5)</f>
        <v>0-100 kW</v>
      </c>
      <c r="J6" s="212" t="str">
        <f>('4 Allocation'!H5)</f>
        <v>0-100 kW TOD</v>
      </c>
      <c r="K6" s="212" t="str">
        <f>('4 Allocation'!I5)</f>
        <v>under 500 kW</v>
      </c>
      <c r="L6" s="212" t="str">
        <f>('4 Allocation'!J5)</f>
        <v>over 500 kW</v>
      </c>
      <c r="M6" s="212" t="str">
        <f>('4 Allocation'!K5)</f>
        <v>Lights</v>
      </c>
      <c r="N6" s="212" t="str">
        <f>('4 Allocation'!L5)</f>
        <v>E Rates</v>
      </c>
      <c r="O6" s="212" t="str">
        <f>('4 Allocation'!M5)</f>
        <v>Rate</v>
      </c>
      <c r="P6" s="212" t="str">
        <f>('4 Allocation'!N5)</f>
        <v>Rate</v>
      </c>
      <c r="Q6" s="212" t="str">
        <f>('4 Allocation'!O5)</f>
        <v>Rate Classes</v>
      </c>
    </row>
    <row r="7" spans="2:18">
      <c r="B7" s="210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</row>
    <row r="8" spans="2:18">
      <c r="B8" s="210" t="s">
        <v>292</v>
      </c>
      <c r="C8" s="211"/>
      <c r="D8" s="211"/>
      <c r="E8" s="63" t="s">
        <v>1</v>
      </c>
      <c r="F8" s="213">
        <f>([13]summary!$F$19)</f>
        <v>7678.35</v>
      </c>
      <c r="G8" s="213">
        <f>([13]summary!$F$10)</f>
        <v>77312670.675060004</v>
      </c>
      <c r="H8" s="213">
        <f>([13]summary!$F$11)</f>
        <v>37530.452859999998</v>
      </c>
      <c r="I8" s="213">
        <f>([13]summary!$F$12)</f>
        <v>7980425.1752000004</v>
      </c>
      <c r="J8" s="213">
        <f>([13]summary!$F$13)</f>
        <v>78246.040000000008</v>
      </c>
      <c r="K8" s="213">
        <f>([13]summary!$F$14)</f>
        <v>3052922.6646399996</v>
      </c>
      <c r="L8" s="213">
        <f>([13]summary!$F$15)</f>
        <v>5573017.7770949993</v>
      </c>
      <c r="M8" s="213">
        <f>([13]summary!$F$18)</f>
        <v>2045660.1099999999</v>
      </c>
      <c r="N8" s="213">
        <f>SUM(F8:M8)</f>
        <v>96088151.244855002</v>
      </c>
      <c r="O8" s="213">
        <f>([13]summary!$F$16)</f>
        <v>11705947.46473</v>
      </c>
      <c r="P8" s="213">
        <f>([13]summary!$F$17)</f>
        <v>5252228.4984440003</v>
      </c>
      <c r="Q8" s="213">
        <f>SUM(N8:P8)</f>
        <v>113046327.208029</v>
      </c>
    </row>
    <row r="9" spans="2:18">
      <c r="B9" s="210"/>
      <c r="C9" s="211"/>
      <c r="D9" s="211"/>
      <c r="E9" s="211"/>
      <c r="F9" s="211"/>
      <c r="G9" s="211"/>
      <c r="H9" s="211"/>
      <c r="I9" s="211"/>
      <c r="J9" s="215"/>
      <c r="K9" s="211"/>
      <c r="L9" s="215"/>
      <c r="M9" s="211"/>
      <c r="N9" s="215"/>
      <c r="O9" s="215"/>
      <c r="P9" s="211"/>
      <c r="Q9" s="211"/>
    </row>
    <row r="10" spans="2:18">
      <c r="B10" s="210" t="s">
        <v>293</v>
      </c>
      <c r="C10" s="211"/>
      <c r="D10" s="211"/>
      <c r="E10" s="211"/>
      <c r="F10" s="211"/>
      <c r="G10" s="211"/>
      <c r="H10" s="211"/>
      <c r="I10" s="211"/>
      <c r="J10" s="211"/>
      <c r="K10" s="211"/>
      <c r="L10" s="213">
        <f>SUM(E10:K10)</f>
        <v>0</v>
      </c>
      <c r="M10" s="211"/>
      <c r="N10" s="211"/>
      <c r="O10" s="211"/>
      <c r="P10" s="211"/>
      <c r="Q10" s="211"/>
    </row>
    <row r="11" spans="2:18">
      <c r="B11" s="210"/>
      <c r="C11" s="211" t="s">
        <v>131</v>
      </c>
      <c r="D11" s="211"/>
      <c r="E11" s="213" t="s">
        <v>1</v>
      </c>
      <c r="G11" s="213">
        <f>('4 Allocation'!E6+'4 Allocation'!E8)</f>
        <v>12827915.344044827</v>
      </c>
      <c r="H11" s="213">
        <f>('4 Allocation'!F6+'4 Allocation'!F8)</f>
        <v>15345.272223584734</v>
      </c>
      <c r="I11" s="213">
        <f>('4 Allocation'!G6+'4 Allocation'!G8)</f>
        <v>2171454.880758849</v>
      </c>
      <c r="J11" s="213">
        <f>('4 Allocation'!H6+'4 Allocation'!H8)</f>
        <v>29416.513454681841</v>
      </c>
      <c r="K11" s="213">
        <f>('4 Allocation'!I6+'4 Allocation'!I8)</f>
        <v>461985.17239327991</v>
      </c>
      <c r="L11" s="213">
        <f>('4 Allocation'!J6+'4 Allocation'!J8)</f>
        <v>947671.94631987065</v>
      </c>
      <c r="M11" s="213">
        <f>('4 Allocation'!K6+'4 Allocation'!K8)</f>
        <v>151086.4285729072</v>
      </c>
      <c r="N11" s="213">
        <f>SUM(F11:M11)</f>
        <v>16604875.557767998</v>
      </c>
      <c r="O11" s="213">
        <f>('4 Allocation'!M6+'4 Allocation'!M8)</f>
        <v>2318166.9000000004</v>
      </c>
      <c r="P11" s="213">
        <f>('4 Allocation'!N6+'4 Allocation'!N8)</f>
        <v>1199869.928568</v>
      </c>
      <c r="Q11" s="213">
        <f>SUM(N11:P11)</f>
        <v>20122912.386335999</v>
      </c>
    </row>
    <row r="12" spans="2:18">
      <c r="B12" s="210"/>
      <c r="C12" s="211" t="s">
        <v>175</v>
      </c>
      <c r="D12" s="211"/>
      <c r="E12" s="63" t="s">
        <v>1</v>
      </c>
      <c r="F12" s="63">
        <f>('4 Allocation'!D7)</f>
        <v>6455.25</v>
      </c>
      <c r="G12" s="213">
        <f>('4 Allocation'!E7)</f>
        <v>41269233.781070635</v>
      </c>
      <c r="H12" s="213">
        <f>('4 Allocation'!F7)</f>
        <v>22738.628764291992</v>
      </c>
      <c r="I12" s="213">
        <f>('4 Allocation'!G7)</f>
        <v>3659720.4612421836</v>
      </c>
      <c r="J12" s="213">
        <f>('4 Allocation'!H7)</f>
        <v>34263.286289863565</v>
      </c>
      <c r="K12" s="213">
        <f>('4 Allocation'!I7)</f>
        <v>1949315.8851364073</v>
      </c>
      <c r="L12" s="213">
        <f>('4 Allocation'!J7)</f>
        <v>4207349.6149294209</v>
      </c>
      <c r="M12" s="213">
        <f>('4 Allocation'!K7)</f>
        <v>468275.34334280191</v>
      </c>
      <c r="N12" s="213">
        <f>SUM(F12:M12)</f>
        <v>51617352.250775613</v>
      </c>
      <c r="O12" s="213">
        <f>('4 Allocation'!M7)</f>
        <v>8505282.8801380005</v>
      </c>
      <c r="P12" s="213">
        <f>('4 Allocation'!N7)</f>
        <v>3858985.9382528956</v>
      </c>
      <c r="Q12" s="213">
        <f>SUM(N12:P12)</f>
        <v>63981621.069166511</v>
      </c>
    </row>
    <row r="13" spans="2:18">
      <c r="B13" s="210"/>
      <c r="C13" s="211"/>
      <c r="D13" s="211" t="s">
        <v>294</v>
      </c>
      <c r="E13" s="63" t="s">
        <v>1</v>
      </c>
      <c r="F13" s="213">
        <f t="shared" ref="F13:L13" si="0">SUM(F11:F12)</f>
        <v>6455.25</v>
      </c>
      <c r="G13" s="213">
        <f t="shared" si="0"/>
        <v>54097149.125115462</v>
      </c>
      <c r="H13" s="213">
        <f t="shared" si="0"/>
        <v>38083.900987876725</v>
      </c>
      <c r="I13" s="213">
        <f t="shared" si="0"/>
        <v>5831175.3420010321</v>
      </c>
      <c r="J13" s="213">
        <f t="shared" si="0"/>
        <v>63679.799744545409</v>
      </c>
      <c r="K13" s="213">
        <f t="shared" si="0"/>
        <v>2411301.0575296874</v>
      </c>
      <c r="L13" s="213">
        <f t="shared" si="0"/>
        <v>5155021.5612492915</v>
      </c>
      <c r="M13" s="213">
        <f>SUM(M11:M12)</f>
        <v>619361.77191570913</v>
      </c>
      <c r="N13" s="213">
        <f>SUM(F13:M13)</f>
        <v>68222227.808543593</v>
      </c>
      <c r="O13" s="213">
        <f>SUM(O11:O12)</f>
        <v>10823449.780138001</v>
      </c>
      <c r="P13" s="213">
        <f>SUM(P11:P12)</f>
        <v>5058855.866820896</v>
      </c>
      <c r="Q13" s="213">
        <f>SUM(Q11:Q12)</f>
        <v>84104533.45550251</v>
      </c>
      <c r="R13" s="66" t="s">
        <v>1</v>
      </c>
    </row>
    <row r="14" spans="2:18">
      <c r="B14" s="210"/>
      <c r="C14" s="211"/>
      <c r="D14" s="211"/>
      <c r="E14" s="211"/>
      <c r="F14" s="211"/>
      <c r="G14" s="211"/>
      <c r="H14" s="211"/>
      <c r="I14" s="211"/>
      <c r="J14" s="211"/>
      <c r="K14" s="211"/>
      <c r="L14" s="213"/>
      <c r="M14" s="211"/>
      <c r="N14" s="211"/>
      <c r="O14" s="211"/>
      <c r="P14" s="211"/>
      <c r="Q14" s="211"/>
    </row>
    <row r="15" spans="2:18">
      <c r="B15" s="210" t="s">
        <v>295</v>
      </c>
      <c r="C15" s="211"/>
      <c r="D15" s="211"/>
      <c r="E15" s="78" t="s">
        <v>1</v>
      </c>
      <c r="F15" s="215">
        <f>(F8-F13)</f>
        <v>1223.1000000000004</v>
      </c>
      <c r="G15" s="215">
        <f>(G8-G13)</f>
        <v>23215521.549944542</v>
      </c>
      <c r="H15" s="215">
        <f t="shared" ref="H15:Q15" si="1">(H8-H13)</f>
        <v>-553.44812787672709</v>
      </c>
      <c r="I15" s="215">
        <f t="shared" si="1"/>
        <v>2149249.8331989683</v>
      </c>
      <c r="J15" s="215">
        <f t="shared" si="1"/>
        <v>14566.240255454599</v>
      </c>
      <c r="K15" s="215">
        <f t="shared" si="1"/>
        <v>641621.60711031221</v>
      </c>
      <c r="L15" s="215">
        <f t="shared" si="1"/>
        <v>417996.2158457078</v>
      </c>
      <c r="M15" s="215">
        <f t="shared" si="1"/>
        <v>1426298.3380842907</v>
      </c>
      <c r="N15" s="213">
        <f>SUM(F15:M15)</f>
        <v>27865923.436311401</v>
      </c>
      <c r="O15" s="215">
        <f t="shared" si="1"/>
        <v>882497.68459199928</v>
      </c>
      <c r="P15" s="215">
        <f t="shared" si="1"/>
        <v>193372.63162310421</v>
      </c>
      <c r="Q15" s="215">
        <f t="shared" si="1"/>
        <v>28941793.752526492</v>
      </c>
    </row>
    <row r="16" spans="2:18">
      <c r="B16" s="210"/>
      <c r="C16" s="211"/>
      <c r="D16" s="211"/>
      <c r="E16" s="211"/>
      <c r="F16" s="211"/>
      <c r="G16" s="211"/>
      <c r="H16" s="211"/>
      <c r="I16" s="211"/>
      <c r="J16" s="211"/>
      <c r="K16" s="211"/>
      <c r="L16" s="213"/>
      <c r="M16" s="211"/>
      <c r="N16" s="213">
        <f>SUM(G16:M16)</f>
        <v>0</v>
      </c>
      <c r="O16" s="211"/>
      <c r="P16" s="211"/>
      <c r="Q16" s="211"/>
    </row>
    <row r="17" spans="2:17">
      <c r="B17" s="210" t="s">
        <v>296</v>
      </c>
      <c r="C17" s="211"/>
      <c r="D17" s="211"/>
      <c r="E17" s="211"/>
      <c r="F17" s="211"/>
      <c r="G17" s="211"/>
      <c r="H17" s="211"/>
      <c r="I17" s="211"/>
      <c r="J17" s="211"/>
      <c r="K17" s="211"/>
      <c r="L17" s="213"/>
      <c r="M17" s="211"/>
      <c r="N17" s="213">
        <f>SUM(G17:M17)</f>
        <v>0</v>
      </c>
      <c r="O17" s="211"/>
      <c r="P17" s="211"/>
      <c r="Q17" s="211"/>
    </row>
    <row r="18" spans="2:17">
      <c r="B18" s="210"/>
      <c r="C18" s="211" t="s">
        <v>141</v>
      </c>
      <c r="D18" s="211"/>
      <c r="E18" s="211"/>
      <c r="F18" s="211"/>
      <c r="G18" s="211"/>
      <c r="H18" s="211"/>
      <c r="I18" s="211"/>
      <c r="J18" s="211"/>
      <c r="K18" s="211"/>
      <c r="L18" s="213"/>
      <c r="M18" s="211"/>
      <c r="N18" s="211"/>
      <c r="O18" s="211"/>
      <c r="P18" s="211"/>
      <c r="Q18" s="211"/>
    </row>
    <row r="19" spans="2:17">
      <c r="B19" s="210"/>
      <c r="C19" s="211"/>
      <c r="D19" s="211" t="s">
        <v>240</v>
      </c>
      <c r="E19" s="211"/>
      <c r="F19" s="211"/>
      <c r="G19" s="213">
        <f>('4 Allocation'!E9)</f>
        <v>173655.07235887097</v>
      </c>
      <c r="H19" s="213">
        <f>('4 Allocation'!F9)</f>
        <v>208.82211385447721</v>
      </c>
      <c r="I19" s="213">
        <f>('4 Allocation'!G9)</f>
        <v>29856.903872815965</v>
      </c>
      <c r="J19" s="213">
        <f>('4 Allocation'!H9)</f>
        <v>803.66502933870231</v>
      </c>
      <c r="K19" s="213">
        <f>('4 Allocation'!I9)</f>
        <v>6743.8523847495462</v>
      </c>
      <c r="L19" s="213">
        <f>('4 Allocation'!J9)</f>
        <v>9481.7199257585835</v>
      </c>
      <c r="M19" s="213">
        <f>('4 Allocation'!K9)</f>
        <v>2816.8141252365194</v>
      </c>
      <c r="N19" s="213">
        <f>SUM(G19:M19)</f>
        <v>223566.84981062476</v>
      </c>
      <c r="O19" s="213">
        <f>('4 Allocation'!M9)</f>
        <v>13916.797931635587</v>
      </c>
      <c r="P19" s="213">
        <f>('4 Allocation'!N9)</f>
        <v>6421.2128124428527</v>
      </c>
      <c r="Q19" s="213">
        <f>('4 Allocation'!O9)</f>
        <v>243904.86055470319</v>
      </c>
    </row>
    <row r="20" spans="2:17">
      <c r="B20" s="210"/>
      <c r="C20" s="211"/>
      <c r="D20" s="211" t="s">
        <v>5</v>
      </c>
      <c r="E20" s="211"/>
      <c r="F20" s="211"/>
      <c r="G20" s="213">
        <f>('4 Allocation'!E11)</f>
        <v>8786959.7652327623</v>
      </c>
      <c r="H20" s="213">
        <f>('4 Allocation'!F11)</f>
        <v>10566.41471858747</v>
      </c>
      <c r="I20" s="213">
        <f>('4 Allocation'!G11)</f>
        <v>1510761.5889427499</v>
      </c>
      <c r="J20" s="213">
        <f>('4 Allocation'!H11)</f>
        <v>40665.511128463397</v>
      </c>
      <c r="K20" s="213">
        <f>('4 Allocation'!I11)</f>
        <v>341239.43955407385</v>
      </c>
      <c r="L20" s="213">
        <f>('4 Allocation'!J11)</f>
        <v>479775.74372644216</v>
      </c>
      <c r="M20" s="213">
        <f>('4 Allocation'!K11)</f>
        <v>142531.00729152543</v>
      </c>
      <c r="N20" s="213">
        <f t="shared" ref="N20:N30" si="2">SUM(G20:M20)</f>
        <v>11312499.470594602</v>
      </c>
      <c r="O20" s="213">
        <f>('4 Allocation'!M11)</f>
        <v>704191.02549128374</v>
      </c>
      <c r="P20" s="213">
        <f>('4 Allocation'!N11)</f>
        <v>324913.85284922918</v>
      </c>
      <c r="Q20" s="213">
        <f>('4 Allocation'!O11)</f>
        <v>12341604.348935114</v>
      </c>
    </row>
    <row r="21" spans="2:17">
      <c r="B21" s="210"/>
      <c r="C21" s="211"/>
      <c r="D21" s="211" t="s">
        <v>95</v>
      </c>
      <c r="E21" s="211"/>
      <c r="F21" s="211"/>
      <c r="G21" s="213">
        <f>('4 Allocation'!E13)</f>
        <v>1873546.8570604322</v>
      </c>
      <c r="H21" s="213">
        <f>('4 Allocation'!F13)</f>
        <v>1606.1613170478286</v>
      </c>
      <c r="I21" s="213">
        <f>('4 Allocation'!G13)</f>
        <v>176548.19441512067</v>
      </c>
      <c r="J21" s="213">
        <f>('4 Allocation'!H13)</f>
        <v>1804.4528376710173</v>
      </c>
      <c r="K21" s="213">
        <f>('4 Allocation'!I13)</f>
        <v>43977.423929678494</v>
      </c>
      <c r="L21" s="213">
        <f>('4 Allocation'!J13)</f>
        <v>69872.31360786072</v>
      </c>
      <c r="M21" s="213">
        <f>('4 Allocation'!K13)</f>
        <v>18297.350065504739</v>
      </c>
      <c r="N21" s="213">
        <f t="shared" si="2"/>
        <v>2185652.7532333154</v>
      </c>
      <c r="O21" s="213">
        <f>('4 Allocation'!M13)</f>
        <v>0</v>
      </c>
      <c r="P21" s="213">
        <f>('4 Allocation'!N13)</f>
        <v>0</v>
      </c>
      <c r="Q21" s="213">
        <f>('4 Allocation'!O13)</f>
        <v>2185652.7532333154</v>
      </c>
    </row>
    <row r="22" spans="2:17">
      <c r="B22" s="210"/>
      <c r="C22" s="211"/>
      <c r="D22" s="211"/>
      <c r="E22" s="211"/>
      <c r="F22" s="211"/>
      <c r="G22" s="215">
        <f>SUM(G19:G21)</f>
        <v>10834161.694652066</v>
      </c>
      <c r="H22" s="215">
        <f t="shared" ref="H22:Q22" si="3">SUM(H19:H21)</f>
        <v>12381.398149489776</v>
      </c>
      <c r="I22" s="215">
        <f t="shared" si="3"/>
        <v>1717166.6872306864</v>
      </c>
      <c r="J22" s="215">
        <f t="shared" si="3"/>
        <v>43273.628995473111</v>
      </c>
      <c r="K22" s="215">
        <f t="shared" si="3"/>
        <v>391960.71586850192</v>
      </c>
      <c r="L22" s="215">
        <f t="shared" si="3"/>
        <v>559129.77726006147</v>
      </c>
      <c r="M22" s="215">
        <f>SUM(M19:M21)</f>
        <v>163645.17148226668</v>
      </c>
      <c r="N22" s="213">
        <f t="shared" si="2"/>
        <v>13721719.073638545</v>
      </c>
      <c r="O22" s="215">
        <f t="shared" si="3"/>
        <v>718107.82342291938</v>
      </c>
      <c r="P22" s="215">
        <f t="shared" si="3"/>
        <v>331335.06566167204</v>
      </c>
      <c r="Q22" s="215">
        <f t="shared" si="3"/>
        <v>14771161.962723132</v>
      </c>
    </row>
    <row r="23" spans="2:17">
      <c r="B23" s="210"/>
      <c r="C23" s="211"/>
      <c r="D23" s="211"/>
      <c r="E23" s="211"/>
      <c r="F23" s="211"/>
      <c r="G23" s="211"/>
      <c r="H23" s="211"/>
      <c r="I23" s="211"/>
      <c r="J23" s="211"/>
      <c r="K23" s="211"/>
      <c r="L23" s="213"/>
      <c r="M23" s="211"/>
      <c r="N23" s="213">
        <f t="shared" si="2"/>
        <v>0</v>
      </c>
      <c r="O23" s="211"/>
      <c r="P23" s="211"/>
      <c r="Q23" s="211"/>
    </row>
    <row r="24" spans="2:17">
      <c r="B24" s="210"/>
      <c r="C24" s="211" t="s">
        <v>181</v>
      </c>
      <c r="D24" s="211"/>
      <c r="E24" s="211"/>
      <c r="F24" s="211"/>
      <c r="G24" s="211"/>
      <c r="H24" s="211"/>
      <c r="I24" s="211"/>
      <c r="J24" s="211"/>
      <c r="K24" s="211"/>
      <c r="L24" s="213"/>
      <c r="M24" s="211"/>
      <c r="N24" s="213">
        <f t="shared" si="2"/>
        <v>0</v>
      </c>
      <c r="O24" s="211"/>
      <c r="P24" s="211"/>
      <c r="Q24" s="211"/>
    </row>
    <row r="25" spans="2:17">
      <c r="B25" s="210"/>
      <c r="C25" s="211"/>
      <c r="D25" s="211" t="s">
        <v>5</v>
      </c>
      <c r="E25" s="211"/>
      <c r="F25" s="211"/>
      <c r="G25" s="213">
        <f>('4 Allocation'!E10)</f>
        <v>6029505.4480859656</v>
      </c>
      <c r="H25" s="213">
        <f>('4 Allocation'!F10)</f>
        <v>4328.6770895555856</v>
      </c>
      <c r="I25" s="213">
        <f>('4 Allocation'!G10)</f>
        <v>290932.66544013069</v>
      </c>
      <c r="J25" s="213">
        <f>('4 Allocation'!H10)</f>
        <v>4898.239864497109</v>
      </c>
      <c r="K25" s="213">
        <f>('4 Allocation'!I10)</f>
        <v>6493.0156343333774</v>
      </c>
      <c r="L25" s="213">
        <f>('4 Allocation'!J10)</f>
        <v>2733.9013197193171</v>
      </c>
      <c r="M25" s="213">
        <f>('4 Allocation'!K10)</f>
        <v>19592.959457988436</v>
      </c>
      <c r="N25" s="213">
        <f t="shared" si="2"/>
        <v>6358484.9068921907</v>
      </c>
      <c r="O25" s="213">
        <f>('4 Allocation'!M10)</f>
        <v>569.56277494152437</v>
      </c>
      <c r="P25" s="213">
        <f>('4 Allocation'!N10)</f>
        <v>113.91255498830488</v>
      </c>
      <c r="Q25" s="213">
        <f>('4 Allocation'!O10)</f>
        <v>6359168.3822221207</v>
      </c>
    </row>
    <row r="26" spans="2:17">
      <c r="B26" s="210"/>
      <c r="C26" s="211"/>
      <c r="D26" s="211" t="s">
        <v>95</v>
      </c>
      <c r="E26" s="211"/>
      <c r="F26" s="211"/>
      <c r="G26" s="213">
        <f>('4 Allocation'!E12)</f>
        <v>540858.66786357982</v>
      </c>
      <c r="H26" s="213">
        <f>('4 Allocation'!F12)</f>
        <v>388.29097086425787</v>
      </c>
      <c r="I26" s="213">
        <f>('4 Allocation'!G12)</f>
        <v>26097.240515455651</v>
      </c>
      <c r="J26" s="213">
        <f>('4 Allocation'!H12)</f>
        <v>439.38188808323918</v>
      </c>
      <c r="K26" s="213">
        <f>('4 Allocation'!I12)</f>
        <v>1046.2500726567664</v>
      </c>
      <c r="L26" s="213">
        <f>('4 Allocation'!J12)</f>
        <v>5955.4896919297989</v>
      </c>
      <c r="M26" s="213">
        <f>('4 Allocation'!K12)</f>
        <v>483.42207201152479</v>
      </c>
      <c r="N26" s="213">
        <f t="shared" si="2"/>
        <v>575268.74307458091</v>
      </c>
      <c r="O26" s="213">
        <f>('4 Allocation'!M12)</f>
        <v>0</v>
      </c>
      <c r="P26" s="213">
        <f>('4 Allocation'!N12)</f>
        <v>0</v>
      </c>
      <c r="Q26" s="213">
        <f>('4 Allocation'!O12)</f>
        <v>575268.74307458091</v>
      </c>
    </row>
    <row r="27" spans="2:17">
      <c r="B27" s="210"/>
      <c r="C27" s="211"/>
      <c r="D27" s="211" t="s">
        <v>8</v>
      </c>
      <c r="E27" s="211"/>
      <c r="F27" s="211"/>
      <c r="G27" s="213">
        <f>('4 Allocation'!E14)</f>
        <v>4202929.8635348463</v>
      </c>
      <c r="H27" s="213">
        <f>('4 Allocation'!F14)</f>
        <v>3017.3496592606257</v>
      </c>
      <c r="I27" s="213">
        <f>('4 Allocation'!G14)</f>
        <v>243357.19041320958</v>
      </c>
      <c r="J27" s="213">
        <f>('4 Allocation'!H14)</f>
        <v>4097.2432215223234</v>
      </c>
      <c r="K27" s="213">
        <f>('4 Allocation'!I14)</f>
        <v>6325.0489892612759</v>
      </c>
      <c r="L27" s="213">
        <f>('4 Allocation'!J14)</f>
        <v>0</v>
      </c>
      <c r="M27" s="213">
        <f>('4 Allocation'!K14)</f>
        <v>63882.532012623153</v>
      </c>
      <c r="N27" s="213">
        <f t="shared" si="2"/>
        <v>4523609.2278307229</v>
      </c>
      <c r="O27" s="213">
        <f>('4 Allocation'!M14)</f>
        <v>0</v>
      </c>
      <c r="P27" s="213" t="str">
        <f>('4 Allocation'!N14)</f>
        <v xml:space="preserve"> </v>
      </c>
      <c r="Q27" s="213">
        <f>('4 Allocation'!O14)</f>
        <v>4523609.2278307229</v>
      </c>
    </row>
    <row r="28" spans="2:17">
      <c r="B28" s="210"/>
      <c r="C28" s="211"/>
      <c r="D28" s="211" t="s">
        <v>9</v>
      </c>
      <c r="E28" s="211"/>
      <c r="F28" s="211"/>
      <c r="G28" s="213">
        <f>('4 Allocation'!E15)</f>
        <v>1543384.6735549411</v>
      </c>
      <c r="H28" s="213">
        <f>('4 Allocation'!F15)</f>
        <v>1108.02020734707</v>
      </c>
      <c r="I28" s="213">
        <f>('4 Allocation'!G15)</f>
        <v>249109.54262637143</v>
      </c>
      <c r="J28" s="213">
        <f>('4 Allocation'!H15)</f>
        <v>1253.8123398927373</v>
      </c>
      <c r="K28" s="213">
        <f>('4 Allocation'!I15)</f>
        <v>2914.1507854296187</v>
      </c>
      <c r="L28" s="213">
        <f>('4 Allocation'!J15)</f>
        <v>1227.0108570229975</v>
      </c>
      <c r="M28" s="213">
        <f>('4 Allocation'!K15)</f>
        <v>0</v>
      </c>
      <c r="N28" s="213">
        <f t="shared" si="2"/>
        <v>1798997.2103710051</v>
      </c>
      <c r="O28" s="213">
        <f>('4 Allocation'!M15)</f>
        <v>255.62726187979112</v>
      </c>
      <c r="P28" s="213">
        <f>('4 Allocation'!N15)</f>
        <v>51.125452375958226</v>
      </c>
      <c r="Q28" s="213">
        <f>('4 Allocation'!O15)</f>
        <v>1799303.9630852609</v>
      </c>
    </row>
    <row r="29" spans="2:17">
      <c r="B29" s="210"/>
      <c r="C29" s="211"/>
      <c r="D29" s="211" t="s">
        <v>297</v>
      </c>
      <c r="E29" s="211"/>
      <c r="F29" s="211"/>
      <c r="G29" s="213" t="s">
        <v>1</v>
      </c>
      <c r="H29" s="211"/>
      <c r="I29" s="211"/>
      <c r="J29" s="211"/>
      <c r="K29" s="211"/>
      <c r="L29" s="213"/>
      <c r="M29" s="211"/>
      <c r="N29" s="213">
        <f t="shared" si="2"/>
        <v>0</v>
      </c>
      <c r="O29" s="211"/>
      <c r="P29" s="211"/>
      <c r="Q29" s="211"/>
    </row>
    <row r="30" spans="2:17">
      <c r="B30" s="210"/>
      <c r="C30" s="211"/>
      <c r="D30" s="211" t="s">
        <v>298</v>
      </c>
      <c r="E30" s="211"/>
      <c r="F30" s="211"/>
      <c r="G30" s="213">
        <f>('4 Allocation'!E17)</f>
        <v>4986876.9720432088</v>
      </c>
      <c r="H30" s="213">
        <f>('4 Allocation'!F17)</f>
        <v>4475.1970711313306</v>
      </c>
      <c r="I30" s="213">
        <f>('4 Allocation'!G17)</f>
        <v>375975.43814702029</v>
      </c>
      <c r="J30" s="213">
        <f>('4 Allocation'!H17)</f>
        <v>6330.0484887712901</v>
      </c>
      <c r="K30" s="213">
        <f>('4 Allocation'!I17)</f>
        <v>13425.591213393991</v>
      </c>
      <c r="L30" s="213">
        <f>('4 Allocation'!J17)</f>
        <v>5652.8805109027335</v>
      </c>
      <c r="M30" s="213">
        <f>('4 Allocation'!K17)</f>
        <v>106316.55020880318</v>
      </c>
      <c r="N30" s="213">
        <f t="shared" si="2"/>
        <v>5499052.6776832324</v>
      </c>
      <c r="O30" s="213">
        <f>('4 Allocation'!M17)</f>
        <v>17665.251596571041</v>
      </c>
      <c r="P30" s="213">
        <f>('4 Allocation'!N17)</f>
        <v>7066.1006386284162</v>
      </c>
      <c r="Q30" s="213">
        <f>('4 Allocation'!O17)</f>
        <v>5523784.0299184313</v>
      </c>
    </row>
    <row r="31" spans="2:17">
      <c r="B31" s="210"/>
      <c r="C31" s="211"/>
      <c r="D31" s="211" t="s">
        <v>310</v>
      </c>
      <c r="E31" s="211"/>
      <c r="F31" s="211"/>
      <c r="G31" s="213"/>
      <c r="H31" s="213"/>
      <c r="I31" s="213"/>
      <c r="J31" s="213"/>
      <c r="K31" s="213" t="str">
        <f>('4 Allocation'!I18)</f>
        <v xml:space="preserve"> </v>
      </c>
      <c r="L31" s="213"/>
      <c r="M31" s="213">
        <f>('4 Allocation'!O18)</f>
        <v>1575927.6336683547</v>
      </c>
      <c r="N31" s="213">
        <f>('4 Allocation'!N18)</f>
        <v>0</v>
      </c>
      <c r="P31" s="213"/>
      <c r="Q31" s="213">
        <f>('4 Allocation'!O18)</f>
        <v>1575927.6336683547</v>
      </c>
    </row>
    <row r="32" spans="2:17">
      <c r="B32" s="210"/>
      <c r="C32" s="211" t="s">
        <v>299</v>
      </c>
      <c r="D32" s="211"/>
      <c r="E32" s="211"/>
      <c r="F32" s="211"/>
      <c r="G32" s="215">
        <f t="shared" ref="G32:Q32" si="4">SUM(G25:G31)</f>
        <v>17303555.625082541</v>
      </c>
      <c r="H32" s="215">
        <f t="shared" si="4"/>
        <v>13317.53499815887</v>
      </c>
      <c r="I32" s="215">
        <f t="shared" si="4"/>
        <v>1185472.0771421876</v>
      </c>
      <c r="J32" s="215">
        <f t="shared" si="4"/>
        <v>17018.725802766698</v>
      </c>
      <c r="K32" s="215">
        <f t="shared" si="4"/>
        <v>30204.056695075029</v>
      </c>
      <c r="L32" s="215">
        <f t="shared" si="4"/>
        <v>15569.282379574848</v>
      </c>
      <c r="M32" s="215">
        <f>SUM(M25:M31)</f>
        <v>1766203.0974197809</v>
      </c>
      <c r="N32" s="213">
        <f>SUM(G32:M32)</f>
        <v>20331340.399520084</v>
      </c>
      <c r="O32" s="215">
        <f t="shared" si="4"/>
        <v>18490.441633392358</v>
      </c>
      <c r="P32" s="215">
        <f t="shared" si="4"/>
        <v>7231.1386459926789</v>
      </c>
      <c r="Q32" s="215">
        <f t="shared" si="4"/>
        <v>20357061.979799472</v>
      </c>
    </row>
    <row r="33" spans="2:19">
      <c r="B33" s="210"/>
      <c r="C33" s="211"/>
      <c r="D33" s="211"/>
      <c r="E33" s="211"/>
      <c r="F33" s="211"/>
      <c r="G33" s="211"/>
      <c r="H33" s="211"/>
      <c r="I33" s="211"/>
      <c r="J33" s="211"/>
      <c r="K33" s="211"/>
      <c r="L33" s="213"/>
      <c r="M33" s="215" t="s">
        <v>1</v>
      </c>
      <c r="N33" s="213">
        <f>SUM(G33:M33)</f>
        <v>0</v>
      </c>
      <c r="O33" s="215" t="s">
        <v>1</v>
      </c>
      <c r="P33" s="211"/>
      <c r="Q33" s="211"/>
    </row>
    <row r="34" spans="2:19">
      <c r="B34" s="210" t="s">
        <v>300</v>
      </c>
      <c r="C34" s="211"/>
      <c r="D34" s="211"/>
      <c r="E34" s="216">
        <v>0</v>
      </c>
      <c r="F34" s="217">
        <f t="shared" ref="F34:P34" si="5">SUM(F22,F32)</f>
        <v>0</v>
      </c>
      <c r="G34" s="217">
        <f>SUM(G22,G32)</f>
        <v>28137717.319734607</v>
      </c>
      <c r="H34" s="217">
        <f t="shared" si="5"/>
        <v>25698.933147648648</v>
      </c>
      <c r="I34" s="217">
        <f t="shared" si="5"/>
        <v>2902638.7643728741</v>
      </c>
      <c r="J34" s="217">
        <f t="shared" si="5"/>
        <v>60292.354798239809</v>
      </c>
      <c r="K34" s="217">
        <f t="shared" si="5"/>
        <v>422164.77256357693</v>
      </c>
      <c r="L34" s="217">
        <f t="shared" si="5"/>
        <v>574699.05963963631</v>
      </c>
      <c r="M34" s="217">
        <f t="shared" si="5"/>
        <v>1929848.2689020475</v>
      </c>
      <c r="N34" s="442">
        <f>SUM(G34:M34)</f>
        <v>34053059.473158628</v>
      </c>
      <c r="O34" s="217">
        <f t="shared" si="5"/>
        <v>736598.26505631173</v>
      </c>
      <c r="P34" s="217">
        <f t="shared" si="5"/>
        <v>338566.20430766471</v>
      </c>
      <c r="Q34" s="217">
        <f>SUM(Q22,Q32)</f>
        <v>35128223.9425226</v>
      </c>
      <c r="S34" s="218">
        <f>(Q13+Q34)</f>
        <v>119232757.39802511</v>
      </c>
    </row>
    <row r="35" spans="2:19">
      <c r="B35" s="210"/>
      <c r="C35" s="211"/>
      <c r="D35" s="211"/>
      <c r="E35" s="211"/>
      <c r="F35" s="211"/>
      <c r="G35" s="211"/>
      <c r="H35" s="211"/>
      <c r="I35" s="211"/>
      <c r="J35" s="211"/>
      <c r="K35" s="211"/>
      <c r="L35" s="213">
        <f>SUM(E35:K35)</f>
        <v>0</v>
      </c>
      <c r="M35" s="211"/>
      <c r="N35" s="211"/>
      <c r="O35" s="211"/>
      <c r="P35" s="211"/>
      <c r="Q35" s="211"/>
    </row>
    <row r="36" spans="2:19">
      <c r="B36" s="210" t="s">
        <v>301</v>
      </c>
      <c r="C36" s="211"/>
      <c r="D36" s="211"/>
      <c r="E36" s="78" t="s">
        <v>1</v>
      </c>
      <c r="F36" s="215">
        <f t="shared" ref="F36:Q36" si="6">(F15-F34)</f>
        <v>1223.1000000000004</v>
      </c>
      <c r="G36" s="215">
        <f t="shared" si="6"/>
        <v>-4922195.7697900645</v>
      </c>
      <c r="H36" s="215">
        <f t="shared" si="6"/>
        <v>-26252.381275525375</v>
      </c>
      <c r="I36" s="215">
        <f t="shared" si="6"/>
        <v>-753388.93117390573</v>
      </c>
      <c r="J36" s="215">
        <f t="shared" si="6"/>
        <v>-45726.11454278521</v>
      </c>
      <c r="K36" s="215">
        <f t="shared" si="6"/>
        <v>219456.83454673528</v>
      </c>
      <c r="L36" s="215">
        <f t="shared" si="6"/>
        <v>-156702.84379392851</v>
      </c>
      <c r="M36" s="215">
        <f t="shared" si="6"/>
        <v>-503549.9308177568</v>
      </c>
      <c r="N36" s="215">
        <f t="shared" si="6"/>
        <v>-6187136.0368472263</v>
      </c>
      <c r="O36" s="215">
        <f t="shared" si="6"/>
        <v>145899.41953568754</v>
      </c>
      <c r="P36" s="215">
        <f t="shared" si="6"/>
        <v>-145193.57268456049</v>
      </c>
      <c r="Q36" s="215">
        <f t="shared" si="6"/>
        <v>-6186430.1899961084</v>
      </c>
      <c r="R36" s="66" t="s">
        <v>1</v>
      </c>
    </row>
    <row r="37" spans="2:19">
      <c r="B37" s="210"/>
      <c r="C37" s="211"/>
      <c r="D37" s="211"/>
      <c r="E37" s="211"/>
      <c r="F37" s="211"/>
      <c r="G37" s="215"/>
      <c r="H37" s="215"/>
      <c r="I37" s="215"/>
      <c r="J37" s="215"/>
      <c r="K37" s="215"/>
      <c r="L37" s="213"/>
      <c r="M37" s="211"/>
      <c r="N37" s="211"/>
      <c r="O37" s="211"/>
      <c r="P37" s="211"/>
      <c r="Q37" s="215">
        <f>(Q16-Q35)</f>
        <v>0</v>
      </c>
    </row>
    <row r="38" spans="2:19">
      <c r="B38" s="210" t="s">
        <v>302</v>
      </c>
      <c r="C38" s="211"/>
      <c r="D38" s="211"/>
      <c r="E38" s="219">
        <f>('-6 Increase'!D13)</f>
        <v>0</v>
      </c>
      <c r="F38" s="213"/>
      <c r="G38" s="218">
        <f>(G8/($Q$8-$F$8))*($S$38)</f>
        <v>2553544.2000174634</v>
      </c>
      <c r="H38" s="218">
        <f t="shared" ref="H38:P38" si="7">(H8/($Q$8-$F$8))*($S$38)</f>
        <v>1239.5855606576151</v>
      </c>
      <c r="I38" s="218">
        <f t="shared" si="7"/>
        <v>263583.81157797843</v>
      </c>
      <c r="J38" s="218">
        <f t="shared" si="7"/>
        <v>2584.3722622919131</v>
      </c>
      <c r="K38" s="218">
        <f t="shared" si="7"/>
        <v>100834.35089389738</v>
      </c>
      <c r="L38" s="218">
        <f t="shared" si="7"/>
        <v>184070.05083431763</v>
      </c>
      <c r="M38" s="218">
        <f t="shared" si="7"/>
        <v>67565.684427748958</v>
      </c>
      <c r="N38" s="218">
        <f>SUM(G38:M38)</f>
        <v>3173422.0555743556</v>
      </c>
      <c r="O38" s="218">
        <f t="shared" si="7"/>
        <v>386633.31628916366</v>
      </c>
      <c r="P38" s="218">
        <f t="shared" si="7"/>
        <v>173474.76813648047</v>
      </c>
      <c r="Q38" s="215">
        <f>SUM(N38:P38)</f>
        <v>3733530.1399999997</v>
      </c>
      <c r="S38" s="219">
        <f>('1TestYr_adj'!S97+'1TestYr_adj'!S108)</f>
        <v>3733530.1399999997</v>
      </c>
    </row>
    <row r="39" spans="2:19" s="77" customFormat="1" ht="12.75">
      <c r="B39" s="220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</row>
    <row r="40" spans="2:19" ht="15" thickBot="1">
      <c r="B40" s="222" t="s">
        <v>311</v>
      </c>
      <c r="C40" s="223"/>
      <c r="D40" s="223"/>
      <c r="E40" s="224" t="s">
        <v>1</v>
      </c>
      <c r="F40" s="225">
        <f>(F36+F38)</f>
        <v>1223.1000000000004</v>
      </c>
      <c r="G40" s="225">
        <f>(G36+G38)</f>
        <v>-2368651.5697726011</v>
      </c>
      <c r="H40" s="225">
        <f>(H36+H38)</f>
        <v>-25012.79571486776</v>
      </c>
      <c r="I40" s="225">
        <f>(I36+I38)</f>
        <v>-489805.1195959273</v>
      </c>
      <c r="J40" s="225">
        <f>(J36+J38)</f>
        <v>-43141.742280493294</v>
      </c>
      <c r="K40" s="225">
        <f t="shared" ref="K40:P40" si="8">(K36+K38)</f>
        <v>320291.18544063263</v>
      </c>
      <c r="L40" s="225">
        <f t="shared" si="8"/>
        <v>27367.207040389127</v>
      </c>
      <c r="M40" s="225">
        <f t="shared" si="8"/>
        <v>-435984.24639000784</v>
      </c>
      <c r="N40" s="225">
        <f>(N36+N38)</f>
        <v>-3013713.9812728707</v>
      </c>
      <c r="O40" s="225">
        <f t="shared" si="8"/>
        <v>532532.7358248512</v>
      </c>
      <c r="P40" s="225">
        <f t="shared" si="8"/>
        <v>28281.195451919979</v>
      </c>
      <c r="Q40" s="225">
        <f>(Q36+Q38)</f>
        <v>-2452900.0499961087</v>
      </c>
    </row>
    <row r="41" spans="2:19" ht="15" thickTop="1">
      <c r="G41" s="218"/>
      <c r="H41" s="218"/>
      <c r="I41" s="218"/>
      <c r="J41" s="218"/>
      <c r="K41" s="218"/>
      <c r="L41" s="226"/>
      <c r="S41" s="207">
        <f>SUM(G40,H40,I40,J40,L40)/(SUM(G8,H8,I8,J8,L8,))</f>
        <v>-3.1866166074289166E-2</v>
      </c>
    </row>
    <row r="42" spans="2:19" ht="15">
      <c r="B42" s="227" t="s">
        <v>364</v>
      </c>
    </row>
    <row r="43" spans="2:19">
      <c r="B43" s="208" t="s">
        <v>362</v>
      </c>
      <c r="C43" s="209"/>
      <c r="D43" s="209"/>
      <c r="E43" s="209"/>
      <c r="F43" s="209"/>
      <c r="G43" s="228">
        <f>('[10]rate schedules'!$B$12+'[10]rate schedules'!$B$13)</f>
        <v>633843</v>
      </c>
      <c r="H43" s="363">
        <f>('[10]rate schedules'!$B$43)</f>
        <v>447</v>
      </c>
      <c r="I43" s="229">
        <f>('[10]rate schedules'!$B$75)</f>
        <v>30758</v>
      </c>
      <c r="J43" s="363">
        <f>('[10]rate schedules'!$B$106)</f>
        <v>323</v>
      </c>
      <c r="K43" s="229">
        <f>('[10]rate schedules'!$B$140)</f>
        <v>673</v>
      </c>
      <c r="L43" s="364">
        <f>('[10]rate schedules'!$B$173)</f>
        <v>276</v>
      </c>
      <c r="M43" s="229">
        <f>('[10]rate schedules'!$B$303)</f>
        <v>180862</v>
      </c>
      <c r="N43" s="827" t="s">
        <v>1</v>
      </c>
      <c r="O43" s="229">
        <v>60</v>
      </c>
      <c r="P43" s="363">
        <f>[9]monthly!$C$294</f>
        <v>12</v>
      </c>
      <c r="Q43" s="461" t="s">
        <v>1</v>
      </c>
    </row>
    <row r="44" spans="2:19">
      <c r="B44" s="210"/>
      <c r="C44" s="211"/>
      <c r="D44" s="211"/>
      <c r="E44" s="211"/>
      <c r="F44" s="211"/>
      <c r="G44" s="213"/>
      <c r="H44" s="211"/>
      <c r="I44" s="211"/>
      <c r="J44" s="211"/>
      <c r="K44" s="211"/>
      <c r="L44" s="211"/>
      <c r="M44" s="211"/>
      <c r="N44" s="211"/>
      <c r="O44" s="211"/>
      <c r="P44" s="211"/>
      <c r="Q44" s="211"/>
    </row>
    <row r="45" spans="2:19">
      <c r="B45" s="210" t="s">
        <v>363</v>
      </c>
      <c r="C45" s="211"/>
      <c r="D45" s="211"/>
      <c r="E45" s="211"/>
      <c r="F45" s="211"/>
      <c r="G45" s="213">
        <f>'4.1 kW &amp; kWh'!C22</f>
        <v>793939806</v>
      </c>
      <c r="H45" s="213">
        <f>'4.1 kW &amp; kWh'!D22</f>
        <v>437447</v>
      </c>
      <c r="I45" s="213">
        <f>'4.1 kW &amp; kWh'!E22</f>
        <v>70405905</v>
      </c>
      <c r="J45" s="213">
        <f>'4.1 kW &amp; kWh'!F22</f>
        <v>659159</v>
      </c>
      <c r="K45" s="213">
        <f>'4.1 kW &amp; kWh'!G22</f>
        <v>37501047</v>
      </c>
      <c r="L45" s="213">
        <f>'4.1 kW &amp; kWh'!H22</f>
        <v>80941225</v>
      </c>
      <c r="M45" s="213">
        <f>'4.1 kW &amp; kWh'!I22</f>
        <v>9008707</v>
      </c>
      <c r="N45" s="63" t="s">
        <v>1</v>
      </c>
      <c r="O45" s="213">
        <f>'4.1 kW &amp; kWh'!K22</f>
        <v>198094047</v>
      </c>
      <c r="P45" s="213">
        <f>'4.1 kW &amp; kWh'!L22</f>
        <v>104067043.2</v>
      </c>
      <c r="Q45" s="63" t="s">
        <v>1</v>
      </c>
    </row>
    <row r="46" spans="2:19">
      <c r="B46" s="210"/>
      <c r="C46" s="211"/>
      <c r="D46" s="211"/>
      <c r="E46" s="211"/>
      <c r="F46" s="211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</row>
    <row r="47" spans="2:19">
      <c r="B47" s="210" t="s">
        <v>328</v>
      </c>
      <c r="C47" s="211"/>
      <c r="D47" s="211"/>
      <c r="E47" s="211"/>
      <c r="F47" s="211"/>
      <c r="G47" s="213"/>
      <c r="H47" s="213"/>
      <c r="I47" s="213"/>
      <c r="J47" s="213"/>
      <c r="K47" s="213">
        <f>('[10]rate schedules'!$B$141)</f>
        <v>110568</v>
      </c>
      <c r="L47" s="213">
        <f>('[10]rate schedules'!$B$175)</f>
        <v>208910.72200000001</v>
      </c>
      <c r="M47" s="213"/>
      <c r="N47" s="63" t="s">
        <v>1</v>
      </c>
      <c r="O47" s="213">
        <f>('[10]rate schedules'!$B$208+'[10]rate schedules'!$B$209)</f>
        <v>379595.28899999999</v>
      </c>
      <c r="P47" s="213">
        <f>('[10]rate schedules'!$B$243)</f>
        <v>181668</v>
      </c>
      <c r="Q47" s="63" t="s">
        <v>1</v>
      </c>
    </row>
    <row r="48" spans="2:19">
      <c r="B48" s="222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81" t="s">
        <v>1</v>
      </c>
      <c r="P48" s="223"/>
      <c r="Q48" s="223"/>
    </row>
    <row r="49" spans="2:17"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</row>
    <row r="50" spans="2:17" ht="15">
      <c r="B50" s="68" t="s">
        <v>374</v>
      </c>
      <c r="C50" s="211"/>
      <c r="D50" s="211"/>
      <c r="E50" s="211"/>
      <c r="F50" s="211"/>
      <c r="G50" s="50" t="s">
        <v>1</v>
      </c>
      <c r="H50" s="211"/>
      <c r="I50" s="211"/>
      <c r="J50" s="211"/>
      <c r="K50" s="50" t="s">
        <v>1</v>
      </c>
      <c r="L50" s="211"/>
      <c r="M50" s="211"/>
      <c r="N50" s="211"/>
      <c r="O50" s="211"/>
      <c r="P50" s="50" t="s">
        <v>1</v>
      </c>
      <c r="Q50" s="50" t="s">
        <v>1</v>
      </c>
    </row>
    <row r="51" spans="2:17">
      <c r="B51" s="208" t="s">
        <v>322</v>
      </c>
      <c r="C51" s="209"/>
      <c r="D51" s="209"/>
      <c r="E51" s="209"/>
      <c r="F51" s="209"/>
      <c r="G51" s="506">
        <f t="shared" ref="G51:P51" si="9">(G32/G43)</f>
        <v>27.299434757633264</v>
      </c>
      <c r="H51" s="506">
        <f t="shared" si="9"/>
        <v>29.793143172614922</v>
      </c>
      <c r="I51" s="506">
        <f t="shared" si="9"/>
        <v>38.541910304382199</v>
      </c>
      <c r="J51" s="506">
        <f t="shared" si="9"/>
        <v>52.689553568937143</v>
      </c>
      <c r="K51" s="506">
        <f t="shared" si="9"/>
        <v>44.879727630126347</v>
      </c>
      <c r="L51" s="506">
        <f t="shared" si="9"/>
        <v>56.410443404256696</v>
      </c>
      <c r="M51" s="506">
        <f t="shared" si="9"/>
        <v>9.7654736617961806</v>
      </c>
      <c r="N51" s="507" t="s">
        <v>1</v>
      </c>
      <c r="O51" s="506">
        <f t="shared" si="9"/>
        <v>308.174027223206</v>
      </c>
      <c r="P51" s="506">
        <f t="shared" si="9"/>
        <v>602.59488716605654</v>
      </c>
      <c r="Q51" s="507" t="s">
        <v>1</v>
      </c>
    </row>
    <row r="52" spans="2:17">
      <c r="B52" s="210" t="s">
        <v>323</v>
      </c>
      <c r="C52" s="211"/>
      <c r="D52" s="211"/>
      <c r="E52" s="211"/>
      <c r="F52" s="211"/>
      <c r="G52" s="508">
        <f t="shared" ref="G52:P52" si="10">(G34+G13-G32)/(G45)</f>
        <v>8.1783669654885066E-2</v>
      </c>
      <c r="H52" s="508">
        <f t="shared" si="10"/>
        <v>0.11536323060248785</v>
      </c>
      <c r="I52" s="508">
        <f t="shared" si="10"/>
        <v>0.10721177476849021</v>
      </c>
      <c r="J52" s="508">
        <f t="shared" si="10"/>
        <v>0.16225740487502791</v>
      </c>
      <c r="K52" s="508">
        <f t="shared" si="10"/>
        <v>7.475156022705684E-2</v>
      </c>
      <c r="L52" s="508">
        <f t="shared" si="10"/>
        <v>7.0596304151677378E-2</v>
      </c>
      <c r="M52" s="508">
        <f t="shared" si="10"/>
        <v>8.6916684425187296E-2</v>
      </c>
      <c r="N52" s="509" t="s">
        <v>1</v>
      </c>
      <c r="O52" s="508">
        <f t="shared" si="10"/>
        <v>5.8263020915317668E-2</v>
      </c>
      <c r="P52" s="508">
        <f t="shared" si="10"/>
        <v>5.1795369280584772E-2</v>
      </c>
      <c r="Q52" s="509" t="s">
        <v>1</v>
      </c>
    </row>
    <row r="53" spans="2:17">
      <c r="B53" s="210" t="s">
        <v>321</v>
      </c>
      <c r="C53" s="211"/>
      <c r="D53" s="211"/>
      <c r="E53" s="211"/>
      <c r="F53" s="211"/>
      <c r="G53" s="211"/>
      <c r="H53" s="211"/>
      <c r="I53" s="230"/>
      <c r="J53" s="211"/>
      <c r="K53" s="230">
        <f>(K11+K22)/(K47)</f>
        <v>7.7232643103048062</v>
      </c>
      <c r="L53" s="230">
        <f>(L11+L22)/(L47)</f>
        <v>7.2126586378842346</v>
      </c>
      <c r="M53" s="230"/>
      <c r="N53" s="211"/>
      <c r="O53" s="230">
        <f>SUM(O11+O22)/(O47)</f>
        <v>7.9987155041403053</v>
      </c>
      <c r="P53" s="230">
        <f>SUM(P11+P22)/(P47)</f>
        <v>8.4285894831762995</v>
      </c>
      <c r="Q53" s="510" t="s">
        <v>1</v>
      </c>
    </row>
    <row r="54" spans="2:17">
      <c r="B54" s="222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</row>
  </sheetData>
  <customSheetViews>
    <customSheetView guid="{18050E3F-BBF0-4BF6-9B33-B0817BE1B1C5}" showRuler="0">
      <selection activeCell="P12" sqref="P12"/>
      <pageMargins left="0.75" right="0.75" top="1" bottom="1" header="0.5" footer="0.5"/>
      <headerFooter alignWithMargins="0"/>
    </customSheetView>
  </customSheetViews>
  <mergeCells count="1">
    <mergeCell ref="B1:Q1"/>
  </mergeCells>
  <phoneticPr fontId="16" type="noConversion"/>
  <printOptions horizontalCentered="1" verticalCentered="1" gridLines="1"/>
  <pageMargins left="0.75" right="0.75" top="1.19" bottom="1" header="0.5" footer="0.5"/>
  <pageSetup scale="75" orientation="portrait" r:id="rId1"/>
  <headerFooter alignWithMargins="0">
    <oddHeader>&amp;C&amp;"Arial,Bold"&amp;12BLUE GRASS ENERGY COOPERATIVE
CASE NO. 2014-00339 COSTS TO SERVE EACH RATE CLASS AND COST BASED RATES&amp;"Arial,Regular"&amp;10
&amp;R&amp;11Revised Exhibit R
Schedule  5
Page ____ of ____
Witness:  Jim Adkins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86"/>
  <sheetViews>
    <sheetView topLeftCell="A3" zoomScaleNormal="100" workbookViewId="0">
      <pane ySplit="3" topLeftCell="A9" activePane="bottomLeft" state="frozen"/>
      <selection activeCell="B3" sqref="B3"/>
      <selection pane="bottomLeft" activeCell="P7" sqref="P7"/>
    </sheetView>
  </sheetViews>
  <sheetFormatPr defaultRowHeight="12.75"/>
  <cols>
    <col min="1" max="1" width="4.5703125" style="100" customWidth="1"/>
    <col min="2" max="2" width="9.140625" style="100"/>
    <col min="3" max="3" width="8.85546875" style="100" customWidth="1"/>
    <col min="4" max="4" width="11.28515625" style="100" bestFit="1" customWidth="1"/>
    <col min="5" max="5" width="13.28515625" style="100" customWidth="1"/>
    <col min="6" max="6" width="11.42578125" style="100" customWidth="1"/>
    <col min="7" max="7" width="13" style="100" customWidth="1"/>
    <col min="8" max="8" width="12.42578125" style="100" customWidth="1"/>
    <col min="9" max="9" width="13" style="100" bestFit="1" customWidth="1"/>
    <col min="10" max="10" width="11.5703125" style="77" customWidth="1"/>
    <col min="11" max="11" width="14" style="77" bestFit="1" customWidth="1"/>
    <col min="12" max="12" width="15.7109375" style="77" bestFit="1" customWidth="1"/>
    <col min="13" max="13" width="12" style="100" customWidth="1"/>
    <col min="14" max="14" width="12.28515625" style="100" bestFit="1" customWidth="1"/>
    <col min="15" max="15" width="14.140625" style="100" customWidth="1"/>
    <col min="16" max="16" width="9.140625" style="100"/>
    <col min="17" max="17" width="12" style="100" customWidth="1"/>
    <col min="18" max="16384" width="9.140625" style="100"/>
  </cols>
  <sheetData>
    <row r="3" spans="1:17" s="99" customFormat="1">
      <c r="A3" s="449"/>
      <c r="B3" s="104"/>
      <c r="C3" s="104"/>
      <c r="D3" s="212" t="str">
        <f>('12 Inc Stmt Func'!E4)</f>
        <v xml:space="preserve"> </v>
      </c>
      <c r="E3" s="212" t="str">
        <f>('12 Inc Stmt Func'!G4)</f>
        <v>GS 1</v>
      </c>
      <c r="F3" s="212" t="str">
        <f>('12 Inc Stmt Func'!H4)</f>
        <v>GS 1</v>
      </c>
      <c r="G3" s="212" t="str">
        <f>('12 Inc Stmt Func'!I4)</f>
        <v>SC1</v>
      </c>
      <c r="H3" s="212" t="str">
        <f>('12 Inc Stmt Func'!J4)</f>
        <v>SC2</v>
      </c>
      <c r="I3" s="212" t="str">
        <f>('12 Inc Stmt Func'!K4)</f>
        <v>LP1</v>
      </c>
      <c r="J3" s="212" t="str">
        <f>('12 Inc Stmt Func'!L4)</f>
        <v>LP2</v>
      </c>
      <c r="K3" s="212">
        <f>('12 Inc Stmt Func'!M4)</f>
        <v>0</v>
      </c>
      <c r="L3" s="212" t="str">
        <f>('12 Inc Stmt Func'!N4)</f>
        <v>Total</v>
      </c>
      <c r="M3" s="212" t="str">
        <f>('12 Inc Stmt Func'!O4)</f>
        <v>B-2</v>
      </c>
      <c r="N3" s="212" t="str">
        <f>('12 Inc Stmt Func'!P4)</f>
        <v>G-1</v>
      </c>
      <c r="O3" s="212" t="str">
        <f>('12 Inc Stmt Func'!Q4)</f>
        <v>Total</v>
      </c>
    </row>
    <row r="4" spans="1:17" s="99" customFormat="1">
      <c r="A4" s="103"/>
      <c r="B4" s="109"/>
      <c r="C4" s="109"/>
      <c r="D4" s="212" t="str">
        <f>('12 Inc Stmt Func'!E5)</f>
        <v>Enviro</v>
      </c>
      <c r="E4" s="212" t="str">
        <f>('12 Inc Stmt Func'!G5)</f>
        <v>Residential</v>
      </c>
      <c r="F4" s="212" t="str">
        <f>('12 Inc Stmt Func'!H5)</f>
        <v>Residential</v>
      </c>
      <c r="G4" s="212" t="str">
        <f>('12 Inc Stmt Func'!I5)</f>
        <v>Gen Service</v>
      </c>
      <c r="H4" s="212" t="str">
        <f>('12 Inc Stmt Func'!J5)</f>
        <v>Gen Service</v>
      </c>
      <c r="I4" s="212" t="str">
        <f>('12 Inc Stmt Func'!K5)</f>
        <v>Large Power</v>
      </c>
      <c r="J4" s="212" t="str">
        <f>('12 Inc Stmt Func'!L5)</f>
        <v>Large Power</v>
      </c>
      <c r="K4" s="212" t="str">
        <f>('12 Inc Stmt Func'!M5)</f>
        <v>Outdoor</v>
      </c>
      <c r="L4" s="212" t="str">
        <f>('12 Inc Stmt Func'!N5)</f>
        <v>EKPC Sched</v>
      </c>
      <c r="M4" s="212" t="str">
        <f>('12 Inc Stmt Func'!O5)</f>
        <v>Large Indust.</v>
      </c>
      <c r="N4" s="212" t="str">
        <f>('12 Inc Stmt Func'!P5)</f>
        <v>Large Indust.</v>
      </c>
      <c r="O4" s="212" t="str">
        <f>('12 Inc Stmt Func'!Q5)</f>
        <v>for All</v>
      </c>
    </row>
    <row r="5" spans="1:17" s="99" customFormat="1">
      <c r="A5" s="103"/>
      <c r="B5" s="109"/>
      <c r="C5" s="109"/>
      <c r="D5" s="212" t="str">
        <f>('12 Inc Stmt Func'!E6)</f>
        <v>watts</v>
      </c>
      <c r="E5" s="212" t="str">
        <f>('12 Inc Stmt Func'!G6)</f>
        <v>&amp; Farm</v>
      </c>
      <c r="F5" s="212" t="str">
        <f>('12 Inc Stmt Func'!H6)</f>
        <v>&amp; Farm TOD</v>
      </c>
      <c r="G5" s="212" t="str">
        <f>('12 Inc Stmt Func'!I6)</f>
        <v>0-100 kW</v>
      </c>
      <c r="H5" s="212" t="str">
        <f>('12 Inc Stmt Func'!J6)</f>
        <v>0-100 kW TOD</v>
      </c>
      <c r="I5" s="212" t="str">
        <f>('12 Inc Stmt Func'!K6)</f>
        <v>under 500 kW</v>
      </c>
      <c r="J5" s="212" t="str">
        <f>('12 Inc Stmt Func'!L6)</f>
        <v>over 500 kW</v>
      </c>
      <c r="K5" s="212" t="str">
        <f>('12 Inc Stmt Func'!M6)</f>
        <v>Lights</v>
      </c>
      <c r="L5" s="212" t="str">
        <f>('12 Inc Stmt Func'!N6)</f>
        <v>E Rates</v>
      </c>
      <c r="M5" s="212" t="str">
        <f>('12 Inc Stmt Func'!O6)</f>
        <v>Rate</v>
      </c>
      <c r="N5" s="212" t="str">
        <f>('12 Inc Stmt Func'!P6)</f>
        <v>Rate</v>
      </c>
      <c r="O5" s="212" t="str">
        <f>('12 Inc Stmt Func'!Q6)</f>
        <v>Rate Classes</v>
      </c>
    </row>
    <row r="6" spans="1:17">
      <c r="A6" s="450"/>
      <c r="B6" s="102"/>
      <c r="C6" s="102"/>
      <c r="D6" s="451"/>
      <c r="E6" s="106"/>
      <c r="F6" s="106"/>
      <c r="G6" s="106"/>
      <c r="H6" s="106"/>
      <c r="I6" s="106"/>
      <c r="J6" s="168"/>
      <c r="L6" s="166"/>
      <c r="N6" s="106"/>
      <c r="O6" s="830"/>
    </row>
    <row r="7" spans="1:17">
      <c r="A7" s="450" t="s">
        <v>182</v>
      </c>
      <c r="B7" s="102"/>
      <c r="C7" s="102"/>
      <c r="D7" s="451"/>
      <c r="E7" s="451"/>
      <c r="F7" s="451"/>
      <c r="G7" s="451"/>
      <c r="H7" s="451"/>
      <c r="I7" s="451"/>
      <c r="J7" s="168"/>
      <c r="L7" s="168"/>
      <c r="N7" s="451"/>
      <c r="O7" s="831"/>
    </row>
    <row r="8" spans="1:17">
      <c r="A8" s="450" t="s">
        <v>183</v>
      </c>
      <c r="B8" s="102"/>
      <c r="C8" s="102"/>
      <c r="D8" s="452">
        <f>('4 Allocation'!D19)</f>
        <v>6455.25</v>
      </c>
      <c r="E8" s="452">
        <f>('4 Allocation'!E19)</f>
        <v>82234866.444850057</v>
      </c>
      <c r="F8" s="452">
        <f>('4 Allocation'!F19)</f>
        <v>63782.834135525365</v>
      </c>
      <c r="G8" s="452">
        <f>('4 Allocation'!G19)</f>
        <v>8733814.106373908</v>
      </c>
      <c r="H8" s="452">
        <f>('4 Allocation'!H19)</f>
        <v>123972.15454278523</v>
      </c>
      <c r="I8" s="452">
        <f>('4 Allocation'!I19)</f>
        <v>2833465.8300932632</v>
      </c>
      <c r="J8" s="452">
        <f>('4 Allocation'!J19)</f>
        <v>5729720.620888928</v>
      </c>
      <c r="K8" s="453">
        <f>('4 Allocation'!K19)</f>
        <v>2549210.0408177567</v>
      </c>
      <c r="L8" s="452">
        <f>('4 Allocation'!L19)</f>
        <v>102275287.28170225</v>
      </c>
      <c r="M8" s="122">
        <f>('4 Allocation'!M19)</f>
        <v>11560048.045194313</v>
      </c>
      <c r="N8" s="452">
        <f>('4 Allocation'!N19)</f>
        <v>5397422.0711285612</v>
      </c>
      <c r="O8" s="786">
        <f>('4 Allocation'!O19)</f>
        <v>119232757.39802511</v>
      </c>
    </row>
    <row r="9" spans="1:17">
      <c r="A9" s="453" t="s">
        <v>271</v>
      </c>
      <c r="B9" s="122"/>
      <c r="C9" s="102"/>
      <c r="D9" s="454">
        <f>('12 Inc Stmt Func'!F8)</f>
        <v>7678.35</v>
      </c>
      <c r="E9" s="454">
        <f>('12 Inc Stmt Func'!G8)</f>
        <v>77312670.675060004</v>
      </c>
      <c r="F9" s="454">
        <f>('12 Inc Stmt Func'!H8)</f>
        <v>37530.452859999998</v>
      </c>
      <c r="G9" s="454">
        <f>('12 Inc Stmt Func'!I8)</f>
        <v>7980425.1752000004</v>
      </c>
      <c r="H9" s="454">
        <f>('12 Inc Stmt Func'!J8)</f>
        <v>78246.040000000008</v>
      </c>
      <c r="I9" s="454">
        <f>('12 Inc Stmt Func'!K8)</f>
        <v>3052922.6646399996</v>
      </c>
      <c r="J9" s="454">
        <f>('12 Inc Stmt Func'!L8)</f>
        <v>5573017.7770949993</v>
      </c>
      <c r="K9" s="828">
        <f>('12 Inc Stmt Func'!M8)</f>
        <v>2045660.1099999999</v>
      </c>
      <c r="L9" s="454">
        <f>('12 Inc Stmt Func'!N8)</f>
        <v>96088151.244855002</v>
      </c>
      <c r="M9" s="127">
        <f>('12 Inc Stmt Func'!O8)</f>
        <v>11705947.46473</v>
      </c>
      <c r="N9" s="454">
        <f>('12 Inc Stmt Func'!P8)</f>
        <v>5252228.4984440003</v>
      </c>
      <c r="O9" s="829">
        <f>('12 Inc Stmt Func'!Q8)</f>
        <v>113046327.208029</v>
      </c>
      <c r="P9" s="789"/>
      <c r="Q9" s="124">
        <f>SUM(L9:N9)</f>
        <v>113046327.208029</v>
      </c>
    </row>
    <row r="10" spans="1:17">
      <c r="A10" s="453" t="s">
        <v>224</v>
      </c>
      <c r="B10" s="122"/>
      <c r="C10" s="102"/>
      <c r="D10" s="455">
        <f>(D8-D9)</f>
        <v>-1223.1000000000004</v>
      </c>
      <c r="E10" s="455">
        <f t="shared" ref="E10:P10" si="0">(E8-E9)</f>
        <v>4922195.7697900534</v>
      </c>
      <c r="F10" s="455">
        <f t="shared" si="0"/>
        <v>26252.381275525368</v>
      </c>
      <c r="G10" s="455">
        <f t="shared" si="0"/>
        <v>753388.93117390759</v>
      </c>
      <c r="H10" s="455">
        <f t="shared" si="0"/>
        <v>45726.114542785217</v>
      </c>
      <c r="I10" s="455">
        <f t="shared" si="0"/>
        <v>-219456.83454673644</v>
      </c>
      <c r="J10" s="455">
        <f t="shared" si="0"/>
        <v>156702.84379392862</v>
      </c>
      <c r="K10" s="782">
        <f t="shared" si="0"/>
        <v>503549.9308177568</v>
      </c>
      <c r="L10" s="787">
        <f t="shared" si="0"/>
        <v>6187136.0368472487</v>
      </c>
      <c r="M10" s="142">
        <f t="shared" si="0"/>
        <v>-145899.41953568719</v>
      </c>
      <c r="N10" s="787">
        <f t="shared" si="0"/>
        <v>145193.5726845609</v>
      </c>
      <c r="O10" s="787">
        <f>(O8-O9)</f>
        <v>6186430.1899961084</v>
      </c>
      <c r="P10" s="781">
        <f t="shared" si="0"/>
        <v>0</v>
      </c>
    </row>
    <row r="11" spans="1:17">
      <c r="A11" s="450"/>
      <c r="B11" s="102"/>
      <c r="C11" s="102"/>
      <c r="D11" s="451"/>
      <c r="E11" s="451"/>
      <c r="F11" s="451"/>
      <c r="G11" s="451"/>
      <c r="H11" s="451"/>
      <c r="I11" s="451"/>
      <c r="J11" s="168"/>
      <c r="L11" s="168"/>
      <c r="N11" s="451"/>
      <c r="O11" s="451"/>
    </row>
    <row r="12" spans="1:17">
      <c r="A12" s="450" t="s">
        <v>269</v>
      </c>
      <c r="B12" s="102"/>
      <c r="C12" s="102"/>
      <c r="D12" s="451"/>
      <c r="E12" s="456">
        <f>(E9)/($O$9-$D$9)</f>
        <v>0.68394899847184942</v>
      </c>
      <c r="F12" s="456">
        <f t="shared" ref="F12:O12" si="1">(F9)/($O$9-$D$9)</f>
        <v>3.3201434411283881E-4</v>
      </c>
      <c r="G12" s="456">
        <f t="shared" si="1"/>
        <v>7.059908496626692E-2</v>
      </c>
      <c r="H12" s="456">
        <f t="shared" si="1"/>
        <v>6.9220607987161269E-4</v>
      </c>
      <c r="I12" s="456">
        <f t="shared" si="1"/>
        <v>2.7007777388372012E-2</v>
      </c>
      <c r="J12" s="456">
        <f t="shared" si="1"/>
        <v>4.9301878900679677E-2</v>
      </c>
      <c r="K12" s="783">
        <f t="shared" si="1"/>
        <v>1.8096997183408025E-2</v>
      </c>
      <c r="L12" s="456">
        <f t="shared" si="1"/>
        <v>0.850046884101888</v>
      </c>
      <c r="M12" s="349">
        <f t="shared" si="1"/>
        <v>0.10355703631447413</v>
      </c>
      <c r="N12" s="456">
        <f t="shared" si="1"/>
        <v>4.6464006350965335E-2</v>
      </c>
      <c r="O12" s="456">
        <f t="shared" si="1"/>
        <v>1.0000679267673276</v>
      </c>
    </row>
    <row r="13" spans="1:17">
      <c r="A13" s="450" t="s">
        <v>225</v>
      </c>
      <c r="B13" s="102"/>
      <c r="C13" s="102"/>
      <c r="D13" s="452"/>
      <c r="E13" s="452">
        <f>(E12*$Q$26)</f>
        <v>2553544.2000174634</v>
      </c>
      <c r="F13" s="452">
        <f t="shared" ref="F13:N13" si="2">(F12*$Q$26)</f>
        <v>1239.5855606576151</v>
      </c>
      <c r="G13" s="452">
        <f t="shared" si="2"/>
        <v>263583.81157797843</v>
      </c>
      <c r="H13" s="452">
        <f t="shared" si="2"/>
        <v>2584.3722622919131</v>
      </c>
      <c r="I13" s="452">
        <f t="shared" si="2"/>
        <v>100834.35089389738</v>
      </c>
      <c r="J13" s="452">
        <f t="shared" si="2"/>
        <v>184070.05083431763</v>
      </c>
      <c r="K13" s="453">
        <f t="shared" si="2"/>
        <v>67565.684427748958</v>
      </c>
      <c r="L13" s="452">
        <f>SUM(E13:K13)</f>
        <v>3173422.0555743556</v>
      </c>
      <c r="M13" s="122">
        <f t="shared" si="2"/>
        <v>386633.31628916366</v>
      </c>
      <c r="N13" s="452">
        <f t="shared" si="2"/>
        <v>173474.76813648047</v>
      </c>
      <c r="O13" s="452">
        <f>SUM(L13:N13)</f>
        <v>3733530.1399999997</v>
      </c>
    </row>
    <row r="14" spans="1:17">
      <c r="A14" s="450"/>
      <c r="B14" s="102"/>
      <c r="C14" s="102"/>
      <c r="D14" s="452"/>
      <c r="E14" s="495" t="s">
        <v>1</v>
      </c>
      <c r="F14" s="495" t="s">
        <v>1</v>
      </c>
      <c r="G14" s="495" t="s">
        <v>1</v>
      </c>
      <c r="H14" s="495" t="s">
        <v>1</v>
      </c>
      <c r="I14" s="495" t="s">
        <v>1</v>
      </c>
      <c r="J14" s="495" t="s">
        <v>1</v>
      </c>
      <c r="K14" s="784" t="s">
        <v>1</v>
      </c>
      <c r="L14" s="495" t="s">
        <v>1</v>
      </c>
      <c r="M14" s="788" t="s">
        <v>1</v>
      </c>
      <c r="N14" s="495" t="s">
        <v>1</v>
      </c>
      <c r="O14" s="495" t="s">
        <v>1</v>
      </c>
    </row>
    <row r="15" spans="1:17">
      <c r="A15" s="338" t="s">
        <v>661</v>
      </c>
      <c r="B15" s="102"/>
      <c r="C15" s="102"/>
      <c r="D15" s="455">
        <f t="shared" ref="D15:J15" si="3">(D10-D13)</f>
        <v>-1223.1000000000004</v>
      </c>
      <c r="E15" s="455">
        <f t="shared" si="3"/>
        <v>2368651.56977259</v>
      </c>
      <c r="F15" s="455">
        <f t="shared" si="3"/>
        <v>25012.795714867752</v>
      </c>
      <c r="G15" s="455">
        <f t="shared" si="3"/>
        <v>489805.11959592917</v>
      </c>
      <c r="H15" s="455">
        <f t="shared" si="3"/>
        <v>43141.742280493301</v>
      </c>
      <c r="I15" s="455">
        <f t="shared" si="3"/>
        <v>-320291.1854406338</v>
      </c>
      <c r="J15" s="455">
        <f t="shared" si="3"/>
        <v>-27367.20704038901</v>
      </c>
      <c r="K15" s="782">
        <f>(K10-K13)</f>
        <v>435984.24639000784</v>
      </c>
      <c r="L15" s="455">
        <f>SUM(D15:K15)</f>
        <v>3013713.9812728651</v>
      </c>
      <c r="M15" s="142">
        <f>(M10-M13)</f>
        <v>-532532.73582485085</v>
      </c>
      <c r="N15" s="455">
        <f>(N10-N13)</f>
        <v>-28281.195451919571</v>
      </c>
      <c r="O15" s="455">
        <f>SUM(L15:N15)</f>
        <v>2452900.0499960948</v>
      </c>
    </row>
    <row r="16" spans="1:17">
      <c r="A16" s="450" t="s">
        <v>239</v>
      </c>
      <c r="B16" s="102"/>
      <c r="C16" s="102"/>
      <c r="D16" s="452"/>
      <c r="E16" s="451"/>
      <c r="F16" s="451"/>
      <c r="G16" s="451"/>
      <c r="H16" s="451"/>
      <c r="I16" s="451"/>
      <c r="J16" s="168"/>
      <c r="L16" s="168"/>
      <c r="N16" s="451"/>
      <c r="O16" s="451"/>
    </row>
    <row r="17" spans="1:17">
      <c r="A17" s="450" t="s">
        <v>303</v>
      </c>
      <c r="B17" s="102"/>
      <c r="C17" s="102"/>
      <c r="D17" s="457">
        <f>(D15/D9)</f>
        <v>-0.15929203539823014</v>
      </c>
      <c r="E17" s="457">
        <f>(E15/E9)</f>
        <v>3.0637301092958934E-2</v>
      </c>
      <c r="F17" s="457">
        <f>(F15/F9)</f>
        <v>0.66646666396947263</v>
      </c>
      <c r="G17" s="457">
        <f t="shared" ref="G17:O17" si="4">(G15/G9)</f>
        <v>6.1375817558950295E-2</v>
      </c>
      <c r="H17" s="457">
        <f t="shared" si="4"/>
        <v>0.55136007241380258</v>
      </c>
      <c r="I17" s="457">
        <f t="shared" si="4"/>
        <v>-0.10491297049557019</v>
      </c>
      <c r="J17" s="457">
        <f t="shared" si="4"/>
        <v>-4.9106620748399056E-3</v>
      </c>
      <c r="K17" s="785">
        <f t="shared" si="4"/>
        <v>0.21312643496284819</v>
      </c>
      <c r="L17" s="457">
        <f t="shared" si="4"/>
        <v>3.136405417555823E-2</v>
      </c>
      <c r="M17" s="457">
        <f t="shared" si="4"/>
        <v>-4.5492493232980165E-2</v>
      </c>
      <c r="N17" s="457">
        <f t="shared" si="4"/>
        <v>-5.3846087351869824E-3</v>
      </c>
      <c r="O17" s="457">
        <f t="shared" si="4"/>
        <v>2.1698184368982135E-2</v>
      </c>
    </row>
    <row r="18" spans="1:17">
      <c r="A18" s="450"/>
      <c r="B18" s="102"/>
      <c r="C18" s="102"/>
      <c r="D18" s="458"/>
      <c r="E18" s="106"/>
      <c r="F18" s="106"/>
      <c r="G18" s="106"/>
      <c r="H18" s="106"/>
      <c r="I18" s="106"/>
      <c r="J18" s="166"/>
      <c r="K18" s="166"/>
      <c r="L18" s="166"/>
      <c r="M18" s="106"/>
      <c r="N18" s="106"/>
      <c r="O18" s="106"/>
    </row>
    <row r="19" spans="1:17">
      <c r="A19" s="338" t="s">
        <v>662</v>
      </c>
      <c r="B19" s="102"/>
      <c r="C19" s="102"/>
      <c r="D19" s="452">
        <v>0</v>
      </c>
      <c r="E19" s="452">
        <f>(E9*$D$45)</f>
        <v>2010129.4375515601</v>
      </c>
      <c r="F19" s="455">
        <f>(F9*$D$45)</f>
        <v>975.79177435999986</v>
      </c>
      <c r="G19" s="455">
        <f>(G9*$E$45)</f>
        <v>279314.88113200007</v>
      </c>
      <c r="H19" s="455">
        <f>(H9*$E$45)</f>
        <v>2738.6114000000007</v>
      </c>
      <c r="I19" s="464">
        <v>0</v>
      </c>
      <c r="J19" s="452">
        <v>0</v>
      </c>
      <c r="K19" s="455">
        <f>(2452900-2293159)</f>
        <v>159741</v>
      </c>
      <c r="L19" s="455">
        <f>SUM(E19:K19)</f>
        <v>2452899.7218579198</v>
      </c>
      <c r="M19" s="455">
        <v>0</v>
      </c>
      <c r="N19" s="455">
        <v>0</v>
      </c>
      <c r="O19" s="455">
        <f>SUM(L19:N19)</f>
        <v>2452899.7218579198</v>
      </c>
    </row>
    <row r="20" spans="1:17" s="77" customFormat="1"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</row>
    <row r="21" spans="1:17" s="77" customFormat="1">
      <c r="A21" s="98" t="s">
        <v>663</v>
      </c>
      <c r="D21" s="459">
        <v>0</v>
      </c>
      <c r="E21" s="460">
        <f>(E19/E9)</f>
        <v>2.5999999999999999E-2</v>
      </c>
      <c r="F21" s="460">
        <f>(F19/F9)</f>
        <v>2.5999999999999999E-2</v>
      </c>
      <c r="G21" s="462">
        <f>(G19/G9)</f>
        <v>3.5000000000000003E-2</v>
      </c>
      <c r="H21" s="460">
        <f t="shared" ref="H21:O21" si="5">(H19/H9)</f>
        <v>3.5000000000000003E-2</v>
      </c>
      <c r="I21" s="460">
        <f>(I19/I9)</f>
        <v>0</v>
      </c>
      <c r="J21" s="460">
        <f t="shared" si="5"/>
        <v>0</v>
      </c>
      <c r="K21" s="462">
        <f t="shared" si="5"/>
        <v>7.8087752319714543E-2</v>
      </c>
      <c r="L21" s="460">
        <f t="shared" si="5"/>
        <v>2.552759825305994E-2</v>
      </c>
      <c r="M21" s="460">
        <f t="shared" si="5"/>
        <v>0</v>
      </c>
      <c r="N21" s="460">
        <f t="shared" si="5"/>
        <v>0</v>
      </c>
      <c r="O21" s="460">
        <f t="shared" si="5"/>
        <v>2.169818146629451E-2</v>
      </c>
    </row>
    <row r="22" spans="1:17" s="77" customFormat="1">
      <c r="D22" s="175"/>
      <c r="E22" s="175" t="s">
        <v>1</v>
      </c>
      <c r="F22" s="175"/>
      <c r="G22" s="175"/>
      <c r="H22" s="175"/>
      <c r="I22" s="175"/>
      <c r="J22" s="175"/>
      <c r="K22" s="175"/>
      <c r="L22" s="175"/>
      <c r="M22" s="175"/>
      <c r="N22" s="175"/>
      <c r="O22" s="175"/>
    </row>
    <row r="23" spans="1:17" s="77" customFormat="1"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</row>
    <row r="24" spans="1:17" s="77" customFormat="1">
      <c r="A24" s="77" t="s">
        <v>648</v>
      </c>
      <c r="D24" s="168"/>
      <c r="E24" s="777">
        <f>(E9+E19)</f>
        <v>79322800.112611562</v>
      </c>
      <c r="F24" s="777">
        <f t="shared" ref="F24:K24" si="6">(F9+F19)</f>
        <v>38506.244634359995</v>
      </c>
      <c r="G24" s="777">
        <f>(G9+G19)</f>
        <v>8259740.0563320005</v>
      </c>
      <c r="H24" s="777">
        <f t="shared" si="6"/>
        <v>80984.651400000002</v>
      </c>
      <c r="I24" s="777">
        <f t="shared" si="6"/>
        <v>3052922.6646399996</v>
      </c>
      <c r="J24" s="777">
        <f t="shared" si="6"/>
        <v>5573017.7770949993</v>
      </c>
      <c r="K24" s="777">
        <f t="shared" si="6"/>
        <v>2205401.11</v>
      </c>
      <c r="L24" s="455">
        <f>SUM(E24:K24)</f>
        <v>98533372.616712928</v>
      </c>
      <c r="M24" s="777">
        <f>(M9+M19)</f>
        <v>11705947.46473</v>
      </c>
      <c r="N24" s="777">
        <f>(N9+N19)</f>
        <v>5252228.4984440003</v>
      </c>
      <c r="O24" s="455">
        <f>SUM(L24:N24)</f>
        <v>115491548.57988693</v>
      </c>
    </row>
    <row r="25" spans="1:17" s="77" customFormat="1">
      <c r="D25" s="168"/>
      <c r="E25" s="777"/>
      <c r="F25" s="777"/>
      <c r="G25" s="777"/>
      <c r="H25" s="777"/>
      <c r="I25" s="777"/>
      <c r="J25" s="777"/>
      <c r="K25" s="777"/>
      <c r="L25" s="455"/>
      <c r="M25" s="777"/>
      <c r="N25" s="777"/>
      <c r="O25" s="455"/>
    </row>
    <row r="26" spans="1:17" s="190" customFormat="1">
      <c r="A26" s="77" t="s">
        <v>649</v>
      </c>
      <c r="D26" s="776"/>
      <c r="E26" s="776">
        <v>0</v>
      </c>
      <c r="F26" s="776">
        <v>0</v>
      </c>
      <c r="G26" s="776">
        <v>0</v>
      </c>
      <c r="H26" s="776">
        <v>0</v>
      </c>
      <c r="I26" s="776">
        <v>0</v>
      </c>
      <c r="J26" s="776">
        <v>0</v>
      </c>
      <c r="K26" s="776">
        <v>0</v>
      </c>
      <c r="L26" s="776">
        <v>0</v>
      </c>
      <c r="M26" s="776">
        <v>0</v>
      </c>
      <c r="N26" s="776">
        <v>0</v>
      </c>
      <c r="O26" s="776"/>
      <c r="Q26" s="122">
        <f>'1TestYr_adj'!S97+'1TestYr_adj'!S108</f>
        <v>3733530.1399999997</v>
      </c>
    </row>
    <row r="27" spans="1:17" s="77" customFormat="1">
      <c r="A27" s="77" t="s">
        <v>650</v>
      </c>
      <c r="D27" s="168" t="s">
        <v>1</v>
      </c>
      <c r="E27" s="776">
        <f>('12 Inc Stmt Func'!G43)</f>
        <v>633843</v>
      </c>
      <c r="F27" s="776">
        <f>('12 Inc Stmt Func'!H43)</f>
        <v>447</v>
      </c>
      <c r="G27" s="776">
        <f>('12 Inc Stmt Func'!I43)</f>
        <v>30758</v>
      </c>
      <c r="H27" s="776">
        <f>('12 Inc Stmt Func'!J43)</f>
        <v>323</v>
      </c>
      <c r="I27" s="776">
        <f>('12 Inc Stmt Func'!K43)</f>
        <v>673</v>
      </c>
      <c r="J27" s="776">
        <f>('12 Inc Stmt Func'!L43)</f>
        <v>276</v>
      </c>
      <c r="K27" s="776">
        <f>('12 Inc Stmt Func'!M43)</f>
        <v>180862</v>
      </c>
      <c r="L27" s="776" t="s">
        <v>1</v>
      </c>
      <c r="M27" s="776">
        <f>('12 Inc Stmt Func'!O43)</f>
        <v>60</v>
      </c>
      <c r="N27" s="776">
        <f>('12 Inc Stmt Func'!P43)</f>
        <v>12</v>
      </c>
      <c r="O27" s="776" t="str">
        <f>('12 Inc Stmt Func'!Q43)</f>
        <v xml:space="preserve"> </v>
      </c>
    </row>
    <row r="28" spans="1:17" s="77" customFormat="1">
      <c r="A28" s="77" t="s">
        <v>363</v>
      </c>
      <c r="D28" s="168"/>
      <c r="E28" s="776">
        <f>('12 Inc Stmt Func'!G45)</f>
        <v>793939806</v>
      </c>
      <c r="F28" s="776">
        <f>('12 Inc Stmt Func'!H45)</f>
        <v>437447</v>
      </c>
      <c r="G28" s="776">
        <f>('12 Inc Stmt Func'!I45)</f>
        <v>70405905</v>
      </c>
      <c r="H28" s="776">
        <f>('12 Inc Stmt Func'!J45)</f>
        <v>659159</v>
      </c>
      <c r="I28" s="776">
        <f>('12 Inc Stmt Func'!K45)</f>
        <v>37501047</v>
      </c>
      <c r="J28" s="776">
        <f>('12 Inc Stmt Func'!L45)</f>
        <v>80941225</v>
      </c>
      <c r="K28" s="776">
        <f>('12 Inc Stmt Func'!M45)</f>
        <v>9008707</v>
      </c>
      <c r="L28" s="776" t="s">
        <v>1</v>
      </c>
      <c r="M28" s="776">
        <f>('12 Inc Stmt Func'!O45)</f>
        <v>198094047</v>
      </c>
      <c r="N28" s="776">
        <f>('12 Inc Stmt Func'!P45)</f>
        <v>104067043.2</v>
      </c>
      <c r="O28" s="776" t="str">
        <f>('12 Inc Stmt Func'!Q45)</f>
        <v xml:space="preserve"> </v>
      </c>
    </row>
    <row r="29" spans="1:17" s="77" customFormat="1">
      <c r="A29" s="77" t="s">
        <v>328</v>
      </c>
      <c r="D29" s="168"/>
      <c r="E29" s="168"/>
      <c r="F29" s="168"/>
      <c r="G29" s="168"/>
      <c r="H29" s="168"/>
      <c r="I29" s="776">
        <f>('12 Inc Stmt Func'!K47)</f>
        <v>110568</v>
      </c>
      <c r="J29" s="776">
        <f>('12 Inc Stmt Func'!L47)</f>
        <v>208910.72200000001</v>
      </c>
      <c r="K29" s="168"/>
      <c r="L29" s="168"/>
      <c r="M29" s="776">
        <f>('12 Inc Stmt Func'!O47)</f>
        <v>379595.28899999999</v>
      </c>
      <c r="N29" s="776">
        <f>('12 Inc Stmt Func'!P47)</f>
        <v>181668</v>
      </c>
      <c r="O29" s="168"/>
      <c r="Q29" s="177">
        <f>(O19-O15)</f>
        <v>-0.3281381749548018</v>
      </c>
    </row>
    <row r="30" spans="1:17" s="77" customFormat="1">
      <c r="B30" s="77" t="s">
        <v>322</v>
      </c>
      <c r="D30" s="168"/>
      <c r="E30" s="778">
        <v>15</v>
      </c>
      <c r="F30" s="168"/>
      <c r="G30" s="778">
        <v>32.5</v>
      </c>
      <c r="H30" s="168"/>
      <c r="I30" s="776"/>
      <c r="J30" s="776"/>
      <c r="K30" s="168"/>
      <c r="L30" s="168"/>
      <c r="M30" s="776"/>
      <c r="N30" s="776"/>
      <c r="O30" s="168"/>
    </row>
    <row r="31" spans="1:17" s="190" customFormat="1">
      <c r="B31" s="190" t="s">
        <v>653</v>
      </c>
      <c r="D31" s="776"/>
      <c r="E31" s="776">
        <f>(E30*E27)</f>
        <v>9507645</v>
      </c>
      <c r="F31" s="776"/>
      <c r="G31" s="776">
        <f>(G30*G27)</f>
        <v>999635</v>
      </c>
      <c r="H31" s="776"/>
      <c r="I31" s="776"/>
      <c r="J31" s="776"/>
      <c r="K31" s="776"/>
      <c r="L31" s="776"/>
      <c r="M31" s="776"/>
      <c r="N31" s="776"/>
      <c r="O31" s="776"/>
    </row>
    <row r="32" spans="1:17" s="77" customFormat="1">
      <c r="B32" s="77" t="s">
        <v>654</v>
      </c>
      <c r="D32" s="168"/>
      <c r="E32" s="777">
        <f>(E24-E31)</f>
        <v>69815155.112611562</v>
      </c>
      <c r="F32" s="168"/>
      <c r="G32" s="777">
        <f>(G24-G31)</f>
        <v>7260105.0563320005</v>
      </c>
      <c r="H32" s="168"/>
      <c r="I32" s="776"/>
      <c r="J32" s="776"/>
      <c r="K32" s="168"/>
      <c r="L32" s="168"/>
      <c r="M32" s="776"/>
      <c r="N32" s="776"/>
      <c r="O32" s="168"/>
    </row>
    <row r="33" spans="1:15" s="77" customFormat="1">
      <c r="B33" s="77" t="s">
        <v>655</v>
      </c>
      <c r="D33" s="168"/>
      <c r="E33" s="779">
        <f>(E32/E28)</f>
        <v>8.7935073395994406E-2</v>
      </c>
      <c r="F33" s="168"/>
      <c r="G33" s="776">
        <f>('[13]rate schedules'!$E$76)</f>
        <v>1222829.28</v>
      </c>
      <c r="H33" s="168"/>
      <c r="I33" s="776"/>
      <c r="J33" s="776"/>
      <c r="K33" s="168"/>
      <c r="L33" s="168"/>
      <c r="M33" s="776"/>
      <c r="N33" s="776"/>
      <c r="O33" s="168"/>
    </row>
    <row r="34" spans="1:15" s="77" customFormat="1">
      <c r="D34" s="168"/>
      <c r="E34" s="168"/>
      <c r="F34" s="168"/>
      <c r="G34" s="777">
        <f>(G32-G33)</f>
        <v>6037275.7763320003</v>
      </c>
      <c r="H34" s="168"/>
      <c r="I34" s="776"/>
      <c r="J34" s="776"/>
      <c r="K34" s="168"/>
      <c r="L34" s="168"/>
      <c r="M34" s="776"/>
      <c r="N34" s="776"/>
      <c r="O34" s="168"/>
    </row>
    <row r="35" spans="1:15" s="77" customFormat="1">
      <c r="B35" s="77" t="s">
        <v>322</v>
      </c>
      <c r="D35" s="168"/>
      <c r="E35" s="778">
        <v>20</v>
      </c>
      <c r="F35" s="168"/>
      <c r="G35" s="779">
        <f>(G34/G28)</f>
        <v>8.5749565698104449E-2</v>
      </c>
      <c r="H35" s="168"/>
      <c r="I35" s="776"/>
      <c r="J35" s="776"/>
      <c r="K35" s="168"/>
      <c r="L35" s="168"/>
      <c r="M35" s="776"/>
      <c r="N35" s="776"/>
      <c r="O35" s="168"/>
    </row>
    <row r="36" spans="1:15" s="77" customFormat="1">
      <c r="B36" s="190" t="s">
        <v>653</v>
      </c>
      <c r="D36" s="168"/>
      <c r="E36" s="776">
        <f>(E35*E27)</f>
        <v>12676860</v>
      </c>
      <c r="F36" s="168"/>
      <c r="G36" s="168"/>
      <c r="H36" s="168"/>
      <c r="I36" s="776"/>
      <c r="J36" s="776"/>
      <c r="K36" s="168"/>
      <c r="L36" s="168"/>
      <c r="M36" s="776"/>
      <c r="N36" s="776"/>
      <c r="O36" s="168"/>
    </row>
    <row r="37" spans="1:15" s="77" customFormat="1">
      <c r="B37" s="77" t="s">
        <v>654</v>
      </c>
      <c r="D37" s="168"/>
      <c r="E37" s="777">
        <f>(E24-E36)</f>
        <v>66645940.112611562</v>
      </c>
      <c r="F37" s="168"/>
      <c r="G37" s="168"/>
      <c r="H37" s="168"/>
      <c r="I37" s="776"/>
      <c r="J37" s="776"/>
      <c r="K37" s="168"/>
      <c r="L37" s="168"/>
      <c r="M37" s="776"/>
      <c r="N37" s="776"/>
      <c r="O37" s="168"/>
    </row>
    <row r="38" spans="1:15" s="77" customFormat="1">
      <c r="B38" s="77" t="s">
        <v>655</v>
      </c>
      <c r="D38" s="175"/>
      <c r="E38" s="780">
        <f>(E37/E28)</f>
        <v>8.3943316116601871E-2</v>
      </c>
      <c r="F38" s="175"/>
      <c r="G38" s="175"/>
      <c r="H38" s="175"/>
      <c r="I38" s="175"/>
      <c r="J38" s="175"/>
      <c r="K38" s="175"/>
      <c r="L38" s="175"/>
      <c r="M38" s="175"/>
      <c r="N38" s="175"/>
      <c r="O38" s="175"/>
    </row>
    <row r="39" spans="1:15" s="77" customFormat="1"/>
    <row r="40" spans="1:15">
      <c r="A40" s="102"/>
      <c r="B40" s="102"/>
      <c r="C40" s="102"/>
      <c r="D40" s="122"/>
      <c r="E40" s="102"/>
      <c r="F40" s="102"/>
      <c r="G40" s="102"/>
      <c r="H40" s="102"/>
      <c r="I40" s="102"/>
    </row>
    <row r="41" spans="1:15">
      <c r="A41" s="102"/>
      <c r="B41" s="102"/>
      <c r="C41" s="102"/>
      <c r="D41" s="465">
        <f>(O15-J19-K19)/(D42)</f>
        <v>2.6849190102681608E-2</v>
      </c>
      <c r="E41" s="102"/>
      <c r="F41" s="102"/>
      <c r="G41" s="102"/>
      <c r="H41" s="102"/>
      <c r="I41" s="102"/>
    </row>
    <row r="42" spans="1:15">
      <c r="A42" s="102"/>
      <c r="B42" s="102"/>
      <c r="C42" s="102"/>
      <c r="D42" s="122">
        <f>SUM(E9,F9,G9,H9)</f>
        <v>85408872.343120009</v>
      </c>
      <c r="E42" s="102"/>
      <c r="F42" s="102"/>
      <c r="G42" s="102"/>
      <c r="H42" s="102"/>
      <c r="I42" s="102"/>
    </row>
    <row r="43" spans="1:15">
      <c r="A43" s="102"/>
      <c r="B43" s="102"/>
      <c r="C43" s="102"/>
      <c r="D43" s="122"/>
      <c r="E43" s="102"/>
      <c r="F43" s="102"/>
      <c r="G43" s="102"/>
      <c r="H43" s="102"/>
      <c r="I43" s="102"/>
    </row>
    <row r="44" spans="1:15">
      <c r="D44" s="123"/>
    </row>
    <row r="45" spans="1:15">
      <c r="D45" s="463">
        <v>2.5999999999999999E-2</v>
      </c>
      <c r="E45" s="496">
        <v>3.5000000000000003E-2</v>
      </c>
    </row>
    <row r="46" spans="1:15">
      <c r="D46" s="123"/>
    </row>
    <row r="47" spans="1:15">
      <c r="D47" s="123"/>
      <c r="J47" s="100"/>
      <c r="K47" s="100"/>
      <c r="L47" s="100"/>
    </row>
    <row r="48" spans="1:15">
      <c r="D48" s="123"/>
      <c r="J48" s="100"/>
      <c r="K48" s="100"/>
      <c r="L48" s="100"/>
    </row>
    <row r="49" spans="4:12">
      <c r="D49" s="123"/>
      <c r="J49" s="100"/>
      <c r="K49" s="100"/>
      <c r="L49" s="100"/>
    </row>
    <row r="50" spans="4:12">
      <c r="D50" s="123"/>
      <c r="J50" s="100"/>
      <c r="K50" s="100"/>
      <c r="L50" s="100"/>
    </row>
    <row r="51" spans="4:12">
      <c r="D51" s="123"/>
      <c r="J51" s="100"/>
      <c r="K51" s="100"/>
      <c r="L51" s="100"/>
    </row>
    <row r="52" spans="4:12">
      <c r="D52" s="123"/>
      <c r="J52" s="100"/>
      <c r="K52" s="100"/>
      <c r="L52" s="100"/>
    </row>
    <row r="53" spans="4:12">
      <c r="J53" s="100"/>
      <c r="K53" s="100"/>
      <c r="L53" s="100"/>
    </row>
    <row r="54" spans="4:12">
      <c r="J54" s="100"/>
      <c r="K54" s="100"/>
      <c r="L54" s="100"/>
    </row>
    <row r="55" spans="4:12">
      <c r="J55" s="100"/>
      <c r="K55" s="100"/>
      <c r="L55" s="100"/>
    </row>
    <row r="56" spans="4:12">
      <c r="J56" s="100"/>
      <c r="K56" s="100"/>
      <c r="L56" s="100"/>
    </row>
    <row r="57" spans="4:12">
      <c r="J57" s="100"/>
      <c r="K57" s="100"/>
      <c r="L57" s="100"/>
    </row>
    <row r="58" spans="4:12">
      <c r="J58" s="100"/>
      <c r="K58" s="100"/>
      <c r="L58" s="100"/>
    </row>
    <row r="59" spans="4:12">
      <c r="J59" s="100"/>
      <c r="K59" s="100"/>
      <c r="L59" s="100"/>
    </row>
    <row r="60" spans="4:12">
      <c r="J60" s="100"/>
      <c r="K60" s="100"/>
      <c r="L60" s="100"/>
    </row>
    <row r="61" spans="4:12">
      <c r="J61" s="100"/>
      <c r="K61" s="100"/>
      <c r="L61" s="100"/>
    </row>
    <row r="62" spans="4:12">
      <c r="J62" s="100"/>
      <c r="K62" s="100"/>
      <c r="L62" s="100"/>
    </row>
    <row r="63" spans="4:12">
      <c r="J63" s="100"/>
      <c r="K63" s="100"/>
      <c r="L63" s="100"/>
    </row>
    <row r="64" spans="4:12">
      <c r="J64" s="100"/>
      <c r="K64" s="100"/>
      <c r="L64" s="100"/>
    </row>
    <row r="65" spans="10:12">
      <c r="J65" s="100"/>
      <c r="K65" s="100"/>
      <c r="L65" s="100"/>
    </row>
    <row r="66" spans="10:12">
      <c r="J66" s="100"/>
      <c r="K66" s="100"/>
      <c r="L66" s="100"/>
    </row>
    <row r="67" spans="10:12">
      <c r="J67" s="100"/>
      <c r="K67" s="100"/>
      <c r="L67" s="100"/>
    </row>
    <row r="68" spans="10:12">
      <c r="J68" s="100"/>
      <c r="K68" s="100"/>
      <c r="L68" s="100"/>
    </row>
    <row r="69" spans="10:12">
      <c r="J69" s="100"/>
      <c r="K69" s="100"/>
      <c r="L69" s="100"/>
    </row>
    <row r="70" spans="10:12">
      <c r="J70" s="100"/>
      <c r="K70" s="100"/>
      <c r="L70" s="100"/>
    </row>
    <row r="71" spans="10:12">
      <c r="J71" s="100"/>
      <c r="K71" s="100"/>
      <c r="L71" s="100"/>
    </row>
    <row r="72" spans="10:12">
      <c r="J72" s="100"/>
      <c r="K72" s="100"/>
      <c r="L72" s="100"/>
    </row>
    <row r="73" spans="10:12">
      <c r="J73" s="100"/>
      <c r="K73" s="100"/>
      <c r="L73" s="100"/>
    </row>
    <row r="74" spans="10:12">
      <c r="J74" s="100"/>
      <c r="K74" s="100"/>
      <c r="L74" s="100"/>
    </row>
    <row r="75" spans="10:12">
      <c r="J75" s="100"/>
      <c r="K75" s="100"/>
      <c r="L75" s="100"/>
    </row>
    <row r="76" spans="10:12">
      <c r="J76" s="100"/>
      <c r="K76" s="100"/>
      <c r="L76" s="100"/>
    </row>
    <row r="77" spans="10:12">
      <c r="J77" s="100"/>
      <c r="K77" s="100"/>
      <c r="L77" s="100"/>
    </row>
    <row r="78" spans="10:12">
      <c r="J78" s="100"/>
      <c r="K78" s="100"/>
      <c r="L78" s="100"/>
    </row>
    <row r="79" spans="10:12">
      <c r="J79" s="100"/>
      <c r="K79" s="100"/>
      <c r="L79" s="100"/>
    </row>
    <row r="80" spans="10:12">
      <c r="J80" s="100"/>
      <c r="K80" s="100"/>
      <c r="L80" s="100"/>
    </row>
    <row r="81" spans="10:12">
      <c r="J81" s="100"/>
      <c r="K81" s="100"/>
      <c r="L81" s="100"/>
    </row>
    <row r="82" spans="10:12">
      <c r="J82" s="100"/>
      <c r="K82" s="100"/>
      <c r="L82" s="100"/>
    </row>
    <row r="83" spans="10:12">
      <c r="J83" s="100"/>
      <c r="K83" s="100"/>
      <c r="L83" s="100"/>
    </row>
    <row r="84" spans="10:12">
      <c r="J84" s="100"/>
      <c r="K84" s="100"/>
      <c r="L84" s="100"/>
    </row>
    <row r="85" spans="10:12">
      <c r="J85" s="100"/>
      <c r="K85" s="100"/>
      <c r="L85" s="100"/>
    </row>
    <row r="86" spans="10:12">
      <c r="J86" s="100"/>
      <c r="K86" s="100"/>
      <c r="L86" s="100"/>
    </row>
  </sheetData>
  <customSheetViews>
    <customSheetView guid="{18050E3F-BBF0-4BF6-9B33-B0817BE1B1C5}" showRuler="0" topLeftCell="A3">
      <pane ySplit="5" topLeftCell="A8" activePane="bottomLeft" state="frozen"/>
      <selection pane="bottomLeft" activeCell="E12" sqref="E12"/>
      <pageMargins left="0.75" right="0.75" top="1" bottom="1" header="0.5" footer="0.5"/>
      <printOptions horizontalCentered="1" verticalCentered="1" gridLines="1"/>
      <pageSetup orientation="landscape" horizontalDpi="4294967293" r:id="rId1"/>
      <headerFooter alignWithMargins="0">
        <oddHeader>&amp;C&amp;"Arial,Bold"&amp;12MEADE COUNTY RECC
CASE NO. 2010-00222
DETERMINATION OF INCREASE BY RATE CLASS&amp;R&amp;11Exhibit R
Schedule 6
Page ____ of ____
Witness:  Jim Adkins</oddHeader>
      </headerFooter>
    </customSheetView>
  </customSheetViews>
  <phoneticPr fontId="3" type="noConversion"/>
  <printOptions horizontalCentered="1" verticalCentered="1" gridLines="1"/>
  <pageMargins left="0.75" right="0.75" top="1" bottom="1" header="0.5" footer="0.5"/>
  <pageSetup scale="88" orientation="landscape" horizontalDpi="4294967293" r:id="rId2"/>
  <headerFooter alignWithMargins="0">
    <oddHeader>&amp;C&amp;"Arial,Bold"&amp;12BLUE GRASS ENERGY COOPERATIVE 
CASE NO. 2014-00339
DETERMINATION OF INCREASE BY RATE CLASS&amp;R&amp;11Revised Exhibit R
Schedule 6
Page ____ of ____
Witness:  Jim Adkins</oddHeader>
  </headerFooter>
  <colBreaks count="1" manualBreakCount="1">
    <brk id="9" max="3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Views>
    <sheetView view="pageBreakPreview" topLeftCell="A4" zoomScale="60" zoomScaleNormal="100" workbookViewId="0">
      <selection activeCell="Q21" sqref="Q21"/>
    </sheetView>
  </sheetViews>
  <sheetFormatPr defaultRowHeight="14.25"/>
  <cols>
    <col min="1" max="1" width="7.7109375" style="330" customWidth="1"/>
    <col min="2" max="2" width="20.85546875" style="252" customWidth="1"/>
    <col min="3" max="3" width="14.85546875" style="252" customWidth="1"/>
    <col min="4" max="4" width="13.28515625" style="252" customWidth="1"/>
    <col min="5" max="5" width="13.42578125" style="252" customWidth="1"/>
    <col min="6" max="6" width="13.5703125" style="252" customWidth="1"/>
    <col min="7" max="7" width="13.85546875" style="252" customWidth="1"/>
    <col min="8" max="8" width="15.140625" style="252" bestFit="1" customWidth="1"/>
    <col min="9" max="9" width="16.85546875" style="252" customWidth="1"/>
    <col min="10" max="10" width="13.140625" style="252" customWidth="1"/>
    <col min="11" max="11" width="14.140625" style="252" customWidth="1"/>
    <col min="12" max="12" width="14.140625" style="207" customWidth="1"/>
    <col min="13" max="13" width="14.7109375" style="252" bestFit="1" customWidth="1"/>
    <col min="14" max="14" width="13.42578125" style="252" bestFit="1" customWidth="1"/>
    <col min="15" max="15" width="13.42578125" style="252" customWidth="1"/>
    <col min="16" max="16" width="14.28515625" style="252" bestFit="1" customWidth="1"/>
    <col min="17" max="17" width="13" style="252" customWidth="1"/>
    <col min="18" max="18" width="13.140625" style="252" customWidth="1"/>
    <col min="19" max="19" width="13" style="252" bestFit="1" customWidth="1"/>
    <col min="20" max="20" width="9.28515625" style="252" bestFit="1" customWidth="1"/>
    <col min="21" max="21" width="9.42578125" style="252" customWidth="1"/>
    <col min="22" max="22" width="13.140625" style="252" bestFit="1" customWidth="1"/>
    <col min="23" max="16384" width="9.140625" style="252"/>
  </cols>
  <sheetData>
    <row r="1" spans="1:19" ht="15.75" thickBot="1">
      <c r="A1" s="248" t="s">
        <v>118</v>
      </c>
      <c r="B1" s="249"/>
      <c r="C1" s="250"/>
      <c r="D1" s="250"/>
      <c r="E1" s="250"/>
      <c r="F1" s="250"/>
      <c r="G1" s="250"/>
      <c r="H1" s="250"/>
      <c r="I1" s="250"/>
      <c r="J1" s="250"/>
      <c r="K1" s="250"/>
      <c r="M1" s="250"/>
      <c r="N1" s="250"/>
      <c r="O1" s="250"/>
      <c r="P1" s="250"/>
      <c r="Q1" s="250"/>
      <c r="R1" s="250"/>
      <c r="S1" s="250"/>
    </row>
    <row r="2" spans="1:19">
      <c r="A2" s="253"/>
      <c r="B2" s="254"/>
      <c r="C2" s="255"/>
      <c r="D2" s="255"/>
      <c r="E2" s="255"/>
      <c r="F2" s="790" t="s">
        <v>1</v>
      </c>
      <c r="G2" s="790" t="s">
        <v>119</v>
      </c>
      <c r="H2" s="790" t="s">
        <v>216</v>
      </c>
      <c r="I2" s="366" t="s">
        <v>82</v>
      </c>
      <c r="J2" s="256"/>
      <c r="K2" s="256"/>
      <c r="M2" s="250"/>
      <c r="N2" s="250"/>
      <c r="O2" s="250"/>
      <c r="P2" s="250"/>
      <c r="Q2" s="250"/>
      <c r="R2" s="250"/>
      <c r="S2" s="250"/>
    </row>
    <row r="3" spans="1:19" ht="16.5">
      <c r="A3" s="257"/>
      <c r="B3" s="258"/>
      <c r="C3" s="250"/>
      <c r="D3" s="250"/>
      <c r="E3" s="250"/>
      <c r="F3" s="152"/>
      <c r="G3" s="287" t="s">
        <v>122</v>
      </c>
      <c r="H3" s="260" t="s">
        <v>123</v>
      </c>
      <c r="I3" s="259" t="s">
        <v>112</v>
      </c>
      <c r="J3" s="260"/>
      <c r="K3" s="260"/>
      <c r="M3" s="250"/>
      <c r="N3" s="250"/>
      <c r="O3" s="250"/>
      <c r="P3" s="250"/>
      <c r="Q3" s="250"/>
      <c r="R3" s="250"/>
      <c r="S3" s="250"/>
    </row>
    <row r="4" spans="1:19">
      <c r="A4" s="257" t="str">
        <f>'4.1 kW &amp; kWh'!C6</f>
        <v>GS 1</v>
      </c>
      <c r="B4" s="261" t="s">
        <v>412</v>
      </c>
      <c r="C4" s="250"/>
      <c r="D4" s="250"/>
      <c r="E4" s="250"/>
      <c r="F4" s="152"/>
      <c r="G4" s="233">
        <f>([10]monthly!$C$258+[10]monthly!$C$261+[10]monthly!$C$262)</f>
        <v>52931</v>
      </c>
      <c r="H4" s="250"/>
      <c r="I4" s="262">
        <f t="shared" ref="I4:I12" si="0">G4/$G$13</f>
        <v>0.94815942678011644</v>
      </c>
      <c r="J4" s="263"/>
      <c r="K4" s="264"/>
      <c r="M4" s="250"/>
      <c r="N4" s="250"/>
      <c r="O4" s="250"/>
      <c r="P4" s="250"/>
      <c r="Q4" s="250"/>
      <c r="R4" s="250"/>
      <c r="S4" s="250"/>
    </row>
    <row r="5" spans="1:19">
      <c r="A5" s="257" t="str">
        <f>'4.1 kW &amp; kWh'!D6</f>
        <v>GS 1</v>
      </c>
      <c r="B5" s="261" t="s">
        <v>496</v>
      </c>
      <c r="C5" s="250"/>
      <c r="D5" s="250"/>
      <c r="E5" s="250"/>
      <c r="F5" s="152"/>
      <c r="G5" s="233">
        <v>38</v>
      </c>
      <c r="H5" s="250"/>
      <c r="I5" s="262">
        <f t="shared" si="0"/>
        <v>6.806986117330945E-4</v>
      </c>
      <c r="J5" s="263"/>
      <c r="K5" s="264"/>
      <c r="M5" s="250"/>
      <c r="N5" s="250"/>
      <c r="O5" s="250"/>
      <c r="P5" s="250"/>
      <c r="Q5" s="250"/>
      <c r="R5" s="250"/>
      <c r="S5" s="250"/>
    </row>
    <row r="6" spans="1:19">
      <c r="A6" s="257" t="s">
        <v>639</v>
      </c>
      <c r="B6" s="261" t="s">
        <v>534</v>
      </c>
      <c r="C6" s="250"/>
      <c r="D6" s="250"/>
      <c r="E6" s="250"/>
      <c r="F6" s="152"/>
      <c r="G6" s="233">
        <f>SUM([10]monthly!$C$263+[10]monthly!$C$264)</f>
        <v>2554</v>
      </c>
      <c r="H6" s="250"/>
      <c r="I6" s="262">
        <f t="shared" si="0"/>
        <v>4.575011195700851E-2</v>
      </c>
      <c r="J6" s="264"/>
      <c r="K6" s="264"/>
      <c r="M6" s="250"/>
      <c r="N6" s="250"/>
      <c r="O6" s="250"/>
      <c r="P6" s="250"/>
      <c r="Q6" s="250"/>
      <c r="R6" s="250"/>
      <c r="S6" s="250"/>
    </row>
    <row r="7" spans="1:19">
      <c r="A7" s="441" t="s">
        <v>539</v>
      </c>
      <c r="B7" s="250" t="s">
        <v>647</v>
      </c>
      <c r="C7" s="250"/>
      <c r="D7" s="250"/>
      <c r="E7" s="250"/>
      <c r="F7" s="250"/>
      <c r="G7" s="64">
        <v>43</v>
      </c>
      <c r="H7" s="250"/>
      <c r="I7" s="262">
        <f t="shared" si="0"/>
        <v>7.7026421854008056E-4</v>
      </c>
      <c r="J7" s="264"/>
      <c r="K7" s="264"/>
      <c r="M7" s="250"/>
      <c r="N7" s="250"/>
      <c r="O7" s="250"/>
      <c r="P7" s="250"/>
      <c r="Q7" s="250"/>
      <c r="R7" s="250"/>
      <c r="S7" s="250"/>
    </row>
    <row r="8" spans="1:19">
      <c r="A8" s="257" t="s">
        <v>540</v>
      </c>
      <c r="B8" s="265" t="s">
        <v>497</v>
      </c>
      <c r="C8" s="250"/>
      <c r="D8" s="250"/>
      <c r="E8" s="250"/>
      <c r="F8" s="250"/>
      <c r="G8" s="268">
        <f>SUM([10]monthly!$C$266,[10]monthly!$C$268)</f>
        <v>57</v>
      </c>
      <c r="H8" s="269" t="s">
        <v>1</v>
      </c>
      <c r="I8" s="262">
        <f t="shared" si="0"/>
        <v>1.0210479175996416E-3</v>
      </c>
      <c r="J8" s="264"/>
      <c r="K8" s="264"/>
      <c r="M8" s="250"/>
      <c r="N8" s="250"/>
      <c r="O8" s="250"/>
      <c r="P8" s="250"/>
      <c r="Q8" s="250"/>
      <c r="R8" s="250"/>
      <c r="S8" s="250"/>
    </row>
    <row r="9" spans="1:19">
      <c r="A9" s="257" t="s">
        <v>640</v>
      </c>
      <c r="B9" s="265" t="s">
        <v>498</v>
      </c>
      <c r="C9" s="250"/>
      <c r="D9" s="250"/>
      <c r="E9" s="250"/>
      <c r="F9" s="250"/>
      <c r="G9" s="268">
        <f>SUM([10]monthly!$C$267,[10]monthly!$C$269,[10]monthly!$C$270)</f>
        <v>24</v>
      </c>
      <c r="H9" s="269" t="s">
        <v>1</v>
      </c>
      <c r="I9" s="262">
        <f t="shared" si="0"/>
        <v>4.2991491267353336E-4</v>
      </c>
      <c r="J9" s="264"/>
      <c r="K9" s="264"/>
      <c r="M9" s="250"/>
      <c r="N9" s="250"/>
      <c r="O9" s="250"/>
      <c r="P9" s="250"/>
      <c r="Q9" s="250"/>
      <c r="R9" s="250"/>
      <c r="S9" s="250"/>
    </row>
    <row r="10" spans="1:19">
      <c r="A10" s="257" t="s">
        <v>533</v>
      </c>
      <c r="B10" s="258" t="s">
        <v>533</v>
      </c>
      <c r="C10" s="250"/>
      <c r="D10" s="250"/>
      <c r="E10" s="250"/>
      <c r="F10" s="250"/>
      <c r="G10" s="268">
        <f>SUM([10]monthly!$C$271,[10]monthly!$C$273,[10]monthly!$C$274,[10]monthly!$C$275,[10]monthly!$C$276)</f>
        <v>5</v>
      </c>
      <c r="H10" s="64"/>
      <c r="I10" s="262">
        <f t="shared" si="0"/>
        <v>8.9565606806986115E-5</v>
      </c>
      <c r="J10" s="264"/>
      <c r="K10" s="264"/>
      <c r="M10" s="250"/>
      <c r="N10" s="250"/>
      <c r="O10" s="250"/>
      <c r="P10" s="250"/>
      <c r="Q10" s="250"/>
      <c r="R10" s="250"/>
      <c r="S10" s="250"/>
    </row>
    <row r="11" spans="1:19">
      <c r="A11" s="257" t="s">
        <v>549</v>
      </c>
      <c r="B11" s="250" t="s">
        <v>472</v>
      </c>
      <c r="C11" s="250"/>
      <c r="D11" s="250"/>
      <c r="E11" s="250"/>
      <c r="F11" s="250"/>
      <c r="G11" s="268">
        <v>1</v>
      </c>
      <c r="H11" s="64"/>
      <c r="I11" s="262">
        <f t="shared" si="0"/>
        <v>1.7913121361397222E-5</v>
      </c>
      <c r="J11" s="264"/>
      <c r="K11" s="264"/>
      <c r="M11" s="250"/>
      <c r="N11" s="250"/>
      <c r="O11" s="250"/>
      <c r="P11" s="250"/>
      <c r="Q11" s="250"/>
      <c r="R11" s="250"/>
      <c r="S11" s="250"/>
    </row>
    <row r="12" spans="1:19">
      <c r="A12" s="257" t="s">
        <v>641</v>
      </c>
      <c r="B12" s="250" t="s">
        <v>229</v>
      </c>
      <c r="C12" s="250"/>
      <c r="D12" s="250"/>
      <c r="E12" s="250"/>
      <c r="F12" s="250"/>
      <c r="G12" s="365">
        <v>172</v>
      </c>
      <c r="H12" s="64"/>
      <c r="I12" s="262">
        <f t="shared" si="0"/>
        <v>3.0810568741603222E-3</v>
      </c>
      <c r="J12" s="264"/>
      <c r="K12" s="264"/>
      <c r="M12" s="250"/>
      <c r="N12" s="250"/>
      <c r="O12" s="250"/>
      <c r="P12" s="250"/>
      <c r="Q12" s="250"/>
      <c r="R12" s="250"/>
      <c r="S12" s="250"/>
    </row>
    <row r="13" spans="1:19" ht="15" thickBot="1">
      <c r="A13" s="270"/>
      <c r="B13" s="271"/>
      <c r="C13" s="251"/>
      <c r="D13" s="251"/>
      <c r="E13" s="251"/>
      <c r="F13" s="272"/>
      <c r="G13" s="362">
        <f>SUM(G4:G12)</f>
        <v>55825</v>
      </c>
      <c r="H13" s="273">
        <f>SUM(H4:H9)</f>
        <v>0</v>
      </c>
      <c r="I13" s="296">
        <f>SUM(I4:I12)</f>
        <v>0.99999999999999989</v>
      </c>
      <c r="J13" s="274"/>
      <c r="K13" s="274"/>
      <c r="M13" s="250"/>
      <c r="N13" s="250"/>
      <c r="O13" s="250"/>
      <c r="P13" s="250"/>
      <c r="Q13" s="250"/>
      <c r="R13" s="250"/>
      <c r="S13" s="250"/>
    </row>
    <row r="14" spans="1:19">
      <c r="A14" s="275"/>
      <c r="B14" s="250"/>
      <c r="C14" s="250"/>
      <c r="D14" s="250"/>
      <c r="E14" s="250"/>
      <c r="F14" s="250"/>
      <c r="G14" s="63"/>
      <c r="H14" s="250"/>
      <c r="I14" s="274"/>
      <c r="J14" s="274"/>
      <c r="K14" s="274"/>
      <c r="M14" s="250"/>
      <c r="N14" s="250"/>
      <c r="O14" s="250"/>
      <c r="P14" s="250"/>
      <c r="Q14" s="250"/>
      <c r="R14" s="250"/>
      <c r="S14" s="250"/>
    </row>
    <row r="15" spans="1:19" ht="15.75" thickBot="1">
      <c r="A15" s="276" t="s">
        <v>120</v>
      </c>
      <c r="B15" s="250"/>
      <c r="C15" s="250"/>
      <c r="D15" s="250"/>
      <c r="E15" s="250"/>
      <c r="F15" s="250"/>
      <c r="G15" s="63"/>
      <c r="H15" s="250"/>
      <c r="I15" s="274"/>
      <c r="J15" s="274"/>
      <c r="K15" s="274"/>
      <c r="M15" s="250"/>
      <c r="N15" s="250"/>
      <c r="O15" s="250"/>
      <c r="P15" s="250"/>
      <c r="Q15" s="250"/>
      <c r="R15" s="250"/>
      <c r="S15" s="250"/>
    </row>
    <row r="16" spans="1:19">
      <c r="A16" s="277"/>
      <c r="B16" s="254"/>
      <c r="C16" s="278"/>
      <c r="D16" s="279">
        <v>1</v>
      </c>
      <c r="E16" s="315">
        <v>2</v>
      </c>
      <c r="F16" s="280">
        <v>3</v>
      </c>
      <c r="G16" s="315">
        <v>4</v>
      </c>
      <c r="H16" s="280">
        <v>5</v>
      </c>
      <c r="I16" s="315">
        <v>6</v>
      </c>
      <c r="J16" s="274"/>
      <c r="K16" s="274"/>
      <c r="M16" s="250"/>
      <c r="N16" s="250"/>
      <c r="O16" s="250"/>
      <c r="P16" s="250"/>
      <c r="Q16" s="250"/>
      <c r="R16" s="250"/>
      <c r="S16" s="250"/>
    </row>
    <row r="17" spans="1:27">
      <c r="A17" s="257"/>
      <c r="B17" s="258"/>
      <c r="C17" s="250"/>
      <c r="D17" s="331" t="s">
        <v>208</v>
      </c>
      <c r="E17" s="62" t="s">
        <v>209</v>
      </c>
      <c r="F17" s="282" t="s">
        <v>211</v>
      </c>
      <c r="G17" s="282" t="s">
        <v>215</v>
      </c>
      <c r="H17" s="250"/>
      <c r="I17" s="283"/>
      <c r="J17" s="274"/>
      <c r="K17" s="274"/>
      <c r="L17" s="211"/>
      <c r="M17" s="250"/>
      <c r="N17" s="250"/>
      <c r="O17" s="250"/>
      <c r="P17" s="250"/>
      <c r="Q17" s="250"/>
      <c r="R17" s="250"/>
      <c r="S17" s="250"/>
    </row>
    <row r="18" spans="1:27">
      <c r="A18" s="257"/>
      <c r="B18" s="258"/>
      <c r="C18" s="250"/>
      <c r="D18" s="281" t="s">
        <v>125</v>
      </c>
      <c r="E18" s="62" t="s">
        <v>208</v>
      </c>
      <c r="F18" s="282" t="s">
        <v>212</v>
      </c>
      <c r="G18" s="282" t="s">
        <v>214</v>
      </c>
      <c r="H18" s="282" t="s">
        <v>216</v>
      </c>
      <c r="I18" s="283" t="s">
        <v>82</v>
      </c>
      <c r="J18" s="274"/>
      <c r="K18" s="274"/>
      <c r="L18" s="211"/>
      <c r="M18" s="250"/>
      <c r="N18" s="250"/>
      <c r="O18" s="250"/>
      <c r="P18" s="250"/>
      <c r="Q18" s="250"/>
      <c r="R18" s="250"/>
      <c r="S18" s="250"/>
    </row>
    <row r="19" spans="1:27" ht="16.5">
      <c r="A19" s="257"/>
      <c r="B19" s="258"/>
      <c r="C19" s="250"/>
      <c r="D19" s="286" t="s">
        <v>210</v>
      </c>
      <c r="E19" s="332" t="s">
        <v>210</v>
      </c>
      <c r="F19" s="287" t="s">
        <v>218</v>
      </c>
      <c r="G19" s="287" t="s">
        <v>213</v>
      </c>
      <c r="H19" s="287" t="s">
        <v>123</v>
      </c>
      <c r="I19" s="288" t="s">
        <v>112</v>
      </c>
      <c r="J19" s="274"/>
      <c r="K19" s="274"/>
      <c r="L19" s="211"/>
      <c r="M19" s="250"/>
      <c r="N19" s="250"/>
      <c r="O19" s="250"/>
      <c r="P19" s="250"/>
      <c r="Q19" s="250"/>
      <c r="R19" s="250"/>
      <c r="S19" s="250"/>
    </row>
    <row r="20" spans="1:27">
      <c r="A20" s="257" t="str">
        <f t="shared" ref="A20:B28" si="1">(A4)</f>
        <v>GS 1</v>
      </c>
      <c r="B20" s="261" t="str">
        <f t="shared" si="1"/>
        <v xml:space="preserve">Residential  </v>
      </c>
      <c r="C20" s="250"/>
      <c r="D20" s="281" t="s">
        <v>416</v>
      </c>
      <c r="E20" s="333">
        <f>('3.1 PlantClass.'!F118)</f>
        <v>534.50538505372845</v>
      </c>
      <c r="F20" s="266">
        <f t="shared" ref="F20:F28" si="2">(E20/$E$20)</f>
        <v>1</v>
      </c>
      <c r="G20" s="268">
        <f t="shared" ref="G20:G28" si="3">G4</f>
        <v>52931</v>
      </c>
      <c r="H20" s="268">
        <f t="shared" ref="H20:H28" si="4">(F20*G20)</f>
        <v>52931</v>
      </c>
      <c r="I20" s="262">
        <f t="shared" ref="I20:I28" si="5">(H20/$H$29)</f>
        <v>0.94018434753278424</v>
      </c>
      <c r="J20" s="274"/>
      <c r="K20" s="274"/>
      <c r="L20" s="211"/>
      <c r="M20" s="250"/>
      <c r="N20" s="250"/>
      <c r="O20" s="63"/>
      <c r="P20" s="250"/>
      <c r="Q20" s="250"/>
      <c r="R20" s="250"/>
      <c r="S20" s="250"/>
    </row>
    <row r="21" spans="1:27">
      <c r="A21" s="257" t="str">
        <f t="shared" si="1"/>
        <v>GS 1</v>
      </c>
      <c r="B21" s="261" t="str">
        <f t="shared" si="1"/>
        <v>Residential TOD</v>
      </c>
      <c r="C21" s="250"/>
      <c r="D21" s="281" t="s">
        <v>416</v>
      </c>
      <c r="E21" s="333">
        <f>E20</f>
        <v>534.50538505372845</v>
      </c>
      <c r="F21" s="266">
        <f>(E21/$E$20)</f>
        <v>1</v>
      </c>
      <c r="G21" s="268">
        <f t="shared" si="3"/>
        <v>38</v>
      </c>
      <c r="H21" s="268">
        <f t="shared" si="4"/>
        <v>38</v>
      </c>
      <c r="I21" s="262">
        <f t="shared" si="5"/>
        <v>6.7497317651746237E-4</v>
      </c>
      <c r="J21" s="274"/>
      <c r="K21" s="274"/>
      <c r="L21" s="211"/>
      <c r="M21" s="250"/>
      <c r="N21" s="250"/>
      <c r="O21" s="63"/>
      <c r="P21" s="250"/>
      <c r="Q21" s="250"/>
      <c r="R21" s="250"/>
      <c r="S21" s="250"/>
    </row>
    <row r="22" spans="1:27">
      <c r="A22" s="257" t="str">
        <f t="shared" si="1"/>
        <v>SC-1</v>
      </c>
      <c r="B22" s="261" t="str">
        <f t="shared" si="1"/>
        <v>Small Commercial</v>
      </c>
      <c r="C22" s="250"/>
      <c r="D22" s="281" t="s">
        <v>416</v>
      </c>
      <c r="E22" s="267">
        <f>E20</f>
        <v>534.50538505372845</v>
      </c>
      <c r="F22" s="266">
        <f t="shared" si="2"/>
        <v>1</v>
      </c>
      <c r="G22" s="268">
        <f t="shared" si="3"/>
        <v>2554</v>
      </c>
      <c r="H22" s="268">
        <f t="shared" si="4"/>
        <v>2554</v>
      </c>
      <c r="I22" s="262">
        <f t="shared" si="5"/>
        <v>4.5365302442778921E-2</v>
      </c>
      <c r="K22" s="250"/>
      <c r="L22" s="211"/>
      <c r="M22" s="250"/>
      <c r="N22" s="50"/>
      <c r="O22" s="63"/>
      <c r="P22" s="50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spans="1:27">
      <c r="A23" s="257" t="str">
        <f t="shared" si="1"/>
        <v>SC2</v>
      </c>
      <c r="B23" s="261" t="str">
        <f t="shared" si="1"/>
        <v>Small Commercial TOD</v>
      </c>
      <c r="C23" s="250"/>
      <c r="D23" s="282" t="s">
        <v>416</v>
      </c>
      <c r="E23" s="334">
        <f>E20</f>
        <v>534.50538505372845</v>
      </c>
      <c r="F23" s="266">
        <f t="shared" si="2"/>
        <v>1</v>
      </c>
      <c r="G23" s="268">
        <f t="shared" si="3"/>
        <v>43</v>
      </c>
      <c r="H23" s="268">
        <f t="shared" si="4"/>
        <v>43</v>
      </c>
      <c r="I23" s="262">
        <f t="shared" si="5"/>
        <v>7.6378543658554951E-4</v>
      </c>
      <c r="K23" s="250"/>
      <c r="L23" s="211"/>
      <c r="M23" s="250"/>
      <c r="N23" s="250"/>
      <c r="O23" s="250"/>
      <c r="P23" s="50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spans="1:27">
      <c r="A24" s="257" t="str">
        <f t="shared" si="1"/>
        <v>LP1</v>
      </c>
      <c r="B24" s="261" t="str">
        <f t="shared" si="1"/>
        <v>Large Power (101-500 kW)</v>
      </c>
      <c r="C24" s="250"/>
      <c r="D24" s="282" t="s">
        <v>255</v>
      </c>
      <c r="E24" s="334">
        <f>'3.1 PlantClass.'!F126</f>
        <v>960.14988742964351</v>
      </c>
      <c r="F24" s="266">
        <f t="shared" si="2"/>
        <v>1.7963334220348954</v>
      </c>
      <c r="G24" s="268">
        <f t="shared" si="3"/>
        <v>57</v>
      </c>
      <c r="H24" s="268">
        <f t="shared" si="4"/>
        <v>102.39100505598904</v>
      </c>
      <c r="I24" s="262">
        <f t="shared" si="5"/>
        <v>1.8187153139330651E-3</v>
      </c>
      <c r="K24" s="250"/>
      <c r="L24" s="211"/>
      <c r="M24" s="250"/>
      <c r="N24" s="50"/>
      <c r="O24" s="50"/>
      <c r="P24" s="50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spans="1:27">
      <c r="A25" s="257" t="str">
        <f t="shared" si="1"/>
        <v>LP-2</v>
      </c>
      <c r="B25" s="261" t="str">
        <f t="shared" si="1"/>
        <v>Large Power (&gt;500 kW)</v>
      </c>
      <c r="C25" s="250"/>
      <c r="D25" s="282" t="s">
        <v>415</v>
      </c>
      <c r="E25" s="250">
        <f>('3.1 PlantClass.'!F147)</f>
        <v>12980.296875</v>
      </c>
      <c r="F25" s="266">
        <f>(E25/$E$20)</f>
        <v>24.284688682220146</v>
      </c>
      <c r="G25" s="268">
        <f t="shared" si="3"/>
        <v>24</v>
      </c>
      <c r="H25" s="268">
        <f t="shared" si="4"/>
        <v>582.83252837328348</v>
      </c>
      <c r="I25" s="262">
        <f t="shared" si="5"/>
        <v>1.0352534817205767E-2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1:27">
      <c r="A26" s="257" t="str">
        <f t="shared" si="1"/>
        <v>B-2</v>
      </c>
      <c r="B26" s="261" t="str">
        <f t="shared" si="1"/>
        <v>B-2</v>
      </c>
      <c r="C26" s="250"/>
      <c r="D26" s="266" t="s">
        <v>499</v>
      </c>
      <c r="E26" s="250">
        <v>0</v>
      </c>
      <c r="F26" s="266">
        <f t="shared" si="2"/>
        <v>0</v>
      </c>
      <c r="G26" s="268">
        <f t="shared" si="3"/>
        <v>5</v>
      </c>
      <c r="H26" s="268">
        <f t="shared" si="4"/>
        <v>0</v>
      </c>
      <c r="I26" s="262">
        <f t="shared" si="5"/>
        <v>0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spans="1:27">
      <c r="A27" s="257" t="str">
        <f t="shared" si="1"/>
        <v>G-1</v>
      </c>
      <c r="B27" s="261" t="str">
        <f t="shared" si="1"/>
        <v>Wausau</v>
      </c>
      <c r="C27" s="250"/>
      <c r="D27" s="266" t="s">
        <v>499</v>
      </c>
      <c r="E27" s="250">
        <v>0</v>
      </c>
      <c r="F27" s="266">
        <f t="shared" si="2"/>
        <v>0</v>
      </c>
      <c r="G27" s="268">
        <f t="shared" si="3"/>
        <v>1</v>
      </c>
      <c r="H27" s="268">
        <f t="shared" si="4"/>
        <v>0</v>
      </c>
      <c r="I27" s="262">
        <f t="shared" si="5"/>
        <v>0</v>
      </c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spans="1:27">
      <c r="A28" s="257" t="str">
        <f t="shared" si="1"/>
        <v>OL</v>
      </c>
      <c r="B28" s="261" t="str">
        <f t="shared" si="1"/>
        <v>Street Lights</v>
      </c>
      <c r="C28" s="250"/>
      <c r="D28" s="266" t="s">
        <v>651</v>
      </c>
      <c r="E28" s="250">
        <v>147.02000000000001</v>
      </c>
      <c r="F28" s="266">
        <f t="shared" si="2"/>
        <v>0.27505803329787137</v>
      </c>
      <c r="G28" s="268">
        <f t="shared" si="3"/>
        <v>172</v>
      </c>
      <c r="H28" s="268">
        <f t="shared" si="4"/>
        <v>47.309981727233875</v>
      </c>
      <c r="I28" s="262">
        <f t="shared" si="5"/>
        <v>8.4034128019510918E-4</v>
      </c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spans="1:27" ht="15" thickBot="1">
      <c r="A29" s="270"/>
      <c r="B29" s="271"/>
      <c r="C29" s="251"/>
      <c r="D29" s="294"/>
      <c r="E29" s="251"/>
      <c r="F29" s="294"/>
      <c r="G29" s="295">
        <f>SUM(G20:G28)</f>
        <v>55825</v>
      </c>
      <c r="H29" s="295">
        <f>SUM(H20:H28)</f>
        <v>56298.533515156501</v>
      </c>
      <c r="I29" s="295">
        <f>SUM(I20:I28)</f>
        <v>1</v>
      </c>
      <c r="K29" s="297" t="s">
        <v>1</v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27">
      <c r="A30" s="275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>
      <c r="A31" s="298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 spans="1:27" ht="20.25" customHeight="1" thickBot="1">
      <c r="A32" s="299" t="s">
        <v>217</v>
      </c>
      <c r="B32" s="250"/>
      <c r="C32" s="250"/>
      <c r="D32" s="250"/>
      <c r="E32" s="250"/>
      <c r="F32" s="250"/>
      <c r="G32" s="250"/>
      <c r="H32" s="250"/>
      <c r="I32" s="250"/>
      <c r="J32" s="250"/>
      <c r="M32" s="65" t="s">
        <v>1</v>
      </c>
      <c r="N32" s="52" t="s">
        <v>1</v>
      </c>
      <c r="O32" s="52" t="s">
        <v>1</v>
      </c>
      <c r="P32" s="52" t="s">
        <v>1</v>
      </c>
      <c r="Q32" s="52" t="s">
        <v>1</v>
      </c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 spans="1:27" ht="17.25" customHeight="1" thickBot="1">
      <c r="A33" s="300"/>
      <c r="B33" s="301"/>
      <c r="C33" s="791"/>
      <c r="D33" s="801">
        <f t="shared" ref="D33:H33" si="6">(D16)</f>
        <v>1</v>
      </c>
      <c r="E33" s="801">
        <f t="shared" si="6"/>
        <v>2</v>
      </c>
      <c r="F33" s="302">
        <f t="shared" si="6"/>
        <v>3</v>
      </c>
      <c r="G33" s="801">
        <f t="shared" si="6"/>
        <v>4</v>
      </c>
      <c r="H33" s="302">
        <f t="shared" si="6"/>
        <v>5</v>
      </c>
      <c r="I33" s="801">
        <v>6</v>
      </c>
      <c r="J33" s="792">
        <v>7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1:27">
      <c r="A34" s="793"/>
      <c r="B34" s="258"/>
      <c r="C34" s="250"/>
      <c r="D34" s="303" t="str">
        <f>(D17)</f>
        <v>Minimum</v>
      </c>
      <c r="E34" s="303" t="s">
        <v>212</v>
      </c>
      <c r="F34" s="303" t="s">
        <v>221</v>
      </c>
      <c r="G34" s="256"/>
      <c r="H34" s="303" t="str">
        <f>(G17)</f>
        <v xml:space="preserve">Number </v>
      </c>
      <c r="I34" s="303" t="s">
        <v>1</v>
      </c>
      <c r="J34" s="794" t="s">
        <v>1</v>
      </c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1:27" ht="15" thickBot="1">
      <c r="A35" s="793"/>
      <c r="B35" s="258"/>
      <c r="C35" s="250"/>
      <c r="D35" s="303" t="str">
        <f>(D18)</f>
        <v>Size</v>
      </c>
      <c r="E35" s="303" t="s">
        <v>219</v>
      </c>
      <c r="F35" s="303" t="s">
        <v>222</v>
      </c>
      <c r="G35" s="256" t="s">
        <v>209</v>
      </c>
      <c r="H35" s="303" t="str">
        <f>(G18)</f>
        <v>of</v>
      </c>
      <c r="I35" s="303" t="str">
        <f>(H18)</f>
        <v>Relative</v>
      </c>
      <c r="J35" s="794" t="str">
        <f>(I18)</f>
        <v>Allocation</v>
      </c>
      <c r="M35" s="77"/>
      <c r="N35" s="77"/>
      <c r="O35" s="77"/>
      <c r="P35" s="77"/>
      <c r="Q35" s="77"/>
      <c r="R35" s="77"/>
      <c r="S35" s="52"/>
      <c r="T35" s="52"/>
      <c r="U35" s="52"/>
      <c r="V35" s="52"/>
      <c r="W35" s="52"/>
      <c r="X35" s="52"/>
      <c r="Y35" s="52"/>
      <c r="Z35" s="52"/>
      <c r="AA35" s="52"/>
    </row>
    <row r="36" spans="1:27">
      <c r="A36" s="793"/>
      <c r="B36" s="258"/>
      <c r="C36" s="250"/>
      <c r="D36" s="305" t="s">
        <v>126</v>
      </c>
      <c r="E36" s="305" t="s">
        <v>220</v>
      </c>
      <c r="F36" s="305" t="s">
        <v>126</v>
      </c>
      <c r="G36" s="306" t="s">
        <v>126</v>
      </c>
      <c r="H36" s="305" t="str">
        <f>(G19)</f>
        <v>Customers</v>
      </c>
      <c r="I36" s="305" t="str">
        <f>(H19)</f>
        <v>Weight</v>
      </c>
      <c r="J36" s="795" t="str">
        <f>(I19)</f>
        <v>Percent</v>
      </c>
      <c r="L36" s="284"/>
      <c r="M36" s="255"/>
      <c r="N36" s="255"/>
      <c r="O36" s="255"/>
      <c r="P36" s="255"/>
      <c r="Q36" s="285"/>
      <c r="R36" s="77"/>
      <c r="S36" s="52"/>
      <c r="T36" s="52"/>
      <c r="U36" s="52"/>
      <c r="V36" s="52"/>
      <c r="W36" s="52"/>
      <c r="X36" s="52"/>
      <c r="Y36" s="52"/>
      <c r="Z36" s="52"/>
      <c r="AA36" s="52"/>
    </row>
    <row r="37" spans="1:27">
      <c r="A37" s="257" t="str">
        <f t="shared" ref="A37:B45" si="7">(A20)</f>
        <v>GS 1</v>
      </c>
      <c r="B37" s="258" t="str">
        <f t="shared" si="7"/>
        <v xml:space="preserve">Residential  </v>
      </c>
      <c r="C37" s="250"/>
      <c r="D37" s="335" t="s">
        <v>481</v>
      </c>
      <c r="E37" s="291">
        <v>0.48975999999999997</v>
      </c>
      <c r="F37" s="335">
        <v>100</v>
      </c>
      <c r="G37" s="333">
        <f t="shared" ref="G37:G42" si="8">(E37*F37)</f>
        <v>48.975999999999999</v>
      </c>
      <c r="H37" s="268">
        <f t="shared" ref="H37:H44" si="9">G4</f>
        <v>52931</v>
      </c>
      <c r="I37" s="268">
        <f>(G37*H37)</f>
        <v>2592348.656</v>
      </c>
      <c r="J37" s="796">
        <f t="shared" ref="J37:J45" si="10">(I37/$I$47)</f>
        <v>0.92910984390009799</v>
      </c>
      <c r="K37" s="252" t="s">
        <v>1</v>
      </c>
      <c r="L37" s="307"/>
      <c r="M37" s="250"/>
      <c r="N37" s="250"/>
      <c r="O37" s="250"/>
      <c r="P37" s="250"/>
      <c r="Q37" s="290"/>
      <c r="R37" s="77"/>
      <c r="S37" s="52"/>
      <c r="T37" s="52"/>
      <c r="U37" s="52"/>
      <c r="V37" s="52"/>
      <c r="W37" s="52"/>
      <c r="X37" s="52"/>
      <c r="Y37" s="52"/>
      <c r="Z37" s="52"/>
      <c r="AA37" s="52"/>
    </row>
    <row r="38" spans="1:27">
      <c r="A38" s="257" t="str">
        <f t="shared" si="7"/>
        <v>GS 1</v>
      </c>
      <c r="B38" s="258" t="str">
        <f t="shared" si="7"/>
        <v>Residential TOD</v>
      </c>
      <c r="C38" s="250"/>
      <c r="D38" s="335" t="str">
        <f>D37</f>
        <v>2/0 TPX</v>
      </c>
      <c r="E38" s="291">
        <f>E37</f>
        <v>0.48975999999999997</v>
      </c>
      <c r="F38" s="335">
        <v>100</v>
      </c>
      <c r="G38" s="267">
        <f t="shared" si="8"/>
        <v>48.975999999999999</v>
      </c>
      <c r="H38" s="268">
        <f t="shared" si="9"/>
        <v>38</v>
      </c>
      <c r="I38" s="268">
        <f t="shared" ref="I38:I45" si="11">(G38*H38)</f>
        <v>1861.088</v>
      </c>
      <c r="J38" s="796">
        <f t="shared" si="10"/>
        <v>6.6702261563552029E-4</v>
      </c>
      <c r="L38" s="307"/>
      <c r="M38" s="250"/>
      <c r="N38" s="250"/>
      <c r="O38" s="250"/>
      <c r="P38" s="250"/>
      <c r="Q38" s="292"/>
      <c r="R38" s="77"/>
      <c r="S38" s="52"/>
      <c r="T38" s="52"/>
      <c r="U38" s="52"/>
      <c r="V38" s="52"/>
      <c r="W38" s="52"/>
      <c r="X38" s="52"/>
      <c r="Y38" s="52"/>
      <c r="Z38" s="52"/>
      <c r="AA38" s="52"/>
    </row>
    <row r="39" spans="1:27">
      <c r="A39" s="257" t="str">
        <f t="shared" si="7"/>
        <v>SC-1</v>
      </c>
      <c r="B39" s="258" t="str">
        <f t="shared" si="7"/>
        <v>Small Commercial</v>
      </c>
      <c r="C39" s="250"/>
      <c r="D39" s="335" t="str">
        <f>D38</f>
        <v>2/0 TPX</v>
      </c>
      <c r="E39" s="291">
        <f>E37</f>
        <v>0.48975999999999997</v>
      </c>
      <c r="F39" s="335">
        <v>120</v>
      </c>
      <c r="G39" s="267">
        <f t="shared" si="8"/>
        <v>58.771199999999993</v>
      </c>
      <c r="H39" s="268">
        <f t="shared" si="9"/>
        <v>2554</v>
      </c>
      <c r="I39" s="268">
        <f t="shared" si="11"/>
        <v>150101.64479999998</v>
      </c>
      <c r="J39" s="796">
        <f t="shared" si="10"/>
        <v>5.3797129273677427E-2</v>
      </c>
      <c r="L39" s="289"/>
      <c r="M39" s="250"/>
      <c r="N39" s="78"/>
      <c r="O39" s="250"/>
      <c r="P39" s="78"/>
      <c r="Q39" s="293"/>
      <c r="R39" s="77"/>
      <c r="S39" s="52"/>
      <c r="T39" s="52"/>
      <c r="U39" s="52">
        <f>(8889094.96/3645001)</f>
        <v>2.438708510642384</v>
      </c>
      <c r="V39" s="52"/>
      <c r="W39" s="52"/>
      <c r="X39" s="52"/>
      <c r="Y39" s="52"/>
      <c r="Z39" s="52"/>
      <c r="AA39" s="52"/>
    </row>
    <row r="40" spans="1:27">
      <c r="A40" s="257" t="str">
        <f t="shared" si="7"/>
        <v>SC2</v>
      </c>
      <c r="B40" s="258" t="str">
        <f t="shared" si="7"/>
        <v>Small Commercial TOD</v>
      </c>
      <c r="C40" s="250"/>
      <c r="D40" s="335" t="str">
        <f>D39</f>
        <v>2/0 TPX</v>
      </c>
      <c r="E40" s="356">
        <f>E37</f>
        <v>0.48975999999999997</v>
      </c>
      <c r="F40" s="335">
        <v>120</v>
      </c>
      <c r="G40" s="267">
        <f t="shared" si="8"/>
        <v>58.771199999999993</v>
      </c>
      <c r="H40" s="268">
        <f t="shared" si="9"/>
        <v>43</v>
      </c>
      <c r="I40" s="268">
        <f t="shared" si="11"/>
        <v>2527.1615999999999</v>
      </c>
      <c r="J40" s="796">
        <f t="shared" si="10"/>
        <v>9.057464991261275E-4</v>
      </c>
      <c r="M40" s="77"/>
      <c r="N40" s="77"/>
      <c r="O40" s="77"/>
      <c r="P40" s="77"/>
      <c r="Q40" s="77"/>
      <c r="R40" s="77"/>
      <c r="S40" s="52"/>
      <c r="T40" s="52"/>
      <c r="U40" s="52">
        <f>(732929.76/793960)</f>
        <v>0.92313184543301929</v>
      </c>
      <c r="V40" s="52"/>
      <c r="W40" s="52"/>
      <c r="X40" s="52"/>
      <c r="Y40" s="52"/>
      <c r="Z40" s="52"/>
      <c r="AA40" s="52"/>
    </row>
    <row r="41" spans="1:27">
      <c r="A41" s="257" t="str">
        <f t="shared" si="7"/>
        <v>LP1</v>
      </c>
      <c r="B41" s="258" t="str">
        <f t="shared" si="7"/>
        <v>Large Power (101-500 kW)</v>
      </c>
      <c r="C41" s="250"/>
      <c r="D41" s="335" t="s">
        <v>482</v>
      </c>
      <c r="E41" s="357">
        <v>0.57035999999999998</v>
      </c>
      <c r="F41" s="338">
        <v>120</v>
      </c>
      <c r="G41" s="267">
        <f t="shared" si="8"/>
        <v>68.44319999999999</v>
      </c>
      <c r="H41" s="268">
        <f t="shared" si="9"/>
        <v>57</v>
      </c>
      <c r="I41" s="268">
        <f t="shared" si="11"/>
        <v>3901.2623999999996</v>
      </c>
      <c r="J41" s="796">
        <f t="shared" si="10"/>
        <v>1.3982306319360004E-3</v>
      </c>
      <c r="M41" s="77"/>
      <c r="N41" s="77"/>
      <c r="O41" s="77"/>
      <c r="P41" s="77"/>
      <c r="Q41" s="308" t="e">
        <f>SUM(Q38:Q38)/SUM(P38:P38)</f>
        <v>#DIV/0!</v>
      </c>
      <c r="R41" s="77"/>
      <c r="S41" s="52"/>
      <c r="T41" s="52"/>
      <c r="U41" s="52"/>
      <c r="V41" s="52"/>
      <c r="W41" s="52"/>
      <c r="X41" s="52"/>
      <c r="Y41" s="52"/>
      <c r="Z41" s="52"/>
      <c r="AA41" s="52"/>
    </row>
    <row r="42" spans="1:27">
      <c r="A42" s="257" t="str">
        <f t="shared" si="7"/>
        <v>LP-2</v>
      </c>
      <c r="B42" s="258" t="str">
        <f t="shared" si="7"/>
        <v>Large Power (&gt;500 kW)</v>
      </c>
      <c r="C42" s="250"/>
      <c r="D42" s="335" t="s">
        <v>500</v>
      </c>
      <c r="E42" s="335"/>
      <c r="F42" s="335"/>
      <c r="G42" s="267">
        <f t="shared" si="8"/>
        <v>0</v>
      </c>
      <c r="H42" s="268">
        <f t="shared" si="9"/>
        <v>24</v>
      </c>
      <c r="I42" s="268">
        <f t="shared" si="11"/>
        <v>0</v>
      </c>
      <c r="J42" s="796">
        <f t="shared" si="10"/>
        <v>0</v>
      </c>
      <c r="M42" s="77"/>
      <c r="N42" s="77"/>
      <c r="O42" s="77"/>
      <c r="P42" s="77"/>
      <c r="Q42" s="77"/>
      <c r="R42" s="77"/>
      <c r="S42" s="52" t="s">
        <v>1</v>
      </c>
      <c r="T42" s="52"/>
      <c r="U42" s="52"/>
      <c r="V42" s="52"/>
      <c r="W42" s="52"/>
      <c r="X42" s="52"/>
      <c r="Y42" s="52"/>
      <c r="Z42" s="52"/>
      <c r="AA42" s="52"/>
    </row>
    <row r="43" spans="1:27">
      <c r="A43" s="257" t="str">
        <f t="shared" si="7"/>
        <v>B-2</v>
      </c>
      <c r="B43" s="258" t="str">
        <f t="shared" si="7"/>
        <v>B-2</v>
      </c>
      <c r="C43" s="250"/>
      <c r="D43" s="335" t="s">
        <v>500</v>
      </c>
      <c r="E43" s="309"/>
      <c r="F43" s="266"/>
      <c r="G43" s="267"/>
      <c r="H43" s="268">
        <f t="shared" si="9"/>
        <v>5</v>
      </c>
      <c r="I43" s="268">
        <f t="shared" si="11"/>
        <v>0</v>
      </c>
      <c r="J43" s="796">
        <f t="shared" si="10"/>
        <v>0</v>
      </c>
      <c r="M43" s="77"/>
      <c r="N43" s="77"/>
      <c r="O43" s="77"/>
      <c r="P43" s="77"/>
      <c r="Q43" s="77"/>
      <c r="R43" s="77"/>
      <c r="S43" s="52"/>
      <c r="T43" s="52"/>
      <c r="U43" s="52"/>
      <c r="V43" s="52"/>
      <c r="W43" s="52"/>
      <c r="X43" s="52"/>
      <c r="Y43" s="52"/>
      <c r="Z43" s="52"/>
      <c r="AA43" s="52"/>
    </row>
    <row r="44" spans="1:27">
      <c r="A44" s="257" t="str">
        <f t="shared" si="7"/>
        <v>G-1</v>
      </c>
      <c r="B44" s="258" t="str">
        <f t="shared" si="7"/>
        <v>Wausau</v>
      </c>
      <c r="C44" s="250"/>
      <c r="D44" s="335" t="s">
        <v>500</v>
      </c>
      <c r="E44" s="309"/>
      <c r="F44" s="266"/>
      <c r="G44" s="267"/>
      <c r="H44" s="268">
        <f t="shared" si="9"/>
        <v>1</v>
      </c>
      <c r="I44" s="268">
        <f t="shared" si="11"/>
        <v>0</v>
      </c>
      <c r="J44" s="796">
        <f t="shared" si="10"/>
        <v>0</v>
      </c>
      <c r="M44" s="77"/>
      <c r="N44" s="77"/>
      <c r="O44" s="77"/>
      <c r="P44" s="77"/>
      <c r="Q44" s="77"/>
      <c r="R44" s="77"/>
      <c r="S44" s="52"/>
      <c r="T44" s="52"/>
      <c r="U44" s="52"/>
      <c r="V44" s="52"/>
      <c r="W44" s="52"/>
      <c r="X44" s="52"/>
      <c r="Y44" s="52"/>
      <c r="Z44" s="52"/>
      <c r="AA44" s="52"/>
    </row>
    <row r="45" spans="1:27">
      <c r="A45" s="257" t="str">
        <f t="shared" si="7"/>
        <v>OL</v>
      </c>
      <c r="B45" s="258" t="str">
        <f t="shared" si="7"/>
        <v>Street Lights</v>
      </c>
      <c r="C45" s="250"/>
      <c r="D45" s="358" t="s">
        <v>652</v>
      </c>
      <c r="E45" s="309">
        <v>0.26188</v>
      </c>
      <c r="F45" s="266">
        <v>10</v>
      </c>
      <c r="G45" s="267">
        <f>(E45*F45)</f>
        <v>2.6188000000000002</v>
      </c>
      <c r="H45" s="268">
        <v>15046</v>
      </c>
      <c r="I45" s="268">
        <f t="shared" si="11"/>
        <v>39402.464800000002</v>
      </c>
      <c r="J45" s="796">
        <f t="shared" si="10"/>
        <v>1.4122027079526879E-2</v>
      </c>
      <c r="M45" s="77"/>
      <c r="N45" s="77"/>
      <c r="O45" s="77"/>
      <c r="P45" s="77"/>
      <c r="Q45" s="77"/>
      <c r="R45" s="77"/>
      <c r="S45" s="52"/>
      <c r="T45" s="52"/>
      <c r="U45" s="52"/>
      <c r="V45" s="52"/>
      <c r="W45" s="52"/>
      <c r="X45" s="52"/>
      <c r="Y45" s="52"/>
      <c r="Z45" s="52"/>
      <c r="AA45" s="52"/>
    </row>
    <row r="46" spans="1:27">
      <c r="A46" s="793"/>
      <c r="B46" s="258"/>
      <c r="C46" s="250"/>
      <c r="D46" s="282"/>
      <c r="E46" s="309"/>
      <c r="F46" s="266">
        <v>0.26188</v>
      </c>
      <c r="G46" s="267"/>
      <c r="H46" s="268"/>
      <c r="I46" s="268"/>
      <c r="J46" s="796"/>
      <c r="M46" s="77"/>
      <c r="N46" s="77"/>
      <c r="O46" s="77"/>
      <c r="P46" s="77"/>
      <c r="Q46" s="77"/>
      <c r="R46" s="77"/>
      <c r="S46" s="52"/>
      <c r="T46" s="52"/>
      <c r="U46" s="52"/>
      <c r="V46" s="52"/>
      <c r="W46" s="52"/>
      <c r="X46" s="52"/>
      <c r="Y46" s="52"/>
      <c r="Z46" s="52"/>
      <c r="AA46" s="52"/>
    </row>
    <row r="47" spans="1:27" ht="15" thickBot="1">
      <c r="A47" s="270"/>
      <c r="B47" s="271"/>
      <c r="C47" s="251"/>
      <c r="D47" s="294"/>
      <c r="E47" s="294"/>
      <c r="F47" s="294"/>
      <c r="G47" s="272"/>
      <c r="H47" s="295">
        <f>SUM(H37:H45)</f>
        <v>70699</v>
      </c>
      <c r="I47" s="295">
        <f>SUM(I37:I45)</f>
        <v>2790142.2776000001</v>
      </c>
      <c r="J47" s="797">
        <f>SUM(J37:J45)</f>
        <v>1</v>
      </c>
      <c r="M47" s="77"/>
      <c r="N47" s="77"/>
      <c r="O47" s="77"/>
      <c r="P47" s="77"/>
      <c r="Q47" s="77"/>
      <c r="R47" s="77"/>
      <c r="S47" s="50"/>
      <c r="T47" s="50"/>
      <c r="U47" s="50"/>
      <c r="V47" s="50"/>
      <c r="W47" s="50"/>
      <c r="X47" s="50"/>
      <c r="Y47" s="50"/>
      <c r="Z47" s="250"/>
    </row>
    <row r="48" spans="1:27">
      <c r="A48" s="275"/>
      <c r="B48" s="250"/>
      <c r="C48" s="250"/>
      <c r="D48" s="250"/>
      <c r="E48" s="250"/>
      <c r="F48" s="250"/>
      <c r="G48" s="250"/>
      <c r="H48" s="250"/>
      <c r="I48" s="63"/>
      <c r="J48" s="314"/>
      <c r="M48" s="77"/>
      <c r="N48" s="77"/>
      <c r="O48" s="77"/>
      <c r="P48" s="77"/>
      <c r="Q48" s="77"/>
      <c r="R48" s="77"/>
      <c r="S48" s="50"/>
      <c r="T48" s="50"/>
      <c r="U48" s="50"/>
      <c r="V48" s="50"/>
      <c r="W48" s="50"/>
      <c r="X48" s="50"/>
      <c r="Y48" s="50"/>
      <c r="Z48" s="250"/>
    </row>
    <row r="49" spans="1:26" ht="15.75" thickBot="1">
      <c r="A49" s="276" t="s">
        <v>127</v>
      </c>
      <c r="M49" s="77"/>
      <c r="N49" s="77"/>
      <c r="O49" s="77"/>
      <c r="P49" s="77"/>
      <c r="Q49" s="77"/>
      <c r="R49" s="77"/>
      <c r="S49" s="52"/>
      <c r="T49" s="52"/>
      <c r="U49" s="52"/>
      <c r="V49" s="52"/>
      <c r="W49" s="52"/>
      <c r="X49" s="52"/>
      <c r="Y49" s="52"/>
      <c r="Z49" s="250"/>
    </row>
    <row r="50" spans="1:26">
      <c r="A50" s="798"/>
      <c r="B50" s="799"/>
      <c r="C50" s="800"/>
      <c r="D50" s="801">
        <f t="shared" ref="D50:I50" si="12">(D33)</f>
        <v>1</v>
      </c>
      <c r="E50" s="801">
        <f t="shared" si="12"/>
        <v>2</v>
      </c>
      <c r="F50" s="801">
        <f t="shared" si="12"/>
        <v>3</v>
      </c>
      <c r="G50" s="801">
        <f t="shared" si="12"/>
        <v>4</v>
      </c>
      <c r="H50" s="801">
        <f t="shared" si="12"/>
        <v>5</v>
      </c>
      <c r="I50" s="802">
        <f t="shared" si="12"/>
        <v>6</v>
      </c>
      <c r="J50" s="52"/>
      <c r="K50" s="52"/>
      <c r="M50" s="77"/>
      <c r="N50" s="77"/>
      <c r="O50" s="77"/>
      <c r="P50" s="77"/>
      <c r="Q50" s="77"/>
      <c r="R50" s="77"/>
      <c r="S50" s="52"/>
      <c r="T50" s="52"/>
      <c r="U50" s="52"/>
      <c r="V50" s="52"/>
    </row>
    <row r="51" spans="1:26">
      <c r="A51" s="803"/>
      <c r="B51" s="72"/>
      <c r="C51" s="50"/>
      <c r="D51" s="53" t="str">
        <f>(D34)</f>
        <v>Minimum</v>
      </c>
      <c r="E51" s="339" t="str">
        <f t="shared" ref="E51:G52" si="13">(E17)</f>
        <v>Cost of</v>
      </c>
      <c r="F51" s="339" t="str">
        <f t="shared" si="13"/>
        <v>Weighted</v>
      </c>
      <c r="G51" s="337" t="str">
        <f t="shared" si="13"/>
        <v xml:space="preserve">Number </v>
      </c>
      <c r="H51" s="337" t="s">
        <v>1</v>
      </c>
      <c r="I51" s="804" t="s">
        <v>1</v>
      </c>
      <c r="J51" s="50"/>
      <c r="K51" s="50"/>
      <c r="M51" s="77"/>
      <c r="N51" s="77"/>
      <c r="O51" s="77"/>
      <c r="P51" s="77"/>
      <c r="Q51" s="77"/>
      <c r="R51" s="77"/>
      <c r="S51" s="52"/>
      <c r="T51" s="52"/>
      <c r="U51" s="52"/>
      <c r="V51" s="52"/>
    </row>
    <row r="52" spans="1:26" s="52" customFormat="1">
      <c r="A52" s="803"/>
      <c r="B52" s="72"/>
      <c r="C52" s="50"/>
      <c r="D52" s="56" t="str">
        <f>(D35)</f>
        <v>Size</v>
      </c>
      <c r="E52" s="316" t="str">
        <f t="shared" si="13"/>
        <v>Minimum</v>
      </c>
      <c r="F52" s="336" t="str">
        <f t="shared" si="13"/>
        <v>Cost</v>
      </c>
      <c r="G52" s="316" t="str">
        <f t="shared" si="13"/>
        <v>of</v>
      </c>
      <c r="H52" s="316" t="str">
        <f>(H18)</f>
        <v>Relative</v>
      </c>
      <c r="I52" s="805" t="str">
        <f>(I18)</f>
        <v>Allocation</v>
      </c>
      <c r="L52" s="207" t="s">
        <v>1</v>
      </c>
      <c r="M52" s="77"/>
      <c r="N52" s="77"/>
      <c r="O52" s="77"/>
      <c r="P52" s="77"/>
      <c r="Q52" s="77"/>
      <c r="R52" s="77"/>
    </row>
    <row r="53" spans="1:26" s="52" customFormat="1">
      <c r="A53" s="803"/>
      <c r="B53" s="72"/>
      <c r="C53" s="50"/>
      <c r="D53" s="74" t="s">
        <v>113</v>
      </c>
      <c r="E53" s="305" t="s">
        <v>113</v>
      </c>
      <c r="F53" s="340" t="s">
        <v>113</v>
      </c>
      <c r="G53" s="341" t="str">
        <f>(G19)</f>
        <v>Customers</v>
      </c>
      <c r="H53" s="341" t="str">
        <f>(H19)</f>
        <v>Weight</v>
      </c>
      <c r="I53" s="806" t="str">
        <f>(I19)</f>
        <v>Percent</v>
      </c>
      <c r="L53" s="207"/>
      <c r="M53" s="77"/>
      <c r="N53" s="77"/>
      <c r="O53" s="77"/>
      <c r="P53" s="77"/>
      <c r="Q53" s="77"/>
      <c r="R53" s="77"/>
    </row>
    <row r="54" spans="1:26" s="52" customFormat="1">
      <c r="A54" s="807" t="str">
        <f t="shared" ref="A54:B62" si="14">(A37)</f>
        <v>GS 1</v>
      </c>
      <c r="B54" s="317" t="str">
        <f t="shared" si="14"/>
        <v xml:space="preserve">Residential  </v>
      </c>
      <c r="C54" s="211"/>
      <c r="D54" s="338" t="s">
        <v>502</v>
      </c>
      <c r="E54" s="318">
        <f>90.46+59.48</f>
        <v>149.94</v>
      </c>
      <c r="F54" s="267">
        <f t="shared" ref="F54:F62" si="15">(E54/$E$54)</f>
        <v>1</v>
      </c>
      <c r="G54" s="268">
        <f t="shared" ref="G54:G62" si="16">G4</f>
        <v>52931</v>
      </c>
      <c r="H54" s="266">
        <f t="shared" ref="H54:H61" si="17">(G54*F54)</f>
        <v>52931</v>
      </c>
      <c r="I54" s="262">
        <f t="shared" ref="I54:I61" si="18">(H54/$H$63)</f>
        <v>0.85776761748943431</v>
      </c>
      <c r="K54" s="52" t="s">
        <v>501</v>
      </c>
      <c r="L54" s="207"/>
      <c r="M54" s="77"/>
      <c r="N54" s="77"/>
      <c r="O54" s="77"/>
      <c r="P54" s="77"/>
      <c r="Q54" s="77"/>
      <c r="R54" s="77"/>
    </row>
    <row r="55" spans="1:26" s="52" customFormat="1">
      <c r="A55" s="807" t="str">
        <f t="shared" si="14"/>
        <v>GS 1</v>
      </c>
      <c r="B55" s="317" t="str">
        <f t="shared" si="14"/>
        <v>Residential TOD</v>
      </c>
      <c r="C55" s="211"/>
      <c r="D55" s="338" t="s">
        <v>502</v>
      </c>
      <c r="E55" s="318">
        <f>E54</f>
        <v>149.94</v>
      </c>
      <c r="F55" s="267">
        <f t="shared" si="15"/>
        <v>1</v>
      </c>
      <c r="G55" s="268">
        <f t="shared" si="16"/>
        <v>38</v>
      </c>
      <c r="H55" s="266">
        <f t="shared" si="17"/>
        <v>38</v>
      </c>
      <c r="I55" s="262">
        <f t="shared" si="18"/>
        <v>6.1580490571873771E-4</v>
      </c>
      <c r="L55" s="207"/>
      <c r="M55" s="77"/>
      <c r="N55" s="77"/>
      <c r="O55" s="77"/>
      <c r="P55" s="77"/>
      <c r="Q55" s="77"/>
      <c r="R55" s="77"/>
    </row>
    <row r="56" spans="1:26" s="52" customFormat="1">
      <c r="A56" s="807" t="str">
        <f t="shared" si="14"/>
        <v>SC-1</v>
      </c>
      <c r="B56" s="317" t="str">
        <f t="shared" si="14"/>
        <v>Small Commercial</v>
      </c>
      <c r="C56" s="211"/>
      <c r="D56" s="338" t="s">
        <v>503</v>
      </c>
      <c r="E56" s="266">
        <f>338.81+162.75</f>
        <v>501.56</v>
      </c>
      <c r="F56" s="267">
        <f t="shared" si="15"/>
        <v>3.3450713618780847</v>
      </c>
      <c r="G56" s="268">
        <f t="shared" si="16"/>
        <v>2554</v>
      </c>
      <c r="H56" s="266">
        <f t="shared" si="17"/>
        <v>8543.3122582366286</v>
      </c>
      <c r="I56" s="262">
        <f t="shared" si="18"/>
        <v>0.13844772630813534</v>
      </c>
      <c r="K56" s="52" t="s">
        <v>1</v>
      </c>
      <c r="L56" s="207"/>
      <c r="M56" s="77"/>
      <c r="N56" s="77"/>
      <c r="O56" s="77"/>
      <c r="P56" s="77"/>
      <c r="Q56" s="77"/>
      <c r="R56" s="77"/>
    </row>
    <row r="57" spans="1:26" s="52" customFormat="1">
      <c r="A57" s="807" t="str">
        <f t="shared" si="14"/>
        <v>SC2</v>
      </c>
      <c r="B57" s="317" t="str">
        <f t="shared" si="14"/>
        <v>Small Commercial TOD</v>
      </c>
      <c r="C57" s="211"/>
      <c r="D57" s="338" t="s">
        <v>503</v>
      </c>
      <c r="E57" s="266">
        <f>(E54)</f>
        <v>149.94</v>
      </c>
      <c r="F57" s="267">
        <f t="shared" si="15"/>
        <v>1</v>
      </c>
      <c r="G57" s="268">
        <f t="shared" si="16"/>
        <v>43</v>
      </c>
      <c r="H57" s="266">
        <f t="shared" si="17"/>
        <v>43</v>
      </c>
      <c r="I57" s="262">
        <f t="shared" si="18"/>
        <v>6.9683186699751899E-4</v>
      </c>
      <c r="L57" s="207"/>
      <c r="M57" s="77"/>
      <c r="N57" s="77"/>
      <c r="O57" s="77"/>
      <c r="P57" s="77"/>
      <c r="Q57" s="77"/>
      <c r="R57" s="77"/>
    </row>
    <row r="58" spans="1:26" s="52" customFormat="1">
      <c r="A58" s="807" t="str">
        <f t="shared" si="14"/>
        <v>LP1</v>
      </c>
      <c r="B58" s="317" t="str">
        <f t="shared" si="14"/>
        <v>Large Power (101-500 kW)</v>
      </c>
      <c r="C58" s="211"/>
      <c r="D58" s="338" t="s">
        <v>504</v>
      </c>
      <c r="E58" s="335">
        <f>262.9</f>
        <v>262.89999999999998</v>
      </c>
      <c r="F58" s="267">
        <f t="shared" si="15"/>
        <v>1.7533680138722154</v>
      </c>
      <c r="G58" s="268">
        <f t="shared" si="16"/>
        <v>57</v>
      </c>
      <c r="H58" s="266">
        <f t="shared" si="17"/>
        <v>99.941976790716282</v>
      </c>
      <c r="I58" s="262">
        <f t="shared" si="18"/>
        <v>1.619598936709245E-3</v>
      </c>
      <c r="L58" s="207"/>
      <c r="M58" s="77"/>
      <c r="N58" s="77"/>
      <c r="O58" s="77"/>
      <c r="P58" s="77"/>
      <c r="Q58" s="77"/>
      <c r="R58" s="77"/>
    </row>
    <row r="59" spans="1:26" s="52" customFormat="1">
      <c r="A59" s="807" t="str">
        <f t="shared" si="14"/>
        <v>LP-2</v>
      </c>
      <c r="B59" s="317" t="str">
        <f t="shared" si="14"/>
        <v>Large Power (&gt;500 kW)</v>
      </c>
      <c r="C59" s="211"/>
      <c r="D59" s="338" t="s">
        <v>504</v>
      </c>
      <c r="E59" s="335">
        <f>262.9</f>
        <v>262.89999999999998</v>
      </c>
      <c r="F59" s="267">
        <f t="shared" si="15"/>
        <v>1.7533680138722154</v>
      </c>
      <c r="G59" s="268">
        <f t="shared" si="16"/>
        <v>24</v>
      </c>
      <c r="H59" s="266">
        <f t="shared" si="17"/>
        <v>42.08083233293317</v>
      </c>
      <c r="I59" s="262">
        <f t="shared" si="18"/>
        <v>6.8193639440389264E-4</v>
      </c>
      <c r="L59" s="207"/>
      <c r="M59" s="77"/>
      <c r="N59" s="77"/>
      <c r="O59" s="77"/>
      <c r="P59" s="77"/>
      <c r="Q59" s="77"/>
      <c r="R59" s="77"/>
    </row>
    <row r="60" spans="1:26" s="52" customFormat="1">
      <c r="A60" s="807" t="str">
        <f t="shared" si="14"/>
        <v>B-2</v>
      </c>
      <c r="B60" s="317" t="str">
        <f t="shared" si="14"/>
        <v>B-2</v>
      </c>
      <c r="C60" s="211"/>
      <c r="D60" s="72" t="s">
        <v>504</v>
      </c>
      <c r="E60" s="335">
        <f>262.9</f>
        <v>262.89999999999998</v>
      </c>
      <c r="F60" s="267">
        <f t="shared" si="15"/>
        <v>1.7533680138722154</v>
      </c>
      <c r="G60" s="268">
        <f t="shared" si="16"/>
        <v>5</v>
      </c>
      <c r="H60" s="266">
        <f t="shared" si="17"/>
        <v>8.7668400693610771</v>
      </c>
      <c r="I60" s="262">
        <f t="shared" si="18"/>
        <v>1.4207008216747763E-4</v>
      </c>
      <c r="L60" s="207"/>
      <c r="M60" s="77"/>
      <c r="N60" s="77"/>
      <c r="O60" s="77"/>
      <c r="P60" s="77"/>
      <c r="Q60" s="77"/>
      <c r="R60" s="77"/>
    </row>
    <row r="61" spans="1:26" s="52" customFormat="1">
      <c r="A61" s="807" t="str">
        <f t="shared" si="14"/>
        <v>G-1</v>
      </c>
      <c r="B61" s="317" t="str">
        <f t="shared" si="14"/>
        <v>Wausau</v>
      </c>
      <c r="C61" s="211"/>
      <c r="D61" s="72" t="s">
        <v>504</v>
      </c>
      <c r="E61" s="335">
        <f>262.9</f>
        <v>262.89999999999998</v>
      </c>
      <c r="F61" s="267">
        <f t="shared" si="15"/>
        <v>1.7533680138722154</v>
      </c>
      <c r="G61" s="268">
        <f t="shared" si="16"/>
        <v>1</v>
      </c>
      <c r="H61" s="266">
        <f t="shared" si="17"/>
        <v>1.7533680138722154</v>
      </c>
      <c r="I61" s="262">
        <f t="shared" si="18"/>
        <v>2.8414016433495524E-5</v>
      </c>
      <c r="L61" s="207"/>
      <c r="M61" s="77"/>
      <c r="N61" s="77"/>
      <c r="O61" s="77"/>
      <c r="P61" s="77"/>
      <c r="Q61" s="77"/>
      <c r="R61" s="77"/>
    </row>
    <row r="62" spans="1:26" s="52" customFormat="1">
      <c r="A62" s="807" t="str">
        <f t="shared" si="14"/>
        <v>OL</v>
      </c>
      <c r="B62" s="317" t="str">
        <f t="shared" si="14"/>
        <v>Street Lights</v>
      </c>
      <c r="C62" s="211"/>
      <c r="D62" s="72" t="s">
        <v>502</v>
      </c>
      <c r="E62" s="814">
        <f>E54</f>
        <v>149.94</v>
      </c>
      <c r="F62" s="311">
        <f t="shared" si="15"/>
        <v>1</v>
      </c>
      <c r="G62" s="365">
        <f t="shared" si="16"/>
        <v>172</v>
      </c>
      <c r="H62" s="312">
        <v>0</v>
      </c>
      <c r="I62" s="820">
        <f>(H62/$H$63)</f>
        <v>0</v>
      </c>
      <c r="L62" s="207"/>
      <c r="M62" s="77"/>
      <c r="N62" s="77"/>
      <c r="O62" s="77"/>
      <c r="P62" s="77"/>
      <c r="Q62" s="77"/>
      <c r="R62" s="77"/>
    </row>
    <row r="63" spans="1:26" s="52" customFormat="1" ht="15" thickBot="1">
      <c r="A63" s="808"/>
      <c r="B63" s="809"/>
      <c r="C63" s="810"/>
      <c r="D63" s="809"/>
      <c r="E63" s="811"/>
      <c r="F63" s="812"/>
      <c r="G63" s="294">
        <f>SUM(G54:G62)</f>
        <v>55825</v>
      </c>
      <c r="H63" s="294">
        <f>SUM(H54:H62)</f>
        <v>61707.855275443508</v>
      </c>
      <c r="I63" s="813">
        <f>SUM(I54:I62)</f>
        <v>1</v>
      </c>
      <c r="L63" s="207"/>
      <c r="M63" s="77"/>
      <c r="N63" s="77"/>
      <c r="O63" s="77"/>
      <c r="P63" s="77"/>
      <c r="Q63" s="77"/>
      <c r="R63" s="77"/>
    </row>
    <row r="64" spans="1:26" s="52" customFormat="1">
      <c r="A64" s="320"/>
      <c r="B64" s="50"/>
      <c r="C64" s="50"/>
      <c r="D64" s="50"/>
      <c r="E64" s="50"/>
      <c r="F64" s="50"/>
      <c r="G64" s="50"/>
      <c r="H64" s="250"/>
      <c r="I64" s="274"/>
      <c r="L64" s="207"/>
      <c r="M64" s="77"/>
      <c r="N64" s="77"/>
      <c r="O64" s="77"/>
      <c r="P64" s="77"/>
      <c r="Q64" s="77"/>
      <c r="R64" s="77"/>
    </row>
    <row r="65" spans="1:23" s="52" customFormat="1">
      <c r="A65" s="32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207"/>
      <c r="M65" s="77"/>
      <c r="N65" s="77"/>
      <c r="O65" s="77"/>
      <c r="P65" s="77"/>
      <c r="Q65" s="77"/>
      <c r="R65" s="77"/>
    </row>
    <row r="66" spans="1:23" ht="15">
      <c r="A66" s="248" t="s">
        <v>128</v>
      </c>
      <c r="B66" s="249"/>
      <c r="C66" s="250"/>
      <c r="D66" s="250"/>
      <c r="E66" s="250"/>
      <c r="F66" s="250"/>
      <c r="G66" s="250"/>
      <c r="H66" s="250"/>
      <c r="I66" s="250"/>
      <c r="J66" s="250"/>
      <c r="K66" s="250"/>
      <c r="M66" s="77"/>
      <c r="N66" s="77"/>
      <c r="O66" s="77"/>
      <c r="P66" s="77"/>
      <c r="Q66" s="77"/>
      <c r="R66" s="77"/>
      <c r="S66" s="250"/>
    </row>
    <row r="67" spans="1:23" ht="15" thickBot="1">
      <c r="B67" s="250"/>
      <c r="C67" s="250"/>
      <c r="D67" s="50"/>
      <c r="E67" s="50"/>
      <c r="F67" s="50"/>
      <c r="G67" s="50"/>
      <c r="H67" s="50"/>
      <c r="I67" s="50"/>
      <c r="J67" s="50"/>
      <c r="K67" s="50"/>
      <c r="M67" s="77"/>
      <c r="N67" s="77"/>
      <c r="O67" s="77"/>
      <c r="P67" s="77"/>
      <c r="Q67" s="77"/>
      <c r="R67" s="77"/>
      <c r="S67" s="250"/>
    </row>
    <row r="68" spans="1:23" s="304" customFormat="1">
      <c r="A68" s="815"/>
      <c r="B68" s="790"/>
      <c r="C68" s="790"/>
      <c r="D68" s="801">
        <v>1</v>
      </c>
      <c r="E68" s="801">
        <v>2</v>
      </c>
      <c r="F68" s="801">
        <v>3</v>
      </c>
      <c r="G68" s="801">
        <v>4</v>
      </c>
      <c r="H68" s="801">
        <v>5</v>
      </c>
      <c r="I68" s="802">
        <v>6</v>
      </c>
      <c r="J68" s="49"/>
      <c r="K68" s="49"/>
      <c r="L68" s="321"/>
      <c r="M68" s="206"/>
      <c r="N68" s="206"/>
      <c r="O68" s="206"/>
      <c r="P68" s="206"/>
      <c r="Q68" s="206"/>
      <c r="R68" s="206"/>
      <c r="S68" s="256"/>
    </row>
    <row r="69" spans="1:23">
      <c r="A69" s="816"/>
      <c r="B69" s="250"/>
      <c r="C69" s="322"/>
      <c r="D69" s="323" t="s">
        <v>375</v>
      </c>
      <c r="E69" s="323" t="s">
        <v>1</v>
      </c>
      <c r="F69" s="324" t="s">
        <v>376</v>
      </c>
      <c r="G69" s="324" t="s">
        <v>377</v>
      </c>
      <c r="H69" s="323" t="s">
        <v>378</v>
      </c>
      <c r="I69" s="817" t="s">
        <v>82</v>
      </c>
      <c r="J69" s="50"/>
      <c r="K69" s="50"/>
      <c r="M69" s="77"/>
      <c r="N69" s="77"/>
      <c r="O69" s="77"/>
      <c r="P69" s="77"/>
      <c r="Q69" s="77"/>
      <c r="R69" s="77"/>
      <c r="S69" s="250"/>
    </row>
    <row r="70" spans="1:23" ht="16.5">
      <c r="A70" s="257" t="s">
        <v>121</v>
      </c>
      <c r="B70" s="310"/>
      <c r="C70" s="311"/>
      <c r="D70" s="342" t="s">
        <v>130</v>
      </c>
      <c r="E70" s="287" t="s">
        <v>320</v>
      </c>
      <c r="F70" s="286" t="s">
        <v>241</v>
      </c>
      <c r="G70" s="287" t="s">
        <v>213</v>
      </c>
      <c r="H70" s="287" t="s">
        <v>15</v>
      </c>
      <c r="I70" s="818" t="s">
        <v>112</v>
      </c>
      <c r="J70" s="50"/>
      <c r="K70" s="50"/>
      <c r="M70" s="77"/>
      <c r="N70" s="77"/>
      <c r="O70" s="77"/>
      <c r="P70" s="77"/>
      <c r="Q70" s="77"/>
      <c r="R70" s="77"/>
      <c r="S70" s="250"/>
    </row>
    <row r="71" spans="1:23">
      <c r="A71" s="257" t="str">
        <f t="shared" ref="A71:B78" si="19">(A4)</f>
        <v>GS 1</v>
      </c>
      <c r="B71" s="325" t="str">
        <f t="shared" si="19"/>
        <v xml:space="preserve">Residential  </v>
      </c>
      <c r="C71" s="322"/>
      <c r="D71" s="343">
        <v>4</v>
      </c>
      <c r="E71" s="326">
        <v>1</v>
      </c>
      <c r="F71" s="359">
        <f>(D71*E71)</f>
        <v>4</v>
      </c>
      <c r="G71" s="360">
        <f t="shared" ref="G71:G78" si="20">G4</f>
        <v>52931</v>
      </c>
      <c r="H71" s="360">
        <f>(F71*G71)</f>
        <v>211724</v>
      </c>
      <c r="I71" s="819">
        <f t="shared" ref="I71:I80" si="21">(H71/$H$81)</f>
        <v>0.90280085988750169</v>
      </c>
      <c r="J71" s="250"/>
      <c r="K71" s="250"/>
      <c r="M71" s="77"/>
      <c r="N71" s="77"/>
      <c r="O71" s="77"/>
      <c r="P71" s="77"/>
      <c r="Q71" s="77"/>
      <c r="R71" s="77"/>
      <c r="S71" s="250"/>
      <c r="W71" s="313"/>
    </row>
    <row r="72" spans="1:23">
      <c r="A72" s="257" t="str">
        <f t="shared" si="19"/>
        <v>GS 1</v>
      </c>
      <c r="B72" s="327" t="str">
        <f t="shared" si="19"/>
        <v>Residential TOD</v>
      </c>
      <c r="C72" s="267"/>
      <c r="D72" s="344">
        <v>5</v>
      </c>
      <c r="E72" s="328">
        <v>1</v>
      </c>
      <c r="F72" s="346">
        <f t="shared" ref="F72:F79" si="22">(D72*E72)</f>
        <v>5</v>
      </c>
      <c r="G72" s="261">
        <f t="shared" si="20"/>
        <v>38</v>
      </c>
      <c r="H72" s="261">
        <f t="shared" ref="H72:H80" si="23">(F72*G72)</f>
        <v>190</v>
      </c>
      <c r="I72" s="262">
        <f t="shared" si="21"/>
        <v>8.1016872616531581E-4</v>
      </c>
      <c r="J72" s="50"/>
      <c r="K72" s="50"/>
      <c r="M72" s="77"/>
      <c r="N72" s="77"/>
      <c r="O72" s="77"/>
      <c r="P72" s="77"/>
      <c r="Q72" s="77"/>
      <c r="R72" s="77"/>
      <c r="S72" s="250"/>
    </row>
    <row r="73" spans="1:23">
      <c r="A73" s="257" t="str">
        <f t="shared" si="19"/>
        <v>SC-1</v>
      </c>
      <c r="B73" s="327" t="str">
        <f t="shared" si="19"/>
        <v>Small Commercial</v>
      </c>
      <c r="C73" s="267"/>
      <c r="D73" s="344">
        <v>5</v>
      </c>
      <c r="E73" s="328">
        <v>1.25</v>
      </c>
      <c r="F73" s="346">
        <f t="shared" si="22"/>
        <v>6.25</v>
      </c>
      <c r="G73" s="261">
        <f t="shared" si="20"/>
        <v>2554</v>
      </c>
      <c r="H73" s="261">
        <f t="shared" si="23"/>
        <v>15962.5</v>
      </c>
      <c r="I73" s="262">
        <f t="shared" si="21"/>
        <v>6.806483311270449E-2</v>
      </c>
      <c r="J73" s="50"/>
      <c r="K73" s="50"/>
      <c r="M73" s="77"/>
      <c r="N73" s="77"/>
      <c r="O73" s="77"/>
      <c r="P73" s="77"/>
      <c r="Q73" s="77"/>
      <c r="R73" s="77"/>
      <c r="S73" s="250"/>
    </row>
    <row r="74" spans="1:23">
      <c r="A74" s="257" t="str">
        <f t="shared" si="19"/>
        <v>SC2</v>
      </c>
      <c r="B74" s="327" t="str">
        <f t="shared" si="19"/>
        <v>Small Commercial TOD</v>
      </c>
      <c r="C74" s="267"/>
      <c r="D74" s="344">
        <v>5</v>
      </c>
      <c r="E74" s="328">
        <v>1.25</v>
      </c>
      <c r="F74" s="346">
        <f t="shared" si="22"/>
        <v>6.25</v>
      </c>
      <c r="G74" s="261">
        <f t="shared" si="20"/>
        <v>43</v>
      </c>
      <c r="H74" s="261">
        <f t="shared" si="23"/>
        <v>268.75</v>
      </c>
      <c r="I74" s="262">
        <f t="shared" si="21"/>
        <v>1.1459623429312033E-3</v>
      </c>
      <c r="J74" s="50"/>
      <c r="K74" s="50"/>
      <c r="M74" s="77"/>
      <c r="N74" s="77"/>
      <c r="O74" s="77"/>
      <c r="P74" s="77"/>
      <c r="Q74" s="77"/>
      <c r="R74" s="77"/>
      <c r="S74" s="250"/>
    </row>
    <row r="75" spans="1:23" s="52" customFormat="1">
      <c r="A75" s="257" t="str">
        <f t="shared" si="19"/>
        <v>LP1</v>
      </c>
      <c r="B75" s="327" t="str">
        <f t="shared" si="19"/>
        <v>Large Power (101-500 kW)</v>
      </c>
      <c r="C75" s="55"/>
      <c r="D75" s="345">
        <v>5</v>
      </c>
      <c r="E75" s="328">
        <v>2</v>
      </c>
      <c r="F75" s="346">
        <f t="shared" si="22"/>
        <v>10</v>
      </c>
      <c r="G75" s="261">
        <f t="shared" si="20"/>
        <v>57</v>
      </c>
      <c r="H75" s="261">
        <f t="shared" si="23"/>
        <v>570</v>
      </c>
      <c r="I75" s="262">
        <f t="shared" si="21"/>
        <v>2.4305061784959474E-3</v>
      </c>
      <c r="J75" s="50"/>
      <c r="K75" s="50"/>
      <c r="L75" s="207"/>
      <c r="M75" s="77"/>
      <c r="N75" s="77"/>
      <c r="O75" s="77"/>
      <c r="P75" s="77"/>
      <c r="Q75" s="77"/>
      <c r="R75" s="77"/>
      <c r="S75" s="50"/>
    </row>
    <row r="76" spans="1:23">
      <c r="A76" s="257" t="str">
        <f t="shared" si="19"/>
        <v>LP-2</v>
      </c>
      <c r="B76" s="327" t="str">
        <f t="shared" si="19"/>
        <v>Large Power (&gt;500 kW)</v>
      </c>
      <c r="C76" s="267"/>
      <c r="D76" s="319">
        <v>5</v>
      </c>
      <c r="E76" s="328">
        <v>2</v>
      </c>
      <c r="F76" s="346">
        <f t="shared" si="22"/>
        <v>10</v>
      </c>
      <c r="G76" s="261">
        <f t="shared" si="20"/>
        <v>24</v>
      </c>
      <c r="H76" s="261">
        <f t="shared" si="23"/>
        <v>240</v>
      </c>
      <c r="I76" s="262">
        <f t="shared" si="21"/>
        <v>1.0233710225246095E-3</v>
      </c>
      <c r="J76" s="50"/>
      <c r="K76" s="50"/>
      <c r="M76" s="77"/>
      <c r="N76" s="77"/>
      <c r="O76" s="77"/>
      <c r="P76" s="77"/>
      <c r="Q76" s="77"/>
      <c r="R76" s="77"/>
      <c r="S76" s="250"/>
    </row>
    <row r="77" spans="1:23" s="77" customFormat="1">
      <c r="A77" s="257" t="str">
        <f t="shared" si="19"/>
        <v>B-2</v>
      </c>
      <c r="B77" s="327" t="str">
        <f t="shared" si="19"/>
        <v>B-2</v>
      </c>
      <c r="C77" s="221"/>
      <c r="D77" s="319">
        <v>6</v>
      </c>
      <c r="E77" s="328">
        <v>25</v>
      </c>
      <c r="F77" s="346">
        <f t="shared" si="22"/>
        <v>150</v>
      </c>
      <c r="G77" s="261">
        <f t="shared" si="20"/>
        <v>5</v>
      </c>
      <c r="H77" s="261">
        <f t="shared" si="23"/>
        <v>750</v>
      </c>
      <c r="I77" s="262">
        <f t="shared" si="21"/>
        <v>3.1980344453894044E-3</v>
      </c>
    </row>
    <row r="78" spans="1:23" s="77" customFormat="1">
      <c r="A78" s="257" t="str">
        <f t="shared" si="19"/>
        <v>G-1</v>
      </c>
      <c r="B78" s="327" t="str">
        <f t="shared" si="19"/>
        <v>Wausau</v>
      </c>
      <c r="C78" s="221"/>
      <c r="D78" s="319">
        <v>6</v>
      </c>
      <c r="E78" s="328">
        <v>50</v>
      </c>
      <c r="F78" s="346">
        <f t="shared" si="22"/>
        <v>300</v>
      </c>
      <c r="G78" s="261">
        <f t="shared" si="20"/>
        <v>1</v>
      </c>
      <c r="H78" s="261">
        <f t="shared" si="23"/>
        <v>300</v>
      </c>
      <c r="I78" s="262">
        <f t="shared" si="21"/>
        <v>1.2792137781557618E-3</v>
      </c>
    </row>
    <row r="79" spans="1:23" s="77" customFormat="1">
      <c r="A79" s="257" t="str">
        <f>(A12)</f>
        <v>OL</v>
      </c>
      <c r="B79" s="327" t="str">
        <f>(B12)</f>
        <v>Street Lights</v>
      </c>
      <c r="C79" s="221"/>
      <c r="D79" s="319">
        <v>3</v>
      </c>
      <c r="E79" s="328">
        <v>0.1</v>
      </c>
      <c r="F79" s="346">
        <f t="shared" si="22"/>
        <v>0.30000000000000004</v>
      </c>
      <c r="G79" s="261">
        <v>15046</v>
      </c>
      <c r="H79" s="261">
        <f t="shared" si="23"/>
        <v>4513.8000000000011</v>
      </c>
      <c r="I79" s="262">
        <f t="shared" si="21"/>
        <v>1.9247050506131597E-2</v>
      </c>
    </row>
    <row r="80" spans="1:23" s="77" customFormat="1">
      <c r="A80" s="257"/>
      <c r="B80" s="220"/>
      <c r="C80" s="221"/>
      <c r="D80" s="168"/>
      <c r="E80" s="168"/>
      <c r="F80" s="220"/>
      <c r="G80" s="361"/>
      <c r="H80" s="361">
        <f t="shared" si="23"/>
        <v>0</v>
      </c>
      <c r="I80" s="820">
        <f t="shared" si="21"/>
        <v>0</v>
      </c>
    </row>
    <row r="81" spans="1:12" s="77" customFormat="1" ht="13.5" thickBot="1">
      <c r="A81" s="821"/>
      <c r="B81" s="822"/>
      <c r="C81" s="823"/>
      <c r="D81" s="824"/>
      <c r="E81" s="824"/>
      <c r="F81" s="824"/>
      <c r="G81" s="825">
        <f>SUM(G71:G79)</f>
        <v>70699</v>
      </c>
      <c r="H81" s="825">
        <f>SUM(H71:H79)</f>
        <v>234519.05</v>
      </c>
      <c r="I81" s="826">
        <f>SUM(I71:I79)</f>
        <v>1</v>
      </c>
      <c r="L81" s="329" t="e">
        <f>(#REF!*5000000)</f>
        <v>#REF!</v>
      </c>
    </row>
    <row r="82" spans="1:12" s="77" customFormat="1" ht="12.75">
      <c r="I82" s="77" t="s">
        <v>1</v>
      </c>
    </row>
    <row r="83" spans="1:12" s="77" customFormat="1" ht="12.75"/>
    <row r="84" spans="1:12" s="77" customFormat="1" ht="12.75"/>
    <row r="85" spans="1:12" s="77" customFormat="1" ht="12.75"/>
    <row r="86" spans="1:12" s="77" customFormat="1" ht="12.75"/>
    <row r="87" spans="1:12" s="77" customFormat="1" ht="12.75"/>
    <row r="88" spans="1:12" s="77" customFormat="1" ht="12.75"/>
    <row r="89" spans="1:12" s="77" customFormat="1" ht="12.75"/>
    <row r="90" spans="1:12" s="77" customFormat="1" ht="12.75"/>
    <row r="91" spans="1:12" s="77" customFormat="1" ht="12.75"/>
    <row r="92" spans="1:12" s="77" customFormat="1" ht="12.75"/>
    <row r="93" spans="1:12" s="77" customFormat="1" ht="12.75"/>
    <row r="94" spans="1:12" s="77" customFormat="1" ht="12.75"/>
    <row r="95" spans="1:12" s="77" customFormat="1" ht="12.75"/>
    <row r="96" spans="1:12" s="77" customFormat="1" ht="12.75"/>
    <row r="97" spans="1:12" s="77" customFormat="1" ht="12.75"/>
    <row r="98" spans="1:12" s="77" customFormat="1" ht="12.75"/>
    <row r="99" spans="1:12" s="77" customFormat="1" ht="12.75"/>
    <row r="100" spans="1:12" s="77" customFormat="1" ht="12.75"/>
    <row r="101" spans="1:12">
      <c r="A101" s="2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252"/>
    </row>
    <row r="102" spans="1:12">
      <c r="A102" s="2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252"/>
    </row>
    <row r="103" spans="1:12">
      <c r="A103" s="2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252"/>
    </row>
    <row r="104" spans="1:12">
      <c r="A104" s="2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252"/>
    </row>
    <row r="105" spans="1:12">
      <c r="A105" s="2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252"/>
    </row>
  </sheetData>
  <hyperlinks>
    <hyperlink ref="A7" r:id="rId1" display="SC@"/>
  </hyperlinks>
  <printOptions horizontalCentered="1" verticalCentered="1"/>
  <pageMargins left="0.7" right="0.7" top="0.75" bottom="0.75" header="0.3" footer="0.3"/>
  <pageSetup scale="85" orientation="landscape" r:id="rId2"/>
  <headerFooter>
    <oddHeader>&amp;C&amp;"Arial,Bold"&amp;12BLUE GRASS ENERGY COOPERATIVE
CASE NO. 2014-00339
ALLOCATION OF CONSUMER RELATED COSTS&amp;RExhibit R
Schedule 4.2
Page ____ of ____
Witness:  Jim Adkins</oddHeader>
  </headerFooter>
  <rowBreaks count="2" manualBreakCount="2">
    <brk id="30" max="9" man="1"/>
    <brk id="64" max="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5"/>
  <sheetViews>
    <sheetView topLeftCell="A82" workbookViewId="0">
      <selection activeCell="G97" sqref="G97:N105"/>
    </sheetView>
  </sheetViews>
  <sheetFormatPr defaultRowHeight="12.75"/>
  <cols>
    <col min="1" max="1" width="12.7109375" customWidth="1"/>
    <col min="2" max="5" width="13.7109375" customWidth="1"/>
    <col min="6" max="6" width="10.5703125" customWidth="1"/>
    <col min="7" max="10" width="11.7109375" customWidth="1"/>
    <col min="11" max="11" width="11.5703125" bestFit="1" customWidth="1"/>
    <col min="12" max="12" width="12.7109375" customWidth="1"/>
    <col min="13" max="13" width="11.28515625" customWidth="1"/>
    <col min="14" max="14" width="11.7109375" customWidth="1"/>
    <col min="15" max="17" width="10.5703125" bestFit="1" customWidth="1"/>
    <col min="18" max="19" width="11.5703125" bestFit="1" customWidth="1"/>
    <col min="20" max="20" width="14.28515625" bestFit="1" customWidth="1"/>
    <col min="21" max="21" width="11.28515625" customWidth="1"/>
    <col min="22" max="22" width="13.7109375" customWidth="1"/>
    <col min="23" max="23" width="11.7109375" customWidth="1"/>
    <col min="24" max="24" width="10.85546875" bestFit="1" customWidth="1"/>
    <col min="25" max="25" width="9.28515625" customWidth="1"/>
    <col min="26" max="26" width="13.7109375" customWidth="1"/>
  </cols>
  <sheetData>
    <row r="1" spans="1:44">
      <c r="A1" s="375" t="s">
        <v>572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5"/>
      <c r="AO1" s="375"/>
      <c r="AP1" s="375"/>
      <c r="AQ1" s="375"/>
      <c r="AR1" s="375"/>
    </row>
    <row r="2" spans="1:44">
      <c r="A2" s="375" t="s">
        <v>573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5"/>
      <c r="AO2" s="375"/>
      <c r="AP2" s="375"/>
      <c r="AQ2" s="375"/>
      <c r="AR2" s="375"/>
    </row>
    <row r="3" spans="1:44">
      <c r="A3" s="375" t="s">
        <v>19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  <c r="AL3" s="375"/>
      <c r="AM3" s="375"/>
      <c r="AN3" s="375"/>
      <c r="AO3" s="375"/>
      <c r="AP3" s="375"/>
      <c r="AQ3" s="375"/>
      <c r="AR3" s="375"/>
    </row>
    <row r="4" spans="1:44">
      <c r="A4" s="375" t="s">
        <v>574</v>
      </c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  <c r="AL4" s="375"/>
      <c r="AM4" s="375"/>
      <c r="AN4" s="375"/>
      <c r="AO4" s="375"/>
      <c r="AP4" s="375"/>
      <c r="AQ4" s="375"/>
      <c r="AR4" s="375"/>
    </row>
    <row r="5" spans="1:44">
      <c r="A5" s="390" t="s">
        <v>570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  <c r="AA5" s="375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</row>
    <row r="6" spans="1:44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  <c r="AH6" s="375"/>
      <c r="AI6" s="375"/>
      <c r="AJ6" s="375"/>
      <c r="AK6" s="375"/>
      <c r="AL6" s="375"/>
      <c r="AM6" s="375"/>
      <c r="AN6" s="375"/>
      <c r="AO6" s="375"/>
      <c r="AP6" s="375"/>
      <c r="AQ6" s="375"/>
      <c r="AR6" s="375"/>
    </row>
    <row r="7" spans="1:44">
      <c r="A7" s="375" t="s">
        <v>575</v>
      </c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5"/>
      <c r="AC7" s="375"/>
      <c r="AD7" s="375"/>
      <c r="AE7" s="375"/>
      <c r="AF7" s="375"/>
      <c r="AG7" s="375"/>
      <c r="AH7" s="375"/>
      <c r="AI7" s="375"/>
      <c r="AJ7" s="375"/>
      <c r="AK7" s="375"/>
      <c r="AL7" s="375"/>
      <c r="AM7" s="375"/>
      <c r="AN7" s="375"/>
      <c r="AO7" s="375"/>
      <c r="AP7" s="375"/>
      <c r="AQ7" s="375"/>
      <c r="AR7" s="375"/>
    </row>
    <row r="8" spans="1:44">
      <c r="A8" s="375"/>
      <c r="B8" s="902" t="s">
        <v>576</v>
      </c>
      <c r="C8" s="902"/>
      <c r="D8" s="902"/>
      <c r="E8" s="391"/>
      <c r="F8" s="391"/>
      <c r="G8" s="391"/>
      <c r="H8" s="902" t="s">
        <v>577</v>
      </c>
      <c r="I8" s="902"/>
      <c r="J8" s="902"/>
      <c r="K8" s="902"/>
      <c r="L8" s="902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  <c r="Z8" s="375"/>
      <c r="AA8" s="375"/>
      <c r="AB8" s="375"/>
      <c r="AC8" s="375"/>
      <c r="AD8" s="375"/>
      <c r="AE8" s="375"/>
      <c r="AF8" s="375"/>
      <c r="AG8" s="375"/>
      <c r="AH8" s="375"/>
      <c r="AI8" s="375"/>
      <c r="AJ8" s="375"/>
      <c r="AK8" s="375"/>
      <c r="AL8" s="375"/>
      <c r="AM8" s="375"/>
      <c r="AN8" s="375"/>
      <c r="AO8" s="375"/>
      <c r="AP8" s="375"/>
      <c r="AQ8" s="375"/>
      <c r="AR8" s="375"/>
    </row>
    <row r="9" spans="1:44">
      <c r="A9" s="375"/>
      <c r="B9" s="391"/>
      <c r="C9" s="392" t="s">
        <v>578</v>
      </c>
      <c r="D9" s="391"/>
      <c r="E9" s="391"/>
      <c r="F9" s="391"/>
      <c r="G9" s="392" t="s">
        <v>566</v>
      </c>
      <c r="H9" s="391" t="s">
        <v>564</v>
      </c>
      <c r="I9" s="902" t="s">
        <v>579</v>
      </c>
      <c r="J9" s="902"/>
      <c r="K9" s="391" t="s">
        <v>580</v>
      </c>
      <c r="L9" s="391" t="s">
        <v>15</v>
      </c>
      <c r="M9" s="391" t="s">
        <v>581</v>
      </c>
      <c r="N9" s="902" t="s">
        <v>582</v>
      </c>
      <c r="O9" s="902"/>
      <c r="P9" s="902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  <c r="AB9" s="375"/>
      <c r="AC9" s="375"/>
      <c r="AD9" s="375"/>
      <c r="AE9" s="375"/>
      <c r="AF9" s="375"/>
      <c r="AG9" s="375"/>
      <c r="AH9" s="375"/>
      <c r="AI9" s="375"/>
      <c r="AJ9" s="375"/>
      <c r="AK9" s="375"/>
      <c r="AL9" s="375"/>
      <c r="AM9" s="375"/>
      <c r="AN9" s="375"/>
      <c r="AO9" s="375"/>
      <c r="AP9" s="375"/>
      <c r="AQ9" s="375"/>
      <c r="AR9" s="375"/>
    </row>
    <row r="10" spans="1:44">
      <c r="A10" s="393">
        <v>2013</v>
      </c>
      <c r="B10" s="393" t="s">
        <v>583</v>
      </c>
      <c r="C10" s="393" t="s">
        <v>558</v>
      </c>
      <c r="D10" s="393" t="s">
        <v>579</v>
      </c>
      <c r="E10" s="393" t="s">
        <v>584</v>
      </c>
      <c r="F10" s="393" t="s">
        <v>585</v>
      </c>
      <c r="G10" s="393" t="s">
        <v>586</v>
      </c>
      <c r="H10" s="393" t="s">
        <v>587</v>
      </c>
      <c r="I10" s="393" t="s">
        <v>561</v>
      </c>
      <c r="J10" s="393" t="s">
        <v>562</v>
      </c>
      <c r="K10" s="393" t="s">
        <v>4</v>
      </c>
      <c r="L10" s="393" t="s">
        <v>571</v>
      </c>
      <c r="M10" s="393" t="s">
        <v>588</v>
      </c>
      <c r="N10" s="393">
        <v>1088</v>
      </c>
      <c r="O10" s="393">
        <v>2737</v>
      </c>
      <c r="P10" s="393">
        <v>3292</v>
      </c>
      <c r="Q10" s="393">
        <v>5310</v>
      </c>
      <c r="R10" s="393"/>
      <c r="S10" s="375"/>
      <c r="T10" s="375"/>
      <c r="U10" s="375"/>
      <c r="V10" s="375"/>
      <c r="W10" s="375"/>
      <c r="X10" s="375"/>
      <c r="Y10" s="375"/>
      <c r="Z10" s="375"/>
      <c r="AA10" s="375"/>
      <c r="AB10" s="375"/>
      <c r="AC10" s="375"/>
      <c r="AD10" s="375"/>
      <c r="AE10" s="375"/>
      <c r="AF10" s="375"/>
      <c r="AG10" s="375"/>
      <c r="AH10" s="375"/>
      <c r="AI10" s="375"/>
      <c r="AJ10" s="375"/>
      <c r="AK10" s="375"/>
      <c r="AL10" s="375"/>
      <c r="AM10" s="375"/>
      <c r="AN10" s="375"/>
      <c r="AO10" s="375"/>
      <c r="AP10" s="375"/>
      <c r="AQ10" s="375"/>
      <c r="AR10" s="375"/>
    </row>
    <row r="11" spans="1:44">
      <c r="A11" s="375" t="s">
        <v>152</v>
      </c>
      <c r="B11" s="394">
        <f>(26700)-([14]Sheet1!$E$28)</f>
        <v>24431</v>
      </c>
      <c r="C11" s="394">
        <v>858</v>
      </c>
      <c r="D11" s="394">
        <f>(271848)-[14]Sheet1!$M$7</f>
        <v>264254.73599999998</v>
      </c>
      <c r="E11" s="394"/>
      <c r="F11" s="394">
        <f>([14]Sheet1!E28+[14]Sheet1!M7)</f>
        <v>9862.2639999999992</v>
      </c>
      <c r="G11" s="394">
        <f>([14]Sheet1!D28+[14]Sheet1!N7)</f>
        <v>6517327.8799632071</v>
      </c>
      <c r="H11" s="394">
        <f>18680750-[14]Sheet1!$D$28</f>
        <v>16814043</v>
      </c>
      <c r="I11" s="394">
        <f>(53093311)-([14]Sheet1!$O$7)</f>
        <v>50737347.17892044</v>
      </c>
      <c r="J11" s="394">
        <f>(65379073)-([14]Sheet1!$P$7)</f>
        <v>63084415.941116355</v>
      </c>
      <c r="K11" s="394">
        <v>22400</v>
      </c>
      <c r="L11" s="394">
        <f>SUM(F11:K11)</f>
        <v>137185396.264</v>
      </c>
      <c r="M11" s="395">
        <v>33</v>
      </c>
      <c r="N11" s="395">
        <v>1</v>
      </c>
      <c r="O11" s="395">
        <v>1</v>
      </c>
      <c r="P11" s="395">
        <v>22</v>
      </c>
      <c r="Q11" s="395">
        <v>9</v>
      </c>
      <c r="R11" s="394"/>
      <c r="S11" s="375"/>
      <c r="T11" s="375"/>
      <c r="U11" s="375"/>
      <c r="V11" s="375"/>
      <c r="W11" s="375"/>
      <c r="X11" s="375"/>
      <c r="Y11" s="375"/>
      <c r="Z11" s="375"/>
      <c r="AA11" s="375"/>
      <c r="AB11" s="375"/>
      <c r="AC11" s="375"/>
      <c r="AD11" s="375"/>
      <c r="AE11" s="375"/>
      <c r="AF11" s="375"/>
      <c r="AG11" s="375"/>
      <c r="AH11" s="375"/>
      <c r="AI11" s="375"/>
      <c r="AJ11" s="375"/>
      <c r="AK11" s="375"/>
      <c r="AL11" s="375"/>
      <c r="AM11" s="375"/>
      <c r="AN11" s="375"/>
      <c r="AO11" s="375"/>
      <c r="AP11" s="375"/>
      <c r="AQ11" s="375"/>
      <c r="AR11" s="375"/>
    </row>
    <row r="12" spans="1:44">
      <c r="A12" s="375" t="s">
        <v>153</v>
      </c>
      <c r="B12" s="394">
        <f>(26700)-([14]Sheet1!$E$29)</f>
        <v>24258</v>
      </c>
      <c r="C12" s="394">
        <v>1503</v>
      </c>
      <c r="D12" s="394">
        <f>(270485)-([14]Sheet1!$M$8)</f>
        <v>262331.71999999997</v>
      </c>
      <c r="E12" s="394"/>
      <c r="F12" s="394">
        <f>([14]Sheet1!E29+[14]Sheet1!M8)</f>
        <v>10595.279999999999</v>
      </c>
      <c r="G12" s="394">
        <f>([14]Sheet1!D29+([14]Sheet1!$N$8))</f>
        <v>6712070.3864786141</v>
      </c>
      <c r="H12" s="394">
        <f>(17099588)-([14]Sheet1!$D$29)</f>
        <v>15490691</v>
      </c>
      <c r="I12" s="394">
        <f>(46395840)-([14]Sheet1!$O$8)</f>
        <v>43810617.041267917</v>
      </c>
      <c r="J12" s="394">
        <f>(57537585)-([14]Sheet1!$P$8)</f>
        <v>55019634.572253466</v>
      </c>
      <c r="K12" s="394">
        <v>22300</v>
      </c>
      <c r="L12" s="394">
        <f t="shared" ref="L12:L18" si="0">SUM(G12:K12)</f>
        <v>121055313</v>
      </c>
      <c r="M12" s="391">
        <v>33</v>
      </c>
      <c r="N12" s="391">
        <v>1</v>
      </c>
      <c r="O12" s="395">
        <v>1</v>
      </c>
      <c r="P12" s="391">
        <v>22</v>
      </c>
      <c r="Q12" s="391">
        <v>9</v>
      </c>
      <c r="R12" s="375"/>
      <c r="S12" s="375"/>
      <c r="T12" s="375"/>
      <c r="U12" s="375"/>
      <c r="V12" s="375"/>
      <c r="W12" s="375"/>
      <c r="X12" s="375"/>
      <c r="Y12" s="375"/>
      <c r="Z12" s="375"/>
      <c r="AA12" s="375"/>
      <c r="AB12" s="375"/>
      <c r="AC12" s="375"/>
      <c r="AD12" s="375"/>
      <c r="AE12" s="375"/>
      <c r="AF12" s="375"/>
      <c r="AG12" s="375"/>
      <c r="AH12" s="375"/>
      <c r="AI12" s="375"/>
      <c r="AJ12" s="375"/>
      <c r="AK12" s="375"/>
      <c r="AL12" s="375"/>
      <c r="AM12" s="375"/>
      <c r="AN12" s="375"/>
      <c r="AO12" s="375"/>
      <c r="AP12" s="375"/>
      <c r="AQ12" s="375"/>
      <c r="AR12" s="375"/>
    </row>
    <row r="13" spans="1:44">
      <c r="A13" s="375" t="s">
        <v>154</v>
      </c>
      <c r="B13" s="394">
        <f>(26700)-([14]Sheet1!$E$30)</f>
        <v>24154</v>
      </c>
      <c r="C13" s="394">
        <v>1349</v>
      </c>
      <c r="D13" s="394">
        <f>(245171)-([14]Sheet1!$M$9)</f>
        <v>236007.3584</v>
      </c>
      <c r="E13" s="394"/>
      <c r="F13" s="394">
        <f>([14]Sheet1!E30+[14]Sheet1!M9)</f>
        <v>11709.641600000001</v>
      </c>
      <c r="G13" s="394">
        <f>([14]Sheet1!D30+[14]Sheet1!N9)</f>
        <v>4754247.8608513465</v>
      </c>
      <c r="H13" s="394">
        <f>(18425373)-([14]Sheet1!$D$30)</f>
        <v>16607592</v>
      </c>
      <c r="I13" s="394">
        <f>(49040049)-([14]Sheet1!$O$9)</f>
        <v>47552460.597390935</v>
      </c>
      <c r="J13" s="394">
        <f>(61212307)-([14]Sheet1!$P$9)</f>
        <v>59763428.541757718</v>
      </c>
      <c r="K13" s="394">
        <v>22300</v>
      </c>
      <c r="L13" s="394">
        <f t="shared" si="0"/>
        <v>128700029</v>
      </c>
      <c r="M13" s="391">
        <v>33</v>
      </c>
      <c r="N13" s="391">
        <v>1</v>
      </c>
      <c r="O13" s="395">
        <v>1</v>
      </c>
      <c r="P13" s="391">
        <v>22</v>
      </c>
      <c r="Q13" s="391">
        <v>9</v>
      </c>
      <c r="R13" s="394"/>
      <c r="S13" s="375"/>
      <c r="T13" s="375"/>
      <c r="U13" s="375"/>
      <c r="V13" s="375"/>
      <c r="W13" s="375"/>
      <c r="X13" s="375"/>
      <c r="Y13" s="375"/>
      <c r="Z13" s="375"/>
      <c r="AA13" s="375"/>
      <c r="AB13" s="375"/>
      <c r="AC13" s="375"/>
      <c r="AD13" s="375"/>
      <c r="AE13" s="375"/>
      <c r="AF13" s="375"/>
      <c r="AG13" s="375"/>
      <c r="AH13" s="375"/>
      <c r="AI13" s="375"/>
      <c r="AJ13" s="375"/>
      <c r="AK13" s="375"/>
      <c r="AL13" s="375"/>
      <c r="AM13" s="375"/>
      <c r="AN13" s="375"/>
      <c r="AO13" s="375"/>
      <c r="AP13" s="375"/>
      <c r="AQ13" s="375"/>
      <c r="AR13" s="375"/>
    </row>
    <row r="14" spans="1:44">
      <c r="A14" s="375" t="s">
        <v>155</v>
      </c>
      <c r="B14" s="394">
        <f>(28300)-([14]Sheet1!$E$31)</f>
        <v>25600</v>
      </c>
      <c r="C14" s="394">
        <v>1045</v>
      </c>
      <c r="D14" s="394">
        <f>(185405)-([14]Sheet1!$M$10)</f>
        <v>174867.54079999999</v>
      </c>
      <c r="E14" s="394"/>
      <c r="F14" s="394">
        <f>([14]Sheet1!E31+[14]Sheet1!M10)</f>
        <v>13237.459200000001</v>
      </c>
      <c r="G14" s="394">
        <f>([14]Sheet1!D31+[14]Sheet1!N10)</f>
        <v>7432982.3743676217</v>
      </c>
      <c r="H14" s="394">
        <f>(17977056)-([14]Sheet1!$D$31)</f>
        <v>16216620</v>
      </c>
      <c r="I14" s="394">
        <f>(33923279)-([14]Sheet1!$O$10)</f>
        <v>31049616.67052801</v>
      </c>
      <c r="J14" s="394">
        <f>(40600309)-([14]Sheet1!$P$10)</f>
        <v>37801424.955104373</v>
      </c>
      <c r="K14" s="394">
        <v>22300</v>
      </c>
      <c r="L14" s="394">
        <f t="shared" si="0"/>
        <v>92522944</v>
      </c>
      <c r="M14" s="391">
        <v>33</v>
      </c>
      <c r="N14" s="391">
        <v>1</v>
      </c>
      <c r="O14" s="395">
        <v>1</v>
      </c>
      <c r="P14" s="391">
        <v>22</v>
      </c>
      <c r="Q14" s="391">
        <v>9</v>
      </c>
      <c r="R14" s="394"/>
      <c r="S14" s="375"/>
      <c r="T14" s="375"/>
      <c r="U14" s="375"/>
      <c r="V14" s="375"/>
      <c r="W14" s="375"/>
      <c r="X14" s="375"/>
      <c r="Y14" s="375"/>
      <c r="Z14" s="375"/>
      <c r="AA14" s="375"/>
      <c r="AB14" s="375"/>
      <c r="AC14" s="375"/>
      <c r="AD14" s="375"/>
      <c r="AE14" s="375"/>
      <c r="AF14" s="375"/>
      <c r="AG14" s="375"/>
      <c r="AH14" s="375"/>
      <c r="AI14" s="375"/>
      <c r="AJ14" s="375"/>
      <c r="AK14" s="375"/>
      <c r="AL14" s="375"/>
      <c r="AM14" s="375"/>
      <c r="AN14" s="375"/>
      <c r="AO14" s="375"/>
      <c r="AP14" s="375"/>
      <c r="AQ14" s="375"/>
      <c r="AR14" s="375"/>
    </row>
    <row r="15" spans="1:44">
      <c r="A15" s="375" t="s">
        <v>156</v>
      </c>
      <c r="B15" s="394">
        <f>(28800)-([14]Sheet1!$E$32)</f>
        <v>26052</v>
      </c>
      <c r="C15" s="394">
        <v>48</v>
      </c>
      <c r="D15" s="394">
        <f>(175055)-([14]Sheet1!$M$11)</f>
        <v>164319.97279999999</v>
      </c>
      <c r="E15" s="394"/>
      <c r="F15" s="394">
        <f>([14]Sheet1!E32+[14]Sheet1!M11)</f>
        <v>13483.027200000002</v>
      </c>
      <c r="G15" s="394">
        <f>([14]Sheet1!D32+[14]Sheet1!N11)</f>
        <v>8432124.3629209474</v>
      </c>
      <c r="H15" s="394">
        <f>(18060866)-([14]Sheet1!$D$32)</f>
        <v>16147784</v>
      </c>
      <c r="I15" s="394">
        <f>42522622-([14]Sheet1!$O$11)</f>
        <v>39220132.21389465</v>
      </c>
      <c r="J15" s="394">
        <f>32105576-([14]Sheet1!$P$11)</f>
        <v>28889023.423184402</v>
      </c>
      <c r="K15" s="394">
        <v>22300</v>
      </c>
      <c r="L15" s="394">
        <f t="shared" si="0"/>
        <v>92711364</v>
      </c>
      <c r="M15" s="391">
        <v>33</v>
      </c>
      <c r="N15" s="391">
        <v>1</v>
      </c>
      <c r="O15" s="395">
        <v>1</v>
      </c>
      <c r="P15" s="391">
        <v>22</v>
      </c>
      <c r="Q15" s="391">
        <v>9</v>
      </c>
      <c r="R15" s="394"/>
      <c r="S15" s="375"/>
      <c r="T15" s="375"/>
      <c r="U15" s="375"/>
      <c r="V15" s="375"/>
      <c r="W15" s="375"/>
      <c r="X15" s="375"/>
      <c r="Y15" s="375"/>
      <c r="Z15" s="375"/>
      <c r="AA15" s="375"/>
      <c r="AB15" s="375"/>
      <c r="AC15" s="375"/>
      <c r="AD15" s="375"/>
      <c r="AE15" s="375"/>
      <c r="AF15" s="375"/>
      <c r="AG15" s="375"/>
      <c r="AH15" s="375"/>
      <c r="AI15" s="375"/>
      <c r="AJ15" s="375"/>
      <c r="AK15" s="375"/>
      <c r="AL15" s="375"/>
      <c r="AM15" s="375"/>
      <c r="AN15" s="375"/>
      <c r="AO15" s="375"/>
      <c r="AP15" s="375"/>
      <c r="AQ15" s="375"/>
      <c r="AR15" s="375"/>
    </row>
    <row r="16" spans="1:44">
      <c r="A16" s="375" t="s">
        <v>157</v>
      </c>
      <c r="B16" s="394">
        <f>(28900)-([14]Sheet1!$E$33)</f>
        <v>26008</v>
      </c>
      <c r="C16" s="394">
        <v>1178</v>
      </c>
      <c r="D16" s="394">
        <f>(204128)-([14]Sheet1!$M$12)</f>
        <v>193383.0404</v>
      </c>
      <c r="E16" s="394"/>
      <c r="F16" s="394">
        <f>([14]Sheet1!E33+[14]Sheet1!M12)</f>
        <v>13636.9596</v>
      </c>
      <c r="G16" s="394">
        <f>([14]Sheet1!D33+[14]Sheet1!N12)</f>
        <v>8328956.2927589556</v>
      </c>
      <c r="H16" s="394">
        <f>(18915868)-([14]Sheet1!$D$33)</f>
        <v>16988271</v>
      </c>
      <c r="I16" s="394">
        <f>(51617049)-([14]Sheet1!$O$12)</f>
        <v>48374176.426910177</v>
      </c>
      <c r="J16" s="394">
        <f>33946730-([14]Sheet1!$P$12)</f>
        <v>30788243.280330867</v>
      </c>
      <c r="K16" s="394">
        <v>22900</v>
      </c>
      <c r="L16" s="394">
        <f t="shared" si="0"/>
        <v>104502547</v>
      </c>
      <c r="M16" s="391">
        <v>33</v>
      </c>
      <c r="N16" s="391">
        <v>1</v>
      </c>
      <c r="O16" s="395">
        <v>1</v>
      </c>
      <c r="P16" s="391">
        <v>22</v>
      </c>
      <c r="Q16" s="391">
        <v>9</v>
      </c>
      <c r="R16" s="394"/>
      <c r="S16" s="375"/>
      <c r="T16" s="375"/>
      <c r="U16" s="375"/>
      <c r="V16" s="375"/>
      <c r="W16" s="375"/>
      <c r="X16" s="375"/>
      <c r="Y16" s="375"/>
      <c r="Z16" s="375"/>
      <c r="AA16" s="375"/>
      <c r="AB16" s="375"/>
      <c r="AC16" s="375"/>
      <c r="AD16" s="375"/>
      <c r="AE16" s="375"/>
      <c r="AF16" s="375"/>
      <c r="AG16" s="375"/>
      <c r="AH16" s="375"/>
      <c r="AI16" s="375"/>
      <c r="AJ16" s="375"/>
      <c r="AK16" s="375"/>
      <c r="AL16" s="375"/>
      <c r="AM16" s="375"/>
      <c r="AN16" s="375"/>
      <c r="AO16" s="375"/>
      <c r="AP16" s="375"/>
      <c r="AQ16" s="375"/>
      <c r="AR16" s="375"/>
    </row>
    <row r="17" spans="1:44">
      <c r="A17" s="375" t="s">
        <v>158</v>
      </c>
      <c r="B17" s="394">
        <f>22100</f>
        <v>22100</v>
      </c>
      <c r="C17" s="394">
        <v>720</v>
      </c>
      <c r="D17" s="394">
        <f>204666</f>
        <v>204666</v>
      </c>
      <c r="E17" s="394">
        <v>4066</v>
      </c>
      <c r="F17" s="394">
        <v>15000</v>
      </c>
      <c r="G17" s="394">
        <v>8948072</v>
      </c>
      <c r="H17" s="394">
        <f>(17416830)</f>
        <v>17416830</v>
      </c>
      <c r="I17" s="394">
        <f>52856619</f>
        <v>52856619</v>
      </c>
      <c r="J17" s="394">
        <f>34245849</f>
        <v>34245849</v>
      </c>
      <c r="K17" s="394">
        <v>22900</v>
      </c>
      <c r="L17" s="394">
        <f t="shared" si="0"/>
        <v>113490270</v>
      </c>
      <c r="M17" s="391">
        <v>33</v>
      </c>
      <c r="N17" s="391">
        <v>1</v>
      </c>
      <c r="O17" s="395">
        <v>1</v>
      </c>
      <c r="P17" s="391">
        <v>22</v>
      </c>
      <c r="Q17" s="391">
        <v>9</v>
      </c>
      <c r="R17" s="394"/>
      <c r="S17" s="375"/>
      <c r="T17" s="375"/>
      <c r="U17" s="375"/>
      <c r="V17" s="375"/>
      <c r="W17" s="375"/>
      <c r="X17" s="375"/>
      <c r="Y17" s="375"/>
      <c r="Z17" s="375"/>
      <c r="AA17" s="375"/>
      <c r="AB17" s="375"/>
      <c r="AC17" s="375"/>
      <c r="AD17" s="375"/>
      <c r="AE17" s="375"/>
      <c r="AF17" s="375"/>
      <c r="AG17" s="375"/>
      <c r="AH17" s="375"/>
      <c r="AI17" s="375"/>
      <c r="AJ17" s="375"/>
      <c r="AK17" s="375"/>
      <c r="AL17" s="375"/>
      <c r="AM17" s="375"/>
      <c r="AN17" s="375"/>
      <c r="AO17" s="375"/>
      <c r="AP17" s="375"/>
      <c r="AQ17" s="375"/>
      <c r="AR17" s="375"/>
    </row>
    <row r="18" spans="1:44">
      <c r="A18" s="375" t="s">
        <v>159</v>
      </c>
      <c r="B18" s="394">
        <v>22100</v>
      </c>
      <c r="C18" s="394">
        <v>810</v>
      </c>
      <c r="D18" s="394">
        <v>194161</v>
      </c>
      <c r="E18" s="394">
        <v>3944</v>
      </c>
      <c r="F18" s="394">
        <v>15000</v>
      </c>
      <c r="G18" s="394">
        <v>8791304</v>
      </c>
      <c r="H18" s="394">
        <v>18089595</v>
      </c>
      <c r="I18" s="394">
        <v>52984576</v>
      </c>
      <c r="J18" s="394">
        <v>33646637</v>
      </c>
      <c r="K18" s="394">
        <v>22900</v>
      </c>
      <c r="L18" s="394">
        <f t="shared" si="0"/>
        <v>113535012</v>
      </c>
      <c r="M18" s="391">
        <v>33</v>
      </c>
      <c r="N18" s="391">
        <v>1</v>
      </c>
      <c r="O18" s="395">
        <v>1</v>
      </c>
      <c r="P18" s="391">
        <v>22</v>
      </c>
      <c r="Q18" s="391">
        <v>9</v>
      </c>
      <c r="R18" s="394"/>
      <c r="S18" s="375"/>
      <c r="T18" s="375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375"/>
      <c r="AF18" s="375"/>
      <c r="AG18" s="375"/>
      <c r="AH18" s="375"/>
      <c r="AI18" s="375"/>
      <c r="AJ18" s="375"/>
      <c r="AK18" s="375"/>
      <c r="AL18" s="375"/>
      <c r="AM18" s="375"/>
      <c r="AN18" s="375"/>
      <c r="AO18" s="375"/>
      <c r="AP18" s="375"/>
      <c r="AQ18" s="375"/>
      <c r="AR18" s="375"/>
    </row>
    <row r="19" spans="1:44">
      <c r="A19" s="375" t="s">
        <v>148</v>
      </c>
      <c r="B19" s="394">
        <v>22000</v>
      </c>
      <c r="C19" s="394">
        <v>611</v>
      </c>
      <c r="D19" s="394">
        <v>193649</v>
      </c>
      <c r="E19" s="394">
        <v>4240</v>
      </c>
      <c r="F19" s="394">
        <v>15000</v>
      </c>
      <c r="G19" s="394">
        <v>8557655</v>
      </c>
      <c r="H19" s="394">
        <v>16584923</v>
      </c>
      <c r="I19" s="394">
        <v>43326976</v>
      </c>
      <c r="J19" s="394">
        <v>28656309</v>
      </c>
      <c r="K19" s="394">
        <v>22900</v>
      </c>
      <c r="L19" s="394">
        <f>SUM(H19:K19)</f>
        <v>88591108</v>
      </c>
      <c r="M19" s="391">
        <v>33</v>
      </c>
      <c r="N19" s="391">
        <v>1</v>
      </c>
      <c r="O19" s="395">
        <v>1</v>
      </c>
      <c r="P19" s="391">
        <v>22</v>
      </c>
      <c r="Q19" s="391">
        <v>9</v>
      </c>
      <c r="R19" s="394"/>
      <c r="S19" s="375"/>
      <c r="T19" s="375"/>
      <c r="U19" s="375"/>
      <c r="V19" s="375"/>
      <c r="W19" s="375"/>
      <c r="X19" s="375"/>
      <c r="Y19" s="375"/>
      <c r="Z19" s="375"/>
      <c r="AA19" s="375"/>
      <c r="AB19" s="375"/>
      <c r="AC19" s="375"/>
      <c r="AD19" s="375"/>
      <c r="AE19" s="375"/>
      <c r="AF19" s="375"/>
      <c r="AG19" s="375"/>
      <c r="AH19" s="375"/>
      <c r="AI19" s="375"/>
      <c r="AJ19" s="375"/>
      <c r="AK19" s="375"/>
      <c r="AL19" s="375"/>
      <c r="AM19" s="375"/>
      <c r="AN19" s="375"/>
      <c r="AO19" s="375"/>
      <c r="AP19" s="375"/>
      <c r="AQ19" s="375"/>
      <c r="AR19" s="375"/>
    </row>
    <row r="20" spans="1:44">
      <c r="A20" s="375" t="s">
        <v>589</v>
      </c>
      <c r="B20" s="394">
        <v>20700</v>
      </c>
      <c r="C20" s="394">
        <v>1416</v>
      </c>
      <c r="D20" s="394">
        <v>168799</v>
      </c>
      <c r="E20" s="394">
        <v>3850</v>
      </c>
      <c r="F20" s="394">
        <v>15000</v>
      </c>
      <c r="G20" s="394">
        <v>8184778</v>
      </c>
      <c r="H20" s="394">
        <v>17457622</v>
      </c>
      <c r="I20" s="394">
        <v>32266215</v>
      </c>
      <c r="J20" s="394">
        <v>37221249</v>
      </c>
      <c r="K20" s="394">
        <v>22900</v>
      </c>
      <c r="L20" s="394">
        <f>SUM(H20:K20)</f>
        <v>86967986</v>
      </c>
      <c r="M20" s="391">
        <v>33</v>
      </c>
      <c r="N20" s="391">
        <v>1</v>
      </c>
      <c r="O20" s="395">
        <v>1</v>
      </c>
      <c r="P20" s="391">
        <v>22</v>
      </c>
      <c r="Q20" s="391">
        <v>9</v>
      </c>
      <c r="R20" s="394"/>
      <c r="S20" s="375"/>
      <c r="T20" s="375"/>
      <c r="U20" s="375"/>
      <c r="V20" s="375"/>
      <c r="W20" s="375"/>
      <c r="X20" s="375"/>
      <c r="Y20" s="375"/>
      <c r="Z20" s="375"/>
      <c r="AA20" s="375"/>
      <c r="AB20" s="375"/>
      <c r="AC20" s="375"/>
      <c r="AD20" s="375"/>
      <c r="AE20" s="375"/>
      <c r="AF20" s="375"/>
      <c r="AG20" s="375"/>
      <c r="AH20" s="375"/>
      <c r="AI20" s="375"/>
      <c r="AJ20" s="375"/>
      <c r="AK20" s="375"/>
      <c r="AL20" s="375"/>
      <c r="AM20" s="375"/>
      <c r="AN20" s="375"/>
      <c r="AO20" s="375"/>
      <c r="AP20" s="375"/>
      <c r="AQ20" s="375"/>
      <c r="AR20" s="375"/>
    </row>
    <row r="21" spans="1:44">
      <c r="A21" s="375" t="s">
        <v>150</v>
      </c>
      <c r="B21" s="394">
        <v>20700</v>
      </c>
      <c r="C21" s="394">
        <v>0</v>
      </c>
      <c r="D21" s="394">
        <v>230696</v>
      </c>
      <c r="E21" s="394">
        <v>796</v>
      </c>
      <c r="F21" s="394">
        <v>15000</v>
      </c>
      <c r="G21" s="394">
        <v>8879458</v>
      </c>
      <c r="H21" s="394">
        <v>15977250</v>
      </c>
      <c r="I21" s="394">
        <v>40892996</v>
      </c>
      <c r="J21" s="394">
        <v>49202219</v>
      </c>
      <c r="K21" s="394">
        <v>22900</v>
      </c>
      <c r="L21" s="394">
        <f>SUM(H21:K21)</f>
        <v>106095365</v>
      </c>
      <c r="M21" s="391">
        <v>33</v>
      </c>
      <c r="N21" s="391">
        <v>1</v>
      </c>
      <c r="O21" s="395">
        <v>1</v>
      </c>
      <c r="P21" s="391">
        <v>22</v>
      </c>
      <c r="Q21" s="391">
        <v>9</v>
      </c>
      <c r="R21" s="394"/>
      <c r="S21" s="375"/>
      <c r="T21" s="375"/>
      <c r="U21" s="375"/>
      <c r="V21" s="375"/>
      <c r="W21" s="375"/>
      <c r="X21" s="375"/>
      <c r="Y21" s="375"/>
      <c r="Z21" s="375"/>
      <c r="AA21" s="375"/>
      <c r="AB21" s="375"/>
      <c r="AC21" s="375"/>
      <c r="AD21" s="375"/>
      <c r="AE21" s="375"/>
      <c r="AF21" s="375"/>
      <c r="AG21" s="375"/>
      <c r="AH21" s="375"/>
      <c r="AI21" s="375"/>
      <c r="AJ21" s="375"/>
      <c r="AK21" s="375"/>
      <c r="AL21" s="375"/>
      <c r="AM21" s="375"/>
      <c r="AN21" s="375"/>
      <c r="AO21" s="375"/>
      <c r="AP21" s="375"/>
      <c r="AQ21" s="375"/>
      <c r="AR21" s="375"/>
    </row>
    <row r="22" spans="1:44">
      <c r="A22" s="375" t="s">
        <v>151</v>
      </c>
      <c r="B22" s="396">
        <v>20700</v>
      </c>
      <c r="C22" s="396">
        <v>1864</v>
      </c>
      <c r="D22" s="396">
        <v>243332</v>
      </c>
      <c r="E22" s="396">
        <v>3803</v>
      </c>
      <c r="F22" s="396">
        <v>15000</v>
      </c>
      <c r="G22" s="396">
        <v>8935182</v>
      </c>
      <c r="H22" s="396">
        <v>14291888</v>
      </c>
      <c r="I22" s="396">
        <v>50795707</v>
      </c>
      <c r="J22" s="396">
        <v>61656736</v>
      </c>
      <c r="K22" s="396">
        <v>22800</v>
      </c>
      <c r="L22" s="396">
        <f>SUM(H22:K22)</f>
        <v>126767131</v>
      </c>
      <c r="M22" s="393">
        <v>33</v>
      </c>
      <c r="N22" s="393">
        <v>1</v>
      </c>
      <c r="O22" s="397">
        <v>1</v>
      </c>
      <c r="P22" s="393">
        <v>22</v>
      </c>
      <c r="Q22" s="393">
        <v>9</v>
      </c>
      <c r="R22" s="394"/>
      <c r="S22" s="375"/>
      <c r="T22" s="375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375"/>
      <c r="AI22" s="375"/>
      <c r="AJ22" s="375"/>
      <c r="AK22" s="375"/>
      <c r="AL22" s="375"/>
      <c r="AM22" s="375"/>
      <c r="AN22" s="375"/>
      <c r="AO22" s="375"/>
      <c r="AP22" s="375"/>
      <c r="AQ22" s="375"/>
      <c r="AR22" s="375"/>
    </row>
    <row r="23" spans="1:44">
      <c r="A23" s="375"/>
      <c r="B23" s="394"/>
      <c r="C23" s="394"/>
      <c r="D23" s="394"/>
      <c r="E23" s="394"/>
      <c r="F23" s="394"/>
      <c r="G23" s="394"/>
      <c r="H23" s="394"/>
      <c r="I23" s="394"/>
      <c r="J23" s="394"/>
      <c r="K23" s="394"/>
      <c r="L23" s="394"/>
      <c r="M23" s="391"/>
      <c r="N23" s="391"/>
      <c r="O23" s="391"/>
      <c r="P23" s="391"/>
      <c r="Q23" s="391"/>
      <c r="R23" s="375"/>
      <c r="S23" s="375"/>
      <c r="T23" s="375"/>
      <c r="U23" s="375"/>
      <c r="V23" s="375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  <c r="AH23" s="375"/>
      <c r="AI23" s="375"/>
      <c r="AJ23" s="375"/>
      <c r="AK23" s="375"/>
      <c r="AL23" s="375"/>
      <c r="AM23" s="375"/>
      <c r="AN23" s="375"/>
      <c r="AO23" s="375"/>
      <c r="AP23" s="375"/>
      <c r="AQ23" s="375"/>
      <c r="AR23" s="375"/>
    </row>
    <row r="24" spans="1:44">
      <c r="A24" s="375" t="s">
        <v>15</v>
      </c>
      <c r="B24" s="398">
        <f>SUM(B11:B22)</f>
        <v>278803</v>
      </c>
      <c r="C24" s="398">
        <f t="shared" ref="C24:Q24" si="1">SUM(C11:C22)</f>
        <v>11402</v>
      </c>
      <c r="D24" s="398">
        <f t="shared" si="1"/>
        <v>2530467.3684</v>
      </c>
      <c r="E24" s="398">
        <f t="shared" si="1"/>
        <v>20699</v>
      </c>
      <c r="F24" s="398">
        <f>SUM(F11:F22)</f>
        <v>162524.63159999999</v>
      </c>
      <c r="G24" s="398">
        <f>SUM(G11:G22)</f>
        <v>94474158.15734069</v>
      </c>
      <c r="H24" s="398">
        <f t="shared" si="1"/>
        <v>198083109</v>
      </c>
      <c r="I24" s="398">
        <f t="shared" si="1"/>
        <v>533867439.12891209</v>
      </c>
      <c r="J24" s="398">
        <f t="shared" si="1"/>
        <v>519975169.7137472</v>
      </c>
      <c r="K24" s="398">
        <f t="shared" si="1"/>
        <v>271800</v>
      </c>
      <c r="L24" s="398">
        <f>SUM(L11:L22)</f>
        <v>1312124465.2639999</v>
      </c>
      <c r="M24" s="399">
        <f t="shared" si="1"/>
        <v>396</v>
      </c>
      <c r="N24" s="399">
        <f t="shared" si="1"/>
        <v>12</v>
      </c>
      <c r="O24" s="399">
        <f t="shared" si="1"/>
        <v>12</v>
      </c>
      <c r="P24" s="399">
        <f t="shared" si="1"/>
        <v>264</v>
      </c>
      <c r="Q24" s="399">
        <f t="shared" si="1"/>
        <v>108</v>
      </c>
      <c r="R24" s="394"/>
      <c r="S24" s="375"/>
      <c r="T24" s="375"/>
      <c r="U24" s="375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375"/>
      <c r="AI24" s="375"/>
      <c r="AJ24" s="375"/>
      <c r="AK24" s="375"/>
      <c r="AL24" s="375"/>
      <c r="AM24" s="375"/>
      <c r="AN24" s="375"/>
      <c r="AO24" s="375"/>
      <c r="AP24" s="375"/>
      <c r="AQ24" s="375"/>
      <c r="AR24" s="375"/>
    </row>
    <row r="25" spans="1:44">
      <c r="A25" s="375"/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375"/>
      <c r="AB25" s="375"/>
      <c r="AC25" s="375"/>
      <c r="AD25" s="375"/>
      <c r="AE25" s="375"/>
      <c r="AF25" s="375"/>
      <c r="AG25" s="375"/>
      <c r="AH25" s="375"/>
      <c r="AI25" s="375"/>
      <c r="AJ25" s="375"/>
      <c r="AK25" s="375"/>
      <c r="AL25" s="375"/>
      <c r="AM25" s="375"/>
      <c r="AN25" s="375"/>
      <c r="AO25" s="375"/>
      <c r="AP25" s="375"/>
      <c r="AQ25" s="375"/>
      <c r="AR25" s="375"/>
    </row>
    <row r="26" spans="1:44">
      <c r="A26" s="375"/>
      <c r="B26" s="375">
        <v>294400</v>
      </c>
      <c r="C26" s="375"/>
      <c r="D26" s="375">
        <v>2587395</v>
      </c>
      <c r="E26" s="375"/>
      <c r="F26" s="375">
        <v>90000</v>
      </c>
      <c r="G26" s="394">
        <v>52296449</v>
      </c>
      <c r="H26" s="394">
        <v>208977609</v>
      </c>
      <c r="I26" s="394">
        <v>549715239</v>
      </c>
      <c r="J26" s="394">
        <v>535410579</v>
      </c>
      <c r="K26" s="394">
        <v>271800</v>
      </c>
      <c r="L26" s="394">
        <f>SUM(G26:J26)</f>
        <v>1346399876</v>
      </c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375"/>
      <c r="AI26" s="375"/>
      <c r="AJ26" s="375"/>
      <c r="AK26" s="375"/>
      <c r="AL26" s="375"/>
      <c r="AM26" s="375"/>
      <c r="AN26" s="375"/>
      <c r="AO26" s="375"/>
      <c r="AP26" s="375"/>
      <c r="AQ26" s="375"/>
      <c r="AR26" s="375"/>
    </row>
    <row r="27" spans="1:44">
      <c r="A27" s="375"/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94" t="s">
        <v>1</v>
      </c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375"/>
      <c r="AK27" s="375"/>
      <c r="AL27" s="375"/>
      <c r="AM27" s="375"/>
      <c r="AN27" s="375"/>
      <c r="AO27" s="375"/>
      <c r="AP27" s="375"/>
      <c r="AQ27" s="375"/>
      <c r="AR27" s="375"/>
    </row>
    <row r="28" spans="1:44">
      <c r="A28" s="375"/>
      <c r="B28" s="491">
        <f>(B26-B24)</f>
        <v>15597</v>
      </c>
      <c r="C28" s="375"/>
      <c r="D28" s="491">
        <f>(D26-D24)</f>
        <v>56927.631599999964</v>
      </c>
      <c r="E28" s="375"/>
      <c r="F28" s="394">
        <f>(F26-F24)</f>
        <v>-72524.631599999993</v>
      </c>
      <c r="G28" s="394">
        <f>(G26-G24)</f>
        <v>-42177709.15734069</v>
      </c>
      <c r="H28" s="491">
        <f>(H26-H24)</f>
        <v>10894500</v>
      </c>
      <c r="I28" s="491">
        <f>(I26-I24)</f>
        <v>15847799.871087909</v>
      </c>
      <c r="J28" s="491">
        <f>(J26-J24)</f>
        <v>15435409.286252797</v>
      </c>
      <c r="K28" s="375"/>
      <c r="L28" s="394">
        <f>SUM(G28:J28)</f>
        <v>1.4901161193847656E-8</v>
      </c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  <c r="AH28" s="375"/>
      <c r="AI28" s="375"/>
      <c r="AJ28" s="375"/>
      <c r="AK28" s="375"/>
      <c r="AL28" s="375"/>
      <c r="AM28" s="375"/>
      <c r="AN28" s="375"/>
      <c r="AO28" s="375"/>
      <c r="AP28" s="375"/>
      <c r="AQ28" s="375"/>
      <c r="AR28" s="375"/>
    </row>
    <row r="29" spans="1:44">
      <c r="A29" s="375"/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  <c r="AH29" s="375"/>
      <c r="AI29" s="375"/>
      <c r="AJ29" s="375"/>
      <c r="AK29" s="375"/>
      <c r="AL29" s="375"/>
      <c r="AM29" s="375"/>
      <c r="AN29" s="375"/>
      <c r="AO29" s="375"/>
      <c r="AP29" s="375"/>
      <c r="AQ29" s="375"/>
      <c r="AR29" s="375"/>
    </row>
    <row r="30" spans="1:44">
      <c r="A30" s="375" t="s">
        <v>572</v>
      </c>
      <c r="B30" s="375"/>
      <c r="C30" s="375"/>
      <c r="D30" s="375"/>
      <c r="E30" s="375"/>
      <c r="F30" s="394">
        <f>SUM(B28:D28)</f>
        <v>72524.631599999964</v>
      </c>
      <c r="G30" s="400"/>
      <c r="H30" s="492">
        <f>SUM(H28:J28)</f>
        <v>42177709.157340705</v>
      </c>
      <c r="K30" s="394">
        <f>SUM(I28:J28)</f>
        <v>31283209.157340705</v>
      </c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</row>
    <row r="31" spans="1:44">
      <c r="A31" s="375" t="s">
        <v>590</v>
      </c>
      <c r="B31" s="375"/>
      <c r="C31" s="375"/>
      <c r="D31" s="375"/>
      <c r="E31" s="375"/>
      <c r="F31" s="375"/>
      <c r="G31" s="400"/>
      <c r="H31" s="903"/>
      <c r="I31" s="903"/>
      <c r="J31" s="3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  <c r="AH31" s="375"/>
      <c r="AI31" s="375"/>
      <c r="AJ31" s="375"/>
      <c r="AK31" s="375"/>
      <c r="AL31" s="375"/>
      <c r="AM31" s="375"/>
      <c r="AN31" s="375"/>
      <c r="AO31" s="375"/>
      <c r="AP31" s="375"/>
      <c r="AQ31" s="375"/>
      <c r="AR31" s="375"/>
    </row>
    <row r="32" spans="1:44">
      <c r="A32" s="375" t="s">
        <v>19</v>
      </c>
      <c r="B32" s="375"/>
      <c r="C32" s="375"/>
      <c r="D32" s="375"/>
      <c r="E32" s="375"/>
      <c r="F32" s="375"/>
      <c r="G32" s="400"/>
      <c r="H32" s="401"/>
      <c r="I32" s="401"/>
      <c r="J32" s="3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  <c r="AI32" s="375"/>
      <c r="AJ32" s="375"/>
      <c r="AK32" s="375"/>
      <c r="AL32" s="375"/>
      <c r="AM32" s="375"/>
      <c r="AN32" s="375"/>
      <c r="AO32" s="375"/>
      <c r="AP32" s="375"/>
      <c r="AQ32" s="375"/>
      <c r="AR32" s="375"/>
    </row>
    <row r="33" spans="1:44">
      <c r="A33" s="402" t="str">
        <f>+A5</f>
        <v>December 31, 2013</v>
      </c>
      <c r="B33" s="375"/>
      <c r="C33" s="375"/>
      <c r="D33" s="375"/>
      <c r="E33" s="375"/>
      <c r="F33" s="375"/>
      <c r="G33" s="400"/>
      <c r="H33" s="400"/>
      <c r="I33" s="400">
        <f>(I24/(I24+J24))</f>
        <v>0.50659124488732787</v>
      </c>
      <c r="J33" s="400">
        <f>(1-I33)</f>
        <v>0.49340875511267213</v>
      </c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375"/>
      <c r="AI33" s="375"/>
      <c r="AJ33" s="375"/>
      <c r="AK33" s="375"/>
      <c r="AL33" s="375"/>
      <c r="AM33" s="375"/>
      <c r="AN33" s="375"/>
      <c r="AO33" s="375"/>
      <c r="AP33" s="375"/>
      <c r="AQ33" s="375"/>
      <c r="AR33" s="375"/>
    </row>
    <row r="34" spans="1:44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  <c r="AI34" s="375"/>
      <c r="AJ34" s="375"/>
      <c r="AK34" s="375"/>
      <c r="AL34" s="375"/>
      <c r="AM34" s="375"/>
      <c r="AN34" s="375"/>
      <c r="AO34" s="375"/>
      <c r="AP34" s="375"/>
      <c r="AQ34" s="375"/>
      <c r="AR34" s="375"/>
    </row>
    <row r="35" spans="1:44">
      <c r="A35" s="375" t="s">
        <v>591</v>
      </c>
      <c r="B35" s="375"/>
      <c r="C35" s="403"/>
      <c r="D35" s="403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</row>
    <row r="36" spans="1:44">
      <c r="A36" s="375" t="s">
        <v>592</v>
      </c>
      <c r="B36" s="375"/>
      <c r="C36" s="404">
        <v>7.17</v>
      </c>
      <c r="D36" s="404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  <c r="AI36" s="375"/>
      <c r="AJ36" s="375"/>
      <c r="AK36" s="375"/>
      <c r="AL36" s="375"/>
      <c r="AM36" s="375"/>
      <c r="AN36" s="375"/>
      <c r="AO36" s="375"/>
      <c r="AP36" s="375"/>
      <c r="AQ36" s="375"/>
      <c r="AR36" s="375"/>
    </row>
    <row r="37" spans="1:44">
      <c r="A37" s="375" t="s">
        <v>593</v>
      </c>
      <c r="B37" s="375"/>
      <c r="C37" s="404">
        <v>9.98</v>
      </c>
      <c r="D37" s="404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375"/>
      <c r="AJ37" s="375"/>
      <c r="AK37" s="375"/>
      <c r="AL37" s="375"/>
      <c r="AM37" s="375"/>
      <c r="AN37" s="375"/>
      <c r="AO37" s="375"/>
      <c r="AP37" s="375"/>
      <c r="AQ37" s="375"/>
      <c r="AR37" s="375"/>
    </row>
    <row r="38" spans="1:44">
      <c r="A38" s="375" t="s">
        <v>594</v>
      </c>
      <c r="B38" s="375"/>
      <c r="C38" s="404">
        <v>1.57</v>
      </c>
      <c r="D38" s="404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375"/>
      <c r="AK38" s="375"/>
      <c r="AL38" s="375"/>
      <c r="AM38" s="375"/>
      <c r="AN38" s="375"/>
      <c r="AO38" s="375"/>
      <c r="AP38" s="375"/>
      <c r="AQ38" s="375"/>
      <c r="AR38" s="375"/>
    </row>
    <row r="39" spans="1:44">
      <c r="A39" s="405" t="s">
        <v>595</v>
      </c>
      <c r="B39" s="375"/>
      <c r="C39" s="404">
        <v>6.98</v>
      </c>
      <c r="D39" s="404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375"/>
      <c r="AJ39" s="375"/>
      <c r="AK39" s="375"/>
      <c r="AL39" s="375"/>
      <c r="AM39" s="375"/>
      <c r="AN39" s="375"/>
      <c r="AO39" s="375"/>
      <c r="AP39" s="375"/>
      <c r="AQ39" s="375"/>
      <c r="AR39" s="375"/>
    </row>
    <row r="40" spans="1:44">
      <c r="A40" s="375" t="s">
        <v>596</v>
      </c>
      <c r="B40" s="375"/>
      <c r="C40" s="404">
        <v>7.99</v>
      </c>
      <c r="D40" s="404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375"/>
      <c r="AJ40" s="375"/>
      <c r="AK40" s="375"/>
      <c r="AL40" s="375"/>
      <c r="AM40" s="375"/>
      <c r="AN40" s="375"/>
      <c r="AO40" s="375"/>
      <c r="AP40" s="375"/>
      <c r="AQ40" s="375"/>
      <c r="AR40" s="375"/>
    </row>
    <row r="41" spans="1:44">
      <c r="A41" s="375" t="s">
        <v>597</v>
      </c>
      <c r="B41" s="375"/>
      <c r="C41" s="404">
        <v>6.02</v>
      </c>
      <c r="D41" s="404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375"/>
      <c r="AJ41" s="375"/>
      <c r="AK41" s="375"/>
      <c r="AL41" s="375"/>
      <c r="AM41" s="375"/>
      <c r="AN41" s="375"/>
      <c r="AO41" s="375"/>
      <c r="AP41" s="375"/>
      <c r="AQ41" s="375"/>
      <c r="AR41" s="375"/>
    </row>
    <row r="42" spans="1:44">
      <c r="A42" s="375" t="s">
        <v>598</v>
      </c>
      <c r="B42" s="375"/>
      <c r="C42" s="406">
        <v>4.2882000000000003E-2</v>
      </c>
      <c r="D42" s="406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375"/>
      <c r="AK42" s="375"/>
      <c r="AL42" s="375"/>
      <c r="AM42" s="375"/>
      <c r="AN42" s="375"/>
      <c r="AO42" s="375"/>
      <c r="AP42" s="375"/>
      <c r="AQ42" s="375"/>
      <c r="AR42" s="375"/>
    </row>
    <row r="43" spans="1:44">
      <c r="A43" s="405" t="s">
        <v>599</v>
      </c>
      <c r="B43" s="375"/>
      <c r="C43" s="406">
        <v>4.0847000000000001E-2</v>
      </c>
      <c r="D43" s="406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  <c r="AG43" s="375"/>
      <c r="AH43" s="375"/>
      <c r="AI43" s="375"/>
      <c r="AJ43" s="375"/>
      <c r="AK43" s="375"/>
      <c r="AL43" s="375"/>
      <c r="AM43" s="375"/>
      <c r="AN43" s="375"/>
      <c r="AO43" s="375"/>
      <c r="AP43" s="375"/>
      <c r="AQ43" s="375"/>
      <c r="AR43" s="375"/>
    </row>
    <row r="44" spans="1:44">
      <c r="A44" s="375" t="s">
        <v>600</v>
      </c>
      <c r="B44" s="375"/>
      <c r="C44" s="406">
        <v>0.45132</v>
      </c>
      <c r="D44" s="406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5"/>
      <c r="AI44" s="375"/>
      <c r="AJ44" s="375"/>
      <c r="AK44" s="375"/>
      <c r="AL44" s="375"/>
      <c r="AM44" s="375"/>
      <c r="AN44" s="375"/>
      <c r="AO44" s="375"/>
      <c r="AP44" s="375"/>
      <c r="AQ44" s="375"/>
      <c r="AR44" s="375"/>
    </row>
    <row r="45" spans="1:44">
      <c r="A45" s="375" t="s">
        <v>601</v>
      </c>
      <c r="B45" s="375"/>
      <c r="C45" s="406">
        <v>4.4554000000000003E-2</v>
      </c>
      <c r="D45" s="406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</row>
    <row r="46" spans="1:44">
      <c r="A46" s="375" t="s">
        <v>602</v>
      </c>
      <c r="B46" s="375"/>
      <c r="C46" s="406">
        <v>5.3279E-2</v>
      </c>
      <c r="D46" s="406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375"/>
      <c r="AI46" s="375"/>
      <c r="AJ46" s="375"/>
      <c r="AK46" s="375"/>
      <c r="AL46" s="375"/>
      <c r="AM46" s="375"/>
      <c r="AN46" s="375"/>
      <c r="AO46" s="375"/>
      <c r="AP46" s="375"/>
      <c r="AQ46" s="375"/>
      <c r="AR46" s="375"/>
    </row>
    <row r="47" spans="1:44">
      <c r="A47" s="375" t="s">
        <v>603</v>
      </c>
      <c r="B47" s="375"/>
      <c r="C47" s="406">
        <v>4.4554000000000003E-2</v>
      </c>
      <c r="D47" s="406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375"/>
      <c r="AK47" s="375"/>
      <c r="AL47" s="375"/>
      <c r="AM47" s="375"/>
      <c r="AN47" s="375"/>
      <c r="AO47" s="375"/>
      <c r="AP47" s="375"/>
      <c r="AQ47" s="375"/>
      <c r="AR47" s="375"/>
    </row>
    <row r="48" spans="1:44">
      <c r="A48" s="375" t="s">
        <v>604</v>
      </c>
      <c r="B48" s="375"/>
      <c r="C48" s="407">
        <v>1088</v>
      </c>
      <c r="D48" s="407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375"/>
      <c r="AJ48" s="375"/>
      <c r="AK48" s="375"/>
      <c r="AL48" s="375"/>
      <c r="AM48" s="375"/>
      <c r="AN48" s="375"/>
      <c r="AO48" s="375"/>
      <c r="AP48" s="375"/>
      <c r="AQ48" s="375"/>
      <c r="AR48" s="375"/>
    </row>
    <row r="49" spans="1:44">
      <c r="A49" s="375" t="s">
        <v>605</v>
      </c>
      <c r="B49" s="375"/>
      <c r="C49" s="407">
        <v>2737</v>
      </c>
      <c r="D49" s="407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  <c r="AG49" s="375"/>
      <c r="AH49" s="375"/>
      <c r="AI49" s="375"/>
      <c r="AJ49" s="375"/>
      <c r="AK49" s="375"/>
      <c r="AL49" s="375"/>
      <c r="AM49" s="375"/>
      <c r="AN49" s="375"/>
      <c r="AO49" s="375"/>
      <c r="AP49" s="375"/>
      <c r="AQ49" s="375"/>
      <c r="AR49" s="375"/>
    </row>
    <row r="50" spans="1:44">
      <c r="A50" s="375" t="s">
        <v>606</v>
      </c>
      <c r="B50" s="375"/>
      <c r="C50" s="407">
        <v>3292</v>
      </c>
      <c r="D50" s="407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  <c r="AK50" s="375"/>
      <c r="AL50" s="375"/>
      <c r="AM50" s="375"/>
      <c r="AN50" s="375"/>
      <c r="AO50" s="375"/>
      <c r="AP50" s="375"/>
      <c r="AQ50" s="375"/>
      <c r="AR50" s="375"/>
    </row>
    <row r="51" spans="1:44">
      <c r="A51" s="375" t="s">
        <v>607</v>
      </c>
      <c r="B51" s="375"/>
      <c r="C51" s="407">
        <v>5310</v>
      </c>
      <c r="D51" s="407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375"/>
      <c r="AL51" s="375"/>
      <c r="AM51" s="375"/>
      <c r="AN51" s="375"/>
      <c r="AO51" s="375"/>
      <c r="AP51" s="375"/>
      <c r="AQ51" s="375"/>
      <c r="AR51" s="375"/>
    </row>
    <row r="52" spans="1:44">
      <c r="A52" s="375" t="s">
        <v>608</v>
      </c>
      <c r="B52" s="375"/>
      <c r="C52" s="407">
        <v>144</v>
      </c>
      <c r="D52" s="407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375"/>
      <c r="AL52" s="375"/>
      <c r="AM52" s="375"/>
      <c r="AN52" s="375"/>
      <c r="AO52" s="375"/>
      <c r="AP52" s="375"/>
      <c r="AQ52" s="375"/>
      <c r="AR52" s="375"/>
    </row>
    <row r="53" spans="1:44">
      <c r="A53" s="375" t="s">
        <v>568</v>
      </c>
      <c r="B53" s="375"/>
      <c r="C53" s="406">
        <v>2.375E-2</v>
      </c>
      <c r="D53" s="406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375"/>
      <c r="AK53" s="375"/>
      <c r="AL53" s="375"/>
      <c r="AM53" s="375"/>
      <c r="AN53" s="375"/>
      <c r="AO53" s="375"/>
      <c r="AP53" s="375"/>
      <c r="AQ53" s="375"/>
      <c r="AR53" s="375"/>
    </row>
    <row r="54" spans="1:44">
      <c r="A54" s="375"/>
      <c r="B54" s="898" t="s">
        <v>576</v>
      </c>
      <c r="C54" s="899"/>
      <c r="D54" s="899"/>
      <c r="E54" s="899"/>
      <c r="F54" s="899"/>
      <c r="G54" s="899"/>
      <c r="H54" s="899"/>
      <c r="I54" s="898" t="s">
        <v>609</v>
      </c>
      <c r="J54" s="899"/>
      <c r="K54" s="899"/>
      <c r="L54" s="899"/>
      <c r="M54" s="899"/>
      <c r="N54" s="900"/>
      <c r="O54" s="408"/>
      <c r="P54" s="409"/>
      <c r="Q54" s="898" t="s">
        <v>582</v>
      </c>
      <c r="R54" s="899"/>
      <c r="S54" s="899"/>
      <c r="T54" s="899"/>
      <c r="U54" s="900"/>
      <c r="V54" s="391"/>
      <c r="W54" s="391"/>
      <c r="X54" s="375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375"/>
      <c r="AK54" s="375"/>
      <c r="AL54" s="375"/>
      <c r="AM54" s="375"/>
      <c r="AN54" s="375"/>
      <c r="AO54" s="375"/>
      <c r="AP54" s="375"/>
      <c r="AQ54" s="375"/>
      <c r="AR54" s="375"/>
    </row>
    <row r="55" spans="1:44" ht="15">
      <c r="A55" s="375"/>
      <c r="B55" s="410"/>
      <c r="C55" s="401" t="s">
        <v>558</v>
      </c>
      <c r="D55" s="400"/>
      <c r="E55" s="401"/>
      <c r="F55" s="401"/>
      <c r="G55" s="401" t="s">
        <v>610</v>
      </c>
      <c r="H55" s="401" t="s">
        <v>131</v>
      </c>
      <c r="I55" s="411" t="s">
        <v>564</v>
      </c>
      <c r="J55" s="412" t="s">
        <v>566</v>
      </c>
      <c r="K55" s="899" t="s">
        <v>579</v>
      </c>
      <c r="L55" s="899"/>
      <c r="M55" s="401" t="s">
        <v>580</v>
      </c>
      <c r="N55" s="413" t="s">
        <v>175</v>
      </c>
      <c r="O55" s="414" t="s">
        <v>611</v>
      </c>
      <c r="P55" s="414" t="s">
        <v>563</v>
      </c>
      <c r="Q55" s="410"/>
      <c r="R55" s="401"/>
      <c r="S55" s="401"/>
      <c r="T55" s="401"/>
      <c r="U55" s="413"/>
      <c r="V55" s="391" t="s">
        <v>612</v>
      </c>
      <c r="W55" s="391" t="s">
        <v>613</v>
      </c>
      <c r="X55" s="415" t="s">
        <v>614</v>
      </c>
      <c r="Y55" s="415"/>
      <c r="Z55" s="391"/>
      <c r="AA55" s="375"/>
      <c r="AB55" s="375"/>
      <c r="AC55" s="375"/>
      <c r="AD55" s="375"/>
      <c r="AE55" s="375"/>
      <c r="AF55" s="375"/>
      <c r="AG55" s="375"/>
      <c r="AH55" s="375"/>
      <c r="AI55" s="375"/>
      <c r="AJ55" s="375"/>
      <c r="AK55" s="375"/>
      <c r="AL55" s="375"/>
      <c r="AM55" s="375"/>
      <c r="AN55" s="375"/>
      <c r="AO55" s="375"/>
      <c r="AP55" s="375"/>
      <c r="AQ55" s="375"/>
      <c r="AR55" s="375"/>
    </row>
    <row r="56" spans="1:44" ht="15">
      <c r="A56" s="375"/>
      <c r="B56" s="385" t="s">
        <v>583</v>
      </c>
      <c r="C56" s="386" t="s">
        <v>557</v>
      </c>
      <c r="D56" s="386" t="s">
        <v>584</v>
      </c>
      <c r="E56" s="386" t="s">
        <v>579</v>
      </c>
      <c r="F56" s="386" t="s">
        <v>566</v>
      </c>
      <c r="G56" s="386" t="s">
        <v>615</v>
      </c>
      <c r="H56" s="386" t="s">
        <v>616</v>
      </c>
      <c r="I56" s="385" t="s">
        <v>587</v>
      </c>
      <c r="J56" s="386" t="s">
        <v>587</v>
      </c>
      <c r="K56" s="386" t="s">
        <v>561</v>
      </c>
      <c r="L56" s="386" t="s">
        <v>562</v>
      </c>
      <c r="M56" s="386" t="s">
        <v>4</v>
      </c>
      <c r="N56" s="387" t="s">
        <v>617</v>
      </c>
      <c r="O56" s="416" t="s">
        <v>617</v>
      </c>
      <c r="P56" s="416" t="s">
        <v>588</v>
      </c>
      <c r="Q56" s="417">
        <v>1000</v>
      </c>
      <c r="R56" s="418">
        <v>3000</v>
      </c>
      <c r="S56" s="418">
        <v>7500</v>
      </c>
      <c r="T56" s="419">
        <v>15000</v>
      </c>
      <c r="U56" s="387" t="s">
        <v>15</v>
      </c>
      <c r="V56" s="393" t="s">
        <v>618</v>
      </c>
      <c r="W56" s="393" t="s">
        <v>231</v>
      </c>
      <c r="X56" s="393" t="s">
        <v>619</v>
      </c>
      <c r="Y56" s="393" t="s">
        <v>620</v>
      </c>
      <c r="Z56" s="393" t="s">
        <v>15</v>
      </c>
      <c r="AA56" s="375"/>
      <c r="AB56" s="375"/>
      <c r="AC56" s="375"/>
      <c r="AD56" s="375"/>
      <c r="AE56" s="375"/>
      <c r="AF56" s="375"/>
      <c r="AG56" s="375"/>
      <c r="AH56" s="375"/>
      <c r="AI56" s="375"/>
      <c r="AJ56" s="375"/>
      <c r="AK56" s="375"/>
      <c r="AL56" s="375"/>
      <c r="AM56" s="375"/>
      <c r="AN56" s="375"/>
      <c r="AO56" s="375"/>
      <c r="AP56" s="375"/>
      <c r="AQ56" s="375"/>
      <c r="AR56" s="375"/>
    </row>
    <row r="57" spans="1:44">
      <c r="A57" s="375">
        <v>2013</v>
      </c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  <c r="AA57" s="374"/>
      <c r="AB57" s="375"/>
      <c r="AC57" s="375"/>
      <c r="AD57" s="375"/>
      <c r="AE57" s="375"/>
      <c r="AF57" s="375"/>
      <c r="AG57" s="375"/>
      <c r="AH57" s="375"/>
      <c r="AI57" s="375"/>
      <c r="AJ57" s="375"/>
      <c r="AK57" s="375"/>
      <c r="AL57" s="375"/>
      <c r="AM57" s="375"/>
      <c r="AN57" s="375"/>
      <c r="AO57" s="375"/>
      <c r="AP57" s="375"/>
      <c r="AQ57" s="375"/>
      <c r="AR57" s="375"/>
    </row>
    <row r="58" spans="1:44">
      <c r="A58" s="375" t="s">
        <v>152</v>
      </c>
      <c r="B58" s="374">
        <f>(B11*$C$36)</f>
        <v>175170.27</v>
      </c>
      <c r="C58" s="374">
        <f>C11*$C$37</f>
        <v>8562.84</v>
      </c>
      <c r="D58" s="374">
        <f>E11*$C$38</f>
        <v>0</v>
      </c>
      <c r="E58" s="374">
        <f>D11*$C$41</f>
        <v>1590813.5107199997</v>
      </c>
      <c r="F58" s="374">
        <f t="shared" ref="F58:F69" si="2">+F11*$C$39</f>
        <v>68838.602719999995</v>
      </c>
      <c r="G58" s="374">
        <v>5351</v>
      </c>
      <c r="H58" s="374">
        <f>SUM(B58:G58)</f>
        <v>1848736.2234399996</v>
      </c>
      <c r="I58" s="374">
        <f>+H11*$C$42</f>
        <v>721019.79192600003</v>
      </c>
      <c r="J58" s="374">
        <f>+G11*$C$43</f>
        <v>266213.29191285715</v>
      </c>
      <c r="K58" s="374">
        <f>+I11*$C$46</f>
        <v>2703235.1203457019</v>
      </c>
      <c r="L58" s="374">
        <f>+J11*$C$47</f>
        <v>2810663.0678404984</v>
      </c>
      <c r="M58" s="374">
        <f>+K11*$C$53</f>
        <v>532</v>
      </c>
      <c r="N58" s="374">
        <f>SUM(I58:M58)</f>
        <v>6501663.272025058</v>
      </c>
      <c r="O58" s="374">
        <v>0</v>
      </c>
      <c r="P58" s="374">
        <f>+M11*$C$52</f>
        <v>4752</v>
      </c>
      <c r="Q58" s="374">
        <f>+N11*$C$48</f>
        <v>1088</v>
      </c>
      <c r="R58" s="374">
        <f>+O11*$C$49</f>
        <v>2737</v>
      </c>
      <c r="S58" s="374">
        <f>+P11*$C$50</f>
        <v>72424</v>
      </c>
      <c r="T58" s="374">
        <f>+Q11*$C$51</f>
        <v>47790</v>
      </c>
      <c r="U58" s="374">
        <f>SUM(Q58:T58)</f>
        <v>124039</v>
      </c>
      <c r="V58" s="374">
        <f>+H58+N58+O58+P58+U58</f>
        <v>8479190.4954650588</v>
      </c>
      <c r="W58" s="374">
        <v>-145381</v>
      </c>
      <c r="X58" s="374">
        <v>1222566</v>
      </c>
      <c r="Y58" s="374"/>
      <c r="Z58" s="374">
        <f>SUM(V58:Y58)</f>
        <v>9556375.4954650588</v>
      </c>
      <c r="AA58" s="374"/>
      <c r="AB58" s="374">
        <f>9591109-Z58</f>
        <v>34733.504534941167</v>
      </c>
      <c r="AC58" s="375"/>
      <c r="AD58" s="375"/>
      <c r="AE58" s="375"/>
      <c r="AF58" s="375"/>
      <c r="AG58" s="375"/>
      <c r="AH58" s="375"/>
      <c r="AI58" s="375"/>
      <c r="AJ58" s="375"/>
      <c r="AK58" s="375"/>
      <c r="AL58" s="375"/>
      <c r="AM58" s="375"/>
      <c r="AN58" s="375"/>
      <c r="AO58" s="375"/>
      <c r="AP58" s="375"/>
      <c r="AQ58" s="375"/>
      <c r="AR58" s="375"/>
    </row>
    <row r="59" spans="1:44">
      <c r="A59" s="375" t="s">
        <v>153</v>
      </c>
      <c r="B59" s="374">
        <f t="shared" ref="B59:B69" si="3">(B12*$C$36)</f>
        <v>173929.86</v>
      </c>
      <c r="C59" s="374">
        <f t="shared" ref="C59:C69" si="4">C12*$C$37</f>
        <v>14999.94</v>
      </c>
      <c r="D59" s="374">
        <f t="shared" ref="D59:D69" si="5">E12*$C$38</f>
        <v>0</v>
      </c>
      <c r="E59" s="374">
        <f t="shared" ref="E59:E69" si="6">D12*$C$41</f>
        <v>1579236.9543999997</v>
      </c>
      <c r="F59" s="374">
        <f t="shared" si="2"/>
        <v>73955.054399999994</v>
      </c>
      <c r="G59" s="374">
        <v>5352</v>
      </c>
      <c r="H59" s="374">
        <f t="shared" ref="H59:H69" si="7">SUM(B59:G59)</f>
        <v>1847473.8087999998</v>
      </c>
      <c r="I59" s="374">
        <f t="shared" ref="I59:I69" si="8">+H12*$C$42</f>
        <v>664271.81146200001</v>
      </c>
      <c r="J59" s="374">
        <f>+G12*$C$43</f>
        <v>274167.93907649198</v>
      </c>
      <c r="K59" s="374">
        <f t="shared" ref="K59:K69" si="9">+I12*$C$46</f>
        <v>2334185.8653417132</v>
      </c>
      <c r="L59" s="374">
        <f t="shared" ref="L59:L69" si="10">+J12*$C$47</f>
        <v>2451344.7987321811</v>
      </c>
      <c r="M59" s="374">
        <f t="shared" ref="M59:M69" si="11">+K12*$C$53</f>
        <v>529.625</v>
      </c>
      <c r="N59" s="374">
        <f t="shared" ref="N59:N68" si="12">SUM(I59:M59)</f>
        <v>5724500.0396123864</v>
      </c>
      <c r="O59" s="374">
        <v>0</v>
      </c>
      <c r="P59" s="374">
        <f t="shared" ref="P59:P69" si="13">+M12*$C$52</f>
        <v>4752</v>
      </c>
      <c r="Q59" s="374">
        <f t="shared" ref="Q59:Q69" si="14">+N12*$C$48</f>
        <v>1088</v>
      </c>
      <c r="R59" s="374">
        <f t="shared" ref="R59:R69" si="15">+O12*$C$49</f>
        <v>2737</v>
      </c>
      <c r="S59" s="374">
        <f t="shared" ref="S59:S69" si="16">+P12*$C$50</f>
        <v>72424</v>
      </c>
      <c r="T59" s="374">
        <f t="shared" ref="T59:T69" si="17">+Q12*$C$51</f>
        <v>47790</v>
      </c>
      <c r="U59" s="374">
        <f t="shared" ref="U59:U69" si="18">SUM(Q59:T59)</f>
        <v>124039</v>
      </c>
      <c r="V59" s="374">
        <f t="shared" ref="V59:V69" si="19">+H59+N59+O59+P59+U59</f>
        <v>7700764.8484123861</v>
      </c>
      <c r="W59" s="374">
        <v>-39941</v>
      </c>
      <c r="X59" s="374">
        <v>1038448</v>
      </c>
      <c r="Y59" s="374"/>
      <c r="Z59" s="374">
        <f t="shared" ref="Z59:Z69" si="20">SUM(V59:Y59)</f>
        <v>8699271.8484123871</v>
      </c>
      <c r="AA59" s="374"/>
      <c r="AB59" s="374">
        <f>8736886-Z59</f>
        <v>37614.151587612927</v>
      </c>
      <c r="AC59" s="375"/>
      <c r="AD59" s="375"/>
      <c r="AE59" s="375"/>
      <c r="AF59" s="375"/>
      <c r="AG59" s="375"/>
      <c r="AH59" s="375"/>
      <c r="AI59" s="375"/>
      <c r="AJ59" s="375"/>
      <c r="AK59" s="375"/>
      <c r="AL59" s="375"/>
      <c r="AM59" s="375"/>
      <c r="AN59" s="375"/>
      <c r="AO59" s="375"/>
      <c r="AP59" s="375"/>
      <c r="AQ59" s="375"/>
      <c r="AR59" s="375"/>
    </row>
    <row r="60" spans="1:44">
      <c r="A60" s="375" t="s">
        <v>154</v>
      </c>
      <c r="B60" s="374">
        <f t="shared" si="3"/>
        <v>173184.18</v>
      </c>
      <c r="C60" s="374">
        <f t="shared" si="4"/>
        <v>13463.02</v>
      </c>
      <c r="D60" s="374">
        <f t="shared" si="5"/>
        <v>0</v>
      </c>
      <c r="E60" s="374">
        <f t="shared" si="6"/>
        <v>1420764.2975679999</v>
      </c>
      <c r="F60" s="374">
        <f t="shared" si="2"/>
        <v>81733.298368000018</v>
      </c>
      <c r="G60" s="374">
        <v>5353</v>
      </c>
      <c r="H60" s="374">
        <f t="shared" si="7"/>
        <v>1694497.7959359998</v>
      </c>
      <c r="I60" s="374">
        <f t="shared" si="8"/>
        <v>712166.76014400006</v>
      </c>
      <c r="J60" s="374">
        <f t="shared" ref="J60:J69" si="21">+G13*$C$43</f>
        <v>194196.76237219496</v>
      </c>
      <c r="K60" s="374">
        <f t="shared" si="9"/>
        <v>2533547.5481683915</v>
      </c>
      <c r="L60" s="374">
        <f t="shared" si="10"/>
        <v>2662699.7952494738</v>
      </c>
      <c r="M60" s="374">
        <f t="shared" si="11"/>
        <v>529.625</v>
      </c>
      <c r="N60" s="374">
        <f t="shared" si="12"/>
        <v>6103140.4909340609</v>
      </c>
      <c r="O60" s="374">
        <v>0</v>
      </c>
      <c r="P60" s="374">
        <f t="shared" si="13"/>
        <v>4752</v>
      </c>
      <c r="Q60" s="374">
        <f t="shared" si="14"/>
        <v>1088</v>
      </c>
      <c r="R60" s="374">
        <f t="shared" si="15"/>
        <v>2737</v>
      </c>
      <c r="S60" s="374">
        <f t="shared" si="16"/>
        <v>72424</v>
      </c>
      <c r="T60" s="374">
        <f t="shared" si="17"/>
        <v>47790</v>
      </c>
      <c r="U60" s="374">
        <f t="shared" si="18"/>
        <v>124039</v>
      </c>
      <c r="V60" s="374">
        <f t="shared" si="19"/>
        <v>7926429.2868700605</v>
      </c>
      <c r="W60" s="374">
        <v>-55328</v>
      </c>
      <c r="X60" s="374">
        <v>994865</v>
      </c>
      <c r="Y60" s="374"/>
      <c r="Z60" s="374">
        <f t="shared" si="20"/>
        <v>8865966.2868700605</v>
      </c>
      <c r="AA60" s="374"/>
      <c r="AB60" s="374">
        <f>8884876-Z60</f>
        <v>18909.713129939511</v>
      </c>
      <c r="AC60" s="375"/>
      <c r="AD60" s="375"/>
      <c r="AE60" s="375"/>
      <c r="AF60" s="375"/>
      <c r="AG60" s="375"/>
      <c r="AH60" s="375"/>
      <c r="AI60" s="375"/>
      <c r="AJ60" s="375"/>
      <c r="AK60" s="375"/>
      <c r="AL60" s="375"/>
      <c r="AM60" s="375"/>
      <c r="AN60" s="375"/>
      <c r="AO60" s="375"/>
      <c r="AP60" s="375"/>
      <c r="AQ60" s="375"/>
      <c r="AR60" s="375"/>
    </row>
    <row r="61" spans="1:44">
      <c r="A61" s="375" t="s">
        <v>155</v>
      </c>
      <c r="B61" s="374">
        <f t="shared" si="3"/>
        <v>183552</v>
      </c>
      <c r="C61" s="374">
        <f t="shared" si="4"/>
        <v>10429.1</v>
      </c>
      <c r="D61" s="374">
        <f t="shared" si="5"/>
        <v>0</v>
      </c>
      <c r="E61" s="374">
        <f t="shared" si="6"/>
        <v>1052702.5956159998</v>
      </c>
      <c r="F61" s="374">
        <f t="shared" si="2"/>
        <v>92397.465216000011</v>
      </c>
      <c r="G61" s="374">
        <v>5354</v>
      </c>
      <c r="H61" s="374">
        <f t="shared" si="7"/>
        <v>1344435.160832</v>
      </c>
      <c r="I61" s="374">
        <f t="shared" si="8"/>
        <v>695401.09884000011</v>
      </c>
      <c r="J61" s="374">
        <f t="shared" si="21"/>
        <v>303615.03104579425</v>
      </c>
      <c r="K61" s="374">
        <f t="shared" si="9"/>
        <v>1654292.5265890618</v>
      </c>
      <c r="L61" s="374">
        <f t="shared" si="10"/>
        <v>1684204.6874497205</v>
      </c>
      <c r="M61" s="374">
        <f t="shared" si="11"/>
        <v>529.625</v>
      </c>
      <c r="N61" s="374">
        <f t="shared" si="12"/>
        <v>4338042.9689245764</v>
      </c>
      <c r="O61" s="374">
        <v>0</v>
      </c>
      <c r="P61" s="374">
        <f t="shared" si="13"/>
        <v>4752</v>
      </c>
      <c r="Q61" s="374">
        <f t="shared" si="14"/>
        <v>1088</v>
      </c>
      <c r="R61" s="374">
        <f t="shared" si="15"/>
        <v>2737</v>
      </c>
      <c r="S61" s="374">
        <f t="shared" si="16"/>
        <v>72424</v>
      </c>
      <c r="T61" s="374">
        <f t="shared" si="17"/>
        <v>47790</v>
      </c>
      <c r="U61" s="374">
        <f t="shared" si="18"/>
        <v>124039</v>
      </c>
      <c r="V61" s="374">
        <f t="shared" si="19"/>
        <v>5811269.1297565764</v>
      </c>
      <c r="W61" s="374">
        <v>94348</v>
      </c>
      <c r="X61" s="374">
        <v>854459</v>
      </c>
      <c r="Y61" s="374"/>
      <c r="Z61" s="374">
        <f t="shared" si="20"/>
        <v>6760076.1297565764</v>
      </c>
      <c r="AA61" s="374"/>
      <c r="AB61" s="374">
        <f>6801105-Z61</f>
        <v>41028.870243423618</v>
      </c>
      <c r="AC61" s="375"/>
      <c r="AD61" s="375"/>
      <c r="AE61" s="375"/>
      <c r="AF61" s="375"/>
      <c r="AG61" s="375"/>
      <c r="AH61" s="375"/>
      <c r="AI61" s="375"/>
      <c r="AJ61" s="375"/>
      <c r="AK61" s="375"/>
      <c r="AL61" s="375"/>
      <c r="AM61" s="375"/>
      <c r="AN61" s="375"/>
      <c r="AO61" s="375"/>
      <c r="AP61" s="375"/>
      <c r="AQ61" s="375"/>
      <c r="AR61" s="375"/>
    </row>
    <row r="62" spans="1:44">
      <c r="A62" s="375" t="s">
        <v>156</v>
      </c>
      <c r="B62" s="374">
        <f t="shared" si="3"/>
        <v>186792.84</v>
      </c>
      <c r="C62" s="374">
        <f t="shared" si="4"/>
        <v>479.04</v>
      </c>
      <c r="D62" s="374">
        <f t="shared" si="5"/>
        <v>0</v>
      </c>
      <c r="E62" s="374">
        <f t="shared" si="6"/>
        <v>989206.23625599989</v>
      </c>
      <c r="F62" s="374">
        <f t="shared" si="2"/>
        <v>94111.529856000023</v>
      </c>
      <c r="G62" s="374">
        <v>5355</v>
      </c>
      <c r="H62" s="374">
        <f t="shared" si="7"/>
        <v>1275944.6461120001</v>
      </c>
      <c r="I62" s="374">
        <f t="shared" si="8"/>
        <v>692449.27348800004</v>
      </c>
      <c r="J62" s="374">
        <f t="shared" si="21"/>
        <v>344426.98385223193</v>
      </c>
      <c r="K62" s="374">
        <f t="shared" si="9"/>
        <v>2089609.4242240931</v>
      </c>
      <c r="L62" s="374">
        <f t="shared" si="10"/>
        <v>1287121.5495965579</v>
      </c>
      <c r="M62" s="374">
        <f t="shared" si="11"/>
        <v>529.625</v>
      </c>
      <c r="N62" s="374">
        <f t="shared" si="12"/>
        <v>4414136.8561608829</v>
      </c>
      <c r="O62" s="374">
        <v>0</v>
      </c>
      <c r="P62" s="374">
        <f t="shared" si="13"/>
        <v>4752</v>
      </c>
      <c r="Q62" s="374">
        <f t="shared" si="14"/>
        <v>1088</v>
      </c>
      <c r="R62" s="374">
        <f t="shared" si="15"/>
        <v>2737</v>
      </c>
      <c r="S62" s="374">
        <f t="shared" si="16"/>
        <v>72424</v>
      </c>
      <c r="T62" s="374">
        <f t="shared" si="17"/>
        <v>47790</v>
      </c>
      <c r="U62" s="374">
        <f t="shared" si="18"/>
        <v>124039</v>
      </c>
      <c r="V62" s="374">
        <f t="shared" si="19"/>
        <v>5818872.5022728834</v>
      </c>
      <c r="W62" s="374">
        <v>268798</v>
      </c>
      <c r="X62" s="374">
        <v>875486</v>
      </c>
      <c r="Y62" s="374"/>
      <c r="Z62" s="374">
        <f t="shared" si="20"/>
        <v>6963156.5022728834</v>
      </c>
      <c r="AA62" s="374"/>
      <c r="AB62" s="374">
        <f>7011163-Z62</f>
        <v>48006.49772711657</v>
      </c>
      <c r="AC62" s="375"/>
      <c r="AD62" s="375"/>
      <c r="AE62" s="375"/>
      <c r="AF62" s="375"/>
      <c r="AG62" s="375"/>
      <c r="AH62" s="375"/>
      <c r="AI62" s="375"/>
      <c r="AJ62" s="375"/>
      <c r="AK62" s="375"/>
      <c r="AL62" s="375"/>
      <c r="AM62" s="375"/>
      <c r="AN62" s="375"/>
      <c r="AO62" s="375"/>
      <c r="AP62" s="375"/>
      <c r="AQ62" s="375"/>
      <c r="AR62" s="375"/>
    </row>
    <row r="63" spans="1:44">
      <c r="A63" s="375" t="s">
        <v>157</v>
      </c>
      <c r="B63" s="374">
        <f t="shared" si="3"/>
        <v>186477.36</v>
      </c>
      <c r="C63" s="374">
        <f t="shared" si="4"/>
        <v>11756.44</v>
      </c>
      <c r="D63" s="374">
        <f t="shared" si="5"/>
        <v>0</v>
      </c>
      <c r="E63" s="374">
        <f t="shared" si="6"/>
        <v>1164165.9032079999</v>
      </c>
      <c r="F63" s="374">
        <f t="shared" si="2"/>
        <v>95185.978008000006</v>
      </c>
      <c r="G63" s="374">
        <v>5356</v>
      </c>
      <c r="H63" s="374">
        <f t="shared" si="7"/>
        <v>1462941.6812159999</v>
      </c>
      <c r="I63" s="374">
        <f t="shared" si="8"/>
        <v>728491.03702200006</v>
      </c>
      <c r="J63" s="374">
        <f t="shared" si="21"/>
        <v>340212.87769032508</v>
      </c>
      <c r="K63" s="374">
        <f t="shared" si="9"/>
        <v>2577327.7458493472</v>
      </c>
      <c r="L63" s="374">
        <f t="shared" si="10"/>
        <v>1371739.3911118614</v>
      </c>
      <c r="M63" s="374">
        <f t="shared" si="11"/>
        <v>543.875</v>
      </c>
      <c r="N63" s="374">
        <f t="shared" si="12"/>
        <v>5018314.9266735334</v>
      </c>
      <c r="O63" s="374">
        <v>0</v>
      </c>
      <c r="P63" s="374">
        <f t="shared" si="13"/>
        <v>4752</v>
      </c>
      <c r="Q63" s="374">
        <f t="shared" si="14"/>
        <v>1088</v>
      </c>
      <c r="R63" s="374">
        <f t="shared" si="15"/>
        <v>2737</v>
      </c>
      <c r="S63" s="374">
        <f t="shared" si="16"/>
        <v>72424</v>
      </c>
      <c r="T63" s="374">
        <f t="shared" si="17"/>
        <v>47790</v>
      </c>
      <c r="U63" s="374">
        <f t="shared" si="18"/>
        <v>124039</v>
      </c>
      <c r="V63" s="374">
        <f t="shared" si="19"/>
        <v>6610047.607889533</v>
      </c>
      <c r="W63" s="374">
        <v>130599</v>
      </c>
      <c r="X63" s="374">
        <v>1218100</v>
      </c>
      <c r="Y63" s="374">
        <v>-8804</v>
      </c>
      <c r="Z63" s="374">
        <f t="shared" si="20"/>
        <v>7949942.607889533</v>
      </c>
      <c r="AA63" s="374"/>
      <c r="AB63" s="374">
        <f>7997172-Z63</f>
        <v>47229.392110466957</v>
      </c>
      <c r="AC63" s="375"/>
      <c r="AD63" s="375"/>
      <c r="AE63" s="375"/>
      <c r="AF63" s="375"/>
      <c r="AG63" s="375"/>
      <c r="AH63" s="375"/>
      <c r="AI63" s="375"/>
      <c r="AJ63" s="375"/>
      <c r="AK63" s="375"/>
      <c r="AL63" s="375"/>
      <c r="AM63" s="375"/>
      <c r="AN63" s="375"/>
      <c r="AO63" s="375"/>
      <c r="AP63" s="375"/>
      <c r="AQ63" s="375"/>
      <c r="AR63" s="375"/>
    </row>
    <row r="64" spans="1:44">
      <c r="A64" s="375" t="s">
        <v>158</v>
      </c>
      <c r="B64" s="374">
        <f t="shared" si="3"/>
        <v>158457</v>
      </c>
      <c r="C64" s="374">
        <f t="shared" si="4"/>
        <v>7185.6</v>
      </c>
      <c r="D64" s="374">
        <f t="shared" si="5"/>
        <v>6383.62</v>
      </c>
      <c r="E64" s="374">
        <f t="shared" si="6"/>
        <v>1232089.3199999998</v>
      </c>
      <c r="F64" s="374">
        <f t="shared" si="2"/>
        <v>104700</v>
      </c>
      <c r="G64" s="374">
        <v>5357</v>
      </c>
      <c r="H64" s="374">
        <f t="shared" si="7"/>
        <v>1514172.5399999998</v>
      </c>
      <c r="I64" s="374">
        <f t="shared" si="8"/>
        <v>746868.50406000006</v>
      </c>
      <c r="J64" s="374">
        <f t="shared" si="21"/>
        <v>365501.89698399999</v>
      </c>
      <c r="K64" s="374">
        <f t="shared" si="9"/>
        <v>2816147.8037009998</v>
      </c>
      <c r="L64" s="374">
        <f t="shared" si="10"/>
        <v>1525789.5563460002</v>
      </c>
      <c r="M64" s="374">
        <f t="shared" si="11"/>
        <v>543.875</v>
      </c>
      <c r="N64" s="374">
        <f t="shared" si="12"/>
        <v>5454851.6360909995</v>
      </c>
      <c r="O64" s="420">
        <v>11083</v>
      </c>
      <c r="P64" s="374">
        <f t="shared" si="13"/>
        <v>4752</v>
      </c>
      <c r="Q64" s="374">
        <f t="shared" si="14"/>
        <v>1088</v>
      </c>
      <c r="R64" s="374">
        <f t="shared" si="15"/>
        <v>2737</v>
      </c>
      <c r="S64" s="374">
        <f t="shared" si="16"/>
        <v>72424</v>
      </c>
      <c r="T64" s="374">
        <f t="shared" si="17"/>
        <v>47790</v>
      </c>
      <c r="U64" s="374">
        <f t="shared" si="18"/>
        <v>124039</v>
      </c>
      <c r="V64" s="374">
        <f t="shared" si="19"/>
        <v>7108898.1760909995</v>
      </c>
      <c r="W64" s="374">
        <v>-228069</v>
      </c>
      <c r="X64" s="374">
        <v>1174321</v>
      </c>
      <c r="Y64" s="374">
        <v>-8804</v>
      </c>
      <c r="Z64" s="374">
        <f t="shared" si="20"/>
        <v>8046346.1760909995</v>
      </c>
      <c r="AA64" s="374"/>
      <c r="AB64" s="374">
        <f>8046272-Z64</f>
        <v>-74.176090999506414</v>
      </c>
      <c r="AC64" s="375"/>
      <c r="AD64" s="375"/>
      <c r="AE64" s="375"/>
      <c r="AF64" s="375"/>
      <c r="AG64" s="375"/>
      <c r="AH64" s="375"/>
      <c r="AI64" s="375"/>
      <c r="AJ64" s="375"/>
      <c r="AK64" s="375"/>
      <c r="AL64" s="375"/>
      <c r="AM64" s="375"/>
      <c r="AN64" s="375"/>
      <c r="AO64" s="375"/>
      <c r="AP64" s="375"/>
      <c r="AQ64" s="375"/>
      <c r="AR64" s="375"/>
    </row>
    <row r="65" spans="1:44">
      <c r="A65" s="375" t="s">
        <v>159</v>
      </c>
      <c r="B65" s="374">
        <f t="shared" si="3"/>
        <v>158457</v>
      </c>
      <c r="C65" s="374">
        <f t="shared" si="4"/>
        <v>8083.8</v>
      </c>
      <c r="D65" s="374">
        <f t="shared" si="5"/>
        <v>6192.08</v>
      </c>
      <c r="E65" s="374">
        <f t="shared" si="6"/>
        <v>1168849.22</v>
      </c>
      <c r="F65" s="374">
        <f t="shared" si="2"/>
        <v>104700</v>
      </c>
      <c r="G65" s="374">
        <v>5358</v>
      </c>
      <c r="H65" s="374">
        <f t="shared" si="7"/>
        <v>1451640.0999999999</v>
      </c>
      <c r="I65" s="374">
        <f t="shared" si="8"/>
        <v>775718.01279000007</v>
      </c>
      <c r="J65" s="374">
        <f t="shared" si="21"/>
        <v>359098.39448800002</v>
      </c>
      <c r="K65" s="374">
        <f t="shared" si="9"/>
        <v>2822965.2247040002</v>
      </c>
      <c r="L65" s="374">
        <f t="shared" si="10"/>
        <v>1499092.2648980001</v>
      </c>
      <c r="M65" s="374">
        <f t="shared" si="11"/>
        <v>543.875</v>
      </c>
      <c r="N65" s="374">
        <f t="shared" si="12"/>
        <v>5457417.7718800008</v>
      </c>
      <c r="O65" s="374">
        <v>0</v>
      </c>
      <c r="P65" s="374">
        <f t="shared" si="13"/>
        <v>4752</v>
      </c>
      <c r="Q65" s="374">
        <f t="shared" si="14"/>
        <v>1088</v>
      </c>
      <c r="R65" s="374">
        <f t="shared" si="15"/>
        <v>2737</v>
      </c>
      <c r="S65" s="374">
        <f t="shared" si="16"/>
        <v>72424</v>
      </c>
      <c r="T65" s="374">
        <f t="shared" si="17"/>
        <v>47790</v>
      </c>
      <c r="U65" s="374">
        <f t="shared" si="18"/>
        <v>124039</v>
      </c>
      <c r="V65" s="374">
        <f t="shared" si="19"/>
        <v>7037848.8718800005</v>
      </c>
      <c r="W65" s="374">
        <v>-187294</v>
      </c>
      <c r="X65" s="374">
        <v>1078891</v>
      </c>
      <c r="Y65" s="374">
        <v>-9210</v>
      </c>
      <c r="Z65" s="374">
        <f t="shared" si="20"/>
        <v>7920235.8718800005</v>
      </c>
      <c r="AA65" s="374"/>
      <c r="AB65" s="374">
        <f>7920848-Z65</f>
        <v>612.12811999954283</v>
      </c>
      <c r="AC65" s="375"/>
      <c r="AD65" s="375"/>
      <c r="AE65" s="375"/>
      <c r="AF65" s="375"/>
      <c r="AG65" s="375"/>
      <c r="AH65" s="375"/>
      <c r="AI65" s="375"/>
      <c r="AJ65" s="375"/>
      <c r="AK65" s="375"/>
      <c r="AL65" s="375"/>
      <c r="AM65" s="375"/>
      <c r="AN65" s="375"/>
      <c r="AO65" s="375"/>
      <c r="AP65" s="375"/>
      <c r="AQ65" s="375"/>
      <c r="AR65" s="375"/>
    </row>
    <row r="66" spans="1:44">
      <c r="A66" s="375" t="s">
        <v>148</v>
      </c>
      <c r="B66" s="374">
        <f t="shared" si="3"/>
        <v>157740</v>
      </c>
      <c r="C66" s="374">
        <f t="shared" si="4"/>
        <v>6097.7800000000007</v>
      </c>
      <c r="D66" s="374">
        <f t="shared" si="5"/>
        <v>6656.8</v>
      </c>
      <c r="E66" s="374">
        <f t="shared" si="6"/>
        <v>1165766.98</v>
      </c>
      <c r="F66" s="374">
        <f t="shared" si="2"/>
        <v>104700</v>
      </c>
      <c r="G66" s="374">
        <v>5359</v>
      </c>
      <c r="H66" s="374">
        <f t="shared" si="7"/>
        <v>1446320.56</v>
      </c>
      <c r="I66" s="374">
        <f t="shared" si="8"/>
        <v>711194.66808600002</v>
      </c>
      <c r="J66" s="374">
        <f t="shared" si="21"/>
        <v>349554.53378500004</v>
      </c>
      <c r="K66" s="374">
        <f t="shared" si="9"/>
        <v>2308417.9543039999</v>
      </c>
      <c r="L66" s="374">
        <f t="shared" si="10"/>
        <v>1276753.1911860001</v>
      </c>
      <c r="M66" s="374">
        <f t="shared" si="11"/>
        <v>543.875</v>
      </c>
      <c r="N66" s="374">
        <f t="shared" si="12"/>
        <v>4646464.2223610003</v>
      </c>
      <c r="O66" s="374">
        <v>0</v>
      </c>
      <c r="P66" s="374">
        <f t="shared" si="13"/>
        <v>4752</v>
      </c>
      <c r="Q66" s="374">
        <f t="shared" si="14"/>
        <v>1088</v>
      </c>
      <c r="R66" s="374">
        <f t="shared" si="15"/>
        <v>2737</v>
      </c>
      <c r="S66" s="374">
        <f t="shared" si="16"/>
        <v>72424</v>
      </c>
      <c r="T66" s="374">
        <f t="shared" si="17"/>
        <v>47790</v>
      </c>
      <c r="U66" s="374">
        <f t="shared" si="18"/>
        <v>124039</v>
      </c>
      <c r="V66" s="374">
        <f t="shared" si="19"/>
        <v>6221575.7823610008</v>
      </c>
      <c r="W66" s="374">
        <v>-207850</v>
      </c>
      <c r="X66" s="374">
        <v>930331</v>
      </c>
      <c r="Y66" s="374">
        <v>-9646</v>
      </c>
      <c r="Z66" s="374">
        <f t="shared" si="20"/>
        <v>6934410.7823610008</v>
      </c>
      <c r="AA66" s="374"/>
      <c r="AB66" s="374">
        <f>6936877-Z66</f>
        <v>2466.2176389992237</v>
      </c>
      <c r="AC66" s="375"/>
      <c r="AD66" s="375"/>
      <c r="AE66" s="375"/>
      <c r="AF66" s="375"/>
      <c r="AG66" s="375"/>
      <c r="AH66" s="375"/>
      <c r="AI66" s="375"/>
      <c r="AJ66" s="375"/>
      <c r="AK66" s="375"/>
      <c r="AL66" s="375"/>
      <c r="AM66" s="375"/>
      <c r="AN66" s="375"/>
      <c r="AO66" s="375"/>
      <c r="AP66" s="375"/>
      <c r="AQ66" s="375"/>
      <c r="AR66" s="375"/>
    </row>
    <row r="67" spans="1:44">
      <c r="A67" s="375" t="s">
        <v>589</v>
      </c>
      <c r="B67" s="374">
        <f t="shared" si="3"/>
        <v>148419</v>
      </c>
      <c r="C67" s="374">
        <f t="shared" si="4"/>
        <v>14131.68</v>
      </c>
      <c r="D67" s="374">
        <f t="shared" si="5"/>
        <v>6044.5</v>
      </c>
      <c r="E67" s="374">
        <f t="shared" si="6"/>
        <v>1016169.98</v>
      </c>
      <c r="F67" s="374">
        <f t="shared" si="2"/>
        <v>104700</v>
      </c>
      <c r="G67" s="374">
        <v>5360</v>
      </c>
      <c r="H67" s="374">
        <f t="shared" si="7"/>
        <v>1294825.1599999999</v>
      </c>
      <c r="I67" s="374">
        <f t="shared" si="8"/>
        <v>748617.7466040001</v>
      </c>
      <c r="J67" s="374">
        <f t="shared" si="21"/>
        <v>334323.62696600001</v>
      </c>
      <c r="K67" s="374">
        <f t="shared" si="9"/>
        <v>1719111.6689850001</v>
      </c>
      <c r="L67" s="374">
        <f t="shared" si="10"/>
        <v>1658355.5279460002</v>
      </c>
      <c r="M67" s="374">
        <f t="shared" si="11"/>
        <v>543.875</v>
      </c>
      <c r="N67" s="374">
        <f t="shared" si="12"/>
        <v>4460952.4455010006</v>
      </c>
      <c r="O67" s="374">
        <v>0</v>
      </c>
      <c r="P67" s="374">
        <f t="shared" si="13"/>
        <v>4752</v>
      </c>
      <c r="Q67" s="374">
        <f t="shared" si="14"/>
        <v>1088</v>
      </c>
      <c r="R67" s="374">
        <f t="shared" si="15"/>
        <v>2737</v>
      </c>
      <c r="S67" s="374">
        <f t="shared" si="16"/>
        <v>72424</v>
      </c>
      <c r="T67" s="374">
        <f t="shared" si="17"/>
        <v>47790</v>
      </c>
      <c r="U67" s="374">
        <f t="shared" si="18"/>
        <v>124039</v>
      </c>
      <c r="V67" s="374">
        <f t="shared" si="19"/>
        <v>5884568.6055010008</v>
      </c>
      <c r="W67" s="374">
        <v>-314881</v>
      </c>
      <c r="X67" s="374">
        <v>830013</v>
      </c>
      <c r="Y67" s="374">
        <v>-10973</v>
      </c>
      <c r="Z67" s="374">
        <f t="shared" si="20"/>
        <v>6388727.6055010008</v>
      </c>
      <c r="AA67" s="374"/>
      <c r="AB67" s="374">
        <f>6389906-Z67</f>
        <v>1178.3944989992306</v>
      </c>
      <c r="AC67" s="375"/>
      <c r="AD67" s="375"/>
      <c r="AE67" s="375"/>
      <c r="AF67" s="375"/>
      <c r="AG67" s="375"/>
      <c r="AH67" s="375"/>
      <c r="AI67" s="375"/>
      <c r="AJ67" s="375"/>
      <c r="AK67" s="375"/>
      <c r="AL67" s="375"/>
      <c r="AM67" s="375"/>
      <c r="AN67" s="375"/>
      <c r="AO67" s="375"/>
      <c r="AP67" s="375"/>
      <c r="AQ67" s="375"/>
      <c r="AR67" s="375"/>
    </row>
    <row r="68" spans="1:44">
      <c r="A68" s="375" t="s">
        <v>150</v>
      </c>
      <c r="B68" s="374">
        <f t="shared" si="3"/>
        <v>148419</v>
      </c>
      <c r="C68" s="374">
        <f t="shared" si="4"/>
        <v>0</v>
      </c>
      <c r="D68" s="374">
        <f t="shared" si="5"/>
        <v>1249.72</v>
      </c>
      <c r="E68" s="374">
        <f t="shared" si="6"/>
        <v>1388789.92</v>
      </c>
      <c r="F68" s="374">
        <f t="shared" si="2"/>
        <v>104700</v>
      </c>
      <c r="G68" s="374">
        <v>5361</v>
      </c>
      <c r="H68" s="374">
        <f t="shared" si="7"/>
        <v>1648519.64</v>
      </c>
      <c r="I68" s="374">
        <f t="shared" si="8"/>
        <v>685136.43450000009</v>
      </c>
      <c r="J68" s="374">
        <f t="shared" si="21"/>
        <v>362699.22092600004</v>
      </c>
      <c r="K68" s="374">
        <f t="shared" si="9"/>
        <v>2178737.9338839999</v>
      </c>
      <c r="L68" s="374">
        <f t="shared" si="10"/>
        <v>2192155.6653260002</v>
      </c>
      <c r="M68" s="374">
        <f t="shared" si="11"/>
        <v>543.875</v>
      </c>
      <c r="N68" s="374">
        <f t="shared" si="12"/>
        <v>5419273.1296360008</v>
      </c>
      <c r="O68" s="374">
        <v>0</v>
      </c>
      <c r="P68" s="374">
        <f t="shared" si="13"/>
        <v>4752</v>
      </c>
      <c r="Q68" s="374">
        <f t="shared" si="14"/>
        <v>1088</v>
      </c>
      <c r="R68" s="374">
        <f t="shared" si="15"/>
        <v>2737</v>
      </c>
      <c r="S68" s="374">
        <f t="shared" si="16"/>
        <v>72424</v>
      </c>
      <c r="T68" s="374">
        <f t="shared" si="17"/>
        <v>47790</v>
      </c>
      <c r="U68" s="374">
        <f>SUM(Q68:T68)</f>
        <v>124039</v>
      </c>
      <c r="V68" s="374">
        <f t="shared" si="19"/>
        <v>7196583.7696360005</v>
      </c>
      <c r="W68" s="374">
        <v>-258645</v>
      </c>
      <c r="X68" s="374">
        <v>1155358</v>
      </c>
      <c r="Y68" s="374">
        <v>-12128</v>
      </c>
      <c r="Z68" s="374">
        <f t="shared" si="20"/>
        <v>8081168.7696360005</v>
      </c>
      <c r="AA68" s="374"/>
      <c r="AB68" s="374">
        <f>8078367-Z68</f>
        <v>-2801.7696360005066</v>
      </c>
      <c r="AC68" s="375"/>
      <c r="AD68" s="375"/>
      <c r="AE68" s="375"/>
      <c r="AF68" s="375"/>
      <c r="AG68" s="375"/>
      <c r="AH68" s="375"/>
      <c r="AI68" s="375"/>
      <c r="AJ68" s="375"/>
      <c r="AK68" s="375"/>
      <c r="AL68" s="375"/>
      <c r="AM68" s="375"/>
      <c r="AN68" s="375"/>
      <c r="AO68" s="375"/>
      <c r="AP68" s="375"/>
      <c r="AQ68" s="375"/>
      <c r="AR68" s="375"/>
    </row>
    <row r="69" spans="1:44" ht="15">
      <c r="A69" s="375" t="s">
        <v>151</v>
      </c>
      <c r="B69" s="421">
        <f t="shared" si="3"/>
        <v>148419</v>
      </c>
      <c r="C69" s="421">
        <f t="shared" si="4"/>
        <v>18602.72</v>
      </c>
      <c r="D69" s="421">
        <f t="shared" si="5"/>
        <v>5970.71</v>
      </c>
      <c r="E69" s="421">
        <f t="shared" si="6"/>
        <v>1464858.64</v>
      </c>
      <c r="F69" s="421">
        <f t="shared" si="2"/>
        <v>104700</v>
      </c>
      <c r="G69" s="421">
        <v>5362</v>
      </c>
      <c r="H69" s="421">
        <f t="shared" si="7"/>
        <v>1747913.0699999998</v>
      </c>
      <c r="I69" s="421">
        <f t="shared" si="8"/>
        <v>612864.74121600005</v>
      </c>
      <c r="J69" s="421">
        <f t="shared" si="21"/>
        <v>364975.37915400002</v>
      </c>
      <c r="K69" s="374">
        <f t="shared" si="9"/>
        <v>2706344.4732530001</v>
      </c>
      <c r="L69" s="421">
        <f t="shared" si="10"/>
        <v>2747054.2157440004</v>
      </c>
      <c r="M69" s="421">
        <f t="shared" si="11"/>
        <v>541.5</v>
      </c>
      <c r="N69" s="421">
        <f>SUM(I69:M69)</f>
        <v>6431780.3093670011</v>
      </c>
      <c r="O69" s="422">
        <v>0</v>
      </c>
      <c r="P69" s="421">
        <f t="shared" si="13"/>
        <v>4752</v>
      </c>
      <c r="Q69" s="421">
        <f t="shared" si="14"/>
        <v>1088</v>
      </c>
      <c r="R69" s="421">
        <f t="shared" si="15"/>
        <v>2737</v>
      </c>
      <c r="S69" s="421">
        <f t="shared" si="16"/>
        <v>72424</v>
      </c>
      <c r="T69" s="421">
        <f t="shared" si="17"/>
        <v>47790</v>
      </c>
      <c r="U69" s="421">
        <f t="shared" si="18"/>
        <v>124039</v>
      </c>
      <c r="V69" s="421">
        <f t="shared" si="19"/>
        <v>8308484.3793670014</v>
      </c>
      <c r="W69" s="422">
        <v>-56985</v>
      </c>
      <c r="X69" s="422">
        <v>1436079</v>
      </c>
      <c r="Y69" s="422">
        <v>-12128</v>
      </c>
      <c r="Z69" s="421">
        <f t="shared" si="20"/>
        <v>9675450.3793670014</v>
      </c>
      <c r="AA69" s="374"/>
      <c r="AB69" s="374">
        <f>9675741-Z69</f>
        <v>290.62063299864531</v>
      </c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5"/>
      <c r="AN69" s="375"/>
      <c r="AO69" s="375"/>
      <c r="AP69" s="375"/>
      <c r="AQ69" s="375"/>
      <c r="AR69" s="375"/>
    </row>
    <row r="70" spans="1:44">
      <c r="A70" s="375"/>
      <c r="B70" s="374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4">
        <f>SUM(AB58:AB69)</f>
        <v>229193.54449749738</v>
      </c>
      <c r="AC70" s="375"/>
      <c r="AD70" s="375"/>
      <c r="AE70" s="375"/>
      <c r="AF70" s="375"/>
      <c r="AG70" s="375"/>
      <c r="AH70" s="375"/>
      <c r="AI70" s="375"/>
      <c r="AJ70" s="375"/>
      <c r="AK70" s="375"/>
      <c r="AL70" s="375"/>
      <c r="AM70" s="375"/>
      <c r="AN70" s="375"/>
      <c r="AO70" s="375"/>
      <c r="AP70" s="375"/>
      <c r="AQ70" s="375"/>
      <c r="AR70" s="375"/>
    </row>
    <row r="71" spans="1:44" ht="15.75" thickBot="1">
      <c r="A71" s="375" t="s">
        <v>15</v>
      </c>
      <c r="B71" s="423">
        <f>SUM(B58:B69)</f>
        <v>1999017.51</v>
      </c>
      <c r="C71" s="423">
        <f t="shared" ref="C71:Z71" si="22">SUM(C58:C69)</f>
        <v>113791.96000000002</v>
      </c>
      <c r="D71" s="423">
        <f t="shared" si="22"/>
        <v>32497.43</v>
      </c>
      <c r="E71" s="423">
        <f t="shared" si="22"/>
        <v>15233413.557768</v>
      </c>
      <c r="F71" s="423">
        <f>SUM(F58:F69)</f>
        <v>1134421.928568</v>
      </c>
      <c r="G71" s="424">
        <f t="shared" si="22"/>
        <v>64278</v>
      </c>
      <c r="H71" s="423">
        <f t="shared" si="22"/>
        <v>18577420.386335999</v>
      </c>
      <c r="I71" s="423">
        <f t="shared" si="22"/>
        <v>8494199.8801380005</v>
      </c>
      <c r="J71" s="423">
        <f>SUM(J58:J69)</f>
        <v>3858985.9382528956</v>
      </c>
      <c r="K71" s="423">
        <f t="shared" si="22"/>
        <v>28443923.28934931</v>
      </c>
      <c r="L71" s="423">
        <f t="shared" si="22"/>
        <v>23166973.711426292</v>
      </c>
      <c r="M71" s="423">
        <f t="shared" si="22"/>
        <v>6455.25</v>
      </c>
      <c r="N71" s="423">
        <f t="shared" si="22"/>
        <v>63970538.069166496</v>
      </c>
      <c r="O71" s="423">
        <f t="shared" si="22"/>
        <v>11083</v>
      </c>
      <c r="P71" s="423">
        <f t="shared" si="22"/>
        <v>57024</v>
      </c>
      <c r="Q71" s="423">
        <f t="shared" si="22"/>
        <v>13056</v>
      </c>
      <c r="R71" s="423">
        <f t="shared" si="22"/>
        <v>32844</v>
      </c>
      <c r="S71" s="423">
        <f t="shared" si="22"/>
        <v>869088</v>
      </c>
      <c r="T71" s="423">
        <f t="shared" si="22"/>
        <v>573480</v>
      </c>
      <c r="U71" s="423">
        <f>SUM(U58:U69)</f>
        <v>1488468</v>
      </c>
      <c r="V71" s="425">
        <f t="shared" si="22"/>
        <v>84104533.45550251</v>
      </c>
      <c r="W71" s="423">
        <f t="shared" si="22"/>
        <v>-1000629</v>
      </c>
      <c r="X71" s="423">
        <f t="shared" si="22"/>
        <v>12808917</v>
      </c>
      <c r="Y71" s="423">
        <f t="shared" si="22"/>
        <v>-71693</v>
      </c>
      <c r="Z71" s="423">
        <f t="shared" si="22"/>
        <v>95841128.45550251</v>
      </c>
      <c r="AA71" s="374"/>
      <c r="AB71" s="374">
        <f>96070322-Z71</f>
        <v>229193.54449748993</v>
      </c>
      <c r="AC71" s="375"/>
      <c r="AD71" s="375"/>
      <c r="AE71" s="375"/>
      <c r="AF71" s="375"/>
      <c r="AG71" s="375"/>
      <c r="AH71" s="375"/>
      <c r="AI71" s="375"/>
      <c r="AJ71" s="375"/>
      <c r="AK71" s="375"/>
      <c r="AL71" s="375"/>
      <c r="AM71" s="375"/>
      <c r="AN71" s="375"/>
      <c r="AO71" s="375"/>
      <c r="AP71" s="375"/>
      <c r="AQ71" s="375"/>
      <c r="AR71" s="375"/>
    </row>
    <row r="72" spans="1:44" ht="13.5" thickTop="1">
      <c r="A72" s="375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5"/>
      <c r="AC72" s="375"/>
      <c r="AD72" s="375"/>
      <c r="AE72" s="375"/>
      <c r="AF72" s="375"/>
      <c r="AG72" s="375"/>
      <c r="AH72" s="375"/>
      <c r="AI72" s="375"/>
      <c r="AJ72" s="375"/>
      <c r="AK72" s="375"/>
      <c r="AL72" s="375"/>
      <c r="AM72" s="375"/>
      <c r="AN72" s="375"/>
      <c r="AO72" s="375"/>
      <c r="AP72" s="375"/>
      <c r="AQ72" s="375"/>
      <c r="AR72" s="375"/>
    </row>
    <row r="73" spans="1:44" ht="15">
      <c r="A73" s="375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426"/>
      <c r="S73" s="426"/>
      <c r="T73" s="426"/>
      <c r="U73" s="426"/>
      <c r="V73" s="374"/>
      <c r="W73" s="374"/>
      <c r="X73" s="374"/>
      <c r="Y73" s="374"/>
      <c r="Z73" s="374"/>
      <c r="AA73" s="374"/>
      <c r="AB73" s="375"/>
      <c r="AC73" s="375"/>
      <c r="AD73" s="375"/>
      <c r="AE73" s="375"/>
      <c r="AF73" s="375"/>
      <c r="AG73" s="375"/>
      <c r="AH73" s="375"/>
      <c r="AI73" s="375"/>
      <c r="AJ73" s="375"/>
      <c r="AK73" s="375"/>
      <c r="AL73" s="375"/>
      <c r="AM73" s="375"/>
      <c r="AN73" s="375"/>
      <c r="AO73" s="375"/>
      <c r="AP73" s="375"/>
      <c r="AQ73" s="375"/>
      <c r="AR73" s="375"/>
    </row>
    <row r="74" spans="1:44">
      <c r="A74" s="375" t="s">
        <v>621</v>
      </c>
      <c r="B74" s="374"/>
      <c r="C74" s="374"/>
      <c r="D74" s="374"/>
      <c r="E74" s="374"/>
      <c r="F74" s="374"/>
      <c r="G74" s="374"/>
      <c r="H74" s="374"/>
      <c r="I74" s="374"/>
      <c r="J74" s="374"/>
      <c r="K74" s="374"/>
      <c r="L74" s="374"/>
      <c r="M74" s="388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5"/>
      <c r="AC74" s="375"/>
      <c r="AD74" s="375"/>
      <c r="AE74" s="375"/>
      <c r="AF74" s="375"/>
      <c r="AG74" s="375"/>
      <c r="AH74" s="375"/>
      <c r="AI74" s="375"/>
      <c r="AJ74" s="375"/>
      <c r="AK74" s="375"/>
      <c r="AL74" s="375"/>
      <c r="AM74" s="375"/>
      <c r="AN74" s="375"/>
      <c r="AO74" s="375"/>
      <c r="AP74" s="375"/>
      <c r="AQ74" s="375"/>
      <c r="AR74" s="375"/>
    </row>
    <row r="75" spans="1:44" ht="15.75" thickBot="1">
      <c r="A75" s="375"/>
      <c r="B75" s="425">
        <f>(B24*$C$36)</f>
        <v>1999017.51</v>
      </c>
      <c r="C75" s="425">
        <f>SUM(C24*$C$37)</f>
        <v>113791.96</v>
      </c>
      <c r="D75" s="425">
        <f>SUM(E24*$C$38)</f>
        <v>32497.43</v>
      </c>
      <c r="E75" s="425">
        <f>SUM(D24*$C$41)</f>
        <v>15233413.557767998</v>
      </c>
      <c r="F75" s="493">
        <f>SUM(F24*$C$39)</f>
        <v>1134421.928568</v>
      </c>
      <c r="G75" s="425">
        <f>+G71</f>
        <v>64278</v>
      </c>
      <c r="H75" s="493">
        <f>SUM(B75:G75)</f>
        <v>18577420.386335999</v>
      </c>
      <c r="I75" s="425">
        <f>SUM(H24*$C$42)</f>
        <v>8494199.8801380005</v>
      </c>
      <c r="J75" s="493">
        <f>SUM(G24*$C$43)</f>
        <v>3858985.9382528951</v>
      </c>
      <c r="K75" s="493">
        <f>SUM(I24*$C$46)</f>
        <v>28443923.289349306</v>
      </c>
      <c r="L75" s="425">
        <f>SUM(J24*$C$45)</f>
        <v>23166973.711426295</v>
      </c>
      <c r="M75" s="425">
        <f>SUM(K24*$C$53)</f>
        <v>6455.25</v>
      </c>
      <c r="N75" s="493">
        <f>SUM(I75:M75)+4471</f>
        <v>63975009.069166496</v>
      </c>
      <c r="O75" s="425">
        <f>+O71</f>
        <v>11083</v>
      </c>
      <c r="P75" s="425">
        <f>SUM(M24*$C$52)</f>
        <v>57024</v>
      </c>
      <c r="Q75" s="425">
        <f>SUM(N24*$C$48)</f>
        <v>13056</v>
      </c>
      <c r="R75" s="425">
        <f>SUM(O24*$C$49)</f>
        <v>32844</v>
      </c>
      <c r="S75" s="425">
        <f>SUM(P24*$C$50)</f>
        <v>869088</v>
      </c>
      <c r="T75" s="425">
        <f>SUM(Q24*$C$51)</f>
        <v>573480</v>
      </c>
      <c r="U75" s="423">
        <f>SUM(Q75:T75)</f>
        <v>1488468</v>
      </c>
      <c r="V75" s="494">
        <f>SUM(H75+N75+O75+P75+U75)</f>
        <v>84109004.455502495</v>
      </c>
      <c r="W75" s="423">
        <f>+W71</f>
        <v>-1000629</v>
      </c>
      <c r="X75" s="423">
        <f>+X71</f>
        <v>12808917</v>
      </c>
      <c r="Y75" s="423">
        <f>+Y71</f>
        <v>-71693</v>
      </c>
      <c r="Z75" s="427">
        <f>SUM(V75:Y75)</f>
        <v>95845599.455502495</v>
      </c>
      <c r="AA75" s="374"/>
      <c r="AB75" s="375"/>
      <c r="AC75" s="375"/>
      <c r="AD75" s="375"/>
      <c r="AE75" s="375"/>
      <c r="AF75" s="375"/>
      <c r="AG75" s="375"/>
      <c r="AH75" s="375"/>
      <c r="AI75" s="375"/>
      <c r="AJ75" s="375"/>
      <c r="AK75" s="375"/>
      <c r="AL75" s="375"/>
      <c r="AM75" s="375"/>
      <c r="AN75" s="375"/>
      <c r="AO75" s="375"/>
      <c r="AP75" s="375"/>
      <c r="AQ75" s="375"/>
      <c r="AR75" s="375"/>
    </row>
    <row r="76" spans="1:44" ht="15.75" thickTop="1">
      <c r="A76" s="375"/>
      <c r="B76" s="445"/>
      <c r="C76" s="445"/>
      <c r="D76" s="445"/>
      <c r="E76" s="445"/>
      <c r="F76" s="445">
        <f>(F75-F71)</f>
        <v>0</v>
      </c>
      <c r="G76" s="445"/>
      <c r="H76" s="445">
        <f>(H75-H71)</f>
        <v>0</v>
      </c>
      <c r="I76" s="445"/>
      <c r="J76" s="445">
        <f>(J75-J71)</f>
        <v>-4.6566128730773926E-10</v>
      </c>
      <c r="K76" s="445">
        <f>(K75-K71)</f>
        <v>-3.7252902984619141E-9</v>
      </c>
      <c r="L76" s="445"/>
      <c r="M76" s="445"/>
      <c r="N76" s="445">
        <f>(N75-N71)</f>
        <v>4471</v>
      </c>
      <c r="O76" s="445"/>
      <c r="P76" s="445"/>
      <c r="Q76" s="445"/>
      <c r="R76" s="445"/>
      <c r="S76" s="445"/>
      <c r="T76" s="445"/>
      <c r="U76" s="446"/>
      <c r="V76" s="447"/>
      <c r="W76" s="446"/>
      <c r="X76" s="446"/>
      <c r="Y76" s="446"/>
      <c r="Z76" s="447"/>
      <c r="AA76" s="374"/>
      <c r="AB76" s="375"/>
      <c r="AC76" s="375"/>
      <c r="AD76" s="375"/>
      <c r="AE76" s="375"/>
      <c r="AF76" s="375"/>
      <c r="AG76" s="375"/>
      <c r="AH76" s="375"/>
      <c r="AI76" s="375"/>
      <c r="AJ76" s="375"/>
      <c r="AK76" s="375"/>
      <c r="AL76" s="375"/>
      <c r="AM76" s="375"/>
      <c r="AN76" s="375"/>
      <c r="AO76" s="375"/>
      <c r="AP76" s="375"/>
      <c r="AQ76" s="375"/>
      <c r="AR76" s="375"/>
    </row>
    <row r="77" spans="1:44" ht="15.75" thickBot="1">
      <c r="A77" s="375"/>
      <c r="B77" s="445"/>
      <c r="C77" s="445"/>
      <c r="D77" s="445"/>
      <c r="E77" s="445"/>
      <c r="F77" s="445"/>
      <c r="G77" s="445"/>
      <c r="H77" s="446"/>
      <c r="I77" s="445"/>
      <c r="J77" s="445"/>
      <c r="K77" s="445"/>
      <c r="L77" s="445"/>
      <c r="M77" s="445"/>
      <c r="N77" s="446"/>
      <c r="O77" s="445"/>
      <c r="P77" s="374" t="s">
        <v>622</v>
      </c>
      <c r="Q77" s="374"/>
      <c r="R77" s="374"/>
      <c r="S77" s="374"/>
      <c r="T77" s="374"/>
      <c r="U77" s="374"/>
      <c r="V77" s="427">
        <f>+V75-V71</f>
        <v>4470.9999999850988</v>
      </c>
      <c r="W77" s="446"/>
      <c r="X77" s="446"/>
      <c r="Y77" s="446"/>
      <c r="Z77" s="447"/>
      <c r="AA77" s="374"/>
      <c r="AB77" s="375"/>
      <c r="AC77" s="375"/>
      <c r="AD77" s="375"/>
      <c r="AE77" s="375"/>
      <c r="AF77" s="375"/>
      <c r="AG77" s="375"/>
      <c r="AH77" s="375"/>
      <c r="AI77" s="375"/>
      <c r="AJ77" s="375"/>
      <c r="AK77" s="375"/>
      <c r="AL77" s="375"/>
      <c r="AM77" s="375"/>
      <c r="AN77" s="375"/>
      <c r="AO77" s="375"/>
      <c r="AP77" s="375"/>
      <c r="AQ77" s="375"/>
      <c r="AR77" s="375"/>
    </row>
    <row r="78" spans="1:44" ht="15.75" thickTop="1">
      <c r="A78" s="375"/>
      <c r="B78" s="445"/>
      <c r="C78" s="445"/>
      <c r="D78" s="445"/>
      <c r="E78" s="445"/>
      <c r="F78" s="445"/>
      <c r="G78" s="445"/>
      <c r="H78" s="446"/>
      <c r="I78" s="445"/>
      <c r="J78" s="445"/>
      <c r="K78" s="445"/>
      <c r="L78" s="445"/>
      <c r="M78" s="445"/>
      <c r="N78" s="446"/>
      <c r="O78" s="445"/>
      <c r="P78" s="445"/>
      <c r="Q78" s="445"/>
      <c r="R78" s="445"/>
      <c r="S78" s="445"/>
      <c r="T78" s="445"/>
      <c r="U78" s="446"/>
      <c r="V78" s="447"/>
      <c r="W78" s="446"/>
      <c r="X78" s="446"/>
      <c r="Y78" s="446"/>
      <c r="Z78" s="447"/>
      <c r="AA78" s="374"/>
      <c r="AB78" s="375"/>
      <c r="AC78" s="375"/>
      <c r="AD78" s="375"/>
      <c r="AE78" s="375"/>
      <c r="AF78" s="375"/>
      <c r="AG78" s="375"/>
      <c r="AH78" s="375"/>
      <c r="AI78" s="375"/>
      <c r="AJ78" s="375"/>
      <c r="AK78" s="375"/>
      <c r="AL78" s="375"/>
      <c r="AM78" s="375"/>
      <c r="AN78" s="375"/>
      <c r="AO78" s="375"/>
      <c r="AP78" s="375"/>
      <c r="AQ78" s="375"/>
      <c r="AR78" s="375"/>
    </row>
    <row r="79" spans="1:44">
      <c r="A79" s="375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5"/>
      <c r="AD79" s="375"/>
      <c r="AE79" s="375"/>
      <c r="AF79" s="375"/>
      <c r="AG79" s="375"/>
      <c r="AH79" s="375"/>
      <c r="AI79" s="375"/>
      <c r="AJ79" s="375"/>
      <c r="AK79" s="375"/>
      <c r="AL79" s="375"/>
      <c r="AM79" s="375"/>
      <c r="AN79" s="375"/>
      <c r="AO79" s="375"/>
      <c r="AP79" s="375"/>
      <c r="AQ79" s="375"/>
      <c r="AR79" s="375"/>
    </row>
    <row r="80" spans="1:44">
      <c r="A80" s="375"/>
      <c r="B80" s="374">
        <f>('[10]power cost'!B75)</f>
        <v>2110848</v>
      </c>
      <c r="C80" s="374">
        <f>('[10]power cost'!C75)</f>
        <v>113791.96</v>
      </c>
      <c r="D80" s="374">
        <f>('[10]power cost'!D75)</f>
        <v>32497.43</v>
      </c>
      <c r="E80" s="374">
        <f>('[10]power cost'!E75)</f>
        <v>15576117.899999999</v>
      </c>
      <c r="F80" s="374">
        <f>('[10]power cost'!F75)</f>
        <v>628200</v>
      </c>
      <c r="G80" s="374">
        <f>('[10]power cost'!G75)</f>
        <v>64278</v>
      </c>
      <c r="H80" s="374">
        <f>('[10]power cost'!H75)</f>
        <v>18525733.289999999</v>
      </c>
      <c r="I80" s="374">
        <f>('[10]power cost'!I75)</f>
        <v>8961377.8291380014</v>
      </c>
      <c r="J80" s="374">
        <f>('[10]power cost'!J75)</f>
        <v>2136153.0523029999</v>
      </c>
      <c r="K80" s="374">
        <f>('[10]power cost'!K75)</f>
        <v>29288278.218681</v>
      </c>
      <c r="L80" s="374">
        <f>('[10]power cost'!L75)</f>
        <v>23854682.936766002</v>
      </c>
      <c r="M80" s="374">
        <f>('[10]power cost'!M75)</f>
        <v>6455.25</v>
      </c>
      <c r="N80" s="374">
        <f>('[10]power cost'!N75)</f>
        <v>64251418.286888003</v>
      </c>
      <c r="O80" s="374">
        <f>('[10]power cost'!O75)</f>
        <v>11083</v>
      </c>
      <c r="P80" s="374">
        <f>('[10]power cost'!P75)</f>
        <v>57024</v>
      </c>
      <c r="Q80" s="374">
        <f>('[10]power cost'!Q75)</f>
        <v>13056</v>
      </c>
      <c r="R80" s="374">
        <f>('[10]power cost'!R75)</f>
        <v>32844</v>
      </c>
      <c r="S80" s="374">
        <f>('[10]power cost'!S75)</f>
        <v>869088</v>
      </c>
      <c r="T80" s="374">
        <f>('[10]power cost'!T75)</f>
        <v>573480</v>
      </c>
      <c r="U80" s="374">
        <f>('[10]power cost'!U75)</f>
        <v>1488468</v>
      </c>
      <c r="V80" s="374">
        <f>('[10]power cost'!V75)</f>
        <v>84333726.576887995</v>
      </c>
      <c r="W80" s="374"/>
      <c r="X80" s="375"/>
      <c r="Y80" s="374"/>
      <c r="Z80" s="374"/>
      <c r="AA80" s="374"/>
      <c r="AB80" s="375"/>
      <c r="AC80" s="375"/>
      <c r="AD80" s="375"/>
      <c r="AE80" s="375"/>
      <c r="AF80" s="375"/>
      <c r="AG80" s="375"/>
      <c r="AH80" s="375"/>
      <c r="AI80" s="375"/>
      <c r="AJ80" s="375"/>
      <c r="AK80" s="375"/>
      <c r="AL80" s="375"/>
      <c r="AM80" s="375"/>
      <c r="AN80" s="375"/>
      <c r="AO80" s="375"/>
      <c r="AP80" s="375"/>
      <c r="AQ80" s="375"/>
      <c r="AR80" s="375"/>
    </row>
    <row r="81" spans="1:44">
      <c r="A81" s="375"/>
      <c r="B81" s="374"/>
      <c r="C81" s="374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5"/>
      <c r="Y81" s="374"/>
      <c r="Z81" s="374"/>
      <c r="AA81" s="374"/>
      <c r="AB81" s="375"/>
      <c r="AC81" s="375"/>
      <c r="AD81" s="375"/>
      <c r="AE81" s="375"/>
      <c r="AF81" s="375"/>
      <c r="AG81" s="375"/>
      <c r="AH81" s="375"/>
      <c r="AI81" s="375"/>
      <c r="AJ81" s="375"/>
      <c r="AK81" s="375"/>
      <c r="AL81" s="375"/>
      <c r="AM81" s="375"/>
      <c r="AN81" s="375"/>
      <c r="AO81" s="375"/>
      <c r="AP81" s="375"/>
      <c r="AQ81" s="375"/>
      <c r="AR81" s="375"/>
    </row>
    <row r="82" spans="1:44">
      <c r="A82" s="375"/>
      <c r="B82" s="374">
        <f>(B80-B71)</f>
        <v>111830.48999999999</v>
      </c>
      <c r="C82" s="374">
        <f>(C80-C71)</f>
        <v>-1.4551915228366852E-11</v>
      </c>
      <c r="D82" s="374">
        <f>(D80-D71)</f>
        <v>0</v>
      </c>
      <c r="E82" s="374">
        <f>(E80-E71)</f>
        <v>342704.34223199822</v>
      </c>
      <c r="F82" s="374">
        <f t="shared" ref="F82:U82" si="23">(F80-F71)</f>
        <v>-506221.92856799997</v>
      </c>
      <c r="G82" s="374">
        <f t="shared" si="23"/>
        <v>0</v>
      </c>
      <c r="H82" s="374">
        <f t="shared" si="23"/>
        <v>-51687.096335999668</v>
      </c>
      <c r="I82" s="374">
        <f t="shared" si="23"/>
        <v>467177.94900000095</v>
      </c>
      <c r="J82" s="374">
        <f t="shared" si="23"/>
        <v>-1722832.8859498957</v>
      </c>
      <c r="K82" s="374">
        <f t="shared" si="23"/>
        <v>844354.92933169007</v>
      </c>
      <c r="L82" s="374">
        <f t="shared" si="23"/>
        <v>687709.22533971071</v>
      </c>
      <c r="M82" s="374">
        <f t="shared" si="23"/>
        <v>0</v>
      </c>
      <c r="N82" s="374">
        <f t="shared" si="23"/>
        <v>280880.21772150695</v>
      </c>
      <c r="O82" s="374">
        <f t="shared" si="23"/>
        <v>0</v>
      </c>
      <c r="P82" s="374">
        <f t="shared" si="23"/>
        <v>0</v>
      </c>
      <c r="Q82" s="374">
        <f t="shared" si="23"/>
        <v>0</v>
      </c>
      <c r="R82" s="374">
        <f t="shared" si="23"/>
        <v>0</v>
      </c>
      <c r="S82" s="374">
        <f t="shared" si="23"/>
        <v>0</v>
      </c>
      <c r="T82" s="374">
        <f t="shared" si="23"/>
        <v>0</v>
      </c>
      <c r="U82" s="374">
        <f t="shared" si="23"/>
        <v>0</v>
      </c>
      <c r="V82" s="374">
        <f>(V71-V80)</f>
        <v>-229193.12138548493</v>
      </c>
      <c r="W82" s="374"/>
      <c r="X82" s="375"/>
      <c r="Y82" s="374"/>
      <c r="Z82" s="374"/>
      <c r="AA82" s="374"/>
      <c r="AB82" s="375"/>
      <c r="AC82" s="375"/>
      <c r="AD82" s="375"/>
      <c r="AE82" s="375"/>
      <c r="AF82" s="375"/>
      <c r="AG82" s="375"/>
      <c r="AH82" s="375"/>
      <c r="AI82" s="375"/>
      <c r="AJ82" s="375"/>
      <c r="AK82" s="375"/>
      <c r="AL82" s="375"/>
      <c r="AM82" s="375"/>
      <c r="AN82" s="375"/>
      <c r="AO82" s="375"/>
      <c r="AP82" s="375"/>
      <c r="AQ82" s="375"/>
      <c r="AR82" s="375"/>
    </row>
    <row r="83" spans="1:44">
      <c r="A83" s="375"/>
      <c r="B83" s="374"/>
      <c r="C83" s="374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5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5"/>
      <c r="AC83" s="375"/>
      <c r="AD83" s="375"/>
      <c r="AE83" s="375"/>
      <c r="AF83" s="375"/>
      <c r="AG83" s="375"/>
      <c r="AH83" s="375"/>
      <c r="AI83" s="375"/>
      <c r="AJ83" s="375"/>
      <c r="AK83" s="375"/>
      <c r="AL83" s="375"/>
      <c r="AM83" s="375"/>
      <c r="AN83" s="375"/>
      <c r="AO83" s="375"/>
      <c r="AP83" s="375"/>
      <c r="AQ83" s="375"/>
      <c r="AR83" s="375"/>
    </row>
    <row r="84" spans="1:44" ht="13.5" thickBot="1">
      <c r="A84" s="375"/>
      <c r="B84" s="374"/>
      <c r="C84" s="374"/>
      <c r="D84" s="374"/>
      <c r="E84" s="374"/>
      <c r="F84" s="374"/>
      <c r="G84" s="374"/>
      <c r="H84" s="374"/>
      <c r="I84" s="374"/>
      <c r="J84" s="374"/>
      <c r="N84" s="376"/>
      <c r="O84" s="377"/>
      <c r="P84" s="378"/>
      <c r="Q84" s="375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5"/>
      <c r="AC84" s="375"/>
      <c r="AD84" s="375"/>
      <c r="AE84" s="375"/>
      <c r="AF84" s="375"/>
      <c r="AG84" s="375"/>
      <c r="AH84" s="375"/>
      <c r="AI84" s="375"/>
      <c r="AJ84" s="375"/>
      <c r="AK84" s="375"/>
      <c r="AL84" s="375"/>
      <c r="AM84" s="375"/>
      <c r="AN84" s="375"/>
      <c r="AO84" s="375"/>
      <c r="AP84" s="375"/>
      <c r="AQ84" s="375"/>
      <c r="AR84" s="375"/>
    </row>
    <row r="85" spans="1:44">
      <c r="A85" s="375"/>
      <c r="B85" s="374"/>
      <c r="C85" s="374"/>
      <c r="D85" s="374"/>
      <c r="E85" s="374"/>
      <c r="G85" s="468" t="s">
        <v>664</v>
      </c>
      <c r="H85" s="469"/>
      <c r="I85" s="470" t="s">
        <v>131</v>
      </c>
      <c r="J85" s="471"/>
      <c r="K85" s="472"/>
      <c r="L85" s="472"/>
      <c r="M85" s="473" t="s">
        <v>175</v>
      </c>
      <c r="N85" s="474"/>
      <c r="O85" s="475"/>
      <c r="P85" s="470" t="s">
        <v>555</v>
      </c>
      <c r="Q85" s="471"/>
      <c r="R85" s="471"/>
      <c r="S85" s="471"/>
      <c r="T85" s="476"/>
      <c r="U85" s="477"/>
      <c r="V85" s="401"/>
      <c r="W85" s="374"/>
      <c r="X85" s="374"/>
      <c r="Y85" s="374"/>
      <c r="Z85" s="374"/>
      <c r="AA85" s="374"/>
      <c r="AB85" s="375"/>
      <c r="AC85" s="375"/>
      <c r="AD85" s="375"/>
      <c r="AE85" s="375"/>
      <c r="AF85" s="375"/>
      <c r="AG85" s="375"/>
      <c r="AH85" s="375"/>
      <c r="AI85" s="375"/>
      <c r="AJ85" s="375"/>
      <c r="AK85" s="375"/>
      <c r="AL85" s="375"/>
      <c r="AM85" s="375"/>
      <c r="AN85" s="375"/>
      <c r="AO85" s="375"/>
      <c r="AP85" s="375"/>
      <c r="AQ85" s="375"/>
      <c r="AR85" s="375"/>
    </row>
    <row r="86" spans="1:44" ht="15">
      <c r="A86" s="375"/>
      <c r="B86" s="374"/>
      <c r="C86" s="374"/>
      <c r="D86" s="374"/>
      <c r="E86" s="374"/>
      <c r="G86" s="478" t="s">
        <v>665</v>
      </c>
      <c r="H86" s="400" t="s">
        <v>556</v>
      </c>
      <c r="I86" s="466" t="s">
        <v>557</v>
      </c>
      <c r="J86" s="467" t="s">
        <v>558</v>
      </c>
      <c r="K86" s="379" t="s">
        <v>559</v>
      </c>
      <c r="L86" s="380" t="s">
        <v>560</v>
      </c>
      <c r="M86" s="381" t="s">
        <v>561</v>
      </c>
      <c r="N86" s="382" t="s">
        <v>562</v>
      </c>
      <c r="O86" s="383" t="s">
        <v>15</v>
      </c>
      <c r="P86" s="384" t="s">
        <v>563</v>
      </c>
      <c r="Q86" s="385">
        <v>1000</v>
      </c>
      <c r="R86" s="386">
        <v>3000</v>
      </c>
      <c r="S86" s="386">
        <v>7500</v>
      </c>
      <c r="T86" s="387">
        <v>15000</v>
      </c>
      <c r="U86" s="479" t="s">
        <v>15</v>
      </c>
      <c r="V86" s="428"/>
      <c r="W86" s="374"/>
      <c r="X86" s="374"/>
      <c r="Y86" s="374"/>
      <c r="Z86" s="374"/>
      <c r="AA86" s="374"/>
      <c r="AB86" s="375"/>
      <c r="AC86" s="375"/>
      <c r="AD86" s="375"/>
      <c r="AE86" s="375"/>
      <c r="AF86" s="375"/>
      <c r="AG86" s="375"/>
      <c r="AH86" s="375"/>
      <c r="AI86" s="375"/>
      <c r="AJ86" s="375"/>
      <c r="AK86" s="375"/>
      <c r="AL86" s="375"/>
      <c r="AM86" s="375"/>
      <c r="AN86" s="375"/>
      <c r="AO86" s="375"/>
      <c r="AP86" s="375"/>
      <c r="AQ86" s="375"/>
      <c r="AR86" s="375"/>
    </row>
    <row r="87" spans="1:44">
      <c r="A87" s="375"/>
      <c r="B87" s="374"/>
      <c r="C87" s="374"/>
      <c r="D87" s="374"/>
      <c r="E87" s="374"/>
      <c r="G87" s="480" t="s">
        <v>564</v>
      </c>
      <c r="H87" s="3"/>
      <c r="I87" s="481">
        <f>(B71)</f>
        <v>1999017.51</v>
      </c>
      <c r="J87" s="481">
        <f>(C71)</f>
        <v>113791.96000000002</v>
      </c>
      <c r="K87" s="482">
        <f>(D71)</f>
        <v>32497.43</v>
      </c>
      <c r="L87" s="483">
        <f>(O75)</f>
        <v>11083</v>
      </c>
      <c r="M87" s="483">
        <f>(I71)</f>
        <v>8494199.8801380005</v>
      </c>
      <c r="N87" s="3"/>
      <c r="O87" s="400"/>
      <c r="P87" s="400"/>
      <c r="Q87" s="447"/>
      <c r="R87" s="400"/>
      <c r="S87" s="447"/>
      <c r="T87" s="447"/>
      <c r="U87" s="484">
        <f t="shared" ref="U87:U92" si="24">SUM(H87:T87)</f>
        <v>10650589.780138001</v>
      </c>
      <c r="V87" s="374"/>
      <c r="W87" s="374"/>
      <c r="X87" s="374"/>
      <c r="Y87" s="374"/>
      <c r="Z87" s="374"/>
      <c r="AA87" s="374"/>
      <c r="AB87" s="375"/>
      <c r="AC87" s="375"/>
      <c r="AD87" s="375"/>
      <c r="AE87" s="375"/>
      <c r="AF87" s="375"/>
      <c r="AG87" s="375"/>
      <c r="AH87" s="375"/>
      <c r="AI87" s="375"/>
      <c r="AJ87" s="375"/>
      <c r="AK87" s="375"/>
      <c r="AL87" s="375"/>
      <c r="AM87" s="375"/>
      <c r="AN87" s="375"/>
      <c r="AO87" s="375"/>
      <c r="AP87" s="375"/>
      <c r="AQ87" s="375"/>
      <c r="AR87" s="375"/>
    </row>
    <row r="88" spans="1:44">
      <c r="A88" s="375"/>
      <c r="B88" s="374"/>
      <c r="C88" s="374"/>
      <c r="D88" s="374"/>
      <c r="E88" s="374"/>
      <c r="G88" s="480" t="s">
        <v>565</v>
      </c>
      <c r="H88" s="482">
        <f>(G71)</f>
        <v>64278</v>
      </c>
      <c r="I88" s="482">
        <f>(E71)</f>
        <v>15233413.557768</v>
      </c>
      <c r="J88" s="351"/>
      <c r="K88" s="351"/>
      <c r="L88" s="3"/>
      <c r="M88" s="482">
        <f>(K71)</f>
        <v>28443923.28934931</v>
      </c>
      <c r="N88" s="482">
        <f>(L71)</f>
        <v>23166973.711426292</v>
      </c>
      <c r="O88" s="351"/>
      <c r="P88" s="351"/>
      <c r="Q88" s="351"/>
      <c r="R88" s="351"/>
      <c r="S88" s="351"/>
      <c r="T88" s="351"/>
      <c r="U88" s="485">
        <f t="shared" si="24"/>
        <v>66908588.558543608</v>
      </c>
      <c r="V88" s="374"/>
      <c r="W88" s="374"/>
      <c r="X88" s="374"/>
      <c r="Y88" s="374"/>
      <c r="Z88" s="374"/>
      <c r="AA88" s="374"/>
      <c r="AB88" s="375"/>
      <c r="AC88" s="375"/>
      <c r="AD88" s="375"/>
      <c r="AE88" s="375"/>
      <c r="AF88" s="375"/>
      <c r="AG88" s="375"/>
      <c r="AH88" s="375"/>
      <c r="AI88" s="375"/>
      <c r="AJ88" s="375"/>
      <c r="AK88" s="375"/>
      <c r="AL88" s="375"/>
      <c r="AM88" s="375"/>
      <c r="AN88" s="375"/>
      <c r="AO88" s="375"/>
      <c r="AP88" s="375"/>
      <c r="AQ88" s="375"/>
      <c r="AR88" s="375"/>
    </row>
    <row r="89" spans="1:44">
      <c r="A89" s="375"/>
      <c r="B89" s="374"/>
      <c r="C89" s="374"/>
      <c r="D89" s="374"/>
      <c r="E89" s="374"/>
      <c r="G89" s="480" t="s">
        <v>566</v>
      </c>
      <c r="H89" s="351"/>
      <c r="I89" s="482">
        <f>(F71)</f>
        <v>1134421.928568</v>
      </c>
      <c r="J89" s="351"/>
      <c r="K89" s="3"/>
      <c r="L89" s="3"/>
      <c r="M89" s="482">
        <f>(J71)</f>
        <v>3858985.9382528956</v>
      </c>
      <c r="N89" s="351"/>
      <c r="O89" s="351"/>
      <c r="P89" s="351"/>
      <c r="Q89" s="351"/>
      <c r="R89" s="351"/>
      <c r="S89" s="351"/>
      <c r="T89" s="351"/>
      <c r="U89" s="485">
        <f t="shared" si="24"/>
        <v>4993407.866820896</v>
      </c>
      <c r="V89" s="374"/>
      <c r="W89" s="374"/>
      <c r="X89" s="374"/>
      <c r="Y89" s="374"/>
      <c r="Z89" s="374"/>
      <c r="AA89" s="374"/>
      <c r="AB89" s="375"/>
      <c r="AC89" s="375"/>
      <c r="AD89" s="375"/>
      <c r="AE89" s="375"/>
      <c r="AF89" s="375"/>
      <c r="AG89" s="375"/>
      <c r="AH89" s="375"/>
      <c r="AI89" s="375"/>
      <c r="AJ89" s="375"/>
      <c r="AK89" s="375"/>
      <c r="AL89" s="375"/>
      <c r="AM89" s="375"/>
      <c r="AN89" s="375"/>
      <c r="AO89" s="375"/>
      <c r="AP89" s="375"/>
      <c r="AQ89" s="375"/>
      <c r="AR89" s="375"/>
    </row>
    <row r="90" spans="1:44">
      <c r="A90" s="375"/>
      <c r="B90" s="375"/>
      <c r="C90" s="375"/>
      <c r="D90" s="375"/>
      <c r="E90" s="375"/>
      <c r="G90" s="480" t="s">
        <v>567</v>
      </c>
      <c r="H90" s="351"/>
      <c r="I90" s="351"/>
      <c r="J90" s="351"/>
      <c r="K90" s="351"/>
      <c r="L90" s="3"/>
      <c r="M90" s="351"/>
      <c r="N90" s="351"/>
      <c r="O90" s="351"/>
      <c r="P90" s="482">
        <f>(P75)</f>
        <v>57024</v>
      </c>
      <c r="Q90" s="482">
        <f>(Q75)</f>
        <v>13056</v>
      </c>
      <c r="R90" s="482">
        <f>(R75)</f>
        <v>32844</v>
      </c>
      <c r="S90" s="482">
        <f>(S75)</f>
        <v>869088</v>
      </c>
      <c r="T90" s="482">
        <f>(T75)</f>
        <v>573480</v>
      </c>
      <c r="U90" s="485">
        <f t="shared" si="24"/>
        <v>1545492</v>
      </c>
      <c r="V90" s="375"/>
      <c r="W90" s="375"/>
      <c r="X90" s="375"/>
      <c r="Y90" s="375"/>
      <c r="Z90" s="375"/>
      <c r="AA90" s="375"/>
      <c r="AB90" s="375"/>
      <c r="AC90" s="375"/>
      <c r="AD90" s="375"/>
      <c r="AE90" s="375"/>
      <c r="AF90" s="375"/>
      <c r="AG90" s="375"/>
      <c r="AH90" s="375"/>
      <c r="AI90" s="375"/>
      <c r="AJ90" s="375"/>
      <c r="AK90" s="375"/>
      <c r="AL90" s="375"/>
      <c r="AM90" s="375"/>
      <c r="AN90" s="375"/>
      <c r="AO90" s="375"/>
      <c r="AP90" s="375"/>
      <c r="AQ90" s="375"/>
      <c r="AR90" s="375"/>
    </row>
    <row r="91" spans="1:44">
      <c r="A91" s="375"/>
      <c r="B91" s="375"/>
      <c r="C91" s="375"/>
      <c r="D91" s="375"/>
      <c r="E91" s="375"/>
      <c r="G91" s="480" t="s">
        <v>568</v>
      </c>
      <c r="H91" s="351"/>
      <c r="I91" s="351"/>
      <c r="J91" s="351"/>
      <c r="K91" s="351"/>
      <c r="L91" s="3"/>
      <c r="M91" s="482">
        <f>(M75)</f>
        <v>6455.25</v>
      </c>
      <c r="N91" s="351"/>
      <c r="O91" s="351"/>
      <c r="P91" s="351"/>
      <c r="Q91" s="351"/>
      <c r="R91" s="351"/>
      <c r="S91" s="351"/>
      <c r="T91" s="351"/>
      <c r="U91" s="485">
        <f t="shared" si="24"/>
        <v>6455.25</v>
      </c>
      <c r="V91" s="375"/>
      <c r="W91" s="375"/>
      <c r="X91" s="375"/>
      <c r="Y91" s="375"/>
      <c r="Z91" s="375"/>
      <c r="AA91" s="375"/>
      <c r="AB91" s="375"/>
      <c r="AC91" s="375"/>
      <c r="AD91" s="375"/>
      <c r="AE91" s="375"/>
      <c r="AF91" s="375"/>
      <c r="AG91" s="375"/>
      <c r="AH91" s="375"/>
      <c r="AI91" s="375"/>
      <c r="AJ91" s="375"/>
      <c r="AK91" s="375"/>
      <c r="AL91" s="375"/>
      <c r="AM91" s="375"/>
      <c r="AN91" s="375"/>
      <c r="AO91" s="375"/>
      <c r="AP91" s="375"/>
      <c r="AQ91" s="375"/>
      <c r="AR91" s="375"/>
    </row>
    <row r="92" spans="1:44" ht="13.5" thickBot="1">
      <c r="A92" s="375"/>
      <c r="B92" s="375"/>
      <c r="C92" s="375"/>
      <c r="D92" s="375"/>
      <c r="E92" s="375"/>
      <c r="G92" s="480" t="s">
        <v>569</v>
      </c>
      <c r="H92" s="389">
        <f>SUM(H87:H90)</f>
        <v>64278</v>
      </c>
      <c r="I92" s="389">
        <f>SUM(I87:I90)</f>
        <v>18366852.996335998</v>
      </c>
      <c r="J92" s="389">
        <f>SUM(J87:J90)</f>
        <v>113791.96000000002</v>
      </c>
      <c r="K92" s="389">
        <f>SUM(K87:K90)</f>
        <v>32497.43</v>
      </c>
      <c r="L92" s="389">
        <f>SUM(L87:L90)</f>
        <v>11083</v>
      </c>
      <c r="M92" s="389">
        <f>SUM(M87:M91)</f>
        <v>40803564.357740209</v>
      </c>
      <c r="N92" s="389">
        <f t="shared" ref="N92" si="25">SUM(N87:N90)</f>
        <v>23166973.711426292</v>
      </c>
      <c r="O92" s="389">
        <f t="shared" ref="O92:T92" si="26">SUM(O87:O90)</f>
        <v>0</v>
      </c>
      <c r="P92" s="389">
        <f t="shared" si="26"/>
        <v>57024</v>
      </c>
      <c r="Q92" s="389">
        <f t="shared" si="26"/>
        <v>13056</v>
      </c>
      <c r="R92" s="389">
        <f t="shared" si="26"/>
        <v>32844</v>
      </c>
      <c r="S92" s="389">
        <f t="shared" si="26"/>
        <v>869088</v>
      </c>
      <c r="T92" s="389">
        <f t="shared" si="26"/>
        <v>573480</v>
      </c>
      <c r="U92" s="486">
        <f t="shared" si="24"/>
        <v>84104533.455502495</v>
      </c>
      <c r="V92" s="429">
        <f>(U92-V75)</f>
        <v>-4471</v>
      </c>
      <c r="W92" s="375"/>
      <c r="X92" s="375"/>
      <c r="Y92" s="375"/>
      <c r="Z92" s="375"/>
      <c r="AA92" s="375"/>
      <c r="AB92" s="375"/>
      <c r="AC92" s="375"/>
      <c r="AD92" s="375"/>
      <c r="AE92" s="375"/>
      <c r="AF92" s="375"/>
      <c r="AG92" s="375"/>
      <c r="AH92" s="375"/>
      <c r="AI92" s="375"/>
      <c r="AJ92" s="375"/>
      <c r="AK92" s="375"/>
      <c r="AL92" s="375"/>
      <c r="AM92" s="375"/>
      <c r="AN92" s="375"/>
      <c r="AO92" s="375"/>
      <c r="AP92" s="375"/>
      <c r="AQ92" s="375"/>
      <c r="AR92" s="375"/>
    </row>
    <row r="93" spans="1:44" ht="14.25" thickTop="1" thickBot="1">
      <c r="A93" s="375"/>
      <c r="B93" s="375"/>
      <c r="C93" s="375"/>
      <c r="D93" s="375"/>
      <c r="E93" s="375"/>
      <c r="G93" s="487"/>
      <c r="H93" s="488"/>
      <c r="I93" s="488"/>
      <c r="J93" s="488" t="s">
        <v>1</v>
      </c>
      <c r="K93" s="488">
        <f>SUM(H92:K92)</f>
        <v>18577420.386335999</v>
      </c>
      <c r="L93" s="489"/>
      <c r="M93" s="488"/>
      <c r="N93" s="488">
        <f>SUM(L92:N92)</f>
        <v>63981621.069166496</v>
      </c>
      <c r="O93" s="488"/>
      <c r="P93" s="488"/>
      <c r="Q93" s="488"/>
      <c r="R93" s="488"/>
      <c r="S93" s="488"/>
      <c r="T93" s="488"/>
      <c r="U93" s="490">
        <f>SUM(U87:U91)</f>
        <v>84104533.45550251</v>
      </c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  <c r="AF93" s="375"/>
      <c r="AG93" s="375"/>
      <c r="AH93" s="375"/>
      <c r="AI93" s="375"/>
      <c r="AJ93" s="375"/>
      <c r="AK93" s="375"/>
      <c r="AL93" s="375"/>
      <c r="AM93" s="375"/>
      <c r="AN93" s="375"/>
      <c r="AO93" s="375"/>
      <c r="AP93" s="375"/>
      <c r="AQ93" s="375"/>
      <c r="AR93" s="375"/>
    </row>
    <row r="94" spans="1:44">
      <c r="A94" s="375" t="s">
        <v>572</v>
      </c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  <c r="AF94" s="375"/>
      <c r="AG94" s="375"/>
      <c r="AH94" s="375"/>
      <c r="AI94" s="375"/>
      <c r="AJ94" s="375"/>
      <c r="AK94" s="375"/>
      <c r="AL94" s="375"/>
      <c r="AM94" s="375"/>
      <c r="AN94" s="375"/>
      <c r="AO94" s="375"/>
      <c r="AP94" s="375"/>
      <c r="AQ94" s="375"/>
      <c r="AR94" s="375"/>
    </row>
    <row r="95" spans="1:44">
      <c r="A95" s="405" t="s">
        <v>590</v>
      </c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  <c r="AF95" s="375"/>
      <c r="AG95" s="375"/>
      <c r="AH95" s="375"/>
      <c r="AI95" s="375"/>
      <c r="AJ95" s="375"/>
      <c r="AK95" s="375"/>
      <c r="AL95" s="375"/>
      <c r="AM95" s="375"/>
      <c r="AN95" s="375"/>
      <c r="AO95" s="375"/>
      <c r="AP95" s="375"/>
      <c r="AQ95" s="375"/>
      <c r="AR95" s="375"/>
    </row>
    <row r="96" spans="1:44" ht="13.5" thickBot="1">
      <c r="A96" s="375" t="s">
        <v>623</v>
      </c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  <c r="AF96" s="375"/>
      <c r="AG96" s="375"/>
      <c r="AH96" s="375"/>
      <c r="AI96" s="375"/>
      <c r="AJ96" s="375"/>
      <c r="AK96" s="375"/>
      <c r="AL96" s="375"/>
      <c r="AM96" s="375"/>
      <c r="AN96" s="375"/>
      <c r="AO96" s="375"/>
      <c r="AP96" s="375"/>
      <c r="AQ96" s="375"/>
      <c r="AR96" s="375"/>
    </row>
    <row r="97" spans="1:44">
      <c r="A97" s="430" t="str">
        <f>+A5</f>
        <v>December 31, 2013</v>
      </c>
      <c r="B97" s="375"/>
      <c r="C97" s="375"/>
      <c r="D97" s="375"/>
      <c r="E97" s="375"/>
      <c r="F97" s="375"/>
      <c r="G97" s="468" t="str">
        <f>(G85)</f>
        <v xml:space="preserve">Rate </v>
      </c>
      <c r="H97" s="475"/>
      <c r="I97" s="470" t="s">
        <v>555</v>
      </c>
      <c r="J97" s="471"/>
      <c r="K97" s="471"/>
      <c r="L97" s="471"/>
      <c r="M97" s="476"/>
      <c r="N97" s="477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  <c r="AC97" s="375"/>
      <c r="AD97" s="375"/>
      <c r="AE97" s="375"/>
      <c r="AF97" s="375"/>
      <c r="AG97" s="375"/>
      <c r="AH97" s="375"/>
      <c r="AI97" s="375"/>
      <c r="AJ97" s="375"/>
      <c r="AK97" s="375"/>
      <c r="AL97" s="375"/>
      <c r="AM97" s="375"/>
      <c r="AN97" s="375"/>
      <c r="AO97" s="375"/>
      <c r="AP97" s="375"/>
      <c r="AQ97" s="375"/>
      <c r="AR97" s="375"/>
    </row>
    <row r="98" spans="1:44" ht="15">
      <c r="A98" s="375"/>
      <c r="B98" s="375"/>
      <c r="C98" s="375"/>
      <c r="D98" s="375"/>
      <c r="E98" s="375"/>
      <c r="F98" s="375"/>
      <c r="G98" s="478" t="str">
        <f t="shared" ref="G98:G104" si="27">(G86)</f>
        <v>Schedule</v>
      </c>
      <c r="H98" s="383" t="s">
        <v>15</v>
      </c>
      <c r="I98" s="384" t="s">
        <v>563</v>
      </c>
      <c r="J98" s="385">
        <v>1000</v>
      </c>
      <c r="K98" s="386">
        <v>3000</v>
      </c>
      <c r="L98" s="386">
        <v>7500</v>
      </c>
      <c r="M98" s="387">
        <v>15000</v>
      </c>
      <c r="N98" s="479" t="s">
        <v>15</v>
      </c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  <c r="AC98" s="375"/>
      <c r="AD98" s="375"/>
      <c r="AE98" s="375"/>
      <c r="AF98" s="375"/>
      <c r="AG98" s="375"/>
      <c r="AH98" s="375"/>
      <c r="AI98" s="375"/>
      <c r="AJ98" s="375"/>
      <c r="AK98" s="375"/>
      <c r="AL98" s="375"/>
      <c r="AM98" s="375"/>
      <c r="AN98" s="375"/>
      <c r="AO98" s="375"/>
      <c r="AP98" s="375"/>
      <c r="AQ98" s="375"/>
      <c r="AR98" s="375"/>
    </row>
    <row r="99" spans="1:44">
      <c r="A99" s="375" t="s">
        <v>624</v>
      </c>
      <c r="B99" s="375"/>
      <c r="C99" s="375"/>
      <c r="D99" s="375"/>
      <c r="E99" s="375"/>
      <c r="F99" s="375"/>
      <c r="G99" s="478" t="str">
        <f t="shared" si="27"/>
        <v>Schedule B</v>
      </c>
      <c r="H99" s="400"/>
      <c r="I99" s="400"/>
      <c r="J99" s="447"/>
      <c r="K99" s="400"/>
      <c r="L99" s="447"/>
      <c r="M99" s="447"/>
      <c r="N99" s="484">
        <f>(U87)</f>
        <v>10650589.780138001</v>
      </c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  <c r="AC99" s="375"/>
      <c r="AD99" s="375"/>
      <c r="AE99" s="375"/>
      <c r="AF99" s="375"/>
      <c r="AG99" s="375"/>
      <c r="AH99" s="375"/>
      <c r="AI99" s="375"/>
      <c r="AJ99" s="375"/>
      <c r="AK99" s="375"/>
      <c r="AL99" s="375"/>
      <c r="AM99" s="375"/>
      <c r="AN99" s="375"/>
      <c r="AO99" s="375"/>
      <c r="AP99" s="375"/>
      <c r="AQ99" s="375"/>
      <c r="AR99" s="375"/>
    </row>
    <row r="100" spans="1:44">
      <c r="A100" s="375" t="s">
        <v>625</v>
      </c>
      <c r="B100" s="375"/>
      <c r="C100" s="375"/>
      <c r="D100" s="375"/>
      <c r="E100" s="375"/>
      <c r="F100" s="375"/>
      <c r="G100" s="478" t="str">
        <f t="shared" si="27"/>
        <v>Schedule E</v>
      </c>
      <c r="H100" s="351"/>
      <c r="I100" s="351"/>
      <c r="J100" s="351"/>
      <c r="K100" s="351"/>
      <c r="L100" s="351"/>
      <c r="M100" s="351"/>
      <c r="N100" s="484">
        <f>(U88)</f>
        <v>66908588.558543608</v>
      </c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  <c r="AC100" s="375"/>
      <c r="AD100" s="375"/>
      <c r="AE100" s="375"/>
      <c r="AF100" s="375"/>
      <c r="AG100" s="375"/>
      <c r="AH100" s="375"/>
      <c r="AI100" s="375"/>
      <c r="AJ100" s="375"/>
      <c r="AK100" s="375"/>
      <c r="AL100" s="375"/>
      <c r="AM100" s="375"/>
      <c r="AN100" s="375"/>
      <c r="AO100" s="375"/>
      <c r="AP100" s="375"/>
      <c r="AQ100" s="375"/>
      <c r="AR100" s="375"/>
    </row>
    <row r="101" spans="1:44">
      <c r="A101" s="375"/>
      <c r="B101" s="375"/>
      <c r="C101" s="375"/>
      <c r="D101" s="375"/>
      <c r="E101" s="375"/>
      <c r="F101" s="375"/>
      <c r="G101" s="478" t="str">
        <f t="shared" si="27"/>
        <v>Schedule G</v>
      </c>
      <c r="H101" s="351"/>
      <c r="I101" s="351"/>
      <c r="J101" s="351"/>
      <c r="K101" s="351"/>
      <c r="L101" s="351"/>
      <c r="M101" s="351"/>
      <c r="N101" s="484">
        <f>(U89)</f>
        <v>4993407.866820896</v>
      </c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  <c r="AB101" s="375"/>
      <c r="AC101" s="375"/>
      <c r="AD101" s="375"/>
      <c r="AE101" s="375"/>
      <c r="AF101" s="375"/>
      <c r="AG101" s="375"/>
      <c r="AH101" s="375"/>
      <c r="AI101" s="375"/>
      <c r="AJ101" s="375"/>
      <c r="AK101" s="375"/>
      <c r="AL101" s="375"/>
      <c r="AM101" s="375"/>
      <c r="AN101" s="375"/>
      <c r="AO101" s="375"/>
      <c r="AP101" s="375"/>
      <c r="AQ101" s="375"/>
      <c r="AR101" s="375"/>
    </row>
    <row r="102" spans="1:44">
      <c r="A102" s="375"/>
      <c r="B102" s="901" t="s">
        <v>626</v>
      </c>
      <c r="C102" s="901"/>
      <c r="D102" s="901" t="s">
        <v>318</v>
      </c>
      <c r="E102" s="901"/>
      <c r="F102" s="393"/>
      <c r="G102" s="478" t="str">
        <f t="shared" si="27"/>
        <v>Load Centers</v>
      </c>
      <c r="H102" s="351"/>
      <c r="I102" s="482">
        <f>(P90)</f>
        <v>57024</v>
      </c>
      <c r="J102" s="482">
        <f>(Q90)</f>
        <v>13056</v>
      </c>
      <c r="K102" s="482">
        <f>(R90)</f>
        <v>32844</v>
      </c>
      <c r="L102" s="482">
        <f>(S90)</f>
        <v>869088</v>
      </c>
      <c r="M102" s="482">
        <f>(T90)</f>
        <v>573480</v>
      </c>
      <c r="N102" s="513">
        <f>(U90)</f>
        <v>1545492</v>
      </c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  <c r="AF102" s="375"/>
      <c r="AG102" s="375"/>
      <c r="AH102" s="375"/>
      <c r="AI102" s="375"/>
      <c r="AJ102" s="375"/>
      <c r="AK102" s="375"/>
      <c r="AL102" s="375"/>
      <c r="AM102" s="375"/>
      <c r="AN102" s="375"/>
      <c r="AO102" s="375"/>
      <c r="AP102" s="375"/>
      <c r="AQ102" s="375"/>
      <c r="AR102" s="375"/>
    </row>
    <row r="103" spans="1:44">
      <c r="A103" s="375"/>
      <c r="B103" s="391" t="s">
        <v>613</v>
      </c>
      <c r="C103" s="391" t="s">
        <v>614</v>
      </c>
      <c r="D103" s="391" t="s">
        <v>613</v>
      </c>
      <c r="E103" s="391" t="s">
        <v>614</v>
      </c>
      <c r="F103" s="391"/>
      <c r="G103" s="478" t="str">
        <f>(G91)</f>
        <v>Green Power</v>
      </c>
      <c r="H103" s="351"/>
      <c r="I103" s="351"/>
      <c r="J103" s="351"/>
      <c r="K103" s="351"/>
      <c r="L103" s="351"/>
      <c r="M103" s="351"/>
      <c r="N103" s="513">
        <f>(U91)</f>
        <v>6455.25</v>
      </c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  <c r="AF103" s="375"/>
      <c r="AG103" s="375"/>
      <c r="AH103" s="375"/>
      <c r="AI103" s="375"/>
      <c r="AJ103" s="375"/>
      <c r="AK103" s="375"/>
      <c r="AL103" s="375"/>
      <c r="AM103" s="375"/>
      <c r="AN103" s="375"/>
      <c r="AO103" s="375"/>
      <c r="AP103" s="375"/>
      <c r="AQ103" s="375"/>
      <c r="AR103" s="375"/>
    </row>
    <row r="104" spans="1:44" ht="13.5" thickBot="1">
      <c r="A104" s="393" t="s">
        <v>147</v>
      </c>
      <c r="B104" s="393" t="s">
        <v>231</v>
      </c>
      <c r="C104" s="393" t="s">
        <v>619</v>
      </c>
      <c r="D104" s="393" t="s">
        <v>231</v>
      </c>
      <c r="E104" s="393" t="s">
        <v>619</v>
      </c>
      <c r="F104" s="393"/>
      <c r="G104" s="478" t="str">
        <f t="shared" si="27"/>
        <v>Totals</v>
      </c>
      <c r="H104" s="389">
        <f t="shared" ref="H104:M104" si="28">SUM(H99:H102)</f>
        <v>0</v>
      </c>
      <c r="I104" s="389">
        <f t="shared" si="28"/>
        <v>57024</v>
      </c>
      <c r="J104" s="389">
        <f t="shared" si="28"/>
        <v>13056</v>
      </c>
      <c r="K104" s="389">
        <f t="shared" si="28"/>
        <v>32844</v>
      </c>
      <c r="L104" s="389">
        <f t="shared" si="28"/>
        <v>869088</v>
      </c>
      <c r="M104" s="389">
        <f t="shared" si="28"/>
        <v>573480</v>
      </c>
      <c r="N104" s="486">
        <f t="shared" ref="N104" si="29">SUM(A104:M104)</f>
        <v>1545492</v>
      </c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  <c r="AF104" s="375"/>
      <c r="AG104" s="375"/>
      <c r="AH104" s="375"/>
      <c r="AI104" s="375"/>
      <c r="AJ104" s="375"/>
      <c r="AK104" s="375"/>
      <c r="AL104" s="375"/>
      <c r="AM104" s="375"/>
      <c r="AN104" s="375"/>
      <c r="AO104" s="375"/>
      <c r="AP104" s="375"/>
      <c r="AQ104" s="375"/>
      <c r="AR104" s="375"/>
    </row>
    <row r="105" spans="1:44" ht="14.25" thickTop="1" thickBot="1">
      <c r="A105" s="391">
        <v>2013</v>
      </c>
      <c r="B105" s="374"/>
      <c r="C105" s="374"/>
      <c r="D105" s="374"/>
      <c r="E105" s="374"/>
      <c r="F105" s="375"/>
      <c r="G105" s="514">
        <f>(G93)</f>
        <v>0</v>
      </c>
      <c r="H105" s="488"/>
      <c r="I105" s="488"/>
      <c r="J105" s="488"/>
      <c r="K105" s="488"/>
      <c r="L105" s="488"/>
      <c r="M105" s="488"/>
      <c r="N105" s="490">
        <f>SUM(N99:N103)</f>
        <v>84104533.45550251</v>
      </c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  <c r="AC105" s="375"/>
      <c r="AD105" s="375"/>
      <c r="AE105" s="375"/>
      <c r="AF105" s="375"/>
      <c r="AG105" s="375"/>
      <c r="AH105" s="375"/>
      <c r="AI105" s="375"/>
      <c r="AJ105" s="375"/>
      <c r="AK105" s="375"/>
      <c r="AL105" s="375"/>
      <c r="AM105" s="375"/>
      <c r="AN105" s="375"/>
      <c r="AO105" s="375"/>
      <c r="AP105" s="375"/>
      <c r="AQ105" s="375"/>
      <c r="AR105" s="375"/>
    </row>
    <row r="106" spans="1:44">
      <c r="A106" s="375" t="s">
        <v>152</v>
      </c>
      <c r="B106" s="374">
        <v>139323.04999999999</v>
      </c>
      <c r="C106" s="374">
        <v>1483751.26</v>
      </c>
      <c r="D106" s="374">
        <v>-145381</v>
      </c>
      <c r="E106" s="374">
        <v>1222566</v>
      </c>
      <c r="F106" s="404"/>
      <c r="G106" s="404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  <c r="AC106" s="375"/>
      <c r="AD106" s="375"/>
      <c r="AE106" s="375"/>
      <c r="AF106" s="375"/>
      <c r="AG106" s="375"/>
      <c r="AH106" s="375"/>
      <c r="AI106" s="375"/>
      <c r="AJ106" s="375"/>
      <c r="AK106" s="375"/>
      <c r="AL106" s="375"/>
      <c r="AM106" s="375"/>
      <c r="AN106" s="375"/>
      <c r="AO106" s="375"/>
      <c r="AP106" s="375"/>
      <c r="AQ106" s="375"/>
      <c r="AR106" s="375"/>
    </row>
    <row r="107" spans="1:44">
      <c r="A107" s="375" t="s">
        <v>153</v>
      </c>
      <c r="B107" s="374">
        <v>350598.49</v>
      </c>
      <c r="C107" s="374">
        <v>1306719.31</v>
      </c>
      <c r="D107" s="374">
        <v>-39941</v>
      </c>
      <c r="E107" s="374">
        <v>1038448</v>
      </c>
      <c r="F107" s="404"/>
      <c r="G107" s="404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  <c r="AF107" s="375"/>
      <c r="AG107" s="375"/>
      <c r="AH107" s="375"/>
      <c r="AI107" s="375"/>
      <c r="AJ107" s="375"/>
      <c r="AK107" s="375"/>
      <c r="AL107" s="375"/>
      <c r="AM107" s="375"/>
      <c r="AN107" s="375"/>
      <c r="AO107" s="375"/>
      <c r="AP107" s="375"/>
      <c r="AQ107" s="375"/>
      <c r="AR107" s="375"/>
    </row>
    <row r="108" spans="1:44">
      <c r="A108" s="375" t="s">
        <v>154</v>
      </c>
      <c r="B108" s="374">
        <v>-11336.38</v>
      </c>
      <c r="C108" s="374">
        <v>1026636.46</v>
      </c>
      <c r="D108" s="374">
        <v>-55328</v>
      </c>
      <c r="E108" s="374">
        <v>994865</v>
      </c>
      <c r="F108" s="404"/>
      <c r="G108" s="404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  <c r="AF108" s="375"/>
      <c r="AG108" s="375"/>
      <c r="AH108" s="375"/>
      <c r="AI108" s="375"/>
      <c r="AJ108" s="375"/>
      <c r="AK108" s="375"/>
      <c r="AL108" s="375"/>
      <c r="AM108" s="375"/>
      <c r="AN108" s="375"/>
      <c r="AO108" s="375"/>
      <c r="AP108" s="375"/>
      <c r="AQ108" s="375"/>
      <c r="AR108" s="375"/>
    </row>
    <row r="109" spans="1:44">
      <c r="A109" s="375" t="s">
        <v>155</v>
      </c>
      <c r="B109" s="374">
        <v>-65408.84</v>
      </c>
      <c r="C109" s="374">
        <v>922810.68</v>
      </c>
      <c r="D109" s="374">
        <v>94348</v>
      </c>
      <c r="E109" s="374">
        <v>854459</v>
      </c>
      <c r="F109" s="404"/>
      <c r="G109" s="404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  <c r="AF109" s="375"/>
      <c r="AG109" s="375"/>
      <c r="AH109" s="375"/>
      <c r="AI109" s="375"/>
      <c r="AJ109" s="375"/>
      <c r="AK109" s="375"/>
      <c r="AL109" s="375"/>
      <c r="AM109" s="375"/>
      <c r="AN109" s="375"/>
      <c r="AO109" s="375"/>
      <c r="AP109" s="375"/>
      <c r="AQ109" s="375"/>
      <c r="AR109" s="375"/>
    </row>
    <row r="110" spans="1:44">
      <c r="A110" s="375" t="s">
        <v>156</v>
      </c>
      <c r="B110" s="374">
        <v>-73769.81</v>
      </c>
      <c r="C110" s="374">
        <v>814948.46</v>
      </c>
      <c r="D110" s="374">
        <v>268798</v>
      </c>
      <c r="E110" s="374">
        <v>875486</v>
      </c>
      <c r="F110" s="404"/>
      <c r="G110" s="404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  <c r="AB110" s="375"/>
      <c r="AC110" s="375"/>
      <c r="AD110" s="375"/>
      <c r="AE110" s="375"/>
      <c r="AF110" s="375"/>
      <c r="AG110" s="375"/>
      <c r="AH110" s="375"/>
      <c r="AI110" s="375"/>
      <c r="AJ110" s="375"/>
      <c r="AK110" s="375"/>
      <c r="AL110" s="375"/>
      <c r="AM110" s="375"/>
      <c r="AN110" s="375"/>
      <c r="AO110" s="375"/>
      <c r="AP110" s="375"/>
      <c r="AQ110" s="375"/>
      <c r="AR110" s="375"/>
    </row>
    <row r="111" spans="1:44">
      <c r="A111" s="375" t="s">
        <v>157</v>
      </c>
      <c r="B111" s="374">
        <v>-28015.7</v>
      </c>
      <c r="C111" s="374">
        <v>899136.88</v>
      </c>
      <c r="D111" s="374">
        <v>130599</v>
      </c>
      <c r="E111" s="374">
        <v>1218100</v>
      </c>
      <c r="F111" s="404"/>
      <c r="G111" s="404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  <c r="AB111" s="375"/>
      <c r="AC111" s="375"/>
      <c r="AD111" s="375"/>
      <c r="AE111" s="375"/>
      <c r="AF111" s="375"/>
      <c r="AG111" s="375"/>
      <c r="AH111" s="375"/>
      <c r="AI111" s="375"/>
      <c r="AJ111" s="375"/>
      <c r="AK111" s="375"/>
      <c r="AL111" s="375"/>
      <c r="AM111" s="375"/>
      <c r="AN111" s="375"/>
      <c r="AO111" s="375"/>
      <c r="AP111" s="375"/>
      <c r="AQ111" s="375"/>
      <c r="AR111" s="375"/>
    </row>
    <row r="112" spans="1:44">
      <c r="A112" s="375" t="s">
        <v>158</v>
      </c>
      <c r="B112" s="374">
        <v>310892.46000000002</v>
      </c>
      <c r="C112" s="374">
        <v>1260553.47</v>
      </c>
      <c r="D112" s="374">
        <v>-228069</v>
      </c>
      <c r="E112" s="374">
        <v>1157932</v>
      </c>
      <c r="F112" s="404"/>
      <c r="G112" s="404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  <c r="AC112" s="375"/>
      <c r="AD112" s="375"/>
      <c r="AE112" s="375"/>
      <c r="AF112" s="375"/>
      <c r="AG112" s="375"/>
      <c r="AH112" s="375"/>
      <c r="AI112" s="375"/>
      <c r="AJ112" s="375"/>
      <c r="AK112" s="375"/>
      <c r="AL112" s="375"/>
      <c r="AM112" s="375"/>
      <c r="AN112" s="375"/>
      <c r="AO112" s="375"/>
      <c r="AP112" s="375"/>
      <c r="AQ112" s="375"/>
      <c r="AR112" s="375"/>
    </row>
    <row r="113" spans="1:44">
      <c r="A113" s="375" t="s">
        <v>159</v>
      </c>
      <c r="B113" s="374">
        <v>78928.7</v>
      </c>
      <c r="C113" s="374">
        <v>1206445.93</v>
      </c>
      <c r="D113" s="374">
        <v>-187294</v>
      </c>
      <c r="E113" s="374">
        <v>1095280</v>
      </c>
      <c r="F113" s="404"/>
      <c r="G113" s="404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  <c r="AB113" s="375"/>
      <c r="AC113" s="375"/>
      <c r="AD113" s="375"/>
      <c r="AE113" s="375"/>
      <c r="AF113" s="375"/>
      <c r="AG113" s="375"/>
      <c r="AH113" s="375"/>
      <c r="AI113" s="375"/>
      <c r="AJ113" s="375"/>
      <c r="AK113" s="375"/>
      <c r="AL113" s="375"/>
      <c r="AM113" s="375"/>
      <c r="AN113" s="375"/>
      <c r="AO113" s="375"/>
      <c r="AP113" s="375"/>
      <c r="AQ113" s="375"/>
      <c r="AR113" s="375"/>
    </row>
    <row r="114" spans="1:44">
      <c r="A114" s="375" t="s">
        <v>148</v>
      </c>
      <c r="B114" s="374">
        <v>-219411.42</v>
      </c>
      <c r="C114" s="374">
        <v>857633.61</v>
      </c>
      <c r="D114" s="374">
        <v>-207850</v>
      </c>
      <c r="E114" s="374">
        <v>930331</v>
      </c>
      <c r="F114" s="404"/>
      <c r="G114" s="404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  <c r="AB114" s="375"/>
      <c r="AC114" s="375"/>
      <c r="AD114" s="375"/>
      <c r="AE114" s="375"/>
      <c r="AF114" s="375"/>
      <c r="AG114" s="375"/>
      <c r="AH114" s="375"/>
      <c r="AI114" s="375"/>
      <c r="AJ114" s="375"/>
      <c r="AK114" s="375"/>
      <c r="AL114" s="375"/>
      <c r="AM114" s="375"/>
      <c r="AN114" s="375"/>
      <c r="AO114" s="375"/>
      <c r="AP114" s="375"/>
      <c r="AQ114" s="375"/>
      <c r="AR114" s="375"/>
    </row>
    <row r="115" spans="1:44">
      <c r="A115" s="375" t="s">
        <v>589</v>
      </c>
      <c r="B115" s="374">
        <v>-173277.07</v>
      </c>
      <c r="C115" s="374">
        <v>744618.3</v>
      </c>
      <c r="D115" s="374">
        <v>-314881</v>
      </c>
      <c r="E115" s="374">
        <v>830013</v>
      </c>
      <c r="F115" s="404"/>
      <c r="G115" s="404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  <c r="AC115" s="375"/>
      <c r="AD115" s="375"/>
      <c r="AE115" s="375"/>
      <c r="AF115" s="375"/>
      <c r="AG115" s="375"/>
      <c r="AH115" s="375"/>
      <c r="AI115" s="375"/>
      <c r="AJ115" s="375"/>
      <c r="AK115" s="375"/>
      <c r="AL115" s="375"/>
      <c r="AM115" s="375"/>
      <c r="AN115" s="375"/>
      <c r="AO115" s="375"/>
      <c r="AP115" s="375"/>
      <c r="AQ115" s="375"/>
      <c r="AR115" s="375"/>
    </row>
    <row r="116" spans="1:44">
      <c r="A116" s="375" t="s">
        <v>150</v>
      </c>
      <c r="B116" s="374">
        <v>-224481.41</v>
      </c>
      <c r="C116" s="420">
        <v>778841.61</v>
      </c>
      <c r="D116" s="420">
        <v>-258645</v>
      </c>
      <c r="E116" s="374">
        <v>1155358</v>
      </c>
      <c r="F116" s="404"/>
      <c r="G116" s="404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  <c r="AC116" s="375"/>
      <c r="AD116" s="375"/>
      <c r="AE116" s="375"/>
      <c r="AF116" s="375"/>
      <c r="AG116" s="375"/>
      <c r="AH116" s="375"/>
      <c r="AI116" s="375"/>
      <c r="AJ116" s="375"/>
      <c r="AK116" s="375"/>
      <c r="AL116" s="375"/>
      <c r="AM116" s="375"/>
      <c r="AN116" s="375"/>
      <c r="AO116" s="375"/>
      <c r="AP116" s="375"/>
      <c r="AQ116" s="375"/>
      <c r="AR116" s="375"/>
    </row>
    <row r="117" spans="1:44" ht="15">
      <c r="A117" s="375" t="s">
        <v>151</v>
      </c>
      <c r="B117" s="431">
        <v>-413159.07</v>
      </c>
      <c r="C117" s="432">
        <v>1098831.67</v>
      </c>
      <c r="D117" s="432">
        <v>-56985</v>
      </c>
      <c r="E117" s="431">
        <v>1436079</v>
      </c>
      <c r="F117" s="433"/>
      <c r="G117" s="433"/>
      <c r="H117" s="434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  <c r="AC117" s="375"/>
      <c r="AD117" s="375"/>
      <c r="AE117" s="375"/>
      <c r="AF117" s="375"/>
      <c r="AG117" s="375"/>
      <c r="AH117" s="375"/>
      <c r="AI117" s="375"/>
      <c r="AJ117" s="375"/>
      <c r="AK117" s="375"/>
      <c r="AL117" s="375"/>
      <c r="AM117" s="375"/>
      <c r="AN117" s="375"/>
      <c r="AO117" s="375"/>
      <c r="AP117" s="375"/>
      <c r="AQ117" s="375"/>
      <c r="AR117" s="375"/>
    </row>
    <row r="118" spans="1:44">
      <c r="A118" s="375"/>
      <c r="B118" s="374"/>
      <c r="C118" s="374"/>
      <c r="D118" s="374"/>
      <c r="E118" s="374"/>
      <c r="F118" s="404"/>
      <c r="G118" s="404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  <c r="AA118" s="375"/>
      <c r="AB118" s="375"/>
      <c r="AC118" s="375"/>
      <c r="AD118" s="375"/>
      <c r="AE118" s="375"/>
      <c r="AF118" s="375"/>
      <c r="AG118" s="375"/>
      <c r="AH118" s="375"/>
      <c r="AI118" s="375"/>
      <c r="AJ118" s="375"/>
      <c r="AK118" s="375"/>
      <c r="AL118" s="375"/>
      <c r="AM118" s="375"/>
      <c r="AN118" s="375"/>
      <c r="AO118" s="375"/>
      <c r="AP118" s="375"/>
      <c r="AQ118" s="375"/>
      <c r="AR118" s="375"/>
    </row>
    <row r="119" spans="1:44" ht="15">
      <c r="A119" s="375" t="s">
        <v>15</v>
      </c>
      <c r="B119" s="435">
        <f>SUM(B106:B117)</f>
        <v>-329117.00000000012</v>
      </c>
      <c r="C119" s="435">
        <f>SUM(C106:C117)</f>
        <v>12400927.639999999</v>
      </c>
      <c r="D119" s="435">
        <f>SUM(D106:D117)</f>
        <v>-1000629</v>
      </c>
      <c r="E119" s="435">
        <f>SUM(E106:E117)</f>
        <v>12808917</v>
      </c>
      <c r="F119" s="436"/>
      <c r="G119" s="436"/>
      <c r="H119" s="437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  <c r="AA119" s="375"/>
      <c r="AB119" s="375"/>
      <c r="AC119" s="375"/>
      <c r="AD119" s="375"/>
      <c r="AE119" s="375"/>
      <c r="AF119" s="375"/>
      <c r="AG119" s="375"/>
      <c r="AH119" s="375"/>
      <c r="AI119" s="375"/>
      <c r="AJ119" s="375"/>
      <c r="AK119" s="375"/>
      <c r="AL119" s="375"/>
      <c r="AM119" s="375"/>
      <c r="AN119" s="375"/>
      <c r="AO119" s="375"/>
      <c r="AP119" s="375"/>
      <c r="AQ119" s="375"/>
      <c r="AR119" s="375"/>
    </row>
    <row r="120" spans="1:44">
      <c r="A120" s="375"/>
      <c r="B120" s="374"/>
      <c r="C120" s="374"/>
      <c r="D120" s="374"/>
      <c r="E120" s="374"/>
      <c r="F120" s="375"/>
      <c r="G120" s="375"/>
      <c r="H120" s="375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  <c r="AA120" s="375"/>
      <c r="AB120" s="375"/>
      <c r="AC120" s="375"/>
      <c r="AD120" s="375"/>
      <c r="AE120" s="375"/>
      <c r="AF120" s="375"/>
      <c r="AG120" s="375"/>
      <c r="AH120" s="375"/>
      <c r="AI120" s="375"/>
      <c r="AJ120" s="375"/>
      <c r="AK120" s="375"/>
      <c r="AL120" s="375"/>
      <c r="AM120" s="375"/>
      <c r="AN120" s="375"/>
      <c r="AO120" s="375"/>
      <c r="AP120" s="375"/>
      <c r="AQ120" s="375"/>
      <c r="AR120" s="375"/>
    </row>
    <row r="121" spans="1:44">
      <c r="A121" s="375"/>
      <c r="B121" s="375"/>
      <c r="C121" s="375"/>
      <c r="D121" s="375"/>
      <c r="E121" s="375"/>
      <c r="F121" s="375"/>
      <c r="G121" s="375"/>
      <c r="H121" s="375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  <c r="AA121" s="375"/>
      <c r="AB121" s="375"/>
      <c r="AC121" s="375"/>
      <c r="AD121" s="375"/>
      <c r="AE121" s="375"/>
      <c r="AF121" s="375"/>
      <c r="AG121" s="375"/>
      <c r="AH121" s="375"/>
      <c r="AI121" s="375"/>
      <c r="AJ121" s="375"/>
      <c r="AK121" s="375"/>
      <c r="AL121" s="375"/>
      <c r="AM121" s="375"/>
      <c r="AN121" s="375"/>
      <c r="AO121" s="375"/>
      <c r="AP121" s="375"/>
      <c r="AQ121" s="375"/>
      <c r="AR121" s="375"/>
    </row>
    <row r="122" spans="1:44">
      <c r="A122" s="375" t="s">
        <v>627</v>
      </c>
      <c r="B122" s="375"/>
      <c r="C122" s="375"/>
      <c r="D122" s="375"/>
      <c r="E122" s="375"/>
      <c r="F122" s="375"/>
      <c r="G122" s="375"/>
      <c r="H122" s="375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  <c r="AA122" s="375"/>
      <c r="AB122" s="375"/>
      <c r="AC122" s="375"/>
      <c r="AD122" s="375"/>
      <c r="AE122" s="375"/>
      <c r="AF122" s="375"/>
      <c r="AG122" s="375"/>
      <c r="AH122" s="375"/>
      <c r="AI122" s="375"/>
      <c r="AJ122" s="375"/>
      <c r="AK122" s="375"/>
      <c r="AL122" s="375"/>
      <c r="AM122" s="375"/>
      <c r="AN122" s="375"/>
      <c r="AO122" s="375"/>
      <c r="AP122" s="375"/>
      <c r="AQ122" s="375"/>
      <c r="AR122" s="375"/>
    </row>
    <row r="123" spans="1:44">
      <c r="A123" s="375" t="s">
        <v>628</v>
      </c>
      <c r="B123" s="375"/>
      <c r="C123" s="375"/>
      <c r="D123" s="375"/>
      <c r="E123" s="375"/>
      <c r="F123" s="375"/>
      <c r="G123" s="375"/>
      <c r="H123" s="375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  <c r="AA123" s="375"/>
      <c r="AB123" s="375"/>
      <c r="AC123" s="375"/>
      <c r="AD123" s="375"/>
      <c r="AE123" s="375"/>
      <c r="AF123" s="375"/>
      <c r="AG123" s="375"/>
      <c r="AH123" s="375"/>
      <c r="AI123" s="375"/>
      <c r="AJ123" s="375"/>
      <c r="AK123" s="375"/>
      <c r="AL123" s="375"/>
      <c r="AM123" s="375"/>
      <c r="AN123" s="375"/>
      <c r="AO123" s="375"/>
      <c r="AP123" s="375"/>
      <c r="AQ123" s="375"/>
      <c r="AR123" s="375"/>
    </row>
    <row r="124" spans="1:44">
      <c r="A124" s="375" t="s">
        <v>629</v>
      </c>
      <c r="B124" s="375"/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  <c r="AA124" s="375"/>
      <c r="AB124" s="375"/>
      <c r="AC124" s="375"/>
      <c r="AD124" s="375"/>
      <c r="AE124" s="375"/>
      <c r="AF124" s="375"/>
      <c r="AG124" s="375"/>
      <c r="AH124" s="375"/>
      <c r="AI124" s="375"/>
      <c r="AJ124" s="375"/>
      <c r="AK124" s="375"/>
      <c r="AL124" s="375"/>
      <c r="AM124" s="375"/>
      <c r="AN124" s="375"/>
      <c r="AO124" s="375"/>
      <c r="AP124" s="375"/>
      <c r="AQ124" s="375"/>
      <c r="AR124" s="375"/>
    </row>
    <row r="125" spans="1:44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  <c r="AA125" s="375"/>
      <c r="AB125" s="375"/>
      <c r="AC125" s="375"/>
      <c r="AD125" s="375"/>
      <c r="AE125" s="375"/>
      <c r="AF125" s="375"/>
      <c r="AG125" s="375"/>
      <c r="AH125" s="375"/>
      <c r="AI125" s="375"/>
      <c r="AJ125" s="375"/>
      <c r="AK125" s="375"/>
      <c r="AL125" s="375"/>
      <c r="AM125" s="375"/>
      <c r="AN125" s="375"/>
      <c r="AO125" s="375"/>
      <c r="AP125" s="375"/>
      <c r="AQ125" s="375"/>
      <c r="AR125" s="375"/>
    </row>
  </sheetData>
  <mergeCells count="11">
    <mergeCell ref="Q54:U54"/>
    <mergeCell ref="K55:L55"/>
    <mergeCell ref="B102:C102"/>
    <mergeCell ref="D102:E102"/>
    <mergeCell ref="B8:D8"/>
    <mergeCell ref="H8:L8"/>
    <mergeCell ref="I9:J9"/>
    <mergeCell ref="N9:P9"/>
    <mergeCell ref="H31:I31"/>
    <mergeCell ref="B54:H54"/>
    <mergeCell ref="I54:N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R13"/>
  <sheetViews>
    <sheetView workbookViewId="0">
      <selection activeCell="K25" sqref="K25"/>
    </sheetView>
  </sheetViews>
  <sheetFormatPr defaultRowHeight="12.75"/>
  <cols>
    <col min="1" max="1" width="13.7109375" customWidth="1"/>
    <col min="2" max="2" width="10.85546875" customWidth="1"/>
    <col min="3" max="3" width="12" customWidth="1"/>
    <col min="4" max="7" width="10.85546875" customWidth="1"/>
    <col min="8" max="8" width="11.85546875" customWidth="1"/>
    <col min="9" max="9" width="10.85546875" customWidth="1"/>
    <col min="10" max="10" width="12.5703125" customWidth="1"/>
    <col min="11" max="11" width="11.85546875" customWidth="1"/>
    <col min="12" max="13" width="10.85546875" customWidth="1"/>
    <col min="14" max="14" width="13.140625" customWidth="1"/>
    <col min="15" max="15" width="13.5703125" customWidth="1"/>
  </cols>
  <sheetData>
    <row r="6" spans="1:18">
      <c r="B6" s="438" t="s">
        <v>630</v>
      </c>
    </row>
    <row r="7" spans="1:18" ht="13.5" thickBot="1"/>
    <row r="8" spans="1:18" s="1" customFormat="1">
      <c r="A8" s="41"/>
      <c r="B8" s="36">
        <v>0</v>
      </c>
      <c r="C8" s="36" t="s">
        <v>535</v>
      </c>
      <c r="D8" s="36" t="s">
        <v>535</v>
      </c>
      <c r="E8" s="36" t="s">
        <v>538</v>
      </c>
      <c r="F8" s="36" t="s">
        <v>539</v>
      </c>
      <c r="G8" s="36" t="s">
        <v>540</v>
      </c>
      <c r="H8" s="36" t="s">
        <v>545</v>
      </c>
      <c r="I8" s="36">
        <v>0</v>
      </c>
      <c r="J8" s="36" t="s">
        <v>15</v>
      </c>
      <c r="K8" s="36" t="s">
        <v>546</v>
      </c>
      <c r="L8" s="36" t="s">
        <v>533</v>
      </c>
      <c r="M8" s="36" t="s">
        <v>549</v>
      </c>
      <c r="N8" s="36" t="s">
        <v>15</v>
      </c>
      <c r="O8"/>
      <c r="P8"/>
      <c r="Q8"/>
      <c r="R8"/>
    </row>
    <row r="9" spans="1:18" s="1" customFormat="1">
      <c r="A9" s="40"/>
      <c r="B9" s="36" t="s">
        <v>470</v>
      </c>
      <c r="C9" s="36" t="s">
        <v>257</v>
      </c>
      <c r="D9" s="36" t="s">
        <v>257</v>
      </c>
      <c r="E9" s="36" t="s">
        <v>541</v>
      </c>
      <c r="F9" s="36" t="s">
        <v>541</v>
      </c>
      <c r="G9" s="36" t="s">
        <v>543</v>
      </c>
      <c r="H9" s="36" t="s">
        <v>543</v>
      </c>
      <c r="I9" s="36" t="s">
        <v>223</v>
      </c>
      <c r="J9" s="36" t="s">
        <v>551</v>
      </c>
      <c r="K9" s="36" t="s">
        <v>547</v>
      </c>
      <c r="L9" s="36" t="s">
        <v>547</v>
      </c>
      <c r="M9" s="36" t="s">
        <v>547</v>
      </c>
      <c r="N9" s="36" t="s">
        <v>553</v>
      </c>
      <c r="O9"/>
      <c r="P9"/>
      <c r="Q9"/>
      <c r="R9"/>
    </row>
    <row r="10" spans="1:18" s="1" customFormat="1">
      <c r="A10" s="439" t="s">
        <v>1</v>
      </c>
      <c r="B10" s="36" t="s">
        <v>471</v>
      </c>
      <c r="C10" s="36" t="s">
        <v>536</v>
      </c>
      <c r="D10" s="36" t="s">
        <v>537</v>
      </c>
      <c r="E10" s="36" t="s">
        <v>542</v>
      </c>
      <c r="F10" s="36" t="s">
        <v>542</v>
      </c>
      <c r="G10" s="36" t="s">
        <v>544</v>
      </c>
      <c r="H10" s="36" t="s">
        <v>473</v>
      </c>
      <c r="I10" s="36" t="s">
        <v>550</v>
      </c>
      <c r="J10" s="36" t="s">
        <v>552</v>
      </c>
      <c r="K10" s="36" t="s">
        <v>548</v>
      </c>
      <c r="L10" s="36" t="s">
        <v>548</v>
      </c>
      <c r="M10" s="36" t="s">
        <v>548</v>
      </c>
      <c r="N10" s="36" t="s">
        <v>554</v>
      </c>
      <c r="O10" s="438" t="s">
        <v>1</v>
      </c>
      <c r="P10" s="1" t="s">
        <v>411</v>
      </c>
      <c r="Q10" s="2"/>
      <c r="R10"/>
    </row>
    <row r="12" spans="1:18" s="370" customFormat="1" ht="13.5" thickBot="1">
      <c r="A12" s="440" t="s">
        <v>363</v>
      </c>
      <c r="B12" s="367">
        <v>271800</v>
      </c>
      <c r="C12" s="367">
        <v>793939806</v>
      </c>
      <c r="D12" s="367">
        <v>437447</v>
      </c>
      <c r="E12" s="371">
        <v>70405905</v>
      </c>
      <c r="F12" s="367">
        <v>659159</v>
      </c>
      <c r="G12" s="367">
        <v>37501047</v>
      </c>
      <c r="H12" s="367">
        <v>117253805</v>
      </c>
      <c r="I12" s="367">
        <v>9008707</v>
      </c>
      <c r="J12" s="355">
        <v>1029477676</v>
      </c>
      <c r="K12" s="367">
        <v>198304474</v>
      </c>
      <c r="L12" s="367">
        <v>56059904</v>
      </c>
      <c r="M12" s="355">
        <v>0</v>
      </c>
      <c r="N12" s="368">
        <v>1283842054</v>
      </c>
      <c r="O12" s="369">
        <v>1283842054</v>
      </c>
      <c r="P12" s="369"/>
      <c r="Q12" s="369"/>
      <c r="R12" s="369"/>
    </row>
    <row r="13" spans="1:18" ht="13.5" thickTop="1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84"/>
  <sheetViews>
    <sheetView workbookViewId="0">
      <selection activeCell="P12" sqref="P12"/>
    </sheetView>
  </sheetViews>
  <sheetFormatPr defaultRowHeight="14.25"/>
  <cols>
    <col min="1" max="1" width="23" style="226" customWidth="1"/>
    <col min="2" max="2" width="12.42578125" style="226" customWidth="1"/>
    <col min="4" max="4" width="13.7109375" style="226" customWidth="1"/>
    <col min="5" max="5" width="14.42578125" customWidth="1"/>
    <col min="8" max="8" width="10.140625" customWidth="1"/>
    <col min="9" max="9" width="12.28515625" bestFit="1" customWidth="1"/>
    <col min="11" max="11" width="12.5703125" customWidth="1"/>
  </cols>
  <sheetData>
    <row r="3" spans="1:11">
      <c r="D3" t="s">
        <v>309</v>
      </c>
    </row>
    <row r="5" spans="1:11">
      <c r="A5" s="244"/>
      <c r="B5" s="244"/>
      <c r="D5" s="354" t="s">
        <v>533</v>
      </c>
    </row>
    <row r="6" spans="1:11">
      <c r="A6" s="233"/>
      <c r="B6" s="234" t="s">
        <v>200</v>
      </c>
      <c r="D6" s="354" t="s">
        <v>547</v>
      </c>
    </row>
    <row r="7" spans="1:11" ht="16.5">
      <c r="A7" s="236" t="s">
        <v>202</v>
      </c>
      <c r="B7" s="237" t="s">
        <v>201</v>
      </c>
      <c r="D7" s="238" t="s">
        <v>548</v>
      </c>
    </row>
    <row r="8" spans="1:11">
      <c r="A8" s="233" t="s">
        <v>19</v>
      </c>
      <c r="B8" s="233" t="s">
        <v>131</v>
      </c>
      <c r="D8" s="231">
        <v>2145306.9000000004</v>
      </c>
      <c r="E8" s="233">
        <v>2145306.9000000004</v>
      </c>
      <c r="H8" s="500">
        <v>7.17</v>
      </c>
      <c r="I8" s="511">
        <v>7.25</v>
      </c>
      <c r="K8" s="502">
        <f>(I8*D30)</f>
        <v>2039330.75</v>
      </c>
    </row>
    <row r="9" spans="1:11">
      <c r="A9" s="233" t="s">
        <v>19</v>
      </c>
      <c r="B9" s="233" t="s">
        <v>175</v>
      </c>
      <c r="D9" s="233">
        <v>8505282.8801380005</v>
      </c>
      <c r="E9" s="233">
        <v>8505282.8801380005</v>
      </c>
      <c r="H9">
        <f>(E9/D29)</f>
        <v>4.2890020121976673E-2</v>
      </c>
      <c r="I9" s="505">
        <f>(E9/D29)+0.001</f>
        <v>4.3890020121976674E-2</v>
      </c>
      <c r="K9" s="502">
        <f>(I9*D29)</f>
        <v>8703587.3541379999</v>
      </c>
    </row>
    <row r="10" spans="1:11">
      <c r="A10" s="233" t="s">
        <v>360</v>
      </c>
      <c r="B10" s="233" t="s">
        <v>131</v>
      </c>
      <c r="D10" s="233">
        <v>172860</v>
      </c>
      <c r="E10" s="233">
        <v>172860</v>
      </c>
      <c r="F10">
        <f>(D10+D11+D12+D17+D19)/(60)</f>
        <v>3488.8531667706006</v>
      </c>
      <c r="H10" s="500">
        <f>(D19+D1+D10)/60</f>
        <v>3175.4208599428507</v>
      </c>
      <c r="I10" s="511">
        <f>(E10+E12+E17+E19)/60</f>
        <v>3189.1740272232059</v>
      </c>
      <c r="K10" s="502">
        <f>(I10*D27)</f>
        <v>191350.44163339236</v>
      </c>
    </row>
    <row r="11" spans="1:11">
      <c r="A11" s="233" t="s">
        <v>240</v>
      </c>
      <c r="B11" s="233" t="s">
        <v>131</v>
      </c>
      <c r="D11" s="233">
        <v>17980.748372843696</v>
      </c>
      <c r="E11" s="233">
        <v>13916.797931635587</v>
      </c>
      <c r="H11" s="501">
        <f>(D11+D12+D13)/D28</f>
        <v>2.4457035230136199</v>
      </c>
      <c r="I11" s="501">
        <f>(E11+E13)/(D28)</f>
        <v>1.891772222238826</v>
      </c>
      <c r="K11" s="502">
        <f>(I11*D28)</f>
        <v>718107.82342291938</v>
      </c>
    </row>
    <row r="12" spans="1:11">
      <c r="A12" s="233" t="s">
        <v>178</v>
      </c>
      <c r="B12" s="233" t="s">
        <v>10</v>
      </c>
      <c r="D12" s="233">
        <v>569.56277494152437</v>
      </c>
      <c r="E12" s="233">
        <v>569.56277494152437</v>
      </c>
      <c r="K12" s="503">
        <f>SUM(K8:K11)</f>
        <v>11652376.369194312</v>
      </c>
    </row>
    <row r="13" spans="1:11">
      <c r="A13" s="233" t="s">
        <v>178</v>
      </c>
      <c r="B13" s="233" t="s">
        <v>131</v>
      </c>
      <c r="D13" s="233">
        <v>909827.22447888798</v>
      </c>
      <c r="E13" s="233">
        <v>704191.02549128374</v>
      </c>
      <c r="K13" s="504">
        <f>('[13]rate schedules'!$G$215)</f>
        <v>11707249.37466</v>
      </c>
    </row>
    <row r="14" spans="1:11">
      <c r="A14" s="233" t="s">
        <v>95</v>
      </c>
      <c r="B14" s="233" t="s">
        <v>10</v>
      </c>
      <c r="D14" s="233">
        <v>0</v>
      </c>
      <c r="E14" s="233">
        <v>0</v>
      </c>
      <c r="K14" s="504">
        <f>(K13-K12)</f>
        <v>54873.005465688184</v>
      </c>
    </row>
    <row r="15" spans="1:11">
      <c r="A15" s="233" t="s">
        <v>95</v>
      </c>
      <c r="B15" s="233" t="s">
        <v>131</v>
      </c>
      <c r="D15" s="233">
        <v>0</v>
      </c>
      <c r="E15" s="233">
        <v>0</v>
      </c>
      <c r="K15" s="505">
        <f>(K14/D29)</f>
        <v>2.7671087978422605E-4</v>
      </c>
    </row>
    <row r="16" spans="1:11">
      <c r="A16" s="233" t="s">
        <v>8</v>
      </c>
      <c r="B16" s="233" t="s">
        <v>10</v>
      </c>
      <c r="D16" s="268">
        <v>0</v>
      </c>
      <c r="E16" s="268">
        <v>0</v>
      </c>
    </row>
    <row r="17" spans="1:5">
      <c r="A17" s="233" t="s">
        <v>9</v>
      </c>
      <c r="B17" s="233" t="s">
        <v>10</v>
      </c>
      <c r="D17" s="233">
        <v>255.62726187979112</v>
      </c>
      <c r="E17" s="233">
        <v>255.62726187979112</v>
      </c>
    </row>
    <row r="18" spans="1:5">
      <c r="A18" s="233" t="s">
        <v>179</v>
      </c>
      <c r="B18" s="233"/>
      <c r="D18" s="233"/>
      <c r="E18" s="226"/>
    </row>
    <row r="19" spans="1:5">
      <c r="A19" s="233" t="s">
        <v>180</v>
      </c>
      <c r="B19" s="233" t="s">
        <v>10</v>
      </c>
      <c r="D19" s="233">
        <v>17665.251596571041</v>
      </c>
      <c r="E19" s="233">
        <v>17665.251596571041</v>
      </c>
    </row>
    <row r="20" spans="1:5">
      <c r="A20" s="233" t="s">
        <v>13</v>
      </c>
      <c r="B20" s="233" t="s">
        <v>13</v>
      </c>
      <c r="D20" s="236"/>
      <c r="E20" s="239"/>
    </row>
    <row r="21" spans="1:5">
      <c r="A21" s="236" t="s">
        <v>166</v>
      </c>
      <c r="B21" s="236"/>
      <c r="D21" s="241">
        <v>11769748.194623124</v>
      </c>
      <c r="E21" s="241">
        <v>11560048.045194313</v>
      </c>
    </row>
    <row r="22" spans="1:5">
      <c r="A22" s="213"/>
      <c r="B22" s="213"/>
    </row>
    <row r="23" spans="1:5">
      <c r="A23" s="213"/>
      <c r="B23" s="213"/>
    </row>
    <row r="24" spans="1:5">
      <c r="A24" s="242"/>
      <c r="B24" s="243"/>
      <c r="D24" s="244" t="s">
        <v>533</v>
      </c>
    </row>
    <row r="25" spans="1:5">
      <c r="A25" s="239"/>
      <c r="B25" s="214"/>
      <c r="D25" s="499" t="s">
        <v>547</v>
      </c>
    </row>
    <row r="26" spans="1:5">
      <c r="A26" s="239"/>
      <c r="B26" s="214"/>
      <c r="D26" s="244" t="s">
        <v>548</v>
      </c>
    </row>
    <row r="27" spans="1:5">
      <c r="A27" s="261" t="s">
        <v>659</v>
      </c>
      <c r="B27" s="214"/>
      <c r="D27" s="231">
        <f>('[13]rate schedules'!$B$206)</f>
        <v>60</v>
      </c>
    </row>
    <row r="28" spans="1:5">
      <c r="A28" s="261" t="s">
        <v>328</v>
      </c>
      <c r="B28" s="214"/>
      <c r="D28" s="233">
        <f>('[13]rate schedules'!$B$208+'[13]rate schedules'!$B$209)</f>
        <v>379595.28899999999</v>
      </c>
    </row>
    <row r="29" spans="1:5">
      <c r="A29" s="261" t="s">
        <v>363</v>
      </c>
      <c r="B29" s="214"/>
      <c r="D29" s="233">
        <f>('[13]rate schedules'!$B$211)</f>
        <v>198304474</v>
      </c>
    </row>
    <row r="30" spans="1:5">
      <c r="A30" s="261" t="s">
        <v>660</v>
      </c>
      <c r="B30" s="214"/>
      <c r="D30" s="233">
        <f>(49779+42436+71323+50227+67522)</f>
        <v>281287</v>
      </c>
    </row>
    <row r="31" spans="1:5">
      <c r="A31" s="245" t="str">
        <f>(A21)</f>
        <v>Revenue Requirements</v>
      </c>
      <c r="B31" s="498"/>
      <c r="D31" s="241">
        <v>11769748.194623124</v>
      </c>
    </row>
    <row r="32" spans="1:5">
      <c r="A32" s="213"/>
      <c r="B32" s="213"/>
    </row>
    <row r="33" spans="1:4" ht="12.75">
      <c r="A33" s="77"/>
      <c r="B33" s="77"/>
      <c r="D33" s="77"/>
    </row>
    <row r="34" spans="1:4" ht="12.75">
      <c r="A34" s="77"/>
      <c r="B34" s="77"/>
      <c r="D34" s="77"/>
    </row>
    <row r="35" spans="1:4">
      <c r="D35" s="77"/>
    </row>
    <row r="36" spans="1:4">
      <c r="D36" s="77"/>
    </row>
    <row r="37" spans="1:4">
      <c r="D37" s="77"/>
    </row>
    <row r="38" spans="1:4">
      <c r="D38" s="77"/>
    </row>
    <row r="39" spans="1:4">
      <c r="D39" s="77"/>
    </row>
    <row r="40" spans="1:4">
      <c r="D40" s="77"/>
    </row>
    <row r="41" spans="1:4">
      <c r="D41" s="177">
        <v>0</v>
      </c>
    </row>
    <row r="42" spans="1:4">
      <c r="D42" s="177" t="e">
        <v>#REF!</v>
      </c>
    </row>
    <row r="43" spans="1:4">
      <c r="D43" s="177">
        <v>0</v>
      </c>
    </row>
    <row r="44" spans="1:4">
      <c r="D44" s="177" t="e">
        <v>#REF!</v>
      </c>
    </row>
    <row r="45" spans="1:4">
      <c r="D45" s="177">
        <v>0</v>
      </c>
    </row>
    <row r="46" spans="1:4">
      <c r="D46" s="177">
        <v>0</v>
      </c>
    </row>
    <row r="47" spans="1:4">
      <c r="D47" s="177">
        <v>0</v>
      </c>
    </row>
    <row r="48" spans="1:4">
      <c r="D48" s="177">
        <v>0</v>
      </c>
    </row>
    <row r="49" spans="1:4">
      <c r="D49" s="177">
        <v>0</v>
      </c>
    </row>
    <row r="50" spans="1:4">
      <c r="D50" s="177">
        <v>0</v>
      </c>
    </row>
    <row r="51" spans="1:4">
      <c r="D51" s="177">
        <v>0</v>
      </c>
    </row>
    <row r="52" spans="1:4">
      <c r="A52" s="207"/>
      <c r="B52" s="207"/>
      <c r="D52" s="207"/>
    </row>
    <row r="53" spans="1:4">
      <c r="A53" s="211"/>
      <c r="B53" s="213"/>
      <c r="D53" s="207"/>
    </row>
    <row r="54" spans="1:4">
      <c r="A54" s="211"/>
      <c r="B54" s="211"/>
      <c r="D54" s="207"/>
    </row>
    <row r="55" spans="1:4">
      <c r="A55" s="207"/>
      <c r="B55" s="207"/>
      <c r="D55" s="207"/>
    </row>
    <row r="56" spans="1:4">
      <c r="A56" s="207"/>
      <c r="B56" s="207"/>
      <c r="D56" s="207"/>
    </row>
    <row r="57" spans="1:4">
      <c r="A57" s="207"/>
      <c r="B57" s="207"/>
      <c r="D57" s="207"/>
    </row>
    <row r="58" spans="1:4">
      <c r="A58" s="207"/>
      <c r="B58" s="207"/>
      <c r="D58" s="207">
        <v>311873</v>
      </c>
    </row>
    <row r="59" spans="1:4">
      <c r="A59" s="207"/>
      <c r="B59" s="207"/>
      <c r="D59" s="207">
        <v>55.482698486507459</v>
      </c>
    </row>
    <row r="60" spans="1:4">
      <c r="A60" s="207"/>
      <c r="B60" s="207"/>
      <c r="D60" s="207"/>
    </row>
    <row r="61" spans="1:4">
      <c r="A61" s="207"/>
      <c r="B61" s="207"/>
      <c r="D61" s="207"/>
    </row>
    <row r="62" spans="1:4">
      <c r="A62" s="207"/>
      <c r="B62" s="207"/>
      <c r="D62" s="207"/>
    </row>
    <row r="63" spans="1:4">
      <c r="A63" s="207"/>
      <c r="B63" s="207"/>
      <c r="D63" s="207"/>
    </row>
    <row r="64" spans="1:4">
      <c r="A64" s="207"/>
      <c r="B64" s="207"/>
      <c r="D64" s="207"/>
    </row>
    <row r="65" spans="1:4">
      <c r="A65" s="207"/>
      <c r="B65" s="207"/>
      <c r="D65" s="207"/>
    </row>
    <row r="66" spans="1:4">
      <c r="A66" s="207"/>
      <c r="B66" s="207"/>
      <c r="D66" s="207"/>
    </row>
    <row r="67" spans="1:4">
      <c r="A67" s="207"/>
      <c r="B67" s="207"/>
      <c r="D67" s="207"/>
    </row>
    <row r="68" spans="1:4">
      <c r="A68" s="207"/>
      <c r="B68" s="207"/>
      <c r="D68" s="207"/>
    </row>
    <row r="69" spans="1:4">
      <c r="A69" s="207"/>
      <c r="B69" s="207"/>
      <c r="D69" s="207"/>
    </row>
    <row r="70" spans="1:4">
      <c r="A70" s="207"/>
      <c r="B70" s="207"/>
      <c r="D70" s="207"/>
    </row>
    <row r="71" spans="1:4">
      <c r="A71" s="207"/>
      <c r="B71" s="207"/>
      <c r="D71" s="207"/>
    </row>
    <row r="72" spans="1:4">
      <c r="A72" s="207"/>
      <c r="B72" s="207"/>
      <c r="D72" s="207"/>
    </row>
    <row r="73" spans="1:4">
      <c r="A73" s="207"/>
      <c r="B73" s="207"/>
      <c r="D73" s="207"/>
    </row>
    <row r="74" spans="1:4">
      <c r="A74" s="207"/>
      <c r="B74" s="207"/>
      <c r="D74" s="207"/>
    </row>
    <row r="75" spans="1:4">
      <c r="A75" s="207"/>
      <c r="B75" s="207"/>
      <c r="D75" s="207"/>
    </row>
    <row r="76" spans="1:4">
      <c r="A76" s="207"/>
      <c r="B76" s="207"/>
      <c r="D76" s="207"/>
    </row>
    <row r="77" spans="1:4">
      <c r="A77" s="207"/>
      <c r="B77" s="207"/>
      <c r="D77" s="207"/>
    </row>
    <row r="78" spans="1:4">
      <c r="A78" s="207"/>
      <c r="B78" s="207"/>
      <c r="D78" s="207"/>
    </row>
    <row r="79" spans="1:4">
      <c r="A79" s="207"/>
      <c r="B79" s="207"/>
      <c r="D79" s="207"/>
    </row>
    <row r="80" spans="1:4">
      <c r="A80" s="207"/>
      <c r="B80" s="207"/>
      <c r="D80" s="207"/>
    </row>
    <row r="81" spans="1:4">
      <c r="A81" s="207"/>
      <c r="B81" s="207"/>
      <c r="D81" s="207"/>
    </row>
    <row r="82" spans="1:4">
      <c r="A82" s="207"/>
      <c r="B82" s="207"/>
      <c r="D82" s="207"/>
    </row>
    <row r="83" spans="1:4">
      <c r="A83" s="207"/>
      <c r="B83" s="207"/>
      <c r="D83" s="207"/>
    </row>
    <row r="84" spans="1:4">
      <c r="A84" s="207"/>
      <c r="B84" s="207"/>
      <c r="D84" s="20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29"/>
  <sheetViews>
    <sheetView topLeftCell="B194" zoomScale="85" zoomScaleNormal="85" workbookViewId="0">
      <selection activeCell="B9" sqref="B9"/>
    </sheetView>
  </sheetViews>
  <sheetFormatPr defaultRowHeight="14.25"/>
  <cols>
    <col min="1" max="1" width="25.5703125" style="13" customWidth="1"/>
    <col min="2" max="2" width="10.28515625" style="13" customWidth="1"/>
    <col min="3" max="3" width="12.85546875" style="13" customWidth="1"/>
    <col min="4" max="4" width="12.140625" style="13" customWidth="1"/>
    <col min="5" max="5" width="11.42578125" style="13" customWidth="1"/>
    <col min="6" max="6" width="10.42578125" style="13" customWidth="1"/>
    <col min="7" max="7" width="11.5703125" style="13" customWidth="1"/>
    <col min="8" max="8" width="11.7109375" style="13" customWidth="1"/>
    <col min="9" max="9" width="11.85546875" style="13" customWidth="1"/>
    <col min="10" max="10" width="13.85546875" style="13" customWidth="1"/>
    <col min="11" max="11" width="9.140625" style="13"/>
    <col min="12" max="12" width="14.5703125" style="13" bestFit="1" customWidth="1"/>
    <col min="13" max="13" width="17" style="13" customWidth="1"/>
    <col min="14" max="14" width="9.140625" style="13"/>
    <col min="15" max="15" width="13.140625" style="13" customWidth="1"/>
    <col min="16" max="16" width="9.140625" style="13"/>
    <col min="17" max="17" width="13.42578125" style="13" bestFit="1" customWidth="1"/>
    <col min="18" max="18" width="9.140625" style="13"/>
    <col min="19" max="19" width="10.5703125" style="13" bestFit="1" customWidth="1"/>
    <col min="20" max="256" width="9.140625" style="13"/>
    <col min="257" max="257" width="25.5703125" style="13" customWidth="1"/>
    <col min="258" max="258" width="11.28515625" style="13" customWidth="1"/>
    <col min="259" max="259" width="12.85546875" style="13" customWidth="1"/>
    <col min="260" max="260" width="12.140625" style="13" customWidth="1"/>
    <col min="261" max="261" width="11.42578125" style="13" customWidth="1"/>
    <col min="262" max="262" width="11.140625" style="13" customWidth="1"/>
    <col min="263" max="263" width="11.5703125" style="13" customWidth="1"/>
    <col min="264" max="264" width="11.7109375" style="13" customWidth="1"/>
    <col min="265" max="265" width="14.42578125" style="13" customWidth="1"/>
    <col min="266" max="266" width="13.85546875" style="13" customWidth="1"/>
    <col min="267" max="267" width="9.140625" style="13"/>
    <col min="268" max="268" width="14.5703125" style="13" bestFit="1" customWidth="1"/>
    <col min="269" max="269" width="17" style="13" customWidth="1"/>
    <col min="270" max="270" width="9.140625" style="13"/>
    <col min="271" max="271" width="13.140625" style="13" customWidth="1"/>
    <col min="272" max="512" width="9.140625" style="13"/>
    <col min="513" max="513" width="25.5703125" style="13" customWidth="1"/>
    <col min="514" max="514" width="11.28515625" style="13" customWidth="1"/>
    <col min="515" max="515" width="12.85546875" style="13" customWidth="1"/>
    <col min="516" max="516" width="12.140625" style="13" customWidth="1"/>
    <col min="517" max="517" width="11.42578125" style="13" customWidth="1"/>
    <col min="518" max="518" width="11.140625" style="13" customWidth="1"/>
    <col min="519" max="519" width="11.5703125" style="13" customWidth="1"/>
    <col min="520" max="520" width="11.7109375" style="13" customWidth="1"/>
    <col min="521" max="521" width="14.42578125" style="13" customWidth="1"/>
    <col min="522" max="522" width="13.85546875" style="13" customWidth="1"/>
    <col min="523" max="523" width="9.140625" style="13"/>
    <col min="524" max="524" width="14.5703125" style="13" bestFit="1" customWidth="1"/>
    <col min="525" max="525" width="17" style="13" customWidth="1"/>
    <col min="526" max="526" width="9.140625" style="13"/>
    <col min="527" max="527" width="13.140625" style="13" customWidth="1"/>
    <col min="528" max="768" width="9.140625" style="13"/>
    <col min="769" max="769" width="25.5703125" style="13" customWidth="1"/>
    <col min="770" max="770" width="11.28515625" style="13" customWidth="1"/>
    <col min="771" max="771" width="12.85546875" style="13" customWidth="1"/>
    <col min="772" max="772" width="12.140625" style="13" customWidth="1"/>
    <col min="773" max="773" width="11.42578125" style="13" customWidth="1"/>
    <col min="774" max="774" width="11.140625" style="13" customWidth="1"/>
    <col min="775" max="775" width="11.5703125" style="13" customWidth="1"/>
    <col min="776" max="776" width="11.7109375" style="13" customWidth="1"/>
    <col min="777" max="777" width="14.42578125" style="13" customWidth="1"/>
    <col min="778" max="778" width="13.85546875" style="13" customWidth="1"/>
    <col min="779" max="779" width="9.140625" style="13"/>
    <col min="780" max="780" width="14.5703125" style="13" bestFit="1" customWidth="1"/>
    <col min="781" max="781" width="17" style="13" customWidth="1"/>
    <col min="782" max="782" width="9.140625" style="13"/>
    <col min="783" max="783" width="13.140625" style="13" customWidth="1"/>
    <col min="784" max="1024" width="9.140625" style="13"/>
    <col min="1025" max="1025" width="25.5703125" style="13" customWidth="1"/>
    <col min="1026" max="1026" width="11.28515625" style="13" customWidth="1"/>
    <col min="1027" max="1027" width="12.85546875" style="13" customWidth="1"/>
    <col min="1028" max="1028" width="12.140625" style="13" customWidth="1"/>
    <col min="1029" max="1029" width="11.42578125" style="13" customWidth="1"/>
    <col min="1030" max="1030" width="11.140625" style="13" customWidth="1"/>
    <col min="1031" max="1031" width="11.5703125" style="13" customWidth="1"/>
    <col min="1032" max="1032" width="11.7109375" style="13" customWidth="1"/>
    <col min="1033" max="1033" width="14.42578125" style="13" customWidth="1"/>
    <col min="1034" max="1034" width="13.85546875" style="13" customWidth="1"/>
    <col min="1035" max="1035" width="9.140625" style="13"/>
    <col min="1036" max="1036" width="14.5703125" style="13" bestFit="1" customWidth="1"/>
    <col min="1037" max="1037" width="17" style="13" customWidth="1"/>
    <col min="1038" max="1038" width="9.140625" style="13"/>
    <col min="1039" max="1039" width="13.140625" style="13" customWidth="1"/>
    <col min="1040" max="1280" width="9.140625" style="13"/>
    <col min="1281" max="1281" width="25.5703125" style="13" customWidth="1"/>
    <col min="1282" max="1282" width="11.28515625" style="13" customWidth="1"/>
    <col min="1283" max="1283" width="12.85546875" style="13" customWidth="1"/>
    <col min="1284" max="1284" width="12.140625" style="13" customWidth="1"/>
    <col min="1285" max="1285" width="11.42578125" style="13" customWidth="1"/>
    <col min="1286" max="1286" width="11.140625" style="13" customWidth="1"/>
    <col min="1287" max="1287" width="11.5703125" style="13" customWidth="1"/>
    <col min="1288" max="1288" width="11.7109375" style="13" customWidth="1"/>
    <col min="1289" max="1289" width="14.42578125" style="13" customWidth="1"/>
    <col min="1290" max="1290" width="13.85546875" style="13" customWidth="1"/>
    <col min="1291" max="1291" width="9.140625" style="13"/>
    <col min="1292" max="1292" width="14.5703125" style="13" bestFit="1" customWidth="1"/>
    <col min="1293" max="1293" width="17" style="13" customWidth="1"/>
    <col min="1294" max="1294" width="9.140625" style="13"/>
    <col min="1295" max="1295" width="13.140625" style="13" customWidth="1"/>
    <col min="1296" max="1536" width="9.140625" style="13"/>
    <col min="1537" max="1537" width="25.5703125" style="13" customWidth="1"/>
    <col min="1538" max="1538" width="11.28515625" style="13" customWidth="1"/>
    <col min="1539" max="1539" width="12.85546875" style="13" customWidth="1"/>
    <col min="1540" max="1540" width="12.140625" style="13" customWidth="1"/>
    <col min="1541" max="1541" width="11.42578125" style="13" customWidth="1"/>
    <col min="1542" max="1542" width="11.140625" style="13" customWidth="1"/>
    <col min="1543" max="1543" width="11.5703125" style="13" customWidth="1"/>
    <col min="1544" max="1544" width="11.7109375" style="13" customWidth="1"/>
    <col min="1545" max="1545" width="14.42578125" style="13" customWidth="1"/>
    <col min="1546" max="1546" width="13.85546875" style="13" customWidth="1"/>
    <col min="1547" max="1547" width="9.140625" style="13"/>
    <col min="1548" max="1548" width="14.5703125" style="13" bestFit="1" customWidth="1"/>
    <col min="1549" max="1549" width="17" style="13" customWidth="1"/>
    <col min="1550" max="1550" width="9.140625" style="13"/>
    <col min="1551" max="1551" width="13.140625" style="13" customWidth="1"/>
    <col min="1552" max="1792" width="9.140625" style="13"/>
    <col min="1793" max="1793" width="25.5703125" style="13" customWidth="1"/>
    <col min="1794" max="1794" width="11.28515625" style="13" customWidth="1"/>
    <col min="1795" max="1795" width="12.85546875" style="13" customWidth="1"/>
    <col min="1796" max="1796" width="12.140625" style="13" customWidth="1"/>
    <col min="1797" max="1797" width="11.42578125" style="13" customWidth="1"/>
    <col min="1798" max="1798" width="11.140625" style="13" customWidth="1"/>
    <col min="1799" max="1799" width="11.5703125" style="13" customWidth="1"/>
    <col min="1800" max="1800" width="11.7109375" style="13" customWidth="1"/>
    <col min="1801" max="1801" width="14.42578125" style="13" customWidth="1"/>
    <col min="1802" max="1802" width="13.85546875" style="13" customWidth="1"/>
    <col min="1803" max="1803" width="9.140625" style="13"/>
    <col min="1804" max="1804" width="14.5703125" style="13" bestFit="1" customWidth="1"/>
    <col min="1805" max="1805" width="17" style="13" customWidth="1"/>
    <col min="1806" max="1806" width="9.140625" style="13"/>
    <col min="1807" max="1807" width="13.140625" style="13" customWidth="1"/>
    <col min="1808" max="2048" width="9.140625" style="13"/>
    <col min="2049" max="2049" width="25.5703125" style="13" customWidth="1"/>
    <col min="2050" max="2050" width="11.28515625" style="13" customWidth="1"/>
    <col min="2051" max="2051" width="12.85546875" style="13" customWidth="1"/>
    <col min="2052" max="2052" width="12.140625" style="13" customWidth="1"/>
    <col min="2053" max="2053" width="11.42578125" style="13" customWidth="1"/>
    <col min="2054" max="2054" width="11.140625" style="13" customWidth="1"/>
    <col min="2055" max="2055" width="11.5703125" style="13" customWidth="1"/>
    <col min="2056" max="2056" width="11.7109375" style="13" customWidth="1"/>
    <col min="2057" max="2057" width="14.42578125" style="13" customWidth="1"/>
    <col min="2058" max="2058" width="13.85546875" style="13" customWidth="1"/>
    <col min="2059" max="2059" width="9.140625" style="13"/>
    <col min="2060" max="2060" width="14.5703125" style="13" bestFit="1" customWidth="1"/>
    <col min="2061" max="2061" width="17" style="13" customWidth="1"/>
    <col min="2062" max="2062" width="9.140625" style="13"/>
    <col min="2063" max="2063" width="13.140625" style="13" customWidth="1"/>
    <col min="2064" max="2304" width="9.140625" style="13"/>
    <col min="2305" max="2305" width="25.5703125" style="13" customWidth="1"/>
    <col min="2306" max="2306" width="11.28515625" style="13" customWidth="1"/>
    <col min="2307" max="2307" width="12.85546875" style="13" customWidth="1"/>
    <col min="2308" max="2308" width="12.140625" style="13" customWidth="1"/>
    <col min="2309" max="2309" width="11.42578125" style="13" customWidth="1"/>
    <col min="2310" max="2310" width="11.140625" style="13" customWidth="1"/>
    <col min="2311" max="2311" width="11.5703125" style="13" customWidth="1"/>
    <col min="2312" max="2312" width="11.7109375" style="13" customWidth="1"/>
    <col min="2313" max="2313" width="14.42578125" style="13" customWidth="1"/>
    <col min="2314" max="2314" width="13.85546875" style="13" customWidth="1"/>
    <col min="2315" max="2315" width="9.140625" style="13"/>
    <col min="2316" max="2316" width="14.5703125" style="13" bestFit="1" customWidth="1"/>
    <col min="2317" max="2317" width="17" style="13" customWidth="1"/>
    <col min="2318" max="2318" width="9.140625" style="13"/>
    <col min="2319" max="2319" width="13.140625" style="13" customWidth="1"/>
    <col min="2320" max="2560" width="9.140625" style="13"/>
    <col min="2561" max="2561" width="25.5703125" style="13" customWidth="1"/>
    <col min="2562" max="2562" width="11.28515625" style="13" customWidth="1"/>
    <col min="2563" max="2563" width="12.85546875" style="13" customWidth="1"/>
    <col min="2564" max="2564" width="12.140625" style="13" customWidth="1"/>
    <col min="2565" max="2565" width="11.42578125" style="13" customWidth="1"/>
    <col min="2566" max="2566" width="11.140625" style="13" customWidth="1"/>
    <col min="2567" max="2567" width="11.5703125" style="13" customWidth="1"/>
    <col min="2568" max="2568" width="11.7109375" style="13" customWidth="1"/>
    <col min="2569" max="2569" width="14.42578125" style="13" customWidth="1"/>
    <col min="2570" max="2570" width="13.85546875" style="13" customWidth="1"/>
    <col min="2571" max="2571" width="9.140625" style="13"/>
    <col min="2572" max="2572" width="14.5703125" style="13" bestFit="1" customWidth="1"/>
    <col min="2573" max="2573" width="17" style="13" customWidth="1"/>
    <col min="2574" max="2574" width="9.140625" style="13"/>
    <col min="2575" max="2575" width="13.140625" style="13" customWidth="1"/>
    <col min="2576" max="2816" width="9.140625" style="13"/>
    <col min="2817" max="2817" width="25.5703125" style="13" customWidth="1"/>
    <col min="2818" max="2818" width="11.28515625" style="13" customWidth="1"/>
    <col min="2819" max="2819" width="12.85546875" style="13" customWidth="1"/>
    <col min="2820" max="2820" width="12.140625" style="13" customWidth="1"/>
    <col min="2821" max="2821" width="11.42578125" style="13" customWidth="1"/>
    <col min="2822" max="2822" width="11.140625" style="13" customWidth="1"/>
    <col min="2823" max="2823" width="11.5703125" style="13" customWidth="1"/>
    <col min="2824" max="2824" width="11.7109375" style="13" customWidth="1"/>
    <col min="2825" max="2825" width="14.42578125" style="13" customWidth="1"/>
    <col min="2826" max="2826" width="13.85546875" style="13" customWidth="1"/>
    <col min="2827" max="2827" width="9.140625" style="13"/>
    <col min="2828" max="2828" width="14.5703125" style="13" bestFit="1" customWidth="1"/>
    <col min="2829" max="2829" width="17" style="13" customWidth="1"/>
    <col min="2830" max="2830" width="9.140625" style="13"/>
    <col min="2831" max="2831" width="13.140625" style="13" customWidth="1"/>
    <col min="2832" max="3072" width="9.140625" style="13"/>
    <col min="3073" max="3073" width="25.5703125" style="13" customWidth="1"/>
    <col min="3074" max="3074" width="11.28515625" style="13" customWidth="1"/>
    <col min="3075" max="3075" width="12.85546875" style="13" customWidth="1"/>
    <col min="3076" max="3076" width="12.140625" style="13" customWidth="1"/>
    <col min="3077" max="3077" width="11.42578125" style="13" customWidth="1"/>
    <col min="3078" max="3078" width="11.140625" style="13" customWidth="1"/>
    <col min="3079" max="3079" width="11.5703125" style="13" customWidth="1"/>
    <col min="3080" max="3080" width="11.7109375" style="13" customWidth="1"/>
    <col min="3081" max="3081" width="14.42578125" style="13" customWidth="1"/>
    <col min="3082" max="3082" width="13.85546875" style="13" customWidth="1"/>
    <col min="3083" max="3083" width="9.140625" style="13"/>
    <col min="3084" max="3084" width="14.5703125" style="13" bestFit="1" customWidth="1"/>
    <col min="3085" max="3085" width="17" style="13" customWidth="1"/>
    <col min="3086" max="3086" width="9.140625" style="13"/>
    <col min="3087" max="3087" width="13.140625" style="13" customWidth="1"/>
    <col min="3088" max="3328" width="9.140625" style="13"/>
    <col min="3329" max="3329" width="25.5703125" style="13" customWidth="1"/>
    <col min="3330" max="3330" width="11.28515625" style="13" customWidth="1"/>
    <col min="3331" max="3331" width="12.85546875" style="13" customWidth="1"/>
    <col min="3332" max="3332" width="12.140625" style="13" customWidth="1"/>
    <col min="3333" max="3333" width="11.42578125" style="13" customWidth="1"/>
    <col min="3334" max="3334" width="11.140625" style="13" customWidth="1"/>
    <col min="3335" max="3335" width="11.5703125" style="13" customWidth="1"/>
    <col min="3336" max="3336" width="11.7109375" style="13" customWidth="1"/>
    <col min="3337" max="3337" width="14.42578125" style="13" customWidth="1"/>
    <col min="3338" max="3338" width="13.85546875" style="13" customWidth="1"/>
    <col min="3339" max="3339" width="9.140625" style="13"/>
    <col min="3340" max="3340" width="14.5703125" style="13" bestFit="1" customWidth="1"/>
    <col min="3341" max="3341" width="17" style="13" customWidth="1"/>
    <col min="3342" max="3342" width="9.140625" style="13"/>
    <col min="3343" max="3343" width="13.140625" style="13" customWidth="1"/>
    <col min="3344" max="3584" width="9.140625" style="13"/>
    <col min="3585" max="3585" width="25.5703125" style="13" customWidth="1"/>
    <col min="3586" max="3586" width="11.28515625" style="13" customWidth="1"/>
    <col min="3587" max="3587" width="12.85546875" style="13" customWidth="1"/>
    <col min="3588" max="3588" width="12.140625" style="13" customWidth="1"/>
    <col min="3589" max="3589" width="11.42578125" style="13" customWidth="1"/>
    <col min="3590" max="3590" width="11.140625" style="13" customWidth="1"/>
    <col min="3591" max="3591" width="11.5703125" style="13" customWidth="1"/>
    <col min="3592" max="3592" width="11.7109375" style="13" customWidth="1"/>
    <col min="3593" max="3593" width="14.42578125" style="13" customWidth="1"/>
    <col min="3594" max="3594" width="13.85546875" style="13" customWidth="1"/>
    <col min="3595" max="3595" width="9.140625" style="13"/>
    <col min="3596" max="3596" width="14.5703125" style="13" bestFit="1" customWidth="1"/>
    <col min="3597" max="3597" width="17" style="13" customWidth="1"/>
    <col min="3598" max="3598" width="9.140625" style="13"/>
    <col min="3599" max="3599" width="13.140625" style="13" customWidth="1"/>
    <col min="3600" max="3840" width="9.140625" style="13"/>
    <col min="3841" max="3841" width="25.5703125" style="13" customWidth="1"/>
    <col min="3842" max="3842" width="11.28515625" style="13" customWidth="1"/>
    <col min="3843" max="3843" width="12.85546875" style="13" customWidth="1"/>
    <col min="3844" max="3844" width="12.140625" style="13" customWidth="1"/>
    <col min="3845" max="3845" width="11.42578125" style="13" customWidth="1"/>
    <col min="3846" max="3846" width="11.140625" style="13" customWidth="1"/>
    <col min="3847" max="3847" width="11.5703125" style="13" customWidth="1"/>
    <col min="3848" max="3848" width="11.7109375" style="13" customWidth="1"/>
    <col min="3849" max="3849" width="14.42578125" style="13" customWidth="1"/>
    <col min="3850" max="3850" width="13.85546875" style="13" customWidth="1"/>
    <col min="3851" max="3851" width="9.140625" style="13"/>
    <col min="3852" max="3852" width="14.5703125" style="13" bestFit="1" customWidth="1"/>
    <col min="3853" max="3853" width="17" style="13" customWidth="1"/>
    <col min="3854" max="3854" width="9.140625" style="13"/>
    <col min="3855" max="3855" width="13.140625" style="13" customWidth="1"/>
    <col min="3856" max="4096" width="9.140625" style="13"/>
    <col min="4097" max="4097" width="25.5703125" style="13" customWidth="1"/>
    <col min="4098" max="4098" width="11.28515625" style="13" customWidth="1"/>
    <col min="4099" max="4099" width="12.85546875" style="13" customWidth="1"/>
    <col min="4100" max="4100" width="12.140625" style="13" customWidth="1"/>
    <col min="4101" max="4101" width="11.42578125" style="13" customWidth="1"/>
    <col min="4102" max="4102" width="11.140625" style="13" customWidth="1"/>
    <col min="4103" max="4103" width="11.5703125" style="13" customWidth="1"/>
    <col min="4104" max="4104" width="11.7109375" style="13" customWidth="1"/>
    <col min="4105" max="4105" width="14.42578125" style="13" customWidth="1"/>
    <col min="4106" max="4106" width="13.85546875" style="13" customWidth="1"/>
    <col min="4107" max="4107" width="9.140625" style="13"/>
    <col min="4108" max="4108" width="14.5703125" style="13" bestFit="1" customWidth="1"/>
    <col min="4109" max="4109" width="17" style="13" customWidth="1"/>
    <col min="4110" max="4110" width="9.140625" style="13"/>
    <col min="4111" max="4111" width="13.140625" style="13" customWidth="1"/>
    <col min="4112" max="4352" width="9.140625" style="13"/>
    <col min="4353" max="4353" width="25.5703125" style="13" customWidth="1"/>
    <col min="4354" max="4354" width="11.28515625" style="13" customWidth="1"/>
    <col min="4355" max="4355" width="12.85546875" style="13" customWidth="1"/>
    <col min="4356" max="4356" width="12.140625" style="13" customWidth="1"/>
    <col min="4357" max="4357" width="11.42578125" style="13" customWidth="1"/>
    <col min="4358" max="4358" width="11.140625" style="13" customWidth="1"/>
    <col min="4359" max="4359" width="11.5703125" style="13" customWidth="1"/>
    <col min="4360" max="4360" width="11.7109375" style="13" customWidth="1"/>
    <col min="4361" max="4361" width="14.42578125" style="13" customWidth="1"/>
    <col min="4362" max="4362" width="13.85546875" style="13" customWidth="1"/>
    <col min="4363" max="4363" width="9.140625" style="13"/>
    <col min="4364" max="4364" width="14.5703125" style="13" bestFit="1" customWidth="1"/>
    <col min="4365" max="4365" width="17" style="13" customWidth="1"/>
    <col min="4366" max="4366" width="9.140625" style="13"/>
    <col min="4367" max="4367" width="13.140625" style="13" customWidth="1"/>
    <col min="4368" max="4608" width="9.140625" style="13"/>
    <col min="4609" max="4609" width="25.5703125" style="13" customWidth="1"/>
    <col min="4610" max="4610" width="11.28515625" style="13" customWidth="1"/>
    <col min="4611" max="4611" width="12.85546875" style="13" customWidth="1"/>
    <col min="4612" max="4612" width="12.140625" style="13" customWidth="1"/>
    <col min="4613" max="4613" width="11.42578125" style="13" customWidth="1"/>
    <col min="4614" max="4614" width="11.140625" style="13" customWidth="1"/>
    <col min="4615" max="4615" width="11.5703125" style="13" customWidth="1"/>
    <col min="4616" max="4616" width="11.7109375" style="13" customWidth="1"/>
    <col min="4617" max="4617" width="14.42578125" style="13" customWidth="1"/>
    <col min="4618" max="4618" width="13.85546875" style="13" customWidth="1"/>
    <col min="4619" max="4619" width="9.140625" style="13"/>
    <col min="4620" max="4620" width="14.5703125" style="13" bestFit="1" customWidth="1"/>
    <col min="4621" max="4621" width="17" style="13" customWidth="1"/>
    <col min="4622" max="4622" width="9.140625" style="13"/>
    <col min="4623" max="4623" width="13.140625" style="13" customWidth="1"/>
    <col min="4624" max="4864" width="9.140625" style="13"/>
    <col min="4865" max="4865" width="25.5703125" style="13" customWidth="1"/>
    <col min="4866" max="4866" width="11.28515625" style="13" customWidth="1"/>
    <col min="4867" max="4867" width="12.85546875" style="13" customWidth="1"/>
    <col min="4868" max="4868" width="12.140625" style="13" customWidth="1"/>
    <col min="4869" max="4869" width="11.42578125" style="13" customWidth="1"/>
    <col min="4870" max="4870" width="11.140625" style="13" customWidth="1"/>
    <col min="4871" max="4871" width="11.5703125" style="13" customWidth="1"/>
    <col min="4872" max="4872" width="11.7109375" style="13" customWidth="1"/>
    <col min="4873" max="4873" width="14.42578125" style="13" customWidth="1"/>
    <col min="4874" max="4874" width="13.85546875" style="13" customWidth="1"/>
    <col min="4875" max="4875" width="9.140625" style="13"/>
    <col min="4876" max="4876" width="14.5703125" style="13" bestFit="1" customWidth="1"/>
    <col min="4877" max="4877" width="17" style="13" customWidth="1"/>
    <col min="4878" max="4878" width="9.140625" style="13"/>
    <col min="4879" max="4879" width="13.140625" style="13" customWidth="1"/>
    <col min="4880" max="5120" width="9.140625" style="13"/>
    <col min="5121" max="5121" width="25.5703125" style="13" customWidth="1"/>
    <col min="5122" max="5122" width="11.28515625" style="13" customWidth="1"/>
    <col min="5123" max="5123" width="12.85546875" style="13" customWidth="1"/>
    <col min="5124" max="5124" width="12.140625" style="13" customWidth="1"/>
    <col min="5125" max="5125" width="11.42578125" style="13" customWidth="1"/>
    <col min="5126" max="5126" width="11.140625" style="13" customWidth="1"/>
    <col min="5127" max="5127" width="11.5703125" style="13" customWidth="1"/>
    <col min="5128" max="5128" width="11.7109375" style="13" customWidth="1"/>
    <col min="5129" max="5129" width="14.42578125" style="13" customWidth="1"/>
    <col min="5130" max="5130" width="13.85546875" style="13" customWidth="1"/>
    <col min="5131" max="5131" width="9.140625" style="13"/>
    <col min="5132" max="5132" width="14.5703125" style="13" bestFit="1" customWidth="1"/>
    <col min="5133" max="5133" width="17" style="13" customWidth="1"/>
    <col min="5134" max="5134" width="9.140625" style="13"/>
    <col min="5135" max="5135" width="13.140625" style="13" customWidth="1"/>
    <col min="5136" max="5376" width="9.140625" style="13"/>
    <col min="5377" max="5377" width="25.5703125" style="13" customWidth="1"/>
    <col min="5378" max="5378" width="11.28515625" style="13" customWidth="1"/>
    <col min="5379" max="5379" width="12.85546875" style="13" customWidth="1"/>
    <col min="5380" max="5380" width="12.140625" style="13" customWidth="1"/>
    <col min="5381" max="5381" width="11.42578125" style="13" customWidth="1"/>
    <col min="5382" max="5382" width="11.140625" style="13" customWidth="1"/>
    <col min="5383" max="5383" width="11.5703125" style="13" customWidth="1"/>
    <col min="5384" max="5384" width="11.7109375" style="13" customWidth="1"/>
    <col min="5385" max="5385" width="14.42578125" style="13" customWidth="1"/>
    <col min="5386" max="5386" width="13.85546875" style="13" customWidth="1"/>
    <col min="5387" max="5387" width="9.140625" style="13"/>
    <col min="5388" max="5388" width="14.5703125" style="13" bestFit="1" customWidth="1"/>
    <col min="5389" max="5389" width="17" style="13" customWidth="1"/>
    <col min="5390" max="5390" width="9.140625" style="13"/>
    <col min="5391" max="5391" width="13.140625" style="13" customWidth="1"/>
    <col min="5392" max="5632" width="9.140625" style="13"/>
    <col min="5633" max="5633" width="25.5703125" style="13" customWidth="1"/>
    <col min="5634" max="5634" width="11.28515625" style="13" customWidth="1"/>
    <col min="5635" max="5635" width="12.85546875" style="13" customWidth="1"/>
    <col min="5636" max="5636" width="12.140625" style="13" customWidth="1"/>
    <col min="5637" max="5637" width="11.42578125" style="13" customWidth="1"/>
    <col min="5638" max="5638" width="11.140625" style="13" customWidth="1"/>
    <col min="5639" max="5639" width="11.5703125" style="13" customWidth="1"/>
    <col min="5640" max="5640" width="11.7109375" style="13" customWidth="1"/>
    <col min="5641" max="5641" width="14.42578125" style="13" customWidth="1"/>
    <col min="5642" max="5642" width="13.85546875" style="13" customWidth="1"/>
    <col min="5643" max="5643" width="9.140625" style="13"/>
    <col min="5644" max="5644" width="14.5703125" style="13" bestFit="1" customWidth="1"/>
    <col min="5645" max="5645" width="17" style="13" customWidth="1"/>
    <col min="5646" max="5646" width="9.140625" style="13"/>
    <col min="5647" max="5647" width="13.140625" style="13" customWidth="1"/>
    <col min="5648" max="5888" width="9.140625" style="13"/>
    <col min="5889" max="5889" width="25.5703125" style="13" customWidth="1"/>
    <col min="5890" max="5890" width="11.28515625" style="13" customWidth="1"/>
    <col min="5891" max="5891" width="12.85546875" style="13" customWidth="1"/>
    <col min="5892" max="5892" width="12.140625" style="13" customWidth="1"/>
    <col min="5893" max="5893" width="11.42578125" style="13" customWidth="1"/>
    <col min="5894" max="5894" width="11.140625" style="13" customWidth="1"/>
    <col min="5895" max="5895" width="11.5703125" style="13" customWidth="1"/>
    <col min="5896" max="5896" width="11.7109375" style="13" customWidth="1"/>
    <col min="5897" max="5897" width="14.42578125" style="13" customWidth="1"/>
    <col min="5898" max="5898" width="13.85546875" style="13" customWidth="1"/>
    <col min="5899" max="5899" width="9.140625" style="13"/>
    <col min="5900" max="5900" width="14.5703125" style="13" bestFit="1" customWidth="1"/>
    <col min="5901" max="5901" width="17" style="13" customWidth="1"/>
    <col min="5902" max="5902" width="9.140625" style="13"/>
    <col min="5903" max="5903" width="13.140625" style="13" customWidth="1"/>
    <col min="5904" max="6144" width="9.140625" style="13"/>
    <col min="6145" max="6145" width="25.5703125" style="13" customWidth="1"/>
    <col min="6146" max="6146" width="11.28515625" style="13" customWidth="1"/>
    <col min="6147" max="6147" width="12.85546875" style="13" customWidth="1"/>
    <col min="6148" max="6148" width="12.140625" style="13" customWidth="1"/>
    <col min="6149" max="6149" width="11.42578125" style="13" customWidth="1"/>
    <col min="6150" max="6150" width="11.140625" style="13" customWidth="1"/>
    <col min="6151" max="6151" width="11.5703125" style="13" customWidth="1"/>
    <col min="6152" max="6152" width="11.7109375" style="13" customWidth="1"/>
    <col min="6153" max="6153" width="14.42578125" style="13" customWidth="1"/>
    <col min="6154" max="6154" width="13.85546875" style="13" customWidth="1"/>
    <col min="6155" max="6155" width="9.140625" style="13"/>
    <col min="6156" max="6156" width="14.5703125" style="13" bestFit="1" customWidth="1"/>
    <col min="6157" max="6157" width="17" style="13" customWidth="1"/>
    <col min="6158" max="6158" width="9.140625" style="13"/>
    <col min="6159" max="6159" width="13.140625" style="13" customWidth="1"/>
    <col min="6160" max="6400" width="9.140625" style="13"/>
    <col min="6401" max="6401" width="25.5703125" style="13" customWidth="1"/>
    <col min="6402" max="6402" width="11.28515625" style="13" customWidth="1"/>
    <col min="6403" max="6403" width="12.85546875" style="13" customWidth="1"/>
    <col min="6404" max="6404" width="12.140625" style="13" customWidth="1"/>
    <col min="6405" max="6405" width="11.42578125" style="13" customWidth="1"/>
    <col min="6406" max="6406" width="11.140625" style="13" customWidth="1"/>
    <col min="6407" max="6407" width="11.5703125" style="13" customWidth="1"/>
    <col min="6408" max="6408" width="11.7109375" style="13" customWidth="1"/>
    <col min="6409" max="6409" width="14.42578125" style="13" customWidth="1"/>
    <col min="6410" max="6410" width="13.85546875" style="13" customWidth="1"/>
    <col min="6411" max="6411" width="9.140625" style="13"/>
    <col min="6412" max="6412" width="14.5703125" style="13" bestFit="1" customWidth="1"/>
    <col min="6413" max="6413" width="17" style="13" customWidth="1"/>
    <col min="6414" max="6414" width="9.140625" style="13"/>
    <col min="6415" max="6415" width="13.140625" style="13" customWidth="1"/>
    <col min="6416" max="6656" width="9.140625" style="13"/>
    <col min="6657" max="6657" width="25.5703125" style="13" customWidth="1"/>
    <col min="6658" max="6658" width="11.28515625" style="13" customWidth="1"/>
    <col min="6659" max="6659" width="12.85546875" style="13" customWidth="1"/>
    <col min="6660" max="6660" width="12.140625" style="13" customWidth="1"/>
    <col min="6661" max="6661" width="11.42578125" style="13" customWidth="1"/>
    <col min="6662" max="6662" width="11.140625" style="13" customWidth="1"/>
    <col min="6663" max="6663" width="11.5703125" style="13" customWidth="1"/>
    <col min="6664" max="6664" width="11.7109375" style="13" customWidth="1"/>
    <col min="6665" max="6665" width="14.42578125" style="13" customWidth="1"/>
    <col min="6666" max="6666" width="13.85546875" style="13" customWidth="1"/>
    <col min="6667" max="6667" width="9.140625" style="13"/>
    <col min="6668" max="6668" width="14.5703125" style="13" bestFit="1" customWidth="1"/>
    <col min="6669" max="6669" width="17" style="13" customWidth="1"/>
    <col min="6670" max="6670" width="9.140625" style="13"/>
    <col min="6671" max="6671" width="13.140625" style="13" customWidth="1"/>
    <col min="6672" max="6912" width="9.140625" style="13"/>
    <col min="6913" max="6913" width="25.5703125" style="13" customWidth="1"/>
    <col min="6914" max="6914" width="11.28515625" style="13" customWidth="1"/>
    <col min="6915" max="6915" width="12.85546875" style="13" customWidth="1"/>
    <col min="6916" max="6916" width="12.140625" style="13" customWidth="1"/>
    <col min="6917" max="6917" width="11.42578125" style="13" customWidth="1"/>
    <col min="6918" max="6918" width="11.140625" style="13" customWidth="1"/>
    <col min="6919" max="6919" width="11.5703125" style="13" customWidth="1"/>
    <col min="6920" max="6920" width="11.7109375" style="13" customWidth="1"/>
    <col min="6921" max="6921" width="14.42578125" style="13" customWidth="1"/>
    <col min="6922" max="6922" width="13.85546875" style="13" customWidth="1"/>
    <col min="6923" max="6923" width="9.140625" style="13"/>
    <col min="6924" max="6924" width="14.5703125" style="13" bestFit="1" customWidth="1"/>
    <col min="6925" max="6925" width="17" style="13" customWidth="1"/>
    <col min="6926" max="6926" width="9.140625" style="13"/>
    <col min="6927" max="6927" width="13.140625" style="13" customWidth="1"/>
    <col min="6928" max="7168" width="9.140625" style="13"/>
    <col min="7169" max="7169" width="25.5703125" style="13" customWidth="1"/>
    <col min="7170" max="7170" width="11.28515625" style="13" customWidth="1"/>
    <col min="7171" max="7171" width="12.85546875" style="13" customWidth="1"/>
    <col min="7172" max="7172" width="12.140625" style="13" customWidth="1"/>
    <col min="7173" max="7173" width="11.42578125" style="13" customWidth="1"/>
    <col min="7174" max="7174" width="11.140625" style="13" customWidth="1"/>
    <col min="7175" max="7175" width="11.5703125" style="13" customWidth="1"/>
    <col min="7176" max="7176" width="11.7109375" style="13" customWidth="1"/>
    <col min="7177" max="7177" width="14.42578125" style="13" customWidth="1"/>
    <col min="7178" max="7178" width="13.85546875" style="13" customWidth="1"/>
    <col min="7179" max="7179" width="9.140625" style="13"/>
    <col min="7180" max="7180" width="14.5703125" style="13" bestFit="1" customWidth="1"/>
    <col min="7181" max="7181" width="17" style="13" customWidth="1"/>
    <col min="7182" max="7182" width="9.140625" style="13"/>
    <col min="7183" max="7183" width="13.140625" style="13" customWidth="1"/>
    <col min="7184" max="7424" width="9.140625" style="13"/>
    <col min="7425" max="7425" width="25.5703125" style="13" customWidth="1"/>
    <col min="7426" max="7426" width="11.28515625" style="13" customWidth="1"/>
    <col min="7427" max="7427" width="12.85546875" style="13" customWidth="1"/>
    <col min="7428" max="7428" width="12.140625" style="13" customWidth="1"/>
    <col min="7429" max="7429" width="11.42578125" style="13" customWidth="1"/>
    <col min="7430" max="7430" width="11.140625" style="13" customWidth="1"/>
    <col min="7431" max="7431" width="11.5703125" style="13" customWidth="1"/>
    <col min="7432" max="7432" width="11.7109375" style="13" customWidth="1"/>
    <col min="7433" max="7433" width="14.42578125" style="13" customWidth="1"/>
    <col min="7434" max="7434" width="13.85546875" style="13" customWidth="1"/>
    <col min="7435" max="7435" width="9.140625" style="13"/>
    <col min="7436" max="7436" width="14.5703125" style="13" bestFit="1" customWidth="1"/>
    <col min="7437" max="7437" width="17" style="13" customWidth="1"/>
    <col min="7438" max="7438" width="9.140625" style="13"/>
    <col min="7439" max="7439" width="13.140625" style="13" customWidth="1"/>
    <col min="7440" max="7680" width="9.140625" style="13"/>
    <col min="7681" max="7681" width="25.5703125" style="13" customWidth="1"/>
    <col min="7682" max="7682" width="11.28515625" style="13" customWidth="1"/>
    <col min="7683" max="7683" width="12.85546875" style="13" customWidth="1"/>
    <col min="7684" max="7684" width="12.140625" style="13" customWidth="1"/>
    <col min="7685" max="7685" width="11.42578125" style="13" customWidth="1"/>
    <col min="7686" max="7686" width="11.140625" style="13" customWidth="1"/>
    <col min="7687" max="7687" width="11.5703125" style="13" customWidth="1"/>
    <col min="7688" max="7688" width="11.7109375" style="13" customWidth="1"/>
    <col min="7689" max="7689" width="14.42578125" style="13" customWidth="1"/>
    <col min="7690" max="7690" width="13.85546875" style="13" customWidth="1"/>
    <col min="7691" max="7691" width="9.140625" style="13"/>
    <col min="7692" max="7692" width="14.5703125" style="13" bestFit="1" customWidth="1"/>
    <col min="7693" max="7693" width="17" style="13" customWidth="1"/>
    <col min="7694" max="7694" width="9.140625" style="13"/>
    <col min="7695" max="7695" width="13.140625" style="13" customWidth="1"/>
    <col min="7696" max="7936" width="9.140625" style="13"/>
    <col min="7937" max="7937" width="25.5703125" style="13" customWidth="1"/>
    <col min="7938" max="7938" width="11.28515625" style="13" customWidth="1"/>
    <col min="7939" max="7939" width="12.85546875" style="13" customWidth="1"/>
    <col min="7940" max="7940" width="12.140625" style="13" customWidth="1"/>
    <col min="7941" max="7941" width="11.42578125" style="13" customWidth="1"/>
    <col min="7942" max="7942" width="11.140625" style="13" customWidth="1"/>
    <col min="7943" max="7943" width="11.5703125" style="13" customWidth="1"/>
    <col min="7944" max="7944" width="11.7109375" style="13" customWidth="1"/>
    <col min="7945" max="7945" width="14.42578125" style="13" customWidth="1"/>
    <col min="7946" max="7946" width="13.85546875" style="13" customWidth="1"/>
    <col min="7947" max="7947" width="9.140625" style="13"/>
    <col min="7948" max="7948" width="14.5703125" style="13" bestFit="1" customWidth="1"/>
    <col min="7949" max="7949" width="17" style="13" customWidth="1"/>
    <col min="7950" max="7950" width="9.140625" style="13"/>
    <col min="7951" max="7951" width="13.140625" style="13" customWidth="1"/>
    <col min="7952" max="8192" width="9.140625" style="13"/>
    <col min="8193" max="8193" width="25.5703125" style="13" customWidth="1"/>
    <col min="8194" max="8194" width="11.28515625" style="13" customWidth="1"/>
    <col min="8195" max="8195" width="12.85546875" style="13" customWidth="1"/>
    <col min="8196" max="8196" width="12.140625" style="13" customWidth="1"/>
    <col min="8197" max="8197" width="11.42578125" style="13" customWidth="1"/>
    <col min="8198" max="8198" width="11.140625" style="13" customWidth="1"/>
    <col min="8199" max="8199" width="11.5703125" style="13" customWidth="1"/>
    <col min="8200" max="8200" width="11.7109375" style="13" customWidth="1"/>
    <col min="8201" max="8201" width="14.42578125" style="13" customWidth="1"/>
    <col min="8202" max="8202" width="13.85546875" style="13" customWidth="1"/>
    <col min="8203" max="8203" width="9.140625" style="13"/>
    <col min="8204" max="8204" width="14.5703125" style="13" bestFit="1" customWidth="1"/>
    <col min="8205" max="8205" width="17" style="13" customWidth="1"/>
    <col min="8206" max="8206" width="9.140625" style="13"/>
    <col min="8207" max="8207" width="13.140625" style="13" customWidth="1"/>
    <col min="8208" max="8448" width="9.140625" style="13"/>
    <col min="8449" max="8449" width="25.5703125" style="13" customWidth="1"/>
    <col min="8450" max="8450" width="11.28515625" style="13" customWidth="1"/>
    <col min="8451" max="8451" width="12.85546875" style="13" customWidth="1"/>
    <col min="8452" max="8452" width="12.140625" style="13" customWidth="1"/>
    <col min="8453" max="8453" width="11.42578125" style="13" customWidth="1"/>
    <col min="8454" max="8454" width="11.140625" style="13" customWidth="1"/>
    <col min="8455" max="8455" width="11.5703125" style="13" customWidth="1"/>
    <col min="8456" max="8456" width="11.7109375" style="13" customWidth="1"/>
    <col min="8457" max="8457" width="14.42578125" style="13" customWidth="1"/>
    <col min="8458" max="8458" width="13.85546875" style="13" customWidth="1"/>
    <col min="8459" max="8459" width="9.140625" style="13"/>
    <col min="8460" max="8460" width="14.5703125" style="13" bestFit="1" customWidth="1"/>
    <col min="8461" max="8461" width="17" style="13" customWidth="1"/>
    <col min="8462" max="8462" width="9.140625" style="13"/>
    <col min="8463" max="8463" width="13.140625" style="13" customWidth="1"/>
    <col min="8464" max="8704" width="9.140625" style="13"/>
    <col min="8705" max="8705" width="25.5703125" style="13" customWidth="1"/>
    <col min="8706" max="8706" width="11.28515625" style="13" customWidth="1"/>
    <col min="8707" max="8707" width="12.85546875" style="13" customWidth="1"/>
    <col min="8708" max="8708" width="12.140625" style="13" customWidth="1"/>
    <col min="8709" max="8709" width="11.42578125" style="13" customWidth="1"/>
    <col min="8710" max="8710" width="11.140625" style="13" customWidth="1"/>
    <col min="8711" max="8711" width="11.5703125" style="13" customWidth="1"/>
    <col min="8712" max="8712" width="11.7109375" style="13" customWidth="1"/>
    <col min="8713" max="8713" width="14.42578125" style="13" customWidth="1"/>
    <col min="8714" max="8714" width="13.85546875" style="13" customWidth="1"/>
    <col min="8715" max="8715" width="9.140625" style="13"/>
    <col min="8716" max="8716" width="14.5703125" style="13" bestFit="1" customWidth="1"/>
    <col min="8717" max="8717" width="17" style="13" customWidth="1"/>
    <col min="8718" max="8718" width="9.140625" style="13"/>
    <col min="8719" max="8719" width="13.140625" style="13" customWidth="1"/>
    <col min="8720" max="8960" width="9.140625" style="13"/>
    <col min="8961" max="8961" width="25.5703125" style="13" customWidth="1"/>
    <col min="8962" max="8962" width="11.28515625" style="13" customWidth="1"/>
    <col min="8963" max="8963" width="12.85546875" style="13" customWidth="1"/>
    <col min="8964" max="8964" width="12.140625" style="13" customWidth="1"/>
    <col min="8965" max="8965" width="11.42578125" style="13" customWidth="1"/>
    <col min="8966" max="8966" width="11.140625" style="13" customWidth="1"/>
    <col min="8967" max="8967" width="11.5703125" style="13" customWidth="1"/>
    <col min="8968" max="8968" width="11.7109375" style="13" customWidth="1"/>
    <col min="8969" max="8969" width="14.42578125" style="13" customWidth="1"/>
    <col min="8970" max="8970" width="13.85546875" style="13" customWidth="1"/>
    <col min="8971" max="8971" width="9.140625" style="13"/>
    <col min="8972" max="8972" width="14.5703125" style="13" bestFit="1" customWidth="1"/>
    <col min="8973" max="8973" width="17" style="13" customWidth="1"/>
    <col min="8974" max="8974" width="9.140625" style="13"/>
    <col min="8975" max="8975" width="13.140625" style="13" customWidth="1"/>
    <col min="8976" max="9216" width="9.140625" style="13"/>
    <col min="9217" max="9217" width="25.5703125" style="13" customWidth="1"/>
    <col min="9218" max="9218" width="11.28515625" style="13" customWidth="1"/>
    <col min="9219" max="9219" width="12.85546875" style="13" customWidth="1"/>
    <col min="9220" max="9220" width="12.140625" style="13" customWidth="1"/>
    <col min="9221" max="9221" width="11.42578125" style="13" customWidth="1"/>
    <col min="9222" max="9222" width="11.140625" style="13" customWidth="1"/>
    <col min="9223" max="9223" width="11.5703125" style="13" customWidth="1"/>
    <col min="9224" max="9224" width="11.7109375" style="13" customWidth="1"/>
    <col min="9225" max="9225" width="14.42578125" style="13" customWidth="1"/>
    <col min="9226" max="9226" width="13.85546875" style="13" customWidth="1"/>
    <col min="9227" max="9227" width="9.140625" style="13"/>
    <col min="9228" max="9228" width="14.5703125" style="13" bestFit="1" customWidth="1"/>
    <col min="9229" max="9229" width="17" style="13" customWidth="1"/>
    <col min="9230" max="9230" width="9.140625" style="13"/>
    <col min="9231" max="9231" width="13.140625" style="13" customWidth="1"/>
    <col min="9232" max="9472" width="9.140625" style="13"/>
    <col min="9473" max="9473" width="25.5703125" style="13" customWidth="1"/>
    <col min="9474" max="9474" width="11.28515625" style="13" customWidth="1"/>
    <col min="9475" max="9475" width="12.85546875" style="13" customWidth="1"/>
    <col min="9476" max="9476" width="12.140625" style="13" customWidth="1"/>
    <col min="9477" max="9477" width="11.42578125" style="13" customWidth="1"/>
    <col min="9478" max="9478" width="11.140625" style="13" customWidth="1"/>
    <col min="9479" max="9479" width="11.5703125" style="13" customWidth="1"/>
    <col min="9480" max="9480" width="11.7109375" style="13" customWidth="1"/>
    <col min="9481" max="9481" width="14.42578125" style="13" customWidth="1"/>
    <col min="9482" max="9482" width="13.85546875" style="13" customWidth="1"/>
    <col min="9483" max="9483" width="9.140625" style="13"/>
    <col min="9484" max="9484" width="14.5703125" style="13" bestFit="1" customWidth="1"/>
    <col min="9485" max="9485" width="17" style="13" customWidth="1"/>
    <col min="9486" max="9486" width="9.140625" style="13"/>
    <col min="9487" max="9487" width="13.140625" style="13" customWidth="1"/>
    <col min="9488" max="9728" width="9.140625" style="13"/>
    <col min="9729" max="9729" width="25.5703125" style="13" customWidth="1"/>
    <col min="9730" max="9730" width="11.28515625" style="13" customWidth="1"/>
    <col min="9731" max="9731" width="12.85546875" style="13" customWidth="1"/>
    <col min="9732" max="9732" width="12.140625" style="13" customWidth="1"/>
    <col min="9733" max="9733" width="11.42578125" style="13" customWidth="1"/>
    <col min="9734" max="9734" width="11.140625" style="13" customWidth="1"/>
    <col min="9735" max="9735" width="11.5703125" style="13" customWidth="1"/>
    <col min="9736" max="9736" width="11.7109375" style="13" customWidth="1"/>
    <col min="9737" max="9737" width="14.42578125" style="13" customWidth="1"/>
    <col min="9738" max="9738" width="13.85546875" style="13" customWidth="1"/>
    <col min="9739" max="9739" width="9.140625" style="13"/>
    <col min="9740" max="9740" width="14.5703125" style="13" bestFit="1" customWidth="1"/>
    <col min="9741" max="9741" width="17" style="13" customWidth="1"/>
    <col min="9742" max="9742" width="9.140625" style="13"/>
    <col min="9743" max="9743" width="13.140625" style="13" customWidth="1"/>
    <col min="9744" max="9984" width="9.140625" style="13"/>
    <col min="9985" max="9985" width="25.5703125" style="13" customWidth="1"/>
    <col min="9986" max="9986" width="11.28515625" style="13" customWidth="1"/>
    <col min="9987" max="9987" width="12.85546875" style="13" customWidth="1"/>
    <col min="9988" max="9988" width="12.140625" style="13" customWidth="1"/>
    <col min="9989" max="9989" width="11.42578125" style="13" customWidth="1"/>
    <col min="9990" max="9990" width="11.140625" style="13" customWidth="1"/>
    <col min="9991" max="9991" width="11.5703125" style="13" customWidth="1"/>
    <col min="9992" max="9992" width="11.7109375" style="13" customWidth="1"/>
    <col min="9993" max="9993" width="14.42578125" style="13" customWidth="1"/>
    <col min="9994" max="9994" width="13.85546875" style="13" customWidth="1"/>
    <col min="9995" max="9995" width="9.140625" style="13"/>
    <col min="9996" max="9996" width="14.5703125" style="13" bestFit="1" customWidth="1"/>
    <col min="9997" max="9997" width="17" style="13" customWidth="1"/>
    <col min="9998" max="9998" width="9.140625" style="13"/>
    <col min="9999" max="9999" width="13.140625" style="13" customWidth="1"/>
    <col min="10000" max="10240" width="9.140625" style="13"/>
    <col min="10241" max="10241" width="25.5703125" style="13" customWidth="1"/>
    <col min="10242" max="10242" width="11.28515625" style="13" customWidth="1"/>
    <col min="10243" max="10243" width="12.85546875" style="13" customWidth="1"/>
    <col min="10244" max="10244" width="12.140625" style="13" customWidth="1"/>
    <col min="10245" max="10245" width="11.42578125" style="13" customWidth="1"/>
    <col min="10246" max="10246" width="11.140625" style="13" customWidth="1"/>
    <col min="10247" max="10247" width="11.5703125" style="13" customWidth="1"/>
    <col min="10248" max="10248" width="11.7109375" style="13" customWidth="1"/>
    <col min="10249" max="10249" width="14.42578125" style="13" customWidth="1"/>
    <col min="10250" max="10250" width="13.85546875" style="13" customWidth="1"/>
    <col min="10251" max="10251" width="9.140625" style="13"/>
    <col min="10252" max="10252" width="14.5703125" style="13" bestFit="1" customWidth="1"/>
    <col min="10253" max="10253" width="17" style="13" customWidth="1"/>
    <col min="10254" max="10254" width="9.140625" style="13"/>
    <col min="10255" max="10255" width="13.140625" style="13" customWidth="1"/>
    <col min="10256" max="10496" width="9.140625" style="13"/>
    <col min="10497" max="10497" width="25.5703125" style="13" customWidth="1"/>
    <col min="10498" max="10498" width="11.28515625" style="13" customWidth="1"/>
    <col min="10499" max="10499" width="12.85546875" style="13" customWidth="1"/>
    <col min="10500" max="10500" width="12.140625" style="13" customWidth="1"/>
    <col min="10501" max="10501" width="11.42578125" style="13" customWidth="1"/>
    <col min="10502" max="10502" width="11.140625" style="13" customWidth="1"/>
    <col min="10503" max="10503" width="11.5703125" style="13" customWidth="1"/>
    <col min="10504" max="10504" width="11.7109375" style="13" customWidth="1"/>
    <col min="10505" max="10505" width="14.42578125" style="13" customWidth="1"/>
    <col min="10506" max="10506" width="13.85546875" style="13" customWidth="1"/>
    <col min="10507" max="10507" width="9.140625" style="13"/>
    <col min="10508" max="10508" width="14.5703125" style="13" bestFit="1" customWidth="1"/>
    <col min="10509" max="10509" width="17" style="13" customWidth="1"/>
    <col min="10510" max="10510" width="9.140625" style="13"/>
    <col min="10511" max="10511" width="13.140625" style="13" customWidth="1"/>
    <col min="10512" max="10752" width="9.140625" style="13"/>
    <col min="10753" max="10753" width="25.5703125" style="13" customWidth="1"/>
    <col min="10754" max="10754" width="11.28515625" style="13" customWidth="1"/>
    <col min="10755" max="10755" width="12.85546875" style="13" customWidth="1"/>
    <col min="10756" max="10756" width="12.140625" style="13" customWidth="1"/>
    <col min="10757" max="10757" width="11.42578125" style="13" customWidth="1"/>
    <col min="10758" max="10758" width="11.140625" style="13" customWidth="1"/>
    <col min="10759" max="10759" width="11.5703125" style="13" customWidth="1"/>
    <col min="10760" max="10760" width="11.7109375" style="13" customWidth="1"/>
    <col min="10761" max="10761" width="14.42578125" style="13" customWidth="1"/>
    <col min="10762" max="10762" width="13.85546875" style="13" customWidth="1"/>
    <col min="10763" max="10763" width="9.140625" style="13"/>
    <col min="10764" max="10764" width="14.5703125" style="13" bestFit="1" customWidth="1"/>
    <col min="10765" max="10765" width="17" style="13" customWidth="1"/>
    <col min="10766" max="10766" width="9.140625" style="13"/>
    <col min="10767" max="10767" width="13.140625" style="13" customWidth="1"/>
    <col min="10768" max="11008" width="9.140625" style="13"/>
    <col min="11009" max="11009" width="25.5703125" style="13" customWidth="1"/>
    <col min="11010" max="11010" width="11.28515625" style="13" customWidth="1"/>
    <col min="11011" max="11011" width="12.85546875" style="13" customWidth="1"/>
    <col min="11012" max="11012" width="12.140625" style="13" customWidth="1"/>
    <col min="11013" max="11013" width="11.42578125" style="13" customWidth="1"/>
    <col min="11014" max="11014" width="11.140625" style="13" customWidth="1"/>
    <col min="11015" max="11015" width="11.5703125" style="13" customWidth="1"/>
    <col min="11016" max="11016" width="11.7109375" style="13" customWidth="1"/>
    <col min="11017" max="11017" width="14.42578125" style="13" customWidth="1"/>
    <col min="11018" max="11018" width="13.85546875" style="13" customWidth="1"/>
    <col min="11019" max="11019" width="9.140625" style="13"/>
    <col min="11020" max="11020" width="14.5703125" style="13" bestFit="1" customWidth="1"/>
    <col min="11021" max="11021" width="17" style="13" customWidth="1"/>
    <col min="11022" max="11022" width="9.140625" style="13"/>
    <col min="11023" max="11023" width="13.140625" style="13" customWidth="1"/>
    <col min="11024" max="11264" width="9.140625" style="13"/>
    <col min="11265" max="11265" width="25.5703125" style="13" customWidth="1"/>
    <col min="11266" max="11266" width="11.28515625" style="13" customWidth="1"/>
    <col min="11267" max="11267" width="12.85546875" style="13" customWidth="1"/>
    <col min="11268" max="11268" width="12.140625" style="13" customWidth="1"/>
    <col min="11269" max="11269" width="11.42578125" style="13" customWidth="1"/>
    <col min="11270" max="11270" width="11.140625" style="13" customWidth="1"/>
    <col min="11271" max="11271" width="11.5703125" style="13" customWidth="1"/>
    <col min="11272" max="11272" width="11.7109375" style="13" customWidth="1"/>
    <col min="11273" max="11273" width="14.42578125" style="13" customWidth="1"/>
    <col min="11274" max="11274" width="13.85546875" style="13" customWidth="1"/>
    <col min="11275" max="11275" width="9.140625" style="13"/>
    <col min="11276" max="11276" width="14.5703125" style="13" bestFit="1" customWidth="1"/>
    <col min="11277" max="11277" width="17" style="13" customWidth="1"/>
    <col min="11278" max="11278" width="9.140625" style="13"/>
    <col min="11279" max="11279" width="13.140625" style="13" customWidth="1"/>
    <col min="11280" max="11520" width="9.140625" style="13"/>
    <col min="11521" max="11521" width="25.5703125" style="13" customWidth="1"/>
    <col min="11522" max="11522" width="11.28515625" style="13" customWidth="1"/>
    <col min="11523" max="11523" width="12.85546875" style="13" customWidth="1"/>
    <col min="11524" max="11524" width="12.140625" style="13" customWidth="1"/>
    <col min="11525" max="11525" width="11.42578125" style="13" customWidth="1"/>
    <col min="11526" max="11526" width="11.140625" style="13" customWidth="1"/>
    <col min="11527" max="11527" width="11.5703125" style="13" customWidth="1"/>
    <col min="11528" max="11528" width="11.7109375" style="13" customWidth="1"/>
    <col min="11529" max="11529" width="14.42578125" style="13" customWidth="1"/>
    <col min="11530" max="11530" width="13.85546875" style="13" customWidth="1"/>
    <col min="11531" max="11531" width="9.140625" style="13"/>
    <col min="11532" max="11532" width="14.5703125" style="13" bestFit="1" customWidth="1"/>
    <col min="11533" max="11533" width="17" style="13" customWidth="1"/>
    <col min="11534" max="11534" width="9.140625" style="13"/>
    <col min="11535" max="11535" width="13.140625" style="13" customWidth="1"/>
    <col min="11536" max="11776" width="9.140625" style="13"/>
    <col min="11777" max="11777" width="25.5703125" style="13" customWidth="1"/>
    <col min="11778" max="11778" width="11.28515625" style="13" customWidth="1"/>
    <col min="11779" max="11779" width="12.85546875" style="13" customWidth="1"/>
    <col min="11780" max="11780" width="12.140625" style="13" customWidth="1"/>
    <col min="11781" max="11781" width="11.42578125" style="13" customWidth="1"/>
    <col min="11782" max="11782" width="11.140625" style="13" customWidth="1"/>
    <col min="11783" max="11783" width="11.5703125" style="13" customWidth="1"/>
    <col min="11784" max="11784" width="11.7109375" style="13" customWidth="1"/>
    <col min="11785" max="11785" width="14.42578125" style="13" customWidth="1"/>
    <col min="11786" max="11786" width="13.85546875" style="13" customWidth="1"/>
    <col min="11787" max="11787" width="9.140625" style="13"/>
    <col min="11788" max="11788" width="14.5703125" style="13" bestFit="1" customWidth="1"/>
    <col min="11789" max="11789" width="17" style="13" customWidth="1"/>
    <col min="11790" max="11790" width="9.140625" style="13"/>
    <col min="11791" max="11791" width="13.140625" style="13" customWidth="1"/>
    <col min="11792" max="12032" width="9.140625" style="13"/>
    <col min="12033" max="12033" width="25.5703125" style="13" customWidth="1"/>
    <col min="12034" max="12034" width="11.28515625" style="13" customWidth="1"/>
    <col min="12035" max="12035" width="12.85546875" style="13" customWidth="1"/>
    <col min="12036" max="12036" width="12.140625" style="13" customWidth="1"/>
    <col min="12037" max="12037" width="11.42578125" style="13" customWidth="1"/>
    <col min="12038" max="12038" width="11.140625" style="13" customWidth="1"/>
    <col min="12039" max="12039" width="11.5703125" style="13" customWidth="1"/>
    <col min="12040" max="12040" width="11.7109375" style="13" customWidth="1"/>
    <col min="12041" max="12041" width="14.42578125" style="13" customWidth="1"/>
    <col min="12042" max="12042" width="13.85546875" style="13" customWidth="1"/>
    <col min="12043" max="12043" width="9.140625" style="13"/>
    <col min="12044" max="12044" width="14.5703125" style="13" bestFit="1" customWidth="1"/>
    <col min="12045" max="12045" width="17" style="13" customWidth="1"/>
    <col min="12046" max="12046" width="9.140625" style="13"/>
    <col min="12047" max="12047" width="13.140625" style="13" customWidth="1"/>
    <col min="12048" max="12288" width="9.140625" style="13"/>
    <col min="12289" max="12289" width="25.5703125" style="13" customWidth="1"/>
    <col min="12290" max="12290" width="11.28515625" style="13" customWidth="1"/>
    <col min="12291" max="12291" width="12.85546875" style="13" customWidth="1"/>
    <col min="12292" max="12292" width="12.140625" style="13" customWidth="1"/>
    <col min="12293" max="12293" width="11.42578125" style="13" customWidth="1"/>
    <col min="12294" max="12294" width="11.140625" style="13" customWidth="1"/>
    <col min="12295" max="12295" width="11.5703125" style="13" customWidth="1"/>
    <col min="12296" max="12296" width="11.7109375" style="13" customWidth="1"/>
    <col min="12297" max="12297" width="14.42578125" style="13" customWidth="1"/>
    <col min="12298" max="12298" width="13.85546875" style="13" customWidth="1"/>
    <col min="12299" max="12299" width="9.140625" style="13"/>
    <col min="12300" max="12300" width="14.5703125" style="13" bestFit="1" customWidth="1"/>
    <col min="12301" max="12301" width="17" style="13" customWidth="1"/>
    <col min="12302" max="12302" width="9.140625" style="13"/>
    <col min="12303" max="12303" width="13.140625" style="13" customWidth="1"/>
    <col min="12304" max="12544" width="9.140625" style="13"/>
    <col min="12545" max="12545" width="25.5703125" style="13" customWidth="1"/>
    <col min="12546" max="12546" width="11.28515625" style="13" customWidth="1"/>
    <col min="12547" max="12547" width="12.85546875" style="13" customWidth="1"/>
    <col min="12548" max="12548" width="12.140625" style="13" customWidth="1"/>
    <col min="12549" max="12549" width="11.42578125" style="13" customWidth="1"/>
    <col min="12550" max="12550" width="11.140625" style="13" customWidth="1"/>
    <col min="12551" max="12551" width="11.5703125" style="13" customWidth="1"/>
    <col min="12552" max="12552" width="11.7109375" style="13" customWidth="1"/>
    <col min="12553" max="12553" width="14.42578125" style="13" customWidth="1"/>
    <col min="12554" max="12554" width="13.85546875" style="13" customWidth="1"/>
    <col min="12555" max="12555" width="9.140625" style="13"/>
    <col min="12556" max="12556" width="14.5703125" style="13" bestFit="1" customWidth="1"/>
    <col min="12557" max="12557" width="17" style="13" customWidth="1"/>
    <col min="12558" max="12558" width="9.140625" style="13"/>
    <col min="12559" max="12559" width="13.140625" style="13" customWidth="1"/>
    <col min="12560" max="12800" width="9.140625" style="13"/>
    <col min="12801" max="12801" width="25.5703125" style="13" customWidth="1"/>
    <col min="12802" max="12802" width="11.28515625" style="13" customWidth="1"/>
    <col min="12803" max="12803" width="12.85546875" style="13" customWidth="1"/>
    <col min="12804" max="12804" width="12.140625" style="13" customWidth="1"/>
    <col min="12805" max="12805" width="11.42578125" style="13" customWidth="1"/>
    <col min="12806" max="12806" width="11.140625" style="13" customWidth="1"/>
    <col min="12807" max="12807" width="11.5703125" style="13" customWidth="1"/>
    <col min="12808" max="12808" width="11.7109375" style="13" customWidth="1"/>
    <col min="12809" max="12809" width="14.42578125" style="13" customWidth="1"/>
    <col min="12810" max="12810" width="13.85546875" style="13" customWidth="1"/>
    <col min="12811" max="12811" width="9.140625" style="13"/>
    <col min="12812" max="12812" width="14.5703125" style="13" bestFit="1" customWidth="1"/>
    <col min="12813" max="12813" width="17" style="13" customWidth="1"/>
    <col min="12814" max="12814" width="9.140625" style="13"/>
    <col min="12815" max="12815" width="13.140625" style="13" customWidth="1"/>
    <col min="12816" max="13056" width="9.140625" style="13"/>
    <col min="13057" max="13057" width="25.5703125" style="13" customWidth="1"/>
    <col min="13058" max="13058" width="11.28515625" style="13" customWidth="1"/>
    <col min="13059" max="13059" width="12.85546875" style="13" customWidth="1"/>
    <col min="13060" max="13060" width="12.140625" style="13" customWidth="1"/>
    <col min="13061" max="13061" width="11.42578125" style="13" customWidth="1"/>
    <col min="13062" max="13062" width="11.140625" style="13" customWidth="1"/>
    <col min="13063" max="13063" width="11.5703125" style="13" customWidth="1"/>
    <col min="13064" max="13064" width="11.7109375" style="13" customWidth="1"/>
    <col min="13065" max="13065" width="14.42578125" style="13" customWidth="1"/>
    <col min="13066" max="13066" width="13.85546875" style="13" customWidth="1"/>
    <col min="13067" max="13067" width="9.140625" style="13"/>
    <col min="13068" max="13068" width="14.5703125" style="13" bestFit="1" customWidth="1"/>
    <col min="13069" max="13069" width="17" style="13" customWidth="1"/>
    <col min="13070" max="13070" width="9.140625" style="13"/>
    <col min="13071" max="13071" width="13.140625" style="13" customWidth="1"/>
    <col min="13072" max="13312" width="9.140625" style="13"/>
    <col min="13313" max="13313" width="25.5703125" style="13" customWidth="1"/>
    <col min="13314" max="13314" width="11.28515625" style="13" customWidth="1"/>
    <col min="13315" max="13315" width="12.85546875" style="13" customWidth="1"/>
    <col min="13316" max="13316" width="12.140625" style="13" customWidth="1"/>
    <col min="13317" max="13317" width="11.42578125" style="13" customWidth="1"/>
    <col min="13318" max="13318" width="11.140625" style="13" customWidth="1"/>
    <col min="13319" max="13319" width="11.5703125" style="13" customWidth="1"/>
    <col min="13320" max="13320" width="11.7109375" style="13" customWidth="1"/>
    <col min="13321" max="13321" width="14.42578125" style="13" customWidth="1"/>
    <col min="13322" max="13322" width="13.85546875" style="13" customWidth="1"/>
    <col min="13323" max="13323" width="9.140625" style="13"/>
    <col min="13324" max="13324" width="14.5703125" style="13" bestFit="1" customWidth="1"/>
    <col min="13325" max="13325" width="17" style="13" customWidth="1"/>
    <col min="13326" max="13326" width="9.140625" style="13"/>
    <col min="13327" max="13327" width="13.140625" style="13" customWidth="1"/>
    <col min="13328" max="13568" width="9.140625" style="13"/>
    <col min="13569" max="13569" width="25.5703125" style="13" customWidth="1"/>
    <col min="13570" max="13570" width="11.28515625" style="13" customWidth="1"/>
    <col min="13571" max="13571" width="12.85546875" style="13" customWidth="1"/>
    <col min="13572" max="13572" width="12.140625" style="13" customWidth="1"/>
    <col min="13573" max="13573" width="11.42578125" style="13" customWidth="1"/>
    <col min="13574" max="13574" width="11.140625" style="13" customWidth="1"/>
    <col min="13575" max="13575" width="11.5703125" style="13" customWidth="1"/>
    <col min="13576" max="13576" width="11.7109375" style="13" customWidth="1"/>
    <col min="13577" max="13577" width="14.42578125" style="13" customWidth="1"/>
    <col min="13578" max="13578" width="13.85546875" style="13" customWidth="1"/>
    <col min="13579" max="13579" width="9.140625" style="13"/>
    <col min="13580" max="13580" width="14.5703125" style="13" bestFit="1" customWidth="1"/>
    <col min="13581" max="13581" width="17" style="13" customWidth="1"/>
    <col min="13582" max="13582" width="9.140625" style="13"/>
    <col min="13583" max="13583" width="13.140625" style="13" customWidth="1"/>
    <col min="13584" max="13824" width="9.140625" style="13"/>
    <col min="13825" max="13825" width="25.5703125" style="13" customWidth="1"/>
    <col min="13826" max="13826" width="11.28515625" style="13" customWidth="1"/>
    <col min="13827" max="13827" width="12.85546875" style="13" customWidth="1"/>
    <col min="13828" max="13828" width="12.140625" style="13" customWidth="1"/>
    <col min="13829" max="13829" width="11.42578125" style="13" customWidth="1"/>
    <col min="13830" max="13830" width="11.140625" style="13" customWidth="1"/>
    <col min="13831" max="13831" width="11.5703125" style="13" customWidth="1"/>
    <col min="13832" max="13832" width="11.7109375" style="13" customWidth="1"/>
    <col min="13833" max="13833" width="14.42578125" style="13" customWidth="1"/>
    <col min="13834" max="13834" width="13.85546875" style="13" customWidth="1"/>
    <col min="13835" max="13835" width="9.140625" style="13"/>
    <col min="13836" max="13836" width="14.5703125" style="13" bestFit="1" customWidth="1"/>
    <col min="13837" max="13837" width="17" style="13" customWidth="1"/>
    <col min="13838" max="13838" width="9.140625" style="13"/>
    <col min="13839" max="13839" width="13.140625" style="13" customWidth="1"/>
    <col min="13840" max="14080" width="9.140625" style="13"/>
    <col min="14081" max="14081" width="25.5703125" style="13" customWidth="1"/>
    <col min="14082" max="14082" width="11.28515625" style="13" customWidth="1"/>
    <col min="14083" max="14083" width="12.85546875" style="13" customWidth="1"/>
    <col min="14084" max="14084" width="12.140625" style="13" customWidth="1"/>
    <col min="14085" max="14085" width="11.42578125" style="13" customWidth="1"/>
    <col min="14086" max="14086" width="11.140625" style="13" customWidth="1"/>
    <col min="14087" max="14087" width="11.5703125" style="13" customWidth="1"/>
    <col min="14088" max="14088" width="11.7109375" style="13" customWidth="1"/>
    <col min="14089" max="14089" width="14.42578125" style="13" customWidth="1"/>
    <col min="14090" max="14090" width="13.85546875" style="13" customWidth="1"/>
    <col min="14091" max="14091" width="9.140625" style="13"/>
    <col min="14092" max="14092" width="14.5703125" style="13" bestFit="1" customWidth="1"/>
    <col min="14093" max="14093" width="17" style="13" customWidth="1"/>
    <col min="14094" max="14094" width="9.140625" style="13"/>
    <col min="14095" max="14095" width="13.140625" style="13" customWidth="1"/>
    <col min="14096" max="14336" width="9.140625" style="13"/>
    <col min="14337" max="14337" width="25.5703125" style="13" customWidth="1"/>
    <col min="14338" max="14338" width="11.28515625" style="13" customWidth="1"/>
    <col min="14339" max="14339" width="12.85546875" style="13" customWidth="1"/>
    <col min="14340" max="14340" width="12.140625" style="13" customWidth="1"/>
    <col min="14341" max="14341" width="11.42578125" style="13" customWidth="1"/>
    <col min="14342" max="14342" width="11.140625" style="13" customWidth="1"/>
    <col min="14343" max="14343" width="11.5703125" style="13" customWidth="1"/>
    <col min="14344" max="14344" width="11.7109375" style="13" customWidth="1"/>
    <col min="14345" max="14345" width="14.42578125" style="13" customWidth="1"/>
    <col min="14346" max="14346" width="13.85546875" style="13" customWidth="1"/>
    <col min="14347" max="14347" width="9.140625" style="13"/>
    <col min="14348" max="14348" width="14.5703125" style="13" bestFit="1" customWidth="1"/>
    <col min="14349" max="14349" width="17" style="13" customWidth="1"/>
    <col min="14350" max="14350" width="9.140625" style="13"/>
    <col min="14351" max="14351" width="13.140625" style="13" customWidth="1"/>
    <col min="14352" max="14592" width="9.140625" style="13"/>
    <col min="14593" max="14593" width="25.5703125" style="13" customWidth="1"/>
    <col min="14594" max="14594" width="11.28515625" style="13" customWidth="1"/>
    <col min="14595" max="14595" width="12.85546875" style="13" customWidth="1"/>
    <col min="14596" max="14596" width="12.140625" style="13" customWidth="1"/>
    <col min="14597" max="14597" width="11.42578125" style="13" customWidth="1"/>
    <col min="14598" max="14598" width="11.140625" style="13" customWidth="1"/>
    <col min="14599" max="14599" width="11.5703125" style="13" customWidth="1"/>
    <col min="14600" max="14600" width="11.7109375" style="13" customWidth="1"/>
    <col min="14601" max="14601" width="14.42578125" style="13" customWidth="1"/>
    <col min="14602" max="14602" width="13.85546875" style="13" customWidth="1"/>
    <col min="14603" max="14603" width="9.140625" style="13"/>
    <col min="14604" max="14604" width="14.5703125" style="13" bestFit="1" customWidth="1"/>
    <col min="14605" max="14605" width="17" style="13" customWidth="1"/>
    <col min="14606" max="14606" width="9.140625" style="13"/>
    <col min="14607" max="14607" width="13.140625" style="13" customWidth="1"/>
    <col min="14608" max="14848" width="9.140625" style="13"/>
    <col min="14849" max="14849" width="25.5703125" style="13" customWidth="1"/>
    <col min="14850" max="14850" width="11.28515625" style="13" customWidth="1"/>
    <col min="14851" max="14851" width="12.85546875" style="13" customWidth="1"/>
    <col min="14852" max="14852" width="12.140625" style="13" customWidth="1"/>
    <col min="14853" max="14853" width="11.42578125" style="13" customWidth="1"/>
    <col min="14854" max="14854" width="11.140625" style="13" customWidth="1"/>
    <col min="14855" max="14855" width="11.5703125" style="13" customWidth="1"/>
    <col min="14856" max="14856" width="11.7109375" style="13" customWidth="1"/>
    <col min="14857" max="14857" width="14.42578125" style="13" customWidth="1"/>
    <col min="14858" max="14858" width="13.85546875" style="13" customWidth="1"/>
    <col min="14859" max="14859" width="9.140625" style="13"/>
    <col min="14860" max="14860" width="14.5703125" style="13" bestFit="1" customWidth="1"/>
    <col min="14861" max="14861" width="17" style="13" customWidth="1"/>
    <col min="14862" max="14862" width="9.140625" style="13"/>
    <col min="14863" max="14863" width="13.140625" style="13" customWidth="1"/>
    <col min="14864" max="15104" width="9.140625" style="13"/>
    <col min="15105" max="15105" width="25.5703125" style="13" customWidth="1"/>
    <col min="15106" max="15106" width="11.28515625" style="13" customWidth="1"/>
    <col min="15107" max="15107" width="12.85546875" style="13" customWidth="1"/>
    <col min="15108" max="15108" width="12.140625" style="13" customWidth="1"/>
    <col min="15109" max="15109" width="11.42578125" style="13" customWidth="1"/>
    <col min="15110" max="15110" width="11.140625" style="13" customWidth="1"/>
    <col min="15111" max="15111" width="11.5703125" style="13" customWidth="1"/>
    <col min="15112" max="15112" width="11.7109375" style="13" customWidth="1"/>
    <col min="15113" max="15113" width="14.42578125" style="13" customWidth="1"/>
    <col min="15114" max="15114" width="13.85546875" style="13" customWidth="1"/>
    <col min="15115" max="15115" width="9.140625" style="13"/>
    <col min="15116" max="15116" width="14.5703125" style="13" bestFit="1" customWidth="1"/>
    <col min="15117" max="15117" width="17" style="13" customWidth="1"/>
    <col min="15118" max="15118" width="9.140625" style="13"/>
    <col min="15119" max="15119" width="13.140625" style="13" customWidth="1"/>
    <col min="15120" max="15360" width="9.140625" style="13"/>
    <col min="15361" max="15361" width="25.5703125" style="13" customWidth="1"/>
    <col min="15362" max="15362" width="11.28515625" style="13" customWidth="1"/>
    <col min="15363" max="15363" width="12.85546875" style="13" customWidth="1"/>
    <col min="15364" max="15364" width="12.140625" style="13" customWidth="1"/>
    <col min="15365" max="15365" width="11.42578125" style="13" customWidth="1"/>
    <col min="15366" max="15366" width="11.140625" style="13" customWidth="1"/>
    <col min="15367" max="15367" width="11.5703125" style="13" customWidth="1"/>
    <col min="15368" max="15368" width="11.7109375" style="13" customWidth="1"/>
    <col min="15369" max="15369" width="14.42578125" style="13" customWidth="1"/>
    <col min="15370" max="15370" width="13.85546875" style="13" customWidth="1"/>
    <col min="15371" max="15371" width="9.140625" style="13"/>
    <col min="15372" max="15372" width="14.5703125" style="13" bestFit="1" customWidth="1"/>
    <col min="15373" max="15373" width="17" style="13" customWidth="1"/>
    <col min="15374" max="15374" width="9.140625" style="13"/>
    <col min="15375" max="15375" width="13.140625" style="13" customWidth="1"/>
    <col min="15376" max="15616" width="9.140625" style="13"/>
    <col min="15617" max="15617" width="25.5703125" style="13" customWidth="1"/>
    <col min="15618" max="15618" width="11.28515625" style="13" customWidth="1"/>
    <col min="15619" max="15619" width="12.85546875" style="13" customWidth="1"/>
    <col min="15620" max="15620" width="12.140625" style="13" customWidth="1"/>
    <col min="15621" max="15621" width="11.42578125" style="13" customWidth="1"/>
    <col min="15622" max="15622" width="11.140625" style="13" customWidth="1"/>
    <col min="15623" max="15623" width="11.5703125" style="13" customWidth="1"/>
    <col min="15624" max="15624" width="11.7109375" style="13" customWidth="1"/>
    <col min="15625" max="15625" width="14.42578125" style="13" customWidth="1"/>
    <col min="15626" max="15626" width="13.85546875" style="13" customWidth="1"/>
    <col min="15627" max="15627" width="9.140625" style="13"/>
    <col min="15628" max="15628" width="14.5703125" style="13" bestFit="1" customWidth="1"/>
    <col min="15629" max="15629" width="17" style="13" customWidth="1"/>
    <col min="15630" max="15630" width="9.140625" style="13"/>
    <col min="15631" max="15631" width="13.140625" style="13" customWidth="1"/>
    <col min="15632" max="15872" width="9.140625" style="13"/>
    <col min="15873" max="15873" width="25.5703125" style="13" customWidth="1"/>
    <col min="15874" max="15874" width="11.28515625" style="13" customWidth="1"/>
    <col min="15875" max="15875" width="12.85546875" style="13" customWidth="1"/>
    <col min="15876" max="15876" width="12.140625" style="13" customWidth="1"/>
    <col min="15877" max="15877" width="11.42578125" style="13" customWidth="1"/>
    <col min="15878" max="15878" width="11.140625" style="13" customWidth="1"/>
    <col min="15879" max="15879" width="11.5703125" style="13" customWidth="1"/>
    <col min="15880" max="15880" width="11.7109375" style="13" customWidth="1"/>
    <col min="15881" max="15881" width="14.42578125" style="13" customWidth="1"/>
    <col min="15882" max="15882" width="13.85546875" style="13" customWidth="1"/>
    <col min="15883" max="15883" width="9.140625" style="13"/>
    <col min="15884" max="15884" width="14.5703125" style="13" bestFit="1" customWidth="1"/>
    <col min="15885" max="15885" width="17" style="13" customWidth="1"/>
    <col min="15886" max="15886" width="9.140625" style="13"/>
    <col min="15887" max="15887" width="13.140625" style="13" customWidth="1"/>
    <col min="15888" max="16128" width="9.140625" style="13"/>
    <col min="16129" max="16129" width="25.5703125" style="13" customWidth="1"/>
    <col min="16130" max="16130" width="11.28515625" style="13" customWidth="1"/>
    <col min="16131" max="16131" width="12.85546875" style="13" customWidth="1"/>
    <col min="16132" max="16132" width="12.140625" style="13" customWidth="1"/>
    <col min="16133" max="16133" width="11.42578125" style="13" customWidth="1"/>
    <col min="16134" max="16134" width="11.140625" style="13" customWidth="1"/>
    <col min="16135" max="16135" width="11.5703125" style="13" customWidth="1"/>
    <col min="16136" max="16136" width="11.7109375" style="13" customWidth="1"/>
    <col min="16137" max="16137" width="14.42578125" style="13" customWidth="1"/>
    <col min="16138" max="16138" width="13.85546875" style="13" customWidth="1"/>
    <col min="16139" max="16139" width="9.140625" style="13"/>
    <col min="16140" max="16140" width="14.5703125" style="13" bestFit="1" customWidth="1"/>
    <col min="16141" max="16141" width="17" style="13" customWidth="1"/>
    <col min="16142" max="16142" width="9.140625" style="13"/>
    <col min="16143" max="16143" width="13.140625" style="13" customWidth="1"/>
    <col min="16144" max="16384" width="9.140625" style="13"/>
  </cols>
  <sheetData>
    <row r="2" spans="1:15" ht="15" thickBot="1"/>
    <row r="3" spans="1:15" ht="15.75">
      <c r="A3" s="904" t="s">
        <v>669</v>
      </c>
      <c r="B3" s="905"/>
      <c r="C3" s="905"/>
      <c r="D3" s="905"/>
      <c r="E3" s="905"/>
      <c r="F3" s="905"/>
      <c r="G3" s="905"/>
      <c r="H3" s="905"/>
      <c r="I3" s="905"/>
      <c r="J3" s="906"/>
    </row>
    <row r="4" spans="1:15">
      <c r="A4" s="523"/>
      <c r="B4" s="524"/>
      <c r="C4" s="908" t="s">
        <v>5</v>
      </c>
      <c r="D4" s="909"/>
      <c r="E4" s="908" t="s">
        <v>95</v>
      </c>
      <c r="F4" s="909"/>
      <c r="G4" s="524"/>
      <c r="H4" s="524"/>
      <c r="I4" s="525" t="s">
        <v>666</v>
      </c>
      <c r="J4" s="547" t="s">
        <v>1</v>
      </c>
    </row>
    <row r="5" spans="1:15" ht="15" thickBot="1">
      <c r="A5" s="526"/>
      <c r="B5" s="527" t="s">
        <v>240</v>
      </c>
      <c r="C5" s="527" t="s">
        <v>131</v>
      </c>
      <c r="D5" s="527" t="s">
        <v>667</v>
      </c>
      <c r="E5" s="527" t="s">
        <v>131</v>
      </c>
      <c r="F5" s="527" t="s">
        <v>667</v>
      </c>
      <c r="G5" s="527" t="s">
        <v>8</v>
      </c>
      <c r="H5" s="527" t="s">
        <v>9</v>
      </c>
      <c r="I5" s="527" t="s">
        <v>668</v>
      </c>
      <c r="J5" s="552" t="s">
        <v>15</v>
      </c>
    </row>
    <row r="6" spans="1:15">
      <c r="A6" s="523"/>
      <c r="B6" s="525"/>
      <c r="C6" s="525"/>
      <c r="D6" s="525"/>
      <c r="E6" s="525"/>
      <c r="F6" s="525"/>
      <c r="G6" s="525"/>
      <c r="H6" s="525"/>
      <c r="I6" s="525"/>
      <c r="J6" s="547"/>
    </row>
    <row r="7" spans="1:15">
      <c r="A7" s="523" t="str">
        <f>('[15]3.2 Classific. 2'!I5)</f>
        <v>Expense</v>
      </c>
      <c r="B7" s="524"/>
      <c r="C7" s="524"/>
      <c r="D7" s="524"/>
      <c r="E7" s="524"/>
      <c r="F7" s="524"/>
      <c r="G7" s="524"/>
      <c r="H7" s="524"/>
      <c r="I7" s="524"/>
      <c r="J7" s="548"/>
    </row>
    <row r="8" spans="1:15">
      <c r="A8" s="523" t="str">
        <f>('[15]3.2 Classific. 2'!I6)</f>
        <v>Purchased Power</v>
      </c>
      <c r="B8" s="524"/>
      <c r="C8" s="524"/>
      <c r="D8" s="524"/>
      <c r="E8" s="524"/>
      <c r="F8" s="524"/>
      <c r="G8" s="524"/>
      <c r="H8" s="524"/>
      <c r="I8" s="524"/>
      <c r="J8" s="549" t="s">
        <v>1</v>
      </c>
      <c r="M8" s="14">
        <f>SUM(B8:J8)</f>
        <v>0</v>
      </c>
    </row>
    <row r="9" spans="1:15">
      <c r="A9" s="523" t="str">
        <f>('[15]3.2 Classific. 2'!I7)</f>
        <v>Distibution Operations</v>
      </c>
      <c r="B9" s="528">
        <f>('3.2 Classific. 2'!K25*'4.1 kW &amp; kWh'!$C$84)</f>
        <v>43186.42190268913</v>
      </c>
      <c r="C9" s="528">
        <f>('3.2 Classific. 2'!G7*'4.1 kW &amp; kWh'!$C$82)</f>
        <v>626756.45611199096</v>
      </c>
      <c r="D9" s="528">
        <f>('3.2 Classific. 2'!F7*'4.21 Consumer Alloc'!$I$4)</f>
        <v>430072.69496131554</v>
      </c>
      <c r="E9" s="528">
        <f>('3.2 Classific. 2'!G25*'4.1 kW &amp; kWh'!$C$110)</f>
        <v>0</v>
      </c>
      <c r="F9" s="528">
        <f>('3.2 Classific. 2'!F25*'4.21 Consumer Alloc'!$I$20)</f>
        <v>0</v>
      </c>
      <c r="G9" s="528">
        <f>('3.2 Classific. 2'!K7*'4.21 Consumer Alloc'!$J$37)</f>
        <v>299786.67217518273</v>
      </c>
      <c r="H9" s="528">
        <f>('3.2 Classific. 2'!L7*'4.21 Consumer Alloc'!$I$54)</f>
        <v>532629.57948119752</v>
      </c>
      <c r="I9" s="528">
        <f>('3.2 Classific. 2'!M7*'4.21 Consumer Alloc'!$I$71)</f>
        <v>0</v>
      </c>
      <c r="J9" s="549">
        <f>SUM(B9:I9)-S212</f>
        <v>1932431.3510410092</v>
      </c>
      <c r="M9" s="14">
        <f>SUM(B9:I9)</f>
        <v>1932431.824632376</v>
      </c>
      <c r="O9" s="14" t="s">
        <v>1</v>
      </c>
    </row>
    <row r="10" spans="1:15">
      <c r="A10" s="523" t="str">
        <f>('[15]3.2 Classific. 2'!I8)</f>
        <v>Distribution Maintenance</v>
      </c>
      <c r="B10" s="528">
        <f>('3.2 Classific. 2'!K26*'4.1 kW &amp; kWh'!$C$84)</f>
        <v>120.81018560196739</v>
      </c>
      <c r="C10" s="528">
        <f>('3.2 Classific. 2'!G8*'4.1 kW &amp; kWh'!$C$82)</f>
        <v>2189559.4223724222</v>
      </c>
      <c r="D10" s="528">
        <f>('3.2 Classific. 2'!F8*'4.21 Consumer Alloc'!$I$4)</f>
        <v>1502449.1768288834</v>
      </c>
      <c r="E10" s="528">
        <f>('3.2 Classific. 2'!G26*'4.1 kW &amp; kWh'!$C$110)</f>
        <v>12897.986824634703</v>
      </c>
      <c r="F10" s="528">
        <f>('3.2 Classific. 2'!F26*'4.21 Consumer Alloc'!$I$20)</f>
        <v>3723.4125988389501</v>
      </c>
      <c r="G10" s="528">
        <f>('3.2 Classific. 2'!K8*'4.21 Consumer Alloc'!$J$37)</f>
        <v>1047297.9198886079</v>
      </c>
      <c r="H10" s="528">
        <f>('3.2 Classific. 2'!L8*'4.21 Consumer Alloc'!$I$54)</f>
        <v>187716.18550981948</v>
      </c>
      <c r="I10" s="528">
        <f>('3.2 Classific. 2'!M8*'4.21 Consumer Alloc'!$I$71)</f>
        <v>0</v>
      </c>
      <c r="J10" s="549">
        <f t="shared" ref="J10:J17" si="0">SUM(B10:I10)-S213</f>
        <v>4943744.966517522</v>
      </c>
      <c r="M10" s="14">
        <f t="shared" ref="M10:M20" si="1">SUM(B10:I10)</f>
        <v>4943764.9142088089</v>
      </c>
    </row>
    <row r="11" spans="1:15">
      <c r="A11" s="523" t="str">
        <f>('[15]3.2 Classific. 2'!I9)</f>
        <v>Consumer Accounts</v>
      </c>
      <c r="B11" s="528">
        <f>('3.2 Classific. 2'!K27*'4.1 kW &amp; kWh'!$C$84)</f>
        <v>0</v>
      </c>
      <c r="C11" s="528">
        <f>('3.2 Classific. 2'!G9*'4.1 kW &amp; kWh'!$C$82)</f>
        <v>0</v>
      </c>
      <c r="D11" s="528">
        <f>('3.2 Classific. 2'!F9*'4.21 Consumer Alloc'!$I$4)</f>
        <v>0</v>
      </c>
      <c r="E11" s="528">
        <f>('3.2 Classific. 2'!G27*'4.1 kW &amp; kWh'!$C$110)</f>
        <v>0</v>
      </c>
      <c r="F11" s="528">
        <f>('3.2 Classific. 2'!F27*'4.21 Consumer Alloc'!$I$20)</f>
        <v>0</v>
      </c>
      <c r="G11" s="528">
        <f>('3.2 Classific. 2'!K9*'4.21 Consumer Alloc'!$J$37)</f>
        <v>0</v>
      </c>
      <c r="H11" s="528">
        <f>('3.2 Classific. 2'!L9*'4.21 Consumer Alloc'!$I$54)</f>
        <v>0</v>
      </c>
      <c r="I11" s="528">
        <f>('3.2 Classific. 2'!M9*'4.21 Consumer Alloc'!$I$71)</f>
        <v>2622965.9626869014</v>
      </c>
      <c r="J11" s="549">
        <f t="shared" si="0"/>
        <v>2622966.0264885132</v>
      </c>
      <c r="M11" s="14">
        <f t="shared" si="1"/>
        <v>2622965.9626869014</v>
      </c>
    </row>
    <row r="12" spans="1:15">
      <c r="A12" s="523" t="str">
        <f>('[15]3.2 Classific. 2'!I10)</f>
        <v>Customer Service</v>
      </c>
      <c r="B12" s="528">
        <f>('3.2 Classific. 2'!K28*'4.1 kW &amp; kWh'!$C$84)</f>
        <v>0</v>
      </c>
      <c r="C12" s="528">
        <f>('3.2 Classific. 2'!G10*'4.1 kW &amp; kWh'!$C$82)</f>
        <v>0</v>
      </c>
      <c r="D12" s="528">
        <f>('3.2 Classific. 2'!F10*'4.21 Consumer Alloc'!$I$4)</f>
        <v>0</v>
      </c>
      <c r="E12" s="528">
        <f>('3.2 Classific. 2'!G28*'4.1 kW &amp; kWh'!$C$110)</f>
        <v>0</v>
      </c>
      <c r="F12" s="528">
        <f>('3.2 Classific. 2'!F28*'4.21 Consumer Alloc'!$I$20)</f>
        <v>0</v>
      </c>
      <c r="G12" s="528">
        <f>('3.2 Classific. 2'!K10*'4.21 Consumer Alloc'!$J$37)</f>
        <v>0</v>
      </c>
      <c r="H12" s="528">
        <f>('3.2 Classific. 2'!L10*'4.21 Consumer Alloc'!$I$54)</f>
        <v>0</v>
      </c>
      <c r="I12" s="528">
        <f>('3.2 Classific. 2'!M10*'4.21 Consumer Alloc'!$I$71)</f>
        <v>925346.19042658643</v>
      </c>
      <c r="J12" s="549">
        <f t="shared" si="0"/>
        <v>925346.53971168341</v>
      </c>
      <c r="M12" s="14">
        <f t="shared" si="1"/>
        <v>925346.19042658643</v>
      </c>
    </row>
    <row r="13" spans="1:15">
      <c r="A13" s="523" t="str">
        <f>('[15]3.2 Classific. 2'!I11)</f>
        <v>Administative &amp; General</v>
      </c>
      <c r="B13" s="528">
        <f>('3.2 Classific. 2'!K29*'4.1 kW &amp; kWh'!$C$84)</f>
        <v>14771.541257769019</v>
      </c>
      <c r="C13" s="528">
        <f>('3.2 Classific. 2'!G11*'4.1 kW &amp; kWh'!$C$82)</f>
        <v>960609.21439470584</v>
      </c>
      <c r="D13" s="528">
        <f>('3.2 Classific. 2'!F11*'4.21 Consumer Alloc'!$I$4)</f>
        <v>659158.41729372391</v>
      </c>
      <c r="E13" s="528">
        <f>('3.2 Classific. 2'!G29*'4.1 kW &amp; kWh'!$C$110)</f>
        <v>4399.3378319314052</v>
      </c>
      <c r="F13" s="528">
        <f>('3.2 Classific. 2'!F29*'4.21 Consumer Alloc'!$I$20)</f>
        <v>1270.0082681644508</v>
      </c>
      <c r="G13" s="528">
        <f>('3.2 Classific. 2'!K11*'4.21 Consumer Alloc'!$J$37)</f>
        <v>459473.27201165463</v>
      </c>
      <c r="H13" s="528">
        <f>('3.2 Classific. 2'!L11*'4.21 Consumer Alloc'!$I$54)</f>
        <v>245700.69880547459</v>
      </c>
      <c r="I13" s="528">
        <f>('3.2 Classific. 2'!M11*'4.21 Consumer Alloc'!$I$71)</f>
        <v>1210283.7525682044</v>
      </c>
      <c r="J13" s="549">
        <f t="shared" si="0"/>
        <v>3555659.0018889261</v>
      </c>
      <c r="M13" s="14">
        <f t="shared" si="1"/>
        <v>3555666.2424316285</v>
      </c>
    </row>
    <row r="14" spans="1:15">
      <c r="A14" s="523" t="str">
        <f>('[15]3.2 Classific. 2'!I12)</f>
        <v>Depreciation</v>
      </c>
      <c r="B14" s="528">
        <f>('3.2 Classific. 2'!K30*'4.1 kW &amp; kWh'!$C$84)</f>
        <v>54070.790348879695</v>
      </c>
      <c r="C14" s="528">
        <f>('3.2 Classific. 2'!G12*'4.1 kW &amp; kWh'!$C$82)</f>
        <v>2351649.391097663</v>
      </c>
      <c r="D14" s="528">
        <f>('3.2 Classific. 2'!F12*'4.21 Consumer Alloc'!$I$4)</f>
        <v>1613673.3516994545</v>
      </c>
      <c r="E14" s="528">
        <f>('3.2 Classific. 2'!G30*'4.1 kW &amp; kWh'!$C$110)</f>
        <v>862769.96829506266</v>
      </c>
      <c r="F14" s="528">
        <f>('3.2 Classific. 2'!F30*'4.21 Consumer Alloc'!$I$20)</f>
        <v>249065.8901677627</v>
      </c>
      <c r="G14" s="528">
        <f>('3.2 Classific. 2'!K12*'4.21 Consumer Alloc'!$J$37)</f>
        <v>1124827.89479873</v>
      </c>
      <c r="H14" s="528">
        <f>('3.2 Classific. 2'!L12*'4.21 Consumer Alloc'!$I$54)</f>
        <v>274271.99854210479</v>
      </c>
      <c r="I14" s="528">
        <f>('3.2 Classific. 2'!M12*'4.21 Consumer Alloc'!$I$71)</f>
        <v>135462.97528059519</v>
      </c>
      <c r="J14" s="549">
        <f t="shared" si="0"/>
        <v>6664443.6575226458</v>
      </c>
      <c r="M14" s="14">
        <f t="shared" si="1"/>
        <v>6665792.2602302525</v>
      </c>
    </row>
    <row r="15" spans="1:15">
      <c r="A15" s="523" t="str">
        <f>('[15]3.2 Classific. 2'!I13)</f>
        <v>Miscellaneous</v>
      </c>
      <c r="B15" s="528">
        <f>('3.2 Classific. 2'!K31*'4.1 kW &amp; kWh'!$C$84)</f>
        <v>132.26137148370557</v>
      </c>
      <c r="C15" s="528">
        <f>('3.2 Classific. 2'!G13*'4.1 kW &amp; kWh'!$C$82)</f>
        <v>5716.5884953846889</v>
      </c>
      <c r="D15" s="528">
        <f>('3.2 Classific. 2'!F13*'4.21 Consumer Alloc'!$I$4)</f>
        <v>3922.6538414079664</v>
      </c>
      <c r="E15" s="528">
        <f>('3.2 Classific. 2'!G31*'4.1 kW &amp; kWh'!$C$110)</f>
        <v>2136.3772537519226</v>
      </c>
      <c r="F15" s="528">
        <f>('3.2 Classific. 2'!F31*'4.21 Consumer Alloc'!$I$20)</f>
        <v>616.73299024463495</v>
      </c>
      <c r="G15" s="528">
        <f>('3.2 Classific. 2'!K13*'4.21 Consumer Alloc'!$J$37)</f>
        <v>2734.3269056331683</v>
      </c>
      <c r="H15" s="528">
        <f>('3.2 Classific. 2'!L13*'4.21 Consumer Alloc'!$I$54)</f>
        <v>651.71321425637859</v>
      </c>
      <c r="I15" s="528">
        <f>('3.2 Classific. 2'!M13*'4.21 Consumer Alloc'!$I$71)</f>
        <v>199.59591086288262</v>
      </c>
      <c r="J15" s="549">
        <f t="shared" si="0"/>
        <v>16106.660282233783</v>
      </c>
      <c r="M15" s="14">
        <f t="shared" si="1"/>
        <v>16110.249983025349</v>
      </c>
    </row>
    <row r="16" spans="1:15">
      <c r="A16" s="523" t="str">
        <f>('[15]3.2 Classific. 2'!I14)</f>
        <v>Interest on Long Term Debt</v>
      </c>
      <c r="B16" s="528">
        <f>('3.2 Classific. 2'!K32*'4.1 kW &amp; kWh'!$C$84)</f>
        <v>30677.231155941863</v>
      </c>
      <c r="C16" s="528">
        <f>('3.2 Classific. 2'!G14*'4.1 kW &amp; kWh'!$C$82)</f>
        <v>1325928.3850532221</v>
      </c>
      <c r="D16" s="528">
        <f>('3.2 Classific. 2'!F14*'4.21 Consumer Alloc'!$I$4)</f>
        <v>909836.01098103507</v>
      </c>
      <c r="E16" s="528">
        <f>('3.2 Classific. 2'!G32*'4.1 kW &amp; kWh'!$C$110)</f>
        <v>495519.8794208648</v>
      </c>
      <c r="F16" s="528">
        <f>('3.2 Classific. 2'!F32*'4.21 Consumer Alloc'!$I$20)</f>
        <v>143047.51486386015</v>
      </c>
      <c r="G16" s="528">
        <f>('3.2 Classific. 2'!K14*'4.21 Consumer Alloc'!$J$37)</f>
        <v>634210.71170696302</v>
      </c>
      <c r="H16" s="528">
        <f>('3.2 Classific. 2'!L14*'4.21 Consumer Alloc'!$I$54)</f>
        <v>151160.96783850357</v>
      </c>
      <c r="I16" s="528">
        <f>('3.2 Classific. 2'!M14*'4.21 Consumer Alloc'!$I$71)</f>
        <v>46295.07335840509</v>
      </c>
      <c r="J16" s="549">
        <f t="shared" si="0"/>
        <v>3735901.4008282819</v>
      </c>
      <c r="M16" s="14">
        <f t="shared" si="1"/>
        <v>3736675.7743787956</v>
      </c>
    </row>
    <row r="17" spans="1:15">
      <c r="A17" s="523" t="str">
        <f>('[15]3.2 Classific. 2'!I15)</f>
        <v>Short Term Interest</v>
      </c>
      <c r="B17" s="542">
        <f>('3.2 Classific. 2'!K33*'4.1 kW &amp; kWh'!$C$84)</f>
        <v>18.783349418984059</v>
      </c>
      <c r="C17" s="542">
        <f>('3.2 Classific. 2'!G15*'4.1 kW &amp; kWh'!$C$82)</f>
        <v>811.85215296654928</v>
      </c>
      <c r="D17" s="542">
        <f>('3.2 Classific. 2'!F15*'4.21 Consumer Alloc'!$I$4)</f>
        <v>557.08312205097059</v>
      </c>
      <c r="E17" s="542">
        <f>('3.2 Classific. 2'!G33*'4.1 kW &amp; kWh'!$C$110)</f>
        <v>303.40166594246824</v>
      </c>
      <c r="F17" s="542">
        <f>('3.2 Classific. 2'!F33*'4.21 Consumer Alloc'!$I$20)</f>
        <v>87.586504842852293</v>
      </c>
      <c r="G17" s="542">
        <f>('3.2 Classific. 2'!K15*'4.21 Consumer Alloc'!$J$37)</f>
        <v>388.32061937725109</v>
      </c>
      <c r="H17" s="542">
        <f>('3.2 Classific. 2'!L15*'4.21 Consumer Alloc'!$I$54)</f>
        <v>92.554287673138944</v>
      </c>
      <c r="I17" s="542">
        <f>('3.2 Classific. 2'!M15*'4.21 Consumer Alloc'!$I$71)</f>
        <v>28.34599168510665</v>
      </c>
      <c r="J17" s="549">
        <f t="shared" si="0"/>
        <v>2287.5934000178354</v>
      </c>
      <c r="M17" s="14">
        <f t="shared" si="1"/>
        <v>2287.927693957321</v>
      </c>
    </row>
    <row r="18" spans="1:15">
      <c r="A18" s="523" t="str">
        <f>('[15]3.2 Classific. 2'!I16)</f>
        <v>Total Costs</v>
      </c>
      <c r="B18" s="528">
        <f>SUM(B9:B17)</f>
        <v>142977.83957178437</v>
      </c>
      <c r="C18" s="528">
        <f>SUM(C9:C17)</f>
        <v>7461031.3096783552</v>
      </c>
      <c r="D18" s="528">
        <f t="shared" ref="D18:I18" si="2">SUM(D9:D17)</f>
        <v>5119669.3887278717</v>
      </c>
      <c r="E18" s="528">
        <f t="shared" si="2"/>
        <v>1378026.9512921881</v>
      </c>
      <c r="F18" s="528">
        <f t="shared" si="2"/>
        <v>397811.14539371373</v>
      </c>
      <c r="G18" s="528">
        <f t="shared" si="2"/>
        <v>3568719.1181061487</v>
      </c>
      <c r="H18" s="528">
        <f t="shared" si="2"/>
        <v>1392223.6976790295</v>
      </c>
      <c r="I18" s="528">
        <f t="shared" si="2"/>
        <v>4940581.8962232405</v>
      </c>
      <c r="J18" s="529">
        <f t="shared" ref="J18" si="3">SUM(B18:I18)</f>
        <v>24401041.34667233</v>
      </c>
      <c r="M18" s="14">
        <f t="shared" si="1"/>
        <v>24401041.34667233</v>
      </c>
    </row>
    <row r="19" spans="1:15">
      <c r="A19" s="523" t="str">
        <f>('[15]3.2 Classific. 2'!I17)</f>
        <v>Margin Requirements</v>
      </c>
      <c r="B19" s="528">
        <f>('3.2 Classific. 2'!K35*'4.1 kW &amp; kWh'!$C$84)</f>
        <v>30677.23278708661</v>
      </c>
      <c r="C19" s="528">
        <f>('3.2 Classific. 2'!G17*'4.1 kW &amp; kWh'!$C$82)</f>
        <v>1325928.4555544059</v>
      </c>
      <c r="D19" s="528">
        <f>('3.2 Classific. 2'!F17*'4.21 Consumer Alloc'!$I$4)</f>
        <v>909836.05935809412</v>
      </c>
      <c r="E19" s="528">
        <f>('3.2 Classific. 2'!G35*'4.1 kW &amp; kWh'!$C$110)</f>
        <v>495519.90576824418</v>
      </c>
      <c r="F19" s="528">
        <f>('3.2 Classific. 2'!F35*'4.21 Consumer Alloc'!$I$20)</f>
        <v>143047.52246986609</v>
      </c>
      <c r="G19" s="528">
        <f>('3.2 Classific. 2'!K17*'4.21 Consumer Alloc'!$J$37)</f>
        <v>634210.74542869825</v>
      </c>
      <c r="H19" s="528">
        <f>('3.2 Classific. 2'!L17*'4.21 Consumer Alloc'!$I$54)</f>
        <v>151160.97587591139</v>
      </c>
      <c r="I19" s="528">
        <f>('3.2 Classific. 2'!M17*'4.21 Consumer Alloc'!$I$71)</f>
        <v>46295.075819969017</v>
      </c>
      <c r="J19" s="550">
        <f>SUM(B19:I19)</f>
        <v>3736675.9730622754</v>
      </c>
      <c r="M19" s="14">
        <f t="shared" si="1"/>
        <v>3736675.9730622754</v>
      </c>
    </row>
    <row r="20" spans="1:15" ht="15" thickBot="1">
      <c r="A20" s="526" t="str">
        <f>('[15]3.2 Classific. 2'!I18)</f>
        <v>Revenue Requirements</v>
      </c>
      <c r="B20" s="530">
        <f>SUM(B18:B19)</f>
        <v>173655.07235887097</v>
      </c>
      <c r="C20" s="530">
        <f t="shared" ref="C20:J20" si="4">SUM(C18:C19)</f>
        <v>8786959.7652327605</v>
      </c>
      <c r="D20" s="530">
        <f t="shared" si="4"/>
        <v>6029505.4480859656</v>
      </c>
      <c r="E20" s="530">
        <f t="shared" si="4"/>
        <v>1873546.8570604324</v>
      </c>
      <c r="F20" s="530">
        <f t="shared" si="4"/>
        <v>540858.66786357982</v>
      </c>
      <c r="G20" s="530">
        <f t="shared" si="4"/>
        <v>4202929.8635348473</v>
      </c>
      <c r="H20" s="530">
        <f t="shared" si="4"/>
        <v>1543384.6735549408</v>
      </c>
      <c r="I20" s="530">
        <f t="shared" si="4"/>
        <v>4986876.9720432097</v>
      </c>
      <c r="J20" s="530">
        <f t="shared" si="4"/>
        <v>28137717.319734607</v>
      </c>
      <c r="M20" s="14">
        <f t="shared" si="1"/>
        <v>28137717.319734611</v>
      </c>
    </row>
    <row r="21" spans="1:15">
      <c r="A21" s="13" t="s">
        <v>1</v>
      </c>
      <c r="B21" s="14"/>
      <c r="C21" s="14"/>
      <c r="D21" s="14"/>
      <c r="E21" s="14" t="s">
        <v>1</v>
      </c>
      <c r="F21" s="14"/>
      <c r="G21" s="14"/>
      <c r="H21" s="14"/>
      <c r="I21" s="14"/>
    </row>
    <row r="22" spans="1:15">
      <c r="B22" s="14" t="s">
        <v>1</v>
      </c>
      <c r="C22" s="14" t="s">
        <v>1</v>
      </c>
      <c r="D22" s="14" t="s">
        <v>1</v>
      </c>
      <c r="E22" s="14" t="s">
        <v>1</v>
      </c>
      <c r="F22" s="14" t="s">
        <v>1</v>
      </c>
      <c r="G22" s="14" t="s">
        <v>1</v>
      </c>
      <c r="H22" s="14" t="s">
        <v>1</v>
      </c>
      <c r="I22" s="14" t="s">
        <v>1</v>
      </c>
      <c r="M22" s="14">
        <f>SUM(M9:M17)</f>
        <v>24401041.346672326</v>
      </c>
    </row>
    <row r="25" spans="1:15" ht="15" thickBot="1">
      <c r="J25" s="524"/>
    </row>
    <row r="26" spans="1:15" ht="15.75">
      <c r="A26" s="904" t="s">
        <v>670</v>
      </c>
      <c r="B26" s="905"/>
      <c r="C26" s="905"/>
      <c r="D26" s="905"/>
      <c r="E26" s="905"/>
      <c r="F26" s="905"/>
      <c r="G26" s="905"/>
      <c r="H26" s="905"/>
      <c r="I26" s="905"/>
      <c r="J26" s="906"/>
    </row>
    <row r="27" spans="1:15" s="532" customFormat="1" ht="12.75" customHeight="1">
      <c r="A27" s="531"/>
      <c r="B27" s="525"/>
      <c r="C27" s="908" t="s">
        <v>5</v>
      </c>
      <c r="D27" s="909"/>
      <c r="E27" s="907" t="s">
        <v>95</v>
      </c>
      <c r="F27" s="907"/>
      <c r="G27" s="525"/>
      <c r="H27" s="525"/>
      <c r="I27" s="525" t="s">
        <v>666</v>
      </c>
      <c r="J27" s="547" t="s">
        <v>1</v>
      </c>
    </row>
    <row r="28" spans="1:15" s="532" customFormat="1" ht="15" thickBot="1">
      <c r="A28" s="533"/>
      <c r="B28" s="527" t="s">
        <v>240</v>
      </c>
      <c r="C28" s="527" t="s">
        <v>131</v>
      </c>
      <c r="D28" s="527" t="s">
        <v>667</v>
      </c>
      <c r="E28" s="527" t="s">
        <v>131</v>
      </c>
      <c r="F28" s="527" t="s">
        <v>667</v>
      </c>
      <c r="G28" s="527" t="s">
        <v>8</v>
      </c>
      <c r="H28" s="527" t="s">
        <v>9</v>
      </c>
      <c r="I28" s="527" t="s">
        <v>668</v>
      </c>
      <c r="J28" s="552" t="s">
        <v>15</v>
      </c>
      <c r="L28" s="532" t="s">
        <v>1</v>
      </c>
    </row>
    <row r="29" spans="1:15">
      <c r="A29" s="534"/>
      <c r="B29" s="535"/>
      <c r="C29" s="535"/>
      <c r="D29" s="535"/>
      <c r="E29" s="535"/>
      <c r="F29" s="535"/>
      <c r="G29" s="535"/>
      <c r="H29" s="535"/>
      <c r="I29" s="535"/>
      <c r="J29" s="554"/>
    </row>
    <row r="30" spans="1:15">
      <c r="A30" s="523" t="str">
        <f t="shared" ref="A30:A43" si="5">(A7)</f>
        <v>Expense</v>
      </c>
      <c r="B30" s="524"/>
      <c r="C30" s="524"/>
      <c r="D30" s="524"/>
      <c r="E30" s="524"/>
      <c r="F30" s="524"/>
      <c r="G30" s="524"/>
      <c r="H30" s="524"/>
      <c r="I30" s="524"/>
      <c r="J30" s="548"/>
    </row>
    <row r="31" spans="1:15">
      <c r="A31" s="523" t="str">
        <f t="shared" si="5"/>
        <v>Purchased Power</v>
      </c>
      <c r="B31" s="524"/>
      <c r="C31" s="524"/>
      <c r="D31" s="524"/>
      <c r="E31" s="524"/>
      <c r="F31" s="524"/>
      <c r="G31" s="524"/>
      <c r="H31" s="524"/>
      <c r="I31" s="524"/>
      <c r="J31" s="549">
        <f>('[15]3.2 Classific. 2'!G41*'[15]4.1 kW &amp; kWh'!C51)</f>
        <v>0</v>
      </c>
      <c r="M31" s="14">
        <f t="shared" ref="M31" si="6">SUM(B31:J31)</f>
        <v>0</v>
      </c>
    </row>
    <row r="32" spans="1:15">
      <c r="A32" s="523" t="str">
        <f t="shared" si="5"/>
        <v>Distibution Operations</v>
      </c>
      <c r="B32" s="528">
        <f>('3.2 Classific. 2'!K25*'4.1 kW &amp; kWh'!$D$84)</f>
        <v>51.932142200222636</v>
      </c>
      <c r="C32" s="528">
        <f>('3.2 Classific. 2'!G7*'4.1 kW &amp; kWh'!$D$82)</f>
        <v>753.68145749737982</v>
      </c>
      <c r="D32" s="528">
        <f>('3.2 Classific. 2'!F7*'4.21 Consumer Alloc'!$I$5)</f>
        <v>308.75597303149368</v>
      </c>
      <c r="E32" s="528">
        <f>('3.2 Classific. 2'!G25*'4.1 kW &amp; kWh'!$D$110)</f>
        <v>0</v>
      </c>
      <c r="F32" s="528">
        <f>('3.2 Classific. 2'!F25*'4.21 Consumer Alloc'!$I$21)</f>
        <v>0</v>
      </c>
      <c r="G32" s="528">
        <f>('3.2 Classific. 2'!K7*'4.21 Consumer Alloc'!$J$38)</f>
        <v>215.22158173200856</v>
      </c>
      <c r="H32" s="528">
        <f>('3.2 Classific. 2'!L7*'4.21 Consumer Alloc'!$I$55)</f>
        <v>382.38317848303467</v>
      </c>
      <c r="I32" s="528">
        <f>('3.2 Classific. 2'!M7*'4.21 Consumer Alloc'!$I$72)</f>
        <v>0</v>
      </c>
      <c r="J32" s="549">
        <f t="shared" ref="J32:J40" si="7">SUM(B32:I32)</f>
        <v>1711.9743329441394</v>
      </c>
      <c r="O32" s="14">
        <f>('[15]3.2 Classific. 2'!$L$7*'[15]4.2 Consumer Alloc.'!I58)</f>
        <v>166.42472335070724</v>
      </c>
    </row>
    <row r="33" spans="1:10">
      <c r="A33" s="523" t="str">
        <f t="shared" si="5"/>
        <v>Distribution Maintenance</v>
      </c>
      <c r="B33" s="528">
        <f>('3.2 Classific. 2'!K26*'4.1 kW &amp; kWh'!$D$84)</f>
        <v>0.14527556258431298</v>
      </c>
      <c r="C33" s="528">
        <f>('3.2 Classific. 2'!G8*'4.1 kW &amp; kWh'!$D$82)</f>
        <v>2632.9690275035628</v>
      </c>
      <c r="D33" s="528">
        <f>('3.2 Classific. 2'!F8*'4.21 Consumer Alloc'!$I$5)</f>
        <v>1078.6319684022137</v>
      </c>
      <c r="E33" s="528">
        <f>('3.2 Classific. 2'!G26*'4.1 kW &amp; kWh'!$D$110)</f>
        <v>11.057234799040099</v>
      </c>
      <c r="F33" s="528">
        <f>('3.2 Classific. 2'!F26*'4.21 Consumer Alloc'!$I$21)</f>
        <v>2.6730966495225879</v>
      </c>
      <c r="G33" s="528">
        <f>('3.2 Classific. 2'!K8*'4.21 Consumer Alloc'!$J$38)</f>
        <v>751.8717000579453</v>
      </c>
      <c r="H33" s="528">
        <f>('3.2 Classific. 2'!L8*'4.21 Consumer Alloc'!$I$55)</f>
        <v>134.7644112027572</v>
      </c>
      <c r="I33" s="528">
        <f>('3.2 Classific. 2'!M8*'4.21 Consumer Alloc'!$I$72)</f>
        <v>0</v>
      </c>
      <c r="J33" s="549">
        <f t="shared" si="7"/>
        <v>4612.112714177626</v>
      </c>
    </row>
    <row r="34" spans="1:10">
      <c r="A34" s="523" t="str">
        <f t="shared" si="5"/>
        <v>Consumer Accounts</v>
      </c>
      <c r="B34" s="528">
        <f>('3.2 Classific. 2'!K27*'4.1 kW &amp; kWh'!$D$84)</f>
        <v>0</v>
      </c>
      <c r="C34" s="528">
        <f>('3.2 Classific. 2'!G9*'4.1 kW &amp; kWh'!$D$82)</f>
        <v>0</v>
      </c>
      <c r="D34" s="528">
        <f>('3.2 Classific. 2'!F9*'4.21 Consumer Alloc'!$I$5)</f>
        <v>0</v>
      </c>
      <c r="E34" s="528">
        <f>('3.2 Classific. 2'!G27*'4.1 kW &amp; kWh'!$D$110)</f>
        <v>0</v>
      </c>
      <c r="F34" s="528">
        <f>('3.2 Classific. 2'!F27*'4.21 Consumer Alloc'!$I$21)</f>
        <v>0</v>
      </c>
      <c r="G34" s="528">
        <f>('3.2 Classific. 2'!K9*'4.21 Consumer Alloc'!$J$38)</f>
        <v>0</v>
      </c>
      <c r="H34" s="528">
        <f>('3.2 Classific. 2'!L9*'4.21 Consumer Alloc'!$I$55)</f>
        <v>0</v>
      </c>
      <c r="I34" s="528">
        <f>('3.2 Classific. 2'!M9*'4.21 Consumer Alloc'!$I$72)</f>
        <v>2353.8358094052223</v>
      </c>
      <c r="J34" s="549">
        <f t="shared" si="7"/>
        <v>2353.8358094052223</v>
      </c>
    </row>
    <row r="35" spans="1:10">
      <c r="A35" s="523" t="str">
        <f t="shared" si="5"/>
        <v>Customer Service</v>
      </c>
      <c r="B35" s="528">
        <f>('3.2 Classific. 2'!K28*'4.1 kW &amp; kWh'!$D$84)</f>
        <v>0</v>
      </c>
      <c r="C35" s="528">
        <f>('3.2 Classific. 2'!G10*'4.1 kW &amp; kWh'!$D$82)</f>
        <v>0</v>
      </c>
      <c r="D35" s="528">
        <f>('3.2 Classific. 2'!F10*'4.21 Consumer Alloc'!$I$5)</f>
        <v>0</v>
      </c>
      <c r="E35" s="528">
        <f>('3.2 Classific. 2'!G28*'4.1 kW &amp; kWh'!$D$110)</f>
        <v>0</v>
      </c>
      <c r="F35" s="528">
        <f>('3.2 Classific. 2'!F28*'4.21 Consumer Alloc'!$I$21)</f>
        <v>0</v>
      </c>
      <c r="G35" s="528">
        <f>('3.2 Classific. 2'!K10*'4.21 Consumer Alloc'!$J$38)</f>
        <v>0</v>
      </c>
      <c r="H35" s="528">
        <f>('3.2 Classific. 2'!L10*'4.21 Consumer Alloc'!$I$55)</f>
        <v>0</v>
      </c>
      <c r="I35" s="528">
        <f>('3.2 Classific. 2'!M10*'4.21 Consumer Alloc'!$I$72)</f>
        <v>830.40078678398027</v>
      </c>
      <c r="J35" s="549">
        <f t="shared" si="7"/>
        <v>830.40078678398027</v>
      </c>
    </row>
    <row r="36" spans="1:10">
      <c r="A36" s="523" t="str">
        <f t="shared" si="5"/>
        <v>Administative &amp; General</v>
      </c>
      <c r="B36" s="528">
        <f>('3.2 Classific. 2'!K29*'4.1 kW &amp; kWh'!$D$84)</f>
        <v>17.762939074773161</v>
      </c>
      <c r="C36" s="528">
        <f>('3.2 Classific. 2'!G11*'4.1 kW &amp; kWh'!$D$82)</f>
        <v>1155.1430316037292</v>
      </c>
      <c r="D36" s="528">
        <f>('3.2 Classific. 2'!F11*'4.21 Consumer Alloc'!$I$5)</f>
        <v>473.22022741231996</v>
      </c>
      <c r="E36" s="528">
        <f>('3.2 Classific. 2'!G29*'4.1 kW &amp; kWh'!$D$110)</f>
        <v>3.7714809318192386</v>
      </c>
      <c r="F36" s="528">
        <f>('3.2 Classific. 2'!F29*'4.21 Consumer Alloc'!$I$21)</f>
        <v>0.91175897281836982</v>
      </c>
      <c r="G36" s="528">
        <f>('3.2 Classific. 2'!K11*'4.21 Consumer Alloc'!$J$38)</f>
        <v>329.86311115306484</v>
      </c>
      <c r="H36" s="528">
        <f>('3.2 Classific. 2'!L11*'4.21 Consumer Alloc'!$I$55)</f>
        <v>176.39240812771411</v>
      </c>
      <c r="I36" s="528">
        <f>('3.2 Classific. 2'!M11*'4.21 Consumer Alloc'!$I$72)</f>
        <v>1086.1022509869399</v>
      </c>
      <c r="J36" s="549">
        <f t="shared" si="7"/>
        <v>3243.167208263179</v>
      </c>
    </row>
    <row r="37" spans="1:10">
      <c r="A37" s="523" t="str">
        <f t="shared" si="5"/>
        <v>Depreciation</v>
      </c>
      <c r="B37" s="528">
        <f>('3.2 Classific. 2'!K30*'4.1 kW &amp; kWh'!$D$84)</f>
        <v>65.020713677175394</v>
      </c>
      <c r="C37" s="528">
        <f>('3.2 Classific. 2'!G12*'4.1 kW &amp; kWh'!$D$82)</f>
        <v>2827.8839784118873</v>
      </c>
      <c r="D37" s="528">
        <f>('3.2 Classific. 2'!F12*'4.21 Consumer Alloc'!$I$5)</f>
        <v>1158.4815583416009</v>
      </c>
      <c r="E37" s="528">
        <f>('3.2 Classific. 2'!G30*'4.1 kW &amp; kWh'!$D$110)</f>
        <v>739.63869297634187</v>
      </c>
      <c r="F37" s="528">
        <f>('3.2 Classific. 2'!F30*'4.21 Consumer Alloc'!$I$21)</f>
        <v>178.80833209980884</v>
      </c>
      <c r="G37" s="528">
        <f>('3.2 Classific. 2'!K12*'4.21 Consumer Alloc'!$J$38)</f>
        <v>807.53169224748706</v>
      </c>
      <c r="H37" s="528">
        <f>('3.2 Classific. 2'!L12*'4.21 Consumer Alloc'!$I$55)</f>
        <v>196.90419498214627</v>
      </c>
      <c r="I37" s="528">
        <f>('3.2 Classific. 2'!M12*'4.21 Consumer Alloc'!$I$72)</f>
        <v>121.56375896597969</v>
      </c>
      <c r="J37" s="549">
        <f t="shared" si="7"/>
        <v>6095.8329217024275</v>
      </c>
    </row>
    <row r="38" spans="1:10">
      <c r="A38" s="523" t="str">
        <f t="shared" si="5"/>
        <v>Miscellaneous</v>
      </c>
      <c r="B38" s="528">
        <f>('3.2 Classific. 2'!K31*'4.1 kW &amp; kWh'!$D$84)</f>
        <v>0.15904573819440629</v>
      </c>
      <c r="C38" s="528">
        <f>('3.2 Classific. 2'!G13*'4.1 kW &amp; kWh'!$D$82)</f>
        <v>6.8742598613845489</v>
      </c>
      <c r="D38" s="528">
        <f>('3.2 Classific. 2'!F13*'4.21 Consumer Alloc'!$I$5)</f>
        <v>2.8161350810206254</v>
      </c>
      <c r="E38" s="528">
        <f>('3.2 Classific. 2'!G31*'4.1 kW &amp; kWh'!$D$110)</f>
        <v>1.8314815509770463</v>
      </c>
      <c r="F38" s="528">
        <f>('3.2 Classific. 2'!F31*'4.21 Consumer Alloc'!$I$21)</f>
        <v>0.44276234398171443</v>
      </c>
      <c r="G38" s="528">
        <f>('3.2 Classific. 2'!K13*'4.21 Consumer Alloc'!$J$38)</f>
        <v>1.9630164254229163</v>
      </c>
      <c r="H38" s="528">
        <f>('3.2 Classific. 2'!L13*'4.21 Consumer Alloc'!$I$55)</f>
        <v>0.46787519868777061</v>
      </c>
      <c r="I38" s="528">
        <f>('3.2 Classific. 2'!M13*'4.21 Consumer Alloc'!$I$72)</f>
        <v>0.17911631682732093</v>
      </c>
      <c r="J38" s="549">
        <f t="shared" si="7"/>
        <v>14.733692516496349</v>
      </c>
    </row>
    <row r="39" spans="1:10">
      <c r="A39" s="523" t="str">
        <f t="shared" si="5"/>
        <v>Interest on Long Term Debt</v>
      </c>
      <c r="B39" s="528">
        <f>('3.2 Classific. 2'!K32*'4.1 kW &amp; kWh'!$D$84)</f>
        <v>36.889704229010739</v>
      </c>
      <c r="C39" s="528">
        <f>('3.2 Classific. 2'!G14*'4.1 kW &amp; kWh'!$D$82)</f>
        <v>1594.4433089421518</v>
      </c>
      <c r="D39" s="528">
        <f>('3.2 Classific. 2'!F14*'4.21 Consumer Alloc'!$I$5)</f>
        <v>653.18562689689088</v>
      </c>
      <c r="E39" s="528">
        <f>('3.2 Classific. 2'!G32*'4.1 kW &amp; kWh'!$D$110)</f>
        <v>424.80115143889662</v>
      </c>
      <c r="F39" s="528">
        <f>('3.2 Classific. 2'!F32*'4.21 Consumer Alloc'!$I$21)</f>
        <v>102.69606780198156</v>
      </c>
      <c r="G39" s="528">
        <f>('3.2 Classific. 2'!K14*'4.21 Consumer Alloc'!$J$38)</f>
        <v>455.30987596804511</v>
      </c>
      <c r="H39" s="528">
        <f>('3.2 Classific. 2'!L14*'4.21 Consumer Alloc'!$I$55)</f>
        <v>108.52084369959259</v>
      </c>
      <c r="I39" s="528">
        <f>('3.2 Classific. 2'!M14*'4.21 Consumer Alloc'!$I$72)</f>
        <v>41.544954460037445</v>
      </c>
      <c r="J39" s="549">
        <f t="shared" si="7"/>
        <v>3417.3915334366066</v>
      </c>
    </row>
    <row r="40" spans="1:10">
      <c r="A40" s="553" t="str">
        <f t="shared" si="5"/>
        <v>Short Term Interest</v>
      </c>
      <c r="B40" s="542">
        <f>('3.2 Classific. 2'!K33*'4.1 kW &amp; kWh'!$D$84)</f>
        <v>2.2587182036546756E-2</v>
      </c>
      <c r="C40" s="542">
        <f>('3.2 Classific. 2'!G15*'4.1 kW &amp; kWh'!$D$82)</f>
        <v>0.97626104678031789</v>
      </c>
      <c r="D40" s="542">
        <f>('3.2 Classific. 2'!F15*'4.21 Consumer Alloc'!$I$5)</f>
        <v>0.39993876250093291</v>
      </c>
      <c r="E40" s="542">
        <f>('3.2 Classific. 2'!G33*'4.1 kW &amp; kWh'!$D$110)</f>
        <v>0.26010132467636576</v>
      </c>
      <c r="F40" s="542">
        <f>('3.2 Classific. 2'!F33*'4.21 Consumer Alloc'!$I$21)</f>
        <v>6.2879733691568018E-2</v>
      </c>
      <c r="G40" s="542">
        <f>('3.2 Classific. 2'!K15*'4.21 Consumer Alloc'!$J$38)</f>
        <v>0.27878149924119217</v>
      </c>
      <c r="H40" s="542">
        <f>('3.2 Classific. 2'!L15*'4.21 Consumer Alloc'!$I$55)</f>
        <v>6.6446183362855044E-2</v>
      </c>
      <c r="I40" s="542">
        <f>('3.2 Classific. 2'!M15*'4.21 Consumer Alloc'!$I$72)</f>
        <v>2.5437543311907312E-2</v>
      </c>
      <c r="J40" s="555">
        <f t="shared" si="7"/>
        <v>2.0924332756016857</v>
      </c>
    </row>
    <row r="41" spans="1:10">
      <c r="A41" s="523" t="str">
        <f t="shared" si="5"/>
        <v>Total Costs</v>
      </c>
      <c r="B41" s="528">
        <f>SUM(B32:B40)</f>
        <v>171.9324076639972</v>
      </c>
      <c r="C41" s="528">
        <f t="shared" ref="C41:J41" si="8">SUM(C32:C40)</f>
        <v>8971.9713248668759</v>
      </c>
      <c r="D41" s="528">
        <f t="shared" si="8"/>
        <v>3675.4914279280406</v>
      </c>
      <c r="E41" s="528">
        <f t="shared" si="8"/>
        <v>1181.3601430217511</v>
      </c>
      <c r="F41" s="528">
        <f t="shared" si="8"/>
        <v>285.59489760180463</v>
      </c>
      <c r="G41" s="528">
        <f t="shared" si="8"/>
        <v>2562.0397590832154</v>
      </c>
      <c r="H41" s="528">
        <f t="shared" si="8"/>
        <v>999.49935787729544</v>
      </c>
      <c r="I41" s="528">
        <f t="shared" si="8"/>
        <v>4433.6521144622993</v>
      </c>
      <c r="J41" s="528">
        <f t="shared" si="8"/>
        <v>22281.541432505281</v>
      </c>
    </row>
    <row r="42" spans="1:10">
      <c r="A42" s="523" t="str">
        <f t="shared" si="5"/>
        <v>Margin Requirements</v>
      </c>
      <c r="B42" s="528">
        <f>('3.2 Classific. 2'!K35*'4.1 kW &amp; kWh'!$D$84)</f>
        <v>36.889706190480041</v>
      </c>
      <c r="C42" s="528">
        <f>('3.2 Classific. 2'!G17*'4.1 kW &amp; kWh'!$D$82)</f>
        <v>1594.4433937205924</v>
      </c>
      <c r="D42" s="528">
        <f>('3.2 Classific. 2'!F17*'4.21 Consumer Alloc'!$I$5)</f>
        <v>653.18566162754485</v>
      </c>
      <c r="E42" s="528">
        <f>('3.2 Classific. 2'!G35*'4.1 kW &amp; kWh'!$D$110)</f>
        <v>424.80117402607738</v>
      </c>
      <c r="F42" s="528">
        <f>('3.2 Classific. 2'!F35*'4.21 Consumer Alloc'!$I$21)</f>
        <v>102.69607326245323</v>
      </c>
      <c r="G42" s="528">
        <f>('3.2 Classific. 2'!K17*'4.21 Consumer Alloc'!$J$38)</f>
        <v>455.3099001774109</v>
      </c>
      <c r="H42" s="528">
        <f>('3.2 Classific. 2'!L17*'4.21 Consumer Alloc'!$I$55)</f>
        <v>108.52084946977449</v>
      </c>
      <c r="I42" s="528">
        <f>('3.2 Classific. 2'!M17*'4.21 Consumer Alloc'!$I$72)</f>
        <v>41.544956669031919</v>
      </c>
      <c r="J42" s="549">
        <f>SUM(B42:I42)</f>
        <v>3417.3917151433648</v>
      </c>
    </row>
    <row r="43" spans="1:10" ht="15" thickBot="1">
      <c r="A43" s="536" t="str">
        <f t="shared" si="5"/>
        <v>Revenue Requirements</v>
      </c>
      <c r="B43" s="530">
        <f>SUM(B41:B42)</f>
        <v>208.82211385447724</v>
      </c>
      <c r="C43" s="530">
        <f t="shared" ref="C43:J43" si="9">SUM(C41:C42)</f>
        <v>10566.414718587468</v>
      </c>
      <c r="D43" s="530">
        <f t="shared" si="9"/>
        <v>4328.6770895555856</v>
      </c>
      <c r="E43" s="530">
        <f t="shared" si="9"/>
        <v>1606.1613170478286</v>
      </c>
      <c r="F43" s="530">
        <f t="shared" si="9"/>
        <v>388.29097086425787</v>
      </c>
      <c r="G43" s="530">
        <f t="shared" si="9"/>
        <v>3017.3496592606261</v>
      </c>
      <c r="H43" s="530">
        <f t="shared" si="9"/>
        <v>1108.02020734707</v>
      </c>
      <c r="I43" s="530">
        <f t="shared" si="9"/>
        <v>4475.1970711313315</v>
      </c>
      <c r="J43" s="530">
        <f t="shared" si="9"/>
        <v>25698.933147648644</v>
      </c>
    </row>
    <row r="44" spans="1:10">
      <c r="B44" s="14"/>
      <c r="C44" s="14"/>
      <c r="D44" s="14"/>
      <c r="E44" s="14"/>
      <c r="F44" s="14"/>
      <c r="G44" s="14"/>
      <c r="H44" s="14"/>
      <c r="I44" s="14"/>
    </row>
    <row r="45" spans="1:10">
      <c r="B45" s="13" t="s">
        <v>1</v>
      </c>
      <c r="C45" s="13" t="s">
        <v>1</v>
      </c>
    </row>
    <row r="48" spans="1:10" ht="15" thickBot="1">
      <c r="J48" s="524"/>
    </row>
    <row r="49" spans="1:15" ht="15.75">
      <c r="A49" s="904" t="s">
        <v>671</v>
      </c>
      <c r="B49" s="905"/>
      <c r="C49" s="905"/>
      <c r="D49" s="905"/>
      <c r="E49" s="905"/>
      <c r="F49" s="905"/>
      <c r="G49" s="905"/>
      <c r="H49" s="905"/>
      <c r="I49" s="905"/>
      <c r="J49" s="906"/>
    </row>
    <row r="50" spans="1:15" s="539" customFormat="1">
      <c r="A50" s="537"/>
      <c r="B50" s="538"/>
      <c r="C50" s="908" t="s">
        <v>5</v>
      </c>
      <c r="D50" s="909"/>
      <c r="E50" s="908" t="s">
        <v>95</v>
      </c>
      <c r="F50" s="909"/>
      <c r="G50" s="538"/>
      <c r="H50" s="538"/>
      <c r="I50" s="525" t="s">
        <v>666</v>
      </c>
      <c r="J50" s="547" t="s">
        <v>1</v>
      </c>
    </row>
    <row r="51" spans="1:15" s="539" customFormat="1" ht="15" thickBot="1">
      <c r="A51" s="540"/>
      <c r="B51" s="541" t="s">
        <v>240</v>
      </c>
      <c r="C51" s="541" t="s">
        <v>131</v>
      </c>
      <c r="D51" s="541" t="s">
        <v>667</v>
      </c>
      <c r="E51" s="541" t="s">
        <v>131</v>
      </c>
      <c r="F51" s="541" t="s">
        <v>667</v>
      </c>
      <c r="G51" s="541" t="s">
        <v>8</v>
      </c>
      <c r="H51" s="541" t="s">
        <v>9</v>
      </c>
      <c r="I51" s="527" t="s">
        <v>668</v>
      </c>
      <c r="J51" s="552" t="s">
        <v>15</v>
      </c>
    </row>
    <row r="52" spans="1:15">
      <c r="A52" s="534"/>
      <c r="B52" s="535"/>
      <c r="C52" s="535"/>
      <c r="D52" s="535"/>
      <c r="E52" s="535"/>
      <c r="F52" s="535"/>
      <c r="G52" s="535"/>
      <c r="H52" s="535"/>
      <c r="I52" s="535"/>
      <c r="J52" s="554"/>
    </row>
    <row r="53" spans="1:15">
      <c r="A53" s="523" t="str">
        <f>(A7)</f>
        <v>Expense</v>
      </c>
      <c r="B53" s="524"/>
      <c r="C53" s="524"/>
      <c r="D53" s="524"/>
      <c r="E53" s="524"/>
      <c r="F53" s="524"/>
      <c r="G53" s="524"/>
      <c r="H53" s="524"/>
      <c r="I53" s="524"/>
      <c r="J53" s="548"/>
    </row>
    <row r="54" spans="1:15">
      <c r="A54" s="523" t="str">
        <f t="shared" ref="A54:A66" si="10">(A8)</f>
        <v>Purchased Power</v>
      </c>
      <c r="B54" s="524"/>
      <c r="C54" s="524"/>
      <c r="D54" s="524"/>
      <c r="E54" s="524"/>
      <c r="F54" s="524"/>
      <c r="G54" s="524"/>
      <c r="H54" s="524"/>
      <c r="I54" s="524"/>
      <c r="J54" s="549" t="s">
        <v>1</v>
      </c>
      <c r="M54" s="14">
        <f t="shared" ref="M54:M65" si="11">SUM(B54:J54)</f>
        <v>0</v>
      </c>
    </row>
    <row r="55" spans="1:15">
      <c r="A55" s="523" t="str">
        <f t="shared" si="10"/>
        <v>Distibution Operations</v>
      </c>
      <c r="B55" s="528">
        <f>('3.2 Classific. 2'!K25*'4.1 kW &amp; kWh'!$E$84)</f>
        <v>7425.1378312451307</v>
      </c>
      <c r="C55" s="528">
        <f>('3.2 Classific. 2'!G7*'4.1 kW &amp; kWh'!$E$82)</f>
        <v>107759.63527935832</v>
      </c>
      <c r="D55" s="528">
        <f>('3.2 Classific. 2'!F7*'4.21 Consumer Alloc'!$I$6)</f>
        <v>20751.651450590391</v>
      </c>
      <c r="E55" s="528">
        <f>('3.2 Classific. 2'!G25*'4.1 kW &amp; kWh'!$E$110)</f>
        <v>0</v>
      </c>
      <c r="F55" s="528">
        <f>('3.2 Classific. 2'!F25*'4.21 Consumer Alloc'!$I$22)</f>
        <v>0</v>
      </c>
      <c r="G55" s="528">
        <f>('3.2 Classific. 2'!K7*'4.21 Consumer Alloc'!$J$39)</f>
        <v>17358.186939269992</v>
      </c>
      <c r="H55" s="528">
        <f>('3.2 Classific. 2'!L7*'4.21 Consumer Alloc'!$I$56)</f>
        <v>85968.918317831442</v>
      </c>
      <c r="I55" s="528">
        <f>('3.2 Classific. 2'!M7*'4.21 Consumer Alloc'!$I$73)</f>
        <v>0</v>
      </c>
      <c r="J55" s="550">
        <f>SUM(B55:I55)</f>
        <v>239263.5298182953</v>
      </c>
      <c r="M55" s="14">
        <f>SUM(B55:J55)</f>
        <v>478527.05963659059</v>
      </c>
      <c r="O55" s="14">
        <f>('[15]3.2 Classific. 2'!$L$7*'[15]4.2 Consumer Alloc.'!I59)</f>
        <v>27439.276262447856</v>
      </c>
    </row>
    <row r="56" spans="1:15">
      <c r="A56" s="523" t="str">
        <f t="shared" si="10"/>
        <v>Distribution Maintenance</v>
      </c>
      <c r="B56" s="528">
        <f>('3.2 Classific. 2'!K26*'4.1 kW &amp; kWh'!$E$84)</f>
        <v>20.771164639065812</v>
      </c>
      <c r="C56" s="528">
        <f>('3.2 Classific. 2'!G8*'4.1 kW &amp; kWh'!$E$82)</f>
        <v>376455.83460120758</v>
      </c>
      <c r="D56" s="528">
        <f>('3.2 Classific. 2'!F8*'4.21 Consumer Alloc'!$I$6)</f>
        <v>72495.422297348778</v>
      </c>
      <c r="E56" s="528">
        <f>('3.2 Classific. 2'!G26*'4.1 kW &amp; kWh'!$E$110)</f>
        <v>1215.4039686266694</v>
      </c>
      <c r="F56" s="528">
        <f>('3.2 Classific. 2'!F26*'4.21 Consumer Alloc'!$I$22)</f>
        <v>179.66023270738657</v>
      </c>
      <c r="G56" s="528">
        <f>('3.2 Classific. 2'!K8*'4.21 Consumer Alloc'!$J$39)</f>
        <v>60640.431219410275</v>
      </c>
      <c r="H56" s="528">
        <f>('3.2 Classific. 2'!L8*'4.21 Consumer Alloc'!$I$56)</f>
        <v>30298.274900067292</v>
      </c>
      <c r="I56" s="528">
        <f>('3.2 Classific. 2'!M8*'4.21 Consumer Alloc'!$I$73)</f>
        <v>0</v>
      </c>
      <c r="J56" s="550">
        <f t="shared" ref="J56:J65" si="12">SUM(B56:I56)</f>
        <v>541305.79838400707</v>
      </c>
      <c r="M56" s="14">
        <f t="shared" si="11"/>
        <v>1082611.5967680141</v>
      </c>
    </row>
    <row r="57" spans="1:15">
      <c r="A57" s="523" t="str">
        <f t="shared" si="10"/>
        <v>Consumer Accounts</v>
      </c>
      <c r="B57" s="528">
        <f>('3.2 Classific. 2'!K27*'4.1 kW &amp; kWh'!$E$84)</f>
        <v>0</v>
      </c>
      <c r="C57" s="528">
        <f>('3.2 Classific. 2'!G9*'4.1 kW &amp; kWh'!$E$82)</f>
        <v>0</v>
      </c>
      <c r="D57" s="528">
        <f>('3.2 Classific. 2'!F9*'4.21 Consumer Alloc'!$I$6)</f>
        <v>0</v>
      </c>
      <c r="E57" s="528">
        <f>('3.2 Classific. 2'!G27*'4.1 kW &amp; kWh'!$E$110)</f>
        <v>0</v>
      </c>
      <c r="F57" s="528">
        <f>('3.2 Classific. 2'!F27*'4.21 Consumer Alloc'!$I$22)</f>
        <v>0</v>
      </c>
      <c r="G57" s="528">
        <f>('3.2 Classific. 2'!K9*'4.21 Consumer Alloc'!$J$39)</f>
        <v>0</v>
      </c>
      <c r="H57" s="528">
        <f>('3.2 Classific. 2'!L9*'4.21 Consumer Alloc'!$I$56)</f>
        <v>0</v>
      </c>
      <c r="I57" s="528">
        <f>('3.2 Classific. 2'!M9*'4.21 Consumer Alloc'!$I$73)</f>
        <v>197753.17951384661</v>
      </c>
      <c r="J57" s="550">
        <f t="shared" si="12"/>
        <v>197753.17951384661</v>
      </c>
      <c r="M57" s="14">
        <f t="shared" si="11"/>
        <v>395506.35902769322</v>
      </c>
    </row>
    <row r="58" spans="1:15">
      <c r="A58" s="523" t="str">
        <f t="shared" si="10"/>
        <v>Customer Service</v>
      </c>
      <c r="B58" s="528">
        <f>('3.2 Classific. 2'!K28*'4.1 kW &amp; kWh'!$E$84)</f>
        <v>0</v>
      </c>
      <c r="C58" s="528">
        <f>('3.2 Classific. 2'!G10*'4.1 kW &amp; kWh'!$E$82)</f>
        <v>0</v>
      </c>
      <c r="D58" s="528">
        <f>('3.2 Classific. 2'!F10*'4.21 Consumer Alloc'!$I$6)</f>
        <v>0</v>
      </c>
      <c r="E58" s="528">
        <f>('3.2 Classific. 2'!G28*'4.1 kW &amp; kWh'!$E$110)</f>
        <v>0</v>
      </c>
      <c r="F58" s="528">
        <f>('3.2 Classific. 2'!F28*'4.21 Consumer Alloc'!$I$22)</f>
        <v>0</v>
      </c>
      <c r="G58" s="528">
        <f>('3.2 Classific. 2'!K10*'4.21 Consumer Alloc'!$J$39)</f>
        <v>0</v>
      </c>
      <c r="H58" s="528">
        <f>('3.2 Classific. 2'!L10*'4.21 Consumer Alloc'!$I$56)</f>
        <v>0</v>
      </c>
      <c r="I58" s="528">
        <f>('3.2 Classific. 2'!M10*'4.21 Consumer Alloc'!$I$73)</f>
        <v>69764.592415996231</v>
      </c>
      <c r="J58" s="550">
        <f t="shared" si="12"/>
        <v>69764.592415996231</v>
      </c>
      <c r="M58" s="14">
        <f t="shared" si="11"/>
        <v>139529.18483199246</v>
      </c>
    </row>
    <row r="59" spans="1:15">
      <c r="A59" s="523" t="str">
        <f t="shared" si="10"/>
        <v>Administative &amp; General</v>
      </c>
      <c r="B59" s="528">
        <f>('3.2 Classific. 2'!K29*'4.1 kW &amp; kWh'!$E$84)</f>
        <v>2539.7040316514258</v>
      </c>
      <c r="C59" s="528">
        <f>('3.2 Classific. 2'!G11*'4.1 kW &amp; kWh'!$E$82)</f>
        <v>165159.6845628153</v>
      </c>
      <c r="D59" s="528">
        <f>('3.2 Classific. 2'!F11*'4.21 Consumer Alloc'!$I$6)</f>
        <v>31805.38054765961</v>
      </c>
      <c r="E59" s="528">
        <f>('3.2 Classific. 2'!G29*'4.1 kW &amp; kWh'!$E$110)</f>
        <v>414.55870074594486</v>
      </c>
      <c r="F59" s="528">
        <f>('3.2 Classific. 2'!F29*'4.21 Consumer Alloc'!$I$22)</f>
        <v>61.279800436266228</v>
      </c>
      <c r="G59" s="528">
        <f>('3.2 Classific. 2'!K11*'4.21 Consumer Alloc'!$J$39)</f>
        <v>26604.327975313499</v>
      </c>
      <c r="H59" s="528">
        <f>('3.2 Classific. 2'!L11*'4.21 Consumer Alloc'!$I$56)</f>
        <v>39657.247963615213</v>
      </c>
      <c r="I59" s="528">
        <f>('3.2 Classific. 2'!M11*'4.21 Consumer Alloc'!$I$73)</f>
        <v>91246.879901994878</v>
      </c>
      <c r="J59" s="550">
        <f t="shared" si="12"/>
        <v>357489.06348423217</v>
      </c>
      <c r="M59" s="14">
        <f t="shared" si="11"/>
        <v>714978.12696846435</v>
      </c>
    </row>
    <row r="60" spans="1:15">
      <c r="A60" s="523" t="str">
        <f t="shared" si="10"/>
        <v>Depreciation</v>
      </c>
      <c r="B60" s="528">
        <f>('3.2 Classific. 2'!K30*'4.1 kW &amp; kWh'!$E$84)</f>
        <v>9296.5115723048857</v>
      </c>
      <c r="C60" s="528">
        <f>('3.2 Classific. 2'!G12*'4.1 kW &amp; kWh'!$E$82)</f>
        <v>404324.32441402494</v>
      </c>
      <c r="D60" s="528">
        <f>('3.2 Classific. 2'!F12*'4.21 Consumer Alloc'!$I$6)</f>
        <v>77862.155263274966</v>
      </c>
      <c r="E60" s="528">
        <f>('3.2 Classific. 2'!G30*'4.1 kW &amp; kWh'!$E$110)</f>
        <v>81300.598127058765</v>
      </c>
      <c r="F60" s="528">
        <f>('3.2 Classific. 2'!F30*'4.21 Consumer Alloc'!$I$22)</f>
        <v>12017.802110076627</v>
      </c>
      <c r="G60" s="528">
        <f>('3.2 Classific. 2'!K12*'4.21 Consumer Alloc'!$J$39)</f>
        <v>65129.556063160475</v>
      </c>
      <c r="H60" s="528">
        <f>('3.2 Classific. 2'!L12*'4.21 Consumer Alloc'!$I$56)</f>
        <v>44268.790070768038</v>
      </c>
      <c r="I60" s="528">
        <f>('3.2 Classific. 2'!M12*'4.21 Consumer Alloc'!$I$73)</f>
        <v>10212.955276286582</v>
      </c>
      <c r="J60" s="550">
        <f t="shared" si="12"/>
        <v>704412.6928969553</v>
      </c>
      <c r="M60" s="14">
        <f t="shared" si="11"/>
        <v>1408825.3857939106</v>
      </c>
    </row>
    <row r="61" spans="1:15">
      <c r="A61" s="523" t="str">
        <f t="shared" si="10"/>
        <v>Miscellaneous</v>
      </c>
      <c r="B61" s="528">
        <f>('3.2 Classific. 2'!K31*'4.1 kW &amp; kWh'!$E$84)</f>
        <v>22.739992565924464</v>
      </c>
      <c r="C61" s="528">
        <f>('3.2 Classific. 2'!G13*'4.1 kW &amp; kWh'!$E$82)</f>
        <v>982.86580903565152</v>
      </c>
      <c r="D61" s="528">
        <f>('3.2 Classific. 2'!F13*'4.21 Consumer Alloc'!$I$6)</f>
        <v>189.27392097175468</v>
      </c>
      <c r="E61" s="528">
        <f>('3.2 Classific. 2'!G31*'4.1 kW &amp; kWh'!$E$110)</f>
        <v>201.31524616961852</v>
      </c>
      <c r="F61" s="528">
        <f>('3.2 Classific. 2'!F31*'4.21 Consumer Alloc'!$I$22)</f>
        <v>29.758290171823649</v>
      </c>
      <c r="G61" s="528">
        <f>('3.2 Classific. 2'!K13*'4.21 Consumer Alloc'!$J$39)</f>
        <v>158.32244054305667</v>
      </c>
      <c r="H61" s="528">
        <f>('3.2 Classific. 2'!L13*'4.21 Consumer Alloc'!$I$56)</f>
        <v>105.18957684931918</v>
      </c>
      <c r="I61" s="528">
        <f>('3.2 Classific. 2'!M13*'4.21 Consumer Alloc'!$I$73)</f>
        <v>15.048127407137422</v>
      </c>
      <c r="J61" s="550">
        <f t="shared" si="12"/>
        <v>1704.5134037142859</v>
      </c>
      <c r="M61" s="14">
        <f t="shared" si="11"/>
        <v>3409.0268074285718</v>
      </c>
    </row>
    <row r="62" spans="1:15">
      <c r="A62" s="523" t="str">
        <f t="shared" si="10"/>
        <v>Interest on Long Term Debt</v>
      </c>
      <c r="B62" s="528">
        <f>('3.2 Classific. 2'!K32*'4.1 kW &amp; kWh'!$E$84)</f>
        <v>5274.4047684036577</v>
      </c>
      <c r="C62" s="528">
        <f>('3.2 Classific. 2'!G14*'4.1 kW &amp; kWh'!$E$82)</f>
        <v>227969.82430182293</v>
      </c>
      <c r="D62" s="528">
        <f>('3.2 Classific. 2'!F14*'4.21 Consumer Alloc'!$I$6)</f>
        <v>43900.949765648933</v>
      </c>
      <c r="E62" s="528">
        <f>('3.2 Classific. 2'!G32*'4.1 kW &amp; kWh'!$E$110)</f>
        <v>46693.862861701666</v>
      </c>
      <c r="F62" s="528">
        <f>('3.2 Classific. 2'!F32*'4.21 Consumer Alloc'!$I$22)</f>
        <v>6902.256767533182</v>
      </c>
      <c r="G62" s="528">
        <f>('3.2 Classific. 2'!K14*'4.21 Consumer Alloc'!$J$39)</f>
        <v>36721.939680706957</v>
      </c>
      <c r="H62" s="528">
        <f>('3.2 Classific. 2'!L14*'4.21 Consumer Alloc'!$I$56)</f>
        <v>24398.090901392385</v>
      </c>
      <c r="I62" s="528">
        <f>('3.2 Classific. 2'!M14*'4.21 Consumer Alloc'!$I$73)</f>
        <v>3490.3228187807772</v>
      </c>
      <c r="J62" s="550">
        <f t="shared" si="12"/>
        <v>395351.65186599054</v>
      </c>
      <c r="M62" s="14">
        <f t="shared" si="11"/>
        <v>790703.30373198108</v>
      </c>
    </row>
    <row r="63" spans="1:15">
      <c r="A63" s="523" t="str">
        <f t="shared" si="10"/>
        <v>Short Term Interest</v>
      </c>
      <c r="B63" s="542">
        <f>('3.2 Classific. 2'!K33*'4.1 kW &amp; kWh'!$E$84)</f>
        <v>3.2294631558654392</v>
      </c>
      <c r="C63" s="542">
        <f>('3.2 Classific. 2'!G15*'4.1 kW &amp; kWh'!$E$82)</f>
        <v>139.58355123637543</v>
      </c>
      <c r="D63" s="542">
        <f>('3.2 Classific. 2'!F15*'4.21 Consumer Alloc'!$I$6)</f>
        <v>26.880094721773229</v>
      </c>
      <c r="E63" s="542">
        <f>('3.2 Classific. 2'!G33*'4.1 kW &amp; kWh'!$E$110)</f>
        <v>28.590166348294648</v>
      </c>
      <c r="F63" s="542">
        <f>('3.2 Classific. 2'!F33*'4.21 Consumer Alloc'!$I$22)</f>
        <v>4.2261799960069668</v>
      </c>
      <c r="G63" s="542">
        <f>('3.2 Classific. 2'!K15*'4.21 Consumer Alloc'!$J$39)</f>
        <v>22.484461549326461</v>
      </c>
      <c r="H63" s="542">
        <f>('3.2 Classific. 2'!L15*'4.21 Consumer Alloc'!$I$56)</f>
        <v>14.938697179918899</v>
      </c>
      <c r="I63" s="542">
        <f>('3.2 Classific. 2'!M15*'4.21 Consumer Alloc'!$I$73)</f>
        <v>2.1370883427174761</v>
      </c>
      <c r="J63" s="551">
        <f t="shared" si="12"/>
        <v>242.06970253027853</v>
      </c>
      <c r="M63" s="14">
        <f t="shared" si="11"/>
        <v>484.13940506055707</v>
      </c>
    </row>
    <row r="64" spans="1:15">
      <c r="A64" s="523" t="str">
        <f t="shared" si="10"/>
        <v>Total Costs</v>
      </c>
      <c r="B64" s="528">
        <f>SUM(B55:B63)</f>
        <v>24582.498823965954</v>
      </c>
      <c r="C64" s="528">
        <f t="shared" ref="C64:J64" si="13">SUM(C55:C63)</f>
        <v>1282791.7525195009</v>
      </c>
      <c r="D64" s="528">
        <f t="shared" si="13"/>
        <v>247031.7133402162</v>
      </c>
      <c r="E64" s="528">
        <f t="shared" si="13"/>
        <v>129854.32907065096</v>
      </c>
      <c r="F64" s="528">
        <f t="shared" si="13"/>
        <v>19194.983380921294</v>
      </c>
      <c r="G64" s="528">
        <f t="shared" si="13"/>
        <v>206635.24877995357</v>
      </c>
      <c r="H64" s="528">
        <f t="shared" si="13"/>
        <v>224711.45042770362</v>
      </c>
      <c r="I64" s="528">
        <f t="shared" si="13"/>
        <v>372485.11514265498</v>
      </c>
      <c r="J64" s="528">
        <f t="shared" si="13"/>
        <v>2507287.0914855674</v>
      </c>
      <c r="M64" s="14">
        <f t="shared" si="11"/>
        <v>5014574.1829711348</v>
      </c>
    </row>
    <row r="65" spans="1:15">
      <c r="A65" s="523" t="str">
        <f t="shared" si="10"/>
        <v>Margin Requirements</v>
      </c>
      <c r="B65" s="542">
        <f>('3.2 Classific. 2'!K35*'4.1 kW &amp; kWh'!$E$84)</f>
        <v>5274.4050488500116</v>
      </c>
      <c r="C65" s="542">
        <f>('3.2 Classific. 2'!G17*'4.1 kW &amp; kWh'!$E$82)</f>
        <v>227969.83642324872</v>
      </c>
      <c r="D65" s="542">
        <f>('3.2 Classific. 2'!F17*'4.21 Consumer Alloc'!$I$6)</f>
        <v>43900.952099914466</v>
      </c>
      <c r="E65" s="542">
        <f>('3.2 Classific. 2'!G35*'4.1 kW &amp; kWh'!$E$110)</f>
        <v>46693.865344469705</v>
      </c>
      <c r="F65" s="542">
        <f>('3.2 Classific. 2'!F35*'4.21 Consumer Alloc'!$I$22)</f>
        <v>6902.2571345343567</v>
      </c>
      <c r="G65" s="542">
        <f>('3.2 Classific. 2'!K17*'4.21 Consumer Alloc'!$J$39)</f>
        <v>36721.941633256014</v>
      </c>
      <c r="H65" s="542">
        <f>('3.2 Classific. 2'!L17*'4.21 Consumer Alloc'!$I$56)</f>
        <v>24398.092198667797</v>
      </c>
      <c r="I65" s="542">
        <f>('3.2 Classific. 2'!M17*'4.21 Consumer Alloc'!$I$73)</f>
        <v>3490.3230043653789</v>
      </c>
      <c r="J65" s="551">
        <f t="shared" si="12"/>
        <v>395351.67288730654</v>
      </c>
      <c r="M65" s="14">
        <f t="shared" si="11"/>
        <v>790703.34577461309</v>
      </c>
    </row>
    <row r="66" spans="1:15" ht="15" thickBot="1">
      <c r="A66" s="526" t="str">
        <f t="shared" si="10"/>
        <v>Revenue Requirements</v>
      </c>
      <c r="B66" s="545">
        <f>SUM(B64:B65)</f>
        <v>29856.903872815965</v>
      </c>
      <c r="C66" s="545">
        <f t="shared" ref="C66:J66" si="14">SUM(C64:C65)</f>
        <v>1510761.5889427497</v>
      </c>
      <c r="D66" s="545">
        <f t="shared" si="14"/>
        <v>290932.66544013069</v>
      </c>
      <c r="E66" s="545">
        <f t="shared" si="14"/>
        <v>176548.19441512067</v>
      </c>
      <c r="F66" s="545">
        <f t="shared" si="14"/>
        <v>26097.240515455651</v>
      </c>
      <c r="G66" s="545">
        <f t="shared" si="14"/>
        <v>243357.19041320958</v>
      </c>
      <c r="H66" s="545">
        <f t="shared" si="14"/>
        <v>249109.5426263714</v>
      </c>
      <c r="I66" s="545">
        <f t="shared" si="14"/>
        <v>375975.43814702035</v>
      </c>
      <c r="J66" s="545">
        <f t="shared" si="14"/>
        <v>2902638.7643728741</v>
      </c>
      <c r="M66" s="14">
        <f>SUM(B66:J66)</f>
        <v>5805277.5287457481</v>
      </c>
    </row>
    <row r="67" spans="1:15">
      <c r="B67" s="14"/>
      <c r="C67" s="14"/>
      <c r="D67" s="14"/>
      <c r="E67" s="14"/>
      <c r="F67" s="14"/>
      <c r="G67" s="14"/>
      <c r="H67" s="14"/>
      <c r="I67" s="14"/>
    </row>
    <row r="68" spans="1:15">
      <c r="B68" s="13" t="s">
        <v>1</v>
      </c>
      <c r="C68" s="13" t="s">
        <v>1</v>
      </c>
      <c r="F68" s="43" t="s">
        <v>1</v>
      </c>
    </row>
    <row r="71" spans="1:15" ht="15" thickBot="1">
      <c r="A71" s="524"/>
      <c r="B71" s="524"/>
      <c r="C71" s="524"/>
      <c r="D71" s="524"/>
      <c r="E71" s="524"/>
      <c r="F71" s="524"/>
      <c r="G71" s="524"/>
      <c r="H71" s="524"/>
      <c r="I71" s="524"/>
      <c r="J71" s="524"/>
    </row>
    <row r="72" spans="1:15" ht="15.75">
      <c r="A72" s="904" t="s">
        <v>672</v>
      </c>
      <c r="B72" s="905"/>
      <c r="C72" s="905"/>
      <c r="D72" s="905"/>
      <c r="E72" s="905"/>
      <c r="F72" s="905"/>
      <c r="G72" s="905"/>
      <c r="H72" s="905"/>
      <c r="I72" s="905"/>
      <c r="J72" s="906"/>
    </row>
    <row r="73" spans="1:15">
      <c r="A73" s="523"/>
      <c r="B73" s="524"/>
      <c r="C73" s="908" t="s">
        <v>5</v>
      </c>
      <c r="D73" s="909"/>
      <c r="E73" s="908" t="s">
        <v>95</v>
      </c>
      <c r="F73" s="909"/>
      <c r="G73" s="524"/>
      <c r="H73" s="524"/>
      <c r="I73" s="525" t="s">
        <v>666</v>
      </c>
      <c r="J73" s="547" t="s">
        <v>1</v>
      </c>
    </row>
    <row r="74" spans="1:15" s="532" customFormat="1" ht="15" thickBot="1">
      <c r="A74" s="533"/>
      <c r="B74" s="527" t="s">
        <v>240</v>
      </c>
      <c r="C74" s="527" t="s">
        <v>131</v>
      </c>
      <c r="D74" s="527" t="s">
        <v>667</v>
      </c>
      <c r="E74" s="527" t="s">
        <v>131</v>
      </c>
      <c r="F74" s="527" t="s">
        <v>667</v>
      </c>
      <c r="G74" s="527" t="s">
        <v>8</v>
      </c>
      <c r="H74" s="527" t="s">
        <v>9</v>
      </c>
      <c r="I74" s="527" t="s">
        <v>668</v>
      </c>
      <c r="J74" s="552" t="s">
        <v>15</v>
      </c>
    </row>
    <row r="75" spans="1:15">
      <c r="A75" s="534"/>
      <c r="B75" s="535"/>
      <c r="C75" s="535"/>
      <c r="D75" s="535"/>
      <c r="E75" s="535"/>
      <c r="F75" s="535"/>
      <c r="G75" s="535"/>
      <c r="H75" s="535"/>
      <c r="I75" s="535"/>
      <c r="J75" s="554"/>
    </row>
    <row r="76" spans="1:15">
      <c r="A76" s="523" t="str">
        <f t="shared" ref="A76:A89" si="15">(A53)</f>
        <v>Expense</v>
      </c>
      <c r="B76" s="524"/>
      <c r="C76" s="524"/>
      <c r="D76" s="524"/>
      <c r="E76" s="524"/>
      <c r="F76" s="524"/>
      <c r="G76" s="524"/>
      <c r="H76" s="524"/>
      <c r="I76" s="524"/>
      <c r="J76" s="548"/>
    </row>
    <row r="77" spans="1:15">
      <c r="A77" s="523" t="str">
        <f t="shared" si="15"/>
        <v>Purchased Power</v>
      </c>
      <c r="B77" s="524"/>
      <c r="C77" s="524"/>
      <c r="D77" s="524"/>
      <c r="E77" s="524"/>
      <c r="F77" s="524"/>
      <c r="G77" s="524"/>
      <c r="H77" s="524"/>
      <c r="I77" s="524"/>
      <c r="J77" s="549" t="s">
        <v>1</v>
      </c>
    </row>
    <row r="78" spans="1:15">
      <c r="A78" s="523" t="str">
        <f t="shared" si="15"/>
        <v>Distibution Operations</v>
      </c>
      <c r="B78" s="528">
        <f>('3.2 Classific. 2'!K25*'4.1 kW &amp; kWh'!$F$84)</f>
        <v>199.86411311805975</v>
      </c>
      <c r="C78" s="528">
        <f>('3.2 Classific. 2'!G7*'4.1 kW &amp; kWh'!$F$82)</f>
        <v>2900.5904569751156</v>
      </c>
      <c r="D78" s="528">
        <f>('3.2 Classific. 2'!F7*'4.21 Consumer Alloc'!$I$7)</f>
        <v>349.38175895669013</v>
      </c>
      <c r="E78" s="528">
        <f>('3.2 Classific. 2'!G25*'4.1 kW &amp; kWh'!$F$110)</f>
        <v>0</v>
      </c>
      <c r="F78" s="528">
        <f>('3.2 Classific. 2'!F25*'4.21 Consumer Alloc'!$I$23)</f>
        <v>0</v>
      </c>
      <c r="G78" s="528">
        <f>('3.2 Classific. 2'!K7*'4.21 Consumer Alloc'!$J$40)</f>
        <v>292.24825308872738</v>
      </c>
      <c r="H78" s="528">
        <f>('3.2 Classific. 2'!L7*'4.21 Consumer Alloc'!$I$57)</f>
        <v>432.69675459922342</v>
      </c>
      <c r="I78" s="528">
        <f>('3.2 Classific. 2'!M7*'4.21 Consumer Alloc'!$I$74)</f>
        <v>0</v>
      </c>
      <c r="J78" s="550">
        <f>SUM(B78:I78)</f>
        <v>4174.7813367378167</v>
      </c>
      <c r="M78" s="14">
        <f>SUM(B78:J78)</f>
        <v>8349.5626734756333</v>
      </c>
      <c r="O78" s="14">
        <f>('[15]3.2 Classific. 2'!$L$7*'[15]4.2 Consumer Alloc.'!I60)</f>
        <v>20873.946594028344</v>
      </c>
    </row>
    <row r="79" spans="1:15">
      <c r="A79" s="523" t="str">
        <f t="shared" si="15"/>
        <v>Distribution Maintenance</v>
      </c>
      <c r="B79" s="528">
        <f>('3.2 Classific. 2'!K26*'4.1 kW &amp; kWh'!$F$84)</f>
        <v>0.55910213296605393</v>
      </c>
      <c r="C79" s="528">
        <f>('3.2 Classific. 2'!G8*'4.1 kW &amp; kWh'!$F$82)</f>
        <v>10133.146780666864</v>
      </c>
      <c r="D79" s="528">
        <f>('3.2 Classific. 2'!F8*'4.21 Consumer Alloc'!$I$7)</f>
        <v>1220.5572274025049</v>
      </c>
      <c r="E79" s="528">
        <f>('3.2 Classific. 2'!G26*'4.1 kW &amp; kWh'!$F$110)</f>
        <v>12.422325514970975</v>
      </c>
      <c r="F79" s="528">
        <f>('3.2 Classific. 2'!F26*'4.21 Consumer Alloc'!$I$23)</f>
        <v>3.024819892880823</v>
      </c>
      <c r="G79" s="528">
        <f>('3.2 Classific. 2'!K8*'4.21 Consumer Alloc'!$J$40)</f>
        <v>1020.9626242892099</v>
      </c>
      <c r="H79" s="528">
        <f>('3.2 Classific. 2'!L8*'4.21 Consumer Alloc'!$I$57)</f>
        <v>152.49657057154104</v>
      </c>
      <c r="I79" s="528">
        <f>('3.2 Classific. 2'!M8*'4.21 Consumer Alloc'!$I$74)</f>
        <v>0</v>
      </c>
      <c r="J79" s="550">
        <f t="shared" ref="J79:J88" si="16">SUM(B79:I79)</f>
        <v>12543.169450470938</v>
      </c>
      <c r="M79" s="14">
        <f t="shared" ref="M79:M89" si="17">SUM(B79:J79)</f>
        <v>25086.338900941875</v>
      </c>
    </row>
    <row r="80" spans="1:15">
      <c r="A80" s="523" t="str">
        <f t="shared" si="15"/>
        <v>Consumer Accounts</v>
      </c>
      <c r="B80" s="528">
        <f>('3.2 Classific. 2'!K27*'4.1 kW &amp; kWh'!$F$84)</f>
        <v>0</v>
      </c>
      <c r="C80" s="528">
        <f>('3.2 Classific. 2'!G9*'4.1 kW &amp; kWh'!$F$82)</f>
        <v>0</v>
      </c>
      <c r="D80" s="528">
        <f>('3.2 Classific. 2'!F9*'4.21 Consumer Alloc'!$I$7)</f>
        <v>0</v>
      </c>
      <c r="E80" s="528">
        <f>('3.2 Classific. 2'!G27*'4.1 kW &amp; kWh'!$F$110)</f>
        <v>0</v>
      </c>
      <c r="F80" s="528">
        <f>('3.2 Classific. 2'!F27*'4.21 Consumer Alloc'!$I$23)</f>
        <v>0</v>
      </c>
      <c r="G80" s="528">
        <f>('3.2 Classific. 2'!K9*'4.21 Consumer Alloc'!$J$40)</f>
        <v>0</v>
      </c>
      <c r="H80" s="528">
        <f>('3.2 Classific. 2'!L9*'4.21 Consumer Alloc'!$I$57)</f>
        <v>0</v>
      </c>
      <c r="I80" s="528">
        <f>('3.2 Classific. 2'!M9*'4.21 Consumer Alloc'!$I$74)</f>
        <v>3329.438809356071</v>
      </c>
      <c r="J80" s="550">
        <f t="shared" si="16"/>
        <v>3329.438809356071</v>
      </c>
      <c r="M80" s="14">
        <f t="shared" si="17"/>
        <v>6658.8776187121421</v>
      </c>
    </row>
    <row r="81" spans="1:13">
      <c r="A81" s="523" t="str">
        <f t="shared" si="15"/>
        <v>Customer Service</v>
      </c>
      <c r="B81" s="528">
        <f>('3.2 Classific. 2'!K28*'4.1 kW &amp; kWh'!$F$84)</f>
        <v>0</v>
      </c>
      <c r="C81" s="528">
        <f>('3.2 Classific. 2'!G10*'4.1 kW &amp; kWh'!$F$82)</f>
        <v>0</v>
      </c>
      <c r="D81" s="528">
        <f>('3.2 Classific. 2'!F10*'4.21 Consumer Alloc'!$I$7)</f>
        <v>0</v>
      </c>
      <c r="E81" s="528">
        <f>('3.2 Classific. 2'!G28*'4.1 kW &amp; kWh'!$F$110)</f>
        <v>0</v>
      </c>
      <c r="F81" s="528">
        <f>('3.2 Classific. 2'!F28*'4.21 Consumer Alloc'!$I$23)</f>
        <v>0</v>
      </c>
      <c r="G81" s="528">
        <f>('3.2 Classific. 2'!K10*'4.21 Consumer Alloc'!$J$40)</f>
        <v>0</v>
      </c>
      <c r="H81" s="528">
        <f>('3.2 Classific. 2'!L10*'4.21 Consumer Alloc'!$I$57)</f>
        <v>0</v>
      </c>
      <c r="I81" s="528">
        <f>('3.2 Classific. 2'!M10*'4.21 Consumer Alloc'!$I$74)</f>
        <v>1174.5800602536563</v>
      </c>
      <c r="J81" s="550">
        <f t="shared" si="16"/>
        <v>1174.5800602536563</v>
      </c>
      <c r="M81" s="14">
        <f t="shared" si="17"/>
        <v>2349.1601205073125</v>
      </c>
    </row>
    <row r="82" spans="1:13">
      <c r="A82" s="523" t="str">
        <f t="shared" si="15"/>
        <v>Administative &amp; General</v>
      </c>
      <c r="B82" s="528">
        <f>('3.2 Classific. 2'!K29*'4.1 kW &amp; kWh'!$F$84)</f>
        <v>68.361787404457331</v>
      </c>
      <c r="C82" s="528">
        <f>('3.2 Classific. 2'!G11*'4.1 kW &amp; kWh'!$F$82)</f>
        <v>4445.6405562063728</v>
      </c>
      <c r="D82" s="528">
        <f>('3.2 Classific. 2'!F11*'4.21 Consumer Alloc'!$I$7)</f>
        <v>535.48604680867777</v>
      </c>
      <c r="E82" s="528">
        <f>('3.2 Classific. 2'!G29*'4.1 kW &amp; kWh'!$F$110)</f>
        <v>4.237095861673466</v>
      </c>
      <c r="F82" s="528">
        <f>('3.2 Classific. 2'!F29*'4.21 Consumer Alloc'!$I$23)</f>
        <v>1.0317272587155237</v>
      </c>
      <c r="G82" s="528">
        <f>('3.2 Classific. 2'!K11*'4.21 Consumer Alloc'!$J$40)</f>
        <v>447.9193825131091</v>
      </c>
      <c r="H82" s="528">
        <f>('3.2 Classific. 2'!L11*'4.21 Consumer Alloc'!$I$57)</f>
        <v>199.60193551293963</v>
      </c>
      <c r="I82" s="528">
        <f>('3.2 Classific. 2'!M11*'4.21 Consumer Alloc'!$I$74)</f>
        <v>1536.2630523828427</v>
      </c>
      <c r="J82" s="550">
        <f t="shared" si="16"/>
        <v>7238.5415839487887</v>
      </c>
      <c r="M82" s="14">
        <f t="shared" si="17"/>
        <v>14477.083167897577</v>
      </c>
    </row>
    <row r="83" spans="1:13">
      <c r="A83" s="523" t="str">
        <f t="shared" si="15"/>
        <v>Depreciation</v>
      </c>
      <c r="B83" s="528">
        <f>('3.2 Classific. 2'!K30*'4.1 kW &amp; kWh'!$F$84)</f>
        <v>250.23630304501947</v>
      </c>
      <c r="C83" s="528">
        <f>('3.2 Classific. 2'!G12*'4.1 kW &amp; kWh'!$F$82)</f>
        <v>10883.289219362094</v>
      </c>
      <c r="D83" s="528">
        <f>('3.2 Classific. 2'!F12*'4.21 Consumer Alloc'!$I$7)</f>
        <v>1310.9133423339167</v>
      </c>
      <c r="E83" s="528">
        <f>('3.2 Classific. 2'!G30*'4.1 kW &amp; kWh'!$F$110)</f>
        <v>830.95211186230995</v>
      </c>
      <c r="F83" s="528">
        <f>('3.2 Classific. 2'!F30*'4.21 Consumer Alloc'!$I$23)</f>
        <v>202.33574421820475</v>
      </c>
      <c r="G83" s="528">
        <f>('3.2 Classific. 2'!K12*'4.21 Consumer Alloc'!$J$40)</f>
        <v>1096.5430347360614</v>
      </c>
      <c r="H83" s="528">
        <f>('3.2 Classific. 2'!L12*'4.21 Consumer Alloc'!$I$57)</f>
        <v>222.8126416903234</v>
      </c>
      <c r="I83" s="528">
        <f>('3.2 Classific. 2'!M12*'4.21 Consumer Alloc'!$I$74)</f>
        <v>171.94873801108969</v>
      </c>
      <c r="J83" s="550">
        <f t="shared" si="16"/>
        <v>14969.03113525902</v>
      </c>
      <c r="M83" s="14">
        <f t="shared" si="17"/>
        <v>29938.062270518039</v>
      </c>
    </row>
    <row r="84" spans="1:13">
      <c r="A84" s="523" t="str">
        <f t="shared" si="15"/>
        <v>Miscellaneous</v>
      </c>
      <c r="B84" s="528">
        <f>('3.2 Classific. 2'!K31*'4.1 kW &amp; kWh'!$F$84)</f>
        <v>0.61209751923724531</v>
      </c>
      <c r="C84" s="528">
        <f>('3.2 Classific. 2'!G13*'4.1 kW &amp; kWh'!$F$82)</f>
        <v>26.456021113891371</v>
      </c>
      <c r="D84" s="528">
        <f>('3.2 Classific. 2'!F13*'4.21 Consumer Alloc'!$I$7)</f>
        <v>3.1866791706286022</v>
      </c>
      <c r="E84" s="528">
        <f>('3.2 Classific. 2'!G31*'4.1 kW &amp; kWh'!$F$110)</f>
        <v>2.0575903844310028</v>
      </c>
      <c r="F84" s="528">
        <f>('3.2 Classific. 2'!F31*'4.21 Consumer Alloc'!$I$23)</f>
        <v>0.50102054713720312</v>
      </c>
      <c r="G84" s="528">
        <f>('3.2 Classific. 2'!K13*'4.21 Consumer Alloc'!$J$40)</f>
        <v>2.6655696724163813</v>
      </c>
      <c r="H84" s="528">
        <f>('3.2 Classific. 2'!L13*'4.21 Consumer Alloc'!$I$57)</f>
        <v>0.52943772483089835</v>
      </c>
      <c r="I84" s="528">
        <f>('3.2 Classific. 2'!M13*'4.21 Consumer Alloc'!$I$74)</f>
        <v>0.25335531656496052</v>
      </c>
      <c r="J84" s="550">
        <f t="shared" si="16"/>
        <v>36.261771449137669</v>
      </c>
      <c r="M84" s="14">
        <f t="shared" si="17"/>
        <v>72.523542898275338</v>
      </c>
    </row>
    <row r="85" spans="1:13">
      <c r="A85" s="523" t="str">
        <f t="shared" si="15"/>
        <v>Interest on Long Term Debt</v>
      </c>
      <c r="B85" s="528">
        <f>('3.2 Classific. 2'!K32*'4.1 kW &amp; kWh'!$F$84)</f>
        <v>141.97234519024252</v>
      </c>
      <c r="C85" s="528">
        <f>('3.2 Classific. 2'!G14*'4.1 kW &amp; kWh'!$F$82)</f>
        <v>6136.3152829343817</v>
      </c>
      <c r="D85" s="528">
        <f>('3.2 Classific. 2'!F14*'4.21 Consumer Alloc'!$I$7)</f>
        <v>739.13110412016601</v>
      </c>
      <c r="E85" s="528">
        <f>('3.2 Classific. 2'!G32*'4.1 kW &amp; kWh'!$F$110)</f>
        <v>477.24573803629124</v>
      </c>
      <c r="F85" s="528">
        <f>('3.2 Classific. 2'!F32*'4.21 Consumer Alloc'!$I$23)</f>
        <v>116.2087083022423</v>
      </c>
      <c r="G85" s="528">
        <f>('3.2 Classific. 2'!K14*'4.21 Consumer Alloc'!$J$40)</f>
        <v>618.26288420924016</v>
      </c>
      <c r="H85" s="528">
        <f>('3.2 Classific. 2'!L14*'4.21 Consumer Alloc'!$I$57)</f>
        <v>122.79990208111793</v>
      </c>
      <c r="I85" s="528">
        <f>('3.2 Classific. 2'!M14*'4.21 Consumer Alloc'!$I$74)</f>
        <v>58.764244795447702</v>
      </c>
      <c r="J85" s="550">
        <f t="shared" si="16"/>
        <v>8410.7002096691303</v>
      </c>
      <c r="M85" s="14">
        <f t="shared" si="17"/>
        <v>16821.400419338261</v>
      </c>
    </row>
    <row r="86" spans="1:13">
      <c r="A86" s="553" t="str">
        <f t="shared" si="15"/>
        <v>Short Term Interest</v>
      </c>
      <c r="B86" s="542">
        <f>('3.2 Classific. 2'!K33*'4.1 kW &amp; kWh'!$F$84)</f>
        <v>8.6928189639579989E-2</v>
      </c>
      <c r="C86" s="542">
        <f>('3.2 Classific. 2'!G15*'4.1 kW &amp; kWh'!$F$82)</f>
        <v>3.7572019951378084</v>
      </c>
      <c r="D86" s="542">
        <f>('3.2 Classific. 2'!F15*'4.21 Consumer Alloc'!$I$7)</f>
        <v>0.45256228388263459</v>
      </c>
      <c r="E86" s="542">
        <f>('3.2 Classific. 2'!G33*'4.1 kW &amp; kWh'!$F$110)</f>
        <v>0.29221259932776894</v>
      </c>
      <c r="F86" s="542">
        <f>('3.2 Classific. 2'!F33*'4.21 Consumer Alloc'!$I$23)</f>
        <v>7.1153382861511183E-2</v>
      </c>
      <c r="G86" s="542">
        <f>('3.2 Classific. 2'!K15*'4.21 Consumer Alloc'!$J$40)</f>
        <v>0.37855593054856618</v>
      </c>
      <c r="H86" s="542">
        <f>('3.2 Classific. 2'!L15*'4.21 Consumer Alloc'!$I$57)</f>
        <v>7.5189102226388596E-2</v>
      </c>
      <c r="I86" s="542">
        <f>('3.2 Classific. 2'!M15*'4.21 Consumer Alloc'!$I$74)</f>
        <v>3.598073560565837E-2</v>
      </c>
      <c r="J86" s="551">
        <f t="shared" si="16"/>
        <v>5.1497842192299155</v>
      </c>
      <c r="M86" s="14">
        <f t="shared" si="17"/>
        <v>10.299568438459831</v>
      </c>
    </row>
    <row r="87" spans="1:13">
      <c r="A87" s="523" t="str">
        <f t="shared" si="15"/>
        <v>Total Costs</v>
      </c>
      <c r="B87" s="528">
        <f>SUM(B78:B86)</f>
        <v>661.69267659962202</v>
      </c>
      <c r="C87" s="528">
        <f t="shared" ref="C87:J87" si="18">SUM(C78:C86)</f>
        <v>34529.195519253866</v>
      </c>
      <c r="D87" s="528">
        <f t="shared" si="18"/>
        <v>4159.1087210764663</v>
      </c>
      <c r="E87" s="528">
        <f t="shared" si="18"/>
        <v>1327.2070742590045</v>
      </c>
      <c r="F87" s="528">
        <f t="shared" si="18"/>
        <v>323.17317360204208</v>
      </c>
      <c r="G87" s="528">
        <f t="shared" si="18"/>
        <v>3478.9803044393125</v>
      </c>
      <c r="H87" s="528">
        <f t="shared" si="18"/>
        <v>1131.0124312822029</v>
      </c>
      <c r="I87" s="528">
        <f t="shared" si="18"/>
        <v>6271.2842408512779</v>
      </c>
      <c r="J87" s="528">
        <f t="shared" si="18"/>
        <v>51881.65414136379</v>
      </c>
      <c r="M87" s="14">
        <f t="shared" si="17"/>
        <v>103763.30828272759</v>
      </c>
    </row>
    <row r="88" spans="1:13">
      <c r="A88" s="553" t="str">
        <f t="shared" si="15"/>
        <v>Margin Requirements</v>
      </c>
      <c r="B88" s="542">
        <f>('3.2 Classific. 2'!K35*'4.1 kW &amp; kWh'!$F$84)</f>
        <v>141.97235273908041</v>
      </c>
      <c r="C88" s="542">
        <f>('3.2 Classific. 2'!G17*'4.1 kW &amp; kWh'!$F$82)</f>
        <v>6136.3156092095387</v>
      </c>
      <c r="D88" s="542">
        <f>('3.2 Classific. 2'!F17*'4.21 Consumer Alloc'!$I$7)</f>
        <v>739.13114342064284</v>
      </c>
      <c r="E88" s="542">
        <f>('3.2 Classific. 2'!G35*'4.1 kW &amp; kWh'!$F$110)</f>
        <v>477.24576341201288</v>
      </c>
      <c r="F88" s="542">
        <f>('3.2 Classific. 2'!F35*'4.21 Consumer Alloc'!$I$23)</f>
        <v>116.20871448119706</v>
      </c>
      <c r="G88" s="542">
        <f>('3.2 Classific. 2'!K17*'4.21 Consumer Alloc'!$J$40)</f>
        <v>618.26291708301051</v>
      </c>
      <c r="H88" s="542">
        <f>('3.2 Classific. 2'!L17*'4.21 Consumer Alloc'!$I$57)</f>
        <v>122.79990861053429</v>
      </c>
      <c r="I88" s="542">
        <f>('3.2 Classific. 2'!M17*'4.21 Consumer Alloc'!$I$74)</f>
        <v>58.764247920012252</v>
      </c>
      <c r="J88" s="551">
        <f t="shared" si="16"/>
        <v>8410.700656876028</v>
      </c>
      <c r="M88" s="14">
        <f t="shared" si="17"/>
        <v>16821.401313752056</v>
      </c>
    </row>
    <row r="89" spans="1:13" ht="15" thickBot="1">
      <c r="A89" s="526" t="str">
        <f t="shared" si="15"/>
        <v>Revenue Requirements</v>
      </c>
      <c r="B89" s="545">
        <f>SUM(B87:B88)</f>
        <v>803.66502933870242</v>
      </c>
      <c r="C89" s="545">
        <f t="shared" ref="C89:J89" si="19">SUM(C87:C88)</f>
        <v>40665.511128463404</v>
      </c>
      <c r="D89" s="545">
        <f t="shared" si="19"/>
        <v>4898.239864497109</v>
      </c>
      <c r="E89" s="545">
        <f t="shared" si="19"/>
        <v>1804.4528376710173</v>
      </c>
      <c r="F89" s="545">
        <f t="shared" si="19"/>
        <v>439.38188808323912</v>
      </c>
      <c r="G89" s="545">
        <f t="shared" si="19"/>
        <v>4097.2432215223234</v>
      </c>
      <c r="H89" s="545">
        <f t="shared" si="19"/>
        <v>1253.8123398927371</v>
      </c>
      <c r="I89" s="545">
        <f t="shared" si="19"/>
        <v>6330.0484887712901</v>
      </c>
      <c r="J89" s="545">
        <f t="shared" si="19"/>
        <v>60292.354798239816</v>
      </c>
      <c r="M89" s="14">
        <f t="shared" si="17"/>
        <v>120584.70959647963</v>
      </c>
    </row>
    <row r="90" spans="1:13">
      <c r="B90" s="14"/>
      <c r="C90" s="14"/>
      <c r="D90" s="14"/>
      <c r="E90" s="14"/>
      <c r="F90" s="14"/>
      <c r="G90" s="14"/>
      <c r="H90" s="14"/>
      <c r="I90" s="14"/>
    </row>
    <row r="91" spans="1:13">
      <c r="B91" s="13" t="s">
        <v>1</v>
      </c>
      <c r="C91" s="13" t="s">
        <v>1</v>
      </c>
    </row>
    <row r="94" spans="1:13" ht="15" thickBot="1">
      <c r="J94" s="524"/>
    </row>
    <row r="95" spans="1:13" ht="15.75">
      <c r="A95" s="904" t="s">
        <v>674</v>
      </c>
      <c r="B95" s="905"/>
      <c r="C95" s="905"/>
      <c r="D95" s="905"/>
      <c r="E95" s="905"/>
      <c r="F95" s="905"/>
      <c r="G95" s="905"/>
      <c r="H95" s="905"/>
      <c r="I95" s="905"/>
      <c r="J95" s="906"/>
    </row>
    <row r="96" spans="1:13" s="532" customFormat="1">
      <c r="A96" s="531"/>
      <c r="B96" s="525"/>
      <c r="C96" s="908" t="s">
        <v>5</v>
      </c>
      <c r="D96" s="909"/>
      <c r="E96" s="908" t="s">
        <v>95</v>
      </c>
      <c r="F96" s="909"/>
      <c r="G96" s="525"/>
      <c r="H96" s="525"/>
      <c r="I96" s="525" t="s">
        <v>666</v>
      </c>
      <c r="J96" s="547" t="s">
        <v>1</v>
      </c>
    </row>
    <row r="97" spans="1:15" s="532" customFormat="1" ht="15" thickBot="1">
      <c r="A97" s="533"/>
      <c r="B97" s="527" t="s">
        <v>240</v>
      </c>
      <c r="C97" s="527" t="s">
        <v>131</v>
      </c>
      <c r="D97" s="527" t="s">
        <v>667</v>
      </c>
      <c r="E97" s="527" t="s">
        <v>131</v>
      </c>
      <c r="F97" s="527" t="s">
        <v>667</v>
      </c>
      <c r="G97" s="527" t="s">
        <v>8</v>
      </c>
      <c r="H97" s="527" t="s">
        <v>9</v>
      </c>
      <c r="I97" s="527" t="s">
        <v>668</v>
      </c>
      <c r="J97" s="552" t="s">
        <v>15</v>
      </c>
    </row>
    <row r="98" spans="1:15">
      <c r="A98" s="534"/>
      <c r="B98" s="535"/>
      <c r="C98" s="535"/>
      <c r="D98" s="535"/>
      <c r="E98" s="535"/>
      <c r="F98" s="535"/>
      <c r="G98" s="535"/>
      <c r="H98" s="535"/>
      <c r="I98" s="535"/>
      <c r="J98" s="554"/>
    </row>
    <row r="99" spans="1:15">
      <c r="A99" s="523" t="str">
        <f t="shared" ref="A99:A112" si="20">(A76)</f>
        <v>Expense</v>
      </c>
      <c r="B99" s="524"/>
      <c r="C99" s="524"/>
      <c r="D99" s="524"/>
      <c r="E99" s="524"/>
      <c r="F99" s="524"/>
      <c r="G99" s="524"/>
      <c r="H99" s="524"/>
      <c r="I99" s="524"/>
      <c r="J99" s="548"/>
    </row>
    <row r="100" spans="1:15">
      <c r="A100" s="523" t="str">
        <f t="shared" si="20"/>
        <v>Purchased Power</v>
      </c>
      <c r="B100" s="524"/>
      <c r="C100" s="524"/>
      <c r="D100" s="524"/>
      <c r="E100" s="524"/>
      <c r="F100" s="524"/>
      <c r="G100" s="524"/>
      <c r="H100" s="524"/>
      <c r="I100" s="524"/>
      <c r="J100" s="549" t="s">
        <v>1</v>
      </c>
    </row>
    <row r="101" spans="1:15">
      <c r="A101" s="523" t="str">
        <f t="shared" si="20"/>
        <v>Distibution Operations</v>
      </c>
      <c r="B101" s="528">
        <f>('3.2 Classific. 2'!K25*'4.1 kW &amp; kWh'!$G$84)</f>
        <v>1677.1341624584127</v>
      </c>
      <c r="C101" s="528">
        <f>('3.2 Classific. 2'!G7*'4.1 kW &amp; kWh'!$G$82)</f>
        <v>24339.934122241641</v>
      </c>
      <c r="D101" s="528">
        <f>('3.2 Classific. 2'!F7*'4.21 Consumer Alloc'!$I$8)</f>
        <v>463.13395954724041</v>
      </c>
      <c r="E101" s="528">
        <f>('3.2 Classific. 2'!G25*'4.1 kW &amp; kWh'!$G$110)</f>
        <v>0</v>
      </c>
      <c r="F101" s="528">
        <f>('3.2 Classific. 2'!G25*'4.21 Consumer Alloc'!$I$24)</f>
        <v>0</v>
      </c>
      <c r="G101" s="528">
        <f>('3.2 Classific. 2'!K7*'4.21 Consumer Alloc'!$J$41)</f>
        <v>451.15323105603375</v>
      </c>
      <c r="H101" s="528">
        <f>('3.2 Classific. 2'!L7*'4.21 Consumer Alloc'!$I$58)</f>
        <v>1005.687651292415</v>
      </c>
      <c r="I101" s="544">
        <f>('3.2 Classific. 2'!M7*'4.21 Consumer Alloc'!$I$75)</f>
        <v>0</v>
      </c>
      <c r="J101" s="550">
        <f>SUM(B101:I101)</f>
        <v>27937.043126595741</v>
      </c>
      <c r="M101" s="14">
        <f>SUM(B101:J101)</f>
        <v>55874.086253191483</v>
      </c>
      <c r="O101" s="14">
        <f>('[15]3.2 Classific. 2'!$L$7*'[15]4.2 Consumer Alloc.'!I61)</f>
        <v>6858.5824523235997</v>
      </c>
    </row>
    <row r="102" spans="1:15">
      <c r="A102" s="523" t="str">
        <f t="shared" si="20"/>
        <v>Distribution Maintenance</v>
      </c>
      <c r="B102" s="528">
        <f>('3.2 Classific. 2'!K26*'4.1 kW &amp; kWh'!$G$84)</f>
        <v>4.6916340951456448</v>
      </c>
      <c r="C102" s="528">
        <f>('3.2 Classific. 2'!G8*'4.1 kW &amp; kWh'!$G$82)</f>
        <v>85031.006186804254</v>
      </c>
      <c r="D102" s="528">
        <f>('3.2 Classific. 2'!F8*'4.21 Consumer Alloc'!$I$8)</f>
        <v>1617.9479526033203</v>
      </c>
      <c r="E102" s="528">
        <f>('3.2 Classific. 2'!G26*'4.1 kW &amp; kWh'!$G$110)</f>
        <v>302.75209413034298</v>
      </c>
      <c r="F102" s="528">
        <f>('3.2 Classific. 2'!G26*'4.21 Consumer Alloc'!$I$24)</f>
        <v>27.365491816900175</v>
      </c>
      <c r="G102" s="528">
        <f>('3.2 Classific. 2'!K8*'4.21 Consumer Alloc'!$J$41)</f>
        <v>1576.0935501492349</v>
      </c>
      <c r="H102" s="528">
        <f>('3.2 Classific. 2'!L8*'4.21 Consumer Alloc'!$I$58)</f>
        <v>354.43741201685538</v>
      </c>
      <c r="I102" s="544">
        <f>('3.2 Classific. 2'!M8*'4.21 Consumer Alloc'!$I$75)</f>
        <v>0</v>
      </c>
      <c r="J102" s="550">
        <f t="shared" ref="J102:J111" si="21">SUM(B102:I102)</f>
        <v>88914.294321616049</v>
      </c>
      <c r="M102" s="14">
        <f t="shared" ref="M102:M111" si="22">SUM(B102:J102)</f>
        <v>177828.5886432321</v>
      </c>
    </row>
    <row r="103" spans="1:15">
      <c r="A103" s="523" t="str">
        <f t="shared" si="20"/>
        <v>Consumer Accounts</v>
      </c>
      <c r="B103" s="528">
        <f>('3.2 Classific. 2'!K27*'4.1 kW &amp; kWh'!$G$84)</f>
        <v>0</v>
      </c>
      <c r="C103" s="528">
        <f>('3.2 Classific. 2'!G9*'4.1 kW &amp; kWh'!$G$82)</f>
        <v>0</v>
      </c>
      <c r="D103" s="528">
        <f>('3.2 Classific. 2'!F9*'4.21 Consumer Alloc'!$I$8)</f>
        <v>0</v>
      </c>
      <c r="E103" s="528">
        <f>('3.2 Classific. 2'!G27*'4.1 kW &amp; kWh'!$G$110)</f>
        <v>0</v>
      </c>
      <c r="F103" s="528">
        <f>('3.2 Classific. 2'!G27*'4.21 Consumer Alloc'!$I$24)</f>
        <v>0</v>
      </c>
      <c r="G103" s="528">
        <f>('3.2 Classific. 2'!K9*'4.21 Consumer Alloc'!$J$41)</f>
        <v>0</v>
      </c>
      <c r="H103" s="528">
        <f>('3.2 Classific. 2'!L9*'4.21 Consumer Alloc'!$I$58)</f>
        <v>0</v>
      </c>
      <c r="I103" s="528">
        <f>('3.2 Classific. 2'!M9*'4.21 Consumer Alloc'!$I$75)</f>
        <v>7061.5074282156666</v>
      </c>
      <c r="J103" s="550">
        <f t="shared" si="21"/>
        <v>7061.5074282156666</v>
      </c>
      <c r="M103" s="14">
        <f t="shared" si="22"/>
        <v>14123.014856431333</v>
      </c>
    </row>
    <row r="104" spans="1:15">
      <c r="A104" s="523" t="str">
        <f t="shared" si="20"/>
        <v>Customer Service</v>
      </c>
      <c r="B104" s="528">
        <f>('3.2 Classific. 2'!K28*'4.1 kW &amp; kWh'!$G$84)</f>
        <v>0</v>
      </c>
      <c r="C104" s="528">
        <f>('3.2 Classific. 2'!G10*'4.1 kW &amp; kWh'!$G$82)</f>
        <v>0</v>
      </c>
      <c r="D104" s="528">
        <f>('3.2 Classific. 2'!F10*'4.21 Consumer Alloc'!$I$8)</f>
        <v>0</v>
      </c>
      <c r="E104" s="528">
        <f>('3.2 Classific. 2'!G28*'4.1 kW &amp; kWh'!$G$110)</f>
        <v>0</v>
      </c>
      <c r="F104" s="528">
        <f>('3.2 Classific. 2'!G28*'4.21 Consumer Alloc'!$I$24)</f>
        <v>0</v>
      </c>
      <c r="G104" s="528">
        <f>('3.2 Classific. 2'!K10*'4.21 Consumer Alloc'!$J$41)</f>
        <v>0</v>
      </c>
      <c r="H104" s="528">
        <f>('3.2 Classific. 2'!L10*'4.21 Consumer Alloc'!$I$58)</f>
        <v>0</v>
      </c>
      <c r="I104" s="528">
        <f>('3.2 Classific. 2'!M10*'4.21 Consumer Alloc'!$I$75)</f>
        <v>2491.2023603519406</v>
      </c>
      <c r="J104" s="550">
        <f t="shared" si="21"/>
        <v>2491.2023603519406</v>
      </c>
      <c r="M104" s="14">
        <f t="shared" si="22"/>
        <v>4982.4047207038811</v>
      </c>
    </row>
    <row r="105" spans="1:15">
      <c r="A105" s="523" t="str">
        <f t="shared" si="20"/>
        <v>Administative &amp; General</v>
      </c>
      <c r="B105" s="528">
        <f>('3.2 Classific. 2'!K29*'4.1 kW &amp; kWh'!$G$84)</f>
        <v>573.6492023208275</v>
      </c>
      <c r="C105" s="528">
        <f>('3.2 Classific. 2'!G11*'4.1 kW &amp; kWh'!$G$82)</f>
        <v>37305.02457147024</v>
      </c>
      <c r="D105" s="528">
        <f>('3.2 Classific. 2'!F11*'4.21 Consumer Alloc'!$I$8)</f>
        <v>709.83034111847985</v>
      </c>
      <c r="E105" s="528">
        <f>('3.2 Classific. 2'!G29*'4.1 kW &amp; kWh'!$G$110)</f>
        <v>103.26485516795356</v>
      </c>
      <c r="F105" s="528">
        <f>('3.2 Classific. 2'!G29*'4.21 Consumer Alloc'!$I$24)</f>
        <v>9.3340181748020914</v>
      </c>
      <c r="G105" s="528">
        <f>('3.2 Classific. 2'!K11*'4.21 Consumer Alloc'!$J$41)</f>
        <v>691.46786862763736</v>
      </c>
      <c r="H105" s="528">
        <f>('3.2 Classific. 2'!L11*'4.21 Consumer Alloc'!$I$58)</f>
        <v>463.92120945154096</v>
      </c>
      <c r="I105" s="528">
        <f>('3.2 Classific. 2'!M11*'4.21 Consumer Alloc'!$I$75)</f>
        <v>3258.3067529608197</v>
      </c>
      <c r="J105" s="550">
        <f t="shared" si="21"/>
        <v>43114.798819292293</v>
      </c>
      <c r="M105" s="14">
        <f t="shared" si="22"/>
        <v>86229.597638584586</v>
      </c>
    </row>
    <row r="106" spans="1:15">
      <c r="A106" s="523" t="str">
        <f t="shared" si="20"/>
        <v>Depreciation</v>
      </c>
      <c r="B106" s="528">
        <f>('3.2 Classific. 2'!K30*'4.1 kW &amp; kWh'!$G$84)</f>
        <v>2099.8259566298098</v>
      </c>
      <c r="C106" s="528">
        <f>('3.2 Classific. 2'!G12*'4.1 kW &amp; kWh'!$G$82)</f>
        <v>91325.730592393156</v>
      </c>
      <c r="D106" s="528">
        <f>('3.2 Classific. 2'!F12*'4.21 Consumer Alloc'!$I$8)</f>
        <v>1737.7223375124011</v>
      </c>
      <c r="E106" s="528">
        <f>('3.2 Classific. 2'!G30*'4.1 kW &amp; kWh'!$G$110)</f>
        <v>20251.642229561487</v>
      </c>
      <c r="F106" s="528">
        <f>('3.2 Classific. 2'!G30*'4.21 Consumer Alloc'!$I$24)</f>
        <v>1830.5278822390521</v>
      </c>
      <c r="G106" s="528">
        <f>('3.2 Classific. 2'!K12*'4.21 Consumer Alloc'!$J$41)</f>
        <v>1692.7695131952344</v>
      </c>
      <c r="H106" s="528">
        <f>('3.2 Classific. 2'!L12*'4.21 Consumer Alloc'!$I$58)</f>
        <v>517.86827591842984</v>
      </c>
      <c r="I106" s="528">
        <f>('3.2 Classific. 2'!M12*'4.21 Consumer Alloc'!$I$75)</f>
        <v>364.69127689793908</v>
      </c>
      <c r="J106" s="550">
        <f t="shared" si="21"/>
        <v>119820.77806434751</v>
      </c>
      <c r="M106" s="14">
        <f t="shared" si="22"/>
        <v>239641.55612869503</v>
      </c>
    </row>
    <row r="107" spans="1:15">
      <c r="A107" s="523" t="str">
        <f t="shared" si="20"/>
        <v>Miscellaneous</v>
      </c>
      <c r="B107" s="528">
        <f>('3.2 Classific. 2'!K31*'4.1 kW &amp; kWh'!$G$84)</f>
        <v>5.1363381061933557</v>
      </c>
      <c r="C107" s="528">
        <f>('3.2 Classific. 2'!G13*'4.1 kW &amp; kWh'!$G$82)</f>
        <v>222.00232007943691</v>
      </c>
      <c r="D107" s="528">
        <f>('3.2 Classific. 2'!F13*'4.21 Consumer Alloc'!$I$8)</f>
        <v>4.2242026215309378</v>
      </c>
      <c r="E107" s="528">
        <f>('3.2 Classific. 2'!G31*'4.1 kW &amp; kWh'!$G$110)</f>
        <v>50.146793931474193</v>
      </c>
      <c r="F107" s="528">
        <f>('3.2 Classific. 2'!G31*'4.21 Consumer Alloc'!$I$24)</f>
        <v>4.5327239863276638</v>
      </c>
      <c r="G107" s="528">
        <f>('3.2 Classific. 2'!K13*'4.21 Consumer Alloc'!$J$41)</f>
        <v>4.1149274892346988</v>
      </c>
      <c r="H107" s="528">
        <f>('3.2 Classific. 2'!L13*'4.21 Consumer Alloc'!$I$58)</f>
        <v>1.2305361117948668</v>
      </c>
      <c r="I107" s="528">
        <f>('3.2 Classific. 2'!M13*'4.21 Consumer Alloc'!$I$75)</f>
        <v>0.53734895048196274</v>
      </c>
      <c r="J107" s="550">
        <f t="shared" si="21"/>
        <v>291.92519127647455</v>
      </c>
      <c r="M107" s="14">
        <f t="shared" si="22"/>
        <v>583.8503825529491</v>
      </c>
    </row>
    <row r="108" spans="1:15">
      <c r="A108" s="523" t="str">
        <f t="shared" si="20"/>
        <v>Interest on Long Term Debt</v>
      </c>
      <c r="B108" s="528">
        <f>('3.2 Classific. 2'!K32*'4.1 kW &amp; kWh'!$G$84)</f>
        <v>1191.3427905000856</v>
      </c>
      <c r="C108" s="528">
        <f>('3.2 Classific. 2'!G14*'4.1 kW &amp; kWh'!$G$82)</f>
        <v>51492.105471409806</v>
      </c>
      <c r="D108" s="528">
        <f>('3.2 Classific. 2'!F14*'4.21 Consumer Alloc'!$I$8)</f>
        <v>979.77844034533632</v>
      </c>
      <c r="E108" s="528">
        <f>('3.2 Classific. 2'!G32*'4.1 kW &amp; kWh'!$G$110)</f>
        <v>11631.247823214513</v>
      </c>
      <c r="F108" s="528">
        <f>('3.2 Classific. 2'!G32*'4.21 Consumer Alloc'!$I$24)</f>
        <v>1051.3381188685692</v>
      </c>
      <c r="G108" s="528">
        <f>('3.2 Classific. 2'!K14*'4.21 Consumer Alloc'!$J$41)</f>
        <v>954.43272938345615</v>
      </c>
      <c r="H108" s="528">
        <f>('3.2 Classific. 2'!L14*'4.21 Consumer Alloc'!$I$58)</f>
        <v>285.41546427193765</v>
      </c>
      <c r="I108" s="528">
        <f>('3.2 Classific. 2'!M14*'4.21 Consumer Alloc'!$I$75)</f>
        <v>124.63486338011234</v>
      </c>
      <c r="J108" s="550">
        <f t="shared" si="21"/>
        <v>67710.295701373805</v>
      </c>
      <c r="M108" s="14">
        <f t="shared" si="22"/>
        <v>135420.59140274761</v>
      </c>
    </row>
    <row r="109" spans="1:15">
      <c r="A109" s="523" t="str">
        <f t="shared" si="20"/>
        <v>Short Term Interest</v>
      </c>
      <c r="B109" s="542">
        <f>('3.2 Classific. 2'!K33*'4.1 kW &amp; kWh'!$G$84)</f>
        <v>0.72944679387782208</v>
      </c>
      <c r="C109" s="542">
        <f>('3.2 Classific. 2'!G15*'4.1 kW &amp; kWh'!$G$82)</f>
        <v>31.528080369187283</v>
      </c>
      <c r="D109" s="542">
        <f>('3.2 Classific. 2'!F15*'4.21 Consumer Alloc'!$I$8)</f>
        <v>0.59990814375139934</v>
      </c>
      <c r="E109" s="542">
        <f>('3.2 Classific. 2'!G33*'4.1 kW &amp; kWh'!$G$110)</f>
        <v>7.1216920109792827</v>
      </c>
      <c r="F109" s="542">
        <f>('3.2 Classific. 2'!G33*'4.21 Consumer Alloc'!$I$24)</f>
        <v>0.64372339028324643</v>
      </c>
      <c r="G109" s="542">
        <f>('3.2 Classific. 2'!K15*'4.21 Consumer Alloc'!$J$41)</f>
        <v>0.58438922866908571</v>
      </c>
      <c r="H109" s="542">
        <f>('3.2 Classific. 2'!L15*'4.21 Consumer Alloc'!$I$58)</f>
        <v>0.17475691882847727</v>
      </c>
      <c r="I109" s="542">
        <f>('3.2 Classific. 2'!M15*'4.21 Consumer Alloc'!$I$75)</f>
        <v>7.6312629935721937E-2</v>
      </c>
      <c r="J109" s="551">
        <f t="shared" si="21"/>
        <v>41.458309485512324</v>
      </c>
      <c r="M109" s="14">
        <f t="shared" si="22"/>
        <v>82.916618971024647</v>
      </c>
    </row>
    <row r="110" spans="1:15">
      <c r="A110" s="523" t="str">
        <f t="shared" si="20"/>
        <v>Total Costs</v>
      </c>
      <c r="B110" s="528">
        <f>SUM(B101:B109)</f>
        <v>5552.5095309043527</v>
      </c>
      <c r="C110" s="528">
        <f t="shared" ref="C110:J110" si="23">SUM(C101:C109)</f>
        <v>289747.33134476771</v>
      </c>
      <c r="D110" s="528">
        <f t="shared" si="23"/>
        <v>5513.2371418920593</v>
      </c>
      <c r="E110" s="528">
        <f t="shared" si="23"/>
        <v>32346.17548801675</v>
      </c>
      <c r="F110" s="528">
        <f t="shared" si="23"/>
        <v>2923.7419584759346</v>
      </c>
      <c r="G110" s="528">
        <f t="shared" si="23"/>
        <v>5370.6162091295009</v>
      </c>
      <c r="H110" s="528">
        <f t="shared" si="23"/>
        <v>2628.735305981802</v>
      </c>
      <c r="I110" s="528">
        <f t="shared" si="23"/>
        <v>13300.956343386893</v>
      </c>
      <c r="J110" s="528">
        <f t="shared" si="23"/>
        <v>357383.30332255497</v>
      </c>
      <c r="M110" s="14">
        <f t="shared" si="22"/>
        <v>714766.60664511006</v>
      </c>
    </row>
    <row r="111" spans="1:15">
      <c r="A111" s="523" t="str">
        <f t="shared" si="20"/>
        <v>Margin Requirements</v>
      </c>
      <c r="B111" s="542">
        <f>('3.2 Classific. 2'!K35*'4.1 kW &amp; kWh'!$G$84)</f>
        <v>1191.342853845194</v>
      </c>
      <c r="C111" s="542">
        <f>('3.2 Classific. 2'!G17*'4.1 kW &amp; kWh'!$G$82)</f>
        <v>51492.108209306083</v>
      </c>
      <c r="D111" s="542">
        <f>('3.2 Classific. 2'!F17*'4.21 Consumer Alloc'!$I$8)</f>
        <v>979.77849244131721</v>
      </c>
      <c r="E111" s="542">
        <f>('3.2 Classific. 2'!G35*'4.1 kW &amp; kWh'!$G$110)</f>
        <v>11631.248441661748</v>
      </c>
      <c r="F111" s="542">
        <f>('3.2 Classific. 2'!G35*'4.21 Consumer Alloc'!$I$24)</f>
        <v>1051.338174769463</v>
      </c>
      <c r="G111" s="542">
        <f>('3.2 Classific. 2'!K17*'4.21 Consumer Alloc'!$J$41)</f>
        <v>954.43278013177564</v>
      </c>
      <c r="H111" s="542">
        <f>('3.2 Classific. 2'!L17*'4.21 Consumer Alloc'!$I$58)</f>
        <v>285.41547944781621</v>
      </c>
      <c r="I111" s="542">
        <f>('3.2 Classific. 2'!M17*'4.21 Consumer Alloc'!$I$75)</f>
        <v>124.63487000709576</v>
      </c>
      <c r="J111" s="551">
        <f t="shared" si="21"/>
        <v>67710.299301610488</v>
      </c>
      <c r="M111" s="14">
        <f t="shared" si="22"/>
        <v>135420.59860322098</v>
      </c>
    </row>
    <row r="112" spans="1:15" ht="15" thickBot="1">
      <c r="A112" s="526" t="str">
        <f t="shared" si="20"/>
        <v>Revenue Requirements</v>
      </c>
      <c r="B112" s="545">
        <f>SUM(B110:B111)</f>
        <v>6743.8523847495471</v>
      </c>
      <c r="C112" s="545">
        <f t="shared" ref="C112:J112" si="24">SUM(C110:C111)</f>
        <v>341239.43955407379</v>
      </c>
      <c r="D112" s="545">
        <f t="shared" si="24"/>
        <v>6493.0156343333765</v>
      </c>
      <c r="E112" s="545">
        <f t="shared" si="24"/>
        <v>43977.423929678494</v>
      </c>
      <c r="F112" s="545">
        <f t="shared" si="24"/>
        <v>3975.0801332453975</v>
      </c>
      <c r="G112" s="545">
        <f t="shared" si="24"/>
        <v>6325.0489892612768</v>
      </c>
      <c r="H112" s="545">
        <f t="shared" si="24"/>
        <v>2914.1507854296183</v>
      </c>
      <c r="I112" s="545">
        <f t="shared" si="24"/>
        <v>13425.591213393989</v>
      </c>
      <c r="J112" s="545">
        <f t="shared" si="24"/>
        <v>425093.60262416548</v>
      </c>
      <c r="M112" s="14">
        <f>SUM(B112:J112)</f>
        <v>850187.20524833095</v>
      </c>
    </row>
    <row r="113" spans="1:13">
      <c r="B113" s="14"/>
      <c r="C113" s="14"/>
      <c r="D113" s="14"/>
      <c r="E113" s="14"/>
      <c r="F113" s="14"/>
      <c r="G113" s="14"/>
      <c r="H113" s="14"/>
      <c r="I113" s="14"/>
      <c r="J113" s="524"/>
    </row>
    <row r="116" spans="1:13">
      <c r="A116" s="524"/>
      <c r="B116" s="524"/>
      <c r="C116" s="524"/>
      <c r="D116" s="524"/>
      <c r="E116" s="524"/>
      <c r="F116" s="524"/>
      <c r="G116" s="524"/>
      <c r="H116" s="524"/>
      <c r="I116" s="524"/>
      <c r="J116" s="524"/>
    </row>
    <row r="117" spans="1:13" ht="15" thickBot="1">
      <c r="A117" s="524"/>
      <c r="B117" s="524"/>
      <c r="C117" s="524"/>
      <c r="D117" s="524"/>
      <c r="E117" s="524"/>
      <c r="F117" s="524"/>
      <c r="G117" s="524"/>
      <c r="H117" s="524"/>
      <c r="I117" s="524"/>
      <c r="J117" s="524"/>
    </row>
    <row r="118" spans="1:13" ht="15">
      <c r="A118" s="910" t="s">
        <v>673</v>
      </c>
      <c r="B118" s="911"/>
      <c r="C118" s="911"/>
      <c r="D118" s="911"/>
      <c r="E118" s="911"/>
      <c r="F118" s="911"/>
      <c r="G118" s="911"/>
      <c r="H118" s="911"/>
      <c r="I118" s="911"/>
      <c r="J118" s="912"/>
    </row>
    <row r="119" spans="1:13">
      <c r="A119" s="523" t="s">
        <v>1</v>
      </c>
      <c r="B119" s="524" t="s">
        <v>1</v>
      </c>
      <c r="C119" s="908" t="str">
        <f>(C96)</f>
        <v>Lines</v>
      </c>
      <c r="D119" s="909"/>
      <c r="E119" s="908" t="str">
        <f>(E96)</f>
        <v>Transformers</v>
      </c>
      <c r="F119" s="909"/>
      <c r="G119" s="524" t="s">
        <v>1</v>
      </c>
      <c r="H119" s="524" t="s">
        <v>1</v>
      </c>
      <c r="I119" s="525" t="str">
        <f>(I96)</f>
        <v>Cons</v>
      </c>
      <c r="J119" s="547" t="s">
        <v>1</v>
      </c>
    </row>
    <row r="120" spans="1:13" ht="15" thickBot="1">
      <c r="A120" s="526" t="s">
        <v>1</v>
      </c>
      <c r="B120" s="543" t="str">
        <f>(B97)</f>
        <v>Stations</v>
      </c>
      <c r="C120" s="546" t="str">
        <f>(C97)</f>
        <v>Demand</v>
      </c>
      <c r="D120" s="546" t="str">
        <f>(D97)</f>
        <v>Cons.</v>
      </c>
      <c r="E120" s="546" t="str">
        <f>(E97)</f>
        <v>Demand</v>
      </c>
      <c r="F120" s="546" t="str">
        <f>(F97)</f>
        <v>Cons.</v>
      </c>
      <c r="G120" s="546" t="str">
        <f>(G97)</f>
        <v>Services</v>
      </c>
      <c r="H120" s="546" t="str">
        <f>(H97)</f>
        <v>Meters</v>
      </c>
      <c r="I120" s="546" t="str">
        <f>(I97)</f>
        <v>Acctg</v>
      </c>
      <c r="J120" s="561" t="s">
        <v>15</v>
      </c>
    </row>
    <row r="121" spans="1:13">
      <c r="A121" s="534" t="s">
        <v>1</v>
      </c>
      <c r="B121" s="535" t="s">
        <v>1</v>
      </c>
      <c r="C121" s="535" t="s">
        <v>1</v>
      </c>
      <c r="D121" s="472"/>
      <c r="E121" s="472"/>
      <c r="F121" s="472"/>
      <c r="G121" s="472"/>
      <c r="H121" s="472"/>
      <c r="I121" s="472"/>
      <c r="J121" s="558"/>
    </row>
    <row r="122" spans="1:13">
      <c r="A122" s="523" t="str">
        <f t="shared" ref="A122:A135" si="25">(A99)</f>
        <v>Expense</v>
      </c>
      <c r="B122" s="524" t="s">
        <v>1</v>
      </c>
      <c r="C122" s="524" t="s">
        <v>1</v>
      </c>
      <c r="D122" s="3"/>
      <c r="E122" s="3"/>
      <c r="F122" s="3"/>
      <c r="G122" s="3"/>
      <c r="H122" s="3"/>
      <c r="I122" s="3"/>
      <c r="J122" s="559"/>
    </row>
    <row r="123" spans="1:13">
      <c r="A123" s="523" t="str">
        <f t="shared" si="25"/>
        <v>Purchased Power</v>
      </c>
      <c r="B123" s="524"/>
      <c r="C123" s="524" t="s">
        <v>1</v>
      </c>
      <c r="D123" s="3"/>
      <c r="E123" s="3"/>
      <c r="F123" s="3"/>
      <c r="G123" s="3"/>
      <c r="H123" s="3"/>
      <c r="I123" s="3"/>
      <c r="J123" s="549" t="s">
        <v>1</v>
      </c>
    </row>
    <row r="124" spans="1:13">
      <c r="A124" s="523" t="str">
        <f t="shared" si="25"/>
        <v>Distibution Operations</v>
      </c>
      <c r="B124" s="528">
        <f>('3.2 Classific. 2'!K25*'4.1 kW &amp; kWh'!$H$84)</f>
        <v>2358.0166793557332</v>
      </c>
      <c r="C124" s="528">
        <f>('3.2 Classific. 2'!G7*'4.1 kW &amp; kWh'!$H$82)</f>
        <v>34221.454621456804</v>
      </c>
      <c r="D124" s="528">
        <f>('3.2 Classific. 2'!F7*'4.21 Consumer Alloc'!$I$9)</f>
        <v>195.00377244094335</v>
      </c>
      <c r="E124" s="528">
        <f>('3.2 Classific. 2'!G25*'4.1 kW &amp; kWh'!$H$110)</f>
        <v>0</v>
      </c>
      <c r="F124" s="528">
        <f>('3.2 Classific. 2'!F25*'4.21 Consumer Alloc'!$I$25)</f>
        <v>0</v>
      </c>
      <c r="G124" s="528">
        <f>('3.2 Classific. 2'!K7*'4.21 Consumer Alloc'!$J$42)</f>
        <v>0</v>
      </c>
      <c r="H124" s="528">
        <f>('3.2 Classific. 2'!L7*'4.21 Consumer Alloc'!$I$59)</f>
        <v>423.4474321231221</v>
      </c>
      <c r="I124" s="528">
        <f>('3.2 Classific. 2'!M7*('4.21 Consumer Alloc'!$I$76))</f>
        <v>0</v>
      </c>
      <c r="J124" s="549">
        <f>SUM(B124:I124)</f>
        <v>37197.922505376606</v>
      </c>
      <c r="M124" s="14">
        <f>SUM(B124:I124)</f>
        <v>37197.922505376606</v>
      </c>
    </row>
    <row r="125" spans="1:13">
      <c r="A125" s="523" t="str">
        <f t="shared" si="25"/>
        <v>Distribution Maintenance</v>
      </c>
      <c r="B125" s="528">
        <f>('3.2 Classific. 2'!K26*'4.1 kW &amp; kWh'!$H$84)</f>
        <v>6.5963425570980796</v>
      </c>
      <c r="C125" s="528">
        <f>('3.2 Classific. 2'!G8*'4.1 kW &amp; kWh'!$H$82)</f>
        <v>119551.87327230704</v>
      </c>
      <c r="D125" s="528">
        <f>('3.2 Classific. 2'!F8*'4.21 Consumer Alloc'!$I$9)</f>
        <v>681.24124320139811</v>
      </c>
      <c r="E125" s="528">
        <f>('3.2 Classific. 2'!G26*'4.1 kW &amp; kWh'!$H$110)</f>
        <v>481.01929072375611</v>
      </c>
      <c r="F125" s="528">
        <f>('3.2 Classific. 2'!F26*'4.21 Consumer Alloc'!$I$25)</f>
        <v>40.999149442826379</v>
      </c>
      <c r="G125" s="528">
        <f>('3.2 Classific. 2'!K8*'4.21 Consumer Alloc'!$J$42)</f>
        <v>0</v>
      </c>
      <c r="H125" s="528">
        <f>('3.2 Classific. 2'!L8*'4.21 Consumer Alloc'!$I$59)</f>
        <v>149.23680505972857</v>
      </c>
      <c r="I125" s="528">
        <f>('3.2 Classific. 2'!M8*('4.21 Consumer Alloc'!$I$76))</f>
        <v>0</v>
      </c>
      <c r="J125" s="549">
        <f t="shared" ref="J125:J134" si="26">SUM(B125:I125)</f>
        <v>120910.96610329184</v>
      </c>
      <c r="M125" s="14">
        <f t="shared" ref="M125:M134" si="27">SUM(B125:I125)</f>
        <v>120910.96610329184</v>
      </c>
    </row>
    <row r="126" spans="1:13">
      <c r="A126" s="523" t="str">
        <f t="shared" si="25"/>
        <v>Consumer Accounts</v>
      </c>
      <c r="B126" s="528">
        <f>('3.2 Classific. 2'!K27*'4.1 kW &amp; kWh'!$H$84)</f>
        <v>0</v>
      </c>
      <c r="C126" s="528">
        <f>('3.2 Classific. 2'!G9*'4.1 kW &amp; kWh'!$H$82)</f>
        <v>0</v>
      </c>
      <c r="D126" s="528">
        <f>('3.2 Classific. 2'!F9*'4.21 Consumer Alloc'!$I$9)</f>
        <v>0</v>
      </c>
      <c r="E126" s="528">
        <f>('3.2 Classific. 2'!G27*'4.1 kW &amp; kWh'!$H$110)</f>
        <v>0</v>
      </c>
      <c r="F126" s="528">
        <f>('3.2 Classific. 2'!F27*'4.21 Consumer Alloc'!$I$25)</f>
        <v>0</v>
      </c>
      <c r="G126" s="528">
        <f>('3.2 Classific. 2'!K9*'4.21 Consumer Alloc'!$J$42)</f>
        <v>0</v>
      </c>
      <c r="H126" s="528">
        <f>('3.2 Classific. 2'!L9*'4.21 Consumer Alloc'!$I$59)</f>
        <v>0</v>
      </c>
      <c r="I126" s="528">
        <f>('3.2 Classific. 2'!M9*('4.21 Consumer Alloc'!$I$76))</f>
        <v>2973.2662855644912</v>
      </c>
      <c r="J126" s="549">
        <f t="shared" si="26"/>
        <v>2973.2662855644912</v>
      </c>
      <c r="M126" s="14">
        <f t="shared" si="27"/>
        <v>2973.2662855644912</v>
      </c>
    </row>
    <row r="127" spans="1:13">
      <c r="A127" s="523" t="str">
        <f t="shared" si="25"/>
        <v>Customer Service</v>
      </c>
      <c r="B127" s="528">
        <f>('3.2 Classific. 2'!K28*'4.1 kW &amp; kWh'!$H$84)</f>
        <v>0</v>
      </c>
      <c r="C127" s="528">
        <f>('3.2 Classific. 2'!G10*'4.1 kW &amp; kWh'!$H$82)</f>
        <v>0</v>
      </c>
      <c r="D127" s="528">
        <f>('3.2 Classific. 2'!F10*'4.21 Consumer Alloc'!$I$9)</f>
        <v>0</v>
      </c>
      <c r="E127" s="528">
        <f>('3.2 Classific. 2'!G28*'4.1 kW &amp; kWh'!$H$110)</f>
        <v>0</v>
      </c>
      <c r="F127" s="528">
        <f>('3.2 Classific. 2'!F28*'4.21 Consumer Alloc'!$I$25)</f>
        <v>0</v>
      </c>
      <c r="G127" s="528">
        <f>('3.2 Classific. 2'!K10*'4.21 Consumer Alloc'!$J$42)</f>
        <v>0</v>
      </c>
      <c r="H127" s="528">
        <f>('3.2 Classific. 2'!L10*'4.21 Consumer Alloc'!$I$59)</f>
        <v>0</v>
      </c>
      <c r="I127" s="528">
        <f>('3.2 Classific. 2'!M10*('4.21 Consumer Alloc'!$I$76))</f>
        <v>1048.9273096218699</v>
      </c>
      <c r="J127" s="549">
        <f t="shared" si="26"/>
        <v>1048.9273096218699</v>
      </c>
      <c r="M127" s="14">
        <f t="shared" si="27"/>
        <v>1048.9273096218699</v>
      </c>
    </row>
    <row r="128" spans="1:13">
      <c r="A128" s="523" t="str">
        <f t="shared" si="25"/>
        <v>Administative &amp; General</v>
      </c>
      <c r="B128" s="528">
        <f>('3.2 Classific. 2'!K29*'4.1 kW &amp; kWh'!$H$84)</f>
        <v>806.53916511295472</v>
      </c>
      <c r="C128" s="528">
        <f>('3.2 Classific. 2'!G11*'4.1 kW &amp; kWh'!$H$82)</f>
        <v>52450.10931883844</v>
      </c>
      <c r="D128" s="528">
        <f>('3.2 Classific. 2'!F11*'4.21 Consumer Alloc'!$I$9)</f>
        <v>298.87593310251788</v>
      </c>
      <c r="E128" s="528">
        <f>('3.2 Classific. 2'!G29*'4.1 kW &amp; kWh'!$H$110)</f>
        <v>164.06950885761708</v>
      </c>
      <c r="F128" s="528">
        <f>('3.2 Classific. 2'!F29*'4.21 Consumer Alloc'!$I$25)</f>
        <v>13.984283878809428</v>
      </c>
      <c r="G128" s="528">
        <f>('3.2 Classific. 2'!K11*'4.21 Consumer Alloc'!$J$42)</f>
        <v>0</v>
      </c>
      <c r="H128" s="528">
        <f>('3.2 Classific. 2'!L11*'4.21 Consumer Alloc'!$I$59)</f>
        <v>195.33524608485934</v>
      </c>
      <c r="I128" s="528">
        <f>('3.2 Classific. 2'!M11*('4.21 Consumer Alloc'!$I$76))</f>
        <v>1371.9186328256083</v>
      </c>
      <c r="J128" s="549">
        <f t="shared" si="26"/>
        <v>55300.832088700816</v>
      </c>
      <c r="M128" s="14">
        <f t="shared" si="27"/>
        <v>55300.832088700816</v>
      </c>
    </row>
    <row r="129" spans="1:13">
      <c r="A129" s="523" t="str">
        <f t="shared" si="25"/>
        <v>Depreciation</v>
      </c>
      <c r="B129" s="528">
        <f>('3.2 Classific. 2'!K30*'4.1 kW &amp; kWh'!$H$84)</f>
        <v>2952.3127846964826</v>
      </c>
      <c r="C129" s="528">
        <f>('3.2 Classific. 2'!G12*'4.1 kW &amp; kWh'!$H$82)</f>
        <v>128402.12835182236</v>
      </c>
      <c r="D129" s="528">
        <f>('3.2 Classific. 2'!F12*'4.21 Consumer Alloc'!$I$9)</f>
        <v>731.67256316311637</v>
      </c>
      <c r="E129" s="528">
        <f>('3.2 Classific. 2'!G30*'4.1 kW &amp; kWh'!$H$110)</f>
        <v>32176.261601880065</v>
      </c>
      <c r="F129" s="528">
        <f>('3.2 Classific. 2'!F30*'4.21 Consumer Alloc'!$I$25)</f>
        <v>2742.5082182089823</v>
      </c>
      <c r="G129" s="528">
        <f>('3.2 Classific. 2'!K12*'4.21 Consumer Alloc'!$J$42)</f>
        <v>0</v>
      </c>
      <c r="H129" s="528">
        <f>('3.2 Classific. 2'!L12*'4.21 Consumer Alloc'!$I$59)</f>
        <v>218.04980038670729</v>
      </c>
      <c r="I129" s="528">
        <f>('3.2 Classific. 2'!M12*('4.21 Consumer Alloc'!$I$76))</f>
        <v>153.55422185176383</v>
      </c>
      <c r="J129" s="549">
        <f t="shared" si="26"/>
        <v>167376.48754200948</v>
      </c>
      <c r="M129" s="14">
        <f t="shared" si="27"/>
        <v>167376.48754200948</v>
      </c>
    </row>
    <row r="130" spans="1:13">
      <c r="A130" s="523" t="str">
        <f t="shared" si="25"/>
        <v>Miscellaneous</v>
      </c>
      <c r="B130" s="528">
        <f>('3.2 Classific. 2'!K31*'4.1 kW &amp; kWh'!$H$84)</f>
        <v>7.2215873937364252</v>
      </c>
      <c r="C130" s="528">
        <f>('3.2 Classific. 2'!G13*'4.1 kW &amp; kWh'!$H$82)</f>
        <v>312.13076766359359</v>
      </c>
      <c r="D130" s="528">
        <f>('3.2 Classific. 2'!F13*'4.21 Consumer Alloc'!$I$9)</f>
        <v>1.7786116301182897</v>
      </c>
      <c r="E130" s="528">
        <f>('3.2 Classific. 2'!G31*'4.1 kW &amp; kWh'!$H$110)</f>
        <v>79.674346492226348</v>
      </c>
      <c r="F130" s="528">
        <f>('3.2 Classific. 2'!F31*'4.21 Consumer Alloc'!$I$25)</f>
        <v>6.7909551687195799</v>
      </c>
      <c r="G130" s="528">
        <f>('3.2 Classific. 2'!K13*'4.21 Consumer Alloc'!$J$42)</f>
        <v>0</v>
      </c>
      <c r="H130" s="528">
        <f>('3.2 Classific. 2'!L13*'4.21 Consumer Alloc'!$I$59)</f>
        <v>0.51812046812415447</v>
      </c>
      <c r="I130" s="528">
        <f>('3.2 Classific. 2'!M13*('4.21 Consumer Alloc'!$I$76))</f>
        <v>0.22625218967661592</v>
      </c>
      <c r="J130" s="549">
        <f t="shared" si="26"/>
        <v>408.34064100619497</v>
      </c>
      <c r="M130" s="14">
        <f t="shared" si="27"/>
        <v>408.34064100619497</v>
      </c>
    </row>
    <row r="131" spans="1:13">
      <c r="A131" s="523" t="str">
        <f t="shared" si="25"/>
        <v>Interest on Long Term Debt</v>
      </c>
      <c r="B131" s="528">
        <f>('3.2 Classific. 2'!K32*'4.1 kW &amp; kWh'!$H$84)</f>
        <v>1675.0038450779357</v>
      </c>
      <c r="C131" s="528">
        <f>('3.2 Classific. 2'!G14*'4.1 kW &amp; kWh'!$H$82)</f>
        <v>72396.857851102119</v>
      </c>
      <c r="D131" s="528">
        <f>('3.2 Classific. 2'!F14*'4.21 Consumer Alloc'!$I$9)</f>
        <v>412.53829067172057</v>
      </c>
      <c r="E131" s="528">
        <f>('3.2 Classific. 2'!G32*'4.1 kW &amp; kWh'!$H$110)</f>
        <v>18479.986386968281</v>
      </c>
      <c r="F131" s="528">
        <f>('3.2 Classific. 2'!F32*'4.21 Consumer Alloc'!$I$25)</f>
        <v>1575.1212855532383</v>
      </c>
      <c r="G131" s="528">
        <f>('3.2 Classific. 2'!K14*'4.21 Consumer Alloc'!$J$42)</f>
        <v>0</v>
      </c>
      <c r="H131" s="528">
        <f>('3.2 Classific. 2'!L14*'4.21 Consumer Alloc'!$I$59)</f>
        <v>120.17493232502639</v>
      </c>
      <c r="I131" s="528">
        <f>('3.2 Classific. 2'!M14*('4.21 Consumer Alloc'!$I$76))</f>
        <v>52.477837212678878</v>
      </c>
      <c r="J131" s="549">
        <f t="shared" si="26"/>
        <v>94712.160428911011</v>
      </c>
      <c r="M131" s="14">
        <f t="shared" si="27"/>
        <v>94712.160428911011</v>
      </c>
    </row>
    <row r="132" spans="1:13">
      <c r="A132" s="553" t="str">
        <f t="shared" si="25"/>
        <v>Short Term Interest</v>
      </c>
      <c r="B132" s="542">
        <f>('3.2 Classific. 2'!K33*'4.1 kW &amp; kWh'!$H$84)</f>
        <v>1.0255874247681835</v>
      </c>
      <c r="C132" s="528">
        <f>('3.2 Classific. 2'!G15*'4.1 kW &amp; kWh'!$H$82)</f>
        <v>44.327842722871701</v>
      </c>
      <c r="D132" s="542">
        <f>('3.2 Classific. 2'!F15*'4.21 Consumer Alloc'!$I$9)</f>
        <v>0.25259290263216816</v>
      </c>
      <c r="E132" s="542">
        <f>('3.2 Classific. 2'!G33*'4.1 kW &amp; kWh'!$H$110)</f>
        <v>11.315103367706024</v>
      </c>
      <c r="F132" s="542">
        <f>('3.2 Classific. 2'!F33*'4.21 Consumer Alloc'!$I$25)</f>
        <v>0.96443037291829803</v>
      </c>
      <c r="G132" s="542">
        <f>('3.2 Classific. 2'!K15*'4.21 Consumer Alloc'!$J$42)</f>
        <v>0</v>
      </c>
      <c r="H132" s="542">
        <f>('3.2 Classific. 2'!L15*'4.21 Consumer Alloc'!$I$59)</f>
        <v>7.358186055935885E-2</v>
      </c>
      <c r="I132" s="542">
        <f>('3.2 Classific. 2'!M15*('4.21 Consumer Alloc'!$I$76))</f>
        <v>3.213163365714608E-2</v>
      </c>
      <c r="J132" s="555">
        <f t="shared" si="26"/>
        <v>57.991270285112876</v>
      </c>
      <c r="M132" s="14">
        <f t="shared" si="27"/>
        <v>57.991270285112876</v>
      </c>
    </row>
    <row r="133" spans="1:13">
      <c r="A133" s="523" t="str">
        <f t="shared" si="25"/>
        <v>Total Costs</v>
      </c>
      <c r="B133" s="528">
        <f>SUM(B124:B132)</f>
        <v>7806.7159916187093</v>
      </c>
      <c r="C133" s="528">
        <f t="shared" ref="C133:J133" si="28">SUM(C124:C132)</f>
        <v>407378.88202591328</v>
      </c>
      <c r="D133" s="528">
        <f t="shared" si="28"/>
        <v>2321.3630071124471</v>
      </c>
      <c r="E133" s="528">
        <f t="shared" si="28"/>
        <v>51392.32623828965</v>
      </c>
      <c r="F133" s="528">
        <f t="shared" si="28"/>
        <v>4380.3683226254943</v>
      </c>
      <c r="G133" s="528">
        <f t="shared" si="28"/>
        <v>0</v>
      </c>
      <c r="H133" s="528">
        <f t="shared" si="28"/>
        <v>1106.8359183081272</v>
      </c>
      <c r="I133" s="528">
        <f t="shared" si="28"/>
        <v>5600.4026708997453</v>
      </c>
      <c r="J133" s="528">
        <f t="shared" si="28"/>
        <v>479986.89417476743</v>
      </c>
      <c r="M133" s="14">
        <f t="shared" si="27"/>
        <v>479986.89417476743</v>
      </c>
    </row>
    <row r="134" spans="1:13">
      <c r="A134" s="523" t="str">
        <f t="shared" si="25"/>
        <v>Margin Requirements</v>
      </c>
      <c r="B134" s="542">
        <f>('3.2 Classific. 2'!K35*'4.1 kW &amp; kWh'!$H$84)</f>
        <v>1675.0039341398756</v>
      </c>
      <c r="C134" s="542">
        <f>('3.2 Classific. 2'!G17*'4.1 kW &amp; kWh'!$H$82)</f>
        <v>72396.861700528869</v>
      </c>
      <c r="D134" s="542">
        <f>('3.2 Classific. 2'!F17*'4.21 Consumer Alloc'!$I$9)</f>
        <v>412.53831260687048</v>
      </c>
      <c r="E134" s="542">
        <f>('3.2 Classific. 2'!G35*'4.1 kW &amp; kWh'!$H$110)</f>
        <v>18479.987369571063</v>
      </c>
      <c r="F134" s="542">
        <f>('3.2 Classific. 2'!F35*'4.21 Consumer Alloc'!$I$25)</f>
        <v>1575.1213693043044</v>
      </c>
      <c r="G134" s="542">
        <f>('3.2 Classific. 2'!K17*'4.21 Consumer Alloc'!$J$42)</f>
        <v>0</v>
      </c>
      <c r="H134" s="542">
        <f>('3.2 Classific. 2'!L17*'4.21 Consumer Alloc'!$I$59)</f>
        <v>120.17493871487</v>
      </c>
      <c r="I134" s="542">
        <f>('3.2 Classific. 2'!M17*('4.21 Consumer Alloc'!$I$76))</f>
        <v>52.477840002987691</v>
      </c>
      <c r="J134" s="555">
        <f t="shared" si="26"/>
        <v>94712.165464868856</v>
      </c>
      <c r="M134" s="14">
        <f t="shared" si="27"/>
        <v>94712.165464868856</v>
      </c>
    </row>
    <row r="135" spans="1:13" ht="15" thickBot="1">
      <c r="A135" s="526" t="str">
        <f t="shared" si="25"/>
        <v>Revenue Requirements</v>
      </c>
      <c r="B135" s="545">
        <f>SUM(B133:B134)</f>
        <v>9481.7199257585853</v>
      </c>
      <c r="C135" s="545">
        <f t="shared" ref="C135:J135" si="29">SUM(C133:C134)</f>
        <v>479775.74372644216</v>
      </c>
      <c r="D135" s="545">
        <f t="shared" si="29"/>
        <v>2733.9013197193176</v>
      </c>
      <c r="E135" s="545">
        <f t="shared" si="29"/>
        <v>69872.313607860706</v>
      </c>
      <c r="F135" s="545">
        <f t="shared" si="29"/>
        <v>5955.4896919297989</v>
      </c>
      <c r="G135" s="545">
        <f t="shared" si="29"/>
        <v>0</v>
      </c>
      <c r="H135" s="545">
        <f t="shared" si="29"/>
        <v>1227.0108570229972</v>
      </c>
      <c r="I135" s="545">
        <f t="shared" si="29"/>
        <v>5652.8805109027326</v>
      </c>
      <c r="J135" s="545">
        <f t="shared" si="29"/>
        <v>574699.05963963631</v>
      </c>
      <c r="M135" s="14">
        <f>SUM(B135:I135)</f>
        <v>574699.05963963619</v>
      </c>
    </row>
    <row r="140" spans="1:13" ht="15" thickBot="1">
      <c r="J140" s="524"/>
    </row>
    <row r="141" spans="1:13" ht="15.75">
      <c r="A141" s="904" t="s">
        <v>675</v>
      </c>
      <c r="B141" s="905"/>
      <c r="C141" s="905"/>
      <c r="D141" s="905"/>
      <c r="E141" s="905"/>
      <c r="F141" s="905"/>
      <c r="G141" s="905"/>
      <c r="H141" s="905"/>
      <c r="I141" s="905"/>
      <c r="J141" s="906"/>
    </row>
    <row r="142" spans="1:13" s="532" customFormat="1">
      <c r="A142" s="531"/>
      <c r="B142" s="525"/>
      <c r="C142" s="908" t="s">
        <v>5</v>
      </c>
      <c r="D142" s="909"/>
      <c r="E142" s="908" t="s">
        <v>95</v>
      </c>
      <c r="F142" s="909"/>
      <c r="G142" s="525"/>
      <c r="H142" s="525"/>
      <c r="I142" s="525" t="s">
        <v>666</v>
      </c>
      <c r="J142" s="547" t="s">
        <v>1</v>
      </c>
    </row>
    <row r="143" spans="1:13" s="532" customFormat="1" ht="15" thickBot="1">
      <c r="A143" s="533"/>
      <c r="B143" s="527" t="s">
        <v>240</v>
      </c>
      <c r="C143" s="527" t="s">
        <v>131</v>
      </c>
      <c r="D143" s="527" t="s">
        <v>667</v>
      </c>
      <c r="E143" s="527" t="s">
        <v>131</v>
      </c>
      <c r="F143" s="527" t="s">
        <v>667</v>
      </c>
      <c r="G143" s="527" t="s">
        <v>8</v>
      </c>
      <c r="H143" s="527" t="s">
        <v>550</v>
      </c>
      <c r="I143" s="527" t="s">
        <v>668</v>
      </c>
      <c r="J143" s="552" t="s">
        <v>15</v>
      </c>
    </row>
    <row r="144" spans="1:13">
      <c r="A144" s="534"/>
      <c r="B144" s="535"/>
      <c r="C144" s="535"/>
      <c r="D144" s="535"/>
      <c r="E144" s="535"/>
      <c r="F144" s="535"/>
      <c r="G144" s="535"/>
      <c r="H144" s="535"/>
      <c r="I144" s="535"/>
      <c r="J144" s="554"/>
    </row>
    <row r="145" spans="1:13" ht="15">
      <c r="A145" s="562" t="str">
        <f t="shared" ref="A145:A158" si="30">(A122)</f>
        <v>Expense</v>
      </c>
      <c r="B145" s="524"/>
      <c r="C145" s="524"/>
      <c r="D145" s="524"/>
      <c r="E145" s="524"/>
      <c r="F145" s="524"/>
      <c r="G145" s="524"/>
      <c r="H145" s="524"/>
      <c r="I145" s="524"/>
      <c r="J145" s="548"/>
    </row>
    <row r="146" spans="1:13">
      <c r="A146" s="523" t="str">
        <f t="shared" si="30"/>
        <v>Purchased Power</v>
      </c>
      <c r="B146" s="524"/>
      <c r="C146" s="524"/>
      <c r="D146" s="524"/>
      <c r="E146" s="524"/>
      <c r="F146" s="524"/>
      <c r="G146" s="524"/>
      <c r="H146" s="524"/>
      <c r="I146" s="524"/>
      <c r="J146" s="549" t="s">
        <v>1</v>
      </c>
    </row>
    <row r="147" spans="1:13">
      <c r="A147" s="523" t="str">
        <f t="shared" si="30"/>
        <v>Distibution Operations</v>
      </c>
      <c r="B147" s="528">
        <f>('3.2 Classific. 2'!K25*'4.1 kW &amp; kWh'!$I$84)</f>
        <v>700.51580746529396</v>
      </c>
      <c r="C147" s="528">
        <f>('3.2 Classific. 2'!G7*'4.1 kW &amp; kWh'!$I$82)</f>
        <v>10166.454769665428</v>
      </c>
      <c r="D147" s="528">
        <f>('3.2 Classific. 2'!F7*'4.21 Consumer Alloc'!$I$12)</f>
        <v>1397.5270358267605</v>
      </c>
      <c r="E147" s="528">
        <f>('3.2 Classific. 2'!G25*'4.1 kW &amp; kWh'!$I$110)</f>
        <v>0</v>
      </c>
      <c r="F147" s="528">
        <f>('3.2 Classific. 2'!F25*'4.21 Consumer Alloc'!$I$28)</f>
        <v>0</v>
      </c>
      <c r="G147" s="528">
        <f>('3.2 Classific. 2'!K7*'4.21 Consumer Alloc'!$J$45)</f>
        <v>4556.6146245614345</v>
      </c>
      <c r="H147" s="528">
        <f>SUM('3.2 Classific. 2'!L25:M25)</f>
        <v>398169.78127081081</v>
      </c>
      <c r="I147" s="528">
        <f>('3.2 Classific. 2'!M7*'4.21 Consumer Alloc'!$I$79)</f>
        <v>0</v>
      </c>
      <c r="J147" s="550">
        <f>SUM(B147:I147)</f>
        <v>414990.89350832975</v>
      </c>
      <c r="M147" s="14">
        <f>SUM(B147:J147)</f>
        <v>829981.78701665951</v>
      </c>
    </row>
    <row r="148" spans="1:13">
      <c r="A148" s="523" t="str">
        <f t="shared" si="30"/>
        <v>Distribution Maintenance</v>
      </c>
      <c r="B148" s="528">
        <f>('3.2 Classific. 2'!K26*'4.1 kW &amp; kWh'!$I$84)</f>
        <v>1.9596308512820906</v>
      </c>
      <c r="C148" s="528">
        <f>('3.2 Classific. 2'!G8*'4.1 kW &amp; kWh'!$I$82)</f>
        <v>35516.278477818327</v>
      </c>
      <c r="D148" s="528">
        <f>('3.2 Classific. 2'!F8*'4.21 Consumer Alloc'!$I$12)</f>
        <v>4882.2289096100194</v>
      </c>
      <c r="E148" s="528">
        <f>('3.2 Classific. 2'!G26*'4.1 kW &amp; kWh'!$I$110)</f>
        <v>125.96374581252161</v>
      </c>
      <c r="F148" s="528">
        <f>('3.2 Classific. 2'!F26*'4.21 Consumer Alloc'!$I$28)</f>
        <v>3.3280040432643085</v>
      </c>
      <c r="G148" s="528">
        <f>('3.2 Classific. 2'!K8*'4.21 Consumer Alloc'!$J$45)</f>
        <v>15918.42953995155</v>
      </c>
      <c r="H148" s="528">
        <f>SUM('3.2 Classific. 2'!L26:M26)</f>
        <v>221001.4790311534</v>
      </c>
      <c r="I148" s="528">
        <f>('3.2 Classific. 2'!M8*'4.21 Consumer Alloc'!$I$79)</f>
        <v>0</v>
      </c>
      <c r="J148" s="550">
        <f t="shared" ref="J148:J157" si="31">SUM(B148:I148)</f>
        <v>277449.66733924038</v>
      </c>
      <c r="M148" s="14">
        <f t="shared" ref="M148:M158" si="32">SUM(B148:J148)</f>
        <v>554899.33467848075</v>
      </c>
    </row>
    <row r="149" spans="1:13">
      <c r="A149" s="523" t="str">
        <f t="shared" si="30"/>
        <v>Consumer Accounts</v>
      </c>
      <c r="B149" s="528">
        <f>('3.2 Classific. 2'!K27*'4.1 kW &amp; kWh'!$I$84)</f>
        <v>0</v>
      </c>
      <c r="C149" s="528">
        <f>('3.2 Classific. 2'!G9*'4.1 kW &amp; kWh'!$I$82)</f>
        <v>0</v>
      </c>
      <c r="D149" s="528">
        <f>('3.2 Classific. 2'!F9*'4.21 Consumer Alloc'!$I$12)</f>
        <v>0</v>
      </c>
      <c r="E149" s="528">
        <f>('3.2 Classific. 2'!G27*'4.1 kW &amp; kWh'!$I$110)</f>
        <v>0</v>
      </c>
      <c r="F149" s="528">
        <f>('3.2 Classific. 2'!F27*'4.21 Consumer Alloc'!$I$28)</f>
        <v>0</v>
      </c>
      <c r="G149" s="528">
        <f>('3.2 Classific. 2'!K9*'4.21 Consumer Alloc'!$J$45)</f>
        <v>0</v>
      </c>
      <c r="H149" s="528">
        <f>SUM('3.2 Classific. 2'!L27:M27)</f>
        <v>0</v>
      </c>
      <c r="I149" s="528">
        <f>('3.2 Classific. 2'!M9*'4.21 Consumer Alloc'!$I$79)</f>
        <v>55919.705665754183</v>
      </c>
      <c r="J149" s="550">
        <f t="shared" si="31"/>
        <v>55919.705665754183</v>
      </c>
      <c r="M149" s="14">
        <f t="shared" si="32"/>
        <v>111839.41133150837</v>
      </c>
    </row>
    <row r="150" spans="1:13">
      <c r="A150" s="523" t="str">
        <f t="shared" si="30"/>
        <v>Customer Service</v>
      </c>
      <c r="B150" s="528">
        <f>('3.2 Classific. 2'!K28*'4.1 kW &amp; kWh'!$I$84)</f>
        <v>0</v>
      </c>
      <c r="C150" s="528">
        <f>('3.2 Classific. 2'!G10*'4.1 kW &amp; kWh'!$I$82)</f>
        <v>0</v>
      </c>
      <c r="D150" s="528">
        <f>('3.2 Classific. 2'!F10*'4.21 Consumer Alloc'!$I$12)</f>
        <v>0</v>
      </c>
      <c r="E150" s="528">
        <f>('3.2 Classific. 2'!G28*'4.1 kW &amp; kWh'!$I$110)</f>
        <v>0</v>
      </c>
      <c r="F150" s="528">
        <f>('3.2 Classific. 2'!F28*'4.21 Consumer Alloc'!$I$28)</f>
        <v>0</v>
      </c>
      <c r="G150" s="528">
        <f>('3.2 Classific. 2'!K10*'4.21 Consumer Alloc'!$J$45)</f>
        <v>0</v>
      </c>
      <c r="H150" s="528">
        <f>SUM('3.2 Classific. 2'!L28:M28)</f>
        <v>0</v>
      </c>
      <c r="I150" s="528">
        <f>('3.2 Classific. 2'!M10*'4.21 Consumer Alloc'!$I$79)</f>
        <v>19727.700375713321</v>
      </c>
      <c r="J150" s="550">
        <f t="shared" si="31"/>
        <v>19727.700375713321</v>
      </c>
      <c r="M150" s="14">
        <f t="shared" si="32"/>
        <v>39455.400751426641</v>
      </c>
    </row>
    <row r="151" spans="1:13">
      <c r="A151" s="523" t="str">
        <f t="shared" si="30"/>
        <v>Administative &amp; General</v>
      </c>
      <c r="B151" s="528">
        <f>('3.2 Classific. 2'!K29*'4.1 kW &amp; kWh'!$I$84)</f>
        <v>239.60535964311131</v>
      </c>
      <c r="C151" s="528">
        <f>('3.2 Classific. 2'!G11*'4.1 kW &amp; kWh'!$I$82)</f>
        <v>15581.794226819415</v>
      </c>
      <c r="D151" s="528">
        <f>('3.2 Classific. 2'!F11*'4.21 Consumer Alloc'!$I$12)</f>
        <v>2141.9441872347111</v>
      </c>
      <c r="E151" s="528">
        <f>('3.2 Classific. 2'!G29*'4.1 kW &amp; kWh'!$I$110)</f>
        <v>42.964617652298799</v>
      </c>
      <c r="F151" s="528">
        <f>('3.2 Classific. 2'!F29*'4.21 Consumer Alloc'!$I$28)</f>
        <v>1.1351394827283843</v>
      </c>
      <c r="G151" s="528">
        <f>('3.2 Classific. 2'!K11*'4.21 Consumer Alloc'!$J$45)</f>
        <v>6983.7748811593683</v>
      </c>
      <c r="H151" s="528">
        <f>SUM('3.2 Classific. 2'!L29:M29)</f>
        <v>211191.37326830276</v>
      </c>
      <c r="I151" s="528">
        <f>('3.2 Classific. 2'!M11*'4.21 Consumer Alloc'!$I$79)</f>
        <v>25802.359686867632</v>
      </c>
      <c r="J151" s="550">
        <f t="shared" si="31"/>
        <v>261984.95136716202</v>
      </c>
      <c r="M151" s="14">
        <f t="shared" si="32"/>
        <v>523969.90273432405</v>
      </c>
    </row>
    <row r="152" spans="1:13">
      <c r="A152" s="523" t="str">
        <f t="shared" si="30"/>
        <v>Depreciation</v>
      </c>
      <c r="B152" s="528">
        <f>('3.2 Classific. 2'!K30*'4.1 kW &amp; kWh'!$I$84)</f>
        <v>877.06833983330137</v>
      </c>
      <c r="C152" s="528">
        <f>('3.2 Classific. 2'!G12*'4.1 kW &amp; kWh'!$I$82)</f>
        <v>38145.498040842969</v>
      </c>
      <c r="D152" s="528">
        <f>('3.2 Classific. 2'!F12*'4.21 Consumer Alloc'!$I$12)</f>
        <v>5243.6533693356669</v>
      </c>
      <c r="E152" s="528">
        <f>('3.2 Classific. 2'!G30*'4.1 kW &amp; kWh'!$I$110)</f>
        <v>8425.9457277027086</v>
      </c>
      <c r="F152" s="528">
        <f>('3.2 Classific. 2'!F30*'4.21 Consumer Alloc'!$I$28)</f>
        <v>222.61628748208219</v>
      </c>
      <c r="G152" s="528">
        <f>('3.2 Classific. 2'!K12*'4.21 Consumer Alloc'!$J$45)</f>
        <v>17096.848229995598</v>
      </c>
      <c r="H152" s="528">
        <f>SUM('3.2 Classific. 2'!L30:M30)</f>
        <v>351615.27048213658</v>
      </c>
      <c r="I152" s="528">
        <f>('3.2 Classific. 2'!M12*'4.21 Consumer Alloc'!$I$79)</f>
        <v>2887.9710274770487</v>
      </c>
      <c r="J152" s="550">
        <f t="shared" si="31"/>
        <v>424514.87150480598</v>
      </c>
      <c r="M152" s="14">
        <f t="shared" si="32"/>
        <v>849029.74300961196</v>
      </c>
    </row>
    <row r="153" spans="1:13">
      <c r="A153" s="523" t="str">
        <f t="shared" si="30"/>
        <v>Miscellaneous</v>
      </c>
      <c r="B153" s="528">
        <f>('3.2 Classific. 2'!K31*'4.1 kW &amp; kWh'!$I$84)</f>
        <v>2.1453775830316246</v>
      </c>
      <c r="C153" s="528">
        <f>('3.2 Classific. 2'!G13*'4.1 kW &amp; kWh'!$I$82)</f>
        <v>92.727307087736747</v>
      </c>
      <c r="D153" s="528">
        <f>('3.2 Classific. 2'!F13*'4.21 Consumer Alloc'!$I$12)</f>
        <v>12.746716682514409</v>
      </c>
      <c r="E153" s="528">
        <f>('3.2 Classific. 2'!G31*'4.1 kW &amp; kWh'!$I$110)</f>
        <v>20.864192606963822</v>
      </c>
      <c r="F153" s="528">
        <f>('3.2 Classific. 2'!F31*'4.21 Consumer Alloc'!$I$28)</f>
        <v>0.55123890534953024</v>
      </c>
      <c r="G153" s="528">
        <f>('3.2 Classific. 2'!K13*'4.21 Consumer Alloc'!$J$45)</f>
        <v>41.560466568237665</v>
      </c>
      <c r="H153" s="528">
        <f>SUM('3.2 Classific. 2'!L31:M31)</f>
        <v>847.14902236385137</v>
      </c>
      <c r="I153" s="528">
        <f>('3.2 Classific. 2'!M13*'4.21 Consumer Alloc'!$I$79)</f>
        <v>4.2552380573429547</v>
      </c>
      <c r="J153" s="550">
        <f t="shared" si="31"/>
        <v>1021.9995598550281</v>
      </c>
      <c r="M153" s="14">
        <f t="shared" si="32"/>
        <v>2043.9991197100562</v>
      </c>
    </row>
    <row r="154" spans="1:13">
      <c r="A154" s="523" t="str">
        <f t="shared" si="30"/>
        <v>Interest on Long Term Debt</v>
      </c>
      <c r="B154" s="528">
        <f>('3.2 Classific. 2'!K32*'4.1 kW &amp; kWh'!$I$84)</f>
        <v>497.6074517686763</v>
      </c>
      <c r="C154" s="528">
        <f>('3.2 Classific. 2'!G14*'4.1 kW &amp; kWh'!$I$82)</f>
        <v>21507.542240698447</v>
      </c>
      <c r="D154" s="528">
        <f>('3.2 Classific. 2'!F14*'4.21 Consumer Alloc'!$I$12)</f>
        <v>2956.5244164806641</v>
      </c>
      <c r="E154" s="528">
        <f>('3.2 Classific. 2'!G32*'4.1 kW &amp; kWh'!$I$110)</f>
        <v>4839.3242282745905</v>
      </c>
      <c r="F154" s="528">
        <f>('3.2 Classific. 2'!F32*'4.21 Consumer Alloc'!$I$28)</f>
        <v>127.85655503080312</v>
      </c>
      <c r="G154" s="528">
        <f>('3.2 Classific. 2'!K14*'4.21 Consumer Alloc'!$J$45)</f>
        <v>9639.700734690281</v>
      </c>
      <c r="H154" s="528">
        <f>SUM('3.2 Classific. 2'!L32:M32)</f>
        <v>196491.13033572119</v>
      </c>
      <c r="I154" s="528">
        <f>('3.2 Classific. 2'!M14*'4.21 Consumer Alloc'!$I$79)</f>
        <v>986.97692337745821</v>
      </c>
      <c r="J154" s="550">
        <f t="shared" si="31"/>
        <v>237046.66288604212</v>
      </c>
      <c r="M154" s="14">
        <f t="shared" si="32"/>
        <v>474093.32577208424</v>
      </c>
    </row>
    <row r="155" spans="1:13">
      <c r="A155" s="523" t="str">
        <f t="shared" si="30"/>
        <v>Short Term Interest</v>
      </c>
      <c r="B155" s="542">
        <f>('3.2 Classific. 2'!K33*'4.1 kW &amp; kWh'!$I$84)</f>
        <v>0.30467986476839964</v>
      </c>
      <c r="C155" s="542">
        <f>('3.2 Classific. 2'!G15*'4.1 kW &amp; kWh'!$I$82)</f>
        <v>13.168844313133219</v>
      </c>
      <c r="D155" s="542">
        <f>('3.2 Classific. 2'!F15*'4.21 Consumer Alloc'!$I$12)</f>
        <v>1.8102491355305383</v>
      </c>
      <c r="E155" s="542">
        <f>('3.2 Classific. 2'!G33*'4.1 kW &amp; kWh'!$I$110)</f>
        <v>2.9630678684582281</v>
      </c>
      <c r="F155" s="542">
        <f>('3.2 Classific. 2'!F33*'4.21 Consumer Alloc'!$I$28)</f>
        <v>7.8285238209510929E-2</v>
      </c>
      <c r="G155" s="542">
        <f>('3.2 Classific. 2'!K15*'4.21 Consumer Alloc'!$J$45)</f>
        <v>5.9022884521002243</v>
      </c>
      <c r="H155" s="542">
        <f>SUM('3.2 Classific. 2'!L33:M33)</f>
        <v>120.30947447850512</v>
      </c>
      <c r="I155" s="542">
        <f>('3.2 Classific. 2'!M15*'4.21 Consumer Alloc'!$I$79)</f>
        <v>0.60431570000677504</v>
      </c>
      <c r="J155" s="551">
        <f t="shared" si="31"/>
        <v>145.14120505071202</v>
      </c>
      <c r="M155" s="14">
        <f t="shared" si="32"/>
        <v>290.28241010142403</v>
      </c>
    </row>
    <row r="156" spans="1:13">
      <c r="A156" s="523" t="str">
        <f t="shared" si="30"/>
        <v>Total Costs</v>
      </c>
      <c r="B156" s="528">
        <f>SUM(B147:B155)</f>
        <v>2319.2066470094651</v>
      </c>
      <c r="C156" s="528">
        <f t="shared" ref="C156:J156" si="33">SUM(C147:C155)</f>
        <v>121023.46390724546</v>
      </c>
      <c r="D156" s="528">
        <f t="shared" si="33"/>
        <v>16636.434884305865</v>
      </c>
      <c r="E156" s="528">
        <f t="shared" si="33"/>
        <v>13458.025579917541</v>
      </c>
      <c r="F156" s="528">
        <f t="shared" si="33"/>
        <v>355.56551018243704</v>
      </c>
      <c r="G156" s="528">
        <f t="shared" si="33"/>
        <v>54242.830765378574</v>
      </c>
      <c r="H156" s="528">
        <f t="shared" si="33"/>
        <v>1379436.492884967</v>
      </c>
      <c r="I156" s="528">
        <f t="shared" si="33"/>
        <v>105329.57323294699</v>
      </c>
      <c r="J156" s="528">
        <f t="shared" si="33"/>
        <v>1692801.5934119537</v>
      </c>
      <c r="M156" s="14">
        <f t="shared" si="32"/>
        <v>3385603.1868239068</v>
      </c>
    </row>
    <row r="157" spans="1:13">
      <c r="A157" s="523" t="str">
        <f t="shared" si="30"/>
        <v>Margin Requirements</v>
      </c>
      <c r="B157" s="542">
        <f>('3.2 Classific. 2'!K35*'4.1 kW &amp; kWh'!$I$84)</f>
        <v>497.6074782270544</v>
      </c>
      <c r="C157" s="542">
        <f>('3.2 Classific. 2'!G17*'4.1 kW &amp; kWh'!$I$82)</f>
        <v>21507.543384279961</v>
      </c>
      <c r="D157" s="542">
        <f>('3.2 Classific. 2'!F17*'4.21 Consumer Alloc'!$I$12)</f>
        <v>2956.5245736825714</v>
      </c>
      <c r="E157" s="542">
        <f>('3.2 Classific. 2'!G35*'4.1 kW &amp; kWh'!$I$110)</f>
        <v>4839.3244855871962</v>
      </c>
      <c r="F157" s="542">
        <f>('3.2 Classific. 2'!F35*'4.21 Consumer Alloc'!$I$28)</f>
        <v>127.85656182908771</v>
      </c>
      <c r="G157" s="542">
        <f>('3.2 Classific. 2'!K17*'4.21 Consumer Alloc'!$J$45)</f>
        <v>9639.7012472445931</v>
      </c>
      <c r="H157" s="542">
        <f>SUM('3.2 Classific. 2'!L35:M35)</f>
        <v>196491.1407833875</v>
      </c>
      <c r="I157" s="542">
        <f>('3.2 Classific. 2'!M17*'4.21 Consumer Alloc'!$I$79)</f>
        <v>986.97697585619107</v>
      </c>
      <c r="J157" s="551">
        <f t="shared" si="31"/>
        <v>237046.67549009417</v>
      </c>
      <c r="M157" s="14">
        <f t="shared" si="32"/>
        <v>474093.35098018835</v>
      </c>
    </row>
    <row r="158" spans="1:13" ht="15" thickBot="1">
      <c r="A158" s="526" t="str">
        <f t="shared" si="30"/>
        <v>Revenue Requirements</v>
      </c>
      <c r="B158" s="545">
        <f>SUM(B156:B157)</f>
        <v>2816.8141252365194</v>
      </c>
      <c r="C158" s="545">
        <f t="shared" ref="C158:J158" si="34">SUM(C156:C157)</f>
        <v>142531.00729152543</v>
      </c>
      <c r="D158" s="545">
        <f t="shared" si="34"/>
        <v>19592.959457988436</v>
      </c>
      <c r="E158" s="545">
        <f t="shared" si="34"/>
        <v>18297.350065504739</v>
      </c>
      <c r="F158" s="545">
        <f t="shared" si="34"/>
        <v>483.42207201152473</v>
      </c>
      <c r="G158" s="545">
        <f t="shared" si="34"/>
        <v>63882.532012623167</v>
      </c>
      <c r="H158" s="545">
        <f t="shared" si="34"/>
        <v>1575927.6336683545</v>
      </c>
      <c r="I158" s="545">
        <f t="shared" si="34"/>
        <v>106316.55020880318</v>
      </c>
      <c r="J158" s="545">
        <f t="shared" si="34"/>
        <v>1929848.2689020478</v>
      </c>
      <c r="M158" s="14">
        <f t="shared" si="32"/>
        <v>3859696.5378040951</v>
      </c>
    </row>
    <row r="159" spans="1:13">
      <c r="A159" s="13" t="s">
        <v>1</v>
      </c>
    </row>
    <row r="163" spans="1:13" ht="15" thickBot="1">
      <c r="J163" s="524"/>
    </row>
    <row r="164" spans="1:13" ht="15.75">
      <c r="A164" s="904" t="s">
        <v>676</v>
      </c>
      <c r="B164" s="905"/>
      <c r="C164" s="905"/>
      <c r="D164" s="905"/>
      <c r="E164" s="905"/>
      <c r="F164" s="905"/>
      <c r="G164" s="905"/>
      <c r="H164" s="905"/>
      <c r="I164" s="905"/>
      <c r="J164" s="906"/>
    </row>
    <row r="165" spans="1:13">
      <c r="A165" s="531"/>
      <c r="B165" s="525"/>
      <c r="C165" s="908" t="s">
        <v>5</v>
      </c>
      <c r="D165" s="909"/>
      <c r="E165" s="908" t="s">
        <v>95</v>
      </c>
      <c r="F165" s="909"/>
      <c r="G165" s="525"/>
      <c r="H165" s="525"/>
      <c r="I165" s="525" t="s">
        <v>666</v>
      </c>
      <c r="J165" s="547" t="s">
        <v>1</v>
      </c>
    </row>
    <row r="166" spans="1:13" ht="15" thickBot="1">
      <c r="A166" s="533"/>
      <c r="B166" s="527" t="s">
        <v>240</v>
      </c>
      <c r="C166" s="527" t="s">
        <v>131</v>
      </c>
      <c r="D166" s="527" t="s">
        <v>667</v>
      </c>
      <c r="E166" s="527" t="s">
        <v>131</v>
      </c>
      <c r="F166" s="527" t="s">
        <v>667</v>
      </c>
      <c r="G166" s="527" t="s">
        <v>8</v>
      </c>
      <c r="H166" s="527" t="s">
        <v>9</v>
      </c>
      <c r="I166" s="527" t="s">
        <v>668</v>
      </c>
      <c r="J166" s="552" t="s">
        <v>15</v>
      </c>
    </row>
    <row r="167" spans="1:13">
      <c r="A167" s="534"/>
      <c r="B167" s="535"/>
      <c r="C167" s="535"/>
      <c r="D167" s="535"/>
      <c r="E167" s="535"/>
      <c r="F167" s="535"/>
      <c r="G167" s="535"/>
      <c r="H167" s="535"/>
      <c r="I167" s="535"/>
      <c r="J167" s="554"/>
    </row>
    <row r="168" spans="1:13">
      <c r="A168" s="523" t="str">
        <f t="shared" ref="A168:A181" si="35">(A145)</f>
        <v>Expense</v>
      </c>
      <c r="B168" s="524"/>
      <c r="C168" s="524"/>
      <c r="D168" s="524"/>
      <c r="E168" s="524"/>
      <c r="F168" s="524"/>
      <c r="G168" s="524"/>
      <c r="H168" s="524"/>
      <c r="I168" s="524"/>
      <c r="J168" s="548"/>
    </row>
    <row r="169" spans="1:13">
      <c r="A169" s="523" t="str">
        <f t="shared" si="35"/>
        <v>Purchased Power</v>
      </c>
      <c r="B169" s="524"/>
      <c r="C169" s="524"/>
      <c r="D169" s="524"/>
      <c r="E169" s="524"/>
      <c r="F169" s="524"/>
      <c r="G169" s="524"/>
      <c r="H169" s="524"/>
      <c r="I169" s="524"/>
      <c r="J169" s="549" t="s">
        <v>1</v>
      </c>
    </row>
    <row r="170" spans="1:13">
      <c r="A170" s="523" t="str">
        <f t="shared" si="35"/>
        <v>Distibution Operations</v>
      </c>
      <c r="B170" s="528">
        <f>('3.2 Classific. 2'!K25*'4.1 kW &amp; kWh'!$K$84)</f>
        <v>3460.9798541792129</v>
      </c>
      <c r="C170" s="528">
        <f>('3.2 Classific. 2'!G7*'4.1 kW &amp; kWh'!$K$82)</f>
        <v>50228.552691124605</v>
      </c>
      <c r="D170" s="528">
        <f>('3.2 Classific. 2'!F7*'4.21 Consumer Alloc'!$I$10)</f>
        <v>40.625785925196531</v>
      </c>
      <c r="E170" s="528">
        <f>('3.2 Classific. 2'!G25*'4.1 kW &amp; kWh'!$K$110)</f>
        <v>0</v>
      </c>
      <c r="F170" s="528">
        <f>('3.2 Classific. 2'!F25*'4.21 Consumer Alloc'!$I$26)</f>
        <v>0</v>
      </c>
      <c r="G170" s="528">
        <f>('3.2 Classific. 2'!K7*'4.21 Consumer Alloc'!$J$43)</f>
        <v>0</v>
      </c>
      <c r="H170" s="528">
        <f>('3.2 Classific. 2'!L7*'4.21 Consumer Alloc'!$I$60)</f>
        <v>88.218215025650437</v>
      </c>
      <c r="I170" s="528">
        <f>('3.2 Classific. 2'!M7*'4.21 Consumer Alloc'!$I$77)</f>
        <v>0</v>
      </c>
      <c r="J170" s="549">
        <f>SUM(B170:I170)</f>
        <v>53818.376546254665</v>
      </c>
      <c r="M170" s="14">
        <f>SUM(B170:J170)</f>
        <v>107636.75309250933</v>
      </c>
    </row>
    <row r="171" spans="1:13">
      <c r="A171" s="523" t="str">
        <f t="shared" si="35"/>
        <v>Distribution Maintenance</v>
      </c>
      <c r="B171" s="528">
        <f>('3.2 Classific. 2'!K26*'4.1 kW &amp; kWh'!$K$84)</f>
        <v>9.6817842304741895</v>
      </c>
      <c r="C171" s="528">
        <f>('3.2 Classific. 2'!G8*'4.1 kW &amp; kWh'!$K$82)</f>
        <v>175472.30625946715</v>
      </c>
      <c r="D171" s="528">
        <f>('3.2 Classific. 2'!F8*'4.21 Consumer Alloc'!$I$10)</f>
        <v>141.92525900029128</v>
      </c>
      <c r="E171" s="528">
        <f>('3.2 Classific. 2'!G26*'4.1 kW &amp; kWh'!$K$110)</f>
        <v>0</v>
      </c>
      <c r="F171" s="528">
        <f>('3.2 Classific. 2'!F26*'4.21 Consumer Alloc'!$I$26)</f>
        <v>0</v>
      </c>
      <c r="G171" s="528">
        <f>('3.2 Classific. 2'!K8*'4.21 Consumer Alloc'!$J$43)</f>
        <v>0</v>
      </c>
      <c r="H171" s="528">
        <f>('3.2 Classific. 2'!L8*'4.21 Consumer Alloc'!$I$60)</f>
        <v>31.091001054110119</v>
      </c>
      <c r="I171" s="528">
        <f>('3.2 Classific. 2'!M8*'4.21 Consumer Alloc'!$I$77)</f>
        <v>0</v>
      </c>
      <c r="J171" s="549">
        <f t="shared" ref="J171:J180" si="36">SUM(B171:I171)</f>
        <v>175655.00430375204</v>
      </c>
      <c r="M171" s="14">
        <f t="shared" ref="M171:M181" si="37">SUM(B171:J171)</f>
        <v>351310.00860750407</v>
      </c>
    </row>
    <row r="172" spans="1:13">
      <c r="A172" s="523" t="str">
        <f t="shared" si="35"/>
        <v>Consumer Accounts</v>
      </c>
      <c r="B172" s="528">
        <f>('3.2 Classific. 2'!K27*'4.1 kW &amp; kWh'!$K$84)</f>
        <v>0</v>
      </c>
      <c r="C172" s="528">
        <f>('3.2 Classific. 2'!G9*'4.1 kW &amp; kWh'!$K$82)</f>
        <v>0</v>
      </c>
      <c r="D172" s="528">
        <f>('3.2 Classific. 2'!F9*'4.21 Consumer Alloc'!$I$10)</f>
        <v>0</v>
      </c>
      <c r="E172" s="528">
        <f>('3.2 Classific. 2'!G27*'4.1 kW &amp; kWh'!$K$110)</f>
        <v>0</v>
      </c>
      <c r="F172" s="528">
        <f>('3.2 Classific. 2'!F27*'4.21 Consumer Alloc'!$I$26)</f>
        <v>0</v>
      </c>
      <c r="G172" s="528">
        <f>('3.2 Classific. 2'!K9*'4.21 Consumer Alloc'!$J$43)</f>
        <v>0</v>
      </c>
      <c r="H172" s="528">
        <f>('3.2 Classific. 2'!L9*'4.21 Consumer Alloc'!$I$60)</f>
        <v>0</v>
      </c>
      <c r="I172" s="528">
        <f>('3.2 Classific. 2'!M9*'4.21 Consumer Alloc'!$I$77)</f>
        <v>9291.4571423890338</v>
      </c>
      <c r="J172" s="549">
        <f t="shared" si="36"/>
        <v>9291.4571423890338</v>
      </c>
      <c r="M172" s="14">
        <f t="shared" si="37"/>
        <v>18582.914284778068</v>
      </c>
    </row>
    <row r="173" spans="1:13">
      <c r="A173" s="523" t="str">
        <f t="shared" si="35"/>
        <v>Customer Service</v>
      </c>
      <c r="B173" s="528">
        <f>('3.2 Classific. 2'!K28*'4.1 kW &amp; kWh'!$K$84)</f>
        <v>0</v>
      </c>
      <c r="C173" s="528">
        <f>('3.2 Classific. 2'!G10*'4.1 kW &amp; kWh'!$K$82)</f>
        <v>0</v>
      </c>
      <c r="D173" s="528">
        <f>('3.2 Classific. 2'!F10*'4.21 Consumer Alloc'!$I$10)</f>
        <v>0</v>
      </c>
      <c r="E173" s="528">
        <f>('3.2 Classific. 2'!G28*'4.1 kW &amp; kWh'!$K$110)</f>
        <v>0</v>
      </c>
      <c r="F173" s="528">
        <f>('3.2 Classific. 2'!F28*'4.21 Consumer Alloc'!$I$26)</f>
        <v>0</v>
      </c>
      <c r="G173" s="528">
        <f>('3.2 Classific. 2'!K10*'4.21 Consumer Alloc'!$J$43)</f>
        <v>0</v>
      </c>
      <c r="H173" s="528">
        <f>('3.2 Classific. 2'!L10*'4.21 Consumer Alloc'!$I$60)</f>
        <v>0</v>
      </c>
      <c r="I173" s="528">
        <f>('3.2 Classific. 2'!M10*'4.21 Consumer Alloc'!$I$77)</f>
        <v>3277.8978425683431</v>
      </c>
      <c r="J173" s="549">
        <f t="shared" si="36"/>
        <v>3277.8978425683431</v>
      </c>
      <c r="M173" s="14">
        <f t="shared" si="37"/>
        <v>6555.7956851366862</v>
      </c>
    </row>
    <row r="174" spans="1:13">
      <c r="A174" s="523" t="str">
        <f t="shared" si="35"/>
        <v>Administative &amp; General</v>
      </c>
      <c r="B174" s="528">
        <f>('3.2 Classific. 2'!K29*'4.1 kW &amp; kWh'!$K$84)</f>
        <v>1183.7981582153777</v>
      </c>
      <c r="C174" s="528">
        <f>('3.2 Classific. 2'!G11*'4.1 kW &amp; kWh'!$K$82)</f>
        <v>76983.667372359414</v>
      </c>
      <c r="D174" s="528">
        <f>('3.2 Classific. 2'!F11*'4.21 Consumer Alloc'!$I$10)</f>
        <v>62.265819396357891</v>
      </c>
      <c r="E174" s="528">
        <f>('3.2 Classific. 2'!G29*'4.1 kW &amp; kWh'!$K$110)</f>
        <v>0</v>
      </c>
      <c r="F174" s="528">
        <f>('3.2 Classific. 2'!F29*'4.21 Consumer Alloc'!$I$26)</f>
        <v>0</v>
      </c>
      <c r="G174" s="528">
        <f>('3.2 Classific. 2'!K11*'4.21 Consumer Alloc'!$J$43)</f>
        <v>0</v>
      </c>
      <c r="H174" s="528">
        <f>('3.2 Classific. 2'!L11*'4.21 Consumer Alloc'!$I$60)</f>
        <v>40.694842934345694</v>
      </c>
      <c r="I174" s="528">
        <f>('3.2 Classific. 2'!M11*'4.21 Consumer Alloc'!$I$77)</f>
        <v>4287.2457275800261</v>
      </c>
      <c r="J174" s="549">
        <f t="shared" si="36"/>
        <v>82557.671920485518</v>
      </c>
      <c r="M174" s="14">
        <f t="shared" si="37"/>
        <v>165115.34384097104</v>
      </c>
    </row>
    <row r="175" spans="1:13">
      <c r="A175" s="523" t="str">
        <f t="shared" si="35"/>
        <v>Depreciation</v>
      </c>
      <c r="B175" s="528">
        <f>('3.2 Classific. 2'!K30*'4.1 kW &amp; kWh'!$K$84)</f>
        <v>4333.2581828310194</v>
      </c>
      <c r="C175" s="528">
        <f>('3.2 Classific. 2'!G12*'4.1 kW &amp; kWh'!$K$82)</f>
        <v>188462.27142922956</v>
      </c>
      <c r="D175" s="528">
        <f>('3.2 Classific. 2'!F12*'4.21 Consumer Alloc'!$I$10)</f>
        <v>152.4317839923159</v>
      </c>
      <c r="E175" s="528">
        <f>('3.2 Classific. 2'!G30*'4.1 kW &amp; kWh'!$K$110)</f>
        <v>0</v>
      </c>
      <c r="F175" s="528">
        <f>('3.2 Classific. 2'!F30*'4.21 Consumer Alloc'!$I$26)</f>
        <v>0</v>
      </c>
      <c r="G175" s="528">
        <f>('3.2 Classific. 2'!K12*'4.21 Consumer Alloc'!$J$43)</f>
        <v>0</v>
      </c>
      <c r="H175" s="528">
        <f>('3.2 Classific. 2'!L12*'4.21 Consumer Alloc'!$I$60)</f>
        <v>45.427041747230689</v>
      </c>
      <c r="I175" s="528">
        <f>('3.2 Classific. 2'!M12*'4.21 Consumer Alloc'!$I$77)</f>
        <v>479.85694328676192</v>
      </c>
      <c r="J175" s="549">
        <f t="shared" si="36"/>
        <v>193473.24538108686</v>
      </c>
      <c r="M175" s="14">
        <f t="shared" si="37"/>
        <v>386946.49076217372</v>
      </c>
    </row>
    <row r="176" spans="1:13">
      <c r="A176" s="523" t="str">
        <f t="shared" si="35"/>
        <v>Miscellaneous</v>
      </c>
      <c r="B176" s="528">
        <f>('3.2 Classific. 2'!K31*'4.1 kW &amp; kWh'!$K$84)</f>
        <v>10.599487570946799</v>
      </c>
      <c r="C176" s="528">
        <f>('3.2 Classific. 2'!G13*'4.1 kW &amp; kWh'!$K$82)</f>
        <v>458.13004980454502</v>
      </c>
      <c r="D176" s="528">
        <f>('3.2 Classific. 2'!F13*'4.21 Consumer Alloc'!$I$10)</f>
        <v>0.37054408960797702</v>
      </c>
      <c r="E176" s="528">
        <f>('3.2 Classific. 2'!G31*'4.1 kW &amp; kWh'!$K$110)</f>
        <v>0</v>
      </c>
      <c r="F176" s="528">
        <f>('3.2 Classific. 2'!F31*'4.21 Consumer Alloc'!$I$26)</f>
        <v>0</v>
      </c>
      <c r="G176" s="528">
        <f>('3.2 Classific. 2'!K13*'4.21 Consumer Alloc'!$J$43)</f>
        <v>0</v>
      </c>
      <c r="H176" s="528">
        <f>('3.2 Classific. 2'!L13*'4.21 Consumer Alloc'!$I$60)</f>
        <v>0.10794176419253218</v>
      </c>
      <c r="I176" s="528">
        <f>('3.2 Classific. 2'!M13*'4.21 Consumer Alloc'!$I$77)</f>
        <v>0.70703809273942464</v>
      </c>
      <c r="J176" s="549">
        <f t="shared" si="36"/>
        <v>469.91506132203176</v>
      </c>
      <c r="M176" s="14">
        <f t="shared" si="37"/>
        <v>939.83012264406352</v>
      </c>
    </row>
    <row r="177" spans="1:13">
      <c r="A177" s="523" t="str">
        <f t="shared" si="35"/>
        <v>Interest on Long Term Debt</v>
      </c>
      <c r="B177" s="528">
        <f>('3.2 Classific. 2'!K32*'4.1 kW &amp; kWh'!$K$84)</f>
        <v>2458.4875137827171</v>
      </c>
      <c r="C177" s="528">
        <f>('3.2 Classific. 2'!G14*'4.1 kW &amp; kWh'!$K$82)</f>
        <v>106260.51491586598</v>
      </c>
      <c r="D177" s="528">
        <f>('3.2 Classific. 2'!F14*'4.21 Consumer Alloc'!$I$10)</f>
        <v>85.94547722327512</v>
      </c>
      <c r="E177" s="528">
        <f>('3.2 Classific. 2'!G32*'4.1 kW &amp; kWh'!$K$110)</f>
        <v>0</v>
      </c>
      <c r="F177" s="528">
        <f>('3.2 Classific. 2'!F32*'4.21 Consumer Alloc'!$I$26)</f>
        <v>0</v>
      </c>
      <c r="G177" s="528">
        <f>('3.2 Classific. 2'!K14*'4.21 Consumer Alloc'!$J$43)</f>
        <v>0</v>
      </c>
      <c r="H177" s="528">
        <f>('3.2 Classific. 2'!L14*'4.21 Consumer Alloc'!$I$60)</f>
        <v>25.036444234380497</v>
      </c>
      <c r="I177" s="528">
        <f>('3.2 Classific. 2'!M14*'4.21 Consumer Alloc'!$I$77)</f>
        <v>163.99324128962149</v>
      </c>
      <c r="J177" s="549">
        <f t="shared" si="36"/>
        <v>108993.97759239597</v>
      </c>
      <c r="M177" s="14">
        <f t="shared" si="37"/>
        <v>217987.95518479194</v>
      </c>
    </row>
    <row r="178" spans="1:13">
      <c r="A178" s="523" t="str">
        <f t="shared" si="35"/>
        <v>Short Term Interest</v>
      </c>
      <c r="B178" s="542">
        <f>('3.2 Classific. 2'!K33*'4.1 kW &amp; kWh'!$K$84)</f>
        <v>1.5053063224268803</v>
      </c>
      <c r="C178" s="542">
        <f>('3.2 Classific. 2'!G15*'4.1 kW &amp; kWh'!$K$82)</f>
        <v>65.062207568862917</v>
      </c>
      <c r="D178" s="542">
        <f>('3.2 Classific. 2'!F15*'4.21 Consumer Alloc'!$I$10)</f>
        <v>5.2623521381701698E-2</v>
      </c>
      <c r="E178" s="542">
        <f>('3.2 Classific. 2'!G33*'4.1 kW &amp; kWh'!$K$110)</f>
        <v>0</v>
      </c>
      <c r="F178" s="542">
        <f>('3.2 Classific. 2'!F33*'4.21 Consumer Alloc'!$I$26)</f>
        <v>0</v>
      </c>
      <c r="G178" s="542">
        <f>('3.2 Classific. 2'!K15*'4.21 Consumer Alloc'!$J$43)</f>
        <v>0</v>
      </c>
      <c r="H178" s="542">
        <f>('3.2 Classific. 2'!L15*'4.21 Consumer Alloc'!$I$60)</f>
        <v>1.5329554283199761E-2</v>
      </c>
      <c r="I178" s="542">
        <f>('3.2 Classific. 2'!M15*'4.21 Consumer Alloc'!$I$77)</f>
        <v>0.10041135517858149</v>
      </c>
      <c r="J178" s="555">
        <f t="shared" si="36"/>
        <v>66.735878322133274</v>
      </c>
      <c r="M178" s="14">
        <f t="shared" si="37"/>
        <v>133.47175664426655</v>
      </c>
    </row>
    <row r="179" spans="1:13">
      <c r="A179" s="523" t="str">
        <f t="shared" si="35"/>
        <v>Total Costs</v>
      </c>
      <c r="B179" s="528">
        <f>SUM(B170:B178)</f>
        <v>11458.310287132175</v>
      </c>
      <c r="C179" s="528">
        <f t="shared" ref="C179:J179" si="38">SUM(C170:C178)</f>
        <v>597930.50492542016</v>
      </c>
      <c r="D179" s="528">
        <f t="shared" si="38"/>
        <v>483.61729314842643</v>
      </c>
      <c r="E179" s="528">
        <f t="shared" si="38"/>
        <v>0</v>
      </c>
      <c r="F179" s="528">
        <f t="shared" si="38"/>
        <v>0</v>
      </c>
      <c r="G179" s="528">
        <f t="shared" si="38"/>
        <v>0</v>
      </c>
      <c r="H179" s="528">
        <f t="shared" si="38"/>
        <v>230.59081631419318</v>
      </c>
      <c r="I179" s="528">
        <f t="shared" si="38"/>
        <v>17501.258346561706</v>
      </c>
      <c r="J179" s="528">
        <f t="shared" si="38"/>
        <v>627604.28166857664</v>
      </c>
      <c r="L179" s="13" t="s">
        <v>1</v>
      </c>
      <c r="M179" s="14">
        <f t="shared" si="37"/>
        <v>1255208.5633371533</v>
      </c>
    </row>
    <row r="180" spans="1:13">
      <c r="A180" s="523" t="str">
        <f t="shared" si="35"/>
        <v>Margin Requirements</v>
      </c>
      <c r="B180" s="542">
        <f>('3.2 Classific. 2'!K35*'4.1 kW &amp; kWh'!$K$84)</f>
        <v>2458.4876445034124</v>
      </c>
      <c r="C180" s="542">
        <f>('3.2 Classific. 2'!G17*'4.1 kW &amp; kWh'!$K$82)</f>
        <v>106260.52056586351</v>
      </c>
      <c r="D180" s="542">
        <f>('3.2 Classific. 2'!F17*'4.21 Consumer Alloc'!$I$10)</f>
        <v>85.945481793098011</v>
      </c>
      <c r="E180" s="542">
        <f>('3.2 Classific. 2'!G35*'4.1 kW &amp; kWh'!$K$110)</f>
        <v>0</v>
      </c>
      <c r="F180" s="542">
        <f>('3.2 Classific. 2'!F35*'4.21 Consumer Alloc'!$I$26)</f>
        <v>0</v>
      </c>
      <c r="G180" s="542">
        <f>('3.2 Classific. 2'!K17*'4.21 Consumer Alloc'!$J$43)</f>
        <v>0</v>
      </c>
      <c r="H180" s="542">
        <f>('3.2 Classific. 2'!L17*'4.21 Consumer Alloc'!$I$60)</f>
        <v>25.036445565597912</v>
      </c>
      <c r="I180" s="542">
        <f>('3.2 Classific. 2'!M17*'4.21 Consumer Alloc'!$I$77)</f>
        <v>163.99325000933652</v>
      </c>
      <c r="J180" s="555">
        <f t="shared" si="36"/>
        <v>108993.98338773496</v>
      </c>
      <c r="M180" s="14">
        <f t="shared" si="37"/>
        <v>217987.96677546992</v>
      </c>
    </row>
    <row r="181" spans="1:13" ht="15" thickBot="1">
      <c r="A181" s="526" t="str">
        <f t="shared" si="35"/>
        <v>Revenue Requirements</v>
      </c>
      <c r="B181" s="545">
        <f>SUM(B179:B180)</f>
        <v>13916.797931635589</v>
      </c>
      <c r="C181" s="545">
        <f t="shared" ref="C181:J181" si="39">SUM(C179:C180)</f>
        <v>704191.02549128362</v>
      </c>
      <c r="D181" s="545">
        <f t="shared" si="39"/>
        <v>569.56277494152448</v>
      </c>
      <c r="E181" s="545">
        <f t="shared" si="39"/>
        <v>0</v>
      </c>
      <c r="F181" s="545">
        <f t="shared" si="39"/>
        <v>0</v>
      </c>
      <c r="G181" s="545">
        <f t="shared" si="39"/>
        <v>0</v>
      </c>
      <c r="H181" s="545">
        <f t="shared" si="39"/>
        <v>255.62726187979109</v>
      </c>
      <c r="I181" s="545">
        <f t="shared" si="39"/>
        <v>17665.251596571045</v>
      </c>
      <c r="J181" s="545">
        <f t="shared" si="39"/>
        <v>736598.26505631162</v>
      </c>
      <c r="M181" s="14">
        <f t="shared" si="37"/>
        <v>1473196.5301126232</v>
      </c>
    </row>
    <row r="186" spans="1:13" ht="15" thickBot="1"/>
    <row r="187" spans="1:13" ht="15.75">
      <c r="A187" s="904" t="s">
        <v>677</v>
      </c>
      <c r="B187" s="905"/>
      <c r="C187" s="905"/>
      <c r="D187" s="905"/>
      <c r="E187" s="905"/>
      <c r="F187" s="905"/>
      <c r="G187" s="905"/>
      <c r="H187" s="905"/>
      <c r="I187" s="905"/>
      <c r="J187" s="906"/>
    </row>
    <row r="188" spans="1:13">
      <c r="A188" s="531"/>
      <c r="B188" s="525"/>
      <c r="C188" s="908" t="s">
        <v>5</v>
      </c>
      <c r="D188" s="909"/>
      <c r="E188" s="908" t="s">
        <v>95</v>
      </c>
      <c r="F188" s="909"/>
      <c r="G188" s="525"/>
      <c r="H188" s="525"/>
      <c r="I188" s="525" t="s">
        <v>666</v>
      </c>
      <c r="J188" s="547" t="s">
        <v>1</v>
      </c>
    </row>
    <row r="189" spans="1:13" ht="15" thickBot="1">
      <c r="A189" s="533"/>
      <c r="B189" s="527" t="s">
        <v>240</v>
      </c>
      <c r="C189" s="527" t="s">
        <v>131</v>
      </c>
      <c r="D189" s="527" t="s">
        <v>667</v>
      </c>
      <c r="E189" s="527" t="s">
        <v>131</v>
      </c>
      <c r="F189" s="527" t="s">
        <v>667</v>
      </c>
      <c r="G189" s="527" t="s">
        <v>8</v>
      </c>
      <c r="H189" s="527" t="s">
        <v>9</v>
      </c>
      <c r="I189" s="527" t="s">
        <v>668</v>
      </c>
      <c r="J189" s="552" t="s">
        <v>15</v>
      </c>
    </row>
    <row r="190" spans="1:13">
      <c r="A190" s="534"/>
      <c r="B190" s="535"/>
      <c r="C190" s="535"/>
      <c r="D190" s="535"/>
      <c r="E190" s="535"/>
      <c r="F190" s="535"/>
      <c r="G190" s="535"/>
      <c r="H190" s="535"/>
      <c r="I190" s="535"/>
      <c r="J190" s="554"/>
    </row>
    <row r="191" spans="1:13">
      <c r="A191" s="523" t="str">
        <f t="shared" ref="A191:A202" si="40">(A168)</f>
        <v>Expense</v>
      </c>
      <c r="B191" s="524"/>
      <c r="C191" s="524"/>
      <c r="D191" s="524"/>
      <c r="E191" s="524"/>
      <c r="F191" s="524"/>
      <c r="G191" s="524"/>
      <c r="H191" s="524"/>
      <c r="I191" s="524"/>
      <c r="J191" s="548"/>
    </row>
    <row r="192" spans="1:13">
      <c r="A192" s="523" t="str">
        <f t="shared" si="40"/>
        <v>Purchased Power</v>
      </c>
      <c r="B192" s="524"/>
      <c r="C192" s="524"/>
      <c r="D192" s="524"/>
      <c r="E192" s="524"/>
      <c r="F192" s="524"/>
      <c r="G192" s="524"/>
      <c r="H192" s="524"/>
      <c r="I192" s="524"/>
      <c r="J192" s="548"/>
    </row>
    <row r="193" spans="1:10">
      <c r="A193" s="523" t="str">
        <f t="shared" si="40"/>
        <v>Distibution Operations</v>
      </c>
      <c r="B193" s="528">
        <f>('3.2 Classific. 2'!K25*'4.1 kW &amp; kWh'!$L$84)</f>
        <v>1596.8966634733838</v>
      </c>
      <c r="C193" s="528">
        <f>('3.2 Classific. 2'!G7*'4.1 kW &amp; kWh'!$L$82)</f>
        <v>23175.462320792984</v>
      </c>
      <c r="D193" s="528">
        <f>('3.2 Classific. 2'!F7*'4.21 Consumer Alloc'!$I$11)</f>
        <v>8.1251571850393063</v>
      </c>
      <c r="E193" s="557">
        <f>('3.2 Classific. 2'!G25*'4.1 kW &amp; kWh'!$L$110)</f>
        <v>0</v>
      </c>
      <c r="F193" s="557">
        <f>('3.2 Classific. 2'!F25*'4.21 Consumer Alloc'!$I$27)</f>
        <v>0</v>
      </c>
      <c r="G193" s="528">
        <f>('3.2 Classific. 2'!K7*'4.21 Consumer Alloc'!$J$44)</f>
        <v>0</v>
      </c>
      <c r="H193" s="528">
        <f>('3.2 Classific. 2'!L7*'4.21 Consumer Alloc'!$I$61)</f>
        <v>17.643643005130087</v>
      </c>
      <c r="I193" s="528">
        <f>('3.2 Classific. 2'!M7*'4.21 Consumer Alloc'!$I$78)</f>
        <v>0</v>
      </c>
      <c r="J193" s="550">
        <f>SUM(B193:I193)</f>
        <v>24798.127784456537</v>
      </c>
    </row>
    <row r="194" spans="1:10">
      <c r="A194" s="523" t="str">
        <f t="shared" si="40"/>
        <v>Distribution Maintenance</v>
      </c>
      <c r="B194" s="528">
        <f>('3.2 Classific. 2'!K26*'4.1 kW &amp; kWh'!$L$84)</f>
        <v>4.4671768070086202</v>
      </c>
      <c r="C194" s="528">
        <f>('3.2 Classific. 2'!G8*'4.1 kW &amp; kWh'!$L$82)</f>
        <v>80962.950437102787</v>
      </c>
      <c r="D194" s="528">
        <f>('3.2 Classific. 2'!F8*'4.21 Consumer Alloc'!$I$11)</f>
        <v>28.385051800058253</v>
      </c>
      <c r="E194" s="557">
        <f>('3.2 Classific. 2'!G26*'4.1 kW &amp; kWh'!$L$110)</f>
        <v>0</v>
      </c>
      <c r="F194" s="557">
        <f>('3.2 Classific. 2'!F26*'4.21 Consumer Alloc'!$I$27)</f>
        <v>0</v>
      </c>
      <c r="G194" s="528">
        <f>('3.2 Classific. 2'!K8*'4.21 Consumer Alloc'!$J$44)</f>
        <v>0</v>
      </c>
      <c r="H194" s="528">
        <f>('3.2 Classific. 2'!L8*'4.21 Consumer Alloc'!$I$61)</f>
        <v>6.2182002108220233</v>
      </c>
      <c r="I194" s="528">
        <f>('3.2 Classific. 2'!M8*'4.21 Consumer Alloc'!$I$78)</f>
        <v>0</v>
      </c>
      <c r="J194" s="550">
        <f t="shared" ref="J194:J203" si="41">SUM(B194:I194)</f>
        <v>81002.020865920669</v>
      </c>
    </row>
    <row r="195" spans="1:10">
      <c r="A195" s="523" t="str">
        <f t="shared" si="40"/>
        <v>Consumer Accounts</v>
      </c>
      <c r="B195" s="528">
        <f>('3.2 Classific. 2'!K27*'4.1 kW &amp; kWh'!$L$84)</f>
        <v>0</v>
      </c>
      <c r="C195" s="528">
        <f>('3.2 Classific. 2'!G9*'4.1 kW &amp; kWh'!$L$82)</f>
        <v>0</v>
      </c>
      <c r="D195" s="528">
        <f>('3.2 Classific. 2'!F9*'4.21 Consumer Alloc'!$I$11)</f>
        <v>0</v>
      </c>
      <c r="E195" s="557">
        <f>('3.2 Classific. 2'!G27*'4.1 kW &amp; kWh'!$L$110)</f>
        <v>0</v>
      </c>
      <c r="F195" s="557">
        <f>('3.2 Classific. 2'!F27*'4.21 Consumer Alloc'!$I$27)</f>
        <v>0</v>
      </c>
      <c r="G195" s="528">
        <f>('3.2 Classific. 2'!K9*'4.21 Consumer Alloc'!$J$44)</f>
        <v>0</v>
      </c>
      <c r="H195" s="528">
        <f>('3.2 Classific. 2'!L9*'4.21 Consumer Alloc'!$I$61)</f>
        <v>0</v>
      </c>
      <c r="I195" s="528">
        <f>('3.2 Classific. 2'!M9*'4.21 Consumer Alloc'!$I$78)</f>
        <v>3716.5828569556138</v>
      </c>
      <c r="J195" s="550">
        <f t="shared" si="41"/>
        <v>3716.5828569556138</v>
      </c>
    </row>
    <row r="196" spans="1:10">
      <c r="A196" s="523" t="str">
        <f t="shared" si="40"/>
        <v>Customer Service</v>
      </c>
      <c r="B196" s="528">
        <f>('3.2 Classific. 2'!K28*'4.1 kW &amp; kWh'!$L$84)</f>
        <v>0</v>
      </c>
      <c r="C196" s="528">
        <f>('3.2 Classific. 2'!G10*'4.1 kW &amp; kWh'!$L$82)</f>
        <v>0</v>
      </c>
      <c r="D196" s="528">
        <f>('3.2 Classific. 2'!F10*'4.21 Consumer Alloc'!$I$11)</f>
        <v>0</v>
      </c>
      <c r="E196" s="557">
        <f>('3.2 Classific. 2'!G28*'4.1 kW &amp; kWh'!$L$110)</f>
        <v>0</v>
      </c>
      <c r="F196" s="557">
        <f>('3.2 Classific. 2'!F28*'4.21 Consumer Alloc'!$I$27)</f>
        <v>0</v>
      </c>
      <c r="G196" s="528">
        <f>('3.2 Classific. 2'!K10*'4.21 Consumer Alloc'!$J$44)</f>
        <v>0</v>
      </c>
      <c r="H196" s="528">
        <f>('3.2 Classific. 2'!L10*'4.21 Consumer Alloc'!$I$61)</f>
        <v>0</v>
      </c>
      <c r="I196" s="528">
        <f>('3.2 Classific. 2'!M10*'4.21 Consumer Alloc'!$I$78)</f>
        <v>1311.1591370273372</v>
      </c>
      <c r="J196" s="550">
        <f t="shared" si="41"/>
        <v>1311.1591370273372</v>
      </c>
    </row>
    <row r="197" spans="1:10">
      <c r="A197" s="523" t="str">
        <f t="shared" si="40"/>
        <v>Administative &amp; General</v>
      </c>
      <c r="B197" s="528">
        <f>('3.2 Classific. 2'!K29*'4.1 kW &amp; kWh'!$L$84)</f>
        <v>546.20466131791216</v>
      </c>
      <c r="C197" s="528">
        <f>('3.2 Classific. 2'!G11*'4.1 kW &amp; kWh'!$L$82)</f>
        <v>35520.276554172582</v>
      </c>
      <c r="D197" s="528">
        <f>('3.2 Classific. 2'!F11*'4.21 Consumer Alloc'!$I$11)</f>
        <v>12.453163879271576</v>
      </c>
      <c r="E197" s="557">
        <f>('3.2 Classific. 2'!G29*'4.1 kW &amp; kWh'!$L$110)</f>
        <v>0</v>
      </c>
      <c r="F197" s="557">
        <f>('3.2 Classific. 2'!F29*'4.21 Consumer Alloc'!$I$27)</f>
        <v>0</v>
      </c>
      <c r="G197" s="528">
        <f>('3.2 Classific. 2'!K11*'4.21 Consumer Alloc'!$J$44)</f>
        <v>0</v>
      </c>
      <c r="H197" s="528">
        <f>('3.2 Classific. 2'!L11*'4.21 Consumer Alloc'!$I$61)</f>
        <v>8.1389685868691384</v>
      </c>
      <c r="I197" s="528">
        <f>('3.2 Classific. 2'!M11*'4.21 Consumer Alloc'!$I$78)</f>
        <v>1714.8982910320103</v>
      </c>
      <c r="J197" s="550">
        <f t="shared" si="41"/>
        <v>37801.971638988645</v>
      </c>
    </row>
    <row r="198" spans="1:10">
      <c r="A198" s="523" t="str">
        <f t="shared" si="40"/>
        <v>Depreciation</v>
      </c>
      <c r="B198" s="528">
        <f>('3.2 Classific. 2'!K30*'4.1 kW &amp; kWh'!$L$84)</f>
        <v>1999.366025137597</v>
      </c>
      <c r="C198" s="528">
        <f>('3.2 Classific. 2'!G12*'4.1 kW &amp; kWh'!$L$82)</f>
        <v>86956.522463585599</v>
      </c>
      <c r="D198" s="528">
        <f>('3.2 Classific. 2'!F12*'4.21 Consumer Alloc'!$I$11)</f>
        <v>30.486356798463177</v>
      </c>
      <c r="E198" s="557">
        <f>('3.2 Classific. 2'!G30*'4.1 kW &amp; kWh'!$L$110)</f>
        <v>0</v>
      </c>
      <c r="F198" s="557">
        <f>('3.2 Classific. 2'!F30*'4.21 Consumer Alloc'!$I$27)</f>
        <v>0</v>
      </c>
      <c r="G198" s="528">
        <f>('3.2 Classific. 2'!K12*'4.21 Consumer Alloc'!$J$44)</f>
        <v>0</v>
      </c>
      <c r="H198" s="528">
        <f>('3.2 Classific. 2'!L12*'4.21 Consumer Alloc'!$I$61)</f>
        <v>9.0854083494461371</v>
      </c>
      <c r="I198" s="528">
        <f>('3.2 Classific. 2'!M12*'4.21 Consumer Alloc'!$I$78)</f>
        <v>191.94277731470478</v>
      </c>
      <c r="J198" s="550">
        <f t="shared" si="41"/>
        <v>89187.403031185808</v>
      </c>
    </row>
    <row r="199" spans="1:10">
      <c r="A199" s="523" t="str">
        <f t="shared" si="40"/>
        <v>Miscellaneous</v>
      </c>
      <c r="B199" s="528">
        <f>('3.2 Classific. 2'!K31*'4.1 kW &amp; kWh'!$L$84)</f>
        <v>4.8906052764605565</v>
      </c>
      <c r="C199" s="528">
        <f>('3.2 Classific. 2'!G13*'4.1 kW &amp; kWh'!$L$82)</f>
        <v>211.38127894225266</v>
      </c>
      <c r="D199" s="528">
        <f>('3.2 Classific. 2'!F13*'4.21 Consumer Alloc'!$I$11)</f>
        <v>7.4108817921595405E-2</v>
      </c>
      <c r="E199" s="557">
        <f>('3.2 Classific. 2'!G31*'4.1 kW &amp; kWh'!$L$110)</f>
        <v>0</v>
      </c>
      <c r="F199" s="557">
        <f>('3.2 Classific. 2'!F31*'4.21 Consumer Alloc'!$I$27)</f>
        <v>0</v>
      </c>
      <c r="G199" s="528">
        <f>('3.2 Classific. 2'!K13*'4.21 Consumer Alloc'!$J$44)</f>
        <v>0</v>
      </c>
      <c r="H199" s="528">
        <f>('3.2 Classific. 2'!L13*'4.21 Consumer Alloc'!$I$61)</f>
        <v>2.1588352838506433E-2</v>
      </c>
      <c r="I199" s="528">
        <f>('3.2 Classific. 2'!M13*'4.21 Consumer Alloc'!$I$78)</f>
        <v>0.28281523709576989</v>
      </c>
      <c r="J199" s="550">
        <f t="shared" si="41"/>
        <v>216.65039662656909</v>
      </c>
    </row>
    <row r="200" spans="1:10">
      <c r="A200" s="523" t="str">
        <f t="shared" si="40"/>
        <v>Interest on Long Term Debt</v>
      </c>
      <c r="B200" s="528">
        <f>('3.2 Classific. 2'!K32*'4.1 kW &amp; kWh'!$L$84)</f>
        <v>1134.3465357678751</v>
      </c>
      <c r="C200" s="528">
        <f>('3.2 Classific. 2'!G14*'4.1 kW &amp; kWh'!$L$82)</f>
        <v>49028.618737323501</v>
      </c>
      <c r="D200" s="528">
        <f>('3.2 Classific. 2'!F14*'4.21 Consumer Alloc'!$I$11)</f>
        <v>17.189095444655024</v>
      </c>
      <c r="E200" s="557">
        <f>('3.2 Classific. 2'!G32*'4.1 kW &amp; kWh'!$L$110)</f>
        <v>0</v>
      </c>
      <c r="F200" s="557">
        <f>('3.2 Classific. 2'!F32*'4.21 Consumer Alloc'!$I$27)</f>
        <v>0</v>
      </c>
      <c r="G200" s="528">
        <f>('3.2 Classific. 2'!K14*'4.21 Consumer Alloc'!$J$44)</f>
        <v>0</v>
      </c>
      <c r="H200" s="528">
        <f>('3.2 Classific. 2'!L14*'4.21 Consumer Alloc'!$I$61)</f>
        <v>5.007288846876099</v>
      </c>
      <c r="I200" s="528">
        <f>('3.2 Classific. 2'!M14*'4.21 Consumer Alloc'!$I$78)</f>
        <v>65.597296515848598</v>
      </c>
      <c r="J200" s="550">
        <f t="shared" si="41"/>
        <v>50250.75895389876</v>
      </c>
    </row>
    <row r="201" spans="1:10">
      <c r="A201" s="553" t="str">
        <f t="shared" si="40"/>
        <v>Short Term Interest</v>
      </c>
      <c r="B201" s="542">
        <f>('3.2 Classific. 2'!K33*'4.1 kW &amp; kWh'!$L$84)</f>
        <v>0.69454858019072507</v>
      </c>
      <c r="C201" s="542">
        <f>('3.2 Classific. 2'!G15*'4.1 kW &amp; kWh'!$L$82)</f>
        <v>30.019713076188861</v>
      </c>
      <c r="D201" s="542">
        <f>('3.2 Classific. 2'!F15*'4.21 Consumer Alloc'!$I$11)</f>
        <v>1.0524704276340339E-2</v>
      </c>
      <c r="E201" s="564">
        <f>('3.2 Classific. 2'!G33*'4.1 kW &amp; kWh'!$L$110)</f>
        <v>0</v>
      </c>
      <c r="F201" s="564">
        <f>('3.2 Classific. 2'!F33*'4.21 Consumer Alloc'!$I$27)</f>
        <v>0</v>
      </c>
      <c r="G201" s="542">
        <f>('3.2 Classific. 2'!K15*'4.21 Consumer Alloc'!$J$44)</f>
        <v>0</v>
      </c>
      <c r="H201" s="542">
        <f>('3.2 Classific. 2'!L15*'4.21 Consumer Alloc'!$I$61)</f>
        <v>3.0659108566399519E-3</v>
      </c>
      <c r="I201" s="542">
        <f>('3.2 Classific. 2'!M15*'4.21 Consumer Alloc'!$I$78)</f>
        <v>4.01645420714326E-2</v>
      </c>
      <c r="J201" s="551">
        <f t="shared" si="41"/>
        <v>30.768016813584001</v>
      </c>
    </row>
    <row r="202" spans="1:10">
      <c r="A202" s="523" t="str">
        <f t="shared" si="40"/>
        <v>Total Costs</v>
      </c>
      <c r="B202" s="528">
        <f>SUM(B193:B201)</f>
        <v>5286.8662163604276</v>
      </c>
      <c r="C202" s="528">
        <f t="shared" ref="C202:J202" si="42">SUM(C193:C201)</f>
        <v>275885.23150499584</v>
      </c>
      <c r="D202" s="528">
        <f t="shared" si="42"/>
        <v>96.723458629685268</v>
      </c>
      <c r="E202" s="563">
        <f>('3.2 Classific. 2'!G34*'4.1 kW &amp; kWh'!$L$110)</f>
        <v>0</v>
      </c>
      <c r="F202" s="528">
        <f t="shared" si="42"/>
        <v>0</v>
      </c>
      <c r="G202" s="528">
        <f t="shared" si="42"/>
        <v>0</v>
      </c>
      <c r="H202" s="528">
        <f t="shared" si="42"/>
        <v>46.118163262838635</v>
      </c>
      <c r="I202" s="528">
        <f t="shared" si="42"/>
        <v>7000.5033386246814</v>
      </c>
      <c r="J202" s="528">
        <f t="shared" si="42"/>
        <v>288315.44268187345</v>
      </c>
    </row>
    <row r="203" spans="1:10">
      <c r="A203" s="553" t="str">
        <f t="shared" ref="A203:A204" si="43">(A180)</f>
        <v>Margin Requirements</v>
      </c>
      <c r="B203" s="542">
        <f>('3.2 Classific. 2'!K35*'4.1 kW &amp; kWh'!$L$84)</f>
        <v>1134.3465960824251</v>
      </c>
      <c r="C203" s="542">
        <f>('3.2 Classific. 2'!G17*'4.1 kW &amp; kWh'!$L$82)</f>
        <v>49028.621344233274</v>
      </c>
      <c r="D203" s="528">
        <f>('3.2 Classific. 2'!F17*'4.21 Consumer Alloc'!$I$11)</f>
        <v>17.189096358619601</v>
      </c>
      <c r="E203" s="563">
        <f>('3.2 Classific. 2'!G35*'4.1 kW &amp; kWh'!$L$110)</f>
        <v>0</v>
      </c>
      <c r="F203" s="542">
        <f>('3.2 Classific. 2'!O35*'4.1 kW &amp; kWh'!$L$84)</f>
        <v>0</v>
      </c>
      <c r="G203" s="542">
        <f>('3.2 Classific. 2'!P35*'4.1 kW &amp; kWh'!$L$84)</f>
        <v>0</v>
      </c>
      <c r="H203" s="542">
        <f>('3.2 Classific. 2'!L17*'4.21 Consumer Alloc'!$I$61)</f>
        <v>5.0072891131195822</v>
      </c>
      <c r="I203" s="542">
        <f>('3.2 Classific. 2'!M17*'4.21 Consumer Alloc'!$I$78)</f>
        <v>65.597300003734603</v>
      </c>
      <c r="J203" s="551">
        <f t="shared" si="41"/>
        <v>50250.761625791172</v>
      </c>
    </row>
    <row r="204" spans="1:10" ht="15" thickBot="1">
      <c r="A204" s="526" t="str">
        <f t="shared" si="43"/>
        <v>Revenue Requirements</v>
      </c>
      <c r="B204" s="545">
        <f>SUM(B202:B203)</f>
        <v>6421.2128124428527</v>
      </c>
      <c r="C204" s="545">
        <f t="shared" ref="C204:J204" si="44">SUM(C202:C203)</f>
        <v>324913.85284922912</v>
      </c>
      <c r="D204" s="545">
        <f t="shared" si="44"/>
        <v>113.91255498830486</v>
      </c>
      <c r="E204" s="545">
        <f t="shared" si="44"/>
        <v>0</v>
      </c>
      <c r="F204" s="545">
        <f t="shared" si="44"/>
        <v>0</v>
      </c>
      <c r="G204" s="545">
        <f t="shared" si="44"/>
        <v>0</v>
      </c>
      <c r="H204" s="545">
        <f t="shared" si="44"/>
        <v>51.125452375958218</v>
      </c>
      <c r="I204" s="545">
        <f t="shared" si="44"/>
        <v>7066.1006386284162</v>
      </c>
      <c r="J204" s="545">
        <f t="shared" si="44"/>
        <v>338566.20430766465</v>
      </c>
    </row>
    <row r="205" spans="1:10" ht="15" thickBot="1">
      <c r="A205" s="524"/>
      <c r="B205" s="524"/>
      <c r="C205" s="524"/>
      <c r="D205" s="524"/>
      <c r="E205" s="524"/>
      <c r="F205" s="524"/>
      <c r="G205" s="524"/>
      <c r="H205" s="524"/>
      <c r="I205" s="524"/>
      <c r="J205" s="524"/>
    </row>
    <row r="206" spans="1:10" ht="15.75">
      <c r="A206" s="904" t="s">
        <v>15</v>
      </c>
      <c r="B206" s="905"/>
      <c r="C206" s="905"/>
      <c r="D206" s="905"/>
      <c r="E206" s="905"/>
      <c r="F206" s="905"/>
      <c r="G206" s="905"/>
      <c r="H206" s="905"/>
      <c r="I206" s="905"/>
      <c r="J206" s="906"/>
    </row>
    <row r="207" spans="1:10">
      <c r="A207" s="531"/>
      <c r="B207" s="525"/>
      <c r="C207" s="907" t="s">
        <v>5</v>
      </c>
      <c r="D207" s="907"/>
      <c r="E207" s="907" t="s">
        <v>95</v>
      </c>
      <c r="F207" s="907"/>
      <c r="G207" s="525"/>
      <c r="H207" s="525"/>
      <c r="I207" s="525" t="s">
        <v>666</v>
      </c>
      <c r="J207" s="547" t="s">
        <v>1</v>
      </c>
    </row>
    <row r="208" spans="1:10" ht="15" thickBot="1">
      <c r="A208" s="533"/>
      <c r="B208" s="527" t="s">
        <v>240</v>
      </c>
      <c r="C208" s="527" t="s">
        <v>131</v>
      </c>
      <c r="D208" s="527" t="s">
        <v>667</v>
      </c>
      <c r="E208" s="527" t="s">
        <v>131</v>
      </c>
      <c r="F208" s="527" t="s">
        <v>667</v>
      </c>
      <c r="G208" s="527" t="s">
        <v>8</v>
      </c>
      <c r="H208" s="527" t="s">
        <v>9</v>
      </c>
      <c r="I208" s="527" t="s">
        <v>668</v>
      </c>
      <c r="J208" s="556" t="s">
        <v>1</v>
      </c>
    </row>
    <row r="209" spans="1:19">
      <c r="A209" s="534"/>
      <c r="B209" s="535"/>
      <c r="C209" s="535"/>
      <c r="D209" s="535"/>
      <c r="E209" s="535"/>
      <c r="F209" s="535"/>
      <c r="G209" s="535"/>
      <c r="H209" s="535"/>
      <c r="I209" s="535"/>
      <c r="J209" s="554"/>
    </row>
    <row r="210" spans="1:19">
      <c r="A210" s="523" t="str">
        <f t="shared" ref="A210:A223" si="45">(A168)</f>
        <v>Expense</v>
      </c>
      <c r="B210" s="524"/>
      <c r="C210" s="524"/>
      <c r="D210" s="524"/>
      <c r="E210" s="524"/>
      <c r="F210" s="524"/>
      <c r="G210" s="524"/>
      <c r="H210" s="524"/>
      <c r="I210" s="524"/>
      <c r="J210" s="548"/>
    </row>
    <row r="211" spans="1:19">
      <c r="A211" s="523" t="str">
        <f t="shared" si="45"/>
        <v>Purchased Power</v>
      </c>
      <c r="B211" s="524"/>
      <c r="C211" s="524"/>
      <c r="D211" s="524"/>
      <c r="E211" s="524"/>
      <c r="F211" s="524"/>
      <c r="G211" s="524"/>
      <c r="H211" s="524"/>
      <c r="I211" s="524"/>
      <c r="J211" s="548"/>
    </row>
    <row r="212" spans="1:19">
      <c r="A212" s="566" t="str">
        <f t="shared" si="45"/>
        <v>Distibution Operations</v>
      </c>
      <c r="B212" s="567">
        <f t="shared" ref="B212:G212" si="46">SUM(B9,B32,B55,B78,B101,B124,B147,B170,B193)</f>
        <v>60656.899156184583</v>
      </c>
      <c r="C212" s="567">
        <f t="shared" si="46"/>
        <v>880302.22183110332</v>
      </c>
      <c r="D212" s="567">
        <f t="shared" si="46"/>
        <v>453586.89985481935</v>
      </c>
      <c r="E212" s="567">
        <f t="shared" si="46"/>
        <v>0</v>
      </c>
      <c r="F212" s="567">
        <f t="shared" si="46"/>
        <v>0</v>
      </c>
      <c r="G212" s="567">
        <f t="shared" si="46"/>
        <v>322660.09680489096</v>
      </c>
      <c r="H212" s="567">
        <f>SUM(H9,H32,H55,H78,H101,H124,H170,H193,H147)</f>
        <v>1019118.3559443683</v>
      </c>
      <c r="I212" s="567">
        <f t="shared" ref="I212:J220" si="47">SUM(I9,I32,I55,I78,I101,I124,I147,I170,I193)</f>
        <v>0</v>
      </c>
      <c r="J212" s="568">
        <f>SUM(J9,J32,J55,J78,J101,J124,J147,J170,J193)</f>
        <v>2736324</v>
      </c>
      <c r="M212" s="43">
        <v>2736324</v>
      </c>
      <c r="O212" s="43">
        <f>(J212-M212)</f>
        <v>0</v>
      </c>
      <c r="Q212" s="43">
        <f>(M212-O212)</f>
        <v>2736324</v>
      </c>
      <c r="S212" s="14">
        <v>0.47359136678278446</v>
      </c>
    </row>
    <row r="213" spans="1:19">
      <c r="A213" s="523" t="str">
        <f t="shared" si="45"/>
        <v>Distribution Maintenance</v>
      </c>
      <c r="B213" s="567">
        <f t="shared" ref="B213:J222" si="48">SUM(B10,B33,B56,B79,B102,B125,B148,B171,B194)</f>
        <v>169.68229647759219</v>
      </c>
      <c r="C213" s="528">
        <f t="shared" ref="C213:G220" si="49">SUM(C10,C33,C56,C79,C102,C125,C148,C171,C194)</f>
        <v>3075315.7874153</v>
      </c>
      <c r="D213" s="528">
        <f t="shared" si="49"/>
        <v>1584595.516738252</v>
      </c>
      <c r="E213" s="567">
        <f t="shared" si="49"/>
        <v>15046.605484242005</v>
      </c>
      <c r="F213" s="528">
        <f t="shared" si="49"/>
        <v>3980.4633933917303</v>
      </c>
      <c r="G213" s="567">
        <f t="shared" si="49"/>
        <v>1127205.708522466</v>
      </c>
      <c r="H213" s="528">
        <f t="shared" ref="H213:H223" si="50">SUM(H10,H33,H56,H79,H102,H125,H171,H194,H148)</f>
        <v>439844.18384115596</v>
      </c>
      <c r="I213" s="528">
        <f t="shared" si="47"/>
        <v>0</v>
      </c>
      <c r="J213" s="565">
        <f t="shared" si="47"/>
        <v>6246138</v>
      </c>
      <c r="M213" s="43">
        <v>6246138</v>
      </c>
      <c r="O213" s="43">
        <f t="shared" ref="O213:O220" si="51">(J213-M213)</f>
        <v>0</v>
      </c>
      <c r="Q213" s="43">
        <f>(M213-O213)</f>
        <v>6246138</v>
      </c>
      <c r="S213" s="14">
        <v>19.947691286914051</v>
      </c>
    </row>
    <row r="214" spans="1:19">
      <c r="A214" s="566" t="str">
        <f t="shared" si="45"/>
        <v>Consumer Accounts</v>
      </c>
      <c r="B214" s="567">
        <f t="shared" si="48"/>
        <v>0</v>
      </c>
      <c r="C214" s="567">
        <f t="shared" si="49"/>
        <v>0</v>
      </c>
      <c r="D214" s="567">
        <f t="shared" si="49"/>
        <v>0</v>
      </c>
      <c r="E214" s="567">
        <f t="shared" si="49"/>
        <v>0</v>
      </c>
      <c r="F214" s="567">
        <f t="shared" si="49"/>
        <v>0</v>
      </c>
      <c r="G214" s="567">
        <f t="shared" si="49"/>
        <v>0</v>
      </c>
      <c r="H214" s="567">
        <f t="shared" si="50"/>
        <v>0</v>
      </c>
      <c r="I214" s="567">
        <f t="shared" si="47"/>
        <v>2905364.9361983882</v>
      </c>
      <c r="J214" s="568">
        <f t="shared" si="47"/>
        <v>2905365</v>
      </c>
      <c r="M214" s="43">
        <v>2905365</v>
      </c>
      <c r="O214" s="43">
        <f t="shared" si="51"/>
        <v>0</v>
      </c>
      <c r="Q214" s="43">
        <f t="shared" ref="Q214:Q220" si="52">(M214-O214)</f>
        <v>2905365</v>
      </c>
      <c r="S214" s="14">
        <v>-6.380161177366972E-2</v>
      </c>
    </row>
    <row r="215" spans="1:19">
      <c r="A215" s="566" t="str">
        <f t="shared" si="45"/>
        <v>Customer Service</v>
      </c>
      <c r="B215" s="567">
        <f t="shared" si="48"/>
        <v>0</v>
      </c>
      <c r="C215" s="567">
        <f t="shared" si="49"/>
        <v>0</v>
      </c>
      <c r="D215" s="567">
        <f t="shared" si="49"/>
        <v>0</v>
      </c>
      <c r="E215" s="567">
        <f t="shared" si="49"/>
        <v>0</v>
      </c>
      <c r="F215" s="567">
        <f t="shared" si="49"/>
        <v>0</v>
      </c>
      <c r="G215" s="567">
        <f t="shared" si="49"/>
        <v>0</v>
      </c>
      <c r="H215" s="567">
        <f t="shared" si="50"/>
        <v>0</v>
      </c>
      <c r="I215" s="567">
        <f t="shared" si="47"/>
        <v>1024972.650714903</v>
      </c>
      <c r="J215" s="568">
        <f t="shared" si="47"/>
        <v>1024973</v>
      </c>
      <c r="M215" s="43">
        <v>1024973</v>
      </c>
      <c r="O215" s="43">
        <f t="shared" si="51"/>
        <v>0</v>
      </c>
      <c r="Q215" s="43">
        <f t="shared" si="52"/>
        <v>1024973</v>
      </c>
      <c r="S215" s="14">
        <v>-0.34928509697783738</v>
      </c>
    </row>
    <row r="216" spans="1:19">
      <c r="A216" s="523" t="str">
        <f t="shared" si="45"/>
        <v>Administative &amp; General</v>
      </c>
      <c r="B216" s="567">
        <f t="shared" si="48"/>
        <v>20747.166562509858</v>
      </c>
      <c r="C216" s="528">
        <f t="shared" si="49"/>
        <v>1349210.5545889915</v>
      </c>
      <c r="D216" s="528">
        <f t="shared" si="49"/>
        <v>695197.87356033584</v>
      </c>
      <c r="E216" s="567">
        <f t="shared" si="49"/>
        <v>5132.2040911487129</v>
      </c>
      <c r="F216" s="528">
        <f t="shared" si="49"/>
        <v>1357.6849963685911</v>
      </c>
      <c r="G216" s="567">
        <f t="shared" si="49"/>
        <v>494530.62523042131</v>
      </c>
      <c r="H216" s="528">
        <f t="shared" si="50"/>
        <v>497633.40464809083</v>
      </c>
      <c r="I216" s="528">
        <f t="shared" si="47"/>
        <v>1340587.7268648352</v>
      </c>
      <c r="J216" s="565">
        <f t="shared" si="47"/>
        <v>4404390</v>
      </c>
      <c r="M216" s="43">
        <v>4404390</v>
      </c>
      <c r="O216" s="43">
        <f t="shared" si="51"/>
        <v>0</v>
      </c>
      <c r="Q216" s="43">
        <f t="shared" si="52"/>
        <v>4404390</v>
      </c>
      <c r="S216" s="14">
        <v>7.2405427023768425</v>
      </c>
    </row>
    <row r="217" spans="1:19">
      <c r="A217" s="523" t="str">
        <f t="shared" si="45"/>
        <v>Depreciation</v>
      </c>
      <c r="B217" s="567">
        <f t="shared" si="48"/>
        <v>75944.390227034994</v>
      </c>
      <c r="C217" s="528">
        <f t="shared" si="49"/>
        <v>3302977.0395873361</v>
      </c>
      <c r="D217" s="528">
        <f t="shared" si="49"/>
        <v>1701900.8682742068</v>
      </c>
      <c r="E217" s="567">
        <f t="shared" si="49"/>
        <v>1006495.0067861044</v>
      </c>
      <c r="F217" s="528">
        <f t="shared" si="49"/>
        <v>266260.48874208744</v>
      </c>
      <c r="G217" s="567">
        <f t="shared" si="49"/>
        <v>1210651.1433320649</v>
      </c>
      <c r="H217" s="528">
        <f t="shared" si="50"/>
        <v>671366.2064580837</v>
      </c>
      <c r="I217" s="528">
        <f t="shared" si="47"/>
        <v>150047.45930068707</v>
      </c>
      <c r="J217" s="565">
        <f t="shared" si="47"/>
        <v>8384294</v>
      </c>
      <c r="M217" s="43">
        <v>8384294</v>
      </c>
      <c r="O217" s="43">
        <f t="shared" si="51"/>
        <v>0</v>
      </c>
      <c r="Q217" s="43">
        <f t="shared" si="52"/>
        <v>8384294</v>
      </c>
      <c r="S217" s="14">
        <v>1348.6027076067403</v>
      </c>
    </row>
    <row r="218" spans="1:19">
      <c r="A218" s="523" t="str">
        <f t="shared" si="45"/>
        <v>Miscellaneous</v>
      </c>
      <c r="B218" s="567">
        <f t="shared" si="48"/>
        <v>185.76590323743045</v>
      </c>
      <c r="C218" s="528">
        <f t="shared" si="49"/>
        <v>8029.1563089731799</v>
      </c>
      <c r="D218" s="528">
        <f t="shared" si="49"/>
        <v>4137.1247604730643</v>
      </c>
      <c r="E218" s="567">
        <f t="shared" si="49"/>
        <v>2492.2669048876141</v>
      </c>
      <c r="F218" s="528">
        <f t="shared" si="49"/>
        <v>659.30998136797439</v>
      </c>
      <c r="G218" s="567">
        <f t="shared" si="49"/>
        <v>2942.9533263315366</v>
      </c>
      <c r="H218" s="528">
        <f t="shared" si="50"/>
        <v>1606.9273130900181</v>
      </c>
      <c r="I218" s="528">
        <f t="shared" si="47"/>
        <v>221.08520243074906</v>
      </c>
      <c r="J218" s="565">
        <f t="shared" si="47"/>
        <v>20271.000000000004</v>
      </c>
      <c r="M218" s="43">
        <v>20271</v>
      </c>
      <c r="O218" s="43">
        <f t="shared" si="51"/>
        <v>3.637978807091713E-12</v>
      </c>
      <c r="Q218" s="43">
        <f t="shared" si="52"/>
        <v>20270.999999999996</v>
      </c>
      <c r="S218" s="14">
        <v>3.589700791566429</v>
      </c>
    </row>
    <row r="219" spans="1:19">
      <c r="A219" s="523" t="str">
        <f t="shared" si="45"/>
        <v>Interest on Long Term Debt</v>
      </c>
      <c r="B219" s="567">
        <f t="shared" si="48"/>
        <v>43087.286110662062</v>
      </c>
      <c r="C219" s="528">
        <f t="shared" si="49"/>
        <v>1862314.6071633212</v>
      </c>
      <c r="D219" s="528">
        <f t="shared" si="49"/>
        <v>959581.25319786672</v>
      </c>
      <c r="E219" s="567">
        <f t="shared" si="49"/>
        <v>578066.34761049913</v>
      </c>
      <c r="F219" s="528">
        <f t="shared" si="49"/>
        <v>152922.99236695014</v>
      </c>
      <c r="G219" s="567">
        <f t="shared" si="49"/>
        <v>682600.35761192103</v>
      </c>
      <c r="H219" s="528">
        <f t="shared" si="50"/>
        <v>372717.14395107608</v>
      </c>
      <c r="I219" s="528">
        <f t="shared" si="47"/>
        <v>51279.385538217073</v>
      </c>
      <c r="J219" s="565">
        <f t="shared" si="47"/>
        <v>4701795</v>
      </c>
      <c r="M219" s="43">
        <v>4701795</v>
      </c>
      <c r="O219" s="43">
        <f t="shared" si="51"/>
        <v>0</v>
      </c>
      <c r="Q219" s="43">
        <f t="shared" si="52"/>
        <v>4701795</v>
      </c>
      <c r="S219" s="14">
        <v>774.37355051375926</v>
      </c>
    </row>
    <row r="220" spans="1:19">
      <c r="A220" s="566" t="str">
        <f t="shared" si="45"/>
        <v>Short Term Interest</v>
      </c>
      <c r="B220" s="567">
        <f t="shared" si="48"/>
        <v>26.381896932557634</v>
      </c>
      <c r="C220" s="569">
        <f t="shared" si="49"/>
        <v>1140.275855295087</v>
      </c>
      <c r="D220" s="569">
        <f t="shared" si="49"/>
        <v>587.5416162266996</v>
      </c>
      <c r="E220" s="569">
        <f t="shared" si="49"/>
        <v>353.94400946191058</v>
      </c>
      <c r="F220" s="569">
        <f t="shared" si="49"/>
        <v>93.633156956823399</v>
      </c>
      <c r="G220" s="569">
        <f t="shared" si="49"/>
        <v>417.94909603713654</v>
      </c>
      <c r="H220" s="569">
        <f t="shared" si="50"/>
        <v>228.21082886167989</v>
      </c>
      <c r="I220" s="569">
        <f t="shared" si="47"/>
        <v>31.397834167591352</v>
      </c>
      <c r="J220" s="570">
        <f t="shared" si="47"/>
        <v>2879</v>
      </c>
      <c r="M220" s="43">
        <v>2879</v>
      </c>
      <c r="O220" s="43">
        <f t="shared" si="51"/>
        <v>0</v>
      </c>
      <c r="Q220" s="43">
        <f t="shared" si="52"/>
        <v>2879</v>
      </c>
      <c r="S220" s="14">
        <v>0.33429393948563302</v>
      </c>
    </row>
    <row r="221" spans="1:19">
      <c r="A221" s="523" t="str">
        <f t="shared" si="45"/>
        <v>Total Costs</v>
      </c>
      <c r="B221" s="567">
        <f>SUM(B212:B220)</f>
        <v>200817.57215303907</v>
      </c>
      <c r="C221" s="528">
        <f>SUM(C18,C41,C64,C87,C110,C133,C156,C179)</f>
        <v>10203404.411245324</v>
      </c>
      <c r="D221" s="528">
        <f>SUM(D18,D41,D64,D87,D110,D133,D156,D179)</f>
        <v>5399490.3545435518</v>
      </c>
      <c r="E221" s="567">
        <f>SUM(E18,E41,E64,E87,E110,E133,E156,E179)</f>
        <v>1607586.3748863437</v>
      </c>
      <c r="F221" s="528">
        <f>SUM(F18,F41,F64,F87,F110,F133,F156,F179)</f>
        <v>425274.57263712271</v>
      </c>
      <c r="G221" s="567">
        <f>SUM(G18,G41,G64,G87,G110,G133,G156,G179)</f>
        <v>3841008.8339241324</v>
      </c>
      <c r="H221" s="528">
        <f t="shared" si="50"/>
        <v>3002514.4329847265</v>
      </c>
      <c r="I221" s="528">
        <f>SUM(I18,I41,I64,I87,I110,I133,I156,I179)</f>
        <v>5465504.1383150034</v>
      </c>
      <c r="J221" s="549">
        <f>SUM(J18,J41,J64,J87,J110,J133,J156,J179,J202)</f>
        <v>30428583.148991488</v>
      </c>
      <c r="M221" s="43">
        <f>SUM(M212:M220)</f>
        <v>30426429</v>
      </c>
      <c r="O221" s="43">
        <f>SUM(O212:O220)</f>
        <v>3.637978807091713E-12</v>
      </c>
      <c r="Q221" s="43">
        <f>(M221-O221)</f>
        <v>30426429</v>
      </c>
      <c r="S221" s="14">
        <v>2154.1489914988738</v>
      </c>
    </row>
    <row r="222" spans="1:19">
      <c r="A222" s="523" t="str">
        <f t="shared" si="45"/>
        <v>Margin Requirements</v>
      </c>
      <c r="B222" s="567">
        <f t="shared" si="48"/>
        <v>43087.288401664133</v>
      </c>
      <c r="C222" s="528">
        <f>SUM(C19,C42,C65,C88,C111,C134,C157,C180,C203)</f>
        <v>1862314.7061847963</v>
      </c>
      <c r="D222" s="528">
        <f t="shared" si="48"/>
        <v>959581.30421993916</v>
      </c>
      <c r="E222" s="567">
        <f t="shared" si="48"/>
        <v>578066.37834697193</v>
      </c>
      <c r="F222" s="528">
        <f t="shared" si="48"/>
        <v>152923.00049804695</v>
      </c>
      <c r="G222" s="567">
        <f t="shared" si="48"/>
        <v>682600.39390659111</v>
      </c>
      <c r="H222" s="528">
        <f t="shared" si="48"/>
        <v>372717.16376888839</v>
      </c>
      <c r="I222" s="528">
        <f t="shared" si="48"/>
        <v>51279.388264802787</v>
      </c>
      <c r="J222" s="528">
        <f t="shared" si="48"/>
        <v>4702569.6235917006</v>
      </c>
      <c r="M222" s="43" t="s">
        <v>1</v>
      </c>
    </row>
    <row r="223" spans="1:19" ht="15" thickBot="1">
      <c r="A223" s="526" t="str">
        <f t="shared" si="45"/>
        <v>Revenue Requirements</v>
      </c>
      <c r="B223" s="569">
        <f>SUM(B221:B222)</f>
        <v>243904.86055470322</v>
      </c>
      <c r="C223" s="545">
        <f>SUM(C20,C43,C66,C89,C112,C135,C158,C181)</f>
        <v>12016690.496085884</v>
      </c>
      <c r="D223" s="545">
        <f>SUM(D20,D43,D66,D89,D112,D135,D158,D181)</f>
        <v>6359054.469667132</v>
      </c>
      <c r="E223" s="571">
        <f>SUM(E20,E43,E66,E89,E112,E135,E158,E181)</f>
        <v>2185652.7532333159</v>
      </c>
      <c r="F223" s="545">
        <f>SUM(F20,F43,F66,F89,F112,F135,F158,F181)</f>
        <v>578197.57313516957</v>
      </c>
      <c r="G223" s="571">
        <f>SUM(G20,G43,G66,G89,G112,G135,G158,G181)</f>
        <v>4523609.2278307239</v>
      </c>
      <c r="H223" s="528">
        <f t="shared" si="50"/>
        <v>3375231.596753615</v>
      </c>
      <c r="I223" s="545">
        <f>SUM(I20,I43,I66,I89,I112,I135,I158,I181)</f>
        <v>5516717.9292798042</v>
      </c>
      <c r="J223" s="560">
        <f>SUM(J20,J43,J66,J89,J112,J135,J158,J181,J204)</f>
        <v>35131152.772583202</v>
      </c>
      <c r="M223" s="43" t="s">
        <v>1</v>
      </c>
    </row>
    <row r="224" spans="1:19">
      <c r="J224" s="524"/>
    </row>
    <row r="225" spans="2:10">
      <c r="B225" s="43">
        <f>SUM(B212:B223)</f>
        <v>688627.29326244548</v>
      </c>
      <c r="H225" s="43">
        <f>SUM(H212:H220)</f>
        <v>3002514.4329847265</v>
      </c>
    </row>
    <row r="229" spans="2:10">
      <c r="J229" s="14">
        <f>('2 Functionalization2'!P94)</f>
        <v>30426428.9425226</v>
      </c>
    </row>
  </sheetData>
  <mergeCells count="30">
    <mergeCell ref="A3:J3"/>
    <mergeCell ref="C4:D4"/>
    <mergeCell ref="E4:F4"/>
    <mergeCell ref="A26:J26"/>
    <mergeCell ref="C27:D27"/>
    <mergeCell ref="E27:F27"/>
    <mergeCell ref="A49:J49"/>
    <mergeCell ref="C50:D50"/>
    <mergeCell ref="E50:F50"/>
    <mergeCell ref="A72:J72"/>
    <mergeCell ref="C73:D73"/>
    <mergeCell ref="E73:F73"/>
    <mergeCell ref="A95:J95"/>
    <mergeCell ref="C96:D96"/>
    <mergeCell ref="E96:F96"/>
    <mergeCell ref="A118:J118"/>
    <mergeCell ref="C119:D119"/>
    <mergeCell ref="E119:F119"/>
    <mergeCell ref="A141:J141"/>
    <mergeCell ref="C142:D142"/>
    <mergeCell ref="E142:F142"/>
    <mergeCell ref="A164:J164"/>
    <mergeCell ref="C165:D165"/>
    <mergeCell ref="E165:F165"/>
    <mergeCell ref="A206:J206"/>
    <mergeCell ref="C207:D207"/>
    <mergeCell ref="E207:F207"/>
    <mergeCell ref="A187:J187"/>
    <mergeCell ref="C188:D188"/>
    <mergeCell ref="E188:F188"/>
  </mergeCells>
  <printOptions horizontalCentered="1" verticalCentered="1" gridLines="1"/>
  <pageMargins left="0.7" right="0.7" top="0.75" bottom="0.75" header="0.3" footer="0.3"/>
  <pageSetup scale="90" orientation="landscape" r:id="rId1"/>
  <rowBreaks count="10" manualBreakCount="10">
    <brk id="23" max="16383" man="1"/>
    <brk id="46" max="9" man="1"/>
    <brk id="69" max="9" man="1"/>
    <brk id="92" max="9" man="1"/>
    <brk id="115" max="9" man="1"/>
    <brk id="138" max="9" man="1"/>
    <brk id="161" max="9" man="1"/>
    <brk id="184" max="9" man="1"/>
    <brk id="205" max="9" man="1"/>
    <brk id="226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22</vt:i4>
      </vt:variant>
    </vt:vector>
  </HeadingPairs>
  <TitlesOfParts>
    <vt:vector size="42" baseType="lpstr">
      <vt:lpstr>Cover</vt:lpstr>
      <vt:lpstr>1TestYr</vt:lpstr>
      <vt:lpstr>1TestYr_adj</vt:lpstr>
      <vt:lpstr>1.1TYAdj.</vt:lpstr>
      <vt:lpstr>2 Functionalization2</vt:lpstr>
      <vt:lpstr>2.1 SummaryFunc.</vt:lpstr>
      <vt:lpstr>2.22Rate Base</vt:lpstr>
      <vt:lpstr>3Classific. Summary</vt:lpstr>
      <vt:lpstr>3.2 Classific. 2</vt:lpstr>
      <vt:lpstr>3.1 PlantClass.</vt:lpstr>
      <vt:lpstr>4 Allocation</vt:lpstr>
      <vt:lpstr>4.1 kW &amp; kWh</vt:lpstr>
      <vt:lpstr>-5 IncStmt</vt:lpstr>
      <vt:lpstr>12 Inc Stmt Func</vt:lpstr>
      <vt:lpstr>-6 Increase</vt:lpstr>
      <vt:lpstr>4.21 Consumer Alloc</vt:lpstr>
      <vt:lpstr>Power Cost</vt:lpstr>
      <vt:lpstr>Additional</vt:lpstr>
      <vt:lpstr>Sheet1</vt:lpstr>
      <vt:lpstr>Sheet2</vt:lpstr>
      <vt:lpstr>'1.1TYAdj.'!Print_Area</vt:lpstr>
      <vt:lpstr>'12 Inc Stmt Func'!Print_Area</vt:lpstr>
      <vt:lpstr>'1TestYr'!Print_Area</vt:lpstr>
      <vt:lpstr>'1TestYr_adj'!Print_Area</vt:lpstr>
      <vt:lpstr>'2 Functionalization2'!Print_Area</vt:lpstr>
      <vt:lpstr>'2.1 SummaryFunc.'!Print_Area</vt:lpstr>
      <vt:lpstr>'2.22Rate Base'!Print_Area</vt:lpstr>
      <vt:lpstr>'3.1 PlantClass.'!Print_Area</vt:lpstr>
      <vt:lpstr>'3.2 Classific. 2'!Print_Area</vt:lpstr>
      <vt:lpstr>'3Classific. Summary'!Print_Area</vt:lpstr>
      <vt:lpstr>'4 Allocation'!Print_Area</vt:lpstr>
      <vt:lpstr>'4.1 kW &amp; kWh'!Print_Area</vt:lpstr>
      <vt:lpstr>'4.21 Consumer Alloc'!Print_Area</vt:lpstr>
      <vt:lpstr>'-6 Increase'!Print_Area</vt:lpstr>
      <vt:lpstr>Cover!Print_Area</vt:lpstr>
      <vt:lpstr>Sheet2!Print_Area</vt:lpstr>
      <vt:lpstr>'12 Inc Stmt Func'!Print_Titles</vt:lpstr>
      <vt:lpstr>'1TestYr_adj'!Print_Titles</vt:lpstr>
      <vt:lpstr>'2 Functionalization2'!Print_Titles</vt:lpstr>
      <vt:lpstr>'2.1 SummaryFunc.'!Print_Titles</vt:lpstr>
      <vt:lpstr>'-5 IncStmt'!Print_Titles</vt:lpstr>
      <vt:lpstr>'-6 Increase'!Print_Titles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Purvis, Mary (Bluegrass)</dc:creator>
  <cp:lastModifiedBy>Jim</cp:lastModifiedBy>
  <cp:lastPrinted>2015-02-03T20:58:58Z</cp:lastPrinted>
  <dcterms:created xsi:type="dcterms:W3CDTF">1996-10-14T23:33:28Z</dcterms:created>
  <dcterms:modified xsi:type="dcterms:W3CDTF">2015-02-04T03:09:28Z</dcterms:modified>
</cp:coreProperties>
</file>