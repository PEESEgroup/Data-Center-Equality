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rider/PJM/DOM/"/>
    </mc:Choice>
  </mc:AlternateContent>
  <xr:revisionPtr revIDLastSave="0" documentId="13_ncr:1_{6F14743F-A934-4140-B66C-4D5D829FE9DE}" xr6:coauthVersionLast="47" xr6:coauthVersionMax="47" xr10:uidLastSave="{00000000-0000-0000-0000-000000000000}"/>
  <bookViews>
    <workbookView xWindow="-30240" yWindow="760" windowWidth="30240" windowHeight="18880" activeTab="1" xr2:uid="{08CDB012-30B4-7842-ADAB-7B261DF5628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11" i="2"/>
  <c r="E12" i="2"/>
  <c r="E13" i="2"/>
  <c r="E14" i="2"/>
  <c r="C13" i="1"/>
  <c r="D13" i="1"/>
  <c r="E13" i="1"/>
  <c r="F13" i="1"/>
  <c r="G13" i="1"/>
  <c r="B13" i="1"/>
  <c r="C15" i="2"/>
  <c r="C16" i="2"/>
  <c r="C17" i="2"/>
  <c r="C18" i="2"/>
  <c r="C19" i="2"/>
  <c r="C20" i="2"/>
  <c r="C21" i="2"/>
  <c r="C12" i="1"/>
  <c r="D12" i="1"/>
  <c r="E12" i="1"/>
  <c r="F12" i="1"/>
  <c r="G12" i="1"/>
  <c r="B12" i="1"/>
  <c r="C11" i="1"/>
  <c r="D11" i="1"/>
  <c r="E11" i="1"/>
  <c r="F11" i="1"/>
  <c r="G11" i="1"/>
  <c r="B11" i="1"/>
</calcChain>
</file>

<file path=xl/sharedStrings.xml><?xml version="1.0" encoding="utf-8"?>
<sst xmlns="http://schemas.openxmlformats.org/spreadsheetml/2006/main" count="9" uniqueCount="8">
  <si>
    <t>RES</t>
  </si>
  <si>
    <t>GS-1</t>
  </si>
  <si>
    <t>GS-2</t>
  </si>
  <si>
    <t>GS-3</t>
  </si>
  <si>
    <t>GS-4</t>
  </si>
  <si>
    <t>CHURCH</t>
  </si>
  <si>
    <t>OD LIGHT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</si>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</sst>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4897-4641-9B46-AC13-51AA387D9F54}">
  <dimension ref="A1:G13"/>
  <sheetViews>
    <sheetView workbookViewId="0">
      <selection activeCell="B13" sqref="B13:G13"/>
    </sheetView>
  </sheetViews>
  <sheetFormatPr baseColWidth="10" defaultRowHeight="16" x14ac:dyDescent="0.2"/>
  <cols>
    <col min="2" max="2" width="11.16406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ht="17" x14ac:dyDescent="0.2">
      <c r="A2" s="1" t="s">
        <v>0</v>
      </c>
      <c r="B2" s="1">
        <v>0.59752021</v>
      </c>
      <c r="C2" s="1">
        <v>0.57468775000000005</v>
      </c>
      <c r="D2">
        <v>0.53731329999999999</v>
      </c>
      <c r="E2">
        <v>0.52663400999999999</v>
      </c>
      <c r="F2" s="1">
        <v>0.48732555</v>
      </c>
      <c r="G2" s="1">
        <v>0.48274682000000002</v>
      </c>
    </row>
    <row r="3" spans="1:7" ht="17" x14ac:dyDescent="0.2">
      <c r="A3" s="1" t="s">
        <v>1</v>
      </c>
      <c r="B3">
        <v>4.8626780000000001E-2</v>
      </c>
      <c r="C3" s="1">
        <v>4.8997770000000003E-2</v>
      </c>
      <c r="D3">
        <v>5.0680879999999998E-2</v>
      </c>
      <c r="E3">
        <v>4.6437069999999997E-2</v>
      </c>
      <c r="F3">
        <v>4.9128239999999997E-2</v>
      </c>
      <c r="G3">
        <v>5.1501270000000002E-2</v>
      </c>
    </row>
    <row r="4" spans="1:7" ht="17" x14ac:dyDescent="0.2">
      <c r="A4" s="1" t="s">
        <v>2</v>
      </c>
      <c r="B4">
        <v>0.13711359000000001</v>
      </c>
      <c r="C4" s="1">
        <v>0.13384351999999999</v>
      </c>
      <c r="D4">
        <v>0.13298653999999999</v>
      </c>
      <c r="E4">
        <v>0.12408764</v>
      </c>
      <c r="F4">
        <v>0.13225057000000001</v>
      </c>
      <c r="G4">
        <v>0.12714628</v>
      </c>
    </row>
    <row r="5" spans="1:7" ht="17" x14ac:dyDescent="0.2">
      <c r="A5" s="1" t="s">
        <v>3</v>
      </c>
      <c r="B5">
        <v>0.13027332999999999</v>
      </c>
      <c r="C5" s="1">
        <v>0.11898209</v>
      </c>
      <c r="D5">
        <v>0.12174172</v>
      </c>
      <c r="E5">
        <v>0.11753797000000001</v>
      </c>
      <c r="F5">
        <v>0.12639669000000001</v>
      </c>
      <c r="G5">
        <v>0.11942274</v>
      </c>
    </row>
    <row r="6" spans="1:7" ht="17" x14ac:dyDescent="0.2">
      <c r="A6" s="1" t="s">
        <v>4</v>
      </c>
      <c r="B6">
        <v>8.2549040000000004E-2</v>
      </c>
      <c r="C6" s="1">
        <v>0.11962115</v>
      </c>
      <c r="D6">
        <v>0.15339443</v>
      </c>
      <c r="E6">
        <v>0.18192558</v>
      </c>
      <c r="F6">
        <v>0.20153386000000001</v>
      </c>
      <c r="G6">
        <v>0.21566282000000001</v>
      </c>
    </row>
    <row r="7" spans="1:7" ht="17" x14ac:dyDescent="0.2">
      <c r="A7" s="1" t="s">
        <v>5</v>
      </c>
      <c r="B7">
        <v>3.8895900000000001E-3</v>
      </c>
      <c r="C7" s="1">
        <v>3.8366199999999998E-3</v>
      </c>
      <c r="D7">
        <v>3.85856E-3</v>
      </c>
      <c r="E7">
        <v>3.35229E-3</v>
      </c>
      <c r="F7">
        <v>3.3408600000000002E-3</v>
      </c>
      <c r="G7">
        <v>3.3755600000000001E-3</v>
      </c>
    </row>
    <row r="8" spans="1:7" ht="17" x14ac:dyDescent="0.2">
      <c r="A8" s="1" t="s">
        <v>6</v>
      </c>
      <c r="B8">
        <v>2.7460000000000001E-5</v>
      </c>
      <c r="C8" s="1">
        <v>3.1090000000000002E-5</v>
      </c>
      <c r="D8">
        <v>2.4579999999999998E-5</v>
      </c>
      <c r="E8">
        <v>2.5429999999999999E-5</v>
      </c>
      <c r="F8">
        <v>2.4239999999999998E-5</v>
      </c>
      <c r="G8">
        <v>1.4449999999999999E-4</v>
      </c>
    </row>
    <row r="11" spans="1:7" ht="17" x14ac:dyDescent="0.2">
      <c r="A11" s="1" t="s">
        <v>0</v>
      </c>
      <c r="B11">
        <f>B2</f>
        <v>0.59752021</v>
      </c>
      <c r="C11">
        <f t="shared" ref="C11:G11" si="0">C2</f>
        <v>0.57468775000000005</v>
      </c>
      <c r="D11">
        <f t="shared" si="0"/>
        <v>0.53731329999999999</v>
      </c>
      <c r="E11">
        <f t="shared" si="0"/>
        <v>0.52663400999999999</v>
      </c>
      <c r="F11">
        <f t="shared" si="0"/>
        <v>0.48732555</v>
      </c>
      <c r="G11">
        <f t="shared" si="0"/>
        <v>0.48274682000000002</v>
      </c>
    </row>
    <row r="12" spans="1:7" ht="17" x14ac:dyDescent="0.2">
      <c r="A12" s="1" t="s">
        <v>7</v>
      </c>
      <c r="B12">
        <f>B5+B6</f>
        <v>0.21282236999999998</v>
      </c>
      <c r="C12">
        <f t="shared" ref="C12:G12" si="1">C5+C6</f>
        <v>0.23860323999999999</v>
      </c>
      <c r="D12">
        <f t="shared" si="1"/>
        <v>0.27513615000000002</v>
      </c>
      <c r="E12">
        <f t="shared" si="1"/>
        <v>0.29946355000000002</v>
      </c>
      <c r="F12">
        <f t="shared" si="1"/>
        <v>0.32793055000000004</v>
      </c>
      <c r="G12">
        <f t="shared" si="1"/>
        <v>0.33508556</v>
      </c>
    </row>
    <row r="13" spans="1:7" x14ac:dyDescent="0.2">
      <c r="B13">
        <f>B12/B11</f>
        <v>0.35617601955254363</v>
      </c>
      <c r="C13">
        <f t="shared" ref="C13:G13" si="2">C12/C11</f>
        <v>0.41518762145182314</v>
      </c>
      <c r="D13">
        <f t="shared" si="2"/>
        <v>0.51205907242571513</v>
      </c>
      <c r="E13">
        <f t="shared" si="2"/>
        <v>0.56863693630420875</v>
      </c>
      <c r="F13">
        <f t="shared" si="2"/>
        <v>0.67291885270534257</v>
      </c>
      <c r="G13">
        <f t="shared" si="2"/>
        <v>0.69412277019245816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A2898-0F5D-C743-803B-9E771AB2D933}">
  <dimension ref="A1:E21"/>
  <sheetViews>
    <sheetView tabSelected="1" workbookViewId="0">
      <selection activeCell="E9" sqref="E9:E14"/>
    </sheetView>
  </sheetViews>
  <sheetFormatPr baseColWidth="10" defaultRowHeight="16" x14ac:dyDescent="0.2"/>
  <sheetData>
    <row r="1" spans="1:5" x14ac:dyDescent="0.2">
      <c r="B1">
        <v>27672</v>
      </c>
    </row>
    <row r="2" spans="1:5" x14ac:dyDescent="0.2">
      <c r="B2">
        <v>28618</v>
      </c>
    </row>
    <row r="3" spans="1:5" x14ac:dyDescent="0.2">
      <c r="B3">
        <v>29645</v>
      </c>
    </row>
    <row r="4" spans="1:5" x14ac:dyDescent="0.2">
      <c r="B4">
        <v>29293</v>
      </c>
    </row>
    <row r="5" spans="1:5" x14ac:dyDescent="0.2">
      <c r="B5">
        <v>26652</v>
      </c>
    </row>
    <row r="6" spans="1:5" x14ac:dyDescent="0.2">
      <c r="B6">
        <v>28194</v>
      </c>
    </row>
    <row r="7" spans="1:5" x14ac:dyDescent="0.2">
      <c r="B7">
        <v>30437</v>
      </c>
    </row>
    <row r="8" spans="1:5" x14ac:dyDescent="0.2">
      <c r="B8">
        <v>29829</v>
      </c>
    </row>
    <row r="9" spans="1:5" x14ac:dyDescent="0.2">
      <c r="A9">
        <v>2020</v>
      </c>
      <c r="B9">
        <v>30969</v>
      </c>
      <c r="C9">
        <v>0.1</v>
      </c>
      <c r="D9" s="2">
        <v>366.024</v>
      </c>
    </row>
    <row r="10" spans="1:5" x14ac:dyDescent="0.2">
      <c r="A10">
        <v>2021</v>
      </c>
      <c r="B10">
        <v>29968</v>
      </c>
      <c r="C10">
        <v>0.1</v>
      </c>
      <c r="D10" s="2">
        <v>1080.08</v>
      </c>
      <c r="E10">
        <f t="shared" ref="E10:E14" si="0">D10/C10/1000</f>
        <v>10.800799999999999</v>
      </c>
    </row>
    <row r="11" spans="1:5" x14ac:dyDescent="0.2">
      <c r="A11">
        <v>2022</v>
      </c>
      <c r="B11">
        <v>29474</v>
      </c>
      <c r="C11">
        <v>0.1</v>
      </c>
      <c r="D11" s="2">
        <v>1657.8920000000001</v>
      </c>
      <c r="E11">
        <f t="shared" si="0"/>
        <v>16.578919999999997</v>
      </c>
    </row>
    <row r="12" spans="1:5" x14ac:dyDescent="0.2">
      <c r="A12">
        <v>2023</v>
      </c>
      <c r="B12">
        <v>29431</v>
      </c>
      <c r="C12">
        <v>0.1</v>
      </c>
      <c r="D12" s="2">
        <v>2762.9009999999998</v>
      </c>
      <c r="E12">
        <f t="shared" si="0"/>
        <v>27.629009999999997</v>
      </c>
    </row>
    <row r="13" spans="1:5" x14ac:dyDescent="0.2">
      <c r="A13">
        <v>2024</v>
      </c>
      <c r="B13">
        <v>29847</v>
      </c>
      <c r="C13">
        <v>0.1</v>
      </c>
      <c r="D13" s="2">
        <v>4515.4399999999996</v>
      </c>
      <c r="E13">
        <f t="shared" si="0"/>
        <v>45.154399999999995</v>
      </c>
    </row>
    <row r="14" spans="1:5" x14ac:dyDescent="0.2">
      <c r="A14">
        <v>2025</v>
      </c>
      <c r="B14">
        <v>30093</v>
      </c>
      <c r="C14">
        <v>0.1</v>
      </c>
      <c r="D14" s="2">
        <v>7913.9480000000003</v>
      </c>
      <c r="E14">
        <f t="shared" si="0"/>
        <v>79.139479999999992</v>
      </c>
    </row>
    <row r="15" spans="1:5" x14ac:dyDescent="0.2">
      <c r="B15">
        <v>30264</v>
      </c>
      <c r="C15">
        <f t="shared" ref="C10:C21" si="1">(B15-B14)/8760*2</f>
        <v>3.9041095890410958E-2</v>
      </c>
    </row>
    <row r="16" spans="1:5" x14ac:dyDescent="0.2">
      <c r="B16">
        <v>30489</v>
      </c>
      <c r="C16">
        <f t="shared" si="1"/>
        <v>5.1369863013698627E-2</v>
      </c>
    </row>
    <row r="17" spans="2:3" x14ac:dyDescent="0.2">
      <c r="B17">
        <v>30909</v>
      </c>
      <c r="C17">
        <f t="shared" si="1"/>
        <v>9.5890410958904104E-2</v>
      </c>
    </row>
    <row r="18" spans="2:3" x14ac:dyDescent="0.2">
      <c r="B18">
        <v>31235</v>
      </c>
      <c r="C18">
        <f t="shared" si="1"/>
        <v>7.4429223744292242E-2</v>
      </c>
    </row>
    <row r="19" spans="2:3" x14ac:dyDescent="0.2">
      <c r="B19">
        <v>31773</v>
      </c>
      <c r="C19">
        <f t="shared" si="1"/>
        <v>0.12283105022831051</v>
      </c>
    </row>
    <row r="20" spans="2:3" x14ac:dyDescent="0.2">
      <c r="B20">
        <v>32293</v>
      </c>
      <c r="C20">
        <f t="shared" si="1"/>
        <v>0.11872146118721461</v>
      </c>
    </row>
    <row r="21" spans="2:3" x14ac:dyDescent="0.2">
      <c r="B21">
        <v>32963</v>
      </c>
      <c r="C21">
        <f t="shared" si="1"/>
        <v>0.15296803652968036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2025-09-22T20:17:36Z</dcterms:created>
  <dcterms:modified xsi:type="dcterms:W3CDTF">2025-09-23T02:56:14Z</dcterms:modified>
</cp:coreProperties>
</file>