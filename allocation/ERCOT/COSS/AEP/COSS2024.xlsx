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0" documentId="14_{DF66C57C-2228-455F-979D-2A828BC5DE0C}" xr6:coauthVersionLast="47" xr6:coauthVersionMax="47" xr10:uidLastSave="{00000000-0000-0000-0000-000000000000}"/>
  <bookViews>
    <workbookView xWindow="29310" yWindow="360" windowWidth="28320" windowHeight="15240" tabRatio="817" xr2:uid="{00000000-000D-0000-FFFF-FFFF00000000}"/>
  </bookViews>
  <sheets>
    <sheet name="II-H-1.4.(1) TEX TYE2309" sheetId="8" r:id="rId1"/>
    <sheet name="II-H-1.4.(2) TEX TYE2309" sheetId="9" r:id="rId2"/>
    <sheet name="II-H-1.4.(3) TEX TYE2309" sheetId="10" r:id="rId3"/>
    <sheet name="II-H-1.4.(4) TEX TYE2309" sheetId="11" r:id="rId4"/>
    <sheet name="II-H-1.4.(5) TEX TYE2309" sheetId="12" r:id="rId5"/>
    <sheet name="II-H-1.4.(6) TEX TYE2309" sheetId="7" r:id="rId6"/>
    <sheet name="II-H-1.4.(6) TEX YE2209" sheetId="13" r:id="rId7"/>
    <sheet name="II-H-1.4.(6) TEX YE2109" sheetId="14" r:id="rId8"/>
    <sheet name="II-H-1.4.(6) TEX YE2009" sheetId="15" r:id="rId9"/>
  </sheets>
  <externalReferences>
    <externalReference r:id="rId10"/>
  </externalReferences>
  <definedNames>
    <definedName name="H_Rate_Class">'[1]Tariff Mapping'!$E$5:$E$114</definedName>
    <definedName name="_xlnm.Print_Area" localSheetId="5">'II-H-1.4.(6) TEX TYE2309'!$A$1:$O$48</definedName>
    <definedName name="_xlnm.Print_Area" localSheetId="8">'II-H-1.4.(6) TEX YE2009'!$A$1:$O$48</definedName>
    <definedName name="_xlnm.Print_Area" localSheetId="7">'II-H-1.4.(6) TEX YE2109'!$A$1:$O$48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11" l="1"/>
  <c r="N66" i="11"/>
  <c r="M66" i="11"/>
  <c r="L66" i="11"/>
  <c r="K66" i="11"/>
  <c r="J66" i="11"/>
  <c r="I66" i="11"/>
  <c r="H66" i="11"/>
  <c r="G66" i="11"/>
  <c r="F66" i="11"/>
  <c r="E66" i="11"/>
  <c r="D66" i="11"/>
  <c r="P65" i="11"/>
  <c r="P64" i="11"/>
  <c r="P60" i="11"/>
  <c r="P58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P55" i="11"/>
  <c r="P54" i="11"/>
  <c r="P53" i="11"/>
  <c r="P52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P49" i="11"/>
  <c r="P48" i="11"/>
  <c r="P46" i="11"/>
  <c r="P44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P30" i="11"/>
  <c r="P29" i="11"/>
  <c r="P25" i="11"/>
  <c r="P23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1" i="11"/>
  <c r="P9" i="11"/>
  <c r="D50" i="10"/>
  <c r="P55" i="10"/>
  <c r="P54" i="10"/>
  <c r="P53" i="10"/>
  <c r="P52" i="10"/>
  <c r="P44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P65" i="10"/>
  <c r="P64" i="10"/>
  <c r="P60" i="10"/>
  <c r="P58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O50" i="10"/>
  <c r="N50" i="10"/>
  <c r="M50" i="10"/>
  <c r="L50" i="10"/>
  <c r="K50" i="10"/>
  <c r="J50" i="10"/>
  <c r="I50" i="10"/>
  <c r="H50" i="10"/>
  <c r="G50" i="10"/>
  <c r="F50" i="10"/>
  <c r="E50" i="10"/>
  <c r="P49" i="10"/>
  <c r="P48" i="10"/>
  <c r="P46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P30" i="10"/>
  <c r="P29" i="10"/>
  <c r="P25" i="10"/>
  <c r="P23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P20" i="10"/>
  <c r="P19" i="10"/>
  <c r="P18" i="10"/>
  <c r="P17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P14" i="10"/>
  <c r="P13" i="10"/>
  <c r="P11" i="10"/>
  <c r="P9" i="10"/>
  <c r="O66" i="9"/>
  <c r="N66" i="9"/>
  <c r="M66" i="9"/>
  <c r="L66" i="9"/>
  <c r="K66" i="9"/>
  <c r="J66" i="9"/>
  <c r="I66" i="9"/>
  <c r="H66" i="9"/>
  <c r="G66" i="9"/>
  <c r="F66" i="9"/>
  <c r="E66" i="9"/>
  <c r="D66" i="9"/>
  <c r="P65" i="9"/>
  <c r="P64" i="9"/>
  <c r="P60" i="9"/>
  <c r="P58" i="9"/>
  <c r="O56" i="9"/>
  <c r="N56" i="9"/>
  <c r="M56" i="9"/>
  <c r="L56" i="9"/>
  <c r="K56" i="9"/>
  <c r="J56" i="9"/>
  <c r="I56" i="9"/>
  <c r="H56" i="9"/>
  <c r="G56" i="9"/>
  <c r="F56" i="9"/>
  <c r="E56" i="9"/>
  <c r="D56" i="9"/>
  <c r="P55" i="9"/>
  <c r="P54" i="9"/>
  <c r="P53" i="9"/>
  <c r="P52" i="9"/>
  <c r="O50" i="9"/>
  <c r="N50" i="9"/>
  <c r="M50" i="9"/>
  <c r="L50" i="9"/>
  <c r="K50" i="9"/>
  <c r="J50" i="9"/>
  <c r="I50" i="9"/>
  <c r="H50" i="9"/>
  <c r="G50" i="9"/>
  <c r="F50" i="9"/>
  <c r="E50" i="9"/>
  <c r="D50" i="9"/>
  <c r="P49" i="9"/>
  <c r="P48" i="9"/>
  <c r="P46" i="9"/>
  <c r="P44" i="9"/>
  <c r="O31" i="9"/>
  <c r="N31" i="9"/>
  <c r="M31" i="9"/>
  <c r="L31" i="9"/>
  <c r="K31" i="9"/>
  <c r="J31" i="9"/>
  <c r="I31" i="9"/>
  <c r="H31" i="9"/>
  <c r="G31" i="9"/>
  <c r="F31" i="9"/>
  <c r="E31" i="9"/>
  <c r="D31" i="9"/>
  <c r="P30" i="9"/>
  <c r="P29" i="9"/>
  <c r="P25" i="9"/>
  <c r="P23" i="9"/>
  <c r="O21" i="9"/>
  <c r="N21" i="9"/>
  <c r="M21" i="9"/>
  <c r="L21" i="9"/>
  <c r="K21" i="9"/>
  <c r="J21" i="9"/>
  <c r="I21" i="9"/>
  <c r="H21" i="9"/>
  <c r="G21" i="9"/>
  <c r="F21" i="9"/>
  <c r="E21" i="9"/>
  <c r="D21" i="9"/>
  <c r="P20" i="9"/>
  <c r="P19" i="9"/>
  <c r="P18" i="9"/>
  <c r="P17" i="9"/>
  <c r="O15" i="9"/>
  <c r="N15" i="9"/>
  <c r="M15" i="9"/>
  <c r="L15" i="9"/>
  <c r="K15" i="9"/>
  <c r="J15" i="9"/>
  <c r="I15" i="9"/>
  <c r="H15" i="9"/>
  <c r="G15" i="9"/>
  <c r="F15" i="9"/>
  <c r="E15" i="9"/>
  <c r="D15" i="9"/>
  <c r="P14" i="9"/>
  <c r="P13" i="9"/>
  <c r="P11" i="9"/>
  <c r="P9" i="9"/>
  <c r="O66" i="12"/>
  <c r="N66" i="12"/>
  <c r="M66" i="12"/>
  <c r="L66" i="12"/>
  <c r="K66" i="12"/>
  <c r="J66" i="12"/>
  <c r="I66" i="12"/>
  <c r="H66" i="12"/>
  <c r="G66" i="12"/>
  <c r="F66" i="12"/>
  <c r="E66" i="12"/>
  <c r="D66" i="12"/>
  <c r="P65" i="12"/>
  <c r="P64" i="12"/>
  <c r="P60" i="12"/>
  <c r="P58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P55" i="12"/>
  <c r="P54" i="12"/>
  <c r="P53" i="12"/>
  <c r="P52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P49" i="12"/>
  <c r="P48" i="12"/>
  <c r="P46" i="12"/>
  <c r="P44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P30" i="12"/>
  <c r="P29" i="12"/>
  <c r="P25" i="12"/>
  <c r="P23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P20" i="12"/>
  <c r="P19" i="12"/>
  <c r="P18" i="12"/>
  <c r="P17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P14" i="12"/>
  <c r="P13" i="12"/>
  <c r="P11" i="12"/>
  <c r="P9" i="12"/>
  <c r="D15" i="8"/>
  <c r="D21" i="8"/>
  <c r="P23" i="8"/>
  <c r="P19" i="8"/>
  <c r="P18" i="8"/>
  <c r="P17" i="8"/>
  <c r="O66" i="8"/>
  <c r="N66" i="8"/>
  <c r="M66" i="8"/>
  <c r="L66" i="8"/>
  <c r="K66" i="8"/>
  <c r="J66" i="8"/>
  <c r="I66" i="8"/>
  <c r="H66" i="8"/>
  <c r="G66" i="8"/>
  <c r="F66" i="8"/>
  <c r="E66" i="8"/>
  <c r="D66" i="8"/>
  <c r="P65" i="8"/>
  <c r="P64" i="8"/>
  <c r="P60" i="8"/>
  <c r="P58" i="8"/>
  <c r="O56" i="8"/>
  <c r="N56" i="8"/>
  <c r="M56" i="8"/>
  <c r="L56" i="8"/>
  <c r="K56" i="8"/>
  <c r="J56" i="8"/>
  <c r="I56" i="8"/>
  <c r="H56" i="8"/>
  <c r="G56" i="8"/>
  <c r="F56" i="8"/>
  <c r="E56" i="8"/>
  <c r="D56" i="8"/>
  <c r="P55" i="8"/>
  <c r="P54" i="8"/>
  <c r="P53" i="8"/>
  <c r="P52" i="8"/>
  <c r="O50" i="8"/>
  <c r="N50" i="8"/>
  <c r="M50" i="8"/>
  <c r="L50" i="8"/>
  <c r="K50" i="8"/>
  <c r="J50" i="8"/>
  <c r="I50" i="8"/>
  <c r="H50" i="8"/>
  <c r="G50" i="8"/>
  <c r="F50" i="8"/>
  <c r="E50" i="8"/>
  <c r="D50" i="8"/>
  <c r="P49" i="8"/>
  <c r="P48" i="8"/>
  <c r="P46" i="8"/>
  <c r="P44" i="8"/>
  <c r="P30" i="8"/>
  <c r="P29" i="8"/>
  <c r="P25" i="8"/>
  <c r="P20" i="8"/>
  <c r="P14" i="8"/>
  <c r="P13" i="8"/>
  <c r="P11" i="8"/>
  <c r="P9" i="8"/>
  <c r="O31" i="8"/>
  <c r="N31" i="8"/>
  <c r="M31" i="8"/>
  <c r="L31" i="8"/>
  <c r="K31" i="8"/>
  <c r="J31" i="8"/>
  <c r="I31" i="8"/>
  <c r="H31" i="8"/>
  <c r="G31" i="8"/>
  <c r="F31" i="8"/>
  <c r="P31" i="8" s="1"/>
  <c r="E31" i="8"/>
  <c r="D31" i="8"/>
  <c r="O21" i="8"/>
  <c r="N21" i="8"/>
  <c r="H21" i="8"/>
  <c r="L21" i="8"/>
  <c r="F21" i="8"/>
  <c r="K21" i="8"/>
  <c r="J21" i="8"/>
  <c r="M15" i="8"/>
  <c r="G15" i="8"/>
  <c r="O15" i="8"/>
  <c r="N15" i="8"/>
  <c r="K15" i="8"/>
  <c r="I15" i="8"/>
  <c r="H15" i="8"/>
  <c r="E15" i="8"/>
  <c r="D27" i="12" l="1"/>
  <c r="H62" i="9"/>
  <c r="I27" i="9"/>
  <c r="J27" i="12"/>
  <c r="P31" i="10"/>
  <c r="P66" i="11"/>
  <c r="P66" i="12"/>
  <c r="M27" i="9"/>
  <c r="M33" i="9" s="1"/>
  <c r="M62" i="9"/>
  <c r="M68" i="9" s="1"/>
  <c r="P66" i="9"/>
  <c r="P66" i="8"/>
  <c r="N62" i="12"/>
  <c r="N27" i="9"/>
  <c r="G27" i="9"/>
  <c r="O27" i="9"/>
  <c r="O33" i="9" s="1"/>
  <c r="G62" i="9"/>
  <c r="F27" i="12"/>
  <c r="F33" i="12" s="1"/>
  <c r="E27" i="12"/>
  <c r="E33" i="12" s="1"/>
  <c r="K27" i="12"/>
  <c r="K33" i="12" s="1"/>
  <c r="E62" i="12"/>
  <c r="F62" i="12"/>
  <c r="F68" i="12" s="1"/>
  <c r="L62" i="12"/>
  <c r="L68" i="12" s="1"/>
  <c r="K62" i="12"/>
  <c r="K68" i="12" s="1"/>
  <c r="P56" i="12"/>
  <c r="G62" i="12"/>
  <c r="G68" i="12" s="1"/>
  <c r="M62" i="12"/>
  <c r="M68" i="12" s="1"/>
  <c r="I62" i="12"/>
  <c r="I68" i="12" s="1"/>
  <c r="O62" i="12"/>
  <c r="O68" i="12" s="1"/>
  <c r="D62" i="12"/>
  <c r="D68" i="12" s="1"/>
  <c r="J62" i="12"/>
  <c r="J68" i="12" s="1"/>
  <c r="P50" i="12"/>
  <c r="E68" i="12"/>
  <c r="P56" i="10"/>
  <c r="N62" i="9"/>
  <c r="N68" i="9" s="1"/>
  <c r="I62" i="9"/>
  <c r="I68" i="9" s="1"/>
  <c r="O62" i="9"/>
  <c r="O68" i="9" s="1"/>
  <c r="P56" i="9"/>
  <c r="F62" i="9"/>
  <c r="F68" i="9" s="1"/>
  <c r="L62" i="9"/>
  <c r="L68" i="9" s="1"/>
  <c r="P50" i="9"/>
  <c r="H27" i="9"/>
  <c r="H33" i="9" s="1"/>
  <c r="L27" i="12"/>
  <c r="L33" i="12" s="1"/>
  <c r="G27" i="12"/>
  <c r="G33" i="12" s="1"/>
  <c r="M27" i="12"/>
  <c r="M33" i="12" s="1"/>
  <c r="H27" i="12"/>
  <c r="H33" i="12" s="1"/>
  <c r="N27" i="12"/>
  <c r="N33" i="12" s="1"/>
  <c r="P15" i="12"/>
  <c r="I27" i="12"/>
  <c r="I33" i="12" s="1"/>
  <c r="O27" i="12"/>
  <c r="O33" i="12" s="1"/>
  <c r="E62" i="11"/>
  <c r="E68" i="11" s="1"/>
  <c r="J62" i="9"/>
  <c r="J68" i="9" s="1"/>
  <c r="H68" i="9"/>
  <c r="D62" i="9"/>
  <c r="D68" i="9" s="1"/>
  <c r="E62" i="9"/>
  <c r="E68" i="9" s="1"/>
  <c r="K62" i="9"/>
  <c r="K68" i="9" s="1"/>
  <c r="G68" i="9"/>
  <c r="E27" i="9"/>
  <c r="E33" i="9" s="1"/>
  <c r="K27" i="9"/>
  <c r="K33" i="9" s="1"/>
  <c r="F27" i="9"/>
  <c r="F33" i="9" s="1"/>
  <c r="L27" i="9"/>
  <c r="L33" i="9" s="1"/>
  <c r="P21" i="9"/>
  <c r="D27" i="9"/>
  <c r="D33" i="9" s="1"/>
  <c r="J27" i="9"/>
  <c r="J33" i="9" s="1"/>
  <c r="I33" i="9"/>
  <c r="D62" i="11"/>
  <c r="D68" i="11" s="1"/>
  <c r="J62" i="11"/>
  <c r="J68" i="11" s="1"/>
  <c r="K62" i="11"/>
  <c r="K68" i="11" s="1"/>
  <c r="H27" i="11"/>
  <c r="H33" i="11" s="1"/>
  <c r="N27" i="11"/>
  <c r="N33" i="11" s="1"/>
  <c r="P21" i="11"/>
  <c r="E27" i="11"/>
  <c r="E33" i="11" s="1"/>
  <c r="K27" i="11"/>
  <c r="K33" i="11" s="1"/>
  <c r="G27" i="11"/>
  <c r="G33" i="11" s="1"/>
  <c r="M27" i="11"/>
  <c r="M33" i="11" s="1"/>
  <c r="I27" i="11"/>
  <c r="I33" i="11" s="1"/>
  <c r="O27" i="11"/>
  <c r="O33" i="11" s="1"/>
  <c r="D27" i="11"/>
  <c r="J27" i="11"/>
  <c r="J33" i="11" s="1"/>
  <c r="P15" i="11"/>
  <c r="F27" i="11"/>
  <c r="F33" i="11" s="1"/>
  <c r="L27" i="11"/>
  <c r="L33" i="11" s="1"/>
  <c r="P56" i="11"/>
  <c r="F62" i="11"/>
  <c r="F68" i="11" s="1"/>
  <c r="L62" i="11"/>
  <c r="L68" i="11" s="1"/>
  <c r="G62" i="11"/>
  <c r="G68" i="11" s="1"/>
  <c r="M62" i="11"/>
  <c r="M68" i="11" s="1"/>
  <c r="H62" i="11"/>
  <c r="H68" i="11" s="1"/>
  <c r="N62" i="11"/>
  <c r="N68" i="11" s="1"/>
  <c r="I62" i="11"/>
  <c r="I68" i="11" s="1"/>
  <c r="O62" i="11"/>
  <c r="O68" i="11" s="1"/>
  <c r="P50" i="11"/>
  <c r="P31" i="11"/>
  <c r="D27" i="10"/>
  <c r="D33" i="10" s="1"/>
  <c r="J27" i="10"/>
  <c r="J33" i="10" s="1"/>
  <c r="E27" i="10"/>
  <c r="E33" i="10" s="1"/>
  <c r="K27" i="10"/>
  <c r="K33" i="10" s="1"/>
  <c r="J62" i="10"/>
  <c r="J68" i="10" s="1"/>
  <c r="E62" i="10"/>
  <c r="E68" i="10" s="1"/>
  <c r="K62" i="10"/>
  <c r="K68" i="10" s="1"/>
  <c r="H62" i="10"/>
  <c r="H68" i="10" s="1"/>
  <c r="N62" i="10"/>
  <c r="N68" i="10" s="1"/>
  <c r="I62" i="10"/>
  <c r="I68" i="10" s="1"/>
  <c r="O62" i="10"/>
  <c r="O68" i="10" s="1"/>
  <c r="F62" i="10"/>
  <c r="F68" i="10" s="1"/>
  <c r="L62" i="10"/>
  <c r="L68" i="10" s="1"/>
  <c r="G62" i="10"/>
  <c r="G68" i="10" s="1"/>
  <c r="M62" i="10"/>
  <c r="M68" i="10" s="1"/>
  <c r="P50" i="10"/>
  <c r="H27" i="10"/>
  <c r="H33" i="10" s="1"/>
  <c r="N27" i="10"/>
  <c r="N33" i="10" s="1"/>
  <c r="P21" i="10"/>
  <c r="I27" i="10"/>
  <c r="I33" i="10" s="1"/>
  <c r="O27" i="10"/>
  <c r="O33" i="10" s="1"/>
  <c r="F27" i="10"/>
  <c r="F33" i="10" s="1"/>
  <c r="L27" i="10"/>
  <c r="L33" i="10" s="1"/>
  <c r="G27" i="10"/>
  <c r="G33" i="10" s="1"/>
  <c r="M27" i="10"/>
  <c r="M33" i="10" s="1"/>
  <c r="D62" i="10"/>
  <c r="P66" i="10"/>
  <c r="P15" i="10"/>
  <c r="N33" i="9"/>
  <c r="G33" i="9"/>
  <c r="P15" i="9"/>
  <c r="P31" i="9"/>
  <c r="H62" i="8"/>
  <c r="H68" i="8" s="1"/>
  <c r="N62" i="8"/>
  <c r="N68" i="8" s="1"/>
  <c r="P56" i="8"/>
  <c r="I62" i="8"/>
  <c r="I68" i="8" s="1"/>
  <c r="O62" i="8"/>
  <c r="O68" i="8" s="1"/>
  <c r="F62" i="8"/>
  <c r="F68" i="8" s="1"/>
  <c r="L62" i="8"/>
  <c r="L68" i="8" s="1"/>
  <c r="E62" i="8"/>
  <c r="E68" i="8" s="1"/>
  <c r="K62" i="8"/>
  <c r="K68" i="8" s="1"/>
  <c r="J62" i="8"/>
  <c r="J68" i="8" s="1"/>
  <c r="P50" i="8"/>
  <c r="G62" i="8"/>
  <c r="G68" i="8" s="1"/>
  <c r="M62" i="8"/>
  <c r="M68" i="8" s="1"/>
  <c r="N68" i="12"/>
  <c r="H62" i="12"/>
  <c r="D33" i="12"/>
  <c r="J33" i="12"/>
  <c r="P21" i="12"/>
  <c r="P31" i="12"/>
  <c r="D62" i="8"/>
  <c r="F15" i="8"/>
  <c r="F27" i="8" s="1"/>
  <c r="F33" i="8" s="1"/>
  <c r="L15" i="8"/>
  <c r="L27" i="8" s="1"/>
  <c r="L33" i="8" s="1"/>
  <c r="M21" i="8"/>
  <c r="M27" i="8" s="1"/>
  <c r="M33" i="8" s="1"/>
  <c r="I21" i="8"/>
  <c r="I27" i="8" s="1"/>
  <c r="I33" i="8" s="1"/>
  <c r="K27" i="8"/>
  <c r="K33" i="8" s="1"/>
  <c r="J15" i="8"/>
  <c r="J27" i="8" s="1"/>
  <c r="J33" i="8" s="1"/>
  <c r="E21" i="8"/>
  <c r="E27" i="8" s="1"/>
  <c r="E33" i="8" s="1"/>
  <c r="O27" i="8"/>
  <c r="O33" i="8" s="1"/>
  <c r="H27" i="8"/>
  <c r="H33" i="8" s="1"/>
  <c r="N27" i="8"/>
  <c r="N33" i="8" s="1"/>
  <c r="G21" i="8"/>
  <c r="G27" i="8" s="1"/>
  <c r="G33" i="8" s="1"/>
  <c r="P62" i="12" l="1"/>
  <c r="P27" i="12"/>
  <c r="P68" i="9"/>
  <c r="P62" i="9"/>
  <c r="P27" i="9"/>
  <c r="P33" i="9"/>
  <c r="P27" i="11"/>
  <c r="D33" i="11"/>
  <c r="P33" i="11" s="1"/>
  <c r="P62" i="11"/>
  <c r="P68" i="11"/>
  <c r="P62" i="10"/>
  <c r="D68" i="10"/>
  <c r="P68" i="10" s="1"/>
  <c r="P27" i="10"/>
  <c r="P33" i="10"/>
  <c r="H68" i="12"/>
  <c r="P68" i="12" s="1"/>
  <c r="P33" i="12"/>
  <c r="P15" i="8"/>
  <c r="P62" i="8"/>
  <c r="D68" i="8"/>
  <c r="P68" i="8" s="1"/>
  <c r="P21" i="8"/>
  <c r="D27" i="8"/>
  <c r="D33" i="8" l="1"/>
  <c r="P33" i="8" s="1"/>
  <c r="P27" i="8"/>
</calcChain>
</file>

<file path=xl/sharedStrings.xml><?xml version="1.0" encoding="utf-8"?>
<sst xmlns="http://schemas.openxmlformats.org/spreadsheetml/2006/main" count="892" uniqueCount="96">
  <si>
    <t>LINE</t>
  </si>
  <si>
    <t>DESCRIPTION</t>
  </si>
  <si>
    <t>VOLT</t>
  </si>
  <si>
    <t>1</t>
  </si>
  <si>
    <t>RESIDENTIAL SERVICE</t>
  </si>
  <si>
    <t>SEC</t>
  </si>
  <si>
    <t xml:space="preserve"> </t>
  </si>
  <si>
    <t>PRI</t>
  </si>
  <si>
    <t>TRA</t>
  </si>
  <si>
    <t>LIGHTING</t>
  </si>
  <si>
    <t>TOTAL</t>
  </si>
  <si>
    <t>TOTAL SECONDARY &gt; 10 kW</t>
  </si>
  <si>
    <t>TOTAL PRIMARY</t>
  </si>
  <si>
    <t>PUBLIC UTILITY OF COMMISSION OF TEXAS</t>
  </si>
  <si>
    <t>AEP TEXAS INC</t>
  </si>
  <si>
    <t>Unadjusted Class Coincidence Factors</t>
  </si>
  <si>
    <t xml:space="preserve">Unadjusted Class Load Factors </t>
  </si>
  <si>
    <t>FOR TEST YEAR ENDED SEPTEMBER 30, 2023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</si>
  <si>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</si>
  <si>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</si>
  <si>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</si>
  <si>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</si>
  <si>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</si>
  <si>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</si>
  <si>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</si>
  <si>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</si>
  <si>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</si>
  <si>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</si>
  <si>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</si>
  <si>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</si>
  <si>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r>
      <t xml:space="preserve">SECONDARY </t>
    </r>
    <r>
      <rPr>
        <u/>
        <sz val="8"/>
        <rFont val="Arial"/>
        <family val="2"/>
      </rPr>
      <t>&lt;</t>
    </r>
    <r>
      <rPr>
        <sz val="8"/>
        <rFont val="Arial"/>
        <family val="2"/>
      </rPr>
      <t xml:space="preserve"> 10 kW</t>
    </r>
  </si>
  <si>
    <r>
      <t>SECONDARY &gt;</t>
    </r>
    <r>
      <rPr>
        <sz val="8"/>
        <rFont val="Arial"/>
        <family val="2"/>
      </rPr>
      <t xml:space="preserve"> 10 kW NCP</t>
    </r>
  </si>
  <si>
    <t>SECONDARY &gt; 10 kW 4CP</t>
  </si>
  <si>
    <t>PRIMARY NCP</t>
  </si>
  <si>
    <t>PRIMARY 4CP</t>
  </si>
  <si>
    <t>PRIMARY SUB NCP</t>
  </si>
  <si>
    <t>PRIMARY SUB 4CP</t>
  </si>
  <si>
    <t xml:space="preserve">TRANSMISSION </t>
  </si>
  <si>
    <t>TOTAL RETAIL</t>
  </si>
  <si>
    <t>WHOLESALE PRI</t>
  </si>
  <si>
    <t>WHOLESALE TRANS</t>
  </si>
  <si>
    <t>TOTAL WHOLESALE</t>
  </si>
  <si>
    <t>TOTAL AEP TEXAS</t>
  </si>
  <si>
    <t>SECONDARY &lt; 10 kW</t>
  </si>
  <si>
    <t>SECONDARY &gt; 10 kW NCP</t>
  </si>
  <si>
    <t>FOR 12 MONTHS ENDED SEPTEMBER 30, 2022</t>
  </si>
  <si>
    <t>FOR 12 MONTHS ENDED SEPTEMBER 30, 2021</t>
  </si>
  <si>
    <t>FOR 12 MONTHS ENDED SEPTEMBER 30, 2020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</si>
  <si>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</si>
  <si>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</si>
  <si>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</si>
  <si>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</si>
  <si>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</si>
  <si>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</si>
  <si>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</si>
  <si>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</si>
  <si>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</si>
  <si>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</si>
  <si>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</si>
  <si>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</si>
  <si>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</si>
  <si>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</si>
  <si>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</si>
  <si>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</si>
  <si>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</si>
  <si>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</si>
  <si>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</si>
  <si>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</si>
  <si>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</si>
  <si>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</si>
  <si>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</si>
  <si>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</si>
  <si>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</si>
  <si>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</si>
  <si>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</si>
  <si>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</si>
  <si>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</si>
  <si>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</si>
  <si>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</si>
  <si>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</si>
  <si>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</si>
  <si>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</si>
  <si>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</si>
  <si>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</si>
  <si>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Adjusted Sum of Customer Maximum Demands (Non-Coincident Peak) (At Source)</t>
  </si>
  <si>
    <t>Adjusted Sum of Customer Maximum Demands (Non-Coincident Peak) (At Meter)</t>
  </si>
  <si>
    <t>Adjusted Class Peak Demand (Non-Coincident) (At Source)</t>
  </si>
  <si>
    <t>Adjusted Class Peak Demand (Non-Coincident) (At Meter)</t>
  </si>
  <si>
    <t>Adjusted Coincident Peaks at Time of AEP Texas System Peak  (At Source)</t>
  </si>
  <si>
    <t>Adjusted Coincident Peaks at of Time AEP TexasSystem Peak  (At Meter)</t>
  </si>
  <si>
    <t>Adjusted Coincident Peaks at Time of ERCOT Peak (At Source)</t>
  </si>
  <si>
    <t>Adjusted Coincident Peaks at Time of ERCOT Peak (At Meter)</t>
  </si>
  <si>
    <t>Adjusted Energy Usage (kWh) (At Source)</t>
  </si>
  <si>
    <t>Adjusted Energy Usage (kWh) (At Meter)</t>
  </si>
  <si>
    <t>Adjusted Class Coincidence Factors</t>
  </si>
  <si>
    <t xml:space="preserve">Adjusted Class Load Factors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</si>
</sst>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6" fontId="2" fillId="0" borderId="0" xfId="0" applyNumberFormat="1" applyFont="1"/>
    <xf numFmtId="0" fontId="2" fillId="0" borderId="0" xfId="0" applyFont="1" applyFill="1"/>
    <xf numFmtId="165" fontId="5" fillId="0" borderId="0" xfId="1" applyNumberFormat="1" applyFont="1" applyBorder="1"/>
    <xf numFmtId="0" fontId="3" fillId="0" borderId="0" xfId="0" applyFont="1" applyAlignment="1">
      <alignment horizontal="center"/>
    </xf>
    <xf numFmtId="43" fontId="2" fillId="0" borderId="0" xfId="1" applyFont="1" applyFill="1" applyBorder="1"/>
    <xf numFmtId="43" fontId="3" fillId="0" borderId="0" xfId="1" applyFont="1" applyFill="1" applyBorder="1" applyAlignment="1">
      <alignment horizontal="center"/>
    </xf>
    <xf numFmtId="37" fontId="2" fillId="0" borderId="0" xfId="1" applyNumberFormat="1" applyFont="1" applyFill="1" applyBorder="1"/>
    <xf numFmtId="43" fontId="4" fillId="0" borderId="0" xfId="1" applyFont="1" applyFill="1" applyBorder="1" applyAlignment="1">
      <alignment horizontal="right"/>
    </xf>
    <xf numFmtId="43" fontId="0" fillId="0" borderId="0" xfId="1" applyFont="1" applyFill="1" applyBorder="1"/>
    <xf numFmtId="43" fontId="2" fillId="0" borderId="0" xfId="1" applyFont="1" applyFill="1" applyBorder="1" applyAlignment="1">
      <alignment horizontal="centerContinuous"/>
    </xf>
    <xf numFmtId="0" fontId="3" fillId="0" borderId="0" xfId="1" applyNumberFormat="1" applyFont="1" applyFill="1" applyBorder="1" applyAlignment="1">
      <alignment horizontal="center"/>
    </xf>
    <xf numFmtId="37" fontId="3" fillId="0" borderId="0" xfId="1" applyNumberFormat="1" applyFont="1" applyFill="1" applyBorder="1" applyAlignment="1">
      <alignment horizontal="center"/>
    </xf>
    <xf numFmtId="37" fontId="0" fillId="0" borderId="0" xfId="1" applyNumberFormat="1" applyFont="1" applyFill="1" applyBorder="1"/>
    <xf numFmtId="43" fontId="3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6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center"/>
    </xf>
    <xf numFmtId="0" fontId="8" fillId="0" borderId="0" xfId="0" quotePrefix="1" applyFont="1" applyAlignment="1">
      <alignment horizontal="center"/>
    </xf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0" xfId="0" applyFont="1"/>
    <xf numFmtId="0" fontId="8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8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8" fillId="0" borderId="0" xfId="1" applyNumberFormat="1" applyFont="1" applyFill="1"/>
    <xf numFmtId="37" fontId="8" fillId="0" borderId="0" xfId="1" applyNumberFormat="1" applyFont="1" applyFill="1"/>
    <xf numFmtId="37" fontId="11" fillId="0" borderId="0" xfId="1" applyNumberFormat="1" applyFont="1" applyFill="1"/>
    <xf numFmtId="164" fontId="8" fillId="0" borderId="0" xfId="1" applyNumberFormat="1" applyFont="1" applyFill="1" applyBorder="1"/>
    <xf numFmtId="164" fontId="8" fillId="0" borderId="1" xfId="1" applyNumberFormat="1" applyFont="1" applyFill="1" applyBorder="1"/>
    <xf numFmtId="164" fontId="10" fillId="0" borderId="0" xfId="1" applyNumberFormat="1" applyFont="1" applyFill="1"/>
    <xf numFmtId="37" fontId="8" fillId="0" borderId="0" xfId="1" applyNumberFormat="1" applyFont="1" applyFill="1" applyBorder="1"/>
    <xf numFmtId="164" fontId="8" fillId="0" borderId="2" xfId="1" applyNumberFormat="1" applyFont="1" applyFill="1" applyBorder="1"/>
    <xf numFmtId="43" fontId="8" fillId="0" borderId="0" xfId="1" applyNumberFormat="1" applyFont="1" applyFill="1"/>
    <xf numFmtId="37" fontId="10" fillId="0" borderId="3" xfId="1" applyNumberFormat="1" applyFont="1" applyFill="1" applyBorder="1"/>
    <xf numFmtId="37" fontId="10" fillId="0" borderId="0" xfId="1" applyNumberFormat="1" applyFont="1" applyFill="1"/>
    <xf numFmtId="37" fontId="8" fillId="0" borderId="1" xfId="1" applyNumberFormat="1" applyFont="1" applyFill="1" applyBorder="1"/>
    <xf numFmtId="37" fontId="10" fillId="0" borderId="4" xfId="1" applyNumberFormat="1" applyFont="1" applyFill="1" applyBorder="1"/>
    <xf numFmtId="166" fontId="8" fillId="0" borderId="0" xfId="1" applyNumberFormat="1" applyFont="1" applyFill="1"/>
    <xf numFmtId="166" fontId="11" fillId="0" borderId="0" xfId="1" applyNumberFormat="1" applyFont="1" applyFill="1"/>
    <xf numFmtId="166" fontId="8" fillId="0" borderId="0" xfId="1" applyNumberFormat="1" applyFont="1" applyFill="1" applyBorder="1"/>
    <xf numFmtId="166" fontId="10" fillId="0" borderId="0" xfId="1" applyNumberFormat="1" applyFont="1" applyFill="1" applyBorder="1"/>
    <xf numFmtId="1" fontId="3" fillId="0" borderId="0" xfId="1" applyNumberFormat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4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smpa/joe/TEX_LR/Rate_Case_2023/REF/AEP%20TX%20%20H%20-1%20Schedules%20TYE%209.31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I-H-1"/>
      <sheetName val="II-H-1.1"/>
      <sheetName val="II-H-1.2"/>
      <sheetName val="II-H-1.3"/>
      <sheetName val="Sch II-H-1.5"/>
      <sheetName val="II-H-3.1-3"/>
      <sheetName val="II-H-4.1 Monthly"/>
      <sheetName val="II-H-4.1 Functions"/>
      <sheetName val="II-H-4.1 Tran kW"/>
      <sheetName val="II-H-4.1 Dist kW"/>
      <sheetName val="Sch II-H-4.2"/>
      <sheetName val="Riders"/>
      <sheetName val="Primary Sub"/>
      <sheetName val="Prm Sb Rev Rider"/>
      <sheetName val="TCRF and DCRF Rider Revenues"/>
      <sheetName val="Tariff 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E5" t="str">
            <v>RESIDENTIAL SERVICE</v>
          </cell>
        </row>
        <row r="6">
          <cell r="E6" t="str">
            <v>RESIDENTIAL SERVICE</v>
          </cell>
        </row>
        <row r="7">
          <cell r="E7" t="str">
            <v>RESIDENTIAL SERVICE</v>
          </cell>
        </row>
        <row r="8">
          <cell r="E8" t="str">
            <v>SECONDARY &lt; 10 kW</v>
          </cell>
        </row>
        <row r="9">
          <cell r="E9" t="str">
            <v>SECONDARY &lt; 10 kW</v>
          </cell>
        </row>
        <row r="10">
          <cell r="E10" t="str">
            <v>SECONDARY &lt; 10 kW</v>
          </cell>
        </row>
        <row r="11">
          <cell r="E11" t="str">
            <v>SECONDARY &lt; 10 kW</v>
          </cell>
        </row>
        <row r="12">
          <cell r="E12" t="str">
            <v>SECONDARY &lt; 10 kW</v>
          </cell>
        </row>
        <row r="13">
          <cell r="E13" t="str">
            <v>SECONDARY &lt; 10 kW</v>
          </cell>
        </row>
        <row r="14">
          <cell r="E14" t="str">
            <v>SECONDARY &gt; 10 kW NCP</v>
          </cell>
        </row>
        <row r="15">
          <cell r="E15" t="str">
            <v>SECONDARY &gt; 10 kW NCP</v>
          </cell>
        </row>
        <row r="16">
          <cell r="E16" t="str">
            <v>SECONDARY &gt; 10 kW NCP</v>
          </cell>
        </row>
        <row r="17">
          <cell r="E17" t="str">
            <v>SECONDARY &gt; 10 kW 4CP</v>
          </cell>
        </row>
        <row r="18">
          <cell r="E18" t="str">
            <v>SECONDARY &gt; 10 kW 4CP</v>
          </cell>
        </row>
        <row r="19">
          <cell r="E19" t="str">
            <v>SECONDARY &gt; 10 kW NCP</v>
          </cell>
        </row>
        <row r="20">
          <cell r="E20" t="str">
            <v>SECONDARY &gt; 10 kW 4CP</v>
          </cell>
        </row>
        <row r="21">
          <cell r="E21" t="str">
            <v>SECONDARY &gt; 10 kW NCP</v>
          </cell>
        </row>
        <row r="22">
          <cell r="E22" t="str">
            <v>SECONDARY &gt; 10 kW 4CP</v>
          </cell>
        </row>
        <row r="23">
          <cell r="E23" t="str">
            <v>PRIMARY NCP</v>
          </cell>
        </row>
        <row r="24">
          <cell r="E24" t="str">
            <v>PRIMARY 4CP</v>
          </cell>
        </row>
        <row r="25">
          <cell r="E25" t="str">
            <v>PRIMARY NCP</v>
          </cell>
        </row>
        <row r="26">
          <cell r="E26" t="str">
            <v>PRIMARY 4CP</v>
          </cell>
        </row>
        <row r="27">
          <cell r="E27" t="str">
            <v>PRIMARY 4CP</v>
          </cell>
        </row>
        <row r="28">
          <cell r="E28" t="str">
            <v>PRIMARY NCP</v>
          </cell>
        </row>
        <row r="29">
          <cell r="E29" t="str">
            <v>PRIMARY 4CP</v>
          </cell>
        </row>
        <row r="30">
          <cell r="E30" t="str">
            <v>SECONDARY &lt; 10 kW</v>
          </cell>
        </row>
        <row r="31">
          <cell r="E31" t="str">
            <v>SECONDARY &lt; 10 kW</v>
          </cell>
        </row>
        <row r="32">
          <cell r="E32" t="str">
            <v>SECONDARY &lt; 10 kW</v>
          </cell>
        </row>
        <row r="33">
          <cell r="E33" t="str">
            <v>SECONDARY &gt; 10 kW 4CP</v>
          </cell>
        </row>
        <row r="34">
          <cell r="E34" t="str">
            <v>SECONDARY &gt; 10 kW NCP</v>
          </cell>
        </row>
        <row r="35">
          <cell r="E35" t="str">
            <v>SECONDARY &gt; 10 kW 4CP</v>
          </cell>
        </row>
        <row r="36">
          <cell r="E36" t="str">
            <v>SECONDARY &gt; 10 kW NCP</v>
          </cell>
        </row>
        <row r="37">
          <cell r="E37" t="str">
            <v>SECONDARY &gt; 10 kW 4CP</v>
          </cell>
        </row>
        <row r="38">
          <cell r="E38" t="str">
            <v xml:space="preserve">TRANSMISSION </v>
          </cell>
        </row>
        <row r="39">
          <cell r="E39" t="str">
            <v xml:space="preserve">TRANSMISSION </v>
          </cell>
        </row>
        <row r="40">
          <cell r="E40" t="str">
            <v xml:space="preserve">TRANSMISSION </v>
          </cell>
        </row>
        <row r="41">
          <cell r="E41" t="str">
            <v xml:space="preserve">TRANSMISSION </v>
          </cell>
        </row>
        <row r="42">
          <cell r="E42" t="str">
            <v xml:space="preserve">TRANSMISSION </v>
          </cell>
        </row>
        <row r="43">
          <cell r="E43" t="str">
            <v xml:space="preserve">TRANSMISSION </v>
          </cell>
        </row>
        <row r="44">
          <cell r="E44" t="str">
            <v xml:space="preserve">TRANSMISSION </v>
          </cell>
        </row>
        <row r="45">
          <cell r="E45" t="str">
            <v xml:space="preserve">TRANSMISSION </v>
          </cell>
        </row>
        <row r="46">
          <cell r="E46" t="str">
            <v xml:space="preserve">TRANSMISSION </v>
          </cell>
        </row>
        <row r="47">
          <cell r="E47" t="str">
            <v xml:space="preserve">TRANSMISSION </v>
          </cell>
        </row>
        <row r="48">
          <cell r="E48" t="str">
            <v xml:space="preserve">TRANSMISSION </v>
          </cell>
        </row>
        <row r="49">
          <cell r="E49" t="str">
            <v>SECONDARY &gt; 10 kW NCP</v>
          </cell>
        </row>
        <row r="50">
          <cell r="E50" t="str">
            <v>SECONDARY &gt; 10 kW 4CP</v>
          </cell>
        </row>
        <row r="51">
          <cell r="E51" t="str">
            <v>PRIMARY NCP</v>
          </cell>
        </row>
        <row r="52">
          <cell r="E52" t="str">
            <v>PRIMARY 4CP</v>
          </cell>
        </row>
        <row r="53">
          <cell r="E53" t="str">
            <v>LIGHTING</v>
          </cell>
        </row>
        <row r="54">
          <cell r="E54" t="str">
            <v>LIGHTING</v>
          </cell>
        </row>
        <row r="55">
          <cell r="E55" t="str">
            <v>LIGHTING</v>
          </cell>
        </row>
        <row r="56">
          <cell r="E56" t="str">
            <v>LIGHTING</v>
          </cell>
        </row>
        <row r="57">
          <cell r="E57" t="str">
            <v>LIGHTING</v>
          </cell>
        </row>
        <row r="58">
          <cell r="E58" t="str">
            <v>LIGHTING</v>
          </cell>
        </row>
        <row r="59">
          <cell r="E59" t="str">
            <v>LIGHTING</v>
          </cell>
        </row>
        <row r="60">
          <cell r="E60" t="str">
            <v>LIGHTING</v>
          </cell>
        </row>
        <row r="61">
          <cell r="E61" t="str">
            <v>LIGHTING</v>
          </cell>
        </row>
        <row r="62">
          <cell r="E62" t="str">
            <v>LIGHTING</v>
          </cell>
        </row>
        <row r="63">
          <cell r="E63" t="str">
            <v>LIGHTING</v>
          </cell>
        </row>
        <row r="64">
          <cell r="E64" t="str">
            <v>LIGHTING</v>
          </cell>
        </row>
        <row r="65">
          <cell r="E65" t="str">
            <v>LIGHTING</v>
          </cell>
        </row>
        <row r="66">
          <cell r="E66" t="str">
            <v>LIGHTING</v>
          </cell>
        </row>
        <row r="67">
          <cell r="E67" t="str">
            <v>LIGHTING</v>
          </cell>
        </row>
        <row r="68">
          <cell r="E68" t="str">
            <v>LIGHTING</v>
          </cell>
        </row>
        <row r="69">
          <cell r="E69" t="str">
            <v>LIGHTING</v>
          </cell>
        </row>
        <row r="70">
          <cell r="E70" t="str">
            <v>LIGHTING</v>
          </cell>
        </row>
        <row r="71">
          <cell r="E71" t="str">
            <v>LIGHTING</v>
          </cell>
        </row>
        <row r="72">
          <cell r="E72" t="str">
            <v>LIGHTING</v>
          </cell>
        </row>
        <row r="73">
          <cell r="E73" t="str">
            <v>LIGHTING</v>
          </cell>
        </row>
        <row r="74">
          <cell r="E74" t="str">
            <v>LIGHTING</v>
          </cell>
        </row>
        <row r="75">
          <cell r="E75" t="str">
            <v>LIGHTING</v>
          </cell>
        </row>
        <row r="76">
          <cell r="E76" t="str">
            <v>LIGHTING</v>
          </cell>
        </row>
        <row r="77">
          <cell r="E77" t="str">
            <v>LIGHTING</v>
          </cell>
        </row>
        <row r="78">
          <cell r="E78" t="str">
            <v>LIGHTING</v>
          </cell>
        </row>
        <row r="79">
          <cell r="E79" t="str">
            <v>LIGHTING</v>
          </cell>
        </row>
        <row r="80">
          <cell r="E80" t="str">
            <v>LIGHTING</v>
          </cell>
        </row>
        <row r="81">
          <cell r="E81" t="str">
            <v>LIGHTING</v>
          </cell>
        </row>
        <row r="82">
          <cell r="E82" t="str">
            <v>LIGHTING</v>
          </cell>
        </row>
        <row r="83">
          <cell r="E83" t="str">
            <v>LIGHTING</v>
          </cell>
        </row>
        <row r="84">
          <cell r="E84" t="str">
            <v>LIGHTING</v>
          </cell>
        </row>
        <row r="85">
          <cell r="E85" t="str">
            <v>LIGHTING</v>
          </cell>
        </row>
        <row r="86">
          <cell r="E86" t="str">
            <v>LIGHTING</v>
          </cell>
        </row>
        <row r="87">
          <cell r="E87" t="str">
            <v>LIGHTING</v>
          </cell>
        </row>
        <row r="88">
          <cell r="E88" t="str">
            <v>LIGHTING</v>
          </cell>
        </row>
        <row r="89">
          <cell r="E89" t="str">
            <v>LIGHTING</v>
          </cell>
        </row>
        <row r="90">
          <cell r="E90" t="str">
            <v>LIGHTING</v>
          </cell>
        </row>
        <row r="91">
          <cell r="E91" t="str">
            <v>LIGHTING</v>
          </cell>
        </row>
        <row r="92">
          <cell r="E92" t="str">
            <v>LIGHTING</v>
          </cell>
        </row>
        <row r="93">
          <cell r="E93" t="str">
            <v>LIGHTING</v>
          </cell>
        </row>
        <row r="94">
          <cell r="E94" t="str">
            <v>LIGHTING</v>
          </cell>
        </row>
        <row r="95">
          <cell r="E95" t="str">
            <v>LIGHTING</v>
          </cell>
        </row>
        <row r="96">
          <cell r="E96" t="str">
            <v>LIGHTING</v>
          </cell>
        </row>
        <row r="97">
          <cell r="E97" t="str">
            <v>LIGHTING</v>
          </cell>
        </row>
        <row r="98">
          <cell r="E98" t="str">
            <v>LIGHTING</v>
          </cell>
        </row>
        <row r="99">
          <cell r="E99" t="str">
            <v>LIGHTING</v>
          </cell>
        </row>
        <row r="100">
          <cell r="E100" t="str">
            <v>LIGHTING</v>
          </cell>
        </row>
        <row r="101">
          <cell r="E101" t="str">
            <v>LIGHTING</v>
          </cell>
        </row>
        <row r="102">
          <cell r="E102" t="str">
            <v>LIGHTING</v>
          </cell>
        </row>
        <row r="103">
          <cell r="E103" t="str">
            <v>LIGHTING</v>
          </cell>
        </row>
        <row r="104">
          <cell r="E104" t="str">
            <v>LIGHTING</v>
          </cell>
        </row>
        <row r="105">
          <cell r="E105" t="str">
            <v>LIGHTING</v>
          </cell>
        </row>
        <row r="106">
          <cell r="E106" t="str">
            <v>LIGHTING</v>
          </cell>
        </row>
        <row r="107">
          <cell r="E107" t="str">
            <v>LIGHTING</v>
          </cell>
        </row>
        <row r="108">
          <cell r="E108" t="str">
            <v>LIGHTING</v>
          </cell>
        </row>
        <row r="109">
          <cell r="E109" t="str">
            <v>PRIMARY SUB NCP</v>
          </cell>
        </row>
        <row r="110">
          <cell r="E110" t="str">
            <v>PRIMARY SUB 4CP</v>
          </cell>
        </row>
        <row r="111">
          <cell r="E111" t="str">
            <v>Battery Storage</v>
          </cell>
        </row>
        <row r="112">
          <cell r="E112" t="str">
            <v>Description #108</v>
          </cell>
        </row>
        <row r="113">
          <cell r="E113" t="str">
            <v>Description #109</v>
          </cell>
        </row>
        <row r="114">
          <cell r="E114" t="str">
            <v>Description #110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9"/>
  <sheetViews>
    <sheetView tabSelected="1" zoomScale="80" zoomScaleNormal="80" workbookViewId="0">
      <selection activeCell="A35" sqref="A35:XFD35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84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17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7" x14ac:dyDescent="0.25">
      <c r="A6" s="10"/>
      <c r="B6" s="9"/>
      <c r="C6" s="9"/>
      <c r="D6" s="14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  <c r="Q6" s="8"/>
    </row>
    <row r="7" spans="1:17" x14ac:dyDescent="0.25">
      <c r="A7" s="15" t="s">
        <v>0</v>
      </c>
      <c r="B7" s="9" t="s">
        <v>1</v>
      </c>
      <c r="C7" s="34" t="s">
        <v>2</v>
      </c>
      <c r="D7" s="19" t="s">
        <v>18</v>
      </c>
      <c r="E7" s="19" t="s">
        <v>19</v>
      </c>
      <c r="F7" s="19" t="s">
        <v>20</v>
      </c>
      <c r="G7" s="19" t="s">
        <v>21</v>
      </c>
      <c r="H7" s="19" t="s">
        <v>22</v>
      </c>
      <c r="I7" s="19" t="s">
        <v>23</v>
      </c>
      <c r="J7" s="19" t="s">
        <v>24</v>
      </c>
      <c r="K7" s="19" t="s">
        <v>25</v>
      </c>
      <c r="L7" s="19" t="s">
        <v>26</v>
      </c>
      <c r="M7" s="19" t="s">
        <v>27</v>
      </c>
      <c r="N7" s="19" t="s">
        <v>28</v>
      </c>
      <c r="O7" s="19" t="s">
        <v>29</v>
      </c>
      <c r="P7" s="20" t="s">
        <v>10</v>
      </c>
      <c r="Q7" s="8"/>
    </row>
    <row r="8" spans="1:17" x14ac:dyDescent="0.25">
      <c r="A8" s="10"/>
      <c r="B8" s="9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6937102.3895769352</v>
      </c>
      <c r="E9" s="36">
        <v>6682436.1289566532</v>
      </c>
      <c r="F9" s="36">
        <v>7456996.0770070236</v>
      </c>
      <c r="G9" s="36">
        <v>8856448.5314075574</v>
      </c>
      <c r="H9" s="36">
        <v>8236440.0670695929</v>
      </c>
      <c r="I9" s="36">
        <v>6512800.4893952301</v>
      </c>
      <c r="J9" s="36">
        <v>5841365.7634578226</v>
      </c>
      <c r="K9" s="36">
        <v>5178714.691139237</v>
      </c>
      <c r="L9" s="36">
        <v>5462727.3592778174</v>
      </c>
      <c r="M9" s="36">
        <v>5853211.2149055991</v>
      </c>
      <c r="N9" s="36">
        <v>5834687.8877291335</v>
      </c>
      <c r="O9" s="36">
        <v>6328880.0348607432</v>
      </c>
      <c r="P9" s="37">
        <f>SUM(D9:O9)</f>
        <v>79181810.634783342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30</v>
      </c>
      <c r="C11" s="23" t="s">
        <v>5</v>
      </c>
      <c r="D11" s="36">
        <v>243310.91282761138</v>
      </c>
      <c r="E11" s="36">
        <v>248909.72093189208</v>
      </c>
      <c r="F11" s="36">
        <v>258248.12788836003</v>
      </c>
      <c r="G11" s="36">
        <v>262837.1835340031</v>
      </c>
      <c r="H11" s="36">
        <v>264640.15284664585</v>
      </c>
      <c r="I11" s="36">
        <v>221909.12255141648</v>
      </c>
      <c r="J11" s="36">
        <v>226795.43570443554</v>
      </c>
      <c r="K11" s="36">
        <v>214606.30599531459</v>
      </c>
      <c r="L11" s="36">
        <v>231815.72269014252</v>
      </c>
      <c r="M11" s="36">
        <v>238129.07780847634</v>
      </c>
      <c r="N11" s="36">
        <v>236333.56144218802</v>
      </c>
      <c r="O11" s="36">
        <v>249910.04066623669</v>
      </c>
      <c r="P11" s="37">
        <f>SUM(D11:O11)</f>
        <v>2897445.3648867225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31</v>
      </c>
      <c r="C13" s="25" t="s">
        <v>5</v>
      </c>
      <c r="D13" s="39">
        <v>2386679.1023602327</v>
      </c>
      <c r="E13" s="39">
        <v>2429226.9212510437</v>
      </c>
      <c r="F13" s="39">
        <v>2429767.2906067204</v>
      </c>
      <c r="G13" s="39">
        <v>2302306.9257029835</v>
      </c>
      <c r="H13" s="39">
        <v>2347929.4795701029</v>
      </c>
      <c r="I13" s="39">
        <v>1996476.0968844988</v>
      </c>
      <c r="J13" s="39">
        <v>2122859.0829785471</v>
      </c>
      <c r="K13" s="39">
        <v>2031616.8606512723</v>
      </c>
      <c r="L13" s="39">
        <v>2259404.088171727</v>
      </c>
      <c r="M13" s="39">
        <v>2296650.0393856857</v>
      </c>
      <c r="N13" s="39">
        <v>2311684.4792962861</v>
      </c>
      <c r="O13" s="39">
        <v>2507972.896432471</v>
      </c>
      <c r="P13" s="37">
        <f t="shared" ref="P13:P15" si="0">SUM(D13:O13)</f>
        <v>27422573.263291568</v>
      </c>
    </row>
    <row r="14" spans="1:17" x14ac:dyDescent="0.25">
      <c r="A14" s="21">
        <v>4</v>
      </c>
      <c r="B14" s="22" t="s">
        <v>32</v>
      </c>
      <c r="C14" s="25" t="s">
        <v>5</v>
      </c>
      <c r="D14" s="40">
        <v>330249.61785189208</v>
      </c>
      <c r="E14" s="40">
        <v>317512.00787827879</v>
      </c>
      <c r="F14" s="40">
        <v>314531.4166068802</v>
      </c>
      <c r="G14" s="40">
        <v>286049.36723686097</v>
      </c>
      <c r="H14" s="40">
        <v>282128.44340368127</v>
      </c>
      <c r="I14" s="40">
        <v>251489.2170006118</v>
      </c>
      <c r="J14" s="40">
        <v>284886.38838092494</v>
      </c>
      <c r="K14" s="40">
        <v>267411.43998946215</v>
      </c>
      <c r="L14" s="40">
        <v>305287.5005909563</v>
      </c>
      <c r="M14" s="40">
        <v>302178.13416303176</v>
      </c>
      <c r="N14" s="40">
        <v>309041.01779254572</v>
      </c>
      <c r="O14" s="40">
        <v>349878.61014044948</v>
      </c>
      <c r="P14" s="40">
        <f t="shared" si="0"/>
        <v>3600643.1610355754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2716928.7202121248</v>
      </c>
      <c r="E15" s="41">
        <f t="shared" ref="E15:O15" si="1">SUM(E13:E14)</f>
        <v>2746738.9291293225</v>
      </c>
      <c r="F15" s="41">
        <f t="shared" si="1"/>
        <v>2744298.7072136006</v>
      </c>
      <c r="G15" s="41">
        <f t="shared" si="1"/>
        <v>2588356.2929398445</v>
      </c>
      <c r="H15" s="41">
        <f t="shared" si="1"/>
        <v>2630057.9229737842</v>
      </c>
      <c r="I15" s="41">
        <f t="shared" si="1"/>
        <v>2247965.3138851104</v>
      </c>
      <c r="J15" s="41">
        <f t="shared" si="1"/>
        <v>2407745.4713594718</v>
      </c>
      <c r="K15" s="41">
        <f t="shared" si="1"/>
        <v>2299028.3006407344</v>
      </c>
      <c r="L15" s="41">
        <f t="shared" si="1"/>
        <v>2564691.5887626833</v>
      </c>
      <c r="M15" s="41">
        <f t="shared" si="1"/>
        <v>2598828.1735487175</v>
      </c>
      <c r="N15" s="41">
        <f t="shared" si="1"/>
        <v>2620725.4970888318</v>
      </c>
      <c r="O15" s="41">
        <f t="shared" si="1"/>
        <v>2857851.5065729204</v>
      </c>
      <c r="P15" s="41">
        <f t="shared" si="0"/>
        <v>31023216.424327146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33</v>
      </c>
      <c r="C17" s="25" t="s">
        <v>7</v>
      </c>
      <c r="D17" s="36">
        <v>48599.80902504691</v>
      </c>
      <c r="E17" s="36">
        <v>50080.560845855791</v>
      </c>
      <c r="F17" s="36">
        <v>59092.77371722056</v>
      </c>
      <c r="G17" s="36">
        <v>50535.157129416984</v>
      </c>
      <c r="H17" s="36">
        <v>55464.997433309996</v>
      </c>
      <c r="I17" s="36">
        <v>52900.442177425</v>
      </c>
      <c r="J17" s="36">
        <v>58190.799479124202</v>
      </c>
      <c r="K17" s="36">
        <v>60774.088359428395</v>
      </c>
      <c r="L17" s="36">
        <v>58476.775374621968</v>
      </c>
      <c r="M17" s="36">
        <v>54704.04982822029</v>
      </c>
      <c r="N17" s="36">
        <v>56972.910865326041</v>
      </c>
      <c r="O17" s="36">
        <v>62001.283891393643</v>
      </c>
      <c r="P17" s="37">
        <f t="shared" ref="P17:P21" si="2">SUM(D17:O17)</f>
        <v>667793.64812638983</v>
      </c>
    </row>
    <row r="18" spans="1:16" x14ac:dyDescent="0.25">
      <c r="A18" s="21">
        <v>7</v>
      </c>
      <c r="B18" s="22" t="s">
        <v>34</v>
      </c>
      <c r="C18" s="25" t="s">
        <v>7</v>
      </c>
      <c r="D18" s="39">
        <v>674888.6213583817</v>
      </c>
      <c r="E18" s="39">
        <v>697863.10093820619</v>
      </c>
      <c r="F18" s="39">
        <v>681358.60521420382</v>
      </c>
      <c r="G18" s="39">
        <v>685173.80394959648</v>
      </c>
      <c r="H18" s="39">
        <v>682187.86233370122</v>
      </c>
      <c r="I18" s="39">
        <v>632053.70056208584</v>
      </c>
      <c r="J18" s="39">
        <v>690694.17942308506</v>
      </c>
      <c r="K18" s="39">
        <v>653785.54947125434</v>
      </c>
      <c r="L18" s="39">
        <v>742068.07819092623</v>
      </c>
      <c r="M18" s="39">
        <v>700920.94119248923</v>
      </c>
      <c r="N18" s="39">
        <v>703380.8779810972</v>
      </c>
      <c r="O18" s="39">
        <v>755554.01228456013</v>
      </c>
      <c r="P18" s="42">
        <f t="shared" si="2"/>
        <v>8299929.3328995882</v>
      </c>
    </row>
    <row r="19" spans="1:16" x14ac:dyDescent="0.25">
      <c r="A19" s="21">
        <v>8</v>
      </c>
      <c r="B19" s="22" t="s">
        <v>35</v>
      </c>
      <c r="C19" s="25" t="s">
        <v>7</v>
      </c>
      <c r="D19" s="39">
        <v>1508.8700739866379</v>
      </c>
      <c r="E19" s="39">
        <v>1306.4355440334461</v>
      </c>
      <c r="F19" s="39">
        <v>1611.1443390841628</v>
      </c>
      <c r="G19" s="39">
        <v>1162.3753190463265</v>
      </c>
      <c r="H19" s="39">
        <v>1353.2753963598052</v>
      </c>
      <c r="I19" s="39">
        <v>1303.0012872433413</v>
      </c>
      <c r="J19" s="39">
        <v>1466.9799322015535</v>
      </c>
      <c r="K19" s="39">
        <v>1463.0997470853165</v>
      </c>
      <c r="L19" s="39">
        <v>1671.1452489432938</v>
      </c>
      <c r="M19" s="39">
        <v>1574.130918244208</v>
      </c>
      <c r="N19" s="39">
        <v>1433.762219763016</v>
      </c>
      <c r="O19" s="39">
        <v>1766.1810262275922</v>
      </c>
      <c r="P19" s="42">
        <f t="shared" si="2"/>
        <v>17620.401052218698</v>
      </c>
    </row>
    <row r="20" spans="1:16" x14ac:dyDescent="0.25">
      <c r="A20" s="21">
        <v>9</v>
      </c>
      <c r="B20" s="22" t="s">
        <v>36</v>
      </c>
      <c r="C20" s="25" t="s">
        <v>7</v>
      </c>
      <c r="D20" s="39">
        <v>118722.665198071</v>
      </c>
      <c r="E20" s="39">
        <v>114173.37086675916</v>
      </c>
      <c r="F20" s="39">
        <v>106171.0537461083</v>
      </c>
      <c r="G20" s="39">
        <v>110574.5321420963</v>
      </c>
      <c r="H20" s="39">
        <v>121887.78363274471</v>
      </c>
      <c r="I20" s="39">
        <v>86834.368695576253</v>
      </c>
      <c r="J20" s="39">
        <v>111494.8825789836</v>
      </c>
      <c r="K20" s="39">
        <v>94879.724241725344</v>
      </c>
      <c r="L20" s="39">
        <v>106639.94844555536</v>
      </c>
      <c r="M20" s="39">
        <v>80054.528650630455</v>
      </c>
      <c r="N20" s="39">
        <v>69251.723032417125</v>
      </c>
      <c r="O20" s="39">
        <v>83709.831608359644</v>
      </c>
      <c r="P20" s="42">
        <f t="shared" si="2"/>
        <v>1204394.4128390271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843719.96565548622</v>
      </c>
      <c r="E21" s="43">
        <f t="shared" ref="E21:O21" si="3">SUM(E17:E20)</f>
        <v>863423.46819485445</v>
      </c>
      <c r="F21" s="43">
        <f t="shared" si="3"/>
        <v>848233.57701661682</v>
      </c>
      <c r="G21" s="43">
        <f t="shared" si="3"/>
        <v>847445.86854015605</v>
      </c>
      <c r="H21" s="43">
        <f t="shared" si="3"/>
        <v>860893.91879611579</v>
      </c>
      <c r="I21" s="43">
        <f t="shared" si="3"/>
        <v>773091.5127223304</v>
      </c>
      <c r="J21" s="43">
        <f t="shared" si="3"/>
        <v>861846.84141339443</v>
      </c>
      <c r="K21" s="43">
        <f t="shared" si="3"/>
        <v>810902.46181949344</v>
      </c>
      <c r="L21" s="43">
        <f t="shared" si="3"/>
        <v>908855.94726004684</v>
      </c>
      <c r="M21" s="43">
        <f t="shared" si="3"/>
        <v>837253.65058958426</v>
      </c>
      <c r="N21" s="43">
        <f t="shared" si="3"/>
        <v>831039.2740986034</v>
      </c>
      <c r="O21" s="43">
        <f t="shared" si="3"/>
        <v>903031.30881054094</v>
      </c>
      <c r="P21" s="43">
        <f t="shared" si="2"/>
        <v>10189737.794917222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37</v>
      </c>
      <c r="C23" s="25" t="s">
        <v>8</v>
      </c>
      <c r="D23" s="36">
        <v>1702731.3273059949</v>
      </c>
      <c r="E23" s="36">
        <v>2480391.6090388955</v>
      </c>
      <c r="F23" s="36">
        <v>2131164.7680639867</v>
      </c>
      <c r="G23" s="36">
        <v>2136309.7026577899</v>
      </c>
      <c r="H23" s="36">
        <v>2317848.121767859</v>
      </c>
      <c r="I23" s="36">
        <v>2273187.6573401783</v>
      </c>
      <c r="J23" s="36">
        <v>2100857.6087186253</v>
      </c>
      <c r="K23" s="36">
        <v>2021469.7279914189</v>
      </c>
      <c r="L23" s="36">
        <v>2253503.9973161495</v>
      </c>
      <c r="M23" s="36">
        <v>2054255.3855752696</v>
      </c>
      <c r="N23" s="36">
        <v>2157127.3130684067</v>
      </c>
      <c r="O23" s="36">
        <v>2343586.5650849058</v>
      </c>
      <c r="P23" s="37">
        <f>SUM(D23:O23)</f>
        <v>25972433.783929475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61891.010599936795</v>
      </c>
      <c r="E25" s="36">
        <v>59567.012492222202</v>
      </c>
      <c r="F25" s="36">
        <v>55498.472301051937</v>
      </c>
      <c r="G25" s="36">
        <v>56234.520519636128</v>
      </c>
      <c r="H25" s="36">
        <v>65880.702952378953</v>
      </c>
      <c r="I25" s="36">
        <v>69387.178751239058</v>
      </c>
      <c r="J25" s="36">
        <v>71452.268660205547</v>
      </c>
      <c r="K25" s="36">
        <v>70748.517871175543</v>
      </c>
      <c r="L25" s="36">
        <v>79298.228483106926</v>
      </c>
      <c r="M25" s="36">
        <v>76639.094580037767</v>
      </c>
      <c r="N25" s="36">
        <v>70245.74751647198</v>
      </c>
      <c r="O25" s="36">
        <v>72528.041756330495</v>
      </c>
      <c r="P25" s="37">
        <f>SUM(D25:O25)</f>
        <v>809370.79648379341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38</v>
      </c>
      <c r="C27" s="30"/>
      <c r="D27" s="45">
        <f>D25+D23+D21+D15+D11+D9</f>
        <v>12505684.326178089</v>
      </c>
      <c r="E27" s="45">
        <f t="shared" ref="E27:O27" si="4">E25+E23+E21+E15+E11+E9</f>
        <v>13081466.868743841</v>
      </c>
      <c r="F27" s="45">
        <f t="shared" si="4"/>
        <v>13494439.72949064</v>
      </c>
      <c r="G27" s="45">
        <f t="shared" si="4"/>
        <v>14747632.099598987</v>
      </c>
      <c r="H27" s="45">
        <f t="shared" si="4"/>
        <v>14375760.886406377</v>
      </c>
      <c r="I27" s="45">
        <f t="shared" si="4"/>
        <v>12098341.274645504</v>
      </c>
      <c r="J27" s="45">
        <f t="shared" si="4"/>
        <v>11510063.389313955</v>
      </c>
      <c r="K27" s="45">
        <f t="shared" si="4"/>
        <v>10595470.005457373</v>
      </c>
      <c r="L27" s="45">
        <f t="shared" si="4"/>
        <v>11500892.843789946</v>
      </c>
      <c r="M27" s="45">
        <f t="shared" si="4"/>
        <v>11658316.597007684</v>
      </c>
      <c r="N27" s="45">
        <f t="shared" si="4"/>
        <v>11750159.280943636</v>
      </c>
      <c r="O27" s="45">
        <f t="shared" si="4"/>
        <v>12755787.497751677</v>
      </c>
      <c r="P27" s="45">
        <f>SUM(D27:O27)</f>
        <v>150074014.79932773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39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5">SUM(D29:O29)</f>
        <v>0</v>
      </c>
    </row>
    <row r="30" spans="1:16" x14ac:dyDescent="0.25">
      <c r="A30" s="21">
        <v>15</v>
      </c>
      <c r="B30" s="28" t="s">
        <v>40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5"/>
        <v>0</v>
      </c>
    </row>
    <row r="31" spans="1:16" x14ac:dyDescent="0.25">
      <c r="A31" s="21">
        <v>16</v>
      </c>
      <c r="B31" s="29" t="s">
        <v>41</v>
      </c>
      <c r="C31" s="31"/>
      <c r="D31" s="46">
        <f t="shared" ref="D31:O31" si="6">SUM(D29:D30)</f>
        <v>0</v>
      </c>
      <c r="E31" s="46">
        <f t="shared" si="6"/>
        <v>0</v>
      </c>
      <c r="F31" s="46">
        <f t="shared" si="6"/>
        <v>0</v>
      </c>
      <c r="G31" s="46">
        <f t="shared" si="6"/>
        <v>0</v>
      </c>
      <c r="H31" s="46">
        <f t="shared" si="6"/>
        <v>0</v>
      </c>
      <c r="I31" s="46">
        <f t="shared" si="6"/>
        <v>0</v>
      </c>
      <c r="J31" s="46">
        <f t="shared" si="6"/>
        <v>0</v>
      </c>
      <c r="K31" s="46">
        <f t="shared" si="6"/>
        <v>0</v>
      </c>
      <c r="L31" s="46">
        <f t="shared" si="6"/>
        <v>0</v>
      </c>
      <c r="M31" s="46">
        <f t="shared" si="6"/>
        <v>0</v>
      </c>
      <c r="N31" s="46">
        <f t="shared" si="6"/>
        <v>0</v>
      </c>
      <c r="O31" s="37">
        <f t="shared" si="6"/>
        <v>0</v>
      </c>
      <c r="P31" s="37">
        <f t="shared" si="5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42</v>
      </c>
      <c r="C33" s="31"/>
      <c r="D33" s="48">
        <f t="shared" ref="D33:O33" si="7">+D31+D27</f>
        <v>12505684.326178089</v>
      </c>
      <c r="E33" s="48">
        <f t="shared" si="7"/>
        <v>13081466.868743841</v>
      </c>
      <c r="F33" s="48">
        <f t="shared" si="7"/>
        <v>13494439.72949064</v>
      </c>
      <c r="G33" s="48">
        <f t="shared" si="7"/>
        <v>14747632.099598987</v>
      </c>
      <c r="H33" s="48">
        <f t="shared" si="7"/>
        <v>14375760.886406377</v>
      </c>
      <c r="I33" s="48">
        <f t="shared" si="7"/>
        <v>12098341.274645504</v>
      </c>
      <c r="J33" s="48">
        <f t="shared" si="7"/>
        <v>11510063.389313955</v>
      </c>
      <c r="K33" s="48">
        <f t="shared" si="7"/>
        <v>10595470.005457373</v>
      </c>
      <c r="L33" s="48">
        <f t="shared" si="7"/>
        <v>11500892.843789946</v>
      </c>
      <c r="M33" s="48">
        <f t="shared" si="7"/>
        <v>11658316.597007684</v>
      </c>
      <c r="N33" s="48">
        <f t="shared" si="7"/>
        <v>11750159.280943636</v>
      </c>
      <c r="O33" s="48">
        <f t="shared" si="7"/>
        <v>12755787.497751677</v>
      </c>
      <c r="P33" s="48">
        <f>SUM(D33:O33)</f>
        <v>150074014.79932773</v>
      </c>
    </row>
    <row r="34" spans="1:16" ht="15.75" thickTop="1" x14ac:dyDescent="0.25"/>
    <row r="36" spans="1:16" x14ac:dyDescent="0.25">
      <c r="A36" s="10"/>
      <c r="B36" s="54" t="s">
        <v>13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11"/>
    </row>
    <row r="37" spans="1:16" x14ac:dyDescent="0.25">
      <c r="A37" s="10"/>
      <c r="B37" s="54" t="s">
        <v>14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85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3" t="s">
        <v>6</v>
      </c>
    </row>
    <row r="39" spans="1:16" x14ac:dyDescent="0.25">
      <c r="A39" s="10"/>
      <c r="B39" s="55" t="s">
        <v>17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8" t="s">
        <v>6</v>
      </c>
    </row>
    <row r="40" spans="1:16" x14ac:dyDescent="0.25">
      <c r="A40" s="10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8"/>
    </row>
    <row r="41" spans="1:16" x14ac:dyDescent="0.25">
      <c r="A41" s="10"/>
      <c r="B41" s="9"/>
      <c r="C41" s="9"/>
      <c r="D41" s="14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8"/>
    </row>
    <row r="42" spans="1:16" x14ac:dyDescent="0.25">
      <c r="A42" s="15" t="s">
        <v>0</v>
      </c>
      <c r="B42" s="17" t="s">
        <v>1</v>
      </c>
      <c r="C42" s="34" t="s">
        <v>2</v>
      </c>
      <c r="D42" s="19" t="s">
        <v>18</v>
      </c>
      <c r="E42" s="19" t="s">
        <v>19</v>
      </c>
      <c r="F42" s="19" t="s">
        <v>20</v>
      </c>
      <c r="G42" s="19" t="s">
        <v>21</v>
      </c>
      <c r="H42" s="19" t="s">
        <v>22</v>
      </c>
      <c r="I42" s="19" t="s">
        <v>23</v>
      </c>
      <c r="J42" s="19" t="s">
        <v>24</v>
      </c>
      <c r="K42" s="19" t="s">
        <v>25</v>
      </c>
      <c r="L42" s="19" t="s">
        <v>26</v>
      </c>
      <c r="M42" s="19" t="s">
        <v>27</v>
      </c>
      <c r="N42" s="19" t="s">
        <v>28</v>
      </c>
      <c r="O42" s="19" t="s">
        <v>29</v>
      </c>
      <c r="P42" s="20" t="s">
        <v>10</v>
      </c>
    </row>
    <row r="43" spans="1:16" x14ac:dyDescent="0.25">
      <c r="A43" s="10"/>
      <c r="B43" s="17"/>
      <c r="C43" s="34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20"/>
      <c r="P43" s="20"/>
    </row>
    <row r="44" spans="1:16" x14ac:dyDescent="0.25">
      <c r="A44" s="21" t="s">
        <v>3</v>
      </c>
      <c r="B44" s="22" t="s">
        <v>4</v>
      </c>
      <c r="C44" s="23" t="s">
        <v>5</v>
      </c>
      <c r="D44" s="36">
        <v>6373260.0710877972</v>
      </c>
      <c r="E44" s="36">
        <v>6139292.8872239497</v>
      </c>
      <c r="F44" s="36">
        <v>6850897.2015829775</v>
      </c>
      <c r="G44" s="36">
        <v>8136603.2425400401</v>
      </c>
      <c r="H44" s="36">
        <v>7566988.5867957706</v>
      </c>
      <c r="I44" s="36">
        <v>5983445.1012845831</v>
      </c>
      <c r="J44" s="36">
        <v>5366584.0707211243</v>
      </c>
      <c r="K44" s="36">
        <v>4757792.7652018312</v>
      </c>
      <c r="L44" s="36">
        <v>5018721.1032713968</v>
      </c>
      <c r="M44" s="36">
        <v>5377466.7330340743</v>
      </c>
      <c r="N44" s="36">
        <v>5360448.9675683603</v>
      </c>
      <c r="O44" s="36">
        <v>5814473.5590882087</v>
      </c>
      <c r="P44" s="37">
        <f>SUM(D44:O44)</f>
        <v>72745974.289400116</v>
      </c>
    </row>
    <row r="45" spans="1:16" x14ac:dyDescent="0.25">
      <c r="A45" s="24"/>
      <c r="B45" s="22"/>
      <c r="C45" s="23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7"/>
      <c r="P45" s="37"/>
    </row>
    <row r="46" spans="1:16" x14ac:dyDescent="0.25">
      <c r="A46" s="21">
        <v>2</v>
      </c>
      <c r="B46" s="22" t="s">
        <v>30</v>
      </c>
      <c r="C46" s="23" t="s">
        <v>5</v>
      </c>
      <c r="D46" s="36">
        <v>223534.78995986233</v>
      </c>
      <c r="E46" s="36">
        <v>228678.53127039981</v>
      </c>
      <c r="F46" s="36">
        <v>237257.91972985936</v>
      </c>
      <c r="G46" s="36">
        <v>241473.9804808613</v>
      </c>
      <c r="H46" s="36">
        <v>243130.40584182003</v>
      </c>
      <c r="I46" s="36">
        <v>203872.52064955072</v>
      </c>
      <c r="J46" s="36">
        <v>208361.67804756726</v>
      </c>
      <c r="K46" s="36">
        <v>197163.27137662459</v>
      </c>
      <c r="L46" s="36">
        <v>212973.91998873878</v>
      </c>
      <c r="M46" s="36">
        <v>218774.13048451158</v>
      </c>
      <c r="N46" s="36">
        <v>217124.55230019017</v>
      </c>
      <c r="O46" s="36">
        <v>229597.54579017949</v>
      </c>
      <c r="P46" s="37">
        <f>SUM(D46:O46)</f>
        <v>2661943.2459201654</v>
      </c>
    </row>
    <row r="47" spans="1:16" x14ac:dyDescent="0.25">
      <c r="A47" s="21"/>
      <c r="B47" s="22"/>
      <c r="C47" s="2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7"/>
    </row>
    <row r="48" spans="1:16" x14ac:dyDescent="0.25">
      <c r="A48" s="21">
        <v>3</v>
      </c>
      <c r="B48" s="22" t="s">
        <v>31</v>
      </c>
      <c r="C48" s="25" t="s">
        <v>5</v>
      </c>
      <c r="D48" s="39">
        <v>2192691.6702897027</v>
      </c>
      <c r="E48" s="39">
        <v>2231781.2353588464</v>
      </c>
      <c r="F48" s="39">
        <v>2232277.6839111047</v>
      </c>
      <c r="G48" s="39">
        <v>2115177.1989149754</v>
      </c>
      <c r="H48" s="39">
        <v>2157091.5868789242</v>
      </c>
      <c r="I48" s="39">
        <v>1834204.0633958664</v>
      </c>
      <c r="J48" s="39">
        <v>1950314.7380989343</v>
      </c>
      <c r="K48" s="39">
        <v>1866488.6130543535</v>
      </c>
      <c r="L48" s="39">
        <v>2075761.4708459829</v>
      </c>
      <c r="M48" s="39">
        <v>2109980.099943669</v>
      </c>
      <c r="N48" s="39">
        <v>2123792.5522028957</v>
      </c>
      <c r="O48" s="39">
        <v>2304126.7985635535</v>
      </c>
      <c r="P48" s="37">
        <f t="shared" ref="P48:P50" si="8">SUM(D48:O48)</f>
        <v>25193687.71145881</v>
      </c>
    </row>
    <row r="49" spans="1:16" x14ac:dyDescent="0.25">
      <c r="A49" s="21">
        <v>4</v>
      </c>
      <c r="B49" s="22" t="s">
        <v>32</v>
      </c>
      <c r="C49" s="25" t="s">
        <v>5</v>
      </c>
      <c r="D49" s="40">
        <v>303407.18426037655</v>
      </c>
      <c r="E49" s="40">
        <v>291704.8773767571</v>
      </c>
      <c r="F49" s="40">
        <v>288966.5462593183</v>
      </c>
      <c r="G49" s="40">
        <v>262799.49583990459</v>
      </c>
      <c r="H49" s="40">
        <v>259197.26166424548</v>
      </c>
      <c r="I49" s="40">
        <v>231048.36789310849</v>
      </c>
      <c r="J49" s="40">
        <v>261731.04300616911</v>
      </c>
      <c r="K49" s="40">
        <v>245676.44490841471</v>
      </c>
      <c r="L49" s="40">
        <v>280473.96858981531</v>
      </c>
      <c r="M49" s="40">
        <v>277617.32906100468</v>
      </c>
      <c r="N49" s="40">
        <v>283922.4028154618</v>
      </c>
      <c r="O49" s="40">
        <v>321440.74723276659</v>
      </c>
      <c r="P49" s="40">
        <f t="shared" si="8"/>
        <v>3307985.6689073425</v>
      </c>
    </row>
    <row r="50" spans="1:16" x14ac:dyDescent="0.25">
      <c r="A50" s="21">
        <v>5</v>
      </c>
      <c r="B50" s="26" t="s">
        <v>11</v>
      </c>
      <c r="C50" s="23"/>
      <c r="D50" s="41">
        <f>SUM(D48:D49)</f>
        <v>2496098.8545500794</v>
      </c>
      <c r="E50" s="41">
        <f t="shared" ref="E50:O50" si="9">SUM(E48:E49)</f>
        <v>2523486.1127356035</v>
      </c>
      <c r="F50" s="41">
        <f t="shared" si="9"/>
        <v>2521244.2301704232</v>
      </c>
      <c r="G50" s="41">
        <f t="shared" si="9"/>
        <v>2377976.6947548799</v>
      </c>
      <c r="H50" s="41">
        <f t="shared" si="9"/>
        <v>2416288.8485431694</v>
      </c>
      <c r="I50" s="41">
        <f t="shared" si="9"/>
        <v>2065252.4312889748</v>
      </c>
      <c r="J50" s="41">
        <f t="shared" si="9"/>
        <v>2212045.7811051034</v>
      </c>
      <c r="K50" s="41">
        <f t="shared" si="9"/>
        <v>2112165.0579627682</v>
      </c>
      <c r="L50" s="41">
        <f t="shared" si="9"/>
        <v>2356235.4394357982</v>
      </c>
      <c r="M50" s="41">
        <f t="shared" si="9"/>
        <v>2387597.4290046738</v>
      </c>
      <c r="N50" s="41">
        <f t="shared" si="9"/>
        <v>2407714.9550183574</v>
      </c>
      <c r="O50" s="41">
        <f t="shared" si="9"/>
        <v>2625567.5457963198</v>
      </c>
      <c r="P50" s="41">
        <f t="shared" si="8"/>
        <v>28501673.38036615</v>
      </c>
    </row>
    <row r="51" spans="1:16" x14ac:dyDescent="0.25">
      <c r="A51" s="24"/>
      <c r="B51" s="27"/>
      <c r="C51" s="23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36"/>
      <c r="P51" s="36"/>
    </row>
    <row r="52" spans="1:16" x14ac:dyDescent="0.25">
      <c r="A52" s="21">
        <v>6</v>
      </c>
      <c r="B52" s="22" t="s">
        <v>33</v>
      </c>
      <c r="C52" s="25" t="s">
        <v>7</v>
      </c>
      <c r="D52" s="36">
        <v>45769.858663860417</v>
      </c>
      <c r="E52" s="36">
        <v>47164.386809428805</v>
      </c>
      <c r="F52" s="36">
        <v>55651.821588409213</v>
      </c>
      <c r="G52" s="36">
        <v>47592.512105908652</v>
      </c>
      <c r="H52" s="36">
        <v>52235.289484484325</v>
      </c>
      <c r="I52" s="36">
        <v>49820.067409495867</v>
      </c>
      <c r="J52" s="36">
        <v>54802.36900362977</v>
      </c>
      <c r="K52" s="36">
        <v>57235.233850454773</v>
      </c>
      <c r="L52" s="36">
        <v>55071.692619931593</v>
      </c>
      <c r="M52" s="36">
        <v>51518.651599804383</v>
      </c>
      <c r="N52" s="36">
        <v>53655.397629871106</v>
      </c>
      <c r="O52" s="36">
        <v>58390.970203698933</v>
      </c>
      <c r="P52" s="37">
        <f t="shared" ref="P52:P56" si="10">SUM(D52:O52)</f>
        <v>628908.25096897793</v>
      </c>
    </row>
    <row r="53" spans="1:16" x14ac:dyDescent="0.25">
      <c r="A53" s="21">
        <v>7</v>
      </c>
      <c r="B53" s="22" t="s">
        <v>34</v>
      </c>
      <c r="C53" s="25" t="s">
        <v>7</v>
      </c>
      <c r="D53" s="39">
        <v>635590.0863211453</v>
      </c>
      <c r="E53" s="39">
        <v>657226.76976371557</v>
      </c>
      <c r="F53" s="39">
        <v>641683.32521609275</v>
      </c>
      <c r="G53" s="39">
        <v>645276.36622585205</v>
      </c>
      <c r="H53" s="39">
        <v>642464.29497537378</v>
      </c>
      <c r="I53" s="39">
        <v>595249.42840387428</v>
      </c>
      <c r="J53" s="39">
        <v>650475.29211181169</v>
      </c>
      <c r="K53" s="39">
        <v>615715.83913738956</v>
      </c>
      <c r="L53" s="39">
        <v>698857.70621561469</v>
      </c>
      <c r="M53" s="39">
        <v>660106.55301930557</v>
      </c>
      <c r="N53" s="39">
        <v>662423.24852480832</v>
      </c>
      <c r="O53" s="39">
        <v>711558.35895064194</v>
      </c>
      <c r="P53" s="42">
        <f t="shared" si="10"/>
        <v>7816627.2688656254</v>
      </c>
    </row>
    <row r="54" spans="1:16" x14ac:dyDescent="0.25">
      <c r="A54" s="21">
        <v>8</v>
      </c>
      <c r="B54" s="22" t="s">
        <v>35</v>
      </c>
      <c r="C54" s="25" t="s">
        <v>7</v>
      </c>
      <c r="D54" s="39">
        <v>1421.0090824205738</v>
      </c>
      <c r="E54" s="39">
        <v>1230.3622463421132</v>
      </c>
      <c r="F54" s="39">
        <v>1517.3279518229497</v>
      </c>
      <c r="G54" s="39">
        <v>1094.6905992920961</v>
      </c>
      <c r="H54" s="39">
        <v>1274.4746299876676</v>
      </c>
      <c r="I54" s="39">
        <v>1227.127965157644</v>
      </c>
      <c r="J54" s="39">
        <v>1381.5581893538076</v>
      </c>
      <c r="K54" s="39">
        <v>1377.9039460980725</v>
      </c>
      <c r="L54" s="39">
        <v>1573.8350290943877</v>
      </c>
      <c r="M54" s="39">
        <v>1482.4698098982021</v>
      </c>
      <c r="N54" s="39">
        <v>1350.2747330203667</v>
      </c>
      <c r="O54" s="39">
        <v>1663.3369053686486</v>
      </c>
      <c r="P54" s="42">
        <f t="shared" si="10"/>
        <v>16594.371087856533</v>
      </c>
    </row>
    <row r="55" spans="1:16" x14ac:dyDescent="0.25">
      <c r="A55" s="21">
        <v>9</v>
      </c>
      <c r="B55" s="22" t="s">
        <v>36</v>
      </c>
      <c r="C55" s="25" t="s">
        <v>7</v>
      </c>
      <c r="D55" s="39">
        <v>111809.48475563037</v>
      </c>
      <c r="E55" s="39">
        <v>107525.0942869943</v>
      </c>
      <c r="F55" s="39">
        <v>99988.749372412058</v>
      </c>
      <c r="G55" s="39">
        <v>104135.81471807756</v>
      </c>
      <c r="H55" s="39">
        <v>114790.29941962904</v>
      </c>
      <c r="I55" s="39">
        <v>81778.032920124926</v>
      </c>
      <c r="J55" s="39">
        <v>105002.57346183814</v>
      </c>
      <c r="K55" s="39">
        <v>89354.910147316739</v>
      </c>
      <c r="L55" s="39">
        <v>100430.34049288055</v>
      </c>
      <c r="M55" s="39">
        <v>75392.980656630956</v>
      </c>
      <c r="N55" s="39">
        <v>65219.21873785551</v>
      </c>
      <c r="O55" s="39">
        <v>78835.436565513912</v>
      </c>
      <c r="P55" s="42">
        <f t="shared" si="10"/>
        <v>1134262.935534904</v>
      </c>
    </row>
    <row r="56" spans="1:16" x14ac:dyDescent="0.25">
      <c r="A56" s="21">
        <v>10</v>
      </c>
      <c r="B56" s="22" t="s">
        <v>12</v>
      </c>
      <c r="C56" s="25"/>
      <c r="D56" s="43">
        <f>SUM(D52:D55)</f>
        <v>794590.43882305676</v>
      </c>
      <c r="E56" s="43">
        <f t="shared" ref="E56:O56" si="11">SUM(E52:E55)</f>
        <v>813146.6131064808</v>
      </c>
      <c r="F56" s="43">
        <f t="shared" si="11"/>
        <v>798841.224128737</v>
      </c>
      <c r="G56" s="43">
        <f t="shared" si="11"/>
        <v>798099.38364913024</v>
      </c>
      <c r="H56" s="43">
        <f t="shared" si="11"/>
        <v>810764.35850947478</v>
      </c>
      <c r="I56" s="43">
        <f t="shared" si="11"/>
        <v>728074.65669865266</v>
      </c>
      <c r="J56" s="43">
        <f t="shared" si="11"/>
        <v>811661.79276663344</v>
      </c>
      <c r="K56" s="43">
        <f t="shared" si="11"/>
        <v>763683.88708125916</v>
      </c>
      <c r="L56" s="43">
        <f t="shared" si="11"/>
        <v>855933.57435752125</v>
      </c>
      <c r="M56" s="43">
        <f t="shared" si="11"/>
        <v>788500.6550856391</v>
      </c>
      <c r="N56" s="43">
        <f t="shared" si="11"/>
        <v>782648.13962555537</v>
      </c>
      <c r="O56" s="43">
        <f t="shared" si="11"/>
        <v>850448.10262522346</v>
      </c>
      <c r="P56" s="43">
        <f t="shared" si="10"/>
        <v>9596392.8264573645</v>
      </c>
    </row>
    <row r="57" spans="1:16" x14ac:dyDescent="0.25">
      <c r="A57" s="21"/>
      <c r="B57" s="22"/>
      <c r="C57" s="25"/>
      <c r="D57" s="44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7"/>
    </row>
    <row r="58" spans="1:16" x14ac:dyDescent="0.25">
      <c r="A58" s="21">
        <v>11</v>
      </c>
      <c r="B58" s="26" t="s">
        <v>37</v>
      </c>
      <c r="C58" s="25" t="s">
        <v>8</v>
      </c>
      <c r="D58" s="36">
        <v>1657417.5319816177</v>
      </c>
      <c r="E58" s="36">
        <v>2414382.3943766383</v>
      </c>
      <c r="F58" s="36">
        <v>2074449.3235579133</v>
      </c>
      <c r="G58" s="36">
        <v>2079457.3390092764</v>
      </c>
      <c r="H58" s="36">
        <v>2256164.5820934251</v>
      </c>
      <c r="I58" s="36">
        <v>2212692.6405476071</v>
      </c>
      <c r="J58" s="36">
        <v>2044948.7109609528</v>
      </c>
      <c r="K58" s="36">
        <v>1967673.5335832529</v>
      </c>
      <c r="L58" s="36">
        <v>2193532.8102830122</v>
      </c>
      <c r="M58" s="36">
        <v>1999586.6855912062</v>
      </c>
      <c r="N58" s="36">
        <v>2099720.9425004446</v>
      </c>
      <c r="O58" s="36">
        <v>2281218.0632360331</v>
      </c>
      <c r="P58" s="37">
        <f>SUM(D58:O58)</f>
        <v>25281244.55772138</v>
      </c>
    </row>
    <row r="59" spans="1:16" x14ac:dyDescent="0.25">
      <c r="A59" s="24"/>
      <c r="B59" s="22"/>
      <c r="C59" s="23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36"/>
    </row>
    <row r="60" spans="1:16" x14ac:dyDescent="0.25">
      <c r="A60" s="21">
        <v>12</v>
      </c>
      <c r="B60" s="28" t="s">
        <v>9</v>
      </c>
      <c r="C60" s="25" t="s">
        <v>5</v>
      </c>
      <c r="D60" s="36">
        <v>56860.557112218798</v>
      </c>
      <c r="E60" s="36">
        <v>54725.451773794593</v>
      </c>
      <c r="F60" s="36">
        <v>50987.599383586072</v>
      </c>
      <c r="G60" s="36">
        <v>51663.82217207284</v>
      </c>
      <c r="H60" s="36">
        <v>60525.970355066245</v>
      </c>
      <c r="I60" s="36">
        <v>63747.442512185968</v>
      </c>
      <c r="J60" s="36">
        <v>65644.683510069677</v>
      </c>
      <c r="K60" s="36">
        <v>64998.133041035158</v>
      </c>
      <c r="L60" s="36">
        <v>72852.929785025699</v>
      </c>
      <c r="M60" s="36">
        <v>70409.928229567886</v>
      </c>
      <c r="N60" s="36">
        <v>64536.227472022176</v>
      </c>
      <c r="O60" s="36">
        <v>66633.018600724405</v>
      </c>
      <c r="P60" s="37">
        <f>SUM(D60:O60)</f>
        <v>743585.76394736953</v>
      </c>
    </row>
    <row r="61" spans="1:16" x14ac:dyDescent="0.25">
      <c r="A61" s="21"/>
      <c r="B61" s="22"/>
      <c r="C61" s="23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36"/>
      <c r="P61" s="36"/>
    </row>
    <row r="62" spans="1:16" x14ac:dyDescent="0.25">
      <c r="A62" s="21">
        <v>13</v>
      </c>
      <c r="B62" s="29" t="s">
        <v>38</v>
      </c>
      <c r="C62" s="30"/>
      <c r="D62" s="45">
        <f>D60+D58+D56+D50+D46+D44</f>
        <v>11601762.243514631</v>
      </c>
      <c r="E62" s="45">
        <f t="shared" ref="E62:O62" si="12">E60+E58+E56+E50+E46+E44</f>
        <v>12173711.990486866</v>
      </c>
      <c r="F62" s="45">
        <f t="shared" si="12"/>
        <v>12533677.498553496</v>
      </c>
      <c r="G62" s="45">
        <f t="shared" si="12"/>
        <v>13685274.462606261</v>
      </c>
      <c r="H62" s="45">
        <f t="shared" si="12"/>
        <v>13353862.752138726</v>
      </c>
      <c r="I62" s="45">
        <f t="shared" si="12"/>
        <v>11257084.792981554</v>
      </c>
      <c r="J62" s="45">
        <f t="shared" si="12"/>
        <v>10709246.71711145</v>
      </c>
      <c r="K62" s="45">
        <f t="shared" si="12"/>
        <v>9863476.6482467707</v>
      </c>
      <c r="L62" s="45">
        <f t="shared" si="12"/>
        <v>10710249.777121492</v>
      </c>
      <c r="M62" s="45">
        <f t="shared" si="12"/>
        <v>10842335.561429672</v>
      </c>
      <c r="N62" s="45">
        <f t="shared" si="12"/>
        <v>10932193.78448493</v>
      </c>
      <c r="O62" s="45">
        <f t="shared" si="12"/>
        <v>11867937.835136689</v>
      </c>
      <c r="P62" s="45">
        <f>SUM(D62:O62)</f>
        <v>139530814.06381252</v>
      </c>
    </row>
    <row r="63" spans="1:16" x14ac:dyDescent="0.25">
      <c r="A63" s="24"/>
      <c r="B63" s="30"/>
      <c r="C63" s="30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37"/>
      <c r="P63" s="37"/>
    </row>
    <row r="64" spans="1:16" x14ac:dyDescent="0.25">
      <c r="A64" s="21">
        <v>14</v>
      </c>
      <c r="B64" s="28" t="s">
        <v>39</v>
      </c>
      <c r="C64" s="25" t="s">
        <v>7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7">
        <f t="shared" ref="P64:P66" si="13">SUM(D64:O64)</f>
        <v>0</v>
      </c>
    </row>
    <row r="65" spans="1:16" x14ac:dyDescent="0.25">
      <c r="A65" s="21">
        <v>15</v>
      </c>
      <c r="B65" s="28" t="s">
        <v>40</v>
      </c>
      <c r="C65" s="25" t="s">
        <v>8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7">
        <f t="shared" si="13"/>
        <v>0</v>
      </c>
    </row>
    <row r="66" spans="1:16" x14ac:dyDescent="0.25">
      <c r="A66" s="21">
        <v>16</v>
      </c>
      <c r="B66" s="29" t="s">
        <v>41</v>
      </c>
      <c r="C66" s="31"/>
      <c r="D66" s="46">
        <f t="shared" ref="D66:O66" si="14">SUM(D64:D65)</f>
        <v>0</v>
      </c>
      <c r="E66" s="46">
        <f t="shared" si="14"/>
        <v>0</v>
      </c>
      <c r="F66" s="46">
        <f t="shared" si="14"/>
        <v>0</v>
      </c>
      <c r="G66" s="46">
        <f t="shared" si="14"/>
        <v>0</v>
      </c>
      <c r="H66" s="46">
        <f t="shared" si="14"/>
        <v>0</v>
      </c>
      <c r="I66" s="46">
        <f t="shared" si="14"/>
        <v>0</v>
      </c>
      <c r="J66" s="46">
        <f t="shared" si="14"/>
        <v>0</v>
      </c>
      <c r="K66" s="46">
        <f t="shared" si="14"/>
        <v>0</v>
      </c>
      <c r="L66" s="46">
        <f t="shared" si="14"/>
        <v>0</v>
      </c>
      <c r="M66" s="46">
        <f t="shared" si="14"/>
        <v>0</v>
      </c>
      <c r="N66" s="46">
        <f t="shared" si="14"/>
        <v>0</v>
      </c>
      <c r="O66" s="37">
        <f t="shared" si="14"/>
        <v>0</v>
      </c>
      <c r="P66" s="37">
        <f t="shared" si="13"/>
        <v>0</v>
      </c>
    </row>
    <row r="67" spans="1:16" x14ac:dyDescent="0.25">
      <c r="A67" s="21"/>
      <c r="B67" s="22"/>
      <c r="C67" s="32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6"/>
      <c r="P67" s="36"/>
    </row>
    <row r="68" spans="1:16" ht="15.75" thickBot="1" x14ac:dyDescent="0.3">
      <c r="A68" s="21">
        <v>17</v>
      </c>
      <c r="B68" s="33" t="s">
        <v>42</v>
      </c>
      <c r="C68" s="31"/>
      <c r="D68" s="48">
        <f t="shared" ref="D68:O68" si="15">+D66+D62</f>
        <v>11601762.243514631</v>
      </c>
      <c r="E68" s="48">
        <f t="shared" si="15"/>
        <v>12173711.990486866</v>
      </c>
      <c r="F68" s="48">
        <f t="shared" si="15"/>
        <v>12533677.498553496</v>
      </c>
      <c r="G68" s="48">
        <f t="shared" si="15"/>
        <v>13685274.462606261</v>
      </c>
      <c r="H68" s="48">
        <f t="shared" si="15"/>
        <v>13353862.752138726</v>
      </c>
      <c r="I68" s="48">
        <f t="shared" si="15"/>
        <v>11257084.792981554</v>
      </c>
      <c r="J68" s="48">
        <f t="shared" si="15"/>
        <v>10709246.71711145</v>
      </c>
      <c r="K68" s="48">
        <f t="shared" si="15"/>
        <v>9863476.6482467707</v>
      </c>
      <c r="L68" s="48">
        <f t="shared" si="15"/>
        <v>10710249.777121492</v>
      </c>
      <c r="M68" s="48">
        <f t="shared" si="15"/>
        <v>10842335.561429672</v>
      </c>
      <c r="N68" s="48">
        <f t="shared" si="15"/>
        <v>10932193.78448493</v>
      </c>
      <c r="O68" s="48">
        <f t="shared" si="15"/>
        <v>11867937.835136689</v>
      </c>
      <c r="P68" s="48">
        <f>SUM(D68:O68)</f>
        <v>139530814.06381252</v>
      </c>
    </row>
    <row r="69" spans="1:16" ht="15.75" thickTop="1" x14ac:dyDescent="0.25"/>
  </sheetData>
  <mergeCells count="8">
    <mergeCell ref="B1:O1"/>
    <mergeCell ref="B36:O36"/>
    <mergeCell ref="B39:O39"/>
    <mergeCell ref="B2:O2"/>
    <mergeCell ref="B3:O3"/>
    <mergeCell ref="B4:O4"/>
    <mergeCell ref="B37:O37"/>
    <mergeCell ref="B38:O38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69"/>
  <sheetViews>
    <sheetView tabSelected="1" topLeftCell="A22" zoomScale="80" zoomScaleNormal="80" workbookViewId="0">
      <selection activeCell="A35" sqref="A35:XFD35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86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17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</row>
    <row r="6" spans="1:17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8"/>
      <c r="Q6" s="8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18</v>
      </c>
      <c r="E7" s="19" t="s">
        <v>19</v>
      </c>
      <c r="F7" s="19" t="s">
        <v>20</v>
      </c>
      <c r="G7" s="19" t="s">
        <v>21</v>
      </c>
      <c r="H7" s="19" t="s">
        <v>22</v>
      </c>
      <c r="I7" s="19" t="s">
        <v>23</v>
      </c>
      <c r="J7" s="19" t="s">
        <v>24</v>
      </c>
      <c r="K7" s="19" t="s">
        <v>25</v>
      </c>
      <c r="L7" s="19" t="s">
        <v>26</v>
      </c>
      <c r="M7" s="19" t="s">
        <v>27</v>
      </c>
      <c r="N7" s="19" t="s">
        <v>28</v>
      </c>
      <c r="O7" s="19" t="s">
        <v>29</v>
      </c>
      <c r="P7" s="20" t="s">
        <v>10</v>
      </c>
      <c r="Q7" s="8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3165117.990122566</v>
      </c>
      <c r="E9" s="36">
        <v>2252205.6344280853</v>
      </c>
      <c r="F9" s="36">
        <v>3772685.3170795892</v>
      </c>
      <c r="G9" s="36">
        <v>4044549.9228943191</v>
      </c>
      <c r="H9" s="36">
        <v>3651985.3113821931</v>
      </c>
      <c r="I9" s="36">
        <v>2245790.9570980645</v>
      </c>
      <c r="J9" s="36">
        <v>2392179.6418998092</v>
      </c>
      <c r="K9" s="36">
        <v>2310693.7308627754</v>
      </c>
      <c r="L9" s="36">
        <v>2973053.0422195541</v>
      </c>
      <c r="M9" s="36">
        <v>3097099.9760315558</v>
      </c>
      <c r="N9" s="36">
        <v>3207088.5685710344</v>
      </c>
      <c r="O9" s="36">
        <v>3496303.1404900514</v>
      </c>
      <c r="P9" s="37">
        <f>SUM(D9:O9)</f>
        <v>36608753.233079597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30</v>
      </c>
      <c r="C11" s="23" t="s">
        <v>5</v>
      </c>
      <c r="D11" s="36">
        <v>121984.93130399956</v>
      </c>
      <c r="E11" s="36">
        <v>101476.02264556623</v>
      </c>
      <c r="F11" s="36">
        <v>109615.78400965754</v>
      </c>
      <c r="G11" s="36">
        <v>111429.70320936786</v>
      </c>
      <c r="H11" s="36">
        <v>109988.20427412215</v>
      </c>
      <c r="I11" s="36">
        <v>93552.832435990931</v>
      </c>
      <c r="J11" s="36">
        <v>102898.50120771618</v>
      </c>
      <c r="K11" s="36">
        <v>104402.32785369067</v>
      </c>
      <c r="L11" s="36">
        <v>127428.086535476</v>
      </c>
      <c r="M11" s="36">
        <v>128975.47490427803</v>
      </c>
      <c r="N11" s="36">
        <v>131429.97419896419</v>
      </c>
      <c r="O11" s="36">
        <v>141089.1404509588</v>
      </c>
      <c r="P11" s="37">
        <f>SUM(D11:O11)</f>
        <v>1384270.9830297884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31</v>
      </c>
      <c r="C13" s="25" t="s">
        <v>5</v>
      </c>
      <c r="D13" s="39">
        <v>1705359.8612324111</v>
      </c>
      <c r="E13" s="39">
        <v>1521679.5707583316</v>
      </c>
      <c r="F13" s="39">
        <v>1299554.4664048529</v>
      </c>
      <c r="G13" s="39">
        <v>1300262.4231346569</v>
      </c>
      <c r="H13" s="39">
        <v>1364807.6965644988</v>
      </c>
      <c r="I13" s="39">
        <v>1255136.1069295977</v>
      </c>
      <c r="J13" s="39">
        <v>1446855.4073221663</v>
      </c>
      <c r="K13" s="39">
        <v>1390145.1873028805</v>
      </c>
      <c r="L13" s="39">
        <v>1659855.2786356728</v>
      </c>
      <c r="M13" s="39">
        <v>1672410.0684756874</v>
      </c>
      <c r="N13" s="39">
        <v>1689382.7977356464</v>
      </c>
      <c r="O13" s="39">
        <v>1842115.5728382894</v>
      </c>
      <c r="P13" s="37">
        <f t="shared" ref="P13:P15" si="0">SUM(D13:O13)</f>
        <v>18147564.437334694</v>
      </c>
    </row>
    <row r="14" spans="1:17" x14ac:dyDescent="0.25">
      <c r="A14" s="21">
        <v>4</v>
      </c>
      <c r="B14" s="22" t="s">
        <v>32</v>
      </c>
      <c r="C14" s="25" t="s">
        <v>5</v>
      </c>
      <c r="D14" s="40">
        <v>244723.98859493106</v>
      </c>
      <c r="E14" s="40">
        <v>231983.7916200957</v>
      </c>
      <c r="F14" s="40">
        <v>229364.92292675818</v>
      </c>
      <c r="G14" s="40">
        <v>207779.23716569846</v>
      </c>
      <c r="H14" s="40">
        <v>211618.34129582462</v>
      </c>
      <c r="I14" s="40">
        <v>192841.89398644</v>
      </c>
      <c r="J14" s="40">
        <v>221885.81011866851</v>
      </c>
      <c r="K14" s="40">
        <v>207550.09597211826</v>
      </c>
      <c r="L14" s="40">
        <v>235184.90964699365</v>
      </c>
      <c r="M14" s="40">
        <v>232078.79641700009</v>
      </c>
      <c r="N14" s="40">
        <v>238766.00640711698</v>
      </c>
      <c r="O14" s="40">
        <v>285723.82588124881</v>
      </c>
      <c r="P14" s="40">
        <f t="shared" si="0"/>
        <v>2739501.6200328944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1950083.8498273422</v>
      </c>
      <c r="E15" s="41">
        <f t="shared" ref="E15:O15" si="1">SUM(E13:E14)</f>
        <v>1753663.3623784273</v>
      </c>
      <c r="F15" s="41">
        <f t="shared" si="1"/>
        <v>1528919.3893316111</v>
      </c>
      <c r="G15" s="41">
        <f t="shared" si="1"/>
        <v>1508041.6603003554</v>
      </c>
      <c r="H15" s="41">
        <f t="shared" si="1"/>
        <v>1576426.0378603234</v>
      </c>
      <c r="I15" s="41">
        <f t="shared" si="1"/>
        <v>1447978.0009160377</v>
      </c>
      <c r="J15" s="41">
        <f t="shared" si="1"/>
        <v>1668741.2174408347</v>
      </c>
      <c r="K15" s="41">
        <f t="shared" si="1"/>
        <v>1597695.2832749987</v>
      </c>
      <c r="L15" s="41">
        <f t="shared" si="1"/>
        <v>1895040.1882826665</v>
      </c>
      <c r="M15" s="41">
        <f t="shared" si="1"/>
        <v>1904488.8648926874</v>
      </c>
      <c r="N15" s="41">
        <f t="shared" si="1"/>
        <v>1928148.8041427634</v>
      </c>
      <c r="O15" s="41">
        <f t="shared" si="1"/>
        <v>2127839.398719538</v>
      </c>
      <c r="P15" s="41">
        <f t="shared" si="0"/>
        <v>20887066.057367582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33</v>
      </c>
      <c r="C17" s="25" t="s">
        <v>7</v>
      </c>
      <c r="D17" s="36">
        <v>33012.584043050796</v>
      </c>
      <c r="E17" s="36">
        <v>33733.927129997486</v>
      </c>
      <c r="F17" s="36">
        <v>35277.783721935943</v>
      </c>
      <c r="G17" s="36">
        <v>32766.700762313376</v>
      </c>
      <c r="H17" s="36">
        <v>35478.028437623943</v>
      </c>
      <c r="I17" s="36">
        <v>35685.0162463823</v>
      </c>
      <c r="J17" s="36">
        <v>39692.762914555511</v>
      </c>
      <c r="K17" s="36">
        <v>43018.378252648035</v>
      </c>
      <c r="L17" s="36">
        <v>40360.941549438721</v>
      </c>
      <c r="M17" s="36">
        <v>39356.346790281495</v>
      </c>
      <c r="N17" s="36">
        <v>40205.128082899966</v>
      </c>
      <c r="O17" s="36">
        <v>42983.882825794019</v>
      </c>
      <c r="P17" s="37">
        <f t="shared" ref="P17:P21" si="2">SUM(D17:O17)</f>
        <v>451571.48075692158</v>
      </c>
    </row>
    <row r="18" spans="1:16" x14ac:dyDescent="0.25">
      <c r="A18" s="21">
        <v>7</v>
      </c>
      <c r="B18" s="22" t="s">
        <v>34</v>
      </c>
      <c r="C18" s="25" t="s">
        <v>7</v>
      </c>
      <c r="D18" s="39">
        <v>540410.15712076589</v>
      </c>
      <c r="E18" s="39">
        <v>547721.35597270483</v>
      </c>
      <c r="F18" s="39">
        <v>537421.64713257016</v>
      </c>
      <c r="G18" s="39">
        <v>529741.0962787905</v>
      </c>
      <c r="H18" s="39">
        <v>542024.95103576255</v>
      </c>
      <c r="I18" s="39">
        <v>488741.98957008071</v>
      </c>
      <c r="J18" s="39">
        <v>542853.33425000519</v>
      </c>
      <c r="K18" s="39">
        <v>509584.1396807679</v>
      </c>
      <c r="L18" s="39">
        <v>566107.77289315639</v>
      </c>
      <c r="M18" s="39">
        <v>544602.06154953409</v>
      </c>
      <c r="N18" s="39">
        <v>564706.18062550202</v>
      </c>
      <c r="O18" s="39">
        <v>594457.57680565922</v>
      </c>
      <c r="P18" s="42">
        <f t="shared" si="2"/>
        <v>6508372.2629153002</v>
      </c>
    </row>
    <row r="19" spans="1:16" x14ac:dyDescent="0.25">
      <c r="A19" s="21">
        <v>8</v>
      </c>
      <c r="B19" s="22" t="s">
        <v>35</v>
      </c>
      <c r="C19" s="25" t="s">
        <v>7</v>
      </c>
      <c r="D19" s="39">
        <v>1068.1854424627397</v>
      </c>
      <c r="E19" s="39">
        <v>1189.3560150177157</v>
      </c>
      <c r="F19" s="39">
        <v>1378.0728431851005</v>
      </c>
      <c r="G19" s="39">
        <v>892.77497950896588</v>
      </c>
      <c r="H19" s="39">
        <v>903.68787775196733</v>
      </c>
      <c r="I19" s="39">
        <v>1089.3676017251348</v>
      </c>
      <c r="J19" s="39">
        <v>1163.6058705009732</v>
      </c>
      <c r="K19" s="39">
        <v>1172.5155963709167</v>
      </c>
      <c r="L19" s="39">
        <v>1383.2645283834604</v>
      </c>
      <c r="M19" s="39">
        <v>1194.7934022825166</v>
      </c>
      <c r="N19" s="39">
        <v>1161.3684545699925</v>
      </c>
      <c r="O19" s="39">
        <v>1389.6306472737101</v>
      </c>
      <c r="P19" s="42">
        <f t="shared" si="2"/>
        <v>13986.623259033193</v>
      </c>
    </row>
    <row r="20" spans="1:16" x14ac:dyDescent="0.25">
      <c r="A20" s="21">
        <v>9</v>
      </c>
      <c r="B20" s="22" t="s">
        <v>36</v>
      </c>
      <c r="C20" s="25" t="s">
        <v>7</v>
      </c>
      <c r="D20" s="39">
        <v>90053.530798286229</v>
      </c>
      <c r="E20" s="39">
        <v>89118.195398238313</v>
      </c>
      <c r="F20" s="39">
        <v>81149.331162845032</v>
      </c>
      <c r="G20" s="39">
        <v>83825.022537443598</v>
      </c>
      <c r="H20" s="39">
        <v>91877.725186246127</v>
      </c>
      <c r="I20" s="39">
        <v>71643.512038474073</v>
      </c>
      <c r="J20" s="39">
        <v>88352.006687863905</v>
      </c>
      <c r="K20" s="39">
        <v>74098.309480797674</v>
      </c>
      <c r="L20" s="39">
        <v>77925.745014370696</v>
      </c>
      <c r="M20" s="39">
        <v>57828.594957138608</v>
      </c>
      <c r="N20" s="39">
        <v>52919.290763201308</v>
      </c>
      <c r="O20" s="39">
        <v>63353.760806242317</v>
      </c>
      <c r="P20" s="42">
        <f t="shared" si="2"/>
        <v>922145.0248311481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664544.45740456565</v>
      </c>
      <c r="E21" s="43">
        <f t="shared" ref="E21:O21" si="3">SUM(E17:E20)</f>
        <v>671762.83451595833</v>
      </c>
      <c r="F21" s="43">
        <f t="shared" si="3"/>
        <v>655226.83486053615</v>
      </c>
      <c r="G21" s="43">
        <f t="shared" si="3"/>
        <v>647225.59455805633</v>
      </c>
      <c r="H21" s="43">
        <f t="shared" si="3"/>
        <v>670284.39253738464</v>
      </c>
      <c r="I21" s="43">
        <f t="shared" si="3"/>
        <v>597159.88545666228</v>
      </c>
      <c r="J21" s="43">
        <f t="shared" si="3"/>
        <v>672061.70972292568</v>
      </c>
      <c r="K21" s="43">
        <f t="shared" si="3"/>
        <v>627873.34301058459</v>
      </c>
      <c r="L21" s="43">
        <f t="shared" si="3"/>
        <v>685777.72398534929</v>
      </c>
      <c r="M21" s="43">
        <f t="shared" si="3"/>
        <v>642981.79669923673</v>
      </c>
      <c r="N21" s="43">
        <f t="shared" si="3"/>
        <v>658991.96792617324</v>
      </c>
      <c r="O21" s="43">
        <f t="shared" si="3"/>
        <v>702184.85108496936</v>
      </c>
      <c r="P21" s="43">
        <f t="shared" si="2"/>
        <v>7896075.3917624038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37</v>
      </c>
      <c r="C23" s="25" t="s">
        <v>8</v>
      </c>
      <c r="D23" s="36">
        <v>1181051.604119309</v>
      </c>
      <c r="E23" s="36">
        <v>1757304.7411223135</v>
      </c>
      <c r="F23" s="36">
        <v>1496260.713673664</v>
      </c>
      <c r="G23" s="36">
        <v>1718525.3757008349</v>
      </c>
      <c r="H23" s="36">
        <v>1638579.6840249049</v>
      </c>
      <c r="I23" s="36">
        <v>1652760.1528683389</v>
      </c>
      <c r="J23" s="36">
        <v>1571385.8993802143</v>
      </c>
      <c r="K23" s="36">
        <v>1501356.6164794636</v>
      </c>
      <c r="L23" s="36">
        <v>1749782.2713465276</v>
      </c>
      <c r="M23" s="36">
        <v>1515187.8999528757</v>
      </c>
      <c r="N23" s="36">
        <v>1646505.0932644687</v>
      </c>
      <c r="O23" s="36">
        <v>1713371.5977494712</v>
      </c>
      <c r="P23" s="37">
        <f>SUM(D23:O23)</f>
        <v>19142071.649682388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61891.010599936795</v>
      </c>
      <c r="E25" s="36">
        <v>59567.012492222202</v>
      </c>
      <c r="F25" s="36">
        <v>55498.472301051937</v>
      </c>
      <c r="G25" s="36">
        <v>56211.05572623272</v>
      </c>
      <c r="H25" s="36">
        <v>65841.244430616265</v>
      </c>
      <c r="I25" s="36">
        <v>69362.949129441826</v>
      </c>
      <c r="J25" s="36">
        <v>71441.649979380236</v>
      </c>
      <c r="K25" s="36">
        <v>70680.329603090329</v>
      </c>
      <c r="L25" s="36">
        <v>79180.024151402962</v>
      </c>
      <c r="M25" s="36">
        <v>76639.094580037767</v>
      </c>
      <c r="N25" s="36">
        <v>70002.359127971926</v>
      </c>
      <c r="O25" s="36">
        <v>72389.300974652448</v>
      </c>
      <c r="P25" s="37">
        <f>SUM(D25:O25)</f>
        <v>808704.50309603743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38</v>
      </c>
      <c r="C27" s="30"/>
      <c r="D27" s="45">
        <f>D25+D23+D21+D15+D11+D9</f>
        <v>7144673.8433777187</v>
      </c>
      <c r="E27" s="45">
        <f t="shared" ref="E27:O27" si="4">E25+E23+E21+E15+E11+E9</f>
        <v>6595979.6075825728</v>
      </c>
      <c r="F27" s="45">
        <f t="shared" si="4"/>
        <v>7618206.5112561099</v>
      </c>
      <c r="G27" s="45">
        <f t="shared" si="4"/>
        <v>8085983.312389167</v>
      </c>
      <c r="H27" s="45">
        <f t="shared" si="4"/>
        <v>7713104.874509545</v>
      </c>
      <c r="I27" s="45">
        <f t="shared" si="4"/>
        <v>6106604.7779045366</v>
      </c>
      <c r="J27" s="45">
        <f t="shared" si="4"/>
        <v>6478708.6196308807</v>
      </c>
      <c r="K27" s="45">
        <f t="shared" si="4"/>
        <v>6212701.6310846042</v>
      </c>
      <c r="L27" s="45">
        <f t="shared" si="4"/>
        <v>7510261.3365209764</v>
      </c>
      <c r="M27" s="45">
        <f t="shared" si="4"/>
        <v>7365373.1070606718</v>
      </c>
      <c r="N27" s="45">
        <f t="shared" si="4"/>
        <v>7642166.767231375</v>
      </c>
      <c r="O27" s="45">
        <f t="shared" si="4"/>
        <v>8253177.4294696413</v>
      </c>
      <c r="P27" s="45">
        <f>SUM(D27:O27)</f>
        <v>86726941.818017796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39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5">SUM(D29:O29)</f>
        <v>0</v>
      </c>
    </row>
    <row r="30" spans="1:16" x14ac:dyDescent="0.25">
      <c r="A30" s="21">
        <v>15</v>
      </c>
      <c r="B30" s="28" t="s">
        <v>40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5"/>
        <v>0</v>
      </c>
    </row>
    <row r="31" spans="1:16" x14ac:dyDescent="0.25">
      <c r="A31" s="21">
        <v>16</v>
      </c>
      <c r="B31" s="29" t="s">
        <v>41</v>
      </c>
      <c r="C31" s="31"/>
      <c r="D31" s="46">
        <f t="shared" ref="D31:O31" si="6">SUM(D29:D30)</f>
        <v>0</v>
      </c>
      <c r="E31" s="46">
        <f t="shared" si="6"/>
        <v>0</v>
      </c>
      <c r="F31" s="46">
        <f t="shared" si="6"/>
        <v>0</v>
      </c>
      <c r="G31" s="46">
        <f t="shared" si="6"/>
        <v>0</v>
      </c>
      <c r="H31" s="46">
        <f t="shared" si="6"/>
        <v>0</v>
      </c>
      <c r="I31" s="46">
        <f t="shared" si="6"/>
        <v>0</v>
      </c>
      <c r="J31" s="46">
        <f t="shared" si="6"/>
        <v>0</v>
      </c>
      <c r="K31" s="46">
        <f t="shared" si="6"/>
        <v>0</v>
      </c>
      <c r="L31" s="46">
        <f t="shared" si="6"/>
        <v>0</v>
      </c>
      <c r="M31" s="46">
        <f t="shared" si="6"/>
        <v>0</v>
      </c>
      <c r="N31" s="46">
        <f t="shared" si="6"/>
        <v>0</v>
      </c>
      <c r="O31" s="37">
        <f t="shared" si="6"/>
        <v>0</v>
      </c>
      <c r="P31" s="37">
        <f t="shared" si="5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42</v>
      </c>
      <c r="C33" s="31"/>
      <c r="D33" s="48">
        <f t="shared" ref="D33:O33" si="7">+D31+D27</f>
        <v>7144673.8433777187</v>
      </c>
      <c r="E33" s="48">
        <f t="shared" si="7"/>
        <v>6595979.6075825728</v>
      </c>
      <c r="F33" s="48">
        <f t="shared" si="7"/>
        <v>7618206.5112561099</v>
      </c>
      <c r="G33" s="48">
        <f t="shared" si="7"/>
        <v>8085983.312389167</v>
      </c>
      <c r="H33" s="48">
        <f t="shared" si="7"/>
        <v>7713104.874509545</v>
      </c>
      <c r="I33" s="48">
        <f t="shared" si="7"/>
        <v>6106604.7779045366</v>
      </c>
      <c r="J33" s="48">
        <f t="shared" si="7"/>
        <v>6478708.6196308807</v>
      </c>
      <c r="K33" s="48">
        <f t="shared" si="7"/>
        <v>6212701.6310846042</v>
      </c>
      <c r="L33" s="48">
        <f t="shared" si="7"/>
        <v>7510261.3365209764</v>
      </c>
      <c r="M33" s="48">
        <f t="shared" si="7"/>
        <v>7365373.1070606718</v>
      </c>
      <c r="N33" s="48">
        <f t="shared" si="7"/>
        <v>7642166.767231375</v>
      </c>
      <c r="O33" s="48">
        <f t="shared" si="7"/>
        <v>8253177.4294696413</v>
      </c>
      <c r="P33" s="48">
        <f>SUM(D33:O33)</f>
        <v>86726941.818017796</v>
      </c>
    </row>
    <row r="34" spans="1:16" ht="15.75" thickTop="1" x14ac:dyDescent="0.25"/>
    <row r="36" spans="1:16" x14ac:dyDescent="0.25">
      <c r="A36" s="10"/>
      <c r="B36" s="54" t="s">
        <v>13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11"/>
    </row>
    <row r="37" spans="1:16" x14ac:dyDescent="0.25">
      <c r="A37" s="10"/>
      <c r="B37" s="54" t="s">
        <v>14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87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3" t="s">
        <v>6</v>
      </c>
    </row>
    <row r="39" spans="1:16" x14ac:dyDescent="0.25">
      <c r="A39" s="10"/>
      <c r="B39" s="55" t="s">
        <v>17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8" t="s">
        <v>6</v>
      </c>
    </row>
    <row r="40" spans="1:16" x14ac:dyDescent="0.25">
      <c r="A40" s="10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8"/>
    </row>
    <row r="41" spans="1:16" x14ac:dyDescent="0.25">
      <c r="A41" s="10"/>
      <c r="B41" s="17"/>
      <c r="C41" s="17"/>
      <c r="D41" s="14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8"/>
    </row>
    <row r="42" spans="1:16" x14ac:dyDescent="0.25">
      <c r="A42" s="15" t="s">
        <v>0</v>
      </c>
      <c r="B42" s="17" t="s">
        <v>1</v>
      </c>
      <c r="C42" s="34" t="s">
        <v>2</v>
      </c>
      <c r="D42" s="19" t="s">
        <v>18</v>
      </c>
      <c r="E42" s="19" t="s">
        <v>19</v>
      </c>
      <c r="F42" s="19" t="s">
        <v>20</v>
      </c>
      <c r="G42" s="19" t="s">
        <v>21</v>
      </c>
      <c r="H42" s="19" t="s">
        <v>22</v>
      </c>
      <c r="I42" s="19" t="s">
        <v>23</v>
      </c>
      <c r="J42" s="19" t="s">
        <v>24</v>
      </c>
      <c r="K42" s="19" t="s">
        <v>25</v>
      </c>
      <c r="L42" s="19" t="s">
        <v>26</v>
      </c>
      <c r="M42" s="19" t="s">
        <v>27</v>
      </c>
      <c r="N42" s="19" t="s">
        <v>28</v>
      </c>
      <c r="O42" s="19" t="s">
        <v>29</v>
      </c>
      <c r="P42" s="20" t="s">
        <v>10</v>
      </c>
    </row>
    <row r="43" spans="1:16" x14ac:dyDescent="0.25">
      <c r="A43" s="10"/>
      <c r="B43" s="17"/>
      <c r="C43" s="34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20"/>
      <c r="P43" s="20"/>
    </row>
    <row r="44" spans="1:16" x14ac:dyDescent="0.25">
      <c r="A44" s="21" t="s">
        <v>3</v>
      </c>
      <c r="B44" s="22" t="s">
        <v>4</v>
      </c>
      <c r="C44" s="23" t="s">
        <v>5</v>
      </c>
      <c r="D44" s="36">
        <v>2907859.6471400829</v>
      </c>
      <c r="E44" s="36">
        <v>2069148.1018568128</v>
      </c>
      <c r="F44" s="36">
        <v>3466044.3715303033</v>
      </c>
      <c r="G44" s="36">
        <v>3715812.0323888753</v>
      </c>
      <c r="H44" s="36">
        <v>3355154.7689713021</v>
      </c>
      <c r="I44" s="36">
        <v>2063254.8045403773</v>
      </c>
      <c r="J44" s="36">
        <v>2197745.1302284943</v>
      </c>
      <c r="K44" s="36">
        <v>2122882.3310360187</v>
      </c>
      <c r="L44" s="36">
        <v>2731405.589698893</v>
      </c>
      <c r="M44" s="36">
        <v>2845370.084643174</v>
      </c>
      <c r="N44" s="36">
        <v>2946418.8894237177</v>
      </c>
      <c r="O44" s="36">
        <v>3212126.3245565346</v>
      </c>
      <c r="P44" s="37">
        <f>SUM(D44:O44)</f>
        <v>33633222.076014586</v>
      </c>
    </row>
    <row r="45" spans="1:16" x14ac:dyDescent="0.25">
      <c r="A45" s="24"/>
      <c r="B45" s="22"/>
      <c r="C45" s="23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7"/>
      <c r="P45" s="37"/>
    </row>
    <row r="46" spans="1:16" x14ac:dyDescent="0.25">
      <c r="A46" s="21">
        <v>2</v>
      </c>
      <c r="B46" s="22" t="s">
        <v>30</v>
      </c>
      <c r="C46" s="23" t="s">
        <v>5</v>
      </c>
      <c r="D46" s="36">
        <v>112070.09040579856</v>
      </c>
      <c r="E46" s="36">
        <v>93228.129985728796</v>
      </c>
      <c r="F46" s="36">
        <v>100706.29783977283</v>
      </c>
      <c r="G46" s="36">
        <v>102372.78308944468</v>
      </c>
      <c r="H46" s="36">
        <v>101048.44807309539</v>
      </c>
      <c r="I46" s="36">
        <v>85948.930550213539</v>
      </c>
      <c r="J46" s="36">
        <v>94534.99059020108</v>
      </c>
      <c r="K46" s="36">
        <v>95916.587369142624</v>
      </c>
      <c r="L46" s="36">
        <v>117070.83018868319</v>
      </c>
      <c r="M46" s="36">
        <v>118492.44802730257</v>
      </c>
      <c r="N46" s="36">
        <v>120747.44751712421</v>
      </c>
      <c r="O46" s="36">
        <v>129621.52420457965</v>
      </c>
      <c r="P46" s="37">
        <f>SUM(D46:O46)</f>
        <v>1271758.5078410872</v>
      </c>
    </row>
    <row r="47" spans="1:16" x14ac:dyDescent="0.25">
      <c r="A47" s="21"/>
      <c r="B47" s="22"/>
      <c r="C47" s="2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7"/>
    </row>
    <row r="48" spans="1:16" x14ac:dyDescent="0.25">
      <c r="A48" s="21">
        <v>3</v>
      </c>
      <c r="B48" s="22" t="s">
        <v>31</v>
      </c>
      <c r="C48" s="25" t="s">
        <v>5</v>
      </c>
      <c r="D48" s="39">
        <v>1566749.5302878453</v>
      </c>
      <c r="E48" s="39">
        <v>1397998.6318027428</v>
      </c>
      <c r="F48" s="39">
        <v>1193927.6841850055</v>
      </c>
      <c r="G48" s="39">
        <v>1194578.0987391998</v>
      </c>
      <c r="H48" s="39">
        <v>1253877.1822507728</v>
      </c>
      <c r="I48" s="39">
        <v>1153119.6146238276</v>
      </c>
      <c r="J48" s="39">
        <v>1329256.11851697</v>
      </c>
      <c r="K48" s="39">
        <v>1277155.2613327701</v>
      </c>
      <c r="L48" s="39">
        <v>1524943.5249806358</v>
      </c>
      <c r="M48" s="39">
        <v>1536477.87120976</v>
      </c>
      <c r="N48" s="39">
        <v>1552071.0701587056</v>
      </c>
      <c r="O48" s="39">
        <v>1692389.8433932853</v>
      </c>
      <c r="P48" s="37">
        <f t="shared" ref="P48:P50" si="8">SUM(D48:O48)</f>
        <v>16672544.43148152</v>
      </c>
    </row>
    <row r="49" spans="1:16" x14ac:dyDescent="0.25">
      <c r="A49" s="21">
        <v>4</v>
      </c>
      <c r="B49" s="22" t="s">
        <v>32</v>
      </c>
      <c r="C49" s="25" t="s">
        <v>5</v>
      </c>
      <c r="D49" s="40">
        <v>224833.01202139797</v>
      </c>
      <c r="E49" s="40">
        <v>213128.3284060155</v>
      </c>
      <c r="F49" s="40">
        <v>210722.31933517521</v>
      </c>
      <c r="G49" s="40">
        <v>190891.10142282143</v>
      </c>
      <c r="H49" s="40">
        <v>194418.16613762861</v>
      </c>
      <c r="I49" s="40">
        <v>177167.85394768804</v>
      </c>
      <c r="J49" s="40">
        <v>203851.10303331143</v>
      </c>
      <c r="K49" s="40">
        <v>190680.58464828451</v>
      </c>
      <c r="L49" s="40">
        <v>216069.26203477691</v>
      </c>
      <c r="M49" s="40">
        <v>213215.61128648478</v>
      </c>
      <c r="N49" s="40">
        <v>219359.29001912498</v>
      </c>
      <c r="O49" s="40">
        <v>262500.41423396952</v>
      </c>
      <c r="P49" s="40">
        <f t="shared" si="8"/>
        <v>2516837.0465266788</v>
      </c>
    </row>
    <row r="50" spans="1:16" x14ac:dyDescent="0.25">
      <c r="A50" s="21">
        <v>5</v>
      </c>
      <c r="B50" s="26" t="s">
        <v>11</v>
      </c>
      <c r="C50" s="23"/>
      <c r="D50" s="41">
        <f>SUM(D48:D49)</f>
        <v>1791582.5423092432</v>
      </c>
      <c r="E50" s="41">
        <f t="shared" ref="E50:O50" si="9">SUM(E48:E49)</f>
        <v>1611126.9602087582</v>
      </c>
      <c r="F50" s="41">
        <f t="shared" si="9"/>
        <v>1404650.0035201807</v>
      </c>
      <c r="G50" s="41">
        <f t="shared" si="9"/>
        <v>1385469.2001620212</v>
      </c>
      <c r="H50" s="41">
        <f t="shared" si="9"/>
        <v>1448295.3483884013</v>
      </c>
      <c r="I50" s="41">
        <f t="shared" si="9"/>
        <v>1330287.4685715158</v>
      </c>
      <c r="J50" s="41">
        <f t="shared" si="9"/>
        <v>1533107.2215502814</v>
      </c>
      <c r="K50" s="41">
        <f t="shared" si="9"/>
        <v>1467835.8459810547</v>
      </c>
      <c r="L50" s="41">
        <f t="shared" si="9"/>
        <v>1741012.7870154127</v>
      </c>
      <c r="M50" s="41">
        <f t="shared" si="9"/>
        <v>1749693.4824962448</v>
      </c>
      <c r="N50" s="41">
        <f t="shared" si="9"/>
        <v>1771430.3601778306</v>
      </c>
      <c r="O50" s="41">
        <f t="shared" si="9"/>
        <v>1954890.2576272548</v>
      </c>
      <c r="P50" s="41">
        <f t="shared" si="8"/>
        <v>19189381.478008199</v>
      </c>
    </row>
    <row r="51" spans="1:16" x14ac:dyDescent="0.25">
      <c r="A51" s="24"/>
      <c r="B51" s="27"/>
      <c r="C51" s="23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36"/>
      <c r="P51" s="36"/>
    </row>
    <row r="52" spans="1:16" x14ac:dyDescent="0.25">
      <c r="A52" s="21">
        <v>6</v>
      </c>
      <c r="B52" s="22" t="s">
        <v>33</v>
      </c>
      <c r="C52" s="25" t="s">
        <v>7</v>
      </c>
      <c r="D52" s="36">
        <v>31090.272494703291</v>
      </c>
      <c r="E52" s="36">
        <v>31769.61201887071</v>
      </c>
      <c r="F52" s="36">
        <v>33223.570366194159</v>
      </c>
      <c r="G52" s="36">
        <v>30858.706913831193</v>
      </c>
      <c r="H52" s="36">
        <v>33412.154900147805</v>
      </c>
      <c r="I52" s="36">
        <v>33607.089879154191</v>
      </c>
      <c r="J52" s="36">
        <v>37381.46682101232</v>
      </c>
      <c r="K52" s="36">
        <v>40513.432708294204</v>
      </c>
      <c r="L52" s="36">
        <v>38010.73764109012</v>
      </c>
      <c r="M52" s="36">
        <v>37064.640093312009</v>
      </c>
      <c r="N52" s="36">
        <v>37863.99713974927</v>
      </c>
      <c r="O52" s="36">
        <v>40480.945938421421</v>
      </c>
      <c r="P52" s="37">
        <f t="shared" ref="P52:P56" si="10">SUM(D52:O52)</f>
        <v>425276.6269147807</v>
      </c>
    </row>
    <row r="53" spans="1:16" x14ac:dyDescent="0.25">
      <c r="A53" s="21">
        <v>7</v>
      </c>
      <c r="B53" s="22" t="s">
        <v>34</v>
      </c>
      <c r="C53" s="25" t="s">
        <v>7</v>
      </c>
      <c r="D53" s="39">
        <v>508942.25734888436</v>
      </c>
      <c r="E53" s="39">
        <v>515827.72757664113</v>
      </c>
      <c r="F53" s="39">
        <v>506127.76728155179</v>
      </c>
      <c r="G53" s="39">
        <v>498894.45229348436</v>
      </c>
      <c r="H53" s="39">
        <v>510463.02236305486</v>
      </c>
      <c r="I53" s="39">
        <v>460282.70963344479</v>
      </c>
      <c r="J53" s="39">
        <v>511243.16910428705</v>
      </c>
      <c r="K53" s="39">
        <v>479911.22842711909</v>
      </c>
      <c r="L53" s="39">
        <v>533143.50968908053</v>
      </c>
      <c r="M53" s="39">
        <v>512890.06860753044</v>
      </c>
      <c r="N53" s="39">
        <v>531823.53166279162</v>
      </c>
      <c r="O53" s="39">
        <v>559842.51415542897</v>
      </c>
      <c r="P53" s="42">
        <f t="shared" si="10"/>
        <v>6129391.9581432994</v>
      </c>
    </row>
    <row r="54" spans="1:16" x14ac:dyDescent="0.25">
      <c r="A54" s="21">
        <v>8</v>
      </c>
      <c r="B54" s="22" t="s">
        <v>35</v>
      </c>
      <c r="C54" s="25" t="s">
        <v>7</v>
      </c>
      <c r="D54" s="39">
        <v>1005.9853672082534</v>
      </c>
      <c r="E54" s="39">
        <v>1120.1002185074028</v>
      </c>
      <c r="F54" s="39">
        <v>1297.828129912604</v>
      </c>
      <c r="G54" s="39">
        <v>840.78899589290734</v>
      </c>
      <c r="H54" s="39">
        <v>851.06643978034833</v>
      </c>
      <c r="I54" s="39">
        <v>1025.9340965362956</v>
      </c>
      <c r="J54" s="39">
        <v>1095.8494961537847</v>
      </c>
      <c r="K54" s="39">
        <v>1104.2404117146027</v>
      </c>
      <c r="L54" s="39">
        <v>1302.7175050464391</v>
      </c>
      <c r="M54" s="39">
        <v>1125.2209885598604</v>
      </c>
      <c r="N54" s="39">
        <v>1093.7423641920011</v>
      </c>
      <c r="O54" s="39">
        <v>1308.7129269974573</v>
      </c>
      <c r="P54" s="42">
        <f t="shared" si="10"/>
        <v>13172.186940501957</v>
      </c>
    </row>
    <row r="55" spans="1:16" x14ac:dyDescent="0.25">
      <c r="A55" s="21">
        <v>9</v>
      </c>
      <c r="B55" s="22" t="s">
        <v>36</v>
      </c>
      <c r="C55" s="25" t="s">
        <v>7</v>
      </c>
      <c r="D55" s="39">
        <v>84809.744307738743</v>
      </c>
      <c r="E55" s="39">
        <v>83928.873170129213</v>
      </c>
      <c r="F55" s="39">
        <v>76424.033190666145</v>
      </c>
      <c r="G55" s="39">
        <v>78943.919965948968</v>
      </c>
      <c r="H55" s="39">
        <v>86527.716476503891</v>
      </c>
      <c r="I55" s="39">
        <v>67471.734683022776</v>
      </c>
      <c r="J55" s="39">
        <v>83207.299367943924</v>
      </c>
      <c r="K55" s="39">
        <v>69783.590104628485</v>
      </c>
      <c r="L55" s="39">
        <v>73388.155367969157</v>
      </c>
      <c r="M55" s="39">
        <v>54461.255527851543</v>
      </c>
      <c r="N55" s="39">
        <v>49837.818448528771</v>
      </c>
      <c r="O55" s="39">
        <v>59664.692847482474</v>
      </c>
      <c r="P55" s="42">
        <f t="shared" si="10"/>
        <v>868448.83345841407</v>
      </c>
    </row>
    <row r="56" spans="1:16" x14ac:dyDescent="0.25">
      <c r="A56" s="21">
        <v>10</v>
      </c>
      <c r="B56" s="22" t="s">
        <v>12</v>
      </c>
      <c r="C56" s="25"/>
      <c r="D56" s="43">
        <f>SUM(D52:D55)</f>
        <v>625848.25951853464</v>
      </c>
      <c r="E56" s="43">
        <f t="shared" ref="E56:O56" si="11">SUM(E52:E55)</f>
        <v>632646.31298414839</v>
      </c>
      <c r="F56" s="43">
        <f t="shared" si="11"/>
        <v>617073.19896832469</v>
      </c>
      <c r="G56" s="43">
        <f t="shared" si="11"/>
        <v>609537.8681691573</v>
      </c>
      <c r="H56" s="43">
        <f t="shared" si="11"/>
        <v>631253.96017948678</v>
      </c>
      <c r="I56" s="43">
        <f t="shared" si="11"/>
        <v>562387.4682921581</v>
      </c>
      <c r="J56" s="43">
        <f t="shared" si="11"/>
        <v>632927.78478939703</v>
      </c>
      <c r="K56" s="43">
        <f t="shared" si="11"/>
        <v>591312.49165175634</v>
      </c>
      <c r="L56" s="43">
        <f t="shared" si="11"/>
        <v>645845.12020318618</v>
      </c>
      <c r="M56" s="43">
        <f t="shared" si="11"/>
        <v>605541.18521725386</v>
      </c>
      <c r="N56" s="43">
        <f t="shared" si="11"/>
        <v>620619.08961526165</v>
      </c>
      <c r="O56" s="43">
        <f t="shared" si="11"/>
        <v>661296.86586833035</v>
      </c>
      <c r="P56" s="43">
        <f t="shared" si="10"/>
        <v>7436289.6054569948</v>
      </c>
    </row>
    <row r="57" spans="1:16" x14ac:dyDescent="0.25">
      <c r="A57" s="21"/>
      <c r="B57" s="22"/>
      <c r="C57" s="25"/>
      <c r="D57" s="44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7"/>
    </row>
    <row r="58" spans="1:16" x14ac:dyDescent="0.25">
      <c r="A58" s="21">
        <v>11</v>
      </c>
      <c r="B58" s="26" t="s">
        <v>37</v>
      </c>
      <c r="C58" s="25" t="s">
        <v>8</v>
      </c>
      <c r="D58" s="36">
        <v>1149620.966884682</v>
      </c>
      <c r="E58" s="36">
        <v>1710538.6153778823</v>
      </c>
      <c r="F58" s="36">
        <v>1456441.600320891</v>
      </c>
      <c r="G58" s="36">
        <v>1672791.2625818474</v>
      </c>
      <c r="H58" s="36">
        <v>1594973.1189527372</v>
      </c>
      <c r="I58" s="36">
        <v>1608776.2112526905</v>
      </c>
      <c r="J58" s="36">
        <v>1529567.5232933736</v>
      </c>
      <c r="K58" s="36">
        <v>1461401.888838616</v>
      </c>
      <c r="L58" s="36">
        <v>1703216.3367011191</v>
      </c>
      <c r="M58" s="36">
        <v>1474865.0884350613</v>
      </c>
      <c r="N58" s="36">
        <v>1602687.613900431</v>
      </c>
      <c r="O58" s="36">
        <v>1667774.6391160388</v>
      </c>
      <c r="P58" s="37">
        <f>SUM(D58:O58)</f>
        <v>18632654.86565537</v>
      </c>
    </row>
    <row r="59" spans="1:16" x14ac:dyDescent="0.25">
      <c r="A59" s="24"/>
      <c r="B59" s="22"/>
      <c r="C59" s="23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36"/>
    </row>
    <row r="60" spans="1:16" x14ac:dyDescent="0.25">
      <c r="A60" s="21">
        <v>12</v>
      </c>
      <c r="B60" s="28" t="s">
        <v>9</v>
      </c>
      <c r="C60" s="25" t="s">
        <v>5</v>
      </c>
      <c r="D60" s="36">
        <v>56860.557112218798</v>
      </c>
      <c r="E60" s="36">
        <v>54725.451773794593</v>
      </c>
      <c r="F60" s="36">
        <v>50987.599383586072</v>
      </c>
      <c r="G60" s="36">
        <v>51642.264578934395</v>
      </c>
      <c r="H60" s="36">
        <v>60489.718991443275</v>
      </c>
      <c r="I60" s="36">
        <v>63725.182255314176</v>
      </c>
      <c r="J60" s="36">
        <v>65634.927907411533</v>
      </c>
      <c r="K60" s="36">
        <v>64935.487062657056</v>
      </c>
      <c r="L60" s="36">
        <v>72744.333010007584</v>
      </c>
      <c r="M60" s="36">
        <v>70409.928229567886</v>
      </c>
      <c r="N60" s="36">
        <v>64312.621503552626</v>
      </c>
      <c r="O60" s="36">
        <v>66505.554562507416</v>
      </c>
      <c r="P60" s="37">
        <f>SUM(D60:O60)</f>
        <v>742973.62637099554</v>
      </c>
    </row>
    <row r="61" spans="1:16" x14ac:dyDescent="0.25">
      <c r="A61" s="21"/>
      <c r="B61" s="22"/>
      <c r="C61" s="23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36"/>
      <c r="P61" s="36"/>
    </row>
    <row r="62" spans="1:16" x14ac:dyDescent="0.25">
      <c r="A62" s="21">
        <v>13</v>
      </c>
      <c r="B62" s="29" t="s">
        <v>38</v>
      </c>
      <c r="C62" s="30"/>
      <c r="D62" s="45">
        <f>D60+D58+D56+D50+D46+D44</f>
        <v>6643842.0633705603</v>
      </c>
      <c r="E62" s="45">
        <f t="shared" ref="E62:O62" si="12">E60+E58+E56+E50+E46+E44</f>
        <v>6171413.5721871257</v>
      </c>
      <c r="F62" s="45">
        <f t="shared" si="12"/>
        <v>7095903.0715630595</v>
      </c>
      <c r="G62" s="45">
        <f t="shared" si="12"/>
        <v>7537625.4109702799</v>
      </c>
      <c r="H62" s="45">
        <f t="shared" si="12"/>
        <v>7191215.3635564651</v>
      </c>
      <c r="I62" s="45">
        <f t="shared" si="12"/>
        <v>5714380.0654622698</v>
      </c>
      <c r="J62" s="45">
        <f t="shared" si="12"/>
        <v>6053517.5783591587</v>
      </c>
      <c r="K62" s="45">
        <f t="shared" si="12"/>
        <v>5804284.6319392454</v>
      </c>
      <c r="L62" s="45">
        <f t="shared" si="12"/>
        <v>7011294.996817302</v>
      </c>
      <c r="M62" s="45">
        <f t="shared" si="12"/>
        <v>6864372.217048604</v>
      </c>
      <c r="N62" s="45">
        <f t="shared" si="12"/>
        <v>7126216.0221379176</v>
      </c>
      <c r="O62" s="45">
        <f t="shared" si="12"/>
        <v>7692215.1659352463</v>
      </c>
      <c r="P62" s="45">
        <f>SUM(D62:O62)</f>
        <v>80906280.159347236</v>
      </c>
    </row>
    <row r="63" spans="1:16" x14ac:dyDescent="0.25">
      <c r="A63" s="24"/>
      <c r="B63" s="30"/>
      <c r="C63" s="30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37"/>
      <c r="P63" s="37"/>
    </row>
    <row r="64" spans="1:16" x14ac:dyDescent="0.25">
      <c r="A64" s="21">
        <v>14</v>
      </c>
      <c r="B64" s="28" t="s">
        <v>39</v>
      </c>
      <c r="C64" s="25" t="s">
        <v>7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7">
        <f t="shared" ref="P64:P66" si="13">SUM(D64:O64)</f>
        <v>0</v>
      </c>
    </row>
    <row r="65" spans="1:16" x14ac:dyDescent="0.25">
      <c r="A65" s="21">
        <v>15</v>
      </c>
      <c r="B65" s="28" t="s">
        <v>40</v>
      </c>
      <c r="C65" s="25" t="s">
        <v>8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7">
        <f t="shared" si="13"/>
        <v>0</v>
      </c>
    </row>
    <row r="66" spans="1:16" x14ac:dyDescent="0.25">
      <c r="A66" s="21">
        <v>16</v>
      </c>
      <c r="B66" s="29" t="s">
        <v>41</v>
      </c>
      <c r="C66" s="31"/>
      <c r="D66" s="46">
        <f t="shared" ref="D66:O66" si="14">SUM(D64:D65)</f>
        <v>0</v>
      </c>
      <c r="E66" s="46">
        <f t="shared" si="14"/>
        <v>0</v>
      </c>
      <c r="F66" s="46">
        <f t="shared" si="14"/>
        <v>0</v>
      </c>
      <c r="G66" s="46">
        <f t="shared" si="14"/>
        <v>0</v>
      </c>
      <c r="H66" s="46">
        <f t="shared" si="14"/>
        <v>0</v>
      </c>
      <c r="I66" s="46">
        <f t="shared" si="14"/>
        <v>0</v>
      </c>
      <c r="J66" s="46">
        <f t="shared" si="14"/>
        <v>0</v>
      </c>
      <c r="K66" s="46">
        <f t="shared" si="14"/>
        <v>0</v>
      </c>
      <c r="L66" s="46">
        <f t="shared" si="14"/>
        <v>0</v>
      </c>
      <c r="M66" s="46">
        <f t="shared" si="14"/>
        <v>0</v>
      </c>
      <c r="N66" s="46">
        <f t="shared" si="14"/>
        <v>0</v>
      </c>
      <c r="O66" s="37">
        <f t="shared" si="14"/>
        <v>0</v>
      </c>
      <c r="P66" s="37">
        <f t="shared" si="13"/>
        <v>0</v>
      </c>
    </row>
    <row r="67" spans="1:16" x14ac:dyDescent="0.25">
      <c r="A67" s="21"/>
      <c r="B67" s="22"/>
      <c r="C67" s="32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6"/>
      <c r="P67" s="36"/>
    </row>
    <row r="68" spans="1:16" ht="15.75" thickBot="1" x14ac:dyDescent="0.3">
      <c r="A68" s="21">
        <v>17</v>
      </c>
      <c r="B68" s="33" t="s">
        <v>42</v>
      </c>
      <c r="C68" s="31"/>
      <c r="D68" s="48">
        <f t="shared" ref="D68:O68" si="15">+D66+D62</f>
        <v>6643842.0633705603</v>
      </c>
      <c r="E68" s="48">
        <f t="shared" si="15"/>
        <v>6171413.5721871257</v>
      </c>
      <c r="F68" s="48">
        <f t="shared" si="15"/>
        <v>7095903.0715630595</v>
      </c>
      <c r="G68" s="48">
        <f t="shared" si="15"/>
        <v>7537625.4109702799</v>
      </c>
      <c r="H68" s="48">
        <f t="shared" si="15"/>
        <v>7191215.3635564651</v>
      </c>
      <c r="I68" s="48">
        <f t="shared" si="15"/>
        <v>5714380.0654622698</v>
      </c>
      <c r="J68" s="48">
        <f t="shared" si="15"/>
        <v>6053517.5783591587</v>
      </c>
      <c r="K68" s="48">
        <f t="shared" si="15"/>
        <v>5804284.6319392454</v>
      </c>
      <c r="L68" s="48">
        <f t="shared" si="15"/>
        <v>7011294.996817302</v>
      </c>
      <c r="M68" s="48">
        <f t="shared" si="15"/>
        <v>6864372.217048604</v>
      </c>
      <c r="N68" s="48">
        <f t="shared" si="15"/>
        <v>7126216.0221379176</v>
      </c>
      <c r="O68" s="48">
        <f t="shared" si="15"/>
        <v>7692215.1659352463</v>
      </c>
      <c r="P68" s="48">
        <f>SUM(D68:O68)</f>
        <v>80906280.159347236</v>
      </c>
    </row>
    <row r="69" spans="1:16" ht="15.75" thickTop="1" x14ac:dyDescent="0.25"/>
  </sheetData>
  <mergeCells count="8">
    <mergeCell ref="B1:O1"/>
    <mergeCell ref="B36:O36"/>
    <mergeCell ref="B39:O39"/>
    <mergeCell ref="B2:O2"/>
    <mergeCell ref="B3:O3"/>
    <mergeCell ref="B4:O4"/>
    <mergeCell ref="B37:O37"/>
    <mergeCell ref="B38:O38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9"/>
  <sheetViews>
    <sheetView tabSelected="1" topLeftCell="A28" zoomScale="80" zoomScaleNormal="80" workbookViewId="0">
      <selection activeCell="A35" sqref="A35:XFD35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88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17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</row>
    <row r="6" spans="1:17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8"/>
      <c r="Q6" s="8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18</v>
      </c>
      <c r="E7" s="19" t="s">
        <v>19</v>
      </c>
      <c r="F7" s="19" t="s">
        <v>20</v>
      </c>
      <c r="G7" s="19" t="s">
        <v>21</v>
      </c>
      <c r="H7" s="19" t="s">
        <v>22</v>
      </c>
      <c r="I7" s="19" t="s">
        <v>23</v>
      </c>
      <c r="J7" s="19" t="s">
        <v>24</v>
      </c>
      <c r="K7" s="19" t="s">
        <v>25</v>
      </c>
      <c r="L7" s="19" t="s">
        <v>26</v>
      </c>
      <c r="M7" s="19" t="s">
        <v>27</v>
      </c>
      <c r="N7" s="19" t="s">
        <v>28</v>
      </c>
      <c r="O7" s="19" t="s">
        <v>29</v>
      </c>
      <c r="P7" s="20" t="s">
        <v>10</v>
      </c>
      <c r="Q7" s="8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2806131.6601143433</v>
      </c>
      <c r="E9" s="36">
        <v>2069933.7030158101</v>
      </c>
      <c r="F9" s="36">
        <v>3720233.3625262124</v>
      </c>
      <c r="G9" s="36">
        <v>4028563.2779536522</v>
      </c>
      <c r="H9" s="36">
        <v>3651985.3113821931</v>
      </c>
      <c r="I9" s="36">
        <v>1775232.6701432955</v>
      </c>
      <c r="J9" s="36">
        <v>2333696.7969954251</v>
      </c>
      <c r="K9" s="36">
        <v>2228370.6761396597</v>
      </c>
      <c r="L9" s="36">
        <v>2912875.2685171166</v>
      </c>
      <c r="M9" s="36">
        <v>2846640.7505951831</v>
      </c>
      <c r="N9" s="36">
        <v>2980356.5629069544</v>
      </c>
      <c r="O9" s="36">
        <v>3272248.4790821769</v>
      </c>
      <c r="P9" s="37">
        <f>SUM(D9:O9)</f>
        <v>34626268.519372024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30</v>
      </c>
      <c r="C11" s="23" t="s">
        <v>5</v>
      </c>
      <c r="D11" s="36">
        <v>120136.90562138768</v>
      </c>
      <c r="E11" s="36">
        <v>91964.750896652942</v>
      </c>
      <c r="F11" s="36">
        <v>104910.94489800309</v>
      </c>
      <c r="G11" s="36">
        <v>110749.92344353665</v>
      </c>
      <c r="H11" s="36">
        <v>109639.86188667602</v>
      </c>
      <c r="I11" s="36">
        <v>87186.847735336618</v>
      </c>
      <c r="J11" s="36">
        <v>90071.236797782083</v>
      </c>
      <c r="K11" s="36">
        <v>101894.5445386959</v>
      </c>
      <c r="L11" s="36">
        <v>125874.90767841312</v>
      </c>
      <c r="M11" s="36">
        <v>124542.1067214981</v>
      </c>
      <c r="N11" s="36">
        <v>127597.96012127746</v>
      </c>
      <c r="O11" s="36">
        <v>119509.05684928679</v>
      </c>
      <c r="P11" s="37">
        <f>SUM(D11:O11)</f>
        <v>1314079.0471885467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31</v>
      </c>
      <c r="C13" s="25" t="s">
        <v>5</v>
      </c>
      <c r="D13" s="39">
        <v>1673170.9063420943</v>
      </c>
      <c r="E13" s="39">
        <v>1171654.750897791</v>
      </c>
      <c r="F13" s="39">
        <v>1293001.6720946967</v>
      </c>
      <c r="G13" s="39">
        <v>1112986.0347249967</v>
      </c>
      <c r="H13" s="39">
        <v>1075629.4191808151</v>
      </c>
      <c r="I13" s="39">
        <v>1149700.9144637058</v>
      </c>
      <c r="J13" s="39">
        <v>1147167.4269095005</v>
      </c>
      <c r="K13" s="39">
        <v>1337312.0017573386</v>
      </c>
      <c r="L13" s="39">
        <v>1625842.3252567758</v>
      </c>
      <c r="M13" s="39">
        <v>1578140.9565905575</v>
      </c>
      <c r="N13" s="39">
        <v>1607677.5168829658</v>
      </c>
      <c r="O13" s="39">
        <v>1473206.6701541874</v>
      </c>
      <c r="P13" s="37">
        <f t="shared" ref="P13:P15" si="0">SUM(D13:O13)</f>
        <v>16245490.595255425</v>
      </c>
    </row>
    <row r="14" spans="1:17" x14ac:dyDescent="0.25">
      <c r="A14" s="21">
        <v>4</v>
      </c>
      <c r="B14" s="22" t="s">
        <v>32</v>
      </c>
      <c r="C14" s="25" t="s">
        <v>5</v>
      </c>
      <c r="D14" s="40">
        <v>240245.48649393101</v>
      </c>
      <c r="E14" s="40">
        <v>174911.4013908348</v>
      </c>
      <c r="F14" s="40">
        <v>157454.93217383674</v>
      </c>
      <c r="G14" s="40">
        <v>149188.65983573414</v>
      </c>
      <c r="H14" s="40">
        <v>142555.71959055783</v>
      </c>
      <c r="I14" s="40">
        <v>174074.57336943413</v>
      </c>
      <c r="J14" s="40">
        <v>164302.99446688048</v>
      </c>
      <c r="K14" s="40">
        <v>196578.67089296447</v>
      </c>
      <c r="L14" s="40">
        <v>204850.09414949294</v>
      </c>
      <c r="M14" s="40">
        <v>217548.17541713148</v>
      </c>
      <c r="N14" s="40">
        <v>230150.62243674809</v>
      </c>
      <c r="O14" s="40">
        <v>204887.76798682156</v>
      </c>
      <c r="P14" s="40">
        <f t="shared" si="0"/>
        <v>2256749.0982043678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1913416.3928360252</v>
      </c>
      <c r="E15" s="41">
        <f t="shared" ref="E15:O15" si="1">SUM(E13:E14)</f>
        <v>1346566.1522886257</v>
      </c>
      <c r="F15" s="41">
        <f t="shared" si="1"/>
        <v>1450456.6042685334</v>
      </c>
      <c r="G15" s="41">
        <f t="shared" si="1"/>
        <v>1262174.6945607308</v>
      </c>
      <c r="H15" s="41">
        <f t="shared" si="1"/>
        <v>1218185.1387713728</v>
      </c>
      <c r="I15" s="41">
        <f t="shared" si="1"/>
        <v>1323775.48783314</v>
      </c>
      <c r="J15" s="41">
        <f t="shared" si="1"/>
        <v>1311470.4213763811</v>
      </c>
      <c r="K15" s="41">
        <f t="shared" si="1"/>
        <v>1533890.6726503032</v>
      </c>
      <c r="L15" s="41">
        <f t="shared" si="1"/>
        <v>1830692.4194062687</v>
      </c>
      <c r="M15" s="41">
        <f t="shared" si="1"/>
        <v>1795689.132007689</v>
      </c>
      <c r="N15" s="41">
        <f t="shared" si="1"/>
        <v>1837828.1393197139</v>
      </c>
      <c r="O15" s="41">
        <f t="shared" si="1"/>
        <v>1678094.4381410088</v>
      </c>
      <c r="P15" s="41">
        <f t="shared" si="0"/>
        <v>18502239.693459794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33</v>
      </c>
      <c r="C17" s="25" t="s">
        <v>7</v>
      </c>
      <c r="D17" s="36">
        <v>32074.45486454184</v>
      </c>
      <c r="E17" s="36">
        <v>28905.498136495309</v>
      </c>
      <c r="F17" s="36">
        <v>30594.854794096205</v>
      </c>
      <c r="G17" s="36">
        <v>29520.970027699215</v>
      </c>
      <c r="H17" s="36">
        <v>30961.673023970074</v>
      </c>
      <c r="I17" s="36">
        <v>31587.041717096021</v>
      </c>
      <c r="J17" s="36">
        <v>34233.291226064743</v>
      </c>
      <c r="K17" s="36">
        <v>40129.275095378624</v>
      </c>
      <c r="L17" s="36">
        <v>35108.197418911346</v>
      </c>
      <c r="M17" s="36">
        <v>38957.490094511042</v>
      </c>
      <c r="N17" s="36">
        <v>35734.092895906702</v>
      </c>
      <c r="O17" s="36">
        <v>35214.22464908503</v>
      </c>
      <c r="P17" s="37">
        <f t="shared" ref="P17:P21" si="2">SUM(D17:O17)</f>
        <v>403021.06394375616</v>
      </c>
    </row>
    <row r="18" spans="1:16" x14ac:dyDescent="0.25">
      <c r="A18" s="21">
        <v>7</v>
      </c>
      <c r="B18" s="22" t="s">
        <v>34</v>
      </c>
      <c r="C18" s="25" t="s">
        <v>7</v>
      </c>
      <c r="D18" s="39">
        <v>526622.17827212147</v>
      </c>
      <c r="E18" s="39">
        <v>457385.73152022826</v>
      </c>
      <c r="F18" s="39">
        <v>387560.404499939</v>
      </c>
      <c r="G18" s="39">
        <v>449918.07451805222</v>
      </c>
      <c r="H18" s="39">
        <v>408679.11559084884</v>
      </c>
      <c r="I18" s="39">
        <v>465081.68575611315</v>
      </c>
      <c r="J18" s="39">
        <v>473872.28940477595</v>
      </c>
      <c r="K18" s="39">
        <v>485458.91088227637</v>
      </c>
      <c r="L18" s="39">
        <v>498936.17654410918</v>
      </c>
      <c r="M18" s="39">
        <v>525957.12470630358</v>
      </c>
      <c r="N18" s="39">
        <v>527300.29881625331</v>
      </c>
      <c r="O18" s="39">
        <v>512038.00144502794</v>
      </c>
      <c r="P18" s="42">
        <f t="shared" si="2"/>
        <v>5718809.9919560496</v>
      </c>
    </row>
    <row r="19" spans="1:16" x14ac:dyDescent="0.25">
      <c r="A19" s="21">
        <v>8</v>
      </c>
      <c r="B19" s="22" t="s">
        <v>35</v>
      </c>
      <c r="C19" s="25" t="s">
        <v>7</v>
      </c>
      <c r="D19" s="39">
        <v>733.87447750975537</v>
      </c>
      <c r="E19" s="39">
        <v>477.65174007801789</v>
      </c>
      <c r="F19" s="39">
        <v>205.72168579045078</v>
      </c>
      <c r="G19" s="39">
        <v>582.93344926681868</v>
      </c>
      <c r="H19" s="39">
        <v>372.76341050365676</v>
      </c>
      <c r="I19" s="39">
        <v>844.25089292623068</v>
      </c>
      <c r="J19" s="39">
        <v>904.78189432900194</v>
      </c>
      <c r="K19" s="39">
        <v>942.18888085211609</v>
      </c>
      <c r="L19" s="39">
        <v>959.69145470638296</v>
      </c>
      <c r="M19" s="39">
        <v>891.88977472662793</v>
      </c>
      <c r="N19" s="39">
        <v>856.57842652999227</v>
      </c>
      <c r="O19" s="39">
        <v>888.42340278137726</v>
      </c>
      <c r="P19" s="42">
        <f t="shared" si="2"/>
        <v>8660.7494900004313</v>
      </c>
    </row>
    <row r="20" spans="1:16" x14ac:dyDescent="0.25">
      <c r="A20" s="21">
        <v>9</v>
      </c>
      <c r="B20" s="22" t="s">
        <v>36</v>
      </c>
      <c r="C20" s="25" t="s">
        <v>7</v>
      </c>
      <c r="D20" s="39">
        <v>54798.731995868147</v>
      </c>
      <c r="E20" s="39">
        <v>59761.841997155774</v>
      </c>
      <c r="F20" s="39">
        <v>48581.069645428535</v>
      </c>
      <c r="G20" s="39">
        <v>64826.447849947835</v>
      </c>
      <c r="H20" s="39">
        <v>72023.529601888731</v>
      </c>
      <c r="I20" s="39">
        <v>57400.182823590367</v>
      </c>
      <c r="J20" s="39">
        <v>59293.943531868747</v>
      </c>
      <c r="K20" s="39">
        <v>50060.436651843913</v>
      </c>
      <c r="L20" s="39">
        <v>52526.484109714511</v>
      </c>
      <c r="M20" s="39">
        <v>50354.677992226993</v>
      </c>
      <c r="N20" s="39">
        <v>37062.972003189469</v>
      </c>
      <c r="O20" s="39">
        <v>60020.394886558817</v>
      </c>
      <c r="P20" s="42">
        <f t="shared" si="2"/>
        <v>666710.71308928193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614229.23961004126</v>
      </c>
      <c r="E21" s="43">
        <f t="shared" ref="E21:O21" si="3">SUM(E17:E20)</f>
        <v>546530.72339395736</v>
      </c>
      <c r="F21" s="43">
        <f t="shared" si="3"/>
        <v>466942.05062525417</v>
      </c>
      <c r="G21" s="43">
        <f t="shared" si="3"/>
        <v>544848.42584496608</v>
      </c>
      <c r="H21" s="43">
        <f t="shared" si="3"/>
        <v>512037.08162721136</v>
      </c>
      <c r="I21" s="43">
        <f t="shared" si="3"/>
        <v>554913.16118972574</v>
      </c>
      <c r="J21" s="43">
        <f t="shared" si="3"/>
        <v>568304.30605703848</v>
      </c>
      <c r="K21" s="43">
        <f t="shared" si="3"/>
        <v>576590.81151035102</v>
      </c>
      <c r="L21" s="43">
        <f t="shared" si="3"/>
        <v>587530.54952744138</v>
      </c>
      <c r="M21" s="43">
        <f t="shared" si="3"/>
        <v>616161.18256776826</v>
      </c>
      <c r="N21" s="43">
        <f t="shared" si="3"/>
        <v>600953.94214187947</v>
      </c>
      <c r="O21" s="43">
        <f t="shared" si="3"/>
        <v>608161.04438345321</v>
      </c>
      <c r="P21" s="43">
        <f t="shared" si="2"/>
        <v>6797202.5184790883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37</v>
      </c>
      <c r="C23" s="25" t="s">
        <v>8</v>
      </c>
      <c r="D23" s="36">
        <v>1175675.459485553</v>
      </c>
      <c r="E23" s="36">
        <v>1636606.012888839</v>
      </c>
      <c r="F23" s="36">
        <v>988819.2160878774</v>
      </c>
      <c r="G23" s="36">
        <v>1331534.1029428386</v>
      </c>
      <c r="H23" s="36">
        <v>1482891.1507369298</v>
      </c>
      <c r="I23" s="36">
        <v>1489826.1143252105</v>
      </c>
      <c r="J23" s="36">
        <v>1537245.7191016455</v>
      </c>
      <c r="K23" s="36">
        <v>1410390.7469756037</v>
      </c>
      <c r="L23" s="36">
        <v>1235642.2617443702</v>
      </c>
      <c r="M23" s="36">
        <v>1385843.4599923217</v>
      </c>
      <c r="N23" s="36">
        <v>1418301.7391043231</v>
      </c>
      <c r="O23" s="36">
        <v>1553577.2558103404</v>
      </c>
      <c r="P23" s="37">
        <f>SUM(D23:O23)</f>
        <v>16646353.239195853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0</v>
      </c>
      <c r="E25" s="36">
        <v>0</v>
      </c>
      <c r="F25" s="36">
        <v>0</v>
      </c>
      <c r="G25" s="36">
        <v>56107.338848300678</v>
      </c>
      <c r="H25" s="36">
        <v>61868.416919777526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7">
        <f>SUM(D25:O25)</f>
        <v>117975.7557680782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38</v>
      </c>
      <c r="C27" s="30"/>
      <c r="D27" s="45">
        <f>D25+D23+D21+D15+D11+D9</f>
        <v>6629589.65766735</v>
      </c>
      <c r="E27" s="45">
        <f t="shared" ref="E27:O27" si="4">E25+E23+E21+E15+E11+E9</f>
        <v>5691601.3424838856</v>
      </c>
      <c r="F27" s="45">
        <f t="shared" si="4"/>
        <v>6731362.1784058809</v>
      </c>
      <c r="G27" s="45">
        <f t="shared" si="4"/>
        <v>7333977.7635940257</v>
      </c>
      <c r="H27" s="45">
        <f t="shared" si="4"/>
        <v>7036606.9613241609</v>
      </c>
      <c r="I27" s="45">
        <f t="shared" si="4"/>
        <v>5230934.2812267076</v>
      </c>
      <c r="J27" s="45">
        <f t="shared" si="4"/>
        <v>5840788.4803282721</v>
      </c>
      <c r="K27" s="45">
        <f t="shared" si="4"/>
        <v>5851137.4518146133</v>
      </c>
      <c r="L27" s="45">
        <f t="shared" si="4"/>
        <v>6692615.4068736099</v>
      </c>
      <c r="M27" s="45">
        <f t="shared" si="4"/>
        <v>6768876.6318844603</v>
      </c>
      <c r="N27" s="45">
        <f t="shared" si="4"/>
        <v>6965038.3435941488</v>
      </c>
      <c r="O27" s="45">
        <f t="shared" si="4"/>
        <v>7231590.2742662663</v>
      </c>
      <c r="P27" s="45">
        <f>SUM(D27:O27)</f>
        <v>78004118.773463398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39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5">SUM(D29:O29)</f>
        <v>0</v>
      </c>
    </row>
    <row r="30" spans="1:16" x14ac:dyDescent="0.25">
      <c r="A30" s="21">
        <v>15</v>
      </c>
      <c r="B30" s="28" t="s">
        <v>40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5"/>
        <v>0</v>
      </c>
    </row>
    <row r="31" spans="1:16" x14ac:dyDescent="0.25">
      <c r="A31" s="21">
        <v>16</v>
      </c>
      <c r="B31" s="29" t="s">
        <v>41</v>
      </c>
      <c r="C31" s="31"/>
      <c r="D31" s="46">
        <f t="shared" ref="D31:O31" si="6">SUM(D29:D30)</f>
        <v>0</v>
      </c>
      <c r="E31" s="46">
        <f t="shared" si="6"/>
        <v>0</v>
      </c>
      <c r="F31" s="46">
        <f t="shared" si="6"/>
        <v>0</v>
      </c>
      <c r="G31" s="46">
        <f t="shared" si="6"/>
        <v>0</v>
      </c>
      <c r="H31" s="46">
        <f t="shared" si="6"/>
        <v>0</v>
      </c>
      <c r="I31" s="46">
        <f t="shared" si="6"/>
        <v>0</v>
      </c>
      <c r="J31" s="46">
        <f t="shared" si="6"/>
        <v>0</v>
      </c>
      <c r="K31" s="46">
        <f t="shared" si="6"/>
        <v>0</v>
      </c>
      <c r="L31" s="46">
        <f t="shared" si="6"/>
        <v>0</v>
      </c>
      <c r="M31" s="46">
        <f t="shared" si="6"/>
        <v>0</v>
      </c>
      <c r="N31" s="46">
        <f t="shared" si="6"/>
        <v>0</v>
      </c>
      <c r="O31" s="37">
        <f t="shared" si="6"/>
        <v>0</v>
      </c>
      <c r="P31" s="37">
        <f t="shared" si="5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42</v>
      </c>
      <c r="C33" s="31"/>
      <c r="D33" s="48">
        <f t="shared" ref="D33:O33" si="7">+D31+D27</f>
        <v>6629589.65766735</v>
      </c>
      <c r="E33" s="48">
        <f t="shared" si="7"/>
        <v>5691601.3424838856</v>
      </c>
      <c r="F33" s="48">
        <f t="shared" si="7"/>
        <v>6731362.1784058809</v>
      </c>
      <c r="G33" s="48">
        <f t="shared" si="7"/>
        <v>7333977.7635940257</v>
      </c>
      <c r="H33" s="48">
        <f t="shared" si="7"/>
        <v>7036606.9613241609</v>
      </c>
      <c r="I33" s="48">
        <f t="shared" si="7"/>
        <v>5230934.2812267076</v>
      </c>
      <c r="J33" s="48">
        <f t="shared" si="7"/>
        <v>5840788.4803282721</v>
      </c>
      <c r="K33" s="48">
        <f t="shared" si="7"/>
        <v>5851137.4518146133</v>
      </c>
      <c r="L33" s="48">
        <f t="shared" si="7"/>
        <v>6692615.4068736099</v>
      </c>
      <c r="M33" s="48">
        <f t="shared" si="7"/>
        <v>6768876.6318844603</v>
      </c>
      <c r="N33" s="48">
        <f t="shared" si="7"/>
        <v>6965038.3435941488</v>
      </c>
      <c r="O33" s="48">
        <f t="shared" si="7"/>
        <v>7231590.2742662663</v>
      </c>
      <c r="P33" s="48">
        <f>SUM(D33:O33)</f>
        <v>78004118.773463398</v>
      </c>
    </row>
    <row r="34" spans="1:16" ht="15.75" thickTop="1" x14ac:dyDescent="0.25"/>
    <row r="36" spans="1:16" x14ac:dyDescent="0.25">
      <c r="A36" s="10"/>
      <c r="B36" s="54" t="s">
        <v>13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11"/>
    </row>
    <row r="37" spans="1:16" x14ac:dyDescent="0.25">
      <c r="A37" s="10"/>
      <c r="B37" s="54" t="s">
        <v>14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89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3" t="s">
        <v>6</v>
      </c>
    </row>
    <row r="39" spans="1:16" x14ac:dyDescent="0.25">
      <c r="A39" s="10"/>
      <c r="B39" s="55" t="s">
        <v>17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8" t="s">
        <v>6</v>
      </c>
    </row>
    <row r="40" spans="1:16" x14ac:dyDescent="0.25">
      <c r="A40" s="10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8"/>
    </row>
    <row r="41" spans="1:16" x14ac:dyDescent="0.25">
      <c r="A41" s="10"/>
      <c r="B41" s="17"/>
      <c r="C41" s="17"/>
      <c r="D41" s="14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8"/>
    </row>
    <row r="42" spans="1:16" x14ac:dyDescent="0.25">
      <c r="A42" s="15" t="s">
        <v>0</v>
      </c>
      <c r="B42" s="17" t="s">
        <v>1</v>
      </c>
      <c r="C42" s="34" t="s">
        <v>2</v>
      </c>
      <c r="D42" s="19" t="s">
        <v>18</v>
      </c>
      <c r="E42" s="19" t="s">
        <v>19</v>
      </c>
      <c r="F42" s="19" t="s">
        <v>20</v>
      </c>
      <c r="G42" s="19" t="s">
        <v>21</v>
      </c>
      <c r="H42" s="19" t="s">
        <v>22</v>
      </c>
      <c r="I42" s="19" t="s">
        <v>23</v>
      </c>
      <c r="J42" s="19" t="s">
        <v>24</v>
      </c>
      <c r="K42" s="19" t="s">
        <v>25</v>
      </c>
      <c r="L42" s="19" t="s">
        <v>26</v>
      </c>
      <c r="M42" s="19" t="s">
        <v>27</v>
      </c>
      <c r="N42" s="19" t="s">
        <v>28</v>
      </c>
      <c r="O42" s="19" t="s">
        <v>29</v>
      </c>
      <c r="P42" s="20" t="s">
        <v>10</v>
      </c>
    </row>
    <row r="43" spans="1:16" x14ac:dyDescent="0.25">
      <c r="A43" s="10"/>
      <c r="B43" s="17"/>
      <c r="C43" s="34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20"/>
      <c r="P43" s="20"/>
    </row>
    <row r="44" spans="1:16" x14ac:dyDescent="0.25">
      <c r="A44" s="21" t="s">
        <v>3</v>
      </c>
      <c r="B44" s="22" t="s">
        <v>4</v>
      </c>
      <c r="C44" s="23" t="s">
        <v>5</v>
      </c>
      <c r="D44" s="36">
        <v>2578051.4484683485</v>
      </c>
      <c r="E44" s="36">
        <v>1901691.092097908</v>
      </c>
      <c r="F44" s="36">
        <v>3417855.6712874146</v>
      </c>
      <c r="G44" s="36">
        <v>3701124.7695881855</v>
      </c>
      <c r="H44" s="36">
        <v>3355154.7689713021</v>
      </c>
      <c r="I44" s="36">
        <v>1630943.1313157878</v>
      </c>
      <c r="J44" s="36">
        <v>2144015.7257392718</v>
      </c>
      <c r="K44" s="36">
        <v>2047250.4305489906</v>
      </c>
      <c r="L44" s="36">
        <v>2676119.0189138115</v>
      </c>
      <c r="M44" s="36">
        <v>2615267.991396348</v>
      </c>
      <c r="N44" s="36">
        <v>2738115.4858718701</v>
      </c>
      <c r="O44" s="36">
        <v>3006282.6527898582</v>
      </c>
      <c r="P44" s="37">
        <f>SUM(D44:O44)</f>
        <v>31811872.186989099</v>
      </c>
    </row>
    <row r="45" spans="1:16" x14ac:dyDescent="0.25">
      <c r="A45" s="24"/>
      <c r="B45" s="22"/>
      <c r="C45" s="23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7"/>
      <c r="P45" s="37"/>
    </row>
    <row r="46" spans="1:16" x14ac:dyDescent="0.25">
      <c r="A46" s="21">
        <v>2</v>
      </c>
      <c r="B46" s="22" t="s">
        <v>30</v>
      </c>
      <c r="C46" s="23" t="s">
        <v>5</v>
      </c>
      <c r="D46" s="36">
        <v>110372.2708217844</v>
      </c>
      <c r="E46" s="36">
        <v>84489.927050495593</v>
      </c>
      <c r="F46" s="36">
        <v>96383.864413353687</v>
      </c>
      <c r="G46" s="36">
        <v>101748.25529737765</v>
      </c>
      <c r="H46" s="36">
        <v>100728.41868556416</v>
      </c>
      <c r="I46" s="36">
        <v>80100.368163878302</v>
      </c>
      <c r="J46" s="36">
        <v>82750.316313524556</v>
      </c>
      <c r="K46" s="36">
        <v>93612.634742984097</v>
      </c>
      <c r="L46" s="36">
        <v>115643.89250821163</v>
      </c>
      <c r="M46" s="36">
        <v>114419.42058255909</v>
      </c>
      <c r="N46" s="36">
        <v>117226.89658077619</v>
      </c>
      <c r="O46" s="36">
        <v>109795.4531124301</v>
      </c>
      <c r="P46" s="37">
        <f>SUM(D46:O46)</f>
        <v>1207271.7182729396</v>
      </c>
    </row>
    <row r="47" spans="1:16" x14ac:dyDescent="0.25">
      <c r="A47" s="21"/>
      <c r="B47" s="22"/>
      <c r="C47" s="2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7"/>
    </row>
    <row r="48" spans="1:16" x14ac:dyDescent="0.25">
      <c r="A48" s="21">
        <v>3</v>
      </c>
      <c r="B48" s="22" t="s">
        <v>31</v>
      </c>
      <c r="C48" s="25" t="s">
        <v>5</v>
      </c>
      <c r="D48" s="39">
        <v>1537176.8687626615</v>
      </c>
      <c r="E48" s="39">
        <v>1076423.5586628856</v>
      </c>
      <c r="F48" s="39">
        <v>1187907.4959297883</v>
      </c>
      <c r="G48" s="39">
        <v>1022523.3903782343</v>
      </c>
      <c r="H48" s="39">
        <v>988203.0916615203</v>
      </c>
      <c r="I48" s="39">
        <v>1056254.1130795574</v>
      </c>
      <c r="J48" s="39">
        <v>1053926.5454348768</v>
      </c>
      <c r="K48" s="39">
        <v>1228616.3162579939</v>
      </c>
      <c r="L48" s="39">
        <v>1493695.1181537164</v>
      </c>
      <c r="M48" s="39">
        <v>1449870.8798502095</v>
      </c>
      <c r="N48" s="39">
        <v>1477006.7313595833</v>
      </c>
      <c r="O48" s="39">
        <v>1353465.5710806795</v>
      </c>
      <c r="P48" s="37">
        <f t="shared" ref="P48:P50" si="8">SUM(D48:O48)</f>
        <v>14925069.680611705</v>
      </c>
    </row>
    <row r="49" spans="1:16" x14ac:dyDescent="0.25">
      <c r="A49" s="21">
        <v>4</v>
      </c>
      <c r="B49" s="22" t="s">
        <v>32</v>
      </c>
      <c r="C49" s="25" t="s">
        <v>5</v>
      </c>
      <c r="D49" s="40">
        <v>220718.51910840996</v>
      </c>
      <c r="E49" s="40">
        <v>160694.73792647917</v>
      </c>
      <c r="F49" s="40">
        <v>144657.11703017697</v>
      </c>
      <c r="G49" s="40">
        <v>137062.72091627159</v>
      </c>
      <c r="H49" s="40">
        <v>130968.90092566429</v>
      </c>
      <c r="I49" s="40">
        <v>159925.92663962638</v>
      </c>
      <c r="J49" s="40">
        <v>150948.57411493242</v>
      </c>
      <c r="K49" s="40">
        <v>180600.90851650891</v>
      </c>
      <c r="L49" s="40">
        <v>188200.03688617318</v>
      </c>
      <c r="M49" s="40">
        <v>199866.02792647612</v>
      </c>
      <c r="N49" s="40">
        <v>211444.15779649239</v>
      </c>
      <c r="O49" s="40">
        <v>188234.64862313299</v>
      </c>
      <c r="P49" s="40">
        <f t="shared" si="8"/>
        <v>2073322.2764103445</v>
      </c>
    </row>
    <row r="50" spans="1:16" x14ac:dyDescent="0.25">
      <c r="A50" s="21">
        <v>5</v>
      </c>
      <c r="B50" s="26" t="s">
        <v>11</v>
      </c>
      <c r="C50" s="23"/>
      <c r="D50" s="41">
        <f>SUM(D48:D49)</f>
        <v>1757895.3878710715</v>
      </c>
      <c r="E50" s="41">
        <f t="shared" ref="E50:O50" si="9">SUM(E48:E49)</f>
        <v>1237118.2965893648</v>
      </c>
      <c r="F50" s="41">
        <f t="shared" si="9"/>
        <v>1332564.6129599654</v>
      </c>
      <c r="G50" s="41">
        <f t="shared" si="9"/>
        <v>1159586.1112945059</v>
      </c>
      <c r="H50" s="41">
        <f t="shared" si="9"/>
        <v>1119171.9925871845</v>
      </c>
      <c r="I50" s="41">
        <f t="shared" si="9"/>
        <v>1216180.0397191839</v>
      </c>
      <c r="J50" s="41">
        <f t="shared" si="9"/>
        <v>1204875.1195498093</v>
      </c>
      <c r="K50" s="41">
        <f t="shared" si="9"/>
        <v>1409217.2247745029</v>
      </c>
      <c r="L50" s="41">
        <f t="shared" si="9"/>
        <v>1681895.1550398897</v>
      </c>
      <c r="M50" s="41">
        <f t="shared" si="9"/>
        <v>1649736.9077766857</v>
      </c>
      <c r="N50" s="41">
        <f t="shared" si="9"/>
        <v>1688450.8891560757</v>
      </c>
      <c r="O50" s="41">
        <f t="shared" si="9"/>
        <v>1541700.2197038126</v>
      </c>
      <c r="P50" s="41">
        <f t="shared" si="8"/>
        <v>16998391.957022052</v>
      </c>
    </row>
    <row r="51" spans="1:16" x14ac:dyDescent="0.25">
      <c r="A51" s="24"/>
      <c r="B51" s="27"/>
      <c r="C51" s="23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36"/>
      <c r="P51" s="36"/>
    </row>
    <row r="52" spans="1:16" x14ac:dyDescent="0.25">
      <c r="A52" s="21">
        <v>6</v>
      </c>
      <c r="B52" s="22" t="s">
        <v>33</v>
      </c>
      <c r="C52" s="25" t="s">
        <v>7</v>
      </c>
      <c r="D52" s="36">
        <v>30206.770259402954</v>
      </c>
      <c r="E52" s="36">
        <v>27222.340804549982</v>
      </c>
      <c r="F52" s="36">
        <v>28813.326798165624</v>
      </c>
      <c r="G52" s="36">
        <v>27801.973976718698</v>
      </c>
      <c r="H52" s="36">
        <v>29158.785327189918</v>
      </c>
      <c r="I52" s="36">
        <v>29747.73901386853</v>
      </c>
      <c r="J52" s="36">
        <v>32239.898313350292</v>
      </c>
      <c r="K52" s="36">
        <v>37792.561045910006</v>
      </c>
      <c r="L52" s="36">
        <v>33063.859015954855</v>
      </c>
      <c r="M52" s="36">
        <v>36689.008687370901</v>
      </c>
      <c r="N52" s="36">
        <v>33653.308812057207</v>
      </c>
      <c r="O52" s="36">
        <v>33163.712316552585</v>
      </c>
      <c r="P52" s="37">
        <f t="shared" ref="P52:P56" si="10">SUM(D52:O52)</f>
        <v>379553.28437109152</v>
      </c>
    </row>
    <row r="53" spans="1:16" x14ac:dyDescent="0.25">
      <c r="A53" s="21">
        <v>7</v>
      </c>
      <c r="B53" s="22" t="s">
        <v>34</v>
      </c>
      <c r="C53" s="25" t="s">
        <v>7</v>
      </c>
      <c r="D53" s="39">
        <v>495957.14782227046</v>
      </c>
      <c r="E53" s="39">
        <v>430752.31583231612</v>
      </c>
      <c r="F53" s="39">
        <v>364992.89387184294</v>
      </c>
      <c r="G53" s="39">
        <v>423719.49795923283</v>
      </c>
      <c r="H53" s="39">
        <v>384881.86959386041</v>
      </c>
      <c r="I53" s="39">
        <v>438000.13726878422</v>
      </c>
      <c r="J53" s="39">
        <v>446278.86705477897</v>
      </c>
      <c r="K53" s="39">
        <v>457190.80350176239</v>
      </c>
      <c r="L53" s="39">
        <v>469883.29256482597</v>
      </c>
      <c r="M53" s="39">
        <v>495330.82009954849</v>
      </c>
      <c r="N53" s="39">
        <v>496595.78163760051</v>
      </c>
      <c r="O53" s="39">
        <v>482222.20265487686</v>
      </c>
      <c r="P53" s="42">
        <f t="shared" si="10"/>
        <v>5385805.6298617003</v>
      </c>
    </row>
    <row r="54" spans="1:16" x14ac:dyDescent="0.25">
      <c r="A54" s="21">
        <v>8</v>
      </c>
      <c r="B54" s="22" t="s">
        <v>35</v>
      </c>
      <c r="C54" s="25" t="s">
        <v>7</v>
      </c>
      <c r="D54" s="39">
        <v>691.14121611722715</v>
      </c>
      <c r="E54" s="39">
        <v>449.83824159989626</v>
      </c>
      <c r="F54" s="39">
        <v>193.74258194857063</v>
      </c>
      <c r="G54" s="39">
        <v>548.98943264629804</v>
      </c>
      <c r="H54" s="39">
        <v>351.05752380668918</v>
      </c>
      <c r="I54" s="39">
        <v>795.09045037927979</v>
      </c>
      <c r="J54" s="39">
        <v>852.09675214394201</v>
      </c>
      <c r="K54" s="39">
        <v>887.32554255588559</v>
      </c>
      <c r="L54" s="39">
        <v>903.80894748347941</v>
      </c>
      <c r="M54" s="39">
        <v>839.95533628417718</v>
      </c>
      <c r="N54" s="39">
        <v>806.70015589123705</v>
      </c>
      <c r="O54" s="39">
        <v>836.69080999913092</v>
      </c>
      <c r="P54" s="42">
        <f t="shared" si="10"/>
        <v>8156.4369908558128</v>
      </c>
    </row>
    <row r="55" spans="1:16" x14ac:dyDescent="0.25">
      <c r="A55" s="21">
        <v>9</v>
      </c>
      <c r="B55" s="22" t="s">
        <v>36</v>
      </c>
      <c r="C55" s="25" t="s">
        <v>7</v>
      </c>
      <c r="D55" s="39">
        <v>51607.820457011148</v>
      </c>
      <c r="E55" s="39">
        <v>56281.930249810015</v>
      </c>
      <c r="F55" s="39">
        <v>45752.21047194799</v>
      </c>
      <c r="G55" s="39">
        <v>61051.625825177129</v>
      </c>
      <c r="H55" s="39">
        <v>67829.62395288203</v>
      </c>
      <c r="I55" s="39">
        <v>54057.789687228993</v>
      </c>
      <c r="J55" s="39">
        <v>55841.27735312502</v>
      </c>
      <c r="K55" s="39">
        <v>47145.434440394332</v>
      </c>
      <c r="L55" s="39">
        <v>49467.884792965451</v>
      </c>
      <c r="M55" s="39">
        <v>47422.542207535094</v>
      </c>
      <c r="N55" s="39">
        <v>34904.807740588854</v>
      </c>
      <c r="O55" s="39">
        <v>56525.427692341349</v>
      </c>
      <c r="P55" s="42">
        <f t="shared" si="10"/>
        <v>627888.37487100752</v>
      </c>
    </row>
    <row r="56" spans="1:16" x14ac:dyDescent="0.25">
      <c r="A56" s="21">
        <v>10</v>
      </c>
      <c r="B56" s="22" t="s">
        <v>12</v>
      </c>
      <c r="C56" s="25"/>
      <c r="D56" s="43">
        <f>SUM(D52:D55)</f>
        <v>578462.87975480175</v>
      </c>
      <c r="E56" s="43">
        <f t="shared" ref="E56:O56" si="11">SUM(E52:E55)</f>
        <v>514706.42512827599</v>
      </c>
      <c r="F56" s="43">
        <f t="shared" si="11"/>
        <v>439752.17372390511</v>
      </c>
      <c r="G56" s="43">
        <f t="shared" si="11"/>
        <v>513122.08719377493</v>
      </c>
      <c r="H56" s="43">
        <f t="shared" si="11"/>
        <v>482221.33639773901</v>
      </c>
      <c r="I56" s="43">
        <f t="shared" si="11"/>
        <v>522600.75642026099</v>
      </c>
      <c r="J56" s="43">
        <f t="shared" si="11"/>
        <v>535212.13947339822</v>
      </c>
      <c r="K56" s="43">
        <f t="shared" si="11"/>
        <v>543016.12453062262</v>
      </c>
      <c r="L56" s="43">
        <f t="shared" si="11"/>
        <v>553318.84532122978</v>
      </c>
      <c r="M56" s="43">
        <f t="shared" si="11"/>
        <v>580282.32633073861</v>
      </c>
      <c r="N56" s="43">
        <f t="shared" si="11"/>
        <v>565960.59834613791</v>
      </c>
      <c r="O56" s="43">
        <f t="shared" si="11"/>
        <v>572748.0334737699</v>
      </c>
      <c r="P56" s="43">
        <f t="shared" si="10"/>
        <v>6401403.7260946548</v>
      </c>
    </row>
    <row r="57" spans="1:16" x14ac:dyDescent="0.25">
      <c r="A57" s="21"/>
      <c r="B57" s="22"/>
      <c r="C57" s="25"/>
      <c r="D57" s="44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7"/>
    </row>
    <row r="58" spans="1:16" x14ac:dyDescent="0.25">
      <c r="A58" s="21">
        <v>11</v>
      </c>
      <c r="B58" s="26" t="s">
        <v>37</v>
      </c>
      <c r="C58" s="25" t="s">
        <v>8</v>
      </c>
      <c r="D58" s="36">
        <v>1144387.8944512557</v>
      </c>
      <c r="E58" s="36">
        <v>1593051.9719750416</v>
      </c>
      <c r="F58" s="36">
        <v>962504.3472344866</v>
      </c>
      <c r="G58" s="36">
        <v>1296098.7627687412</v>
      </c>
      <c r="H58" s="36">
        <v>1443427.8337618802</v>
      </c>
      <c r="I58" s="36">
        <v>1450178.2412105151</v>
      </c>
      <c r="J58" s="36">
        <v>1496335.8957128562</v>
      </c>
      <c r="K58" s="36">
        <v>1372856.8409441898</v>
      </c>
      <c r="L58" s="36">
        <v>1202758.8351902685</v>
      </c>
      <c r="M58" s="36">
        <v>1348962.8165868376</v>
      </c>
      <c r="N58" s="36">
        <v>1380557.302455198</v>
      </c>
      <c r="O58" s="36">
        <v>1512232.8107640513</v>
      </c>
      <c r="P58" s="37">
        <f>SUM(D58:O58)</f>
        <v>16203353.553055322</v>
      </c>
    </row>
    <row r="59" spans="1:16" x14ac:dyDescent="0.25">
      <c r="A59" s="24"/>
      <c r="B59" s="22"/>
      <c r="C59" s="23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36"/>
    </row>
    <row r="60" spans="1:16" x14ac:dyDescent="0.25">
      <c r="A60" s="21">
        <v>12</v>
      </c>
      <c r="B60" s="28" t="s">
        <v>9</v>
      </c>
      <c r="C60" s="25" t="s">
        <v>5</v>
      </c>
      <c r="D60" s="36">
        <v>0</v>
      </c>
      <c r="E60" s="36">
        <v>0</v>
      </c>
      <c r="F60" s="36">
        <v>0</v>
      </c>
      <c r="G60" s="36">
        <v>51546.977728647253</v>
      </c>
      <c r="H60" s="36">
        <v>56839.799828913543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7">
        <f>SUM(D60:O60)</f>
        <v>108386.7775575608</v>
      </c>
    </row>
    <row r="61" spans="1:16" x14ac:dyDescent="0.25">
      <c r="A61" s="21"/>
      <c r="B61" s="22"/>
      <c r="C61" s="23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36"/>
      <c r="P61" s="36"/>
    </row>
    <row r="62" spans="1:16" x14ac:dyDescent="0.25">
      <c r="A62" s="21">
        <v>13</v>
      </c>
      <c r="B62" s="29" t="s">
        <v>38</v>
      </c>
      <c r="C62" s="30"/>
      <c r="D62" s="45">
        <f>D60+D58+D56+D50+D46+D44</f>
        <v>6169169.8813672625</v>
      </c>
      <c r="E62" s="45">
        <f t="shared" ref="E62:O62" si="12">E60+E58+E56+E50+E46+E44</f>
        <v>5331057.7128410861</v>
      </c>
      <c r="F62" s="45">
        <f t="shared" si="12"/>
        <v>6249060.6696191253</v>
      </c>
      <c r="G62" s="45">
        <f t="shared" si="12"/>
        <v>6823226.9638712322</v>
      </c>
      <c r="H62" s="45">
        <f t="shared" si="12"/>
        <v>6557544.1502325833</v>
      </c>
      <c r="I62" s="45">
        <f t="shared" si="12"/>
        <v>4900002.5368296262</v>
      </c>
      <c r="J62" s="45">
        <f t="shared" si="12"/>
        <v>5463189.1967888605</v>
      </c>
      <c r="K62" s="45">
        <f t="shared" si="12"/>
        <v>5465953.2555412902</v>
      </c>
      <c r="L62" s="45">
        <f t="shared" si="12"/>
        <v>6229735.7469734112</v>
      </c>
      <c r="M62" s="45">
        <f t="shared" si="12"/>
        <v>6308669.4626731686</v>
      </c>
      <c r="N62" s="45">
        <f t="shared" si="12"/>
        <v>6490311.1724100579</v>
      </c>
      <c r="O62" s="45">
        <f t="shared" si="12"/>
        <v>6742759.1698439214</v>
      </c>
      <c r="P62" s="45">
        <f>SUM(D62:O62)</f>
        <v>72730679.918991625</v>
      </c>
    </row>
    <row r="63" spans="1:16" x14ac:dyDescent="0.25">
      <c r="A63" s="24"/>
      <c r="B63" s="30"/>
      <c r="C63" s="30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37"/>
      <c r="P63" s="37"/>
    </row>
    <row r="64" spans="1:16" x14ac:dyDescent="0.25">
      <c r="A64" s="21">
        <v>14</v>
      </c>
      <c r="B64" s="28" t="s">
        <v>39</v>
      </c>
      <c r="C64" s="25" t="s">
        <v>7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7">
        <f t="shared" ref="P64:P66" si="13">SUM(D64:O64)</f>
        <v>0</v>
      </c>
    </row>
    <row r="65" spans="1:16" x14ac:dyDescent="0.25">
      <c r="A65" s="21">
        <v>15</v>
      </c>
      <c r="B65" s="28" t="s">
        <v>40</v>
      </c>
      <c r="C65" s="25" t="s">
        <v>8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7">
        <f t="shared" si="13"/>
        <v>0</v>
      </c>
    </row>
    <row r="66" spans="1:16" x14ac:dyDescent="0.25">
      <c r="A66" s="21">
        <v>16</v>
      </c>
      <c r="B66" s="29" t="s">
        <v>41</v>
      </c>
      <c r="C66" s="31"/>
      <c r="D66" s="46">
        <f t="shared" ref="D66:O66" si="14">SUM(D64:D65)</f>
        <v>0</v>
      </c>
      <c r="E66" s="46">
        <f t="shared" si="14"/>
        <v>0</v>
      </c>
      <c r="F66" s="46">
        <f t="shared" si="14"/>
        <v>0</v>
      </c>
      <c r="G66" s="46">
        <f t="shared" si="14"/>
        <v>0</v>
      </c>
      <c r="H66" s="46">
        <f t="shared" si="14"/>
        <v>0</v>
      </c>
      <c r="I66" s="46">
        <f t="shared" si="14"/>
        <v>0</v>
      </c>
      <c r="J66" s="46">
        <f t="shared" si="14"/>
        <v>0</v>
      </c>
      <c r="K66" s="46">
        <f t="shared" si="14"/>
        <v>0</v>
      </c>
      <c r="L66" s="46">
        <f t="shared" si="14"/>
        <v>0</v>
      </c>
      <c r="M66" s="46">
        <f t="shared" si="14"/>
        <v>0</v>
      </c>
      <c r="N66" s="46">
        <f t="shared" si="14"/>
        <v>0</v>
      </c>
      <c r="O66" s="37">
        <f t="shared" si="14"/>
        <v>0</v>
      </c>
      <c r="P66" s="37">
        <f t="shared" si="13"/>
        <v>0</v>
      </c>
    </row>
    <row r="67" spans="1:16" x14ac:dyDescent="0.25">
      <c r="A67" s="21"/>
      <c r="B67" s="22"/>
      <c r="C67" s="32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6"/>
      <c r="P67" s="36"/>
    </row>
    <row r="68" spans="1:16" ht="15.75" thickBot="1" x14ac:dyDescent="0.3">
      <c r="A68" s="21">
        <v>17</v>
      </c>
      <c r="B68" s="33" t="s">
        <v>42</v>
      </c>
      <c r="C68" s="31"/>
      <c r="D68" s="48">
        <f t="shared" ref="D68:O68" si="15">+D66+D62</f>
        <v>6169169.8813672625</v>
      </c>
      <c r="E68" s="48">
        <f t="shared" si="15"/>
        <v>5331057.7128410861</v>
      </c>
      <c r="F68" s="48">
        <f t="shared" si="15"/>
        <v>6249060.6696191253</v>
      </c>
      <c r="G68" s="48">
        <f t="shared" si="15"/>
        <v>6823226.9638712322</v>
      </c>
      <c r="H68" s="48">
        <f t="shared" si="15"/>
        <v>6557544.1502325833</v>
      </c>
      <c r="I68" s="48">
        <f t="shared" si="15"/>
        <v>4900002.5368296262</v>
      </c>
      <c r="J68" s="48">
        <f t="shared" si="15"/>
        <v>5463189.1967888605</v>
      </c>
      <c r="K68" s="48">
        <f t="shared" si="15"/>
        <v>5465953.2555412902</v>
      </c>
      <c r="L68" s="48">
        <f t="shared" si="15"/>
        <v>6229735.7469734112</v>
      </c>
      <c r="M68" s="48">
        <f t="shared" si="15"/>
        <v>6308669.4626731686</v>
      </c>
      <c r="N68" s="48">
        <f t="shared" si="15"/>
        <v>6490311.1724100579</v>
      </c>
      <c r="O68" s="48">
        <f t="shared" si="15"/>
        <v>6742759.1698439214</v>
      </c>
      <c r="P68" s="48">
        <f>SUM(D68:O68)</f>
        <v>72730679.918991625</v>
      </c>
    </row>
    <row r="69" spans="1:16" ht="15.75" thickTop="1" x14ac:dyDescent="0.25"/>
  </sheetData>
  <mergeCells count="8">
    <mergeCell ref="B1:O1"/>
    <mergeCell ref="B36:O36"/>
    <mergeCell ref="B39:O39"/>
    <mergeCell ref="B2:O2"/>
    <mergeCell ref="B3:O3"/>
    <mergeCell ref="B4:O4"/>
    <mergeCell ref="B37:O37"/>
    <mergeCell ref="B38:O38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69"/>
  <sheetViews>
    <sheetView tabSelected="1" topLeftCell="A19" zoomScale="80" zoomScaleNormal="80" workbookViewId="0">
      <selection activeCell="A35" sqref="A35:XFD35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90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17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</row>
    <row r="6" spans="1:17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8"/>
      <c r="Q6" s="8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18</v>
      </c>
      <c r="E7" s="19" t="s">
        <v>19</v>
      </c>
      <c r="F7" s="19" t="s">
        <v>20</v>
      </c>
      <c r="G7" s="19" t="s">
        <v>21</v>
      </c>
      <c r="H7" s="19" t="s">
        <v>22</v>
      </c>
      <c r="I7" s="19" t="s">
        <v>23</v>
      </c>
      <c r="J7" s="19" t="s">
        <v>24</v>
      </c>
      <c r="K7" s="19" t="s">
        <v>25</v>
      </c>
      <c r="L7" s="19" t="s">
        <v>26</v>
      </c>
      <c r="M7" s="19" t="s">
        <v>27</v>
      </c>
      <c r="N7" s="19" t="s">
        <v>28</v>
      </c>
      <c r="O7" s="19" t="s">
        <v>29</v>
      </c>
      <c r="P7" s="20" t="s">
        <v>10</v>
      </c>
      <c r="Q7" s="8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3061397.5315810898</v>
      </c>
      <c r="E9" s="36">
        <v>1585882.2761881836</v>
      </c>
      <c r="F9" s="36">
        <v>3594761.9715041183</v>
      </c>
      <c r="G9" s="36">
        <v>3923623.5384485894</v>
      </c>
      <c r="H9" s="36">
        <v>3604148.1030964907</v>
      </c>
      <c r="I9" s="36">
        <v>1779083.4848213773</v>
      </c>
      <c r="J9" s="36">
        <v>2287300.9969160371</v>
      </c>
      <c r="K9" s="36">
        <v>2145109.6563734873</v>
      </c>
      <c r="L9" s="36">
        <v>2882644.9648786923</v>
      </c>
      <c r="M9" s="36">
        <v>3019647.124104111</v>
      </c>
      <c r="N9" s="36">
        <v>3134045.8478321689</v>
      </c>
      <c r="O9" s="36">
        <v>3347089.3147674669</v>
      </c>
      <c r="P9" s="37">
        <f>SUM(D9:O9)</f>
        <v>34364734.810511813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30</v>
      </c>
      <c r="C11" s="23" t="s">
        <v>5</v>
      </c>
      <c r="D11" s="36">
        <v>120571.83606369633</v>
      </c>
      <c r="E11" s="36">
        <v>99220.006441006597</v>
      </c>
      <c r="F11" s="36">
        <v>100273.88759197408</v>
      </c>
      <c r="G11" s="36">
        <v>111429.70320936786</v>
      </c>
      <c r="H11" s="36">
        <v>109810.32190651989</v>
      </c>
      <c r="I11" s="36">
        <v>80025.341655054857</v>
      </c>
      <c r="J11" s="36">
        <v>95277.463437290862</v>
      </c>
      <c r="K11" s="36">
        <v>92981.840202657884</v>
      </c>
      <c r="L11" s="36">
        <v>116983.55698683779</v>
      </c>
      <c r="M11" s="36">
        <v>126500.38481095787</v>
      </c>
      <c r="N11" s="36">
        <v>121689.6182979514</v>
      </c>
      <c r="O11" s="36">
        <v>138298.28843145591</v>
      </c>
      <c r="P11" s="37">
        <f>SUM(D11:O11)</f>
        <v>1313062.249034771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31</v>
      </c>
      <c r="C13" s="25" t="s">
        <v>5</v>
      </c>
      <c r="D13" s="39">
        <v>1653320.2448772513</v>
      </c>
      <c r="E13" s="39">
        <v>1460322.9503531407</v>
      </c>
      <c r="F13" s="39">
        <v>1172219.5907443359</v>
      </c>
      <c r="G13" s="39">
        <v>1141909.7946859698</v>
      </c>
      <c r="H13" s="39">
        <v>1109611.311756399</v>
      </c>
      <c r="I13" s="39">
        <v>1038587.2173179582</v>
      </c>
      <c r="J13" s="39">
        <v>1282821.4893683877</v>
      </c>
      <c r="K13" s="39">
        <v>1213819.0997141066</v>
      </c>
      <c r="L13" s="39">
        <v>1493831.2813519351</v>
      </c>
      <c r="M13" s="39">
        <v>1612930.1505351942</v>
      </c>
      <c r="N13" s="39">
        <v>1540963.6268375223</v>
      </c>
      <c r="O13" s="39">
        <v>1770226.293758709</v>
      </c>
      <c r="P13" s="37">
        <f t="shared" ref="P13:P15" si="0">SUM(D13:O13)</f>
        <v>16490563.051300909</v>
      </c>
    </row>
    <row r="14" spans="1:17" x14ac:dyDescent="0.25">
      <c r="A14" s="21">
        <v>4</v>
      </c>
      <c r="B14" s="22" t="s">
        <v>32</v>
      </c>
      <c r="C14" s="25" t="s">
        <v>5</v>
      </c>
      <c r="D14" s="40">
        <v>207402.92354534735</v>
      </c>
      <c r="E14" s="40">
        <v>223989.88101331802</v>
      </c>
      <c r="F14" s="40">
        <v>122554.8503128436</v>
      </c>
      <c r="G14" s="40">
        <v>153711.91416102764</v>
      </c>
      <c r="H14" s="40">
        <v>146784.17275304053</v>
      </c>
      <c r="I14" s="40">
        <v>162963.63146550686</v>
      </c>
      <c r="J14" s="40">
        <v>192727.88099475682</v>
      </c>
      <c r="K14" s="40">
        <v>161339.57604168213</v>
      </c>
      <c r="L14" s="40">
        <v>167093.3156223697</v>
      </c>
      <c r="M14" s="40">
        <v>176163.19916406809</v>
      </c>
      <c r="N14" s="40">
        <v>178586.37176500601</v>
      </c>
      <c r="O14" s="40">
        <v>210860.95269527551</v>
      </c>
      <c r="P14" s="40">
        <f t="shared" si="0"/>
        <v>2104178.6695342427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1860723.1684225986</v>
      </c>
      <c r="E15" s="41">
        <f t="shared" ref="E15:O15" si="1">SUM(E13:E14)</f>
        <v>1684312.8313664587</v>
      </c>
      <c r="F15" s="41">
        <f t="shared" si="1"/>
        <v>1294774.4410571796</v>
      </c>
      <c r="G15" s="41">
        <f t="shared" si="1"/>
        <v>1295621.7088469975</v>
      </c>
      <c r="H15" s="41">
        <f t="shared" si="1"/>
        <v>1256395.4845094394</v>
      </c>
      <c r="I15" s="41">
        <f t="shared" si="1"/>
        <v>1201550.8487834651</v>
      </c>
      <c r="J15" s="41">
        <f t="shared" si="1"/>
        <v>1475549.3703631447</v>
      </c>
      <c r="K15" s="41">
        <f t="shared" si="1"/>
        <v>1375158.6757557888</v>
      </c>
      <c r="L15" s="41">
        <f t="shared" si="1"/>
        <v>1660924.5969743049</v>
      </c>
      <c r="M15" s="41">
        <f t="shared" si="1"/>
        <v>1789093.3496992623</v>
      </c>
      <c r="N15" s="41">
        <f t="shared" si="1"/>
        <v>1719549.9986025284</v>
      </c>
      <c r="O15" s="41">
        <f t="shared" si="1"/>
        <v>1981087.2464539844</v>
      </c>
      <c r="P15" s="41">
        <f t="shared" si="0"/>
        <v>18594741.720835153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33</v>
      </c>
      <c r="C17" s="25" t="s">
        <v>7</v>
      </c>
      <c r="D17" s="36">
        <v>31638.965042828568</v>
      </c>
      <c r="E17" s="36">
        <v>33036.013652927402</v>
      </c>
      <c r="F17" s="36">
        <v>31663.628846258976</v>
      </c>
      <c r="G17" s="36">
        <v>30707.260181094793</v>
      </c>
      <c r="H17" s="36">
        <v>31204.652525710721</v>
      </c>
      <c r="I17" s="36">
        <v>31577.160609335933</v>
      </c>
      <c r="J17" s="36">
        <v>37966.085056906159</v>
      </c>
      <c r="K17" s="36">
        <v>36528.051860931846</v>
      </c>
      <c r="L17" s="36">
        <v>33655.494934940645</v>
      </c>
      <c r="M17" s="36">
        <v>34004.001592942055</v>
      </c>
      <c r="N17" s="36">
        <v>33348.3229184718</v>
      </c>
      <c r="O17" s="36">
        <v>37289.985201134485</v>
      </c>
      <c r="P17" s="37">
        <f t="shared" ref="P17:P21" si="2">SUM(D17:O17)</f>
        <v>402619.62242348335</v>
      </c>
    </row>
    <row r="18" spans="1:16" x14ac:dyDescent="0.25">
      <c r="A18" s="21">
        <v>7</v>
      </c>
      <c r="B18" s="22" t="s">
        <v>34</v>
      </c>
      <c r="C18" s="25" t="s">
        <v>7</v>
      </c>
      <c r="D18" s="39">
        <v>482523.53983890207</v>
      </c>
      <c r="E18" s="39">
        <v>533806.9078067455</v>
      </c>
      <c r="F18" s="39">
        <v>292826.35786001926</v>
      </c>
      <c r="G18" s="39">
        <v>447961.81910311832</v>
      </c>
      <c r="H18" s="39">
        <v>408889.0279869946</v>
      </c>
      <c r="I18" s="39">
        <v>436708.88324031484</v>
      </c>
      <c r="J18" s="39">
        <v>502797.6687105397</v>
      </c>
      <c r="K18" s="39">
        <v>461849.47364748234</v>
      </c>
      <c r="L18" s="39">
        <v>461154.71552774386</v>
      </c>
      <c r="M18" s="39">
        <v>464814.92816236266</v>
      </c>
      <c r="N18" s="39">
        <v>417054.94588600064</v>
      </c>
      <c r="O18" s="39">
        <v>452244.24275352142</v>
      </c>
      <c r="P18" s="42">
        <f t="shared" si="2"/>
        <v>5362632.5105237458</v>
      </c>
    </row>
    <row r="19" spans="1:16" x14ac:dyDescent="0.25">
      <c r="A19" s="21">
        <v>8</v>
      </c>
      <c r="B19" s="22" t="s">
        <v>35</v>
      </c>
      <c r="C19" s="25" t="s">
        <v>7</v>
      </c>
      <c r="D19" s="39">
        <v>830.74211142884837</v>
      </c>
      <c r="E19" s="39">
        <v>772.24607610548242</v>
      </c>
      <c r="F19" s="39">
        <v>264.47046946564325</v>
      </c>
      <c r="G19" s="39">
        <v>574.43043538467157</v>
      </c>
      <c r="H19" s="39">
        <v>377.61318121007486</v>
      </c>
      <c r="I19" s="39">
        <v>863.367516650472</v>
      </c>
      <c r="J19" s="39">
        <v>445.43308104934181</v>
      </c>
      <c r="K19" s="39">
        <v>963.38315411541191</v>
      </c>
      <c r="L19" s="39">
        <v>914.70029949089576</v>
      </c>
      <c r="M19" s="39">
        <v>1001.3506609605848</v>
      </c>
      <c r="N19" s="39">
        <v>690.98384436652782</v>
      </c>
      <c r="O19" s="39">
        <v>859.80619379739971</v>
      </c>
      <c r="P19" s="42">
        <f t="shared" si="2"/>
        <v>8558.527024025354</v>
      </c>
    </row>
    <row r="20" spans="1:16" x14ac:dyDescent="0.25">
      <c r="A20" s="21">
        <v>9</v>
      </c>
      <c r="B20" s="22" t="s">
        <v>36</v>
      </c>
      <c r="C20" s="25" t="s">
        <v>7</v>
      </c>
      <c r="D20" s="39">
        <v>63369.306760292457</v>
      </c>
      <c r="E20" s="39">
        <v>62967.974229010091</v>
      </c>
      <c r="F20" s="39">
        <v>51735.945404404905</v>
      </c>
      <c r="G20" s="39">
        <v>67446.107127747673</v>
      </c>
      <c r="H20" s="39">
        <v>78233.635784925485</v>
      </c>
      <c r="I20" s="39">
        <v>60350.613342542994</v>
      </c>
      <c r="J20" s="39">
        <v>84614.109555199801</v>
      </c>
      <c r="K20" s="39">
        <v>62419.369237783445</v>
      </c>
      <c r="L20" s="39">
        <v>44417.571321975913</v>
      </c>
      <c r="M20" s="39">
        <v>46100.834269266132</v>
      </c>
      <c r="N20" s="39">
        <v>37957.938993544863</v>
      </c>
      <c r="O20" s="39">
        <v>51059.796018141787</v>
      </c>
      <c r="P20" s="42">
        <f t="shared" si="2"/>
        <v>710673.20204483555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578362.55375345203</v>
      </c>
      <c r="E21" s="43">
        <f t="shared" ref="E21:O21" si="3">SUM(E17:E20)</f>
        <v>630583.14176478842</v>
      </c>
      <c r="F21" s="43">
        <f t="shared" si="3"/>
        <v>376490.40258014877</v>
      </c>
      <c r="G21" s="43">
        <f t="shared" si="3"/>
        <v>546689.61684734549</v>
      </c>
      <c r="H21" s="43">
        <f t="shared" si="3"/>
        <v>518704.92947884084</v>
      </c>
      <c r="I21" s="43">
        <f t="shared" si="3"/>
        <v>529500.02470884426</v>
      </c>
      <c r="J21" s="43">
        <f t="shared" si="3"/>
        <v>625823.29640369513</v>
      </c>
      <c r="K21" s="43">
        <f t="shared" si="3"/>
        <v>561760.27790031303</v>
      </c>
      <c r="L21" s="43">
        <f t="shared" si="3"/>
        <v>540142.48208415136</v>
      </c>
      <c r="M21" s="43">
        <f t="shared" si="3"/>
        <v>545921.11468553147</v>
      </c>
      <c r="N21" s="43">
        <f t="shared" si="3"/>
        <v>489052.19164238381</v>
      </c>
      <c r="O21" s="43">
        <f t="shared" si="3"/>
        <v>541453.83016659506</v>
      </c>
      <c r="P21" s="43">
        <f t="shared" si="2"/>
        <v>6484483.8620160902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37</v>
      </c>
      <c r="C23" s="25" t="s">
        <v>8</v>
      </c>
      <c r="D23" s="36">
        <v>840419.16534223605</v>
      </c>
      <c r="E23" s="36">
        <v>1120983.1542197496</v>
      </c>
      <c r="F23" s="36">
        <v>735641.15259994718</v>
      </c>
      <c r="G23" s="36">
        <v>1211139.6715550264</v>
      </c>
      <c r="H23" s="36">
        <v>1273472.6940247968</v>
      </c>
      <c r="I23" s="36">
        <v>1330172.3209615443</v>
      </c>
      <c r="J23" s="36">
        <v>1223405.9713596038</v>
      </c>
      <c r="K23" s="36">
        <v>1241190.2600442523</v>
      </c>
      <c r="L23" s="36">
        <v>919374.0202370435</v>
      </c>
      <c r="M23" s="36">
        <v>868958.49782680499</v>
      </c>
      <c r="N23" s="36">
        <v>929605.64155323524</v>
      </c>
      <c r="O23" s="36">
        <v>897798.19040659675</v>
      </c>
      <c r="P23" s="37">
        <f>SUM(D23:O23)</f>
        <v>12592160.740130836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0</v>
      </c>
      <c r="E25" s="36">
        <v>0</v>
      </c>
      <c r="F25" s="36">
        <v>1038.9274566372926</v>
      </c>
      <c r="G25" s="36">
        <v>26544.321393424645</v>
      </c>
      <c r="H25" s="36">
        <v>29320.436332827881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7">
        <f>SUM(D25:O25)</f>
        <v>56903.685182889822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38</v>
      </c>
      <c r="C27" s="30"/>
      <c r="D27" s="45">
        <f>D25+D23+D21+D15+D11+D9</f>
        <v>6461474.2551630735</v>
      </c>
      <c r="E27" s="45">
        <f t="shared" ref="E27:O27" si="4">E25+E23+E21+E15+E11+E9</f>
        <v>5120981.4099801872</v>
      </c>
      <c r="F27" s="45">
        <f t="shared" si="4"/>
        <v>6102980.7827900052</v>
      </c>
      <c r="G27" s="45">
        <f t="shared" si="4"/>
        <v>7115048.5603007516</v>
      </c>
      <c r="H27" s="45">
        <f t="shared" si="4"/>
        <v>6791851.9693489159</v>
      </c>
      <c r="I27" s="45">
        <f t="shared" si="4"/>
        <v>4920332.0209302865</v>
      </c>
      <c r="J27" s="45">
        <f t="shared" si="4"/>
        <v>5707357.098479772</v>
      </c>
      <c r="K27" s="45">
        <f t="shared" si="4"/>
        <v>5416200.7102764994</v>
      </c>
      <c r="L27" s="45">
        <f t="shared" si="4"/>
        <v>6120069.6211610297</v>
      </c>
      <c r="M27" s="45">
        <f t="shared" si="4"/>
        <v>6350120.4711266682</v>
      </c>
      <c r="N27" s="45">
        <f t="shared" si="4"/>
        <v>6393943.2979282681</v>
      </c>
      <c r="O27" s="45">
        <f t="shared" si="4"/>
        <v>6905726.8702260982</v>
      </c>
      <c r="P27" s="45">
        <f>SUM(D27:O27)</f>
        <v>73406087.067711547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39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5">SUM(D29:O29)</f>
        <v>0</v>
      </c>
    </row>
    <row r="30" spans="1:16" x14ac:dyDescent="0.25">
      <c r="A30" s="21">
        <v>15</v>
      </c>
      <c r="B30" s="28" t="s">
        <v>40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5"/>
        <v>0</v>
      </c>
    </row>
    <row r="31" spans="1:16" x14ac:dyDescent="0.25">
      <c r="A31" s="21">
        <v>16</v>
      </c>
      <c r="B31" s="29" t="s">
        <v>41</v>
      </c>
      <c r="C31" s="31"/>
      <c r="D31" s="46">
        <f t="shared" ref="D31:O31" si="6">SUM(D29:D30)</f>
        <v>0</v>
      </c>
      <c r="E31" s="46">
        <f t="shared" si="6"/>
        <v>0</v>
      </c>
      <c r="F31" s="46">
        <f t="shared" si="6"/>
        <v>0</v>
      </c>
      <c r="G31" s="46">
        <f t="shared" si="6"/>
        <v>0</v>
      </c>
      <c r="H31" s="46">
        <f t="shared" si="6"/>
        <v>0</v>
      </c>
      <c r="I31" s="46">
        <f t="shared" si="6"/>
        <v>0</v>
      </c>
      <c r="J31" s="46">
        <f t="shared" si="6"/>
        <v>0</v>
      </c>
      <c r="K31" s="46">
        <f t="shared" si="6"/>
        <v>0</v>
      </c>
      <c r="L31" s="46">
        <f t="shared" si="6"/>
        <v>0</v>
      </c>
      <c r="M31" s="46">
        <f t="shared" si="6"/>
        <v>0</v>
      </c>
      <c r="N31" s="46">
        <f t="shared" si="6"/>
        <v>0</v>
      </c>
      <c r="O31" s="37">
        <f t="shared" si="6"/>
        <v>0</v>
      </c>
      <c r="P31" s="37">
        <f t="shared" si="5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42</v>
      </c>
      <c r="C33" s="31"/>
      <c r="D33" s="48">
        <f t="shared" ref="D33:O33" si="7">+D31+D27</f>
        <v>6461474.2551630735</v>
      </c>
      <c r="E33" s="48">
        <f t="shared" si="7"/>
        <v>5120981.4099801872</v>
      </c>
      <c r="F33" s="48">
        <f t="shared" si="7"/>
        <v>6102980.7827900052</v>
      </c>
      <c r="G33" s="48">
        <f t="shared" si="7"/>
        <v>7115048.5603007516</v>
      </c>
      <c r="H33" s="48">
        <f t="shared" si="7"/>
        <v>6791851.9693489159</v>
      </c>
      <c r="I33" s="48">
        <f t="shared" si="7"/>
        <v>4920332.0209302865</v>
      </c>
      <c r="J33" s="48">
        <f t="shared" si="7"/>
        <v>5707357.098479772</v>
      </c>
      <c r="K33" s="48">
        <f t="shared" si="7"/>
        <v>5416200.7102764994</v>
      </c>
      <c r="L33" s="48">
        <f t="shared" si="7"/>
        <v>6120069.6211610297</v>
      </c>
      <c r="M33" s="48">
        <f t="shared" si="7"/>
        <v>6350120.4711266682</v>
      </c>
      <c r="N33" s="48">
        <f t="shared" si="7"/>
        <v>6393943.2979282681</v>
      </c>
      <c r="O33" s="48">
        <f t="shared" si="7"/>
        <v>6905726.8702260982</v>
      </c>
      <c r="P33" s="48">
        <f>SUM(D33:O33)</f>
        <v>73406087.067711547</v>
      </c>
    </row>
    <row r="34" spans="1:16" ht="15.75" thickTop="1" x14ac:dyDescent="0.25"/>
    <row r="36" spans="1:16" x14ac:dyDescent="0.25">
      <c r="A36" s="10"/>
      <c r="B36" s="54" t="s">
        <v>13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11"/>
    </row>
    <row r="37" spans="1:16" x14ac:dyDescent="0.25">
      <c r="A37" s="10"/>
      <c r="B37" s="54" t="s">
        <v>14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91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3" t="s">
        <v>6</v>
      </c>
    </row>
    <row r="39" spans="1:16" x14ac:dyDescent="0.25">
      <c r="A39" s="10"/>
      <c r="B39" s="55" t="s">
        <v>17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8" t="s">
        <v>6</v>
      </c>
    </row>
    <row r="40" spans="1:16" x14ac:dyDescent="0.25">
      <c r="A40" s="10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8"/>
    </row>
    <row r="41" spans="1:16" x14ac:dyDescent="0.25">
      <c r="A41" s="10"/>
      <c r="B41" s="17"/>
      <c r="C41" s="17"/>
      <c r="D41" s="14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8"/>
    </row>
    <row r="42" spans="1:16" x14ac:dyDescent="0.25">
      <c r="A42" s="15" t="s">
        <v>0</v>
      </c>
      <c r="B42" s="17" t="s">
        <v>1</v>
      </c>
      <c r="C42" s="34" t="s">
        <v>2</v>
      </c>
      <c r="D42" s="19" t="s">
        <v>18</v>
      </c>
      <c r="E42" s="19" t="s">
        <v>19</v>
      </c>
      <c r="F42" s="19" t="s">
        <v>20</v>
      </c>
      <c r="G42" s="19" t="s">
        <v>21</v>
      </c>
      <c r="H42" s="19" t="s">
        <v>22</v>
      </c>
      <c r="I42" s="19" t="s">
        <v>23</v>
      </c>
      <c r="J42" s="19" t="s">
        <v>24</v>
      </c>
      <c r="K42" s="19" t="s">
        <v>25</v>
      </c>
      <c r="L42" s="19" t="s">
        <v>26</v>
      </c>
      <c r="M42" s="19" t="s">
        <v>27</v>
      </c>
      <c r="N42" s="19" t="s">
        <v>28</v>
      </c>
      <c r="O42" s="19" t="s">
        <v>29</v>
      </c>
      <c r="P42" s="20" t="s">
        <v>10</v>
      </c>
    </row>
    <row r="43" spans="1:16" x14ac:dyDescent="0.25">
      <c r="A43" s="10"/>
      <c r="B43" s="17"/>
      <c r="C43" s="34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20"/>
      <c r="P43" s="20"/>
    </row>
    <row r="44" spans="1:16" x14ac:dyDescent="0.25">
      <c r="A44" s="21" t="s">
        <v>3</v>
      </c>
      <c r="B44" s="22" t="s">
        <v>4</v>
      </c>
      <c r="C44" s="23" t="s">
        <v>5</v>
      </c>
      <c r="D44" s="36">
        <v>2812569.5072726761</v>
      </c>
      <c r="E44" s="36">
        <v>1456982.9909764931</v>
      </c>
      <c r="F44" s="36">
        <v>3302582.4979136935</v>
      </c>
      <c r="G44" s="36">
        <v>3604714.4509711699</v>
      </c>
      <c r="H44" s="36">
        <v>3311205.7319875518</v>
      </c>
      <c r="I44" s="36">
        <v>1634480.9547542671</v>
      </c>
      <c r="J44" s="36">
        <v>2101390.9404173167</v>
      </c>
      <c r="K44" s="36">
        <v>1970756.802092375</v>
      </c>
      <c r="L44" s="36">
        <v>2648345.8109811866</v>
      </c>
      <c r="M44" s="36">
        <v>2774212.5406342028</v>
      </c>
      <c r="N44" s="36">
        <v>2879313.0245502116</v>
      </c>
      <c r="O44" s="36">
        <v>3075040.4832172375</v>
      </c>
      <c r="P44" s="37">
        <f>SUM(D44:O44)</f>
        <v>31571595.735768378</v>
      </c>
    </row>
    <row r="45" spans="1:16" x14ac:dyDescent="0.25">
      <c r="A45" s="24"/>
      <c r="B45" s="22"/>
      <c r="C45" s="23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7"/>
      <c r="P45" s="37"/>
    </row>
    <row r="46" spans="1:16" x14ac:dyDescent="0.25">
      <c r="A46" s="21">
        <v>2</v>
      </c>
      <c r="B46" s="22" t="s">
        <v>30</v>
      </c>
      <c r="C46" s="23" t="s">
        <v>5</v>
      </c>
      <c r="D46" s="36">
        <v>110771.85045402843</v>
      </c>
      <c r="E46" s="36">
        <v>91155.481033934411</v>
      </c>
      <c r="F46" s="36">
        <v>92123.70353980732</v>
      </c>
      <c r="G46" s="36">
        <v>102372.78308944468</v>
      </c>
      <c r="H46" s="36">
        <v>100885.02384679402</v>
      </c>
      <c r="I46" s="36">
        <v>73520.943760558264</v>
      </c>
      <c r="J46" s="36">
        <v>87533.384877204575</v>
      </c>
      <c r="K46" s="36">
        <v>85424.348124117227</v>
      </c>
      <c r="L46" s="36">
        <v>107475.22392609606</v>
      </c>
      <c r="M46" s="36">
        <v>116218.53134303918</v>
      </c>
      <c r="N46" s="36">
        <v>111798.78021254732</v>
      </c>
      <c r="O46" s="36">
        <v>127057.51047934797</v>
      </c>
      <c r="P46" s="37">
        <f>SUM(D46:O46)</f>
        <v>1206337.5646869198</v>
      </c>
    </row>
    <row r="47" spans="1:16" x14ac:dyDescent="0.25">
      <c r="A47" s="21"/>
      <c r="B47" s="22"/>
      <c r="C47" s="2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7"/>
    </row>
    <row r="48" spans="1:16" x14ac:dyDescent="0.25">
      <c r="A48" s="21">
        <v>3</v>
      </c>
      <c r="B48" s="22" t="s">
        <v>31</v>
      </c>
      <c r="C48" s="25" t="s">
        <v>5</v>
      </c>
      <c r="D48" s="39">
        <v>1518939.6537132408</v>
      </c>
      <c r="E48" s="39">
        <v>1341629.0300634291</v>
      </c>
      <c r="F48" s="39">
        <v>1076942.4887634348</v>
      </c>
      <c r="G48" s="39">
        <v>1049096.2494932977</v>
      </c>
      <c r="H48" s="39">
        <v>1019422.962283204</v>
      </c>
      <c r="I48" s="39">
        <v>954171.65132521628</v>
      </c>
      <c r="J48" s="39">
        <v>1178554.7505842033</v>
      </c>
      <c r="K48" s="39">
        <v>1115160.8218086916</v>
      </c>
      <c r="L48" s="39">
        <v>1372413.8298271289</v>
      </c>
      <c r="M48" s="39">
        <v>1481832.4350098709</v>
      </c>
      <c r="N48" s="39">
        <v>1415715.2947141605</v>
      </c>
      <c r="O48" s="39">
        <v>1626343.6693328333</v>
      </c>
      <c r="P48" s="37">
        <f t="shared" ref="P48:P50" si="8">SUM(D48:O48)</f>
        <v>15150222.836918714</v>
      </c>
    </row>
    <row r="49" spans="1:16" x14ac:dyDescent="0.25">
      <c r="A49" s="21">
        <v>4</v>
      </c>
      <c r="B49" s="22" t="s">
        <v>32</v>
      </c>
      <c r="C49" s="25" t="s">
        <v>5</v>
      </c>
      <c r="D49" s="40">
        <v>190545.37428256852</v>
      </c>
      <c r="E49" s="40">
        <v>205784.15667250179</v>
      </c>
      <c r="F49" s="40">
        <v>112593.68683826251</v>
      </c>
      <c r="G49" s="40">
        <v>141218.32862736468</v>
      </c>
      <c r="H49" s="40">
        <v>134853.66868452096</v>
      </c>
      <c r="I49" s="40">
        <v>149718.07350272112</v>
      </c>
      <c r="J49" s="40">
        <v>177063.10784381453</v>
      </c>
      <c r="K49" s="40">
        <v>148226.02004803266</v>
      </c>
      <c r="L49" s="40">
        <v>153512.10012436696</v>
      </c>
      <c r="M49" s="40">
        <v>161844.79054458835</v>
      </c>
      <c r="N49" s="40">
        <v>164071.00955010796</v>
      </c>
      <c r="O49" s="40">
        <v>193722.33749692276</v>
      </c>
      <c r="P49" s="40">
        <f t="shared" si="8"/>
        <v>1933152.6542157729</v>
      </c>
    </row>
    <row r="50" spans="1:16" x14ac:dyDescent="0.25">
      <c r="A50" s="21">
        <v>5</v>
      </c>
      <c r="B50" s="26" t="s">
        <v>11</v>
      </c>
      <c r="C50" s="23"/>
      <c r="D50" s="41">
        <f>SUM(D48:D49)</f>
        <v>1709485.0279958092</v>
      </c>
      <c r="E50" s="41">
        <f t="shared" ref="E50:O50" si="9">SUM(E48:E49)</f>
        <v>1547413.1867359309</v>
      </c>
      <c r="F50" s="41">
        <f t="shared" si="9"/>
        <v>1189536.1756016973</v>
      </c>
      <c r="G50" s="41">
        <f t="shared" si="9"/>
        <v>1190314.5781206624</v>
      </c>
      <c r="H50" s="41">
        <f t="shared" si="9"/>
        <v>1154276.6309677248</v>
      </c>
      <c r="I50" s="41">
        <f t="shared" si="9"/>
        <v>1103889.7248279373</v>
      </c>
      <c r="J50" s="41">
        <f t="shared" si="9"/>
        <v>1355617.8584280177</v>
      </c>
      <c r="K50" s="41">
        <f t="shared" si="9"/>
        <v>1263386.8418567243</v>
      </c>
      <c r="L50" s="41">
        <f t="shared" si="9"/>
        <v>1525925.929951496</v>
      </c>
      <c r="M50" s="41">
        <f t="shared" si="9"/>
        <v>1643677.2255544593</v>
      </c>
      <c r="N50" s="41">
        <f t="shared" si="9"/>
        <v>1579786.3042642684</v>
      </c>
      <c r="O50" s="41">
        <f t="shared" si="9"/>
        <v>1820066.0068297561</v>
      </c>
      <c r="P50" s="41">
        <f t="shared" si="8"/>
        <v>17083375.491134483</v>
      </c>
    </row>
    <row r="51" spans="1:16" x14ac:dyDescent="0.25">
      <c r="A51" s="24"/>
      <c r="B51" s="27"/>
      <c r="C51" s="23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36"/>
      <c r="P51" s="36"/>
    </row>
    <row r="52" spans="1:16" x14ac:dyDescent="0.25">
      <c r="A52" s="21">
        <v>6</v>
      </c>
      <c r="B52" s="22" t="s">
        <v>33</v>
      </c>
      <c r="C52" s="25" t="s">
        <v>7</v>
      </c>
      <c r="D52" s="36">
        <v>29796.638861991625</v>
      </c>
      <c r="E52" s="36">
        <v>31112.337806360152</v>
      </c>
      <c r="F52" s="36">
        <v>29819.866500531134</v>
      </c>
      <c r="G52" s="36">
        <v>28919.186857684177</v>
      </c>
      <c r="H52" s="36">
        <v>29387.616215129277</v>
      </c>
      <c r="I52" s="36">
        <v>29738.43327965487</v>
      </c>
      <c r="J52" s="36">
        <v>35755.332828142127</v>
      </c>
      <c r="K52" s="36">
        <v>34401.035816403608</v>
      </c>
      <c r="L52" s="36">
        <v>31695.746903874107</v>
      </c>
      <c r="M52" s="36">
        <v>32023.960137632253</v>
      </c>
      <c r="N52" s="36">
        <v>31406.461409521107</v>
      </c>
      <c r="O52" s="36">
        <v>35118.6020371759</v>
      </c>
      <c r="P52" s="37">
        <f t="shared" ref="P52:P56" si="10">SUM(D52:O52)</f>
        <v>379175.21865410038</v>
      </c>
    </row>
    <row r="53" spans="1:16" x14ac:dyDescent="0.25">
      <c r="A53" s="21">
        <v>7</v>
      </c>
      <c r="B53" s="22" t="s">
        <v>34</v>
      </c>
      <c r="C53" s="25" t="s">
        <v>7</v>
      </c>
      <c r="D53" s="39">
        <v>454426.35811655544</v>
      </c>
      <c r="E53" s="39">
        <v>502723.51299807453</v>
      </c>
      <c r="F53" s="39">
        <v>275775.17856909224</v>
      </c>
      <c r="G53" s="39">
        <v>421877.15463220881</v>
      </c>
      <c r="H53" s="39">
        <v>385079.55886252469</v>
      </c>
      <c r="I53" s="39">
        <v>411279.47339999327</v>
      </c>
      <c r="J53" s="39">
        <v>473519.93135486817</v>
      </c>
      <c r="K53" s="39">
        <v>434956.1357726588</v>
      </c>
      <c r="L53" s="39">
        <v>434301.83318209491</v>
      </c>
      <c r="M53" s="39">
        <v>437748.91287905094</v>
      </c>
      <c r="N53" s="39">
        <v>392769.97813774389</v>
      </c>
      <c r="O53" s="39">
        <v>425910.21420898015</v>
      </c>
      <c r="P53" s="42">
        <f t="shared" si="10"/>
        <v>5050368.2421138454</v>
      </c>
    </row>
    <row r="54" spans="1:16" x14ac:dyDescent="0.25">
      <c r="A54" s="21">
        <v>8</v>
      </c>
      <c r="B54" s="22" t="s">
        <v>35</v>
      </c>
      <c r="C54" s="25" t="s">
        <v>7</v>
      </c>
      <c r="D54" s="39">
        <v>782.368280637059</v>
      </c>
      <c r="E54" s="39">
        <v>727.2784495686526</v>
      </c>
      <c r="F54" s="39">
        <v>249.07044391818206</v>
      </c>
      <c r="G54" s="39">
        <v>540.98154637246216</v>
      </c>
      <c r="H54" s="39">
        <v>355.62489401323643</v>
      </c>
      <c r="I54" s="39">
        <v>813.09391960151061</v>
      </c>
      <c r="J54" s="39">
        <v>419.4956641358238</v>
      </c>
      <c r="K54" s="39">
        <v>907.28568049067349</v>
      </c>
      <c r="L54" s="39">
        <v>861.43761194437502</v>
      </c>
      <c r="M54" s="39">
        <v>943.04235231683492</v>
      </c>
      <c r="N54" s="39">
        <v>650.74808996405056</v>
      </c>
      <c r="O54" s="39">
        <v>809.73997136773278</v>
      </c>
      <c r="P54" s="42">
        <f t="shared" si="10"/>
        <v>8060.1669043305938</v>
      </c>
    </row>
    <row r="55" spans="1:16" x14ac:dyDescent="0.25">
      <c r="A55" s="21">
        <v>9</v>
      </c>
      <c r="B55" s="22" t="s">
        <v>36</v>
      </c>
      <c r="C55" s="25" t="s">
        <v>7</v>
      </c>
      <c r="D55" s="39">
        <v>59679.333565912108</v>
      </c>
      <c r="E55" s="39">
        <v>59301.370491519439</v>
      </c>
      <c r="F55" s="39">
        <v>48723.378887773848</v>
      </c>
      <c r="G55" s="39">
        <v>63518.743233613357</v>
      </c>
      <c r="H55" s="39">
        <v>73678.117763601971</v>
      </c>
      <c r="I55" s="39">
        <v>56836.41763986984</v>
      </c>
      <c r="J55" s="39">
        <v>79687.058714860003</v>
      </c>
      <c r="K55" s="39">
        <v>58784.710582469364</v>
      </c>
      <c r="L55" s="39">
        <v>41831.151240759733</v>
      </c>
      <c r="M55" s="39">
        <v>43416.398358744933</v>
      </c>
      <c r="N55" s="39">
        <v>35747.661107281638</v>
      </c>
      <c r="O55" s="39">
        <v>48086.60145045985</v>
      </c>
      <c r="P55" s="42">
        <f t="shared" si="10"/>
        <v>669290.94303686603</v>
      </c>
    </row>
    <row r="56" spans="1:16" x14ac:dyDescent="0.25">
      <c r="A56" s="21">
        <v>10</v>
      </c>
      <c r="B56" s="22" t="s">
        <v>12</v>
      </c>
      <c r="C56" s="25"/>
      <c r="D56" s="43">
        <f>SUM(D52:D55)</f>
        <v>544684.69882509625</v>
      </c>
      <c r="E56" s="43">
        <f t="shared" ref="E56:O56" si="11">SUM(E52:E55)</f>
        <v>593864.49974552274</v>
      </c>
      <c r="F56" s="43">
        <f t="shared" si="11"/>
        <v>354567.4944013154</v>
      </c>
      <c r="G56" s="43">
        <f t="shared" si="11"/>
        <v>514856.06626987882</v>
      </c>
      <c r="H56" s="43">
        <f t="shared" si="11"/>
        <v>488500.91773526918</v>
      </c>
      <c r="I56" s="43">
        <f t="shared" si="11"/>
        <v>498667.41823911952</v>
      </c>
      <c r="J56" s="43">
        <f t="shared" si="11"/>
        <v>589381.81856200611</v>
      </c>
      <c r="K56" s="43">
        <f t="shared" si="11"/>
        <v>529049.16785202245</v>
      </c>
      <c r="L56" s="43">
        <f t="shared" si="11"/>
        <v>508690.1689386731</v>
      </c>
      <c r="M56" s="43">
        <f t="shared" si="11"/>
        <v>514132.31372774497</v>
      </c>
      <c r="N56" s="43">
        <f t="shared" si="11"/>
        <v>460574.84874451067</v>
      </c>
      <c r="O56" s="43">
        <f t="shared" si="11"/>
        <v>509925.15766798367</v>
      </c>
      <c r="P56" s="43">
        <f t="shared" si="10"/>
        <v>6106894.5707091419</v>
      </c>
    </row>
    <row r="57" spans="1:16" x14ac:dyDescent="0.25">
      <c r="A57" s="21"/>
      <c r="B57" s="22"/>
      <c r="C57" s="25"/>
      <c r="D57" s="44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7"/>
    </row>
    <row r="58" spans="1:16" x14ac:dyDescent="0.25">
      <c r="A58" s="21">
        <v>11</v>
      </c>
      <c r="B58" s="26" t="s">
        <v>37</v>
      </c>
      <c r="C58" s="25" t="s">
        <v>8</v>
      </c>
      <c r="D58" s="36">
        <v>818053.58045266033</v>
      </c>
      <c r="E58" s="36">
        <v>1091151.0835942819</v>
      </c>
      <c r="F58" s="36">
        <v>716063.96382886602</v>
      </c>
      <c r="G58" s="36">
        <v>1178908.3181371568</v>
      </c>
      <c r="H58" s="36">
        <v>1239582.5082492621</v>
      </c>
      <c r="I58" s="36">
        <v>1294773.221096759</v>
      </c>
      <c r="J58" s="36">
        <v>1190848.182062028</v>
      </c>
      <c r="K58" s="36">
        <v>1208159.1878484751</v>
      </c>
      <c r="L58" s="36">
        <v>894907.25586178247</v>
      </c>
      <c r="M58" s="36">
        <v>845833.4123336043</v>
      </c>
      <c r="N58" s="36">
        <v>904866.58900970989</v>
      </c>
      <c r="O58" s="36">
        <v>873905.61100180738</v>
      </c>
      <c r="P58" s="37">
        <f>SUM(D58:O58)</f>
        <v>12257052.913476393</v>
      </c>
    </row>
    <row r="59" spans="1:16" x14ac:dyDescent="0.25">
      <c r="A59" s="24"/>
      <c r="B59" s="22"/>
      <c r="C59" s="23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36"/>
    </row>
    <row r="60" spans="1:16" x14ac:dyDescent="0.25">
      <c r="A60" s="21">
        <v>12</v>
      </c>
      <c r="B60" s="28" t="s">
        <v>9</v>
      </c>
      <c r="C60" s="25" t="s">
        <v>5</v>
      </c>
      <c r="D60" s="36">
        <v>0</v>
      </c>
      <c r="E60" s="36">
        <v>0</v>
      </c>
      <c r="F60" s="36">
        <v>954.48423625574674</v>
      </c>
      <c r="G60" s="36">
        <v>24386.819474514359</v>
      </c>
      <c r="H60" s="36">
        <v>26937.29393812221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7">
        <f>SUM(D60:O60)</f>
        <v>52278.597648892319</v>
      </c>
    </row>
    <row r="61" spans="1:16" x14ac:dyDescent="0.25">
      <c r="A61" s="21"/>
      <c r="B61" s="22"/>
      <c r="C61" s="23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36"/>
      <c r="P61" s="36"/>
    </row>
    <row r="62" spans="1:16" x14ac:dyDescent="0.25">
      <c r="A62" s="21">
        <v>13</v>
      </c>
      <c r="B62" s="29" t="s">
        <v>38</v>
      </c>
      <c r="C62" s="30"/>
      <c r="D62" s="45">
        <f>D60+D58+D56+D50+D46+D44</f>
        <v>5995564.6650002701</v>
      </c>
      <c r="E62" s="45">
        <f t="shared" ref="E62:O62" si="12">E60+E58+E56+E50+E46+E44</f>
        <v>4780567.2420861628</v>
      </c>
      <c r="F62" s="45">
        <f t="shared" si="12"/>
        <v>5655828.3195216358</v>
      </c>
      <c r="G62" s="45">
        <f t="shared" si="12"/>
        <v>6615553.0160628268</v>
      </c>
      <c r="H62" s="45">
        <f t="shared" si="12"/>
        <v>6321388.1067247242</v>
      </c>
      <c r="I62" s="45">
        <f t="shared" si="12"/>
        <v>4605332.2626786409</v>
      </c>
      <c r="J62" s="45">
        <f t="shared" si="12"/>
        <v>5324772.1843465734</v>
      </c>
      <c r="K62" s="45">
        <f t="shared" si="12"/>
        <v>5056776.347773714</v>
      </c>
      <c r="L62" s="45">
        <f t="shared" si="12"/>
        <v>5685344.3896592343</v>
      </c>
      <c r="M62" s="45">
        <f t="shared" si="12"/>
        <v>5894074.0235930504</v>
      </c>
      <c r="N62" s="45">
        <f t="shared" si="12"/>
        <v>5936339.5467812475</v>
      </c>
      <c r="O62" s="45">
        <f t="shared" si="12"/>
        <v>6405994.7691961322</v>
      </c>
      <c r="P62" s="45">
        <f>SUM(D62:O62)</f>
        <v>68277534.873424217</v>
      </c>
    </row>
    <row r="63" spans="1:16" x14ac:dyDescent="0.25">
      <c r="A63" s="24"/>
      <c r="B63" s="30"/>
      <c r="C63" s="30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37"/>
      <c r="P63" s="37"/>
    </row>
    <row r="64" spans="1:16" x14ac:dyDescent="0.25">
      <c r="A64" s="21">
        <v>14</v>
      </c>
      <c r="B64" s="28" t="s">
        <v>39</v>
      </c>
      <c r="C64" s="25" t="s">
        <v>7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7">
        <f t="shared" ref="P64:P66" si="13">SUM(D64:O64)</f>
        <v>0</v>
      </c>
    </row>
    <row r="65" spans="1:16" x14ac:dyDescent="0.25">
      <c r="A65" s="21">
        <v>15</v>
      </c>
      <c r="B65" s="28" t="s">
        <v>40</v>
      </c>
      <c r="C65" s="25" t="s">
        <v>8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7">
        <f t="shared" si="13"/>
        <v>0</v>
      </c>
    </row>
    <row r="66" spans="1:16" x14ac:dyDescent="0.25">
      <c r="A66" s="21">
        <v>16</v>
      </c>
      <c r="B66" s="29" t="s">
        <v>41</v>
      </c>
      <c r="C66" s="31"/>
      <c r="D66" s="46">
        <f t="shared" ref="D66:O66" si="14">SUM(D64:D65)</f>
        <v>0</v>
      </c>
      <c r="E66" s="46">
        <f t="shared" si="14"/>
        <v>0</v>
      </c>
      <c r="F66" s="46">
        <f t="shared" si="14"/>
        <v>0</v>
      </c>
      <c r="G66" s="46">
        <f t="shared" si="14"/>
        <v>0</v>
      </c>
      <c r="H66" s="46">
        <f t="shared" si="14"/>
        <v>0</v>
      </c>
      <c r="I66" s="46">
        <f t="shared" si="14"/>
        <v>0</v>
      </c>
      <c r="J66" s="46">
        <f t="shared" si="14"/>
        <v>0</v>
      </c>
      <c r="K66" s="46">
        <f t="shared" si="14"/>
        <v>0</v>
      </c>
      <c r="L66" s="46">
        <f t="shared" si="14"/>
        <v>0</v>
      </c>
      <c r="M66" s="46">
        <f t="shared" si="14"/>
        <v>0</v>
      </c>
      <c r="N66" s="46">
        <f t="shared" si="14"/>
        <v>0</v>
      </c>
      <c r="O66" s="37">
        <f t="shared" si="14"/>
        <v>0</v>
      </c>
      <c r="P66" s="37">
        <f t="shared" si="13"/>
        <v>0</v>
      </c>
    </row>
    <row r="67" spans="1:16" x14ac:dyDescent="0.25">
      <c r="A67" s="21"/>
      <c r="B67" s="22"/>
      <c r="C67" s="32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6"/>
      <c r="P67" s="36"/>
    </row>
    <row r="68" spans="1:16" ht="15.75" thickBot="1" x14ac:dyDescent="0.3">
      <c r="A68" s="21">
        <v>17</v>
      </c>
      <c r="B68" s="33" t="s">
        <v>42</v>
      </c>
      <c r="C68" s="31"/>
      <c r="D68" s="48">
        <f t="shared" ref="D68:O68" si="15">+D66+D62</f>
        <v>5995564.6650002701</v>
      </c>
      <c r="E68" s="48">
        <f t="shared" si="15"/>
        <v>4780567.2420861628</v>
      </c>
      <c r="F68" s="48">
        <f t="shared" si="15"/>
        <v>5655828.3195216358</v>
      </c>
      <c r="G68" s="48">
        <f t="shared" si="15"/>
        <v>6615553.0160628268</v>
      </c>
      <c r="H68" s="48">
        <f t="shared" si="15"/>
        <v>6321388.1067247242</v>
      </c>
      <c r="I68" s="48">
        <f t="shared" si="15"/>
        <v>4605332.2626786409</v>
      </c>
      <c r="J68" s="48">
        <f t="shared" si="15"/>
        <v>5324772.1843465734</v>
      </c>
      <c r="K68" s="48">
        <f t="shared" si="15"/>
        <v>5056776.347773714</v>
      </c>
      <c r="L68" s="48">
        <f t="shared" si="15"/>
        <v>5685344.3896592343</v>
      </c>
      <c r="M68" s="48">
        <f t="shared" si="15"/>
        <v>5894074.0235930504</v>
      </c>
      <c r="N68" s="48">
        <f t="shared" si="15"/>
        <v>5936339.5467812475</v>
      </c>
      <c r="O68" s="48">
        <f t="shared" si="15"/>
        <v>6405994.7691961322</v>
      </c>
      <c r="P68" s="48">
        <f>SUM(D68:O68)</f>
        <v>68277534.873424217</v>
      </c>
    </row>
    <row r="69" spans="1:16" ht="15.75" thickTop="1" x14ac:dyDescent="0.25"/>
  </sheetData>
  <mergeCells count="8">
    <mergeCell ref="B1:O1"/>
    <mergeCell ref="B36:O36"/>
    <mergeCell ref="B39:O39"/>
    <mergeCell ref="B2:O2"/>
    <mergeCell ref="B3:O3"/>
    <mergeCell ref="B4:O4"/>
    <mergeCell ref="B37:O37"/>
    <mergeCell ref="B38:O38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69"/>
  <sheetViews>
    <sheetView tabSelected="1" topLeftCell="A19" zoomScale="80" zoomScaleNormal="80" workbookViewId="0">
      <selection activeCell="A35" sqref="A35:XFD35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92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17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</row>
    <row r="6" spans="1:17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8"/>
      <c r="Q6" s="8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18</v>
      </c>
      <c r="E7" s="19" t="s">
        <v>19</v>
      </c>
      <c r="F7" s="19" t="s">
        <v>20</v>
      </c>
      <c r="G7" s="19" t="s">
        <v>21</v>
      </c>
      <c r="H7" s="19" t="s">
        <v>22</v>
      </c>
      <c r="I7" s="19" t="s">
        <v>23</v>
      </c>
      <c r="J7" s="19" t="s">
        <v>24</v>
      </c>
      <c r="K7" s="19" t="s">
        <v>25</v>
      </c>
      <c r="L7" s="19" t="s">
        <v>26</v>
      </c>
      <c r="M7" s="19" t="s">
        <v>27</v>
      </c>
      <c r="N7" s="19" t="s">
        <v>28</v>
      </c>
      <c r="O7" s="19" t="s">
        <v>29</v>
      </c>
      <c r="P7" s="20" t="s">
        <v>10</v>
      </c>
      <c r="Q7" s="8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1148506004.5807955</v>
      </c>
      <c r="E9" s="36">
        <v>887975776.1013912</v>
      </c>
      <c r="F9" s="36">
        <v>961242838.8644228</v>
      </c>
      <c r="G9" s="36">
        <v>1054909362.6307616</v>
      </c>
      <c r="H9" s="36">
        <v>982308370.91226351</v>
      </c>
      <c r="I9" s="36">
        <v>858779569.21393657</v>
      </c>
      <c r="J9" s="36">
        <v>818715892.6112361</v>
      </c>
      <c r="K9" s="36">
        <v>976550848.52680576</v>
      </c>
      <c r="L9" s="36">
        <v>1286449909.9174521</v>
      </c>
      <c r="M9" s="36">
        <v>1521133607.0819266</v>
      </c>
      <c r="N9" s="36">
        <v>1545670582.7130723</v>
      </c>
      <c r="O9" s="36">
        <v>1496916937.0727999</v>
      </c>
      <c r="P9" s="37">
        <f>SUM(D9:O9)</f>
        <v>13539159700.226864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43</v>
      </c>
      <c r="C11" s="23" t="s">
        <v>5</v>
      </c>
      <c r="D11" s="36">
        <v>61760521.998394787</v>
      </c>
      <c r="E11" s="36">
        <v>54777815.030627713</v>
      </c>
      <c r="F11" s="36">
        <v>57034467.627413765</v>
      </c>
      <c r="G11" s="36">
        <v>58568176.116147958</v>
      </c>
      <c r="H11" s="36">
        <v>54124260.19158268</v>
      </c>
      <c r="I11" s="36">
        <v>51614840.344555274</v>
      </c>
      <c r="J11" s="36">
        <v>51876531.509068206</v>
      </c>
      <c r="K11" s="36">
        <v>55732928.162469327</v>
      </c>
      <c r="L11" s="36">
        <v>63394402.813517064</v>
      </c>
      <c r="M11" s="36">
        <v>69955926.538095206</v>
      </c>
      <c r="N11" s="36">
        <v>72268989.999704257</v>
      </c>
      <c r="O11" s="36">
        <v>71667593.784628898</v>
      </c>
      <c r="P11" s="37">
        <f>SUM(D11:O11)</f>
        <v>722776454.1162051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44</v>
      </c>
      <c r="C13" s="25" t="s">
        <v>5</v>
      </c>
      <c r="D13" s="39">
        <v>750257050.51655602</v>
      </c>
      <c r="E13" s="39">
        <v>648477401.043455</v>
      </c>
      <c r="F13" s="39">
        <v>636080713.96768939</v>
      </c>
      <c r="G13" s="39">
        <v>629892854.17196417</v>
      </c>
      <c r="H13" s="39">
        <v>574906928.45896232</v>
      </c>
      <c r="I13" s="39">
        <v>582299904.14196074</v>
      </c>
      <c r="J13" s="39">
        <v>617228975.798581</v>
      </c>
      <c r="K13" s="39">
        <v>675382919.85911381</v>
      </c>
      <c r="L13" s="39">
        <v>781935914.11168885</v>
      </c>
      <c r="M13" s="39">
        <v>853822241.75951922</v>
      </c>
      <c r="N13" s="39">
        <v>866750939.24555326</v>
      </c>
      <c r="O13" s="39">
        <v>873774559.60258889</v>
      </c>
      <c r="P13" s="37">
        <f t="shared" ref="P13:P15" si="0">SUM(D13:O13)</f>
        <v>8490810402.6776323</v>
      </c>
    </row>
    <row r="14" spans="1:17" x14ac:dyDescent="0.25">
      <c r="A14" s="21">
        <v>4</v>
      </c>
      <c r="B14" s="22" t="s">
        <v>32</v>
      </c>
      <c r="C14" s="25" t="s">
        <v>5</v>
      </c>
      <c r="D14" s="40">
        <v>125570035.28476462</v>
      </c>
      <c r="E14" s="40">
        <v>109997742.8004545</v>
      </c>
      <c r="F14" s="40">
        <v>112903670.03313178</v>
      </c>
      <c r="G14" s="40">
        <v>107923161.83727553</v>
      </c>
      <c r="H14" s="40">
        <v>98427118.71202597</v>
      </c>
      <c r="I14" s="40">
        <v>100179931.38495664</v>
      </c>
      <c r="J14" s="40">
        <v>108307055.67101988</v>
      </c>
      <c r="K14" s="40">
        <v>111521240.23915741</v>
      </c>
      <c r="L14" s="40">
        <v>123611796.68788861</v>
      </c>
      <c r="M14" s="40">
        <v>129160406.42924777</v>
      </c>
      <c r="N14" s="40">
        <v>134836969.51819709</v>
      </c>
      <c r="O14" s="40">
        <v>145868989.48336464</v>
      </c>
      <c r="P14" s="40">
        <f t="shared" si="0"/>
        <v>1408308118.0814843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875827085.80132067</v>
      </c>
      <c r="E15" s="41">
        <f t="shared" ref="E15:O15" si="1">SUM(E13:E14)</f>
        <v>758475143.8439095</v>
      </c>
      <c r="F15" s="41">
        <f t="shared" si="1"/>
        <v>748984384.00082111</v>
      </c>
      <c r="G15" s="41">
        <f t="shared" si="1"/>
        <v>737816016.00923967</v>
      </c>
      <c r="H15" s="41">
        <f t="shared" si="1"/>
        <v>673334047.17098832</v>
      </c>
      <c r="I15" s="41">
        <f t="shared" si="1"/>
        <v>682479835.52691734</v>
      </c>
      <c r="J15" s="41">
        <f t="shared" si="1"/>
        <v>725536031.46960092</v>
      </c>
      <c r="K15" s="41">
        <f t="shared" si="1"/>
        <v>786904160.09827125</v>
      </c>
      <c r="L15" s="41">
        <f t="shared" si="1"/>
        <v>905547710.79957747</v>
      </c>
      <c r="M15" s="41">
        <f t="shared" si="1"/>
        <v>982982648.18876696</v>
      </c>
      <c r="N15" s="41">
        <f t="shared" si="1"/>
        <v>1001587908.7637503</v>
      </c>
      <c r="O15" s="41">
        <f t="shared" si="1"/>
        <v>1019643549.0859535</v>
      </c>
      <c r="P15" s="41">
        <f t="shared" si="0"/>
        <v>9899118520.7591171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33</v>
      </c>
      <c r="C17" s="25" t="s">
        <v>7</v>
      </c>
      <c r="D17" s="36">
        <v>20207368.539118737</v>
      </c>
      <c r="E17" s="36">
        <v>19989883.93646561</v>
      </c>
      <c r="F17" s="36">
        <v>21855815.214070555</v>
      </c>
      <c r="G17" s="36">
        <v>19955412.826817632</v>
      </c>
      <c r="H17" s="36">
        <v>19919937.715730648</v>
      </c>
      <c r="I17" s="36">
        <v>21349054.776518364</v>
      </c>
      <c r="J17" s="36">
        <v>23255271.97641075</v>
      </c>
      <c r="K17" s="36">
        <v>26031116.248519443</v>
      </c>
      <c r="L17" s="36">
        <v>24257427.325531911</v>
      </c>
      <c r="M17" s="36">
        <v>24767458.941404942</v>
      </c>
      <c r="N17" s="36">
        <v>25260973.0601913</v>
      </c>
      <c r="O17" s="36">
        <v>25963396.396257941</v>
      </c>
      <c r="P17" s="37">
        <f t="shared" ref="P17:P21" si="2">SUM(D17:O17)</f>
        <v>272813116.95703787</v>
      </c>
    </row>
    <row r="18" spans="1:16" x14ac:dyDescent="0.25">
      <c r="A18" s="21">
        <v>7</v>
      </c>
      <c r="B18" s="22" t="s">
        <v>34</v>
      </c>
      <c r="C18" s="25" t="s">
        <v>7</v>
      </c>
      <c r="D18" s="39">
        <v>330471562.45004386</v>
      </c>
      <c r="E18" s="39">
        <v>315516397.52643794</v>
      </c>
      <c r="F18" s="39">
        <v>316952741.64816815</v>
      </c>
      <c r="G18" s="39">
        <v>328680031.26975042</v>
      </c>
      <c r="H18" s="39">
        <v>296076432.22922117</v>
      </c>
      <c r="I18" s="39">
        <v>300642720.36853778</v>
      </c>
      <c r="J18" s="39">
        <v>319219883.69068676</v>
      </c>
      <c r="K18" s="39">
        <v>318418740.4856534</v>
      </c>
      <c r="L18" s="39">
        <v>342671949.47534508</v>
      </c>
      <c r="M18" s="39">
        <v>346785214.70484155</v>
      </c>
      <c r="N18" s="39">
        <v>351888744.12896729</v>
      </c>
      <c r="O18" s="39">
        <v>358514228.66537225</v>
      </c>
      <c r="P18" s="42">
        <f t="shared" si="2"/>
        <v>3925838646.6430259</v>
      </c>
    </row>
    <row r="19" spans="1:16" x14ac:dyDescent="0.25">
      <c r="A19" s="21">
        <v>8</v>
      </c>
      <c r="B19" s="22" t="s">
        <v>35</v>
      </c>
      <c r="C19" s="25" t="s">
        <v>7</v>
      </c>
      <c r="D19" s="39">
        <v>450653.38199999998</v>
      </c>
      <c r="E19" s="39">
        <v>428716.152</v>
      </c>
      <c r="F19" s="39">
        <v>487842.20999999996</v>
      </c>
      <c r="G19" s="39">
        <v>383170.28399999999</v>
      </c>
      <c r="H19" s="39">
        <v>387975.58199999999</v>
      </c>
      <c r="I19" s="39">
        <v>493274.28599999996</v>
      </c>
      <c r="J19" s="39">
        <v>517509.70199999999</v>
      </c>
      <c r="K19" s="39">
        <v>574964.35199999996</v>
      </c>
      <c r="L19" s="39">
        <v>619256.66399999999</v>
      </c>
      <c r="M19" s="39">
        <v>618003.10800000001</v>
      </c>
      <c r="N19" s="39">
        <v>577889.31599999999</v>
      </c>
      <c r="O19" s="39">
        <v>603796.14</v>
      </c>
      <c r="P19" s="42">
        <f t="shared" si="2"/>
        <v>6143051.1779999994</v>
      </c>
    </row>
    <row r="20" spans="1:16" x14ac:dyDescent="0.25">
      <c r="A20" s="21">
        <v>9</v>
      </c>
      <c r="B20" s="22" t="s">
        <v>36</v>
      </c>
      <c r="C20" s="25" t="s">
        <v>7</v>
      </c>
      <c r="D20" s="39">
        <v>49629807.1998</v>
      </c>
      <c r="E20" s="39">
        <v>44261767.018799998</v>
      </c>
      <c r="F20" s="39">
        <v>47265099.161399998</v>
      </c>
      <c r="G20" s="39">
        <v>50425877.937599994</v>
      </c>
      <c r="H20" s="39">
        <v>48536581.012199998</v>
      </c>
      <c r="I20" s="39">
        <v>41215981.112999998</v>
      </c>
      <c r="J20" s="39">
        <v>46767332.966399997</v>
      </c>
      <c r="K20" s="39">
        <v>43281611.582399994</v>
      </c>
      <c r="L20" s="39">
        <v>42917411.779199995</v>
      </c>
      <c r="M20" s="39">
        <v>35947953.808200002</v>
      </c>
      <c r="N20" s="39">
        <v>33020858.762999997</v>
      </c>
      <c r="O20" s="39">
        <v>38960499.587399997</v>
      </c>
      <c r="P20" s="42">
        <f t="shared" si="2"/>
        <v>522230781.92939997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400759391.57096261</v>
      </c>
      <c r="E21" s="43">
        <f t="shared" ref="E21:O21" si="3">SUM(E17:E20)</f>
        <v>380196764.63370359</v>
      </c>
      <c r="F21" s="43">
        <f t="shared" si="3"/>
        <v>386561498.2336387</v>
      </c>
      <c r="G21" s="43">
        <f t="shared" si="3"/>
        <v>399444492.31816804</v>
      </c>
      <c r="H21" s="43">
        <f t="shared" si="3"/>
        <v>364920926.53915185</v>
      </c>
      <c r="I21" s="43">
        <f t="shared" si="3"/>
        <v>363701030.54405612</v>
      </c>
      <c r="J21" s="43">
        <f t="shared" si="3"/>
        <v>389759998.3354975</v>
      </c>
      <c r="K21" s="43">
        <f t="shared" si="3"/>
        <v>388306432.66857278</v>
      </c>
      <c r="L21" s="43">
        <f t="shared" si="3"/>
        <v>410466045.24407697</v>
      </c>
      <c r="M21" s="43">
        <f t="shared" si="3"/>
        <v>408118630.56244648</v>
      </c>
      <c r="N21" s="43">
        <f t="shared" si="3"/>
        <v>410748465.26815856</v>
      </c>
      <c r="O21" s="43">
        <f t="shared" si="3"/>
        <v>424041920.78903019</v>
      </c>
      <c r="P21" s="43">
        <f t="shared" si="2"/>
        <v>4727025596.7074642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37</v>
      </c>
      <c r="C23" s="25" t="s">
        <v>8</v>
      </c>
      <c r="D23" s="36">
        <v>752654387.10589826</v>
      </c>
      <c r="E23" s="36">
        <v>966065495.29280066</v>
      </c>
      <c r="F23" s="36">
        <v>861900134.87263453</v>
      </c>
      <c r="G23" s="36">
        <v>975648507.2123009</v>
      </c>
      <c r="H23" s="36">
        <v>911435402.56977355</v>
      </c>
      <c r="I23" s="36">
        <v>963831264.55231309</v>
      </c>
      <c r="J23" s="36">
        <v>919676818.99234581</v>
      </c>
      <c r="K23" s="36">
        <v>960486799.54391611</v>
      </c>
      <c r="L23" s="36">
        <v>1032060547.7340807</v>
      </c>
      <c r="M23" s="36">
        <v>937726801.71115696</v>
      </c>
      <c r="N23" s="36">
        <v>979447658.91207826</v>
      </c>
      <c r="O23" s="36">
        <v>996139013.60591996</v>
      </c>
      <c r="P23" s="37">
        <f>SUM(D23:O23)</f>
        <v>11257072832.105219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21377032.47073679</v>
      </c>
      <c r="E25" s="36">
        <v>21375901.521735512</v>
      </c>
      <c r="F25" s="36">
        <v>21313387.905256495</v>
      </c>
      <c r="G25" s="36">
        <v>21373984.999434624</v>
      </c>
      <c r="H25" s="36">
        <v>21277716.371432025</v>
      </c>
      <c r="I25" s="36">
        <v>21443811.524916027</v>
      </c>
      <c r="J25" s="36">
        <v>21401473.580131497</v>
      </c>
      <c r="K25" s="36">
        <v>21320703.249811195</v>
      </c>
      <c r="L25" s="36">
        <v>21359322.920403488</v>
      </c>
      <c r="M25" s="36">
        <v>21362302.079095438</v>
      </c>
      <c r="N25" s="36">
        <v>21323665.992297061</v>
      </c>
      <c r="O25" s="36">
        <v>21429774.328599997</v>
      </c>
      <c r="P25" s="37">
        <f>SUM(D25:O25)</f>
        <v>256359076.9438501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38</v>
      </c>
      <c r="C27" s="30"/>
      <c r="D27" s="45">
        <f>D25+D23+D21+D15+D11+D9</f>
        <v>3260884423.5281086</v>
      </c>
      <c r="E27" s="45">
        <f t="shared" ref="E27:O27" si="4">E25+E23+E21+E15+E11+E9</f>
        <v>3068866896.4241681</v>
      </c>
      <c r="F27" s="45">
        <f t="shared" si="4"/>
        <v>3037036711.5041876</v>
      </c>
      <c r="G27" s="45">
        <f t="shared" si="4"/>
        <v>3247760539.2860527</v>
      </c>
      <c r="H27" s="45">
        <f t="shared" si="4"/>
        <v>3007400723.7551918</v>
      </c>
      <c r="I27" s="45">
        <f t="shared" si="4"/>
        <v>2941850351.7066946</v>
      </c>
      <c r="J27" s="45">
        <f t="shared" si="4"/>
        <v>2926966746.49788</v>
      </c>
      <c r="K27" s="45">
        <f t="shared" si="4"/>
        <v>3189301872.2498465</v>
      </c>
      <c r="L27" s="45">
        <f t="shared" si="4"/>
        <v>3719277939.4291077</v>
      </c>
      <c r="M27" s="45">
        <f t="shared" si="4"/>
        <v>3941279916.1614876</v>
      </c>
      <c r="N27" s="45">
        <f t="shared" si="4"/>
        <v>4031047271.6490607</v>
      </c>
      <c r="O27" s="45">
        <f t="shared" si="4"/>
        <v>4029838788.6669321</v>
      </c>
      <c r="P27" s="45">
        <f>SUM(D27:O27)</f>
        <v>40401512180.858719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39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5">SUM(D29:O29)</f>
        <v>0</v>
      </c>
    </row>
    <row r="30" spans="1:16" x14ac:dyDescent="0.25">
      <c r="A30" s="21">
        <v>15</v>
      </c>
      <c r="B30" s="28" t="s">
        <v>40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5"/>
        <v>0</v>
      </c>
    </row>
    <row r="31" spans="1:16" x14ac:dyDescent="0.25">
      <c r="A31" s="21">
        <v>16</v>
      </c>
      <c r="B31" s="29" t="s">
        <v>41</v>
      </c>
      <c r="C31" s="31"/>
      <c r="D31" s="46">
        <f t="shared" ref="D31:O31" si="6">SUM(D29:D30)</f>
        <v>0</v>
      </c>
      <c r="E31" s="46">
        <f t="shared" si="6"/>
        <v>0</v>
      </c>
      <c r="F31" s="46">
        <f t="shared" si="6"/>
        <v>0</v>
      </c>
      <c r="G31" s="46">
        <f t="shared" si="6"/>
        <v>0</v>
      </c>
      <c r="H31" s="46">
        <f t="shared" si="6"/>
        <v>0</v>
      </c>
      <c r="I31" s="46">
        <f t="shared" si="6"/>
        <v>0</v>
      </c>
      <c r="J31" s="46">
        <f t="shared" si="6"/>
        <v>0</v>
      </c>
      <c r="K31" s="46">
        <f t="shared" si="6"/>
        <v>0</v>
      </c>
      <c r="L31" s="46">
        <f t="shared" si="6"/>
        <v>0</v>
      </c>
      <c r="M31" s="46">
        <f t="shared" si="6"/>
        <v>0</v>
      </c>
      <c r="N31" s="46">
        <f t="shared" si="6"/>
        <v>0</v>
      </c>
      <c r="O31" s="37">
        <f t="shared" si="6"/>
        <v>0</v>
      </c>
      <c r="P31" s="37">
        <f t="shared" si="5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42</v>
      </c>
      <c r="C33" s="31"/>
      <c r="D33" s="48">
        <f t="shared" ref="D33:O33" si="7">+D31+D27</f>
        <v>3260884423.5281086</v>
      </c>
      <c r="E33" s="48">
        <f t="shared" si="7"/>
        <v>3068866896.4241681</v>
      </c>
      <c r="F33" s="48">
        <f t="shared" si="7"/>
        <v>3037036711.5041876</v>
      </c>
      <c r="G33" s="48">
        <f t="shared" si="7"/>
        <v>3247760539.2860527</v>
      </c>
      <c r="H33" s="48">
        <f t="shared" si="7"/>
        <v>3007400723.7551918</v>
      </c>
      <c r="I33" s="48">
        <f t="shared" si="7"/>
        <v>2941850351.7066946</v>
      </c>
      <c r="J33" s="48">
        <f t="shared" si="7"/>
        <v>2926966746.49788</v>
      </c>
      <c r="K33" s="48">
        <f t="shared" si="7"/>
        <v>3189301872.2498465</v>
      </c>
      <c r="L33" s="48">
        <f t="shared" si="7"/>
        <v>3719277939.4291077</v>
      </c>
      <c r="M33" s="48">
        <f t="shared" si="7"/>
        <v>3941279916.1614876</v>
      </c>
      <c r="N33" s="48">
        <f t="shared" si="7"/>
        <v>4031047271.6490607</v>
      </c>
      <c r="O33" s="48">
        <f t="shared" si="7"/>
        <v>4029838788.6669321</v>
      </c>
      <c r="P33" s="48">
        <f>SUM(D33:O33)</f>
        <v>40401512180.858719</v>
      </c>
    </row>
    <row r="34" spans="1:16" ht="15.75" thickTop="1" x14ac:dyDescent="0.25"/>
    <row r="36" spans="1:16" x14ac:dyDescent="0.25">
      <c r="A36" s="10"/>
      <c r="B36" s="54" t="s">
        <v>13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11"/>
    </row>
    <row r="37" spans="1:16" x14ac:dyDescent="0.25">
      <c r="A37" s="10"/>
      <c r="B37" s="54" t="s">
        <v>14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93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3" t="s">
        <v>6</v>
      </c>
    </row>
    <row r="39" spans="1:16" x14ac:dyDescent="0.25">
      <c r="A39" s="10"/>
      <c r="B39" s="55" t="s">
        <v>17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8" t="s">
        <v>6</v>
      </c>
    </row>
    <row r="40" spans="1:16" x14ac:dyDescent="0.25">
      <c r="A40" s="10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8"/>
    </row>
    <row r="41" spans="1:16" x14ac:dyDescent="0.25">
      <c r="A41" s="10"/>
      <c r="B41" s="17"/>
      <c r="C41" s="17"/>
      <c r="D41" s="14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8"/>
    </row>
    <row r="42" spans="1:16" x14ac:dyDescent="0.25">
      <c r="A42" s="15" t="s">
        <v>0</v>
      </c>
      <c r="B42" s="17" t="s">
        <v>1</v>
      </c>
      <c r="C42" s="34" t="s">
        <v>2</v>
      </c>
      <c r="D42" s="19" t="s">
        <v>18</v>
      </c>
      <c r="E42" s="19" t="s">
        <v>19</v>
      </c>
      <c r="F42" s="19" t="s">
        <v>20</v>
      </c>
      <c r="G42" s="19" t="s">
        <v>21</v>
      </c>
      <c r="H42" s="19" t="s">
        <v>22</v>
      </c>
      <c r="I42" s="19" t="s">
        <v>23</v>
      </c>
      <c r="J42" s="19" t="s">
        <v>24</v>
      </c>
      <c r="K42" s="19" t="s">
        <v>25</v>
      </c>
      <c r="L42" s="19" t="s">
        <v>26</v>
      </c>
      <c r="M42" s="19" t="s">
        <v>27</v>
      </c>
      <c r="N42" s="19" t="s">
        <v>28</v>
      </c>
      <c r="O42" s="19" t="s">
        <v>29</v>
      </c>
      <c r="P42" s="20" t="s">
        <v>10</v>
      </c>
    </row>
    <row r="43" spans="1:16" x14ac:dyDescent="0.25">
      <c r="A43" s="10"/>
      <c r="B43" s="17"/>
      <c r="C43" s="34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20"/>
      <c r="P43" s="20"/>
    </row>
    <row r="44" spans="1:16" x14ac:dyDescent="0.25">
      <c r="A44" s="21" t="s">
        <v>3</v>
      </c>
      <c r="B44" s="22" t="s">
        <v>4</v>
      </c>
      <c r="C44" s="23" t="s">
        <v>5</v>
      </c>
      <c r="D44" s="36">
        <v>1067980290.6646789</v>
      </c>
      <c r="E44" s="36">
        <v>825716734.33270526</v>
      </c>
      <c r="F44" s="36">
        <v>893846790.83543134</v>
      </c>
      <c r="G44" s="36">
        <v>980946031.83072507</v>
      </c>
      <c r="H44" s="36">
        <v>913435345.83621311</v>
      </c>
      <c r="I44" s="36">
        <v>798567574.12491786</v>
      </c>
      <c r="J44" s="36">
        <v>761312899.95465517</v>
      </c>
      <c r="K44" s="36">
        <v>908081503.18654072</v>
      </c>
      <c r="L44" s="36">
        <v>1196252473.421473</v>
      </c>
      <c r="M44" s="36">
        <v>1414481687.8202777</v>
      </c>
      <c r="N44" s="36">
        <v>1437298291.5315905</v>
      </c>
      <c r="O44" s="36">
        <v>1391962932</v>
      </c>
      <c r="P44" s="37">
        <f>SUM(D44:O44)</f>
        <v>12589882555.539207</v>
      </c>
    </row>
    <row r="45" spans="1:16" x14ac:dyDescent="0.25">
      <c r="A45" s="24"/>
      <c r="B45" s="22"/>
      <c r="C45" s="23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7"/>
      <c r="P45" s="37"/>
    </row>
    <row r="46" spans="1:16" x14ac:dyDescent="0.25">
      <c r="A46" s="21">
        <v>2</v>
      </c>
      <c r="B46" s="22" t="s">
        <v>43</v>
      </c>
      <c r="C46" s="23" t="s">
        <v>5</v>
      </c>
      <c r="D46" s="36">
        <v>57430278.964473493</v>
      </c>
      <c r="E46" s="36">
        <v>50937153.645738997</v>
      </c>
      <c r="F46" s="36">
        <v>53035584.552179441</v>
      </c>
      <c r="G46" s="36">
        <v>54461759.453364298</v>
      </c>
      <c r="H46" s="36">
        <v>50329421.788713671</v>
      </c>
      <c r="I46" s="36">
        <v>47995946.015022576</v>
      </c>
      <c r="J46" s="36">
        <v>48239289.110161997</v>
      </c>
      <c r="K46" s="36">
        <v>51825300.504434936</v>
      </c>
      <c r="L46" s="36">
        <v>58949602.765033543</v>
      </c>
      <c r="M46" s="36">
        <v>65051075.449223742</v>
      </c>
      <c r="N46" s="36">
        <v>67201962.060353607</v>
      </c>
      <c r="O46" s="36">
        <v>66642731.806424491</v>
      </c>
      <c r="P46" s="37">
        <f>SUM(D46:O46)</f>
        <v>672100106.11512482</v>
      </c>
    </row>
    <row r="47" spans="1:16" x14ac:dyDescent="0.25">
      <c r="A47" s="21"/>
      <c r="B47" s="22"/>
      <c r="C47" s="2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7"/>
    </row>
    <row r="48" spans="1:16" x14ac:dyDescent="0.25">
      <c r="A48" s="21">
        <v>3</v>
      </c>
      <c r="B48" s="22" t="s">
        <v>44</v>
      </c>
      <c r="C48" s="25" t="s">
        <v>5</v>
      </c>
      <c r="D48" s="39">
        <v>697653943.19932687</v>
      </c>
      <c r="E48" s="39">
        <v>603010415.69969785</v>
      </c>
      <c r="F48" s="39">
        <v>591482903.07577598</v>
      </c>
      <c r="G48" s="39">
        <v>585728895.45468128</v>
      </c>
      <c r="H48" s="39">
        <v>534598222.48369199</v>
      </c>
      <c r="I48" s="39">
        <v>541472851.16418147</v>
      </c>
      <c r="J48" s="39">
        <v>573952925.23580158</v>
      </c>
      <c r="K48" s="39">
        <v>628029495.8704797</v>
      </c>
      <c r="L48" s="39">
        <v>727111692.49738598</v>
      </c>
      <c r="M48" s="39">
        <v>793957821.98207116</v>
      </c>
      <c r="N48" s="39">
        <v>805980043.93300474</v>
      </c>
      <c r="O48" s="39">
        <v>812511214.0622921</v>
      </c>
      <c r="P48" s="37">
        <f t="shared" ref="P48:P50" si="8">SUM(D48:O48)</f>
        <v>7895490424.65839</v>
      </c>
    </row>
    <row r="49" spans="1:16" x14ac:dyDescent="0.25">
      <c r="A49" s="21">
        <v>4</v>
      </c>
      <c r="B49" s="22" t="s">
        <v>32</v>
      </c>
      <c r="C49" s="25" t="s">
        <v>5</v>
      </c>
      <c r="D49" s="40">
        <v>116765887.37657116</v>
      </c>
      <c r="E49" s="40">
        <v>102285421.98294078</v>
      </c>
      <c r="F49" s="40">
        <v>104987604.64304611</v>
      </c>
      <c r="G49" s="40">
        <v>100356297.04042733</v>
      </c>
      <c r="H49" s="40">
        <v>91526054.223568887</v>
      </c>
      <c r="I49" s="40">
        <v>93155971.159528226</v>
      </c>
      <c r="J49" s="40">
        <v>100713274.75452845</v>
      </c>
      <c r="K49" s="40">
        <v>103702101.76600094</v>
      </c>
      <c r="L49" s="40">
        <v>114944947.6361248</v>
      </c>
      <c r="M49" s="40">
        <v>120104525.22712272</v>
      </c>
      <c r="N49" s="40">
        <v>125383084.91556361</v>
      </c>
      <c r="O49" s="40">
        <v>135641611.94287211</v>
      </c>
      <c r="P49" s="40">
        <f t="shared" si="8"/>
        <v>1309566782.6682951</v>
      </c>
    </row>
    <row r="50" spans="1:16" x14ac:dyDescent="0.25">
      <c r="A50" s="21">
        <v>5</v>
      </c>
      <c r="B50" s="26" t="s">
        <v>11</v>
      </c>
      <c r="C50" s="23"/>
      <c r="D50" s="41">
        <f>SUM(D48:D49)</f>
        <v>814419830.57589805</v>
      </c>
      <c r="E50" s="41">
        <f t="shared" ref="E50:O50" si="9">SUM(E48:E49)</f>
        <v>705295837.68263865</v>
      </c>
      <c r="F50" s="41">
        <f t="shared" si="9"/>
        <v>696470507.71882212</v>
      </c>
      <c r="G50" s="41">
        <f t="shared" si="9"/>
        <v>686085192.4951086</v>
      </c>
      <c r="H50" s="41">
        <f t="shared" si="9"/>
        <v>626124276.70726085</v>
      </c>
      <c r="I50" s="41">
        <f t="shared" si="9"/>
        <v>634628822.32370973</v>
      </c>
      <c r="J50" s="41">
        <f t="shared" si="9"/>
        <v>674666199.99032998</v>
      </c>
      <c r="K50" s="41">
        <f t="shared" si="9"/>
        <v>731731597.63648069</v>
      </c>
      <c r="L50" s="41">
        <f t="shared" si="9"/>
        <v>842056640.13351083</v>
      </c>
      <c r="M50" s="41">
        <f t="shared" si="9"/>
        <v>914062347.20919394</v>
      </c>
      <c r="N50" s="41">
        <f t="shared" si="9"/>
        <v>931363128.84856832</v>
      </c>
      <c r="O50" s="41">
        <f t="shared" si="9"/>
        <v>948152826.00516415</v>
      </c>
      <c r="P50" s="41">
        <f t="shared" si="8"/>
        <v>9205057207.326685</v>
      </c>
    </row>
    <row r="51" spans="1:16" x14ac:dyDescent="0.25">
      <c r="A51" s="24"/>
      <c r="B51" s="27"/>
      <c r="C51" s="23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36"/>
      <c r="P51" s="36"/>
    </row>
    <row r="52" spans="1:16" x14ac:dyDescent="0.25">
      <c r="A52" s="21">
        <v>6</v>
      </c>
      <c r="B52" s="22" t="s">
        <v>33</v>
      </c>
      <c r="C52" s="25" t="s">
        <v>7</v>
      </c>
      <c r="D52" s="36">
        <v>19344043.861576576</v>
      </c>
      <c r="E52" s="36">
        <v>19135850.910337258</v>
      </c>
      <c r="F52" s="36">
        <v>20922063.51920829</v>
      </c>
      <c r="G52" s="36">
        <v>19102852.518899161</v>
      </c>
      <c r="H52" s="36">
        <v>19068893.020237453</v>
      </c>
      <c r="I52" s="36">
        <v>20436953.540026963</v>
      </c>
      <c r="J52" s="36">
        <v>22261730.925218262</v>
      </c>
      <c r="K52" s="36">
        <v>24918982.078362141</v>
      </c>
      <c r="L52" s="36">
        <v>23221070.929929174</v>
      </c>
      <c r="M52" s="36">
        <v>23709312.332026597</v>
      </c>
      <c r="N52" s="36">
        <v>24181741.918374259</v>
      </c>
      <c r="O52" s="36">
        <v>24854155.439014714</v>
      </c>
      <c r="P52" s="37">
        <f t="shared" ref="P52:P56" si="10">SUM(D52:O52)</f>
        <v>261157650.99321082</v>
      </c>
    </row>
    <row r="53" spans="1:16" x14ac:dyDescent="0.25">
      <c r="A53" s="21">
        <v>7</v>
      </c>
      <c r="B53" s="22" t="s">
        <v>34</v>
      </c>
      <c r="C53" s="25" t="s">
        <v>7</v>
      </c>
      <c r="D53" s="39">
        <v>316352739.67820555</v>
      </c>
      <c r="E53" s="39">
        <v>302036508.16694713</v>
      </c>
      <c r="F53" s="39">
        <v>303411486.98406917</v>
      </c>
      <c r="G53" s="39">
        <v>314637748.55188</v>
      </c>
      <c r="H53" s="39">
        <v>283427081.57837814</v>
      </c>
      <c r="I53" s="39">
        <v>287798282.99832267</v>
      </c>
      <c r="J53" s="39">
        <v>305581769.32568163</v>
      </c>
      <c r="K53" s="39">
        <v>304814853.5707891</v>
      </c>
      <c r="L53" s="39">
        <v>328031886.38594055</v>
      </c>
      <c r="M53" s="39">
        <v>331969419.51202011</v>
      </c>
      <c r="N53" s="39">
        <v>336854909.51721406</v>
      </c>
      <c r="O53" s="39">
        <v>343197331.74939668</v>
      </c>
      <c r="P53" s="42">
        <f t="shared" si="10"/>
        <v>3758114018.0188451</v>
      </c>
    </row>
    <row r="54" spans="1:16" x14ac:dyDescent="0.25">
      <c r="A54" s="21">
        <v>8</v>
      </c>
      <c r="B54" s="22" t="s">
        <v>35</v>
      </c>
      <c r="C54" s="25" t="s">
        <v>7</v>
      </c>
      <c r="D54" s="39">
        <v>431400</v>
      </c>
      <c r="E54" s="39">
        <v>410400</v>
      </c>
      <c r="F54" s="39">
        <v>467000</v>
      </c>
      <c r="G54" s="39">
        <v>366800</v>
      </c>
      <c r="H54" s="39">
        <v>371400</v>
      </c>
      <c r="I54" s="39">
        <v>472200</v>
      </c>
      <c r="J54" s="39">
        <v>495400</v>
      </c>
      <c r="K54" s="39">
        <v>550400</v>
      </c>
      <c r="L54" s="39">
        <v>592800</v>
      </c>
      <c r="M54" s="39">
        <v>591600</v>
      </c>
      <c r="N54" s="39">
        <v>553200</v>
      </c>
      <c r="O54" s="39">
        <v>578000</v>
      </c>
      <c r="P54" s="42">
        <f t="shared" si="10"/>
        <v>5880600</v>
      </c>
    </row>
    <row r="55" spans="1:16" x14ac:dyDescent="0.25">
      <c r="A55" s="21">
        <v>9</v>
      </c>
      <c r="B55" s="22" t="s">
        <v>36</v>
      </c>
      <c r="C55" s="25" t="s">
        <v>7</v>
      </c>
      <c r="D55" s="39">
        <v>47509460</v>
      </c>
      <c r="E55" s="39">
        <v>42370760</v>
      </c>
      <c r="F55" s="39">
        <v>45245780</v>
      </c>
      <c r="G55" s="39">
        <v>48271520</v>
      </c>
      <c r="H55" s="39">
        <v>46462940</v>
      </c>
      <c r="I55" s="39">
        <v>39455100</v>
      </c>
      <c r="J55" s="39">
        <v>44769280</v>
      </c>
      <c r="K55" s="39">
        <v>41432480</v>
      </c>
      <c r="L55" s="39">
        <v>41083840</v>
      </c>
      <c r="M55" s="39">
        <v>34412140</v>
      </c>
      <c r="N55" s="39">
        <v>31610100</v>
      </c>
      <c r="O55" s="39">
        <v>37295980</v>
      </c>
      <c r="P55" s="42">
        <f t="shared" si="10"/>
        <v>499919380</v>
      </c>
    </row>
    <row r="56" spans="1:16" x14ac:dyDescent="0.25">
      <c r="A56" s="21">
        <v>10</v>
      </c>
      <c r="B56" s="22" t="s">
        <v>12</v>
      </c>
      <c r="C56" s="25"/>
      <c r="D56" s="43">
        <f>SUM(D52:D55)</f>
        <v>383637643.53978211</v>
      </c>
      <c r="E56" s="43">
        <f t="shared" ref="E56:O56" si="11">SUM(E52:E55)</f>
        <v>363953519.0772844</v>
      </c>
      <c r="F56" s="43">
        <f t="shared" si="11"/>
        <v>370046330.50327748</v>
      </c>
      <c r="G56" s="43">
        <f t="shared" si="11"/>
        <v>382378921.07077914</v>
      </c>
      <c r="H56" s="43">
        <f t="shared" si="11"/>
        <v>349330314.59861559</v>
      </c>
      <c r="I56" s="43">
        <f t="shared" si="11"/>
        <v>348162536.53834963</v>
      </c>
      <c r="J56" s="43">
        <f t="shared" si="11"/>
        <v>373108180.25089991</v>
      </c>
      <c r="K56" s="43">
        <f t="shared" si="11"/>
        <v>371716715.64915127</v>
      </c>
      <c r="L56" s="43">
        <f t="shared" si="11"/>
        <v>392929597.31586975</v>
      </c>
      <c r="M56" s="43">
        <f t="shared" si="11"/>
        <v>390682471.84404671</v>
      </c>
      <c r="N56" s="43">
        <f t="shared" si="11"/>
        <v>393199951.4355883</v>
      </c>
      <c r="O56" s="43">
        <f t="shared" si="11"/>
        <v>405925467.18841141</v>
      </c>
      <c r="P56" s="43">
        <f t="shared" si="10"/>
        <v>4525071649.0120554</v>
      </c>
    </row>
    <row r="57" spans="1:16" x14ac:dyDescent="0.25">
      <c r="A57" s="21"/>
      <c r="B57" s="22"/>
      <c r="C57" s="25"/>
      <c r="D57" s="44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7"/>
    </row>
    <row r="58" spans="1:16" x14ac:dyDescent="0.25">
      <c r="A58" s="21">
        <v>11</v>
      </c>
      <c r="B58" s="26" t="s">
        <v>37</v>
      </c>
      <c r="C58" s="25" t="s">
        <v>8</v>
      </c>
      <c r="D58" s="36">
        <v>737853054.826087</v>
      </c>
      <c r="E58" s="36">
        <v>947067324.75815213</v>
      </c>
      <c r="F58" s="36">
        <v>844950429.26164591</v>
      </c>
      <c r="G58" s="36">
        <v>956461881.86214626</v>
      </c>
      <c r="H58" s="36">
        <v>893511560.66287625</v>
      </c>
      <c r="I58" s="36">
        <v>944877031.30434787</v>
      </c>
      <c r="J58" s="36">
        <v>901590905.42943144</v>
      </c>
      <c r="K58" s="36">
        <v>941598336.90559006</v>
      </c>
      <c r="L58" s="36">
        <v>1011764550.8441471</v>
      </c>
      <c r="M58" s="36">
        <v>919285926.03489697</v>
      </c>
      <c r="N58" s="36">
        <v>960186321.30666661</v>
      </c>
      <c r="O58" s="36">
        <v>976549432</v>
      </c>
      <c r="P58" s="37">
        <f>SUM(D58:O58)</f>
        <v>11035696755.195988</v>
      </c>
    </row>
    <row r="59" spans="1:16" x14ac:dyDescent="0.25">
      <c r="A59" s="24"/>
      <c r="B59" s="22"/>
      <c r="C59" s="23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36"/>
    </row>
    <row r="60" spans="1:16" x14ac:dyDescent="0.25">
      <c r="A60" s="21">
        <v>12</v>
      </c>
      <c r="B60" s="28" t="s">
        <v>9</v>
      </c>
      <c r="C60" s="25" t="s">
        <v>5</v>
      </c>
      <c r="D60" s="36">
        <v>19878215.055548441</v>
      </c>
      <c r="E60" s="36">
        <v>19877163.401279073</v>
      </c>
      <c r="F60" s="36">
        <v>19819032.829883296</v>
      </c>
      <c r="G60" s="36">
        <v>19875381.252961341</v>
      </c>
      <c r="H60" s="36">
        <v>19785862.350225057</v>
      </c>
      <c r="I60" s="36">
        <v>19940312.000107892</v>
      </c>
      <c r="J60" s="36">
        <v>19900942.51453552</v>
      </c>
      <c r="K60" s="36">
        <v>19825835.270421423</v>
      </c>
      <c r="L60" s="36">
        <v>19861747.182818942</v>
      </c>
      <c r="M60" s="36">
        <v>19864517.462428343</v>
      </c>
      <c r="N60" s="36">
        <v>19828590.284821521</v>
      </c>
      <c r="O60" s="36">
        <v>19927259</v>
      </c>
      <c r="P60" s="37">
        <f>SUM(D60:O60)</f>
        <v>238384858.60503083</v>
      </c>
    </row>
    <row r="61" spans="1:16" x14ac:dyDescent="0.25">
      <c r="A61" s="21"/>
      <c r="B61" s="22"/>
      <c r="C61" s="23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36"/>
      <c r="P61" s="36"/>
    </row>
    <row r="62" spans="1:16" x14ac:dyDescent="0.25">
      <c r="A62" s="21">
        <v>13</v>
      </c>
      <c r="B62" s="29" t="s">
        <v>38</v>
      </c>
      <c r="C62" s="30"/>
      <c r="D62" s="45">
        <f>D60+D58+D56+D50+D46+D44</f>
        <v>3081199313.6264677</v>
      </c>
      <c r="E62" s="45">
        <f t="shared" ref="E62:O62" si="12">E60+E58+E56+E50+E46+E44</f>
        <v>2912847732.8977985</v>
      </c>
      <c r="F62" s="45">
        <f t="shared" si="12"/>
        <v>2878168675.7012396</v>
      </c>
      <c r="G62" s="45">
        <f t="shared" si="12"/>
        <v>3080209167.965085</v>
      </c>
      <c r="H62" s="45">
        <f t="shared" si="12"/>
        <v>2852516781.9439049</v>
      </c>
      <c r="I62" s="45">
        <f t="shared" si="12"/>
        <v>2794172222.3064556</v>
      </c>
      <c r="J62" s="45">
        <f t="shared" si="12"/>
        <v>2778818417.2500143</v>
      </c>
      <c r="K62" s="45">
        <f t="shared" si="12"/>
        <v>3024779289.1526189</v>
      </c>
      <c r="L62" s="45">
        <f t="shared" si="12"/>
        <v>3521814611.6628532</v>
      </c>
      <c r="M62" s="45">
        <f t="shared" si="12"/>
        <v>3723428025.8200669</v>
      </c>
      <c r="N62" s="45">
        <f t="shared" si="12"/>
        <v>3809078245.4675889</v>
      </c>
      <c r="O62" s="45">
        <f t="shared" si="12"/>
        <v>3809160648.0000005</v>
      </c>
      <c r="P62" s="45">
        <f>SUM(D62:O62)</f>
        <v>38266193131.79409</v>
      </c>
    </row>
    <row r="63" spans="1:16" x14ac:dyDescent="0.25">
      <c r="A63" s="24"/>
      <c r="B63" s="30"/>
      <c r="C63" s="30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37"/>
      <c r="P63" s="37"/>
    </row>
    <row r="64" spans="1:16" x14ac:dyDescent="0.25">
      <c r="A64" s="21">
        <v>14</v>
      </c>
      <c r="B64" s="28" t="s">
        <v>39</v>
      </c>
      <c r="C64" s="25" t="s">
        <v>7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7">
        <f t="shared" ref="P64:P66" si="13">SUM(D64:O64)</f>
        <v>0</v>
      </c>
    </row>
    <row r="65" spans="1:16" x14ac:dyDescent="0.25">
      <c r="A65" s="21">
        <v>15</v>
      </c>
      <c r="B65" s="28" t="s">
        <v>40</v>
      </c>
      <c r="C65" s="25" t="s">
        <v>8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7">
        <f t="shared" si="13"/>
        <v>0</v>
      </c>
    </row>
    <row r="66" spans="1:16" x14ac:dyDescent="0.25">
      <c r="A66" s="21">
        <v>16</v>
      </c>
      <c r="B66" s="29" t="s">
        <v>41</v>
      </c>
      <c r="C66" s="31"/>
      <c r="D66" s="46">
        <f t="shared" ref="D66:O66" si="14">SUM(D64:D65)</f>
        <v>0</v>
      </c>
      <c r="E66" s="46">
        <f t="shared" si="14"/>
        <v>0</v>
      </c>
      <c r="F66" s="46">
        <f t="shared" si="14"/>
        <v>0</v>
      </c>
      <c r="G66" s="46">
        <f t="shared" si="14"/>
        <v>0</v>
      </c>
      <c r="H66" s="46">
        <f t="shared" si="14"/>
        <v>0</v>
      </c>
      <c r="I66" s="46">
        <f t="shared" si="14"/>
        <v>0</v>
      </c>
      <c r="J66" s="46">
        <f t="shared" si="14"/>
        <v>0</v>
      </c>
      <c r="K66" s="46">
        <f t="shared" si="14"/>
        <v>0</v>
      </c>
      <c r="L66" s="46">
        <f t="shared" si="14"/>
        <v>0</v>
      </c>
      <c r="M66" s="46">
        <f t="shared" si="14"/>
        <v>0</v>
      </c>
      <c r="N66" s="46">
        <f t="shared" si="14"/>
        <v>0</v>
      </c>
      <c r="O66" s="37">
        <f t="shared" si="14"/>
        <v>0</v>
      </c>
      <c r="P66" s="37">
        <f t="shared" si="13"/>
        <v>0</v>
      </c>
    </row>
    <row r="67" spans="1:16" x14ac:dyDescent="0.25">
      <c r="A67" s="21"/>
      <c r="B67" s="22"/>
      <c r="C67" s="32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6"/>
      <c r="P67" s="36"/>
    </row>
    <row r="68" spans="1:16" ht="15.75" thickBot="1" x14ac:dyDescent="0.3">
      <c r="A68" s="21">
        <v>17</v>
      </c>
      <c r="B68" s="33" t="s">
        <v>42</v>
      </c>
      <c r="C68" s="31"/>
      <c r="D68" s="48">
        <f t="shared" ref="D68:O68" si="15">+D66+D62</f>
        <v>3081199313.6264677</v>
      </c>
      <c r="E68" s="48">
        <f t="shared" si="15"/>
        <v>2912847732.8977985</v>
      </c>
      <c r="F68" s="48">
        <f t="shared" si="15"/>
        <v>2878168675.7012396</v>
      </c>
      <c r="G68" s="48">
        <f t="shared" si="15"/>
        <v>3080209167.965085</v>
      </c>
      <c r="H68" s="48">
        <f t="shared" si="15"/>
        <v>2852516781.9439049</v>
      </c>
      <c r="I68" s="48">
        <f t="shared" si="15"/>
        <v>2794172222.3064556</v>
      </c>
      <c r="J68" s="48">
        <f t="shared" si="15"/>
        <v>2778818417.2500143</v>
      </c>
      <c r="K68" s="48">
        <f t="shared" si="15"/>
        <v>3024779289.1526189</v>
      </c>
      <c r="L68" s="48">
        <f t="shared" si="15"/>
        <v>3521814611.6628532</v>
      </c>
      <c r="M68" s="48">
        <f t="shared" si="15"/>
        <v>3723428025.8200669</v>
      </c>
      <c r="N68" s="48">
        <f t="shared" si="15"/>
        <v>3809078245.4675889</v>
      </c>
      <c r="O68" s="48">
        <f t="shared" si="15"/>
        <v>3809160648.0000005</v>
      </c>
      <c r="P68" s="48">
        <f>SUM(D68:O68)</f>
        <v>38266193131.79409</v>
      </c>
    </row>
    <row r="69" spans="1:16" ht="15.75" thickTop="1" x14ac:dyDescent="0.25"/>
  </sheetData>
  <mergeCells count="8">
    <mergeCell ref="B1:O1"/>
    <mergeCell ref="B36:O36"/>
    <mergeCell ref="B39:O39"/>
    <mergeCell ref="B2:O2"/>
    <mergeCell ref="B3:O3"/>
    <mergeCell ref="B4:O4"/>
    <mergeCell ref="B37:O37"/>
    <mergeCell ref="B38:O38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9"/>
  <sheetViews>
    <sheetView tabSelected="1" topLeftCell="A2" zoomScale="80" zoomScaleNormal="80" workbookViewId="0">
      <selection activeCell="A35" sqref="A35:XFD35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6" max="16" width="5.5703125" bestFit="1" customWidth="1"/>
  </cols>
  <sheetData>
    <row r="1" spans="1:16" x14ac:dyDescent="0.25">
      <c r="A1" s="1"/>
      <c r="B1" s="56" t="s">
        <v>13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"/>
    </row>
    <row r="2" spans="1:16" x14ac:dyDescent="0.25">
      <c r="A2" s="1"/>
      <c r="B2" s="56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</row>
    <row r="3" spans="1:16" x14ac:dyDescent="0.25">
      <c r="A3" s="1"/>
      <c r="B3" s="57" t="s">
        <v>94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</row>
    <row r="4" spans="1:16" x14ac:dyDescent="0.25">
      <c r="A4" s="10"/>
      <c r="B4" s="55" t="s">
        <v>17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</row>
    <row r="5" spans="1:16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"/>
    </row>
    <row r="6" spans="1:16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"/>
    </row>
    <row r="7" spans="1:16" x14ac:dyDescent="0.25">
      <c r="A7" s="15" t="s">
        <v>0</v>
      </c>
      <c r="B7" s="17" t="s">
        <v>1</v>
      </c>
      <c r="C7" s="34" t="s">
        <v>2</v>
      </c>
      <c r="D7" s="19" t="s">
        <v>18</v>
      </c>
      <c r="E7" s="19" t="s">
        <v>19</v>
      </c>
      <c r="F7" s="19" t="s">
        <v>20</v>
      </c>
      <c r="G7" s="19" t="s">
        <v>21</v>
      </c>
      <c r="H7" s="19" t="s">
        <v>22</v>
      </c>
      <c r="I7" s="19" t="s">
        <v>23</v>
      </c>
      <c r="J7" s="19" t="s">
        <v>24</v>
      </c>
      <c r="K7" s="19" t="s">
        <v>25</v>
      </c>
      <c r="L7" s="19" t="s">
        <v>26</v>
      </c>
      <c r="M7" s="19" t="s">
        <v>27</v>
      </c>
      <c r="N7" s="19" t="s">
        <v>28</v>
      </c>
      <c r="O7" s="19" t="s">
        <v>29</v>
      </c>
      <c r="P7" s="1"/>
    </row>
    <row r="8" spans="1:16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1"/>
    </row>
    <row r="9" spans="1:16" x14ac:dyDescent="0.25">
      <c r="A9" s="21" t="s">
        <v>3</v>
      </c>
      <c r="B9" s="22" t="s">
        <v>4</v>
      </c>
      <c r="C9" s="23" t="s">
        <v>5</v>
      </c>
      <c r="D9" s="49">
        <v>0.88658042729259467</v>
      </c>
      <c r="E9" s="49">
        <v>0.91906958732986188</v>
      </c>
      <c r="F9" s="49">
        <v>0.98609691767401897</v>
      </c>
      <c r="G9" s="49">
        <v>0.99604736120323956</v>
      </c>
      <c r="H9" s="49">
        <v>1</v>
      </c>
      <c r="I9" s="49">
        <v>0.79047102070318764</v>
      </c>
      <c r="J9" s="49">
        <v>0.97555248615946832</v>
      </c>
      <c r="K9" s="49">
        <v>0.96437301334072634</v>
      </c>
      <c r="L9" s="49">
        <v>0.97975893034941908</v>
      </c>
      <c r="M9" s="49">
        <v>0.9191310492477881</v>
      </c>
      <c r="N9" s="49">
        <v>0.92930285496758092</v>
      </c>
      <c r="O9" s="49">
        <v>0.93591669474733541</v>
      </c>
      <c r="P9" s="1"/>
    </row>
    <row r="10" spans="1:16" x14ac:dyDescent="0.25">
      <c r="A10" s="24"/>
      <c r="B10" s="22"/>
      <c r="C10" s="23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49"/>
      <c r="P10" s="4"/>
    </row>
    <row r="11" spans="1:16" x14ac:dyDescent="0.25">
      <c r="A11" s="21">
        <v>2</v>
      </c>
      <c r="B11" s="22" t="s">
        <v>43</v>
      </c>
      <c r="C11" s="23" t="s">
        <v>5</v>
      </c>
      <c r="D11" s="49">
        <v>0.98485037731417491</v>
      </c>
      <c r="E11" s="49">
        <v>0.90627074750323933</v>
      </c>
      <c r="F11" s="49">
        <v>0.95707881712327192</v>
      </c>
      <c r="G11" s="49">
        <v>0.993899474321008</v>
      </c>
      <c r="H11" s="49">
        <v>0.99683291140404506</v>
      </c>
      <c r="I11" s="49">
        <v>0.9319530522498084</v>
      </c>
      <c r="J11" s="49">
        <v>0.87534060983026052</v>
      </c>
      <c r="K11" s="49">
        <v>0.97597962261426607</v>
      </c>
      <c r="L11" s="49">
        <v>0.98781133030173474</v>
      </c>
      <c r="M11" s="49">
        <v>0.96562626975345323</v>
      </c>
      <c r="N11" s="49">
        <v>0.97084368234079033</v>
      </c>
      <c r="O11" s="49">
        <v>0.84704645919100308</v>
      </c>
      <c r="P11" s="1"/>
    </row>
    <row r="12" spans="1:16" x14ac:dyDescent="0.25">
      <c r="A12" s="21"/>
      <c r="B12" s="22"/>
      <c r="C12" s="2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"/>
    </row>
    <row r="13" spans="1:16" x14ac:dyDescent="0.25">
      <c r="A13" s="21">
        <v>3</v>
      </c>
      <c r="B13" s="22" t="s">
        <v>44</v>
      </c>
      <c r="C13" s="25" t="s">
        <v>5</v>
      </c>
      <c r="D13" s="51">
        <v>0.98112483140827822</v>
      </c>
      <c r="E13" s="51">
        <v>0.76997468679552217</v>
      </c>
      <c r="F13" s="51">
        <v>0.99495766089105575</v>
      </c>
      <c r="G13" s="51">
        <v>0.85597031408615465</v>
      </c>
      <c r="H13" s="51">
        <v>0.78811793184372803</v>
      </c>
      <c r="I13" s="51">
        <v>0.91599700472021717</v>
      </c>
      <c r="J13" s="51">
        <v>0.79286943332690929</v>
      </c>
      <c r="K13" s="51">
        <v>0.96199448372148288</v>
      </c>
      <c r="L13" s="51">
        <v>0.97950848256671263</v>
      </c>
      <c r="M13" s="51">
        <v>0.94363277663650313</v>
      </c>
      <c r="N13" s="51">
        <v>0.95163601703403522</v>
      </c>
      <c r="O13" s="51">
        <v>0.79973628792698626</v>
      </c>
      <c r="P13" s="4"/>
    </row>
    <row r="14" spans="1:16" x14ac:dyDescent="0.25">
      <c r="A14" s="21">
        <v>4</v>
      </c>
      <c r="B14" s="22" t="s">
        <v>32</v>
      </c>
      <c r="C14" s="25" t="s">
        <v>5</v>
      </c>
      <c r="D14" s="51">
        <v>0.98169978298117355</v>
      </c>
      <c r="E14" s="51">
        <v>0.75398113018721358</v>
      </c>
      <c r="F14" s="51">
        <v>0.68648217942250889</v>
      </c>
      <c r="G14" s="51">
        <v>0.7180152447896424</v>
      </c>
      <c r="H14" s="51">
        <v>0.67364538781294447</v>
      </c>
      <c r="I14" s="51">
        <v>0.90268027227358838</v>
      </c>
      <c r="J14" s="51">
        <v>0.74048446080895525</v>
      </c>
      <c r="K14" s="51">
        <v>0.94713842444752394</v>
      </c>
      <c r="L14" s="51">
        <v>0.87101716881821867</v>
      </c>
      <c r="M14" s="51">
        <v>0.93738927802021188</v>
      </c>
      <c r="N14" s="51">
        <v>0.96391704120695099</v>
      </c>
      <c r="O14" s="51">
        <v>0.71708324412531166</v>
      </c>
      <c r="P14" s="1"/>
    </row>
    <row r="15" spans="1:16" x14ac:dyDescent="0.25">
      <c r="A15" s="24"/>
      <c r="B15" s="27"/>
      <c r="C15" s="2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1"/>
      <c r="P15" s="1"/>
    </row>
    <row r="16" spans="1:16" x14ac:dyDescent="0.25">
      <c r="A16" s="21">
        <v>6</v>
      </c>
      <c r="B16" s="22" t="s">
        <v>33</v>
      </c>
      <c r="C16" s="25" t="s">
        <v>7</v>
      </c>
      <c r="D16" s="51">
        <v>0.97158267958407707</v>
      </c>
      <c r="E16" s="51">
        <v>0.85686727267491614</v>
      </c>
      <c r="F16" s="51">
        <v>0.86725558031787953</v>
      </c>
      <c r="G16" s="51">
        <v>0.90094423121331646</v>
      </c>
      <c r="H16" s="51">
        <v>0.87269993253445999</v>
      </c>
      <c r="I16" s="51">
        <v>0.88516259875034464</v>
      </c>
      <c r="J16" s="51">
        <v>0.86245674809175954</v>
      </c>
      <c r="K16" s="51">
        <v>0.93284025863779341</v>
      </c>
      <c r="L16" s="51">
        <v>0.86985575834267359</v>
      </c>
      <c r="M16" s="51">
        <v>0.98986550510148108</v>
      </c>
      <c r="N16" s="51">
        <v>0.88879440508747243</v>
      </c>
      <c r="O16" s="51">
        <v>0.81924252380367735</v>
      </c>
      <c r="P16" s="1"/>
    </row>
    <row r="17" spans="1:16" x14ac:dyDescent="0.25">
      <c r="A17" s="21">
        <v>7</v>
      </c>
      <c r="B17" s="22" t="s">
        <v>34</v>
      </c>
      <c r="C17" s="25" t="s">
        <v>7</v>
      </c>
      <c r="D17" s="51">
        <v>0.97448608493573652</v>
      </c>
      <c r="E17" s="51">
        <v>0.83507010733213338</v>
      </c>
      <c r="F17" s="51">
        <v>0.72114773673107424</v>
      </c>
      <c r="G17" s="51">
        <v>0.84931691665709608</v>
      </c>
      <c r="H17" s="51">
        <v>0.75398579864247672</v>
      </c>
      <c r="I17" s="51">
        <v>0.95158937779260555</v>
      </c>
      <c r="J17" s="51">
        <v>0.87292876271906494</v>
      </c>
      <c r="K17" s="51">
        <v>0.95265702575907318</v>
      </c>
      <c r="L17" s="51">
        <v>0.88134486123417921</v>
      </c>
      <c r="M17" s="51">
        <v>0.96576410895290998</v>
      </c>
      <c r="N17" s="51">
        <v>0.9337604526165878</v>
      </c>
      <c r="O17" s="51">
        <v>0.86135331001496196</v>
      </c>
      <c r="P17" s="1"/>
    </row>
    <row r="18" spans="1:16" x14ac:dyDescent="0.25">
      <c r="A18" s="21">
        <v>8</v>
      </c>
      <c r="B18" s="22" t="s">
        <v>35</v>
      </c>
      <c r="C18" s="25" t="s">
        <v>7</v>
      </c>
      <c r="D18" s="51">
        <v>0.6870290947026777</v>
      </c>
      <c r="E18" s="51">
        <v>0.40160535117056867</v>
      </c>
      <c r="F18" s="51">
        <v>0.14928215646059181</v>
      </c>
      <c r="G18" s="51">
        <v>0.65294554915443226</v>
      </c>
      <c r="H18" s="51">
        <v>0.41249132546842476</v>
      </c>
      <c r="I18" s="51">
        <v>0.77499173978486746</v>
      </c>
      <c r="J18" s="51">
        <v>0.77756731662024148</v>
      </c>
      <c r="K18" s="51">
        <v>0.80356191744340899</v>
      </c>
      <c r="L18" s="51">
        <v>0.69378736677930841</v>
      </c>
      <c r="M18" s="51">
        <v>0.74648033126293989</v>
      </c>
      <c r="N18" s="51">
        <v>0.73755957737559552</v>
      </c>
      <c r="O18" s="51">
        <v>0.63932340908309571</v>
      </c>
      <c r="P18" s="1"/>
    </row>
    <row r="19" spans="1:16" x14ac:dyDescent="0.25">
      <c r="A19" s="21">
        <v>9</v>
      </c>
      <c r="B19" s="22" t="s">
        <v>36</v>
      </c>
      <c r="C19" s="25" t="s">
        <v>7</v>
      </c>
      <c r="D19" s="51">
        <v>0.60851286462730225</v>
      </c>
      <c r="E19" s="51">
        <v>0.67059080056660514</v>
      </c>
      <c r="F19" s="51">
        <v>0.59866260077904154</v>
      </c>
      <c r="G19" s="51">
        <v>0.77335437423820153</v>
      </c>
      <c r="H19" s="51">
        <v>0.78390632175414876</v>
      </c>
      <c r="I19" s="51">
        <v>0.80119163885719702</v>
      </c>
      <c r="J19" s="51">
        <v>0.67111032057649245</v>
      </c>
      <c r="K19" s="51">
        <v>0.6755948550326496</v>
      </c>
      <c r="L19" s="51">
        <v>0.67405815754508125</v>
      </c>
      <c r="M19" s="51">
        <v>0.87075741732180889</v>
      </c>
      <c r="N19" s="51">
        <v>0.70036788983124632</v>
      </c>
      <c r="O19" s="51">
        <v>0.94738487696289908</v>
      </c>
      <c r="P19" s="5"/>
    </row>
    <row r="20" spans="1:16" x14ac:dyDescent="0.25">
      <c r="A20" s="21"/>
      <c r="B20" s="22"/>
      <c r="C20" s="25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"/>
    </row>
    <row r="21" spans="1:16" x14ac:dyDescent="0.25">
      <c r="A21" s="21">
        <v>11</v>
      </c>
      <c r="B21" s="26" t="s">
        <v>37</v>
      </c>
      <c r="C21" s="25" t="s">
        <v>8</v>
      </c>
      <c r="D21" s="51">
        <v>0.99544800192048766</v>
      </c>
      <c r="E21" s="51">
        <v>0.93131599465418313</v>
      </c>
      <c r="F21" s="51">
        <v>0.66086024116752939</v>
      </c>
      <c r="G21" s="51">
        <v>0.77481201137331079</v>
      </c>
      <c r="H21" s="51">
        <v>0.90498568070516328</v>
      </c>
      <c r="I21" s="51">
        <v>0.90141700944304659</v>
      </c>
      <c r="J21" s="51">
        <v>0.97827384075927226</v>
      </c>
      <c r="K21" s="51">
        <v>0.93941088445917265</v>
      </c>
      <c r="L21" s="51">
        <v>0.70616915143019143</v>
      </c>
      <c r="M21" s="51">
        <v>0.91463471958522313</v>
      </c>
      <c r="N21" s="51">
        <v>0.86140136760361019</v>
      </c>
      <c r="O21" s="51">
        <v>0.90673690275418239</v>
      </c>
      <c r="P21" s="1"/>
    </row>
    <row r="22" spans="1:16" x14ac:dyDescent="0.25">
      <c r="A22" s="24"/>
      <c r="B22" s="22"/>
      <c r="C22" s="2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"/>
    </row>
    <row r="23" spans="1:16" x14ac:dyDescent="0.25">
      <c r="A23" s="21">
        <v>12</v>
      </c>
      <c r="B23" s="28" t="s">
        <v>9</v>
      </c>
      <c r="C23" s="25" t="s">
        <v>5</v>
      </c>
      <c r="D23" s="51">
        <v>0</v>
      </c>
      <c r="E23" s="51">
        <v>0</v>
      </c>
      <c r="F23" s="51">
        <v>0</v>
      </c>
      <c r="G23" s="51">
        <v>0.99815486692800826</v>
      </c>
      <c r="H23" s="51">
        <v>0.93966050391065548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1"/>
    </row>
    <row r="26" spans="1:16" x14ac:dyDescent="0.25">
      <c r="A26" s="1"/>
      <c r="B26" s="57" t="s">
        <v>13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6" x14ac:dyDescent="0.25">
      <c r="A27" s="1"/>
      <c r="B27" s="57" t="s">
        <v>14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6" x14ac:dyDescent="0.25">
      <c r="A28" s="1"/>
      <c r="B28" s="57" t="s">
        <v>95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6" x14ac:dyDescent="0.25">
      <c r="A29" s="10"/>
      <c r="B29" s="55" t="s">
        <v>17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</row>
    <row r="30" spans="1:16" x14ac:dyDescent="0.25">
      <c r="A30" s="1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6" x14ac:dyDescent="0.25">
      <c r="A31" s="10"/>
      <c r="B31" s="17"/>
      <c r="C31" s="17"/>
      <c r="D31" s="14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6" x14ac:dyDescent="0.25">
      <c r="A32" s="15" t="s">
        <v>0</v>
      </c>
      <c r="B32" s="17" t="s">
        <v>1</v>
      </c>
      <c r="C32" s="34" t="s">
        <v>2</v>
      </c>
      <c r="D32" s="19" t="s">
        <v>18</v>
      </c>
      <c r="E32" s="19" t="s">
        <v>19</v>
      </c>
      <c r="F32" s="19" t="s">
        <v>20</v>
      </c>
      <c r="G32" s="19" t="s">
        <v>21</v>
      </c>
      <c r="H32" s="19" t="s">
        <v>22</v>
      </c>
      <c r="I32" s="19" t="s">
        <v>23</v>
      </c>
      <c r="J32" s="19" t="s">
        <v>24</v>
      </c>
      <c r="K32" s="19" t="s">
        <v>25</v>
      </c>
      <c r="L32" s="19" t="s">
        <v>26</v>
      </c>
      <c r="M32" s="19" t="s">
        <v>27</v>
      </c>
      <c r="N32" s="19" t="s">
        <v>28</v>
      </c>
      <c r="O32" s="19" t="s">
        <v>29</v>
      </c>
    </row>
    <row r="33" spans="1:15" x14ac:dyDescent="0.25">
      <c r="A33" s="10"/>
      <c r="B33" s="17"/>
      <c r="C33" s="34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20"/>
    </row>
    <row r="34" spans="1:15" x14ac:dyDescent="0.25">
      <c r="A34" s="21" t="s">
        <v>3</v>
      </c>
      <c r="B34" s="22" t="s">
        <v>4</v>
      </c>
      <c r="C34" s="23" t="s">
        <v>5</v>
      </c>
      <c r="D34" s="49">
        <v>0.49364740896485176</v>
      </c>
      <c r="E34" s="49">
        <v>0.55425167349472237</v>
      </c>
      <c r="F34" s="49">
        <v>0.34662192628618793</v>
      </c>
      <c r="G34" s="49">
        <v>0.35482845673752972</v>
      </c>
      <c r="H34" s="49">
        <v>0.40513147156919349</v>
      </c>
      <c r="I34" s="49">
        <v>0.52021859386634739</v>
      </c>
      <c r="J34" s="49">
        <v>0.4811199504933083</v>
      </c>
      <c r="K34" s="49">
        <v>0.57494456313985909</v>
      </c>
      <c r="L34" s="49">
        <v>0.60828087028835132</v>
      </c>
      <c r="M34" s="49">
        <v>0.66816793847750544</v>
      </c>
      <c r="N34" s="49">
        <v>0.65566119919711596</v>
      </c>
      <c r="O34" s="49">
        <v>0.60186980672681256</v>
      </c>
    </row>
    <row r="35" spans="1:15" x14ac:dyDescent="0.25">
      <c r="A35" s="24"/>
      <c r="B35" s="22"/>
      <c r="C35" s="23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49"/>
    </row>
    <row r="36" spans="1:15" x14ac:dyDescent="0.25">
      <c r="A36" s="21">
        <v>2</v>
      </c>
      <c r="B36" s="22" t="s">
        <v>43</v>
      </c>
      <c r="C36" s="23" t="s">
        <v>5</v>
      </c>
      <c r="D36" s="49">
        <v>0.68877641390243949</v>
      </c>
      <c r="E36" s="49">
        <v>0.75884872369128042</v>
      </c>
      <c r="F36" s="49">
        <v>0.70784439131957433</v>
      </c>
      <c r="G36" s="49">
        <v>0.71504639115406776</v>
      </c>
      <c r="H36" s="49">
        <v>0.74117885980770681</v>
      </c>
      <c r="I36" s="49">
        <v>0.75056990654956346</v>
      </c>
      <c r="J36" s="49">
        <v>0.70872183998096083</v>
      </c>
      <c r="K36" s="49">
        <v>0.72623165232399167</v>
      </c>
      <c r="L36" s="49">
        <v>0.69935823249858098</v>
      </c>
      <c r="M36" s="49">
        <v>0.7378887217243405</v>
      </c>
      <c r="N36" s="49">
        <v>0.74805074425894436</v>
      </c>
      <c r="O36" s="49">
        <v>0.71407391751812288</v>
      </c>
    </row>
    <row r="37" spans="1:15" x14ac:dyDescent="0.25">
      <c r="A37" s="21"/>
      <c r="B37" s="22"/>
      <c r="C37" s="23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x14ac:dyDescent="0.25">
      <c r="A38" s="21">
        <v>3</v>
      </c>
      <c r="B38" s="22" t="s">
        <v>44</v>
      </c>
      <c r="C38" s="25" t="s">
        <v>5</v>
      </c>
      <c r="D38" s="51">
        <v>0.59850467174127431</v>
      </c>
      <c r="E38" s="51">
        <v>0.59908103457426609</v>
      </c>
      <c r="F38" s="51">
        <v>0.66587274263924989</v>
      </c>
      <c r="G38" s="51">
        <v>0.65903604077891675</v>
      </c>
      <c r="H38" s="51">
        <v>0.63445852582010842</v>
      </c>
      <c r="I38" s="51">
        <v>0.63114535649358361</v>
      </c>
      <c r="J38" s="51">
        <v>0.59970146392247203</v>
      </c>
      <c r="K38" s="51">
        <v>0.66094208890243589</v>
      </c>
      <c r="L38" s="51">
        <v>0.66223918112995195</v>
      </c>
      <c r="M38" s="51">
        <v>0.69454147690955836</v>
      </c>
      <c r="N38" s="51">
        <v>0.69797481054869404</v>
      </c>
      <c r="O38" s="51">
        <v>0.66680132927125113</v>
      </c>
    </row>
    <row r="39" spans="1:15" x14ac:dyDescent="0.25">
      <c r="A39" s="21">
        <v>4</v>
      </c>
      <c r="B39" s="22" t="s">
        <v>32</v>
      </c>
      <c r="C39" s="25" t="s">
        <v>5</v>
      </c>
      <c r="D39" s="51">
        <v>0.69804427277743419</v>
      </c>
      <c r="E39" s="51">
        <v>0.6665612529830226</v>
      </c>
      <c r="F39" s="51">
        <v>0.66966030441803548</v>
      </c>
      <c r="G39" s="51">
        <v>0.70662013536579626</v>
      </c>
      <c r="H39" s="51">
        <v>0.70054917202268441</v>
      </c>
      <c r="I39" s="51">
        <v>0.70672887685937247</v>
      </c>
      <c r="J39" s="51">
        <v>0.68618489488090939</v>
      </c>
      <c r="K39" s="51">
        <v>0.73098446875827827</v>
      </c>
      <c r="L39" s="51">
        <v>0.73886381908946486</v>
      </c>
      <c r="M39" s="51">
        <v>0.75712473879107522</v>
      </c>
      <c r="N39" s="51">
        <v>0.76826311742561926</v>
      </c>
      <c r="O39" s="51">
        <v>0.71767935330208565</v>
      </c>
    </row>
    <row r="40" spans="1:15" x14ac:dyDescent="0.25">
      <c r="A40" s="24"/>
      <c r="B40" s="27"/>
      <c r="C40" s="2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1"/>
    </row>
    <row r="41" spans="1:15" x14ac:dyDescent="0.25">
      <c r="A41" s="21">
        <v>6</v>
      </c>
      <c r="B41" s="22" t="s">
        <v>33</v>
      </c>
      <c r="C41" s="25" t="s">
        <v>7</v>
      </c>
      <c r="D41" s="51">
        <v>0.83627630920566298</v>
      </c>
      <c r="E41" s="51">
        <v>0.83657209009034739</v>
      </c>
      <c r="F41" s="51">
        <v>0.84641877448363645</v>
      </c>
      <c r="G41" s="51">
        <v>0.83204642252285199</v>
      </c>
      <c r="H41" s="51">
        <v>0.84928161130523172</v>
      </c>
      <c r="I41" s="51">
        <v>0.81735797882219241</v>
      </c>
      <c r="J41" s="51">
        <v>0.82712297498263487</v>
      </c>
      <c r="K41" s="51">
        <v>0.82671975865863001</v>
      </c>
      <c r="L41" s="51">
        <v>0.84848361116468729</v>
      </c>
      <c r="M41" s="51">
        <v>0.85977780664227021</v>
      </c>
      <c r="N41" s="51">
        <v>0.85839699154255356</v>
      </c>
      <c r="O41" s="51">
        <v>0.85273849399433976</v>
      </c>
    </row>
    <row r="42" spans="1:15" x14ac:dyDescent="0.25">
      <c r="A42" s="21">
        <v>7</v>
      </c>
      <c r="B42" s="22" t="s">
        <v>34</v>
      </c>
      <c r="C42" s="25" t="s">
        <v>7</v>
      </c>
      <c r="D42" s="51">
        <v>0.83546864016422007</v>
      </c>
      <c r="E42" s="51">
        <v>0.81324660802313609</v>
      </c>
      <c r="F42" s="51">
        <v>0.80574741025041852</v>
      </c>
      <c r="G42" s="51">
        <v>0.84767468743154617</v>
      </c>
      <c r="H42" s="51">
        <v>0.8262429825594626</v>
      </c>
      <c r="I42" s="51">
        <v>0.84040882144997631</v>
      </c>
      <c r="J42" s="51">
        <v>0.83017074652146916</v>
      </c>
      <c r="K42" s="51">
        <v>0.85369409993745304</v>
      </c>
      <c r="L42" s="51">
        <v>0.85455385564537545</v>
      </c>
      <c r="M42" s="51">
        <v>0.86996314279973275</v>
      </c>
      <c r="N42" s="51">
        <v>0.85133874063550974</v>
      </c>
      <c r="O42" s="51">
        <v>0.85142330015097012</v>
      </c>
    </row>
    <row r="43" spans="1:15" x14ac:dyDescent="0.25">
      <c r="A43" s="21">
        <v>8</v>
      </c>
      <c r="B43" s="22" t="s">
        <v>35</v>
      </c>
      <c r="C43" s="25" t="s">
        <v>7</v>
      </c>
      <c r="D43" s="51">
        <v>0.5763883435891235</v>
      </c>
      <c r="E43" s="51">
        <v>0.50888261798587875</v>
      </c>
      <c r="F43" s="51">
        <v>0.4836450171545229</v>
      </c>
      <c r="G43" s="51">
        <v>0.58636720599960424</v>
      </c>
      <c r="H43" s="51">
        <v>0.64939539891829956</v>
      </c>
      <c r="I43" s="51">
        <v>0.6186341078000509</v>
      </c>
      <c r="J43" s="51">
        <v>0.62787449705973364</v>
      </c>
      <c r="K43" s="51">
        <v>0.66994902853542948</v>
      </c>
      <c r="L43" s="51">
        <v>0.63201191224041797</v>
      </c>
      <c r="M43" s="51">
        <v>0.70667131392061233</v>
      </c>
      <c r="N43" s="51">
        <v>0.67982001083045795</v>
      </c>
      <c r="O43" s="51">
        <v>0.61341000943529544</v>
      </c>
    </row>
    <row r="44" spans="1:15" x14ac:dyDescent="0.25">
      <c r="A44" s="21">
        <v>9</v>
      </c>
      <c r="B44" s="22" t="s">
        <v>36</v>
      </c>
      <c r="C44" s="25" t="s">
        <v>7</v>
      </c>
      <c r="D44" s="51">
        <v>0.75294179919514925</v>
      </c>
      <c r="E44" s="51">
        <v>0.70116844956206803</v>
      </c>
      <c r="F44" s="51">
        <v>0.7957473290149023</v>
      </c>
      <c r="G44" s="51">
        <v>0.82186285108833312</v>
      </c>
      <c r="H44" s="51">
        <v>0.79906511303934424</v>
      </c>
      <c r="I44" s="51">
        <v>0.78597428343698394</v>
      </c>
      <c r="J44" s="51">
        <v>0.74728486341451783</v>
      </c>
      <c r="K44" s="51">
        <v>0.79802166788321893</v>
      </c>
      <c r="L44" s="51">
        <v>0.77752178004088923</v>
      </c>
      <c r="M44" s="51">
        <v>0.8492803899436101</v>
      </c>
      <c r="N44" s="51">
        <v>0.85249905880108257</v>
      </c>
      <c r="O44" s="51">
        <v>0.86818468247197456</v>
      </c>
    </row>
    <row r="45" spans="1:15" x14ac:dyDescent="0.25">
      <c r="A45" s="21"/>
      <c r="B45" s="22"/>
      <c r="C45" s="25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</row>
    <row r="46" spans="1:15" x14ac:dyDescent="0.25">
      <c r="A46" s="21">
        <v>11</v>
      </c>
      <c r="B46" s="26" t="s">
        <v>37</v>
      </c>
      <c r="C46" s="25" t="s">
        <v>8</v>
      </c>
      <c r="D46" s="51">
        <v>0.86266517859867498</v>
      </c>
      <c r="E46" s="51">
        <v>0.76898075978377634</v>
      </c>
      <c r="F46" s="51">
        <v>0.77976766153175647</v>
      </c>
      <c r="G46" s="51">
        <v>0.76851611730157909</v>
      </c>
      <c r="H46" s="51">
        <v>0.83363806164990695</v>
      </c>
      <c r="I46" s="51">
        <v>0.7894174471719454</v>
      </c>
      <c r="J46" s="51">
        <v>0.81866905018034908</v>
      </c>
      <c r="K46" s="51">
        <v>0.86601035106147206</v>
      </c>
      <c r="L46" s="51">
        <v>0.82504407287942649</v>
      </c>
      <c r="M46" s="51">
        <v>0.83777111058063092</v>
      </c>
      <c r="N46" s="51">
        <v>0.80525549759578974</v>
      </c>
      <c r="O46" s="51">
        <v>0.81325055754082654</v>
      </c>
    </row>
    <row r="47" spans="1:15" x14ac:dyDescent="0.25">
      <c r="A47" s="24"/>
      <c r="B47" s="22"/>
      <c r="C47" s="2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</row>
    <row r="48" spans="1:15" x14ac:dyDescent="0.25">
      <c r="A48" s="21">
        <v>12</v>
      </c>
      <c r="B48" s="28" t="s">
        <v>9</v>
      </c>
      <c r="C48" s="25" t="s">
        <v>5</v>
      </c>
      <c r="D48" s="51">
        <v>0.46988690131737926</v>
      </c>
      <c r="E48" s="51">
        <v>0.50446675437706578</v>
      </c>
      <c r="F48" s="51">
        <v>0.52245026846621323</v>
      </c>
      <c r="G48" s="51">
        <v>0.51729377733548021</v>
      </c>
      <c r="H48" s="51">
        <v>0.4867479637183097</v>
      </c>
      <c r="I48" s="51">
        <v>0.42057934171895295</v>
      </c>
      <c r="J48" s="51">
        <v>0.42112026047847173</v>
      </c>
      <c r="K48" s="51">
        <v>0.41037080427115336</v>
      </c>
      <c r="L48" s="51">
        <v>0.37921524378184035</v>
      </c>
      <c r="M48" s="51">
        <v>0.3792024919858839</v>
      </c>
      <c r="N48" s="51">
        <v>0.41440280935389529</v>
      </c>
      <c r="O48" s="51">
        <v>0.41615694798993336</v>
      </c>
    </row>
    <row r="49" spans="1:15" x14ac:dyDescent="0.25">
      <c r="A49" s="3"/>
      <c r="B49" s="2"/>
      <c r="C49" s="2" t="s">
        <v>6</v>
      </c>
      <c r="D49" s="6" t="s">
        <v>6</v>
      </c>
      <c r="E49" s="6" t="s">
        <v>6</v>
      </c>
      <c r="F49" s="6" t="s">
        <v>6</v>
      </c>
      <c r="G49" s="6" t="s">
        <v>6</v>
      </c>
      <c r="H49" s="6" t="s">
        <v>6</v>
      </c>
      <c r="I49" s="6" t="s">
        <v>6</v>
      </c>
      <c r="J49" s="6" t="s">
        <v>6</v>
      </c>
      <c r="K49" s="6" t="s">
        <v>6</v>
      </c>
      <c r="L49" s="6" t="s">
        <v>6</v>
      </c>
      <c r="M49" s="6" t="s">
        <v>6</v>
      </c>
      <c r="N49" s="6" t="s">
        <v>6</v>
      </c>
      <c r="O49" s="6" t="s">
        <v>6</v>
      </c>
    </row>
  </sheetData>
  <mergeCells count="8">
    <mergeCell ref="B1:O1"/>
    <mergeCell ref="B26:O26"/>
    <mergeCell ref="B29:O29"/>
    <mergeCell ref="B2:O2"/>
    <mergeCell ref="B3:O3"/>
    <mergeCell ref="B4:O4"/>
    <mergeCell ref="B27:O27"/>
    <mergeCell ref="B28:O28"/>
  </mergeCells>
  <pageMargins left="0.7" right="0.7" top="0.75" bottom="0.75" header="0.3" footer="0.3"/>
  <pageSetup scale="72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8"/>
  <sheetViews>
    <sheetView tabSelected="1" zoomScale="80" zoomScaleNormal="80" workbookViewId="0">
      <selection activeCell="A35" sqref="A35:XFD35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6" t="s">
        <v>13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"/>
      <c r="Q1" s="1"/>
    </row>
    <row r="2" spans="1:17" x14ac:dyDescent="0.25">
      <c r="A2" s="1"/>
      <c r="B2" s="56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  <c r="Q2" s="1"/>
    </row>
    <row r="3" spans="1:17" x14ac:dyDescent="0.25">
      <c r="A3" s="1"/>
      <c r="B3" s="57" t="s">
        <v>15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  <c r="Q3" s="1"/>
    </row>
    <row r="4" spans="1:17" x14ac:dyDescent="0.25">
      <c r="A4" s="10"/>
      <c r="B4" s="55" t="s">
        <v>45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25">
      <c r="A5" s="10"/>
      <c r="B5" s="17"/>
      <c r="C5" s="17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  <c r="Q5" s="1"/>
    </row>
    <row r="6" spans="1:17" x14ac:dyDescent="0.25">
      <c r="A6" s="10"/>
      <c r="B6" s="17"/>
      <c r="C6" s="1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"/>
      <c r="Q6" s="1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48</v>
      </c>
      <c r="E7" s="19" t="s">
        <v>49</v>
      </c>
      <c r="F7" s="19" t="s">
        <v>50</v>
      </c>
      <c r="G7" s="19" t="s">
        <v>51</v>
      </c>
      <c r="H7" s="19" t="s">
        <v>52</v>
      </c>
      <c r="I7" s="19" t="s">
        <v>53</v>
      </c>
      <c r="J7" s="19" t="s">
        <v>54</v>
      </c>
      <c r="K7" s="19" t="s">
        <v>55</v>
      </c>
      <c r="L7" s="19" t="s">
        <v>56</v>
      </c>
      <c r="M7" s="19" t="s">
        <v>57</v>
      </c>
      <c r="N7" s="19" t="s">
        <v>58</v>
      </c>
      <c r="O7" s="19" t="s">
        <v>59</v>
      </c>
      <c r="P7" s="1"/>
      <c r="Q7" s="1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1"/>
      <c r="Q8" s="1"/>
    </row>
    <row r="9" spans="1:17" x14ac:dyDescent="0.25">
      <c r="A9" s="21" t="s">
        <v>3</v>
      </c>
      <c r="B9" s="22" t="s">
        <v>4</v>
      </c>
      <c r="C9" s="23" t="s">
        <v>5</v>
      </c>
      <c r="D9" s="49">
        <v>1</v>
      </c>
      <c r="E9" s="49">
        <v>0.74500795244588314</v>
      </c>
      <c r="F9" s="49">
        <v>0.86966628152862824</v>
      </c>
      <c r="G9" s="49">
        <v>0.95272971200073653</v>
      </c>
      <c r="H9" s="49">
        <v>0.98506352646447204</v>
      </c>
      <c r="I9" s="49">
        <v>0.97396217864077261</v>
      </c>
      <c r="J9" s="49">
        <v>0.94172067793778425</v>
      </c>
      <c r="K9" s="49">
        <v>0.94640547798356944</v>
      </c>
      <c r="L9" s="49">
        <v>0.91549057576723725</v>
      </c>
      <c r="M9" s="49">
        <v>0.91000192762280097</v>
      </c>
      <c r="N9" s="49">
        <v>0.94212933665740572</v>
      </c>
      <c r="O9" s="49">
        <v>0.89627338767155451</v>
      </c>
      <c r="P9" s="1"/>
      <c r="Q9" s="1"/>
    </row>
    <row r="10" spans="1:17" x14ac:dyDescent="0.25">
      <c r="A10" s="24"/>
      <c r="B10" s="22"/>
      <c r="C10" s="23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49"/>
      <c r="P10" s="1"/>
      <c r="Q10" s="4"/>
    </row>
    <row r="11" spans="1:17" x14ac:dyDescent="0.25">
      <c r="A11" s="21">
        <v>2</v>
      </c>
      <c r="B11" s="22" t="s">
        <v>43</v>
      </c>
      <c r="C11" s="23" t="s">
        <v>5</v>
      </c>
      <c r="D11" s="49">
        <v>0.81825314315500797</v>
      </c>
      <c r="E11" s="49">
        <v>2.5418706956012289E-2</v>
      </c>
      <c r="F11" s="49">
        <v>0.9888558605435428</v>
      </c>
      <c r="G11" s="49">
        <v>1</v>
      </c>
      <c r="H11" s="49">
        <v>0.96880927183301235</v>
      </c>
      <c r="I11" s="49">
        <v>0.78018129348006215</v>
      </c>
      <c r="J11" s="49">
        <v>0.99742662786992431</v>
      </c>
      <c r="K11" s="49">
        <v>0.91489672785979104</v>
      </c>
      <c r="L11" s="49">
        <v>0.98574249595320251</v>
      </c>
      <c r="M11" s="49">
        <v>0.89660117015984908</v>
      </c>
      <c r="N11" s="49">
        <v>0.99635545469673714</v>
      </c>
      <c r="O11" s="49">
        <v>0.94459086527200142</v>
      </c>
      <c r="P11" s="1"/>
      <c r="Q11" s="1"/>
    </row>
    <row r="12" spans="1:17" x14ac:dyDescent="0.25">
      <c r="A12" s="21"/>
      <c r="B12" s="22"/>
      <c r="C12" s="2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1"/>
      <c r="Q12" s="4"/>
    </row>
    <row r="13" spans="1:17" x14ac:dyDescent="0.25">
      <c r="A13" s="21">
        <v>3</v>
      </c>
      <c r="B13" s="22" t="s">
        <v>44</v>
      </c>
      <c r="C13" s="25" t="s">
        <v>5</v>
      </c>
      <c r="D13" s="49">
        <v>0.76003561572261324</v>
      </c>
      <c r="E13" s="49">
        <v>0.98557377954150782</v>
      </c>
      <c r="F13" s="49">
        <v>0.97770343715472652</v>
      </c>
      <c r="G13" s="49">
        <v>1</v>
      </c>
      <c r="H13" s="49">
        <v>0.98498149064945051</v>
      </c>
      <c r="I13" s="49">
        <v>0.65097134326758155</v>
      </c>
      <c r="J13" s="49">
        <v>0.97330794969320611</v>
      </c>
      <c r="K13" s="49">
        <v>0.8888292071288062</v>
      </c>
      <c r="L13" s="49">
        <v>0.98261442822033696</v>
      </c>
      <c r="M13" s="49">
        <v>0.89176196422402065</v>
      </c>
      <c r="N13" s="49">
        <v>0.99160466751121934</v>
      </c>
      <c r="O13" s="49">
        <v>0.92873938742703566</v>
      </c>
      <c r="P13" s="1"/>
      <c r="Q13" s="4"/>
    </row>
    <row r="14" spans="1:17" x14ac:dyDescent="0.25">
      <c r="A14" s="21">
        <v>4</v>
      </c>
      <c r="B14" s="22" t="s">
        <v>32</v>
      </c>
      <c r="C14" s="25" t="s">
        <v>5</v>
      </c>
      <c r="D14" s="49">
        <v>0.73376901993066102</v>
      </c>
      <c r="E14" s="49">
        <v>0.95943870181673796</v>
      </c>
      <c r="F14" s="49">
        <v>0.9412106737521293</v>
      </c>
      <c r="G14" s="49">
        <v>0.87857441654582857</v>
      </c>
      <c r="H14" s="49">
        <v>0.82535925585804526</v>
      </c>
      <c r="I14" s="49">
        <v>0.63483422900977937</v>
      </c>
      <c r="J14" s="49">
        <v>0.93781710520953776</v>
      </c>
      <c r="K14" s="49">
        <v>0.88087971067562088</v>
      </c>
      <c r="L14" s="49">
        <v>0.82324062867168213</v>
      </c>
      <c r="M14" s="49">
        <v>0.92194748606754395</v>
      </c>
      <c r="N14" s="49">
        <v>0.91623170993240288</v>
      </c>
      <c r="O14" s="49">
        <v>0.95747965263000545</v>
      </c>
      <c r="P14" s="1"/>
      <c r="Q14" s="1"/>
    </row>
    <row r="15" spans="1:17" x14ac:dyDescent="0.25">
      <c r="A15" s="24"/>
      <c r="B15" s="27"/>
      <c r="C15" s="2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1"/>
      <c r="P15" s="1"/>
      <c r="Q15" s="1"/>
    </row>
    <row r="16" spans="1:17" x14ac:dyDescent="0.25">
      <c r="A16" s="21">
        <v>6</v>
      </c>
      <c r="B16" s="22" t="s">
        <v>33</v>
      </c>
      <c r="C16" s="25" t="s">
        <v>7</v>
      </c>
      <c r="D16" s="49">
        <v>0.93049948224364221</v>
      </c>
      <c r="E16" s="49">
        <v>0.96512287465762914</v>
      </c>
      <c r="F16" s="49">
        <v>0.96441102524345546</v>
      </c>
      <c r="G16" s="49">
        <v>0.98273027034277982</v>
      </c>
      <c r="H16" s="49">
        <v>0.96140044483560427</v>
      </c>
      <c r="I16" s="49">
        <v>0.85548939371724975</v>
      </c>
      <c r="J16" s="49">
        <v>0.97759839992992581</v>
      </c>
      <c r="K16" s="49">
        <v>0.93548351082926406</v>
      </c>
      <c r="L16" s="49">
        <v>0.95994902655166725</v>
      </c>
      <c r="M16" s="49">
        <v>0.91600066154260151</v>
      </c>
      <c r="N16" s="49">
        <v>0.97385868393373731</v>
      </c>
      <c r="O16" s="49">
        <v>0.92154342372535514</v>
      </c>
      <c r="P16" s="1"/>
      <c r="Q16" s="1"/>
    </row>
    <row r="17" spans="1:17" x14ac:dyDescent="0.25">
      <c r="A17" s="21">
        <v>7</v>
      </c>
      <c r="B17" s="22" t="s">
        <v>34</v>
      </c>
      <c r="C17" s="25" t="s">
        <v>7</v>
      </c>
      <c r="D17" s="49">
        <v>0.82979963102154586</v>
      </c>
      <c r="E17" s="49">
        <v>0.94322245946646821</v>
      </c>
      <c r="F17" s="49">
        <v>0.97326386251152452</v>
      </c>
      <c r="G17" s="49">
        <v>0.95271602948720047</v>
      </c>
      <c r="H17" s="49">
        <v>0.8498735113832897</v>
      </c>
      <c r="I17" s="49">
        <v>0.77357447116020062</v>
      </c>
      <c r="J17" s="49">
        <v>0.97493842210206838</v>
      </c>
      <c r="K17" s="49">
        <v>0.93615376052314103</v>
      </c>
      <c r="L17" s="49">
        <v>0.90690353731084472</v>
      </c>
      <c r="M17" s="49">
        <v>0.9259207555704112</v>
      </c>
      <c r="N17" s="49">
        <v>0.96058978126539685</v>
      </c>
      <c r="O17" s="49">
        <v>0.96369640438967941</v>
      </c>
      <c r="P17" s="1"/>
      <c r="Q17" s="1"/>
    </row>
    <row r="18" spans="1:17" x14ac:dyDescent="0.25">
      <c r="A18" s="21">
        <v>8</v>
      </c>
      <c r="B18" s="22" t="s">
        <v>35</v>
      </c>
      <c r="C18" s="25" t="s">
        <v>7</v>
      </c>
      <c r="D18" s="49">
        <v>0.82077464788732402</v>
      </c>
      <c r="E18" s="49">
        <v>0.7209714141158613</v>
      </c>
      <c r="F18" s="49">
        <v>0.36927718745900567</v>
      </c>
      <c r="G18" s="49">
        <v>0.62514051121646053</v>
      </c>
      <c r="H18" s="49">
        <v>0.90075227662663326</v>
      </c>
      <c r="I18" s="49">
        <v>0.61193877028618238</v>
      </c>
      <c r="J18" s="49">
        <v>0.56239309439516294</v>
      </c>
      <c r="K18" s="49">
        <v>0.97950168558918127</v>
      </c>
      <c r="L18" s="49">
        <v>0.75517281689592031</v>
      </c>
      <c r="M18" s="49">
        <v>0.74293321661742706</v>
      </c>
      <c r="N18" s="49">
        <v>0.72161058025204272</v>
      </c>
      <c r="O18" s="49">
        <v>0.89026699840320844</v>
      </c>
      <c r="P18" s="5"/>
      <c r="Q18" s="5"/>
    </row>
    <row r="19" spans="1:17" x14ac:dyDescent="0.25">
      <c r="A19" s="21">
        <v>9</v>
      </c>
      <c r="B19" s="22" t="s">
        <v>36</v>
      </c>
      <c r="C19" s="25" t="s">
        <v>7</v>
      </c>
      <c r="D19" s="49">
        <v>0.73542470573957019</v>
      </c>
      <c r="E19" s="49">
        <v>0.83872036911164827</v>
      </c>
      <c r="F19" s="49">
        <v>0.83014105687059259</v>
      </c>
      <c r="G19" s="49">
        <v>0.77638627681966021</v>
      </c>
      <c r="H19" s="49">
        <v>0.85480424066252902</v>
      </c>
      <c r="I19" s="49">
        <v>0.88588660810952846</v>
      </c>
      <c r="J19" s="49">
        <v>0.93920619319462373</v>
      </c>
      <c r="K19" s="49">
        <v>0.8619561171338973</v>
      </c>
      <c r="L19" s="49">
        <v>0.77574500430260929</v>
      </c>
      <c r="M19" s="49">
        <v>0.89548171873124194</v>
      </c>
      <c r="N19" s="49">
        <v>0.83716111772434498</v>
      </c>
      <c r="O19" s="49">
        <v>0.6138169229587308</v>
      </c>
      <c r="P19" s="1"/>
      <c r="Q19" s="1"/>
    </row>
    <row r="20" spans="1:17" x14ac:dyDescent="0.25">
      <c r="A20" s="21"/>
      <c r="B20" s="22"/>
      <c r="C20" s="25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"/>
      <c r="Q20" s="1"/>
    </row>
    <row r="21" spans="1:17" x14ac:dyDescent="0.25">
      <c r="A21" s="21">
        <v>11</v>
      </c>
      <c r="B21" s="26" t="s">
        <v>37</v>
      </c>
      <c r="C21" s="25" t="s">
        <v>8</v>
      </c>
      <c r="D21" s="49">
        <v>0.83340129115137229</v>
      </c>
      <c r="E21" s="49">
        <v>0.90747106269332545</v>
      </c>
      <c r="F21" s="49">
        <v>0.94309342134872376</v>
      </c>
      <c r="G21" s="49">
        <v>0.7629186343004376</v>
      </c>
      <c r="H21" s="49">
        <v>0.76411839525683611</v>
      </c>
      <c r="I21" s="49">
        <v>0.83554400815289909</v>
      </c>
      <c r="J21" s="49">
        <v>0.90997946560165066</v>
      </c>
      <c r="K21" s="49">
        <v>0.94224629101753699</v>
      </c>
      <c r="L21" s="49">
        <v>0.85285833927445254</v>
      </c>
      <c r="M21" s="49">
        <v>0.99636738342097264</v>
      </c>
      <c r="N21" s="49">
        <v>0.73952309984037745</v>
      </c>
      <c r="O21" s="49">
        <v>0.85192302350216842</v>
      </c>
      <c r="P21" s="1"/>
      <c r="Q21" s="1"/>
    </row>
    <row r="22" spans="1:17" x14ac:dyDescent="0.25">
      <c r="A22" s="24"/>
      <c r="B22" s="22"/>
      <c r="C22" s="2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"/>
      <c r="Q22" s="5"/>
    </row>
    <row r="23" spans="1:17" x14ac:dyDescent="0.25">
      <c r="A23" s="21">
        <v>12</v>
      </c>
      <c r="B23" s="28" t="s">
        <v>9</v>
      </c>
      <c r="C23" s="25" t="s">
        <v>5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1"/>
      <c r="Q23" s="1"/>
    </row>
    <row r="24" spans="1:17" x14ac:dyDescent="0.25">
      <c r="P24" s="1"/>
      <c r="Q24" s="1"/>
    </row>
    <row r="25" spans="1:17" x14ac:dyDescent="0.25">
      <c r="P25" s="1"/>
      <c r="Q25" s="1"/>
    </row>
    <row r="26" spans="1:17" x14ac:dyDescent="0.25">
      <c r="A26" s="1"/>
      <c r="B26" s="57" t="s">
        <v>13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7" x14ac:dyDescent="0.25">
      <c r="A27" s="1"/>
      <c r="B27" s="57" t="s">
        <v>14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7" x14ac:dyDescent="0.25">
      <c r="A28" s="1"/>
      <c r="B28" s="57" t="s">
        <v>16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7" x14ac:dyDescent="0.25">
      <c r="A29" s="10"/>
      <c r="B29" s="55" t="s">
        <v>45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</row>
    <row r="30" spans="1:17" x14ac:dyDescent="0.25">
      <c r="A30" s="1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7" x14ac:dyDescent="0.25">
      <c r="A31" s="10"/>
      <c r="B31" s="17"/>
      <c r="C31" s="17"/>
      <c r="D31" s="14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7" x14ac:dyDescent="0.25">
      <c r="A32" s="15" t="s">
        <v>0</v>
      </c>
      <c r="B32" s="17" t="s">
        <v>1</v>
      </c>
      <c r="C32" s="34" t="s">
        <v>2</v>
      </c>
      <c r="D32" s="19" t="s">
        <v>48</v>
      </c>
      <c r="E32" s="19" t="s">
        <v>49</v>
      </c>
      <c r="F32" s="19" t="s">
        <v>50</v>
      </c>
      <c r="G32" s="19" t="s">
        <v>51</v>
      </c>
      <c r="H32" s="19" t="s">
        <v>52</v>
      </c>
      <c r="I32" s="19" t="s">
        <v>53</v>
      </c>
      <c r="J32" s="19" t="s">
        <v>54</v>
      </c>
      <c r="K32" s="19" t="s">
        <v>55</v>
      </c>
      <c r="L32" s="19" t="s">
        <v>56</v>
      </c>
      <c r="M32" s="19" t="s">
        <v>57</v>
      </c>
      <c r="N32" s="19" t="s">
        <v>58</v>
      </c>
      <c r="O32" s="19" t="s">
        <v>59</v>
      </c>
    </row>
    <row r="33" spans="1:15" x14ac:dyDescent="0.25">
      <c r="A33" s="10"/>
      <c r="B33" s="17"/>
      <c r="C33" s="34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20"/>
    </row>
    <row r="34" spans="1:15" x14ac:dyDescent="0.25">
      <c r="A34" s="21" t="s">
        <v>3</v>
      </c>
      <c r="B34" s="22" t="s">
        <v>4</v>
      </c>
      <c r="C34" s="23" t="s">
        <v>5</v>
      </c>
      <c r="D34" s="49">
        <v>0.50918990933827413</v>
      </c>
      <c r="E34" s="49">
        <v>0.8841127446967274</v>
      </c>
      <c r="F34" s="49">
        <v>0.6212779730106518</v>
      </c>
      <c r="G34" s="49">
        <v>0.47227082157665429</v>
      </c>
      <c r="H34" s="49">
        <v>0.41571131266953149</v>
      </c>
      <c r="I34" s="49">
        <v>0.44218268316092219</v>
      </c>
      <c r="J34" s="49">
        <v>0.54335177051668504</v>
      </c>
      <c r="K34" s="49">
        <v>0.60046252632907349</v>
      </c>
      <c r="L34" s="49">
        <v>0.63518729568480814</v>
      </c>
      <c r="M34" s="49">
        <v>0.64657644481102539</v>
      </c>
      <c r="N34" s="49">
        <v>0.62301345035355737</v>
      </c>
      <c r="O34" s="49">
        <v>0.57947280840091597</v>
      </c>
    </row>
    <row r="35" spans="1:15" x14ac:dyDescent="0.25">
      <c r="A35" s="24"/>
      <c r="B35" s="22"/>
      <c r="C35" s="23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49"/>
    </row>
    <row r="36" spans="1:15" x14ac:dyDescent="0.25">
      <c r="A36" s="21">
        <v>2</v>
      </c>
      <c r="B36" s="22" t="s">
        <v>43</v>
      </c>
      <c r="C36" s="23" t="s">
        <v>5</v>
      </c>
      <c r="D36" s="49">
        <v>0.70762155600258525</v>
      </c>
      <c r="E36" s="49">
        <v>0.51714079846669803</v>
      </c>
      <c r="F36" s="49">
        <v>0.77287002295632234</v>
      </c>
      <c r="G36" s="49">
        <v>0.7700814794611327</v>
      </c>
      <c r="H36" s="49">
        <v>0.71963168073345263</v>
      </c>
      <c r="I36" s="49">
        <v>0.78127692413869088</v>
      </c>
      <c r="J36" s="49">
        <v>0.73442421808359526</v>
      </c>
      <c r="K36" s="49">
        <v>0.72316776490553103</v>
      </c>
      <c r="L36" s="49">
        <v>0.74860740868810771</v>
      </c>
      <c r="M36" s="49">
        <v>0.75135525187832186</v>
      </c>
      <c r="N36" s="49">
        <v>0.7143354528961452</v>
      </c>
      <c r="O36" s="49">
        <v>0.73561097971104505</v>
      </c>
    </row>
    <row r="37" spans="1:15" x14ac:dyDescent="0.25">
      <c r="A37" s="21"/>
      <c r="B37" s="22"/>
      <c r="C37" s="23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x14ac:dyDescent="0.25">
      <c r="A38" s="21">
        <v>3</v>
      </c>
      <c r="B38" s="22" t="s">
        <v>44</v>
      </c>
      <c r="C38" s="25" t="s">
        <v>5</v>
      </c>
      <c r="D38" s="49">
        <v>0.61796706569028603</v>
      </c>
      <c r="E38" s="49">
        <v>0.61787059483132822</v>
      </c>
      <c r="F38" s="49">
        <v>0.61743104449923247</v>
      </c>
      <c r="G38" s="49">
        <v>0.67141468094512624</v>
      </c>
      <c r="H38" s="49">
        <v>0.62906611190025863</v>
      </c>
      <c r="I38" s="49">
        <v>0.63134040432718042</v>
      </c>
      <c r="J38" s="49">
        <v>0.63914950752944089</v>
      </c>
      <c r="K38" s="49">
        <v>0.66144573888826508</v>
      </c>
      <c r="L38" s="49">
        <v>0.71157034784917861</v>
      </c>
      <c r="M38" s="49">
        <v>0.70078175485717653</v>
      </c>
      <c r="N38" s="49">
        <v>0.67411568024447033</v>
      </c>
      <c r="O38" s="49">
        <v>0.66209172029702634</v>
      </c>
    </row>
    <row r="39" spans="1:15" x14ac:dyDescent="0.25">
      <c r="A39" s="21">
        <v>4</v>
      </c>
      <c r="B39" s="22" t="s">
        <v>32</v>
      </c>
      <c r="C39" s="25" t="s">
        <v>5</v>
      </c>
      <c r="D39" s="49">
        <v>0.68470931788559453</v>
      </c>
      <c r="E39" s="49">
        <v>0.68164935384831959</v>
      </c>
      <c r="F39" s="49">
        <v>0.68499991192726195</v>
      </c>
      <c r="G39" s="49">
        <v>0.73791533452389124</v>
      </c>
      <c r="H39" s="49">
        <v>0.71460908913925147</v>
      </c>
      <c r="I39" s="49">
        <v>0.6736978800468425</v>
      </c>
      <c r="J39" s="49">
        <v>0.71886323563464294</v>
      </c>
      <c r="K39" s="49">
        <v>0.72840587204661911</v>
      </c>
      <c r="L39" s="49">
        <v>0.75678703613000131</v>
      </c>
      <c r="M39" s="49">
        <v>0.76311254942254692</v>
      </c>
      <c r="N39" s="49">
        <v>0.76752561513720352</v>
      </c>
      <c r="O39" s="49">
        <v>0.73237916065016884</v>
      </c>
    </row>
    <row r="40" spans="1:15" x14ac:dyDescent="0.25">
      <c r="A40" s="24"/>
      <c r="B40" s="27"/>
      <c r="C40" s="2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1"/>
    </row>
    <row r="41" spans="1:15" x14ac:dyDescent="0.25">
      <c r="A41" s="21">
        <v>6</v>
      </c>
      <c r="B41" s="22" t="s">
        <v>33</v>
      </c>
      <c r="C41" s="25" t="s">
        <v>7</v>
      </c>
      <c r="D41" s="49">
        <v>0.81270790994022135</v>
      </c>
      <c r="E41" s="49">
        <v>0.83171309338905008</v>
      </c>
      <c r="F41" s="49">
        <v>0.80517541741930454</v>
      </c>
      <c r="G41" s="49">
        <v>0.87575026643394516</v>
      </c>
      <c r="H41" s="49">
        <v>0.86194023249936169</v>
      </c>
      <c r="I41" s="49">
        <v>0.84791606518423723</v>
      </c>
      <c r="J41" s="49">
        <v>0.85192776947518145</v>
      </c>
      <c r="K41" s="49">
        <v>0.83204570985519244</v>
      </c>
      <c r="L41" s="49">
        <v>0.84203201896695667</v>
      </c>
      <c r="M41" s="49">
        <v>0.84954865564294446</v>
      </c>
      <c r="N41" s="49">
        <v>0.82588932460307107</v>
      </c>
      <c r="O41" s="49">
        <v>0.83014170822645705</v>
      </c>
    </row>
    <row r="42" spans="1:15" x14ac:dyDescent="0.25">
      <c r="A42" s="21">
        <v>7</v>
      </c>
      <c r="B42" s="22" t="s">
        <v>34</v>
      </c>
      <c r="C42" s="25" t="s">
        <v>7</v>
      </c>
      <c r="D42" s="49">
        <v>0.80965202653918655</v>
      </c>
      <c r="E42" s="49">
        <v>0.82726808004450447</v>
      </c>
      <c r="F42" s="49">
        <v>0.8140563930913518</v>
      </c>
      <c r="G42" s="49">
        <v>0.86172801313442793</v>
      </c>
      <c r="H42" s="49">
        <v>0.8185916975368438</v>
      </c>
      <c r="I42" s="49">
        <v>0.8171199611897173</v>
      </c>
      <c r="J42" s="49">
        <v>0.84961728421848604</v>
      </c>
      <c r="K42" s="49">
        <v>0.82956042693092158</v>
      </c>
      <c r="L42" s="49">
        <v>0.86717367157928538</v>
      </c>
      <c r="M42" s="49">
        <v>0.84903591515143906</v>
      </c>
      <c r="N42" s="49">
        <v>0.85961075391306629</v>
      </c>
      <c r="O42" s="49">
        <v>0.85006448570278381</v>
      </c>
    </row>
    <row r="43" spans="1:15" x14ac:dyDescent="0.25">
      <c r="A43" s="21">
        <v>8</v>
      </c>
      <c r="B43" s="22" t="s">
        <v>35</v>
      </c>
      <c r="C43" s="25" t="s">
        <v>7</v>
      </c>
      <c r="D43" s="49">
        <v>0.58785227043263166</v>
      </c>
      <c r="E43" s="49">
        <v>0.40785069473723662</v>
      </c>
      <c r="F43" s="49">
        <v>0.40407654960440886</v>
      </c>
      <c r="G43" s="49">
        <v>0.54316716091930461</v>
      </c>
      <c r="H43" s="49">
        <v>0.70985501234940329</v>
      </c>
      <c r="I43" s="49">
        <v>0.58628725360831324</v>
      </c>
      <c r="J43" s="49">
        <v>0.66622219349306755</v>
      </c>
      <c r="K43" s="49">
        <v>0.79143370286714743</v>
      </c>
      <c r="L43" s="49">
        <v>0.76064843678967131</v>
      </c>
      <c r="M43" s="49">
        <v>0.75819256634197207</v>
      </c>
      <c r="N43" s="49">
        <v>0.7414029961149754</v>
      </c>
      <c r="O43" s="49">
        <v>0.72507540404603044</v>
      </c>
    </row>
    <row r="44" spans="1:15" x14ac:dyDescent="0.25">
      <c r="A44" s="21">
        <v>9</v>
      </c>
      <c r="B44" s="22" t="s">
        <v>36</v>
      </c>
      <c r="C44" s="25" t="s">
        <v>7</v>
      </c>
      <c r="D44" s="49">
        <v>0.79527675152058885</v>
      </c>
      <c r="E44" s="49">
        <v>0.82378968285033305</v>
      </c>
      <c r="F44" s="49">
        <v>0.84852440723584299</v>
      </c>
      <c r="G44" s="49">
        <v>0.74072838058628654</v>
      </c>
      <c r="H44" s="49">
        <v>0.71732385871501991</v>
      </c>
      <c r="I44" s="49">
        <v>0.80478072883699669</v>
      </c>
      <c r="J44" s="49">
        <v>0.84378881276060624</v>
      </c>
      <c r="K44" s="49">
        <v>0.81661311668741965</v>
      </c>
      <c r="L44" s="49">
        <v>0.82823052488687732</v>
      </c>
      <c r="M44" s="49">
        <v>0.86834066907481244</v>
      </c>
      <c r="N44" s="49">
        <v>0.81520639966598762</v>
      </c>
      <c r="O44" s="49">
        <v>0.72666819044460995</v>
      </c>
    </row>
    <row r="45" spans="1:15" x14ac:dyDescent="0.25">
      <c r="A45" s="21"/>
      <c r="B45" s="22"/>
      <c r="C45" s="25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</row>
    <row r="46" spans="1:15" x14ac:dyDescent="0.25">
      <c r="A46" s="21">
        <v>11</v>
      </c>
      <c r="B46" s="26" t="s">
        <v>37</v>
      </c>
      <c r="C46" s="25" t="s">
        <v>8</v>
      </c>
      <c r="D46" s="49">
        <v>0.76939609701028733</v>
      </c>
      <c r="E46" s="49">
        <v>0.87304513869450462</v>
      </c>
      <c r="F46" s="49">
        <v>0.90379878866101027</v>
      </c>
      <c r="G46" s="49">
        <v>0.83804287251053633</v>
      </c>
      <c r="H46" s="49">
        <v>0.85297001599246547</v>
      </c>
      <c r="I46" s="49">
        <v>0.82982027877817177</v>
      </c>
      <c r="J46" s="49">
        <v>0.82481448974583804</v>
      </c>
      <c r="K46" s="49">
        <v>0.76720363610255704</v>
      </c>
      <c r="L46" s="49">
        <v>0.81879055848602722</v>
      </c>
      <c r="M46" s="49">
        <v>0.86101727538374573</v>
      </c>
      <c r="N46" s="49">
        <v>0.84559596964857953</v>
      </c>
      <c r="O46" s="49">
        <v>0.8133386711588696</v>
      </c>
    </row>
    <row r="47" spans="1:15" x14ac:dyDescent="0.25">
      <c r="A47" s="24"/>
      <c r="B47" s="22"/>
      <c r="C47" s="2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</row>
    <row r="48" spans="1:15" x14ac:dyDescent="0.25">
      <c r="A48" s="21">
        <v>12</v>
      </c>
      <c r="B48" s="28" t="s">
        <v>9</v>
      </c>
      <c r="C48" s="25" t="s">
        <v>5</v>
      </c>
      <c r="D48" s="49">
        <v>0.47131145872140695</v>
      </c>
      <c r="E48" s="49">
        <v>0.50860518660582033</v>
      </c>
      <c r="F48" s="49">
        <v>0.52235275054384578</v>
      </c>
      <c r="G48" s="49">
        <v>0.51724125119656961</v>
      </c>
      <c r="H48" s="49">
        <v>0.48691410668367652</v>
      </c>
      <c r="I48" s="49">
        <v>0.42185138396320665</v>
      </c>
      <c r="J48" s="49">
        <v>0.42111662493418461</v>
      </c>
      <c r="K48" s="49">
        <v>0.41023566015192442</v>
      </c>
      <c r="L48" s="49">
        <v>0.37896851962964451</v>
      </c>
      <c r="M48" s="49">
        <v>0.37981355848925957</v>
      </c>
      <c r="N48" s="49">
        <v>0.41516699995582246</v>
      </c>
      <c r="O48" s="49">
        <v>0.41629071823396707</v>
      </c>
    </row>
  </sheetData>
  <mergeCells count="8">
    <mergeCell ref="B28:O28"/>
    <mergeCell ref="B29:O29"/>
    <mergeCell ref="B26:O26"/>
    <mergeCell ref="B1:O1"/>
    <mergeCell ref="B27:O27"/>
    <mergeCell ref="B2:O2"/>
    <mergeCell ref="B3:O3"/>
    <mergeCell ref="B4:O4"/>
  </mergeCells>
  <pageMargins left="0.7" right="0.7" top="0.75" bottom="0.75" header="0.3" footer="0.3"/>
  <pageSetup scale="72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49"/>
  <sheetViews>
    <sheetView tabSelected="1" zoomScale="80" zoomScaleNormal="80" workbookViewId="0">
      <selection activeCell="A35" sqref="A35:XFD35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6" t="s">
        <v>13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"/>
      <c r="Q1" s="1"/>
    </row>
    <row r="2" spans="1:17" x14ac:dyDescent="0.25">
      <c r="A2" s="1"/>
      <c r="B2" s="56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  <c r="Q2" s="1"/>
    </row>
    <row r="3" spans="1:17" x14ac:dyDescent="0.25">
      <c r="A3" s="1"/>
      <c r="B3" s="57" t="s">
        <v>15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  <c r="Q3" s="1"/>
    </row>
    <row r="4" spans="1:17" x14ac:dyDescent="0.25">
      <c r="A4" s="10"/>
      <c r="B4" s="55" t="s">
        <v>46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25">
      <c r="A5" s="10"/>
      <c r="B5" s="17"/>
      <c r="C5" s="17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  <c r="Q5" s="1"/>
    </row>
    <row r="6" spans="1:17" x14ac:dyDescent="0.25">
      <c r="A6" s="10"/>
      <c r="B6" s="17"/>
      <c r="C6" s="1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"/>
      <c r="Q6" s="1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72</v>
      </c>
      <c r="E7" s="19" t="s">
        <v>73</v>
      </c>
      <c r="F7" s="19" t="s">
        <v>74</v>
      </c>
      <c r="G7" s="19" t="s">
        <v>75</v>
      </c>
      <c r="H7" s="19" t="s">
        <v>76</v>
      </c>
      <c r="I7" s="19" t="s">
        <v>77</v>
      </c>
      <c r="J7" s="19" t="s">
        <v>78</v>
      </c>
      <c r="K7" s="19" t="s">
        <v>79</v>
      </c>
      <c r="L7" s="19" t="s">
        <v>80</v>
      </c>
      <c r="M7" s="19" t="s">
        <v>81</v>
      </c>
      <c r="N7" s="19" t="s">
        <v>82</v>
      </c>
      <c r="O7" s="19" t="s">
        <v>83</v>
      </c>
      <c r="P7" s="1"/>
      <c r="Q7" s="1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1"/>
      <c r="Q8" s="1"/>
    </row>
    <row r="9" spans="1:17" x14ac:dyDescent="0.25">
      <c r="A9" s="21" t="s">
        <v>3</v>
      </c>
      <c r="B9" s="22" t="s">
        <v>4</v>
      </c>
      <c r="C9" s="23" t="s">
        <v>5</v>
      </c>
      <c r="D9" s="49">
        <v>1</v>
      </c>
      <c r="E9" s="49">
        <v>0.98213119870855425</v>
      </c>
      <c r="F9" s="49">
        <v>0.97943289600682115</v>
      </c>
      <c r="G9" s="49">
        <v>1</v>
      </c>
      <c r="H9" s="49">
        <v>0.9932536597986531</v>
      </c>
      <c r="I9" s="49">
        <v>1</v>
      </c>
      <c r="J9" s="49">
        <v>0.95937307747401235</v>
      </c>
      <c r="K9" s="49">
        <v>0.94122193520578357</v>
      </c>
      <c r="L9" s="49">
        <v>0.92485585393686831</v>
      </c>
      <c r="M9" s="49">
        <v>0.99858936160589662</v>
      </c>
      <c r="N9" s="49">
        <v>0.96240611621789718</v>
      </c>
      <c r="O9" s="49">
        <v>0.93965639674272294</v>
      </c>
      <c r="P9" s="1"/>
      <c r="Q9" s="1"/>
    </row>
    <row r="10" spans="1:17" x14ac:dyDescent="0.25">
      <c r="A10" s="24"/>
      <c r="B10" s="22"/>
      <c r="C10" s="23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49"/>
      <c r="P10" s="1"/>
      <c r="Q10" s="4"/>
    </row>
    <row r="11" spans="1:17" x14ac:dyDescent="0.25">
      <c r="A11" s="21">
        <v>2</v>
      </c>
      <c r="B11" s="22" t="s">
        <v>43</v>
      </c>
      <c r="C11" s="23" t="s">
        <v>5</v>
      </c>
      <c r="D11" s="49">
        <v>0.81211188642951515</v>
      </c>
      <c r="E11" s="49">
        <v>0.97559825684361445</v>
      </c>
      <c r="F11" s="49">
        <v>0.91966302607177086</v>
      </c>
      <c r="G11" s="49">
        <v>0.9152546136759141</v>
      </c>
      <c r="H11" s="49">
        <v>1</v>
      </c>
      <c r="I11" s="49">
        <v>0.91596231253217597</v>
      </c>
      <c r="J11" s="49">
        <v>0.97821791539159486</v>
      </c>
      <c r="K11" s="49">
        <v>0.91406899815319576</v>
      </c>
      <c r="L11" s="49">
        <v>0.93538772877635268</v>
      </c>
      <c r="M11" s="49">
        <v>0.87209133200434086</v>
      </c>
      <c r="N11" s="49">
        <v>0.96109821752683711</v>
      </c>
      <c r="O11" s="49">
        <v>0.97533595228369563</v>
      </c>
      <c r="P11" s="1"/>
      <c r="Q11" s="1"/>
    </row>
    <row r="12" spans="1:17" x14ac:dyDescent="0.25">
      <c r="A12" s="21"/>
      <c r="B12" s="22"/>
      <c r="C12" s="2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1"/>
      <c r="Q12" s="4"/>
    </row>
    <row r="13" spans="1:17" x14ac:dyDescent="0.25">
      <c r="A13" s="21">
        <v>3</v>
      </c>
      <c r="B13" s="22" t="s">
        <v>44</v>
      </c>
      <c r="C13" s="25" t="s">
        <v>5</v>
      </c>
      <c r="D13" s="49">
        <v>0.7802160372591096</v>
      </c>
      <c r="E13" s="49">
        <v>0.98820054510151689</v>
      </c>
      <c r="F13" s="49">
        <v>0.89503663335813688</v>
      </c>
      <c r="G13" s="49">
        <v>0.95532977604841085</v>
      </c>
      <c r="H13" s="49">
        <v>0.88724335785153585</v>
      </c>
      <c r="I13" s="49">
        <v>0.87133540483103444</v>
      </c>
      <c r="J13" s="49">
        <v>0.95346498998652873</v>
      </c>
      <c r="K13" s="49">
        <v>0.92004104719139734</v>
      </c>
      <c r="L13" s="49">
        <v>0.95714437047620393</v>
      </c>
      <c r="M13" s="49">
        <v>0.85797911170147789</v>
      </c>
      <c r="N13" s="49">
        <v>0.96326982020694307</v>
      </c>
      <c r="O13" s="49">
        <v>0.94791596006717072</v>
      </c>
      <c r="P13" s="1"/>
      <c r="Q13" s="4"/>
    </row>
    <row r="14" spans="1:17" x14ac:dyDescent="0.25">
      <c r="A14" s="21">
        <v>4</v>
      </c>
      <c r="B14" s="22" t="s">
        <v>32</v>
      </c>
      <c r="C14" s="25" t="s">
        <v>5</v>
      </c>
      <c r="D14" s="49">
        <v>0.70306790803532759</v>
      </c>
      <c r="E14" s="49">
        <v>0.97420177512826311</v>
      </c>
      <c r="F14" s="49">
        <v>0.83786686958485657</v>
      </c>
      <c r="G14" s="49">
        <v>0.87945210003172491</v>
      </c>
      <c r="H14" s="49">
        <v>0.59754110809563077</v>
      </c>
      <c r="I14" s="49">
        <v>0.82348848613010395</v>
      </c>
      <c r="J14" s="49">
        <v>0.94163227159182505</v>
      </c>
      <c r="K14" s="49">
        <v>0.9493789198783753</v>
      </c>
      <c r="L14" s="49">
        <v>0.94360023536663529</v>
      </c>
      <c r="M14" s="49">
        <v>0.8294366086936209</v>
      </c>
      <c r="N14" s="49">
        <v>0.88954245454316372</v>
      </c>
      <c r="O14" s="49">
        <v>0.92610633428110056</v>
      </c>
      <c r="P14" s="1"/>
      <c r="Q14" s="1"/>
    </row>
    <row r="15" spans="1:17" x14ac:dyDescent="0.25">
      <c r="A15" s="24"/>
      <c r="B15" s="27"/>
      <c r="C15" s="2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1"/>
      <c r="P15" s="1"/>
      <c r="Q15" s="1"/>
    </row>
    <row r="16" spans="1:17" x14ac:dyDescent="0.25">
      <c r="A16" s="21">
        <v>6</v>
      </c>
      <c r="B16" s="22" t="s">
        <v>33</v>
      </c>
      <c r="C16" s="25" t="s">
        <v>7</v>
      </c>
      <c r="D16" s="49">
        <v>0.91004436899311425</v>
      </c>
      <c r="E16" s="49">
        <v>0.98252298665717197</v>
      </c>
      <c r="F16" s="49">
        <v>0.93467822654044719</v>
      </c>
      <c r="G16" s="49">
        <v>1</v>
      </c>
      <c r="H16" s="49">
        <v>0.88403549545387783</v>
      </c>
      <c r="I16" s="49">
        <v>0.96603625889536915</v>
      </c>
      <c r="J16" s="49">
        <v>0.99229833929907063</v>
      </c>
      <c r="K16" s="49">
        <v>0.98366270166186687</v>
      </c>
      <c r="L16" s="49">
        <v>0.95040434608245139</v>
      </c>
      <c r="M16" s="49">
        <v>0.96976297877577156</v>
      </c>
      <c r="N16" s="49">
        <v>0.95569784588087892</v>
      </c>
      <c r="O16" s="49">
        <v>0.95599460444140694</v>
      </c>
      <c r="P16" s="1"/>
      <c r="Q16" s="1"/>
    </row>
    <row r="17" spans="1:17" x14ac:dyDescent="0.25">
      <c r="A17" s="21">
        <v>7</v>
      </c>
      <c r="B17" s="22" t="s">
        <v>34</v>
      </c>
      <c r="C17" s="25" t="s">
        <v>7</v>
      </c>
      <c r="D17" s="49">
        <v>0.80484104522853284</v>
      </c>
      <c r="E17" s="49">
        <v>0.89822353273646927</v>
      </c>
      <c r="F17" s="49">
        <v>0.892757134118773</v>
      </c>
      <c r="G17" s="49">
        <v>0.83311637404068373</v>
      </c>
      <c r="H17" s="49">
        <v>0.50771117928323739</v>
      </c>
      <c r="I17" s="49">
        <v>0.90977950958658083</v>
      </c>
      <c r="J17" s="49">
        <v>0.96056837263914485</v>
      </c>
      <c r="K17" s="49">
        <v>0.9660906967676971</v>
      </c>
      <c r="L17" s="49">
        <v>0.97436734115354717</v>
      </c>
      <c r="M17" s="49">
        <v>0.89736434531595832</v>
      </c>
      <c r="N17" s="49">
        <v>0.89776158685318608</v>
      </c>
      <c r="O17" s="49">
        <v>0.94523546377387968</v>
      </c>
      <c r="P17" s="1"/>
      <c r="Q17" s="1"/>
    </row>
    <row r="18" spans="1:17" x14ac:dyDescent="0.25">
      <c r="A18" s="21">
        <v>8</v>
      </c>
      <c r="B18" s="22" t="s">
        <v>35</v>
      </c>
      <c r="C18" s="25" t="s">
        <v>7</v>
      </c>
      <c r="D18" s="49">
        <v>0.32028469750889682</v>
      </c>
      <c r="E18" s="49">
        <v>0.43224509385429638</v>
      </c>
      <c r="F18" s="49">
        <v>0.23640736342042756</v>
      </c>
      <c r="G18" s="49">
        <v>0.28599336979032652</v>
      </c>
      <c r="H18" s="49">
        <v>0.26034958601655933</v>
      </c>
      <c r="I18" s="49">
        <v>0.41047942299533308</v>
      </c>
      <c r="J18" s="49">
        <v>0.5081604426002766</v>
      </c>
      <c r="K18" s="49">
        <v>0.1455203862660944</v>
      </c>
      <c r="L18" s="49">
        <v>0.61679315745090946</v>
      </c>
      <c r="M18" s="49">
        <v>0.89334110447326254</v>
      </c>
      <c r="N18" s="49">
        <v>0.79294048146507157</v>
      </c>
      <c r="O18" s="49">
        <v>0.82747179827471784</v>
      </c>
      <c r="P18" s="5"/>
      <c r="Q18" s="5"/>
    </row>
    <row r="19" spans="1:17" x14ac:dyDescent="0.25">
      <c r="A19" s="21">
        <v>9</v>
      </c>
      <c r="B19" s="22" t="s">
        <v>36</v>
      </c>
      <c r="C19" s="25" t="s">
        <v>7</v>
      </c>
      <c r="D19" s="49">
        <v>0.7832471058803171</v>
      </c>
      <c r="E19" s="49">
        <v>0.90525119383077146</v>
      </c>
      <c r="F19" s="49">
        <v>0.76668227918472598</v>
      </c>
      <c r="G19" s="49">
        <v>0.86032132570791864</v>
      </c>
      <c r="H19" s="49">
        <v>0.37693790638502533</v>
      </c>
      <c r="I19" s="49">
        <v>0.82888313540040193</v>
      </c>
      <c r="J19" s="49">
        <v>0.82395464291649778</v>
      </c>
      <c r="K19" s="49">
        <v>0.7959849909132104</v>
      </c>
      <c r="L19" s="49">
        <v>0.8006459385029272</v>
      </c>
      <c r="M19" s="49">
        <v>0.85367568201417399</v>
      </c>
      <c r="N19" s="49">
        <v>0.82319539216458038</v>
      </c>
      <c r="O19" s="49">
        <v>0.84404526093702736</v>
      </c>
      <c r="P19" s="1"/>
      <c r="Q19" s="1"/>
    </row>
    <row r="20" spans="1:17" x14ac:dyDescent="0.25">
      <c r="A20" s="21"/>
      <c r="B20" s="22"/>
      <c r="C20" s="25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"/>
      <c r="Q20" s="1"/>
    </row>
    <row r="21" spans="1:17" x14ac:dyDescent="0.25">
      <c r="A21" s="21">
        <v>11</v>
      </c>
      <c r="B21" s="26" t="s">
        <v>37</v>
      </c>
      <c r="C21" s="25" t="s">
        <v>8</v>
      </c>
      <c r="D21" s="49">
        <v>0.95782038613726117</v>
      </c>
      <c r="E21" s="49">
        <v>0.89392100733716862</v>
      </c>
      <c r="F21" s="49">
        <v>0.89458061813278378</v>
      </c>
      <c r="G21" s="49">
        <v>0.74500795244588314</v>
      </c>
      <c r="H21" s="49">
        <v>0.59600880997043415</v>
      </c>
      <c r="I21" s="49">
        <v>0.96310640003705483</v>
      </c>
      <c r="J21" s="49">
        <v>0.9761872265094359</v>
      </c>
      <c r="K21" s="49">
        <v>0.90641325488583913</v>
      </c>
      <c r="L21" s="49">
        <v>0.88546901429959868</v>
      </c>
      <c r="M21" s="49">
        <v>0.70956097258586215</v>
      </c>
      <c r="N21" s="49">
        <v>0.85784140767875683</v>
      </c>
      <c r="O21" s="49">
        <v>0.78915607294456691</v>
      </c>
      <c r="P21" s="1"/>
      <c r="Q21" s="1"/>
    </row>
    <row r="22" spans="1:17" x14ac:dyDescent="0.25">
      <c r="A22" s="24"/>
      <c r="B22" s="22"/>
      <c r="C22" s="2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"/>
      <c r="Q22" s="5"/>
    </row>
    <row r="23" spans="1:17" x14ac:dyDescent="0.25">
      <c r="A23" s="21">
        <v>12</v>
      </c>
      <c r="B23" s="28" t="s">
        <v>9</v>
      </c>
      <c r="C23" s="25" t="s">
        <v>5</v>
      </c>
      <c r="D23" s="49">
        <v>0</v>
      </c>
      <c r="E23" s="49">
        <v>0</v>
      </c>
      <c r="F23" s="49">
        <v>1.2909935727237198E-2</v>
      </c>
      <c r="G23" s="49">
        <v>2.5418706956012289E-2</v>
      </c>
      <c r="H23" s="49">
        <v>0.9776140487042172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1"/>
      <c r="Q23" s="1"/>
    </row>
    <row r="24" spans="1:17" x14ac:dyDescent="0.25">
      <c r="P24" s="1"/>
      <c r="Q24" s="1"/>
    </row>
    <row r="25" spans="1:17" x14ac:dyDescent="0.25">
      <c r="P25" s="1"/>
      <c r="Q25" s="1"/>
    </row>
    <row r="26" spans="1:17" x14ac:dyDescent="0.25">
      <c r="A26" s="1"/>
      <c r="B26" s="57" t="s">
        <v>13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7" x14ac:dyDescent="0.25">
      <c r="A27" s="1"/>
      <c r="B27" s="57" t="s">
        <v>14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7" x14ac:dyDescent="0.25">
      <c r="A28" s="1"/>
      <c r="B28" s="57" t="s">
        <v>16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7" x14ac:dyDescent="0.25">
      <c r="A29" s="10"/>
      <c r="B29" s="55" t="s">
        <v>46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</row>
    <row r="30" spans="1:17" x14ac:dyDescent="0.25">
      <c r="A30" s="1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7" x14ac:dyDescent="0.25">
      <c r="A31" s="10"/>
      <c r="B31" s="17"/>
      <c r="C31" s="17"/>
      <c r="D31" s="14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7" x14ac:dyDescent="0.25">
      <c r="A32" s="15" t="s">
        <v>0</v>
      </c>
      <c r="B32" s="17" t="s">
        <v>1</v>
      </c>
      <c r="C32" s="34" t="s">
        <v>2</v>
      </c>
      <c r="D32" s="19" t="s">
        <v>72</v>
      </c>
      <c r="E32" s="19" t="s">
        <v>73</v>
      </c>
      <c r="F32" s="19" t="s">
        <v>74</v>
      </c>
      <c r="G32" s="19" t="s">
        <v>75</v>
      </c>
      <c r="H32" s="19" t="s">
        <v>76</v>
      </c>
      <c r="I32" s="19" t="s">
        <v>77</v>
      </c>
      <c r="J32" s="19" t="s">
        <v>78</v>
      </c>
      <c r="K32" s="19" t="s">
        <v>79</v>
      </c>
      <c r="L32" s="19" t="s">
        <v>80</v>
      </c>
      <c r="M32" s="19" t="s">
        <v>81</v>
      </c>
      <c r="N32" s="19" t="s">
        <v>82</v>
      </c>
      <c r="O32" s="19" t="s">
        <v>83</v>
      </c>
    </row>
    <row r="33" spans="1:15" x14ac:dyDescent="0.25">
      <c r="A33" s="10"/>
      <c r="B33" s="17"/>
      <c r="C33" s="34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20"/>
    </row>
    <row r="34" spans="1:15" x14ac:dyDescent="0.25">
      <c r="A34" s="21" t="s">
        <v>3</v>
      </c>
      <c r="B34" s="22" t="s">
        <v>4</v>
      </c>
      <c r="C34" s="23" t="s">
        <v>5</v>
      </c>
      <c r="D34" s="49">
        <v>0.49107475282296481</v>
      </c>
      <c r="E34" s="49">
        <v>0.86478208445020266</v>
      </c>
      <c r="F34" s="49">
        <v>0.55576781706491885</v>
      </c>
      <c r="G34" s="49">
        <v>0.46023493648315333</v>
      </c>
      <c r="H34" s="49">
        <v>0.39825854127572025</v>
      </c>
      <c r="I34" s="49">
        <v>0.51265352586652724</v>
      </c>
      <c r="J34" s="49">
        <v>0.50658050408807287</v>
      </c>
      <c r="K34" s="49">
        <v>0.56236736525875408</v>
      </c>
      <c r="L34" s="49">
        <v>0.61061556200715483</v>
      </c>
      <c r="M34" s="49">
        <v>0.60790926739196227</v>
      </c>
      <c r="N34" s="49">
        <v>0.65694613822172188</v>
      </c>
      <c r="O34" s="49">
        <v>0.57463426922147254</v>
      </c>
    </row>
    <row r="35" spans="1:15" x14ac:dyDescent="0.25">
      <c r="A35" s="24"/>
      <c r="B35" s="22"/>
      <c r="C35" s="23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49"/>
    </row>
    <row r="36" spans="1:15" x14ac:dyDescent="0.25">
      <c r="A36" s="21">
        <v>2</v>
      </c>
      <c r="B36" s="22" t="s">
        <v>43</v>
      </c>
      <c r="C36" s="23" t="s">
        <v>5</v>
      </c>
      <c r="D36" s="49">
        <v>0.69197525188500031</v>
      </c>
      <c r="E36" s="49">
        <v>0.51725670164502924</v>
      </c>
      <c r="F36" s="49">
        <v>0.84871834970384663</v>
      </c>
      <c r="G36" s="49">
        <v>0.74797058257049975</v>
      </c>
      <c r="H36" s="49">
        <v>0.72043635149364293</v>
      </c>
      <c r="I36" s="49">
        <v>0.79566064779726597</v>
      </c>
      <c r="J36" s="49">
        <v>0.70067835024686864</v>
      </c>
      <c r="K36" s="49">
        <v>0.68844744899688459</v>
      </c>
      <c r="L36" s="49">
        <v>0.71894658037173031</v>
      </c>
      <c r="M36" s="49">
        <v>0.72361292038172109</v>
      </c>
      <c r="N36" s="49">
        <v>0.7369278764160162</v>
      </c>
      <c r="O36" s="49">
        <v>0.69690529974412629</v>
      </c>
    </row>
    <row r="37" spans="1:15" x14ac:dyDescent="0.25">
      <c r="A37" s="21"/>
      <c r="B37" s="22"/>
      <c r="C37" s="23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x14ac:dyDescent="0.25">
      <c r="A38" s="21">
        <v>3</v>
      </c>
      <c r="B38" s="22" t="s">
        <v>44</v>
      </c>
      <c r="C38" s="25" t="s">
        <v>5</v>
      </c>
      <c r="D38" s="49">
        <v>0.61850812225926211</v>
      </c>
      <c r="E38" s="49">
        <v>0.63853774796825824</v>
      </c>
      <c r="F38" s="49">
        <v>0.7126975187092266</v>
      </c>
      <c r="G38" s="49">
        <v>0.65840304933725213</v>
      </c>
      <c r="H38" s="49">
        <v>0.6707485103972316</v>
      </c>
      <c r="I38" s="49">
        <v>0.66442384934887588</v>
      </c>
      <c r="J38" s="49">
        <v>0.59484986119692296</v>
      </c>
      <c r="K38" s="49">
        <v>0.62187767874083255</v>
      </c>
      <c r="L38" s="49">
        <v>0.6781258823409051</v>
      </c>
      <c r="M38" s="49">
        <v>0.6775685467469319</v>
      </c>
      <c r="N38" s="49">
        <v>0.68131989298870022</v>
      </c>
      <c r="O38" s="49">
        <v>0.63700419262415364</v>
      </c>
    </row>
    <row r="39" spans="1:15" x14ac:dyDescent="0.25">
      <c r="A39" s="21">
        <v>4</v>
      </c>
      <c r="B39" s="22" t="s">
        <v>32</v>
      </c>
      <c r="C39" s="25" t="s">
        <v>5</v>
      </c>
      <c r="D39" s="49">
        <v>0.67774033137954282</v>
      </c>
      <c r="E39" s="49">
        <v>0.70114459428321552</v>
      </c>
      <c r="F39" s="49">
        <v>0.71113581502787282</v>
      </c>
      <c r="G39" s="49">
        <v>0.71932122749210992</v>
      </c>
      <c r="H39" s="49">
        <v>0.68280541658975358</v>
      </c>
      <c r="I39" s="49">
        <v>0.72039297789125667</v>
      </c>
      <c r="J39" s="49">
        <v>0.64978189710831147</v>
      </c>
      <c r="K39" s="49">
        <v>0.70786392962800004</v>
      </c>
      <c r="L39" s="49">
        <v>0.73348856491088299</v>
      </c>
      <c r="M39" s="49">
        <v>0.76106157091558191</v>
      </c>
      <c r="N39" s="49">
        <v>0.72617795627287673</v>
      </c>
      <c r="O39" s="49">
        <v>0.72657810706060422</v>
      </c>
    </row>
    <row r="40" spans="1:15" x14ac:dyDescent="0.25">
      <c r="A40" s="24"/>
      <c r="B40" s="27"/>
      <c r="C40" s="2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1"/>
    </row>
    <row r="41" spans="1:15" x14ac:dyDescent="0.25">
      <c r="A41" s="21">
        <v>6</v>
      </c>
      <c r="B41" s="22" t="s">
        <v>33</v>
      </c>
      <c r="C41" s="25" t="s">
        <v>7</v>
      </c>
      <c r="D41" s="49">
        <v>0.79638515801231657</v>
      </c>
      <c r="E41" s="49">
        <v>0.82603888456307473</v>
      </c>
      <c r="F41" s="49">
        <v>0.86506182368588125</v>
      </c>
      <c r="G41" s="49">
        <v>0.85282023158852638</v>
      </c>
      <c r="H41" s="49">
        <v>0.77872031186860557</v>
      </c>
      <c r="I41" s="49">
        <v>0.85558878792738247</v>
      </c>
      <c r="J41" s="49">
        <v>0.84082313041088286</v>
      </c>
      <c r="K41" s="49">
        <v>0.82093170254373693</v>
      </c>
      <c r="L41" s="49">
        <v>0.82245747874024111</v>
      </c>
      <c r="M41" s="49">
        <v>0.84540912540743485</v>
      </c>
      <c r="N41" s="49">
        <v>0.83143938900173708</v>
      </c>
      <c r="O41" s="49">
        <v>0.83009287268251819</v>
      </c>
    </row>
    <row r="42" spans="1:15" x14ac:dyDescent="0.25">
      <c r="A42" s="21">
        <v>7</v>
      </c>
      <c r="B42" s="22" t="s">
        <v>34</v>
      </c>
      <c r="C42" s="25" t="s">
        <v>7</v>
      </c>
      <c r="D42" s="49">
        <v>0.78751315311190195</v>
      </c>
      <c r="E42" s="49">
        <v>0.79618236732808167</v>
      </c>
      <c r="F42" s="49">
        <v>0.82592028707224741</v>
      </c>
      <c r="G42" s="49">
        <v>0.84265306198607204</v>
      </c>
      <c r="H42" s="49">
        <v>0.72001917215898747</v>
      </c>
      <c r="I42" s="49">
        <v>0.7858361460076555</v>
      </c>
      <c r="J42" s="49">
        <v>0.83189867641206638</v>
      </c>
      <c r="K42" s="49">
        <v>0.82874033175188511</v>
      </c>
      <c r="L42" s="49">
        <v>0.84558850813247743</v>
      </c>
      <c r="M42" s="49">
        <v>0.83623621372881696</v>
      </c>
      <c r="N42" s="49">
        <v>0.8607777624606413</v>
      </c>
      <c r="O42" s="49">
        <v>0.84058496485426104</v>
      </c>
    </row>
    <row r="43" spans="1:15" x14ac:dyDescent="0.25">
      <c r="A43" s="21">
        <v>8</v>
      </c>
      <c r="B43" s="22" t="s">
        <v>35</v>
      </c>
      <c r="C43" s="25" t="s">
        <v>7</v>
      </c>
      <c r="D43" s="49">
        <v>0.29707808773071087</v>
      </c>
      <c r="E43" s="49">
        <v>0.28714563653641856</v>
      </c>
      <c r="F43" s="49">
        <v>0.27993810606254099</v>
      </c>
      <c r="G43" s="49">
        <v>0.41032182205345885</v>
      </c>
      <c r="H43" s="49">
        <v>0.34041148274703931</v>
      </c>
      <c r="I43" s="49">
        <v>0.31715801555041567</v>
      </c>
      <c r="J43" s="49">
        <v>0.3605732288304902</v>
      </c>
      <c r="K43" s="49">
        <v>0.48158575711077267</v>
      </c>
      <c r="L43" s="49">
        <v>0.61309408281911604</v>
      </c>
      <c r="M43" s="49">
        <v>0.69173198758915522</v>
      </c>
      <c r="N43" s="49">
        <v>0.71867709856869044</v>
      </c>
      <c r="O43" s="49">
        <v>0.65008740077170735</v>
      </c>
    </row>
    <row r="44" spans="1:15" x14ac:dyDescent="0.25">
      <c r="A44" s="21">
        <v>9</v>
      </c>
      <c r="B44" s="22" t="s">
        <v>36</v>
      </c>
      <c r="C44" s="25" t="s">
        <v>7</v>
      </c>
      <c r="D44" s="49">
        <v>0.65621236931117066</v>
      </c>
      <c r="E44" s="49">
        <v>0.76538323365015082</v>
      </c>
      <c r="F44" s="49">
        <v>0.7270312636381826</v>
      </c>
      <c r="G44" s="49">
        <v>0.84083757364629685</v>
      </c>
      <c r="H44" s="49">
        <v>0.65912449326196143</v>
      </c>
      <c r="I44" s="49">
        <v>0.82474123080111161</v>
      </c>
      <c r="J44" s="49">
        <v>0.83206044318297334</v>
      </c>
      <c r="K44" s="49">
        <v>0.83320793362415857</v>
      </c>
      <c r="L44" s="49">
        <v>0.83216553521125713</v>
      </c>
      <c r="M44" s="49">
        <v>0.80493809304492103</v>
      </c>
      <c r="N44" s="49">
        <v>0.80238052917735447</v>
      </c>
      <c r="O44" s="49">
        <v>0.82338444963171753</v>
      </c>
    </row>
    <row r="45" spans="1:15" x14ac:dyDescent="0.25">
      <c r="A45" s="21"/>
      <c r="B45" s="22"/>
      <c r="C45" s="25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</row>
    <row r="46" spans="1:15" x14ac:dyDescent="0.25">
      <c r="A46" s="21">
        <v>11</v>
      </c>
      <c r="B46" s="26" t="s">
        <v>37</v>
      </c>
      <c r="C46" s="25" t="s">
        <v>8</v>
      </c>
      <c r="D46" s="49">
        <v>0.82889500562967855</v>
      </c>
      <c r="E46" s="49">
        <v>0.84981233031638748</v>
      </c>
      <c r="F46" s="49">
        <v>0.84146891686721526</v>
      </c>
      <c r="G46" s="49">
        <v>0.8841127446967274</v>
      </c>
      <c r="H46" s="49">
        <v>0.62414060221052703</v>
      </c>
      <c r="I46" s="49">
        <v>0.81775364550862273</v>
      </c>
      <c r="J46" s="49">
        <v>0.79101460045789007</v>
      </c>
      <c r="K46" s="49">
        <v>0.77533955804883525</v>
      </c>
      <c r="L46" s="49">
        <v>0.87978905783877637</v>
      </c>
      <c r="M46" s="49">
        <v>0.76645479061550015</v>
      </c>
      <c r="N46" s="49">
        <v>0.89978275053367385</v>
      </c>
      <c r="O46" s="49">
        <v>0.80924908384254512</v>
      </c>
    </row>
    <row r="47" spans="1:15" x14ac:dyDescent="0.25">
      <c r="A47" s="24"/>
      <c r="B47" s="22"/>
      <c r="C47" s="2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</row>
    <row r="48" spans="1:15" x14ac:dyDescent="0.25">
      <c r="A48" s="21">
        <v>12</v>
      </c>
      <c r="B48" s="28" t="s">
        <v>9</v>
      </c>
      <c r="C48" s="25" t="s">
        <v>5</v>
      </c>
      <c r="D48" s="49">
        <v>0.47162499629321075</v>
      </c>
      <c r="E48" s="49">
        <v>0.5086354384275783</v>
      </c>
      <c r="F48" s="49">
        <v>0.52279896293312944</v>
      </c>
      <c r="G48" s="49">
        <v>0.51714079846669803</v>
      </c>
      <c r="H48" s="49">
        <v>0.48696561129708377</v>
      </c>
      <c r="I48" s="49">
        <v>0.42171654744611503</v>
      </c>
      <c r="J48" s="49">
        <v>0.42112454965896162</v>
      </c>
      <c r="K48" s="49">
        <v>0.41123067440324512</v>
      </c>
      <c r="L48" s="49">
        <v>0.37908161088356102</v>
      </c>
      <c r="M48" s="49">
        <v>0.37980019994761094</v>
      </c>
      <c r="N48" s="49">
        <v>0.4149870412717801</v>
      </c>
      <c r="O48" s="49">
        <v>0.41698051959888283</v>
      </c>
    </row>
    <row r="49" spans="1:15" x14ac:dyDescent="0.25">
      <c r="A49" s="3"/>
      <c r="B49" s="7"/>
      <c r="C49" s="7" t="s">
        <v>6</v>
      </c>
      <c r="D49" s="6" t="s">
        <v>6</v>
      </c>
      <c r="E49" s="6" t="s">
        <v>6</v>
      </c>
      <c r="F49" s="6" t="s">
        <v>6</v>
      </c>
      <c r="G49" s="6" t="s">
        <v>6</v>
      </c>
      <c r="H49" s="6" t="s">
        <v>6</v>
      </c>
      <c r="I49" s="6" t="s">
        <v>6</v>
      </c>
      <c r="J49" s="6" t="s">
        <v>6</v>
      </c>
      <c r="K49" s="6" t="s">
        <v>6</v>
      </c>
      <c r="L49" s="6" t="s">
        <v>6</v>
      </c>
      <c r="M49" s="6" t="s">
        <v>6</v>
      </c>
      <c r="N49" s="6" t="s">
        <v>6</v>
      </c>
      <c r="O49" s="6" t="s">
        <v>6</v>
      </c>
    </row>
  </sheetData>
  <mergeCells count="8">
    <mergeCell ref="B28:O28"/>
    <mergeCell ref="B29:O29"/>
    <mergeCell ref="B26:O26"/>
    <mergeCell ref="B1:O1"/>
    <mergeCell ref="B27:O27"/>
    <mergeCell ref="B2:O2"/>
    <mergeCell ref="B3:O3"/>
    <mergeCell ref="B4:O4"/>
  </mergeCells>
  <pageMargins left="0.7" right="0.7" top="0.75" bottom="0.75" header="0.3" footer="0.3"/>
  <pageSetup scale="72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50"/>
  <sheetViews>
    <sheetView tabSelected="1" topLeftCell="A15" zoomScale="80" zoomScaleNormal="80" workbookViewId="0">
      <selection activeCell="A35" sqref="A35:XFD35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6" t="s">
        <v>13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"/>
      <c r="Q1" s="1"/>
    </row>
    <row r="2" spans="1:17" x14ac:dyDescent="0.25">
      <c r="A2" s="1"/>
      <c r="B2" s="56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  <c r="Q2" s="1"/>
    </row>
    <row r="3" spans="1:17" x14ac:dyDescent="0.25">
      <c r="A3" s="1"/>
      <c r="B3" s="57" t="s">
        <v>15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  <c r="Q3" s="1"/>
    </row>
    <row r="4" spans="1:17" x14ac:dyDescent="0.25">
      <c r="A4" s="10"/>
      <c r="B4" s="55" t="s">
        <v>47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25">
      <c r="A5" s="10"/>
      <c r="B5" s="17"/>
      <c r="C5" s="17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  <c r="Q5" s="1"/>
    </row>
    <row r="6" spans="1:17" x14ac:dyDescent="0.25">
      <c r="A6" s="10"/>
      <c r="B6" s="17"/>
      <c r="C6" s="1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"/>
      <c r="Q6" s="1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60</v>
      </c>
      <c r="E7" s="19" t="s">
        <v>61</v>
      </c>
      <c r="F7" s="19" t="s">
        <v>62</v>
      </c>
      <c r="G7" s="19" t="s">
        <v>63</v>
      </c>
      <c r="H7" s="19" t="s">
        <v>64</v>
      </c>
      <c r="I7" s="19" t="s">
        <v>65</v>
      </c>
      <c r="J7" s="19" t="s">
        <v>66</v>
      </c>
      <c r="K7" s="19" t="s">
        <v>67</v>
      </c>
      <c r="L7" s="19" t="s">
        <v>68</v>
      </c>
      <c r="M7" s="19" t="s">
        <v>69</v>
      </c>
      <c r="N7" s="19" t="s">
        <v>70</v>
      </c>
      <c r="O7" s="19" t="s">
        <v>71</v>
      </c>
      <c r="P7" s="1"/>
      <c r="Q7" s="1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1"/>
      <c r="Q8" s="1"/>
    </row>
    <row r="9" spans="1:17" x14ac:dyDescent="0.25">
      <c r="A9" s="21" t="s">
        <v>3</v>
      </c>
      <c r="B9" s="22" t="s">
        <v>4</v>
      </c>
      <c r="C9" s="23" t="s">
        <v>5</v>
      </c>
      <c r="D9" s="49">
        <v>0.91921220292480454</v>
      </c>
      <c r="E9" s="49">
        <v>0.97858847475056077</v>
      </c>
      <c r="F9" s="49">
        <v>1</v>
      </c>
      <c r="G9" s="49">
        <v>0.92136403172076009</v>
      </c>
      <c r="H9" s="49">
        <v>1</v>
      </c>
      <c r="I9" s="49">
        <v>0.97050794212289426</v>
      </c>
      <c r="J9" s="49">
        <v>0.97416070260211607</v>
      </c>
      <c r="K9" s="49">
        <v>0.94827719640057595</v>
      </c>
      <c r="L9" s="49">
        <v>0.98248665092961451</v>
      </c>
      <c r="M9" s="49">
        <v>0.94071412400617938</v>
      </c>
      <c r="N9" s="49">
        <v>0.95793294422974451</v>
      </c>
      <c r="O9" s="49">
        <v>0.98692568812286086</v>
      </c>
      <c r="P9" s="1"/>
      <c r="Q9" s="1"/>
    </row>
    <row r="10" spans="1:17" x14ac:dyDescent="0.25">
      <c r="A10" s="24"/>
      <c r="B10" s="22"/>
      <c r="C10" s="23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49"/>
      <c r="P10" s="1"/>
      <c r="Q10" s="4"/>
    </row>
    <row r="11" spans="1:17" x14ac:dyDescent="0.25">
      <c r="A11" s="21">
        <v>2</v>
      </c>
      <c r="B11" s="22" t="s">
        <v>43</v>
      </c>
      <c r="C11" s="23" t="s">
        <v>5</v>
      </c>
      <c r="D11" s="49">
        <v>0.97728714326429655</v>
      </c>
      <c r="E11" s="49">
        <v>0.98578420644514819</v>
      </c>
      <c r="F11" s="49">
        <v>0.93174422419860981</v>
      </c>
      <c r="G11" s="49">
        <v>0.96867629925003373</v>
      </c>
      <c r="H11" s="49">
        <v>0.92632625691479786</v>
      </c>
      <c r="I11" s="49">
        <v>0.97923112976334847</v>
      </c>
      <c r="J11" s="49">
        <v>0.94689378003371438</v>
      </c>
      <c r="K11" s="49">
        <v>1</v>
      </c>
      <c r="L11" s="49">
        <v>0.98348550762512055</v>
      </c>
      <c r="M11" s="49">
        <v>0.981919231928436</v>
      </c>
      <c r="N11" s="49">
        <v>0.9779822044183959</v>
      </c>
      <c r="O11" s="49">
        <v>0.97978405196534002</v>
      </c>
      <c r="P11" s="1"/>
      <c r="Q11" s="1"/>
    </row>
    <row r="12" spans="1:17" x14ac:dyDescent="0.25">
      <c r="A12" s="21"/>
      <c r="B12" s="22"/>
      <c r="C12" s="2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1"/>
      <c r="Q12" s="4"/>
    </row>
    <row r="13" spans="1:17" x14ac:dyDescent="0.25">
      <c r="A13" s="21">
        <v>3</v>
      </c>
      <c r="B13" s="22" t="s">
        <v>44</v>
      </c>
      <c r="C13" s="25" t="s">
        <v>5</v>
      </c>
      <c r="D13" s="49">
        <v>0.95637467005659071</v>
      </c>
      <c r="E13" s="49">
        <v>0.76462675968594296</v>
      </c>
      <c r="F13" s="49">
        <v>0.87443789356451829</v>
      </c>
      <c r="G13" s="49">
        <v>0.78384031284118783</v>
      </c>
      <c r="H13" s="49">
        <v>0.84215872817986448</v>
      </c>
      <c r="I13" s="49">
        <v>0.94733414230253754</v>
      </c>
      <c r="J13" s="49">
        <v>0.93641151763893959</v>
      </c>
      <c r="K13" s="49">
        <v>1</v>
      </c>
      <c r="L13" s="49">
        <v>0.97598167532242497</v>
      </c>
      <c r="M13" s="49">
        <v>0.96744426892289415</v>
      </c>
      <c r="N13" s="49">
        <v>0.95260830944917829</v>
      </c>
      <c r="O13" s="49">
        <v>0.95929846917492778</v>
      </c>
      <c r="P13" s="1"/>
      <c r="Q13" s="4"/>
    </row>
    <row r="14" spans="1:17" x14ac:dyDescent="0.25">
      <c r="A14" s="21">
        <v>4</v>
      </c>
      <c r="B14" s="22" t="s">
        <v>32</v>
      </c>
      <c r="C14" s="25" t="s">
        <v>5</v>
      </c>
      <c r="D14" s="49">
        <v>0.93122880293846244</v>
      </c>
      <c r="E14" s="49">
        <v>0.67930847164388442</v>
      </c>
      <c r="F14" s="49">
        <v>0.77641032377366237</v>
      </c>
      <c r="G14" s="49">
        <v>0.72918121077936915</v>
      </c>
      <c r="H14" s="49">
        <v>0.79963995469017701</v>
      </c>
      <c r="I14" s="49">
        <v>0.92502654159707709</v>
      </c>
      <c r="J14" s="49">
        <v>0.9278434258431375</v>
      </c>
      <c r="K14" s="49">
        <v>0.99382497406813586</v>
      </c>
      <c r="L14" s="49">
        <v>0.85531729749924879</v>
      </c>
      <c r="M14" s="49">
        <v>0.93585173744873917</v>
      </c>
      <c r="N14" s="49">
        <v>0.88577464635939318</v>
      </c>
      <c r="O14" s="49">
        <v>0.88821815223196932</v>
      </c>
      <c r="P14" s="1"/>
      <c r="Q14" s="1"/>
    </row>
    <row r="15" spans="1:17" x14ac:dyDescent="0.25">
      <c r="A15" s="24"/>
      <c r="B15" s="27"/>
      <c r="C15" s="2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1"/>
      <c r="P15" s="1"/>
      <c r="Q15" s="1"/>
    </row>
    <row r="16" spans="1:17" x14ac:dyDescent="0.25">
      <c r="A16" s="21">
        <v>6</v>
      </c>
      <c r="B16" s="22" t="s">
        <v>33</v>
      </c>
      <c r="C16" s="25" t="s">
        <v>7</v>
      </c>
      <c r="D16" s="49">
        <v>0.90883431647597646</v>
      </c>
      <c r="E16" s="49">
        <v>0.94411607865374081</v>
      </c>
      <c r="F16" s="49">
        <v>0.94343654979810843</v>
      </c>
      <c r="G16" s="49">
        <v>0.91743377101331003</v>
      </c>
      <c r="H16" s="49">
        <v>0.94738825552515005</v>
      </c>
      <c r="I16" s="49">
        <v>0.98788279560450232</v>
      </c>
      <c r="J16" s="49">
        <v>0.95291681787492166</v>
      </c>
      <c r="K16" s="49">
        <v>0.94997081003953199</v>
      </c>
      <c r="L16" s="49">
        <v>0.94972795991718584</v>
      </c>
      <c r="M16" s="49">
        <v>0.94541585827895203</v>
      </c>
      <c r="N16" s="49">
        <v>0.96027732156698264</v>
      </c>
      <c r="O16" s="49">
        <v>0.96503030147431867</v>
      </c>
      <c r="P16" s="1"/>
      <c r="Q16" s="1"/>
    </row>
    <row r="17" spans="1:17" x14ac:dyDescent="0.25">
      <c r="A17" s="21">
        <v>7</v>
      </c>
      <c r="B17" s="22" t="s">
        <v>34</v>
      </c>
      <c r="C17" s="25" t="s">
        <v>7</v>
      </c>
      <c r="D17" s="49">
        <v>0.97293697703476634</v>
      </c>
      <c r="E17" s="49">
        <v>0.82053280105640047</v>
      </c>
      <c r="F17" s="49">
        <v>0.87719464436414862</v>
      </c>
      <c r="G17" s="49">
        <v>0.86218258267993841</v>
      </c>
      <c r="H17" s="49">
        <v>0.86413260575562389</v>
      </c>
      <c r="I17" s="49">
        <v>0.98453715248892215</v>
      </c>
      <c r="J17" s="49">
        <v>0.9844671030916784</v>
      </c>
      <c r="K17" s="49">
        <v>0.93973171462947547</v>
      </c>
      <c r="L17" s="49">
        <v>0.90602947313800508</v>
      </c>
      <c r="M17" s="49">
        <v>0.91284550747411675</v>
      </c>
      <c r="N17" s="49">
        <v>0.93492927320707242</v>
      </c>
      <c r="O17" s="49">
        <v>0.94385053030750388</v>
      </c>
      <c r="P17" s="1"/>
      <c r="Q17" s="1"/>
    </row>
    <row r="18" spans="1:17" x14ac:dyDescent="0.25">
      <c r="A18" s="21">
        <v>8</v>
      </c>
      <c r="B18" s="22" t="s">
        <v>35</v>
      </c>
      <c r="C18" s="25" t="s">
        <v>7</v>
      </c>
      <c r="D18" s="49">
        <v>0.90794824399260632</v>
      </c>
      <c r="E18" s="49">
        <v>0.71251368113827074</v>
      </c>
      <c r="F18" s="49">
        <v>0.17192982456140349</v>
      </c>
      <c r="G18" s="49">
        <v>0.11025008805917577</v>
      </c>
      <c r="H18" s="49">
        <v>0.25474364150181672</v>
      </c>
      <c r="I18" s="49">
        <v>0.67713853141559421</v>
      </c>
      <c r="J18" s="49">
        <v>0.14989473684210525</v>
      </c>
      <c r="K18" s="49">
        <v>0.17701241489787745</v>
      </c>
      <c r="L18" s="49">
        <v>0.1530944625407166</v>
      </c>
      <c r="M18" s="49">
        <v>0.15521855486173058</v>
      </c>
      <c r="N18" s="49">
        <v>0.42525431225121629</v>
      </c>
      <c r="O18" s="49">
        <v>0.38656858092074037</v>
      </c>
      <c r="P18" s="5"/>
      <c r="Q18" s="5"/>
    </row>
    <row r="19" spans="1:17" x14ac:dyDescent="0.25">
      <c r="A19" s="21">
        <v>9</v>
      </c>
      <c r="B19" s="22" t="s">
        <v>36</v>
      </c>
      <c r="C19" s="25" t="s">
        <v>7</v>
      </c>
      <c r="D19" s="49">
        <v>0.79026656007632845</v>
      </c>
      <c r="E19" s="49">
        <v>0.9080951458664126</v>
      </c>
      <c r="F19" s="49">
        <v>0.8191155261806653</v>
      </c>
      <c r="G19" s="49">
        <v>0.86676932127562778</v>
      </c>
      <c r="H19" s="49">
        <v>0.6937060299581238</v>
      </c>
      <c r="I19" s="49">
        <v>0.88174092420003103</v>
      </c>
      <c r="J19" s="49">
        <v>0.86871786204495494</v>
      </c>
      <c r="K19" s="49">
        <v>0.90154465992009702</v>
      </c>
      <c r="L19" s="49">
        <v>0.91901690149760717</v>
      </c>
      <c r="M19" s="49">
        <v>0.79155632426415723</v>
      </c>
      <c r="N19" s="49">
        <v>0.80788384674955305</v>
      </c>
      <c r="O19" s="49">
        <v>0.84033496155378018</v>
      </c>
      <c r="P19" s="1"/>
      <c r="Q19" s="1"/>
    </row>
    <row r="20" spans="1:17" x14ac:dyDescent="0.25">
      <c r="A20" s="21"/>
      <c r="B20" s="22"/>
      <c r="C20" s="25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"/>
      <c r="Q20" s="1"/>
    </row>
    <row r="21" spans="1:17" x14ac:dyDescent="0.25">
      <c r="A21" s="21">
        <v>11</v>
      </c>
      <c r="B21" s="26" t="s">
        <v>37</v>
      </c>
      <c r="C21" s="25" t="s">
        <v>8</v>
      </c>
      <c r="D21" s="49">
        <v>0.82182802105653485</v>
      </c>
      <c r="E21" s="49">
        <v>0.84460725837910089</v>
      </c>
      <c r="F21" s="49">
        <v>0.81101128674195766</v>
      </c>
      <c r="G21" s="49">
        <v>0.98213119870855425</v>
      </c>
      <c r="H21" s="49">
        <v>0.79683470726376915</v>
      </c>
      <c r="I21" s="49">
        <v>0.94868876693924264</v>
      </c>
      <c r="J21" s="49">
        <v>0.73227865318778318</v>
      </c>
      <c r="K21" s="49">
        <v>0.97284639487406166</v>
      </c>
      <c r="L21" s="49">
        <v>0.79668708606932226</v>
      </c>
      <c r="M21" s="49">
        <v>0.95948384245378127</v>
      </c>
      <c r="N21" s="49">
        <v>0.9353766910781397</v>
      </c>
      <c r="O21" s="49">
        <v>0.74396212605018319</v>
      </c>
      <c r="P21" s="1"/>
      <c r="Q21" s="1"/>
    </row>
    <row r="22" spans="1:17" x14ac:dyDescent="0.25">
      <c r="A22" s="24"/>
      <c r="B22" s="22"/>
      <c r="C22" s="2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"/>
      <c r="Q22" s="5"/>
    </row>
    <row r="23" spans="1:17" x14ac:dyDescent="0.25">
      <c r="A23" s="21">
        <v>12</v>
      </c>
      <c r="B23" s="28" t="s">
        <v>9</v>
      </c>
      <c r="C23" s="25" t="s">
        <v>5</v>
      </c>
      <c r="D23" s="49">
        <v>0</v>
      </c>
      <c r="E23" s="49">
        <v>0.88159752357349697</v>
      </c>
      <c r="F23" s="49">
        <v>1.1074692267630616E-2</v>
      </c>
      <c r="G23" s="49">
        <v>0.97559825684361445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1"/>
      <c r="Q23" s="1"/>
    </row>
    <row r="24" spans="1:17" x14ac:dyDescent="0.25">
      <c r="P24" s="1"/>
      <c r="Q24" s="1"/>
    </row>
    <row r="25" spans="1:17" x14ac:dyDescent="0.25">
      <c r="P25" s="1"/>
      <c r="Q25" s="1"/>
    </row>
    <row r="26" spans="1:17" x14ac:dyDescent="0.25">
      <c r="A26" s="1"/>
      <c r="B26" s="57" t="s">
        <v>13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7" x14ac:dyDescent="0.25">
      <c r="A27" s="1"/>
      <c r="B27" s="57" t="s">
        <v>14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7" x14ac:dyDescent="0.25">
      <c r="A28" s="1"/>
      <c r="B28" s="57" t="s">
        <v>16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7" x14ac:dyDescent="0.25">
      <c r="A29" s="10"/>
      <c r="B29" s="55" t="s">
        <v>47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</row>
    <row r="30" spans="1:17" x14ac:dyDescent="0.25">
      <c r="A30" s="1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7" x14ac:dyDescent="0.25">
      <c r="A31" s="10"/>
      <c r="B31" s="17"/>
      <c r="C31" s="17"/>
      <c r="D31" s="14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7" x14ac:dyDescent="0.25">
      <c r="A32" s="15" t="s">
        <v>0</v>
      </c>
      <c r="B32" s="17" t="s">
        <v>1</v>
      </c>
      <c r="C32" s="34" t="s">
        <v>2</v>
      </c>
      <c r="D32" s="19" t="s">
        <v>60</v>
      </c>
      <c r="E32" s="19" t="s">
        <v>61</v>
      </c>
      <c r="F32" s="19" t="s">
        <v>62</v>
      </c>
      <c r="G32" s="19" t="s">
        <v>63</v>
      </c>
      <c r="H32" s="19" t="s">
        <v>64</v>
      </c>
      <c r="I32" s="19" t="s">
        <v>65</v>
      </c>
      <c r="J32" s="19" t="s">
        <v>66</v>
      </c>
      <c r="K32" s="19" t="s">
        <v>67</v>
      </c>
      <c r="L32" s="19" t="s">
        <v>68</v>
      </c>
      <c r="M32" s="19" t="s">
        <v>69</v>
      </c>
      <c r="N32" s="19" t="s">
        <v>70</v>
      </c>
      <c r="O32" s="19" t="s">
        <v>71</v>
      </c>
    </row>
    <row r="33" spans="1:15" x14ac:dyDescent="0.25">
      <c r="A33" s="10"/>
      <c r="B33" s="17"/>
      <c r="C33" s="34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20"/>
    </row>
    <row r="34" spans="1:15" x14ac:dyDescent="0.25">
      <c r="A34" s="21" t="s">
        <v>3</v>
      </c>
      <c r="B34" s="22" t="s">
        <v>4</v>
      </c>
      <c r="C34" s="23" t="s">
        <v>5</v>
      </c>
      <c r="D34" s="49">
        <v>0.48082233175280037</v>
      </c>
      <c r="E34" s="49">
        <v>0.41364695006305235</v>
      </c>
      <c r="F34" s="49">
        <v>0.44700143911789059</v>
      </c>
      <c r="G34" s="49">
        <v>0.62828501214980514</v>
      </c>
      <c r="H34" s="49">
        <v>0.46829302312999888</v>
      </c>
      <c r="I34" s="49">
        <v>0.48189008951470208</v>
      </c>
      <c r="J34" s="49">
        <v>0.48854851810341843</v>
      </c>
      <c r="K34" s="49">
        <v>0.55054727214654275</v>
      </c>
      <c r="L34" s="49">
        <v>0.5868687838559481</v>
      </c>
      <c r="M34" s="49">
        <v>0.62251364227680284</v>
      </c>
      <c r="N34" s="49">
        <v>0.6401899912056267</v>
      </c>
      <c r="O34" s="49">
        <v>0.50551666748177293</v>
      </c>
    </row>
    <row r="35" spans="1:15" x14ac:dyDescent="0.25">
      <c r="A35" s="24"/>
      <c r="B35" s="22"/>
      <c r="C35" s="23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49"/>
    </row>
    <row r="36" spans="1:15" x14ac:dyDescent="0.25">
      <c r="A36" s="21">
        <v>2</v>
      </c>
      <c r="B36" s="22" t="s">
        <v>43</v>
      </c>
      <c r="C36" s="23" t="s">
        <v>5</v>
      </c>
      <c r="D36" s="49">
        <v>0.66234555183559685</v>
      </c>
      <c r="E36" s="49">
        <v>0.75090603847103277</v>
      </c>
      <c r="F36" s="49">
        <v>0.80914702687864504</v>
      </c>
      <c r="G36" s="49">
        <v>0.80245587295055032</v>
      </c>
      <c r="H36" s="49">
        <v>0.81973970351985914</v>
      </c>
      <c r="I36" s="49">
        <v>0.76203998007938278</v>
      </c>
      <c r="J36" s="49">
        <v>0.68317910575889962</v>
      </c>
      <c r="K36" s="49">
        <v>0.68327465003469479</v>
      </c>
      <c r="L36" s="49">
        <v>0.71702790609116862</v>
      </c>
      <c r="M36" s="49">
        <v>0.73254296989784562</v>
      </c>
      <c r="N36" s="49">
        <v>0.73615958914857182</v>
      </c>
      <c r="O36" s="49">
        <v>0.63909732719905044</v>
      </c>
    </row>
    <row r="37" spans="1:15" x14ac:dyDescent="0.25">
      <c r="A37" s="21"/>
      <c r="B37" s="22"/>
      <c r="C37" s="23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x14ac:dyDescent="0.25">
      <c r="A38" s="21">
        <v>3</v>
      </c>
      <c r="B38" s="22" t="s">
        <v>44</v>
      </c>
      <c r="C38" s="25" t="s">
        <v>5</v>
      </c>
      <c r="D38" s="49">
        <v>0.59238689720712234</v>
      </c>
      <c r="E38" s="49">
        <v>0.61595549045663889</v>
      </c>
      <c r="F38" s="49">
        <v>0.67058603776681791</v>
      </c>
      <c r="G38" s="49">
        <v>0.65594532780821846</v>
      </c>
      <c r="H38" s="49">
        <v>0.66864748667810747</v>
      </c>
      <c r="I38" s="49">
        <v>0.65808874901798664</v>
      </c>
      <c r="J38" s="49">
        <v>0.60983732328558515</v>
      </c>
      <c r="K38" s="49">
        <v>0.62659219501911356</v>
      </c>
      <c r="L38" s="49">
        <v>0.66130562854739128</v>
      </c>
      <c r="M38" s="49">
        <v>0.68452357644850104</v>
      </c>
      <c r="N38" s="49">
        <v>0.67325919376965715</v>
      </c>
      <c r="O38" s="49">
        <v>0.58477384004900312</v>
      </c>
    </row>
    <row r="39" spans="1:15" x14ac:dyDescent="0.25">
      <c r="A39" s="21">
        <v>4</v>
      </c>
      <c r="B39" s="22" t="s">
        <v>32</v>
      </c>
      <c r="C39" s="25" t="s">
        <v>5</v>
      </c>
      <c r="D39" s="49">
        <v>0.68992729139332576</v>
      </c>
      <c r="E39" s="49">
        <v>0.67983337896303686</v>
      </c>
      <c r="F39" s="49">
        <v>0.68129349538393003</v>
      </c>
      <c r="G39" s="49">
        <v>0.6777915220501135</v>
      </c>
      <c r="H39" s="49">
        <v>0.70199684399753892</v>
      </c>
      <c r="I39" s="49">
        <v>0.73139040149801926</v>
      </c>
      <c r="J39" s="49">
        <v>0.73447035475827926</v>
      </c>
      <c r="K39" s="49">
        <v>0.72406492053960791</v>
      </c>
      <c r="L39" s="49">
        <v>0.74182377652466858</v>
      </c>
      <c r="M39" s="49">
        <v>0.75568080441063079</v>
      </c>
      <c r="N39" s="49">
        <v>0.65515304733734792</v>
      </c>
      <c r="O39" s="49">
        <v>0.69726953323460961</v>
      </c>
    </row>
    <row r="40" spans="1:15" x14ac:dyDescent="0.25">
      <c r="A40" s="24"/>
      <c r="B40" s="27"/>
      <c r="C40" s="2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1"/>
    </row>
    <row r="41" spans="1:15" x14ac:dyDescent="0.25">
      <c r="A41" s="21">
        <v>6</v>
      </c>
      <c r="B41" s="22" t="s">
        <v>33</v>
      </c>
      <c r="C41" s="25" t="s">
        <v>7</v>
      </c>
      <c r="D41" s="49">
        <v>0.78557689580960099</v>
      </c>
      <c r="E41" s="49">
        <v>0.8179223580299404</v>
      </c>
      <c r="F41" s="49">
        <v>0.8242363338922537</v>
      </c>
      <c r="G41" s="49">
        <v>0.8485264334961784</v>
      </c>
      <c r="H41" s="49">
        <v>0.86408324505123868</v>
      </c>
      <c r="I41" s="49">
        <v>0.84460658779336995</v>
      </c>
      <c r="J41" s="49">
        <v>0.83304164472539566</v>
      </c>
      <c r="K41" s="49">
        <v>0.78213730795977598</v>
      </c>
      <c r="L41" s="49">
        <v>0.80152198141354869</v>
      </c>
      <c r="M41" s="49">
        <v>0.83702900594656438</v>
      </c>
      <c r="N41" s="49">
        <v>0.83029285230255345</v>
      </c>
      <c r="O41" s="49">
        <v>0.77050971102539356</v>
      </c>
    </row>
    <row r="42" spans="1:15" x14ac:dyDescent="0.25">
      <c r="A42" s="21">
        <v>7</v>
      </c>
      <c r="B42" s="22" t="s">
        <v>34</v>
      </c>
      <c r="C42" s="25" t="s">
        <v>7</v>
      </c>
      <c r="D42" s="49">
        <v>0.80007164484997206</v>
      </c>
      <c r="E42" s="49">
        <v>0.80775633654023637</v>
      </c>
      <c r="F42" s="49">
        <v>0.82530769641266166</v>
      </c>
      <c r="G42" s="49">
        <v>0.83343357099750259</v>
      </c>
      <c r="H42" s="49">
        <v>0.84834084694821477</v>
      </c>
      <c r="I42" s="49">
        <v>0.86864897901745253</v>
      </c>
      <c r="J42" s="49">
        <v>0.84976170909454807</v>
      </c>
      <c r="K42" s="49">
        <v>0.83770203835279433</v>
      </c>
      <c r="L42" s="49">
        <v>0.84364499242432123</v>
      </c>
      <c r="M42" s="49">
        <v>0.8405513620891063</v>
      </c>
      <c r="N42" s="49">
        <v>0.78041689321990715</v>
      </c>
      <c r="O42" s="49">
        <v>0.82636842844773872</v>
      </c>
    </row>
    <row r="43" spans="1:15" x14ac:dyDescent="0.25">
      <c r="A43" s="21">
        <v>8</v>
      </c>
      <c r="B43" s="22" t="s">
        <v>35</v>
      </c>
      <c r="C43" s="25" t="s">
        <v>7</v>
      </c>
      <c r="D43" s="49">
        <v>0.59539780971120781</v>
      </c>
      <c r="E43" s="49">
        <v>0.70549491939951625</v>
      </c>
      <c r="F43" s="49">
        <v>0.65912092058102245</v>
      </c>
      <c r="G43" s="49">
        <v>0.59343283704570615</v>
      </c>
      <c r="H43" s="49">
        <v>0.6601828778787836</v>
      </c>
      <c r="I43" s="49">
        <v>0.56963403417091962</v>
      </c>
      <c r="J43" s="49">
        <v>0.47817738791423003</v>
      </c>
      <c r="K43" s="49">
        <v>0.3523986848734611</v>
      </c>
      <c r="L43" s="49">
        <v>0.34243425021112317</v>
      </c>
      <c r="M43" s="49">
        <v>0.20387352961865204</v>
      </c>
      <c r="N43" s="49">
        <v>0.34087135137020286</v>
      </c>
      <c r="O43" s="49">
        <v>0.33984217071841655</v>
      </c>
    </row>
    <row r="44" spans="1:15" x14ac:dyDescent="0.25">
      <c r="A44" s="21">
        <v>9</v>
      </c>
      <c r="B44" s="22" t="s">
        <v>36</v>
      </c>
      <c r="C44" s="25" t="s">
        <v>7</v>
      </c>
      <c r="D44" s="49">
        <v>0.80710207418762236</v>
      </c>
      <c r="E44" s="49">
        <v>0.87880507146032916</v>
      </c>
      <c r="F44" s="49">
        <v>0.84132931211264561</v>
      </c>
      <c r="G44" s="49">
        <v>0.88530686518304647</v>
      </c>
      <c r="H44" s="49">
        <v>0.89171864080613594</v>
      </c>
      <c r="I44" s="49">
        <v>0.86686126917268969</v>
      </c>
      <c r="J44" s="49">
        <v>0.83944670690703305</v>
      </c>
      <c r="K44" s="49">
        <v>0.88549688847229646</v>
      </c>
      <c r="L44" s="49">
        <v>0.81918597994638065</v>
      </c>
      <c r="M44" s="49">
        <v>0.84315991405471236</v>
      </c>
      <c r="N44" s="49">
        <v>0.8346562641264994</v>
      </c>
      <c r="O44" s="49">
        <v>0.85143969139597742</v>
      </c>
    </row>
    <row r="45" spans="1:15" x14ac:dyDescent="0.25">
      <c r="A45" s="21"/>
      <c r="B45" s="22"/>
      <c r="C45" s="25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</row>
    <row r="46" spans="1:15" x14ac:dyDescent="0.25">
      <c r="A46" s="21">
        <v>11</v>
      </c>
      <c r="B46" s="26" t="s">
        <v>37</v>
      </c>
      <c r="C46" s="25" t="s">
        <v>8</v>
      </c>
      <c r="D46" s="49">
        <v>0.80032424388009848</v>
      </c>
      <c r="E46" s="49">
        <v>0.8510509323472778</v>
      </c>
      <c r="F46" s="49">
        <v>0.83054627095117217</v>
      </c>
      <c r="G46" s="49">
        <v>0.86478208445020266</v>
      </c>
      <c r="H46" s="49">
        <v>0.85965857406011192</v>
      </c>
      <c r="I46" s="49">
        <v>0.87593173774871147</v>
      </c>
      <c r="J46" s="49">
        <v>0.83336688642916934</v>
      </c>
      <c r="K46" s="49">
        <v>0.86911592208668187</v>
      </c>
      <c r="L46" s="49">
        <v>0.84802149087068923</v>
      </c>
      <c r="M46" s="49">
        <v>0.92771947488874562</v>
      </c>
      <c r="N46" s="49">
        <v>0.89652339403252734</v>
      </c>
      <c r="O46" s="49">
        <v>0.81210679039204625</v>
      </c>
    </row>
    <row r="47" spans="1:15" x14ac:dyDescent="0.25">
      <c r="A47" s="24"/>
      <c r="B47" s="22"/>
      <c r="C47" s="2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</row>
    <row r="48" spans="1:15" x14ac:dyDescent="0.25">
      <c r="A48" s="21">
        <v>12</v>
      </c>
      <c r="B48" s="28" t="s">
        <v>9</v>
      </c>
      <c r="C48" s="25" t="s">
        <v>5</v>
      </c>
      <c r="D48" s="49">
        <v>0.47072434745335373</v>
      </c>
      <c r="E48" s="49">
        <v>0.50390901527889298</v>
      </c>
      <c r="F48" s="49">
        <v>0.52235211386073754</v>
      </c>
      <c r="G48" s="49">
        <v>0.51725670164502924</v>
      </c>
      <c r="H48" s="49">
        <v>0.4869172413577052</v>
      </c>
      <c r="I48" s="49">
        <v>0.42166171045779194</v>
      </c>
      <c r="J48" s="49">
        <v>0.42123943937772518</v>
      </c>
      <c r="K48" s="49">
        <v>0.41168459000928603</v>
      </c>
      <c r="L48" s="49">
        <v>0.37887077343685566</v>
      </c>
      <c r="M48" s="49">
        <v>0.38055555555555559</v>
      </c>
      <c r="N48" s="49">
        <v>0.41546999179236066</v>
      </c>
      <c r="O48" s="49">
        <v>0.41624548952702112</v>
      </c>
    </row>
    <row r="49" spans="1:15" x14ac:dyDescent="0.25">
      <c r="A49" s="3"/>
      <c r="B49" s="18"/>
      <c r="C49" s="18" t="s">
        <v>6</v>
      </c>
      <c r="D49" s="6" t="s">
        <v>6</v>
      </c>
      <c r="E49" s="6" t="s">
        <v>6</v>
      </c>
      <c r="F49" s="6" t="s">
        <v>6</v>
      </c>
      <c r="G49" s="6" t="s">
        <v>6</v>
      </c>
      <c r="H49" s="6" t="s">
        <v>6</v>
      </c>
      <c r="I49" s="6" t="s">
        <v>6</v>
      </c>
      <c r="J49" s="6" t="s">
        <v>6</v>
      </c>
      <c r="K49" s="6" t="s">
        <v>6</v>
      </c>
      <c r="L49" s="6" t="s">
        <v>6</v>
      </c>
      <c r="M49" s="6" t="s">
        <v>6</v>
      </c>
      <c r="N49" s="6" t="s">
        <v>6</v>
      </c>
      <c r="O49" s="6" t="s">
        <v>6</v>
      </c>
    </row>
    <row r="50" spans="1:15" x14ac:dyDescent="0.25">
      <c r="A50" s="3"/>
      <c r="B50" s="7"/>
      <c r="C50" s="7" t="s">
        <v>6</v>
      </c>
      <c r="D50" s="6" t="s">
        <v>6</v>
      </c>
      <c r="E50" s="6" t="s">
        <v>6</v>
      </c>
      <c r="F50" s="6" t="s">
        <v>6</v>
      </c>
      <c r="G50" s="6" t="s">
        <v>6</v>
      </c>
      <c r="H50" s="6" t="s">
        <v>6</v>
      </c>
      <c r="I50" s="6" t="s">
        <v>6</v>
      </c>
      <c r="J50" s="6" t="s">
        <v>6</v>
      </c>
      <c r="K50" s="6" t="s">
        <v>6</v>
      </c>
      <c r="L50" s="6" t="s">
        <v>6</v>
      </c>
      <c r="M50" s="6" t="s">
        <v>6</v>
      </c>
      <c r="N50" s="6" t="s">
        <v>6</v>
      </c>
      <c r="O50" s="6" t="s">
        <v>6</v>
      </c>
    </row>
  </sheetData>
  <mergeCells count="8">
    <mergeCell ref="B1:O1"/>
    <mergeCell ref="B29:O29"/>
    <mergeCell ref="B2:O2"/>
    <mergeCell ref="B3:O3"/>
    <mergeCell ref="B4:O4"/>
    <mergeCell ref="B26:O26"/>
    <mergeCell ref="B27:O27"/>
    <mergeCell ref="B28:O28"/>
  </mergeCells>
  <pageMargins left="0.7" right="0.7" top="0.75" bottom="0.75" header="0.3" footer="0.3"/>
  <pageSetup scale="72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640fb8-5a34-41c1-9307-1b790ff29a8b">
      <Terms xmlns="http://schemas.microsoft.com/office/infopath/2007/PartnerControls"/>
    </lcf76f155ced4ddcb4097134ff3c332f>
    <TaxCatchAll xmlns="51831b8d-857f-44dd-949b-652450d1a5df" xsi:nil="true"/>
    <Operating_x0020_Company xmlns="a1040523-5304-4b09-b6d4-64a124c994e2">AEP Ohio</Operating_x0020_Company>
    <_ip_UnifiedCompliancePolicyUIAction xmlns="http://schemas.microsoft.com/sharepoint/v3" xsi:nil="true"/>
    <_Flow_SignoffStatus xmlns="5b640fb8-5a34-41c1-9307-1b790ff29a8b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UwYzMxODI0LTA3ODAtNDkxMC04N2QxLWVhYWZmZDE4MmQ0MiIgdmFsdWU9IiIgeG1sbnM9Imh0dHA6Ly93d3cuYm9sZG9uamFtZXMuY29tLzIwMDgvMDEvc2llL2ludGVybmFsL2xhYmVsIiAvPjwvc2lzbD48VXNlck5hbWU+Q09SUFxkMDAwMjk4PC9Vc2VyTmFtZT48RGF0ZVRpbWU+Mi85LzIwMjQgNTozNDozMiBQTTwvRGF0ZVRpbWU+PExhYmVsU3RyaW5nPkFFUCBJbnRlcm5hbDwvTGFiZWxTdHJpbmc+PC9pdGVtPjwvbGFiZWxIaXN0b3J5Pg==</Value>
</WrappedLabelHistory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50c31824-0780-4910-87d1-eaaffd182d42" value=""/>
</sisl>
</file>

<file path=customXml/itemProps1.xml><?xml version="1.0" encoding="utf-8"?>
<ds:datastoreItem xmlns:ds="http://schemas.openxmlformats.org/officeDocument/2006/customXml" ds:itemID="{9A987E30-86FE-4F66-9A1E-29874790E3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2C73B-DCB4-40AA-9B41-F9CD7B8D9AFB}">
  <ds:schemaRefs>
    <ds:schemaRef ds:uri="http://purl.org/dc/elements/1.1/"/>
    <ds:schemaRef ds:uri="http://schemas.microsoft.com/sharepoint/v3"/>
    <ds:schemaRef ds:uri="a1040523-5304-4b09-b6d4-64a124c994e2"/>
    <ds:schemaRef ds:uri="51831b8d-857f-44dd-949b-652450d1a5df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5b640fb8-5a34-41c1-9307-1b790ff29a8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C6B8D8-7D75-4244-96E1-4126FB0D15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B26FAD-8A6D-4A67-8F7C-04F8E1BC6ED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1975CBB1-C0FB-4D35-8BB0-0D9C69B7508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II-H-1.4.(1) TEX TYE2309</vt:lpstr>
      <vt:lpstr>II-H-1.4.(2) TEX TYE2309</vt:lpstr>
      <vt:lpstr>II-H-1.4.(3) TEX TYE2309</vt:lpstr>
      <vt:lpstr>II-H-1.4.(4) TEX TYE2309</vt:lpstr>
      <vt:lpstr>II-H-1.4.(5) TEX TYE2309</vt:lpstr>
      <vt:lpstr>II-H-1.4.(6) TEX TYE2309</vt:lpstr>
      <vt:lpstr>II-H-1.4.(6) TEX YE2209</vt:lpstr>
      <vt:lpstr>II-H-1.4.(6) TEX YE2109</vt:lpstr>
      <vt:lpstr>II-H-1.4.(6) TEX YE2009</vt:lpstr>
      <vt:lpstr>'II-H-1.4.(6) TEX TYE2309'!Print_Area</vt:lpstr>
      <vt:lpstr>'II-H-1.4.(6) TEX YE2009'!Print_Area</vt:lpstr>
      <vt:lpstr>'II-H-1.4.(6) TEX YE2109'!Print_Area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s275477</dc:creator>
  <cp:keywords>AEP Internal</cp:keywords>
  <cp:lastModifiedBy>s254353</cp:lastModifiedBy>
  <cp:lastPrinted>2024-02-27T17:22:30Z</cp:lastPrinted>
  <dcterms:created xsi:type="dcterms:W3CDTF">2019-01-29T18:17:37Z</dcterms:created>
  <dcterms:modified xsi:type="dcterms:W3CDTF">2024-02-27T18:07:40Z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129b826d-4f33-4097-b272-b6921e0c937f</vt:lpwstr>
  </property>
  <property fmtid="{D5CDD505-2E9C-101B-9397-08002B2CF9AE}" pid="3" name="bjSaver">
    <vt:lpwstr>+67csA82yKjSjnon/76tuYCQckurr173</vt:lpwstr>
  </property>
  <property fmtid="{D5CDD505-2E9C-101B-9397-08002B2CF9AE}" pid="4" name="bjDocumentSecurityLabel">
    <vt:lpwstr>AEP Internal</vt:lpwstr>
  </property>
  <property fmtid="{D5CDD505-2E9C-101B-9397-08002B2CF9AE}" pid="5" name="ContentTypeId">
    <vt:lpwstr>0x01010001136CE24ED5F449BD16740FFC7FAF6F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7" name="bjDocumentLabelXML-0">
    <vt:lpwstr>ames.com/2008/01/sie/internal/label"&gt;&lt;element uid="50c31824-0780-4910-87d1-eaaffd182d42" value="" /&gt;&lt;/sisl&gt;</vt:lpwstr>
  </property>
  <property fmtid="{D5CDD505-2E9C-101B-9397-08002B2CF9AE}" pid="8" name="MSIP_Label_69f43042-6bda-44b2-91eb-eca3d3d484f4_SiteId">
    <vt:lpwstr>15f3c881-6b03-4ff6-8559-77bf5177818f</vt:lpwstr>
  </property>
  <property fmtid="{D5CDD505-2E9C-101B-9397-08002B2CF9AE}" pid="9" name="MSIP_Label_69f43042-6bda-44b2-91eb-eca3d3d484f4_Name">
    <vt:lpwstr>AEP Internal</vt:lpwstr>
  </property>
  <property fmtid="{D5CDD505-2E9C-101B-9397-08002B2CF9AE}" pid="10" name="MSIP_Label_69f43042-6bda-44b2-91eb-eca3d3d484f4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{CDB26FAD-8A6D-4A67-8F7C-04F8E1BC6ED0}</vt:lpwstr>
  </property>
</Properties>
</file>