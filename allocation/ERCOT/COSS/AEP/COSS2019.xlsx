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sharenow.sp.aepsc.com/shsvcs/regsvcs/aeptexas/2018 Base Rate Case/Schedules/Combined/"/>
    </mc:Choice>
  </mc:AlternateContent>
  <bookViews>
    <workbookView xWindow="0" yWindow="0" windowWidth="17900" windowHeight="5810" tabRatio="624"/>
  </bookViews>
  <sheets>
    <sheet name="II-H-1.4.(1) TEX 2018" sheetId="8" r:id="rId1"/>
    <sheet name="II-H-1.4.(2) TEX 2018" sheetId="9" r:id="rId2"/>
    <sheet name="II-H-1.4.(3) TEX 2018" sheetId="10" r:id="rId3"/>
    <sheet name="II-H-1.4.(5) TEX 2018" sheetId="12" r:id="rId4"/>
    <sheet name="II-H-1.4.(6) TEX 2015" sheetId="15" r:id="rId5"/>
    <sheet name="II-H-1.4.(6) TEX 2016" sheetId="14" r:id="rId6"/>
    <sheet name="II-H-1.4.(6) TEX 2017" sheetId="13" r:id="rId7"/>
    <sheet name="II-H-1.4.(6) TEX 2018" sheetId="7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1" i="7" l="1"/>
  <c r="B4" i="7"/>
  <c r="B31" i="13"/>
  <c r="B31" i="14"/>
  <c r="B31" i="15"/>
  <c r="B35" i="12"/>
  <c r="B4" i="12"/>
  <c r="B35" i="10"/>
  <c r="B4" i="10"/>
  <c r="B35" i="9"/>
  <c r="B4" i="9"/>
  <c r="B35" i="8"/>
  <c r="D50" i="8" l="1"/>
  <c r="D46" i="8"/>
  <c r="P54" i="8"/>
  <c r="P52" i="8"/>
  <c r="P49" i="8"/>
  <c r="P48" i="8"/>
  <c r="P45" i="8"/>
  <c r="P44" i="8"/>
  <c r="P42" i="8"/>
  <c r="P40" i="8"/>
  <c r="E19" i="8"/>
  <c r="F19" i="8"/>
  <c r="G19" i="8"/>
  <c r="H19" i="8"/>
  <c r="I19" i="8"/>
  <c r="J19" i="8"/>
  <c r="K19" i="8"/>
  <c r="L19" i="8"/>
  <c r="M19" i="8"/>
  <c r="N19" i="8"/>
  <c r="O19" i="8"/>
  <c r="D19" i="8"/>
  <c r="E15" i="8"/>
  <c r="E25" i="8" s="1"/>
  <c r="F15" i="8"/>
  <c r="F25" i="8" s="1"/>
  <c r="G15" i="8"/>
  <c r="G25" i="8" s="1"/>
  <c r="H15" i="8"/>
  <c r="H25" i="8" s="1"/>
  <c r="I15" i="8"/>
  <c r="I25" i="8" s="1"/>
  <c r="J15" i="8"/>
  <c r="J25" i="8" s="1"/>
  <c r="K15" i="8"/>
  <c r="K25" i="8" s="1"/>
  <c r="L15" i="8"/>
  <c r="L25" i="8" s="1"/>
  <c r="M15" i="8"/>
  <c r="M25" i="8" s="1"/>
  <c r="N15" i="8"/>
  <c r="N25" i="8" s="1"/>
  <c r="O15" i="8"/>
  <c r="O25" i="8" s="1"/>
  <c r="D15" i="8"/>
  <c r="D25" i="8" s="1"/>
  <c r="P23" i="8"/>
  <c r="P21" i="8"/>
  <c r="P18" i="8"/>
  <c r="P17" i="8"/>
  <c r="P14" i="8"/>
  <c r="P13" i="8"/>
  <c r="P11" i="8"/>
  <c r="P9" i="8"/>
  <c r="P46" i="8" l="1"/>
  <c r="P50" i="8"/>
  <c r="P19" i="8"/>
  <c r="P15" i="8"/>
  <c r="E50" i="12"/>
  <c r="F50" i="12"/>
  <c r="G50" i="12"/>
  <c r="H50" i="12"/>
  <c r="I50" i="12"/>
  <c r="J50" i="12"/>
  <c r="K50" i="12"/>
  <c r="L50" i="12"/>
  <c r="M50" i="12"/>
  <c r="N50" i="12"/>
  <c r="O50" i="12"/>
  <c r="D50" i="12"/>
  <c r="E46" i="12"/>
  <c r="E56" i="12" s="1"/>
  <c r="F46" i="12"/>
  <c r="F56" i="12" s="1"/>
  <c r="G46" i="12"/>
  <c r="G56" i="12" s="1"/>
  <c r="H46" i="12"/>
  <c r="H56" i="12" s="1"/>
  <c r="I46" i="12"/>
  <c r="I56" i="12" s="1"/>
  <c r="J46" i="12"/>
  <c r="J56" i="12" s="1"/>
  <c r="K46" i="12"/>
  <c r="K56" i="12" s="1"/>
  <c r="L46" i="12"/>
  <c r="L56" i="12" s="1"/>
  <c r="M46" i="12"/>
  <c r="M56" i="12" s="1"/>
  <c r="N46" i="12"/>
  <c r="N56" i="12" s="1"/>
  <c r="O46" i="12"/>
  <c r="D46" i="12"/>
  <c r="P54" i="12"/>
  <c r="P52" i="12"/>
  <c r="P49" i="12"/>
  <c r="P48" i="12"/>
  <c r="P45" i="12"/>
  <c r="P44" i="12"/>
  <c r="P42" i="12"/>
  <c r="P40" i="12"/>
  <c r="E19" i="12"/>
  <c r="F19" i="12"/>
  <c r="G19" i="12"/>
  <c r="H19" i="12"/>
  <c r="I19" i="12"/>
  <c r="J19" i="12"/>
  <c r="K19" i="12"/>
  <c r="L19" i="12"/>
  <c r="M19" i="12"/>
  <c r="N19" i="12"/>
  <c r="O19" i="12"/>
  <c r="D19" i="12"/>
  <c r="E15" i="12"/>
  <c r="E25" i="12" s="1"/>
  <c r="F15" i="12"/>
  <c r="F25" i="12" s="1"/>
  <c r="G15" i="12"/>
  <c r="G25" i="12" s="1"/>
  <c r="H15" i="12"/>
  <c r="H25" i="12" s="1"/>
  <c r="I15" i="12"/>
  <c r="I25" i="12" s="1"/>
  <c r="J15" i="12"/>
  <c r="J25" i="12" s="1"/>
  <c r="K15" i="12"/>
  <c r="K25" i="12" s="1"/>
  <c r="L15" i="12"/>
  <c r="L25" i="12" s="1"/>
  <c r="M15" i="12"/>
  <c r="M25" i="12" s="1"/>
  <c r="N15" i="12"/>
  <c r="N25" i="12" s="1"/>
  <c r="O15" i="12"/>
  <c r="D15" i="12"/>
  <c r="D25" i="12" s="1"/>
  <c r="P23" i="12"/>
  <c r="P21" i="12"/>
  <c r="P18" i="12"/>
  <c r="P17" i="12"/>
  <c r="P14" i="12"/>
  <c r="P13" i="12"/>
  <c r="P11" i="12"/>
  <c r="P9" i="12"/>
  <c r="E50" i="10"/>
  <c r="F50" i="10"/>
  <c r="G50" i="10"/>
  <c r="H50" i="10"/>
  <c r="I50" i="10"/>
  <c r="J50" i="10"/>
  <c r="K50" i="10"/>
  <c r="L50" i="10"/>
  <c r="M50" i="10"/>
  <c r="N50" i="10"/>
  <c r="O50" i="10"/>
  <c r="D50" i="10"/>
  <c r="E46" i="10"/>
  <c r="E56" i="10" s="1"/>
  <c r="F46" i="10"/>
  <c r="F56" i="10" s="1"/>
  <c r="G46" i="10"/>
  <c r="G56" i="10" s="1"/>
  <c r="H46" i="10"/>
  <c r="H56" i="10" s="1"/>
  <c r="I46" i="10"/>
  <c r="J46" i="10"/>
  <c r="J56" i="10" s="1"/>
  <c r="K46" i="10"/>
  <c r="K56" i="10" s="1"/>
  <c r="L46" i="10"/>
  <c r="L56" i="10" s="1"/>
  <c r="M46" i="10"/>
  <c r="M56" i="10" s="1"/>
  <c r="N46" i="10"/>
  <c r="N56" i="10" s="1"/>
  <c r="O46" i="10"/>
  <c r="O56" i="10" s="1"/>
  <c r="D46" i="10"/>
  <c r="D56" i="10" s="1"/>
  <c r="P54" i="10"/>
  <c r="P52" i="10"/>
  <c r="P49" i="10"/>
  <c r="P48" i="10"/>
  <c r="P45" i="10"/>
  <c r="P44" i="10"/>
  <c r="P42" i="10"/>
  <c r="P40" i="10"/>
  <c r="E19" i="10"/>
  <c r="F19" i="10"/>
  <c r="G19" i="10"/>
  <c r="H19" i="10"/>
  <c r="I19" i="10"/>
  <c r="J19" i="10"/>
  <c r="K19" i="10"/>
  <c r="L19" i="10"/>
  <c r="M19" i="10"/>
  <c r="N19" i="10"/>
  <c r="O19" i="10"/>
  <c r="D19" i="10"/>
  <c r="E15" i="10"/>
  <c r="E25" i="10" s="1"/>
  <c r="F15" i="10"/>
  <c r="F25" i="10" s="1"/>
  <c r="G15" i="10"/>
  <c r="G25" i="10" s="1"/>
  <c r="H15" i="10"/>
  <c r="H25" i="10" s="1"/>
  <c r="I15" i="10"/>
  <c r="I25" i="10" s="1"/>
  <c r="J15" i="10"/>
  <c r="J25" i="10" s="1"/>
  <c r="K15" i="10"/>
  <c r="K25" i="10" s="1"/>
  <c r="L15" i="10"/>
  <c r="L25" i="10" s="1"/>
  <c r="M15" i="10"/>
  <c r="M25" i="10" s="1"/>
  <c r="N15" i="10"/>
  <c r="N25" i="10" s="1"/>
  <c r="O15" i="10"/>
  <c r="O25" i="10" s="1"/>
  <c r="D15" i="10"/>
  <c r="D25" i="10" s="1"/>
  <c r="P23" i="10"/>
  <c r="P21" i="10"/>
  <c r="P18" i="10"/>
  <c r="P17" i="10"/>
  <c r="P14" i="10"/>
  <c r="P13" i="10"/>
  <c r="P15" i="10" s="1"/>
  <c r="P11" i="10"/>
  <c r="P9" i="10"/>
  <c r="E50" i="9"/>
  <c r="F50" i="9"/>
  <c r="G50" i="9"/>
  <c r="H50" i="9"/>
  <c r="I50" i="9"/>
  <c r="J50" i="9"/>
  <c r="K50" i="9"/>
  <c r="L50" i="9"/>
  <c r="M50" i="9"/>
  <c r="N50" i="9"/>
  <c r="O50" i="9"/>
  <c r="D50" i="9"/>
  <c r="E46" i="9"/>
  <c r="E56" i="9" s="1"/>
  <c r="F46" i="9"/>
  <c r="F56" i="9" s="1"/>
  <c r="G46" i="9"/>
  <c r="G56" i="9" s="1"/>
  <c r="H46" i="9"/>
  <c r="H56" i="9" s="1"/>
  <c r="I46" i="9"/>
  <c r="I56" i="9" s="1"/>
  <c r="J46" i="9"/>
  <c r="J56" i="9" s="1"/>
  <c r="K46" i="9"/>
  <c r="K56" i="9" s="1"/>
  <c r="L46" i="9"/>
  <c r="L56" i="9" s="1"/>
  <c r="M46" i="9"/>
  <c r="M56" i="9" s="1"/>
  <c r="N46" i="9"/>
  <c r="N56" i="9" s="1"/>
  <c r="O46" i="9"/>
  <c r="O56" i="9" s="1"/>
  <c r="D46" i="9"/>
  <c r="D56" i="9" s="1"/>
  <c r="P54" i="9"/>
  <c r="P52" i="9"/>
  <c r="P49" i="9"/>
  <c r="P48" i="9"/>
  <c r="P45" i="9"/>
  <c r="P44" i="9"/>
  <c r="P42" i="9"/>
  <c r="P40" i="9"/>
  <c r="P23" i="9"/>
  <c r="P21" i="9"/>
  <c r="P18" i="9"/>
  <c r="P17" i="9"/>
  <c r="P14" i="9"/>
  <c r="P13" i="9"/>
  <c r="P11" i="9"/>
  <c r="P9" i="9"/>
  <c r="E50" i="8"/>
  <c r="F50" i="8"/>
  <c r="G50" i="8"/>
  <c r="H50" i="8"/>
  <c r="I50" i="8"/>
  <c r="J50" i="8"/>
  <c r="K50" i="8"/>
  <c r="L50" i="8"/>
  <c r="M50" i="8"/>
  <c r="N50" i="8"/>
  <c r="O50" i="8"/>
  <c r="E46" i="8"/>
  <c r="F46" i="8"/>
  <c r="G46" i="8"/>
  <c r="H46" i="8"/>
  <c r="I46" i="8"/>
  <c r="J46" i="8"/>
  <c r="K46" i="8"/>
  <c r="L46" i="8"/>
  <c r="M46" i="8"/>
  <c r="N46" i="8"/>
  <c r="O46" i="8"/>
  <c r="D56" i="8"/>
  <c r="D56" i="12" l="1"/>
  <c r="P46" i="10"/>
  <c r="P46" i="9"/>
  <c r="M56" i="8"/>
  <c r="I56" i="8"/>
  <c r="E56" i="8"/>
  <c r="L56" i="8"/>
  <c r="H56" i="8"/>
  <c r="P19" i="12"/>
  <c r="I56" i="10"/>
  <c r="O56" i="8"/>
  <c r="G56" i="8"/>
  <c r="N56" i="8"/>
  <c r="N61" i="8" s="1"/>
  <c r="J56" i="8"/>
  <c r="F56" i="8"/>
  <c r="K56" i="8"/>
  <c r="O56" i="12"/>
  <c r="P50" i="12"/>
  <c r="P46" i="12"/>
  <c r="P15" i="12"/>
  <c r="P50" i="10"/>
  <c r="P19" i="10"/>
  <c r="P50" i="9"/>
  <c r="P19" i="9"/>
  <c r="P15" i="9"/>
  <c r="O25" i="12"/>
  <c r="P25" i="8"/>
  <c r="O59" i="12"/>
  <c r="N59" i="12"/>
  <c r="M59" i="12"/>
  <c r="L59" i="12"/>
  <c r="K59" i="12"/>
  <c r="J59" i="12"/>
  <c r="J61" i="12" s="1"/>
  <c r="I59" i="12"/>
  <c r="I61" i="12" s="1"/>
  <c r="H59" i="12"/>
  <c r="H61" i="12" s="1"/>
  <c r="G59" i="12"/>
  <c r="F59" i="12"/>
  <c r="F61" i="12" s="1"/>
  <c r="E59" i="12"/>
  <c r="E61" i="12" s="1"/>
  <c r="D59" i="12"/>
  <c r="P58" i="12"/>
  <c r="P59" i="12" s="1"/>
  <c r="N61" i="12"/>
  <c r="M61" i="12"/>
  <c r="L61" i="12"/>
  <c r="O59" i="10"/>
  <c r="N59" i="10"/>
  <c r="M59" i="10"/>
  <c r="L59" i="10"/>
  <c r="K59" i="10"/>
  <c r="J59" i="10"/>
  <c r="I59" i="10"/>
  <c r="H59" i="10"/>
  <c r="G59" i="10"/>
  <c r="F59" i="10"/>
  <c r="E59" i="10"/>
  <c r="D59" i="10"/>
  <c r="P58" i="10"/>
  <c r="P59" i="10" s="1"/>
  <c r="O59" i="9"/>
  <c r="N59" i="9"/>
  <c r="N61" i="9" s="1"/>
  <c r="M59" i="9"/>
  <c r="L59" i="9"/>
  <c r="L61" i="9" s="1"/>
  <c r="K59" i="9"/>
  <c r="J59" i="9"/>
  <c r="J61" i="9" s="1"/>
  <c r="I59" i="9"/>
  <c r="H59" i="9"/>
  <c r="G59" i="9"/>
  <c r="G61" i="9" s="1"/>
  <c r="F59" i="9"/>
  <c r="F61" i="9" s="1"/>
  <c r="E59" i="9"/>
  <c r="D59" i="9"/>
  <c r="P58" i="9"/>
  <c r="P59" i="9" s="1"/>
  <c r="O61" i="9"/>
  <c r="K61" i="9"/>
  <c r="H61" i="9"/>
  <c r="O59" i="8"/>
  <c r="N59" i="8"/>
  <c r="M59" i="8"/>
  <c r="M61" i="8" s="1"/>
  <c r="L59" i="8"/>
  <c r="K59" i="8"/>
  <c r="J59" i="8"/>
  <c r="I59" i="8"/>
  <c r="I61" i="8" s="1"/>
  <c r="H59" i="8"/>
  <c r="G59" i="8"/>
  <c r="F59" i="8"/>
  <c r="E59" i="8"/>
  <c r="D59" i="8"/>
  <c r="P58" i="8"/>
  <c r="P59" i="8" s="1"/>
  <c r="F61" i="8" l="1"/>
  <c r="J61" i="8"/>
  <c r="E61" i="8"/>
  <c r="G61" i="12"/>
  <c r="K61" i="12"/>
  <c r="O61" i="12"/>
  <c r="E61" i="10"/>
  <c r="I61" i="10"/>
  <c r="M61" i="10"/>
  <c r="F61" i="10"/>
  <c r="J61" i="10"/>
  <c r="N61" i="10"/>
  <c r="G61" i="10"/>
  <c r="K61" i="10"/>
  <c r="O61" i="10"/>
  <c r="H61" i="10"/>
  <c r="L61" i="10"/>
  <c r="E61" i="9"/>
  <c r="I61" i="9"/>
  <c r="M61" i="9"/>
  <c r="H61" i="8"/>
  <c r="L61" i="8"/>
  <c r="G61" i="8"/>
  <c r="K61" i="8"/>
  <c r="O61" i="8"/>
  <c r="O28" i="9"/>
  <c r="N28" i="9"/>
  <c r="M28" i="9"/>
  <c r="L28" i="9"/>
  <c r="K28" i="9"/>
  <c r="J28" i="9"/>
  <c r="I28" i="9"/>
  <c r="H28" i="9"/>
  <c r="G28" i="9"/>
  <c r="F28" i="9"/>
  <c r="E28" i="9"/>
  <c r="D28" i="9"/>
  <c r="P27" i="9"/>
  <c r="O19" i="9"/>
  <c r="N19" i="9"/>
  <c r="M19" i="9"/>
  <c r="L19" i="9"/>
  <c r="K19" i="9"/>
  <c r="J19" i="9"/>
  <c r="I19" i="9"/>
  <c r="H19" i="9"/>
  <c r="G19" i="9"/>
  <c r="F19" i="9"/>
  <c r="E19" i="9"/>
  <c r="D19" i="9"/>
  <c r="O15" i="9"/>
  <c r="N15" i="9"/>
  <c r="M15" i="9"/>
  <c r="M25" i="9" s="1"/>
  <c r="L15" i="9"/>
  <c r="L25" i="9" s="1"/>
  <c r="K15" i="9"/>
  <c r="J15" i="9"/>
  <c r="I15" i="9"/>
  <c r="I25" i="9" s="1"/>
  <c r="H15" i="9"/>
  <c r="H25" i="9" s="1"/>
  <c r="G15" i="9"/>
  <c r="G25" i="9" s="1"/>
  <c r="F15" i="9"/>
  <c r="E15" i="9"/>
  <c r="E25" i="9" s="1"/>
  <c r="D15" i="9"/>
  <c r="D25" i="9" s="1"/>
  <c r="O28" i="12"/>
  <c r="O30" i="12" s="1"/>
  <c r="N28" i="12"/>
  <c r="M28" i="12"/>
  <c r="L28" i="12"/>
  <c r="L30" i="12" s="1"/>
  <c r="K28" i="12"/>
  <c r="K30" i="12" s="1"/>
  <c r="J28" i="12"/>
  <c r="I28" i="12"/>
  <c r="H28" i="12"/>
  <c r="H30" i="12" s="1"/>
  <c r="G28" i="12"/>
  <c r="G30" i="12" s="1"/>
  <c r="F28" i="12"/>
  <c r="E28" i="12"/>
  <c r="D28" i="12"/>
  <c r="P27" i="12"/>
  <c r="P28" i="12" s="1"/>
  <c r="F25" i="9" l="1"/>
  <c r="J25" i="9"/>
  <c r="J30" i="9" s="1"/>
  <c r="N25" i="9"/>
  <c r="N30" i="9" s="1"/>
  <c r="K25" i="9"/>
  <c r="K30" i="9" s="1"/>
  <c r="O25" i="9"/>
  <c r="O30" i="9" s="1"/>
  <c r="D61" i="12"/>
  <c r="P61" i="12" s="1"/>
  <c r="P56" i="12"/>
  <c r="F30" i="12"/>
  <c r="J30" i="12"/>
  <c r="N30" i="12"/>
  <c r="E30" i="12"/>
  <c r="I30" i="12"/>
  <c r="M30" i="12"/>
  <c r="D61" i="10"/>
  <c r="P61" i="10" s="1"/>
  <c r="P56" i="10"/>
  <c r="D61" i="9"/>
  <c r="P61" i="9" s="1"/>
  <c r="P56" i="9"/>
  <c r="G30" i="9"/>
  <c r="E30" i="9"/>
  <c r="I30" i="9"/>
  <c r="M30" i="9"/>
  <c r="P28" i="9"/>
  <c r="H30" i="9"/>
  <c r="L30" i="9"/>
  <c r="D61" i="8"/>
  <c r="P61" i="8" s="1"/>
  <c r="P56" i="8"/>
  <c r="O28" i="10"/>
  <c r="N28" i="10"/>
  <c r="M28" i="10"/>
  <c r="L28" i="10"/>
  <c r="K28" i="10"/>
  <c r="J28" i="10"/>
  <c r="I28" i="10"/>
  <c r="H28" i="10"/>
  <c r="G28" i="10"/>
  <c r="F28" i="10"/>
  <c r="E28" i="10"/>
  <c r="D28" i="10"/>
  <c r="P27" i="10"/>
  <c r="P28" i="10" s="1"/>
  <c r="P25" i="9" l="1"/>
  <c r="F30" i="9"/>
  <c r="D30" i="12"/>
  <c r="P30" i="12" s="1"/>
  <c r="P25" i="12"/>
  <c r="E30" i="10"/>
  <c r="I30" i="10"/>
  <c r="M30" i="10"/>
  <c r="F30" i="10"/>
  <c r="J30" i="10"/>
  <c r="N30" i="10"/>
  <c r="D30" i="9"/>
  <c r="H30" i="10"/>
  <c r="L30" i="10"/>
  <c r="G30" i="10"/>
  <c r="K30" i="10"/>
  <c r="O30" i="10"/>
  <c r="O28" i="8"/>
  <c r="N28" i="8"/>
  <c r="M28" i="8"/>
  <c r="L28" i="8"/>
  <c r="K28" i="8"/>
  <c r="K30" i="8" s="1"/>
  <c r="J28" i="8"/>
  <c r="I28" i="8"/>
  <c r="H28" i="8"/>
  <c r="G28" i="8"/>
  <c r="G30" i="8" s="1"/>
  <c r="F28" i="8"/>
  <c r="E28" i="8"/>
  <c r="D28" i="8"/>
  <c r="P27" i="8"/>
  <c r="P28" i="8" s="1"/>
  <c r="O30" i="8"/>
  <c r="P30" i="9" l="1"/>
  <c r="D30" i="10"/>
  <c r="P30" i="10" s="1"/>
  <c r="P25" i="10"/>
  <c r="F30" i="8"/>
  <c r="J30" i="8"/>
  <c r="N30" i="8"/>
  <c r="H30" i="8"/>
  <c r="I30" i="8"/>
  <c r="L30" i="8"/>
  <c r="E30" i="8"/>
  <c r="M30" i="8"/>
  <c r="D30" i="8"/>
  <c r="P30" i="8" l="1"/>
</calcChain>
</file>

<file path=xl/sharedStrings.xml><?xml version="1.0" encoding="utf-8"?>
<sst xmlns="http://schemas.openxmlformats.org/spreadsheetml/2006/main" count="916" uniqueCount="54">
  <si>
    <t>LINE</t>
  </si>
  <si>
    <t>DESCRIPTION</t>
  </si>
  <si>
    <t>VOLT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</si>
  <si>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</si>
  <si>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</si>
  <si>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</si>
  <si>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</si>
  <si>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</si>
  <si>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</si>
  <si>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</si>
  <si>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</si>
  <si>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</si>
  <si>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</si>
  <si>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</si>
  <si>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</si>
  <si>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1</t>
  </si>
  <si>
    <t>RESIDENTIAL SERVICE</t>
  </si>
  <si>
    <t>SEC</t>
  </si>
  <si>
    <t>SECONDARY &lt;= 10 kW</t>
  </si>
  <si>
    <t>SECONDARY &gt; 10 kW NON-IDR</t>
  </si>
  <si>
    <t>SECONDARY &gt; 10 kW IDR</t>
  </si>
  <si>
    <t xml:space="preserve"> </t>
  </si>
  <si>
    <t>PRIMARY NON-IDR</t>
  </si>
  <si>
    <t>PRI</t>
  </si>
  <si>
    <t>PRIMARY IDR</t>
  </si>
  <si>
    <t>TRANSMISSION IDR</t>
  </si>
  <si>
    <t>TRA</t>
  </si>
  <si>
    <t>LIGHTING</t>
  </si>
  <si>
    <t>SFR (Sale for Re-Sale)</t>
  </si>
  <si>
    <t>TOTAL</t>
  </si>
  <si>
    <t>TOTAL SECONDARY &gt; 10 kW</t>
  </si>
  <si>
    <t>TOTAL PRIMARY</t>
  </si>
  <si>
    <t>Total Retail</t>
  </si>
  <si>
    <t>SFR</t>
  </si>
  <si>
    <t>Total Wholesale</t>
  </si>
  <si>
    <t>AEP TEXAS</t>
  </si>
  <si>
    <t>Total TEX at Source</t>
  </si>
  <si>
    <t>-</t>
  </si>
  <si>
    <t>TEST YEAR ENDING 12/31/2018</t>
  </si>
  <si>
    <t>Adjusted Non-Coincident (Class) Peaks (At Source)</t>
  </si>
  <si>
    <t>Adjusted Non-Coincident (Class) Peaks (At Meter)</t>
  </si>
  <si>
    <t>PUBLIC UTILITY OF COMMISSION OF TEXAS</t>
  </si>
  <si>
    <t>Adjusted Class Peak Demand (Non-Coincident) (At Source)</t>
  </si>
  <si>
    <t>Adjusted Class Peak Demand (Non-Coincident) (At Meter)</t>
  </si>
  <si>
    <t>Adjusted Coincident Peaks at Time of System Peak  AEP (At Source)</t>
  </si>
  <si>
    <t>Adjusted Coincident Peaks at Time of System Peak AEP  (At Meter)</t>
  </si>
  <si>
    <t>Adjusted Energy Usage (kWh) (At Source)</t>
  </si>
  <si>
    <t>Adjusted Energy Usage (kWh) (At Meter)</t>
  </si>
  <si>
    <t>Adjusted Class Coincidence Factors</t>
  </si>
  <si>
    <t xml:space="preserve">Adjusted Class Load Factors </t>
  </si>
  <si>
    <t>AdjustedClass Coincidence Factors</t>
  </si>
  <si>
    <t>TEST YEAR ENDING 12/31/2015</t>
  </si>
  <si>
    <t>TEST YEAR ENDING 12/31/2016</t>
  </si>
  <si>
    <t>TEST YEAR ENDING 12/31/2017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</si>
</sst>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_(* #,##0_);_(* \(#,##0\);_(* &quot;-&quot;??_);_(@_)"/>
    <numFmt numFmtId="165" formatCode="#,##0.000"/>
    <numFmt numFmtId="166" formatCode="0.000"/>
    <numFmt numFmtId="167" formatCode="_(* #,##0.000_);_(* \(#,##0.000\);_(* &quot;-&quot;??_);_(@_)"/>
    <numFmt numFmtId="168" formatCode="#,##0;[Red]#,##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10"/>
      <color indexed="12"/>
      <name val="Arial"/>
      <family val="2"/>
    </font>
    <font>
      <sz val="10"/>
      <color indexed="8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4" fillId="0" borderId="0" xfId="1" applyNumberFormat="1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2" fillId="0" borderId="0" xfId="0" quotePrefix="1" applyFont="1" applyAlignment="1">
      <alignment horizontal="center"/>
    </xf>
    <xf numFmtId="165" fontId="2" fillId="0" borderId="0" xfId="1" applyNumberFormat="1" applyFont="1"/>
    <xf numFmtId="166" fontId="2" fillId="0" borderId="0" xfId="0" applyNumberFormat="1" applyFont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165" fontId="2" fillId="0" borderId="0" xfId="1" applyNumberFormat="1" applyFont="1" applyBorder="1"/>
    <xf numFmtId="0" fontId="2" fillId="0" borderId="0" xfId="0" quotePrefix="1" applyFont="1" applyFill="1" applyAlignment="1">
      <alignment horizontal="center"/>
    </xf>
    <xf numFmtId="0" fontId="2" fillId="0" borderId="0" xfId="0" applyFont="1" applyFill="1" applyBorder="1"/>
    <xf numFmtId="0" fontId="2" fillId="0" borderId="0" xfId="0" applyFont="1" applyFill="1"/>
    <xf numFmtId="0" fontId="2" fillId="0" borderId="0" xfId="0" applyFont="1" applyFill="1" applyAlignment="1">
      <alignment horizontal="center"/>
    </xf>
    <xf numFmtId="165" fontId="5" fillId="0" borderId="0" xfId="1" applyNumberFormat="1" applyFont="1" applyBorder="1"/>
    <xf numFmtId="0" fontId="3" fillId="0" borderId="0" xfId="0" applyFont="1" applyBorder="1" applyAlignment="1">
      <alignment horizontal="center"/>
    </xf>
    <xf numFmtId="165" fontId="6" fillId="0" borderId="0" xfId="1" applyNumberFormat="1" applyFont="1" applyBorder="1"/>
    <xf numFmtId="0" fontId="3" fillId="0" borderId="0" xfId="0" applyFont="1" applyAlignment="1">
      <alignment horizontal="center"/>
    </xf>
    <xf numFmtId="43" fontId="2" fillId="0" borderId="0" xfId="1" applyFont="1" applyFill="1" applyBorder="1"/>
    <xf numFmtId="165" fontId="2" fillId="0" borderId="0" xfId="1" applyNumberFormat="1" applyFont="1" applyAlignment="1">
      <alignment horizontal="center"/>
    </xf>
    <xf numFmtId="167" fontId="0" fillId="0" borderId="0" xfId="1" applyNumberFormat="1" applyFont="1"/>
    <xf numFmtId="167" fontId="2" fillId="0" borderId="0" xfId="1" applyNumberFormat="1" applyFont="1"/>
    <xf numFmtId="167" fontId="5" fillId="0" borderId="0" xfId="1" applyNumberFormat="1" applyFont="1"/>
    <xf numFmtId="167" fontId="5" fillId="0" borderId="0" xfId="1" applyNumberFormat="1" applyFont="1" applyFill="1"/>
    <xf numFmtId="167" fontId="2" fillId="0" borderId="0" xfId="1" applyNumberFormat="1" applyFont="1" applyFill="1"/>
    <xf numFmtId="167" fontId="2" fillId="0" borderId="0" xfId="1" applyNumberFormat="1" applyFont="1" applyBorder="1"/>
    <xf numFmtId="167" fontId="5" fillId="0" borderId="0" xfId="1" applyNumberFormat="1" applyFont="1" applyBorder="1"/>
    <xf numFmtId="167" fontId="5" fillId="0" borderId="0" xfId="1" applyNumberFormat="1" applyFont="1" applyFill="1" applyBorder="1"/>
    <xf numFmtId="43" fontId="2" fillId="0" borderId="0" xfId="1" applyFont="1" applyFill="1" applyBorder="1" applyAlignment="1">
      <alignment horizontal="center"/>
    </xf>
    <xf numFmtId="43" fontId="5" fillId="0" borderId="0" xfId="1" applyFont="1" applyFill="1" applyBorder="1"/>
    <xf numFmtId="43" fontId="3" fillId="0" borderId="0" xfId="1" applyFont="1" applyFill="1" applyBorder="1" applyAlignment="1">
      <alignment horizontal="center"/>
    </xf>
    <xf numFmtId="43" fontId="5" fillId="0" borderId="1" xfId="1" applyFont="1" applyFill="1" applyBorder="1"/>
    <xf numFmtId="43" fontId="4" fillId="0" borderId="0" xfId="1" applyFont="1" applyFill="1" applyBorder="1" applyAlignment="1">
      <alignment horizontal="right"/>
    </xf>
    <xf numFmtId="43" fontId="0" fillId="0" borderId="0" xfId="1" applyFont="1" applyFill="1" applyBorder="1"/>
    <xf numFmtId="43" fontId="2" fillId="0" borderId="0" xfId="1" applyFont="1" applyFill="1" applyBorder="1" applyAlignment="1">
      <alignment horizontal="centerContinuous"/>
    </xf>
    <xf numFmtId="0" fontId="3" fillId="0" borderId="0" xfId="1" applyNumberFormat="1" applyFont="1" applyFill="1" applyBorder="1" applyAlignment="1">
      <alignment horizontal="center"/>
    </xf>
    <xf numFmtId="43" fontId="4" fillId="0" borderId="0" xfId="1" applyFont="1" applyFill="1" applyBorder="1" applyAlignment="1">
      <alignment horizontal="center"/>
    </xf>
    <xf numFmtId="43" fontId="2" fillId="0" borderId="0" xfId="1" quotePrefix="1" applyFont="1" applyFill="1" applyBorder="1" applyAlignment="1">
      <alignment horizontal="center"/>
    </xf>
    <xf numFmtId="43" fontId="5" fillId="0" borderId="2" xfId="1" applyFont="1" applyFill="1" applyBorder="1"/>
    <xf numFmtId="43" fontId="5" fillId="0" borderId="3" xfId="1" applyFont="1" applyFill="1" applyBorder="1"/>
    <xf numFmtId="43" fontId="5" fillId="0" borderId="4" xfId="1" applyFont="1" applyFill="1" applyBorder="1"/>
    <xf numFmtId="37" fontId="4" fillId="0" borderId="0" xfId="1" applyNumberFormat="1" applyFont="1" applyFill="1" applyBorder="1" applyAlignment="1">
      <alignment horizontal="right"/>
    </xf>
    <xf numFmtId="0" fontId="0" fillId="0" borderId="0" xfId="0" applyFill="1" applyBorder="1"/>
    <xf numFmtId="164" fontId="5" fillId="0" borderId="2" xfId="1" applyNumberFormat="1" applyFont="1" applyFill="1" applyBorder="1"/>
    <xf numFmtId="164" fontId="5" fillId="0" borderId="3" xfId="1" applyNumberFormat="1" applyFont="1" applyFill="1" applyBorder="1"/>
    <xf numFmtId="164" fontId="5" fillId="0" borderId="0" xfId="1" applyNumberFormat="1" applyFont="1" applyFill="1" applyBorder="1"/>
    <xf numFmtId="164" fontId="5" fillId="0" borderId="1" xfId="1" applyNumberFormat="1" applyFont="1" applyFill="1" applyBorder="1"/>
    <xf numFmtId="164" fontId="5" fillId="0" borderId="4" xfId="1" applyNumberFormat="1" applyFont="1" applyFill="1" applyBorder="1"/>
    <xf numFmtId="164" fontId="7" fillId="0" borderId="0" xfId="1" applyNumberFormat="1" applyFont="1" applyFill="1" applyBorder="1" applyAlignment="1">
      <alignment horizontal="right"/>
    </xf>
    <xf numFmtId="164" fontId="2" fillId="0" borderId="0" xfId="1" applyNumberFormat="1" applyFont="1" applyFill="1" applyBorder="1"/>
    <xf numFmtId="164" fontId="7" fillId="0" borderId="1" xfId="1" applyNumberFormat="1" applyFont="1" applyFill="1" applyBorder="1" applyAlignment="1">
      <alignment horizontal="right"/>
    </xf>
    <xf numFmtId="164" fontId="2" fillId="0" borderId="1" xfId="1" applyNumberFormat="1" applyFont="1" applyFill="1" applyBorder="1"/>
    <xf numFmtId="164" fontId="6" fillId="0" borderId="1" xfId="1" applyNumberFormat="1" applyFont="1" applyFill="1" applyBorder="1"/>
    <xf numFmtId="168" fontId="7" fillId="0" borderId="0" xfId="1" applyNumberFormat="1" applyFont="1" applyFill="1" applyBorder="1" applyAlignment="1">
      <alignment horizontal="right"/>
    </xf>
    <xf numFmtId="0" fontId="3" fillId="0" borderId="0" xfId="0" applyFont="1" applyFill="1" applyBorder="1" applyAlignment="1">
      <alignment horizontal="center"/>
    </xf>
    <xf numFmtId="43" fontId="4" fillId="0" borderId="0" xfId="1" applyFont="1" applyFill="1" applyBorder="1" applyAlignment="1">
      <alignment horizontal="center"/>
    </xf>
    <xf numFmtId="43" fontId="3" fillId="0" borderId="0" xfId="1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61"/>
  <sheetViews>
    <sheetView tabSelected="1" topLeftCell="C1" zoomScale="90" zoomScaleNormal="90" workbookViewId="0">
      <selection activeCell="D6" sqref="D6"/>
    </sheetView>
  </sheetViews>
  <sheetFormatPr defaultColWidth="9.1796875" defaultRowHeight="14.5" x14ac:dyDescent="0.35"/>
  <cols>
    <col min="1" max="1" width="7.26953125" style="35" bestFit="1" customWidth="1"/>
    <col min="2" max="2" width="31.1796875" style="35" bestFit="1" customWidth="1"/>
    <col min="3" max="3" width="7.26953125" style="35" bestFit="1" customWidth="1"/>
    <col min="4" max="15" width="15" style="35" bestFit="1" customWidth="1"/>
    <col min="16" max="16" width="16.1796875" style="35" bestFit="1" customWidth="1"/>
    <col min="17" max="16384" width="9.1796875" style="35"/>
  </cols>
  <sheetData>
    <row r="1" spans="1:17" s="44" customFormat="1" x14ac:dyDescent="0.35">
      <c r="A1" s="13"/>
      <c r="B1" s="56" t="s">
        <v>41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43"/>
    </row>
    <row r="2" spans="1:17" x14ac:dyDescent="0.35">
      <c r="A2" s="20"/>
      <c r="B2" s="58" t="s">
        <v>35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34"/>
    </row>
    <row r="3" spans="1:17" x14ac:dyDescent="0.35">
      <c r="A3" s="20"/>
      <c r="B3" s="58" t="s">
        <v>39</v>
      </c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36" t="s">
        <v>21</v>
      </c>
    </row>
    <row r="4" spans="1:17" x14ac:dyDescent="0.35">
      <c r="A4" s="20"/>
      <c r="B4" s="59" t="s">
        <v>38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20" t="s">
        <v>21</v>
      </c>
    </row>
    <row r="5" spans="1:17" x14ac:dyDescent="0.35">
      <c r="A5" s="20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20"/>
    </row>
    <row r="6" spans="1:17" x14ac:dyDescent="0.35">
      <c r="A6" s="20"/>
      <c r="B6" s="32"/>
      <c r="C6" s="32"/>
      <c r="D6" s="37">
        <v>2018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20"/>
      <c r="Q6" s="20"/>
    </row>
    <row r="7" spans="1:17" x14ac:dyDescent="0.35">
      <c r="A7" s="32" t="s">
        <v>0</v>
      </c>
      <c r="B7" s="32" t="s">
        <v>1</v>
      </c>
      <c r="C7" s="32" t="s">
        <v>2</v>
      </c>
      <c r="D7" s="38" t="s">
        <v>9</v>
      </c>
      <c r="E7" s="38" t="s">
        <v>10</v>
      </c>
      <c r="F7" s="38" t="s">
        <v>11</v>
      </c>
      <c r="G7" s="38" t="s">
        <v>12</v>
      </c>
      <c r="H7" s="38" t="s">
        <v>13</v>
      </c>
      <c r="I7" s="38" t="s">
        <v>14</v>
      </c>
      <c r="J7" s="38" t="s">
        <v>3</v>
      </c>
      <c r="K7" s="38" t="s">
        <v>4</v>
      </c>
      <c r="L7" s="38" t="s">
        <v>5</v>
      </c>
      <c r="M7" s="38" t="s">
        <v>6</v>
      </c>
      <c r="N7" s="38" t="s">
        <v>7</v>
      </c>
      <c r="O7" s="38" t="s">
        <v>8</v>
      </c>
      <c r="P7" s="38" t="s">
        <v>29</v>
      </c>
      <c r="Q7" s="20"/>
    </row>
    <row r="8" spans="1:17" x14ac:dyDescent="0.35">
      <c r="A8" s="20"/>
      <c r="B8" s="32"/>
      <c r="C8" s="32"/>
      <c r="D8" s="38"/>
      <c r="E8" s="38"/>
      <c r="F8" s="32"/>
      <c r="G8" s="38"/>
      <c r="H8" s="38"/>
      <c r="I8" s="38"/>
      <c r="J8" s="38"/>
      <c r="K8" s="38"/>
      <c r="L8" s="38"/>
      <c r="M8" s="38"/>
      <c r="N8" s="38"/>
      <c r="O8" s="38"/>
      <c r="P8" s="32"/>
    </row>
    <row r="9" spans="1:17" x14ac:dyDescent="0.35">
      <c r="A9" s="39" t="s">
        <v>15</v>
      </c>
      <c r="B9" s="20" t="s">
        <v>16</v>
      </c>
      <c r="C9" s="30" t="s">
        <v>17</v>
      </c>
      <c r="D9" s="50">
        <v>7341864.4567563701</v>
      </c>
      <c r="E9" s="50">
        <v>7296491.3926177463</v>
      </c>
      <c r="F9" s="50">
        <v>5248676.1007306771</v>
      </c>
      <c r="G9" s="50">
        <v>5371404.2877689721</v>
      </c>
      <c r="H9" s="50">
        <v>4225465.2691534488</v>
      </c>
      <c r="I9" s="50">
        <v>5260890.1224049553</v>
      </c>
      <c r="J9" s="50">
        <v>5545195.311017992</v>
      </c>
      <c r="K9" s="50">
        <v>5621000.0051233126</v>
      </c>
      <c r="L9" s="50">
        <v>6486840.8018369442</v>
      </c>
      <c r="M9" s="50">
        <v>6435481.6358771576</v>
      </c>
      <c r="N9" s="50">
        <v>6376643.6044993326</v>
      </c>
      <c r="O9" s="50">
        <v>6846473.4313638546</v>
      </c>
      <c r="P9" s="45">
        <f>SUM(D9:O9)</f>
        <v>72056426.419150755</v>
      </c>
    </row>
    <row r="10" spans="1:17" x14ac:dyDescent="0.35">
      <c r="A10" s="39"/>
      <c r="B10" s="20"/>
      <c r="C10" s="3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45"/>
    </row>
    <row r="11" spans="1:17" x14ac:dyDescent="0.35">
      <c r="A11" s="39">
        <v>2</v>
      </c>
      <c r="B11" s="20" t="s">
        <v>18</v>
      </c>
      <c r="C11" s="30" t="s">
        <v>17</v>
      </c>
      <c r="D11" s="50">
        <v>457769.86298335146</v>
      </c>
      <c r="E11" s="50">
        <v>443953.73734315176</v>
      </c>
      <c r="F11" s="50">
        <v>382271.70756643545</v>
      </c>
      <c r="G11" s="50">
        <v>416577.86501752847</v>
      </c>
      <c r="H11" s="50">
        <v>365209.44219036261</v>
      </c>
      <c r="I11" s="50">
        <v>398062.43153927044</v>
      </c>
      <c r="J11" s="50">
        <v>394094.41461100872</v>
      </c>
      <c r="K11" s="50">
        <v>394616.06441752322</v>
      </c>
      <c r="L11" s="50">
        <v>453730.48208898073</v>
      </c>
      <c r="M11" s="50">
        <v>420386.90385485842</v>
      </c>
      <c r="N11" s="50">
        <v>425900.41708114103</v>
      </c>
      <c r="O11" s="50">
        <v>404484.10996516026</v>
      </c>
      <c r="P11" s="45">
        <f>SUM(D11:O11)</f>
        <v>4957057.438658773</v>
      </c>
    </row>
    <row r="12" spans="1:17" x14ac:dyDescent="0.35">
      <c r="A12" s="39"/>
      <c r="B12" s="20"/>
      <c r="C12" s="3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45"/>
    </row>
    <row r="13" spans="1:17" x14ac:dyDescent="0.35">
      <c r="A13" s="39">
        <v>3</v>
      </c>
      <c r="B13" s="20" t="s">
        <v>19</v>
      </c>
      <c r="C13" s="30" t="s">
        <v>17</v>
      </c>
      <c r="D13" s="50">
        <v>2604415.5263682064</v>
      </c>
      <c r="E13" s="50">
        <v>2403834.1969732926</v>
      </c>
      <c r="F13" s="50">
        <v>2004943.3176108007</v>
      </c>
      <c r="G13" s="50">
        <v>2223808.2791011487</v>
      </c>
      <c r="H13" s="50">
        <v>2137501.21496777</v>
      </c>
      <c r="I13" s="50">
        <v>2443723.7901074314</v>
      </c>
      <c r="J13" s="50">
        <v>2422214.9181400221</v>
      </c>
      <c r="K13" s="50">
        <v>2496365.0677313437</v>
      </c>
      <c r="L13" s="50">
        <v>2751607.0075288182</v>
      </c>
      <c r="M13" s="50">
        <v>2547390.6628933656</v>
      </c>
      <c r="N13" s="50">
        <v>2575986.1472271751</v>
      </c>
      <c r="O13" s="50">
        <v>2305699.8038243791</v>
      </c>
      <c r="P13" s="45">
        <f>SUM(D13:O13)</f>
        <v>28917489.932473756</v>
      </c>
    </row>
    <row r="14" spans="1:17" ht="15" thickBot="1" x14ac:dyDescent="0.4">
      <c r="A14" s="39">
        <v>4</v>
      </c>
      <c r="B14" s="20" t="s">
        <v>20</v>
      </c>
      <c r="C14" s="30" t="s">
        <v>17</v>
      </c>
      <c r="D14" s="52">
        <v>259215.84687911751</v>
      </c>
      <c r="E14" s="52">
        <v>247444.9106988119</v>
      </c>
      <c r="F14" s="52">
        <v>222271.24465563928</v>
      </c>
      <c r="G14" s="52">
        <v>228359.07227927214</v>
      </c>
      <c r="H14" s="52">
        <v>223812.71743174549</v>
      </c>
      <c r="I14" s="52">
        <v>231069.50337911327</v>
      </c>
      <c r="J14" s="52">
        <v>264518.12754265778</v>
      </c>
      <c r="K14" s="52">
        <v>242141.91981898641</v>
      </c>
      <c r="L14" s="52">
        <v>306958.22542601998</v>
      </c>
      <c r="M14" s="52">
        <v>286818.91816068441</v>
      </c>
      <c r="N14" s="52">
        <v>292663.24494803557</v>
      </c>
      <c r="O14" s="52">
        <v>256608.15080260424</v>
      </c>
      <c r="P14" s="46">
        <f>SUM(D14:O14)</f>
        <v>3061881.8820226882</v>
      </c>
    </row>
    <row r="15" spans="1:17" ht="15" thickTop="1" x14ac:dyDescent="0.35">
      <c r="A15" s="39">
        <v>5</v>
      </c>
      <c r="B15" s="20" t="s">
        <v>30</v>
      </c>
      <c r="C15" s="30" t="s">
        <v>17</v>
      </c>
      <c r="D15" s="47">
        <f>SUM(D13:D14)</f>
        <v>2863631.373247324</v>
      </c>
      <c r="E15" s="47">
        <f t="shared" ref="E15:O15" si="0">SUM(E13:E14)</f>
        <v>2651279.1076721046</v>
      </c>
      <c r="F15" s="47">
        <f t="shared" si="0"/>
        <v>2227214.5622664401</v>
      </c>
      <c r="G15" s="47">
        <f t="shared" si="0"/>
        <v>2452167.3513804208</v>
      </c>
      <c r="H15" s="47">
        <f t="shared" si="0"/>
        <v>2361313.9323995155</v>
      </c>
      <c r="I15" s="47">
        <f t="shared" si="0"/>
        <v>2674793.2934865449</v>
      </c>
      <c r="J15" s="47">
        <f t="shared" si="0"/>
        <v>2686733.0456826799</v>
      </c>
      <c r="K15" s="47">
        <f t="shared" si="0"/>
        <v>2738506.9875503299</v>
      </c>
      <c r="L15" s="47">
        <f t="shared" si="0"/>
        <v>3058565.2329548383</v>
      </c>
      <c r="M15" s="47">
        <f t="shared" si="0"/>
        <v>2834209.58105405</v>
      </c>
      <c r="N15" s="47">
        <f t="shared" si="0"/>
        <v>2868649.3921752106</v>
      </c>
      <c r="O15" s="47">
        <f t="shared" si="0"/>
        <v>2562307.9546269835</v>
      </c>
      <c r="P15" s="45">
        <f>SUM(P13:P14)</f>
        <v>31979371.814496443</v>
      </c>
    </row>
    <row r="16" spans="1:17" x14ac:dyDescent="0.35">
      <c r="A16" s="39"/>
      <c r="B16" s="20"/>
      <c r="C16" s="3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47"/>
    </row>
    <row r="17" spans="1:16" x14ac:dyDescent="0.35">
      <c r="A17" s="39">
        <v>6</v>
      </c>
      <c r="B17" s="20" t="s">
        <v>22</v>
      </c>
      <c r="C17" s="30" t="s">
        <v>23</v>
      </c>
      <c r="D17" s="50">
        <v>60572.057125138628</v>
      </c>
      <c r="E17" s="50">
        <v>62769.90981178861</v>
      </c>
      <c r="F17" s="50">
        <v>49614.118989205002</v>
      </c>
      <c r="G17" s="50">
        <v>63342.851836622402</v>
      </c>
      <c r="H17" s="50">
        <v>72419.680664866086</v>
      </c>
      <c r="I17" s="50">
        <v>60031.366902927512</v>
      </c>
      <c r="J17" s="50">
        <v>69399.173939851651</v>
      </c>
      <c r="K17" s="50">
        <v>75589.172455446096</v>
      </c>
      <c r="L17" s="50">
        <v>66605.296075106744</v>
      </c>
      <c r="M17" s="50">
        <v>79073.79526054395</v>
      </c>
      <c r="N17" s="50">
        <v>85166.581345987885</v>
      </c>
      <c r="O17" s="50">
        <v>72093.026275313765</v>
      </c>
      <c r="P17" s="45">
        <f>SUM(D17:O17)</f>
        <v>816677.03068279836</v>
      </c>
    </row>
    <row r="18" spans="1:16" ht="15" thickBot="1" x14ac:dyDescent="0.4">
      <c r="A18" s="39">
        <v>7</v>
      </c>
      <c r="B18" s="20" t="s">
        <v>24</v>
      </c>
      <c r="C18" s="30" t="s">
        <v>23</v>
      </c>
      <c r="D18" s="52">
        <v>668127.93558979454</v>
      </c>
      <c r="E18" s="52">
        <v>684022.45592776884</v>
      </c>
      <c r="F18" s="52">
        <v>708523.71364912577</v>
      </c>
      <c r="G18" s="52">
        <v>707790.06140728761</v>
      </c>
      <c r="H18" s="52">
        <v>761528.66980997962</v>
      </c>
      <c r="I18" s="52">
        <v>769723.45691117074</v>
      </c>
      <c r="J18" s="52">
        <v>771379.12497589213</v>
      </c>
      <c r="K18" s="52">
        <v>778557.36666135432</v>
      </c>
      <c r="L18" s="52">
        <v>773306.55661967897</v>
      </c>
      <c r="M18" s="52">
        <v>776641.11531885329</v>
      </c>
      <c r="N18" s="52">
        <v>743464.38793825416</v>
      </c>
      <c r="O18" s="52">
        <v>711204.36278125388</v>
      </c>
      <c r="P18" s="46">
        <f>SUM(D18:O18)</f>
        <v>8854269.2075904142</v>
      </c>
    </row>
    <row r="19" spans="1:16" ht="15" thickTop="1" x14ac:dyDescent="0.35">
      <c r="A19" s="39">
        <v>8</v>
      </c>
      <c r="B19" s="20" t="s">
        <v>31</v>
      </c>
      <c r="C19" s="30" t="s">
        <v>23</v>
      </c>
      <c r="D19" s="47">
        <f>SUM(D17:D18)</f>
        <v>728699.99271493312</v>
      </c>
      <c r="E19" s="47">
        <f t="shared" ref="E19:O19" si="1">SUM(E17:E18)</f>
        <v>746792.36573955743</v>
      </c>
      <c r="F19" s="47">
        <f t="shared" si="1"/>
        <v>758137.83263833076</v>
      </c>
      <c r="G19" s="47">
        <f t="shared" si="1"/>
        <v>771132.91324391006</v>
      </c>
      <c r="H19" s="47">
        <f t="shared" si="1"/>
        <v>833948.35047484573</v>
      </c>
      <c r="I19" s="47">
        <f t="shared" si="1"/>
        <v>829754.82381409826</v>
      </c>
      <c r="J19" s="47">
        <f t="shared" si="1"/>
        <v>840778.29891574383</v>
      </c>
      <c r="K19" s="47">
        <f t="shared" si="1"/>
        <v>854146.53911680041</v>
      </c>
      <c r="L19" s="47">
        <f t="shared" si="1"/>
        <v>839911.85269478569</v>
      </c>
      <c r="M19" s="47">
        <f t="shared" si="1"/>
        <v>855714.91057939723</v>
      </c>
      <c r="N19" s="47">
        <f t="shared" si="1"/>
        <v>828630.96928424202</v>
      </c>
      <c r="O19" s="47">
        <f t="shared" si="1"/>
        <v>783297.38905656768</v>
      </c>
      <c r="P19" s="45">
        <f>SUM(P17:P18)</f>
        <v>9670946.2382732127</v>
      </c>
    </row>
    <row r="20" spans="1:16" x14ac:dyDescent="0.35">
      <c r="A20" s="39"/>
      <c r="B20" s="20"/>
      <c r="C20" s="3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47"/>
    </row>
    <row r="21" spans="1:16" x14ac:dyDescent="0.35">
      <c r="A21" s="39">
        <v>9</v>
      </c>
      <c r="B21" s="20" t="s">
        <v>25</v>
      </c>
      <c r="C21" s="30" t="s">
        <v>26</v>
      </c>
      <c r="D21" s="50">
        <v>915354.51477608248</v>
      </c>
      <c r="E21" s="50">
        <v>989927.46984332218</v>
      </c>
      <c r="F21" s="50">
        <v>1126736.3127936823</v>
      </c>
      <c r="G21" s="50">
        <v>1241246.31288525</v>
      </c>
      <c r="H21" s="50">
        <v>1201446.6461474397</v>
      </c>
      <c r="I21" s="50">
        <v>1094312.1962007897</v>
      </c>
      <c r="J21" s="50">
        <v>932212.86537581962</v>
      </c>
      <c r="K21" s="50">
        <v>863478.44121703471</v>
      </c>
      <c r="L21" s="50">
        <v>822782.55278189236</v>
      </c>
      <c r="M21" s="50">
        <v>1108429.5782159774</v>
      </c>
      <c r="N21" s="50">
        <v>976035.46180407726</v>
      </c>
      <c r="O21" s="50">
        <v>1047146.59478016</v>
      </c>
      <c r="P21" s="45">
        <f>SUM(D21:O21)</f>
        <v>12319108.946821528</v>
      </c>
    </row>
    <row r="22" spans="1:16" x14ac:dyDescent="0.35">
      <c r="A22" s="39"/>
      <c r="B22" s="20"/>
      <c r="C22" s="3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47"/>
    </row>
    <row r="23" spans="1:16" x14ac:dyDescent="0.35">
      <c r="A23" s="39">
        <v>10</v>
      </c>
      <c r="B23" s="20" t="s">
        <v>27</v>
      </c>
      <c r="C23" s="30" t="s">
        <v>17</v>
      </c>
      <c r="D23" s="50">
        <v>61390.204763231348</v>
      </c>
      <c r="E23" s="50">
        <v>73934.219429438366</v>
      </c>
      <c r="F23" s="50">
        <v>72246.88527316488</v>
      </c>
      <c r="G23" s="50">
        <v>80778.882748164033</v>
      </c>
      <c r="H23" s="50">
        <v>83037.477251135133</v>
      </c>
      <c r="I23" s="50">
        <v>87209.224869567959</v>
      </c>
      <c r="J23" s="50">
        <v>85321.331639583368</v>
      </c>
      <c r="K23" s="50">
        <v>79584.847289686673</v>
      </c>
      <c r="L23" s="50">
        <v>76598.201169421111</v>
      </c>
      <c r="M23" s="50">
        <v>68136.907658759126</v>
      </c>
      <c r="N23" s="50">
        <v>66234.266671020043</v>
      </c>
      <c r="O23" s="50">
        <v>60830.303696287992</v>
      </c>
      <c r="P23" s="45">
        <f>SUM(D23:O23)</f>
        <v>895302.75245946017</v>
      </c>
    </row>
    <row r="24" spans="1:16" ht="15" thickBot="1" x14ac:dyDescent="0.4">
      <c r="A24" s="39"/>
      <c r="B24" s="20"/>
      <c r="C24" s="30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48"/>
    </row>
    <row r="25" spans="1:16" ht="15" thickTop="1" x14ac:dyDescent="0.35">
      <c r="A25" s="39">
        <v>11</v>
      </c>
      <c r="B25" s="32" t="s">
        <v>32</v>
      </c>
      <c r="C25" s="30"/>
      <c r="D25" s="47">
        <f>D9+D11+D15+D19+D21+D23</f>
        <v>12368710.405241292</v>
      </c>
      <c r="E25" s="47">
        <f t="shared" ref="E25:O25" si="2">E9+E11+E15+E19+E21+E23</f>
        <v>12202378.292645322</v>
      </c>
      <c r="F25" s="47">
        <f t="shared" si="2"/>
        <v>9815283.4012687299</v>
      </c>
      <c r="G25" s="47">
        <f t="shared" si="2"/>
        <v>10333307.613044247</v>
      </c>
      <c r="H25" s="47">
        <f t="shared" si="2"/>
        <v>9070421.1176167466</v>
      </c>
      <c r="I25" s="47">
        <f t="shared" si="2"/>
        <v>10345022.092315227</v>
      </c>
      <c r="J25" s="47">
        <f t="shared" si="2"/>
        <v>10484335.26724283</v>
      </c>
      <c r="K25" s="47">
        <f t="shared" si="2"/>
        <v>10551332.884714687</v>
      </c>
      <c r="L25" s="47">
        <f t="shared" si="2"/>
        <v>11738429.123526862</v>
      </c>
      <c r="M25" s="47">
        <f t="shared" si="2"/>
        <v>11722359.517240198</v>
      </c>
      <c r="N25" s="47">
        <f t="shared" si="2"/>
        <v>11542094.111515025</v>
      </c>
      <c r="O25" s="47">
        <f t="shared" si="2"/>
        <v>11704539.783489013</v>
      </c>
      <c r="P25" s="49">
        <f>SUM(D25:O25)</f>
        <v>131878213.6098602</v>
      </c>
    </row>
    <row r="26" spans="1:16" x14ac:dyDescent="0.35">
      <c r="A26" s="39"/>
      <c r="B26" s="20"/>
      <c r="C26" s="3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47"/>
    </row>
    <row r="27" spans="1:16" x14ac:dyDescent="0.35">
      <c r="A27" s="39">
        <v>12</v>
      </c>
      <c r="B27" s="20" t="s">
        <v>33</v>
      </c>
      <c r="C27" s="30" t="s">
        <v>23</v>
      </c>
      <c r="D27" s="51">
        <v>0</v>
      </c>
      <c r="E27" s="51">
        <v>0</v>
      </c>
      <c r="F27" s="51">
        <v>0</v>
      </c>
      <c r="G27" s="51">
        <v>0</v>
      </c>
      <c r="H27" s="51">
        <v>0</v>
      </c>
      <c r="I27" s="51">
        <v>0</v>
      </c>
      <c r="J27" s="51">
        <v>0</v>
      </c>
      <c r="K27" s="51">
        <v>0</v>
      </c>
      <c r="L27" s="51">
        <v>0</v>
      </c>
      <c r="M27" s="51">
        <v>0</v>
      </c>
      <c r="N27" s="51">
        <v>0</v>
      </c>
      <c r="O27" s="51">
        <v>0</v>
      </c>
      <c r="P27" s="47">
        <f>SUM(D27:O27)</f>
        <v>0</v>
      </c>
    </row>
    <row r="28" spans="1:16" x14ac:dyDescent="0.35">
      <c r="A28" s="39">
        <v>13</v>
      </c>
      <c r="B28" s="32" t="s">
        <v>34</v>
      </c>
      <c r="C28" s="32"/>
      <c r="D28" s="47">
        <f t="shared" ref="D28:P28" si="3">SUM(D27:D27)</f>
        <v>0</v>
      </c>
      <c r="E28" s="47">
        <f t="shared" si="3"/>
        <v>0</v>
      </c>
      <c r="F28" s="47">
        <f t="shared" si="3"/>
        <v>0</v>
      </c>
      <c r="G28" s="47">
        <f t="shared" si="3"/>
        <v>0</v>
      </c>
      <c r="H28" s="47">
        <f t="shared" si="3"/>
        <v>0</v>
      </c>
      <c r="I28" s="47">
        <f t="shared" si="3"/>
        <v>0</v>
      </c>
      <c r="J28" s="47">
        <f t="shared" si="3"/>
        <v>0</v>
      </c>
      <c r="K28" s="47">
        <f t="shared" si="3"/>
        <v>0</v>
      </c>
      <c r="L28" s="47">
        <f t="shared" si="3"/>
        <v>0</v>
      </c>
      <c r="M28" s="47">
        <f t="shared" si="3"/>
        <v>0</v>
      </c>
      <c r="N28" s="47">
        <f t="shared" si="3"/>
        <v>0</v>
      </c>
      <c r="O28" s="47">
        <f t="shared" si="3"/>
        <v>0</v>
      </c>
      <c r="P28" s="47">
        <f t="shared" si="3"/>
        <v>0</v>
      </c>
    </row>
    <row r="29" spans="1:16" ht="15" thickBot="1" x14ac:dyDescent="0.4">
      <c r="A29" s="39"/>
      <c r="B29" s="32"/>
      <c r="C29" s="32"/>
      <c r="D29" s="54"/>
      <c r="E29" s="54"/>
      <c r="F29" s="53"/>
      <c r="G29" s="54"/>
      <c r="H29" s="54"/>
      <c r="I29" s="54"/>
      <c r="J29" s="54"/>
      <c r="K29" s="54"/>
      <c r="L29" s="54"/>
      <c r="M29" s="54"/>
      <c r="N29" s="54"/>
      <c r="O29" s="54"/>
      <c r="P29" s="48"/>
    </row>
    <row r="30" spans="1:16" ht="15" thickTop="1" x14ac:dyDescent="0.35">
      <c r="A30" s="39">
        <v>14</v>
      </c>
      <c r="B30" s="32" t="s">
        <v>36</v>
      </c>
      <c r="C30" s="32"/>
      <c r="D30" s="47">
        <f t="shared" ref="D30:P30" si="4">D25+D28</f>
        <v>12368710.405241292</v>
      </c>
      <c r="E30" s="47">
        <f t="shared" si="4"/>
        <v>12202378.292645322</v>
      </c>
      <c r="F30" s="47">
        <f t="shared" si="4"/>
        <v>9815283.4012687299</v>
      </c>
      <c r="G30" s="47">
        <f t="shared" si="4"/>
        <v>10333307.613044247</v>
      </c>
      <c r="H30" s="47">
        <f t="shared" si="4"/>
        <v>9070421.1176167466</v>
      </c>
      <c r="I30" s="47">
        <f t="shared" si="4"/>
        <v>10345022.092315227</v>
      </c>
      <c r="J30" s="47">
        <f t="shared" si="4"/>
        <v>10484335.26724283</v>
      </c>
      <c r="K30" s="47">
        <f t="shared" si="4"/>
        <v>10551332.884714687</v>
      </c>
      <c r="L30" s="47">
        <f t="shared" si="4"/>
        <v>11738429.123526862</v>
      </c>
      <c r="M30" s="47">
        <f t="shared" si="4"/>
        <v>11722359.517240198</v>
      </c>
      <c r="N30" s="47">
        <f t="shared" si="4"/>
        <v>11542094.111515025</v>
      </c>
      <c r="O30" s="47">
        <f t="shared" si="4"/>
        <v>11704539.783489013</v>
      </c>
      <c r="P30" s="49">
        <f t="shared" si="4"/>
        <v>131878213.6098602</v>
      </c>
    </row>
    <row r="32" spans="1:16" s="44" customFormat="1" x14ac:dyDescent="0.35">
      <c r="A32" s="13"/>
      <c r="B32" s="56" t="s">
        <v>41</v>
      </c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43"/>
    </row>
    <row r="33" spans="1:16" x14ac:dyDescent="0.35">
      <c r="A33" s="20"/>
      <c r="B33" s="58" t="s">
        <v>35</v>
      </c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34"/>
    </row>
    <row r="34" spans="1:16" x14ac:dyDescent="0.35">
      <c r="A34" s="20"/>
      <c r="B34" s="58" t="s">
        <v>40</v>
      </c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36" t="s">
        <v>21</v>
      </c>
    </row>
    <row r="35" spans="1:16" x14ac:dyDescent="0.35">
      <c r="A35" s="20"/>
      <c r="B35" s="57" t="str">
        <f>B4</f>
        <v>TEST YEAR ENDING 12/31/2018</v>
      </c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20" t="s">
        <v>21</v>
      </c>
    </row>
    <row r="36" spans="1:16" x14ac:dyDescent="0.35">
      <c r="A36" s="20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20"/>
    </row>
    <row r="37" spans="1:16" x14ac:dyDescent="0.35">
      <c r="A37" s="20"/>
      <c r="B37" s="32"/>
      <c r="C37" s="32"/>
      <c r="D37" s="37">
        <v>2018</v>
      </c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20"/>
    </row>
    <row r="38" spans="1:16" x14ac:dyDescent="0.35">
      <c r="A38" s="32" t="s">
        <v>0</v>
      </c>
      <c r="B38" s="32" t="s">
        <v>1</v>
      </c>
      <c r="C38" s="32" t="s">
        <v>2</v>
      </c>
      <c r="D38" s="38" t="s">
        <v>9</v>
      </c>
      <c r="E38" s="38" t="s">
        <v>10</v>
      </c>
      <c r="F38" s="38" t="s">
        <v>11</v>
      </c>
      <c r="G38" s="38" t="s">
        <v>12</v>
      </c>
      <c r="H38" s="38" t="s">
        <v>13</v>
      </c>
      <c r="I38" s="38" t="s">
        <v>14</v>
      </c>
      <c r="J38" s="38" t="s">
        <v>3</v>
      </c>
      <c r="K38" s="38" t="s">
        <v>4</v>
      </c>
      <c r="L38" s="38" t="s">
        <v>5</v>
      </c>
      <c r="M38" s="38" t="s">
        <v>6</v>
      </c>
      <c r="N38" s="38" t="s">
        <v>7</v>
      </c>
      <c r="O38" s="38" t="s">
        <v>8</v>
      </c>
      <c r="P38" s="38" t="s">
        <v>29</v>
      </c>
    </row>
    <row r="39" spans="1:16" x14ac:dyDescent="0.35">
      <c r="A39" s="20"/>
      <c r="B39" s="32"/>
      <c r="C39" s="32"/>
      <c r="D39" s="38"/>
      <c r="E39" s="38"/>
      <c r="F39" s="32"/>
      <c r="G39" s="38"/>
      <c r="H39" s="38"/>
      <c r="I39" s="38"/>
      <c r="J39" s="38"/>
      <c r="K39" s="38"/>
      <c r="L39" s="38"/>
      <c r="M39" s="38"/>
      <c r="N39" s="38"/>
      <c r="O39" s="38"/>
      <c r="P39" s="32"/>
    </row>
    <row r="40" spans="1:16" x14ac:dyDescent="0.35">
      <c r="A40" s="39" t="s">
        <v>15</v>
      </c>
      <c r="B40" s="20" t="s">
        <v>16</v>
      </c>
      <c r="C40" s="30" t="s">
        <v>17</v>
      </c>
      <c r="D40" s="50">
        <v>6797141.5342051676</v>
      </c>
      <c r="E40" s="50">
        <v>6755134.8830871424</v>
      </c>
      <c r="F40" s="50">
        <v>4859255.3749797959</v>
      </c>
      <c r="G40" s="50">
        <v>4972877.8563602604</v>
      </c>
      <c r="H40" s="50">
        <v>3911960.7357874424</v>
      </c>
      <c r="I40" s="50">
        <v>4870563.1884801555</v>
      </c>
      <c r="J40" s="50">
        <v>5133774.6134926872</v>
      </c>
      <c r="K40" s="50">
        <v>5203955.0476080067</v>
      </c>
      <c r="L40" s="50">
        <v>6005555.5778296739</v>
      </c>
      <c r="M40" s="50">
        <v>5958006.9582435209</v>
      </c>
      <c r="N40" s="50">
        <v>5903534.3608229784</v>
      </c>
      <c r="O40" s="50">
        <v>6338505.5931303846</v>
      </c>
      <c r="P40" s="45">
        <f>SUM(D40:O40)</f>
        <v>66710265.724027224</v>
      </c>
    </row>
    <row r="41" spans="1:16" x14ac:dyDescent="0.35">
      <c r="A41" s="39"/>
      <c r="B41" s="20"/>
      <c r="C41" s="30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45"/>
    </row>
    <row r="42" spans="1:16" x14ac:dyDescent="0.35">
      <c r="A42" s="39">
        <v>2</v>
      </c>
      <c r="B42" s="20" t="s">
        <v>18</v>
      </c>
      <c r="C42" s="30" t="s">
        <v>17</v>
      </c>
      <c r="D42" s="50">
        <v>423806.04642301128</v>
      </c>
      <c r="E42" s="50">
        <v>411014.99559608172</v>
      </c>
      <c r="F42" s="50">
        <v>353909.4076383019</v>
      </c>
      <c r="G42" s="50">
        <v>385670.25109479181</v>
      </c>
      <c r="H42" s="50">
        <v>338113.06144607416</v>
      </c>
      <c r="I42" s="50">
        <v>368528.55327945488</v>
      </c>
      <c r="J42" s="50">
        <v>364854.9397402269</v>
      </c>
      <c r="K42" s="50">
        <v>365337.88621616008</v>
      </c>
      <c r="L42" s="50">
        <v>420066.36370190966</v>
      </c>
      <c r="M42" s="50">
        <v>389196.6817772311</v>
      </c>
      <c r="N42" s="50">
        <v>394301.12492930639</v>
      </c>
      <c r="O42" s="50">
        <v>374473.78114425926</v>
      </c>
      <c r="P42" s="45">
        <f>SUM(D42:O42)</f>
        <v>4589273.0929868091</v>
      </c>
    </row>
    <row r="43" spans="1:16" x14ac:dyDescent="0.35">
      <c r="A43" s="39"/>
      <c r="B43" s="20"/>
      <c r="C43" s="30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45"/>
    </row>
    <row r="44" spans="1:16" x14ac:dyDescent="0.35">
      <c r="A44" s="39">
        <v>3</v>
      </c>
      <c r="B44" s="20" t="s">
        <v>19</v>
      </c>
      <c r="C44" s="30" t="s">
        <v>17</v>
      </c>
      <c r="D44" s="50">
        <v>2411183.2969505861</v>
      </c>
      <c r="E44" s="50">
        <v>2225483.915949129</v>
      </c>
      <c r="F44" s="50">
        <v>1856188.3807754556</v>
      </c>
      <c r="G44" s="50">
        <v>2058814.8565011467</v>
      </c>
      <c r="H44" s="50">
        <v>1978911.2661023294</v>
      </c>
      <c r="I44" s="50">
        <v>2262413.9371816902</v>
      </c>
      <c r="J44" s="50">
        <v>2242500.8963097581</v>
      </c>
      <c r="K44" s="50">
        <v>2311149.5433289604</v>
      </c>
      <c r="L44" s="50">
        <v>2547454.0407065917</v>
      </c>
      <c r="M44" s="50">
        <v>2358389.3410977884</v>
      </c>
      <c r="N44" s="50">
        <v>2384863.2096091015</v>
      </c>
      <c r="O44" s="50">
        <v>2134630.514400336</v>
      </c>
      <c r="P44" s="45">
        <f>SUM(D44:O44)</f>
        <v>26771983.198912874</v>
      </c>
    </row>
    <row r="45" spans="1:16" ht="15" thickBot="1" x14ac:dyDescent="0.4">
      <c r="A45" s="39">
        <v>4</v>
      </c>
      <c r="B45" s="20" t="s">
        <v>20</v>
      </c>
      <c r="C45" s="30" t="s">
        <v>17</v>
      </c>
      <c r="D45" s="52">
        <v>239983.56405569415</v>
      </c>
      <c r="E45" s="52">
        <v>229085.96172608354</v>
      </c>
      <c r="F45" s="52">
        <v>205780.03282504051</v>
      </c>
      <c r="G45" s="52">
        <v>211416.17964270568</v>
      </c>
      <c r="H45" s="52">
        <v>207207.1374375039</v>
      </c>
      <c r="I45" s="52">
        <v>213925.51278455873</v>
      </c>
      <c r="J45" s="52">
        <v>244892.44685194304</v>
      </c>
      <c r="K45" s="52">
        <v>224176.42140739755</v>
      </c>
      <c r="L45" s="52">
        <v>284183.74046514335</v>
      </c>
      <c r="M45" s="52">
        <v>265538.65069406223</v>
      </c>
      <c r="N45" s="52">
        <v>270949.36299742211</v>
      </c>
      <c r="O45" s="52">
        <v>237569.34360601794</v>
      </c>
      <c r="P45" s="46">
        <f>SUM(D45:O45)</f>
        <v>2834708.3544935728</v>
      </c>
    </row>
    <row r="46" spans="1:16" ht="15" thickTop="1" x14ac:dyDescent="0.35">
      <c r="A46" s="39">
        <v>5</v>
      </c>
      <c r="B46" s="20" t="s">
        <v>30</v>
      </c>
      <c r="C46" s="30" t="s">
        <v>17</v>
      </c>
      <c r="D46" s="47">
        <f>SUM(D44:D45)</f>
        <v>2651166.8610062804</v>
      </c>
      <c r="E46" s="47">
        <f t="shared" ref="E46:O46" si="5">SUM(E44:E45)</f>
        <v>2454569.8776752125</v>
      </c>
      <c r="F46" s="47">
        <f t="shared" si="5"/>
        <v>2061968.413600496</v>
      </c>
      <c r="G46" s="47">
        <f t="shared" si="5"/>
        <v>2270231.0361438524</v>
      </c>
      <c r="H46" s="47">
        <f t="shared" si="5"/>
        <v>2186118.4035398331</v>
      </c>
      <c r="I46" s="47">
        <f t="shared" si="5"/>
        <v>2476339.4499662491</v>
      </c>
      <c r="J46" s="47">
        <f t="shared" si="5"/>
        <v>2487393.3431617012</v>
      </c>
      <c r="K46" s="47">
        <f t="shared" si="5"/>
        <v>2535325.9647363578</v>
      </c>
      <c r="L46" s="47">
        <f t="shared" si="5"/>
        <v>2831637.7811717349</v>
      </c>
      <c r="M46" s="47">
        <f t="shared" si="5"/>
        <v>2623927.9917918509</v>
      </c>
      <c r="N46" s="47">
        <f t="shared" si="5"/>
        <v>2655812.5726065235</v>
      </c>
      <c r="O46" s="47">
        <f t="shared" si="5"/>
        <v>2372199.858006354</v>
      </c>
      <c r="P46" s="45">
        <f>SUM(P44:P45)</f>
        <v>29606691.553406447</v>
      </c>
    </row>
    <row r="47" spans="1:16" x14ac:dyDescent="0.35">
      <c r="A47" s="39"/>
      <c r="B47" s="20"/>
      <c r="C47" s="30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47"/>
    </row>
    <row r="48" spans="1:16" x14ac:dyDescent="0.35">
      <c r="A48" s="39">
        <v>6</v>
      </c>
      <c r="B48" s="20" t="s">
        <v>22</v>
      </c>
      <c r="C48" s="30" t="s">
        <v>23</v>
      </c>
      <c r="D48" s="50">
        <v>57643.754401540376</v>
      </c>
      <c r="E48" s="50">
        <v>59735.353836875343</v>
      </c>
      <c r="F48" s="50">
        <v>47215.568128287974</v>
      </c>
      <c r="G48" s="50">
        <v>60280.597484414167</v>
      </c>
      <c r="H48" s="50">
        <v>68918.615021760648</v>
      </c>
      <c r="I48" s="50">
        <v>57129.203371647804</v>
      </c>
      <c r="J48" s="50">
        <v>66044.132032595793</v>
      </c>
      <c r="K48" s="50">
        <v>71934.880524786917</v>
      </c>
      <c r="L48" s="50">
        <v>63385.32173116364</v>
      </c>
      <c r="M48" s="50">
        <v>75251.042311138139</v>
      </c>
      <c r="N48" s="50">
        <v>81049.278022447557</v>
      </c>
      <c r="O48" s="50">
        <v>68607.752450812492</v>
      </c>
      <c r="P48" s="45">
        <f>SUM(D48:O48)</f>
        <v>777195.49931747094</v>
      </c>
    </row>
    <row r="49" spans="1:16" ht="15" thickBot="1" x14ac:dyDescent="0.4">
      <c r="A49" s="39">
        <v>7</v>
      </c>
      <c r="B49" s="20" t="s">
        <v>24</v>
      </c>
      <c r="C49" s="30" t="s">
        <v>23</v>
      </c>
      <c r="D49" s="52">
        <v>635827.87932032219</v>
      </c>
      <c r="E49" s="52">
        <v>650953.99307933846</v>
      </c>
      <c r="F49" s="52">
        <v>674270.75908748177</v>
      </c>
      <c r="G49" s="52">
        <v>673572.57461675641</v>
      </c>
      <c r="H49" s="52">
        <v>724713.23735247401</v>
      </c>
      <c r="I49" s="52">
        <v>732511.85469277762</v>
      </c>
      <c r="J49" s="52">
        <v>734087.48094394</v>
      </c>
      <c r="K49" s="52">
        <v>740918.69686082448</v>
      </c>
      <c r="L49" s="52">
        <v>735921.73260342504</v>
      </c>
      <c r="M49" s="52">
        <v>739095.08500081208</v>
      </c>
      <c r="N49" s="52">
        <v>707522.25726898958</v>
      </c>
      <c r="O49" s="52">
        <v>676821.81459959445</v>
      </c>
      <c r="P49" s="46">
        <f>SUM(D49:O49)</f>
        <v>8426217.365426736</v>
      </c>
    </row>
    <row r="50" spans="1:16" ht="15" thickTop="1" x14ac:dyDescent="0.35">
      <c r="A50" s="39">
        <v>8</v>
      </c>
      <c r="B50" s="20" t="s">
        <v>31</v>
      </c>
      <c r="C50" s="30" t="s">
        <v>23</v>
      </c>
      <c r="D50" s="47">
        <f>SUM(D48:D49)</f>
        <v>693471.63372186257</v>
      </c>
      <c r="E50" s="47">
        <f t="shared" ref="E50:O50" si="6">SUM(E48:E49)</f>
        <v>710689.34691621375</v>
      </c>
      <c r="F50" s="47">
        <f t="shared" si="6"/>
        <v>721486.32721576979</v>
      </c>
      <c r="G50" s="47">
        <f t="shared" si="6"/>
        <v>733853.17210117052</v>
      </c>
      <c r="H50" s="47">
        <f t="shared" si="6"/>
        <v>793631.8523742347</v>
      </c>
      <c r="I50" s="47">
        <f t="shared" si="6"/>
        <v>789641.05806442536</v>
      </c>
      <c r="J50" s="47">
        <f t="shared" si="6"/>
        <v>800131.61297653581</v>
      </c>
      <c r="K50" s="47">
        <f t="shared" si="6"/>
        <v>812853.57738561137</v>
      </c>
      <c r="L50" s="47">
        <f t="shared" si="6"/>
        <v>799307.0543345887</v>
      </c>
      <c r="M50" s="47">
        <f t="shared" si="6"/>
        <v>814346.1273119502</v>
      </c>
      <c r="N50" s="47">
        <f t="shared" si="6"/>
        <v>788571.53529143718</v>
      </c>
      <c r="O50" s="47">
        <f t="shared" si="6"/>
        <v>745429.56705040694</v>
      </c>
      <c r="P50" s="45">
        <f>SUM(P48:P49)</f>
        <v>9203412.8647442069</v>
      </c>
    </row>
    <row r="51" spans="1:16" x14ac:dyDescent="0.35">
      <c r="A51" s="39"/>
      <c r="B51" s="20"/>
      <c r="C51" s="30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47"/>
    </row>
    <row r="52" spans="1:16" x14ac:dyDescent="0.35">
      <c r="A52" s="39">
        <v>9</v>
      </c>
      <c r="B52" s="20" t="s">
        <v>25</v>
      </c>
      <c r="C52" s="30" t="s">
        <v>26</v>
      </c>
      <c r="D52" s="50">
        <v>899655.52584999998</v>
      </c>
      <c r="E52" s="50">
        <v>972949.50104999973</v>
      </c>
      <c r="F52" s="50">
        <v>1107411.97385</v>
      </c>
      <c r="G52" s="50">
        <v>1219958.0449999999</v>
      </c>
      <c r="H52" s="50">
        <v>1180840.9711999998</v>
      </c>
      <c r="I52" s="50">
        <v>1075543.9541999998</v>
      </c>
      <c r="J52" s="50">
        <v>916224.7435999997</v>
      </c>
      <c r="K52" s="50">
        <v>848669.16429999971</v>
      </c>
      <c r="L52" s="50">
        <v>808671.23964999989</v>
      </c>
      <c r="M52" s="50">
        <v>1089419.2129499998</v>
      </c>
      <c r="N52" s="50">
        <v>959295.75094999978</v>
      </c>
      <c r="O52" s="50">
        <v>1029187.2768</v>
      </c>
      <c r="P52" s="45">
        <f>SUM(D52:O52)</f>
        <v>12107827.359399997</v>
      </c>
    </row>
    <row r="53" spans="1:16" x14ac:dyDescent="0.35">
      <c r="A53" s="39"/>
      <c r="B53" s="20"/>
      <c r="C53" s="30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47"/>
    </row>
    <row r="54" spans="1:16" x14ac:dyDescent="0.35">
      <c r="A54" s="39">
        <v>10</v>
      </c>
      <c r="B54" s="20" t="s">
        <v>27</v>
      </c>
      <c r="C54" s="30" t="s">
        <v>17</v>
      </c>
      <c r="D54" s="50">
        <v>56835.414634428264</v>
      </c>
      <c r="E54" s="50">
        <v>68448.737598309817</v>
      </c>
      <c r="F54" s="50">
        <v>66886.593657456324</v>
      </c>
      <c r="G54" s="50">
        <v>74785.567378454667</v>
      </c>
      <c r="H54" s="50">
        <v>76876.58752674202</v>
      </c>
      <c r="I54" s="50">
        <v>80738.816143803531</v>
      </c>
      <c r="J54" s="50">
        <v>78990.993426392277</v>
      </c>
      <c r="K54" s="50">
        <v>73680.122289413106</v>
      </c>
      <c r="L54" s="50">
        <v>70915.067648102195</v>
      </c>
      <c r="M54" s="50">
        <v>63081.552075433858</v>
      </c>
      <c r="N54" s="50">
        <v>61320.075796674537</v>
      </c>
      <c r="O54" s="50">
        <v>56317.054915370216</v>
      </c>
      <c r="P54" s="45">
        <f>SUM(D54:O54)</f>
        <v>828876.58309058077</v>
      </c>
    </row>
    <row r="55" spans="1:16" ht="15" thickBot="1" x14ac:dyDescent="0.4">
      <c r="A55" s="39"/>
      <c r="B55" s="20"/>
      <c r="C55" s="30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48"/>
    </row>
    <row r="56" spans="1:16" ht="15" thickTop="1" x14ac:dyDescent="0.35">
      <c r="A56" s="39">
        <v>11</v>
      </c>
      <c r="B56" s="32" t="s">
        <v>32</v>
      </c>
      <c r="C56" s="30"/>
      <c r="D56" s="47">
        <f>D40+D42+D46+D50+D52+D54</f>
        <v>11522077.01584075</v>
      </c>
      <c r="E56" s="47">
        <f t="shared" ref="E56:O56" si="7">E40+E42+E46+E50+E52+E54</f>
        <v>11372807.341922959</v>
      </c>
      <c r="F56" s="47">
        <f t="shared" si="7"/>
        <v>9170918.0909418203</v>
      </c>
      <c r="G56" s="47">
        <f t="shared" si="7"/>
        <v>9657375.9280785285</v>
      </c>
      <c r="H56" s="47">
        <f t="shared" si="7"/>
        <v>8487541.6118743271</v>
      </c>
      <c r="I56" s="47">
        <f t="shared" si="7"/>
        <v>9661355.0201340877</v>
      </c>
      <c r="J56" s="47">
        <f t="shared" si="7"/>
        <v>9781370.2463975418</v>
      </c>
      <c r="K56" s="47">
        <f t="shared" si="7"/>
        <v>9839821.7625355497</v>
      </c>
      <c r="L56" s="47">
        <f t="shared" si="7"/>
        <v>10936153.084336009</v>
      </c>
      <c r="M56" s="47">
        <f t="shared" si="7"/>
        <v>10937978.524149988</v>
      </c>
      <c r="N56" s="47">
        <f t="shared" si="7"/>
        <v>10762835.420396918</v>
      </c>
      <c r="O56" s="47">
        <f t="shared" si="7"/>
        <v>10916113.131046774</v>
      </c>
      <c r="P56" s="49">
        <f>SUM(D56:O56)</f>
        <v>123046347.17765525</v>
      </c>
    </row>
    <row r="57" spans="1:16" x14ac:dyDescent="0.35">
      <c r="A57" s="39"/>
      <c r="B57" s="20"/>
      <c r="C57" s="30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47"/>
    </row>
    <row r="58" spans="1:16" x14ac:dyDescent="0.35">
      <c r="A58" s="39">
        <v>12</v>
      </c>
      <c r="B58" s="20" t="s">
        <v>33</v>
      </c>
      <c r="C58" s="30" t="s">
        <v>23</v>
      </c>
      <c r="D58" s="51">
        <v>0</v>
      </c>
      <c r="E58" s="51">
        <v>0</v>
      </c>
      <c r="F58" s="51">
        <v>0</v>
      </c>
      <c r="G58" s="51">
        <v>0</v>
      </c>
      <c r="H58" s="51">
        <v>0</v>
      </c>
      <c r="I58" s="51">
        <v>0</v>
      </c>
      <c r="J58" s="51">
        <v>0</v>
      </c>
      <c r="K58" s="51">
        <v>0</v>
      </c>
      <c r="L58" s="51">
        <v>0</v>
      </c>
      <c r="M58" s="51">
        <v>0</v>
      </c>
      <c r="N58" s="51">
        <v>0</v>
      </c>
      <c r="O58" s="51">
        <v>0</v>
      </c>
      <c r="P58" s="47">
        <f>SUM(D58:O58)</f>
        <v>0</v>
      </c>
    </row>
    <row r="59" spans="1:16" x14ac:dyDescent="0.35">
      <c r="A59" s="39">
        <v>13</v>
      </c>
      <c r="B59" s="32" t="s">
        <v>34</v>
      </c>
      <c r="C59" s="32"/>
      <c r="D59" s="47">
        <f t="shared" ref="D59:P59" si="8">SUM(D58:D58)</f>
        <v>0</v>
      </c>
      <c r="E59" s="47">
        <f t="shared" si="8"/>
        <v>0</v>
      </c>
      <c r="F59" s="47">
        <f t="shared" si="8"/>
        <v>0</v>
      </c>
      <c r="G59" s="47">
        <f t="shared" si="8"/>
        <v>0</v>
      </c>
      <c r="H59" s="47">
        <f t="shared" si="8"/>
        <v>0</v>
      </c>
      <c r="I59" s="47">
        <f t="shared" si="8"/>
        <v>0</v>
      </c>
      <c r="J59" s="47">
        <f t="shared" si="8"/>
        <v>0</v>
      </c>
      <c r="K59" s="47">
        <f t="shared" si="8"/>
        <v>0</v>
      </c>
      <c r="L59" s="47">
        <f t="shared" si="8"/>
        <v>0</v>
      </c>
      <c r="M59" s="47">
        <f t="shared" si="8"/>
        <v>0</v>
      </c>
      <c r="N59" s="47">
        <f t="shared" si="8"/>
        <v>0</v>
      </c>
      <c r="O59" s="47">
        <f t="shared" si="8"/>
        <v>0</v>
      </c>
      <c r="P59" s="47">
        <f t="shared" si="8"/>
        <v>0</v>
      </c>
    </row>
    <row r="60" spans="1:16" ht="15" thickBot="1" x14ac:dyDescent="0.4">
      <c r="A60" s="39"/>
      <c r="B60" s="32"/>
      <c r="C60" s="32"/>
      <c r="D60" s="54"/>
      <c r="E60" s="54"/>
      <c r="F60" s="53"/>
      <c r="G60" s="54"/>
      <c r="H60" s="54"/>
      <c r="I60" s="54"/>
      <c r="J60" s="54"/>
      <c r="K60" s="54"/>
      <c r="L60" s="54"/>
      <c r="M60" s="54"/>
      <c r="N60" s="54"/>
      <c r="O60" s="54"/>
      <c r="P60" s="48"/>
    </row>
    <row r="61" spans="1:16" ht="15" thickTop="1" x14ac:dyDescent="0.35">
      <c r="A61" s="39">
        <v>14</v>
      </c>
      <c r="B61" s="32" t="s">
        <v>36</v>
      </c>
      <c r="C61" s="32"/>
      <c r="D61" s="47">
        <f t="shared" ref="D61:O61" si="9">D56+D59</f>
        <v>11522077.01584075</v>
      </c>
      <c r="E61" s="47">
        <f t="shared" si="9"/>
        <v>11372807.341922959</v>
      </c>
      <c r="F61" s="47">
        <f t="shared" si="9"/>
        <v>9170918.0909418203</v>
      </c>
      <c r="G61" s="47">
        <f t="shared" si="9"/>
        <v>9657375.9280785285</v>
      </c>
      <c r="H61" s="47">
        <f t="shared" si="9"/>
        <v>8487541.6118743271</v>
      </c>
      <c r="I61" s="47">
        <f t="shared" si="9"/>
        <v>9661355.0201340877</v>
      </c>
      <c r="J61" s="47">
        <f t="shared" si="9"/>
        <v>9781370.2463975418</v>
      </c>
      <c r="K61" s="47">
        <f t="shared" si="9"/>
        <v>9839821.7625355497</v>
      </c>
      <c r="L61" s="47">
        <f t="shared" si="9"/>
        <v>10936153.084336009</v>
      </c>
      <c r="M61" s="47">
        <f t="shared" si="9"/>
        <v>10937978.524149988</v>
      </c>
      <c r="N61" s="47">
        <f t="shared" si="9"/>
        <v>10762835.420396918</v>
      </c>
      <c r="O61" s="47">
        <f t="shared" si="9"/>
        <v>10916113.131046774</v>
      </c>
      <c r="P61" s="49">
        <f>SUM(D61:O61)</f>
        <v>123046347.17765525</v>
      </c>
    </row>
  </sheetData>
  <mergeCells count="8">
    <mergeCell ref="B1:O1"/>
    <mergeCell ref="B32:O32"/>
    <mergeCell ref="B35:O35"/>
    <mergeCell ref="B2:O2"/>
    <mergeCell ref="B3:O3"/>
    <mergeCell ref="B4:O4"/>
    <mergeCell ref="B33:O33"/>
    <mergeCell ref="B34:O34"/>
  </mergeCells>
  <pageMargins left="0.7" right="0.7" top="0.75" bottom="0.75" header="0.3" footer="0.3"/>
  <pageSetup scale="50" fitToHeight="0" orientation="landscape" r:id="rId1"/>
  <headerFooter>
    <oddHeader>&amp;RII-H-1.4 Adjusted Test Year Load Data
&amp;A
Page &amp;P of &amp;N</oddHeader>
    <oddFooter>&amp;LSponsored by: Nora D. Williams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1"/>
  <sheetViews>
    <sheetView topLeftCell="C1" zoomScaleNormal="100" workbookViewId="0">
      <selection activeCell="B1" sqref="B1:O1"/>
    </sheetView>
  </sheetViews>
  <sheetFormatPr defaultColWidth="9.1796875" defaultRowHeight="14.5" x14ac:dyDescent="0.35"/>
  <cols>
    <col min="1" max="1" width="7.26953125" style="35" bestFit="1" customWidth="1"/>
    <col min="2" max="2" width="31.1796875" style="35" bestFit="1" customWidth="1"/>
    <col min="3" max="3" width="7.26953125" style="35" bestFit="1" customWidth="1"/>
    <col min="4" max="15" width="15" style="35" bestFit="1" customWidth="1"/>
    <col min="16" max="16" width="16.1796875" style="35" bestFit="1" customWidth="1"/>
    <col min="17" max="16384" width="9.1796875" style="35"/>
  </cols>
  <sheetData>
    <row r="1" spans="1:17" s="44" customFormat="1" x14ac:dyDescent="0.35">
      <c r="A1" s="13"/>
      <c r="B1" s="56" t="s">
        <v>41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43"/>
    </row>
    <row r="2" spans="1:17" x14ac:dyDescent="0.35">
      <c r="A2" s="20"/>
      <c r="B2" s="58" t="s">
        <v>35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34"/>
    </row>
    <row r="3" spans="1:17" x14ac:dyDescent="0.35">
      <c r="A3" s="20"/>
      <c r="B3" s="58" t="s">
        <v>42</v>
      </c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36" t="s">
        <v>21</v>
      </c>
    </row>
    <row r="4" spans="1:17" x14ac:dyDescent="0.35">
      <c r="A4" s="20"/>
      <c r="B4" s="57" t="str">
        <f>'II-H-1.4.(1) TEX 2018'!B4:O4</f>
        <v>TEST YEAR ENDING 12/31/2018</v>
      </c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20" t="s">
        <v>21</v>
      </c>
    </row>
    <row r="5" spans="1:17" x14ac:dyDescent="0.35">
      <c r="A5" s="20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20"/>
    </row>
    <row r="6" spans="1:17" x14ac:dyDescent="0.35">
      <c r="A6" s="20"/>
      <c r="B6" s="32"/>
      <c r="C6" s="32"/>
      <c r="D6" s="37">
        <v>2018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20"/>
      <c r="Q6" s="20"/>
    </row>
    <row r="7" spans="1:17" x14ac:dyDescent="0.35">
      <c r="A7" s="32" t="s">
        <v>0</v>
      </c>
      <c r="B7" s="32" t="s">
        <v>1</v>
      </c>
      <c r="C7" s="32" t="s">
        <v>2</v>
      </c>
      <c r="D7" s="38" t="s">
        <v>9</v>
      </c>
      <c r="E7" s="38" t="s">
        <v>10</v>
      </c>
      <c r="F7" s="38" t="s">
        <v>11</v>
      </c>
      <c r="G7" s="38" t="s">
        <v>12</v>
      </c>
      <c r="H7" s="38" t="s">
        <v>13</v>
      </c>
      <c r="I7" s="38" t="s">
        <v>14</v>
      </c>
      <c r="J7" s="38" t="s">
        <v>3</v>
      </c>
      <c r="K7" s="38" t="s">
        <v>4</v>
      </c>
      <c r="L7" s="38" t="s">
        <v>5</v>
      </c>
      <c r="M7" s="38" t="s">
        <v>6</v>
      </c>
      <c r="N7" s="38" t="s">
        <v>7</v>
      </c>
      <c r="O7" s="38" t="s">
        <v>8</v>
      </c>
      <c r="P7" s="38" t="s">
        <v>29</v>
      </c>
      <c r="Q7" s="20"/>
    </row>
    <row r="8" spans="1:17" x14ac:dyDescent="0.35">
      <c r="A8" s="20"/>
      <c r="B8" s="32"/>
      <c r="C8" s="32"/>
      <c r="D8" s="38"/>
      <c r="E8" s="38"/>
      <c r="F8" s="32"/>
      <c r="G8" s="38"/>
      <c r="H8" s="38"/>
      <c r="I8" s="38"/>
      <c r="J8" s="38"/>
      <c r="K8" s="38"/>
      <c r="L8" s="38"/>
      <c r="M8" s="38"/>
      <c r="N8" s="38"/>
      <c r="O8" s="38"/>
      <c r="P8" s="32"/>
    </row>
    <row r="9" spans="1:17" x14ac:dyDescent="0.35">
      <c r="A9" s="39" t="s">
        <v>15</v>
      </c>
      <c r="B9" s="20" t="s">
        <v>16</v>
      </c>
      <c r="C9" s="30" t="s">
        <v>17</v>
      </c>
      <c r="D9" s="50">
        <v>3620964.8068430908</v>
      </c>
      <c r="E9" s="50">
        <v>2805265.6244236305</v>
      </c>
      <c r="F9" s="50">
        <v>2008556.5453232869</v>
      </c>
      <c r="G9" s="50">
        <v>2151457.0879125833</v>
      </c>
      <c r="H9" s="50">
        <v>2254927.3540731077</v>
      </c>
      <c r="I9" s="50">
        <v>2770271.9014232229</v>
      </c>
      <c r="J9" s="50">
        <v>3067683.7620879556</v>
      </c>
      <c r="K9" s="50">
        <v>3021600.0335345617</v>
      </c>
      <c r="L9" s="50">
        <v>3489233.2725536954</v>
      </c>
      <c r="M9" s="50">
        <v>2842772.6780172717</v>
      </c>
      <c r="N9" s="50">
        <v>2816261.1007299605</v>
      </c>
      <c r="O9" s="50">
        <v>2429529.687544812</v>
      </c>
      <c r="P9" s="45">
        <f>SUM(D9:O9)</f>
        <v>33278523.854467176</v>
      </c>
    </row>
    <row r="10" spans="1:17" x14ac:dyDescent="0.35">
      <c r="A10" s="39"/>
      <c r="B10" s="20"/>
      <c r="C10" s="3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45"/>
    </row>
    <row r="11" spans="1:17" x14ac:dyDescent="0.35">
      <c r="A11" s="39">
        <v>2</v>
      </c>
      <c r="B11" s="20" t="s">
        <v>18</v>
      </c>
      <c r="C11" s="30" t="s">
        <v>17</v>
      </c>
      <c r="D11" s="50">
        <v>114745.77825797655</v>
      </c>
      <c r="E11" s="50">
        <v>97143.874559379779</v>
      </c>
      <c r="F11" s="50">
        <v>84474.945047163303</v>
      </c>
      <c r="G11" s="50">
        <v>98298.217737200393</v>
      </c>
      <c r="H11" s="50">
        <v>105525.93587899709</v>
      </c>
      <c r="I11" s="50">
        <v>116970.28220722862</v>
      </c>
      <c r="J11" s="50">
        <v>121296.65683657107</v>
      </c>
      <c r="K11" s="50">
        <v>121047.58712423415</v>
      </c>
      <c r="L11" s="50">
        <v>123817.25891613783</v>
      </c>
      <c r="M11" s="50">
        <v>120704.93282183845</v>
      </c>
      <c r="N11" s="50">
        <v>98851.073683672483</v>
      </c>
      <c r="O11" s="50">
        <v>83140.869052068112</v>
      </c>
      <c r="P11" s="45">
        <f>SUM(D11:O11)</f>
        <v>1286017.412122468</v>
      </c>
    </row>
    <row r="12" spans="1:17" x14ac:dyDescent="0.35">
      <c r="A12" s="39"/>
      <c r="B12" s="20"/>
      <c r="C12" s="3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45"/>
    </row>
    <row r="13" spans="1:17" x14ac:dyDescent="0.35">
      <c r="A13" s="39">
        <v>3</v>
      </c>
      <c r="B13" s="20" t="s">
        <v>19</v>
      </c>
      <c r="C13" s="30" t="s">
        <v>17</v>
      </c>
      <c r="D13" s="50">
        <v>1460890.071133795</v>
      </c>
      <c r="E13" s="50">
        <v>1418522.8287749826</v>
      </c>
      <c r="F13" s="50">
        <v>1265930.7816498701</v>
      </c>
      <c r="G13" s="50">
        <v>1463542.2916867179</v>
      </c>
      <c r="H13" s="50">
        <v>1474765.6423166757</v>
      </c>
      <c r="I13" s="50">
        <v>1675293.0433376108</v>
      </c>
      <c r="J13" s="50">
        <v>1705027.7215415505</v>
      </c>
      <c r="K13" s="50">
        <v>1734284.7631665173</v>
      </c>
      <c r="L13" s="50">
        <v>1877291.1695993515</v>
      </c>
      <c r="M13" s="50">
        <v>1727192.1628820028</v>
      </c>
      <c r="N13" s="50">
        <v>1574838.169765793</v>
      </c>
      <c r="O13" s="50">
        <v>1263120.3666038876</v>
      </c>
      <c r="P13" s="45">
        <f>SUM(D13:O13)</f>
        <v>18640699.012458757</v>
      </c>
    </row>
    <row r="14" spans="1:17" ht="15" thickBot="1" x14ac:dyDescent="0.4">
      <c r="A14" s="39">
        <v>4</v>
      </c>
      <c r="B14" s="20" t="s">
        <v>20</v>
      </c>
      <c r="C14" s="30" t="s">
        <v>17</v>
      </c>
      <c r="D14" s="52">
        <v>187177.26928825406</v>
      </c>
      <c r="E14" s="52">
        <v>183170.09369118747</v>
      </c>
      <c r="F14" s="52">
        <v>173719.73594863951</v>
      </c>
      <c r="G14" s="52">
        <v>185844.07568074547</v>
      </c>
      <c r="H14" s="52">
        <v>180982.34414175121</v>
      </c>
      <c r="I14" s="52">
        <v>188344.30113215273</v>
      </c>
      <c r="J14" s="52">
        <v>208034.77076661013</v>
      </c>
      <c r="K14" s="52">
        <v>201028.88454502236</v>
      </c>
      <c r="L14" s="52">
        <v>243609.40993454857</v>
      </c>
      <c r="M14" s="52">
        <v>227283.6566040981</v>
      </c>
      <c r="N14" s="52">
        <v>225684.6892218017</v>
      </c>
      <c r="O14" s="52">
        <v>194057.17323332772</v>
      </c>
      <c r="P14" s="46">
        <f>SUM(D14:O14)</f>
        <v>2398936.4041881394</v>
      </c>
    </row>
    <row r="15" spans="1:17" ht="15" thickTop="1" x14ac:dyDescent="0.35">
      <c r="A15" s="39">
        <v>5</v>
      </c>
      <c r="B15" s="20" t="s">
        <v>30</v>
      </c>
      <c r="C15" s="30" t="s">
        <v>17</v>
      </c>
      <c r="D15" s="47">
        <f>SUM(D13:D14)</f>
        <v>1648067.3404220489</v>
      </c>
      <c r="E15" s="47">
        <f t="shared" ref="E15:O15" si="0">SUM(E13:E14)</f>
        <v>1601692.92246617</v>
      </c>
      <c r="F15" s="47">
        <f t="shared" si="0"/>
        <v>1439650.5175985096</v>
      </c>
      <c r="G15" s="47">
        <f t="shared" si="0"/>
        <v>1649386.3673674634</v>
      </c>
      <c r="H15" s="47">
        <f t="shared" si="0"/>
        <v>1655747.986458427</v>
      </c>
      <c r="I15" s="47">
        <f t="shared" si="0"/>
        <v>1863637.3444697636</v>
      </c>
      <c r="J15" s="47">
        <f t="shared" si="0"/>
        <v>1913062.4923081605</v>
      </c>
      <c r="K15" s="47">
        <f t="shared" si="0"/>
        <v>1935313.6477115396</v>
      </c>
      <c r="L15" s="47">
        <f t="shared" si="0"/>
        <v>2120900.5795339001</v>
      </c>
      <c r="M15" s="47">
        <f t="shared" si="0"/>
        <v>1954475.8194861009</v>
      </c>
      <c r="N15" s="47">
        <f t="shared" si="0"/>
        <v>1800522.8589875947</v>
      </c>
      <c r="O15" s="47">
        <f t="shared" si="0"/>
        <v>1457177.5398372153</v>
      </c>
      <c r="P15" s="45">
        <f>SUM(P13:P14)</f>
        <v>21039635.416646898</v>
      </c>
    </row>
    <row r="16" spans="1:17" x14ac:dyDescent="0.35">
      <c r="A16" s="39"/>
      <c r="B16" s="20"/>
      <c r="C16" s="3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47"/>
    </row>
    <row r="17" spans="1:16" x14ac:dyDescent="0.35">
      <c r="A17" s="39">
        <v>6</v>
      </c>
      <c r="B17" s="20" t="s">
        <v>22</v>
      </c>
      <c r="C17" s="30" t="s">
        <v>23</v>
      </c>
      <c r="D17" s="50">
        <v>36833.773415148076</v>
      </c>
      <c r="E17" s="50">
        <v>40791.856244544826</v>
      </c>
      <c r="F17" s="50">
        <v>32987.964773845211</v>
      </c>
      <c r="G17" s="50">
        <v>40165.495925622963</v>
      </c>
      <c r="H17" s="50">
        <v>48668.589559639331</v>
      </c>
      <c r="I17" s="50">
        <v>40400.768148502255</v>
      </c>
      <c r="J17" s="50">
        <v>45647.587877890459</v>
      </c>
      <c r="K17" s="50">
        <v>52257.394595392609</v>
      </c>
      <c r="L17" s="50">
        <v>44925.429710588476</v>
      </c>
      <c r="M17" s="50">
        <v>51478.761153456871</v>
      </c>
      <c r="N17" s="50">
        <v>56268.999993425983</v>
      </c>
      <c r="O17" s="50">
        <v>45800.994122795375</v>
      </c>
      <c r="P17" s="45">
        <f>SUM(D17:O17)</f>
        <v>536227.6155208525</v>
      </c>
    </row>
    <row r="18" spans="1:16" ht="15" thickBot="1" x14ac:dyDescent="0.4">
      <c r="A18" s="39">
        <v>7</v>
      </c>
      <c r="B18" s="20" t="s">
        <v>24</v>
      </c>
      <c r="C18" s="30" t="s">
        <v>23</v>
      </c>
      <c r="D18" s="52">
        <v>503360.64930340723</v>
      </c>
      <c r="E18" s="52">
        <v>550896.50901031878</v>
      </c>
      <c r="F18" s="52">
        <v>564400.16100451921</v>
      </c>
      <c r="G18" s="52">
        <v>573501.40822988003</v>
      </c>
      <c r="H18" s="52">
        <v>620428.29426620738</v>
      </c>
      <c r="I18" s="52">
        <v>623489.58935002354</v>
      </c>
      <c r="J18" s="52">
        <v>629140.62431155879</v>
      </c>
      <c r="K18" s="52">
        <v>636612.08335847349</v>
      </c>
      <c r="L18" s="52">
        <v>626647.45235707075</v>
      </c>
      <c r="M18" s="52">
        <v>613691.13528819103</v>
      </c>
      <c r="N18" s="52">
        <v>558486.99913286814</v>
      </c>
      <c r="O18" s="52">
        <v>549480.60308977647</v>
      </c>
      <c r="P18" s="46">
        <f>SUM(D18:O18)</f>
        <v>7050135.508702294</v>
      </c>
    </row>
    <row r="19" spans="1:16" ht="15" thickTop="1" x14ac:dyDescent="0.35">
      <c r="A19" s="39">
        <v>8</v>
      </c>
      <c r="B19" s="20" t="s">
        <v>31</v>
      </c>
      <c r="C19" s="30" t="s">
        <v>23</v>
      </c>
      <c r="D19" s="47">
        <f>SUM(D17:D18)</f>
        <v>540194.42271855532</v>
      </c>
      <c r="E19" s="47">
        <f t="shared" ref="E19:O19" si="1">SUM(E17:E18)</f>
        <v>591688.36525486363</v>
      </c>
      <c r="F19" s="47">
        <f t="shared" si="1"/>
        <v>597388.12577836437</v>
      </c>
      <c r="G19" s="47">
        <f t="shared" si="1"/>
        <v>613666.90415550303</v>
      </c>
      <c r="H19" s="47">
        <f t="shared" si="1"/>
        <v>669096.88382584671</v>
      </c>
      <c r="I19" s="47">
        <f t="shared" si="1"/>
        <v>663890.35749852576</v>
      </c>
      <c r="J19" s="47">
        <f t="shared" si="1"/>
        <v>674788.21218944923</v>
      </c>
      <c r="K19" s="47">
        <f t="shared" si="1"/>
        <v>688869.47795386612</v>
      </c>
      <c r="L19" s="47">
        <f t="shared" si="1"/>
        <v>671572.88206765917</v>
      </c>
      <c r="M19" s="47">
        <f t="shared" si="1"/>
        <v>665169.8964416479</v>
      </c>
      <c r="N19" s="47">
        <f t="shared" si="1"/>
        <v>614755.99912629416</v>
      </c>
      <c r="O19" s="47">
        <f t="shared" si="1"/>
        <v>595281.59721257188</v>
      </c>
      <c r="P19" s="45">
        <f>SUM(P17:P18)</f>
        <v>7586363.1242231466</v>
      </c>
    </row>
    <row r="20" spans="1:16" x14ac:dyDescent="0.35">
      <c r="A20" s="39"/>
      <c r="B20" s="20"/>
      <c r="C20" s="3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47"/>
    </row>
    <row r="21" spans="1:16" x14ac:dyDescent="0.35">
      <c r="A21" s="39">
        <v>9</v>
      </c>
      <c r="B21" s="20" t="s">
        <v>25</v>
      </c>
      <c r="C21" s="30" t="s">
        <v>26</v>
      </c>
      <c r="D21" s="50">
        <v>679378.35062286002</v>
      </c>
      <c r="E21" s="50">
        <v>731985.03879858006</v>
      </c>
      <c r="F21" s="50">
        <v>902064.77144669462</v>
      </c>
      <c r="G21" s="50">
        <v>926048.34784348495</v>
      </c>
      <c r="H21" s="50">
        <v>936666.89580429019</v>
      </c>
      <c r="I21" s="50">
        <v>796596.37891026004</v>
      </c>
      <c r="J21" s="50">
        <v>733537.91426862485</v>
      </c>
      <c r="K21" s="50">
        <v>732097.48344921041</v>
      </c>
      <c r="L21" s="50">
        <v>659719.30036414939</v>
      </c>
      <c r="M21" s="50">
        <v>770344.54423321516</v>
      </c>
      <c r="N21" s="50">
        <v>769506.95994100499</v>
      </c>
      <c r="O21" s="50">
        <v>808986.54903538513</v>
      </c>
      <c r="P21" s="45">
        <f>SUM(D21:O21)</f>
        <v>9446932.534717761</v>
      </c>
    </row>
    <row r="22" spans="1:16" x14ac:dyDescent="0.35">
      <c r="A22" s="39"/>
      <c r="B22" s="20"/>
      <c r="C22" s="3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47"/>
    </row>
    <row r="23" spans="1:16" x14ac:dyDescent="0.35">
      <c r="A23" s="39">
        <v>10</v>
      </c>
      <c r="B23" s="20" t="s">
        <v>27</v>
      </c>
      <c r="C23" s="30" t="s">
        <v>17</v>
      </c>
      <c r="D23" s="50">
        <v>61390.204763231253</v>
      </c>
      <c r="E23" s="50">
        <v>73934.219429438264</v>
      </c>
      <c r="F23" s="50">
        <v>72246.885273164764</v>
      </c>
      <c r="G23" s="50">
        <v>80778.882748163916</v>
      </c>
      <c r="H23" s="50">
        <v>83037.477251134987</v>
      </c>
      <c r="I23" s="50">
        <v>87209.224869567843</v>
      </c>
      <c r="J23" s="50">
        <v>85321.331639583208</v>
      </c>
      <c r="K23" s="50">
        <v>79584.847289686586</v>
      </c>
      <c r="L23" s="50">
        <v>76598.201169421023</v>
      </c>
      <c r="M23" s="50">
        <v>68136.907658759024</v>
      </c>
      <c r="N23" s="50">
        <v>66234.266671019956</v>
      </c>
      <c r="O23" s="50">
        <v>60830.30369628789</v>
      </c>
      <c r="P23" s="45">
        <f>SUM(D23:O23)</f>
        <v>895302.75245945877</v>
      </c>
    </row>
    <row r="24" spans="1:16" ht="15" thickBot="1" x14ac:dyDescent="0.4">
      <c r="A24" s="39"/>
      <c r="B24" s="20"/>
      <c r="C24" s="30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48"/>
    </row>
    <row r="25" spans="1:16" ht="15" thickTop="1" x14ac:dyDescent="0.35">
      <c r="A25" s="39">
        <v>11</v>
      </c>
      <c r="B25" s="32" t="s">
        <v>32</v>
      </c>
      <c r="C25" s="30"/>
      <c r="D25" s="47">
        <f>D9+D11+D15+D19+D21+D23</f>
        <v>6664740.9036277626</v>
      </c>
      <c r="E25" s="47">
        <f t="shared" ref="E25:O25" si="2">E9+E11+E15+E19+E21+E23</f>
        <v>5901710.0449320627</v>
      </c>
      <c r="F25" s="47">
        <f t="shared" si="2"/>
        <v>5104381.790467184</v>
      </c>
      <c r="G25" s="47">
        <f t="shared" si="2"/>
        <v>5519635.8077643989</v>
      </c>
      <c r="H25" s="47">
        <f t="shared" si="2"/>
        <v>5705002.5332918037</v>
      </c>
      <c r="I25" s="47">
        <f t="shared" si="2"/>
        <v>6298575.4893785687</v>
      </c>
      <c r="J25" s="47">
        <f t="shared" si="2"/>
        <v>6595690.3693303447</v>
      </c>
      <c r="K25" s="47">
        <f t="shared" si="2"/>
        <v>6578513.0770630995</v>
      </c>
      <c r="L25" s="47">
        <f t="shared" si="2"/>
        <v>7141841.4946049629</v>
      </c>
      <c r="M25" s="47">
        <f t="shared" si="2"/>
        <v>6421604.7786588324</v>
      </c>
      <c r="N25" s="47">
        <f t="shared" si="2"/>
        <v>6166132.2591395462</v>
      </c>
      <c r="O25" s="47">
        <f t="shared" si="2"/>
        <v>5434946.5463783406</v>
      </c>
      <c r="P25" s="49">
        <f>SUM(D25:O25)</f>
        <v>73532775.094636917</v>
      </c>
    </row>
    <row r="26" spans="1:16" x14ac:dyDescent="0.35">
      <c r="A26" s="39"/>
      <c r="B26" s="20"/>
      <c r="C26" s="3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47"/>
    </row>
    <row r="27" spans="1:16" x14ac:dyDescent="0.35">
      <c r="A27" s="39">
        <v>12</v>
      </c>
      <c r="B27" s="20" t="s">
        <v>33</v>
      </c>
      <c r="C27" s="30" t="s">
        <v>23</v>
      </c>
      <c r="D27" s="51">
        <v>0</v>
      </c>
      <c r="E27" s="51">
        <v>0</v>
      </c>
      <c r="F27" s="51">
        <v>0</v>
      </c>
      <c r="G27" s="51">
        <v>0</v>
      </c>
      <c r="H27" s="51">
        <v>0</v>
      </c>
      <c r="I27" s="51">
        <v>0</v>
      </c>
      <c r="J27" s="51">
        <v>0</v>
      </c>
      <c r="K27" s="51">
        <v>0</v>
      </c>
      <c r="L27" s="51">
        <v>0</v>
      </c>
      <c r="M27" s="51">
        <v>0</v>
      </c>
      <c r="N27" s="51">
        <v>0</v>
      </c>
      <c r="O27" s="51">
        <v>0</v>
      </c>
      <c r="P27" s="47">
        <f>SUM(D27:O27)</f>
        <v>0</v>
      </c>
    </row>
    <row r="28" spans="1:16" x14ac:dyDescent="0.35">
      <c r="A28" s="39">
        <v>13</v>
      </c>
      <c r="B28" s="32" t="s">
        <v>34</v>
      </c>
      <c r="C28" s="32"/>
      <c r="D28" s="47">
        <f t="shared" ref="D28:O28" si="3">SUM(D27:D27)</f>
        <v>0</v>
      </c>
      <c r="E28" s="47">
        <f t="shared" si="3"/>
        <v>0</v>
      </c>
      <c r="F28" s="47">
        <f t="shared" si="3"/>
        <v>0</v>
      </c>
      <c r="G28" s="47">
        <f t="shared" si="3"/>
        <v>0</v>
      </c>
      <c r="H28" s="47">
        <f t="shared" si="3"/>
        <v>0</v>
      </c>
      <c r="I28" s="47">
        <f t="shared" si="3"/>
        <v>0</v>
      </c>
      <c r="J28" s="47">
        <f t="shared" si="3"/>
        <v>0</v>
      </c>
      <c r="K28" s="47">
        <f t="shared" si="3"/>
        <v>0</v>
      </c>
      <c r="L28" s="47">
        <f t="shared" si="3"/>
        <v>0</v>
      </c>
      <c r="M28" s="47">
        <f t="shared" si="3"/>
        <v>0</v>
      </c>
      <c r="N28" s="47">
        <f t="shared" si="3"/>
        <v>0</v>
      </c>
      <c r="O28" s="47">
        <f t="shared" si="3"/>
        <v>0</v>
      </c>
      <c r="P28" s="47">
        <f>SUM(D28:O28)</f>
        <v>0</v>
      </c>
    </row>
    <row r="29" spans="1:16" ht="15" thickBot="1" x14ac:dyDescent="0.4">
      <c r="A29" s="39"/>
      <c r="B29" s="32"/>
      <c r="C29" s="32"/>
      <c r="D29" s="54"/>
      <c r="E29" s="54"/>
      <c r="F29" s="53"/>
      <c r="G29" s="54"/>
      <c r="H29" s="54"/>
      <c r="I29" s="54"/>
      <c r="J29" s="54"/>
      <c r="K29" s="54"/>
      <c r="L29" s="54"/>
      <c r="M29" s="54"/>
      <c r="N29" s="54"/>
      <c r="O29" s="54"/>
      <c r="P29" s="48"/>
    </row>
    <row r="30" spans="1:16" ht="15" thickTop="1" x14ac:dyDescent="0.35">
      <c r="A30" s="39">
        <v>14</v>
      </c>
      <c r="B30" s="32" t="s">
        <v>36</v>
      </c>
      <c r="C30" s="32"/>
      <c r="D30" s="47">
        <f t="shared" ref="D30:O30" si="4">D25+D28</f>
        <v>6664740.9036277626</v>
      </c>
      <c r="E30" s="47">
        <f t="shared" si="4"/>
        <v>5901710.0449320627</v>
      </c>
      <c r="F30" s="47">
        <f t="shared" si="4"/>
        <v>5104381.790467184</v>
      </c>
      <c r="G30" s="47">
        <f t="shared" si="4"/>
        <v>5519635.8077643989</v>
      </c>
      <c r="H30" s="47">
        <f t="shared" si="4"/>
        <v>5705002.5332918037</v>
      </c>
      <c r="I30" s="47">
        <f t="shared" si="4"/>
        <v>6298575.4893785687</v>
      </c>
      <c r="J30" s="47">
        <f t="shared" si="4"/>
        <v>6595690.3693303447</v>
      </c>
      <c r="K30" s="47">
        <f t="shared" si="4"/>
        <v>6578513.0770630995</v>
      </c>
      <c r="L30" s="47">
        <f t="shared" si="4"/>
        <v>7141841.4946049629</v>
      </c>
      <c r="M30" s="47">
        <f t="shared" si="4"/>
        <v>6421604.7786588324</v>
      </c>
      <c r="N30" s="47">
        <f t="shared" si="4"/>
        <v>6166132.2591395462</v>
      </c>
      <c r="O30" s="47">
        <f t="shared" si="4"/>
        <v>5434946.5463783406</v>
      </c>
      <c r="P30" s="49">
        <f>SUM(D30:O30)</f>
        <v>73532775.094636917</v>
      </c>
    </row>
    <row r="32" spans="1:16" s="44" customFormat="1" x14ac:dyDescent="0.35">
      <c r="A32" s="13"/>
      <c r="B32" s="56" t="s">
        <v>41</v>
      </c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43"/>
    </row>
    <row r="33" spans="1:16" x14ac:dyDescent="0.35">
      <c r="A33" s="20"/>
      <c r="B33" s="58" t="s">
        <v>35</v>
      </c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34"/>
    </row>
    <row r="34" spans="1:16" x14ac:dyDescent="0.35">
      <c r="A34" s="20"/>
      <c r="B34" s="58" t="s">
        <v>43</v>
      </c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36" t="s">
        <v>21</v>
      </c>
    </row>
    <row r="35" spans="1:16" x14ac:dyDescent="0.35">
      <c r="A35" s="20"/>
      <c r="B35" s="57" t="str">
        <f>B4</f>
        <v>TEST YEAR ENDING 12/31/2018</v>
      </c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20" t="s">
        <v>21</v>
      </c>
    </row>
    <row r="36" spans="1:16" x14ac:dyDescent="0.35">
      <c r="A36" s="20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20"/>
    </row>
    <row r="37" spans="1:16" x14ac:dyDescent="0.35">
      <c r="A37" s="20"/>
      <c r="B37" s="32"/>
      <c r="C37" s="32"/>
      <c r="D37" s="37">
        <v>2018</v>
      </c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20"/>
    </row>
    <row r="38" spans="1:16" x14ac:dyDescent="0.35">
      <c r="A38" s="32" t="s">
        <v>0</v>
      </c>
      <c r="B38" s="32" t="s">
        <v>1</v>
      </c>
      <c r="C38" s="32" t="s">
        <v>2</v>
      </c>
      <c r="D38" s="38" t="s">
        <v>9</v>
      </c>
      <c r="E38" s="38" t="s">
        <v>10</v>
      </c>
      <c r="F38" s="38" t="s">
        <v>11</v>
      </c>
      <c r="G38" s="38" t="s">
        <v>12</v>
      </c>
      <c r="H38" s="38" t="s">
        <v>13</v>
      </c>
      <c r="I38" s="38" t="s">
        <v>14</v>
      </c>
      <c r="J38" s="38" t="s">
        <v>3</v>
      </c>
      <c r="K38" s="38" t="s">
        <v>4</v>
      </c>
      <c r="L38" s="38" t="s">
        <v>5</v>
      </c>
      <c r="M38" s="38" t="s">
        <v>6</v>
      </c>
      <c r="N38" s="38" t="s">
        <v>7</v>
      </c>
      <c r="O38" s="38" t="s">
        <v>8</v>
      </c>
      <c r="P38" s="38" t="s">
        <v>29</v>
      </c>
    </row>
    <row r="39" spans="1:16" x14ac:dyDescent="0.35">
      <c r="A39" s="20"/>
      <c r="B39" s="32"/>
      <c r="C39" s="32"/>
      <c r="D39" s="38"/>
      <c r="E39" s="38"/>
      <c r="F39" s="32"/>
      <c r="G39" s="38"/>
      <c r="H39" s="38"/>
      <c r="I39" s="38"/>
      <c r="J39" s="38"/>
      <c r="K39" s="38"/>
      <c r="L39" s="38"/>
      <c r="M39" s="38"/>
      <c r="N39" s="38"/>
      <c r="O39" s="38"/>
      <c r="P39" s="32"/>
    </row>
    <row r="40" spans="1:16" x14ac:dyDescent="0.35">
      <c r="A40" s="39" t="s">
        <v>15</v>
      </c>
      <c r="B40" s="20" t="s">
        <v>16</v>
      </c>
      <c r="C40" s="30" t="s">
        <v>17</v>
      </c>
      <c r="D40" s="50">
        <v>3352310.6327356552</v>
      </c>
      <c r="E40" s="50">
        <v>2597131.5055674543</v>
      </c>
      <c r="F40" s="50">
        <v>1859533.5283604781</v>
      </c>
      <c r="G40" s="50">
        <v>1991831.6958103424</v>
      </c>
      <c r="H40" s="50">
        <v>2087625.0801498948</v>
      </c>
      <c r="I40" s="50">
        <v>2564734.1098591131</v>
      </c>
      <c r="J40" s="50">
        <v>2840079.7693705959</v>
      </c>
      <c r="K40" s="50">
        <v>2797415.1809344729</v>
      </c>
      <c r="L40" s="50">
        <v>3230352.7992238924</v>
      </c>
      <c r="M40" s="50">
        <v>2631855.7576029697</v>
      </c>
      <c r="N40" s="50">
        <v>2607311.1825596313</v>
      </c>
      <c r="O40" s="50">
        <v>2249272.9530846109</v>
      </c>
      <c r="P40" s="45">
        <f>SUM(D40:O40)</f>
        <v>30809454.195259113</v>
      </c>
    </row>
    <row r="41" spans="1:16" x14ac:dyDescent="0.35">
      <c r="A41" s="39"/>
      <c r="B41" s="20"/>
      <c r="C41" s="30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45"/>
    </row>
    <row r="42" spans="1:16" x14ac:dyDescent="0.35">
      <c r="A42" s="39">
        <v>2</v>
      </c>
      <c r="B42" s="20" t="s">
        <v>18</v>
      </c>
      <c r="C42" s="30" t="s">
        <v>17</v>
      </c>
      <c r="D42" s="50">
        <v>106232.32012329562</v>
      </c>
      <c r="E42" s="50">
        <v>89936.37358062822</v>
      </c>
      <c r="F42" s="50">
        <v>78207.403713558699</v>
      </c>
      <c r="G42" s="50">
        <v>91005.071321495721</v>
      </c>
      <c r="H42" s="50">
        <v>97696.535522244405</v>
      </c>
      <c r="I42" s="50">
        <v>108291.77903533673</v>
      </c>
      <c r="J42" s="50">
        <v>112297.16225356996</v>
      </c>
      <c r="K42" s="50">
        <v>112066.57204087816</v>
      </c>
      <c r="L42" s="50">
        <v>114630.75056579501</v>
      </c>
      <c r="M42" s="50">
        <v>111749.34066124617</v>
      </c>
      <c r="N42" s="50">
        <v>91516.908626356279</v>
      </c>
      <c r="O42" s="50">
        <v>76972.30826750987</v>
      </c>
      <c r="P42" s="45">
        <f>SUM(D42:O42)</f>
        <v>1190602.5257119148</v>
      </c>
    </row>
    <row r="43" spans="1:16" x14ac:dyDescent="0.35">
      <c r="A43" s="39"/>
      <c r="B43" s="20"/>
      <c r="C43" s="30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45"/>
    </row>
    <row r="44" spans="1:16" x14ac:dyDescent="0.35">
      <c r="A44" s="39">
        <v>3</v>
      </c>
      <c r="B44" s="20" t="s">
        <v>19</v>
      </c>
      <c r="C44" s="30" t="s">
        <v>17</v>
      </c>
      <c r="D44" s="50">
        <v>1352500.6676299321</v>
      </c>
      <c r="E44" s="50">
        <v>1313276.824092231</v>
      </c>
      <c r="F44" s="50">
        <v>1172006.2044270835</v>
      </c>
      <c r="G44" s="50">
        <v>1354956.1091031882</v>
      </c>
      <c r="H44" s="50">
        <v>1365346.7534918396</v>
      </c>
      <c r="I44" s="50">
        <v>1550996.207285732</v>
      </c>
      <c r="J44" s="50">
        <v>1578524.7482192589</v>
      </c>
      <c r="K44" s="50">
        <v>1605611.090383207</v>
      </c>
      <c r="L44" s="50">
        <v>1738007.2672055024</v>
      </c>
      <c r="M44" s="50">
        <v>1599044.7190938236</v>
      </c>
      <c r="N44" s="50">
        <v>1457994.491237981</v>
      </c>
      <c r="O44" s="50">
        <v>1169404.305556583</v>
      </c>
      <c r="P44" s="45">
        <f>SUM(D44:O44)</f>
        <v>17257669.387726363</v>
      </c>
    </row>
    <row r="45" spans="1:16" ht="15" thickBot="1" x14ac:dyDescent="0.4">
      <c r="A45" s="39">
        <v>4</v>
      </c>
      <c r="B45" s="20" t="s">
        <v>20</v>
      </c>
      <c r="C45" s="30" t="s">
        <v>17</v>
      </c>
      <c r="D45" s="52">
        <v>173289.82288245417</v>
      </c>
      <c r="E45" s="52">
        <v>169579.95601606037</v>
      </c>
      <c r="F45" s="52">
        <v>160830.75892813847</v>
      </c>
      <c r="G45" s="52">
        <v>172055.54435605148</v>
      </c>
      <c r="H45" s="52">
        <v>167554.52454473605</v>
      </c>
      <c r="I45" s="52">
        <v>174370.26786541811</v>
      </c>
      <c r="J45" s="52">
        <v>192599.82110338486</v>
      </c>
      <c r="K45" s="52">
        <v>186113.73020629023</v>
      </c>
      <c r="L45" s="52">
        <v>225535.03243519223</v>
      </c>
      <c r="M45" s="52">
        <v>210420.55345056945</v>
      </c>
      <c r="N45" s="52">
        <v>208940.21999166929</v>
      </c>
      <c r="O45" s="52">
        <v>179659.27864288675</v>
      </c>
      <c r="P45" s="46">
        <f>SUM(D45:O45)</f>
        <v>2220949.5104228514</v>
      </c>
    </row>
    <row r="46" spans="1:16" ht="15" thickTop="1" x14ac:dyDescent="0.35">
      <c r="A46" s="39">
        <v>5</v>
      </c>
      <c r="B46" s="20" t="s">
        <v>30</v>
      </c>
      <c r="C46" s="30" t="s">
        <v>17</v>
      </c>
      <c r="D46" s="47">
        <f>SUM(D44:D45)</f>
        <v>1525790.4905123862</v>
      </c>
      <c r="E46" s="47">
        <f t="shared" ref="E46:O46" si="5">SUM(E44:E45)</f>
        <v>1482856.7801082914</v>
      </c>
      <c r="F46" s="47">
        <f t="shared" si="5"/>
        <v>1332836.963355222</v>
      </c>
      <c r="G46" s="47">
        <f t="shared" si="5"/>
        <v>1527011.6534592398</v>
      </c>
      <c r="H46" s="47">
        <f t="shared" si="5"/>
        <v>1532901.2780365758</v>
      </c>
      <c r="I46" s="47">
        <f t="shared" si="5"/>
        <v>1725366.47515115</v>
      </c>
      <c r="J46" s="47">
        <f t="shared" si="5"/>
        <v>1771124.5693226438</v>
      </c>
      <c r="K46" s="47">
        <f t="shared" si="5"/>
        <v>1791724.8205894972</v>
      </c>
      <c r="L46" s="47">
        <f t="shared" si="5"/>
        <v>1963542.2996406946</v>
      </c>
      <c r="M46" s="47">
        <f t="shared" si="5"/>
        <v>1809465.2725443931</v>
      </c>
      <c r="N46" s="47">
        <f t="shared" si="5"/>
        <v>1666934.7112296503</v>
      </c>
      <c r="O46" s="47">
        <f t="shared" si="5"/>
        <v>1349063.5841994698</v>
      </c>
      <c r="P46" s="45">
        <f>SUM(P44:P45)</f>
        <v>19478618.898149215</v>
      </c>
    </row>
    <row r="47" spans="1:16" x14ac:dyDescent="0.35">
      <c r="A47" s="39"/>
      <c r="B47" s="20"/>
      <c r="C47" s="30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47"/>
    </row>
    <row r="48" spans="1:16" x14ac:dyDescent="0.35">
      <c r="A48" s="39">
        <v>6</v>
      </c>
      <c r="B48" s="20" t="s">
        <v>22</v>
      </c>
      <c r="C48" s="30" t="s">
        <v>23</v>
      </c>
      <c r="D48" s="50">
        <v>35053.07709854214</v>
      </c>
      <c r="E48" s="50">
        <v>38819.809901546279</v>
      </c>
      <c r="F48" s="50">
        <v>31393.190686948241</v>
      </c>
      <c r="G48" s="50">
        <v>38223.730420273088</v>
      </c>
      <c r="H48" s="50">
        <v>46315.749485762593</v>
      </c>
      <c r="I48" s="50">
        <v>38447.628614867011</v>
      </c>
      <c r="J48" s="50">
        <v>43440.795468110453</v>
      </c>
      <c r="K48" s="50">
        <v>49731.056904637051</v>
      </c>
      <c r="L48" s="50">
        <v>42753.549401016826</v>
      </c>
      <c r="M48" s="50">
        <v>48990.065810293941</v>
      </c>
      <c r="N48" s="50">
        <v>53548.724774862945</v>
      </c>
      <c r="O48" s="50">
        <v>43586.785423292138</v>
      </c>
      <c r="P48" s="45">
        <f>SUM(D48:O48)</f>
        <v>510304.16399015277</v>
      </c>
    </row>
    <row r="49" spans="1:16" ht="15" thickBot="1" x14ac:dyDescent="0.4">
      <c r="A49" s="39">
        <v>7</v>
      </c>
      <c r="B49" s="20" t="s">
        <v>24</v>
      </c>
      <c r="C49" s="30" t="s">
        <v>23</v>
      </c>
      <c r="D49" s="52">
        <v>479026.12229102326</v>
      </c>
      <c r="E49" s="52">
        <v>524263.90275058884</v>
      </c>
      <c r="F49" s="52">
        <v>537114.73258899816</v>
      </c>
      <c r="G49" s="52">
        <v>545775.98803757143</v>
      </c>
      <c r="H49" s="52">
        <v>590434.2351220093</v>
      </c>
      <c r="I49" s="52">
        <v>593347.5345927137</v>
      </c>
      <c r="J49" s="52">
        <v>598725.375248914</v>
      </c>
      <c r="K49" s="52">
        <v>605835.63319230441</v>
      </c>
      <c r="L49" s="52">
        <v>596352.73349549936</v>
      </c>
      <c r="M49" s="52">
        <v>584022.77815777599</v>
      </c>
      <c r="N49" s="52">
        <v>531487.43731715658</v>
      </c>
      <c r="O49" s="52">
        <v>522916.44755403174</v>
      </c>
      <c r="P49" s="46">
        <f>SUM(D49:O49)</f>
        <v>6709302.9203485856</v>
      </c>
    </row>
    <row r="50" spans="1:16" ht="15" thickTop="1" x14ac:dyDescent="0.35">
      <c r="A50" s="39">
        <v>8</v>
      </c>
      <c r="B50" s="20" t="s">
        <v>31</v>
      </c>
      <c r="C50" s="30" t="s">
        <v>23</v>
      </c>
      <c r="D50" s="47">
        <f>SUM(D48:D49)</f>
        <v>514079.19938956539</v>
      </c>
      <c r="E50" s="47">
        <f t="shared" ref="E50:O50" si="6">SUM(E48:E49)</f>
        <v>563083.71265213517</v>
      </c>
      <c r="F50" s="47">
        <f t="shared" si="6"/>
        <v>568507.92327594641</v>
      </c>
      <c r="G50" s="47">
        <f t="shared" si="6"/>
        <v>583999.71845784457</v>
      </c>
      <c r="H50" s="47">
        <f t="shared" si="6"/>
        <v>636749.98460777185</v>
      </c>
      <c r="I50" s="47">
        <f t="shared" si="6"/>
        <v>631795.16320758068</v>
      </c>
      <c r="J50" s="47">
        <f t="shared" si="6"/>
        <v>642166.17071702448</v>
      </c>
      <c r="K50" s="47">
        <f t="shared" si="6"/>
        <v>655566.69009694143</v>
      </c>
      <c r="L50" s="47">
        <f t="shared" si="6"/>
        <v>639106.28289651615</v>
      </c>
      <c r="M50" s="47">
        <f t="shared" si="6"/>
        <v>633012.84396806988</v>
      </c>
      <c r="N50" s="47">
        <f t="shared" si="6"/>
        <v>585036.16209201957</v>
      </c>
      <c r="O50" s="47">
        <f t="shared" si="6"/>
        <v>566503.23297732393</v>
      </c>
      <c r="P50" s="45">
        <f>SUM(P48:P49)</f>
        <v>7219607.0843387386</v>
      </c>
    </row>
    <row r="51" spans="1:16" x14ac:dyDescent="0.35">
      <c r="A51" s="39"/>
      <c r="B51" s="20"/>
      <c r="C51" s="30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47"/>
    </row>
    <row r="52" spans="1:16" x14ac:dyDescent="0.35">
      <c r="A52" s="39">
        <v>9</v>
      </c>
      <c r="B52" s="20" t="s">
        <v>25</v>
      </c>
      <c r="C52" s="30" t="s">
        <v>26</v>
      </c>
      <c r="D52" s="50">
        <v>667726.52280000004</v>
      </c>
      <c r="E52" s="50">
        <v>719430.96840000013</v>
      </c>
      <c r="F52" s="50">
        <v>886593.71118649037</v>
      </c>
      <c r="G52" s="50">
        <v>910165.95198140934</v>
      </c>
      <c r="H52" s="50">
        <v>920602.3842000002</v>
      </c>
      <c r="I52" s="50">
        <v>782934.17751266412</v>
      </c>
      <c r="J52" s="50">
        <v>720957.210937761</v>
      </c>
      <c r="K52" s="50">
        <v>719541.4845439191</v>
      </c>
      <c r="L52" s="50">
        <v>648404.63940650586</v>
      </c>
      <c r="M52" s="50">
        <v>757132.58070000017</v>
      </c>
      <c r="N52" s="50">
        <v>756309.36158140947</v>
      </c>
      <c r="O52" s="50">
        <v>795111.84730000014</v>
      </c>
      <c r="P52" s="45">
        <f>SUM(D52:O52)</f>
        <v>9284910.84055016</v>
      </c>
    </row>
    <row r="53" spans="1:16" x14ac:dyDescent="0.35">
      <c r="A53" s="39"/>
      <c r="B53" s="20"/>
      <c r="C53" s="30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47"/>
    </row>
    <row r="54" spans="1:16" x14ac:dyDescent="0.35">
      <c r="A54" s="39">
        <v>10</v>
      </c>
      <c r="B54" s="20" t="s">
        <v>27</v>
      </c>
      <c r="C54" s="30" t="s">
        <v>17</v>
      </c>
      <c r="D54" s="50">
        <v>56835.414634428176</v>
      </c>
      <c r="E54" s="50">
        <v>68448.737598309715</v>
      </c>
      <c r="F54" s="50">
        <v>66886.593657456222</v>
      </c>
      <c r="G54" s="50">
        <v>74785.567378454565</v>
      </c>
      <c r="H54" s="50">
        <v>76876.587526741889</v>
      </c>
      <c r="I54" s="50">
        <v>80738.816143803429</v>
      </c>
      <c r="J54" s="50">
        <v>78990.993426392131</v>
      </c>
      <c r="K54" s="50">
        <v>73680.122289413019</v>
      </c>
      <c r="L54" s="50">
        <v>70915.067648102107</v>
      </c>
      <c r="M54" s="50">
        <v>63081.552075433763</v>
      </c>
      <c r="N54" s="50">
        <v>61320.075796674457</v>
      </c>
      <c r="O54" s="50">
        <v>56317.054915370121</v>
      </c>
      <c r="P54" s="45">
        <f>SUM(D54:O54)</f>
        <v>828876.5830905796</v>
      </c>
    </row>
    <row r="55" spans="1:16" ht="15" thickBot="1" x14ac:dyDescent="0.4">
      <c r="A55" s="39"/>
      <c r="B55" s="20"/>
      <c r="C55" s="30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48"/>
    </row>
    <row r="56" spans="1:16" ht="15" thickTop="1" x14ac:dyDescent="0.35">
      <c r="A56" s="39">
        <v>11</v>
      </c>
      <c r="B56" s="32" t="s">
        <v>32</v>
      </c>
      <c r="C56" s="30"/>
      <c r="D56" s="47">
        <f>D40+D42+D46+D50+D52+D54</f>
        <v>6222974.580195331</v>
      </c>
      <c r="E56" s="47">
        <f t="shared" ref="E56:O56" si="7">E40+E42+E46+E50+E52+E54</f>
        <v>5520888.0779068172</v>
      </c>
      <c r="F56" s="47">
        <f t="shared" si="7"/>
        <v>4792566.1235491522</v>
      </c>
      <c r="G56" s="47">
        <f t="shared" si="7"/>
        <v>5178799.6584087862</v>
      </c>
      <c r="H56" s="47">
        <f t="shared" si="7"/>
        <v>5352451.8500432288</v>
      </c>
      <c r="I56" s="47">
        <f t="shared" si="7"/>
        <v>5893860.5209096475</v>
      </c>
      <c r="J56" s="47">
        <f t="shared" si="7"/>
        <v>6165615.8760279864</v>
      </c>
      <c r="K56" s="47">
        <f t="shared" si="7"/>
        <v>6149994.870495121</v>
      </c>
      <c r="L56" s="47">
        <f t="shared" si="7"/>
        <v>6666951.8393815067</v>
      </c>
      <c r="M56" s="47">
        <f t="shared" si="7"/>
        <v>6006297.3475521123</v>
      </c>
      <c r="N56" s="47">
        <f t="shared" si="7"/>
        <v>5768428.4018857405</v>
      </c>
      <c r="O56" s="47">
        <f t="shared" si="7"/>
        <v>5093240.9807442855</v>
      </c>
      <c r="P56" s="49">
        <f>SUM(D56:O56)</f>
        <v>68812070.127099723</v>
      </c>
    </row>
    <row r="57" spans="1:16" x14ac:dyDescent="0.35">
      <c r="A57" s="39"/>
      <c r="B57" s="20"/>
      <c r="C57" s="30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47"/>
    </row>
    <row r="58" spans="1:16" x14ac:dyDescent="0.35">
      <c r="A58" s="39">
        <v>12</v>
      </c>
      <c r="B58" s="20" t="s">
        <v>33</v>
      </c>
      <c r="C58" s="30" t="s">
        <v>23</v>
      </c>
      <c r="D58" s="51">
        <v>0</v>
      </c>
      <c r="E58" s="51">
        <v>0</v>
      </c>
      <c r="F58" s="51">
        <v>0</v>
      </c>
      <c r="G58" s="51">
        <v>0</v>
      </c>
      <c r="H58" s="51">
        <v>0</v>
      </c>
      <c r="I58" s="51">
        <v>0</v>
      </c>
      <c r="J58" s="51">
        <v>0</v>
      </c>
      <c r="K58" s="51">
        <v>0</v>
      </c>
      <c r="L58" s="51">
        <v>0</v>
      </c>
      <c r="M58" s="51">
        <v>0</v>
      </c>
      <c r="N58" s="51">
        <v>0</v>
      </c>
      <c r="O58" s="51">
        <v>0</v>
      </c>
      <c r="P58" s="47">
        <f>SUM(D58:O58)</f>
        <v>0</v>
      </c>
    </row>
    <row r="59" spans="1:16" x14ac:dyDescent="0.35">
      <c r="A59" s="39">
        <v>13</v>
      </c>
      <c r="B59" s="32" t="s">
        <v>34</v>
      </c>
      <c r="C59" s="32"/>
      <c r="D59" s="47">
        <f t="shared" ref="D59:P59" si="8">SUM(D58:D58)</f>
        <v>0</v>
      </c>
      <c r="E59" s="47">
        <f t="shared" si="8"/>
        <v>0</v>
      </c>
      <c r="F59" s="47">
        <f t="shared" si="8"/>
        <v>0</v>
      </c>
      <c r="G59" s="47">
        <f t="shared" si="8"/>
        <v>0</v>
      </c>
      <c r="H59" s="47">
        <f t="shared" si="8"/>
        <v>0</v>
      </c>
      <c r="I59" s="47">
        <f t="shared" si="8"/>
        <v>0</v>
      </c>
      <c r="J59" s="47">
        <f t="shared" si="8"/>
        <v>0</v>
      </c>
      <c r="K59" s="47">
        <f t="shared" si="8"/>
        <v>0</v>
      </c>
      <c r="L59" s="47">
        <f t="shared" si="8"/>
        <v>0</v>
      </c>
      <c r="M59" s="47">
        <f t="shared" si="8"/>
        <v>0</v>
      </c>
      <c r="N59" s="47">
        <f t="shared" si="8"/>
        <v>0</v>
      </c>
      <c r="O59" s="47">
        <f t="shared" si="8"/>
        <v>0</v>
      </c>
      <c r="P59" s="47">
        <f t="shared" si="8"/>
        <v>0</v>
      </c>
    </row>
    <row r="60" spans="1:16" ht="15" thickBot="1" x14ac:dyDescent="0.4">
      <c r="A60" s="39"/>
      <c r="B60" s="32"/>
      <c r="C60" s="32"/>
      <c r="D60" s="54"/>
      <c r="E60" s="54"/>
      <c r="F60" s="53"/>
      <c r="G60" s="54"/>
      <c r="H60" s="54"/>
      <c r="I60" s="54"/>
      <c r="J60" s="54"/>
      <c r="K60" s="54"/>
      <c r="L60" s="54"/>
      <c r="M60" s="54"/>
      <c r="N60" s="54"/>
      <c r="O60" s="54"/>
      <c r="P60" s="48"/>
    </row>
    <row r="61" spans="1:16" ht="15" thickTop="1" x14ac:dyDescent="0.35">
      <c r="A61" s="39">
        <v>14</v>
      </c>
      <c r="B61" s="32" t="s">
        <v>36</v>
      </c>
      <c r="C61" s="32"/>
      <c r="D61" s="47">
        <f t="shared" ref="D61:O61" si="9">D56+D59</f>
        <v>6222974.580195331</v>
      </c>
      <c r="E61" s="47">
        <f t="shared" si="9"/>
        <v>5520888.0779068172</v>
      </c>
      <c r="F61" s="47">
        <f t="shared" si="9"/>
        <v>4792566.1235491522</v>
      </c>
      <c r="G61" s="47">
        <f t="shared" si="9"/>
        <v>5178799.6584087862</v>
      </c>
      <c r="H61" s="47">
        <f t="shared" si="9"/>
        <v>5352451.8500432288</v>
      </c>
      <c r="I61" s="47">
        <f t="shared" si="9"/>
        <v>5893860.5209096475</v>
      </c>
      <c r="J61" s="47">
        <f t="shared" si="9"/>
        <v>6165615.8760279864</v>
      </c>
      <c r="K61" s="47">
        <f t="shared" si="9"/>
        <v>6149994.870495121</v>
      </c>
      <c r="L61" s="47">
        <f t="shared" si="9"/>
        <v>6666951.8393815067</v>
      </c>
      <c r="M61" s="47">
        <f t="shared" si="9"/>
        <v>6006297.3475521123</v>
      </c>
      <c r="N61" s="47">
        <f t="shared" si="9"/>
        <v>5768428.4018857405</v>
      </c>
      <c r="O61" s="47">
        <f t="shared" si="9"/>
        <v>5093240.9807442855</v>
      </c>
      <c r="P61" s="49">
        <f>SUM(D61:O61)</f>
        <v>68812070.127099723</v>
      </c>
    </row>
  </sheetData>
  <mergeCells count="8">
    <mergeCell ref="B1:O1"/>
    <mergeCell ref="B32:O32"/>
    <mergeCell ref="B35:O35"/>
    <mergeCell ref="B2:O2"/>
    <mergeCell ref="B3:O3"/>
    <mergeCell ref="B4:O4"/>
    <mergeCell ref="B33:O33"/>
    <mergeCell ref="B34:O34"/>
  </mergeCells>
  <pageMargins left="0.7" right="0.7" top="0.75" bottom="0.75" header="0.3" footer="0.3"/>
  <pageSetup scale="50" fitToHeight="0" orientation="landscape" r:id="rId1"/>
  <headerFooter>
    <oddHeader>&amp;RII-H-1.4 Adjusted Test Year Load Data
&amp;A
Page &amp;P of &amp;N</oddHeader>
    <oddFooter>&amp;LSponsored by: Nora D. Williams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1"/>
  <sheetViews>
    <sheetView topLeftCell="C17" workbookViewId="0">
      <selection activeCell="E23" sqref="E23:O23"/>
    </sheetView>
  </sheetViews>
  <sheetFormatPr defaultColWidth="9.1796875" defaultRowHeight="14.5" x14ac:dyDescent="0.35"/>
  <cols>
    <col min="1" max="1" width="7.26953125" style="35" bestFit="1" customWidth="1"/>
    <col min="2" max="2" width="31.1796875" style="35" bestFit="1" customWidth="1"/>
    <col min="3" max="3" width="7.26953125" style="35" bestFit="1" customWidth="1"/>
    <col min="4" max="15" width="15" style="35" bestFit="1" customWidth="1"/>
    <col min="16" max="16" width="16.1796875" style="35" bestFit="1" customWidth="1"/>
    <col min="17" max="16384" width="9.1796875" style="35"/>
  </cols>
  <sheetData>
    <row r="1" spans="1:17" s="44" customFormat="1" x14ac:dyDescent="0.35">
      <c r="A1" s="13"/>
      <c r="B1" s="56" t="s">
        <v>41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43"/>
    </row>
    <row r="2" spans="1:17" x14ac:dyDescent="0.35">
      <c r="A2" s="20"/>
      <c r="B2" s="58" t="s">
        <v>35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34"/>
    </row>
    <row r="3" spans="1:17" x14ac:dyDescent="0.35">
      <c r="A3" s="20"/>
      <c r="B3" s="58" t="s">
        <v>44</v>
      </c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36" t="s">
        <v>21</v>
      </c>
    </row>
    <row r="4" spans="1:17" x14ac:dyDescent="0.35">
      <c r="A4" s="20"/>
      <c r="B4" s="57" t="str">
        <f>'II-H-1.4.(1) TEX 2018'!B4:O4</f>
        <v>TEST YEAR ENDING 12/31/2018</v>
      </c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20" t="s">
        <v>21</v>
      </c>
    </row>
    <row r="5" spans="1:17" x14ac:dyDescent="0.35">
      <c r="A5" s="20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20"/>
    </row>
    <row r="6" spans="1:17" x14ac:dyDescent="0.35">
      <c r="A6" s="20"/>
      <c r="B6" s="32"/>
      <c r="C6" s="32"/>
      <c r="D6" s="37">
        <v>2018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20"/>
      <c r="Q6" s="20"/>
    </row>
    <row r="7" spans="1:17" x14ac:dyDescent="0.35">
      <c r="A7" s="32" t="s">
        <v>0</v>
      </c>
      <c r="B7" s="32" t="s">
        <v>1</v>
      </c>
      <c r="C7" s="32" t="s">
        <v>2</v>
      </c>
      <c r="D7" s="38" t="s">
        <v>9</v>
      </c>
      <c r="E7" s="38" t="s">
        <v>10</v>
      </c>
      <c r="F7" s="38" t="s">
        <v>11</v>
      </c>
      <c r="G7" s="38" t="s">
        <v>12</v>
      </c>
      <c r="H7" s="38" t="s">
        <v>13</v>
      </c>
      <c r="I7" s="38" t="s">
        <v>14</v>
      </c>
      <c r="J7" s="38" t="s">
        <v>3</v>
      </c>
      <c r="K7" s="38" t="s">
        <v>4</v>
      </c>
      <c r="L7" s="38" t="s">
        <v>5</v>
      </c>
      <c r="M7" s="38" t="s">
        <v>6</v>
      </c>
      <c r="N7" s="38" t="s">
        <v>7</v>
      </c>
      <c r="O7" s="38" t="s">
        <v>8</v>
      </c>
      <c r="P7" s="38" t="s">
        <v>29</v>
      </c>
      <c r="Q7" s="20"/>
    </row>
    <row r="8" spans="1:17" x14ac:dyDescent="0.35">
      <c r="A8" s="20"/>
      <c r="B8" s="32"/>
      <c r="C8" s="32"/>
      <c r="D8" s="38"/>
      <c r="E8" s="38"/>
      <c r="F8" s="32"/>
      <c r="G8" s="38"/>
      <c r="H8" s="38"/>
      <c r="I8" s="38"/>
      <c r="J8" s="38"/>
      <c r="K8" s="38"/>
      <c r="L8" s="38"/>
      <c r="M8" s="38"/>
      <c r="N8" s="38"/>
      <c r="O8" s="38"/>
      <c r="P8" s="32"/>
    </row>
    <row r="9" spans="1:17" x14ac:dyDescent="0.35">
      <c r="A9" s="39" t="s">
        <v>15</v>
      </c>
      <c r="B9" s="20" t="s">
        <v>16</v>
      </c>
      <c r="C9" s="30" t="s">
        <v>17</v>
      </c>
      <c r="D9" s="50">
        <v>3370344.1392040974</v>
      </c>
      <c r="E9" s="50">
        <v>2743857.5315096769</v>
      </c>
      <c r="F9" s="50">
        <v>1716843.6101523084</v>
      </c>
      <c r="G9" s="50">
        <v>2037311.5721067835</v>
      </c>
      <c r="H9" s="50">
        <v>2060084.4083567238</v>
      </c>
      <c r="I9" s="50">
        <v>2656272.1965755806</v>
      </c>
      <c r="J9" s="50">
        <v>2970993.6285261419</v>
      </c>
      <c r="K9" s="50">
        <v>2653233.4412035448</v>
      </c>
      <c r="L9" s="50">
        <v>3448465.7260056478</v>
      </c>
      <c r="M9" s="50">
        <v>2609051.9608145258</v>
      </c>
      <c r="N9" s="50">
        <v>2659414.2273674747</v>
      </c>
      <c r="O9" s="50">
        <v>2429529.687544812</v>
      </c>
      <c r="P9" s="45">
        <f>SUM(D9:O9)</f>
        <v>31355402.129367318</v>
      </c>
    </row>
    <row r="10" spans="1:17" x14ac:dyDescent="0.35">
      <c r="A10" s="39"/>
      <c r="B10" s="20"/>
      <c r="C10" s="3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45"/>
    </row>
    <row r="11" spans="1:17" x14ac:dyDescent="0.35">
      <c r="A11" s="39">
        <v>2</v>
      </c>
      <c r="B11" s="20" t="s">
        <v>18</v>
      </c>
      <c r="C11" s="30" t="s">
        <v>17</v>
      </c>
      <c r="D11" s="50">
        <v>99050.719840597885</v>
      </c>
      <c r="E11" s="50">
        <v>76771.242712393359</v>
      </c>
      <c r="F11" s="50">
        <v>80333.585100868426</v>
      </c>
      <c r="G11" s="50">
        <v>96984.075665667449</v>
      </c>
      <c r="H11" s="50">
        <v>101980.89779675609</v>
      </c>
      <c r="I11" s="50">
        <v>112059.48530933344</v>
      </c>
      <c r="J11" s="50">
        <v>114023.50527673044</v>
      </c>
      <c r="K11" s="50">
        <v>113035.47158218322</v>
      </c>
      <c r="L11" s="50">
        <v>103039.97812475913</v>
      </c>
      <c r="M11" s="50">
        <v>117048.69560062687</v>
      </c>
      <c r="N11" s="50">
        <v>70219.685072307824</v>
      </c>
      <c r="O11" s="50">
        <v>65387.070166327663</v>
      </c>
      <c r="P11" s="45">
        <f>SUM(D11:O11)</f>
        <v>1149934.4122485521</v>
      </c>
    </row>
    <row r="12" spans="1:17" x14ac:dyDescent="0.35">
      <c r="A12" s="39"/>
      <c r="B12" s="20"/>
      <c r="C12" s="3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45"/>
    </row>
    <row r="13" spans="1:17" x14ac:dyDescent="0.35">
      <c r="A13" s="39">
        <v>3</v>
      </c>
      <c r="B13" s="20" t="s">
        <v>19</v>
      </c>
      <c r="C13" s="30" t="s">
        <v>17</v>
      </c>
      <c r="D13" s="50">
        <v>1208035.7687253749</v>
      </c>
      <c r="E13" s="50">
        <v>1104723.5678748344</v>
      </c>
      <c r="F13" s="50">
        <v>1190563.0264118484</v>
      </c>
      <c r="G13" s="50">
        <v>1384629.6732459373</v>
      </c>
      <c r="H13" s="50">
        <v>1424800.4304723002</v>
      </c>
      <c r="I13" s="50">
        <v>1595984.0530681985</v>
      </c>
      <c r="J13" s="50">
        <v>1668114.5757147579</v>
      </c>
      <c r="K13" s="50">
        <v>1723052.0154316588</v>
      </c>
      <c r="L13" s="50">
        <v>1493091.3930616225</v>
      </c>
      <c r="M13" s="50">
        <v>1705098.1419203458</v>
      </c>
      <c r="N13" s="50">
        <v>1215939.5378738069</v>
      </c>
      <c r="O13" s="50">
        <v>1071719.3019201951</v>
      </c>
      <c r="P13" s="45">
        <f>SUM(D13:O13)</f>
        <v>16785751.485720884</v>
      </c>
    </row>
    <row r="14" spans="1:17" ht="15" thickBot="1" x14ac:dyDescent="0.4">
      <c r="A14" s="39">
        <v>4</v>
      </c>
      <c r="B14" s="20" t="s">
        <v>20</v>
      </c>
      <c r="C14" s="30" t="s">
        <v>17</v>
      </c>
      <c r="D14" s="52">
        <v>142215.17844216761</v>
      </c>
      <c r="E14" s="52">
        <v>147774.04149951684</v>
      </c>
      <c r="F14" s="52">
        <v>166484.06343965459</v>
      </c>
      <c r="G14" s="52">
        <v>175211.58146566339</v>
      </c>
      <c r="H14" s="52">
        <v>173780.17284664433</v>
      </c>
      <c r="I14" s="52">
        <v>170914.56639251919</v>
      </c>
      <c r="J14" s="52">
        <v>187534.98457767343</v>
      </c>
      <c r="K14" s="52">
        <v>198122.15635741697</v>
      </c>
      <c r="L14" s="52">
        <v>179424.79790035609</v>
      </c>
      <c r="M14" s="52">
        <v>224375.2367813678</v>
      </c>
      <c r="N14" s="52">
        <v>160347.55214524173</v>
      </c>
      <c r="O14" s="52">
        <v>154984.72130418938</v>
      </c>
      <c r="P14" s="46">
        <f>SUM(D14:O14)</f>
        <v>2081169.0531524112</v>
      </c>
    </row>
    <row r="15" spans="1:17" ht="15" thickTop="1" x14ac:dyDescent="0.35">
      <c r="A15" s="39">
        <v>5</v>
      </c>
      <c r="B15" s="20" t="s">
        <v>30</v>
      </c>
      <c r="C15" s="30" t="s">
        <v>17</v>
      </c>
      <c r="D15" s="47">
        <f>SUM(D13:D14)</f>
        <v>1350250.9471675425</v>
      </c>
      <c r="E15" s="47">
        <f t="shared" ref="E15:O15" si="0">SUM(E13:E14)</f>
        <v>1252497.6093743513</v>
      </c>
      <c r="F15" s="47">
        <f t="shared" si="0"/>
        <v>1357047.089851503</v>
      </c>
      <c r="G15" s="47">
        <f t="shared" si="0"/>
        <v>1559841.2547116007</v>
      </c>
      <c r="H15" s="47">
        <f t="shared" si="0"/>
        <v>1598580.6033189446</v>
      </c>
      <c r="I15" s="47">
        <f t="shared" si="0"/>
        <v>1766898.6194607178</v>
      </c>
      <c r="J15" s="47">
        <f t="shared" si="0"/>
        <v>1855649.5602924314</v>
      </c>
      <c r="K15" s="47">
        <f t="shared" si="0"/>
        <v>1921174.1717890757</v>
      </c>
      <c r="L15" s="47">
        <f t="shared" si="0"/>
        <v>1672516.1909619786</v>
      </c>
      <c r="M15" s="47">
        <f t="shared" si="0"/>
        <v>1929473.3787017136</v>
      </c>
      <c r="N15" s="47">
        <f t="shared" si="0"/>
        <v>1376287.0900190487</v>
      </c>
      <c r="O15" s="47">
        <f t="shared" si="0"/>
        <v>1226704.0232243845</v>
      </c>
      <c r="P15" s="45">
        <f>SUM(P13:P14)</f>
        <v>18866920.538873296</v>
      </c>
    </row>
    <row r="16" spans="1:17" x14ac:dyDescent="0.35">
      <c r="A16" s="39"/>
      <c r="B16" s="20"/>
      <c r="C16" s="3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47"/>
    </row>
    <row r="17" spans="1:16" x14ac:dyDescent="0.35">
      <c r="A17" s="39">
        <v>6</v>
      </c>
      <c r="B17" s="20" t="s">
        <v>22</v>
      </c>
      <c r="C17" s="30" t="s">
        <v>23</v>
      </c>
      <c r="D17" s="50">
        <v>33692.973165104573</v>
      </c>
      <c r="E17" s="50">
        <v>39227.47842897183</v>
      </c>
      <c r="F17" s="50">
        <v>32885.232848779815</v>
      </c>
      <c r="G17" s="50">
        <v>39137.651411082457</v>
      </c>
      <c r="H17" s="50">
        <v>47217.271268976016</v>
      </c>
      <c r="I17" s="50">
        <v>38201.880626338549</v>
      </c>
      <c r="J17" s="50">
        <v>44574.518367851037</v>
      </c>
      <c r="K17" s="50">
        <v>49616.528488491153</v>
      </c>
      <c r="L17" s="50">
        <v>39453.369668282117</v>
      </c>
      <c r="M17" s="50">
        <v>50754.193291354029</v>
      </c>
      <c r="N17" s="50">
        <v>48020.503383842763</v>
      </c>
      <c r="O17" s="50">
        <v>40691.694804395564</v>
      </c>
      <c r="P17" s="45">
        <f>SUM(D17:O17)</f>
        <v>503473.29575346987</v>
      </c>
    </row>
    <row r="18" spans="1:16" ht="15" thickBot="1" x14ac:dyDescent="0.4">
      <c r="A18" s="39">
        <v>7</v>
      </c>
      <c r="B18" s="20" t="s">
        <v>24</v>
      </c>
      <c r="C18" s="30" t="s">
        <v>23</v>
      </c>
      <c r="D18" s="52">
        <v>387786.95325649652</v>
      </c>
      <c r="E18" s="52">
        <v>467465.02415036515</v>
      </c>
      <c r="F18" s="52">
        <v>546240.45415106032</v>
      </c>
      <c r="G18" s="52">
        <v>537538.82145324093</v>
      </c>
      <c r="H18" s="52">
        <v>601720.56227881217</v>
      </c>
      <c r="I18" s="52">
        <v>575362.60296351172</v>
      </c>
      <c r="J18" s="52">
        <v>577790.14998137986</v>
      </c>
      <c r="K18" s="52">
        <v>621910.54511317937</v>
      </c>
      <c r="L18" s="52">
        <v>540739.29973249556</v>
      </c>
      <c r="M18" s="52">
        <v>595392.98534208105</v>
      </c>
      <c r="N18" s="52">
        <v>481267.16571915825</v>
      </c>
      <c r="O18" s="52">
        <v>489314.05804554862</v>
      </c>
      <c r="P18" s="46">
        <f>SUM(D18:O18)</f>
        <v>6422528.6221873285</v>
      </c>
    </row>
    <row r="19" spans="1:16" ht="15" thickTop="1" x14ac:dyDescent="0.35">
      <c r="A19" s="39">
        <v>8</v>
      </c>
      <c r="B19" s="20" t="s">
        <v>31</v>
      </c>
      <c r="C19" s="30" t="s">
        <v>23</v>
      </c>
      <c r="D19" s="47">
        <f>SUM(D17:D18)</f>
        <v>421479.92642160109</v>
      </c>
      <c r="E19" s="47">
        <f t="shared" ref="E19:O19" si="1">SUM(E17:E18)</f>
        <v>506692.50257933699</v>
      </c>
      <c r="F19" s="47">
        <f t="shared" si="1"/>
        <v>579125.68699984008</v>
      </c>
      <c r="G19" s="47">
        <f t="shared" si="1"/>
        <v>576676.47286432341</v>
      </c>
      <c r="H19" s="47">
        <f t="shared" si="1"/>
        <v>648937.83354778821</v>
      </c>
      <c r="I19" s="47">
        <f t="shared" si="1"/>
        <v>613564.48358985025</v>
      </c>
      <c r="J19" s="47">
        <f t="shared" si="1"/>
        <v>622364.66834923089</v>
      </c>
      <c r="K19" s="47">
        <f t="shared" si="1"/>
        <v>671527.07360167056</v>
      </c>
      <c r="L19" s="47">
        <f t="shared" si="1"/>
        <v>580192.66940077767</v>
      </c>
      <c r="M19" s="47">
        <f t="shared" si="1"/>
        <v>646147.17863343505</v>
      </c>
      <c r="N19" s="47">
        <f t="shared" si="1"/>
        <v>529287.66910300101</v>
      </c>
      <c r="O19" s="47">
        <f t="shared" si="1"/>
        <v>530005.75284994417</v>
      </c>
      <c r="P19" s="45">
        <f>SUM(P17:P18)</f>
        <v>6926001.9179407982</v>
      </c>
    </row>
    <row r="20" spans="1:16" x14ac:dyDescent="0.35">
      <c r="A20" s="39"/>
      <c r="B20" s="20"/>
      <c r="C20" s="3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47"/>
    </row>
    <row r="21" spans="1:16" x14ac:dyDescent="0.35">
      <c r="A21" s="39">
        <v>9</v>
      </c>
      <c r="B21" s="20" t="s">
        <v>25</v>
      </c>
      <c r="C21" s="30" t="s">
        <v>26</v>
      </c>
      <c r="D21" s="50">
        <v>531553.37837411265</v>
      </c>
      <c r="E21" s="50">
        <v>549911.46523036517</v>
      </c>
      <c r="F21" s="50">
        <v>815711.06156652037</v>
      </c>
      <c r="G21" s="50">
        <v>832648.61978392524</v>
      </c>
      <c r="H21" s="50">
        <v>564935.03084670764</v>
      </c>
      <c r="I21" s="50">
        <v>520873.44563882257</v>
      </c>
      <c r="J21" s="50">
        <v>550853.20499532751</v>
      </c>
      <c r="K21" s="50">
        <v>669994.51452806278</v>
      </c>
      <c r="L21" s="50">
        <v>584374.20070475258</v>
      </c>
      <c r="M21" s="50">
        <v>530872.6516202027</v>
      </c>
      <c r="N21" s="50">
        <v>566410.07447566674</v>
      </c>
      <c r="O21" s="50">
        <v>693751.96252775087</v>
      </c>
      <c r="P21" s="45">
        <f>SUM(D21:O21)</f>
        <v>7411889.6102922168</v>
      </c>
    </row>
    <row r="22" spans="1:16" x14ac:dyDescent="0.35">
      <c r="A22" s="39"/>
      <c r="B22" s="20"/>
      <c r="C22" s="3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47"/>
    </row>
    <row r="23" spans="1:16" x14ac:dyDescent="0.35">
      <c r="A23" s="39">
        <v>10</v>
      </c>
      <c r="B23" s="20" t="s">
        <v>27</v>
      </c>
      <c r="C23" s="30" t="s">
        <v>17</v>
      </c>
      <c r="D23" s="50">
        <v>59138.823141657922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45">
        <f>SUM(D23:O23)</f>
        <v>59138.823141657922</v>
      </c>
    </row>
    <row r="24" spans="1:16" ht="15" thickBot="1" x14ac:dyDescent="0.4">
      <c r="A24" s="39"/>
      <c r="B24" s="20"/>
      <c r="C24" s="30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48"/>
    </row>
    <row r="25" spans="1:16" ht="15" thickTop="1" x14ac:dyDescent="0.35">
      <c r="A25" s="39">
        <v>11</v>
      </c>
      <c r="B25" s="32" t="s">
        <v>32</v>
      </c>
      <c r="C25" s="30"/>
      <c r="D25" s="47">
        <f>D9+D11+D15+D19+D21+D23</f>
        <v>5831817.9341496099</v>
      </c>
      <c r="E25" s="47">
        <f t="shared" ref="E25:O25" si="2">E9+E11+E15+E19+E21+E23</f>
        <v>5129730.3514061244</v>
      </c>
      <c r="F25" s="47">
        <f t="shared" si="2"/>
        <v>4549061.0336710401</v>
      </c>
      <c r="G25" s="47">
        <f t="shared" si="2"/>
        <v>5103461.9951323001</v>
      </c>
      <c r="H25" s="47">
        <f t="shared" si="2"/>
        <v>4974518.7738669198</v>
      </c>
      <c r="I25" s="47">
        <f t="shared" si="2"/>
        <v>5669668.2305743042</v>
      </c>
      <c r="J25" s="47">
        <f t="shared" si="2"/>
        <v>6113884.5674398616</v>
      </c>
      <c r="K25" s="47">
        <f t="shared" si="2"/>
        <v>6028964.6727045374</v>
      </c>
      <c r="L25" s="47">
        <f t="shared" si="2"/>
        <v>6388588.765197916</v>
      </c>
      <c r="M25" s="47">
        <f t="shared" si="2"/>
        <v>5832593.8653705036</v>
      </c>
      <c r="N25" s="47">
        <f t="shared" si="2"/>
        <v>5201618.746037499</v>
      </c>
      <c r="O25" s="47">
        <f t="shared" si="2"/>
        <v>4945378.496313219</v>
      </c>
      <c r="P25" s="49">
        <f>SUM(D25:O25)</f>
        <v>65769287.431863844</v>
      </c>
    </row>
    <row r="26" spans="1:16" x14ac:dyDescent="0.35">
      <c r="A26" s="39"/>
      <c r="B26" s="20"/>
      <c r="C26" s="3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47"/>
    </row>
    <row r="27" spans="1:16" x14ac:dyDescent="0.35">
      <c r="A27" s="39">
        <v>12</v>
      </c>
      <c r="B27" s="20" t="s">
        <v>33</v>
      </c>
      <c r="C27" s="30" t="s">
        <v>23</v>
      </c>
      <c r="D27" s="51">
        <v>0</v>
      </c>
      <c r="E27" s="51">
        <v>0</v>
      </c>
      <c r="F27" s="51">
        <v>0</v>
      </c>
      <c r="G27" s="51">
        <v>0</v>
      </c>
      <c r="H27" s="51">
        <v>0</v>
      </c>
      <c r="I27" s="51">
        <v>0</v>
      </c>
      <c r="J27" s="51">
        <v>0</v>
      </c>
      <c r="K27" s="51">
        <v>0</v>
      </c>
      <c r="L27" s="51">
        <v>0</v>
      </c>
      <c r="M27" s="51">
        <v>0</v>
      </c>
      <c r="N27" s="51">
        <v>0</v>
      </c>
      <c r="O27" s="51">
        <v>0</v>
      </c>
      <c r="P27" s="47">
        <f>SUM(D27:O27)</f>
        <v>0</v>
      </c>
    </row>
    <row r="28" spans="1:16" x14ac:dyDescent="0.35">
      <c r="A28" s="39">
        <v>13</v>
      </c>
      <c r="B28" s="32" t="s">
        <v>34</v>
      </c>
      <c r="C28" s="32"/>
      <c r="D28" s="47">
        <f t="shared" ref="D28:P28" si="3">SUM(D27:D27)</f>
        <v>0</v>
      </c>
      <c r="E28" s="47">
        <f t="shared" si="3"/>
        <v>0</v>
      </c>
      <c r="F28" s="47">
        <f t="shared" si="3"/>
        <v>0</v>
      </c>
      <c r="G28" s="47">
        <f t="shared" si="3"/>
        <v>0</v>
      </c>
      <c r="H28" s="47">
        <f t="shared" si="3"/>
        <v>0</v>
      </c>
      <c r="I28" s="47">
        <f t="shared" si="3"/>
        <v>0</v>
      </c>
      <c r="J28" s="47">
        <f t="shared" si="3"/>
        <v>0</v>
      </c>
      <c r="K28" s="47">
        <f t="shared" si="3"/>
        <v>0</v>
      </c>
      <c r="L28" s="47">
        <f t="shared" si="3"/>
        <v>0</v>
      </c>
      <c r="M28" s="47">
        <f t="shared" si="3"/>
        <v>0</v>
      </c>
      <c r="N28" s="47">
        <f t="shared" si="3"/>
        <v>0</v>
      </c>
      <c r="O28" s="47">
        <f t="shared" si="3"/>
        <v>0</v>
      </c>
      <c r="P28" s="47">
        <f t="shared" si="3"/>
        <v>0</v>
      </c>
    </row>
    <row r="29" spans="1:16" ht="15" thickBot="1" x14ac:dyDescent="0.4">
      <c r="A29" s="39"/>
      <c r="B29" s="32"/>
      <c r="C29" s="32"/>
      <c r="D29" s="54"/>
      <c r="E29" s="54"/>
      <c r="F29" s="53"/>
      <c r="G29" s="54"/>
      <c r="H29" s="54"/>
      <c r="I29" s="54"/>
      <c r="J29" s="54"/>
      <c r="K29" s="54"/>
      <c r="L29" s="54"/>
      <c r="M29" s="54"/>
      <c r="N29" s="54"/>
      <c r="O29" s="54"/>
      <c r="P29" s="48"/>
    </row>
    <row r="30" spans="1:16" ht="15" thickTop="1" x14ac:dyDescent="0.35">
      <c r="A30" s="39">
        <v>14</v>
      </c>
      <c r="B30" s="32" t="s">
        <v>36</v>
      </c>
      <c r="C30" s="32"/>
      <c r="D30" s="47">
        <f t="shared" ref="D30:O30" si="4">D25+D28</f>
        <v>5831817.9341496099</v>
      </c>
      <c r="E30" s="47">
        <f t="shared" si="4"/>
        <v>5129730.3514061244</v>
      </c>
      <c r="F30" s="47">
        <f t="shared" si="4"/>
        <v>4549061.0336710401</v>
      </c>
      <c r="G30" s="47">
        <f t="shared" si="4"/>
        <v>5103461.9951323001</v>
      </c>
      <c r="H30" s="47">
        <f t="shared" si="4"/>
        <v>4974518.7738669198</v>
      </c>
      <c r="I30" s="47">
        <f t="shared" si="4"/>
        <v>5669668.2305743042</v>
      </c>
      <c r="J30" s="47">
        <f t="shared" si="4"/>
        <v>6113884.5674398616</v>
      </c>
      <c r="K30" s="47">
        <f t="shared" si="4"/>
        <v>6028964.6727045374</v>
      </c>
      <c r="L30" s="47">
        <f t="shared" si="4"/>
        <v>6388588.765197916</v>
      </c>
      <c r="M30" s="47">
        <f t="shared" si="4"/>
        <v>5832593.8653705036</v>
      </c>
      <c r="N30" s="47">
        <f t="shared" si="4"/>
        <v>5201618.746037499</v>
      </c>
      <c r="O30" s="47">
        <f t="shared" si="4"/>
        <v>4945378.496313219</v>
      </c>
      <c r="P30" s="49">
        <f>SUM(D30:O30)</f>
        <v>65769287.431863844</v>
      </c>
    </row>
    <row r="32" spans="1:16" s="44" customFormat="1" x14ac:dyDescent="0.35">
      <c r="A32" s="13"/>
      <c r="B32" s="56" t="s">
        <v>41</v>
      </c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43"/>
    </row>
    <row r="33" spans="1:16" x14ac:dyDescent="0.35">
      <c r="A33" s="20"/>
      <c r="B33" s="58" t="s">
        <v>35</v>
      </c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34"/>
    </row>
    <row r="34" spans="1:16" x14ac:dyDescent="0.35">
      <c r="A34" s="20"/>
      <c r="B34" s="58" t="s">
        <v>45</v>
      </c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36" t="s">
        <v>21</v>
      </c>
    </row>
    <row r="35" spans="1:16" x14ac:dyDescent="0.35">
      <c r="A35" s="20"/>
      <c r="B35" s="57" t="str">
        <f>B4</f>
        <v>TEST YEAR ENDING 12/31/2018</v>
      </c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20" t="s">
        <v>21</v>
      </c>
    </row>
    <row r="36" spans="1:16" x14ac:dyDescent="0.35">
      <c r="A36" s="20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20"/>
    </row>
    <row r="37" spans="1:16" x14ac:dyDescent="0.35">
      <c r="A37" s="20"/>
      <c r="B37" s="32"/>
      <c r="C37" s="32"/>
      <c r="D37" s="37">
        <v>2018</v>
      </c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20"/>
    </row>
    <row r="38" spans="1:16" x14ac:dyDescent="0.35">
      <c r="A38" s="32" t="s">
        <v>0</v>
      </c>
      <c r="B38" s="32" t="s">
        <v>1</v>
      </c>
      <c r="C38" s="32" t="s">
        <v>2</v>
      </c>
      <c r="D38" s="38" t="s">
        <v>9</v>
      </c>
      <c r="E38" s="38" t="s">
        <v>10</v>
      </c>
      <c r="F38" s="38" t="s">
        <v>11</v>
      </c>
      <c r="G38" s="38" t="s">
        <v>12</v>
      </c>
      <c r="H38" s="38" t="s">
        <v>13</v>
      </c>
      <c r="I38" s="38" t="s">
        <v>14</v>
      </c>
      <c r="J38" s="38" t="s">
        <v>3</v>
      </c>
      <c r="K38" s="38" t="s">
        <v>4</v>
      </c>
      <c r="L38" s="38" t="s">
        <v>5</v>
      </c>
      <c r="M38" s="38" t="s">
        <v>6</v>
      </c>
      <c r="N38" s="38" t="s">
        <v>7</v>
      </c>
      <c r="O38" s="38" t="s">
        <v>8</v>
      </c>
      <c r="P38" s="38" t="s">
        <v>29</v>
      </c>
    </row>
    <row r="39" spans="1:16" x14ac:dyDescent="0.35">
      <c r="A39" s="20"/>
      <c r="B39" s="32"/>
      <c r="C39" s="32"/>
      <c r="D39" s="38"/>
      <c r="E39" s="38"/>
      <c r="F39" s="32"/>
      <c r="G39" s="38"/>
      <c r="H39" s="38"/>
      <c r="I39" s="38"/>
      <c r="J39" s="38"/>
      <c r="K39" s="38"/>
      <c r="L39" s="38"/>
      <c r="M39" s="38"/>
      <c r="N39" s="38"/>
      <c r="O39" s="38"/>
      <c r="P39" s="32"/>
    </row>
    <row r="40" spans="1:16" x14ac:dyDescent="0.35">
      <c r="A40" s="39" t="s">
        <v>15</v>
      </c>
      <c r="B40" s="20" t="s">
        <v>16</v>
      </c>
      <c r="C40" s="30" t="s">
        <v>17</v>
      </c>
      <c r="D40" s="50">
        <v>3120284.5364527721</v>
      </c>
      <c r="E40" s="50">
        <v>2540279.529977296</v>
      </c>
      <c r="F40" s="50">
        <v>1589463.9677748331</v>
      </c>
      <c r="G40" s="50">
        <v>1886155.102215253</v>
      </c>
      <c r="H40" s="50">
        <v>1907238.3286950984</v>
      </c>
      <c r="I40" s="50">
        <v>2459192.5089114192</v>
      </c>
      <c r="J40" s="50">
        <v>2750563.4718889603</v>
      </c>
      <c r="K40" s="50">
        <v>2456379.211216643</v>
      </c>
      <c r="L40" s="50">
        <v>3192609.9635284753</v>
      </c>
      <c r="M40" s="50">
        <v>2415475.7353810854</v>
      </c>
      <c r="N40" s="50">
        <v>2462101.4196006763</v>
      </c>
      <c r="O40" s="50">
        <v>2249272.9530846109</v>
      </c>
      <c r="P40" s="45">
        <f>SUM(D40:O40)</f>
        <v>29029016.728727125</v>
      </c>
    </row>
    <row r="41" spans="1:16" x14ac:dyDescent="0.35">
      <c r="A41" s="39"/>
      <c r="B41" s="20"/>
      <c r="C41" s="30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45"/>
    </row>
    <row r="42" spans="1:16" x14ac:dyDescent="0.35">
      <c r="A42" s="39">
        <v>2</v>
      </c>
      <c r="B42" s="20" t="s">
        <v>18</v>
      </c>
      <c r="C42" s="30" t="s">
        <v>17</v>
      </c>
      <c r="D42" s="50">
        <v>91701.74221915481</v>
      </c>
      <c r="E42" s="50">
        <v>71075.270531961927</v>
      </c>
      <c r="F42" s="50">
        <v>74373.30818307666</v>
      </c>
      <c r="G42" s="50">
        <v>89788.430819770991</v>
      </c>
      <c r="H42" s="50">
        <v>94414.518300179683</v>
      </c>
      <c r="I42" s="50">
        <v>103745.33422457591</v>
      </c>
      <c r="J42" s="50">
        <v>105563.63552570077</v>
      </c>
      <c r="K42" s="50">
        <v>104648.90808801008</v>
      </c>
      <c r="L42" s="50">
        <v>95395.021131296977</v>
      </c>
      <c r="M42" s="50">
        <v>108364.37461868541</v>
      </c>
      <c r="N42" s="50">
        <v>65009.799722543205</v>
      </c>
      <c r="O42" s="50">
        <v>60535.736262269391</v>
      </c>
      <c r="P42" s="45">
        <f>SUM(D42:O42)</f>
        <v>1064616.0796272259</v>
      </c>
    </row>
    <row r="43" spans="1:16" x14ac:dyDescent="0.35">
      <c r="A43" s="39"/>
      <c r="B43" s="20"/>
      <c r="C43" s="30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45"/>
    </row>
    <row r="44" spans="1:16" x14ac:dyDescent="0.35">
      <c r="A44" s="39">
        <v>3</v>
      </c>
      <c r="B44" s="20" t="s">
        <v>19</v>
      </c>
      <c r="C44" s="30" t="s">
        <v>17</v>
      </c>
      <c r="D44" s="50">
        <v>1118406.6590676901</v>
      </c>
      <c r="E44" s="50">
        <v>1022759.6125269263</v>
      </c>
      <c r="F44" s="50">
        <v>1102230.2908991873</v>
      </c>
      <c r="G44" s="50">
        <v>1281898.3402576863</v>
      </c>
      <c r="H44" s="50">
        <v>1319088.6648696465</v>
      </c>
      <c r="I44" s="50">
        <v>1477571.4750571207</v>
      </c>
      <c r="J44" s="50">
        <v>1544350.3395066916</v>
      </c>
      <c r="K44" s="50">
        <v>1595211.7460992637</v>
      </c>
      <c r="L44" s="50">
        <v>1382312.841910884</v>
      </c>
      <c r="M44" s="50">
        <v>1578589.9438224172</v>
      </c>
      <c r="N44" s="50">
        <v>1125724.01528858</v>
      </c>
      <c r="O44" s="50">
        <v>992204.06791730237</v>
      </c>
      <c r="P44" s="45">
        <f>SUM(D44:O44)</f>
        <v>15540347.997223396</v>
      </c>
    </row>
    <row r="45" spans="1:16" ht="15" thickBot="1" x14ac:dyDescent="0.4">
      <c r="A45" s="39">
        <v>4</v>
      </c>
      <c r="B45" s="20" t="s">
        <v>20</v>
      </c>
      <c r="C45" s="30" t="s">
        <v>17</v>
      </c>
      <c r="D45" s="52">
        <v>131663.65326917585</v>
      </c>
      <c r="E45" s="52">
        <v>136810.08156305371</v>
      </c>
      <c r="F45" s="52">
        <v>154131.93052720441</v>
      </c>
      <c r="G45" s="52">
        <v>162211.91833064545</v>
      </c>
      <c r="H45" s="52">
        <v>160886.71176573806</v>
      </c>
      <c r="I45" s="52">
        <v>158233.71636317438</v>
      </c>
      <c r="J45" s="52">
        <v>173620.99781294409</v>
      </c>
      <c r="K45" s="52">
        <v>183422.66405967463</v>
      </c>
      <c r="L45" s="52">
        <v>166112.53902304894</v>
      </c>
      <c r="M45" s="52">
        <v>207727.92117815078</v>
      </c>
      <c r="N45" s="52">
        <v>148450.71207921355</v>
      </c>
      <c r="O45" s="52">
        <v>143485.77157052731</v>
      </c>
      <c r="P45" s="46">
        <f>SUM(D45:O45)</f>
        <v>1926758.6175425509</v>
      </c>
    </row>
    <row r="46" spans="1:16" ht="15" thickTop="1" x14ac:dyDescent="0.35">
      <c r="A46" s="39">
        <v>5</v>
      </c>
      <c r="B46" s="20" t="s">
        <v>30</v>
      </c>
      <c r="C46" s="30" t="s">
        <v>17</v>
      </c>
      <c r="D46" s="47">
        <f>SUM(D44:D45)</f>
        <v>1250070.312336866</v>
      </c>
      <c r="E46" s="47">
        <f t="shared" ref="E46:O46" si="5">SUM(E44:E45)</f>
        <v>1159569.6940899801</v>
      </c>
      <c r="F46" s="47">
        <f t="shared" si="5"/>
        <v>1256362.2214263917</v>
      </c>
      <c r="G46" s="47">
        <f t="shared" si="5"/>
        <v>1444110.2585883318</v>
      </c>
      <c r="H46" s="47">
        <f t="shared" si="5"/>
        <v>1479975.3766353845</v>
      </c>
      <c r="I46" s="47">
        <f t="shared" si="5"/>
        <v>1635805.191420295</v>
      </c>
      <c r="J46" s="47">
        <f t="shared" si="5"/>
        <v>1717971.3373196356</v>
      </c>
      <c r="K46" s="47">
        <f t="shared" si="5"/>
        <v>1778634.4101589383</v>
      </c>
      <c r="L46" s="47">
        <f t="shared" si="5"/>
        <v>1548425.380933933</v>
      </c>
      <c r="M46" s="47">
        <f t="shared" si="5"/>
        <v>1786317.8650005679</v>
      </c>
      <c r="N46" s="47">
        <f t="shared" si="5"/>
        <v>1274174.7273677934</v>
      </c>
      <c r="O46" s="47">
        <f t="shared" si="5"/>
        <v>1135689.8394878297</v>
      </c>
      <c r="P46" s="45">
        <f>SUM(P44:P45)</f>
        <v>17467106.614765946</v>
      </c>
    </row>
    <row r="47" spans="1:16" x14ac:dyDescent="0.35">
      <c r="A47" s="39"/>
      <c r="B47" s="20"/>
      <c r="C47" s="30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47"/>
    </row>
    <row r="48" spans="1:16" x14ac:dyDescent="0.35">
      <c r="A48" s="39">
        <v>6</v>
      </c>
      <c r="B48" s="20" t="s">
        <v>22</v>
      </c>
      <c r="C48" s="30" t="s">
        <v>23</v>
      </c>
      <c r="D48" s="50">
        <v>32064.116068809071</v>
      </c>
      <c r="E48" s="50">
        <v>37331.060552885261</v>
      </c>
      <c r="F48" s="50">
        <v>31295.425246269337</v>
      </c>
      <c r="G48" s="50">
        <v>37245.576143017184</v>
      </c>
      <c r="H48" s="50">
        <v>44934.59389891132</v>
      </c>
      <c r="I48" s="50">
        <v>36355.044372229298</v>
      </c>
      <c r="J48" s="50">
        <v>42419.602557909246</v>
      </c>
      <c r="K48" s="50">
        <v>47217.861142454465</v>
      </c>
      <c r="L48" s="50">
        <v>37546.031279293988</v>
      </c>
      <c r="M48" s="50">
        <v>48300.5265429711</v>
      </c>
      <c r="N48" s="50">
        <v>45698.994465019758</v>
      </c>
      <c r="O48" s="50">
        <v>38724.490677955429</v>
      </c>
      <c r="P48" s="45">
        <f>SUM(D48:O48)</f>
        <v>479133.32294772542</v>
      </c>
    </row>
    <row r="49" spans="1:16" ht="15" thickBot="1" x14ac:dyDescent="0.4">
      <c r="A49" s="39">
        <v>7</v>
      </c>
      <c r="B49" s="20" t="s">
        <v>24</v>
      </c>
      <c r="C49" s="30" t="s">
        <v>23</v>
      </c>
      <c r="D49" s="52">
        <v>369039.73473210557</v>
      </c>
      <c r="E49" s="52">
        <v>444865.83950358315</v>
      </c>
      <c r="F49" s="52">
        <v>519832.94076043047</v>
      </c>
      <c r="G49" s="52">
        <v>511551.98082721827</v>
      </c>
      <c r="H49" s="52">
        <v>572630.91195166751</v>
      </c>
      <c r="I49" s="52">
        <v>547547.20495195256</v>
      </c>
      <c r="J49" s="52">
        <v>549857.39434847725</v>
      </c>
      <c r="K49" s="52">
        <v>591844.82785799331</v>
      </c>
      <c r="L49" s="52">
        <v>514597.73480443051</v>
      </c>
      <c r="M49" s="52">
        <v>566609.23614587088</v>
      </c>
      <c r="N49" s="52">
        <v>458000.72870114032</v>
      </c>
      <c r="O49" s="52">
        <v>465658.6011092012</v>
      </c>
      <c r="P49" s="46">
        <f>SUM(D49:O49)</f>
        <v>6112037.1356940717</v>
      </c>
    </row>
    <row r="50" spans="1:16" ht="15" thickTop="1" x14ac:dyDescent="0.35">
      <c r="A50" s="39">
        <v>8</v>
      </c>
      <c r="B50" s="20" t="s">
        <v>31</v>
      </c>
      <c r="C50" s="30" t="s">
        <v>23</v>
      </c>
      <c r="D50" s="47">
        <f>SUM(D48:D49)</f>
        <v>401103.85080091463</v>
      </c>
      <c r="E50" s="47">
        <f t="shared" ref="E50:O50" si="6">SUM(E48:E49)</f>
        <v>482196.90005646844</v>
      </c>
      <c r="F50" s="47">
        <f t="shared" si="6"/>
        <v>551128.36600669986</v>
      </c>
      <c r="G50" s="47">
        <f t="shared" si="6"/>
        <v>548797.55697023543</v>
      </c>
      <c r="H50" s="47">
        <f t="shared" si="6"/>
        <v>617565.50585057889</v>
      </c>
      <c r="I50" s="47">
        <f t="shared" si="6"/>
        <v>583902.24932418182</v>
      </c>
      <c r="J50" s="47">
        <f t="shared" si="6"/>
        <v>592276.99690638646</v>
      </c>
      <c r="K50" s="47">
        <f t="shared" si="6"/>
        <v>639062.68900044775</v>
      </c>
      <c r="L50" s="47">
        <f t="shared" si="6"/>
        <v>552143.76608372445</v>
      </c>
      <c r="M50" s="47">
        <f t="shared" si="6"/>
        <v>614909.76268884202</v>
      </c>
      <c r="N50" s="47">
        <f t="shared" si="6"/>
        <v>503699.72316616005</v>
      </c>
      <c r="O50" s="47">
        <f t="shared" si="6"/>
        <v>504383.09178715665</v>
      </c>
      <c r="P50" s="45">
        <f>SUM(P48:P49)</f>
        <v>6591170.4586417973</v>
      </c>
    </row>
    <row r="51" spans="1:16" x14ac:dyDescent="0.35">
      <c r="A51" s="39"/>
      <c r="B51" s="20"/>
      <c r="C51" s="30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47"/>
    </row>
    <row r="52" spans="1:16" x14ac:dyDescent="0.35">
      <c r="A52" s="39">
        <v>9</v>
      </c>
      <c r="B52" s="20" t="s">
        <v>25</v>
      </c>
      <c r="C52" s="30" t="s">
        <v>26</v>
      </c>
      <c r="D52" s="50">
        <v>522436.8552500002</v>
      </c>
      <c r="E52" s="50">
        <v>540480.08770000015</v>
      </c>
      <c r="F52" s="50">
        <v>801721.02960000036</v>
      </c>
      <c r="G52" s="50">
        <v>818368.09650000022</v>
      </c>
      <c r="H52" s="50">
        <v>555245.98835000012</v>
      </c>
      <c r="I52" s="50">
        <v>511940.0910500001</v>
      </c>
      <c r="J52" s="50">
        <v>541405.67595000006</v>
      </c>
      <c r="K52" s="50">
        <v>658503.62625000032</v>
      </c>
      <c r="L52" s="50">
        <v>574351.76245000015</v>
      </c>
      <c r="M52" s="50">
        <v>521767.80345000018</v>
      </c>
      <c r="N52" s="50">
        <v>556695.73391878395</v>
      </c>
      <c r="O52" s="50">
        <v>681853.61691262561</v>
      </c>
      <c r="P52" s="45">
        <f>SUM(D52:O52)</f>
        <v>7284770.3673814125</v>
      </c>
    </row>
    <row r="53" spans="1:16" x14ac:dyDescent="0.35">
      <c r="A53" s="39"/>
      <c r="B53" s="20"/>
      <c r="C53" s="30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47"/>
    </row>
    <row r="54" spans="1:16" x14ac:dyDescent="0.35">
      <c r="A54" s="39">
        <v>10</v>
      </c>
      <c r="B54" s="20" t="s">
        <v>27</v>
      </c>
      <c r="C54" s="30" t="s">
        <v>17</v>
      </c>
      <c r="D54" s="50">
        <v>54751.072214396205</v>
      </c>
      <c r="E54" s="55">
        <v>0</v>
      </c>
      <c r="F54" s="55">
        <v>0</v>
      </c>
      <c r="G54" s="55">
        <v>0</v>
      </c>
      <c r="H54" s="55">
        <v>0</v>
      </c>
      <c r="I54" s="55">
        <v>0</v>
      </c>
      <c r="J54" s="55">
        <v>0</v>
      </c>
      <c r="K54" s="55">
        <v>0</v>
      </c>
      <c r="L54" s="55">
        <v>0</v>
      </c>
      <c r="M54" s="55">
        <v>0</v>
      </c>
      <c r="N54" s="55">
        <v>0</v>
      </c>
      <c r="O54" s="55">
        <v>0</v>
      </c>
      <c r="P54" s="45">
        <f>SUM(D54:O54)</f>
        <v>54751.072214396205</v>
      </c>
    </row>
    <row r="55" spans="1:16" ht="15" thickBot="1" x14ac:dyDescent="0.4">
      <c r="A55" s="39"/>
      <c r="B55" s="20"/>
      <c r="C55" s="30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48"/>
    </row>
    <row r="56" spans="1:16" ht="15" thickTop="1" x14ac:dyDescent="0.35">
      <c r="A56" s="39">
        <v>11</v>
      </c>
      <c r="B56" s="32" t="s">
        <v>32</v>
      </c>
      <c r="C56" s="30"/>
      <c r="D56" s="47">
        <f>D40+D42+D46+D50+D52+D54</f>
        <v>5440348.369274104</v>
      </c>
      <c r="E56" s="47">
        <f t="shared" ref="E56:O56" si="7">E40+E42+E46+E50+E52+E54</f>
        <v>4793601.4823557064</v>
      </c>
      <c r="F56" s="47">
        <f t="shared" si="7"/>
        <v>4273048.8929910017</v>
      </c>
      <c r="G56" s="47">
        <f t="shared" si="7"/>
        <v>4787219.4450935917</v>
      </c>
      <c r="H56" s="47">
        <f t="shared" si="7"/>
        <v>4654439.7178312419</v>
      </c>
      <c r="I56" s="47">
        <f t="shared" si="7"/>
        <v>5294585.3749304721</v>
      </c>
      <c r="J56" s="47">
        <f t="shared" si="7"/>
        <v>5707781.1175906835</v>
      </c>
      <c r="K56" s="47">
        <f t="shared" si="7"/>
        <v>5637228.8447140399</v>
      </c>
      <c r="L56" s="47">
        <f t="shared" si="7"/>
        <v>5962925.8941274304</v>
      </c>
      <c r="M56" s="47">
        <f t="shared" si="7"/>
        <v>5446835.5411391808</v>
      </c>
      <c r="N56" s="47">
        <f t="shared" si="7"/>
        <v>4861681.4037759574</v>
      </c>
      <c r="O56" s="47">
        <f t="shared" si="7"/>
        <v>4631735.2375344923</v>
      </c>
      <c r="P56" s="49">
        <f>SUM(D56:O56)</f>
        <v>61491431.321357898</v>
      </c>
    </row>
    <row r="57" spans="1:16" x14ac:dyDescent="0.35">
      <c r="A57" s="39"/>
      <c r="B57" s="20"/>
      <c r="C57" s="30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47"/>
    </row>
    <row r="58" spans="1:16" x14ac:dyDescent="0.35">
      <c r="A58" s="39">
        <v>12</v>
      </c>
      <c r="B58" s="20" t="s">
        <v>33</v>
      </c>
      <c r="C58" s="30" t="s">
        <v>23</v>
      </c>
      <c r="D58" s="51">
        <v>0</v>
      </c>
      <c r="E58" s="51">
        <v>0</v>
      </c>
      <c r="F58" s="51">
        <v>0</v>
      </c>
      <c r="G58" s="51">
        <v>0</v>
      </c>
      <c r="H58" s="51">
        <v>0</v>
      </c>
      <c r="I58" s="51">
        <v>0</v>
      </c>
      <c r="J58" s="51">
        <v>0</v>
      </c>
      <c r="K58" s="51">
        <v>0</v>
      </c>
      <c r="L58" s="51">
        <v>0</v>
      </c>
      <c r="M58" s="51">
        <v>0</v>
      </c>
      <c r="N58" s="51">
        <v>0</v>
      </c>
      <c r="O58" s="51">
        <v>0</v>
      </c>
      <c r="P58" s="47">
        <f>SUM(D58:O58)</f>
        <v>0</v>
      </c>
    </row>
    <row r="59" spans="1:16" x14ac:dyDescent="0.35">
      <c r="A59" s="39">
        <v>13</v>
      </c>
      <c r="B59" s="32" t="s">
        <v>34</v>
      </c>
      <c r="C59" s="32"/>
      <c r="D59" s="47">
        <f t="shared" ref="D59:P59" si="8">SUM(D58:D58)</f>
        <v>0</v>
      </c>
      <c r="E59" s="47">
        <f t="shared" si="8"/>
        <v>0</v>
      </c>
      <c r="F59" s="47">
        <f t="shared" si="8"/>
        <v>0</v>
      </c>
      <c r="G59" s="47">
        <f t="shared" si="8"/>
        <v>0</v>
      </c>
      <c r="H59" s="47">
        <f t="shared" si="8"/>
        <v>0</v>
      </c>
      <c r="I59" s="47">
        <f t="shared" si="8"/>
        <v>0</v>
      </c>
      <c r="J59" s="47">
        <f t="shared" si="8"/>
        <v>0</v>
      </c>
      <c r="K59" s="47">
        <f t="shared" si="8"/>
        <v>0</v>
      </c>
      <c r="L59" s="47">
        <f t="shared" si="8"/>
        <v>0</v>
      </c>
      <c r="M59" s="47">
        <f t="shared" si="8"/>
        <v>0</v>
      </c>
      <c r="N59" s="47">
        <f t="shared" si="8"/>
        <v>0</v>
      </c>
      <c r="O59" s="47">
        <f t="shared" si="8"/>
        <v>0</v>
      </c>
      <c r="P59" s="47">
        <f t="shared" si="8"/>
        <v>0</v>
      </c>
    </row>
    <row r="60" spans="1:16" ht="15" thickBot="1" x14ac:dyDescent="0.4">
      <c r="A60" s="39"/>
      <c r="B60" s="32"/>
      <c r="C60" s="32"/>
      <c r="D60" s="54"/>
      <c r="E60" s="54"/>
      <c r="F60" s="53"/>
      <c r="G60" s="54"/>
      <c r="H60" s="54"/>
      <c r="I60" s="54"/>
      <c r="J60" s="54"/>
      <c r="K60" s="54"/>
      <c r="L60" s="54"/>
      <c r="M60" s="54"/>
      <c r="N60" s="54"/>
      <c r="O60" s="54"/>
      <c r="P60" s="48"/>
    </row>
    <row r="61" spans="1:16" ht="15" thickTop="1" x14ac:dyDescent="0.35">
      <c r="A61" s="39">
        <v>14</v>
      </c>
      <c r="B61" s="32" t="s">
        <v>36</v>
      </c>
      <c r="C61" s="32"/>
      <c r="D61" s="47">
        <f t="shared" ref="D61:O61" si="9">D56+D59</f>
        <v>5440348.369274104</v>
      </c>
      <c r="E61" s="47">
        <f t="shared" si="9"/>
        <v>4793601.4823557064</v>
      </c>
      <c r="F61" s="47">
        <f t="shared" si="9"/>
        <v>4273048.8929910017</v>
      </c>
      <c r="G61" s="47">
        <f t="shared" si="9"/>
        <v>4787219.4450935917</v>
      </c>
      <c r="H61" s="47">
        <f t="shared" si="9"/>
        <v>4654439.7178312419</v>
      </c>
      <c r="I61" s="47">
        <f t="shared" si="9"/>
        <v>5294585.3749304721</v>
      </c>
      <c r="J61" s="47">
        <f t="shared" si="9"/>
        <v>5707781.1175906835</v>
      </c>
      <c r="K61" s="47">
        <f t="shared" si="9"/>
        <v>5637228.8447140399</v>
      </c>
      <c r="L61" s="47">
        <f t="shared" si="9"/>
        <v>5962925.8941274304</v>
      </c>
      <c r="M61" s="47">
        <f t="shared" si="9"/>
        <v>5446835.5411391808</v>
      </c>
      <c r="N61" s="47">
        <f t="shared" si="9"/>
        <v>4861681.4037759574</v>
      </c>
      <c r="O61" s="47">
        <f t="shared" si="9"/>
        <v>4631735.2375344923</v>
      </c>
      <c r="P61" s="49">
        <f>SUM(D61:O61)</f>
        <v>61491431.321357898</v>
      </c>
    </row>
  </sheetData>
  <mergeCells count="8">
    <mergeCell ref="B1:O1"/>
    <mergeCell ref="B32:O32"/>
    <mergeCell ref="B35:O35"/>
    <mergeCell ref="B2:O2"/>
    <mergeCell ref="B3:O3"/>
    <mergeCell ref="B4:O4"/>
    <mergeCell ref="B33:O33"/>
    <mergeCell ref="B34:O34"/>
  </mergeCells>
  <pageMargins left="0.7" right="0.7" top="0.75" bottom="0.75" header="0.3" footer="0.3"/>
  <pageSetup scale="50" fitToHeight="0" orientation="landscape" r:id="rId1"/>
  <headerFooter>
    <oddHeader>&amp;RII-H-1.4 Adjusted Test Year Load Data
&amp;A
Page &amp;P of &amp;N</oddHeader>
    <oddFooter>&amp;LSponsored by: Nora D. Williams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61"/>
  <sheetViews>
    <sheetView topLeftCell="C1" zoomScaleNormal="100" workbookViewId="0">
      <selection activeCell="B1" sqref="B1:O1"/>
    </sheetView>
  </sheetViews>
  <sheetFormatPr defaultColWidth="9.1796875" defaultRowHeight="14.5" x14ac:dyDescent="0.35"/>
  <cols>
    <col min="1" max="1" width="6.7265625" style="35" bestFit="1" customWidth="1"/>
    <col min="2" max="2" width="30.453125" style="35" bestFit="1" customWidth="1"/>
    <col min="3" max="3" width="7.1796875" style="35" bestFit="1" customWidth="1"/>
    <col min="4" max="4" width="16.81640625" style="35" bestFit="1" customWidth="1"/>
    <col min="5" max="8" width="16.7265625" style="35" bestFit="1" customWidth="1"/>
    <col min="9" max="13" width="16.81640625" style="35" bestFit="1" customWidth="1"/>
    <col min="14" max="15" width="16.7265625" style="35" bestFit="1" customWidth="1"/>
    <col min="16" max="16" width="17.7265625" style="35" bestFit="1" customWidth="1"/>
    <col min="17" max="16384" width="9.1796875" style="35"/>
  </cols>
  <sheetData>
    <row r="1" spans="1:17" s="44" customFormat="1" x14ac:dyDescent="0.35">
      <c r="A1" s="13"/>
      <c r="B1" s="56" t="s">
        <v>41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43"/>
    </row>
    <row r="2" spans="1:17" x14ac:dyDescent="0.35">
      <c r="A2" s="20"/>
      <c r="B2" s="58" t="s">
        <v>35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34"/>
    </row>
    <row r="3" spans="1:17" x14ac:dyDescent="0.35">
      <c r="A3" s="20"/>
      <c r="B3" s="58" t="s">
        <v>46</v>
      </c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36" t="s">
        <v>21</v>
      </c>
    </row>
    <row r="4" spans="1:17" x14ac:dyDescent="0.35">
      <c r="A4" s="20"/>
      <c r="B4" s="57" t="str">
        <f>'II-H-1.4.(1) TEX 2018'!B4:O4</f>
        <v>TEST YEAR ENDING 12/31/2018</v>
      </c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20" t="s">
        <v>21</v>
      </c>
    </row>
    <row r="5" spans="1:17" x14ac:dyDescent="0.35">
      <c r="A5" s="20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20"/>
    </row>
    <row r="6" spans="1:17" x14ac:dyDescent="0.35">
      <c r="A6" s="20"/>
      <c r="B6" s="32"/>
      <c r="C6" s="32"/>
      <c r="D6" s="37">
        <v>2018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20"/>
      <c r="Q6" s="20"/>
    </row>
    <row r="7" spans="1:17" x14ac:dyDescent="0.35">
      <c r="A7" s="32" t="s">
        <v>0</v>
      </c>
      <c r="B7" s="32" t="s">
        <v>1</v>
      </c>
      <c r="C7" s="32" t="s">
        <v>2</v>
      </c>
      <c r="D7" s="38" t="s">
        <v>9</v>
      </c>
      <c r="E7" s="38" t="s">
        <v>10</v>
      </c>
      <c r="F7" s="38" t="s">
        <v>11</v>
      </c>
      <c r="G7" s="38" t="s">
        <v>12</v>
      </c>
      <c r="H7" s="38" t="s">
        <v>13</v>
      </c>
      <c r="I7" s="38" t="s">
        <v>14</v>
      </c>
      <c r="J7" s="38" t="s">
        <v>3</v>
      </c>
      <c r="K7" s="38" t="s">
        <v>4</v>
      </c>
      <c r="L7" s="38" t="s">
        <v>5</v>
      </c>
      <c r="M7" s="38" t="s">
        <v>6</v>
      </c>
      <c r="N7" s="38" t="s">
        <v>7</v>
      </c>
      <c r="O7" s="38" t="s">
        <v>8</v>
      </c>
      <c r="P7" s="38" t="s">
        <v>29</v>
      </c>
      <c r="Q7" s="20"/>
    </row>
    <row r="8" spans="1:17" x14ac:dyDescent="0.35">
      <c r="A8" s="20"/>
      <c r="B8" s="32"/>
      <c r="C8" s="32"/>
      <c r="D8" s="38"/>
      <c r="E8" s="38"/>
      <c r="F8" s="32"/>
      <c r="G8" s="38"/>
      <c r="H8" s="38"/>
      <c r="I8" s="38"/>
      <c r="J8" s="38"/>
      <c r="K8" s="38"/>
      <c r="L8" s="38"/>
      <c r="M8" s="38"/>
      <c r="N8" s="38"/>
      <c r="O8" s="38"/>
      <c r="P8" s="32"/>
    </row>
    <row r="9" spans="1:17" x14ac:dyDescent="0.35">
      <c r="A9" s="39" t="s">
        <v>15</v>
      </c>
      <c r="B9" s="20" t="s">
        <v>16</v>
      </c>
      <c r="C9" s="30" t="s">
        <v>17</v>
      </c>
      <c r="D9" s="50">
        <v>1128898806.0062652</v>
      </c>
      <c r="E9" s="50">
        <v>894380167.53655446</v>
      </c>
      <c r="F9" s="50">
        <v>774741101.13629806</v>
      </c>
      <c r="G9" s="50">
        <v>798747396.24825788</v>
      </c>
      <c r="H9" s="50">
        <v>924727811.02947664</v>
      </c>
      <c r="I9" s="50">
        <v>1292987908.8628943</v>
      </c>
      <c r="J9" s="50">
        <v>1426733156.9204152</v>
      </c>
      <c r="K9" s="50">
        <v>1453374800.23313</v>
      </c>
      <c r="L9" s="50">
        <v>1387470823.0249794</v>
      </c>
      <c r="M9" s="50">
        <v>1085563846.5691826</v>
      </c>
      <c r="N9" s="50">
        <v>830683207.93684661</v>
      </c>
      <c r="O9" s="50">
        <v>960326688.89792013</v>
      </c>
      <c r="P9" s="45">
        <f>SUM(D9:O9)</f>
        <v>12958635714.40222</v>
      </c>
    </row>
    <row r="10" spans="1:17" x14ac:dyDescent="0.35">
      <c r="A10" s="39"/>
      <c r="B10" s="20"/>
      <c r="C10" s="3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45"/>
    </row>
    <row r="11" spans="1:17" x14ac:dyDescent="0.35">
      <c r="A11" s="39">
        <v>2</v>
      </c>
      <c r="B11" s="20" t="s">
        <v>18</v>
      </c>
      <c r="C11" s="30" t="s">
        <v>17</v>
      </c>
      <c r="D11" s="50">
        <v>55130411.741652146</v>
      </c>
      <c r="E11" s="50">
        <v>47486227.151267134</v>
      </c>
      <c r="F11" s="50">
        <v>44355691.669019297</v>
      </c>
      <c r="G11" s="50">
        <v>46546992.710222654</v>
      </c>
      <c r="H11" s="50">
        <v>48402325.990232483</v>
      </c>
      <c r="I11" s="50">
        <v>56345865.833331928</v>
      </c>
      <c r="J11" s="50">
        <v>59486967.887247168</v>
      </c>
      <c r="K11" s="50">
        <v>59973647.758813135</v>
      </c>
      <c r="L11" s="50">
        <v>59601467.340813763</v>
      </c>
      <c r="M11" s="50">
        <v>52485249.921917461</v>
      </c>
      <c r="N11" s="50">
        <v>46904286.531180948</v>
      </c>
      <c r="O11" s="50">
        <v>49009622.872823156</v>
      </c>
      <c r="P11" s="45">
        <f>SUM(D11:O11)</f>
        <v>625728757.40852118</v>
      </c>
    </row>
    <row r="12" spans="1:17" x14ac:dyDescent="0.35">
      <c r="A12" s="39"/>
      <c r="B12" s="20"/>
      <c r="C12" s="3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45"/>
    </row>
    <row r="13" spans="1:17" x14ac:dyDescent="0.35">
      <c r="A13" s="39">
        <v>3</v>
      </c>
      <c r="B13" s="20" t="s">
        <v>19</v>
      </c>
      <c r="C13" s="30" t="s">
        <v>17</v>
      </c>
      <c r="D13" s="50">
        <v>683673174.91677892</v>
      </c>
      <c r="E13" s="50">
        <v>609341663.29206634</v>
      </c>
      <c r="F13" s="50">
        <v>598756950.53253078</v>
      </c>
      <c r="G13" s="50">
        <v>653688427.48366642</v>
      </c>
      <c r="H13" s="50">
        <v>698018409.60716021</v>
      </c>
      <c r="I13" s="50">
        <v>824144903.39193344</v>
      </c>
      <c r="J13" s="50">
        <v>859014015.7688868</v>
      </c>
      <c r="K13" s="50">
        <v>869329108.76630294</v>
      </c>
      <c r="L13" s="50">
        <v>876002590.37581694</v>
      </c>
      <c r="M13" s="50">
        <v>762331332.43382716</v>
      </c>
      <c r="N13" s="50">
        <v>647384181.95179224</v>
      </c>
      <c r="O13" s="50">
        <v>635444424.4674834</v>
      </c>
      <c r="P13" s="45">
        <f>SUM(D13:O13)</f>
        <v>8717129182.9882469</v>
      </c>
    </row>
    <row r="14" spans="1:17" ht="15" thickBot="1" x14ac:dyDescent="0.4">
      <c r="A14" s="39">
        <v>4</v>
      </c>
      <c r="B14" s="20" t="s">
        <v>20</v>
      </c>
      <c r="C14" s="30" t="s">
        <v>17</v>
      </c>
      <c r="D14" s="52">
        <v>104635186.75827122</v>
      </c>
      <c r="E14" s="52">
        <v>89824510.571137413</v>
      </c>
      <c r="F14" s="52">
        <v>89860876.081704602</v>
      </c>
      <c r="G14" s="52">
        <v>94968123.061607242</v>
      </c>
      <c r="H14" s="52">
        <v>100441099.34344803</v>
      </c>
      <c r="I14" s="52">
        <v>102844728.06686091</v>
      </c>
      <c r="J14" s="52">
        <v>117630969.70660603</v>
      </c>
      <c r="K14" s="52">
        <v>112882109.72087257</v>
      </c>
      <c r="L14" s="52">
        <v>132966307.34622116</v>
      </c>
      <c r="M14" s="52">
        <v>117540588.25184754</v>
      </c>
      <c r="N14" s="52">
        <v>105744392.90374309</v>
      </c>
      <c r="O14" s="52">
        <v>100798498.66138722</v>
      </c>
      <c r="P14" s="46">
        <f>SUM(D14:O14)</f>
        <v>1270137390.473707</v>
      </c>
    </row>
    <row r="15" spans="1:17" ht="15" thickTop="1" x14ac:dyDescent="0.35">
      <c r="A15" s="39">
        <v>5</v>
      </c>
      <c r="B15" s="20" t="s">
        <v>30</v>
      </c>
      <c r="C15" s="30" t="s">
        <v>17</v>
      </c>
      <c r="D15" s="47">
        <f>SUM(D13:D14)</f>
        <v>788308361.67505014</v>
      </c>
      <c r="E15" s="47">
        <f t="shared" ref="E15:O15" si="0">SUM(E13:E14)</f>
        <v>699166173.86320376</v>
      </c>
      <c r="F15" s="47">
        <f t="shared" si="0"/>
        <v>688617826.6142354</v>
      </c>
      <c r="G15" s="47">
        <f t="shared" si="0"/>
        <v>748656550.54527366</v>
      </c>
      <c r="H15" s="47">
        <f t="shared" si="0"/>
        <v>798459508.95060825</v>
      </c>
      <c r="I15" s="47">
        <f t="shared" si="0"/>
        <v>926989631.45879436</v>
      </c>
      <c r="J15" s="47">
        <f t="shared" si="0"/>
        <v>976644985.47549284</v>
      </c>
      <c r="K15" s="47">
        <f t="shared" si="0"/>
        <v>982211218.48717546</v>
      </c>
      <c r="L15" s="47">
        <f t="shared" si="0"/>
        <v>1008968897.7220381</v>
      </c>
      <c r="M15" s="47">
        <f t="shared" si="0"/>
        <v>879871920.68567467</v>
      </c>
      <c r="N15" s="47">
        <f t="shared" si="0"/>
        <v>753128574.85553527</v>
      </c>
      <c r="O15" s="47">
        <f t="shared" si="0"/>
        <v>736242923.12887061</v>
      </c>
      <c r="P15" s="45">
        <f>SUM(P13:P14)</f>
        <v>9987266573.4619541</v>
      </c>
    </row>
    <row r="16" spans="1:17" x14ac:dyDescent="0.35">
      <c r="A16" s="39"/>
      <c r="B16" s="20"/>
      <c r="C16" s="3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47"/>
    </row>
    <row r="17" spans="1:16" x14ac:dyDescent="0.35">
      <c r="A17" s="39">
        <v>6</v>
      </c>
      <c r="B17" s="20" t="s">
        <v>22</v>
      </c>
      <c r="C17" s="30" t="s">
        <v>23</v>
      </c>
      <c r="D17" s="50">
        <v>22549767.983029272</v>
      </c>
      <c r="E17" s="50">
        <v>23339745.062554214</v>
      </c>
      <c r="F17" s="50">
        <v>20396888.707081396</v>
      </c>
      <c r="G17" s="50">
        <v>24191695.223586224</v>
      </c>
      <c r="H17" s="50">
        <v>29043686.237105586</v>
      </c>
      <c r="I17" s="50">
        <v>24041383.448914204</v>
      </c>
      <c r="J17" s="50">
        <v>27402806.862506881</v>
      </c>
      <c r="K17" s="50">
        <v>32562634.996538099</v>
      </c>
      <c r="L17" s="50">
        <v>26982563.875575803</v>
      </c>
      <c r="M17" s="50">
        <v>30729427.271777686</v>
      </c>
      <c r="N17" s="50">
        <v>31513498.631476115</v>
      </c>
      <c r="O17" s="50">
        <v>28844890.712666668</v>
      </c>
      <c r="P17" s="45">
        <f>SUM(D17:O17)</f>
        <v>321598989.0128122</v>
      </c>
    </row>
    <row r="18" spans="1:16" ht="15" thickBot="1" x14ac:dyDescent="0.4">
      <c r="A18" s="39">
        <v>7</v>
      </c>
      <c r="B18" s="20" t="s">
        <v>24</v>
      </c>
      <c r="C18" s="30" t="s">
        <v>23</v>
      </c>
      <c r="D18" s="52">
        <v>316197242.80128384</v>
      </c>
      <c r="E18" s="52">
        <v>308901634.32441896</v>
      </c>
      <c r="F18" s="52">
        <v>352693353.22712922</v>
      </c>
      <c r="G18" s="52">
        <v>347010001.71391726</v>
      </c>
      <c r="H18" s="52">
        <v>385790806.06007499</v>
      </c>
      <c r="I18" s="52">
        <v>390717708.59537369</v>
      </c>
      <c r="J18" s="52">
        <v>403795624.89966345</v>
      </c>
      <c r="K18" s="52">
        <v>413286655.77014309</v>
      </c>
      <c r="L18" s="52">
        <v>384984441.24617445</v>
      </c>
      <c r="M18" s="52">
        <v>375203244.86237544</v>
      </c>
      <c r="N18" s="52">
        <v>336120055.18574083</v>
      </c>
      <c r="O18" s="52">
        <v>350249969.7631169</v>
      </c>
      <c r="P18" s="46">
        <f>SUM(D18:O18)</f>
        <v>4364950738.4494123</v>
      </c>
    </row>
    <row r="19" spans="1:16" ht="15" thickTop="1" x14ac:dyDescent="0.35">
      <c r="A19" s="39">
        <v>8</v>
      </c>
      <c r="B19" s="20" t="s">
        <v>31</v>
      </c>
      <c r="C19" s="30" t="s">
        <v>23</v>
      </c>
      <c r="D19" s="47">
        <f>SUM(D17:D18)</f>
        <v>338747010.78431308</v>
      </c>
      <c r="E19" s="47">
        <f t="shared" ref="E19:O19" si="1">SUM(E17:E18)</f>
        <v>332241379.3869732</v>
      </c>
      <c r="F19" s="47">
        <f t="shared" si="1"/>
        <v>373090241.9342106</v>
      </c>
      <c r="G19" s="47">
        <f t="shared" si="1"/>
        <v>371201696.93750346</v>
      </c>
      <c r="H19" s="47">
        <f t="shared" si="1"/>
        <v>414834492.29718059</v>
      </c>
      <c r="I19" s="47">
        <f t="shared" si="1"/>
        <v>414759092.04428792</v>
      </c>
      <c r="J19" s="47">
        <f t="shared" si="1"/>
        <v>431198431.76217031</v>
      </c>
      <c r="K19" s="47">
        <f t="shared" si="1"/>
        <v>445849290.76668119</v>
      </c>
      <c r="L19" s="47">
        <f t="shared" si="1"/>
        <v>411967005.12175024</v>
      </c>
      <c r="M19" s="47">
        <f t="shared" si="1"/>
        <v>405932672.13415313</v>
      </c>
      <c r="N19" s="47">
        <f t="shared" si="1"/>
        <v>367633553.81721693</v>
      </c>
      <c r="O19" s="47">
        <f t="shared" si="1"/>
        <v>379094860.47578359</v>
      </c>
      <c r="P19" s="45">
        <f>SUM(P17:P18)</f>
        <v>4686549727.462225</v>
      </c>
    </row>
    <row r="20" spans="1:16" x14ac:dyDescent="0.35">
      <c r="A20" s="39"/>
      <c r="B20" s="20"/>
      <c r="C20" s="3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47"/>
    </row>
    <row r="21" spans="1:16" x14ac:dyDescent="0.35">
      <c r="A21" s="39">
        <v>9</v>
      </c>
      <c r="B21" s="20" t="s">
        <v>25</v>
      </c>
      <c r="C21" s="30" t="s">
        <v>26</v>
      </c>
      <c r="D21" s="50">
        <v>431310331.81646097</v>
      </c>
      <c r="E21" s="50">
        <v>373028584.70856863</v>
      </c>
      <c r="F21" s="50">
        <v>593898970.53019238</v>
      </c>
      <c r="G21" s="50">
        <v>574503527.84972048</v>
      </c>
      <c r="H21" s="50">
        <v>506605623.72796267</v>
      </c>
      <c r="I21" s="50">
        <v>449706251.50902885</v>
      </c>
      <c r="J21" s="50">
        <v>454955744.84156638</v>
      </c>
      <c r="K21" s="50">
        <v>472226516.58413643</v>
      </c>
      <c r="L21" s="50">
        <v>421269565.0905993</v>
      </c>
      <c r="M21" s="50">
        <v>413401232.84861308</v>
      </c>
      <c r="N21" s="50">
        <v>458537037.43811959</v>
      </c>
      <c r="O21" s="50">
        <v>512509797.4488284</v>
      </c>
      <c r="P21" s="45">
        <f>SUM(D21:O21)</f>
        <v>5661953184.3937979</v>
      </c>
    </row>
    <row r="22" spans="1:16" x14ac:dyDescent="0.35">
      <c r="A22" s="39"/>
      <c r="B22" s="20"/>
      <c r="C22" s="3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47"/>
    </row>
    <row r="23" spans="1:16" x14ac:dyDescent="0.35">
      <c r="A23" s="39">
        <v>10</v>
      </c>
      <c r="B23" s="20" t="s">
        <v>27</v>
      </c>
      <c r="C23" s="30" t="s">
        <v>17</v>
      </c>
      <c r="D23" s="50">
        <v>23139204.834088683</v>
      </c>
      <c r="E23" s="50">
        <v>23669166.689276222</v>
      </c>
      <c r="F23" s="50">
        <v>23644109.244140919</v>
      </c>
      <c r="G23" s="50">
        <v>23649755.193302091</v>
      </c>
      <c r="H23" s="50">
        <v>23586597.200006247</v>
      </c>
      <c r="I23" s="50">
        <v>23630811.027565863</v>
      </c>
      <c r="J23" s="50">
        <v>23976880.427550834</v>
      </c>
      <c r="K23" s="50">
        <v>23486347.341396272</v>
      </c>
      <c r="L23" s="50">
        <v>23629270.782895494</v>
      </c>
      <c r="M23" s="50">
        <v>23463899.493850794</v>
      </c>
      <c r="N23" s="50">
        <v>23748606.724510871</v>
      </c>
      <c r="O23" s="50">
        <v>23616191.761400003</v>
      </c>
      <c r="P23" s="45">
        <f>SUM(D23:O23)</f>
        <v>283240840.71998429</v>
      </c>
    </row>
    <row r="24" spans="1:16" ht="15" thickBot="1" x14ac:dyDescent="0.4">
      <c r="A24" s="39"/>
      <c r="B24" s="20"/>
      <c r="C24" s="30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48"/>
    </row>
    <row r="25" spans="1:16" ht="15" thickTop="1" x14ac:dyDescent="0.35">
      <c r="A25" s="39">
        <v>11</v>
      </c>
      <c r="B25" s="32" t="s">
        <v>32</v>
      </c>
      <c r="C25" s="30"/>
      <c r="D25" s="47">
        <f>D9+D11+D15+D19+D21+D23</f>
        <v>2765534126.8578305</v>
      </c>
      <c r="E25" s="47">
        <f t="shared" ref="E25:O25" si="2">E9+E11+E15+E19+E21+E23</f>
        <v>2369971699.3358436</v>
      </c>
      <c r="F25" s="47">
        <f t="shared" si="2"/>
        <v>2498347941.1280971</v>
      </c>
      <c r="G25" s="47">
        <f t="shared" si="2"/>
        <v>2563305919.4842801</v>
      </c>
      <c r="H25" s="47">
        <f t="shared" si="2"/>
        <v>2716616359.195467</v>
      </c>
      <c r="I25" s="47">
        <f t="shared" si="2"/>
        <v>3164419560.7359033</v>
      </c>
      <c r="J25" s="47">
        <f t="shared" si="2"/>
        <v>3372996167.3144426</v>
      </c>
      <c r="K25" s="47">
        <f t="shared" si="2"/>
        <v>3437121821.1713324</v>
      </c>
      <c r="L25" s="47">
        <f t="shared" si="2"/>
        <v>3312907029.083077</v>
      </c>
      <c r="M25" s="47">
        <f t="shared" si="2"/>
        <v>2860718821.6533918</v>
      </c>
      <c r="N25" s="47">
        <f t="shared" si="2"/>
        <v>2480635267.3034101</v>
      </c>
      <c r="O25" s="47">
        <f t="shared" si="2"/>
        <v>2660800084.5856261</v>
      </c>
      <c r="P25" s="49">
        <f>SUM(D25:O25)</f>
        <v>34203374797.848701</v>
      </c>
    </row>
    <row r="26" spans="1:16" x14ac:dyDescent="0.35">
      <c r="A26" s="39"/>
      <c r="B26" s="20"/>
      <c r="C26" s="3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47"/>
    </row>
    <row r="27" spans="1:16" x14ac:dyDescent="0.35">
      <c r="A27" s="39">
        <v>12</v>
      </c>
      <c r="B27" s="20" t="s">
        <v>33</v>
      </c>
      <c r="C27" s="30" t="s">
        <v>23</v>
      </c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47">
        <f>SUM(D27:O27)</f>
        <v>0</v>
      </c>
    </row>
    <row r="28" spans="1:16" x14ac:dyDescent="0.35">
      <c r="A28" s="39">
        <v>13</v>
      </c>
      <c r="B28" s="32" t="s">
        <v>34</v>
      </c>
      <c r="C28" s="32"/>
      <c r="D28" s="47">
        <f t="shared" ref="D28:P28" si="3">SUM(D27:D27)</f>
        <v>0</v>
      </c>
      <c r="E28" s="47">
        <f t="shared" si="3"/>
        <v>0</v>
      </c>
      <c r="F28" s="47">
        <f t="shared" si="3"/>
        <v>0</v>
      </c>
      <c r="G28" s="47">
        <f t="shared" si="3"/>
        <v>0</v>
      </c>
      <c r="H28" s="47">
        <f t="shared" si="3"/>
        <v>0</v>
      </c>
      <c r="I28" s="47">
        <f t="shared" si="3"/>
        <v>0</v>
      </c>
      <c r="J28" s="47">
        <f t="shared" si="3"/>
        <v>0</v>
      </c>
      <c r="K28" s="47">
        <f t="shared" si="3"/>
        <v>0</v>
      </c>
      <c r="L28" s="47">
        <f t="shared" si="3"/>
        <v>0</v>
      </c>
      <c r="M28" s="47">
        <f t="shared" si="3"/>
        <v>0</v>
      </c>
      <c r="N28" s="47">
        <f t="shared" si="3"/>
        <v>0</v>
      </c>
      <c r="O28" s="47">
        <f t="shared" si="3"/>
        <v>0</v>
      </c>
      <c r="P28" s="47">
        <f t="shared" si="3"/>
        <v>0</v>
      </c>
    </row>
    <row r="29" spans="1:16" ht="15" thickBot="1" x14ac:dyDescent="0.4">
      <c r="A29" s="39"/>
      <c r="B29" s="32"/>
      <c r="C29" s="32"/>
      <c r="D29" s="54"/>
      <c r="E29" s="54"/>
      <c r="F29" s="53"/>
      <c r="G29" s="54"/>
      <c r="H29" s="54"/>
      <c r="I29" s="54"/>
      <c r="J29" s="54"/>
      <c r="K29" s="54"/>
      <c r="L29" s="54"/>
      <c r="M29" s="54"/>
      <c r="N29" s="54"/>
      <c r="O29" s="54"/>
      <c r="P29" s="48"/>
    </row>
    <row r="30" spans="1:16" ht="15" thickTop="1" x14ac:dyDescent="0.35">
      <c r="A30" s="39">
        <v>14</v>
      </c>
      <c r="B30" s="32" t="s">
        <v>36</v>
      </c>
      <c r="C30" s="32"/>
      <c r="D30" s="47">
        <f t="shared" ref="D30:O30" si="4">D25+D28</f>
        <v>2765534126.8578305</v>
      </c>
      <c r="E30" s="47">
        <f t="shared" si="4"/>
        <v>2369971699.3358436</v>
      </c>
      <c r="F30" s="47">
        <f t="shared" si="4"/>
        <v>2498347941.1280971</v>
      </c>
      <c r="G30" s="47">
        <f t="shared" si="4"/>
        <v>2563305919.4842801</v>
      </c>
      <c r="H30" s="47">
        <f t="shared" si="4"/>
        <v>2716616359.195467</v>
      </c>
      <c r="I30" s="47">
        <f t="shared" si="4"/>
        <v>3164419560.7359033</v>
      </c>
      <c r="J30" s="47">
        <f t="shared" si="4"/>
        <v>3372996167.3144426</v>
      </c>
      <c r="K30" s="47">
        <f t="shared" si="4"/>
        <v>3437121821.1713324</v>
      </c>
      <c r="L30" s="47">
        <f t="shared" si="4"/>
        <v>3312907029.083077</v>
      </c>
      <c r="M30" s="47">
        <f t="shared" si="4"/>
        <v>2860718821.6533918</v>
      </c>
      <c r="N30" s="47">
        <f t="shared" si="4"/>
        <v>2480635267.3034101</v>
      </c>
      <c r="O30" s="47">
        <f t="shared" si="4"/>
        <v>2660800084.5856261</v>
      </c>
      <c r="P30" s="49">
        <f>SUM(D30:O30)</f>
        <v>34203374797.848701</v>
      </c>
    </row>
    <row r="32" spans="1:16" s="44" customFormat="1" x14ac:dyDescent="0.35">
      <c r="A32" s="13"/>
      <c r="B32" s="56" t="s">
        <v>41</v>
      </c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43"/>
    </row>
    <row r="33" spans="1:16" x14ac:dyDescent="0.35">
      <c r="A33" s="20"/>
      <c r="B33" s="58" t="s">
        <v>35</v>
      </c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34"/>
    </row>
    <row r="34" spans="1:16" x14ac:dyDescent="0.35">
      <c r="A34" s="20"/>
      <c r="B34" s="58" t="s">
        <v>47</v>
      </c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36" t="s">
        <v>21</v>
      </c>
    </row>
    <row r="35" spans="1:16" x14ac:dyDescent="0.35">
      <c r="A35" s="20"/>
      <c r="B35" s="57" t="str">
        <f>B4</f>
        <v>TEST YEAR ENDING 12/31/2018</v>
      </c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20" t="s">
        <v>21</v>
      </c>
    </row>
    <row r="36" spans="1:16" x14ac:dyDescent="0.35">
      <c r="A36" s="20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20"/>
    </row>
    <row r="37" spans="1:16" x14ac:dyDescent="0.35">
      <c r="A37" s="20"/>
      <c r="B37" s="32"/>
      <c r="C37" s="32"/>
      <c r="D37" s="37">
        <v>2018</v>
      </c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20"/>
    </row>
    <row r="38" spans="1:16" x14ac:dyDescent="0.35">
      <c r="A38" s="32" t="s">
        <v>0</v>
      </c>
      <c r="B38" s="32" t="s">
        <v>1</v>
      </c>
      <c r="C38" s="32" t="s">
        <v>2</v>
      </c>
      <c r="D38" s="38" t="s">
        <v>9</v>
      </c>
      <c r="E38" s="38" t="s">
        <v>10</v>
      </c>
      <c r="F38" s="38" t="s">
        <v>11</v>
      </c>
      <c r="G38" s="38" t="s">
        <v>12</v>
      </c>
      <c r="H38" s="38" t="s">
        <v>13</v>
      </c>
      <c r="I38" s="38" t="s">
        <v>14</v>
      </c>
      <c r="J38" s="38" t="s">
        <v>3</v>
      </c>
      <c r="K38" s="38" t="s">
        <v>4</v>
      </c>
      <c r="L38" s="38" t="s">
        <v>5</v>
      </c>
      <c r="M38" s="38" t="s">
        <v>6</v>
      </c>
      <c r="N38" s="38" t="s">
        <v>7</v>
      </c>
      <c r="O38" s="38" t="s">
        <v>8</v>
      </c>
      <c r="P38" s="38" t="s">
        <v>29</v>
      </c>
    </row>
    <row r="39" spans="1:16" x14ac:dyDescent="0.35">
      <c r="A39" s="20"/>
      <c r="B39" s="32"/>
      <c r="C39" s="32"/>
      <c r="D39" s="38"/>
      <c r="E39" s="38"/>
      <c r="F39" s="32"/>
      <c r="G39" s="38"/>
      <c r="H39" s="38"/>
      <c r="I39" s="38"/>
      <c r="J39" s="38"/>
      <c r="K39" s="38"/>
      <c r="L39" s="38"/>
      <c r="M39" s="38"/>
      <c r="N39" s="38"/>
      <c r="O39" s="38"/>
      <c r="P39" s="32"/>
    </row>
    <row r="40" spans="1:16" x14ac:dyDescent="0.35">
      <c r="A40" s="39" t="s">
        <v>15</v>
      </c>
      <c r="B40" s="20" t="s">
        <v>16</v>
      </c>
      <c r="C40" s="30" t="s">
        <v>17</v>
      </c>
      <c r="D40" s="50">
        <v>1045141190.962528</v>
      </c>
      <c r="E40" s="50">
        <v>828022448.51274312</v>
      </c>
      <c r="F40" s="50">
        <v>717259893.28818297</v>
      </c>
      <c r="G40" s="50">
        <v>739485063.27722132</v>
      </c>
      <c r="H40" s="50">
        <v>856118476.33591628</v>
      </c>
      <c r="I40" s="50">
        <v>1197055852.8180552</v>
      </c>
      <c r="J40" s="50">
        <v>1320877994.4455488</v>
      </c>
      <c r="K40" s="50">
        <v>1345542985.3844223</v>
      </c>
      <c r="L40" s="50">
        <v>1284528693.52582</v>
      </c>
      <c r="M40" s="50">
        <v>1005021429.2306391</v>
      </c>
      <c r="N40" s="50">
        <v>769051426.60844564</v>
      </c>
      <c r="O40" s="50">
        <v>889076128</v>
      </c>
      <c r="P40" s="40">
        <f>SUM(D40:O40)</f>
        <v>11997181582.389523</v>
      </c>
    </row>
    <row r="41" spans="1:16" x14ac:dyDescent="0.35">
      <c r="A41" s="39"/>
      <c r="B41" s="20"/>
      <c r="C41" s="30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40"/>
    </row>
    <row r="42" spans="1:16" x14ac:dyDescent="0.35">
      <c r="A42" s="39">
        <v>2</v>
      </c>
      <c r="B42" s="20" t="s">
        <v>18</v>
      </c>
      <c r="C42" s="30" t="s">
        <v>17</v>
      </c>
      <c r="D42" s="50">
        <v>51040061.234332718</v>
      </c>
      <c r="E42" s="50">
        <v>43963029.932478316</v>
      </c>
      <c r="F42" s="50">
        <v>41064761.668875605</v>
      </c>
      <c r="G42" s="50">
        <v>43093481.132281601</v>
      </c>
      <c r="H42" s="50">
        <v>44811159.655445106</v>
      </c>
      <c r="I42" s="50">
        <v>52165335.820663914</v>
      </c>
      <c r="J42" s="50">
        <v>55073386.678807527</v>
      </c>
      <c r="K42" s="50">
        <v>55523957.782151505</v>
      </c>
      <c r="L42" s="50">
        <v>55179390.95007477</v>
      </c>
      <c r="M42" s="50">
        <v>48591154.778007902</v>
      </c>
      <c r="N42" s="50">
        <v>43424265.864777662</v>
      </c>
      <c r="O42" s="50">
        <v>45373398.700930573</v>
      </c>
      <c r="P42" s="40">
        <f>SUM(D42:O42)</f>
        <v>579303384.19882727</v>
      </c>
    </row>
    <row r="43" spans="1:16" x14ac:dyDescent="0.35">
      <c r="A43" s="39"/>
      <c r="B43" s="20"/>
      <c r="C43" s="30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40"/>
    </row>
    <row r="44" spans="1:16" x14ac:dyDescent="0.35">
      <c r="A44" s="39">
        <v>3</v>
      </c>
      <c r="B44" s="20" t="s">
        <v>19</v>
      </c>
      <c r="C44" s="30" t="s">
        <v>17</v>
      </c>
      <c r="D44" s="50">
        <v>632948668.61404896</v>
      </c>
      <c r="E44" s="50">
        <v>564132115.55174911</v>
      </c>
      <c r="F44" s="50">
        <v>554332725.88046992</v>
      </c>
      <c r="G44" s="50">
        <v>605188612.10923243</v>
      </c>
      <c r="H44" s="50">
        <v>646229571.72881305</v>
      </c>
      <c r="I44" s="50">
        <v>762998225.59291697</v>
      </c>
      <c r="J44" s="50">
        <v>795280256.04911101</v>
      </c>
      <c r="K44" s="50">
        <v>804830030.15007579</v>
      </c>
      <c r="L44" s="50">
        <v>811008378.89145565</v>
      </c>
      <c r="M44" s="50">
        <v>705770856.03146541</v>
      </c>
      <c r="N44" s="50">
        <v>599352104.31221151</v>
      </c>
      <c r="O44" s="50">
        <v>588298206.22093737</v>
      </c>
      <c r="P44" s="40">
        <f>SUM(D44:O44)</f>
        <v>8070369751.1324883</v>
      </c>
    </row>
    <row r="45" spans="1:16" ht="15" thickBot="1" x14ac:dyDescent="0.4">
      <c r="A45" s="39">
        <v>4</v>
      </c>
      <c r="B45" s="20" t="s">
        <v>20</v>
      </c>
      <c r="C45" s="30" t="s">
        <v>17</v>
      </c>
      <c r="D45" s="52">
        <v>96871874.718343183</v>
      </c>
      <c r="E45" s="52">
        <v>83160063.113242179</v>
      </c>
      <c r="F45" s="52">
        <v>83193730.51799266</v>
      </c>
      <c r="G45" s="52">
        <v>87922049.976491228</v>
      </c>
      <c r="H45" s="52">
        <v>92988963.785664842</v>
      </c>
      <c r="I45" s="52">
        <v>95214257.472976565</v>
      </c>
      <c r="J45" s="52">
        <v>108903447.42959803</v>
      </c>
      <c r="K45" s="52">
        <v>104506924.76981924</v>
      </c>
      <c r="L45" s="52">
        <v>123100993.71027936</v>
      </c>
      <c r="M45" s="52">
        <v>108819771.74426234</v>
      </c>
      <c r="N45" s="52">
        <v>97898784.327719629</v>
      </c>
      <c r="O45" s="52">
        <v>93319846.187889725</v>
      </c>
      <c r="P45" s="41">
        <f>SUM(D45:O45)</f>
        <v>1175900707.7542791</v>
      </c>
    </row>
    <row r="46" spans="1:16" ht="15" thickTop="1" x14ac:dyDescent="0.35">
      <c r="A46" s="39">
        <v>5</v>
      </c>
      <c r="B46" s="20" t="s">
        <v>30</v>
      </c>
      <c r="C46" s="30" t="s">
        <v>17</v>
      </c>
      <c r="D46" s="47">
        <f>SUM(D44:D45)</f>
        <v>729820543.3323921</v>
      </c>
      <c r="E46" s="47">
        <f t="shared" ref="E46:O46" si="5">SUM(E44:E45)</f>
        <v>647292178.66499126</v>
      </c>
      <c r="F46" s="47">
        <f t="shared" si="5"/>
        <v>637526456.39846253</v>
      </c>
      <c r="G46" s="47">
        <f t="shared" si="5"/>
        <v>693110662.08572364</v>
      </c>
      <c r="H46" s="47">
        <f t="shared" si="5"/>
        <v>739218535.51447785</v>
      </c>
      <c r="I46" s="47">
        <f t="shared" si="5"/>
        <v>858212483.06589353</v>
      </c>
      <c r="J46" s="47">
        <f t="shared" si="5"/>
        <v>904183703.47870898</v>
      </c>
      <c r="K46" s="47">
        <f t="shared" si="5"/>
        <v>909336954.91989505</v>
      </c>
      <c r="L46" s="47">
        <f t="shared" si="5"/>
        <v>934109372.601735</v>
      </c>
      <c r="M46" s="47">
        <f t="shared" si="5"/>
        <v>814590627.77572775</v>
      </c>
      <c r="N46" s="47">
        <f t="shared" si="5"/>
        <v>697250888.6399312</v>
      </c>
      <c r="O46" s="47">
        <f t="shared" si="5"/>
        <v>681618052.40882707</v>
      </c>
      <c r="P46" s="40">
        <f>SUM(P44:P45)</f>
        <v>9246270458.8867683</v>
      </c>
    </row>
    <row r="47" spans="1:16" x14ac:dyDescent="0.35">
      <c r="A47" s="39"/>
      <c r="B47" s="20"/>
      <c r="C47" s="30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31"/>
    </row>
    <row r="48" spans="1:16" x14ac:dyDescent="0.35">
      <c r="A48" s="39">
        <v>6</v>
      </c>
      <c r="B48" s="20" t="s">
        <v>22</v>
      </c>
      <c r="C48" s="30" t="s">
        <v>23</v>
      </c>
      <c r="D48" s="50">
        <v>21459619.321497213</v>
      </c>
      <c r="E48" s="50">
        <v>22211405.655266669</v>
      </c>
      <c r="F48" s="50">
        <v>19410819.09695603</v>
      </c>
      <c r="G48" s="50">
        <v>23022169.036530476</v>
      </c>
      <c r="H48" s="50">
        <v>27639594.820237521</v>
      </c>
      <c r="I48" s="50">
        <v>22879123.952145226</v>
      </c>
      <c r="J48" s="50">
        <v>26078042.31300617</v>
      </c>
      <c r="K48" s="50">
        <v>30988423.102910258</v>
      </c>
      <c r="L48" s="50">
        <v>25678115.60294614</v>
      </c>
      <c r="M48" s="50">
        <v>29243840.190119609</v>
      </c>
      <c r="N48" s="50">
        <v>29990006.310883246</v>
      </c>
      <c r="O48" s="50">
        <v>27450409.890242357</v>
      </c>
      <c r="P48" s="40">
        <f>SUM(D48:O48)</f>
        <v>306051569.29274082</v>
      </c>
    </row>
    <row r="49" spans="1:16" ht="15" thickBot="1" x14ac:dyDescent="0.4">
      <c r="A49" s="39">
        <v>7</v>
      </c>
      <c r="B49" s="20" t="s">
        <v>24</v>
      </c>
      <c r="C49" s="30" t="s">
        <v>23</v>
      </c>
      <c r="D49" s="52">
        <v>300910965.74161005</v>
      </c>
      <c r="E49" s="52">
        <v>293968057.02742577</v>
      </c>
      <c r="F49" s="52">
        <v>335642703.87050748</v>
      </c>
      <c r="G49" s="52">
        <v>330234108.97784287</v>
      </c>
      <c r="H49" s="52">
        <v>367140089.51282358</v>
      </c>
      <c r="I49" s="52">
        <v>371828805.28680408</v>
      </c>
      <c r="J49" s="52">
        <v>384274481.25205886</v>
      </c>
      <c r="K49" s="52">
        <v>393306676.59891808</v>
      </c>
      <c r="L49" s="52">
        <v>366372707.69525552</v>
      </c>
      <c r="M49" s="52">
        <v>357064374.63111484</v>
      </c>
      <c r="N49" s="52">
        <v>319870627.31798708</v>
      </c>
      <c r="O49" s="52">
        <v>333317443.62687182</v>
      </c>
      <c r="P49" s="41">
        <f>SUM(D49:O49)</f>
        <v>4153931041.5392199</v>
      </c>
    </row>
    <row r="50" spans="1:16" ht="15" thickTop="1" x14ac:dyDescent="0.35">
      <c r="A50" s="39">
        <v>8</v>
      </c>
      <c r="B50" s="20" t="s">
        <v>31</v>
      </c>
      <c r="C50" s="30" t="s">
        <v>23</v>
      </c>
      <c r="D50" s="47">
        <f>SUM(D48:D49)</f>
        <v>322370585.06310725</v>
      </c>
      <c r="E50" s="47">
        <f t="shared" ref="E50:O50" si="6">SUM(E48:E49)</f>
        <v>316179462.68269241</v>
      </c>
      <c r="F50" s="47">
        <f t="shared" si="6"/>
        <v>355053522.96746349</v>
      </c>
      <c r="G50" s="47">
        <f t="shared" si="6"/>
        <v>353256278.01437336</v>
      </c>
      <c r="H50" s="47">
        <f t="shared" si="6"/>
        <v>394779684.3330611</v>
      </c>
      <c r="I50" s="47">
        <f t="shared" si="6"/>
        <v>394707929.2389493</v>
      </c>
      <c r="J50" s="47">
        <f t="shared" si="6"/>
        <v>410352523.56506503</v>
      </c>
      <c r="K50" s="47">
        <f t="shared" si="6"/>
        <v>424295099.70182836</v>
      </c>
      <c r="L50" s="47">
        <f t="shared" si="6"/>
        <v>392050823.29820168</v>
      </c>
      <c r="M50" s="47">
        <f t="shared" si="6"/>
        <v>386308214.82123446</v>
      </c>
      <c r="N50" s="47">
        <f t="shared" si="6"/>
        <v>349860633.62887031</v>
      </c>
      <c r="O50" s="47">
        <f t="shared" si="6"/>
        <v>360767853.51711416</v>
      </c>
      <c r="P50" s="40">
        <f>SUM(P48:P49)</f>
        <v>4459982610.8319607</v>
      </c>
    </row>
    <row r="51" spans="1:16" x14ac:dyDescent="0.35">
      <c r="A51" s="39"/>
      <c r="B51" s="20"/>
      <c r="C51" s="30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31"/>
    </row>
    <row r="52" spans="1:16" x14ac:dyDescent="0.35">
      <c r="A52" s="39">
        <v>9</v>
      </c>
      <c r="B52" s="20" t="s">
        <v>25</v>
      </c>
      <c r="C52" s="30" t="s">
        <v>26</v>
      </c>
      <c r="D52" s="50">
        <v>423913049.10950023</v>
      </c>
      <c r="E52" s="50">
        <v>366630875.92370009</v>
      </c>
      <c r="F52" s="50">
        <v>583713175.61569846</v>
      </c>
      <c r="G52" s="50">
        <v>564650378.74069536</v>
      </c>
      <c r="H52" s="50">
        <v>497916972.55684572</v>
      </c>
      <c r="I52" s="50">
        <v>441993465.5354355</v>
      </c>
      <c r="J52" s="50">
        <v>447152926.27801502</v>
      </c>
      <c r="K52" s="50">
        <v>464127491.8513307</v>
      </c>
      <c r="L52" s="50">
        <v>414044488.76170754</v>
      </c>
      <c r="M52" s="50">
        <v>406311104.08237565</v>
      </c>
      <c r="N52" s="50">
        <v>450672797.12823194</v>
      </c>
      <c r="O52" s="50">
        <v>503719885.44776493</v>
      </c>
      <c r="P52" s="40">
        <f>SUM(D52:O52)</f>
        <v>5564846611.0313015</v>
      </c>
    </row>
    <row r="53" spans="1:16" x14ac:dyDescent="0.35">
      <c r="A53" s="39"/>
      <c r="B53" s="20"/>
      <c r="C53" s="30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31"/>
    </row>
    <row r="54" spans="1:16" x14ac:dyDescent="0.35">
      <c r="A54" s="39">
        <v>10</v>
      </c>
      <c r="B54" s="20" t="s">
        <v>27</v>
      </c>
      <c r="C54" s="30" t="s">
        <v>17</v>
      </c>
      <c r="D54" s="50">
        <v>21422412.681771513</v>
      </c>
      <c r="E54" s="50">
        <v>21913054.50152408</v>
      </c>
      <c r="F54" s="50">
        <v>21889856.170626879</v>
      </c>
      <c r="G54" s="50">
        <v>21895083.223750707</v>
      </c>
      <c r="H54" s="50">
        <v>21836611.180037998</v>
      </c>
      <c r="I54" s="50">
        <v>21877544.6030754</v>
      </c>
      <c r="J54" s="50">
        <v>22197937.700252589</v>
      </c>
      <c r="K54" s="50">
        <v>21743799.268054392</v>
      </c>
      <c r="L54" s="50">
        <v>21876118.63545049</v>
      </c>
      <c r="M54" s="50">
        <v>21723016.918039136</v>
      </c>
      <c r="N54" s="50">
        <v>21986600.555956513</v>
      </c>
      <c r="O54" s="50">
        <v>21864010</v>
      </c>
      <c r="P54" s="40">
        <f>SUM(D54:O54)</f>
        <v>262226045.43853968</v>
      </c>
    </row>
    <row r="55" spans="1:16" ht="15" thickBot="1" x14ac:dyDescent="0.4">
      <c r="A55" s="39"/>
      <c r="B55" s="20"/>
      <c r="C55" s="30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33"/>
    </row>
    <row r="56" spans="1:16" ht="15" thickTop="1" x14ac:dyDescent="0.35">
      <c r="A56" s="39">
        <v>11</v>
      </c>
      <c r="B56" s="32" t="s">
        <v>32</v>
      </c>
      <c r="C56" s="30"/>
      <c r="D56" s="47">
        <f>D40+D42+D46+D50+D52+D54</f>
        <v>2593707842.3836322</v>
      </c>
      <c r="E56" s="47">
        <f t="shared" ref="E56:O56" si="7">E40+E42+E46+E50+E52+E54</f>
        <v>2224001050.2181292</v>
      </c>
      <c r="F56" s="47">
        <f t="shared" si="7"/>
        <v>2356507666.1093102</v>
      </c>
      <c r="G56" s="47">
        <f t="shared" si="7"/>
        <v>2415490946.4740458</v>
      </c>
      <c r="H56" s="47">
        <f t="shared" si="7"/>
        <v>2554681439.5757842</v>
      </c>
      <c r="I56" s="47">
        <f t="shared" si="7"/>
        <v>2966012611.0820732</v>
      </c>
      <c r="J56" s="47">
        <f t="shared" si="7"/>
        <v>3159838472.1463981</v>
      </c>
      <c r="K56" s="47">
        <f t="shared" si="7"/>
        <v>3220570288.9076824</v>
      </c>
      <c r="L56" s="47">
        <f t="shared" si="7"/>
        <v>3101788887.7729893</v>
      </c>
      <c r="M56" s="47">
        <f t="shared" si="7"/>
        <v>2682545547.6060238</v>
      </c>
      <c r="N56" s="47">
        <f t="shared" si="7"/>
        <v>2332246612.4262128</v>
      </c>
      <c r="O56" s="47">
        <f t="shared" si="7"/>
        <v>2502419328.0746369</v>
      </c>
      <c r="P56" s="42">
        <f>SUM(D56:O56)</f>
        <v>32109810692.77692</v>
      </c>
    </row>
    <row r="57" spans="1:16" x14ac:dyDescent="0.35">
      <c r="A57" s="39"/>
      <c r="B57" s="20"/>
      <c r="C57" s="30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31"/>
    </row>
    <row r="58" spans="1:16" x14ac:dyDescent="0.35">
      <c r="A58" s="39">
        <v>12</v>
      </c>
      <c r="B58" s="20" t="s">
        <v>33</v>
      </c>
      <c r="C58" s="30" t="s">
        <v>23</v>
      </c>
      <c r="D58" s="51">
        <v>0</v>
      </c>
      <c r="E58" s="51">
        <v>0</v>
      </c>
      <c r="F58" s="51">
        <v>0</v>
      </c>
      <c r="G58" s="51">
        <v>0</v>
      </c>
      <c r="H58" s="51">
        <v>0</v>
      </c>
      <c r="I58" s="51">
        <v>0</v>
      </c>
      <c r="J58" s="51">
        <v>0</v>
      </c>
      <c r="K58" s="51">
        <v>0</v>
      </c>
      <c r="L58" s="51">
        <v>0</v>
      </c>
      <c r="M58" s="51">
        <v>0</v>
      </c>
      <c r="N58" s="51">
        <v>0</v>
      </c>
      <c r="O58" s="51">
        <v>0</v>
      </c>
      <c r="P58" s="31">
        <f>SUM(D58:O58)</f>
        <v>0</v>
      </c>
    </row>
    <row r="59" spans="1:16" x14ac:dyDescent="0.35">
      <c r="A59" s="39">
        <v>13</v>
      </c>
      <c r="B59" s="32" t="s">
        <v>34</v>
      </c>
      <c r="C59" s="32"/>
      <c r="D59" s="47">
        <f t="shared" ref="D59:P59" si="8">SUM(D58:D58)</f>
        <v>0</v>
      </c>
      <c r="E59" s="47">
        <f t="shared" si="8"/>
        <v>0</v>
      </c>
      <c r="F59" s="47">
        <f t="shared" si="8"/>
        <v>0</v>
      </c>
      <c r="G59" s="47">
        <f t="shared" si="8"/>
        <v>0</v>
      </c>
      <c r="H59" s="47">
        <f t="shared" si="8"/>
        <v>0</v>
      </c>
      <c r="I59" s="47">
        <f t="shared" si="8"/>
        <v>0</v>
      </c>
      <c r="J59" s="47">
        <f t="shared" si="8"/>
        <v>0</v>
      </c>
      <c r="K59" s="47">
        <f t="shared" si="8"/>
        <v>0</v>
      </c>
      <c r="L59" s="47">
        <f t="shared" si="8"/>
        <v>0</v>
      </c>
      <c r="M59" s="47">
        <f t="shared" si="8"/>
        <v>0</v>
      </c>
      <c r="N59" s="47">
        <f t="shared" si="8"/>
        <v>0</v>
      </c>
      <c r="O59" s="47">
        <f t="shared" si="8"/>
        <v>0</v>
      </c>
      <c r="P59" s="31">
        <f t="shared" si="8"/>
        <v>0</v>
      </c>
    </row>
    <row r="60" spans="1:16" ht="15" thickBot="1" x14ac:dyDescent="0.4">
      <c r="A60" s="39"/>
      <c r="B60" s="32"/>
      <c r="C60" s="32"/>
      <c r="D60" s="54"/>
      <c r="E60" s="54"/>
      <c r="F60" s="53"/>
      <c r="G60" s="54"/>
      <c r="H60" s="54"/>
      <c r="I60" s="54"/>
      <c r="J60" s="54"/>
      <c r="K60" s="54"/>
      <c r="L60" s="54"/>
      <c r="M60" s="54"/>
      <c r="N60" s="54"/>
      <c r="O60" s="54"/>
      <c r="P60" s="33"/>
    </row>
    <row r="61" spans="1:16" ht="15" thickTop="1" x14ac:dyDescent="0.35">
      <c r="A61" s="39">
        <v>14</v>
      </c>
      <c r="B61" s="32" t="s">
        <v>36</v>
      </c>
      <c r="C61" s="32"/>
      <c r="D61" s="47">
        <f t="shared" ref="D61:O61" si="9">D56+D59</f>
        <v>2593707842.3836322</v>
      </c>
      <c r="E61" s="47">
        <f t="shared" si="9"/>
        <v>2224001050.2181292</v>
      </c>
      <c r="F61" s="47">
        <f t="shared" si="9"/>
        <v>2356507666.1093102</v>
      </c>
      <c r="G61" s="47">
        <f t="shared" si="9"/>
        <v>2415490946.4740458</v>
      </c>
      <c r="H61" s="47">
        <f t="shared" si="9"/>
        <v>2554681439.5757842</v>
      </c>
      <c r="I61" s="47">
        <f t="shared" si="9"/>
        <v>2966012611.0820732</v>
      </c>
      <c r="J61" s="47">
        <f t="shared" si="9"/>
        <v>3159838472.1463981</v>
      </c>
      <c r="K61" s="47">
        <f t="shared" si="9"/>
        <v>3220570288.9076824</v>
      </c>
      <c r="L61" s="47">
        <f t="shared" si="9"/>
        <v>3101788887.7729893</v>
      </c>
      <c r="M61" s="47">
        <f t="shared" si="9"/>
        <v>2682545547.6060238</v>
      </c>
      <c r="N61" s="47">
        <f t="shared" si="9"/>
        <v>2332246612.4262128</v>
      </c>
      <c r="O61" s="47">
        <f t="shared" si="9"/>
        <v>2502419328.0746369</v>
      </c>
      <c r="P61" s="42">
        <f>SUM(D61:O61)</f>
        <v>32109810692.77692</v>
      </c>
    </row>
  </sheetData>
  <mergeCells count="8">
    <mergeCell ref="B1:O1"/>
    <mergeCell ref="B32:O32"/>
    <mergeCell ref="B35:O35"/>
    <mergeCell ref="B2:O2"/>
    <mergeCell ref="B3:O3"/>
    <mergeCell ref="B4:O4"/>
    <mergeCell ref="B33:O33"/>
    <mergeCell ref="B34:O34"/>
  </mergeCells>
  <pageMargins left="0.7" right="0.7" top="0.75" bottom="0.75" header="0.3" footer="0.3"/>
  <pageSetup scale="46" orientation="landscape" r:id="rId1"/>
  <headerFooter>
    <oddHeader>&amp;RII-H-1.4 Adjusted Test Year Load Data
&amp;A
Page &amp;P of &amp;N</oddHeader>
    <oddFooter>&amp;LSponsored by: Nora D. Williams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6"/>
  <sheetViews>
    <sheetView workbookViewId="0"/>
  </sheetViews>
  <sheetFormatPr defaultRowHeight="14.5" x14ac:dyDescent="0.35"/>
  <cols>
    <col min="1" max="1" width="5.1796875" bestFit="1" customWidth="1"/>
    <col min="2" max="2" width="29.1796875" bestFit="1" customWidth="1"/>
    <col min="3" max="3" width="6" bestFit="1" customWidth="1"/>
    <col min="4" max="4" width="9.453125" bestFit="1" customWidth="1"/>
    <col min="5" max="5" width="10.26953125" bestFit="1" customWidth="1"/>
    <col min="6" max="6" width="12.1796875" bestFit="1" customWidth="1"/>
    <col min="7" max="7" width="9.26953125" bestFit="1" customWidth="1"/>
    <col min="8" max="9" width="11.453125" bestFit="1" customWidth="1"/>
    <col min="10" max="10" width="9.453125" bestFit="1" customWidth="1"/>
    <col min="11" max="11" width="10.26953125" bestFit="1" customWidth="1"/>
    <col min="12" max="12" width="12.1796875" bestFit="1" customWidth="1"/>
    <col min="13" max="13" width="9.26953125" bestFit="1" customWidth="1"/>
    <col min="14" max="15" width="11.453125" bestFit="1" customWidth="1"/>
    <col min="17" max="17" width="5.54296875" bestFit="1" customWidth="1"/>
  </cols>
  <sheetData>
    <row r="1" spans="1:17" s="44" customFormat="1" x14ac:dyDescent="0.35">
      <c r="A1" s="13"/>
      <c r="B1" s="56" t="s">
        <v>41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43"/>
    </row>
    <row r="2" spans="1:17" x14ac:dyDescent="0.35">
      <c r="A2" s="1"/>
      <c r="B2" s="61" t="s">
        <v>35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1"/>
      <c r="Q2" s="1"/>
    </row>
    <row r="3" spans="1:17" x14ac:dyDescent="0.35">
      <c r="A3" s="1"/>
      <c r="B3" s="61" t="s">
        <v>48</v>
      </c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1"/>
      <c r="Q3" s="1"/>
    </row>
    <row r="4" spans="1:17" x14ac:dyDescent="0.35">
      <c r="A4" s="1"/>
      <c r="B4" s="59" t="s">
        <v>51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1"/>
      <c r="Q4" s="1"/>
    </row>
    <row r="5" spans="1:17" x14ac:dyDescent="0.35">
      <c r="A5" s="1"/>
      <c r="B5" s="19"/>
      <c r="C5" s="19"/>
      <c r="D5" s="19">
        <v>2015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"/>
      <c r="Q5" s="1"/>
    </row>
    <row r="6" spans="1:17" x14ac:dyDescent="0.35">
      <c r="A6" s="19" t="s">
        <v>0</v>
      </c>
      <c r="B6" s="19" t="s">
        <v>1</v>
      </c>
      <c r="C6" s="19" t="s">
        <v>2</v>
      </c>
      <c r="D6" s="4" t="s">
        <v>9</v>
      </c>
      <c r="E6" s="4" t="s">
        <v>10</v>
      </c>
      <c r="F6" s="4" t="s">
        <v>11</v>
      </c>
      <c r="G6" s="4" t="s">
        <v>12</v>
      </c>
      <c r="H6" s="4" t="s">
        <v>13</v>
      </c>
      <c r="I6" s="4" t="s">
        <v>14</v>
      </c>
      <c r="J6" s="4" t="s">
        <v>3</v>
      </c>
      <c r="K6" s="4" t="s">
        <v>4</v>
      </c>
      <c r="L6" s="4" t="s">
        <v>5</v>
      </c>
      <c r="M6" s="4" t="s">
        <v>6</v>
      </c>
      <c r="N6" s="4" t="s">
        <v>7</v>
      </c>
      <c r="O6" s="4" t="s">
        <v>8</v>
      </c>
      <c r="P6" s="1"/>
      <c r="Q6" s="1"/>
    </row>
    <row r="7" spans="1:17" x14ac:dyDescent="0.35">
      <c r="A7" s="1"/>
      <c r="B7" s="19"/>
      <c r="C7" s="19"/>
      <c r="D7" s="4"/>
      <c r="E7" s="4"/>
      <c r="F7" s="5"/>
      <c r="G7" s="4"/>
      <c r="H7" s="4"/>
      <c r="I7" s="4"/>
      <c r="J7" s="4"/>
      <c r="K7" s="4"/>
      <c r="L7" s="4"/>
      <c r="M7" s="4"/>
      <c r="N7" s="4"/>
      <c r="O7" s="4"/>
      <c r="P7" s="1"/>
      <c r="Q7" s="1"/>
    </row>
    <row r="8" spans="1:17" x14ac:dyDescent="0.35">
      <c r="A8" s="6" t="s">
        <v>15</v>
      </c>
      <c r="B8" s="1" t="s">
        <v>16</v>
      </c>
      <c r="C8" s="3" t="s">
        <v>17</v>
      </c>
      <c r="D8" s="22">
        <v>0.99530787554940647</v>
      </c>
      <c r="E8" s="22">
        <v>1</v>
      </c>
      <c r="F8" s="22">
        <v>1</v>
      </c>
      <c r="G8" s="22">
        <v>0.89213394240596211</v>
      </c>
      <c r="H8" s="22">
        <v>1</v>
      </c>
      <c r="I8" s="22">
        <v>0.98513420147214537</v>
      </c>
      <c r="J8" s="22">
        <v>0.95007766005190275</v>
      </c>
      <c r="K8" s="22">
        <v>0.9553441537802293</v>
      </c>
      <c r="L8" s="22">
        <v>0.94954095084880097</v>
      </c>
      <c r="M8" s="22">
        <v>1</v>
      </c>
      <c r="N8" s="22">
        <v>0.90482857332624966</v>
      </c>
      <c r="O8" s="22">
        <v>0.96960188749547516</v>
      </c>
      <c r="P8" s="1"/>
      <c r="Q8" s="1"/>
    </row>
    <row r="9" spans="1:17" x14ac:dyDescent="0.35">
      <c r="A9" s="6"/>
      <c r="B9" s="1"/>
      <c r="C9" s="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1"/>
      <c r="Q9" s="1"/>
    </row>
    <row r="10" spans="1:17" x14ac:dyDescent="0.35">
      <c r="A10" s="6">
        <v>2</v>
      </c>
      <c r="B10" s="1" t="s">
        <v>18</v>
      </c>
      <c r="C10" s="3" t="s">
        <v>17</v>
      </c>
      <c r="D10" s="22">
        <v>0.86123478528804442</v>
      </c>
      <c r="E10" s="22">
        <v>0.96898427566261014</v>
      </c>
      <c r="F10" s="22">
        <v>0.84399691286200762</v>
      </c>
      <c r="G10" s="22">
        <v>0.87538196796443468</v>
      </c>
      <c r="H10" s="22">
        <v>0.86422245290627242</v>
      </c>
      <c r="I10" s="22">
        <v>0.85079249968366111</v>
      </c>
      <c r="J10" s="22">
        <v>0.88091926557162969</v>
      </c>
      <c r="K10" s="22">
        <v>0.83628795226365749</v>
      </c>
      <c r="L10" s="22">
        <v>0.87666129254825298</v>
      </c>
      <c r="M10" s="22">
        <v>0.90290027614770652</v>
      </c>
      <c r="N10" s="22">
        <v>0.99405728047624242</v>
      </c>
      <c r="O10" s="22">
        <v>0.82858221660091891</v>
      </c>
      <c r="P10" s="1"/>
      <c r="Q10" s="8"/>
    </row>
    <row r="11" spans="1:17" x14ac:dyDescent="0.35">
      <c r="A11" s="6"/>
      <c r="B11" s="1"/>
      <c r="C11" s="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1"/>
      <c r="Q11" s="1"/>
    </row>
    <row r="12" spans="1:17" x14ac:dyDescent="0.35">
      <c r="A12" s="6">
        <v>3</v>
      </c>
      <c r="B12" s="9" t="s">
        <v>19</v>
      </c>
      <c r="C12" s="10" t="s">
        <v>17</v>
      </c>
      <c r="D12" s="22">
        <v>0.80700147629949004</v>
      </c>
      <c r="E12" s="22">
        <v>0.75668880505255698</v>
      </c>
      <c r="F12" s="22">
        <v>0.87148743341000245</v>
      </c>
      <c r="G12" s="22">
        <v>0.83491185850807492</v>
      </c>
      <c r="H12" s="22">
        <v>0.86368696063904393</v>
      </c>
      <c r="I12" s="22">
        <v>0.878847482449992</v>
      </c>
      <c r="J12" s="22">
        <v>0.88996135455954506</v>
      </c>
      <c r="K12" s="22">
        <v>0.82932035979326635</v>
      </c>
      <c r="L12" s="22">
        <v>0.83983478640834663</v>
      </c>
      <c r="M12" s="22">
        <v>0.85100540508946021</v>
      </c>
      <c r="N12" s="22">
        <v>0.97501087988324642</v>
      </c>
      <c r="O12" s="22">
        <v>0.7711928823508758</v>
      </c>
      <c r="P12" s="1"/>
      <c r="Q12" s="8"/>
    </row>
    <row r="13" spans="1:17" x14ac:dyDescent="0.35">
      <c r="A13" s="6">
        <v>4</v>
      </c>
      <c r="B13" s="9" t="s">
        <v>20</v>
      </c>
      <c r="C13" s="3" t="s">
        <v>17</v>
      </c>
      <c r="D13" s="22">
        <v>0.78756729858587182</v>
      </c>
      <c r="E13" s="22">
        <v>0.73604498673282159</v>
      </c>
      <c r="F13" s="22">
        <v>0.80598006970438063</v>
      </c>
      <c r="G13" s="22">
        <v>0.93070328949079384</v>
      </c>
      <c r="H13" s="22">
        <v>0.93238230879471318</v>
      </c>
      <c r="I13" s="22">
        <v>0.96122087532274214</v>
      </c>
      <c r="J13" s="22">
        <v>0.94858245020503518</v>
      </c>
      <c r="K13" s="22">
        <v>0.89830067632419852</v>
      </c>
      <c r="L13" s="22">
        <v>0.87940434562568937</v>
      </c>
      <c r="M13" s="22">
        <v>0.95139505163654992</v>
      </c>
      <c r="N13" s="22">
        <v>0.98331960441285937</v>
      </c>
      <c r="O13" s="22">
        <v>0.65040769697405509</v>
      </c>
      <c r="P13" s="1"/>
      <c r="Q13" s="8"/>
    </row>
    <row r="14" spans="1:17" x14ac:dyDescent="0.35">
      <c r="A14" s="6"/>
      <c r="B14" s="9" t="s">
        <v>21</v>
      </c>
      <c r="C14" s="10" t="s">
        <v>21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1"/>
      <c r="Q14" s="1"/>
    </row>
    <row r="15" spans="1:17" x14ac:dyDescent="0.35">
      <c r="A15" s="6"/>
      <c r="B15" s="1"/>
      <c r="C15" s="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1"/>
      <c r="Q15" s="1"/>
    </row>
    <row r="16" spans="1:17" x14ac:dyDescent="0.35">
      <c r="A16" s="6">
        <v>6</v>
      </c>
      <c r="B16" s="1" t="s">
        <v>22</v>
      </c>
      <c r="C16" s="3" t="s">
        <v>23</v>
      </c>
      <c r="D16" s="22">
        <v>0.94962628691769779</v>
      </c>
      <c r="E16" s="22">
        <v>0.95154283271984119</v>
      </c>
      <c r="F16" s="22">
        <v>0.94280097078654279</v>
      </c>
      <c r="G16" s="22">
        <v>0.92400185429091797</v>
      </c>
      <c r="H16" s="22">
        <v>0.94540357270494868</v>
      </c>
      <c r="I16" s="22">
        <v>0.96324633384881531</v>
      </c>
      <c r="J16" s="22">
        <v>0.93856697462321848</v>
      </c>
      <c r="K16" s="22">
        <v>0.92671309663109147</v>
      </c>
      <c r="L16" s="22">
        <v>0.94373236183257248</v>
      </c>
      <c r="M16" s="22">
        <v>0.89361891049699427</v>
      </c>
      <c r="N16" s="22">
        <v>0.97083363783263199</v>
      </c>
      <c r="O16" s="22">
        <v>0.72505374938809963</v>
      </c>
      <c r="P16" s="1"/>
      <c r="Q16" s="1"/>
    </row>
    <row r="17" spans="1:17" x14ac:dyDescent="0.35">
      <c r="A17" s="6">
        <v>7</v>
      </c>
      <c r="B17" s="9" t="s">
        <v>24</v>
      </c>
      <c r="C17" s="3" t="s">
        <v>23</v>
      </c>
      <c r="D17" s="22">
        <v>0.81967078392113113</v>
      </c>
      <c r="E17" s="22">
        <v>0.89550004362687308</v>
      </c>
      <c r="F17" s="22">
        <v>0.86058529864155142</v>
      </c>
      <c r="G17" s="22">
        <v>0.96523111840514209</v>
      </c>
      <c r="H17" s="22">
        <v>0.96251598929960414</v>
      </c>
      <c r="I17" s="22">
        <v>0.97425526885867764</v>
      </c>
      <c r="J17" s="22">
        <v>0.92992094812096238</v>
      </c>
      <c r="K17" s="22">
        <v>0.95755515227941357</v>
      </c>
      <c r="L17" s="22">
        <v>0.93591953548605189</v>
      </c>
      <c r="M17" s="22">
        <v>0.94810193346862626</v>
      </c>
      <c r="N17" s="22">
        <v>0.97390141297482169</v>
      </c>
      <c r="O17" s="22">
        <v>0.79832997529424399</v>
      </c>
      <c r="P17" s="1"/>
      <c r="Q17" s="1"/>
    </row>
    <row r="18" spans="1:17" x14ac:dyDescent="0.35">
      <c r="A18" s="12"/>
      <c r="B18" s="13" t="s">
        <v>21</v>
      </c>
      <c r="C18" s="3" t="s">
        <v>21</v>
      </c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14"/>
      <c r="Q18" s="14"/>
    </row>
    <row r="19" spans="1:17" x14ac:dyDescent="0.35">
      <c r="A19" s="6"/>
      <c r="B19" s="9"/>
      <c r="C19" s="10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1"/>
      <c r="Q19" s="1"/>
    </row>
    <row r="20" spans="1:17" x14ac:dyDescent="0.35">
      <c r="A20" s="6">
        <v>9</v>
      </c>
      <c r="B20" s="9" t="s">
        <v>25</v>
      </c>
      <c r="C20" s="10" t="s">
        <v>26</v>
      </c>
      <c r="D20" s="22">
        <v>0.8467085500388466</v>
      </c>
      <c r="E20" s="22">
        <v>0.6793509429621607</v>
      </c>
      <c r="F20" s="22">
        <v>0.66300447925445682</v>
      </c>
      <c r="G20" s="22">
        <v>0.75211212933385951</v>
      </c>
      <c r="H20" s="22">
        <v>0.75742345916889908</v>
      </c>
      <c r="I20" s="22">
        <v>0.63668545007142774</v>
      </c>
      <c r="J20" s="22">
        <v>0.80140028368358296</v>
      </c>
      <c r="K20" s="22">
        <v>0.76968856757633375</v>
      </c>
      <c r="L20" s="22">
        <v>0.72952517869056765</v>
      </c>
      <c r="M20" s="22">
        <v>0.84576229294223326</v>
      </c>
      <c r="N20" s="22">
        <v>0.86398697596857355</v>
      </c>
      <c r="O20" s="22">
        <v>0.92167808433872345</v>
      </c>
      <c r="P20" s="1"/>
      <c r="Q20" s="1"/>
    </row>
    <row r="21" spans="1:17" x14ac:dyDescent="0.35">
      <c r="A21" s="6"/>
      <c r="B21" s="9"/>
      <c r="C21" s="10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1"/>
      <c r="Q21" s="1"/>
    </row>
    <row r="22" spans="1:17" x14ac:dyDescent="0.35">
      <c r="A22" s="12">
        <v>10</v>
      </c>
      <c r="B22" s="14" t="s">
        <v>27</v>
      </c>
      <c r="C22" s="15" t="s">
        <v>17</v>
      </c>
      <c r="D22" s="22">
        <v>0</v>
      </c>
      <c r="E22" s="22">
        <v>0.98167460045337629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14"/>
      <c r="Q22" s="14"/>
    </row>
    <row r="23" spans="1:17" x14ac:dyDescent="0.35">
      <c r="A23" s="6"/>
      <c r="B23" s="1"/>
      <c r="C23" s="3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1"/>
      <c r="Q23" s="1"/>
    </row>
    <row r="24" spans="1:17" x14ac:dyDescent="0.35">
      <c r="A24" s="6"/>
      <c r="B24" s="19" t="s">
        <v>21</v>
      </c>
      <c r="C24" s="3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"/>
      <c r="Q24" s="1"/>
    </row>
    <row r="25" spans="1:17" x14ac:dyDescent="0.35">
      <c r="A25" s="6"/>
      <c r="B25" s="1"/>
      <c r="C25" s="3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1"/>
      <c r="Q25" s="1"/>
    </row>
    <row r="26" spans="1:17" x14ac:dyDescent="0.35">
      <c r="A26" s="6">
        <v>12</v>
      </c>
      <c r="B26" s="9" t="s">
        <v>28</v>
      </c>
      <c r="C26" s="10" t="s">
        <v>23</v>
      </c>
      <c r="D26" s="21" t="s">
        <v>37</v>
      </c>
      <c r="E26" s="21" t="s">
        <v>37</v>
      </c>
      <c r="F26" s="21" t="s">
        <v>37</v>
      </c>
      <c r="G26" s="21" t="s">
        <v>37</v>
      </c>
      <c r="H26" s="21" t="s">
        <v>37</v>
      </c>
      <c r="I26" s="21" t="s">
        <v>37</v>
      </c>
      <c r="J26" s="21" t="s">
        <v>37</v>
      </c>
      <c r="K26" s="21" t="s">
        <v>37</v>
      </c>
      <c r="L26" s="21" t="s">
        <v>37</v>
      </c>
      <c r="M26" s="21" t="s">
        <v>37</v>
      </c>
      <c r="N26" s="21" t="s">
        <v>37</v>
      </c>
      <c r="O26" s="21" t="s">
        <v>37</v>
      </c>
      <c r="P26" s="1"/>
      <c r="Q26" s="1"/>
    </row>
    <row r="28" spans="1:17" s="44" customFormat="1" x14ac:dyDescent="0.35">
      <c r="A28" s="13"/>
      <c r="B28" s="56" t="s">
        <v>41</v>
      </c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43"/>
    </row>
    <row r="29" spans="1:17" x14ac:dyDescent="0.35">
      <c r="A29" s="1"/>
      <c r="B29" s="61" t="s">
        <v>35</v>
      </c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</row>
    <row r="30" spans="1:17" x14ac:dyDescent="0.35">
      <c r="A30" s="1"/>
      <c r="B30" s="61" t="s">
        <v>49</v>
      </c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</row>
    <row r="31" spans="1:17" x14ac:dyDescent="0.35">
      <c r="A31" s="1"/>
      <c r="B31" s="60" t="str">
        <f>B4</f>
        <v>TEST YEAR ENDING 12/31/2015</v>
      </c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</row>
    <row r="32" spans="1:17" x14ac:dyDescent="0.35">
      <c r="A32" s="1"/>
      <c r="B32" s="19"/>
      <c r="C32" s="19"/>
      <c r="D32" s="19">
        <v>2015</v>
      </c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</row>
    <row r="33" spans="1:15" x14ac:dyDescent="0.35">
      <c r="A33" s="19" t="s">
        <v>0</v>
      </c>
      <c r="B33" s="19" t="s">
        <v>1</v>
      </c>
      <c r="C33" s="19" t="s">
        <v>2</v>
      </c>
      <c r="D33" s="4" t="s">
        <v>9</v>
      </c>
      <c r="E33" s="4" t="s">
        <v>10</v>
      </c>
      <c r="F33" s="4" t="s">
        <v>11</v>
      </c>
      <c r="G33" s="4" t="s">
        <v>12</v>
      </c>
      <c r="H33" s="4" t="s">
        <v>13</v>
      </c>
      <c r="I33" s="4" t="s">
        <v>14</v>
      </c>
      <c r="J33" s="4" t="s">
        <v>3</v>
      </c>
      <c r="K33" s="4" t="s">
        <v>4</v>
      </c>
      <c r="L33" s="4" t="s">
        <v>5</v>
      </c>
      <c r="M33" s="4" t="s">
        <v>6</v>
      </c>
      <c r="N33" s="4" t="s">
        <v>7</v>
      </c>
      <c r="O33" s="4" t="s">
        <v>8</v>
      </c>
    </row>
    <row r="34" spans="1:15" x14ac:dyDescent="0.35">
      <c r="A34" s="1"/>
      <c r="B34" s="19"/>
      <c r="C34" s="19"/>
      <c r="D34" s="4"/>
      <c r="E34" s="4"/>
      <c r="F34" s="5"/>
      <c r="G34" s="4"/>
      <c r="H34" s="4"/>
      <c r="I34" s="4"/>
      <c r="J34" s="4"/>
      <c r="K34" s="4"/>
      <c r="L34" s="4"/>
      <c r="M34" s="4"/>
      <c r="N34" s="4"/>
      <c r="O34" s="4"/>
    </row>
    <row r="35" spans="1:15" x14ac:dyDescent="0.35">
      <c r="A35" s="6" t="s">
        <v>15</v>
      </c>
      <c r="B35" s="1" t="s">
        <v>16</v>
      </c>
      <c r="C35" s="3" t="s">
        <v>17</v>
      </c>
      <c r="D35" s="22">
        <v>0.52757122648185328</v>
      </c>
      <c r="E35" s="22">
        <v>0.44469464933273878</v>
      </c>
      <c r="F35" s="22">
        <v>0.39874019514086129</v>
      </c>
      <c r="G35" s="22">
        <v>0.52211728507787714</v>
      </c>
      <c r="H35" s="22">
        <v>0.58809951980231945</v>
      </c>
      <c r="I35" s="22">
        <v>0.63989512962655448</v>
      </c>
      <c r="J35" s="22">
        <v>0.62538056574385847</v>
      </c>
      <c r="K35" s="22">
        <v>0.63419941591403239</v>
      </c>
      <c r="L35" s="22">
        <v>0.56168456417633095</v>
      </c>
      <c r="M35" s="22">
        <v>0.52231941387340641</v>
      </c>
      <c r="N35" s="22">
        <v>0.57042898984709867</v>
      </c>
      <c r="O35" s="22">
        <v>0.54280955789983276</v>
      </c>
    </row>
    <row r="36" spans="1:15" x14ac:dyDescent="0.35">
      <c r="A36" s="6"/>
      <c r="B36" s="1"/>
      <c r="C36" s="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</row>
    <row r="37" spans="1:15" x14ac:dyDescent="0.35">
      <c r="A37" s="6">
        <v>2</v>
      </c>
      <c r="B37" s="1" t="s">
        <v>18</v>
      </c>
      <c r="C37" s="3" t="s">
        <v>17</v>
      </c>
      <c r="D37" s="22">
        <v>0.79278383574052769</v>
      </c>
      <c r="E37" s="22">
        <v>0.79701295104317249</v>
      </c>
      <c r="F37" s="22">
        <v>0.7690088548430849</v>
      </c>
      <c r="G37" s="22">
        <v>0.77454310323834297</v>
      </c>
      <c r="H37" s="22">
        <v>0.73881665811247144</v>
      </c>
      <c r="I37" s="22">
        <v>0.74391901062264831</v>
      </c>
      <c r="J37" s="22">
        <v>0.73251040315386629</v>
      </c>
      <c r="K37" s="22">
        <v>0.74135924246181062</v>
      </c>
      <c r="L37" s="22">
        <v>0.73107230511647925</v>
      </c>
      <c r="M37" s="22">
        <v>0.7118844842695442</v>
      </c>
      <c r="N37" s="22">
        <v>0.73993160009829695</v>
      </c>
      <c r="O37" s="22">
        <v>0.80757575760291656</v>
      </c>
    </row>
    <row r="38" spans="1:15" x14ac:dyDescent="0.35">
      <c r="A38" s="6"/>
      <c r="B38" s="1"/>
      <c r="C38" s="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</row>
    <row r="39" spans="1:15" x14ac:dyDescent="0.35">
      <c r="A39" s="6">
        <v>3</v>
      </c>
      <c r="B39" s="9" t="s">
        <v>19</v>
      </c>
      <c r="C39" s="10" t="s">
        <v>17</v>
      </c>
      <c r="D39" s="22">
        <v>0.63738875709043796</v>
      </c>
      <c r="E39" s="22">
        <v>0.63709542028313015</v>
      </c>
      <c r="F39" s="22">
        <v>0.62514303091830337</v>
      </c>
      <c r="G39" s="22">
        <v>0.62176436383474276</v>
      </c>
      <c r="H39" s="22">
        <v>0.61652957502821493</v>
      </c>
      <c r="I39" s="22">
        <v>0.65815764733550886</v>
      </c>
      <c r="J39" s="22">
        <v>0.66618353434600419</v>
      </c>
      <c r="K39" s="22">
        <v>0.65734749119633018</v>
      </c>
      <c r="L39" s="22">
        <v>0.62634449032050454</v>
      </c>
      <c r="M39" s="22">
        <v>0.59066622394325696</v>
      </c>
      <c r="N39" s="22">
        <v>0.55170003185631955</v>
      </c>
      <c r="O39" s="22">
        <v>0.62334218762157412</v>
      </c>
    </row>
    <row r="40" spans="1:15" x14ac:dyDescent="0.35">
      <c r="A40" s="6">
        <v>4</v>
      </c>
      <c r="B40" s="9" t="s">
        <v>20</v>
      </c>
      <c r="C40" s="3" t="s">
        <v>17</v>
      </c>
      <c r="D40" s="22">
        <v>0.72800641514858033</v>
      </c>
      <c r="E40" s="22">
        <v>0.73001482916902893</v>
      </c>
      <c r="F40" s="22">
        <v>0.7006252632195743</v>
      </c>
      <c r="G40" s="22">
        <v>0.72010993055016614</v>
      </c>
      <c r="H40" s="22">
        <v>0.71414534620190784</v>
      </c>
      <c r="I40" s="22">
        <v>0.77239260389645281</v>
      </c>
      <c r="J40" s="22">
        <v>0.75858391540625736</v>
      </c>
      <c r="K40" s="22">
        <v>0.72527560417779036</v>
      </c>
      <c r="L40" s="22">
        <v>0.72647650216170101</v>
      </c>
      <c r="M40" s="22">
        <v>0.69303030941532884</v>
      </c>
      <c r="N40" s="22">
        <v>0.65035206003473056</v>
      </c>
      <c r="O40" s="22">
        <v>0.69256514476876441</v>
      </c>
    </row>
    <row r="41" spans="1:15" x14ac:dyDescent="0.35">
      <c r="A41" s="6"/>
      <c r="B41" s="9" t="s">
        <v>21</v>
      </c>
      <c r="C41" s="10" t="s">
        <v>21</v>
      </c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</row>
    <row r="42" spans="1:15" x14ac:dyDescent="0.35">
      <c r="A42" s="6"/>
      <c r="B42" s="1"/>
      <c r="C42" s="3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</row>
    <row r="43" spans="1:15" x14ac:dyDescent="0.35">
      <c r="A43" s="6">
        <v>6</v>
      </c>
      <c r="B43" s="1" t="s">
        <v>22</v>
      </c>
      <c r="C43" s="3" t="s">
        <v>23</v>
      </c>
      <c r="D43" s="22">
        <v>0.81641956133028759</v>
      </c>
      <c r="E43" s="22">
        <v>0.84287513240099177</v>
      </c>
      <c r="F43" s="22">
        <v>0.82184899847279258</v>
      </c>
      <c r="G43" s="22">
        <v>0.78646609734008766</v>
      </c>
      <c r="H43" s="22">
        <v>0.79734760771558688</v>
      </c>
      <c r="I43" s="22">
        <v>0.81838345175289073</v>
      </c>
      <c r="J43" s="22">
        <v>0.82646776547831813</v>
      </c>
      <c r="K43" s="22">
        <v>0.81697387413456701</v>
      </c>
      <c r="L43" s="22">
        <v>0.81212160653236265</v>
      </c>
      <c r="M43" s="22">
        <v>0.76608949390214021</v>
      </c>
      <c r="N43" s="22">
        <v>0.75447768852346153</v>
      </c>
      <c r="O43" s="22">
        <v>0.82587204327775365</v>
      </c>
    </row>
    <row r="44" spans="1:15" x14ac:dyDescent="0.35">
      <c r="A44" s="6">
        <v>7</v>
      </c>
      <c r="B44" s="9" t="s">
        <v>24</v>
      </c>
      <c r="C44" s="3" t="s">
        <v>23</v>
      </c>
      <c r="D44" s="22">
        <v>0.81661914692498616</v>
      </c>
      <c r="E44" s="22">
        <v>0.86849213804257419</v>
      </c>
      <c r="F44" s="22">
        <v>0.83238449659217095</v>
      </c>
      <c r="G44" s="22">
        <v>0.83934437597582079</v>
      </c>
      <c r="H44" s="22">
        <v>0.8456703664295212</v>
      </c>
      <c r="I44" s="22">
        <v>0.86167105650401066</v>
      </c>
      <c r="J44" s="22">
        <v>0.8699026416072736</v>
      </c>
      <c r="K44" s="22">
        <v>0.86079873836910425</v>
      </c>
      <c r="L44" s="22">
        <v>0.84951194145467557</v>
      </c>
      <c r="M44" s="22">
        <v>0.83572235216207058</v>
      </c>
      <c r="N44" s="22">
        <v>0.80742365011546069</v>
      </c>
      <c r="O44" s="22">
        <v>0.84185356939593881</v>
      </c>
    </row>
    <row r="45" spans="1:15" x14ac:dyDescent="0.35">
      <c r="A45" s="12"/>
      <c r="B45" s="13" t="s">
        <v>21</v>
      </c>
      <c r="C45" s="3" t="s">
        <v>21</v>
      </c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</row>
    <row r="46" spans="1:15" x14ac:dyDescent="0.35">
      <c r="A46" s="6"/>
      <c r="B46" s="9"/>
      <c r="C46" s="10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</row>
    <row r="47" spans="1:15" x14ac:dyDescent="0.35">
      <c r="A47" s="6">
        <v>9</v>
      </c>
      <c r="B47" s="9" t="s">
        <v>25</v>
      </c>
      <c r="C47" s="10" t="s">
        <v>26</v>
      </c>
      <c r="D47" s="22">
        <v>0.83911496783989648</v>
      </c>
      <c r="E47" s="22">
        <v>0.84378141847423371</v>
      </c>
      <c r="F47" s="22">
        <v>0.83873487648626699</v>
      </c>
      <c r="G47" s="22">
        <v>0.80086244046751454</v>
      </c>
      <c r="H47" s="22">
        <v>0.85060546229135903</v>
      </c>
      <c r="I47" s="22">
        <v>0.75233121775583178</v>
      </c>
      <c r="J47" s="22">
        <v>0.90316728087214992</v>
      </c>
      <c r="K47" s="22">
        <v>0.89669536147918316</v>
      </c>
      <c r="L47" s="22">
        <v>0.83391407142783747</v>
      </c>
      <c r="M47" s="22">
        <v>0.81402634561338283</v>
      </c>
      <c r="N47" s="22">
        <v>0.87741460038591057</v>
      </c>
      <c r="O47" s="22">
        <v>0.90824882941652307</v>
      </c>
    </row>
    <row r="48" spans="1:15" x14ac:dyDescent="0.35">
      <c r="A48" s="6"/>
      <c r="B48" s="9"/>
      <c r="C48" s="10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</row>
    <row r="49" spans="1:15" x14ac:dyDescent="0.35">
      <c r="A49" s="12">
        <v>10</v>
      </c>
      <c r="B49" s="14" t="s">
        <v>27</v>
      </c>
      <c r="C49" s="15" t="s">
        <v>17</v>
      </c>
      <c r="D49" s="22">
        <v>0.50654384916600115</v>
      </c>
      <c r="E49" s="22">
        <v>0.47648897570595311</v>
      </c>
      <c r="F49" s="22">
        <v>0.43982502204814372</v>
      </c>
      <c r="G49" s="22">
        <v>0.4067241366333782</v>
      </c>
      <c r="H49" s="22">
        <v>0.38157781504519461</v>
      </c>
      <c r="I49" s="22">
        <v>0.3762279130306877</v>
      </c>
      <c r="J49" s="22">
        <v>0.37746307510708965</v>
      </c>
      <c r="K49" s="22">
        <v>0.39663146351890799</v>
      </c>
      <c r="L49" s="22">
        <v>0.42841185167356022</v>
      </c>
      <c r="M49" s="22">
        <v>0.46283397835229523</v>
      </c>
      <c r="N49" s="22">
        <v>0.4979853277857203</v>
      </c>
      <c r="O49" s="22">
        <v>0.52230370119085068</v>
      </c>
    </row>
    <row r="50" spans="1:15" x14ac:dyDescent="0.35">
      <c r="A50" s="6"/>
      <c r="B50" s="1"/>
      <c r="C50" s="3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</row>
    <row r="51" spans="1:15" x14ac:dyDescent="0.35">
      <c r="A51" s="6"/>
      <c r="B51" s="19" t="s">
        <v>21</v>
      </c>
      <c r="C51" s="3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</row>
    <row r="52" spans="1:15" x14ac:dyDescent="0.35">
      <c r="A52" s="6"/>
      <c r="B52" s="1"/>
      <c r="C52" s="3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</row>
    <row r="53" spans="1:15" x14ac:dyDescent="0.35">
      <c r="A53" s="6">
        <v>12</v>
      </c>
      <c r="B53" s="9" t="s">
        <v>28</v>
      </c>
      <c r="C53" s="10" t="s">
        <v>23</v>
      </c>
      <c r="D53" s="21" t="s">
        <v>37</v>
      </c>
      <c r="E53" s="21" t="s">
        <v>37</v>
      </c>
      <c r="F53" s="21" t="s">
        <v>37</v>
      </c>
      <c r="G53" s="21" t="s">
        <v>37</v>
      </c>
      <c r="H53" s="21" t="s">
        <v>37</v>
      </c>
      <c r="I53" s="21" t="s">
        <v>37</v>
      </c>
      <c r="J53" s="21" t="s">
        <v>37</v>
      </c>
      <c r="K53" s="21" t="s">
        <v>37</v>
      </c>
      <c r="L53" s="21" t="s">
        <v>37</v>
      </c>
      <c r="M53" s="21" t="s">
        <v>37</v>
      </c>
      <c r="N53" s="21" t="s">
        <v>37</v>
      </c>
      <c r="O53" s="21" t="s">
        <v>37</v>
      </c>
    </row>
    <row r="54" spans="1:15" x14ac:dyDescent="0.35">
      <c r="A54" s="6"/>
      <c r="B54" s="19" t="s">
        <v>21</v>
      </c>
      <c r="C54" s="19"/>
      <c r="D54" s="16" t="s">
        <v>21</v>
      </c>
      <c r="E54" s="16" t="s">
        <v>21</v>
      </c>
      <c r="F54" s="16" t="s">
        <v>21</v>
      </c>
      <c r="G54" s="16" t="s">
        <v>21</v>
      </c>
      <c r="H54" s="16" t="s">
        <v>21</v>
      </c>
      <c r="I54" s="16" t="s">
        <v>21</v>
      </c>
      <c r="J54" s="16" t="s">
        <v>21</v>
      </c>
      <c r="K54" s="16" t="s">
        <v>21</v>
      </c>
      <c r="L54" s="16" t="s">
        <v>21</v>
      </c>
      <c r="M54" s="16" t="s">
        <v>21</v>
      </c>
      <c r="N54" s="16" t="s">
        <v>21</v>
      </c>
      <c r="O54" s="16" t="s">
        <v>21</v>
      </c>
    </row>
    <row r="55" spans="1:15" x14ac:dyDescent="0.35">
      <c r="A55" s="6"/>
      <c r="B55" s="17"/>
      <c r="C55" s="19"/>
      <c r="D55" s="18"/>
      <c r="E55" s="18"/>
      <c r="F55" s="11"/>
      <c r="G55" s="18"/>
      <c r="H55" s="18"/>
      <c r="I55" s="18"/>
      <c r="J55" s="18"/>
      <c r="K55" s="18"/>
      <c r="L55" s="18"/>
      <c r="M55" s="18"/>
      <c r="N55" s="18"/>
      <c r="O55" s="18"/>
    </row>
    <row r="56" spans="1:15" x14ac:dyDescent="0.35">
      <c r="A56" s="6"/>
      <c r="B56" s="19"/>
      <c r="C56" s="19" t="s">
        <v>21</v>
      </c>
      <c r="D56" s="16" t="s">
        <v>21</v>
      </c>
      <c r="E56" s="16" t="s">
        <v>21</v>
      </c>
      <c r="F56" s="16" t="s">
        <v>21</v>
      </c>
      <c r="G56" s="16" t="s">
        <v>21</v>
      </c>
      <c r="H56" s="16" t="s">
        <v>21</v>
      </c>
      <c r="I56" s="16" t="s">
        <v>21</v>
      </c>
      <c r="J56" s="16" t="s">
        <v>21</v>
      </c>
      <c r="K56" s="16" t="s">
        <v>21</v>
      </c>
      <c r="L56" s="16" t="s">
        <v>21</v>
      </c>
      <c r="M56" s="16" t="s">
        <v>21</v>
      </c>
      <c r="N56" s="16" t="s">
        <v>21</v>
      </c>
      <c r="O56" s="16" t="s">
        <v>21</v>
      </c>
    </row>
  </sheetData>
  <mergeCells count="8">
    <mergeCell ref="B1:O1"/>
    <mergeCell ref="B28:O28"/>
    <mergeCell ref="B31:O31"/>
    <mergeCell ref="B2:O2"/>
    <mergeCell ref="B3:O3"/>
    <mergeCell ref="B4:O4"/>
    <mergeCell ref="B29:O29"/>
    <mergeCell ref="B30:O30"/>
  </mergeCells>
  <pageMargins left="0.7" right="0.7" top="0.75" bottom="0.75" header="0.3" footer="0.3"/>
  <pageSetup scale="50" orientation="landscape" r:id="rId1"/>
  <headerFooter>
    <oddHeader>&amp;RII-H-1.4 Adjusted Test Year Load Data
&amp;A
Page &amp;P of &amp;N</oddHeader>
    <oddFooter>&amp;LSponsored by: Nora D. Williams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6"/>
  <sheetViews>
    <sheetView topLeftCell="A2" workbookViewId="0">
      <selection activeCell="B4" sqref="B4:O4"/>
    </sheetView>
  </sheetViews>
  <sheetFormatPr defaultRowHeight="14.5" x14ac:dyDescent="0.35"/>
  <cols>
    <col min="1" max="1" width="5.1796875" bestFit="1" customWidth="1"/>
    <col min="2" max="2" width="29.1796875" bestFit="1" customWidth="1"/>
    <col min="3" max="3" width="6" bestFit="1" customWidth="1"/>
    <col min="4" max="4" width="9.453125" bestFit="1" customWidth="1"/>
    <col min="5" max="5" width="10.26953125" bestFit="1" customWidth="1"/>
    <col min="6" max="6" width="12.1796875" bestFit="1" customWidth="1"/>
    <col min="7" max="7" width="9.26953125" bestFit="1" customWidth="1"/>
    <col min="8" max="9" width="11.453125" bestFit="1" customWidth="1"/>
    <col min="10" max="10" width="9.453125" bestFit="1" customWidth="1"/>
    <col min="11" max="11" width="10.26953125" bestFit="1" customWidth="1"/>
    <col min="12" max="12" width="12.1796875" bestFit="1" customWidth="1"/>
    <col min="13" max="13" width="9.26953125" bestFit="1" customWidth="1"/>
    <col min="14" max="15" width="11.453125" bestFit="1" customWidth="1"/>
    <col min="17" max="17" width="5.54296875" bestFit="1" customWidth="1"/>
  </cols>
  <sheetData>
    <row r="1" spans="1:17" s="44" customFormat="1" x14ac:dyDescent="0.35">
      <c r="A1" s="13"/>
      <c r="B1" s="56" t="s">
        <v>41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43"/>
    </row>
    <row r="2" spans="1:17" x14ac:dyDescent="0.35">
      <c r="A2" s="1"/>
      <c r="B2" s="61" t="s">
        <v>35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1"/>
      <c r="Q2" s="1"/>
    </row>
    <row r="3" spans="1:17" x14ac:dyDescent="0.35">
      <c r="A3" s="1"/>
      <c r="B3" s="61" t="s">
        <v>48</v>
      </c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1"/>
      <c r="Q3" s="1"/>
    </row>
    <row r="4" spans="1:17" x14ac:dyDescent="0.35">
      <c r="A4" s="1"/>
      <c r="B4" s="59" t="s">
        <v>52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1"/>
      <c r="Q4" s="1"/>
    </row>
    <row r="5" spans="1:17" x14ac:dyDescent="0.35">
      <c r="A5" s="1"/>
      <c r="B5" s="19"/>
      <c r="C5" s="19"/>
      <c r="D5" s="19">
        <v>2016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"/>
      <c r="Q5" s="1"/>
    </row>
    <row r="6" spans="1:17" x14ac:dyDescent="0.35">
      <c r="A6" s="19" t="s">
        <v>0</v>
      </c>
      <c r="B6" s="19" t="s">
        <v>1</v>
      </c>
      <c r="C6" s="19" t="s">
        <v>2</v>
      </c>
      <c r="D6" s="4" t="s">
        <v>9</v>
      </c>
      <c r="E6" s="4" t="s">
        <v>10</v>
      </c>
      <c r="F6" s="4" t="s">
        <v>11</v>
      </c>
      <c r="G6" s="4" t="s">
        <v>12</v>
      </c>
      <c r="H6" s="4" t="s">
        <v>13</v>
      </c>
      <c r="I6" s="4" t="s">
        <v>14</v>
      </c>
      <c r="J6" s="4" t="s">
        <v>3</v>
      </c>
      <c r="K6" s="4" t="s">
        <v>4</v>
      </c>
      <c r="L6" s="4" t="s">
        <v>5</v>
      </c>
      <c r="M6" s="4" t="s">
        <v>6</v>
      </c>
      <c r="N6" s="4" t="s">
        <v>7</v>
      </c>
      <c r="O6" s="4" t="s">
        <v>8</v>
      </c>
      <c r="P6" s="1"/>
      <c r="Q6" s="1"/>
    </row>
    <row r="7" spans="1:17" x14ac:dyDescent="0.35">
      <c r="A7" s="1"/>
      <c r="B7" s="19"/>
      <c r="C7" s="19"/>
      <c r="D7" s="4"/>
      <c r="E7" s="4"/>
      <c r="F7" s="5"/>
      <c r="G7" s="4"/>
      <c r="H7" s="4"/>
      <c r="I7" s="4"/>
      <c r="J7" s="4"/>
      <c r="K7" s="4"/>
      <c r="L7" s="4"/>
      <c r="M7" s="4"/>
      <c r="N7" s="4"/>
      <c r="O7" s="4"/>
      <c r="P7" s="1"/>
      <c r="Q7" s="1"/>
    </row>
    <row r="8" spans="1:17" x14ac:dyDescent="0.35">
      <c r="A8" s="6" t="s">
        <v>15</v>
      </c>
      <c r="B8" s="1" t="s">
        <v>16</v>
      </c>
      <c r="C8" s="3" t="s">
        <v>17</v>
      </c>
      <c r="D8" s="22">
        <v>1</v>
      </c>
      <c r="E8" s="22">
        <v>1</v>
      </c>
      <c r="F8" s="22">
        <v>0.95910332023653688</v>
      </c>
      <c r="G8" s="22">
        <v>0.92317815899751354</v>
      </c>
      <c r="H8" s="22">
        <v>0.94145164201096199</v>
      </c>
      <c r="I8" s="22">
        <v>0.97938733990912474</v>
      </c>
      <c r="J8" s="22">
        <v>0.93421554020000319</v>
      </c>
      <c r="K8" s="22">
        <v>0.97141456022140149</v>
      </c>
      <c r="L8" s="22">
        <v>0.91583358700800044</v>
      </c>
      <c r="M8" s="22">
        <v>0.97529776793559786</v>
      </c>
      <c r="N8" s="22">
        <v>0.96215645910524694</v>
      </c>
      <c r="O8" s="22">
        <v>0.9430310535968901</v>
      </c>
      <c r="P8" s="1"/>
      <c r="Q8" s="1"/>
    </row>
    <row r="9" spans="1:17" x14ac:dyDescent="0.35">
      <c r="A9" s="6"/>
      <c r="B9" s="1"/>
      <c r="C9" s="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1"/>
      <c r="Q9" s="1"/>
    </row>
    <row r="10" spans="1:17" x14ac:dyDescent="0.35">
      <c r="A10" s="6">
        <v>2</v>
      </c>
      <c r="B10" s="1" t="s">
        <v>18</v>
      </c>
      <c r="C10" s="3" t="s">
        <v>17</v>
      </c>
      <c r="D10" s="22">
        <v>0.80813060712941931</v>
      </c>
      <c r="E10" s="22">
        <v>0.75857394539815526</v>
      </c>
      <c r="F10" s="22">
        <v>0.972605562915272</v>
      </c>
      <c r="G10" s="22">
        <v>0.9752390108607355</v>
      </c>
      <c r="H10" s="22">
        <v>0.98403817223698853</v>
      </c>
      <c r="I10" s="22">
        <v>0.98520356882107929</v>
      </c>
      <c r="J10" s="22">
        <v>0.97422782789420159</v>
      </c>
      <c r="K10" s="22">
        <v>1</v>
      </c>
      <c r="L10" s="22">
        <v>0.95453088867411906</v>
      </c>
      <c r="M10" s="22">
        <v>0.96186262529318034</v>
      </c>
      <c r="N10" s="22">
        <v>0.97047296439409325</v>
      </c>
      <c r="O10" s="22">
        <v>0.89097388257475096</v>
      </c>
      <c r="P10" s="1"/>
      <c r="Q10" s="8"/>
    </row>
    <row r="11" spans="1:17" x14ac:dyDescent="0.35">
      <c r="A11" s="6"/>
      <c r="B11" s="1"/>
      <c r="C11" s="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1"/>
      <c r="Q11" s="1"/>
    </row>
    <row r="12" spans="1:17" x14ac:dyDescent="0.35">
      <c r="A12" s="6">
        <v>3</v>
      </c>
      <c r="B12" s="9" t="s">
        <v>19</v>
      </c>
      <c r="C12" s="10" t="s">
        <v>17</v>
      </c>
      <c r="D12" s="22">
        <v>0.89930163742202873</v>
      </c>
      <c r="E12" s="22">
        <v>0.79776217035782793</v>
      </c>
      <c r="F12" s="22">
        <v>0.90670513354419302</v>
      </c>
      <c r="G12" s="22">
        <v>0.90303226409546533</v>
      </c>
      <c r="H12" s="22">
        <v>0.95891208159831132</v>
      </c>
      <c r="I12" s="22">
        <v>0.92915290875588774</v>
      </c>
      <c r="J12" s="22">
        <v>0.96470795960072386</v>
      </c>
      <c r="K12" s="22">
        <v>0.9899328653641305</v>
      </c>
      <c r="L12" s="22">
        <v>0.93251379838718107</v>
      </c>
      <c r="M12" s="22">
        <v>0.93192442135728171</v>
      </c>
      <c r="N12" s="22">
        <v>0.90811134503870605</v>
      </c>
      <c r="O12" s="22">
        <v>0.9507374523692107</v>
      </c>
      <c r="P12" s="1"/>
      <c r="Q12" s="8"/>
    </row>
    <row r="13" spans="1:17" x14ac:dyDescent="0.35">
      <c r="A13" s="6">
        <v>4</v>
      </c>
      <c r="B13" s="9" t="s">
        <v>20</v>
      </c>
      <c r="C13" s="3" t="s">
        <v>17</v>
      </c>
      <c r="D13" s="22">
        <v>0.85310093745958238</v>
      </c>
      <c r="E13" s="22">
        <v>0.80190488057429188</v>
      </c>
      <c r="F13" s="22">
        <v>0.94887663954338675</v>
      </c>
      <c r="G13" s="22">
        <v>0.94050960360800218</v>
      </c>
      <c r="H13" s="22">
        <v>0.93333525211987334</v>
      </c>
      <c r="I13" s="22">
        <v>0.94677617268089487</v>
      </c>
      <c r="J13" s="22">
        <v>0.9896495141746493</v>
      </c>
      <c r="K13" s="22">
        <v>0.94740263029374761</v>
      </c>
      <c r="L13" s="22">
        <v>0.86168557757523645</v>
      </c>
      <c r="M13" s="22">
        <v>0.93930694294670447</v>
      </c>
      <c r="N13" s="22">
        <v>0.9222447318586362</v>
      </c>
      <c r="O13" s="22">
        <v>0.78779137766283047</v>
      </c>
      <c r="P13" s="1"/>
      <c r="Q13" s="8"/>
    </row>
    <row r="14" spans="1:17" x14ac:dyDescent="0.35">
      <c r="A14" s="6"/>
      <c r="B14" s="9" t="s">
        <v>21</v>
      </c>
      <c r="C14" s="10" t="s">
        <v>21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1"/>
      <c r="Q14" s="1"/>
    </row>
    <row r="15" spans="1:17" x14ac:dyDescent="0.35">
      <c r="A15" s="6"/>
      <c r="B15" s="1"/>
      <c r="C15" s="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1"/>
      <c r="Q15" s="1"/>
    </row>
    <row r="16" spans="1:17" x14ac:dyDescent="0.35">
      <c r="A16" s="6">
        <v>6</v>
      </c>
      <c r="B16" s="1" t="s">
        <v>22</v>
      </c>
      <c r="C16" s="3" t="s">
        <v>23</v>
      </c>
      <c r="D16" s="22">
        <v>1</v>
      </c>
      <c r="E16" s="22">
        <v>0.88170098215150761</v>
      </c>
      <c r="F16" s="22">
        <v>0.93996907989800971</v>
      </c>
      <c r="G16" s="22">
        <v>0.94696017815056055</v>
      </c>
      <c r="H16" s="22">
        <v>0.93679011535839452</v>
      </c>
      <c r="I16" s="22">
        <v>0.89494178469776831</v>
      </c>
      <c r="J16" s="22">
        <v>0.96602243478527983</v>
      </c>
      <c r="K16" s="22">
        <v>0.96915348451164185</v>
      </c>
      <c r="L16" s="22">
        <v>0.96644793207291824</v>
      </c>
      <c r="M16" s="22">
        <v>0.94586722884152674</v>
      </c>
      <c r="N16" s="22">
        <v>0.86984349861847199</v>
      </c>
      <c r="O16" s="22">
        <v>0.97137142994604586</v>
      </c>
      <c r="P16" s="1"/>
      <c r="Q16" s="1"/>
    </row>
    <row r="17" spans="1:17" x14ac:dyDescent="0.35">
      <c r="A17" s="6">
        <v>7</v>
      </c>
      <c r="B17" s="9" t="s">
        <v>24</v>
      </c>
      <c r="C17" s="3" t="s">
        <v>23</v>
      </c>
      <c r="D17" s="22">
        <v>0.92236036298279278</v>
      </c>
      <c r="E17" s="22">
        <v>0.87517526249696964</v>
      </c>
      <c r="F17" s="22">
        <v>0.98311271353533203</v>
      </c>
      <c r="G17" s="22">
        <v>0.92285769208313106</v>
      </c>
      <c r="H17" s="22">
        <v>0.96731263027759695</v>
      </c>
      <c r="I17" s="22">
        <v>0.94895193251039456</v>
      </c>
      <c r="J17" s="22">
        <v>0.96668524219754215</v>
      </c>
      <c r="K17" s="22">
        <v>0.9365650149859337</v>
      </c>
      <c r="L17" s="22">
        <v>0.9621211102651237</v>
      </c>
      <c r="M17" s="22">
        <v>0.92488251949474387</v>
      </c>
      <c r="N17" s="22">
        <v>0.94289768631180348</v>
      </c>
      <c r="O17" s="22">
        <v>0.88939066902841279</v>
      </c>
      <c r="P17" s="1"/>
      <c r="Q17" s="1"/>
    </row>
    <row r="18" spans="1:17" x14ac:dyDescent="0.35">
      <c r="A18" s="12"/>
      <c r="B18" s="13" t="s">
        <v>21</v>
      </c>
      <c r="C18" s="3" t="s">
        <v>21</v>
      </c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14"/>
      <c r="Q18" s="14"/>
    </row>
    <row r="19" spans="1:17" x14ac:dyDescent="0.35">
      <c r="A19" s="6"/>
      <c r="B19" s="9"/>
      <c r="C19" s="10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1"/>
      <c r="Q19" s="1"/>
    </row>
    <row r="20" spans="1:17" x14ac:dyDescent="0.35">
      <c r="A20" s="6">
        <v>9</v>
      </c>
      <c r="B20" s="9" t="s">
        <v>25</v>
      </c>
      <c r="C20" s="10" t="s">
        <v>26</v>
      </c>
      <c r="D20" s="22">
        <v>0.69429725802883058</v>
      </c>
      <c r="E20" s="22">
        <v>0.82181720624724508</v>
      </c>
      <c r="F20" s="22">
        <v>0.75509765562282583</v>
      </c>
      <c r="G20" s="22">
        <v>0.62610871441064175</v>
      </c>
      <c r="H20" s="22">
        <v>0.86277966204724432</v>
      </c>
      <c r="I20" s="22">
        <v>0.72341564172614614</v>
      </c>
      <c r="J20" s="22">
        <v>0.74658546433929074</v>
      </c>
      <c r="K20" s="22">
        <v>0.75917465124781314</v>
      </c>
      <c r="L20" s="22">
        <v>0.69870889203113939</v>
      </c>
      <c r="M20" s="22">
        <v>0.76984179906642858</v>
      </c>
      <c r="N20" s="22">
        <v>0.80962517119427391</v>
      </c>
      <c r="O20" s="22">
        <v>0.71989519702612736</v>
      </c>
      <c r="P20" s="1"/>
      <c r="Q20" s="1"/>
    </row>
    <row r="21" spans="1:17" x14ac:dyDescent="0.35">
      <c r="A21" s="6"/>
      <c r="B21" s="9"/>
      <c r="C21" s="10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1"/>
      <c r="Q21" s="1"/>
    </row>
    <row r="22" spans="1:17" x14ac:dyDescent="0.35">
      <c r="A22" s="12">
        <v>10</v>
      </c>
      <c r="B22" s="14" t="s">
        <v>27</v>
      </c>
      <c r="C22" s="15" t="s">
        <v>17</v>
      </c>
      <c r="D22" s="22">
        <v>1.5673424877905125E-2</v>
      </c>
      <c r="E22" s="22">
        <v>2.3905216331233875E-3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14"/>
      <c r="Q22" s="14"/>
    </row>
    <row r="23" spans="1:17" x14ac:dyDescent="0.35">
      <c r="A23" s="6"/>
      <c r="B23" s="1"/>
      <c r="C23" s="3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1"/>
      <c r="Q23" s="1"/>
    </row>
    <row r="24" spans="1:17" x14ac:dyDescent="0.35">
      <c r="A24" s="6"/>
      <c r="B24" s="19" t="s">
        <v>21</v>
      </c>
      <c r="C24" s="3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1"/>
      <c r="Q24" s="1"/>
    </row>
    <row r="25" spans="1:17" x14ac:dyDescent="0.35">
      <c r="A25" s="6"/>
      <c r="B25" s="1"/>
      <c r="C25" s="3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1"/>
      <c r="Q25" s="1"/>
    </row>
    <row r="26" spans="1:17" x14ac:dyDescent="0.35">
      <c r="A26" s="6">
        <v>12</v>
      </c>
      <c r="B26" s="9" t="s">
        <v>28</v>
      </c>
      <c r="C26" s="10" t="s">
        <v>23</v>
      </c>
      <c r="D26" s="21" t="s">
        <v>37</v>
      </c>
      <c r="E26" s="21" t="s">
        <v>37</v>
      </c>
      <c r="F26" s="21" t="s">
        <v>37</v>
      </c>
      <c r="G26" s="21" t="s">
        <v>37</v>
      </c>
      <c r="H26" s="21" t="s">
        <v>37</v>
      </c>
      <c r="I26" s="21" t="s">
        <v>37</v>
      </c>
      <c r="J26" s="21" t="s">
        <v>37</v>
      </c>
      <c r="K26" s="21" t="s">
        <v>37</v>
      </c>
      <c r="L26" s="21" t="s">
        <v>37</v>
      </c>
      <c r="M26" s="21" t="s">
        <v>37</v>
      </c>
      <c r="N26" s="21" t="s">
        <v>37</v>
      </c>
      <c r="O26" s="21" t="s">
        <v>37</v>
      </c>
      <c r="P26" s="1"/>
      <c r="Q26" s="1"/>
    </row>
    <row r="28" spans="1:17" s="44" customFormat="1" x14ac:dyDescent="0.35">
      <c r="A28" s="13"/>
      <c r="B28" s="56" t="s">
        <v>41</v>
      </c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43"/>
    </row>
    <row r="29" spans="1:17" x14ac:dyDescent="0.35">
      <c r="A29" s="1"/>
      <c r="B29" s="61" t="s">
        <v>35</v>
      </c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</row>
    <row r="30" spans="1:17" x14ac:dyDescent="0.35">
      <c r="A30" s="1"/>
      <c r="B30" s="61" t="s">
        <v>49</v>
      </c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</row>
    <row r="31" spans="1:17" x14ac:dyDescent="0.35">
      <c r="A31" s="1"/>
      <c r="B31" s="60" t="str">
        <f>B4</f>
        <v>TEST YEAR ENDING 12/31/2016</v>
      </c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</row>
    <row r="32" spans="1:17" x14ac:dyDescent="0.35">
      <c r="A32" s="1"/>
      <c r="B32" s="19"/>
      <c r="C32" s="19"/>
      <c r="D32" s="19">
        <v>2016</v>
      </c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</row>
    <row r="33" spans="1:15" x14ac:dyDescent="0.35">
      <c r="A33" s="19" t="s">
        <v>0</v>
      </c>
      <c r="B33" s="19" t="s">
        <v>1</v>
      </c>
      <c r="C33" s="19" t="s">
        <v>2</v>
      </c>
      <c r="D33" s="4" t="s">
        <v>9</v>
      </c>
      <c r="E33" s="4" t="s">
        <v>10</v>
      </c>
      <c r="F33" s="4" t="s">
        <v>11</v>
      </c>
      <c r="G33" s="4" t="s">
        <v>12</v>
      </c>
      <c r="H33" s="4" t="s">
        <v>13</v>
      </c>
      <c r="I33" s="4" t="s">
        <v>14</v>
      </c>
      <c r="J33" s="4" t="s">
        <v>3</v>
      </c>
      <c r="K33" s="4" t="s">
        <v>4</v>
      </c>
      <c r="L33" s="4" t="s">
        <v>5</v>
      </c>
      <c r="M33" s="4" t="s">
        <v>6</v>
      </c>
      <c r="N33" s="4" t="s">
        <v>7</v>
      </c>
      <c r="O33" s="4" t="s">
        <v>8</v>
      </c>
    </row>
    <row r="34" spans="1:15" x14ac:dyDescent="0.35">
      <c r="A34" s="1"/>
      <c r="B34" s="19"/>
      <c r="C34" s="19"/>
      <c r="D34" s="4"/>
      <c r="E34" s="4"/>
      <c r="F34" s="5"/>
      <c r="G34" s="4"/>
      <c r="H34" s="4"/>
      <c r="I34" s="4"/>
      <c r="J34" s="4"/>
      <c r="K34" s="4"/>
      <c r="L34" s="4"/>
      <c r="M34" s="4"/>
      <c r="N34" s="4"/>
      <c r="O34" s="4"/>
    </row>
    <row r="35" spans="1:15" x14ac:dyDescent="0.35">
      <c r="A35" s="6" t="s">
        <v>15</v>
      </c>
      <c r="B35" s="1" t="s">
        <v>16</v>
      </c>
      <c r="C35" s="3" t="s">
        <v>17</v>
      </c>
      <c r="D35" s="22">
        <v>0.51467579568367261</v>
      </c>
      <c r="E35" s="22">
        <v>0.43256483375415372</v>
      </c>
      <c r="F35" s="22">
        <v>0.48453336145057602</v>
      </c>
      <c r="G35" s="22">
        <v>0.50039853279303192</v>
      </c>
      <c r="H35" s="22">
        <v>0.57321205334995606</v>
      </c>
      <c r="I35" s="22">
        <v>0.61202973681281692</v>
      </c>
      <c r="J35" s="22">
        <v>0.68677724286922948</v>
      </c>
      <c r="K35" s="22">
        <v>0.6231834196700361</v>
      </c>
      <c r="L35" s="22">
        <v>0.5680695610448161</v>
      </c>
      <c r="M35" s="22">
        <v>0.5295274864446059</v>
      </c>
      <c r="N35" s="22">
        <v>0.48126083003339254</v>
      </c>
      <c r="O35" s="22">
        <v>0.44141127792491636</v>
      </c>
    </row>
    <row r="36" spans="1:15" x14ac:dyDescent="0.35">
      <c r="A36" s="6"/>
      <c r="B36" s="1"/>
      <c r="C36" s="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</row>
    <row r="37" spans="1:15" x14ac:dyDescent="0.35">
      <c r="A37" s="6">
        <v>2</v>
      </c>
      <c r="B37" s="1" t="s">
        <v>18</v>
      </c>
      <c r="C37" s="3" t="s">
        <v>17</v>
      </c>
      <c r="D37" s="22">
        <v>0.7496323696240611</v>
      </c>
      <c r="E37" s="22">
        <v>0.73670963297030534</v>
      </c>
      <c r="F37" s="22">
        <v>0.61556639627306509</v>
      </c>
      <c r="G37" s="22">
        <v>0.62611196598546659</v>
      </c>
      <c r="H37" s="22">
        <v>0.60319990771901877</v>
      </c>
      <c r="I37" s="22">
        <v>0.62688087844989215</v>
      </c>
      <c r="J37" s="22">
        <v>0.67300212826367611</v>
      </c>
      <c r="K37" s="22">
        <v>0.63453542947166175</v>
      </c>
      <c r="L37" s="22">
        <v>0.62636978656528697</v>
      </c>
      <c r="M37" s="22">
        <v>0.60979488762221445</v>
      </c>
      <c r="N37" s="22">
        <v>0.58508006359699449</v>
      </c>
      <c r="O37" s="22">
        <v>0.66197145990234307</v>
      </c>
    </row>
    <row r="38" spans="1:15" x14ac:dyDescent="0.35">
      <c r="A38" s="6"/>
      <c r="B38" s="1"/>
      <c r="C38" s="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</row>
    <row r="39" spans="1:15" x14ac:dyDescent="0.35">
      <c r="A39" s="6">
        <v>3</v>
      </c>
      <c r="B39" s="9" t="s">
        <v>19</v>
      </c>
      <c r="C39" s="10" t="s">
        <v>17</v>
      </c>
      <c r="D39" s="22">
        <v>0.64193842767032605</v>
      </c>
      <c r="E39" s="22">
        <v>0.64456039814577881</v>
      </c>
      <c r="F39" s="22">
        <v>0.57620477928909308</v>
      </c>
      <c r="G39" s="22">
        <v>0.58064177929604488</v>
      </c>
      <c r="H39" s="22">
        <v>0.61076576495950408</v>
      </c>
      <c r="I39" s="22">
        <v>0.64370205315800044</v>
      </c>
      <c r="J39" s="22">
        <v>0.68379508784941001</v>
      </c>
      <c r="K39" s="22">
        <v>0.63463219391031289</v>
      </c>
      <c r="L39" s="22">
        <v>0.6230673600342137</v>
      </c>
      <c r="M39" s="22">
        <v>0.58833501422028522</v>
      </c>
      <c r="N39" s="22">
        <v>0.54201350661599179</v>
      </c>
      <c r="O39" s="22">
        <v>0.64690414688346587</v>
      </c>
    </row>
    <row r="40" spans="1:15" x14ac:dyDescent="0.35">
      <c r="A40" s="6">
        <v>4</v>
      </c>
      <c r="B40" s="9" t="s">
        <v>20</v>
      </c>
      <c r="C40" s="3" t="s">
        <v>17</v>
      </c>
      <c r="D40" s="22">
        <v>0.72898491926160736</v>
      </c>
      <c r="E40" s="22">
        <v>0.71340370826328625</v>
      </c>
      <c r="F40" s="22">
        <v>0.69670401549541694</v>
      </c>
      <c r="G40" s="22">
        <v>0.68486054752134029</v>
      </c>
      <c r="H40" s="22">
        <v>0.69929420795891251</v>
      </c>
      <c r="I40" s="22">
        <v>0.74654422603010762</v>
      </c>
      <c r="J40" s="22">
        <v>0.77035654546717081</v>
      </c>
      <c r="K40" s="22">
        <v>0.76138050950893066</v>
      </c>
      <c r="L40" s="22">
        <v>0.72162680937356627</v>
      </c>
      <c r="M40" s="22">
        <v>0.69303198888989181</v>
      </c>
      <c r="N40" s="22">
        <v>0.63719176154667989</v>
      </c>
      <c r="O40" s="22">
        <v>0.70519518474357368</v>
      </c>
    </row>
    <row r="41" spans="1:15" x14ac:dyDescent="0.35">
      <c r="A41" s="6"/>
      <c r="B41" s="9" t="s">
        <v>21</v>
      </c>
      <c r="C41" s="10" t="s">
        <v>21</v>
      </c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</row>
    <row r="42" spans="1:15" x14ac:dyDescent="0.35">
      <c r="A42" s="6"/>
      <c r="B42" s="1"/>
      <c r="C42" s="3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</row>
    <row r="43" spans="1:15" x14ac:dyDescent="0.35">
      <c r="A43" s="6">
        <v>6</v>
      </c>
      <c r="B43" s="1" t="s">
        <v>22</v>
      </c>
      <c r="C43" s="3" t="s">
        <v>23</v>
      </c>
      <c r="D43" s="22">
        <v>0.84653712606719322</v>
      </c>
      <c r="E43" s="22">
        <v>0.84321032937466711</v>
      </c>
      <c r="F43" s="22">
        <v>0.79958091168989054</v>
      </c>
      <c r="G43" s="22">
        <v>0.80191143250075525</v>
      </c>
      <c r="H43" s="22">
        <v>0.775557189635806</v>
      </c>
      <c r="I43" s="22">
        <v>0.78917421383098574</v>
      </c>
      <c r="J43" s="22">
        <v>0.81961846220740187</v>
      </c>
      <c r="K43" s="22">
        <v>0.80330184439252195</v>
      </c>
      <c r="L43" s="22">
        <v>0.81206393291826673</v>
      </c>
      <c r="M43" s="22">
        <v>0.79719399741214714</v>
      </c>
      <c r="N43" s="22">
        <v>0.75180164619461454</v>
      </c>
      <c r="O43" s="22">
        <v>0.84959985515214576</v>
      </c>
    </row>
    <row r="44" spans="1:15" x14ac:dyDescent="0.35">
      <c r="A44" s="6">
        <v>7</v>
      </c>
      <c r="B44" s="9" t="s">
        <v>24</v>
      </c>
      <c r="C44" s="3" t="s">
        <v>23</v>
      </c>
      <c r="D44" s="22">
        <v>0.82740917664390212</v>
      </c>
      <c r="E44" s="22">
        <v>0.83264449917863437</v>
      </c>
      <c r="F44" s="22">
        <v>0.83123613598893442</v>
      </c>
      <c r="G44" s="22">
        <v>0.82413175731658617</v>
      </c>
      <c r="H44" s="22">
        <v>0.83152528804595349</v>
      </c>
      <c r="I44" s="22">
        <v>0.8445636678608186</v>
      </c>
      <c r="J44" s="22">
        <v>0.87082405794511175</v>
      </c>
      <c r="K44" s="22">
        <v>0.85118758478128764</v>
      </c>
      <c r="L44" s="22">
        <v>0.83810690567219648</v>
      </c>
      <c r="M44" s="22">
        <v>0.81823503901947547</v>
      </c>
      <c r="N44" s="22">
        <v>0.80167913735045526</v>
      </c>
      <c r="O44" s="22">
        <v>0.82824646173323369</v>
      </c>
    </row>
    <row r="45" spans="1:15" x14ac:dyDescent="0.35">
      <c r="A45" s="12"/>
      <c r="B45" s="13" t="s">
        <v>21</v>
      </c>
      <c r="C45" s="3" t="s">
        <v>21</v>
      </c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</row>
    <row r="46" spans="1:15" x14ac:dyDescent="0.35">
      <c r="A46" s="6"/>
      <c r="B46" s="9"/>
      <c r="C46" s="10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</row>
    <row r="47" spans="1:15" x14ac:dyDescent="0.35">
      <c r="A47" s="6">
        <v>9</v>
      </c>
      <c r="B47" s="9" t="s">
        <v>25</v>
      </c>
      <c r="C47" s="10" t="s">
        <v>26</v>
      </c>
      <c r="D47" s="22">
        <v>0.80830801721582912</v>
      </c>
      <c r="E47" s="22">
        <v>0.83045611417210752</v>
      </c>
      <c r="F47" s="22">
        <v>0.90105161339504147</v>
      </c>
      <c r="G47" s="22">
        <v>0.82114150260598229</v>
      </c>
      <c r="H47" s="22">
        <v>0.8426410741038961</v>
      </c>
      <c r="I47" s="22">
        <v>0.82178577790509977</v>
      </c>
      <c r="J47" s="22">
        <v>0.86172008001760325</v>
      </c>
      <c r="K47" s="22">
        <v>0.89550710616355444</v>
      </c>
      <c r="L47" s="22">
        <v>0.88575255119892038</v>
      </c>
      <c r="M47" s="22">
        <v>0.79228260899840985</v>
      </c>
      <c r="N47" s="22">
        <v>0.87722486987478843</v>
      </c>
      <c r="O47" s="22">
        <v>0.85201439505168675</v>
      </c>
    </row>
    <row r="48" spans="1:15" x14ac:dyDescent="0.35">
      <c r="A48" s="6"/>
      <c r="B48" s="9"/>
      <c r="C48" s="10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</row>
    <row r="49" spans="1:15" x14ac:dyDescent="0.35">
      <c r="A49" s="12">
        <v>10</v>
      </c>
      <c r="B49" s="14" t="s">
        <v>27</v>
      </c>
      <c r="C49" s="15" t="s">
        <v>17</v>
      </c>
      <c r="D49" s="22">
        <v>0.50719919084726117</v>
      </c>
      <c r="E49" s="22">
        <v>0.47633012946627773</v>
      </c>
      <c r="F49" s="22">
        <v>0.43972718910573894</v>
      </c>
      <c r="G49" s="22">
        <v>0.40666114280343357</v>
      </c>
      <c r="H49" s="22">
        <v>0.38178181767407038</v>
      </c>
      <c r="I49" s="22">
        <v>0.37639693760578535</v>
      </c>
      <c r="J49" s="22">
        <v>0.37805252637151099</v>
      </c>
      <c r="K49" s="22">
        <v>0.3968735073447871</v>
      </c>
      <c r="L49" s="22">
        <v>0.42893947045494746</v>
      </c>
      <c r="M49" s="22">
        <v>0.46410832481349718</v>
      </c>
      <c r="N49" s="22">
        <v>0.49890166823383636</v>
      </c>
      <c r="O49" s="22">
        <v>0.52261746806154374</v>
      </c>
    </row>
    <row r="50" spans="1:15" x14ac:dyDescent="0.35">
      <c r="A50" s="6"/>
      <c r="B50" s="1"/>
      <c r="C50" s="3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</row>
    <row r="51" spans="1:15" x14ac:dyDescent="0.35">
      <c r="A51" s="6"/>
      <c r="B51" s="19" t="s">
        <v>21</v>
      </c>
      <c r="C51" s="3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</row>
    <row r="52" spans="1:15" x14ac:dyDescent="0.35">
      <c r="A52" s="6"/>
      <c r="B52" s="1"/>
      <c r="C52" s="3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</row>
    <row r="53" spans="1:15" x14ac:dyDescent="0.35">
      <c r="A53" s="6">
        <v>12</v>
      </c>
      <c r="B53" s="9" t="s">
        <v>28</v>
      </c>
      <c r="C53" s="10" t="s">
        <v>23</v>
      </c>
      <c r="D53" s="21" t="s">
        <v>37</v>
      </c>
      <c r="E53" s="21" t="s">
        <v>37</v>
      </c>
      <c r="F53" s="21" t="s">
        <v>37</v>
      </c>
      <c r="G53" s="21" t="s">
        <v>37</v>
      </c>
      <c r="H53" s="21" t="s">
        <v>37</v>
      </c>
      <c r="I53" s="21" t="s">
        <v>37</v>
      </c>
      <c r="J53" s="21" t="s">
        <v>37</v>
      </c>
      <c r="K53" s="21" t="s">
        <v>37</v>
      </c>
      <c r="L53" s="21" t="s">
        <v>37</v>
      </c>
      <c r="M53" s="21" t="s">
        <v>37</v>
      </c>
      <c r="N53" s="21" t="s">
        <v>37</v>
      </c>
      <c r="O53" s="21" t="s">
        <v>37</v>
      </c>
    </row>
    <row r="54" spans="1:15" x14ac:dyDescent="0.35">
      <c r="A54" s="6"/>
      <c r="B54" s="19" t="s">
        <v>21</v>
      </c>
      <c r="C54" s="19"/>
      <c r="D54" s="16" t="s">
        <v>21</v>
      </c>
      <c r="E54" s="16" t="s">
        <v>21</v>
      </c>
      <c r="F54" s="16" t="s">
        <v>21</v>
      </c>
      <c r="G54" s="16" t="s">
        <v>21</v>
      </c>
      <c r="H54" s="16" t="s">
        <v>21</v>
      </c>
      <c r="I54" s="16" t="s">
        <v>21</v>
      </c>
      <c r="J54" s="16" t="s">
        <v>21</v>
      </c>
      <c r="K54" s="16" t="s">
        <v>21</v>
      </c>
      <c r="L54" s="16" t="s">
        <v>21</v>
      </c>
      <c r="M54" s="16" t="s">
        <v>21</v>
      </c>
      <c r="N54" s="16" t="s">
        <v>21</v>
      </c>
      <c r="O54" s="16" t="s">
        <v>21</v>
      </c>
    </row>
    <row r="55" spans="1:15" x14ac:dyDescent="0.35">
      <c r="A55" s="6"/>
      <c r="B55" s="17"/>
      <c r="C55" s="19"/>
      <c r="D55" s="18"/>
      <c r="E55" s="18"/>
      <c r="F55" s="11"/>
      <c r="G55" s="18"/>
      <c r="H55" s="18"/>
      <c r="I55" s="18"/>
      <c r="J55" s="18"/>
      <c r="K55" s="18"/>
      <c r="L55" s="18"/>
      <c r="M55" s="18"/>
      <c r="N55" s="18"/>
      <c r="O55" s="18"/>
    </row>
    <row r="56" spans="1:15" x14ac:dyDescent="0.35">
      <c r="A56" s="6"/>
      <c r="B56" s="19"/>
      <c r="C56" s="19" t="s">
        <v>21</v>
      </c>
      <c r="D56" s="16" t="s">
        <v>21</v>
      </c>
      <c r="E56" s="16" t="s">
        <v>21</v>
      </c>
      <c r="F56" s="16" t="s">
        <v>21</v>
      </c>
      <c r="G56" s="16" t="s">
        <v>21</v>
      </c>
      <c r="H56" s="16" t="s">
        <v>21</v>
      </c>
      <c r="I56" s="16" t="s">
        <v>21</v>
      </c>
      <c r="J56" s="16" t="s">
        <v>21</v>
      </c>
      <c r="K56" s="16" t="s">
        <v>21</v>
      </c>
      <c r="L56" s="16" t="s">
        <v>21</v>
      </c>
      <c r="M56" s="16" t="s">
        <v>21</v>
      </c>
      <c r="N56" s="16" t="s">
        <v>21</v>
      </c>
      <c r="O56" s="16" t="s">
        <v>21</v>
      </c>
    </row>
  </sheetData>
  <mergeCells count="8">
    <mergeCell ref="B1:O1"/>
    <mergeCell ref="B28:O28"/>
    <mergeCell ref="B31:O31"/>
    <mergeCell ref="B2:O2"/>
    <mergeCell ref="B3:O3"/>
    <mergeCell ref="B4:O4"/>
    <mergeCell ref="B29:O29"/>
    <mergeCell ref="B30:O30"/>
  </mergeCells>
  <pageMargins left="0.7" right="0.7" top="0.75" bottom="0.75" header="0.3" footer="0.3"/>
  <pageSetup scale="50" orientation="landscape" r:id="rId1"/>
  <headerFooter>
    <oddHeader>&amp;RII-H-1.4 Adjusted Test Year Load Data
&amp;A
Page &amp;P of &amp;N</oddHeader>
    <oddFooter>&amp;LSponsored by: Nora D. Williams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6"/>
  <sheetViews>
    <sheetView topLeftCell="A2" workbookViewId="0">
      <selection activeCell="B4" sqref="B4:O4"/>
    </sheetView>
  </sheetViews>
  <sheetFormatPr defaultRowHeight="14.5" x14ac:dyDescent="0.35"/>
  <cols>
    <col min="1" max="1" width="5.1796875" bestFit="1" customWidth="1"/>
    <col min="2" max="2" width="29.1796875" bestFit="1" customWidth="1"/>
    <col min="3" max="3" width="6" bestFit="1" customWidth="1"/>
    <col min="4" max="4" width="9.453125" bestFit="1" customWidth="1"/>
    <col min="5" max="5" width="10.26953125" bestFit="1" customWidth="1"/>
    <col min="6" max="6" width="12.1796875" bestFit="1" customWidth="1"/>
    <col min="7" max="7" width="9.26953125" bestFit="1" customWidth="1"/>
    <col min="8" max="9" width="11.453125" bestFit="1" customWidth="1"/>
    <col min="10" max="10" width="9.453125" bestFit="1" customWidth="1"/>
    <col min="11" max="11" width="10.26953125" bestFit="1" customWidth="1"/>
    <col min="12" max="12" width="12.1796875" bestFit="1" customWidth="1"/>
    <col min="13" max="13" width="9.26953125" bestFit="1" customWidth="1"/>
    <col min="14" max="15" width="11.453125" bestFit="1" customWidth="1"/>
    <col min="17" max="17" width="5.54296875" bestFit="1" customWidth="1"/>
  </cols>
  <sheetData>
    <row r="1" spans="1:17" s="44" customFormat="1" x14ac:dyDescent="0.35">
      <c r="A1" s="13"/>
      <c r="B1" s="56" t="s">
        <v>41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43"/>
    </row>
    <row r="2" spans="1:17" x14ac:dyDescent="0.35">
      <c r="A2" s="1"/>
      <c r="B2" s="61" t="s">
        <v>35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1"/>
      <c r="Q2" s="1"/>
    </row>
    <row r="3" spans="1:17" x14ac:dyDescent="0.35">
      <c r="A3" s="1"/>
      <c r="B3" s="61" t="s">
        <v>48</v>
      </c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1"/>
      <c r="Q3" s="1"/>
    </row>
    <row r="4" spans="1:17" x14ac:dyDescent="0.35">
      <c r="A4" s="1"/>
      <c r="B4" s="59" t="s">
        <v>53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1"/>
      <c r="Q4" s="1"/>
    </row>
    <row r="5" spans="1:17" x14ac:dyDescent="0.35">
      <c r="A5" s="1"/>
      <c r="B5" s="19"/>
      <c r="C5" s="19"/>
      <c r="D5" s="19">
        <v>2017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"/>
      <c r="Q5" s="1"/>
    </row>
    <row r="6" spans="1:17" x14ac:dyDescent="0.35">
      <c r="A6" s="19" t="s">
        <v>0</v>
      </c>
      <c r="B6" s="19" t="s">
        <v>1</v>
      </c>
      <c r="C6" s="19" t="s">
        <v>2</v>
      </c>
      <c r="D6" s="4" t="s">
        <v>9</v>
      </c>
      <c r="E6" s="4" t="s">
        <v>10</v>
      </c>
      <c r="F6" s="4" t="s">
        <v>11</v>
      </c>
      <c r="G6" s="4" t="s">
        <v>12</v>
      </c>
      <c r="H6" s="4" t="s">
        <v>13</v>
      </c>
      <c r="I6" s="4" t="s">
        <v>14</v>
      </c>
      <c r="J6" s="4" t="s">
        <v>3</v>
      </c>
      <c r="K6" s="4" t="s">
        <v>4</v>
      </c>
      <c r="L6" s="4" t="s">
        <v>5</v>
      </c>
      <c r="M6" s="4" t="s">
        <v>6</v>
      </c>
      <c r="N6" s="4" t="s">
        <v>7</v>
      </c>
      <c r="O6" s="4" t="s">
        <v>8</v>
      </c>
      <c r="P6" s="1"/>
      <c r="Q6" s="1"/>
    </row>
    <row r="7" spans="1:17" x14ac:dyDescent="0.35">
      <c r="A7" s="1"/>
      <c r="B7" s="19"/>
      <c r="C7" s="19"/>
      <c r="D7" s="4"/>
      <c r="E7" s="4"/>
      <c r="F7" s="5"/>
      <c r="G7" s="4"/>
      <c r="H7" s="4"/>
      <c r="I7" s="4"/>
      <c r="J7" s="4"/>
      <c r="K7" s="4"/>
      <c r="L7" s="4"/>
      <c r="M7" s="4"/>
      <c r="N7" s="4"/>
      <c r="O7" s="4"/>
      <c r="P7" s="1"/>
      <c r="Q7" s="1"/>
    </row>
    <row r="8" spans="1:17" x14ac:dyDescent="0.35">
      <c r="A8" s="6" t="s">
        <v>15</v>
      </c>
      <c r="B8" s="1" t="s">
        <v>16</v>
      </c>
      <c r="C8" s="3" t="s">
        <v>17</v>
      </c>
      <c r="D8" s="22">
        <v>0.98934332527221769</v>
      </c>
      <c r="E8" s="22">
        <v>0.9228291619526805</v>
      </c>
      <c r="F8" s="22">
        <v>0.83933744019999867</v>
      </c>
      <c r="G8" s="22">
        <v>0.96682910172188008</v>
      </c>
      <c r="H8" s="22">
        <v>0.96643616964136958</v>
      </c>
      <c r="I8" s="22">
        <v>0.92882249079413104</v>
      </c>
      <c r="J8" s="22">
        <v>0.89104482146283392</v>
      </c>
      <c r="K8" s="22">
        <v>0.93429044044056475</v>
      </c>
      <c r="L8" s="22">
        <v>0.98761858877797959</v>
      </c>
      <c r="M8" s="22">
        <v>0.93141773247976201</v>
      </c>
      <c r="N8" s="22">
        <v>0.82075988942235545</v>
      </c>
      <c r="O8" s="22">
        <v>0.93074929174496068</v>
      </c>
      <c r="P8" s="1"/>
      <c r="Q8" s="1"/>
    </row>
    <row r="9" spans="1:17" x14ac:dyDescent="0.35">
      <c r="A9" s="6"/>
      <c r="B9" s="1"/>
      <c r="C9" s="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1"/>
      <c r="Q9" s="1"/>
    </row>
    <row r="10" spans="1:17" x14ac:dyDescent="0.35">
      <c r="A10" s="6">
        <v>2</v>
      </c>
      <c r="B10" s="1" t="s">
        <v>18</v>
      </c>
      <c r="C10" s="3" t="s">
        <v>17</v>
      </c>
      <c r="D10" s="22">
        <v>0.7720381926388894</v>
      </c>
      <c r="E10" s="22">
        <v>0.95292886582111735</v>
      </c>
      <c r="F10" s="22">
        <v>0.95258214005713315</v>
      </c>
      <c r="G10" s="22">
        <v>0.93937660571471882</v>
      </c>
      <c r="H10" s="22">
        <v>0.99113506578373889</v>
      </c>
      <c r="I10" s="22">
        <v>1</v>
      </c>
      <c r="J10" s="22">
        <v>0.93442789438776708</v>
      </c>
      <c r="K10" s="22">
        <v>0.95703637424888099</v>
      </c>
      <c r="L10" s="22">
        <v>0.98029054656074222</v>
      </c>
      <c r="M10" s="22">
        <v>0.9553199046380848</v>
      </c>
      <c r="N10" s="22">
        <v>0.97111733817847767</v>
      </c>
      <c r="O10" s="22">
        <v>0.90367817461567179</v>
      </c>
      <c r="P10" s="1"/>
      <c r="Q10" s="8"/>
    </row>
    <row r="11" spans="1:17" x14ac:dyDescent="0.35">
      <c r="A11" s="6"/>
      <c r="B11" s="1"/>
      <c r="C11" s="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1"/>
      <c r="Q11" s="1"/>
    </row>
    <row r="12" spans="1:17" x14ac:dyDescent="0.35">
      <c r="A12" s="6">
        <v>3</v>
      </c>
      <c r="B12" s="9" t="s">
        <v>19</v>
      </c>
      <c r="C12" s="10" t="s">
        <v>17</v>
      </c>
      <c r="D12" s="22">
        <v>0.79618692231440991</v>
      </c>
      <c r="E12" s="22">
        <v>0.93118492689077881</v>
      </c>
      <c r="F12" s="22">
        <v>0.92966239850399246</v>
      </c>
      <c r="G12" s="22">
        <v>0.94049997410825881</v>
      </c>
      <c r="H12" s="22">
        <v>0.94985661001628818</v>
      </c>
      <c r="I12" s="22">
        <v>0.98554144723948578</v>
      </c>
      <c r="J12" s="22">
        <v>0.94631762317620416</v>
      </c>
      <c r="K12" s="22">
        <v>0.93746688528498334</v>
      </c>
      <c r="L12" s="22">
        <v>0.95089590575566685</v>
      </c>
      <c r="M12" s="22">
        <v>0.94406894904811189</v>
      </c>
      <c r="N12" s="22">
        <v>0.97436361298892427</v>
      </c>
      <c r="O12" s="22">
        <v>0.87348077621645759</v>
      </c>
      <c r="P12" s="1"/>
      <c r="Q12" s="8"/>
    </row>
    <row r="13" spans="1:17" x14ac:dyDescent="0.35">
      <c r="A13" s="6">
        <v>4</v>
      </c>
      <c r="B13" s="9" t="s">
        <v>20</v>
      </c>
      <c r="C13" s="3" t="s">
        <v>17</v>
      </c>
      <c r="D13" s="22">
        <v>0.68641332509782249</v>
      </c>
      <c r="E13" s="22">
        <v>0.90960343077493266</v>
      </c>
      <c r="F13" s="22">
        <v>0.94427908768565483</v>
      </c>
      <c r="G13" s="22">
        <v>0.95550483189574953</v>
      </c>
      <c r="H13" s="22">
        <v>0.94064165080930973</v>
      </c>
      <c r="I13" s="22">
        <v>0.94106130957365153</v>
      </c>
      <c r="J13" s="22">
        <v>0.96860102588664965</v>
      </c>
      <c r="K13" s="22">
        <v>0.93471028472960871</v>
      </c>
      <c r="L13" s="22">
        <v>0.89157568843704726</v>
      </c>
      <c r="M13" s="22">
        <v>0.89808645329493952</v>
      </c>
      <c r="N13" s="22">
        <v>0.994395527113905</v>
      </c>
      <c r="O13" s="22">
        <v>0.76594407079550475</v>
      </c>
      <c r="P13" s="1"/>
      <c r="Q13" s="8"/>
    </row>
    <row r="14" spans="1:17" x14ac:dyDescent="0.35">
      <c r="A14" s="6"/>
      <c r="B14" s="9" t="s">
        <v>21</v>
      </c>
      <c r="C14" s="10" t="s">
        <v>21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1"/>
      <c r="Q14" s="1"/>
    </row>
    <row r="15" spans="1:17" x14ac:dyDescent="0.35">
      <c r="A15" s="6"/>
      <c r="B15" s="1"/>
      <c r="C15" s="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1"/>
      <c r="Q15" s="1"/>
    </row>
    <row r="16" spans="1:17" x14ac:dyDescent="0.35">
      <c r="A16" s="6">
        <v>6</v>
      </c>
      <c r="B16" s="1" t="s">
        <v>22</v>
      </c>
      <c r="C16" s="3" t="s">
        <v>23</v>
      </c>
      <c r="D16" s="22">
        <v>0.88190320812226086</v>
      </c>
      <c r="E16" s="22">
        <v>0.93935805168159625</v>
      </c>
      <c r="F16" s="22">
        <v>0.91078264889296301</v>
      </c>
      <c r="G16" s="22">
        <v>0.971433664517794</v>
      </c>
      <c r="H16" s="22">
        <v>0.97193569592551798</v>
      </c>
      <c r="I16" s="22">
        <v>0.9996837837903676</v>
      </c>
      <c r="J16" s="22">
        <v>0.95509885250047377</v>
      </c>
      <c r="K16" s="22">
        <v>0.94915496219397733</v>
      </c>
      <c r="L16" s="22">
        <v>0.96467330278337282</v>
      </c>
      <c r="M16" s="22">
        <v>0.9853561408759467</v>
      </c>
      <c r="N16" s="22">
        <v>0.95385089548556579</v>
      </c>
      <c r="O16" s="22">
        <v>0.94965497161307644</v>
      </c>
      <c r="P16" s="1"/>
      <c r="Q16" s="1"/>
    </row>
    <row r="17" spans="1:17" x14ac:dyDescent="0.35">
      <c r="A17" s="6">
        <v>7</v>
      </c>
      <c r="B17" s="9" t="s">
        <v>24</v>
      </c>
      <c r="C17" s="3" t="s">
        <v>23</v>
      </c>
      <c r="D17" s="22">
        <v>0.78650197062546023</v>
      </c>
      <c r="E17" s="22">
        <v>0.94321373207875492</v>
      </c>
      <c r="F17" s="22">
        <v>0.96181092388196143</v>
      </c>
      <c r="G17" s="22">
        <v>0.97166432016617033</v>
      </c>
      <c r="H17" s="22">
        <v>0.92971714790461668</v>
      </c>
      <c r="I17" s="22">
        <v>0.94691296201845476</v>
      </c>
      <c r="J17" s="22">
        <v>0.94560775376726103</v>
      </c>
      <c r="K17" s="22">
        <v>0.94270045277790959</v>
      </c>
      <c r="L17" s="22">
        <v>0.91332984168606435</v>
      </c>
      <c r="M17" s="22">
        <v>0.94411154756708049</v>
      </c>
      <c r="N17" s="22">
        <v>0.98903758166041145</v>
      </c>
      <c r="O17" s="22">
        <v>0.84157640519471366</v>
      </c>
      <c r="P17" s="1"/>
      <c r="Q17" s="1"/>
    </row>
    <row r="18" spans="1:17" x14ac:dyDescent="0.35">
      <c r="A18" s="12"/>
      <c r="B18" s="13" t="s">
        <v>21</v>
      </c>
      <c r="C18" s="3" t="s">
        <v>21</v>
      </c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14"/>
      <c r="Q18" s="14"/>
    </row>
    <row r="19" spans="1:17" x14ac:dyDescent="0.35">
      <c r="A19" s="6"/>
      <c r="B19" s="9"/>
      <c r="C19" s="10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1"/>
      <c r="Q19" s="1"/>
    </row>
    <row r="20" spans="1:17" x14ac:dyDescent="0.35">
      <c r="A20" s="6">
        <v>9</v>
      </c>
      <c r="B20" s="9" t="s">
        <v>25</v>
      </c>
      <c r="C20" s="10" t="s">
        <v>26</v>
      </c>
      <c r="D20" s="22">
        <v>0.63393866601930993</v>
      </c>
      <c r="E20" s="22">
        <v>0.71816888178551608</v>
      </c>
      <c r="F20" s="22">
        <v>0.75819733203231987</v>
      </c>
      <c r="G20" s="22">
        <v>0.85623406614748798</v>
      </c>
      <c r="H20" s="22">
        <v>0.83849154657041447</v>
      </c>
      <c r="I20" s="22">
        <v>0.73854416461369288</v>
      </c>
      <c r="J20" s="22">
        <v>0.91144622289391142</v>
      </c>
      <c r="K20" s="22">
        <v>0.8547405902536207</v>
      </c>
      <c r="L20" s="22">
        <v>0.64728183176983134</v>
      </c>
      <c r="M20" s="22">
        <v>0.93373179191043143</v>
      </c>
      <c r="N20" s="22">
        <v>0.93404203241094241</v>
      </c>
      <c r="O20" s="22">
        <v>0.76800532038076541</v>
      </c>
      <c r="P20" s="1"/>
      <c r="Q20" s="1"/>
    </row>
    <row r="21" spans="1:17" x14ac:dyDescent="0.35">
      <c r="A21" s="6"/>
      <c r="B21" s="9"/>
      <c r="C21" s="10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1"/>
      <c r="Q21" s="1"/>
    </row>
    <row r="22" spans="1:17" x14ac:dyDescent="0.35">
      <c r="A22" s="12">
        <v>10</v>
      </c>
      <c r="B22" s="14" t="s">
        <v>27</v>
      </c>
      <c r="C22" s="15" t="s">
        <v>17</v>
      </c>
      <c r="D22" s="22">
        <v>0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14"/>
      <c r="Q22" s="14"/>
    </row>
    <row r="23" spans="1:17" x14ac:dyDescent="0.35">
      <c r="A23" s="6"/>
      <c r="B23" s="1"/>
      <c r="C23" s="3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1"/>
      <c r="Q23" s="1"/>
    </row>
    <row r="24" spans="1:17" x14ac:dyDescent="0.35">
      <c r="A24" s="6"/>
      <c r="B24" s="19" t="s">
        <v>21</v>
      </c>
      <c r="C24" s="3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"/>
      <c r="Q24" s="1"/>
    </row>
    <row r="25" spans="1:17" x14ac:dyDescent="0.35">
      <c r="A25" s="6"/>
      <c r="B25" s="1"/>
      <c r="C25" s="3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1"/>
      <c r="Q25" s="1"/>
    </row>
    <row r="26" spans="1:17" x14ac:dyDescent="0.35">
      <c r="A26" s="6">
        <v>12</v>
      </c>
      <c r="B26" s="9" t="s">
        <v>28</v>
      </c>
      <c r="C26" s="10" t="s">
        <v>23</v>
      </c>
      <c r="D26" s="21" t="s">
        <v>37</v>
      </c>
      <c r="E26" s="21" t="s">
        <v>37</v>
      </c>
      <c r="F26" s="21" t="s">
        <v>37</v>
      </c>
      <c r="G26" s="21" t="s">
        <v>37</v>
      </c>
      <c r="H26" s="21" t="s">
        <v>37</v>
      </c>
      <c r="I26" s="21" t="s">
        <v>37</v>
      </c>
      <c r="J26" s="21" t="s">
        <v>37</v>
      </c>
      <c r="K26" s="21" t="s">
        <v>37</v>
      </c>
      <c r="L26" s="21" t="s">
        <v>37</v>
      </c>
      <c r="M26" s="21" t="s">
        <v>37</v>
      </c>
      <c r="N26" s="21" t="s">
        <v>37</v>
      </c>
      <c r="O26" s="21" t="s">
        <v>37</v>
      </c>
      <c r="P26" s="1"/>
      <c r="Q26" s="1"/>
    </row>
    <row r="28" spans="1:17" s="44" customFormat="1" x14ac:dyDescent="0.35">
      <c r="A28" s="13"/>
      <c r="B28" s="56" t="s">
        <v>41</v>
      </c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43"/>
    </row>
    <row r="29" spans="1:17" x14ac:dyDescent="0.35">
      <c r="A29" s="1"/>
      <c r="B29" s="61" t="s">
        <v>35</v>
      </c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</row>
    <row r="30" spans="1:17" x14ac:dyDescent="0.35">
      <c r="A30" s="1"/>
      <c r="B30" s="61" t="s">
        <v>49</v>
      </c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</row>
    <row r="31" spans="1:17" x14ac:dyDescent="0.35">
      <c r="A31" s="1"/>
      <c r="B31" s="60" t="str">
        <f>B4</f>
        <v>TEST YEAR ENDING 12/31/2017</v>
      </c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</row>
    <row r="32" spans="1:17" x14ac:dyDescent="0.35">
      <c r="A32" s="1"/>
      <c r="B32" s="19"/>
      <c r="C32" s="19"/>
      <c r="D32" s="19">
        <v>2017</v>
      </c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</row>
    <row r="33" spans="1:15" x14ac:dyDescent="0.35">
      <c r="A33" s="19" t="s">
        <v>0</v>
      </c>
      <c r="B33" s="19" t="s">
        <v>1</v>
      </c>
      <c r="C33" s="19" t="s">
        <v>2</v>
      </c>
      <c r="D33" s="4" t="s">
        <v>9</v>
      </c>
      <c r="E33" s="4" t="s">
        <v>10</v>
      </c>
      <c r="F33" s="4" t="s">
        <v>11</v>
      </c>
      <c r="G33" s="4" t="s">
        <v>12</v>
      </c>
      <c r="H33" s="4" t="s">
        <v>13</v>
      </c>
      <c r="I33" s="4" t="s">
        <v>14</v>
      </c>
      <c r="J33" s="4" t="s">
        <v>3</v>
      </c>
      <c r="K33" s="4" t="s">
        <v>4</v>
      </c>
      <c r="L33" s="4" t="s">
        <v>5</v>
      </c>
      <c r="M33" s="4" t="s">
        <v>6</v>
      </c>
      <c r="N33" s="4" t="s">
        <v>7</v>
      </c>
      <c r="O33" s="4" t="s">
        <v>8</v>
      </c>
    </row>
    <row r="34" spans="1:15" x14ac:dyDescent="0.35">
      <c r="A34" s="1"/>
      <c r="B34" s="19"/>
      <c r="C34" s="19"/>
      <c r="D34" s="4"/>
      <c r="E34" s="4"/>
      <c r="F34" s="5"/>
      <c r="G34" s="4"/>
      <c r="H34" s="4"/>
      <c r="I34" s="4"/>
      <c r="J34" s="4"/>
      <c r="K34" s="4"/>
      <c r="L34" s="4"/>
      <c r="M34" s="4"/>
      <c r="N34" s="4"/>
      <c r="O34" s="4"/>
    </row>
    <row r="35" spans="1:15" x14ac:dyDescent="0.35">
      <c r="A35" s="6" t="s">
        <v>15</v>
      </c>
      <c r="B35" s="1" t="s">
        <v>16</v>
      </c>
      <c r="C35" s="3" t="s">
        <v>17</v>
      </c>
      <c r="D35" s="22">
        <v>0.37226067816530167</v>
      </c>
      <c r="E35" s="22">
        <v>0.6066151782269118</v>
      </c>
      <c r="F35" s="22">
        <v>0.53841071352807723</v>
      </c>
      <c r="G35" s="22">
        <v>0.53528826423603892</v>
      </c>
      <c r="H35" s="22">
        <v>0.55701965110015894</v>
      </c>
      <c r="I35" s="22">
        <v>0.62510158153651985</v>
      </c>
      <c r="J35" s="22">
        <v>0.63302260410839772</v>
      </c>
      <c r="K35" s="22">
        <v>0.62085855701541726</v>
      </c>
      <c r="L35" s="22">
        <v>0.58908952170874951</v>
      </c>
      <c r="M35" s="22">
        <v>0.47723466109047796</v>
      </c>
      <c r="N35" s="22">
        <v>0.49353570948050951</v>
      </c>
      <c r="O35" s="22">
        <v>0.49100775579783629</v>
      </c>
    </row>
    <row r="36" spans="1:15" x14ac:dyDescent="0.35">
      <c r="A36" s="6"/>
      <c r="B36" s="1"/>
      <c r="C36" s="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</row>
    <row r="37" spans="1:15" x14ac:dyDescent="0.35">
      <c r="A37" s="6">
        <v>2</v>
      </c>
      <c r="B37" s="1" t="s">
        <v>18</v>
      </c>
      <c r="C37" s="3" t="s">
        <v>17</v>
      </c>
      <c r="D37" s="22">
        <v>0.77427434769820969</v>
      </c>
      <c r="E37" s="22">
        <v>0.71481790557593028</v>
      </c>
      <c r="F37" s="22">
        <v>0.72393797478791388</v>
      </c>
      <c r="G37" s="22">
        <v>0.68775139658007478</v>
      </c>
      <c r="H37" s="22">
        <v>0.6769952900600984</v>
      </c>
      <c r="I37" s="22">
        <v>0.70894727443708372</v>
      </c>
      <c r="J37" s="22">
        <v>0.70428441968494393</v>
      </c>
      <c r="K37" s="22">
        <v>0.69797482481788642</v>
      </c>
      <c r="L37" s="22">
        <v>0.67808209525243113</v>
      </c>
      <c r="M37" s="22">
        <v>0.66138763049710825</v>
      </c>
      <c r="N37" s="22">
        <v>0.67189272711988268</v>
      </c>
      <c r="O37" s="22">
        <v>0.65316942012948864</v>
      </c>
    </row>
    <row r="38" spans="1:15" x14ac:dyDescent="0.35">
      <c r="A38" s="6"/>
      <c r="B38" s="1"/>
      <c r="C38" s="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</row>
    <row r="39" spans="1:15" x14ac:dyDescent="0.35">
      <c r="A39" s="6">
        <v>3</v>
      </c>
      <c r="B39" s="9" t="s">
        <v>19</v>
      </c>
      <c r="C39" s="10" t="s">
        <v>17</v>
      </c>
      <c r="D39" s="22">
        <v>0.65954800502462241</v>
      </c>
      <c r="E39" s="22">
        <v>0.60981664068733799</v>
      </c>
      <c r="F39" s="22">
        <v>0.6250489172012933</v>
      </c>
      <c r="G39" s="22">
        <v>0.59136621156168578</v>
      </c>
      <c r="H39" s="22">
        <v>0.62903114303571472</v>
      </c>
      <c r="I39" s="22">
        <v>0.66049111033756147</v>
      </c>
      <c r="J39" s="22">
        <v>0.68954252618975265</v>
      </c>
      <c r="K39" s="22">
        <v>0.65897656750689193</v>
      </c>
      <c r="L39" s="22">
        <v>0.62052795658682869</v>
      </c>
      <c r="M39" s="22">
        <v>0.61220206120257514</v>
      </c>
      <c r="N39" s="22">
        <v>0.59582896842869348</v>
      </c>
      <c r="O39" s="22">
        <v>0.6068309287738497</v>
      </c>
    </row>
    <row r="40" spans="1:15" x14ac:dyDescent="0.35">
      <c r="A40" s="6">
        <v>4</v>
      </c>
      <c r="B40" s="9" t="s">
        <v>20</v>
      </c>
      <c r="C40" s="3" t="s">
        <v>17</v>
      </c>
      <c r="D40" s="22">
        <v>0.73381950138788987</v>
      </c>
      <c r="E40" s="22">
        <v>0.72389681456502208</v>
      </c>
      <c r="F40" s="22">
        <v>0.72584036890083736</v>
      </c>
      <c r="G40" s="22">
        <v>0.70466581586042543</v>
      </c>
      <c r="H40" s="22">
        <v>0.72172723566205599</v>
      </c>
      <c r="I40" s="22">
        <v>0.75002515816253712</v>
      </c>
      <c r="J40" s="22">
        <v>0.74023463384543908</v>
      </c>
      <c r="K40" s="22">
        <v>0.73847533826122802</v>
      </c>
      <c r="L40" s="22">
        <v>0.71961926286096833</v>
      </c>
      <c r="M40" s="22">
        <v>0.69923758430426564</v>
      </c>
      <c r="N40" s="22">
        <v>0.67511852467787214</v>
      </c>
      <c r="O40" s="22">
        <v>0.64636199803134831</v>
      </c>
    </row>
    <row r="41" spans="1:15" x14ac:dyDescent="0.35">
      <c r="A41" s="6"/>
      <c r="B41" s="9" t="s">
        <v>21</v>
      </c>
      <c r="C41" s="10" t="s">
        <v>21</v>
      </c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</row>
    <row r="42" spans="1:15" x14ac:dyDescent="0.35">
      <c r="A42" s="6"/>
      <c r="B42" s="1"/>
      <c r="C42" s="3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</row>
    <row r="43" spans="1:15" x14ac:dyDescent="0.35">
      <c r="A43" s="6">
        <v>6</v>
      </c>
      <c r="B43" s="1" t="s">
        <v>22</v>
      </c>
      <c r="C43" s="3" t="s">
        <v>23</v>
      </c>
      <c r="D43" s="22">
        <v>0.82226685544932177</v>
      </c>
      <c r="E43" s="22">
        <v>0.82165501943131758</v>
      </c>
      <c r="F43" s="22">
        <v>0.84014048382828799</v>
      </c>
      <c r="G43" s="22">
        <v>0.80428804861778025</v>
      </c>
      <c r="H43" s="22">
        <v>0.81966645706039354</v>
      </c>
      <c r="I43" s="22">
        <v>0.78952380169218084</v>
      </c>
      <c r="J43" s="22">
        <v>0.8275604853338715</v>
      </c>
      <c r="K43" s="22">
        <v>0.78216742498781822</v>
      </c>
      <c r="L43" s="22">
        <v>0.82098091873415935</v>
      </c>
      <c r="M43" s="22">
        <v>0.79771408608679362</v>
      </c>
      <c r="N43" s="22">
        <v>0.8080795825950039</v>
      </c>
      <c r="O43" s="22">
        <v>0.81860998746103641</v>
      </c>
    </row>
    <row r="44" spans="1:15" x14ac:dyDescent="0.35">
      <c r="A44" s="6">
        <v>7</v>
      </c>
      <c r="B44" s="9" t="s">
        <v>24</v>
      </c>
      <c r="C44" s="3" t="s">
        <v>23</v>
      </c>
      <c r="D44" s="22">
        <v>0.83510104696893306</v>
      </c>
      <c r="E44" s="22">
        <v>0.84343500192523879</v>
      </c>
      <c r="F44" s="22">
        <v>0.82566834706413661</v>
      </c>
      <c r="G44" s="22">
        <v>0.82396702970336433</v>
      </c>
      <c r="H44" s="22">
        <v>0.83862289013046776</v>
      </c>
      <c r="I44" s="22">
        <v>0.8558472486069657</v>
      </c>
      <c r="J44" s="22">
        <v>0.8684672400224106</v>
      </c>
      <c r="K44" s="22">
        <v>0.81950866174335457</v>
      </c>
      <c r="L44" s="22">
        <v>0.81465717890062861</v>
      </c>
      <c r="M44" s="22">
        <v>0.82827195031141987</v>
      </c>
      <c r="N44" s="22">
        <v>0.83771105533419654</v>
      </c>
      <c r="O44" s="22">
        <v>0.79131693936319913</v>
      </c>
    </row>
    <row r="45" spans="1:15" x14ac:dyDescent="0.35">
      <c r="A45" s="12"/>
      <c r="B45" s="13" t="s">
        <v>21</v>
      </c>
      <c r="C45" s="3" t="s">
        <v>21</v>
      </c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</row>
    <row r="46" spans="1:15" x14ac:dyDescent="0.35">
      <c r="A46" s="6"/>
      <c r="B46" s="9"/>
      <c r="C46" s="10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</row>
    <row r="47" spans="1:15" x14ac:dyDescent="0.35">
      <c r="A47" s="6">
        <v>9</v>
      </c>
      <c r="B47" s="9" t="s">
        <v>25</v>
      </c>
      <c r="C47" s="10" t="s">
        <v>26</v>
      </c>
      <c r="D47" s="22">
        <v>0.79821943430650444</v>
      </c>
      <c r="E47" s="22">
        <v>0.76155523653711388</v>
      </c>
      <c r="F47" s="22">
        <v>0.79381350933688077</v>
      </c>
      <c r="G47" s="22">
        <v>0.73124967059974955</v>
      </c>
      <c r="H47" s="22">
        <v>0.86744236491948268</v>
      </c>
      <c r="I47" s="22">
        <v>0.79550696468650006</v>
      </c>
      <c r="J47" s="22">
        <v>0.85038845206553138</v>
      </c>
      <c r="K47" s="22">
        <v>0.7547965365781345</v>
      </c>
      <c r="L47" s="22">
        <v>0.82264453938129156</v>
      </c>
      <c r="M47" s="22">
        <v>0.90918528850741387</v>
      </c>
      <c r="N47" s="22">
        <v>0.87935098262017986</v>
      </c>
      <c r="O47" s="22">
        <v>0.871808124059539</v>
      </c>
    </row>
    <row r="48" spans="1:15" x14ac:dyDescent="0.35">
      <c r="A48" s="6"/>
      <c r="B48" s="9"/>
      <c r="C48" s="10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</row>
    <row r="49" spans="1:15" x14ac:dyDescent="0.35">
      <c r="A49" s="12">
        <v>10</v>
      </c>
      <c r="B49" s="14" t="s">
        <v>27</v>
      </c>
      <c r="C49" s="15" t="s">
        <v>17</v>
      </c>
      <c r="D49" s="22">
        <v>0.50647884476061378</v>
      </c>
      <c r="E49" s="22">
        <v>0.47630732890322536</v>
      </c>
      <c r="F49" s="22">
        <v>0.43971800108947878</v>
      </c>
      <c r="G49" s="22">
        <v>0.40674017971928089</v>
      </c>
      <c r="H49" s="22">
        <v>0.38139098744858313</v>
      </c>
      <c r="I49" s="22">
        <v>0.376770109420626</v>
      </c>
      <c r="J49" s="22">
        <v>0.37821779903579295</v>
      </c>
      <c r="K49" s="22">
        <v>0.39671034411520334</v>
      </c>
      <c r="L49" s="22">
        <v>0.42901861521419032</v>
      </c>
      <c r="M49" s="22">
        <v>0.46411300469212269</v>
      </c>
      <c r="N49" s="22">
        <v>0.4985793517340763</v>
      </c>
      <c r="O49" s="22">
        <v>0.52231659362727201</v>
      </c>
    </row>
    <row r="50" spans="1:15" x14ac:dyDescent="0.35">
      <c r="A50" s="6"/>
      <c r="B50" s="1"/>
      <c r="C50" s="3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</row>
    <row r="51" spans="1:15" x14ac:dyDescent="0.35">
      <c r="A51" s="6"/>
      <c r="B51" s="19" t="s">
        <v>21</v>
      </c>
      <c r="C51" s="3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</row>
    <row r="52" spans="1:15" x14ac:dyDescent="0.35">
      <c r="A52" s="6"/>
      <c r="B52" s="1"/>
      <c r="C52" s="3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</row>
    <row r="53" spans="1:15" x14ac:dyDescent="0.35">
      <c r="A53" s="6">
        <v>12</v>
      </c>
      <c r="B53" s="9" t="s">
        <v>28</v>
      </c>
      <c r="C53" s="10" t="s">
        <v>23</v>
      </c>
      <c r="D53" s="21" t="s">
        <v>37</v>
      </c>
      <c r="E53" s="21" t="s">
        <v>37</v>
      </c>
      <c r="F53" s="21" t="s">
        <v>37</v>
      </c>
      <c r="G53" s="21" t="s">
        <v>37</v>
      </c>
      <c r="H53" s="21" t="s">
        <v>37</v>
      </c>
      <c r="I53" s="21" t="s">
        <v>37</v>
      </c>
      <c r="J53" s="21" t="s">
        <v>37</v>
      </c>
      <c r="K53" s="21" t="s">
        <v>37</v>
      </c>
      <c r="L53" s="21" t="s">
        <v>37</v>
      </c>
      <c r="M53" s="21" t="s">
        <v>37</v>
      </c>
      <c r="N53" s="21" t="s">
        <v>37</v>
      </c>
      <c r="O53" s="21" t="s">
        <v>37</v>
      </c>
    </row>
    <row r="54" spans="1:15" x14ac:dyDescent="0.35">
      <c r="A54" s="6"/>
      <c r="B54" s="19" t="s">
        <v>21</v>
      </c>
      <c r="C54" s="19"/>
      <c r="D54" s="16" t="s">
        <v>21</v>
      </c>
      <c r="E54" s="16" t="s">
        <v>21</v>
      </c>
      <c r="F54" s="16" t="s">
        <v>21</v>
      </c>
      <c r="G54" s="16" t="s">
        <v>21</v>
      </c>
      <c r="H54" s="16" t="s">
        <v>21</v>
      </c>
      <c r="I54" s="16" t="s">
        <v>21</v>
      </c>
      <c r="J54" s="16" t="s">
        <v>21</v>
      </c>
      <c r="K54" s="16" t="s">
        <v>21</v>
      </c>
      <c r="L54" s="16" t="s">
        <v>21</v>
      </c>
      <c r="M54" s="16" t="s">
        <v>21</v>
      </c>
      <c r="N54" s="16" t="s">
        <v>21</v>
      </c>
      <c r="O54" s="16" t="s">
        <v>21</v>
      </c>
    </row>
    <row r="55" spans="1:15" x14ac:dyDescent="0.35">
      <c r="A55" s="6"/>
      <c r="B55" s="17"/>
      <c r="C55" s="19"/>
      <c r="D55" s="18"/>
      <c r="E55" s="18"/>
      <c r="F55" s="11"/>
      <c r="G55" s="18"/>
      <c r="H55" s="18"/>
      <c r="I55" s="18"/>
      <c r="J55" s="18"/>
      <c r="K55" s="18"/>
      <c r="L55" s="18"/>
      <c r="M55" s="18"/>
      <c r="N55" s="18"/>
      <c r="O55" s="18"/>
    </row>
    <row r="56" spans="1:15" x14ac:dyDescent="0.35">
      <c r="A56" s="6"/>
      <c r="B56" s="19"/>
      <c r="C56" s="19" t="s">
        <v>21</v>
      </c>
      <c r="D56" s="16" t="s">
        <v>21</v>
      </c>
      <c r="E56" s="16" t="s">
        <v>21</v>
      </c>
      <c r="F56" s="16" t="s">
        <v>21</v>
      </c>
      <c r="G56" s="16" t="s">
        <v>21</v>
      </c>
      <c r="H56" s="16" t="s">
        <v>21</v>
      </c>
      <c r="I56" s="16" t="s">
        <v>21</v>
      </c>
      <c r="J56" s="16" t="s">
        <v>21</v>
      </c>
      <c r="K56" s="16" t="s">
        <v>21</v>
      </c>
      <c r="L56" s="16" t="s">
        <v>21</v>
      </c>
      <c r="M56" s="16" t="s">
        <v>21</v>
      </c>
      <c r="N56" s="16" t="s">
        <v>21</v>
      </c>
      <c r="O56" s="16" t="s">
        <v>21</v>
      </c>
    </row>
  </sheetData>
  <mergeCells count="8">
    <mergeCell ref="B1:O1"/>
    <mergeCell ref="B28:O28"/>
    <mergeCell ref="B31:O31"/>
    <mergeCell ref="B2:O2"/>
    <mergeCell ref="B3:O3"/>
    <mergeCell ref="B4:O4"/>
    <mergeCell ref="B29:O29"/>
    <mergeCell ref="B30:O30"/>
  </mergeCells>
  <pageMargins left="0.7" right="0.7" top="0.75" bottom="0.75" header="0.3" footer="0.3"/>
  <pageSetup scale="50" orientation="landscape" r:id="rId1"/>
  <headerFooter>
    <oddHeader>&amp;RII-H-1.4 Adjusted Test Year Load Data
&amp;A
Page &amp;P of &amp;N</oddHeader>
    <oddFooter>&amp;LSponsored by: Nora D. Williams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6"/>
  <sheetViews>
    <sheetView topLeftCell="A2" workbookViewId="0">
      <selection activeCell="B4" sqref="B4:O4"/>
    </sheetView>
  </sheetViews>
  <sheetFormatPr defaultRowHeight="14.5" x14ac:dyDescent="0.35"/>
  <cols>
    <col min="1" max="1" width="5.1796875" bestFit="1" customWidth="1"/>
    <col min="2" max="2" width="29.1796875" bestFit="1" customWidth="1"/>
    <col min="3" max="3" width="6" bestFit="1" customWidth="1"/>
    <col min="4" max="4" width="9.453125" bestFit="1" customWidth="1"/>
    <col min="5" max="5" width="10.26953125" bestFit="1" customWidth="1"/>
    <col min="6" max="6" width="12.1796875" bestFit="1" customWidth="1"/>
    <col min="7" max="7" width="9.26953125" bestFit="1" customWidth="1"/>
    <col min="8" max="9" width="11.453125" bestFit="1" customWidth="1"/>
    <col min="10" max="10" width="9.453125" bestFit="1" customWidth="1"/>
    <col min="11" max="11" width="10.26953125" bestFit="1" customWidth="1"/>
    <col min="12" max="12" width="12.1796875" bestFit="1" customWidth="1"/>
    <col min="13" max="13" width="9.26953125" bestFit="1" customWidth="1"/>
    <col min="14" max="15" width="11.453125" bestFit="1" customWidth="1"/>
    <col min="17" max="17" width="5.54296875" bestFit="1" customWidth="1"/>
  </cols>
  <sheetData>
    <row r="1" spans="1:17" s="44" customFormat="1" x14ac:dyDescent="0.35">
      <c r="A1" s="13"/>
      <c r="B1" s="56" t="s">
        <v>41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43"/>
    </row>
    <row r="2" spans="1:17" x14ac:dyDescent="0.35">
      <c r="A2" s="1"/>
      <c r="B2" s="61" t="s">
        <v>35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1"/>
      <c r="Q2" s="1"/>
    </row>
    <row r="3" spans="1:17" x14ac:dyDescent="0.35">
      <c r="A3" s="1"/>
      <c r="B3" s="61" t="s">
        <v>50</v>
      </c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1"/>
      <c r="Q3" s="1"/>
    </row>
    <row r="4" spans="1:17" x14ac:dyDescent="0.35">
      <c r="A4" s="1"/>
      <c r="B4" s="60" t="str">
        <f>'II-H-1.4.(1) TEX 2018'!B4:O4</f>
        <v>TEST YEAR ENDING 12/31/2018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1"/>
      <c r="Q4" s="1"/>
    </row>
    <row r="5" spans="1:17" x14ac:dyDescent="0.35">
      <c r="A5" s="1"/>
      <c r="B5" s="2"/>
      <c r="C5" s="2"/>
      <c r="D5" s="2">
        <v>2018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1"/>
      <c r="Q5" s="1"/>
    </row>
    <row r="6" spans="1:17" x14ac:dyDescent="0.35">
      <c r="A6" s="2" t="s">
        <v>0</v>
      </c>
      <c r="B6" s="2" t="s">
        <v>1</v>
      </c>
      <c r="C6" s="2" t="s">
        <v>2</v>
      </c>
      <c r="D6" s="4" t="s">
        <v>9</v>
      </c>
      <c r="E6" s="4" t="s">
        <v>10</v>
      </c>
      <c r="F6" s="4" t="s">
        <v>11</v>
      </c>
      <c r="G6" s="4" t="s">
        <v>12</v>
      </c>
      <c r="H6" s="4" t="s">
        <v>13</v>
      </c>
      <c r="I6" s="4" t="s">
        <v>14</v>
      </c>
      <c r="J6" s="4" t="s">
        <v>3</v>
      </c>
      <c r="K6" s="4" t="s">
        <v>4</v>
      </c>
      <c r="L6" s="4" t="s">
        <v>5</v>
      </c>
      <c r="M6" s="4" t="s">
        <v>6</v>
      </c>
      <c r="N6" s="4" t="s">
        <v>7</v>
      </c>
      <c r="O6" s="4" t="s">
        <v>8</v>
      </c>
      <c r="P6" s="1"/>
      <c r="Q6" s="1"/>
    </row>
    <row r="7" spans="1:17" x14ac:dyDescent="0.35">
      <c r="A7" s="1"/>
      <c r="B7" s="2"/>
      <c r="C7" s="2"/>
      <c r="D7" s="4"/>
      <c r="E7" s="4"/>
      <c r="F7" s="5"/>
      <c r="G7" s="4"/>
      <c r="H7" s="4"/>
      <c r="I7" s="4"/>
      <c r="J7" s="4"/>
      <c r="K7" s="4"/>
      <c r="L7" s="4"/>
      <c r="M7" s="4"/>
      <c r="N7" s="4"/>
      <c r="O7" s="4"/>
      <c r="P7" s="1"/>
      <c r="Q7" s="1"/>
    </row>
    <row r="8" spans="1:17" x14ac:dyDescent="0.35">
      <c r="A8" s="6" t="s">
        <v>15</v>
      </c>
      <c r="B8" s="1" t="s">
        <v>16</v>
      </c>
      <c r="C8" s="3" t="s">
        <v>17</v>
      </c>
      <c r="D8" s="22">
        <v>0.93078621831249031</v>
      </c>
      <c r="E8" s="22">
        <v>0.97810970469986391</v>
      </c>
      <c r="F8" s="22">
        <v>0.85476488782444227</v>
      </c>
      <c r="G8" s="22">
        <v>0.9469450185889845</v>
      </c>
      <c r="H8" s="22">
        <v>0.91359236235950747</v>
      </c>
      <c r="I8" s="22">
        <v>0.95884891126063276</v>
      </c>
      <c r="J8" s="22">
        <v>0.96848106224091235</v>
      </c>
      <c r="K8" s="22">
        <v>0.87808889719261962</v>
      </c>
      <c r="L8" s="22">
        <v>0.98831618772275109</v>
      </c>
      <c r="M8" s="22">
        <v>0.9177842396579674</v>
      </c>
      <c r="N8" s="22">
        <v>0.94430670035465403</v>
      </c>
      <c r="O8" s="22">
        <v>1</v>
      </c>
      <c r="P8" s="23"/>
      <c r="Q8" s="1"/>
    </row>
    <row r="9" spans="1:17" x14ac:dyDescent="0.35">
      <c r="A9" s="6"/>
      <c r="B9" s="1"/>
      <c r="C9" s="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1"/>
    </row>
    <row r="10" spans="1:17" x14ac:dyDescent="0.35">
      <c r="A10" s="6">
        <v>2</v>
      </c>
      <c r="B10" s="1" t="s">
        <v>18</v>
      </c>
      <c r="C10" s="3" t="s">
        <v>17</v>
      </c>
      <c r="D10" s="22">
        <v>0.86321885950267974</v>
      </c>
      <c r="E10" s="22">
        <v>0.79028392742834741</v>
      </c>
      <c r="F10" s="22">
        <v>0.95097528688556465</v>
      </c>
      <c r="G10" s="22">
        <v>0.98663106919144472</v>
      </c>
      <c r="H10" s="22">
        <v>0.96640600196802839</v>
      </c>
      <c r="I10" s="22">
        <v>0.95801671326059523</v>
      </c>
      <c r="J10" s="22">
        <v>0.94003831804169091</v>
      </c>
      <c r="K10" s="22">
        <v>0.93381020033197426</v>
      </c>
      <c r="L10" s="22">
        <v>0.83219398512568177</v>
      </c>
      <c r="M10" s="22">
        <v>0.96970929741033673</v>
      </c>
      <c r="N10" s="22">
        <v>0.71035834468539727</v>
      </c>
      <c r="O10" s="22">
        <v>0.78646123034121884</v>
      </c>
      <c r="P10" s="23"/>
      <c r="Q10" s="8"/>
    </row>
    <row r="11" spans="1:17" x14ac:dyDescent="0.35">
      <c r="A11" s="6"/>
      <c r="B11" s="1"/>
      <c r="C11" s="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1"/>
    </row>
    <row r="12" spans="1:17" x14ac:dyDescent="0.35">
      <c r="A12" s="6">
        <v>3</v>
      </c>
      <c r="B12" s="9" t="s">
        <v>19</v>
      </c>
      <c r="C12" s="10" t="s">
        <v>17</v>
      </c>
      <c r="D12" s="22">
        <v>0.82691763918131056</v>
      </c>
      <c r="E12" s="22">
        <v>0.77878448303074477</v>
      </c>
      <c r="F12" s="22">
        <v>0.94046455277768337</v>
      </c>
      <c r="G12" s="22">
        <v>0.946081080889139</v>
      </c>
      <c r="H12" s="22">
        <v>0.96611989701232359</v>
      </c>
      <c r="I12" s="22">
        <v>0.95265963134938558</v>
      </c>
      <c r="J12" s="22">
        <v>0.97835041309861026</v>
      </c>
      <c r="K12" s="22">
        <v>0.99352312378369201</v>
      </c>
      <c r="L12" s="22">
        <v>0.79534353393899759</v>
      </c>
      <c r="M12" s="22">
        <v>0.98720812806098501</v>
      </c>
      <c r="N12" s="22">
        <v>0.77210443664483885</v>
      </c>
      <c r="O12" s="22">
        <v>0.84846965519342654</v>
      </c>
      <c r="P12" s="23"/>
      <c r="Q12" s="8"/>
    </row>
    <row r="13" spans="1:17" x14ac:dyDescent="0.35">
      <c r="A13" s="6">
        <v>4</v>
      </c>
      <c r="B13" s="9" t="s">
        <v>20</v>
      </c>
      <c r="C13" s="3" t="s">
        <v>17</v>
      </c>
      <c r="D13" s="22">
        <v>0.75978872318708435</v>
      </c>
      <c r="E13" s="22">
        <v>0.80675856261041179</v>
      </c>
      <c r="F13" s="22">
        <v>0.9583485867655005</v>
      </c>
      <c r="G13" s="22">
        <v>0.94278809170464362</v>
      </c>
      <c r="H13" s="22">
        <v>0.960205116530782</v>
      </c>
      <c r="I13" s="22">
        <v>0.90745812517362101</v>
      </c>
      <c r="J13" s="22">
        <v>0.90145980831283734</v>
      </c>
      <c r="K13" s="22">
        <v>0.98554074358924093</v>
      </c>
      <c r="L13" s="22">
        <v>0.73652654857857436</v>
      </c>
      <c r="M13" s="22">
        <v>0.98720356814834065</v>
      </c>
      <c r="N13" s="22">
        <v>0.71049371004363104</v>
      </c>
      <c r="O13" s="22">
        <v>0.79865494648755442</v>
      </c>
      <c r="P13" s="23"/>
      <c r="Q13" s="8"/>
    </row>
    <row r="14" spans="1:17" x14ac:dyDescent="0.35">
      <c r="A14" s="6"/>
      <c r="B14" s="9" t="s">
        <v>21</v>
      </c>
      <c r="C14" s="10" t="s">
        <v>21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3"/>
      <c r="Q14" s="1"/>
    </row>
    <row r="15" spans="1:17" x14ac:dyDescent="0.35">
      <c r="A15" s="6"/>
      <c r="B15" s="1"/>
      <c r="C15" s="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1"/>
    </row>
    <row r="16" spans="1:17" x14ac:dyDescent="0.35">
      <c r="A16" s="6">
        <v>6</v>
      </c>
      <c r="B16" s="1" t="s">
        <v>22</v>
      </c>
      <c r="C16" s="3" t="s">
        <v>23</v>
      </c>
      <c r="D16" s="22">
        <v>0.91473042377048897</v>
      </c>
      <c r="E16" s="22">
        <v>0.96164975170056888</v>
      </c>
      <c r="F16" s="22">
        <v>0.996885775592108</v>
      </c>
      <c r="G16" s="22">
        <v>0.97440976413078917</v>
      </c>
      <c r="H16" s="22">
        <v>0.97017956953766171</v>
      </c>
      <c r="I16" s="22">
        <v>0.94557312588510201</v>
      </c>
      <c r="J16" s="22">
        <v>0.97649230638626638</v>
      </c>
      <c r="K16" s="22">
        <v>0.9494642599894505</v>
      </c>
      <c r="L16" s="22">
        <v>0.87819682354609407</v>
      </c>
      <c r="M16" s="22">
        <v>0.98592491649239722</v>
      </c>
      <c r="N16" s="22">
        <v>0.85340957524486116</v>
      </c>
      <c r="O16" s="22">
        <v>0.88844566769224609</v>
      </c>
      <c r="P16" s="23"/>
      <c r="Q16" s="1"/>
    </row>
    <row r="17" spans="1:17" x14ac:dyDescent="0.35">
      <c r="A17" s="6">
        <v>7</v>
      </c>
      <c r="B17" s="9" t="s">
        <v>24</v>
      </c>
      <c r="C17" s="3" t="s">
        <v>23</v>
      </c>
      <c r="D17" s="22">
        <v>0.77039584598666722</v>
      </c>
      <c r="E17" s="22">
        <v>0.84855325184427544</v>
      </c>
      <c r="F17" s="22">
        <v>0.96782476670251416</v>
      </c>
      <c r="G17" s="22">
        <v>0.93729294076602487</v>
      </c>
      <c r="H17" s="22">
        <v>0.96984706829091161</v>
      </c>
      <c r="I17" s="22">
        <v>0.92281028070302962</v>
      </c>
      <c r="J17" s="22">
        <v>0.9183799736563355</v>
      </c>
      <c r="K17" s="22">
        <v>0.97690659880702324</v>
      </c>
      <c r="L17" s="22">
        <v>0.86290831902142051</v>
      </c>
      <c r="M17" s="22">
        <v>0.97018345403096451</v>
      </c>
      <c r="N17" s="22">
        <v>0.86173387467639384</v>
      </c>
      <c r="O17" s="22">
        <v>0.89050287725188793</v>
      </c>
      <c r="P17" s="23"/>
      <c r="Q17" s="1"/>
    </row>
    <row r="18" spans="1:17" x14ac:dyDescent="0.35">
      <c r="A18" s="12"/>
      <c r="B18" s="13" t="s">
        <v>21</v>
      </c>
      <c r="C18" s="3" t="s">
        <v>21</v>
      </c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6"/>
      <c r="Q18" s="14"/>
    </row>
    <row r="19" spans="1:17" x14ac:dyDescent="0.35">
      <c r="A19" s="6"/>
      <c r="B19" s="9"/>
      <c r="C19" s="10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1"/>
    </row>
    <row r="20" spans="1:17" x14ac:dyDescent="0.35">
      <c r="A20" s="6">
        <v>9</v>
      </c>
      <c r="B20" s="9" t="s">
        <v>25</v>
      </c>
      <c r="C20" s="10" t="s">
        <v>26</v>
      </c>
      <c r="D20" s="22">
        <v>0.78241141756545496</v>
      </c>
      <c r="E20" s="22">
        <v>0.7512605259431866</v>
      </c>
      <c r="F20" s="22">
        <v>0.90427105390482798</v>
      </c>
      <c r="G20" s="22">
        <v>0.89914162875290227</v>
      </c>
      <c r="H20" s="22">
        <v>0.60313333734466335</v>
      </c>
      <c r="I20" s="22">
        <v>0.65387373007064742</v>
      </c>
      <c r="J20" s="22">
        <v>0.75095396472390463</v>
      </c>
      <c r="K20" s="22">
        <v>0.91517117552630378</v>
      </c>
      <c r="L20" s="22">
        <v>0.88579218522512826</v>
      </c>
      <c r="M20" s="22">
        <v>0.6891366409930535</v>
      </c>
      <c r="N20" s="22">
        <v>0.73606881283970593</v>
      </c>
      <c r="O20" s="22">
        <v>0.85755685722458919</v>
      </c>
      <c r="P20" s="23"/>
      <c r="Q20" s="1"/>
    </row>
    <row r="21" spans="1:17" x14ac:dyDescent="0.35">
      <c r="A21" s="6"/>
      <c r="B21" s="9"/>
      <c r="C21" s="10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1"/>
    </row>
    <row r="22" spans="1:17" x14ac:dyDescent="0.35">
      <c r="A22" s="12">
        <v>10</v>
      </c>
      <c r="B22" s="14" t="s">
        <v>27</v>
      </c>
      <c r="C22" s="15" t="s">
        <v>17</v>
      </c>
      <c r="D22" s="22">
        <v>0.96332669633117474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6"/>
      <c r="Q22" s="14"/>
    </row>
    <row r="23" spans="1:17" x14ac:dyDescent="0.35">
      <c r="A23" s="6"/>
      <c r="B23" s="1"/>
      <c r="C23" s="3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3"/>
      <c r="Q23" s="1"/>
    </row>
    <row r="24" spans="1:17" x14ac:dyDescent="0.35">
      <c r="A24" s="6"/>
      <c r="B24" s="2" t="s">
        <v>21</v>
      </c>
      <c r="C24" s="3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"/>
      <c r="Q24" s="1"/>
    </row>
    <row r="25" spans="1:17" x14ac:dyDescent="0.35">
      <c r="A25" s="6"/>
      <c r="B25" s="1"/>
      <c r="C25" s="3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1"/>
      <c r="Q25" s="1"/>
    </row>
    <row r="26" spans="1:17" x14ac:dyDescent="0.35">
      <c r="A26" s="6">
        <v>12</v>
      </c>
      <c r="B26" s="9" t="s">
        <v>28</v>
      </c>
      <c r="C26" s="10" t="s">
        <v>23</v>
      </c>
      <c r="D26" s="21" t="s">
        <v>37</v>
      </c>
      <c r="E26" s="21" t="s">
        <v>37</v>
      </c>
      <c r="F26" s="21" t="s">
        <v>37</v>
      </c>
      <c r="G26" s="21" t="s">
        <v>37</v>
      </c>
      <c r="H26" s="21" t="s">
        <v>37</v>
      </c>
      <c r="I26" s="21" t="s">
        <v>37</v>
      </c>
      <c r="J26" s="21" t="s">
        <v>37</v>
      </c>
      <c r="K26" s="21" t="s">
        <v>37</v>
      </c>
      <c r="L26" s="21" t="s">
        <v>37</v>
      </c>
      <c r="M26" s="21" t="s">
        <v>37</v>
      </c>
      <c r="N26" s="21" t="s">
        <v>37</v>
      </c>
      <c r="O26" s="21" t="s">
        <v>37</v>
      </c>
      <c r="P26" s="1"/>
      <c r="Q26" s="1"/>
    </row>
    <row r="28" spans="1:17" s="44" customFormat="1" x14ac:dyDescent="0.35">
      <c r="A28" s="13"/>
      <c r="B28" s="56" t="s">
        <v>41</v>
      </c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43"/>
    </row>
    <row r="29" spans="1:17" x14ac:dyDescent="0.35">
      <c r="A29" s="1"/>
      <c r="B29" s="61" t="s">
        <v>35</v>
      </c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</row>
    <row r="30" spans="1:17" x14ac:dyDescent="0.35">
      <c r="A30" s="1"/>
      <c r="B30" s="61" t="s">
        <v>49</v>
      </c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</row>
    <row r="31" spans="1:17" x14ac:dyDescent="0.35">
      <c r="A31" s="1"/>
      <c r="B31" s="60" t="str">
        <f>B4</f>
        <v>TEST YEAR ENDING 12/31/2018</v>
      </c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</row>
    <row r="32" spans="1:17" x14ac:dyDescent="0.35">
      <c r="A32" s="1"/>
      <c r="B32" s="2"/>
      <c r="C32" s="2"/>
      <c r="D32" s="2">
        <v>2018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x14ac:dyDescent="0.35">
      <c r="A33" s="2" t="s">
        <v>0</v>
      </c>
      <c r="B33" s="2" t="s">
        <v>1</v>
      </c>
      <c r="C33" s="2" t="s">
        <v>2</v>
      </c>
      <c r="D33" s="4" t="s">
        <v>9</v>
      </c>
      <c r="E33" s="4" t="s">
        <v>10</v>
      </c>
      <c r="F33" s="4" t="s">
        <v>11</v>
      </c>
      <c r="G33" s="4" t="s">
        <v>12</v>
      </c>
      <c r="H33" s="4" t="s">
        <v>13</v>
      </c>
      <c r="I33" s="4" t="s">
        <v>14</v>
      </c>
      <c r="J33" s="4" t="s">
        <v>3</v>
      </c>
      <c r="K33" s="4" t="s">
        <v>4</v>
      </c>
      <c r="L33" s="4" t="s">
        <v>5</v>
      </c>
      <c r="M33" s="4" t="s">
        <v>6</v>
      </c>
      <c r="N33" s="4" t="s">
        <v>7</v>
      </c>
      <c r="O33" s="4" t="s">
        <v>8</v>
      </c>
    </row>
    <row r="34" spans="1:15" x14ac:dyDescent="0.35">
      <c r="A34" s="1"/>
      <c r="B34" s="2"/>
      <c r="C34" s="2"/>
      <c r="D34" s="4"/>
      <c r="E34" s="4"/>
      <c r="F34" s="5"/>
      <c r="G34" s="4"/>
      <c r="H34" s="4"/>
      <c r="I34" s="4"/>
      <c r="J34" s="4"/>
      <c r="K34" s="4"/>
      <c r="L34" s="4"/>
      <c r="M34" s="4"/>
      <c r="N34" s="4"/>
      <c r="O34" s="4"/>
    </row>
    <row r="35" spans="1:15" x14ac:dyDescent="0.35">
      <c r="A35" s="6" t="s">
        <v>15</v>
      </c>
      <c r="B35" s="1" t="s">
        <v>16</v>
      </c>
      <c r="C35" s="3" t="s">
        <v>17</v>
      </c>
      <c r="D35" s="22">
        <v>0.41904221272175457</v>
      </c>
      <c r="E35" s="22">
        <v>0.4744373783254196</v>
      </c>
      <c r="F35" s="22">
        <v>0.51844130888302942</v>
      </c>
      <c r="G35" s="22">
        <v>0.51563723483533919</v>
      </c>
      <c r="H35" s="22">
        <v>0.55119900969620639</v>
      </c>
      <c r="I35" s="22">
        <v>0.64824558887694517</v>
      </c>
      <c r="J35" s="22">
        <v>0.62511400827370678</v>
      </c>
      <c r="K35" s="22">
        <v>0.64649878584904241</v>
      </c>
      <c r="L35" s="22">
        <v>0.55228259598320173</v>
      </c>
      <c r="M35" s="22">
        <v>0.51326340755565036</v>
      </c>
      <c r="N35" s="22">
        <v>0.40966609146823207</v>
      </c>
      <c r="O35" s="22">
        <v>0.53128047178984283</v>
      </c>
    </row>
    <row r="36" spans="1:15" x14ac:dyDescent="0.35">
      <c r="A36" s="6"/>
      <c r="B36" s="1"/>
      <c r="C36" s="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</row>
    <row r="37" spans="1:15" x14ac:dyDescent="0.35">
      <c r="A37" s="6">
        <v>2</v>
      </c>
      <c r="B37" s="1" t="s">
        <v>18</v>
      </c>
      <c r="C37" s="3" t="s">
        <v>17</v>
      </c>
      <c r="D37" s="22">
        <v>0.64577553010443323</v>
      </c>
      <c r="E37" s="22">
        <v>0.72741620425810383</v>
      </c>
      <c r="F37" s="22">
        <v>0.70574612523566493</v>
      </c>
      <c r="G37" s="22">
        <v>0.65767826187101275</v>
      </c>
      <c r="H37" s="22">
        <v>0.61650142431730159</v>
      </c>
      <c r="I37" s="22">
        <v>0.66904298693657827</v>
      </c>
      <c r="J37" s="22">
        <v>0.6591739960872639</v>
      </c>
      <c r="K37" s="22">
        <v>0.6659343116734433</v>
      </c>
      <c r="L37" s="22">
        <v>0.66856443500495732</v>
      </c>
      <c r="M37" s="22">
        <v>0.58443917001627477</v>
      </c>
      <c r="N37" s="22">
        <v>0.65902007916357186</v>
      </c>
      <c r="O37" s="22">
        <v>0.79230767940803892</v>
      </c>
    </row>
    <row r="38" spans="1:15" x14ac:dyDescent="0.35">
      <c r="A38" s="6"/>
      <c r="B38" s="1"/>
      <c r="C38" s="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</row>
    <row r="39" spans="1:15" x14ac:dyDescent="0.35">
      <c r="A39" s="6">
        <v>3</v>
      </c>
      <c r="B39" s="9" t="s">
        <v>19</v>
      </c>
      <c r="C39" s="10" t="s">
        <v>17</v>
      </c>
      <c r="D39" s="22">
        <v>0.62901074888589936</v>
      </c>
      <c r="E39" s="22">
        <v>0.63922723633642176</v>
      </c>
      <c r="F39" s="22">
        <v>0.63572263124931749</v>
      </c>
      <c r="G39" s="22">
        <v>0.62034462473986229</v>
      </c>
      <c r="H39" s="22">
        <v>0.63616669671840642</v>
      </c>
      <c r="I39" s="22">
        <v>0.68325103104053797</v>
      </c>
      <c r="J39" s="22">
        <v>0.67716713123483629</v>
      </c>
      <c r="K39" s="22">
        <v>0.67373774364892258</v>
      </c>
      <c r="L39" s="22">
        <v>0.64809885867119688</v>
      </c>
      <c r="M39" s="22">
        <v>0.59323965780979415</v>
      </c>
      <c r="N39" s="22">
        <v>0.57094418615024156</v>
      </c>
      <c r="O39" s="22">
        <v>0.67617623066805832</v>
      </c>
    </row>
    <row r="40" spans="1:15" x14ac:dyDescent="0.35">
      <c r="A40" s="6">
        <v>4</v>
      </c>
      <c r="B40" s="9" t="s">
        <v>20</v>
      </c>
      <c r="C40" s="3" t="s">
        <v>17</v>
      </c>
      <c r="D40" s="22">
        <v>0.75136629791736398</v>
      </c>
      <c r="E40" s="22">
        <v>0.72974481669753044</v>
      </c>
      <c r="F40" s="22">
        <v>0.69526209421222585</v>
      </c>
      <c r="G40" s="22">
        <v>0.70973567726466269</v>
      </c>
      <c r="H40" s="22">
        <v>0.74593728052513175</v>
      </c>
      <c r="I40" s="22">
        <v>0.75839778126675705</v>
      </c>
      <c r="J40" s="22">
        <v>0.75999863626714348</v>
      </c>
      <c r="K40" s="22">
        <v>0.75473365977853324</v>
      </c>
      <c r="L40" s="22">
        <v>0.75808002211149805</v>
      </c>
      <c r="M40" s="22">
        <v>0.69509908450662627</v>
      </c>
      <c r="N40" s="22">
        <v>0.6507628535756339</v>
      </c>
      <c r="O40" s="22">
        <v>0.69815431597882838</v>
      </c>
    </row>
    <row r="41" spans="1:15" x14ac:dyDescent="0.35">
      <c r="A41" s="6"/>
      <c r="B41" s="9" t="s">
        <v>21</v>
      </c>
      <c r="C41" s="10" t="s">
        <v>21</v>
      </c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</row>
    <row r="42" spans="1:15" x14ac:dyDescent="0.35">
      <c r="A42" s="6"/>
      <c r="B42" s="1"/>
      <c r="C42" s="3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</row>
    <row r="43" spans="1:15" x14ac:dyDescent="0.35">
      <c r="A43" s="6">
        <v>6</v>
      </c>
      <c r="B43" s="1" t="s">
        <v>22</v>
      </c>
      <c r="C43" s="3" t="s">
        <v>23</v>
      </c>
      <c r="D43" s="22">
        <v>0.82285427541112222</v>
      </c>
      <c r="E43" s="22">
        <v>0.85143866162228221</v>
      </c>
      <c r="F43" s="22">
        <v>0.83106591089624682</v>
      </c>
      <c r="G43" s="22">
        <v>0.83652836657721941</v>
      </c>
      <c r="H43" s="22">
        <v>0.80210281492634639</v>
      </c>
      <c r="I43" s="22">
        <v>0.82648949205566169</v>
      </c>
      <c r="J43" s="22">
        <v>0.8068713236816325</v>
      </c>
      <c r="K43" s="22">
        <v>0.83752706886935768</v>
      </c>
      <c r="L43" s="22">
        <v>0.83417751153283415</v>
      </c>
      <c r="M43" s="22">
        <v>0.80233076164632855</v>
      </c>
      <c r="N43" s="22">
        <v>0.77784833752840687</v>
      </c>
      <c r="O43" s="22">
        <v>0.84648849094411971</v>
      </c>
    </row>
    <row r="44" spans="1:15" x14ac:dyDescent="0.35">
      <c r="A44" s="6">
        <v>7</v>
      </c>
      <c r="B44" s="9" t="s">
        <v>24</v>
      </c>
      <c r="C44" s="3" t="s">
        <v>23</v>
      </c>
      <c r="D44" s="22">
        <v>0.84431767694970483</v>
      </c>
      <c r="E44" s="22">
        <v>0.83441271374873516</v>
      </c>
      <c r="F44" s="22">
        <v>0.83991862282024854</v>
      </c>
      <c r="G44" s="22">
        <v>0.84037864388397066</v>
      </c>
      <c r="H44" s="22">
        <v>0.83577108659095278</v>
      </c>
      <c r="I44" s="22">
        <v>0.87036494823587651</v>
      </c>
      <c r="J44" s="22">
        <v>0.86266254951594967</v>
      </c>
      <c r="K44" s="22">
        <v>0.87257661520470764</v>
      </c>
      <c r="L44" s="22">
        <v>0.8532718210705037</v>
      </c>
      <c r="M44" s="22">
        <v>0.82175773389028028</v>
      </c>
      <c r="N44" s="22">
        <v>0.83588948481347269</v>
      </c>
      <c r="O44" s="22">
        <v>0.85674741882448269</v>
      </c>
    </row>
    <row r="45" spans="1:15" x14ac:dyDescent="0.35">
      <c r="A45" s="12"/>
      <c r="B45" s="13" t="s">
        <v>21</v>
      </c>
      <c r="C45" s="3" t="s">
        <v>21</v>
      </c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</row>
    <row r="46" spans="1:15" x14ac:dyDescent="0.35">
      <c r="A46" s="6"/>
      <c r="B46" s="9"/>
      <c r="C46" s="10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</row>
    <row r="47" spans="1:15" x14ac:dyDescent="0.35">
      <c r="A47" s="6">
        <v>9</v>
      </c>
      <c r="B47" s="9" t="s">
        <v>25</v>
      </c>
      <c r="C47" s="10" t="s">
        <v>26</v>
      </c>
      <c r="D47" s="22">
        <v>0.85330683174384225</v>
      </c>
      <c r="E47" s="22">
        <v>0.75835164812839073</v>
      </c>
      <c r="F47" s="22">
        <v>0.88491572860767254</v>
      </c>
      <c r="G47" s="22">
        <v>0.86164136928281099</v>
      </c>
      <c r="H47" s="22">
        <v>0.72696231746727646</v>
      </c>
      <c r="I47" s="22">
        <v>0.78407589153141866</v>
      </c>
      <c r="J47" s="22">
        <v>0.83363060743058182</v>
      </c>
      <c r="K47" s="22">
        <v>0.86697888501750064</v>
      </c>
      <c r="L47" s="22">
        <v>0.886887222881654</v>
      </c>
      <c r="M47" s="22">
        <v>0.72129649324379819</v>
      </c>
      <c r="N47" s="22">
        <v>0.82761694123034046</v>
      </c>
      <c r="O47" s="22">
        <v>0.8515064378473266</v>
      </c>
    </row>
    <row r="48" spans="1:15" x14ac:dyDescent="0.35">
      <c r="A48" s="6"/>
      <c r="B48" s="9"/>
      <c r="C48" s="10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</row>
    <row r="49" spans="1:15" x14ac:dyDescent="0.35">
      <c r="A49" s="12">
        <v>10</v>
      </c>
      <c r="B49" s="14" t="s">
        <v>27</v>
      </c>
      <c r="C49" s="15" t="s">
        <v>17</v>
      </c>
      <c r="D49" s="22">
        <v>0.50661309709257951</v>
      </c>
      <c r="E49" s="22">
        <v>0.47639610604950894</v>
      </c>
      <c r="F49" s="22">
        <v>0.43987663420834078</v>
      </c>
      <c r="G49" s="22">
        <v>0.40662709232217203</v>
      </c>
      <c r="H49" s="22">
        <v>0.3817844260312338</v>
      </c>
      <c r="I49" s="22">
        <v>0.37634288024812251</v>
      </c>
      <c r="J49" s="22">
        <v>0.37771316038656222</v>
      </c>
      <c r="K49" s="22">
        <v>0.39665429077077047</v>
      </c>
      <c r="L49" s="22">
        <v>0.42844911684442927</v>
      </c>
      <c r="M49" s="22">
        <v>0.4628548668166293</v>
      </c>
      <c r="N49" s="22">
        <v>0.49799262019604895</v>
      </c>
      <c r="O49" s="22">
        <v>0.52181546530113943</v>
      </c>
    </row>
    <row r="50" spans="1:15" x14ac:dyDescent="0.35">
      <c r="A50" s="6"/>
      <c r="B50" s="1"/>
      <c r="C50" s="3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</row>
    <row r="51" spans="1:15" x14ac:dyDescent="0.35">
      <c r="A51" s="6"/>
      <c r="B51" s="2" t="s">
        <v>21</v>
      </c>
      <c r="C51" s="3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</row>
    <row r="52" spans="1:15" x14ac:dyDescent="0.35">
      <c r="A52" s="6"/>
      <c r="B52" s="1"/>
      <c r="C52" s="3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</row>
    <row r="53" spans="1:15" x14ac:dyDescent="0.35">
      <c r="A53" s="6">
        <v>12</v>
      </c>
      <c r="B53" s="9" t="s">
        <v>28</v>
      </c>
      <c r="C53" s="10" t="s">
        <v>23</v>
      </c>
      <c r="D53" s="21" t="s">
        <v>37</v>
      </c>
      <c r="E53" s="21" t="s">
        <v>37</v>
      </c>
      <c r="F53" s="21" t="s">
        <v>37</v>
      </c>
      <c r="G53" s="21" t="s">
        <v>37</v>
      </c>
      <c r="H53" s="21" t="s">
        <v>37</v>
      </c>
      <c r="I53" s="21" t="s">
        <v>37</v>
      </c>
      <c r="J53" s="21" t="s">
        <v>37</v>
      </c>
      <c r="K53" s="21" t="s">
        <v>37</v>
      </c>
      <c r="L53" s="21" t="s">
        <v>37</v>
      </c>
      <c r="M53" s="21" t="s">
        <v>37</v>
      </c>
      <c r="N53" s="21" t="s">
        <v>37</v>
      </c>
      <c r="O53" s="21" t="s">
        <v>37</v>
      </c>
    </row>
    <row r="54" spans="1:15" x14ac:dyDescent="0.35">
      <c r="A54" s="6"/>
      <c r="B54" s="2" t="s">
        <v>21</v>
      </c>
      <c r="C54" s="2"/>
      <c r="D54" s="16" t="s">
        <v>21</v>
      </c>
      <c r="E54" s="16" t="s">
        <v>21</v>
      </c>
      <c r="F54" s="16" t="s">
        <v>21</v>
      </c>
      <c r="G54" s="16" t="s">
        <v>21</v>
      </c>
      <c r="H54" s="16" t="s">
        <v>21</v>
      </c>
      <c r="I54" s="16" t="s">
        <v>21</v>
      </c>
      <c r="J54" s="16" t="s">
        <v>21</v>
      </c>
      <c r="K54" s="16" t="s">
        <v>21</v>
      </c>
      <c r="L54" s="16" t="s">
        <v>21</v>
      </c>
      <c r="M54" s="16" t="s">
        <v>21</v>
      </c>
      <c r="N54" s="16" t="s">
        <v>21</v>
      </c>
      <c r="O54" s="16" t="s">
        <v>21</v>
      </c>
    </row>
    <row r="55" spans="1:15" x14ac:dyDescent="0.35">
      <c r="A55" s="6"/>
      <c r="B55" s="17"/>
      <c r="C55" s="2"/>
      <c r="D55" s="18"/>
      <c r="E55" s="18"/>
      <c r="F55" s="11"/>
      <c r="G55" s="18"/>
      <c r="H55" s="18"/>
      <c r="I55" s="18"/>
      <c r="J55" s="18"/>
      <c r="K55" s="18"/>
      <c r="L55" s="18"/>
      <c r="M55" s="18"/>
      <c r="N55" s="18"/>
      <c r="O55" s="18"/>
    </row>
    <row r="56" spans="1:15" x14ac:dyDescent="0.35">
      <c r="A56" s="6"/>
      <c r="B56" s="2"/>
      <c r="C56" s="2" t="s">
        <v>21</v>
      </c>
      <c r="D56" s="16" t="s">
        <v>21</v>
      </c>
      <c r="E56" s="16" t="s">
        <v>21</v>
      </c>
      <c r="F56" s="16" t="s">
        <v>21</v>
      </c>
      <c r="G56" s="16" t="s">
        <v>21</v>
      </c>
      <c r="H56" s="16" t="s">
        <v>21</v>
      </c>
      <c r="I56" s="16" t="s">
        <v>21</v>
      </c>
      <c r="J56" s="16" t="s">
        <v>21</v>
      </c>
      <c r="K56" s="16" t="s">
        <v>21</v>
      </c>
      <c r="L56" s="16" t="s">
        <v>21</v>
      </c>
      <c r="M56" s="16" t="s">
        <v>21</v>
      </c>
      <c r="N56" s="16" t="s">
        <v>21</v>
      </c>
      <c r="O56" s="16" t="s">
        <v>21</v>
      </c>
    </row>
  </sheetData>
  <mergeCells count="8">
    <mergeCell ref="B1:O1"/>
    <mergeCell ref="B28:O28"/>
    <mergeCell ref="B31:O31"/>
    <mergeCell ref="B2:O2"/>
    <mergeCell ref="B3:O3"/>
    <mergeCell ref="B4:O4"/>
    <mergeCell ref="B29:O29"/>
    <mergeCell ref="B30:O30"/>
  </mergeCells>
  <pageMargins left="0.7" right="0.7" top="0.75" bottom="0.75" header="0.3" footer="0.3"/>
  <pageSetup scale="50" orientation="landscape" r:id="rId1"/>
  <headerFooter>
    <oddHeader>&amp;RII-H-1.4 Adjusted Test Year Load Data
&amp;A
Page &amp;P of &amp;N</oddHeader>
    <oddFooter>&amp;LSponsored by: Nora D. Williams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D7645638A6BA4A903C04B5C9F7EDEE" ma:contentTypeVersion="0" ma:contentTypeDescription="Create a new document." ma:contentTypeScope="" ma:versionID="3a0828b1569d7c9c8f13eba4d0d5b75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sisl xmlns:xsi="http://www.w3.org/2001/XMLSchema-instance" xmlns:xsd="http://www.w3.org/2001/XMLSchema" xmlns="http://www.boldonjames.com/2008/01/sie/internal/label" sislVersion="0" policy="e9c0b8d7-bdb4-4fd3-b62a-f50327aaefce" origin="userSelected">
  <element uid="50c31824-0780-4910-87d1-eaaffd182d42" value=""/>
</sisl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AA8D476-C09F-45E1-99CB-45E694E279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B3AD640-258F-4292-A2C3-5D5E059D92D3}">
  <ds:schemaRefs>
    <ds:schemaRef ds:uri="http://www.w3.org/2001/XMLSchema"/>
    <ds:schemaRef ds:uri="http://www.boldonjames.com/2008/01/sie/internal/label"/>
  </ds:schemaRefs>
</ds:datastoreItem>
</file>

<file path=customXml/itemProps3.xml><?xml version="1.0" encoding="utf-8"?>
<ds:datastoreItem xmlns:ds="http://schemas.openxmlformats.org/officeDocument/2006/customXml" ds:itemID="{13088DAA-CCCA-47BA-A2A0-4E8A64F02D80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25EB9229-9F77-4258-A62A-3CEED0F5F8D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II-H-1.4.(1) TEX 2018</vt:lpstr>
      <vt:lpstr>II-H-1.4.(2) TEX 2018</vt:lpstr>
      <vt:lpstr>II-H-1.4.(3) TEX 2018</vt:lpstr>
      <vt:lpstr>II-H-1.4.(5) TEX 2018</vt:lpstr>
      <vt:lpstr>II-H-1.4.(6) TEX 2015</vt:lpstr>
      <vt:lpstr>II-H-1.4.(6) TEX 2016</vt:lpstr>
      <vt:lpstr>II-H-1.4.(6) TEX 2017</vt:lpstr>
      <vt:lpstr>II-H-1.4.(6) TEX 2018</vt:lpstr>
    </vt:vector>
  </TitlesOfParts>
  <Company>American Electric Power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s275477</dc:creator>
  <cp:keywords>AEP Internal</cp:keywords>
  <cp:lastModifiedBy>s254353</cp:lastModifiedBy>
  <cp:lastPrinted>2019-04-20T23:34:24Z</cp:lastPrinted>
  <dcterms:created xsi:type="dcterms:W3CDTF">2019-01-29T18:17:37Z</dcterms:created>
  <dcterms:modified xsi:type="dcterms:W3CDTF">2019-04-20T23:35:10Z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129b826d-4f33-4097-b272-b6921e0c937f</vt:lpwstr>
  </property>
  <property fmtid="{D5CDD505-2E9C-101B-9397-08002B2CF9AE}" pid="3" name="bjSaver">
    <vt:lpwstr>+67csA82yKjSjnon/76tuYCQckurr173</vt:lpwstr>
  </property>
  <property fmtid="{D5CDD505-2E9C-101B-9397-08002B2CF9AE}" pid="4" name="bjDocumentSecurityLabel">
    <vt:lpwstr>AEP Internal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policy="e9c0b8d7-bdb4-4fd3-b62a-f50327aaefce" origin="userSelected" xmlns="http://www.boldonj</vt:lpwstr>
  </property>
  <property fmtid="{D5CDD505-2E9C-101B-9397-08002B2CF9AE}" pid="6" name="bjDocumentLabelXML-0">
    <vt:lpwstr>ames.com/2008/01/sie/internal/label"&gt;&lt;element uid="50c31824-0780-4910-87d1-eaaffd182d42" value="" /&gt;&lt;/sisl&gt;</vt:lpwstr>
  </property>
  <property fmtid="{D5CDD505-2E9C-101B-9397-08002B2CF9AE}" pid="7" name="ContentTypeId">
    <vt:lpwstr>0x01010068D7645638A6BA4A903C04B5C9F7EDEE</vt:lpwstr>
  </property>
</Properties>
</file>