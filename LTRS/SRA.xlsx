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22115-6Z6DFMy380oy/"/>
    </mc:Choice>
  </mc:AlternateContent>
  <xr:revisionPtr revIDLastSave="0" documentId="13_ncr:1_{330115E9-29E1-7246-AC2C-40247D6C7F0E}" xr6:coauthVersionLast="47" xr6:coauthVersionMax="47" xr10:uidLastSave="{00000000-0000-0000-0000-000000000000}"/>
  <bookViews>
    <workbookView xWindow="0" yWindow="600" windowWidth="38400" windowHeight="21000" xr2:uid="{70F2C04B-D12F-724D-B971-52F6CEAAA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2" i="1"/>
  <c r="G31" i="1"/>
  <c r="F31" i="1"/>
  <c r="E31" i="1"/>
  <c r="D31" i="1"/>
  <c r="C31" i="1"/>
  <c r="F16" i="1"/>
  <c r="G16" i="1"/>
  <c r="D16" i="1"/>
  <c r="E16" i="1"/>
  <c r="C16" i="1"/>
  <c r="H97" i="1"/>
  <c r="H9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2" i="1"/>
  <c r="H31" i="1" l="1"/>
  <c r="H16" i="1"/>
</calcChain>
</file>

<file path=xl/sharedStrings.xml><?xml version="1.0" encoding="utf-8"?>
<sst xmlns="http://schemas.openxmlformats.org/spreadsheetml/2006/main" count="105" uniqueCount="28">
  <si>
    <t>MISO</t>
  </si>
  <si>
    <t>Resources</t>
  </si>
  <si>
    <t>Demand 50</t>
  </si>
  <si>
    <t>Demand 90</t>
  </si>
  <si>
    <t>Reference Margin Level</t>
  </si>
  <si>
    <t>NPC-NE</t>
  </si>
  <si>
    <t>Peak Requirement</t>
  </si>
  <si>
    <t>NPC-NY</t>
  </si>
  <si>
    <t>PJM</t>
  </si>
  <si>
    <t>SERC-E</t>
  </si>
  <si>
    <t>SERC-C</t>
  </si>
  <si>
    <t>SERC-SE</t>
  </si>
  <si>
    <t>SPP</t>
  </si>
  <si>
    <t>ERCOT</t>
  </si>
  <si>
    <t>WECC-CA</t>
  </si>
  <si>
    <t>NWPP-US</t>
  </si>
  <si>
    <t>RMRG</t>
  </si>
  <si>
    <t>SRSG</t>
  </si>
  <si>
    <t>SERC-FP</t>
  </si>
  <si>
    <t>NWPP-US+RMRG</t>
  </si>
  <si>
    <t>WECC-Basin</t>
  </si>
  <si>
    <t>WECC-NW</t>
  </si>
  <si>
    <t>WECC-SW</t>
  </si>
  <si>
    <t>WECC-CAMX</t>
  </si>
  <si>
    <t>Reserve Margin</t>
  </si>
  <si>
    <t>Extreme Margin</t>
  </si>
  <si>
    <t>WECC-Rocky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</si>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</sst>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576D-01CF-C843-AF75-3EB2E689F149}">
  <dimension ref="A1:I99"/>
  <sheetViews>
    <sheetView tabSelected="1" workbookViewId="0">
      <selection activeCell="B1" sqref="B1"/>
    </sheetView>
  </sheetViews>
  <sheetFormatPr baseColWidth="10" defaultRowHeight="16" x14ac:dyDescent="0.2"/>
  <cols>
    <col min="1" max="1" width="15.6640625" bestFit="1" customWidth="1"/>
    <col min="6" max="6" width="16.33203125" bestFit="1" customWidth="1"/>
    <col min="7" max="7" width="20.6640625" bestFit="1" customWidth="1"/>
    <col min="8" max="8" width="14" bestFit="1" customWidth="1"/>
    <col min="9" max="9" width="14.33203125" bestFit="1" customWidth="1"/>
  </cols>
  <sheetData>
    <row r="1" spans="1:9" x14ac:dyDescent="0.2">
      <c r="B1" t="s">
        <v>27</v>
      </c>
      <c r="C1" t="s">
        <v>1</v>
      </c>
      <c r="D1" t="s">
        <v>2</v>
      </c>
      <c r="E1" t="s">
        <v>3</v>
      </c>
      <c r="F1" t="s">
        <v>6</v>
      </c>
      <c r="G1" t="s">
        <v>4</v>
      </c>
      <c r="H1" t="s">
        <v>24</v>
      </c>
      <c r="I1" t="s">
        <v>25</v>
      </c>
    </row>
    <row r="2" spans="1:9" x14ac:dyDescent="0.2">
      <c r="A2" t="s">
        <v>0</v>
      </c>
      <c r="B2">
        <v>2019</v>
      </c>
      <c r="C2">
        <v>141.19999999999999</v>
      </c>
      <c r="D2">
        <v>118.4</v>
      </c>
      <c r="E2">
        <v>125.1</v>
      </c>
      <c r="F2">
        <v>1.5</v>
      </c>
      <c r="G2">
        <v>0.16800000000000001</v>
      </c>
      <c r="H2" s="1">
        <f>(C2-D2)/D2</f>
        <v>0.1925675675675674</v>
      </c>
      <c r="I2" s="1">
        <f>(C2-E2-F2)/E2</f>
        <v>0.11670663469224617</v>
      </c>
    </row>
    <row r="3" spans="1:9" x14ac:dyDescent="0.2">
      <c r="A3" t="s">
        <v>5</v>
      </c>
      <c r="B3">
        <v>2019</v>
      </c>
      <c r="C3">
        <v>32.700000000000003</v>
      </c>
      <c r="D3">
        <v>25</v>
      </c>
      <c r="E3">
        <v>26.9</v>
      </c>
      <c r="F3">
        <v>2.2999999999999998</v>
      </c>
      <c r="G3">
        <v>0.183</v>
      </c>
      <c r="H3" s="1">
        <f t="shared" ref="H3:H68" si="0">(C3-D3)/D3</f>
        <v>0.30800000000000011</v>
      </c>
      <c r="I3" s="1">
        <f t="shared" ref="I3:I66" si="1">(C3-E3-F3)/E3</f>
        <v>0.13011152416356894</v>
      </c>
    </row>
    <row r="4" spans="1:9" x14ac:dyDescent="0.2">
      <c r="A4" t="s">
        <v>7</v>
      </c>
      <c r="B4">
        <v>2019</v>
      </c>
      <c r="C4">
        <v>38.799999999999997</v>
      </c>
      <c r="D4">
        <v>31.1</v>
      </c>
      <c r="E4">
        <v>32.9</v>
      </c>
      <c r="F4">
        <v>2.7</v>
      </c>
      <c r="G4">
        <v>0.15</v>
      </c>
      <c r="H4" s="1">
        <f t="shared" si="0"/>
        <v>0.24758842443729889</v>
      </c>
      <c r="I4" s="1">
        <f t="shared" si="1"/>
        <v>9.7264437689969563E-2</v>
      </c>
    </row>
    <row r="5" spans="1:9" x14ac:dyDescent="0.2">
      <c r="A5" t="s">
        <v>8</v>
      </c>
      <c r="B5">
        <v>2019</v>
      </c>
      <c r="C5">
        <v>184.7</v>
      </c>
      <c r="D5">
        <v>143.19999999999999</v>
      </c>
      <c r="E5">
        <v>164.1</v>
      </c>
      <c r="F5">
        <v>6.3</v>
      </c>
      <c r="G5">
        <v>0.159</v>
      </c>
      <c r="H5" s="1">
        <f t="shared" si="0"/>
        <v>0.28980446927374304</v>
      </c>
      <c r="I5" s="1">
        <f t="shared" si="1"/>
        <v>8.7141986593540485E-2</v>
      </c>
    </row>
    <row r="6" spans="1:9" x14ac:dyDescent="0.2">
      <c r="A6" t="s">
        <v>9</v>
      </c>
      <c r="B6">
        <v>2019</v>
      </c>
      <c r="C6">
        <v>51.4</v>
      </c>
      <c r="D6">
        <v>42.7</v>
      </c>
      <c r="E6">
        <v>44.8</v>
      </c>
      <c r="F6">
        <v>1.2</v>
      </c>
      <c r="G6">
        <v>0.13150000000000001</v>
      </c>
      <c r="H6" s="1">
        <f t="shared" si="0"/>
        <v>0.20374707259953151</v>
      </c>
      <c r="I6" s="1">
        <f t="shared" si="1"/>
        <v>0.12053571428571432</v>
      </c>
    </row>
    <row r="7" spans="1:9" x14ac:dyDescent="0.2">
      <c r="A7" t="s">
        <v>10</v>
      </c>
      <c r="B7">
        <v>2019</v>
      </c>
      <c r="C7">
        <v>50.7</v>
      </c>
      <c r="D7">
        <v>38.799999999999997</v>
      </c>
      <c r="E7">
        <v>41.3</v>
      </c>
      <c r="F7">
        <v>1.5</v>
      </c>
      <c r="G7">
        <v>0.13150000000000001</v>
      </c>
      <c r="H7" s="1">
        <f t="shared" si="0"/>
        <v>0.30670103092783524</v>
      </c>
      <c r="I7" s="1">
        <f t="shared" si="1"/>
        <v>0.1912832929782084</v>
      </c>
    </row>
    <row r="8" spans="1:9" x14ac:dyDescent="0.2">
      <c r="A8" t="s">
        <v>18</v>
      </c>
      <c r="B8">
        <v>2019</v>
      </c>
      <c r="C8">
        <v>55.8</v>
      </c>
      <c r="D8">
        <v>44.7</v>
      </c>
      <c r="E8">
        <v>45.2</v>
      </c>
      <c r="F8">
        <v>2.2999999999999998</v>
      </c>
      <c r="G8">
        <v>0.15</v>
      </c>
      <c r="H8" s="1">
        <f t="shared" si="0"/>
        <v>0.24832214765100658</v>
      </c>
      <c r="I8" s="1">
        <f t="shared" si="1"/>
        <v>0.18362831858407064</v>
      </c>
    </row>
    <row r="9" spans="1:9" x14ac:dyDescent="0.2">
      <c r="A9" t="s">
        <v>11</v>
      </c>
      <c r="B9">
        <v>2019</v>
      </c>
      <c r="C9">
        <v>59.7</v>
      </c>
      <c r="D9">
        <v>45</v>
      </c>
      <c r="E9">
        <v>48.7</v>
      </c>
      <c r="F9">
        <v>3.2</v>
      </c>
      <c r="G9">
        <v>0.13150000000000001</v>
      </c>
      <c r="H9" s="1">
        <f t="shared" si="0"/>
        <v>0.32666666666666672</v>
      </c>
      <c r="I9" s="1">
        <f t="shared" si="1"/>
        <v>0.16016427104722791</v>
      </c>
    </row>
    <row r="10" spans="1:9" x14ac:dyDescent="0.2">
      <c r="A10" t="s">
        <v>12</v>
      </c>
      <c r="B10">
        <v>2019</v>
      </c>
      <c r="C10">
        <v>66.8</v>
      </c>
      <c r="D10">
        <v>50.7</v>
      </c>
      <c r="E10">
        <v>53.3</v>
      </c>
      <c r="F10">
        <v>1.7</v>
      </c>
      <c r="G10">
        <v>0.12</v>
      </c>
      <c r="H10" s="1">
        <f t="shared" si="0"/>
        <v>0.31755424063116355</v>
      </c>
      <c r="I10" s="1">
        <f t="shared" si="1"/>
        <v>0.22138836772983117</v>
      </c>
    </row>
    <row r="11" spans="1:9" x14ac:dyDescent="0.2">
      <c r="A11" t="s">
        <v>13</v>
      </c>
      <c r="B11">
        <v>2019</v>
      </c>
      <c r="C11">
        <v>78.8</v>
      </c>
      <c r="D11">
        <v>72.599999999999994</v>
      </c>
      <c r="E11">
        <v>75.900000000000006</v>
      </c>
      <c r="F11">
        <v>2.2999999999999998</v>
      </c>
      <c r="G11">
        <v>0.13750000000000001</v>
      </c>
      <c r="H11" s="1">
        <f t="shared" si="0"/>
        <v>8.5399449035812716E-2</v>
      </c>
      <c r="I11" s="1">
        <f t="shared" si="1"/>
        <v>7.9051383399208388E-3</v>
      </c>
    </row>
    <row r="12" spans="1:9" x14ac:dyDescent="0.2">
      <c r="A12" s="2" t="s">
        <v>23</v>
      </c>
      <c r="B12">
        <v>2019</v>
      </c>
      <c r="C12">
        <v>63.6</v>
      </c>
      <c r="D12">
        <v>52</v>
      </c>
      <c r="E12">
        <v>56.9</v>
      </c>
      <c r="F12">
        <v>1.1000000000000001</v>
      </c>
      <c r="G12">
        <v>0.12</v>
      </c>
      <c r="H12" s="1">
        <f t="shared" si="0"/>
        <v>0.22307692307692312</v>
      </c>
      <c r="I12" s="1">
        <f t="shared" si="1"/>
        <v>9.8418277680140651E-2</v>
      </c>
    </row>
    <row r="13" spans="1:9" x14ac:dyDescent="0.2">
      <c r="A13" s="2" t="s">
        <v>15</v>
      </c>
      <c r="B13">
        <v>2019</v>
      </c>
      <c r="C13">
        <v>61.6</v>
      </c>
      <c r="D13">
        <v>47</v>
      </c>
      <c r="E13">
        <v>55.4</v>
      </c>
      <c r="F13">
        <v>1.1000000000000001</v>
      </c>
      <c r="G13">
        <v>0.2</v>
      </c>
      <c r="H13" s="1">
        <f t="shared" si="0"/>
        <v>0.31063829787234043</v>
      </c>
      <c r="I13" s="1">
        <f t="shared" si="1"/>
        <v>9.2057761732852045E-2</v>
      </c>
    </row>
    <row r="14" spans="1:9" x14ac:dyDescent="0.2">
      <c r="A14" s="2" t="s">
        <v>16</v>
      </c>
      <c r="B14">
        <v>2019</v>
      </c>
      <c r="C14">
        <v>16.899999999999999</v>
      </c>
      <c r="D14">
        <v>12.4</v>
      </c>
      <c r="E14">
        <v>14.1</v>
      </c>
      <c r="F14">
        <v>0.4</v>
      </c>
      <c r="G14">
        <v>0.17</v>
      </c>
      <c r="H14" s="1">
        <f t="shared" si="0"/>
        <v>0.36290322580645146</v>
      </c>
      <c r="I14" s="1">
        <f t="shared" si="1"/>
        <v>0.17021276595744675</v>
      </c>
    </row>
    <row r="15" spans="1:9" x14ac:dyDescent="0.2">
      <c r="A15" s="2" t="s">
        <v>17</v>
      </c>
      <c r="B15">
        <v>2019</v>
      </c>
      <c r="C15">
        <v>32.1</v>
      </c>
      <c r="D15">
        <v>23</v>
      </c>
      <c r="E15">
        <v>26.9</v>
      </c>
      <c r="F15">
        <v>0.379</v>
      </c>
      <c r="G15">
        <v>0.15</v>
      </c>
      <c r="H15" s="1">
        <f t="shared" si="0"/>
        <v>0.39565217391304353</v>
      </c>
      <c r="I15" s="1">
        <f t="shared" si="1"/>
        <v>0.17921933085501873</v>
      </c>
    </row>
    <row r="16" spans="1:9" x14ac:dyDescent="0.2">
      <c r="A16" s="2" t="s">
        <v>19</v>
      </c>
      <c r="B16">
        <v>2019</v>
      </c>
      <c r="C16">
        <f>C13+C14</f>
        <v>78.5</v>
      </c>
      <c r="D16">
        <f t="shared" ref="D16:E16" si="2">D13+D14</f>
        <v>59.4</v>
      </c>
      <c r="E16">
        <f t="shared" si="2"/>
        <v>69.5</v>
      </c>
      <c r="F16">
        <f>F14+F13</f>
        <v>1.5</v>
      </c>
      <c r="G16">
        <f>(G13+G14)/2</f>
        <v>0.185</v>
      </c>
      <c r="H16" s="1">
        <f t="shared" si="0"/>
        <v>0.32154882154882158</v>
      </c>
      <c r="I16" s="1">
        <f t="shared" si="1"/>
        <v>0.1079136690647482</v>
      </c>
    </row>
    <row r="17" spans="1:9" x14ac:dyDescent="0.2">
      <c r="A17" t="s">
        <v>0</v>
      </c>
      <c r="B17">
        <v>2020</v>
      </c>
      <c r="C17">
        <v>143.30000000000001</v>
      </c>
      <c r="D17">
        <v>118.7</v>
      </c>
      <c r="E17">
        <v>126.4</v>
      </c>
      <c r="F17">
        <v>2.2999999999999998</v>
      </c>
      <c r="G17">
        <v>0.18</v>
      </c>
      <c r="H17" s="1">
        <f t="shared" si="0"/>
        <v>0.20724515585509695</v>
      </c>
      <c r="I17" s="1">
        <f t="shared" si="1"/>
        <v>0.11550632911392408</v>
      </c>
    </row>
    <row r="18" spans="1:9" x14ac:dyDescent="0.2">
      <c r="A18" t="s">
        <v>5</v>
      </c>
      <c r="B18">
        <v>2020</v>
      </c>
      <c r="C18">
        <v>32.299999999999997</v>
      </c>
      <c r="D18">
        <v>24.7</v>
      </c>
      <c r="E18">
        <v>27.1</v>
      </c>
      <c r="F18">
        <v>2.2999999999999998</v>
      </c>
      <c r="G18">
        <v>0.183</v>
      </c>
      <c r="H18" s="1">
        <f t="shared" si="0"/>
        <v>0.3076923076923076</v>
      </c>
      <c r="I18" s="1">
        <f t="shared" si="1"/>
        <v>0.10701107011070095</v>
      </c>
    </row>
    <row r="19" spans="1:9" x14ac:dyDescent="0.2">
      <c r="A19" t="s">
        <v>7</v>
      </c>
      <c r="B19">
        <v>2020</v>
      </c>
      <c r="C19">
        <v>40.1</v>
      </c>
      <c r="D19">
        <v>31</v>
      </c>
      <c r="E19">
        <v>32.9</v>
      </c>
      <c r="F19">
        <v>2.62</v>
      </c>
      <c r="G19">
        <v>0.15</v>
      </c>
      <c r="H19" s="1">
        <f t="shared" si="0"/>
        <v>0.29354838709677422</v>
      </c>
      <c r="I19" s="1">
        <f t="shared" si="1"/>
        <v>0.13920972644376908</v>
      </c>
    </row>
    <row r="20" spans="1:9" x14ac:dyDescent="0.2">
      <c r="A20" t="s">
        <v>8</v>
      </c>
      <c r="B20">
        <v>2020</v>
      </c>
      <c r="C20">
        <v>197.6</v>
      </c>
      <c r="D20">
        <v>139.19999999999999</v>
      </c>
      <c r="E20">
        <v>148.9</v>
      </c>
      <c r="F20">
        <v>6.3</v>
      </c>
      <c r="G20">
        <v>0.155</v>
      </c>
      <c r="H20" s="1">
        <f t="shared" si="0"/>
        <v>0.41954022988505757</v>
      </c>
      <c r="I20" s="1">
        <f t="shared" si="1"/>
        <v>0.28475486903962383</v>
      </c>
    </row>
    <row r="21" spans="1:9" x14ac:dyDescent="0.2">
      <c r="A21" t="s">
        <v>10</v>
      </c>
      <c r="B21">
        <v>2020</v>
      </c>
      <c r="C21">
        <v>47.6</v>
      </c>
      <c r="D21">
        <v>38.799999999999997</v>
      </c>
      <c r="E21">
        <v>42.5</v>
      </c>
      <c r="F21">
        <v>1.47</v>
      </c>
      <c r="G21">
        <v>0.15</v>
      </c>
      <c r="H21" s="1">
        <f t="shared" si="0"/>
        <v>0.22680412371134034</v>
      </c>
      <c r="I21" s="1">
        <f t="shared" si="1"/>
        <v>8.5411764705882395E-2</v>
      </c>
    </row>
    <row r="22" spans="1:9" x14ac:dyDescent="0.2">
      <c r="A22" t="s">
        <v>9</v>
      </c>
      <c r="B22">
        <v>2020</v>
      </c>
      <c r="C22">
        <v>51.2</v>
      </c>
      <c r="D22">
        <v>44.4</v>
      </c>
      <c r="E22">
        <v>46.1</v>
      </c>
      <c r="F22">
        <v>1.25</v>
      </c>
      <c r="G22">
        <v>0.15</v>
      </c>
      <c r="H22" s="1">
        <f t="shared" si="0"/>
        <v>0.15315315315315325</v>
      </c>
      <c r="I22" s="1">
        <f t="shared" si="1"/>
        <v>8.3514099783080289E-2</v>
      </c>
    </row>
    <row r="23" spans="1:9" x14ac:dyDescent="0.2">
      <c r="A23" t="s">
        <v>18</v>
      </c>
      <c r="B23">
        <v>2020</v>
      </c>
      <c r="C23">
        <v>53.8</v>
      </c>
      <c r="D23">
        <v>46.4</v>
      </c>
      <c r="E23">
        <v>48.5</v>
      </c>
      <c r="F23">
        <v>1.5</v>
      </c>
      <c r="G23">
        <v>0.15</v>
      </c>
      <c r="H23" s="1">
        <f t="shared" si="0"/>
        <v>0.15948275862068964</v>
      </c>
      <c r="I23" s="1">
        <f t="shared" si="1"/>
        <v>7.8350515463917469E-2</v>
      </c>
    </row>
    <row r="24" spans="1:9" x14ac:dyDescent="0.2">
      <c r="A24" t="s">
        <v>11</v>
      </c>
      <c r="B24">
        <v>2020</v>
      </c>
      <c r="C24">
        <v>60.8</v>
      </c>
      <c r="D24">
        <v>45.2</v>
      </c>
      <c r="E24">
        <v>45.9</v>
      </c>
      <c r="F24">
        <v>1.68</v>
      </c>
      <c r="G24">
        <v>0.15</v>
      </c>
      <c r="H24" s="1">
        <f t="shared" si="0"/>
        <v>0.34513274336283173</v>
      </c>
      <c r="I24" s="1">
        <f t="shared" si="1"/>
        <v>0.28801742919389978</v>
      </c>
    </row>
    <row r="25" spans="1:9" x14ac:dyDescent="0.2">
      <c r="A25" t="s">
        <v>12</v>
      </c>
      <c r="B25">
        <v>2020</v>
      </c>
      <c r="C25">
        <v>67.900000000000006</v>
      </c>
      <c r="D25">
        <v>51.1</v>
      </c>
      <c r="E25">
        <v>53.3</v>
      </c>
      <c r="F25">
        <v>1.7</v>
      </c>
      <c r="G25">
        <v>0.12</v>
      </c>
      <c r="H25" s="1">
        <f t="shared" si="0"/>
        <v>0.32876712328767133</v>
      </c>
      <c r="I25" s="1">
        <f t="shared" si="1"/>
        <v>0.24202626641651051</v>
      </c>
    </row>
    <row r="26" spans="1:9" x14ac:dyDescent="0.2">
      <c r="A26" t="s">
        <v>13</v>
      </c>
      <c r="B26">
        <v>2020</v>
      </c>
      <c r="C26">
        <v>82.4</v>
      </c>
      <c r="D26">
        <v>72.900000000000006</v>
      </c>
      <c r="E26">
        <v>76.2</v>
      </c>
      <c r="F26">
        <v>2.2999999999999998</v>
      </c>
      <c r="G26">
        <v>0.13750000000000001</v>
      </c>
      <c r="H26" s="1">
        <f t="shared" si="0"/>
        <v>0.13031550068587106</v>
      </c>
      <c r="I26" s="1">
        <f t="shared" si="1"/>
        <v>5.1181102362204765E-2</v>
      </c>
    </row>
    <row r="27" spans="1:9" x14ac:dyDescent="0.2">
      <c r="A27" s="2" t="s">
        <v>23</v>
      </c>
      <c r="B27">
        <v>2020</v>
      </c>
      <c r="C27">
        <v>63.3</v>
      </c>
      <c r="D27">
        <v>52.3</v>
      </c>
      <c r="E27">
        <v>58</v>
      </c>
      <c r="F27">
        <v>0.66500000000000004</v>
      </c>
      <c r="G27">
        <v>0.13700000000000001</v>
      </c>
      <c r="H27" s="1">
        <f t="shared" si="0"/>
        <v>0.21032504780114725</v>
      </c>
      <c r="I27" s="1">
        <f t="shared" si="1"/>
        <v>7.9913793103448233E-2</v>
      </c>
    </row>
    <row r="28" spans="1:9" x14ac:dyDescent="0.2">
      <c r="A28" s="2" t="s">
        <v>15</v>
      </c>
      <c r="B28">
        <v>2020</v>
      </c>
      <c r="C28">
        <v>64.3</v>
      </c>
      <c r="D28">
        <v>53.3</v>
      </c>
      <c r="E28">
        <v>57.2</v>
      </c>
      <c r="F28">
        <v>1.1000000000000001</v>
      </c>
      <c r="G28">
        <v>0.157</v>
      </c>
      <c r="H28" s="1">
        <f t="shared" si="0"/>
        <v>0.20637898686679176</v>
      </c>
      <c r="I28" s="1">
        <f t="shared" si="1"/>
        <v>0.1048951048951048</v>
      </c>
    </row>
    <row r="29" spans="1:9" x14ac:dyDescent="0.2">
      <c r="A29" s="2" t="s">
        <v>16</v>
      </c>
      <c r="B29">
        <v>2020</v>
      </c>
      <c r="C29">
        <v>16.100000000000001</v>
      </c>
      <c r="D29">
        <v>12.3</v>
      </c>
      <c r="E29">
        <v>13.9</v>
      </c>
      <c r="F29">
        <v>0.4</v>
      </c>
      <c r="G29">
        <v>0.13</v>
      </c>
      <c r="H29" s="1">
        <f t="shared" si="0"/>
        <v>0.30894308943089432</v>
      </c>
      <c r="I29" s="1">
        <f t="shared" si="1"/>
        <v>0.12949640287769792</v>
      </c>
    </row>
    <row r="30" spans="1:9" x14ac:dyDescent="0.2">
      <c r="A30" s="2" t="s">
        <v>17</v>
      </c>
      <c r="B30">
        <v>2020</v>
      </c>
      <c r="C30">
        <v>29.9</v>
      </c>
      <c r="D30">
        <v>25</v>
      </c>
      <c r="E30">
        <v>27.4</v>
      </c>
      <c r="F30">
        <v>0.36</v>
      </c>
      <c r="G30">
        <v>0.1</v>
      </c>
      <c r="H30" s="1">
        <f t="shared" si="0"/>
        <v>0.19599999999999995</v>
      </c>
      <c r="I30" s="1">
        <f t="shared" si="1"/>
        <v>7.8102189781021902E-2</v>
      </c>
    </row>
    <row r="31" spans="1:9" x14ac:dyDescent="0.2">
      <c r="A31" s="2" t="s">
        <v>19</v>
      </c>
      <c r="B31">
        <v>2020</v>
      </c>
      <c r="C31">
        <f>C28+C29</f>
        <v>80.400000000000006</v>
      </c>
      <c r="D31">
        <f t="shared" ref="D31:E31" si="3">D28+D29</f>
        <v>65.599999999999994</v>
      </c>
      <c r="E31">
        <f t="shared" si="3"/>
        <v>71.100000000000009</v>
      </c>
      <c r="F31">
        <f>F29+F28</f>
        <v>1.5</v>
      </c>
      <c r="G31">
        <f>(G28+G29)/2</f>
        <v>0.14350000000000002</v>
      </c>
      <c r="H31" s="1">
        <f t="shared" ref="H31" si="4">(C31-D31)/D31</f>
        <v>0.22560975609756118</v>
      </c>
      <c r="I31" s="1">
        <f t="shared" si="1"/>
        <v>0.10970464135021092</v>
      </c>
    </row>
    <row r="32" spans="1:9" x14ac:dyDescent="0.2">
      <c r="A32" t="s">
        <v>0</v>
      </c>
      <c r="B32">
        <v>2021</v>
      </c>
      <c r="C32">
        <v>141.4</v>
      </c>
      <c r="D32">
        <v>116.4</v>
      </c>
      <c r="E32">
        <v>123.9</v>
      </c>
      <c r="F32">
        <v>2.4</v>
      </c>
      <c r="G32">
        <v>0.183</v>
      </c>
      <c r="H32" s="1">
        <f t="shared" si="0"/>
        <v>0.21477663230240548</v>
      </c>
      <c r="I32" s="1">
        <f t="shared" si="1"/>
        <v>0.12187247780468119</v>
      </c>
    </row>
    <row r="33" spans="1:9" x14ac:dyDescent="0.2">
      <c r="A33" t="s">
        <v>5</v>
      </c>
      <c r="B33">
        <v>2021</v>
      </c>
      <c r="C33">
        <v>30.3</v>
      </c>
      <c r="D33">
        <v>24.8</v>
      </c>
      <c r="E33">
        <v>26.8</v>
      </c>
      <c r="F33">
        <v>2.2999999999999998</v>
      </c>
      <c r="G33">
        <v>0.15</v>
      </c>
      <c r="H33" s="1">
        <f t="shared" si="0"/>
        <v>0.22177419354838709</v>
      </c>
      <c r="I33" s="1">
        <f t="shared" si="1"/>
        <v>4.4776119402985079E-2</v>
      </c>
    </row>
    <row r="34" spans="1:9" x14ac:dyDescent="0.2">
      <c r="A34" t="s">
        <v>7</v>
      </c>
      <c r="B34">
        <v>2021</v>
      </c>
      <c r="C34">
        <v>39.6</v>
      </c>
      <c r="D34">
        <v>31.1</v>
      </c>
      <c r="E34">
        <v>33.1</v>
      </c>
      <c r="F34">
        <v>2.62</v>
      </c>
      <c r="G34">
        <v>0.15</v>
      </c>
      <c r="H34" s="1">
        <f t="shared" si="0"/>
        <v>0.27331189710610931</v>
      </c>
      <c r="I34" s="1">
        <f t="shared" si="1"/>
        <v>0.11722054380664652</v>
      </c>
    </row>
    <row r="35" spans="1:9" x14ac:dyDescent="0.2">
      <c r="A35" t="s">
        <v>8</v>
      </c>
      <c r="B35">
        <v>2021</v>
      </c>
      <c r="C35">
        <v>187.4</v>
      </c>
      <c r="D35">
        <v>140.4</v>
      </c>
      <c r="E35">
        <v>158.30000000000001</v>
      </c>
      <c r="F35">
        <v>2.4</v>
      </c>
      <c r="G35">
        <v>0.14699999999999999</v>
      </c>
      <c r="H35" s="1">
        <f t="shared" si="0"/>
        <v>0.33475783475783477</v>
      </c>
      <c r="I35" s="1">
        <f t="shared" si="1"/>
        <v>0.16866708780795953</v>
      </c>
    </row>
    <row r="36" spans="1:9" x14ac:dyDescent="0.2">
      <c r="A36" t="s">
        <v>10</v>
      </c>
      <c r="B36">
        <v>2021</v>
      </c>
      <c r="C36">
        <v>48.3</v>
      </c>
      <c r="D36">
        <v>40.200000000000003</v>
      </c>
      <c r="E36">
        <v>43.8</v>
      </c>
      <c r="F36">
        <v>1.47</v>
      </c>
      <c r="G36">
        <v>0.15</v>
      </c>
      <c r="H36" s="1">
        <f t="shared" si="0"/>
        <v>0.20149253731343267</v>
      </c>
      <c r="I36" s="1">
        <f t="shared" si="1"/>
        <v>6.9178082191780829E-2</v>
      </c>
    </row>
    <row r="37" spans="1:9" x14ac:dyDescent="0.2">
      <c r="A37" t="s">
        <v>9</v>
      </c>
      <c r="B37">
        <v>2021</v>
      </c>
      <c r="C37">
        <v>51.1</v>
      </c>
      <c r="D37">
        <v>41.7</v>
      </c>
      <c r="E37">
        <v>45.1</v>
      </c>
      <c r="F37">
        <v>1.25</v>
      </c>
      <c r="G37">
        <v>0.15</v>
      </c>
      <c r="H37" s="1">
        <f t="shared" si="0"/>
        <v>0.22541966426858509</v>
      </c>
      <c r="I37" s="1">
        <f t="shared" si="1"/>
        <v>0.10532150776053215</v>
      </c>
    </row>
    <row r="38" spans="1:9" x14ac:dyDescent="0.2">
      <c r="A38" t="s">
        <v>18</v>
      </c>
      <c r="B38">
        <v>2021</v>
      </c>
      <c r="C38">
        <v>56.4</v>
      </c>
      <c r="D38">
        <v>45.7</v>
      </c>
      <c r="E38">
        <v>47.8</v>
      </c>
      <c r="F38">
        <v>1.5</v>
      </c>
      <c r="G38">
        <v>0.15</v>
      </c>
      <c r="H38" s="1">
        <f t="shared" si="0"/>
        <v>0.23413566739606115</v>
      </c>
      <c r="I38" s="1">
        <f t="shared" si="1"/>
        <v>0.14853556485355651</v>
      </c>
    </row>
    <row r="39" spans="1:9" x14ac:dyDescent="0.2">
      <c r="A39" t="s">
        <v>11</v>
      </c>
      <c r="B39">
        <v>2021</v>
      </c>
      <c r="C39">
        <v>60.2</v>
      </c>
      <c r="D39">
        <v>46.6</v>
      </c>
      <c r="E39">
        <v>52.1</v>
      </c>
      <c r="F39">
        <v>1.68</v>
      </c>
      <c r="G39">
        <v>0.15</v>
      </c>
      <c r="H39" s="1">
        <f t="shared" si="0"/>
        <v>0.29184549356223177</v>
      </c>
      <c r="I39" s="1">
        <f t="shared" si="1"/>
        <v>0.12322456813819581</v>
      </c>
    </row>
    <row r="40" spans="1:9" x14ac:dyDescent="0.2">
      <c r="A40" t="s">
        <v>12</v>
      </c>
      <c r="B40">
        <v>2021</v>
      </c>
      <c r="C40">
        <v>67.099999999999994</v>
      </c>
      <c r="D40">
        <v>51.6</v>
      </c>
      <c r="E40">
        <v>54.2</v>
      </c>
      <c r="F40">
        <v>1.7</v>
      </c>
      <c r="G40">
        <v>0.16</v>
      </c>
      <c r="H40" s="1">
        <f t="shared" si="0"/>
        <v>0.30038759689922467</v>
      </c>
      <c r="I40" s="1">
        <f t="shared" si="1"/>
        <v>0.20664206642066404</v>
      </c>
    </row>
    <row r="41" spans="1:9" x14ac:dyDescent="0.2">
      <c r="A41" t="s">
        <v>13</v>
      </c>
      <c r="B41">
        <v>2021</v>
      </c>
      <c r="C41">
        <v>86.3</v>
      </c>
      <c r="D41">
        <v>74.8</v>
      </c>
      <c r="E41">
        <v>77.7</v>
      </c>
      <c r="F41">
        <v>1</v>
      </c>
      <c r="G41">
        <v>0.13750000000000001</v>
      </c>
      <c r="H41" s="1">
        <f t="shared" si="0"/>
        <v>0.15374331550802139</v>
      </c>
      <c r="I41" s="1">
        <f t="shared" si="1"/>
        <v>9.7812097812097737E-2</v>
      </c>
    </row>
    <row r="42" spans="1:9" x14ac:dyDescent="0.2">
      <c r="A42" s="2" t="s">
        <v>23</v>
      </c>
      <c r="B42">
        <v>2021</v>
      </c>
      <c r="C42">
        <v>61.2</v>
      </c>
      <c r="D42">
        <v>52.4</v>
      </c>
      <c r="E42">
        <v>59.8</v>
      </c>
      <c r="F42">
        <v>3.15</v>
      </c>
      <c r="G42">
        <v>0.184</v>
      </c>
      <c r="H42" s="1">
        <f t="shared" si="0"/>
        <v>0.16793893129771001</v>
      </c>
      <c r="I42" s="1">
        <f t="shared" si="1"/>
        <v>-2.9264214046822647E-2</v>
      </c>
    </row>
    <row r="43" spans="1:9" x14ac:dyDescent="0.2">
      <c r="A43" s="2" t="s">
        <v>19</v>
      </c>
      <c r="B43">
        <v>2021</v>
      </c>
      <c r="C43">
        <v>77.2</v>
      </c>
      <c r="D43">
        <v>66</v>
      </c>
      <c r="E43">
        <v>67.7</v>
      </c>
      <c r="F43">
        <v>4.03</v>
      </c>
      <c r="G43">
        <v>0.14299999999999999</v>
      </c>
      <c r="H43" s="1">
        <f t="shared" si="0"/>
        <v>0.16969696969696973</v>
      </c>
      <c r="I43" s="1">
        <f t="shared" si="1"/>
        <v>8.0797636632200881E-2</v>
      </c>
    </row>
    <row r="44" spans="1:9" x14ac:dyDescent="0.2">
      <c r="A44" s="2" t="s">
        <v>17</v>
      </c>
      <c r="B44">
        <v>2021</v>
      </c>
      <c r="C44">
        <v>27.9</v>
      </c>
      <c r="D44">
        <v>24.4</v>
      </c>
      <c r="E44">
        <v>25.3</v>
      </c>
      <c r="F44">
        <v>1.5</v>
      </c>
      <c r="G44">
        <v>9.8000000000000004E-2</v>
      </c>
      <c r="H44" s="1">
        <f t="shared" si="0"/>
        <v>0.14344262295081969</v>
      </c>
      <c r="I44" s="1">
        <f t="shared" si="1"/>
        <v>4.3478260869565133E-2</v>
      </c>
    </row>
    <row r="45" spans="1:9" x14ac:dyDescent="0.2">
      <c r="A45" t="s">
        <v>0</v>
      </c>
      <c r="B45">
        <v>2022</v>
      </c>
      <c r="C45">
        <v>143.19999999999999</v>
      </c>
      <c r="D45">
        <v>118.2</v>
      </c>
      <c r="E45">
        <v>125.2</v>
      </c>
      <c r="F45">
        <v>2.4</v>
      </c>
      <c r="G45">
        <v>0.17899999999999999</v>
      </c>
      <c r="H45" s="1">
        <f t="shared" si="0"/>
        <v>0.21150592216582051</v>
      </c>
      <c r="I45" s="1">
        <f t="shared" si="1"/>
        <v>0.12460063897763567</v>
      </c>
    </row>
    <row r="46" spans="1:9" x14ac:dyDescent="0.2">
      <c r="A46" t="s">
        <v>5</v>
      </c>
      <c r="B46">
        <v>2022</v>
      </c>
      <c r="C46">
        <v>29.9</v>
      </c>
      <c r="D46">
        <v>24.8</v>
      </c>
      <c r="E46">
        <v>26.6</v>
      </c>
      <c r="F46">
        <v>2.2999999999999998</v>
      </c>
      <c r="G46">
        <v>0.14299999999999999</v>
      </c>
      <c r="H46" s="1">
        <f t="shared" si="0"/>
        <v>0.20564516129032248</v>
      </c>
      <c r="I46" s="1">
        <f t="shared" si="1"/>
        <v>3.7593984962405916E-2</v>
      </c>
    </row>
    <row r="47" spans="1:9" x14ac:dyDescent="0.2">
      <c r="A47" t="s">
        <v>7</v>
      </c>
      <c r="B47">
        <v>2022</v>
      </c>
      <c r="C47">
        <v>39.9</v>
      </c>
      <c r="D47">
        <v>30.6</v>
      </c>
      <c r="E47">
        <v>32.6</v>
      </c>
      <c r="F47">
        <v>2.6</v>
      </c>
      <c r="G47">
        <v>0.15</v>
      </c>
      <c r="H47" s="1">
        <f t="shared" si="0"/>
        <v>0.3039215686274509</v>
      </c>
      <c r="I47" s="1">
        <f t="shared" si="1"/>
        <v>0.14417177914110421</v>
      </c>
    </row>
    <row r="48" spans="1:9" x14ac:dyDescent="0.2">
      <c r="A48" t="s">
        <v>8</v>
      </c>
      <c r="B48">
        <v>2022</v>
      </c>
      <c r="C48">
        <v>185</v>
      </c>
      <c r="D48">
        <v>140.4</v>
      </c>
      <c r="E48">
        <v>148.9</v>
      </c>
      <c r="F48">
        <v>2.5</v>
      </c>
      <c r="G48">
        <v>0.14899999999999999</v>
      </c>
      <c r="H48" s="1">
        <f t="shared" si="0"/>
        <v>0.31766381766381763</v>
      </c>
      <c r="I48" s="1">
        <f t="shared" si="1"/>
        <v>0.22565480188045664</v>
      </c>
    </row>
    <row r="49" spans="1:9" x14ac:dyDescent="0.2">
      <c r="A49" t="s">
        <v>10</v>
      </c>
      <c r="B49">
        <v>2022</v>
      </c>
      <c r="C49">
        <v>46.6</v>
      </c>
      <c r="D49">
        <v>39.4</v>
      </c>
      <c r="E49">
        <v>41.8</v>
      </c>
      <c r="F49">
        <v>1.3</v>
      </c>
      <c r="G49">
        <v>0.15</v>
      </c>
      <c r="H49" s="1">
        <f t="shared" si="0"/>
        <v>0.18274111675126911</v>
      </c>
      <c r="I49" s="1">
        <f t="shared" si="1"/>
        <v>8.373205741626806E-2</v>
      </c>
    </row>
    <row r="50" spans="1:9" x14ac:dyDescent="0.2">
      <c r="A50" t="s">
        <v>9</v>
      </c>
      <c r="B50">
        <v>2022</v>
      </c>
      <c r="C50">
        <v>50.5</v>
      </c>
      <c r="D50">
        <v>41.6</v>
      </c>
      <c r="E50">
        <v>44.2</v>
      </c>
      <c r="F50">
        <v>1.2</v>
      </c>
      <c r="G50">
        <v>0.15</v>
      </c>
      <c r="H50" s="1">
        <f t="shared" si="0"/>
        <v>0.21394230769230765</v>
      </c>
      <c r="I50" s="1">
        <f t="shared" si="1"/>
        <v>0.11538461538461531</v>
      </c>
    </row>
    <row r="51" spans="1:9" x14ac:dyDescent="0.2">
      <c r="A51" t="s">
        <v>18</v>
      </c>
      <c r="B51">
        <v>2022</v>
      </c>
      <c r="C51">
        <v>59.4</v>
      </c>
      <c r="D51">
        <v>49.2</v>
      </c>
      <c r="E51">
        <v>50.2</v>
      </c>
      <c r="F51">
        <v>1.8</v>
      </c>
      <c r="G51">
        <v>0.15</v>
      </c>
      <c r="H51" s="1">
        <f t="shared" si="0"/>
        <v>0.20731707317073161</v>
      </c>
      <c r="I51" s="1">
        <f t="shared" si="1"/>
        <v>0.14741035856573695</v>
      </c>
    </row>
    <row r="52" spans="1:9" x14ac:dyDescent="0.2">
      <c r="A52" t="s">
        <v>11</v>
      </c>
      <c r="B52">
        <v>2022</v>
      </c>
      <c r="C52">
        <v>58.8</v>
      </c>
      <c r="D52">
        <v>45.3</v>
      </c>
      <c r="E52">
        <v>48.1</v>
      </c>
      <c r="F52">
        <v>1.2</v>
      </c>
      <c r="G52">
        <v>0.15</v>
      </c>
      <c r="H52" s="1">
        <f t="shared" si="0"/>
        <v>0.29801324503311261</v>
      </c>
      <c r="I52" s="1">
        <f t="shared" si="1"/>
        <v>0.19750519750519743</v>
      </c>
    </row>
    <row r="53" spans="1:9" x14ac:dyDescent="0.2">
      <c r="A53" t="s">
        <v>12</v>
      </c>
      <c r="B53">
        <v>2022</v>
      </c>
      <c r="C53">
        <v>67.099999999999994</v>
      </c>
      <c r="D53">
        <v>51.4</v>
      </c>
      <c r="E53">
        <v>54</v>
      </c>
      <c r="F53">
        <v>2</v>
      </c>
      <c r="G53">
        <v>0.16</v>
      </c>
      <c r="H53" s="1">
        <f t="shared" si="0"/>
        <v>0.30544747081712054</v>
      </c>
      <c r="I53" s="1">
        <f t="shared" si="1"/>
        <v>0.20555555555555546</v>
      </c>
    </row>
    <row r="54" spans="1:9" x14ac:dyDescent="0.2">
      <c r="A54" t="s">
        <v>13</v>
      </c>
      <c r="B54">
        <v>2022</v>
      </c>
      <c r="C54">
        <v>90.8</v>
      </c>
      <c r="D54">
        <v>74.5</v>
      </c>
      <c r="E54">
        <v>76.400000000000006</v>
      </c>
      <c r="F54">
        <v>1</v>
      </c>
      <c r="G54">
        <v>0.13750000000000001</v>
      </c>
      <c r="H54" s="1">
        <f t="shared" si="0"/>
        <v>0.21879194630872478</v>
      </c>
      <c r="I54" s="1">
        <f t="shared" si="1"/>
        <v>0.17539267015706794</v>
      </c>
    </row>
    <row r="55" spans="1:9" x14ac:dyDescent="0.2">
      <c r="A55" s="2" t="s">
        <v>23</v>
      </c>
      <c r="B55">
        <v>2022</v>
      </c>
      <c r="C55">
        <v>66.8</v>
      </c>
      <c r="D55">
        <v>54.2</v>
      </c>
      <c r="E55">
        <v>62.7</v>
      </c>
      <c r="F55">
        <v>3.4</v>
      </c>
      <c r="G55">
        <v>0.16900000000000001</v>
      </c>
      <c r="H55" s="1">
        <f t="shared" si="0"/>
        <v>0.23247232472324711</v>
      </c>
      <c r="I55" s="1">
        <f t="shared" si="1"/>
        <v>1.1164274322168969E-2</v>
      </c>
    </row>
    <row r="56" spans="1:9" x14ac:dyDescent="0.2">
      <c r="A56" s="2" t="s">
        <v>19</v>
      </c>
      <c r="B56">
        <v>2022</v>
      </c>
      <c r="C56">
        <v>68.099999999999994</v>
      </c>
      <c r="D56">
        <v>57.5</v>
      </c>
      <c r="E56">
        <v>58.9</v>
      </c>
      <c r="F56">
        <v>3.8</v>
      </c>
      <c r="G56">
        <v>0.161</v>
      </c>
      <c r="H56" s="1">
        <f t="shared" si="0"/>
        <v>0.18434782608695643</v>
      </c>
      <c r="I56" s="1">
        <f t="shared" si="1"/>
        <v>9.1680814940577185E-2</v>
      </c>
    </row>
    <row r="57" spans="1:9" x14ac:dyDescent="0.2">
      <c r="A57" s="2" t="s">
        <v>17</v>
      </c>
      <c r="B57">
        <v>2022</v>
      </c>
      <c r="C57">
        <v>29.3</v>
      </c>
      <c r="D57">
        <v>25.9</v>
      </c>
      <c r="E57">
        <v>26.8</v>
      </c>
      <c r="F57">
        <v>1.6</v>
      </c>
      <c r="G57">
        <v>0.10199999999999999</v>
      </c>
      <c r="H57" s="1">
        <f t="shared" si="0"/>
        <v>0.13127413127413137</v>
      </c>
      <c r="I57" s="1">
        <f t="shared" si="1"/>
        <v>3.3582089552238799E-2</v>
      </c>
    </row>
    <row r="58" spans="1:9" x14ac:dyDescent="0.2">
      <c r="A58" t="s">
        <v>0</v>
      </c>
      <c r="B58">
        <v>2023</v>
      </c>
      <c r="C58">
        <v>143.69999999999999</v>
      </c>
      <c r="D58">
        <v>116.8</v>
      </c>
      <c r="E58">
        <v>123.9</v>
      </c>
      <c r="F58">
        <v>2.4</v>
      </c>
      <c r="G58">
        <v>0.159</v>
      </c>
      <c r="H58" s="1">
        <f t="shared" si="0"/>
        <v>0.23030821917808211</v>
      </c>
      <c r="I58" s="1">
        <f t="shared" si="1"/>
        <v>0.14043583535108944</v>
      </c>
    </row>
    <row r="59" spans="1:9" x14ac:dyDescent="0.2">
      <c r="A59" t="s">
        <v>5</v>
      </c>
      <c r="B59">
        <v>2023</v>
      </c>
      <c r="C59">
        <v>29</v>
      </c>
      <c r="D59">
        <v>24.7</v>
      </c>
      <c r="E59">
        <v>26.5</v>
      </c>
      <c r="F59">
        <v>2.2999999999999998</v>
      </c>
      <c r="G59">
        <v>0.12</v>
      </c>
      <c r="H59" s="1">
        <f t="shared" si="0"/>
        <v>0.17408906882591096</v>
      </c>
      <c r="I59" s="1">
        <f t="shared" si="1"/>
        <v>7.5471698113207617E-3</v>
      </c>
    </row>
    <row r="60" spans="1:9" x14ac:dyDescent="0.2">
      <c r="A60" t="s">
        <v>7</v>
      </c>
      <c r="B60">
        <v>2023</v>
      </c>
      <c r="C60">
        <v>40.1</v>
      </c>
      <c r="D60">
        <v>30.8</v>
      </c>
      <c r="E60">
        <v>32.700000000000003</v>
      </c>
      <c r="F60">
        <v>2.6</v>
      </c>
      <c r="G60">
        <v>0.15</v>
      </c>
      <c r="H60" s="1">
        <f t="shared" si="0"/>
        <v>0.30194805194805197</v>
      </c>
      <c r="I60" s="1">
        <f t="shared" si="1"/>
        <v>0.14678899082568803</v>
      </c>
    </row>
    <row r="61" spans="1:9" x14ac:dyDescent="0.2">
      <c r="A61" t="s">
        <v>8</v>
      </c>
      <c r="B61">
        <v>2023</v>
      </c>
      <c r="C61">
        <v>197</v>
      </c>
      <c r="D61">
        <v>141.80000000000001</v>
      </c>
      <c r="E61">
        <v>162.69999999999999</v>
      </c>
      <c r="F61">
        <v>2.6</v>
      </c>
      <c r="G61">
        <v>0.14899999999999999</v>
      </c>
      <c r="H61" s="1">
        <f t="shared" si="0"/>
        <v>0.38928067700987296</v>
      </c>
      <c r="I61" s="1">
        <f t="shared" si="1"/>
        <v>0.19483712354025823</v>
      </c>
    </row>
    <row r="62" spans="1:9" x14ac:dyDescent="0.2">
      <c r="A62" t="s">
        <v>10</v>
      </c>
      <c r="B62">
        <v>2023</v>
      </c>
      <c r="C62">
        <v>47.6</v>
      </c>
      <c r="D62">
        <v>40.299999999999997</v>
      </c>
      <c r="E62">
        <v>43</v>
      </c>
      <c r="F62">
        <v>1.5</v>
      </c>
      <c r="G62">
        <v>0.15</v>
      </c>
      <c r="H62" s="1">
        <f t="shared" si="0"/>
        <v>0.18114143920595546</v>
      </c>
      <c r="I62" s="1">
        <f t="shared" si="1"/>
        <v>7.2093023255813987E-2</v>
      </c>
    </row>
    <row r="63" spans="1:9" x14ac:dyDescent="0.2">
      <c r="A63" t="s">
        <v>9</v>
      </c>
      <c r="B63">
        <v>2023</v>
      </c>
      <c r="C63">
        <v>51.1</v>
      </c>
      <c r="D63">
        <v>45.6</v>
      </c>
      <c r="E63">
        <v>42.9</v>
      </c>
      <c r="F63">
        <v>1.5</v>
      </c>
      <c r="G63">
        <v>0.15</v>
      </c>
      <c r="H63" s="1">
        <f t="shared" si="0"/>
        <v>0.1206140350877193</v>
      </c>
      <c r="I63" s="1">
        <f t="shared" si="1"/>
        <v>0.15617715617715625</v>
      </c>
    </row>
    <row r="64" spans="1:9" x14ac:dyDescent="0.2">
      <c r="A64" t="s">
        <v>18</v>
      </c>
      <c r="B64">
        <v>2023</v>
      </c>
      <c r="C64">
        <v>62.4</v>
      </c>
      <c r="D64">
        <v>49.3</v>
      </c>
      <c r="E64">
        <v>52.4</v>
      </c>
      <c r="F64">
        <v>1.5</v>
      </c>
      <c r="G64">
        <v>0.15</v>
      </c>
      <c r="H64" s="1">
        <f t="shared" si="0"/>
        <v>0.26572008113590267</v>
      </c>
      <c r="I64" s="1">
        <f t="shared" si="1"/>
        <v>0.16221374045801526</v>
      </c>
    </row>
    <row r="65" spans="1:9" x14ac:dyDescent="0.2">
      <c r="A65" t="s">
        <v>11</v>
      </c>
      <c r="B65">
        <v>2023</v>
      </c>
      <c r="C65">
        <v>61.6</v>
      </c>
      <c r="D65">
        <v>44.1</v>
      </c>
      <c r="E65">
        <v>44.8</v>
      </c>
      <c r="F65">
        <v>1.2</v>
      </c>
      <c r="G65">
        <v>0.15</v>
      </c>
      <c r="H65" s="1">
        <f t="shared" si="0"/>
        <v>0.3968253968253968</v>
      </c>
      <c r="I65" s="1">
        <f t="shared" si="1"/>
        <v>0.34821428571428586</v>
      </c>
    </row>
    <row r="66" spans="1:9" x14ac:dyDescent="0.2">
      <c r="A66" t="s">
        <v>12</v>
      </c>
      <c r="B66">
        <v>2023</v>
      </c>
      <c r="C66">
        <v>65.599999999999994</v>
      </c>
      <c r="D66">
        <v>52.6</v>
      </c>
      <c r="E66">
        <v>55.1</v>
      </c>
      <c r="F66">
        <v>2</v>
      </c>
      <c r="G66">
        <v>0.19</v>
      </c>
      <c r="H66" s="1">
        <f t="shared" si="0"/>
        <v>0.2471482889733839</v>
      </c>
      <c r="I66" s="1">
        <f t="shared" si="1"/>
        <v>0.15426497277676937</v>
      </c>
    </row>
    <row r="67" spans="1:9" x14ac:dyDescent="0.2">
      <c r="A67" t="s">
        <v>13</v>
      </c>
      <c r="B67">
        <v>2023</v>
      </c>
      <c r="C67">
        <v>97</v>
      </c>
      <c r="D67">
        <v>78.900000000000006</v>
      </c>
      <c r="E67">
        <v>82.3</v>
      </c>
      <c r="F67">
        <v>1</v>
      </c>
      <c r="G67">
        <v>0.13750000000000001</v>
      </c>
      <c r="H67" s="1">
        <f t="shared" si="0"/>
        <v>0.22940430925221791</v>
      </c>
      <c r="I67" s="1">
        <f t="shared" ref="I67:I98" si="5">(C67-E67-F67)/E67</f>
        <v>0.16646415552855412</v>
      </c>
    </row>
    <row r="68" spans="1:9" x14ac:dyDescent="0.2">
      <c r="A68" s="2" t="s">
        <v>23</v>
      </c>
      <c r="B68">
        <v>2023</v>
      </c>
      <c r="C68">
        <v>57.7</v>
      </c>
      <c r="D68">
        <v>49.5</v>
      </c>
      <c r="E68">
        <v>58.1</v>
      </c>
      <c r="F68">
        <v>3.4</v>
      </c>
      <c r="G68">
        <v>0.16800000000000001</v>
      </c>
      <c r="H68" s="1">
        <f t="shared" si="0"/>
        <v>0.16565656565656572</v>
      </c>
      <c r="I68" s="1">
        <f t="shared" si="5"/>
        <v>-6.5404475043029237E-2</v>
      </c>
    </row>
    <row r="69" spans="1:9" x14ac:dyDescent="0.2">
      <c r="A69" s="2" t="s">
        <v>19</v>
      </c>
      <c r="B69">
        <v>2023</v>
      </c>
      <c r="C69">
        <v>72.2</v>
      </c>
      <c r="D69">
        <v>61</v>
      </c>
      <c r="E69">
        <v>67.2</v>
      </c>
      <c r="F69">
        <v>4</v>
      </c>
      <c r="G69">
        <v>0.16300000000000001</v>
      </c>
      <c r="H69" s="1">
        <f t="shared" ref="H69:H96" si="6">(C69-D69)/D69</f>
        <v>0.18360655737704923</v>
      </c>
      <c r="I69" s="1">
        <f t="shared" si="5"/>
        <v>1.488095238095238E-2</v>
      </c>
    </row>
    <row r="70" spans="1:9" x14ac:dyDescent="0.2">
      <c r="A70" s="2" t="s">
        <v>17</v>
      </c>
      <c r="B70">
        <v>2023</v>
      </c>
      <c r="C70">
        <v>30.6</v>
      </c>
      <c r="D70">
        <v>25.6</v>
      </c>
      <c r="E70">
        <v>28</v>
      </c>
      <c r="F70">
        <v>1.6</v>
      </c>
      <c r="G70">
        <v>0.108</v>
      </c>
      <c r="H70" s="1">
        <f t="shared" si="6"/>
        <v>0.1953125</v>
      </c>
      <c r="I70" s="1">
        <f t="shared" si="5"/>
        <v>3.5714285714285761E-2</v>
      </c>
    </row>
    <row r="71" spans="1:9" x14ac:dyDescent="0.2">
      <c r="A71" t="s">
        <v>0</v>
      </c>
      <c r="B71">
        <v>2024</v>
      </c>
      <c r="C71">
        <v>146.30000000000001</v>
      </c>
      <c r="D71">
        <v>116.1</v>
      </c>
      <c r="E71">
        <v>125.8</v>
      </c>
      <c r="F71">
        <v>2.4</v>
      </c>
      <c r="G71">
        <v>0.17699999999999999</v>
      </c>
      <c r="H71" s="1">
        <f t="shared" si="6"/>
        <v>0.26012058570198121</v>
      </c>
      <c r="I71" s="1">
        <f t="shared" si="5"/>
        <v>0.14387917329093813</v>
      </c>
    </row>
    <row r="72" spans="1:9" x14ac:dyDescent="0.2">
      <c r="A72" t="s">
        <v>5</v>
      </c>
      <c r="B72">
        <v>2024</v>
      </c>
      <c r="C72">
        <v>28.6</v>
      </c>
      <c r="D72">
        <v>24.6</v>
      </c>
      <c r="E72">
        <v>26.5</v>
      </c>
      <c r="F72">
        <v>2.2999999999999998</v>
      </c>
      <c r="G72">
        <v>0.129</v>
      </c>
      <c r="H72" s="1">
        <f t="shared" si="6"/>
        <v>0.16260162601626016</v>
      </c>
      <c r="I72" s="1">
        <f t="shared" si="5"/>
        <v>-7.5471698113206941E-3</v>
      </c>
    </row>
    <row r="73" spans="1:9" x14ac:dyDescent="0.2">
      <c r="A73" t="s">
        <v>7</v>
      </c>
      <c r="B73">
        <v>2024</v>
      </c>
      <c r="C73">
        <v>39.5</v>
      </c>
      <c r="D73">
        <v>30.3</v>
      </c>
      <c r="E73">
        <v>32</v>
      </c>
      <c r="F73">
        <v>2.6</v>
      </c>
      <c r="G73">
        <v>0.15</v>
      </c>
      <c r="H73" s="1">
        <f t="shared" si="6"/>
        <v>0.30363036303630359</v>
      </c>
      <c r="I73" s="1">
        <f t="shared" si="5"/>
        <v>0.15312500000000001</v>
      </c>
    </row>
    <row r="74" spans="1:9" x14ac:dyDescent="0.2">
      <c r="A74" t="s">
        <v>8</v>
      </c>
      <c r="B74">
        <v>2024</v>
      </c>
      <c r="C74">
        <v>183.1</v>
      </c>
      <c r="D74">
        <v>143.5</v>
      </c>
      <c r="E74">
        <v>156.9</v>
      </c>
      <c r="F74">
        <v>2.8</v>
      </c>
      <c r="G74">
        <v>0.17699999999999999</v>
      </c>
      <c r="H74" s="1">
        <f t="shared" si="6"/>
        <v>0.27595818815331008</v>
      </c>
      <c r="I74" s="1">
        <f t="shared" si="5"/>
        <v>0.14913957934990432</v>
      </c>
    </row>
    <row r="75" spans="1:9" x14ac:dyDescent="0.2">
      <c r="A75" t="s">
        <v>10</v>
      </c>
      <c r="B75">
        <v>2024</v>
      </c>
      <c r="C75">
        <v>50.6</v>
      </c>
      <c r="D75">
        <v>40.700000000000003</v>
      </c>
      <c r="E75">
        <v>43.9</v>
      </c>
      <c r="F75">
        <v>1.5</v>
      </c>
      <c r="G75">
        <v>0.15</v>
      </c>
      <c r="H75" s="1">
        <f t="shared" si="6"/>
        <v>0.2432432432432432</v>
      </c>
      <c r="I75" s="1">
        <f t="shared" si="5"/>
        <v>0.11845102505694767</v>
      </c>
    </row>
    <row r="76" spans="1:9" x14ac:dyDescent="0.2">
      <c r="A76" t="s">
        <v>9</v>
      </c>
      <c r="B76">
        <v>2024</v>
      </c>
      <c r="C76">
        <v>52</v>
      </c>
      <c r="D76">
        <v>42.6</v>
      </c>
      <c r="E76">
        <v>44.7</v>
      </c>
      <c r="F76">
        <v>1.5</v>
      </c>
      <c r="G76">
        <v>0.15</v>
      </c>
      <c r="H76" s="1">
        <f t="shared" si="6"/>
        <v>0.22065727699530513</v>
      </c>
      <c r="I76" s="1">
        <f t="shared" si="5"/>
        <v>0.12975391498881425</v>
      </c>
    </row>
    <row r="77" spans="1:9" x14ac:dyDescent="0.2">
      <c r="A77" t="s">
        <v>18</v>
      </c>
      <c r="B77">
        <v>2024</v>
      </c>
      <c r="C77">
        <v>63.7</v>
      </c>
      <c r="D77">
        <v>50.5</v>
      </c>
      <c r="E77">
        <v>53.6</v>
      </c>
      <c r="F77">
        <v>1.5</v>
      </c>
      <c r="G77">
        <v>0.15</v>
      </c>
      <c r="H77" s="1">
        <f t="shared" si="6"/>
        <v>0.26138613861386145</v>
      </c>
      <c r="I77" s="1">
        <f t="shared" si="5"/>
        <v>0.16044776119402987</v>
      </c>
    </row>
    <row r="78" spans="1:9" x14ac:dyDescent="0.2">
      <c r="A78" t="s">
        <v>11</v>
      </c>
      <c r="B78">
        <v>2024</v>
      </c>
      <c r="C78">
        <v>64.5</v>
      </c>
      <c r="D78">
        <v>44.4</v>
      </c>
      <c r="E78">
        <v>45.3</v>
      </c>
      <c r="F78">
        <v>2.5</v>
      </c>
      <c r="G78">
        <v>0.15</v>
      </c>
      <c r="H78" s="1">
        <f t="shared" si="6"/>
        <v>0.45270270270270274</v>
      </c>
      <c r="I78" s="1">
        <f t="shared" si="5"/>
        <v>0.36865342163355419</v>
      </c>
    </row>
    <row r="79" spans="1:9" x14ac:dyDescent="0.2">
      <c r="A79" t="s">
        <v>12</v>
      </c>
      <c r="B79">
        <v>2024</v>
      </c>
      <c r="C79">
        <v>70.7</v>
      </c>
      <c r="D79">
        <v>55.3</v>
      </c>
      <c r="E79">
        <v>57.5</v>
      </c>
      <c r="F79">
        <v>2</v>
      </c>
      <c r="G79">
        <v>0.19</v>
      </c>
      <c r="H79" s="1">
        <f t="shared" si="6"/>
        <v>0.27848101265822794</v>
      </c>
      <c r="I79" s="1">
        <f t="shared" si="5"/>
        <v>0.19478260869565223</v>
      </c>
    </row>
    <row r="80" spans="1:9" x14ac:dyDescent="0.2">
      <c r="A80" t="s">
        <v>13</v>
      </c>
      <c r="B80">
        <v>2024</v>
      </c>
      <c r="C80">
        <v>76.900000000000006</v>
      </c>
      <c r="D80">
        <v>70.2</v>
      </c>
      <c r="E80">
        <v>71.099999999999994</v>
      </c>
      <c r="F80">
        <v>1.5</v>
      </c>
      <c r="G80">
        <v>0.13750000000000001</v>
      </c>
      <c r="H80" s="1">
        <f t="shared" si="6"/>
        <v>9.5441595441595473E-2</v>
      </c>
      <c r="I80" s="1">
        <f t="shared" si="5"/>
        <v>6.0478199718706216E-2</v>
      </c>
    </row>
    <row r="81" spans="1:9" x14ac:dyDescent="0.2">
      <c r="A81" s="2" t="s">
        <v>23</v>
      </c>
      <c r="B81">
        <v>2024</v>
      </c>
      <c r="C81">
        <v>71.3</v>
      </c>
      <c r="D81">
        <v>51.9</v>
      </c>
      <c r="E81">
        <v>59.1</v>
      </c>
      <c r="F81">
        <v>3.2</v>
      </c>
      <c r="G81">
        <v>0.215</v>
      </c>
      <c r="H81" s="1">
        <f t="shared" si="6"/>
        <v>0.37379576107899803</v>
      </c>
      <c r="I81" s="1">
        <f t="shared" si="5"/>
        <v>0.15228426395939079</v>
      </c>
    </row>
    <row r="82" spans="1:9" x14ac:dyDescent="0.2">
      <c r="A82" s="2" t="s">
        <v>19</v>
      </c>
      <c r="B82">
        <v>2024</v>
      </c>
      <c r="C82">
        <v>85.3</v>
      </c>
      <c r="D82">
        <v>63</v>
      </c>
      <c r="E82">
        <v>69.7</v>
      </c>
      <c r="F82">
        <v>3.8</v>
      </c>
      <c r="G82">
        <v>0.16400000000000001</v>
      </c>
      <c r="H82" s="1">
        <f t="shared" si="6"/>
        <v>0.35396825396825393</v>
      </c>
      <c r="I82" s="1">
        <f t="shared" si="5"/>
        <v>0.16929698708751784</v>
      </c>
    </row>
    <row r="83" spans="1:9" x14ac:dyDescent="0.2">
      <c r="A83" s="2" t="s">
        <v>17</v>
      </c>
      <c r="B83">
        <v>2024</v>
      </c>
      <c r="C83">
        <v>32.200000000000003</v>
      </c>
      <c r="D83">
        <v>26.4</v>
      </c>
      <c r="E83">
        <v>28.8</v>
      </c>
      <c r="F83">
        <v>1.6</v>
      </c>
      <c r="G83">
        <v>0.105</v>
      </c>
      <c r="H83" s="1">
        <f t="shared" si="6"/>
        <v>0.21969696969696986</v>
      </c>
      <c r="I83" s="1">
        <f t="shared" si="5"/>
        <v>6.2500000000000069E-2</v>
      </c>
    </row>
    <row r="84" spans="1:9" x14ac:dyDescent="0.2">
      <c r="A84" t="s">
        <v>0</v>
      </c>
      <c r="B84">
        <v>2025</v>
      </c>
      <c r="C84">
        <v>145.1</v>
      </c>
      <c r="D84">
        <v>116.3</v>
      </c>
      <c r="E84">
        <v>121.6</v>
      </c>
      <c r="F84">
        <v>2.4</v>
      </c>
      <c r="G84">
        <v>0.157</v>
      </c>
      <c r="H84" s="1">
        <f t="shared" si="6"/>
        <v>0.24763542562338778</v>
      </c>
      <c r="I84" s="1">
        <f t="shared" si="5"/>
        <v>0.17351973684210528</v>
      </c>
    </row>
    <row r="85" spans="1:9" x14ac:dyDescent="0.2">
      <c r="A85" t="s">
        <v>5</v>
      </c>
      <c r="B85">
        <v>2025</v>
      </c>
      <c r="C85">
        <v>28.3</v>
      </c>
      <c r="D85">
        <v>24.8</v>
      </c>
      <c r="E85">
        <v>25.9</v>
      </c>
      <c r="F85">
        <v>2.1</v>
      </c>
      <c r="G85">
        <v>0.127</v>
      </c>
      <c r="H85" s="1">
        <f t="shared" si="6"/>
        <v>0.1411290322580645</v>
      </c>
      <c r="I85" s="1">
        <f t="shared" si="5"/>
        <v>1.1583011583011662E-2</v>
      </c>
    </row>
    <row r="86" spans="1:9" x14ac:dyDescent="0.2">
      <c r="A86" t="s">
        <v>7</v>
      </c>
      <c r="B86">
        <v>2025</v>
      </c>
      <c r="C86">
        <v>39.5</v>
      </c>
      <c r="D86">
        <v>30</v>
      </c>
      <c r="E86">
        <v>31.7</v>
      </c>
      <c r="F86">
        <v>2.6</v>
      </c>
      <c r="G86">
        <v>0.15</v>
      </c>
      <c r="H86" s="1">
        <f t="shared" si="6"/>
        <v>0.31666666666666665</v>
      </c>
      <c r="I86" s="1">
        <f t="shared" si="5"/>
        <v>0.16403785488958994</v>
      </c>
    </row>
    <row r="87" spans="1:9" x14ac:dyDescent="0.2">
      <c r="A87" t="s">
        <v>8</v>
      </c>
      <c r="B87">
        <v>2025</v>
      </c>
      <c r="C87">
        <v>182.4</v>
      </c>
      <c r="D87">
        <v>146.19999999999999</v>
      </c>
      <c r="E87">
        <v>158.69999999999999</v>
      </c>
      <c r="F87">
        <v>2.8</v>
      </c>
      <c r="G87">
        <v>0.17699999999999999</v>
      </c>
      <c r="H87" s="1">
        <f t="shared" si="6"/>
        <v>0.24760601915184693</v>
      </c>
      <c r="I87" s="1">
        <f t="shared" si="5"/>
        <v>0.1316950220541904</v>
      </c>
    </row>
    <row r="88" spans="1:9" x14ac:dyDescent="0.2">
      <c r="A88" t="s">
        <v>10</v>
      </c>
      <c r="B88">
        <v>2025</v>
      </c>
      <c r="C88">
        <v>50.1</v>
      </c>
      <c r="D88">
        <v>41.9</v>
      </c>
      <c r="E88">
        <v>45.7</v>
      </c>
      <c r="F88">
        <v>1.5</v>
      </c>
      <c r="G88">
        <v>0.15</v>
      </c>
      <c r="H88" s="1">
        <f t="shared" si="6"/>
        <v>0.19570405727923634</v>
      </c>
      <c r="I88" s="1">
        <f t="shared" si="5"/>
        <v>6.3457330415754895E-2</v>
      </c>
    </row>
    <row r="89" spans="1:9" x14ac:dyDescent="0.2">
      <c r="A89" t="s">
        <v>9</v>
      </c>
      <c r="B89">
        <v>2025</v>
      </c>
      <c r="C89">
        <v>54.8</v>
      </c>
      <c r="D89">
        <v>42.5</v>
      </c>
      <c r="E89">
        <v>45.7</v>
      </c>
      <c r="F89">
        <v>1.5</v>
      </c>
      <c r="G89">
        <v>0.15</v>
      </c>
      <c r="H89" s="1">
        <f t="shared" si="6"/>
        <v>0.28941176470588231</v>
      </c>
      <c r="I89" s="1">
        <f t="shared" si="5"/>
        <v>0.16630196936542657</v>
      </c>
    </row>
    <row r="90" spans="1:9" x14ac:dyDescent="0.2">
      <c r="A90" t="s">
        <v>18</v>
      </c>
      <c r="B90">
        <v>2025</v>
      </c>
      <c r="C90">
        <v>59.9</v>
      </c>
      <c r="D90">
        <v>49.8</v>
      </c>
      <c r="E90">
        <v>50.8</v>
      </c>
      <c r="F90">
        <v>1.5</v>
      </c>
      <c r="G90">
        <v>0.15</v>
      </c>
      <c r="H90" s="1">
        <f t="shared" si="6"/>
        <v>0.20281124497991973</v>
      </c>
      <c r="I90" s="1">
        <f t="shared" si="5"/>
        <v>0.14960629921259846</v>
      </c>
    </row>
    <row r="91" spans="1:9" x14ac:dyDescent="0.2">
      <c r="A91" t="s">
        <v>11</v>
      </c>
      <c r="B91">
        <v>2025</v>
      </c>
      <c r="C91">
        <v>64.599999999999994</v>
      </c>
      <c r="D91">
        <v>45.7</v>
      </c>
      <c r="E91">
        <v>55.9</v>
      </c>
      <c r="F91">
        <v>2.5</v>
      </c>
      <c r="G91">
        <v>0.15</v>
      </c>
      <c r="H91" s="1">
        <f t="shared" si="6"/>
        <v>0.41356673960612672</v>
      </c>
      <c r="I91" s="1">
        <f t="shared" si="5"/>
        <v>0.11091234347048293</v>
      </c>
    </row>
    <row r="92" spans="1:9" x14ac:dyDescent="0.2">
      <c r="A92" t="s">
        <v>12</v>
      </c>
      <c r="B92">
        <v>2025</v>
      </c>
      <c r="C92">
        <v>70.3</v>
      </c>
      <c r="D92">
        <v>54.8</v>
      </c>
      <c r="E92">
        <v>57.5</v>
      </c>
      <c r="F92">
        <v>2</v>
      </c>
      <c r="G92">
        <v>0.19</v>
      </c>
      <c r="H92" s="1">
        <f t="shared" si="6"/>
        <v>0.28284671532846717</v>
      </c>
      <c r="I92" s="1">
        <f t="shared" si="5"/>
        <v>0.1878260869565217</v>
      </c>
    </row>
    <row r="93" spans="1:9" x14ac:dyDescent="0.2">
      <c r="A93" t="s">
        <v>13</v>
      </c>
      <c r="B93">
        <v>2025</v>
      </c>
      <c r="C93">
        <v>92.2</v>
      </c>
      <c r="D93">
        <v>81.400000000000006</v>
      </c>
      <c r="E93">
        <v>86.7</v>
      </c>
      <c r="F93">
        <v>1.5</v>
      </c>
      <c r="G93">
        <v>0.13750000000000001</v>
      </c>
      <c r="H93" s="1">
        <f t="shared" si="6"/>
        <v>0.13267813267813264</v>
      </c>
      <c r="I93" s="1">
        <f t="shared" si="5"/>
        <v>4.61361014994233E-2</v>
      </c>
    </row>
    <row r="94" spans="1:9" x14ac:dyDescent="0.2">
      <c r="A94" s="2" t="s">
        <v>14</v>
      </c>
      <c r="B94">
        <v>2025</v>
      </c>
      <c r="C94">
        <v>84.8</v>
      </c>
      <c r="D94">
        <v>54.1</v>
      </c>
      <c r="E94">
        <v>64.3</v>
      </c>
      <c r="F94">
        <v>3.3</v>
      </c>
      <c r="G94">
        <v>0.192</v>
      </c>
      <c r="H94" s="1">
        <f t="shared" si="6"/>
        <v>0.56746765249537878</v>
      </c>
      <c r="I94" s="1">
        <f t="shared" si="5"/>
        <v>0.26749611197511663</v>
      </c>
    </row>
    <row r="95" spans="1:9" x14ac:dyDescent="0.2">
      <c r="A95" s="2" t="s">
        <v>20</v>
      </c>
      <c r="B95">
        <v>2025</v>
      </c>
      <c r="C95">
        <v>16.899999999999999</v>
      </c>
      <c r="D95">
        <v>13.6</v>
      </c>
      <c r="E95">
        <v>15</v>
      </c>
      <c r="F95">
        <v>0.9</v>
      </c>
      <c r="G95">
        <v>0.14000000000000001</v>
      </c>
      <c r="H95" s="1">
        <f t="shared" si="6"/>
        <v>0.24264705882352933</v>
      </c>
      <c r="I95" s="1">
        <f t="shared" si="5"/>
        <v>6.6666666666666569E-2</v>
      </c>
    </row>
    <row r="96" spans="1:9" x14ac:dyDescent="0.2">
      <c r="A96" s="2" t="s">
        <v>26</v>
      </c>
      <c r="B96">
        <v>2025</v>
      </c>
      <c r="C96">
        <v>17.399999999999999</v>
      </c>
      <c r="D96">
        <v>13.8</v>
      </c>
      <c r="E96">
        <v>15</v>
      </c>
      <c r="F96">
        <v>0.85</v>
      </c>
      <c r="G96">
        <v>0.16700000000000001</v>
      </c>
      <c r="H96" s="1">
        <f t="shared" si="6"/>
        <v>0.26086956521739113</v>
      </c>
      <c r="I96" s="1">
        <f t="shared" si="5"/>
        <v>0.10333333333333324</v>
      </c>
    </row>
    <row r="97" spans="1:9" x14ac:dyDescent="0.2">
      <c r="A97" s="2" t="s">
        <v>21</v>
      </c>
      <c r="B97">
        <v>2025</v>
      </c>
      <c r="C97">
        <v>38.5</v>
      </c>
      <c r="D97">
        <v>29.1</v>
      </c>
      <c r="E97">
        <v>32.700000000000003</v>
      </c>
      <c r="F97">
        <v>1.7</v>
      </c>
      <c r="G97">
        <v>0.23100000000000001</v>
      </c>
      <c r="H97" s="1">
        <f>(C97-D97)/D97</f>
        <v>0.32302405498281783</v>
      </c>
      <c r="I97" s="1">
        <f t="shared" si="5"/>
        <v>0.1253822629969418</v>
      </c>
    </row>
    <row r="98" spans="1:9" x14ac:dyDescent="0.2">
      <c r="A98" s="2" t="s">
        <v>22</v>
      </c>
      <c r="B98">
        <v>2025</v>
      </c>
      <c r="C98">
        <v>43</v>
      </c>
      <c r="D98">
        <v>35.1</v>
      </c>
      <c r="E98">
        <v>39</v>
      </c>
      <c r="F98">
        <v>2.1</v>
      </c>
      <c r="G98">
        <v>0.13300000000000001</v>
      </c>
      <c r="H98" s="1">
        <f t="shared" ref="H98" si="7">(C98-D98)/D98</f>
        <v>0.22507122507122501</v>
      </c>
      <c r="I98" s="1">
        <f t="shared" si="5"/>
        <v>4.8717948717948718E-2</v>
      </c>
    </row>
    <row r="99" spans="1:9" x14ac:dyDescent="0.2">
      <c r="A99" s="2"/>
      <c r="G99" s="1"/>
      <c r="H99" s="1"/>
      <c r="I99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2026-04-06T20:11:33Z</dcterms:created>
  <dcterms:modified xsi:type="dcterms:W3CDTF">2026-04-08T01:31:32Z</dcterms:modified>
</cp:coreProperties>
</file>