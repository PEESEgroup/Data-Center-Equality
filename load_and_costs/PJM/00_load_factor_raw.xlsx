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load_and_costs/PJM/"/>
    </mc:Choice>
  </mc:AlternateContent>
  <xr:revisionPtr revIDLastSave="0" documentId="13_ncr:1_{FD4307B8-1AC9-C942-8A0A-B211507EE686}" xr6:coauthVersionLast="47" xr6:coauthVersionMax="47" xr10:uidLastSave="{00000000-0000-0000-0000-000000000000}"/>
  <bookViews>
    <workbookView xWindow="16060" yWindow="600" windowWidth="21920" windowHeight="20760" firstSheet="8" activeTab="19" xr2:uid="{1E95C0DB-96E9-5644-9901-77ECF3A387B7}"/>
  </bookViews>
  <sheets>
    <sheet name="AECO" sheetId="1" r:id="rId1"/>
    <sheet name="AEP" sheetId="2" r:id="rId2"/>
    <sheet name="APS" sheetId="3" r:id="rId3"/>
    <sheet name="ATSI" sheetId="4" r:id="rId4"/>
    <sheet name="BGE" sheetId="5" r:id="rId5"/>
    <sheet name="COMED" sheetId="6" r:id="rId6"/>
    <sheet name="DAY" sheetId="7" r:id="rId7"/>
    <sheet name="DEOK" sheetId="8" r:id="rId8"/>
    <sheet name="DOM" sheetId="9" r:id="rId9"/>
    <sheet name="DPL" sheetId="10" r:id="rId10"/>
    <sheet name="DUQ" sheetId="11" r:id="rId11"/>
    <sheet name="EKPC" sheetId="12" r:id="rId12"/>
    <sheet name="JCPL" sheetId="13" r:id="rId13"/>
    <sheet name="METED" sheetId="14" r:id="rId14"/>
    <sheet name="PECO" sheetId="16" r:id="rId15"/>
    <sheet name="PENELEC" sheetId="17" r:id="rId16"/>
    <sheet name="PEPCO" sheetId="18" r:id="rId17"/>
    <sheet name="PPL" sheetId="19" r:id="rId18"/>
    <sheet name="PSEG" sheetId="20" r:id="rId19"/>
    <sheet name="RECO" sheetId="2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1" l="1"/>
  <c r="F12" i="18"/>
  <c r="M6" i="17"/>
  <c r="K36" i="17"/>
  <c r="H36" i="17"/>
  <c r="H42" i="17"/>
  <c r="H41" i="17"/>
  <c r="H40" i="17"/>
  <c r="N4" i="16"/>
  <c r="N5" i="16"/>
  <c r="N3" i="16"/>
  <c r="L10" i="16"/>
  <c r="L9" i="16"/>
  <c r="L8" i="16"/>
  <c r="L5" i="16"/>
  <c r="L4" i="16"/>
  <c r="L3" i="16"/>
  <c r="M6" i="14"/>
  <c r="H41" i="14"/>
  <c r="H42" i="14"/>
  <c r="H36" i="14" s="1"/>
  <c r="K36" i="14" s="1"/>
  <c r="H40" i="14"/>
  <c r="O4" i="12" l="1"/>
  <c r="Q4" i="12" s="1"/>
  <c r="Q5" i="12"/>
  <c r="Q3" i="12"/>
  <c r="O10" i="12" l="1"/>
  <c r="O9" i="12"/>
  <c r="O8" i="12"/>
  <c r="O5" i="12"/>
  <c r="O3" i="12"/>
  <c r="I17" i="11" l="1"/>
  <c r="I3" i="11"/>
  <c r="J8" i="8"/>
  <c r="H58" i="8"/>
  <c r="H48" i="8"/>
  <c r="H38" i="8"/>
  <c r="H28" i="8"/>
  <c r="H18" i="8"/>
  <c r="H8" i="8"/>
  <c r="K49" i="7"/>
  <c r="K40" i="7"/>
  <c r="K31" i="7"/>
  <c r="K22" i="7"/>
  <c r="K13" i="7"/>
  <c r="K6" i="7"/>
  <c r="V48" i="6"/>
  <c r="V40" i="6"/>
  <c r="V32" i="6"/>
  <c r="V24" i="6"/>
  <c r="V16" i="6"/>
  <c r="V8" i="6"/>
  <c r="V45" i="6"/>
  <c r="V37" i="6"/>
  <c r="V29" i="6"/>
  <c r="V21" i="6"/>
  <c r="V13" i="6"/>
  <c r="V5" i="6"/>
  <c r="X3" i="6"/>
  <c r="V43" i="6"/>
  <c r="V35" i="6"/>
  <c r="V27" i="6"/>
  <c r="V19" i="6"/>
  <c r="V11" i="6"/>
  <c r="V3" i="6"/>
  <c r="J3" i="5"/>
  <c r="O8" i="4"/>
  <c r="O6" i="4"/>
  <c r="M30" i="4"/>
  <c r="M28" i="4"/>
  <c r="M5" i="4"/>
  <c r="M6" i="3"/>
  <c r="H41" i="3"/>
  <c r="H42" i="3"/>
  <c r="H36" i="3"/>
  <c r="K36" i="3" s="1"/>
  <c r="H40" i="3"/>
  <c r="X8" i="6" l="1"/>
  <c r="X5" i="6"/>
  <c r="H8" i="21"/>
  <c r="H4" i="21"/>
  <c r="F58" i="21"/>
  <c r="F54" i="21"/>
  <c r="F53" i="21"/>
  <c r="F48" i="21"/>
  <c r="F44" i="21"/>
  <c r="F43" i="21"/>
  <c r="F38" i="21"/>
  <c r="F34" i="21"/>
  <c r="F33" i="21"/>
  <c r="F28" i="21"/>
  <c r="F24" i="21"/>
  <c r="F23" i="21"/>
  <c r="F18" i="21"/>
  <c r="F14" i="21"/>
  <c r="F13" i="21"/>
  <c r="F4" i="21"/>
  <c r="F3" i="21"/>
  <c r="H3" i="21" s="1"/>
  <c r="F72" i="20"/>
  <c r="F71" i="20"/>
  <c r="F63" i="20"/>
  <c r="F60" i="20"/>
  <c r="F59" i="20"/>
  <c r="F51" i="20"/>
  <c r="F48" i="20"/>
  <c r="F47" i="20"/>
  <c r="F39" i="20"/>
  <c r="F36" i="20"/>
  <c r="F35" i="20"/>
  <c r="F27" i="20"/>
  <c r="F24" i="20"/>
  <c r="F23" i="20"/>
  <c r="F15" i="20"/>
  <c r="F11" i="20"/>
  <c r="H11" i="20" s="1"/>
  <c r="F12" i="20"/>
  <c r="H12" i="20" s="1"/>
  <c r="F3" i="20"/>
  <c r="H3" i="20" s="1"/>
  <c r="I42" i="19"/>
  <c r="L42" i="19" s="1"/>
  <c r="I40" i="19"/>
  <c r="L40" i="19" s="1"/>
  <c r="I41" i="19"/>
  <c r="I39" i="19"/>
  <c r="L39" i="19" s="1"/>
  <c r="I35" i="19"/>
  <c r="L35" i="19" s="1"/>
  <c r="I33" i="19"/>
  <c r="I34" i="19"/>
  <c r="I32" i="19"/>
  <c r="L32" i="19" s="1"/>
  <c r="I25" i="19"/>
  <c r="L25" i="19" s="1"/>
  <c r="I28" i="19"/>
  <c r="I27" i="19"/>
  <c r="I26" i="19"/>
  <c r="L26" i="19" s="1"/>
  <c r="I4" i="19"/>
  <c r="L4" i="19" s="1"/>
  <c r="N4" i="19" s="1"/>
  <c r="I5" i="19"/>
  <c r="I6" i="19"/>
  <c r="I7" i="19"/>
  <c r="L7" i="19" s="1"/>
  <c r="I11" i="19"/>
  <c r="L11" i="19" s="1"/>
  <c r="I12" i="19"/>
  <c r="I13" i="19"/>
  <c r="I14" i="19"/>
  <c r="L14" i="19" s="1"/>
  <c r="I20" i="19"/>
  <c r="I19" i="19"/>
  <c r="I21" i="19"/>
  <c r="I18" i="19"/>
  <c r="L18" i="19" s="1"/>
  <c r="L5" i="19"/>
  <c r="F87" i="18"/>
  <c r="F80" i="18"/>
  <c r="F78" i="18"/>
  <c r="F72" i="18"/>
  <c r="F65" i="18"/>
  <c r="F63" i="18"/>
  <c r="F57" i="18"/>
  <c r="F50" i="18"/>
  <c r="F48" i="18"/>
  <c r="F42" i="18"/>
  <c r="F35" i="18"/>
  <c r="F33" i="18"/>
  <c r="F27" i="18"/>
  <c r="H12" i="18" s="1"/>
  <c r="F20" i="18"/>
  <c r="F18" i="18"/>
  <c r="F5" i="18"/>
  <c r="F3" i="18"/>
  <c r="K35" i="17"/>
  <c r="K34" i="17"/>
  <c r="K28" i="17"/>
  <c r="K29" i="17"/>
  <c r="K23" i="17"/>
  <c r="K22" i="17"/>
  <c r="K17" i="17"/>
  <c r="K16" i="17"/>
  <c r="K11" i="17"/>
  <c r="K10" i="17"/>
  <c r="K5" i="17"/>
  <c r="M5" i="17" s="1"/>
  <c r="K4" i="17"/>
  <c r="M4" i="17" s="1"/>
  <c r="K35" i="14"/>
  <c r="K34" i="14"/>
  <c r="K29" i="14"/>
  <c r="K28" i="14"/>
  <c r="K23" i="14"/>
  <c r="K22" i="14"/>
  <c r="K17" i="14"/>
  <c r="K16" i="14"/>
  <c r="K11" i="14"/>
  <c r="K10" i="14"/>
  <c r="K5" i="14"/>
  <c r="M5" i="14" s="1"/>
  <c r="K4" i="14"/>
  <c r="M4" i="14" s="1"/>
  <c r="I3" i="13"/>
  <c r="G41" i="13"/>
  <c r="G39" i="13"/>
  <c r="G38" i="13"/>
  <c r="G34" i="13"/>
  <c r="G32" i="13"/>
  <c r="G31" i="13"/>
  <c r="G27" i="13"/>
  <c r="G25" i="13"/>
  <c r="I4" i="13" s="1"/>
  <c r="G24" i="13"/>
  <c r="G20" i="13"/>
  <c r="G18" i="13"/>
  <c r="G17" i="13"/>
  <c r="G13" i="13"/>
  <c r="G11" i="13"/>
  <c r="G10" i="13"/>
  <c r="G6" i="13"/>
  <c r="I5" i="13" s="1"/>
  <c r="G4" i="13"/>
  <c r="G3" i="13"/>
  <c r="H3" i="18" l="1"/>
  <c r="H5" i="18"/>
  <c r="L33" i="19"/>
  <c r="L28" i="19"/>
  <c r="L12" i="19"/>
  <c r="N5" i="19" s="1"/>
  <c r="L21" i="19"/>
  <c r="N7" i="19" s="1"/>
  <c r="L19" i="19"/>
  <c r="I117" i="11"/>
  <c r="I106" i="11"/>
  <c r="I103" i="11"/>
  <c r="I97" i="11"/>
  <c r="K17" i="11" s="1"/>
  <c r="I86" i="11"/>
  <c r="I83" i="11"/>
  <c r="I77" i="11"/>
  <c r="I66" i="11"/>
  <c r="I63" i="11"/>
  <c r="I57" i="11"/>
  <c r="I46" i="11"/>
  <c r="I43" i="11"/>
  <c r="I37" i="11"/>
  <c r="I26" i="11"/>
  <c r="I23" i="11"/>
  <c r="I6" i="11"/>
  <c r="K6" i="11" s="1"/>
  <c r="K3" i="11"/>
  <c r="I5" i="10"/>
  <c r="G70" i="10"/>
  <c r="G65" i="10"/>
  <c r="G63" i="10"/>
  <c r="G58" i="10"/>
  <c r="G53" i="10"/>
  <c r="G51" i="10"/>
  <c r="G46" i="10"/>
  <c r="G41" i="10"/>
  <c r="G39" i="10"/>
  <c r="G27" i="10"/>
  <c r="G34" i="10"/>
  <c r="G29" i="10"/>
  <c r="G22" i="10"/>
  <c r="G17" i="10"/>
  <c r="G15" i="10"/>
  <c r="I3" i="10" s="1"/>
  <c r="G5" i="10"/>
  <c r="G10" i="10"/>
  <c r="I10" i="10" s="1"/>
  <c r="G3" i="10"/>
  <c r="I51" i="9"/>
  <c r="I49" i="9"/>
  <c r="I48" i="9"/>
  <c r="I42" i="9"/>
  <c r="I40" i="9"/>
  <c r="I39" i="9"/>
  <c r="I33" i="9"/>
  <c r="I31" i="9"/>
  <c r="I30" i="9"/>
  <c r="I24" i="9"/>
  <c r="I22" i="9"/>
  <c r="I21" i="9"/>
  <c r="I15" i="9"/>
  <c r="I13" i="9"/>
  <c r="I12" i="9"/>
  <c r="I6" i="9"/>
  <c r="K6" i="9" s="1"/>
  <c r="I4" i="9"/>
  <c r="K4" i="9" s="1"/>
  <c r="I3" i="9"/>
  <c r="K3" i="9" s="1"/>
  <c r="H54" i="8"/>
  <c r="H53" i="8"/>
  <c r="H44" i="8"/>
  <c r="H43" i="8"/>
  <c r="H34" i="8"/>
  <c r="H33" i="8"/>
  <c r="H24" i="8"/>
  <c r="H23" i="8"/>
  <c r="H14" i="8"/>
  <c r="J4" i="8" s="1"/>
  <c r="H13" i="8"/>
  <c r="H4" i="8"/>
  <c r="H3" i="8"/>
  <c r="J3" i="8" s="1"/>
  <c r="K47" i="7"/>
  <c r="K46" i="7"/>
  <c r="K38" i="7"/>
  <c r="K37" i="7"/>
  <c r="M3" i="7" s="1"/>
  <c r="K29" i="7"/>
  <c r="K28" i="7"/>
  <c r="K20" i="7"/>
  <c r="K19" i="7"/>
  <c r="K11" i="7"/>
  <c r="K10" i="7"/>
  <c r="K4" i="7"/>
  <c r="M4" i="7" s="1"/>
  <c r="K3" i="7"/>
  <c r="J48" i="5"/>
  <c r="J45" i="5"/>
  <c r="J43" i="5"/>
  <c r="J40" i="5"/>
  <c r="J37" i="5"/>
  <c r="J35" i="5"/>
  <c r="J32" i="5"/>
  <c r="J29" i="5"/>
  <c r="J27" i="5"/>
  <c r="J24" i="5"/>
  <c r="J21" i="5"/>
  <c r="J19" i="5"/>
  <c r="J13" i="5"/>
  <c r="J16" i="5"/>
  <c r="J11" i="5"/>
  <c r="J8" i="5"/>
  <c r="L8" i="5" s="1"/>
  <c r="J5" i="5"/>
  <c r="L5" i="5" s="1"/>
  <c r="L3" i="5"/>
  <c r="M27" i="4"/>
  <c r="M16" i="4"/>
  <c r="O5" i="4" s="1"/>
  <c r="K35" i="3"/>
  <c r="K34" i="3"/>
  <c r="K29" i="3"/>
  <c r="K28" i="3"/>
  <c r="K23" i="3"/>
  <c r="K22" i="3"/>
  <c r="K17" i="3"/>
  <c r="K16" i="3"/>
  <c r="K11" i="3"/>
  <c r="K10" i="3"/>
  <c r="K5" i="3"/>
  <c r="M5" i="3" s="1"/>
  <c r="K4" i="3"/>
  <c r="M4" i="3" s="1"/>
  <c r="I4" i="2"/>
  <c r="G46" i="2"/>
  <c r="G49" i="2"/>
  <c r="G45" i="2"/>
  <c r="G41" i="2"/>
  <c r="G38" i="2"/>
  <c r="G37" i="2"/>
  <c r="G33" i="2"/>
  <c r="G30" i="2"/>
  <c r="I5" i="2" s="1"/>
  <c r="G29" i="2"/>
  <c r="G25" i="2"/>
  <c r="G22" i="2"/>
  <c r="G21" i="2"/>
  <c r="G17" i="2"/>
  <c r="G14" i="2"/>
  <c r="G13" i="2"/>
  <c r="G8" i="2"/>
  <c r="I8" i="2" s="1"/>
  <c r="G5" i="2"/>
  <c r="G4" i="2"/>
  <c r="G46" i="1"/>
  <c r="G44" i="1"/>
  <c r="G43" i="1"/>
  <c r="G38" i="1"/>
  <c r="G36" i="1"/>
  <c r="G35" i="1"/>
  <c r="G30" i="1"/>
  <c r="G28" i="1"/>
  <c r="G27" i="1"/>
  <c r="G22" i="1"/>
  <c r="G20" i="1"/>
  <c r="G19" i="1"/>
  <c r="G3" i="1"/>
  <c r="G14" i="1"/>
  <c r="G12" i="1"/>
  <c r="G11" i="1"/>
  <c r="I3" i="1" s="1"/>
  <c r="G6" i="1"/>
  <c r="I6" i="1" s="1"/>
  <c r="G4" i="1"/>
  <c r="I4" i="1" s="1"/>
  <c r="M6" i="7" l="1"/>
</calcChain>
</file>

<file path=xl/sharedStrings.xml><?xml version="1.0" encoding="utf-8"?>
<sst xmlns="http://schemas.openxmlformats.org/spreadsheetml/2006/main" count="3128" uniqueCount="1062">
  <si>
    <t>Rate Class</t>
  </si>
  <si>
    <t>Transmission Obligation (MW)</t>
  </si>
  <si>
    <t>Allocated Cost Recovery</t>
  </si>
  <si>
    <t>BGS Eligible Sales June 2020 - May 2021 (kWh)</t>
  </si>
  <si>
    <t>RS</t>
  </si>
  <si>
    <t>$1,966,652</t>
  </si>
  <si>
    <t>MGS Secondary</t>
  </si>
  <si>
    <t>$467,407</t>
  </si>
  <si>
    <t>MGS Primary</t>
  </si>
  <si>
    <t>$10,440</t>
  </si>
  <si>
    <t>AGS Secondary</t>
  </si>
  <si>
    <t>$456,237</t>
  </si>
  <si>
    <t>AGS Primary</t>
  </si>
  <si>
    <t>$111,412</t>
  </si>
  <si>
    <t>TGS</t>
  </si>
  <si>
    <t>$191,384</t>
  </si>
  <si>
    <t>Load Factor</t>
  </si>
  <si>
    <t>Residential</t>
  </si>
  <si>
    <t>Commercial</t>
  </si>
  <si>
    <t>Industrial</t>
  </si>
  <si>
    <t>BGS Eligible Sales June 2021 - May 2022 (kWh)</t>
  </si>
  <si>
    <t>$1,082,989</t>
  </si>
  <si>
    <t>MGS Secondary*</t>
  </si>
  <si>
    <t>$276,608</t>
  </si>
  <si>
    <t>$5,037</t>
  </si>
  <si>
    <t>$266,670</t>
  </si>
  <si>
    <t>$68,776</t>
  </si>
  <si>
    <t>$92,318</t>
  </si>
  <si>
    <t>-</t>
  </si>
  <si>
    <t>BGS Eligible Sales June 2022 - May 2023 (kWh)</t>
  </si>
  <si>
    <t>$1,040,393</t>
  </si>
  <si>
    <t>$230,175</t>
  </si>
  <si>
    <t>$5,609</t>
  </si>
  <si>
    <t>$208,079</t>
  </si>
  <si>
    <t>$58,200</t>
  </si>
  <si>
    <t>$92,116</t>
  </si>
  <si>
    <t>BGS Eligible Sales June 2023 - May 2024 (kWh)</t>
  </si>
  <si>
    <t>$1,224,403</t>
  </si>
  <si>
    <t>$315,243</t>
  </si>
  <si>
    <t>$11,370</t>
  </si>
  <si>
    <t>$269,853</t>
  </si>
  <si>
    <t>$73,181</t>
  </si>
  <si>
    <t>$128,089</t>
  </si>
  <si>
    <t>BGS Eligible Sales June 2024 - May 2025 (kWh)</t>
  </si>
  <si>
    <t>$1,232,923</t>
  </si>
  <si>
    <t>$305,073</t>
  </si>
  <si>
    <t>$11,190</t>
  </si>
  <si>
    <t>$251,719</t>
  </si>
  <si>
    <t>$76,240</t>
  </si>
  <si>
    <t>$123,150</t>
  </si>
  <si>
    <t>BGS Eligible Sales June 2025 - May 2026 (kWh)</t>
  </si>
  <si>
    <t>$1,080,405</t>
  </si>
  <si>
    <t>$206,562</t>
  </si>
  <si>
    <t>$11,764</t>
  </si>
  <si>
    <t>$181,794</t>
  </si>
  <si>
    <t>$61,663</t>
  </si>
  <si>
    <t>$86,354</t>
  </si>
  <si>
    <t>All year</t>
  </si>
  <si>
    <t>Column</t>
  </si>
  <si>
    <t>DEMAND - SIX CP (DEM)</t>
  </si>
  <si>
    <t>KWH AT GENERATOR (ENER)</t>
  </si>
  <si>
    <t>Total Amount</t>
  </si>
  <si>
    <t>RESIDENTIAL SERVICE RS SEC</t>
  </si>
  <si>
    <t>SMALL GENERAL SERVICE SGS</t>
  </si>
  <si>
    <t>MEDIUM GENERAL SERVICE MGS</t>
  </si>
  <si>
    <t>GENERAL SERVICE GS</t>
  </si>
  <si>
    <t>LARGE GENERAL SERVICE LGS</t>
  </si>
  <si>
    <t>LARGE POWER SERVICE LPS</t>
  </si>
  <si>
    <t>NON-SHOPPING DEMAND - SIX CP (DEM)</t>
  </si>
  <si>
    <t>NON-SHOPPING KWH AT GENERATOR (ENER)</t>
  </si>
  <si>
    <t>Customer Class</t>
  </si>
  <si>
    <t>Line 1: NMBc = NMB Charges to be recovered over 12 months</t>
  </si>
  <si>
    <t>Line 2: kW Network System Peak Load ("NSPL") by Customer Class</t>
  </si>
  <si>
    <t>Line 3: Customer Class Allocator based on NSPL</t>
  </si>
  <si>
    <t>Line 4: NMB Costs Allocated to Customer Classes</t>
  </si>
  <si>
    <t>Line 5: E: NMB Over/(Under) Collection - Current E-Factor</t>
  </si>
  <si>
    <t>Line 6: Total NMB Charges to be Recovered in DSS</t>
  </si>
  <si>
    <t>Line 7: S: 12 Months Delivery Sales Forecast -- kWh</t>
  </si>
  <si>
    <t>Total Company (1)</t>
  </si>
  <si>
    <t>$50,256,432</t>
  </si>
  <si>
    <t>Residential (2)</t>
  </si>
  <si>
    <t>$22,637,397</t>
  </si>
  <si>
    <t>Commercial (3)</t>
  </si>
  <si>
    <t>$9,484,786</t>
  </si>
  <si>
    <t>Industrial (4)</t>
  </si>
  <si>
    <t>$18,134,249</t>
  </si>
  <si>
    <t>$53,262,000</t>
  </si>
  <si>
    <t>$60,666,840</t>
  </si>
  <si>
    <t>$27,507,623</t>
  </si>
  <si>
    <t>$27,884,988</t>
  </si>
  <si>
    <t>$8,570,596</t>
  </si>
  <si>
    <t>$11,438,160</t>
  </si>
  <si>
    <t>$17,183,780</t>
  </si>
  <si>
    <t>$21,343,691</t>
  </si>
  <si>
    <t>$68,045,927</t>
  </si>
  <si>
    <t>$80,849,717</t>
  </si>
  <si>
    <t>$33,497,576</t>
  </si>
  <si>
    <t>$40,210,048</t>
  </si>
  <si>
    <t>$10,821,245</t>
  </si>
  <si>
    <t>$9,147,395</t>
  </si>
  <si>
    <t>$23,727,106</t>
  </si>
  <si>
    <t>$31,492,274</t>
  </si>
  <si>
    <t>$59,403,612</t>
  </si>
  <si>
    <t>$46,033,187</t>
  </si>
  <si>
    <t>$26,487,203</t>
  </si>
  <si>
    <t>$19,374,345</t>
  </si>
  <si>
    <t>$8,768,187</t>
  </si>
  <si>
    <t>$6,606,577</t>
  </si>
  <si>
    <t>$24,148,223</t>
  </si>
  <si>
    <t>$20,052,265</t>
  </si>
  <si>
    <t>$50,627,797</t>
  </si>
  <si>
    <t>$58,872,368</t>
  </si>
  <si>
    <t>$23,662,821</t>
  </si>
  <si>
    <t>$25,930,879</t>
  </si>
  <si>
    <t>$8,565,902</t>
  </si>
  <si>
    <t>$9,635,034</t>
  </si>
  <si>
    <t>$18,399,074</t>
  </si>
  <si>
    <t>$23,306,456</t>
  </si>
  <si>
    <t>$67,442,570</t>
  </si>
  <si>
    <t>$93,996,406</t>
  </si>
  <si>
    <t>$31,103,225</t>
  </si>
  <si>
    <t>$41,688,816</t>
  </si>
  <si>
    <t>$10,087,318</t>
  </si>
  <si>
    <t>$13,173,438</t>
  </si>
  <si>
    <t>$26,252,027</t>
  </si>
  <si>
    <t>$39,134,152</t>
  </si>
  <si>
    <t>LINE NO.</t>
  </si>
  <si>
    <t>RATE CODE / COMPANY (A)</t>
  </si>
  <si>
    <t>JUNE PEAK kW (B)</t>
  </si>
  <si>
    <t>JULY PEAK kW (C)</t>
  </si>
  <si>
    <t>AUGUST PEAK kW (D)</t>
  </si>
  <si>
    <t>SEPTEMBER PEAK kW (E)</t>
  </si>
  <si>
    <t>AVERAGE PEAK kW (F)=SUM(B:E)/4</t>
  </si>
  <si>
    <t>OE</t>
  </si>
  <si>
    <t>GS</t>
  </si>
  <si>
    <t>GP</t>
  </si>
  <si>
    <t>GSU</t>
  </si>
  <si>
    <t>GT</t>
  </si>
  <si>
    <t>Lighting*</t>
  </si>
  <si>
    <t>TOTAL</t>
  </si>
  <si>
    <t>Billing Units</t>
  </si>
  <si>
    <t>Unit</t>
  </si>
  <si>
    <t>kWh</t>
  </si>
  <si>
    <t>kW</t>
  </si>
  <si>
    <t>kVa</t>
  </si>
  <si>
    <t>LTG*</t>
  </si>
  <si>
    <t>None</t>
  </si>
  <si>
    <t>Eligible Transmission PLC (MW)</t>
  </si>
  <si>
    <t>SOS Transmission PLC (MW)</t>
  </si>
  <si>
    <t>Retention</t>
  </si>
  <si>
    <t>Eligible Volume Forecast (MWh)</t>
  </si>
  <si>
    <t>SOS Volume Forecast (MWh)</t>
  </si>
  <si>
    <t>Retention Forecast</t>
  </si>
  <si>
    <t>R</t>
  </si>
  <si>
    <t>RL</t>
  </si>
  <si>
    <t>G/GU</t>
  </si>
  <si>
    <t>SL/PL</t>
  </si>
  <si>
    <t>GL/P</t>
  </si>
  <si>
    <t>All Year</t>
  </si>
  <si>
    <t>Line 1: Demand-Based Allocators - 12 CP</t>
  </si>
  <si>
    <t>Line 2: Energy-Based Allocators</t>
  </si>
  <si>
    <t>Line 15: TCRR-N Under Recovery - Demand</t>
  </si>
  <si>
    <t>Line 16: TCRR-N Under Recovery - Energy</t>
  </si>
  <si>
    <t>Line 17: TCRR-N Under Recovery Total</t>
  </si>
  <si>
    <t>Line 19: Projected Billing Determinants (kWh, kW)</t>
  </si>
  <si>
    <t>Line 20: Projected Billing Determinants (kWh)</t>
  </si>
  <si>
    <t>$602,393</t>
  </si>
  <si>
    <t>$72,464</t>
  </si>
  <si>
    <t>$674,857</t>
  </si>
  <si>
    <t>Secondary</t>
  </si>
  <si>
    <t>$355,331</t>
  </si>
  <si>
    <t>$46,847</t>
  </si>
  <si>
    <t>$402,178</t>
  </si>
  <si>
    <t>Primary</t>
  </si>
  <si>
    <t>$198,760</t>
  </si>
  <si>
    <t>$33,513</t>
  </si>
  <si>
    <t>$232,273</t>
  </si>
  <si>
    <t>Primary Substation</t>
  </si>
  <si>
    <t>$54,313</t>
  </si>
  <si>
    <t>$9,681</t>
  </si>
  <si>
    <t>$63,994</t>
  </si>
  <si>
    <t>High Voltage</t>
  </si>
  <si>
    <t>$69,470</t>
  </si>
  <si>
    <t>$12,815</t>
  </si>
  <si>
    <t>$82,286</t>
  </si>
  <si>
    <t>Private Outdoor Lighting</t>
  </si>
  <si>
    <t>Street Lighting</t>
  </si>
  <si>
    <t>$(3,982,628)</t>
  </si>
  <si>
    <t>$(411,862)</t>
  </si>
  <si>
    <t>$(4,394,490)</t>
  </si>
  <si>
    <t>$(2,607,982)</t>
  </si>
  <si>
    <t>$(295,093)</t>
  </si>
  <si>
    <t>$(2,903,075)</t>
  </si>
  <si>
    <t>$(1,404,705)</t>
  </si>
  <si>
    <t>$(213,887)</t>
  </si>
  <si>
    <t>$(1,618,592)</t>
  </si>
  <si>
    <t>$(392,111)</t>
  </si>
  <si>
    <t>$(60,198)</t>
  </si>
  <si>
    <t>$(452,309)</t>
  </si>
  <si>
    <t>$(496,831)</t>
  </si>
  <si>
    <t>$(78,139)</t>
  </si>
  <si>
    <t>$(574,970)</t>
  </si>
  <si>
    <t>$(1,110)</t>
  </si>
  <si>
    <t>$(2,001)</t>
  </si>
  <si>
    <t>$(3,111)</t>
  </si>
  <si>
    <t>$(1,702)</t>
  </si>
  <si>
    <t>$(3,677)</t>
  </si>
  <si>
    <t>$(5,379)</t>
  </si>
  <si>
    <t>$9,558,339</t>
  </si>
  <si>
    <t>$1,010,342</t>
  </si>
  <si>
    <t>$10,568,681</t>
  </si>
  <si>
    <t>$6,474,745</t>
  </si>
  <si>
    <t>$621,542</t>
  </si>
  <si>
    <t>$7,096,287</t>
  </si>
  <si>
    <t>$3,714,668</t>
  </si>
  <si>
    <t>$501,474</t>
  </si>
  <si>
    <t>$4,216,142</t>
  </si>
  <si>
    <t>$1,003,013</t>
  </si>
  <si>
    <t>$156,328</t>
  </si>
  <si>
    <t>$1,159,341</t>
  </si>
  <si>
    <t>$1,274,227</t>
  </si>
  <si>
    <t>$183,859</t>
  </si>
  <si>
    <t>$1,458,085</t>
  </si>
  <si>
    <t>$2,067</t>
  </si>
  <si>
    <t>$4,510</t>
  </si>
  <si>
    <t>$6,577</t>
  </si>
  <si>
    <t>$3,335</t>
  </si>
  <si>
    <t>$7,450</t>
  </si>
  <si>
    <t>$10,785</t>
  </si>
  <si>
    <t>$(1,693,525)</t>
  </si>
  <si>
    <t>$(166,692)</t>
  </si>
  <si>
    <t>$(1,860,217)</t>
  </si>
  <si>
    <t>$(1,286,925)</t>
  </si>
  <si>
    <t>$(107,283)</t>
  </si>
  <si>
    <t>$(1,394,209)</t>
  </si>
  <si>
    <t>$(750,842)</t>
  </si>
  <si>
    <t>$(78,043)</t>
  </si>
  <si>
    <t>$(828,885)</t>
  </si>
  <si>
    <t>$(216,331)</t>
  </si>
  <si>
    <t>$(25,262)</t>
  </si>
  <si>
    <t>$(241,592)</t>
  </si>
  <si>
    <t>$(269,650)</t>
  </si>
  <si>
    <t>$(29,165)</t>
  </si>
  <si>
    <t>$(298,815)</t>
  </si>
  <si>
    <t>$(858)</t>
  </si>
  <si>
    <t>$(724)</t>
  </si>
  <si>
    <t>$(1,582)</t>
  </si>
  <si>
    <t>$(1,530)</t>
  </si>
  <si>
    <t>$(1,151)</t>
  </si>
  <si>
    <t>$(2,681)</t>
  </si>
  <si>
    <t>$1,575,129</t>
  </si>
  <si>
    <t>$96,013</t>
  </si>
  <si>
    <t>$1,671,142</t>
  </si>
  <si>
    <t>$979,656</t>
  </si>
  <si>
    <t>$63,159</t>
  </si>
  <si>
    <t>$1,042,815</t>
  </si>
  <si>
    <t>$548,600</t>
  </si>
  <si>
    <t>$44,816</t>
  </si>
  <si>
    <t>$593,416</t>
  </si>
  <si>
    <t>$140,474</t>
  </si>
  <si>
    <t>$13,048</t>
  </si>
  <si>
    <t>$153,522</t>
  </si>
  <si>
    <t>$204,270</t>
  </si>
  <si>
    <t>$17,087</t>
  </si>
  <si>
    <t>$221,358</t>
  </si>
  <si>
    <t>$730</t>
  </si>
  <si>
    <t>$403</t>
  </si>
  <si>
    <t>$1,133</t>
  </si>
  <si>
    <t>$1,041</t>
  </si>
  <si>
    <t>$628</t>
  </si>
  <si>
    <t>$1,669</t>
  </si>
  <si>
    <t>Line 19: Projected Billing Determinants (kWh, kW, NSPL)</t>
  </si>
  <si>
    <t>$4,915,742</t>
  </si>
  <si>
    <t>$ 276,561</t>
  </si>
  <si>
    <t>$ 5,192,303</t>
  </si>
  <si>
    <t>$3,004,602</t>
  </si>
  <si>
    <t>$ 199,295</t>
  </si>
  <si>
    <t>$ 3,203,897</t>
  </si>
  <si>
    <t>$1,650,710</t>
  </si>
  <si>
    <t>$ 142,051</t>
  </si>
  <si>
    <t>$ 1,792,761</t>
  </si>
  <si>
    <t>$459,343</t>
  </si>
  <si>
    <t>$ 43,150</t>
  </si>
  <si>
    <t>$ 502,493</t>
  </si>
  <si>
    <t>$530,192</t>
  </si>
  <si>
    <t>$ 52,117</t>
  </si>
  <si>
    <t>$ 582,309</t>
  </si>
  <si>
    <t>$2,140</t>
  </si>
  <si>
    <t>$ 1,017</t>
  </si>
  <si>
    <t>$ 3,157</t>
  </si>
  <si>
    <t>$5,123</t>
  </si>
  <si>
    <t>$ 1,584</t>
  </si>
  <si>
    <t>$ 6,707</t>
  </si>
  <si>
    <t>Rate Classification</t>
  </si>
  <si>
    <t>Coincident Peak Demand Allocation: 1 CP (kW)</t>
  </si>
  <si>
    <t>Coincident Peak Demand Allocation: %</t>
  </si>
  <si>
    <t>Total Energy Allocation: Sales (kWh)</t>
  </si>
  <si>
    <t>Total Energy Allocation: %</t>
  </si>
  <si>
    <t>Residential (RS, TD, TDCPP, ORH)</t>
  </si>
  <si>
    <t>Secondary Distribution (DS)</t>
  </si>
  <si>
    <t>Electric Space Heating (EH)</t>
  </si>
  <si>
    <t>Secondary Distribution Service Small (DM)</t>
  </si>
  <si>
    <t>Unmetered Small Fixed Loads (GSFL, ADPL)</t>
  </si>
  <si>
    <t>Primary Distribution Voltage (DP)</t>
  </si>
  <si>
    <t>Transmission Voltage (TS)</t>
  </si>
  <si>
    <t>Lighting</t>
  </si>
  <si>
    <t>Residential (RS, TD, ORH)</t>
  </si>
  <si>
    <t>CUSTOMER CLASS</t>
  </si>
  <si>
    <t>VA JURIS REVENUE REQUIREMENT</t>
  </si>
  <si>
    <t>CUST CLASS ALLOCATION FACTOR</t>
  </si>
  <si>
    <t>CUST CLASS ALLOCATED REVENUE REQ</t>
  </si>
  <si>
    <t>12 MOS ENDED 08/31/2021 FORECAST KWH</t>
  </si>
  <si>
    <t>CUSTOMER CLASS RATE</t>
  </si>
  <si>
    <t>A. RES</t>
  </si>
  <si>
    <t>$1002915471</t>
  </si>
  <si>
    <t>$599,262,263</t>
  </si>
  <si>
    <t>$.02029137</t>
  </si>
  <si>
    <t>B. GS-1</t>
  </si>
  <si>
    <t>$48,768,550</t>
  </si>
  <si>
    <t>$.01489548</t>
  </si>
  <si>
    <t>C. GS-2</t>
  </si>
  <si>
    <t>$137,513,341</t>
  </si>
  <si>
    <t>$.01351265</t>
  </si>
  <si>
    <t>D. GS-3</t>
  </si>
  <si>
    <t>$130,653,138</t>
  </si>
  <si>
    <t>$.01068545</t>
  </si>
  <si>
    <t>E. GS-4</t>
  </si>
  <si>
    <t>$82,789,709</t>
  </si>
  <si>
    <t>$.00686079</t>
  </si>
  <si>
    <t>F. CHURCH</t>
  </si>
  <si>
    <t>$3,900,930</t>
  </si>
  <si>
    <t>$.01844040</t>
  </si>
  <si>
    <t>G. OD LIGHT</t>
  </si>
  <si>
    <t>$27,540</t>
  </si>
  <si>
    <t>$.00031673</t>
  </si>
  <si>
    <t>12 MOS ENDED 08/31/2022 FORECAST KWH</t>
  </si>
  <si>
    <t>$874,050,131</t>
  </si>
  <si>
    <t>$502,305,904</t>
  </si>
  <si>
    <t>$.01659754</t>
  </si>
  <si>
    <t>$42,826,511</t>
  </si>
  <si>
    <t>$.01095198</t>
  </si>
  <si>
    <t>$116,985,947</t>
  </si>
  <si>
    <t>$.01042751</t>
  </si>
  <si>
    <t>$103,996,315</t>
  </si>
  <si>
    <t>$.00825016</t>
  </si>
  <si>
    <t>$104,554,880</t>
  </si>
  <si>
    <t>$.00822608</t>
  </si>
  <si>
    <t>$3,353,397</t>
  </si>
  <si>
    <t>$.01403683</t>
  </si>
  <si>
    <t>$27,177</t>
  </si>
  <si>
    <t>$.00027226</t>
  </si>
  <si>
    <t>12 MOS ENDED 08/31/2023 FORECAST KWH</t>
  </si>
  <si>
    <t>$706,429,291</t>
  </si>
  <si>
    <t>$379,573,851</t>
  </si>
  <si>
    <t>$.01290777</t>
  </si>
  <si>
    <t>$35,802,460</t>
  </si>
  <si>
    <t>$.00980645</t>
  </si>
  <si>
    <t>$93,945,587</t>
  </si>
  <si>
    <t>$.00925954</t>
  </si>
  <si>
    <t>$86,001,916</t>
  </si>
  <si>
    <t>$.00768681</t>
  </si>
  <si>
    <t>$108,362,317</t>
  </si>
  <si>
    <t>$.00563488</t>
  </si>
  <si>
    <t>$2,725,797</t>
  </si>
  <si>
    <t>$.01310972</t>
  </si>
  <si>
    <t>$17,363</t>
  </si>
  <si>
    <t>$.00019185</t>
  </si>
  <si>
    <t>12 MOS ENDED 08/31/2024 FORECAST KWH</t>
  </si>
  <si>
    <t>$878,758,118</t>
  </si>
  <si>
    <t>$462,783,912</t>
  </si>
  <si>
    <t>$.01558939</t>
  </si>
  <si>
    <t>$40,806,952</t>
  </si>
  <si>
    <t>$.01084708</t>
  </si>
  <si>
    <t>$109,043,024</t>
  </si>
  <si>
    <t>$.00995658</t>
  </si>
  <si>
    <t>$103,287,448</t>
  </si>
  <si>
    <t>$.00738502</t>
  </si>
  <si>
    <t>$159,868,584</t>
  </si>
  <si>
    <t>$.00757549</t>
  </si>
  <si>
    <t>$2,945,848</t>
  </si>
  <si>
    <t>$.01432133</t>
  </si>
  <si>
    <t>$22,350</t>
  </si>
  <si>
    <t>$.00024531</t>
  </si>
  <si>
    <t>12 MOS ENDED 08/31/2025 FORECAST KWH</t>
  </si>
  <si>
    <t>$1,169,592,808</t>
  </si>
  <si>
    <t>$569,972,455</t>
  </si>
  <si>
    <t>$.01939697</t>
  </si>
  <si>
    <t>$57,460,031</t>
  </si>
  <si>
    <t>$.01506724</t>
  </si>
  <si>
    <t>$154,679,319</t>
  </si>
  <si>
    <t>$.01416942</t>
  </si>
  <si>
    <t>$147,832,663</t>
  </si>
  <si>
    <t>$.01034600</t>
  </si>
  <si>
    <t>$235,712,548</t>
  </si>
  <si>
    <t>$.01042202</t>
  </si>
  <si>
    <t>$3,907,441</t>
  </si>
  <si>
    <t>$.01907290</t>
  </si>
  <si>
    <t>$28,351</t>
  </si>
  <si>
    <t>$.00031632</t>
  </si>
  <si>
    <t>$1,343,335,735</t>
  </si>
  <si>
    <t>$648,491,059</t>
  </si>
  <si>
    <t>$.02149327</t>
  </si>
  <si>
    <t>$69,183,499</t>
  </si>
  <si>
    <t>$.01588937</t>
  </si>
  <si>
    <t>$170,800,142</t>
  </si>
  <si>
    <t>$.01406849</t>
  </si>
  <si>
    <t>$160,424,833</t>
  </si>
  <si>
    <t>$.01184252</t>
  </si>
  <si>
    <t>$289,707,573</t>
  </si>
  <si>
    <t>$.01111804</t>
  </si>
  <si>
    <t>$4,534,513</t>
  </si>
  <si>
    <t>$.01874358</t>
  </si>
  <si>
    <t>$194,116</t>
  </si>
  <si>
    <t>$.00196057</t>
  </si>
  <si>
    <t>2019 Eligible Sales (kWh)</t>
  </si>
  <si>
    <t>Present Transmission Revenue ($)</t>
  </si>
  <si>
    <t>Transmission Zonal Peak Load Allocation (kW)</t>
  </si>
  <si>
    <t>RES</t>
  </si>
  <si>
    <t>$ 21,730,299</t>
  </si>
  <si>
    <t>R-TOU-ND</t>
  </si>
  <si>
    <t>$ 7,494</t>
  </si>
  <si>
    <t>SGS-S</t>
  </si>
  <si>
    <t>$ 7,138,153</t>
  </si>
  <si>
    <t>TN</t>
  </si>
  <si>
    <t>GS-WH</t>
  </si>
  <si>
    <t>$ 1,033</t>
  </si>
  <si>
    <t>GS-SH</t>
  </si>
  <si>
    <t>$ 759,071</t>
  </si>
  <si>
    <t>ORL</t>
  </si>
  <si>
    <t>$ 3,471</t>
  </si>
  <si>
    <t>LGS-S</t>
  </si>
  <si>
    <t>$ 3,218,956</t>
  </si>
  <si>
    <t>GS-P</t>
  </si>
  <si>
    <t>$ 4,815,434</t>
  </si>
  <si>
    <t>GS-T</t>
  </si>
  <si>
    <t>$ -</t>
  </si>
  <si>
    <t>OL</t>
  </si>
  <si>
    <t>Total</t>
  </si>
  <si>
    <t>2020 Eligible Sales (kWh)</t>
  </si>
  <si>
    <t>$ 21,167,982</t>
  </si>
  <si>
    <t>$ 7,559</t>
  </si>
  <si>
    <t>$ 6,099,749</t>
  </si>
  <si>
    <t>$ 1,287</t>
  </si>
  <si>
    <t>$ 565,457</t>
  </si>
  <si>
    <t>$ 2,056</t>
  </si>
  <si>
    <t>$ 2,725,716</t>
  </si>
  <si>
    <t>$ 3,808,102</t>
  </si>
  <si>
    <t>2021 Eligible Sales (kWh)</t>
  </si>
  <si>
    <t>$ 31,803,716</t>
  </si>
  <si>
    <t>$ 8,727,020</t>
  </si>
  <si>
    <t>$ 2,499</t>
  </si>
  <si>
    <t>$ 940,764</t>
  </si>
  <si>
    <t>$ 4,706</t>
  </si>
  <si>
    <t>$ 3,884,289</t>
  </si>
  <si>
    <t>$ 5,600,917</t>
  </si>
  <si>
    <t>2022 Eligible Sales (kWh)</t>
  </si>
  <si>
    <t>$ 30,572,202</t>
  </si>
  <si>
    <t>$ 10,012,049</t>
  </si>
  <si>
    <t>$ 2,463</t>
  </si>
  <si>
    <t>$ 858,607</t>
  </si>
  <si>
    <t>$ 4,303</t>
  </si>
  <si>
    <t>$ 3,986,008</t>
  </si>
  <si>
    <t>$ 5,947,803</t>
  </si>
  <si>
    <t>2023 Eligible Sales (kWh)</t>
  </si>
  <si>
    <t>$ 32,718,751</t>
  </si>
  <si>
    <t>$ 10,735,273</t>
  </si>
  <si>
    <t>$ 2,592</t>
  </si>
  <si>
    <t>$ 837,475</t>
  </si>
  <si>
    <t>$ 3,841</t>
  </si>
  <si>
    <t>$ 4,343,934</t>
  </si>
  <si>
    <t>$ 6,772,972</t>
  </si>
  <si>
    <t>2024 Eligible Sales (kWh)</t>
  </si>
  <si>
    <t>$ 41,066,738</t>
  </si>
  <si>
    <t>$ 14,673,117</t>
  </si>
  <si>
    <t>$ 2,266</t>
  </si>
  <si>
    <t>$ 1,093,402</t>
  </si>
  <si>
    <t>$ 6,329</t>
  </si>
  <si>
    <t>$ 4,867,488</t>
  </si>
  <si>
    <t>$ 7,227,733</t>
  </si>
  <si>
    <t>Rate Class (A)</t>
  </si>
  <si>
    <t>Class 1CP kW (2) (B)</t>
  </si>
  <si>
    <t>Allocated Charges (3) (C)</t>
  </si>
  <si>
    <t>PA GRT at 5.90% (D)</t>
  </si>
  <si>
    <t>Adjusted Revenue Requirement (E = C + D)</t>
  </si>
  <si>
    <t>Sales kWh (4) (F)</t>
  </si>
  <si>
    <t>$59,481,125</t>
  </si>
  <si>
    <t>$3,729,422</t>
  </si>
  <si>
    <t>$63,210,547</t>
  </si>
  <si>
    <t>RH</t>
  </si>
  <si>
    <t>$2,920,208</t>
  </si>
  <si>
    <t>$183,095</t>
  </si>
  <si>
    <t>$3,103,303</t>
  </si>
  <si>
    <t>RA</t>
  </si>
  <si>
    <t>$797,615</t>
  </si>
  <si>
    <t>$50,010</t>
  </si>
  <si>
    <t>$847,625</t>
  </si>
  <si>
    <t>$996,303</t>
  </si>
  <si>
    <t>$62,467</t>
  </si>
  <si>
    <t>$1,058,770</t>
  </si>
  <si>
    <t>GM&lt;25 kW</t>
  </si>
  <si>
    <t>$8,241,269</t>
  </si>
  <si>
    <t>$516,721</t>
  </si>
  <si>
    <t>$8,757,991</t>
  </si>
  <si>
    <t>GM=&gt;25 kW</t>
  </si>
  <si>
    <t>$21,771,846</t>
  </si>
  <si>
    <t>$1,365,079</t>
  </si>
  <si>
    <t>$23,136,924</t>
  </si>
  <si>
    <t>GMH&lt;25 kW</t>
  </si>
  <si>
    <t>$501,884</t>
  </si>
  <si>
    <t>$31,468</t>
  </si>
  <si>
    <t>$533,352</t>
  </si>
  <si>
    <t>GMH=&gt;25 kW</t>
  </si>
  <si>
    <t>$1,721,270</t>
  </si>
  <si>
    <t>$107,922</t>
  </si>
  <si>
    <t>$1,829,192</t>
  </si>
  <si>
    <t>AL</t>
  </si>
  <si>
    <t>$973.69</t>
  </si>
  <si>
    <t>$61</t>
  </si>
  <si>
    <t>$1,035</t>
  </si>
  <si>
    <t>SE</t>
  </si>
  <si>
    <t>$0.00</t>
  </si>
  <si>
    <t>$0</t>
  </si>
  <si>
    <t>SM</t>
  </si>
  <si>
    <t>SH</t>
  </si>
  <si>
    <t>UMS</t>
  </si>
  <si>
    <t>$135,289</t>
  </si>
  <si>
    <t>$8,483</t>
  </si>
  <si>
    <t>$143,772</t>
  </si>
  <si>
    <t>PAL</t>
  </si>
  <si>
    <t>GL</t>
  </si>
  <si>
    <t>$24,152,196</t>
  </si>
  <si>
    <t>$1,514,325</t>
  </si>
  <si>
    <t>$25,666,521</t>
  </si>
  <si>
    <t>GLH</t>
  </si>
  <si>
    <t>$3,199,063</t>
  </si>
  <si>
    <t>$200,579</t>
  </si>
  <si>
    <t>$3,399,642</t>
  </si>
  <si>
    <t>L</t>
  </si>
  <si>
    <t>$8,666,177</t>
  </si>
  <si>
    <t>$543,363</t>
  </si>
  <si>
    <t>$9,209,540</t>
  </si>
  <si>
    <t>HVPS</t>
  </si>
  <si>
    <t>$8,693,170</t>
  </si>
  <si>
    <t>$545,055</t>
  </si>
  <si>
    <t>$9,238,225</t>
  </si>
  <si>
    <t>Class 1CP kW (2)</t>
  </si>
  <si>
    <t>Allocated Charges (3)</t>
  </si>
  <si>
    <t>PA GRT at 5.90%</t>
  </si>
  <si>
    <t>Adjusted Revenue Requirement</t>
  </si>
  <si>
    <t>Sales kWh (4)</t>
  </si>
  <si>
    <t>$65,648,855</t>
  </si>
  <si>
    <t>$4,116,134</t>
  </si>
  <si>
    <t>$69,764,990</t>
  </si>
  <si>
    <t>$3,351,379</t>
  </si>
  <si>
    <t>$210,129</t>
  </si>
  <si>
    <t>$3,561,508</t>
  </si>
  <si>
    <t>$876,191</t>
  </si>
  <si>
    <t>$54,936</t>
  </si>
  <si>
    <t>$931,127</t>
  </si>
  <si>
    <t>$988,419</t>
  </si>
  <si>
    <t>$61,973</t>
  </si>
  <si>
    <t>$1,050,392</t>
  </si>
  <si>
    <t>$7,378,305</t>
  </si>
  <si>
    <t>$462,614</t>
  </si>
  <si>
    <t>$7,840,919</t>
  </si>
  <si>
    <t>$19,334,324</t>
  </si>
  <si>
    <t>$1,212,248</t>
  </si>
  <si>
    <t>$20,546,572</t>
  </si>
  <si>
    <t>$476,040</t>
  </si>
  <si>
    <t>$29,847</t>
  </si>
  <si>
    <t>$505,887</t>
  </si>
  <si>
    <t>$1,559,760</t>
  </si>
  <si>
    <t>$97,796</t>
  </si>
  <si>
    <t>$1,657,556</t>
  </si>
  <si>
    <t>$132,780</t>
  </si>
  <si>
    <t>$8,325</t>
  </si>
  <si>
    <t>$141,105</t>
  </si>
  <si>
    <t>$20,925,144</t>
  </si>
  <si>
    <t>$1,311,991</t>
  </si>
  <si>
    <t>$22,237,135</t>
  </si>
  <si>
    <t>$2,562,570</t>
  </si>
  <si>
    <t>$160,671</t>
  </si>
  <si>
    <t>$2,723,241</t>
  </si>
  <si>
    <t>$7,818,988</t>
  </si>
  <si>
    <t>$490,245</t>
  </si>
  <si>
    <t>$8,309,233</t>
  </si>
  <si>
    <t>$4,966,632</t>
  </si>
  <si>
    <t>$311,404</t>
  </si>
  <si>
    <t>$5,278,037</t>
  </si>
  <si>
    <t>$77,072,437</t>
  </si>
  <si>
    <t>$4,832,384</t>
  </si>
  <si>
    <t>$81,904,822</t>
  </si>
  <si>
    <t>$4,045,149</t>
  </si>
  <si>
    <t>$253,628</t>
  </si>
  <si>
    <t>$4,298,776</t>
  </si>
  <si>
    <t>$1,029,911</t>
  </si>
  <si>
    <t>$64,575</t>
  </si>
  <si>
    <t>$1,094,485</t>
  </si>
  <si>
    <t>$1,457,874</t>
  </si>
  <si>
    <t>$91,408</t>
  </si>
  <si>
    <t>$1,549,282</t>
  </si>
  <si>
    <t>$9,483,904</t>
  </si>
  <si>
    <t>$594,634</t>
  </si>
  <si>
    <t>$10,078,538</t>
  </si>
  <si>
    <t>$24,193,749</t>
  </si>
  <si>
    <t>$1,516,930</t>
  </si>
  <si>
    <t>$25,710,679</t>
  </si>
  <si>
    <t>$618,541</t>
  </si>
  <si>
    <t>$38,782</t>
  </si>
  <si>
    <t>$657,323</t>
  </si>
  <si>
    <t>$1,880,292</t>
  </si>
  <si>
    <t>$117,893</t>
  </si>
  <si>
    <t>$1,998,185</t>
  </si>
  <si>
    <t>$184,228</t>
  </si>
  <si>
    <t>$11,551</t>
  </si>
  <si>
    <t>$195,779</t>
  </si>
  <si>
    <t>$26,175,525</t>
  </si>
  <si>
    <t>$1,641,186</t>
  </si>
  <si>
    <t>$27,816,711</t>
  </si>
  <si>
    <t>$3,266,576</t>
  </si>
  <si>
    <t>$204,812</t>
  </si>
  <si>
    <t>$3,471,388</t>
  </si>
  <si>
    <t>$9,345,916</t>
  </si>
  <si>
    <t>$585,982</t>
  </si>
  <si>
    <t>$9,931,898</t>
  </si>
  <si>
    <t>$9,132,796</t>
  </si>
  <si>
    <t>$572,620</t>
  </si>
  <si>
    <t>$9,705,415</t>
  </si>
  <si>
    <t>$75,319,661</t>
  </si>
  <si>
    <t>$4,722,487</t>
  </si>
  <si>
    <t>$80,042,147</t>
  </si>
  <si>
    <t>$3,943,224</t>
  </si>
  <si>
    <t>$247,237</t>
  </si>
  <si>
    <t>$4,190,461</t>
  </si>
  <si>
    <t>$1,027,018</t>
  </si>
  <si>
    <t>$64,393</t>
  </si>
  <si>
    <t>$1,091,411</t>
  </si>
  <si>
    <t>$1,977,997</t>
  </si>
  <si>
    <t>$124,019</t>
  </si>
  <si>
    <t>$2,102,016</t>
  </si>
  <si>
    <t>$9,876,113</t>
  </si>
  <si>
    <t>$619,225</t>
  </si>
  <si>
    <t>$10,495,338</t>
  </si>
  <si>
    <t>$26,678,488</t>
  </si>
  <si>
    <t>$1,672,721</t>
  </si>
  <si>
    <t>$28,351,210</t>
  </si>
  <si>
    <t>$758,449</t>
  </si>
  <si>
    <t>$47,554</t>
  </si>
  <si>
    <t>$806,004</t>
  </si>
  <si>
    <t>$2,107,322</t>
  </si>
  <si>
    <t>$132,128</t>
  </si>
  <si>
    <t>$2,239,450</t>
  </si>
  <si>
    <t>$208,476</t>
  </si>
  <si>
    <t>$13,071</t>
  </si>
  <si>
    <t>$221,548</t>
  </si>
  <si>
    <t>$28,963,171</t>
  </si>
  <si>
    <t>$1,815,969</t>
  </si>
  <si>
    <t>$30,779,140</t>
  </si>
  <si>
    <t>$3,370,432</t>
  </si>
  <si>
    <t>$211,324</t>
  </si>
  <si>
    <t>$3,581,756</t>
  </si>
  <si>
    <t>$9,515,168</t>
  </si>
  <si>
    <t>$596,594</t>
  </si>
  <si>
    <t>$10,111,762</t>
  </si>
  <si>
    <t>$8,195,985</t>
  </si>
  <si>
    <t>$513,882</t>
  </si>
  <si>
    <t>$8,709,867</t>
  </si>
  <si>
    <t>$70,492,404</t>
  </si>
  <si>
    <t>$4,419,821</t>
  </si>
  <si>
    <t>$74,912,226</t>
  </si>
  <si>
    <t>$3,848,590</t>
  </si>
  <si>
    <t>$241,304</t>
  </si>
  <si>
    <t>$4,089,893</t>
  </si>
  <si>
    <t>$987,537</t>
  </si>
  <si>
    <t>$61,918</t>
  </si>
  <si>
    <t>$1,049,455</t>
  </si>
  <si>
    <t>$2,016,196</t>
  </si>
  <si>
    <t>$126,414</t>
  </si>
  <si>
    <t>$2,142,610</t>
  </si>
  <si>
    <t>$9,510,095</t>
  </si>
  <si>
    <t>$596,276</t>
  </si>
  <si>
    <t>$10,106,371</t>
  </si>
  <si>
    <t>$24,720,280</t>
  </si>
  <si>
    <t>$1,549,943</t>
  </si>
  <si>
    <t>$26,270,223</t>
  </si>
  <si>
    <t>$617,316</t>
  </si>
  <si>
    <t>$38,705</t>
  </si>
  <si>
    <t>$656,021</t>
  </si>
  <si>
    <t>$1,978,487</t>
  </si>
  <si>
    <t>$124,050</t>
  </si>
  <si>
    <t>$2,102,536</t>
  </si>
  <si>
    <t>$12.41</t>
  </si>
  <si>
    <t>$1</t>
  </si>
  <si>
    <t>$13</t>
  </si>
  <si>
    <t>$208,957</t>
  </si>
  <si>
    <t>$13,101</t>
  </si>
  <si>
    <t>$222,059</t>
  </si>
  <si>
    <t>$27,403,879</t>
  </si>
  <si>
    <t>$1,718,203</t>
  </si>
  <si>
    <t>$29,122,082</t>
  </si>
  <si>
    <t>$3,034,019</t>
  </si>
  <si>
    <t>$190,231</t>
  </si>
  <si>
    <t>$3,224,249</t>
  </si>
  <si>
    <t>$9,077,735</t>
  </si>
  <si>
    <t>$569,167</t>
  </si>
  <si>
    <t>$9,646,903</t>
  </si>
  <si>
    <t>$7,517,167</t>
  </si>
  <si>
    <t>$471,321</t>
  </si>
  <si>
    <t>$7,988,488</t>
  </si>
  <si>
    <t>$82,810,674</t>
  </si>
  <si>
    <t>$5,192,168</t>
  </si>
  <si>
    <t>$88,002,842</t>
  </si>
  <si>
    <t>$4,702,043</t>
  </si>
  <si>
    <t>$294,815</t>
  </si>
  <si>
    <t>$4,996,857</t>
  </si>
  <si>
    <t>$1,247,666</t>
  </si>
  <si>
    <t>$78,228</t>
  </si>
  <si>
    <t>$1,325,894</t>
  </si>
  <si>
    <t>$1,568,644</t>
  </si>
  <si>
    <t>$98,353</t>
  </si>
  <si>
    <t>$1,666,996</t>
  </si>
  <si>
    <t>$10,011,602</t>
  </si>
  <si>
    <t>$627,720</t>
  </si>
  <si>
    <t>$10,639,322</t>
  </si>
  <si>
    <t>$25,673,598</t>
  </si>
  <si>
    <t>$1,609,716</t>
  </si>
  <si>
    <t>$27,283,314</t>
  </si>
  <si>
    <t>$669,657</t>
  </si>
  <si>
    <t>$41,987</t>
  </si>
  <si>
    <t>$711,644</t>
  </si>
  <si>
    <t>$2,029,801</t>
  </si>
  <si>
    <t>$127,267</t>
  </si>
  <si>
    <t>$2,157,068</t>
  </si>
  <si>
    <t>$203.17</t>
  </si>
  <si>
    <t>$216</t>
  </si>
  <si>
    <t>$224,052</t>
  </si>
  <si>
    <t>$14,048</t>
  </si>
  <si>
    <t>$238,100</t>
  </si>
  <si>
    <t>$29,266,488</t>
  </si>
  <si>
    <t>$1,834,987</t>
  </si>
  <si>
    <t>$31,101,475</t>
  </si>
  <si>
    <t>$3,242,266</t>
  </si>
  <si>
    <t>$203,288</t>
  </si>
  <si>
    <t>$3,445,554</t>
  </si>
  <si>
    <t>$9,568,913</t>
  </si>
  <si>
    <t>$599,964</t>
  </si>
  <si>
    <t>$10,168,877</t>
  </si>
  <si>
    <t>$10,994,044</t>
  </si>
  <si>
    <t>$689,318</t>
  </si>
  <si>
    <t>$11,683,362</t>
  </si>
  <si>
    <t>BGS by Voltage Level</t>
  </si>
  <si>
    <t>Allocated Cost Recovery ($) (2)</t>
  </si>
  <si>
    <t>BGS Eligible Sales (kWh) (3)</t>
  </si>
  <si>
    <t>Secondary (excluding lighting)</t>
  </si>
  <si>
    <t>$41,357,963</t>
  </si>
  <si>
    <t>$2,608,874</t>
  </si>
  <si>
    <t>Transmission @ 34.5 kV</t>
  </si>
  <si>
    <t>$2,165,947</t>
  </si>
  <si>
    <t>Transmission @ 230 kV</t>
  </si>
  <si>
    <t>$159,422</t>
  </si>
  <si>
    <t>$46,292,207</t>
  </si>
  <si>
    <t>$3,392,976</t>
  </si>
  <si>
    <t>$201,997</t>
  </si>
  <si>
    <t>$174,635</t>
  </si>
  <si>
    <t>$11,313</t>
  </si>
  <si>
    <t>$3,780,922</t>
  </si>
  <si>
    <t>Retail Transmission Obligation (MW)</t>
  </si>
  <si>
    <t>$3,191,669</t>
  </si>
  <si>
    <t>$187,790</t>
  </si>
  <si>
    <t>$159,409</t>
  </si>
  <si>
    <t>$10,966</t>
  </si>
  <si>
    <t>$3,549,835</t>
  </si>
  <si>
    <t>$3,878,534</t>
  </si>
  <si>
    <t>$267,039</t>
  </si>
  <si>
    <t>$242,608</t>
  </si>
  <si>
    <t>$16,519</t>
  </si>
  <si>
    <t>$4,404,701</t>
  </si>
  <si>
    <t>$299,125</t>
  </si>
  <si>
    <t>$17,185</t>
  </si>
  <si>
    <t>$17,076</t>
  </si>
  <si>
    <t>$755</t>
  </si>
  <si>
    <t>$334,140</t>
  </si>
  <si>
    <t>$3,281,329</t>
  </si>
  <si>
    <t>$167,530</t>
  </si>
  <si>
    <t>$142,811</t>
  </si>
  <si>
    <t>$12,466</t>
  </si>
  <si>
    <t>$3,604,136</t>
  </si>
  <si>
    <t>Line 1: NMBc ($)</t>
  </si>
  <si>
    <t>Line 2: kW NSPL</t>
  </si>
  <si>
    <t>Line 3: Allocator</t>
  </si>
  <si>
    <t>Line 4: Allocated NMB Costs ($)</t>
  </si>
  <si>
    <t>Line 5: E-Factor ($)</t>
  </si>
  <si>
    <t>Line 6: Total NMB Charges ($)</t>
  </si>
  <si>
    <t>Line 7: Sales Forecast (kWh)</t>
  </si>
  <si>
    <t>Total Company</t>
  </si>
  <si>
    <t>Peak Load Contribution (kW)</t>
  </si>
  <si>
    <t>Annual Sales (kWh)</t>
  </si>
  <si>
    <t>RTM</t>
  </si>
  <si>
    <t>GS &amp; EV</t>
  </si>
  <si>
    <t>T</t>
  </si>
  <si>
    <t>SL</t>
  </si>
  <si>
    <t>MGT-LV</t>
  </si>
  <si>
    <t>MGT-3A</t>
  </si>
  <si>
    <t>GT-LV</t>
  </si>
  <si>
    <t>GT-3A</t>
  </si>
  <si>
    <t>GT-3B</t>
  </si>
  <si>
    <t>RT</t>
  </si>
  <si>
    <t>Line 2: TCd (Demand)</t>
  </si>
  <si>
    <t>Line 3: TCe (Energy)</t>
  </si>
  <si>
    <t>Line 3B: Net Metering</t>
  </si>
  <si>
    <t>Line 5: Net Over/Under</t>
  </si>
  <si>
    <t>Line 6: Total Recovered</t>
  </si>
  <si>
    <t>Line 7: Total Inc. MFC</t>
  </si>
  <si>
    <t>Line 8: Projected Sales (kWh)</t>
  </si>
  <si>
    <t>$460,189</t>
  </si>
  <si>
    <t>$1,469,834</t>
  </si>
  <si>
    <t>($14,945,486)</t>
  </si>
  <si>
    <t>$232,559,922</t>
  </si>
  <si>
    <t>$237,138,929</t>
  </si>
  <si>
    <t>($8,634,085)</t>
  </si>
  <si>
    <t>$190,118,201</t>
  </si>
  <si>
    <t>$194,613,736</t>
  </si>
  <si>
    <t>Small C&amp;I</t>
  </si>
  <si>
    <t>$219,964</t>
  </si>
  <si>
    <t>($4,395,144)</t>
  </si>
  <si>
    <t>$36,212,875</t>
  </si>
  <si>
    <t>$36,296,346</t>
  </si>
  <si>
    <t>Large C&amp;I - Primary</t>
  </si>
  <si>
    <t>$1,249,870</t>
  </si>
  <si>
    <t>($1,419,569)</t>
  </si>
  <si>
    <t>$5,149,810</t>
  </si>
  <si>
    <t>Large C&amp;I - Trans.</t>
  </si>
  <si>
    <t>($496,688)</t>
  </si>
  <si>
    <t>$1,079,036</t>
  </si>
  <si>
    <t>Contribution</t>
  </si>
  <si>
    <t>Line 5: Over/Under</t>
  </si>
  <si>
    <t>$317,892</t>
  </si>
  <si>
    <t>$2,243,213</t>
  </si>
  <si>
    <t>$17,904,689</t>
  </si>
  <si>
    <t>$241,736,429</t>
  </si>
  <si>
    <t>$246,221,724</t>
  </si>
  <si>
    <t>$22,746,322</t>
  </si>
  <si>
    <t>$184,995,267</t>
  </si>
  <si>
    <t>$189,369,665</t>
  </si>
  <si>
    <t>$427,579</t>
  </si>
  <si>
    <t>($3,778,886)</t>
  </si>
  <si>
    <t>$48,110,987</t>
  </si>
  <si>
    <t>$48,221,883</t>
  </si>
  <si>
    <t>$1,815,634</t>
  </si>
  <si>
    <t>($1,127,626)</t>
  </si>
  <si>
    <t>$7,966,661</t>
  </si>
  <si>
    <t>$64,879</t>
  </si>
  <si>
    <t>$663,514</t>
  </si>
  <si>
    <t>$814,002</t>
  </si>
  <si>
    <t>$3,033,139</t>
  </si>
  <si>
    <t>$15,580,698</t>
  </si>
  <si>
    <t>$246,432,257</t>
  </si>
  <si>
    <t>$251,134,750</t>
  </si>
  <si>
    <t>$12,526,589</t>
  </si>
  <si>
    <t>$195,224,147</t>
  </si>
  <si>
    <t>$199,840,417</t>
  </si>
  <si>
    <t>$554,803</t>
  </si>
  <si>
    <t>$5,198,383</t>
  </si>
  <si>
    <t>$37,406,440</t>
  </si>
  <si>
    <t>$37,492,662</t>
  </si>
  <si>
    <t>$2,478,336</t>
  </si>
  <si>
    <t>($843,042)</t>
  </si>
  <si>
    <t>$7,389,934</t>
  </si>
  <si>
    <t>($1,301,232)</t>
  </si>
  <si>
    <t>$6,411,736</t>
  </si>
  <si>
    <t>$819,583</t>
  </si>
  <si>
    <t>$2,022,820</t>
  </si>
  <si>
    <t>($4,091,921)</t>
  </si>
  <si>
    <t>$255,704,025</t>
  </si>
  <si>
    <t>$260,522,022</t>
  </si>
  <si>
    <t>($452,355)</t>
  </si>
  <si>
    <t>$199,237,621</t>
  </si>
  <si>
    <t>$203,948,794</t>
  </si>
  <si>
    <t>$264,267</t>
  </si>
  <si>
    <t>($3,157,326)</t>
  </si>
  <si>
    <t>$46,343,866</t>
  </si>
  <si>
    <t>$46,450,689</t>
  </si>
  <si>
    <t>$1,758,553</t>
  </si>
  <si>
    <t>$2,838,647</t>
  </si>
  <si>
    <t>$5,068,617</t>
  </si>
  <si>
    <t>($3,320,887)</t>
  </si>
  <si>
    <t>$5,053,921</t>
  </si>
  <si>
    <t>$954,218</t>
  </si>
  <si>
    <t>$1,698,937</t>
  </si>
  <si>
    <t>($38,781,037)</t>
  </si>
  <si>
    <t>$296,876,206</t>
  </si>
  <si>
    <t>$302,796,646</t>
  </si>
  <si>
    <t>($31,078,103)</t>
  </si>
  <si>
    <t>$246,415,685</t>
  </si>
  <si>
    <t>$252,242,430</t>
  </si>
  <si>
    <t>$435,170</t>
  </si>
  <si>
    <t>($5,317,929)</t>
  </si>
  <si>
    <t>$40,648,098</t>
  </si>
  <si>
    <t>$40,741,792</t>
  </si>
  <si>
    <t>$1,263,767</t>
  </si>
  <si>
    <t>$419,146</t>
  </si>
  <si>
    <t>$4,897,100</t>
  </si>
  <si>
    <t>($2,804,151)</t>
  </si>
  <si>
    <t>$4,915,323</t>
  </si>
  <si>
    <t>$679,203</t>
  </si>
  <si>
    <t>$1,166,436</t>
  </si>
  <si>
    <t>($8,338,091)</t>
  </si>
  <si>
    <t>$152,647,004</t>
  </si>
  <si>
    <t>$155,494,198</t>
  </si>
  <si>
    <t>($1,151,003)</t>
  </si>
  <si>
    <t>$117,778,475</t>
  </si>
  <si>
    <t>$120,563,465</t>
  </si>
  <si>
    <t>$335,134</t>
  </si>
  <si>
    <t>($3,508,131)</t>
  </si>
  <si>
    <t>$26,986,105</t>
  </si>
  <si>
    <t>$27,048,308</t>
  </si>
  <si>
    <t>$831,302</t>
  </si>
  <si>
    <t>($2,127,273)</t>
  </si>
  <si>
    <t>$6,004,401</t>
  </si>
  <si>
    <t>($1,551,684)</t>
  </si>
  <si>
    <t>$1,878,023</t>
  </si>
  <si>
    <t>Annual Sales (MWh)</t>
  </si>
  <si>
    <t>Peak (Trans Obl - MW)</t>
  </si>
  <si>
    <t>RHS</t>
  </si>
  <si>
    <t>RLM</t>
  </si>
  <si>
    <t>WH</t>
  </si>
  <si>
    <t>WHS</t>
  </si>
  <si>
    <t>HS</t>
  </si>
  <si>
    <t>PSAL</t>
  </si>
  <si>
    <t>BPL</t>
  </si>
  <si>
    <t>GLP</t>
  </si>
  <si>
    <t>LPL-S</t>
  </si>
  <si>
    <t>Peak (MW)</t>
  </si>
  <si>
    <t>SC1/SC5</t>
  </si>
  <si>
    <t>SC2 Secondary</t>
  </si>
  <si>
    <t>SC2 Primary</t>
  </si>
  <si>
    <t>SC3</t>
  </si>
  <si>
    <t>SC4</t>
  </si>
  <si>
    <t>SC6</t>
  </si>
  <si>
    <t>SC7</t>
  </si>
  <si>
    <t>COSS</t>
  </si>
  <si>
    <t>Schedule</t>
  </si>
  <si>
    <t>Normalized kWh</t>
  </si>
  <si>
    <t>kWh %</t>
  </si>
  <si>
    <t>Customers</t>
  </si>
  <si>
    <t>%</t>
  </si>
  <si>
    <t>GSV</t>
  </si>
  <si>
    <t>GSS</t>
  </si>
  <si>
    <t>GSM</t>
  </si>
  <si>
    <t>GSL</t>
  </si>
  <si>
    <t>GP/TP</t>
  </si>
  <si>
    <t>PP44</t>
  </si>
  <si>
    <t>PP46</t>
  </si>
  <si>
    <t>POL</t>
  </si>
  <si>
    <t>STLT</t>
  </si>
  <si>
    <t>PSU</t>
  </si>
  <si>
    <t>kWh Usage</t>
  </si>
  <si>
    <t>rkVa</t>
  </si>
  <si>
    <t>Xfmr Charge</t>
  </si>
  <si>
    <t>Total Revenues</t>
  </si>
  <si>
    <t>TRF</t>
  </si>
  <si>
    <t>STL</t>
  </si>
  <si>
    <t>Allocator Name</t>
  </si>
  <si>
    <t>Single Family w/o Space Heat</t>
  </si>
  <si>
    <t>Multi Family w/o Space Heat</t>
  </si>
  <si>
    <t>Single Family w/ Space Heat</t>
  </si>
  <si>
    <t>Multi Family w/ Space Heat</t>
  </si>
  <si>
    <t>Watt-Hour</t>
  </si>
  <si>
    <t>Small Load 0-100 kW</t>
  </si>
  <si>
    <t>Medium Load 101-400 kW</t>
  </si>
  <si>
    <t>Large Load 401-1000 kW</t>
  </si>
  <si>
    <t>Small Load 0-100 kw</t>
  </si>
  <si>
    <t>Medium Load 101-400 kw</t>
  </si>
  <si>
    <t>Large Load 401-1000 kw</t>
  </si>
  <si>
    <t>Extra Large Load Over 10,000 kW</t>
  </si>
  <si>
    <t>High Voltage Up to 10,000 kW</t>
  </si>
  <si>
    <t>High Voltage Over 10,000 kW</t>
  </si>
  <si>
    <r>
      <t>KWH-ALL</t>
    </r>
    <r>
      <rPr>
        <sz val="12"/>
        <color rgb="FF1F1F1F"/>
        <rFont val="Arial"/>
        <family val="2"/>
      </rPr>
      <t xml:space="preserve"> (EXT)</t>
    </r>
  </si>
  <si>
    <t>KWH-ALL%</t>
  </si>
  <si>
    <r>
      <t>CP 69KV &amp; below</t>
    </r>
    <r>
      <rPr>
        <sz val="12"/>
        <color rgb="FF1F1F1F"/>
        <rFont val="Arial"/>
        <family val="2"/>
      </rPr>
      <t xml:space="preserve"> (EXT)</t>
    </r>
  </si>
  <si>
    <t>CP 69KV &amp; below%</t>
  </si>
  <si>
    <r>
      <t>CP-ALL</t>
    </r>
    <r>
      <rPr>
        <sz val="12"/>
        <color rgb="FF1F1F1F"/>
        <rFont val="Arial"/>
        <family val="2"/>
      </rPr>
      <t xml:space="preserve"> (EXT)</t>
    </r>
  </si>
  <si>
    <t>CP-ALL%</t>
  </si>
  <si>
    <t>Very Large Load Over 1,000-10,000 kw</t>
  </si>
  <si>
    <t>Fixt. Incl. Ltg</t>
  </si>
  <si>
    <t>Non Alley Dusk to Dawn</t>
  </si>
  <si>
    <t>Alley Dusk to Dawn</t>
  </si>
  <si>
    <t>General Lighting inc. Traffic Signals</t>
  </si>
  <si>
    <t>Railroad</t>
  </si>
  <si>
    <r>
      <t>CP 69kV &amp; below</t>
    </r>
    <r>
      <rPr>
        <sz val="12"/>
        <color rgb="FF1F1F1F"/>
        <rFont val="Arial"/>
        <family val="2"/>
      </rPr>
      <t xml:space="preserve"> (EXT)</t>
    </r>
  </si>
  <si>
    <t>CP 69kV &amp; below%</t>
  </si>
  <si>
    <t>2020-2023</t>
  </si>
  <si>
    <t>0 -100 kW TOD</t>
  </si>
  <si>
    <t xml:space="preserve">Outdoor </t>
  </si>
  <si>
    <t>Lights</t>
  </si>
  <si>
    <t xml:space="preserve">Total </t>
  </si>
  <si>
    <t>for Sched E</t>
  </si>
  <si>
    <t>Rate Classes</t>
  </si>
  <si>
    <t>B-2</t>
  </si>
  <si>
    <t>Large Indust</t>
  </si>
  <si>
    <t>Rate</t>
  </si>
  <si>
    <t>GS 1</t>
  </si>
  <si>
    <t>SC1</t>
  </si>
  <si>
    <t>SC2</t>
  </si>
  <si>
    <t>LP1</t>
  </si>
  <si>
    <t>LP2</t>
  </si>
  <si>
    <t>G-1</t>
  </si>
  <si>
    <t>Gen Service</t>
  </si>
  <si>
    <t>Large Power</t>
  </si>
  <si>
    <t>Large Indust.</t>
  </si>
  <si>
    <t>for All</t>
  </si>
  <si>
    <t>&amp; Farm</t>
  </si>
  <si>
    <t>&amp; Farm TOD</t>
  </si>
  <si>
    <t>0-100 kW</t>
  </si>
  <si>
    <t>under 500 kW</t>
  </si>
  <si>
    <t>over 500 kW</t>
  </si>
  <si>
    <t>ENERGY KWH</t>
  </si>
  <si>
    <t>MONTHLY CONTRIBUTIONS TO EKPC COINCIDENT PEAK DEMAND - KW</t>
  </si>
  <si>
    <t>Residential and Farm</t>
  </si>
  <si>
    <t>Residential and Farm Inclining Block</t>
  </si>
  <si>
    <t>Residential and Farm Time-of-Day Rate</t>
  </si>
  <si>
    <t>General Service (0-100 KW)</t>
  </si>
  <si>
    <t>General Service 0-100 KW Time of Day Rate</t>
  </si>
  <si>
    <t>Large Power (101 - 500 kW)</t>
  </si>
  <si>
    <t>Large Power (over 500 kW)</t>
  </si>
  <si>
    <t>Large Industrial (1,000 - 3,999 kW)</t>
  </si>
  <si>
    <t>Large Industrial (over 4,000 kW)</t>
  </si>
  <si>
    <t>Large Industrial Rate (15,000+ kW)</t>
  </si>
  <si>
    <t>2024-2025</t>
  </si>
  <si>
    <t>Sum of Coincident Demands</t>
  </si>
  <si>
    <t>TP</t>
  </si>
  <si>
    <t>BRD</t>
  </si>
  <si>
    <t>MS</t>
  </si>
  <si>
    <t>Line</t>
  </si>
  <si>
    <t>Description</t>
  </si>
  <si>
    <t>Residential (1)</t>
  </si>
  <si>
    <t>Residential Heating (2)</t>
  </si>
  <si>
    <t>General Service (3)</t>
  </si>
  <si>
    <t>Primary Distribution (4)</t>
  </si>
  <si>
    <t>High Tension (5)</t>
  </si>
  <si>
    <t>Electric Propulsion (6)</t>
  </si>
  <si>
    <t>Lighting (7)</t>
  </si>
  <si>
    <t>Distribution Rate Base ($000)</t>
  </si>
  <si>
    <t>$3,518,641</t>
  </si>
  <si>
    <t>$706,229</t>
  </si>
  <si>
    <t>$1,178,183</t>
  </si>
  <si>
    <t>$35,869</t>
  </si>
  <si>
    <t>$782,132</t>
  </si>
  <si>
    <t>$37,024</t>
  </si>
  <si>
    <t>$93,698</t>
  </si>
  <si>
    <t>Class CP (kW)</t>
  </si>
  <si>
    <t>Class NCP (kW)</t>
  </si>
  <si>
    <t>Energy Sales (MWh)</t>
  </si>
  <si>
    <t>Allocator Names</t>
  </si>
  <si>
    <t>Residential Heating</t>
  </si>
  <si>
    <t>General Service</t>
  </si>
  <si>
    <t>Primary Distribution</t>
  </si>
  <si>
    <t>High Tension</t>
  </si>
  <si>
    <t>Electric Propulsion</t>
  </si>
  <si>
    <t>Energy @ Generation</t>
  </si>
  <si>
    <t>Demand Transmission (1CP)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</si>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</sst>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i/>
      <sz val="12"/>
      <color rgb="FF1F1F1F"/>
      <name val="Arial"/>
      <family val="2"/>
    </font>
    <font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3" fontId="1" fillId="0" borderId="0" xfId="0" applyNumberFormat="1" applyFont="1"/>
    <xf numFmtId="0" fontId="3" fillId="0" borderId="0" xfId="0" applyFont="1"/>
    <xf numFmtId="3" fontId="3" fillId="0" borderId="0" xfId="0" applyNumberFormat="1" applyFont="1"/>
    <xf numFmtId="9" fontId="1" fillId="0" borderId="0" xfId="0" applyNumberFormat="1" applyFont="1"/>
    <xf numFmtId="4" fontId="1" fillId="0" borderId="0" xfId="0" applyNumberFormat="1" applyFont="1"/>
    <xf numFmtId="10" fontId="1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0" fontId="6" fillId="0" borderId="0" xfId="0" applyFont="1"/>
    <xf numFmtId="3" fontId="6" fillId="0" borderId="0" xfId="0" applyNumberFormat="1" applyFont="1"/>
    <xf numFmtId="3" fontId="7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/>
    <xf numFmtId="10" fontId="2" fillId="0" borderId="0" xfId="0" applyNumberFormat="1" applyFont="1"/>
    <xf numFmtId="10" fontId="3" fillId="0" borderId="0" xfId="0" applyNumberFormat="1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6DFB-9480-CD42-A700-F971D68E5968}">
  <dimension ref="A1:I48"/>
  <sheetViews>
    <sheetView workbookViewId="0">
      <selection activeCell="C7" sqref="C7"/>
    </sheetView>
  </sheetViews>
  <sheetFormatPr baseColWidth="10" defaultRowHeight="16" x14ac:dyDescent="0.2"/>
  <cols>
    <col min="1" max="1" width="23.1640625" style="4" customWidth="1"/>
    <col min="2" max="2" width="27.83203125" style="4" customWidth="1"/>
    <col min="3" max="3" width="32" style="4" customWidth="1"/>
    <col min="4" max="4" width="25.83203125" style="4" customWidth="1"/>
    <col min="5" max="5" width="10.83203125" style="4"/>
    <col min="6" max="6" width="12.33203125" style="4" customWidth="1"/>
    <col min="7" max="16384" width="10.83203125" style="4"/>
  </cols>
  <sheetData>
    <row r="1" spans="1:9" x14ac:dyDescent="0.2">
      <c r="A1" s="14">
        <v>2020</v>
      </c>
      <c r="B1" s="14"/>
      <c r="C1" s="14"/>
      <c r="D1" s="14"/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G2" s="1" t="s">
        <v>16</v>
      </c>
      <c r="I2" s="4" t="s">
        <v>57</v>
      </c>
    </row>
    <row r="3" spans="1:9" x14ac:dyDescent="0.2">
      <c r="A3" s="2" t="s">
        <v>4</v>
      </c>
      <c r="B3" s="3">
        <v>1599</v>
      </c>
      <c r="C3" s="2" t="s">
        <v>5</v>
      </c>
      <c r="D3" s="3">
        <v>3862087569</v>
      </c>
      <c r="F3" s="4" t="s">
        <v>17</v>
      </c>
      <c r="G3" s="4">
        <f>B3*8760/D3*1000</f>
        <v>3.6268571723832914</v>
      </c>
      <c r="I3" s="4">
        <f>(G3+G11+G19+G27+G35+G43)/6</f>
        <v>3.4565784839491136</v>
      </c>
    </row>
    <row r="4" spans="1:9" x14ac:dyDescent="0.2">
      <c r="A4" s="2" t="s">
        <v>6</v>
      </c>
      <c r="B4" s="2">
        <v>380</v>
      </c>
      <c r="C4" s="2" t="s">
        <v>7</v>
      </c>
      <c r="D4" s="3">
        <v>1263645888</v>
      </c>
      <c r="F4" s="4" t="s">
        <v>18</v>
      </c>
      <c r="G4" s="4">
        <f>(B4+B5)*8760/(D4+D5)*1000</f>
        <v>2.6359791912163177</v>
      </c>
      <c r="I4" s="4">
        <f>(G4+G12+G20+G28+G36+G44)/6</f>
        <v>2.4174417083504895</v>
      </c>
    </row>
    <row r="5" spans="1:9" x14ac:dyDescent="0.2">
      <c r="A5" s="2" t="s">
        <v>8</v>
      </c>
      <c r="B5" s="2">
        <v>8</v>
      </c>
      <c r="C5" s="2" t="s">
        <v>9</v>
      </c>
      <c r="D5" s="3">
        <v>25772485</v>
      </c>
    </row>
    <row r="6" spans="1:9" x14ac:dyDescent="0.2">
      <c r="A6" s="2" t="s">
        <v>10</v>
      </c>
      <c r="B6" s="2">
        <v>371</v>
      </c>
      <c r="C6" s="2" t="s">
        <v>11</v>
      </c>
      <c r="D6" s="3">
        <v>1755110088</v>
      </c>
      <c r="F6" s="4" t="s">
        <v>19</v>
      </c>
      <c r="G6" s="4">
        <f>(B6+B7+B8)*8760/(D6+D7+D8)*1000</f>
        <v>1.616383115713202</v>
      </c>
      <c r="I6" s="4">
        <f>(G6+G14+G22+G30+G38+G46)/6</f>
        <v>1.5717577093872122</v>
      </c>
    </row>
    <row r="7" spans="1:9" x14ac:dyDescent="0.2">
      <c r="A7" s="2" t="s">
        <v>12</v>
      </c>
      <c r="B7" s="2">
        <v>91</v>
      </c>
      <c r="C7" s="2" t="s">
        <v>13</v>
      </c>
      <c r="D7" s="3">
        <v>554832432</v>
      </c>
    </row>
    <row r="8" spans="1:9" x14ac:dyDescent="0.2">
      <c r="A8" s="2" t="s">
        <v>14</v>
      </c>
      <c r="B8" s="2">
        <v>156</v>
      </c>
      <c r="C8" s="2" t="s">
        <v>15</v>
      </c>
      <c r="D8" s="3">
        <v>1039312955</v>
      </c>
    </row>
    <row r="9" spans="1:9" x14ac:dyDescent="0.2">
      <c r="A9" s="14">
        <v>2021</v>
      </c>
      <c r="B9" s="14"/>
      <c r="C9" s="14"/>
      <c r="D9" s="14"/>
    </row>
    <row r="10" spans="1:9" x14ac:dyDescent="0.2">
      <c r="A10" s="1" t="s">
        <v>0</v>
      </c>
      <c r="B10" s="1" t="s">
        <v>1</v>
      </c>
      <c r="C10" s="1" t="s">
        <v>2</v>
      </c>
      <c r="D10" s="1" t="s">
        <v>20</v>
      </c>
    </row>
    <row r="11" spans="1:9" x14ac:dyDescent="0.2">
      <c r="A11" s="2" t="s">
        <v>4</v>
      </c>
      <c r="B11" s="3">
        <v>1494</v>
      </c>
      <c r="C11" s="2" t="s">
        <v>21</v>
      </c>
      <c r="D11" s="3">
        <v>3872080638</v>
      </c>
      <c r="F11" s="4" t="s">
        <v>17</v>
      </c>
      <c r="G11" s="4">
        <f>B11*8760/D11*1000</f>
        <v>3.379950270550125</v>
      </c>
    </row>
    <row r="12" spans="1:9" x14ac:dyDescent="0.2">
      <c r="A12" s="2" t="s">
        <v>22</v>
      </c>
      <c r="B12" s="2">
        <v>382</v>
      </c>
      <c r="C12" s="2" t="s">
        <v>23</v>
      </c>
      <c r="D12" s="3">
        <v>1189523609</v>
      </c>
      <c r="F12" s="4" t="s">
        <v>18</v>
      </c>
      <c r="G12" s="4">
        <f>(B12+B13)*8760/(D12+D13)*1000</f>
        <v>2.7904693697078695</v>
      </c>
    </row>
    <row r="13" spans="1:9" x14ac:dyDescent="0.2">
      <c r="A13" s="2" t="s">
        <v>8</v>
      </c>
      <c r="B13" s="2">
        <v>7</v>
      </c>
      <c r="C13" s="2" t="s">
        <v>24</v>
      </c>
      <c r="D13" s="3">
        <v>31647294</v>
      </c>
    </row>
    <row r="14" spans="1:9" x14ac:dyDescent="0.2">
      <c r="A14" s="2" t="s">
        <v>10</v>
      </c>
      <c r="B14" s="2">
        <v>368</v>
      </c>
      <c r="C14" s="2" t="s">
        <v>25</v>
      </c>
      <c r="D14" s="3">
        <v>1642429886</v>
      </c>
      <c r="F14" s="4" t="s">
        <v>19</v>
      </c>
      <c r="G14" s="4">
        <f>(B14+B15+B16)*8760/(D14+D15+D16)*1000</f>
        <v>1.6439753473625056</v>
      </c>
    </row>
    <row r="15" spans="1:9" x14ac:dyDescent="0.2">
      <c r="A15" s="2" t="s">
        <v>12</v>
      </c>
      <c r="B15" s="2">
        <v>95</v>
      </c>
      <c r="C15" s="2" t="s">
        <v>26</v>
      </c>
      <c r="D15" s="3">
        <v>533918087</v>
      </c>
    </row>
    <row r="16" spans="1:9" x14ac:dyDescent="0.2">
      <c r="A16" s="2" t="s">
        <v>14</v>
      </c>
      <c r="B16" s="2">
        <v>127</v>
      </c>
      <c r="C16" s="2" t="s">
        <v>27</v>
      </c>
      <c r="D16" s="3">
        <v>967494791</v>
      </c>
    </row>
    <row r="17" spans="1:7" x14ac:dyDescent="0.2">
      <c r="A17" s="14">
        <v>2022</v>
      </c>
      <c r="B17" s="14"/>
      <c r="C17" s="14"/>
      <c r="D17" s="14"/>
    </row>
    <row r="18" spans="1:7" x14ac:dyDescent="0.2">
      <c r="A18" s="1" t="s">
        <v>0</v>
      </c>
      <c r="B18" s="1" t="s">
        <v>1</v>
      </c>
      <c r="C18" s="1" t="s">
        <v>2</v>
      </c>
      <c r="D18" s="1" t="s">
        <v>29</v>
      </c>
    </row>
    <row r="19" spans="1:7" x14ac:dyDescent="0.2">
      <c r="A19" s="2" t="s">
        <v>4</v>
      </c>
      <c r="B19" s="3">
        <v>1577</v>
      </c>
      <c r="C19" s="2" t="s">
        <v>30</v>
      </c>
      <c r="D19" s="3">
        <v>4053632865</v>
      </c>
      <c r="F19" s="4" t="s">
        <v>17</v>
      </c>
      <c r="G19" s="4">
        <f>B19*8760/D19*1000</f>
        <v>3.40793566168208</v>
      </c>
    </row>
    <row r="20" spans="1:7" x14ac:dyDescent="0.2">
      <c r="A20" s="2" t="s">
        <v>6</v>
      </c>
      <c r="B20" s="2">
        <v>349</v>
      </c>
      <c r="C20" s="2" t="s">
        <v>31</v>
      </c>
      <c r="D20" s="3">
        <v>1286085535</v>
      </c>
      <c r="F20" s="4" t="s">
        <v>18</v>
      </c>
      <c r="G20" s="4">
        <f>(B20+B21)*8760/(D20+D21)*1000</f>
        <v>2.3548107580581612</v>
      </c>
    </row>
    <row r="21" spans="1:7" x14ac:dyDescent="0.2">
      <c r="A21" s="2" t="s">
        <v>8</v>
      </c>
      <c r="B21" s="2">
        <v>9</v>
      </c>
      <c r="C21" s="2" t="s">
        <v>32</v>
      </c>
      <c r="D21" s="3">
        <v>45690273</v>
      </c>
    </row>
    <row r="22" spans="1:7" x14ac:dyDescent="0.2">
      <c r="A22" s="2" t="s">
        <v>10</v>
      </c>
      <c r="B22" s="2">
        <v>315</v>
      </c>
      <c r="C22" s="2" t="s">
        <v>33</v>
      </c>
      <c r="D22" s="3">
        <v>1610533369</v>
      </c>
      <c r="F22" s="4" t="s">
        <v>19</v>
      </c>
      <c r="G22" s="4">
        <f>(B22+B23+B24)*8760/(D22+D23+D24)*1000</f>
        <v>1.5359046287965885</v>
      </c>
    </row>
    <row r="23" spans="1:7" x14ac:dyDescent="0.2">
      <c r="A23" s="2" t="s">
        <v>12</v>
      </c>
      <c r="B23" s="2">
        <v>88</v>
      </c>
      <c r="C23" s="2" t="s">
        <v>34</v>
      </c>
      <c r="D23" s="3">
        <v>550675023</v>
      </c>
    </row>
    <row r="24" spans="1:7" x14ac:dyDescent="0.2">
      <c r="A24" s="2" t="s">
        <v>14</v>
      </c>
      <c r="B24" s="2">
        <v>140</v>
      </c>
      <c r="C24" s="2" t="s">
        <v>35</v>
      </c>
      <c r="D24" s="3">
        <v>935780777</v>
      </c>
    </row>
    <row r="25" spans="1:7" x14ac:dyDescent="0.2">
      <c r="A25" s="14">
        <v>2023</v>
      </c>
      <c r="B25" s="14"/>
      <c r="C25" s="14"/>
      <c r="D25" s="14"/>
    </row>
    <row r="26" spans="1:7" x14ac:dyDescent="0.2">
      <c r="A26" s="1" t="s">
        <v>0</v>
      </c>
      <c r="B26" s="1" t="s">
        <v>1</v>
      </c>
      <c r="C26" s="1" t="s">
        <v>2</v>
      </c>
      <c r="D26" s="1" t="s">
        <v>36</v>
      </c>
    </row>
    <row r="27" spans="1:7" x14ac:dyDescent="0.2">
      <c r="A27" s="2" t="s">
        <v>4</v>
      </c>
      <c r="B27" s="3">
        <v>1480</v>
      </c>
      <c r="C27" s="2" t="s">
        <v>37</v>
      </c>
      <c r="D27" s="3">
        <v>3920176482</v>
      </c>
      <c r="F27" s="4" t="s">
        <v>17</v>
      </c>
      <c r="G27" s="4">
        <f>B27*8760/D27*1000</f>
        <v>3.3071980456822709</v>
      </c>
    </row>
    <row r="28" spans="1:7" x14ac:dyDescent="0.2">
      <c r="A28" s="2" t="s">
        <v>6</v>
      </c>
      <c r="B28" s="2">
        <v>381</v>
      </c>
      <c r="C28" s="2" t="s">
        <v>38</v>
      </c>
      <c r="D28" s="3">
        <v>1327145403</v>
      </c>
      <c r="F28" s="4" t="s">
        <v>18</v>
      </c>
      <c r="G28" s="4">
        <f>(B28+B29)*8760/(D28+D29)*1000</f>
        <v>2.4012116346527308</v>
      </c>
    </row>
    <row r="29" spans="1:7" x14ac:dyDescent="0.2">
      <c r="A29" s="2" t="s">
        <v>8</v>
      </c>
      <c r="B29" s="2">
        <v>14</v>
      </c>
      <c r="C29" s="2" t="s">
        <v>39</v>
      </c>
      <c r="D29" s="3">
        <v>113877100</v>
      </c>
    </row>
    <row r="30" spans="1:7" x14ac:dyDescent="0.2">
      <c r="A30" s="2" t="s">
        <v>10</v>
      </c>
      <c r="B30" s="2">
        <v>326</v>
      </c>
      <c r="C30" s="2" t="s">
        <v>40</v>
      </c>
      <c r="D30" s="3">
        <v>1553445385</v>
      </c>
      <c r="F30" s="4" t="s">
        <v>19</v>
      </c>
      <c r="G30" s="4">
        <f>(B30+B31+B32)*8760/(D30+D31+D32)*1000</f>
        <v>1.5599864398318617</v>
      </c>
    </row>
    <row r="31" spans="1:7" x14ac:dyDescent="0.2">
      <c r="A31" s="2" t="s">
        <v>12</v>
      </c>
      <c r="B31" s="2">
        <v>88</v>
      </c>
      <c r="C31" s="2" t="s">
        <v>41</v>
      </c>
      <c r="D31" s="3">
        <v>546241003</v>
      </c>
    </row>
    <row r="32" spans="1:7" x14ac:dyDescent="0.2">
      <c r="A32" s="2" t="s">
        <v>14</v>
      </c>
      <c r="B32" s="2">
        <v>155</v>
      </c>
      <c r="C32" s="2" t="s">
        <v>42</v>
      </c>
      <c r="D32" s="3">
        <v>1095495232</v>
      </c>
    </row>
    <row r="33" spans="1:7" x14ac:dyDescent="0.2">
      <c r="A33" s="14">
        <v>2024</v>
      </c>
      <c r="B33" s="14"/>
      <c r="C33" s="14"/>
      <c r="D33" s="14"/>
    </row>
    <row r="34" spans="1:7" x14ac:dyDescent="0.2">
      <c r="A34" s="1" t="s">
        <v>0</v>
      </c>
      <c r="B34" s="1" t="s">
        <v>1</v>
      </c>
      <c r="C34" s="1" t="s">
        <v>2</v>
      </c>
      <c r="D34" s="1" t="s">
        <v>43</v>
      </c>
    </row>
    <row r="35" spans="1:7" x14ac:dyDescent="0.2">
      <c r="A35" s="2" t="s">
        <v>4</v>
      </c>
      <c r="B35" s="3">
        <v>1526</v>
      </c>
      <c r="C35" s="2" t="s">
        <v>44</v>
      </c>
      <c r="D35" s="3">
        <v>3869788464</v>
      </c>
      <c r="F35" s="4" t="s">
        <v>17</v>
      </c>
      <c r="G35" s="4">
        <f>B35*8760/D35*1000</f>
        <v>3.454390368971858</v>
      </c>
    </row>
    <row r="36" spans="1:7" x14ac:dyDescent="0.2">
      <c r="A36" s="2" t="s">
        <v>6</v>
      </c>
      <c r="B36" s="2">
        <v>378</v>
      </c>
      <c r="C36" s="2" t="s">
        <v>45</v>
      </c>
      <c r="D36" s="3">
        <v>1336717494</v>
      </c>
      <c r="F36" s="4" t="s">
        <v>18</v>
      </c>
      <c r="G36" s="4">
        <f>(B36+B37)*8760/(D36+D37)*1000</f>
        <v>2.4089702590498323</v>
      </c>
    </row>
    <row r="37" spans="1:7" x14ac:dyDescent="0.2">
      <c r="A37" s="2" t="s">
        <v>8</v>
      </c>
      <c r="B37" s="2">
        <v>14</v>
      </c>
      <c r="C37" s="2" t="s">
        <v>46</v>
      </c>
      <c r="D37" s="3">
        <v>88754650</v>
      </c>
    </row>
    <row r="38" spans="1:7" x14ac:dyDescent="0.2">
      <c r="A38" s="2" t="s">
        <v>10</v>
      </c>
      <c r="B38" s="2">
        <v>312</v>
      </c>
      <c r="C38" s="2" t="s">
        <v>47</v>
      </c>
      <c r="D38" s="3">
        <v>1472654710</v>
      </c>
      <c r="F38" s="4" t="s">
        <v>19</v>
      </c>
      <c r="G38" s="4">
        <f>(B38+B39+B40)*8760/(D38+D39+D40)*1000</f>
        <v>1.6247501111324349</v>
      </c>
    </row>
    <row r="39" spans="1:7" x14ac:dyDescent="0.2">
      <c r="A39" s="2" t="s">
        <v>12</v>
      </c>
      <c r="B39" s="2">
        <v>94</v>
      </c>
      <c r="C39" s="2" t="s">
        <v>48</v>
      </c>
      <c r="D39" s="3">
        <v>532181110</v>
      </c>
    </row>
    <row r="40" spans="1:7" x14ac:dyDescent="0.2">
      <c r="A40" s="2" t="s">
        <v>14</v>
      </c>
      <c r="B40" s="2">
        <v>152</v>
      </c>
      <c r="C40" s="2" t="s">
        <v>49</v>
      </c>
      <c r="D40" s="3">
        <v>1003676053</v>
      </c>
    </row>
    <row r="41" spans="1:7" x14ac:dyDescent="0.2">
      <c r="A41" s="14">
        <v>2025</v>
      </c>
      <c r="B41" s="14"/>
      <c r="C41" s="14"/>
      <c r="D41" s="14"/>
    </row>
    <row r="42" spans="1:7" x14ac:dyDescent="0.2">
      <c r="A42" s="1" t="s">
        <v>0</v>
      </c>
      <c r="B42" s="1" t="s">
        <v>1</v>
      </c>
      <c r="C42" s="1" t="s">
        <v>2</v>
      </c>
      <c r="D42" s="1" t="s">
        <v>50</v>
      </c>
    </row>
    <row r="43" spans="1:7" x14ac:dyDescent="0.2">
      <c r="A43" s="2" t="s">
        <v>4</v>
      </c>
      <c r="B43" s="3">
        <v>1595</v>
      </c>
      <c r="C43" s="2" t="s">
        <v>51</v>
      </c>
      <c r="D43" s="3">
        <v>3921317269</v>
      </c>
      <c r="F43" s="4" t="s">
        <v>17</v>
      </c>
      <c r="G43" s="4">
        <f>B43*8760/D43*1000</f>
        <v>3.5631393844250554</v>
      </c>
    </row>
    <row r="44" spans="1:7" x14ac:dyDescent="0.2">
      <c r="A44" s="2" t="s">
        <v>6</v>
      </c>
      <c r="B44" s="2">
        <v>305</v>
      </c>
      <c r="C44" s="2" t="s">
        <v>52</v>
      </c>
      <c r="D44" s="3">
        <v>1378932876</v>
      </c>
      <c r="F44" s="4" t="s">
        <v>18</v>
      </c>
      <c r="G44" s="4">
        <f>(B44+B45)*8760/(D44+D45)*1000</f>
        <v>1.9132090374180257</v>
      </c>
    </row>
    <row r="45" spans="1:7" x14ac:dyDescent="0.2">
      <c r="A45" s="2" t="s">
        <v>8</v>
      </c>
      <c r="B45" s="2">
        <v>17</v>
      </c>
      <c r="C45" s="2" t="s">
        <v>53</v>
      </c>
      <c r="D45" s="3">
        <v>95406804</v>
      </c>
    </row>
    <row r="46" spans="1:7" x14ac:dyDescent="0.2">
      <c r="A46" s="2" t="s">
        <v>10</v>
      </c>
      <c r="B46" s="2">
        <v>268</v>
      </c>
      <c r="C46" s="2" t="s">
        <v>54</v>
      </c>
      <c r="D46" s="3">
        <v>1451746086</v>
      </c>
      <c r="F46" s="4" t="s">
        <v>19</v>
      </c>
      <c r="G46" s="4">
        <f>(B46+B47+B48)*8760/(D46+D47+D48)*1000</f>
        <v>1.4495466134866799</v>
      </c>
    </row>
    <row r="47" spans="1:7" x14ac:dyDescent="0.2">
      <c r="A47" s="2" t="s">
        <v>12</v>
      </c>
      <c r="B47" s="2">
        <v>91</v>
      </c>
      <c r="C47" s="2" t="s">
        <v>55</v>
      </c>
      <c r="D47" s="3">
        <v>532004931</v>
      </c>
    </row>
    <row r="48" spans="1:7" x14ac:dyDescent="0.2">
      <c r="A48" s="2" t="s">
        <v>14</v>
      </c>
      <c r="B48" s="2">
        <v>127</v>
      </c>
      <c r="C48" s="2" t="s">
        <v>56</v>
      </c>
      <c r="D48" s="3">
        <v>953277679</v>
      </c>
    </row>
  </sheetData>
  <mergeCells count="6">
    <mergeCell ref="A41:D41"/>
    <mergeCell ref="A1:D1"/>
    <mergeCell ref="A9:D9"/>
    <mergeCell ref="A17:D17"/>
    <mergeCell ref="A25:D25"/>
    <mergeCell ref="A33:D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3A3B-7CA9-2149-A174-D1D8752278D6}">
  <dimension ref="A1:I49"/>
  <sheetViews>
    <sheetView topLeftCell="A17" workbookViewId="0">
      <selection activeCell="E35" sqref="E35"/>
    </sheetView>
  </sheetViews>
  <sheetFormatPr baseColWidth="10" defaultRowHeight="16" x14ac:dyDescent="0.2"/>
  <cols>
    <col min="1" max="1" width="8.5" style="4" bestFit="1" customWidth="1"/>
    <col min="2" max="2" width="43" style="4" bestFit="1" customWidth="1"/>
    <col min="3" max="3" width="20.83203125" style="4" customWidth="1"/>
    <col min="4" max="4" width="24.83203125" style="4" customWidth="1"/>
    <col min="5" max="5" width="10.83203125" style="4"/>
    <col min="6" max="6" width="13.33203125" style="4" customWidth="1"/>
    <col min="7" max="7" width="14.1640625" style="4" bestFit="1" customWidth="1"/>
    <col min="8" max="16384" width="10.83203125" style="4"/>
  </cols>
  <sheetData>
    <row r="1" spans="1:9" x14ac:dyDescent="0.2">
      <c r="A1" s="15">
        <v>2020</v>
      </c>
      <c r="B1" s="15"/>
      <c r="C1" s="15"/>
      <c r="D1" s="15"/>
    </row>
    <row r="2" spans="1:9" x14ac:dyDescent="0.2">
      <c r="A2" s="1" t="s">
        <v>58</v>
      </c>
      <c r="B2" s="1" t="s">
        <v>0</v>
      </c>
      <c r="C2" s="1" t="s">
        <v>59</v>
      </c>
      <c r="D2" s="1" t="s">
        <v>60</v>
      </c>
      <c r="G2" s="4" t="s">
        <v>16</v>
      </c>
      <c r="I2" s="4" t="s">
        <v>57</v>
      </c>
    </row>
    <row r="3" spans="1:9" x14ac:dyDescent="0.2">
      <c r="A3" s="2">
        <v>-1</v>
      </c>
      <c r="B3" s="2" t="s">
        <v>61</v>
      </c>
      <c r="C3" s="3">
        <v>2920729</v>
      </c>
      <c r="D3" s="3">
        <v>16286828615</v>
      </c>
    </row>
    <row r="4" spans="1:9" x14ac:dyDescent="0.2">
      <c r="A4" s="2">
        <v>-2</v>
      </c>
      <c r="B4" s="2" t="s">
        <v>62</v>
      </c>
      <c r="C4" s="3">
        <v>1713576</v>
      </c>
      <c r="D4" s="3">
        <v>7180764153</v>
      </c>
      <c r="F4" s="4" t="s">
        <v>17</v>
      </c>
      <c r="G4" s="4">
        <f>C4*8760/D4</f>
        <v>2.0904357029646619</v>
      </c>
      <c r="I4" s="4">
        <f>(G4+G13+G21+G29+G37+G45)/6</f>
        <v>2.0941200118012575</v>
      </c>
    </row>
    <row r="5" spans="1:9" x14ac:dyDescent="0.2">
      <c r="A5" s="2">
        <v>-3</v>
      </c>
      <c r="B5" s="2" t="s">
        <v>63</v>
      </c>
      <c r="C5" s="3">
        <v>143610</v>
      </c>
      <c r="D5" s="3">
        <v>697725111</v>
      </c>
      <c r="F5" s="4" t="s">
        <v>18</v>
      </c>
      <c r="G5" s="4">
        <f>(C5+C6+C7)*8760/(D5+D6+D7)</f>
        <v>1.3865114347835426</v>
      </c>
      <c r="I5" s="4">
        <f>(G5+G14+G22+G30+G38+G46)/6</f>
        <v>1.4667923183730647</v>
      </c>
    </row>
    <row r="6" spans="1:9" x14ac:dyDescent="0.2">
      <c r="A6" s="2">
        <v>-4</v>
      </c>
      <c r="B6" s="2" t="s">
        <v>64</v>
      </c>
      <c r="C6" s="3">
        <v>95533</v>
      </c>
      <c r="D6" s="3">
        <v>498974449</v>
      </c>
    </row>
    <row r="7" spans="1:9" x14ac:dyDescent="0.2">
      <c r="A7" s="2">
        <v>-5</v>
      </c>
      <c r="B7" s="2" t="s">
        <v>65</v>
      </c>
      <c r="C7" s="3">
        <v>349330</v>
      </c>
      <c r="D7" s="3">
        <v>2521281663</v>
      </c>
    </row>
    <row r="8" spans="1:9" x14ac:dyDescent="0.2">
      <c r="A8" s="2">
        <v>-6</v>
      </c>
      <c r="B8" s="2" t="s">
        <v>66</v>
      </c>
      <c r="C8" s="3">
        <v>1013</v>
      </c>
      <c r="D8" s="3">
        <v>7369612</v>
      </c>
      <c r="F8" s="4" t="s">
        <v>19</v>
      </c>
      <c r="G8" s="4">
        <f>(C8+C9)*8760/(D8+D9)</f>
        <v>0.99160524021661456</v>
      </c>
      <c r="I8" s="4">
        <f>(G8+G17+G25+G33+G41+G49)/6</f>
        <v>1.0344029699508444</v>
      </c>
    </row>
    <row r="9" spans="1:9" x14ac:dyDescent="0.2">
      <c r="A9" s="2">
        <v>-7</v>
      </c>
      <c r="B9" s="2" t="s">
        <v>67</v>
      </c>
      <c r="C9" s="3">
        <v>603556</v>
      </c>
      <c r="D9" s="3">
        <v>5333490062</v>
      </c>
    </row>
    <row r="10" spans="1:9" x14ac:dyDescent="0.2">
      <c r="A10" s="15">
        <v>2025</v>
      </c>
      <c r="B10" s="15"/>
      <c r="C10" s="15"/>
      <c r="D10" s="15"/>
    </row>
    <row r="11" spans="1:9" x14ac:dyDescent="0.2">
      <c r="A11" s="1" t="s">
        <v>58</v>
      </c>
      <c r="B11" s="1" t="s">
        <v>0</v>
      </c>
      <c r="C11" s="1" t="s">
        <v>59</v>
      </c>
      <c r="D11" s="1" t="s">
        <v>60</v>
      </c>
    </row>
    <row r="12" spans="1:9" x14ac:dyDescent="0.2">
      <c r="A12" s="2">
        <v>-1</v>
      </c>
      <c r="B12" s="2" t="s">
        <v>61</v>
      </c>
      <c r="C12" s="3">
        <v>2808752</v>
      </c>
      <c r="D12" s="3">
        <v>15017503476</v>
      </c>
    </row>
    <row r="13" spans="1:9" x14ac:dyDescent="0.2">
      <c r="A13" s="2">
        <v>-2</v>
      </c>
      <c r="B13" s="2" t="s">
        <v>62</v>
      </c>
      <c r="C13" s="3">
        <v>1688945</v>
      </c>
      <c r="D13" s="3">
        <v>6926159705</v>
      </c>
      <c r="F13" s="4" t="s">
        <v>17</v>
      </c>
      <c r="G13" s="4">
        <f>C13*8760/D13</f>
        <v>2.1361272090389951</v>
      </c>
    </row>
    <row r="14" spans="1:9" x14ac:dyDescent="0.2">
      <c r="A14" s="2">
        <v>-3</v>
      </c>
      <c r="B14" s="2" t="s">
        <v>63</v>
      </c>
      <c r="C14" s="3">
        <v>126597</v>
      </c>
      <c r="D14" s="3">
        <v>671371557</v>
      </c>
      <c r="F14" s="4" t="s">
        <v>18</v>
      </c>
      <c r="G14" s="4">
        <f>(C14+C16)*8760/(D14+D16)</f>
        <v>1.4336897207761972</v>
      </c>
    </row>
    <row r="15" spans="1:9" x14ac:dyDescent="0.2">
      <c r="A15" s="2">
        <v>-4</v>
      </c>
      <c r="B15" s="2" t="s">
        <v>64</v>
      </c>
      <c r="C15" s="2" t="s">
        <v>28</v>
      </c>
      <c r="D15" s="2" t="s">
        <v>28</v>
      </c>
    </row>
    <row r="16" spans="1:9" x14ac:dyDescent="0.2">
      <c r="A16" s="2">
        <v>-5</v>
      </c>
      <c r="B16" s="2" t="s">
        <v>65</v>
      </c>
      <c r="C16" s="3">
        <v>455267</v>
      </c>
      <c r="D16" s="3">
        <v>2883880717</v>
      </c>
    </row>
    <row r="17" spans="1:7" x14ac:dyDescent="0.2">
      <c r="A17" s="2">
        <v>-6</v>
      </c>
      <c r="B17" s="2" t="s">
        <v>67</v>
      </c>
      <c r="C17" s="3">
        <v>522026</v>
      </c>
      <c r="D17" s="3">
        <v>4445838979</v>
      </c>
      <c r="F17" s="4" t="s">
        <v>19</v>
      </c>
      <c r="G17" s="4">
        <f>C17*8760/D17</f>
        <v>1.0285905048744233</v>
      </c>
    </row>
    <row r="18" spans="1:7" x14ac:dyDescent="0.2">
      <c r="A18" s="16">
        <v>2021</v>
      </c>
      <c r="B18" s="16"/>
      <c r="C18" s="16"/>
      <c r="D18" s="16"/>
    </row>
    <row r="19" spans="1:7" x14ac:dyDescent="0.2">
      <c r="A19" s="1" t="s">
        <v>58</v>
      </c>
      <c r="B19" s="1" t="s">
        <v>0</v>
      </c>
      <c r="C19" s="1" t="s">
        <v>68</v>
      </c>
      <c r="D19" s="1" t="s">
        <v>69</v>
      </c>
    </row>
    <row r="20" spans="1:7" x14ac:dyDescent="0.2">
      <c r="A20" s="2">
        <v>-1</v>
      </c>
      <c r="B20" s="2" t="s">
        <v>61</v>
      </c>
      <c r="C20" s="3">
        <v>2834058</v>
      </c>
      <c r="D20" s="3">
        <v>15311075533</v>
      </c>
    </row>
    <row r="21" spans="1:7" x14ac:dyDescent="0.2">
      <c r="A21" s="2">
        <v>-2</v>
      </c>
      <c r="B21" s="2" t="s">
        <v>62</v>
      </c>
      <c r="C21" s="3">
        <v>1605678</v>
      </c>
      <c r="D21" s="3">
        <v>6741492168</v>
      </c>
      <c r="F21" s="4" t="s">
        <v>17</v>
      </c>
      <c r="G21" s="4">
        <f>C21*8760/D21</f>
        <v>2.0864430202509432</v>
      </c>
    </row>
    <row r="22" spans="1:7" x14ac:dyDescent="0.2">
      <c r="A22" s="2">
        <v>-3</v>
      </c>
      <c r="B22" s="2" t="s">
        <v>63</v>
      </c>
      <c r="C22" s="3">
        <v>120630</v>
      </c>
      <c r="D22" s="3">
        <v>617777796</v>
      </c>
      <c r="F22" s="4" t="s">
        <v>18</v>
      </c>
      <c r="G22" s="4">
        <f>(C22+C23+C24)*8760/(D22+D23+D24)</f>
        <v>1.5003590108636786</v>
      </c>
    </row>
    <row r="23" spans="1:7" x14ac:dyDescent="0.2">
      <c r="A23" s="2">
        <v>-4</v>
      </c>
      <c r="B23" s="2" t="s">
        <v>64</v>
      </c>
      <c r="C23" s="3">
        <v>95733</v>
      </c>
      <c r="D23" s="3">
        <v>439022943</v>
      </c>
    </row>
    <row r="24" spans="1:7" x14ac:dyDescent="0.2">
      <c r="A24" s="2">
        <v>-5</v>
      </c>
      <c r="B24" s="2" t="s">
        <v>65</v>
      </c>
      <c r="C24" s="3">
        <v>395512</v>
      </c>
      <c r="D24" s="3">
        <v>2515694218</v>
      </c>
    </row>
    <row r="25" spans="1:7" x14ac:dyDescent="0.2">
      <c r="A25" s="2">
        <v>-6</v>
      </c>
      <c r="B25" s="2" t="s">
        <v>67</v>
      </c>
      <c r="C25" s="3">
        <v>604102</v>
      </c>
      <c r="D25" s="3">
        <v>4883676841</v>
      </c>
      <c r="F25" s="4" t="s">
        <v>19</v>
      </c>
      <c r="G25" s="4">
        <f>C25*8760/D25</f>
        <v>1.0835961699129142</v>
      </c>
    </row>
    <row r="26" spans="1:7" x14ac:dyDescent="0.2">
      <c r="A26" s="16">
        <v>2022</v>
      </c>
      <c r="B26" s="16"/>
      <c r="C26" s="16"/>
      <c r="D26" s="16"/>
    </row>
    <row r="27" spans="1:7" x14ac:dyDescent="0.2">
      <c r="A27" s="1" t="s">
        <v>58</v>
      </c>
      <c r="B27" s="1" t="s">
        <v>0</v>
      </c>
      <c r="C27" s="1" t="s">
        <v>68</v>
      </c>
      <c r="D27" s="1" t="s">
        <v>69</v>
      </c>
    </row>
    <row r="28" spans="1:7" x14ac:dyDescent="0.2">
      <c r="A28" s="2">
        <v>-1</v>
      </c>
      <c r="B28" s="2" t="s">
        <v>61</v>
      </c>
      <c r="C28" s="3">
        <v>2834058</v>
      </c>
      <c r="D28" s="3">
        <v>15311075533</v>
      </c>
    </row>
    <row r="29" spans="1:7" x14ac:dyDescent="0.2">
      <c r="A29" s="2">
        <v>-2</v>
      </c>
      <c r="B29" s="2" t="s">
        <v>62</v>
      </c>
      <c r="C29" s="3">
        <v>1605678</v>
      </c>
      <c r="D29" s="3">
        <v>6741492168</v>
      </c>
      <c r="F29" s="4" t="s">
        <v>17</v>
      </c>
      <c r="G29" s="4">
        <f>C29*8760/D29</f>
        <v>2.0864430202509432</v>
      </c>
    </row>
    <row r="30" spans="1:7" x14ac:dyDescent="0.2">
      <c r="A30" s="2">
        <v>-3</v>
      </c>
      <c r="B30" s="2" t="s">
        <v>63</v>
      </c>
      <c r="C30" s="3">
        <v>120630</v>
      </c>
      <c r="D30" s="3">
        <v>617777796</v>
      </c>
      <c r="F30" s="4" t="s">
        <v>18</v>
      </c>
      <c r="G30" s="4">
        <f>(C30+C31+C32)*8760/(D30+D31+D32)</f>
        <v>1.5003590108636786</v>
      </c>
    </row>
    <row r="31" spans="1:7" x14ac:dyDescent="0.2">
      <c r="A31" s="2">
        <v>-4</v>
      </c>
      <c r="B31" s="2" t="s">
        <v>64</v>
      </c>
      <c r="C31" s="3">
        <v>95733</v>
      </c>
      <c r="D31" s="3">
        <v>439022943</v>
      </c>
    </row>
    <row r="32" spans="1:7" x14ac:dyDescent="0.2">
      <c r="A32" s="2">
        <v>-5</v>
      </c>
      <c r="B32" s="2" t="s">
        <v>65</v>
      </c>
      <c r="C32" s="3">
        <v>395512</v>
      </c>
      <c r="D32" s="3">
        <v>2515694218</v>
      </c>
    </row>
    <row r="33" spans="1:7" x14ac:dyDescent="0.2">
      <c r="A33" s="2">
        <v>-6</v>
      </c>
      <c r="B33" s="2" t="s">
        <v>67</v>
      </c>
      <c r="C33" s="3">
        <v>604102</v>
      </c>
      <c r="D33" s="3">
        <v>4883676841</v>
      </c>
      <c r="F33" s="4" t="s">
        <v>19</v>
      </c>
      <c r="G33" s="4">
        <f>C33*8760/D33</f>
        <v>1.0835961699129142</v>
      </c>
    </row>
    <row r="34" spans="1:7" x14ac:dyDescent="0.2">
      <c r="A34" s="16">
        <v>2023</v>
      </c>
      <c r="B34" s="16"/>
      <c r="C34" s="16"/>
      <c r="D34" s="16"/>
    </row>
    <row r="35" spans="1:7" x14ac:dyDescent="0.2">
      <c r="A35" s="1" t="s">
        <v>58</v>
      </c>
      <c r="B35" s="1" t="s">
        <v>0</v>
      </c>
      <c r="C35" s="1" t="s">
        <v>68</v>
      </c>
      <c r="D35" s="1" t="s">
        <v>69</v>
      </c>
    </row>
    <row r="36" spans="1:7" x14ac:dyDescent="0.2">
      <c r="A36" s="2">
        <v>-1</v>
      </c>
      <c r="B36" s="2" t="s">
        <v>61</v>
      </c>
      <c r="C36" s="3">
        <v>2777208</v>
      </c>
      <c r="D36" s="3">
        <v>15404223869</v>
      </c>
    </row>
    <row r="37" spans="1:7" x14ac:dyDescent="0.2">
      <c r="A37" s="2">
        <v>-2</v>
      </c>
      <c r="B37" s="2" t="s">
        <v>62</v>
      </c>
      <c r="C37" s="3">
        <v>1581027</v>
      </c>
      <c r="D37" s="3">
        <v>6825438283</v>
      </c>
      <c r="F37" s="4" t="s">
        <v>17</v>
      </c>
      <c r="G37" s="4">
        <f>C37*8760/D37</f>
        <v>2.0291439092630061</v>
      </c>
    </row>
    <row r="38" spans="1:7" x14ac:dyDescent="0.2">
      <c r="A38" s="2">
        <v>-3</v>
      </c>
      <c r="B38" s="2" t="s">
        <v>63</v>
      </c>
      <c r="C38" s="3">
        <v>135671</v>
      </c>
      <c r="D38" s="3">
        <v>683779958</v>
      </c>
      <c r="F38" s="4" t="s">
        <v>18</v>
      </c>
      <c r="G38" s="4">
        <f>(C38+C39+C40)*8760/(D38+D39+D40)</f>
        <v>1.5461486415025876</v>
      </c>
    </row>
    <row r="39" spans="1:7" x14ac:dyDescent="0.2">
      <c r="A39" s="2">
        <v>-4</v>
      </c>
      <c r="B39" s="2" t="s">
        <v>64</v>
      </c>
      <c r="C39" s="3">
        <v>104593</v>
      </c>
      <c r="D39" s="3">
        <v>443125624</v>
      </c>
    </row>
    <row r="40" spans="1:7" x14ac:dyDescent="0.2">
      <c r="A40" s="2">
        <v>-5</v>
      </c>
      <c r="B40" s="2" t="s">
        <v>65</v>
      </c>
      <c r="C40" s="3">
        <v>393372</v>
      </c>
      <c r="D40" s="3">
        <v>2463080019</v>
      </c>
    </row>
    <row r="41" spans="1:7" x14ac:dyDescent="0.2">
      <c r="A41" s="2">
        <v>-6</v>
      </c>
      <c r="B41" s="2" t="s">
        <v>67</v>
      </c>
      <c r="C41" s="3">
        <v>551129</v>
      </c>
      <c r="D41" s="3">
        <v>4874493956</v>
      </c>
      <c r="F41" s="4" t="s">
        <v>19</v>
      </c>
      <c r="G41" s="4">
        <f>C41*8760/D41</f>
        <v>0.99043922991377698</v>
      </c>
    </row>
    <row r="42" spans="1:7" x14ac:dyDescent="0.2">
      <c r="A42" s="16">
        <v>2024</v>
      </c>
      <c r="B42" s="16"/>
      <c r="C42" s="16"/>
      <c r="D42" s="16"/>
    </row>
    <row r="43" spans="1:7" x14ac:dyDescent="0.2">
      <c r="A43" s="1" t="s">
        <v>58</v>
      </c>
      <c r="B43" s="1" t="s">
        <v>0</v>
      </c>
      <c r="C43" s="1" t="s">
        <v>68</v>
      </c>
      <c r="D43" s="1" t="s">
        <v>69</v>
      </c>
    </row>
    <row r="44" spans="1:7" x14ac:dyDescent="0.2">
      <c r="A44" s="2">
        <v>-1</v>
      </c>
      <c r="B44" s="2" t="s">
        <v>61</v>
      </c>
      <c r="C44" s="3">
        <v>2808752</v>
      </c>
      <c r="D44" s="3">
        <v>15017503475</v>
      </c>
    </row>
    <row r="45" spans="1:7" x14ac:dyDescent="0.2">
      <c r="A45" s="2">
        <v>-2</v>
      </c>
      <c r="B45" s="2" t="s">
        <v>62</v>
      </c>
      <c r="C45" s="3">
        <v>1688945</v>
      </c>
      <c r="D45" s="3">
        <v>6926159705</v>
      </c>
      <c r="F45" s="4" t="s">
        <v>17</v>
      </c>
      <c r="G45" s="4">
        <f>C45*8760/D45</f>
        <v>2.1361272090389951</v>
      </c>
    </row>
    <row r="46" spans="1:7" x14ac:dyDescent="0.2">
      <c r="A46" s="2">
        <v>-3</v>
      </c>
      <c r="B46" s="2" t="s">
        <v>63</v>
      </c>
      <c r="C46" s="3">
        <v>126597</v>
      </c>
      <c r="D46" s="3">
        <v>671371557</v>
      </c>
      <c r="F46" s="4" t="s">
        <v>18</v>
      </c>
      <c r="G46" s="4">
        <f>(C46+C47)*8760/(D46+D47)</f>
        <v>1.433686091448704</v>
      </c>
    </row>
    <row r="47" spans="1:7" x14ac:dyDescent="0.2">
      <c r="A47" s="2">
        <v>-4</v>
      </c>
      <c r="B47" s="2" t="s">
        <v>65</v>
      </c>
      <c r="C47" s="3">
        <v>455267</v>
      </c>
      <c r="D47" s="3">
        <v>2883889717</v>
      </c>
    </row>
    <row r="48" spans="1:7" x14ac:dyDescent="0.2">
      <c r="A48" s="2">
        <v>-5</v>
      </c>
      <c r="B48" s="2" t="s">
        <v>64</v>
      </c>
      <c r="C48" s="2" t="s">
        <v>28</v>
      </c>
      <c r="D48" s="2" t="s">
        <v>28</v>
      </c>
    </row>
    <row r="49" spans="1:7" x14ac:dyDescent="0.2">
      <c r="A49" s="2">
        <v>-6</v>
      </c>
      <c r="B49" s="2" t="s">
        <v>67</v>
      </c>
      <c r="C49" s="3">
        <v>522026</v>
      </c>
      <c r="D49" s="3">
        <v>4445838979</v>
      </c>
      <c r="F49" s="4" t="s">
        <v>19</v>
      </c>
      <c r="G49" s="4">
        <f>C49*8760/D49</f>
        <v>1.0285905048744233</v>
      </c>
    </row>
  </sheetData>
  <mergeCells count="6">
    <mergeCell ref="A42:D42"/>
    <mergeCell ref="A1:D1"/>
    <mergeCell ref="A10:D10"/>
    <mergeCell ref="A18:D18"/>
    <mergeCell ref="A26:D26"/>
    <mergeCell ref="A34:D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DFF0-AEC7-F14A-BDD2-705045E2E380}">
  <dimension ref="A1:M51"/>
  <sheetViews>
    <sheetView topLeftCell="A16" workbookViewId="0">
      <selection activeCell="A38" sqref="A38:H51"/>
    </sheetView>
  </sheetViews>
  <sheetFormatPr baseColWidth="10" defaultRowHeight="16" x14ac:dyDescent="0.2"/>
  <cols>
    <col min="1" max="1" width="27.5" style="4" customWidth="1"/>
    <col min="2" max="2" width="18.1640625" style="4" customWidth="1"/>
    <col min="3" max="3" width="13.83203125" style="4" customWidth="1"/>
    <col min="4" max="4" width="10.83203125" style="4"/>
    <col min="5" max="5" width="18" style="4" customWidth="1"/>
    <col min="6" max="6" width="10.83203125" style="4"/>
    <col min="7" max="7" width="17" style="4" customWidth="1"/>
    <col min="8" max="8" width="21.5" style="4" customWidth="1"/>
    <col min="9" max="9" width="12.83203125" style="4" bestFit="1" customWidth="1"/>
    <col min="10" max="16384" width="10.83203125" style="4"/>
  </cols>
  <sheetData>
    <row r="1" spans="1:13" x14ac:dyDescent="0.2">
      <c r="A1" s="15">
        <v>2020</v>
      </c>
      <c r="B1" s="15"/>
      <c r="C1" s="15"/>
      <c r="D1" s="15"/>
      <c r="E1" s="15"/>
      <c r="F1" s="15"/>
      <c r="G1" s="15"/>
      <c r="H1" s="15"/>
    </row>
    <row r="2" spans="1:13" x14ac:dyDescent="0.2">
      <c r="A2" s="1" t="s">
        <v>70</v>
      </c>
      <c r="B2" s="1" t="s">
        <v>71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76</v>
      </c>
      <c r="H2" s="1" t="s">
        <v>77</v>
      </c>
      <c r="K2" s="1" t="s">
        <v>16</v>
      </c>
      <c r="M2" s="4" t="s">
        <v>57</v>
      </c>
    </row>
    <row r="3" spans="1:13" x14ac:dyDescent="0.2">
      <c r="A3" s="2" t="s">
        <v>78</v>
      </c>
      <c r="B3" s="2" t="s">
        <v>79</v>
      </c>
      <c r="C3" s="3">
        <v>44654724</v>
      </c>
      <c r="D3" s="6">
        <v>1</v>
      </c>
      <c r="E3" s="2" t="s">
        <v>79</v>
      </c>
      <c r="F3" s="3">
        <v>-904183</v>
      </c>
      <c r="G3" s="3">
        <v>51160615</v>
      </c>
      <c r="H3" s="3">
        <v>11296245023</v>
      </c>
    </row>
    <row r="4" spans="1:13" x14ac:dyDescent="0.2">
      <c r="A4" s="2" t="s">
        <v>80</v>
      </c>
      <c r="B4" s="2"/>
      <c r="C4" s="3">
        <v>20114176</v>
      </c>
      <c r="D4" s="6">
        <v>0.45</v>
      </c>
      <c r="E4" s="2" t="s">
        <v>81</v>
      </c>
      <c r="F4" s="3">
        <v>-1097121</v>
      </c>
      <c r="G4" s="3">
        <v>23734518</v>
      </c>
      <c r="H4" s="3">
        <v>6880044137</v>
      </c>
      <c r="J4" s="4" t="s">
        <v>17</v>
      </c>
      <c r="K4" s="4">
        <f>C4/12*8760/H4</f>
        <v>2.1341939364945093</v>
      </c>
      <c r="M4" s="4">
        <f>(K4+K10+K16+K22+K28+K34)/6</f>
        <v>2.0938273332149806</v>
      </c>
    </row>
    <row r="5" spans="1:13" x14ac:dyDescent="0.2">
      <c r="A5" s="2" t="s">
        <v>82</v>
      </c>
      <c r="B5" s="2"/>
      <c r="C5" s="3">
        <v>8427588</v>
      </c>
      <c r="D5" s="6">
        <v>0.19</v>
      </c>
      <c r="E5" s="2" t="s">
        <v>83</v>
      </c>
      <c r="F5" s="3">
        <v>-1212665</v>
      </c>
      <c r="G5" s="3">
        <v>10697451</v>
      </c>
      <c r="H5" s="3">
        <v>4416200886</v>
      </c>
      <c r="J5" s="4" t="s">
        <v>18</v>
      </c>
      <c r="K5" s="4">
        <f>C5/12*8760/H5</f>
        <v>1.3930841007489441</v>
      </c>
      <c r="M5" s="4">
        <f t="shared" ref="M5" si="0">(K5+K11+K17+K23+K29+K35)/6</f>
        <v>1.3734585148905831</v>
      </c>
    </row>
    <row r="6" spans="1:13" x14ac:dyDescent="0.2">
      <c r="A6" s="2" t="s">
        <v>84</v>
      </c>
      <c r="B6" s="2"/>
      <c r="C6" s="3">
        <v>16112960</v>
      </c>
      <c r="D6" s="6">
        <v>0.36</v>
      </c>
      <c r="E6" s="2" t="s">
        <v>85</v>
      </c>
      <c r="F6" s="3">
        <v>1405603</v>
      </c>
      <c r="G6" s="3">
        <v>16728646</v>
      </c>
      <c r="H6" s="3"/>
      <c r="J6" s="4" t="s">
        <v>19</v>
      </c>
      <c r="M6" s="4">
        <f>K36</f>
        <v>1.3761813525304485</v>
      </c>
    </row>
    <row r="7" spans="1:13" x14ac:dyDescent="0.2">
      <c r="A7" s="15">
        <v>2021</v>
      </c>
      <c r="B7" s="15"/>
      <c r="C7" s="15"/>
      <c r="D7" s="15"/>
      <c r="E7" s="15"/>
      <c r="F7" s="15"/>
      <c r="G7" s="15"/>
      <c r="H7" s="15"/>
    </row>
    <row r="8" spans="1:13" x14ac:dyDescent="0.2">
      <c r="A8" s="1" t="s">
        <v>70</v>
      </c>
      <c r="B8" s="1" t="s">
        <v>71</v>
      </c>
      <c r="C8" s="1" t="s">
        <v>72</v>
      </c>
      <c r="D8" s="1" t="s">
        <v>73</v>
      </c>
      <c r="E8" s="1" t="s">
        <v>74</v>
      </c>
      <c r="F8" s="1" t="s">
        <v>75</v>
      </c>
      <c r="G8" s="1" t="s">
        <v>76</v>
      </c>
      <c r="H8" s="1" t="s">
        <v>77</v>
      </c>
    </row>
    <row r="9" spans="1:13" x14ac:dyDescent="0.2">
      <c r="A9" s="2" t="s">
        <v>78</v>
      </c>
      <c r="B9" s="2" t="s">
        <v>86</v>
      </c>
      <c r="C9" s="3">
        <v>43104358</v>
      </c>
      <c r="D9" s="6">
        <v>1</v>
      </c>
      <c r="E9" s="2" t="s">
        <v>86</v>
      </c>
      <c r="F9" s="3">
        <v>-7404840</v>
      </c>
      <c r="G9" s="2" t="s">
        <v>87</v>
      </c>
      <c r="H9" s="3">
        <v>9602304449</v>
      </c>
    </row>
    <row r="10" spans="1:13" x14ac:dyDescent="0.2">
      <c r="A10" s="2" t="s">
        <v>80</v>
      </c>
      <c r="B10" s="2"/>
      <c r="C10" s="3">
        <v>22261621</v>
      </c>
      <c r="D10" s="6">
        <v>0.52</v>
      </c>
      <c r="E10" s="2" t="s">
        <v>88</v>
      </c>
      <c r="F10" s="3">
        <v>-377365</v>
      </c>
      <c r="G10" s="2" t="s">
        <v>89</v>
      </c>
      <c r="H10" s="3">
        <v>6870129855</v>
      </c>
      <c r="J10" s="4" t="s">
        <v>17</v>
      </c>
      <c r="K10" s="4">
        <f>C10/12*8760/H10</f>
        <v>2.3654550456819567</v>
      </c>
    </row>
    <row r="11" spans="1:13" x14ac:dyDescent="0.2">
      <c r="A11" s="2" t="s">
        <v>82</v>
      </c>
      <c r="B11" s="2"/>
      <c r="C11" s="3">
        <v>6936090</v>
      </c>
      <c r="D11" s="6">
        <v>0.16</v>
      </c>
      <c r="E11" s="2" t="s">
        <v>90</v>
      </c>
      <c r="F11" s="3">
        <v>-2867564</v>
      </c>
      <c r="G11" s="2" t="s">
        <v>91</v>
      </c>
      <c r="H11" s="3">
        <v>2732174594</v>
      </c>
      <c r="J11" s="4" t="s">
        <v>18</v>
      </c>
      <c r="K11" s="4">
        <f>C11/12*8760/H11</f>
        <v>1.853229186421459</v>
      </c>
    </row>
    <row r="12" spans="1:13" x14ac:dyDescent="0.2">
      <c r="A12" s="2" t="s">
        <v>84</v>
      </c>
      <c r="B12" s="2"/>
      <c r="C12" s="3">
        <v>13906647</v>
      </c>
      <c r="D12" s="6">
        <v>0.32</v>
      </c>
      <c r="E12" s="2" t="s">
        <v>92</v>
      </c>
      <c r="F12" s="3">
        <v>-4159911</v>
      </c>
      <c r="G12" s="2" t="s">
        <v>93</v>
      </c>
      <c r="H12" s="3"/>
      <c r="J12" s="4" t="s">
        <v>19</v>
      </c>
    </row>
    <row r="13" spans="1:13" x14ac:dyDescent="0.2">
      <c r="A13" s="15">
        <v>2022</v>
      </c>
      <c r="B13" s="15"/>
      <c r="C13" s="15"/>
      <c r="D13" s="15"/>
      <c r="E13" s="15"/>
      <c r="F13" s="15"/>
      <c r="G13" s="15"/>
      <c r="H13" s="15"/>
    </row>
    <row r="14" spans="1:13" x14ac:dyDescent="0.2">
      <c r="A14" s="1" t="s">
        <v>70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75</v>
      </c>
      <c r="G14" s="1" t="s">
        <v>76</v>
      </c>
      <c r="H14" s="1" t="s">
        <v>77</v>
      </c>
    </row>
    <row r="15" spans="1:13" x14ac:dyDescent="0.2">
      <c r="A15" s="2" t="s">
        <v>78</v>
      </c>
      <c r="B15" s="2" t="s">
        <v>94</v>
      </c>
      <c r="C15" s="3">
        <v>43906080</v>
      </c>
      <c r="D15" s="6">
        <v>1</v>
      </c>
      <c r="E15" s="2" t="s">
        <v>94</v>
      </c>
      <c r="F15" s="3">
        <v>-12803790</v>
      </c>
      <c r="G15" s="2" t="s">
        <v>95</v>
      </c>
      <c r="H15" s="3">
        <v>11498739811</v>
      </c>
    </row>
    <row r="16" spans="1:13" x14ac:dyDescent="0.2">
      <c r="A16" s="2" t="s">
        <v>80</v>
      </c>
      <c r="B16" s="2"/>
      <c r="C16" s="3">
        <v>21614038</v>
      </c>
      <c r="D16" s="6">
        <v>0.49</v>
      </c>
      <c r="E16" s="2" t="s">
        <v>96</v>
      </c>
      <c r="F16" s="3">
        <v>-6712472</v>
      </c>
      <c r="G16" s="2" t="s">
        <v>97</v>
      </c>
      <c r="H16" s="3">
        <v>7129126622</v>
      </c>
      <c r="J16" s="4" t="s">
        <v>17</v>
      </c>
      <c r="K16" s="4">
        <f>C16/12*8760/H16</f>
        <v>2.2132090754720783</v>
      </c>
    </row>
    <row r="17" spans="1:11" x14ac:dyDescent="0.2">
      <c r="A17" s="2" t="s">
        <v>82</v>
      </c>
      <c r="B17" s="2"/>
      <c r="C17" s="3">
        <v>6982320</v>
      </c>
      <c r="D17" s="6">
        <v>0.16</v>
      </c>
      <c r="E17" s="2" t="s">
        <v>98</v>
      </c>
      <c r="F17" s="3">
        <v>1673850</v>
      </c>
      <c r="G17" s="2" t="s">
        <v>99</v>
      </c>
      <c r="H17" s="3">
        <v>4369613190</v>
      </c>
      <c r="J17" s="4" t="s">
        <v>18</v>
      </c>
      <c r="K17" s="4">
        <f>C17/12*8760/H17</f>
        <v>1.1664862262098765</v>
      </c>
    </row>
    <row r="18" spans="1:11" x14ac:dyDescent="0.2">
      <c r="A18" s="2" t="s">
        <v>84</v>
      </c>
      <c r="B18" s="2"/>
      <c r="C18" s="3">
        <v>15309722</v>
      </c>
      <c r="D18" s="6">
        <v>0.35</v>
      </c>
      <c r="E18" s="2" t="s">
        <v>100</v>
      </c>
      <c r="F18" s="3">
        <v>-7765168</v>
      </c>
      <c r="G18" s="2" t="s">
        <v>101</v>
      </c>
      <c r="H18" s="3"/>
      <c r="J18" s="4" t="s">
        <v>19</v>
      </c>
    </row>
    <row r="19" spans="1:11" x14ac:dyDescent="0.2">
      <c r="A19" s="15">
        <v>2023</v>
      </c>
      <c r="B19" s="15"/>
      <c r="C19" s="15"/>
      <c r="D19" s="15"/>
      <c r="E19" s="15"/>
      <c r="F19" s="15"/>
      <c r="G19" s="15"/>
      <c r="H19" s="15"/>
    </row>
    <row r="20" spans="1:11" x14ac:dyDescent="0.2">
      <c r="A20" s="1" t="s">
        <v>70</v>
      </c>
      <c r="B20" s="1" t="s">
        <v>71</v>
      </c>
      <c r="C20" s="1" t="s">
        <v>72</v>
      </c>
      <c r="D20" s="1" t="s">
        <v>73</v>
      </c>
      <c r="E20" s="1" t="s">
        <v>74</v>
      </c>
      <c r="F20" s="1" t="s">
        <v>75</v>
      </c>
      <c r="G20" s="1" t="s">
        <v>76</v>
      </c>
      <c r="H20" s="1" t="s">
        <v>77</v>
      </c>
    </row>
    <row r="21" spans="1:11" x14ac:dyDescent="0.2">
      <c r="A21" s="2" t="s">
        <v>78</v>
      </c>
      <c r="B21" s="2" t="s">
        <v>102</v>
      </c>
      <c r="C21" s="3">
        <v>42374272</v>
      </c>
      <c r="D21" s="6">
        <v>1</v>
      </c>
      <c r="E21" s="2" t="s">
        <v>102</v>
      </c>
      <c r="F21" s="3">
        <v>13370426</v>
      </c>
      <c r="G21" s="2" t="s">
        <v>103</v>
      </c>
      <c r="H21" s="3">
        <v>11363759115</v>
      </c>
    </row>
    <row r="22" spans="1:11" x14ac:dyDescent="0.2">
      <c r="A22" s="2" t="s">
        <v>80</v>
      </c>
      <c r="B22" s="2"/>
      <c r="C22" s="3">
        <v>18894069</v>
      </c>
      <c r="D22" s="6">
        <v>0.45</v>
      </c>
      <c r="E22" s="2" t="s">
        <v>104</v>
      </c>
      <c r="F22" s="3">
        <v>7112859</v>
      </c>
      <c r="G22" s="2" t="s">
        <v>105</v>
      </c>
      <c r="H22" s="3">
        <v>7242929924</v>
      </c>
      <c r="J22" s="4" t="s">
        <v>17</v>
      </c>
      <c r="K22" s="4">
        <f>C22/12*8760/H22</f>
        <v>1.9042943276721394</v>
      </c>
    </row>
    <row r="23" spans="1:11" x14ac:dyDescent="0.2">
      <c r="A23" s="2" t="s">
        <v>82</v>
      </c>
      <c r="B23" s="2"/>
      <c r="C23" s="3">
        <v>6254595</v>
      </c>
      <c r="D23" s="6">
        <v>0.15</v>
      </c>
      <c r="E23" s="2" t="s">
        <v>106</v>
      </c>
      <c r="F23" s="3">
        <v>2161610</v>
      </c>
      <c r="G23" s="2" t="s">
        <v>107</v>
      </c>
      <c r="H23" s="3">
        <v>4120829191</v>
      </c>
      <c r="J23" s="4" t="s">
        <v>18</v>
      </c>
      <c r="K23" s="4">
        <f>C23/12*8760/H23</f>
        <v>1.1079940804078816</v>
      </c>
    </row>
    <row r="24" spans="1:11" x14ac:dyDescent="0.2">
      <c r="A24" s="2" t="s">
        <v>84</v>
      </c>
      <c r="B24" s="2"/>
      <c r="C24" s="3">
        <v>17225608</v>
      </c>
      <c r="D24" s="6">
        <v>0.41</v>
      </c>
      <c r="E24" s="2" t="s">
        <v>108</v>
      </c>
      <c r="F24" s="3">
        <v>4095957</v>
      </c>
      <c r="G24" s="2" t="s">
        <v>109</v>
      </c>
      <c r="H24" s="3"/>
      <c r="J24" s="4" t="s">
        <v>19</v>
      </c>
    </row>
    <row r="25" spans="1:11" x14ac:dyDescent="0.2">
      <c r="A25" s="15">
        <v>2024</v>
      </c>
      <c r="B25" s="15"/>
      <c r="C25" s="15"/>
      <c r="D25" s="15"/>
      <c r="E25" s="15"/>
      <c r="F25" s="15"/>
      <c r="G25" s="15"/>
      <c r="H25" s="15"/>
    </row>
    <row r="26" spans="1:11" x14ac:dyDescent="0.2">
      <c r="A26" s="1" t="s">
        <v>70</v>
      </c>
      <c r="B26" s="1" t="s">
        <v>71</v>
      </c>
      <c r="C26" s="1" t="s">
        <v>72</v>
      </c>
      <c r="D26" s="1" t="s">
        <v>73</v>
      </c>
      <c r="E26" s="1" t="s">
        <v>74</v>
      </c>
      <c r="F26" s="1" t="s">
        <v>75</v>
      </c>
      <c r="G26" s="1" t="s">
        <v>76</v>
      </c>
      <c r="H26" s="1" t="s">
        <v>77</v>
      </c>
    </row>
    <row r="27" spans="1:11" x14ac:dyDescent="0.2">
      <c r="A27" s="2" t="s">
        <v>78</v>
      </c>
      <c r="B27" s="2" t="s">
        <v>110</v>
      </c>
      <c r="C27" s="3">
        <v>43963176</v>
      </c>
      <c r="D27" s="6">
        <v>1</v>
      </c>
      <c r="E27" s="2" t="s">
        <v>110</v>
      </c>
      <c r="F27" s="3">
        <v>-8244571</v>
      </c>
      <c r="G27" s="2" t="s">
        <v>111</v>
      </c>
      <c r="H27" s="3">
        <v>10898516700</v>
      </c>
    </row>
    <row r="28" spans="1:11" x14ac:dyDescent="0.2">
      <c r="A28" s="2" t="s">
        <v>80</v>
      </c>
      <c r="B28" s="2"/>
      <c r="C28" s="3">
        <v>20547857</v>
      </c>
      <c r="D28" s="6">
        <v>0.47</v>
      </c>
      <c r="E28" s="2" t="s">
        <v>112</v>
      </c>
      <c r="F28" s="3">
        <v>-2268058</v>
      </c>
      <c r="G28" s="2" t="s">
        <v>113</v>
      </c>
      <c r="H28" s="3">
        <v>7259821193</v>
      </c>
      <c r="J28" s="4" t="s">
        <v>17</v>
      </c>
      <c r="K28" s="4">
        <f>C28/12*8760/H28</f>
        <v>2.066157720862754</v>
      </c>
    </row>
    <row r="29" spans="1:11" x14ac:dyDescent="0.2">
      <c r="A29" s="2" t="s">
        <v>82</v>
      </c>
      <c r="B29" s="2"/>
      <c r="C29" s="3">
        <v>7438290</v>
      </c>
      <c r="D29" s="6">
        <v>0.17</v>
      </c>
      <c r="E29" s="2" t="s">
        <v>114</v>
      </c>
      <c r="F29" s="3">
        <v>-1069132</v>
      </c>
      <c r="G29" s="2" t="s">
        <v>115</v>
      </c>
      <c r="H29" s="3">
        <v>3638695507</v>
      </c>
      <c r="J29" s="4" t="s">
        <v>18</v>
      </c>
      <c r="K29" s="4">
        <f>C29/12*8760/H29</f>
        <v>1.4922797715703449</v>
      </c>
    </row>
    <row r="30" spans="1:11" x14ac:dyDescent="0.2">
      <c r="A30" s="2" t="s">
        <v>84</v>
      </c>
      <c r="B30" s="2"/>
      <c r="C30" s="3">
        <v>15977028</v>
      </c>
      <c r="D30" s="6">
        <v>0.36</v>
      </c>
      <c r="E30" s="2" t="s">
        <v>116</v>
      </c>
      <c r="F30" s="3">
        <v>-4907381</v>
      </c>
      <c r="G30" s="2" t="s">
        <v>117</v>
      </c>
      <c r="H30" s="3"/>
      <c r="J30" s="4" t="s">
        <v>19</v>
      </c>
    </row>
    <row r="31" spans="1:11" x14ac:dyDescent="0.2">
      <c r="A31" s="15">
        <v>2025</v>
      </c>
      <c r="B31" s="15"/>
      <c r="C31" s="15"/>
      <c r="D31" s="15"/>
      <c r="E31" s="15"/>
      <c r="F31" s="15"/>
      <c r="G31" s="15"/>
      <c r="H31" s="15"/>
    </row>
    <row r="32" spans="1:11" x14ac:dyDescent="0.2">
      <c r="A32" s="1" t="s">
        <v>70</v>
      </c>
      <c r="B32" s="1" t="s">
        <v>71</v>
      </c>
      <c r="C32" s="1" t="s">
        <v>72</v>
      </c>
      <c r="D32" s="1" t="s">
        <v>73</v>
      </c>
      <c r="E32" s="1" t="s">
        <v>74</v>
      </c>
      <c r="F32" s="1" t="s">
        <v>75</v>
      </c>
      <c r="G32" s="1" t="s">
        <v>76</v>
      </c>
      <c r="H32" s="1" t="s">
        <v>77</v>
      </c>
    </row>
    <row r="33" spans="1:11" x14ac:dyDescent="0.2">
      <c r="A33" s="2" t="s">
        <v>78</v>
      </c>
      <c r="B33" s="2" t="s">
        <v>118</v>
      </c>
      <c r="C33" s="3">
        <v>40532893</v>
      </c>
      <c r="D33" s="6">
        <v>1</v>
      </c>
      <c r="E33" s="2" t="s">
        <v>118</v>
      </c>
      <c r="F33" s="3">
        <v>-26553836</v>
      </c>
      <c r="G33" s="2" t="s">
        <v>119</v>
      </c>
      <c r="H33" s="3">
        <v>10864641501</v>
      </c>
    </row>
    <row r="34" spans="1:11" x14ac:dyDescent="0.2">
      <c r="A34" s="2" t="s">
        <v>80</v>
      </c>
      <c r="B34" s="2"/>
      <c r="C34" s="3">
        <v>18692996</v>
      </c>
      <c r="D34" s="6">
        <v>0.46</v>
      </c>
      <c r="E34" s="2" t="s">
        <v>120</v>
      </c>
      <c r="F34" s="3">
        <v>-10585591</v>
      </c>
      <c r="G34" s="2" t="s">
        <v>121</v>
      </c>
      <c r="H34" s="3">
        <v>7259787097</v>
      </c>
      <c r="J34" s="4" t="s">
        <v>17</v>
      </c>
      <c r="K34" s="4">
        <f>C34/12*8760/H34</f>
        <v>1.8796538931064468</v>
      </c>
    </row>
    <row r="35" spans="1:11" x14ac:dyDescent="0.2">
      <c r="A35" s="2" t="s">
        <v>82</v>
      </c>
      <c r="B35" s="2"/>
      <c r="C35" s="3">
        <v>6062465</v>
      </c>
      <c r="D35" s="6">
        <v>0.15</v>
      </c>
      <c r="E35" s="2" t="s">
        <v>122</v>
      </c>
      <c r="F35" s="3">
        <v>-3086120</v>
      </c>
      <c r="G35" s="2" t="s">
        <v>123</v>
      </c>
      <c r="H35" s="3">
        <v>3604854404</v>
      </c>
      <c r="J35" s="4" t="s">
        <v>18</v>
      </c>
      <c r="K35" s="4">
        <f>C35/12*8760/H35</f>
        <v>1.2276777239849934</v>
      </c>
    </row>
    <row r="36" spans="1:11" x14ac:dyDescent="0.2">
      <c r="A36" s="2" t="s">
        <v>84</v>
      </c>
      <c r="B36" s="2"/>
      <c r="C36" s="3">
        <v>15777432</v>
      </c>
      <c r="D36" s="6">
        <v>0.39</v>
      </c>
      <c r="E36" s="2" t="s">
        <v>124</v>
      </c>
      <c r="F36" s="3">
        <v>-12882125</v>
      </c>
      <c r="G36" s="2" t="s">
        <v>125</v>
      </c>
      <c r="H36" s="3">
        <f>H34/$H$40*$H$42</f>
        <v>8369191559.5442362</v>
      </c>
      <c r="J36" s="4" t="s">
        <v>19</v>
      </c>
      <c r="K36" s="4">
        <f>C36/12*8760/H36</f>
        <v>1.3761813525304485</v>
      </c>
    </row>
    <row r="38" spans="1:11" x14ac:dyDescent="0.2">
      <c r="A38" s="18" t="s">
        <v>940</v>
      </c>
    </row>
    <row r="39" spans="1:11" x14ac:dyDescent="0.2">
      <c r="A39" s="1" t="s">
        <v>941</v>
      </c>
      <c r="B39" s="1" t="s">
        <v>942</v>
      </c>
      <c r="C39" s="1" t="s">
        <v>943</v>
      </c>
      <c r="D39" s="1" t="s">
        <v>944</v>
      </c>
      <c r="E39" s="1" t="s">
        <v>945</v>
      </c>
    </row>
    <row r="40" spans="1:11" x14ac:dyDescent="0.2">
      <c r="A40" s="2" t="s">
        <v>4</v>
      </c>
      <c r="B40" s="3">
        <v>7237022340</v>
      </c>
      <c r="C40" s="8">
        <v>0.373</v>
      </c>
      <c r="D40" s="3">
        <v>636179</v>
      </c>
      <c r="E40" s="8">
        <v>0.85699999999999998</v>
      </c>
      <c r="G40" s="4" t="s">
        <v>17</v>
      </c>
      <c r="H40" s="20">
        <f>C40</f>
        <v>0.373</v>
      </c>
    </row>
    <row r="41" spans="1:11" x14ac:dyDescent="0.2">
      <c r="A41" s="2" t="s">
        <v>946</v>
      </c>
      <c r="B41" s="3">
        <v>18944346</v>
      </c>
      <c r="C41" s="8">
        <v>1E-3</v>
      </c>
      <c r="D41" s="2">
        <v>630</v>
      </c>
      <c r="E41" s="8">
        <v>1E-3</v>
      </c>
      <c r="G41" s="4" t="s">
        <v>18</v>
      </c>
      <c r="H41" s="20">
        <f>C41+C42+C43</f>
        <v>0.184</v>
      </c>
    </row>
    <row r="42" spans="1:11" x14ac:dyDescent="0.2">
      <c r="A42" s="2" t="s">
        <v>947</v>
      </c>
      <c r="B42" s="3">
        <v>210898870</v>
      </c>
      <c r="C42" s="8">
        <v>1.0999999999999999E-2</v>
      </c>
      <c r="D42" s="3">
        <v>62540</v>
      </c>
      <c r="E42" s="8">
        <v>8.4000000000000005E-2</v>
      </c>
      <c r="G42" s="4" t="s">
        <v>19</v>
      </c>
      <c r="H42" s="20">
        <f>C44+C45+C46+C47</f>
        <v>0.43</v>
      </c>
    </row>
    <row r="43" spans="1:11" x14ac:dyDescent="0.2">
      <c r="A43" s="2" t="s">
        <v>948</v>
      </c>
      <c r="B43" s="3">
        <v>3335030667</v>
      </c>
      <c r="C43" s="8">
        <v>0.17199999999999999</v>
      </c>
      <c r="D43" s="3">
        <v>37355</v>
      </c>
      <c r="E43" s="8">
        <v>0.05</v>
      </c>
    </row>
    <row r="44" spans="1:11" x14ac:dyDescent="0.2">
      <c r="A44" s="2" t="s">
        <v>949</v>
      </c>
      <c r="B44" s="3">
        <v>2072277757</v>
      </c>
      <c r="C44" s="8">
        <v>0.107</v>
      </c>
      <c r="D44" s="2">
        <v>903</v>
      </c>
      <c r="E44" s="8">
        <v>1E-3</v>
      </c>
    </row>
    <row r="45" spans="1:11" x14ac:dyDescent="0.2">
      <c r="A45" s="2" t="s">
        <v>950</v>
      </c>
      <c r="B45" s="3">
        <v>5177974892</v>
      </c>
      <c r="C45" s="8">
        <v>0.26700000000000002</v>
      </c>
      <c r="D45" s="2">
        <v>190</v>
      </c>
      <c r="E45" s="8">
        <v>0</v>
      </c>
    </row>
    <row r="46" spans="1:11" x14ac:dyDescent="0.2">
      <c r="A46" s="2" t="s">
        <v>951</v>
      </c>
      <c r="B46" s="3">
        <v>71779545</v>
      </c>
      <c r="C46" s="8">
        <v>4.0000000000000001E-3</v>
      </c>
      <c r="D46" s="2">
        <v>1</v>
      </c>
      <c r="E46" s="8">
        <v>0</v>
      </c>
    </row>
    <row r="47" spans="1:11" x14ac:dyDescent="0.2">
      <c r="A47" s="2" t="s">
        <v>952</v>
      </c>
      <c r="B47" s="3">
        <v>1012144905</v>
      </c>
      <c r="C47" s="8">
        <v>5.1999999999999998E-2</v>
      </c>
      <c r="D47" s="2">
        <v>3</v>
      </c>
      <c r="E47" s="8">
        <v>0</v>
      </c>
    </row>
    <row r="48" spans="1:11" x14ac:dyDescent="0.2">
      <c r="A48" s="2" t="s">
        <v>953</v>
      </c>
      <c r="B48" s="3">
        <v>23560789</v>
      </c>
      <c r="C48" s="8">
        <v>1E-3</v>
      </c>
      <c r="D48" s="3">
        <v>4112</v>
      </c>
      <c r="E48" s="8">
        <v>6.0000000000000001E-3</v>
      </c>
    </row>
    <row r="49" spans="1:5" x14ac:dyDescent="0.2">
      <c r="A49" s="2" t="s">
        <v>954</v>
      </c>
      <c r="B49" s="3">
        <v>21689311</v>
      </c>
      <c r="C49" s="8">
        <v>1E-3</v>
      </c>
      <c r="D49" s="2">
        <v>571</v>
      </c>
      <c r="E49" s="8">
        <v>1E-3</v>
      </c>
    </row>
    <row r="50" spans="1:5" x14ac:dyDescent="0.2">
      <c r="A50" s="2" t="s">
        <v>955</v>
      </c>
      <c r="B50" s="3">
        <v>217652003</v>
      </c>
      <c r="C50" s="8">
        <v>1.0999999999999999E-2</v>
      </c>
      <c r="D50" s="2">
        <v>1</v>
      </c>
      <c r="E50" s="8">
        <v>0</v>
      </c>
    </row>
    <row r="51" spans="1:5" x14ac:dyDescent="0.2">
      <c r="A51" s="1" t="s">
        <v>437</v>
      </c>
      <c r="B51" s="9">
        <v>19398975424</v>
      </c>
      <c r="C51" s="19">
        <v>1</v>
      </c>
      <c r="D51" s="9">
        <v>742485</v>
      </c>
      <c r="E51" s="19">
        <v>1</v>
      </c>
    </row>
  </sheetData>
  <mergeCells count="6">
    <mergeCell ref="A31:H31"/>
    <mergeCell ref="A1:H1"/>
    <mergeCell ref="A7:H7"/>
    <mergeCell ref="A13:H13"/>
    <mergeCell ref="A19:H19"/>
    <mergeCell ref="A25:H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0474-8468-E24D-80A0-29DDBBC9FBF5}">
  <dimension ref="A1:O45"/>
  <sheetViews>
    <sheetView workbookViewId="0">
      <selection activeCell="M34" sqref="M34"/>
    </sheetView>
  </sheetViews>
  <sheetFormatPr baseColWidth="10" defaultRowHeight="16" x14ac:dyDescent="0.2"/>
  <cols>
    <col min="1" max="2" width="10.83203125" style="4"/>
    <col min="3" max="3" width="21" style="4" customWidth="1"/>
    <col min="4" max="6" width="10.83203125" style="4"/>
    <col min="7" max="7" width="12.6640625" style="4" customWidth="1"/>
    <col min="8" max="8" width="13.5" style="4" customWidth="1"/>
    <col min="9" max="9" width="15.5" style="4" customWidth="1"/>
    <col min="10" max="11" width="10.83203125" style="4"/>
    <col min="12" max="12" width="15" style="4" customWidth="1"/>
    <col min="13" max="16384" width="10.83203125" style="4"/>
  </cols>
  <sheetData>
    <row r="1" spans="1:15" x14ac:dyDescent="0.2">
      <c r="A1" s="15">
        <v>2023</v>
      </c>
      <c r="B1" s="15"/>
      <c r="C1" s="15"/>
      <c r="D1" s="15"/>
      <c r="E1" s="15"/>
      <c r="F1" s="15"/>
      <c r="G1" s="15"/>
      <c r="H1" s="15"/>
      <c r="I1" s="15"/>
      <c r="J1" s="15"/>
    </row>
    <row r="2" spans="1:15" x14ac:dyDescent="0.2">
      <c r="A2" s="1" t="s">
        <v>126</v>
      </c>
      <c r="B2" s="1" t="s">
        <v>127</v>
      </c>
      <c r="C2" s="1" t="s">
        <v>128</v>
      </c>
      <c r="D2" s="1" t="s">
        <v>129</v>
      </c>
      <c r="E2" s="1" t="s">
        <v>130</v>
      </c>
      <c r="F2" s="1" t="s">
        <v>131</v>
      </c>
      <c r="G2" s="1" t="s">
        <v>132</v>
      </c>
      <c r="H2" s="1" t="s">
        <v>0</v>
      </c>
      <c r="I2" s="1" t="s">
        <v>140</v>
      </c>
      <c r="J2" s="1" t="s">
        <v>141</v>
      </c>
      <c r="M2" s="1" t="s">
        <v>16</v>
      </c>
      <c r="O2" s="4" t="s">
        <v>57</v>
      </c>
    </row>
    <row r="3" spans="1:15" x14ac:dyDescent="0.2">
      <c r="A3" s="2">
        <v>1</v>
      </c>
      <c r="B3" s="2"/>
      <c r="C3" s="2"/>
      <c r="D3" s="2"/>
      <c r="E3" s="2"/>
      <c r="F3" s="2"/>
      <c r="G3" s="2"/>
    </row>
    <row r="4" spans="1:15" x14ac:dyDescent="0.2">
      <c r="A4" s="2">
        <v>2</v>
      </c>
      <c r="B4" s="2" t="s">
        <v>133</v>
      </c>
      <c r="C4" s="2"/>
      <c r="D4" s="2"/>
      <c r="E4" s="2"/>
      <c r="F4" s="2"/>
      <c r="G4" s="2"/>
    </row>
    <row r="5" spans="1:15" x14ac:dyDescent="0.2">
      <c r="A5" s="2">
        <v>3</v>
      </c>
      <c r="B5" s="2" t="s">
        <v>4</v>
      </c>
      <c r="C5" s="3">
        <v>2498655</v>
      </c>
      <c r="D5" s="3">
        <v>2098203</v>
      </c>
      <c r="E5" s="3">
        <v>2478911</v>
      </c>
      <c r="F5" s="3">
        <v>1768280</v>
      </c>
      <c r="G5" s="3">
        <v>2211012</v>
      </c>
      <c r="H5" s="2" t="s">
        <v>4</v>
      </c>
      <c r="I5" s="3">
        <v>9325788604</v>
      </c>
      <c r="J5" s="2" t="s">
        <v>142</v>
      </c>
      <c r="L5" s="4" t="s">
        <v>17</v>
      </c>
      <c r="M5" s="4">
        <f>G5*8760/I5</f>
        <v>2.076871559333064</v>
      </c>
      <c r="O5" s="4">
        <f>(M5+M16+M27)/3</f>
        <v>2.5707991294175869</v>
      </c>
    </row>
    <row r="6" spans="1:15" x14ac:dyDescent="0.2">
      <c r="A6" s="2">
        <v>4</v>
      </c>
      <c r="B6" s="2" t="s">
        <v>134</v>
      </c>
      <c r="C6" s="3">
        <v>1422866</v>
      </c>
      <c r="D6" s="3">
        <v>1221408</v>
      </c>
      <c r="E6" s="3">
        <v>1086225</v>
      </c>
      <c r="F6" s="3">
        <v>954758</v>
      </c>
      <c r="G6" s="3">
        <v>1171314</v>
      </c>
      <c r="H6" s="2" t="s">
        <v>134</v>
      </c>
      <c r="I6" s="3">
        <v>22495831</v>
      </c>
      <c r="J6" s="2" t="s">
        <v>143</v>
      </c>
      <c r="L6" s="4" t="s">
        <v>18</v>
      </c>
      <c r="M6" s="4" t="s">
        <v>146</v>
      </c>
      <c r="O6" s="4">
        <f>M28</f>
        <v>1.9422802170188385</v>
      </c>
    </row>
    <row r="7" spans="1:15" x14ac:dyDescent="0.2">
      <c r="A7" s="2">
        <v>5</v>
      </c>
      <c r="B7" s="2" t="s">
        <v>135</v>
      </c>
      <c r="C7" s="3">
        <v>439585</v>
      </c>
      <c r="D7" s="3">
        <v>411687</v>
      </c>
      <c r="E7" s="3">
        <v>385060</v>
      </c>
      <c r="F7" s="3">
        <v>344434</v>
      </c>
      <c r="G7" s="3">
        <v>395192</v>
      </c>
      <c r="H7" s="2" t="s">
        <v>135</v>
      </c>
      <c r="I7" s="3">
        <v>6489905</v>
      </c>
      <c r="J7" s="2" t="s">
        <v>143</v>
      </c>
    </row>
    <row r="8" spans="1:15" x14ac:dyDescent="0.2">
      <c r="A8" s="2">
        <v>6</v>
      </c>
      <c r="B8" s="2" t="s">
        <v>136</v>
      </c>
      <c r="C8" s="3">
        <v>128180</v>
      </c>
      <c r="D8" s="3">
        <v>109865</v>
      </c>
      <c r="E8" s="3">
        <v>103109</v>
      </c>
      <c r="F8" s="3">
        <v>91899</v>
      </c>
      <c r="G8" s="3">
        <v>108263</v>
      </c>
      <c r="H8" s="2" t="s">
        <v>136</v>
      </c>
      <c r="I8" s="3">
        <v>2349908</v>
      </c>
      <c r="J8" s="2" t="s">
        <v>144</v>
      </c>
      <c r="L8" s="4" t="s">
        <v>19</v>
      </c>
      <c r="M8" s="4" t="s">
        <v>146</v>
      </c>
      <c r="O8" s="4">
        <f>M30</f>
        <v>1.0824987728879578</v>
      </c>
    </row>
    <row r="9" spans="1:15" x14ac:dyDescent="0.2">
      <c r="A9" s="2">
        <v>7</v>
      </c>
      <c r="B9" s="2" t="s">
        <v>137</v>
      </c>
      <c r="C9" s="3">
        <v>400122</v>
      </c>
      <c r="D9" s="3">
        <v>296217</v>
      </c>
      <c r="E9" s="3">
        <v>376705</v>
      </c>
      <c r="F9" s="3">
        <v>370254</v>
      </c>
      <c r="G9" s="3">
        <v>360824</v>
      </c>
      <c r="H9" s="2" t="s">
        <v>137</v>
      </c>
      <c r="I9" s="3">
        <v>9868439</v>
      </c>
      <c r="J9" s="2" t="s">
        <v>144</v>
      </c>
    </row>
    <row r="10" spans="1:15" x14ac:dyDescent="0.2">
      <c r="A10" s="2">
        <v>8</v>
      </c>
      <c r="B10" s="2" t="s">
        <v>138</v>
      </c>
      <c r="C10" s="3">
        <v>1842</v>
      </c>
      <c r="D10" s="3">
        <v>1711</v>
      </c>
      <c r="E10" s="3">
        <v>1778</v>
      </c>
      <c r="F10" s="3">
        <v>1623</v>
      </c>
      <c r="G10" s="3">
        <v>1738</v>
      </c>
      <c r="H10" s="2" t="s">
        <v>145</v>
      </c>
      <c r="I10" s="3">
        <v>13501974</v>
      </c>
      <c r="J10" s="2" t="s">
        <v>142</v>
      </c>
    </row>
    <row r="11" spans="1:15" x14ac:dyDescent="0.2">
      <c r="A11" s="2">
        <v>9</v>
      </c>
      <c r="B11" s="2" t="s">
        <v>139</v>
      </c>
      <c r="C11" s="3">
        <v>4891250</v>
      </c>
      <c r="D11" s="3">
        <v>4139091</v>
      </c>
      <c r="E11" s="3">
        <v>4431788</v>
      </c>
      <c r="F11" s="3">
        <v>3531249</v>
      </c>
      <c r="G11" s="3">
        <v>4248343</v>
      </c>
    </row>
    <row r="12" spans="1:15" x14ac:dyDescent="0.2">
      <c r="A12" s="15">
        <v>2024</v>
      </c>
      <c r="B12" s="15"/>
      <c r="C12" s="15"/>
      <c r="D12" s="15"/>
      <c r="E12" s="15"/>
      <c r="F12" s="15"/>
      <c r="G12" s="15"/>
      <c r="H12" s="15"/>
      <c r="I12" s="15"/>
      <c r="J12" s="15"/>
    </row>
    <row r="13" spans="1:15" x14ac:dyDescent="0.2">
      <c r="A13" s="1" t="s">
        <v>126</v>
      </c>
      <c r="B13" s="1" t="s">
        <v>127</v>
      </c>
      <c r="C13" s="1" t="s">
        <v>128</v>
      </c>
      <c r="D13" s="1" t="s">
        <v>129</v>
      </c>
      <c r="E13" s="1" t="s">
        <v>130</v>
      </c>
      <c r="F13" s="1" t="s">
        <v>131</v>
      </c>
      <c r="G13" s="1" t="s">
        <v>132</v>
      </c>
      <c r="H13" s="1" t="s">
        <v>0</v>
      </c>
      <c r="I13" s="1" t="s">
        <v>140</v>
      </c>
      <c r="J13" s="1" t="s">
        <v>141</v>
      </c>
      <c r="M13" s="1" t="s">
        <v>16</v>
      </c>
    </row>
    <row r="14" spans="1:15" x14ac:dyDescent="0.2">
      <c r="A14" s="2">
        <v>1</v>
      </c>
      <c r="B14" s="2"/>
      <c r="C14" s="2"/>
      <c r="D14" s="2"/>
      <c r="E14" s="2"/>
      <c r="F14" s="2"/>
      <c r="G14" s="2"/>
    </row>
    <row r="15" spans="1:15" x14ac:dyDescent="0.2">
      <c r="A15" s="2">
        <v>2</v>
      </c>
      <c r="B15" s="2" t="s">
        <v>133</v>
      </c>
      <c r="C15" s="2"/>
      <c r="D15" s="2"/>
      <c r="E15" s="2"/>
      <c r="F15" s="2"/>
      <c r="G15" s="2"/>
    </row>
    <row r="16" spans="1:15" x14ac:dyDescent="0.2">
      <c r="A16" s="2">
        <v>3</v>
      </c>
      <c r="B16" s="2" t="s">
        <v>4</v>
      </c>
      <c r="C16" s="3">
        <v>1879254</v>
      </c>
      <c r="D16" s="3">
        <v>1963749</v>
      </c>
      <c r="E16" s="3">
        <v>1769478</v>
      </c>
      <c r="F16" s="3">
        <v>2535967</v>
      </c>
      <c r="G16" s="3">
        <v>2037112</v>
      </c>
      <c r="H16" s="2" t="s">
        <v>4</v>
      </c>
      <c r="I16" s="3">
        <v>4967899350</v>
      </c>
      <c r="J16" s="2" t="s">
        <v>142</v>
      </c>
      <c r="L16" s="4" t="s">
        <v>17</v>
      </c>
      <c r="M16" s="4">
        <f>G16*8760/I16</f>
        <v>3.5920818564893024</v>
      </c>
    </row>
    <row r="17" spans="1:13" x14ac:dyDescent="0.2">
      <c r="A17" s="2">
        <v>4</v>
      </c>
      <c r="B17" s="2" t="s">
        <v>134</v>
      </c>
      <c r="C17" s="3">
        <v>1033159</v>
      </c>
      <c r="D17" s="3">
        <v>1353437</v>
      </c>
      <c r="E17" s="3">
        <v>1437694</v>
      </c>
      <c r="F17" s="3">
        <v>1172927</v>
      </c>
      <c r="G17" s="3">
        <v>1249304</v>
      </c>
      <c r="H17" s="2" t="s">
        <v>134</v>
      </c>
      <c r="I17" s="3">
        <v>10760638</v>
      </c>
      <c r="J17" s="2" t="s">
        <v>143</v>
      </c>
      <c r="L17" s="4" t="s">
        <v>18</v>
      </c>
      <c r="M17" s="4" t="s">
        <v>146</v>
      </c>
    </row>
    <row r="18" spans="1:13" x14ac:dyDescent="0.2">
      <c r="A18" s="2">
        <v>5</v>
      </c>
      <c r="B18" s="2" t="s">
        <v>135</v>
      </c>
      <c r="C18" s="3">
        <v>381946</v>
      </c>
      <c r="D18" s="3">
        <v>477117</v>
      </c>
      <c r="E18" s="3">
        <v>493202</v>
      </c>
      <c r="F18" s="3">
        <v>428628</v>
      </c>
      <c r="G18" s="3">
        <v>445223</v>
      </c>
      <c r="H18" s="2" t="s">
        <v>135</v>
      </c>
      <c r="I18" s="3">
        <v>3318717</v>
      </c>
      <c r="J18" s="2" t="s">
        <v>143</v>
      </c>
    </row>
    <row r="19" spans="1:13" x14ac:dyDescent="0.2">
      <c r="A19" s="2">
        <v>6</v>
      </c>
      <c r="B19" s="2" t="s">
        <v>136</v>
      </c>
      <c r="C19" s="3">
        <v>98275</v>
      </c>
      <c r="D19" s="3">
        <v>120069</v>
      </c>
      <c r="E19" s="3">
        <v>127488</v>
      </c>
      <c r="F19" s="3">
        <v>101450</v>
      </c>
      <c r="G19" s="3">
        <v>111820</v>
      </c>
      <c r="H19" s="2" t="s">
        <v>136</v>
      </c>
      <c r="I19" s="3">
        <v>1145860</v>
      </c>
      <c r="J19" s="2" t="s">
        <v>144</v>
      </c>
      <c r="L19" s="4" t="s">
        <v>19</v>
      </c>
      <c r="M19" s="4" t="s">
        <v>146</v>
      </c>
    </row>
    <row r="20" spans="1:13" x14ac:dyDescent="0.2">
      <c r="A20" s="2">
        <v>7</v>
      </c>
      <c r="B20" s="2" t="s">
        <v>137</v>
      </c>
      <c r="C20" s="3">
        <v>524290</v>
      </c>
      <c r="D20" s="3">
        <v>536801</v>
      </c>
      <c r="E20" s="3">
        <v>534715</v>
      </c>
      <c r="F20" s="3">
        <v>378532</v>
      </c>
      <c r="G20" s="3">
        <v>493585</v>
      </c>
      <c r="H20" s="2" t="s">
        <v>137</v>
      </c>
      <c r="I20" s="3">
        <v>6046566</v>
      </c>
      <c r="J20" s="2" t="s">
        <v>144</v>
      </c>
    </row>
    <row r="21" spans="1:13" x14ac:dyDescent="0.2">
      <c r="A21" s="2">
        <v>8</v>
      </c>
      <c r="B21" s="2" t="s">
        <v>138</v>
      </c>
      <c r="C21" s="3">
        <v>1863</v>
      </c>
      <c r="D21" s="3">
        <v>1846</v>
      </c>
      <c r="E21" s="3">
        <v>1908</v>
      </c>
      <c r="F21" s="3">
        <v>1903</v>
      </c>
      <c r="G21" s="3">
        <v>1880</v>
      </c>
      <c r="H21" s="2" t="s">
        <v>145</v>
      </c>
      <c r="I21" s="3">
        <v>6846477</v>
      </c>
      <c r="J21" s="2" t="s">
        <v>142</v>
      </c>
    </row>
    <row r="22" spans="1:13" x14ac:dyDescent="0.2">
      <c r="A22" s="2">
        <v>9</v>
      </c>
      <c r="B22" s="2" t="s">
        <v>139</v>
      </c>
      <c r="C22" s="3">
        <v>3918787</v>
      </c>
      <c r="D22" s="3">
        <v>4453019</v>
      </c>
      <c r="E22" s="3">
        <v>4364485</v>
      </c>
      <c r="F22" s="3">
        <v>4619407</v>
      </c>
      <c r="G22" s="3">
        <v>4338924</v>
      </c>
    </row>
    <row r="23" spans="1:13" x14ac:dyDescent="0.2">
      <c r="A23" s="15">
        <v>2025</v>
      </c>
      <c r="B23" s="15"/>
      <c r="C23" s="15"/>
      <c r="D23" s="15"/>
      <c r="E23" s="15"/>
      <c r="F23" s="15"/>
      <c r="G23" s="15"/>
      <c r="H23" s="15"/>
      <c r="I23" s="15"/>
      <c r="J23" s="15"/>
    </row>
    <row r="24" spans="1:13" x14ac:dyDescent="0.2">
      <c r="A24" s="1" t="s">
        <v>126</v>
      </c>
      <c r="B24" s="1" t="s">
        <v>127</v>
      </c>
      <c r="C24" s="1" t="s">
        <v>128</v>
      </c>
      <c r="D24" s="1" t="s">
        <v>129</v>
      </c>
      <c r="E24" s="1" t="s">
        <v>130</v>
      </c>
      <c r="F24" s="1" t="s">
        <v>131</v>
      </c>
      <c r="G24" s="1" t="s">
        <v>132</v>
      </c>
      <c r="H24" s="1" t="s">
        <v>0</v>
      </c>
      <c r="I24" s="1" t="s">
        <v>140</v>
      </c>
      <c r="J24" s="1" t="s">
        <v>141</v>
      </c>
      <c r="M24" s="1" t="s">
        <v>16</v>
      </c>
    </row>
    <row r="25" spans="1:13" x14ac:dyDescent="0.2">
      <c r="A25" s="2">
        <v>1</v>
      </c>
      <c r="B25" s="2"/>
      <c r="C25" s="2"/>
      <c r="D25" s="2"/>
      <c r="E25" s="2"/>
      <c r="F25" s="2"/>
      <c r="G25" s="2"/>
    </row>
    <row r="26" spans="1:13" x14ac:dyDescent="0.2">
      <c r="A26" s="2">
        <v>2</v>
      </c>
      <c r="B26" s="2" t="s">
        <v>133</v>
      </c>
      <c r="C26" s="2"/>
      <c r="D26" s="2"/>
      <c r="E26" s="2"/>
      <c r="F26" s="2"/>
      <c r="G26" s="2"/>
    </row>
    <row r="27" spans="1:13" x14ac:dyDescent="0.2">
      <c r="A27" s="2">
        <v>3</v>
      </c>
      <c r="B27" s="2" t="s">
        <v>4</v>
      </c>
      <c r="C27" s="3">
        <v>2388052</v>
      </c>
      <c r="D27" s="3">
        <v>2231664</v>
      </c>
      <c r="E27" s="3">
        <v>1996229</v>
      </c>
      <c r="F27" s="3">
        <v>2355176</v>
      </c>
      <c r="G27" s="3">
        <v>2242780</v>
      </c>
      <c r="H27" s="2" t="s">
        <v>4</v>
      </c>
      <c r="I27" s="3">
        <v>9614529718</v>
      </c>
      <c r="J27" s="2" t="s">
        <v>142</v>
      </c>
      <c r="L27" s="4" t="s">
        <v>17</v>
      </c>
      <c r="M27" s="4">
        <f>G27*8760/I27</f>
        <v>2.0434439724303943</v>
      </c>
    </row>
    <row r="28" spans="1:13" x14ac:dyDescent="0.2">
      <c r="A28" s="2">
        <v>4</v>
      </c>
      <c r="B28" s="2" t="s">
        <v>134</v>
      </c>
      <c r="C28" s="3">
        <v>1313037</v>
      </c>
      <c r="D28" s="3">
        <v>1538121</v>
      </c>
      <c r="E28" s="3">
        <v>1622137</v>
      </c>
      <c r="F28" s="3">
        <v>1088932</v>
      </c>
      <c r="G28" s="3">
        <v>1390557</v>
      </c>
      <c r="H28" s="2" t="s">
        <v>134</v>
      </c>
      <c r="I28" s="3">
        <v>22169231</v>
      </c>
      <c r="J28" s="2" t="s">
        <v>143</v>
      </c>
      <c r="L28" s="4" t="s">
        <v>18</v>
      </c>
      <c r="M28" s="4">
        <f>(G28+G29)*8760/(C38+C39)</f>
        <v>1.9422802170188385</v>
      </c>
    </row>
    <row r="29" spans="1:13" x14ac:dyDescent="0.2">
      <c r="A29" s="2">
        <v>5</v>
      </c>
      <c r="B29" s="2" t="s">
        <v>135</v>
      </c>
      <c r="C29" s="3">
        <v>483249</v>
      </c>
      <c r="D29" s="3">
        <v>534060</v>
      </c>
      <c r="E29" s="3">
        <v>553442</v>
      </c>
      <c r="F29" s="3">
        <v>390770</v>
      </c>
      <c r="G29" s="3">
        <v>490380</v>
      </c>
      <c r="H29" s="2" t="s">
        <v>135</v>
      </c>
      <c r="I29" s="3">
        <v>7278697</v>
      </c>
      <c r="J29" s="2" t="s">
        <v>143</v>
      </c>
    </row>
    <row r="30" spans="1:13" x14ac:dyDescent="0.2">
      <c r="A30" s="2">
        <v>6</v>
      </c>
      <c r="B30" s="2" t="s">
        <v>136</v>
      </c>
      <c r="C30" s="3">
        <v>125072</v>
      </c>
      <c r="D30" s="3">
        <v>136608</v>
      </c>
      <c r="E30" s="3">
        <v>144388</v>
      </c>
      <c r="F30" s="3">
        <v>93665</v>
      </c>
      <c r="G30" s="3">
        <v>124933</v>
      </c>
      <c r="H30" s="2" t="s">
        <v>136</v>
      </c>
      <c r="I30" s="3">
        <v>2501281</v>
      </c>
      <c r="J30" s="2" t="s">
        <v>144</v>
      </c>
      <c r="L30" s="4" t="s">
        <v>19</v>
      </c>
      <c r="M30" s="4">
        <f>(G30+G31)*8760/(C40+C41)</f>
        <v>1.0824987728879578</v>
      </c>
    </row>
    <row r="31" spans="1:13" x14ac:dyDescent="0.2">
      <c r="A31" s="2">
        <v>7</v>
      </c>
      <c r="B31" s="2" t="s">
        <v>137</v>
      </c>
      <c r="C31" s="3">
        <v>754481</v>
      </c>
      <c r="D31" s="3">
        <v>582504</v>
      </c>
      <c r="E31" s="3">
        <v>614269</v>
      </c>
      <c r="F31" s="3">
        <v>195238</v>
      </c>
      <c r="G31" s="3">
        <v>536623</v>
      </c>
      <c r="H31" s="2" t="s">
        <v>137</v>
      </c>
      <c r="I31" s="3">
        <v>11754063</v>
      </c>
      <c r="J31" s="2" t="s">
        <v>144</v>
      </c>
    </row>
    <row r="32" spans="1:13" x14ac:dyDescent="0.2">
      <c r="A32" s="2">
        <v>8</v>
      </c>
      <c r="B32" s="2" t="s">
        <v>138</v>
      </c>
      <c r="C32" s="3">
        <v>2368</v>
      </c>
      <c r="D32" s="3">
        <v>2098</v>
      </c>
      <c r="E32" s="3">
        <v>2152</v>
      </c>
      <c r="F32" s="3">
        <v>1767</v>
      </c>
      <c r="G32" s="3">
        <v>2096</v>
      </c>
      <c r="H32" s="2" t="s">
        <v>145</v>
      </c>
      <c r="I32" s="3">
        <v>13622144</v>
      </c>
      <c r="J32" s="2" t="s">
        <v>142</v>
      </c>
    </row>
    <row r="33" spans="1:8" x14ac:dyDescent="0.2">
      <c r="A33" s="2">
        <v>9</v>
      </c>
      <c r="B33" s="2" t="s">
        <v>139</v>
      </c>
      <c r="C33" s="3">
        <v>5066258</v>
      </c>
      <c r="D33" s="3">
        <v>5025055</v>
      </c>
      <c r="E33" s="3">
        <v>4932619</v>
      </c>
      <c r="F33" s="3">
        <v>4125548</v>
      </c>
      <c r="G33" s="3">
        <v>4787369</v>
      </c>
    </row>
    <row r="35" spans="1:8" x14ac:dyDescent="0.2">
      <c r="A35" s="18" t="s">
        <v>940</v>
      </c>
    </row>
    <row r="36" spans="1:8" x14ac:dyDescent="0.2">
      <c r="A36" s="1" t="s">
        <v>941</v>
      </c>
      <c r="B36" s="1" t="s">
        <v>944</v>
      </c>
      <c r="C36" s="1" t="s">
        <v>956</v>
      </c>
      <c r="D36" s="1" t="s">
        <v>143</v>
      </c>
      <c r="E36" s="1" t="s">
        <v>144</v>
      </c>
      <c r="F36" s="1" t="s">
        <v>957</v>
      </c>
      <c r="G36" s="1" t="s">
        <v>958</v>
      </c>
      <c r="H36" s="1" t="s">
        <v>959</v>
      </c>
    </row>
    <row r="37" spans="1:8" x14ac:dyDescent="0.2">
      <c r="A37" s="2" t="s">
        <v>4</v>
      </c>
      <c r="B37" s="3">
        <v>959580</v>
      </c>
      <c r="C37" s="3">
        <v>9572426993</v>
      </c>
      <c r="D37" s="2" t="s">
        <v>28</v>
      </c>
      <c r="E37" s="2" t="s">
        <v>28</v>
      </c>
      <c r="F37" s="2" t="s">
        <v>28</v>
      </c>
      <c r="G37" s="2" t="s">
        <v>28</v>
      </c>
      <c r="H37" s="3">
        <v>328462516</v>
      </c>
    </row>
    <row r="38" spans="1:8" x14ac:dyDescent="0.2">
      <c r="A38" s="2" t="s">
        <v>134</v>
      </c>
      <c r="B38" s="3">
        <v>110782</v>
      </c>
      <c r="C38" s="3">
        <v>6188098963</v>
      </c>
      <c r="D38" s="3">
        <v>22599575</v>
      </c>
      <c r="E38" s="2" t="s">
        <v>28</v>
      </c>
      <c r="F38" s="3">
        <v>6744638</v>
      </c>
      <c r="G38" s="2" t="s">
        <v>28</v>
      </c>
      <c r="H38" s="3">
        <v>109809974</v>
      </c>
    </row>
    <row r="39" spans="1:8" x14ac:dyDescent="0.2">
      <c r="A39" s="2" t="s">
        <v>135</v>
      </c>
      <c r="B39" s="3">
        <v>1086</v>
      </c>
      <c r="C39" s="3">
        <v>2295233141</v>
      </c>
      <c r="D39" s="3">
        <v>5542982</v>
      </c>
      <c r="E39" s="2" t="s">
        <v>28</v>
      </c>
      <c r="F39" s="3">
        <v>2535076</v>
      </c>
      <c r="G39" s="2" t="s">
        <v>28</v>
      </c>
      <c r="H39" s="3">
        <v>14325957</v>
      </c>
    </row>
    <row r="40" spans="1:8" x14ac:dyDescent="0.2">
      <c r="A40" s="2" t="s">
        <v>136</v>
      </c>
      <c r="B40" s="2">
        <v>101</v>
      </c>
      <c r="C40" s="3">
        <v>717981021</v>
      </c>
      <c r="D40" s="2" t="s">
        <v>28</v>
      </c>
      <c r="E40" s="3">
        <v>1972391</v>
      </c>
      <c r="F40" s="2" t="s">
        <v>28</v>
      </c>
      <c r="G40" s="2" t="s">
        <v>28</v>
      </c>
      <c r="H40" s="3">
        <v>1666156</v>
      </c>
    </row>
    <row r="41" spans="1:8" x14ac:dyDescent="0.2">
      <c r="A41" s="2" t="s">
        <v>137</v>
      </c>
      <c r="B41" s="2">
        <v>184</v>
      </c>
      <c r="C41" s="3">
        <v>4635586766</v>
      </c>
      <c r="D41" s="2" t="s">
        <v>28</v>
      </c>
      <c r="E41" s="3">
        <v>10677753</v>
      </c>
      <c r="F41" s="2" t="s">
        <v>28</v>
      </c>
      <c r="G41" s="2" t="s">
        <v>28</v>
      </c>
      <c r="H41" s="3">
        <v>3699784</v>
      </c>
    </row>
    <row r="42" spans="1:8" x14ac:dyDescent="0.2">
      <c r="A42" s="2" t="s">
        <v>960</v>
      </c>
      <c r="B42" s="3">
        <v>1411</v>
      </c>
      <c r="C42" s="3">
        <v>13638709</v>
      </c>
      <c r="D42" s="2" t="s">
        <v>28</v>
      </c>
      <c r="E42" s="2" t="s">
        <v>28</v>
      </c>
      <c r="F42" s="2" t="s">
        <v>28</v>
      </c>
      <c r="G42" s="2" t="s">
        <v>28</v>
      </c>
      <c r="H42" s="3">
        <v>138925</v>
      </c>
    </row>
    <row r="43" spans="1:8" x14ac:dyDescent="0.2">
      <c r="A43" s="2" t="s">
        <v>961</v>
      </c>
      <c r="B43" s="2">
        <v>964</v>
      </c>
      <c r="C43" s="3">
        <v>97817332</v>
      </c>
      <c r="D43" s="2" t="s">
        <v>28</v>
      </c>
      <c r="E43" s="2" t="s">
        <v>28</v>
      </c>
      <c r="F43" s="2" t="s">
        <v>28</v>
      </c>
      <c r="G43" s="2" t="s">
        <v>28</v>
      </c>
      <c r="H43" s="3">
        <v>6617107</v>
      </c>
    </row>
    <row r="44" spans="1:8" x14ac:dyDescent="0.2">
      <c r="A44" s="2" t="s">
        <v>953</v>
      </c>
      <c r="B44" s="3">
        <v>2016</v>
      </c>
      <c r="C44" s="3">
        <v>30959729</v>
      </c>
      <c r="D44" s="2" t="s">
        <v>28</v>
      </c>
      <c r="E44" s="2" t="s">
        <v>28</v>
      </c>
      <c r="F44" s="2" t="s">
        <v>28</v>
      </c>
      <c r="G44" s="2" t="s">
        <v>28</v>
      </c>
      <c r="H44" s="3">
        <v>3533720</v>
      </c>
    </row>
    <row r="45" spans="1:8" x14ac:dyDescent="0.2">
      <c r="A45" s="1" t="s">
        <v>437</v>
      </c>
      <c r="B45" s="9">
        <v>1076124</v>
      </c>
      <c r="C45" s="9">
        <v>23551742653</v>
      </c>
      <c r="D45" s="9">
        <v>28142557</v>
      </c>
      <c r="E45" s="9">
        <v>12650144</v>
      </c>
      <c r="F45" s="9">
        <v>9279714</v>
      </c>
      <c r="G45" s="1" t="s">
        <v>28</v>
      </c>
      <c r="H45" s="9">
        <v>468254140</v>
      </c>
    </row>
  </sheetData>
  <mergeCells count="3">
    <mergeCell ref="A1:J1"/>
    <mergeCell ref="A12:J12"/>
    <mergeCell ref="A23:J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6BE77-526F-8749-A431-D9E7DD3B08C1}">
  <dimension ref="A1:L48"/>
  <sheetViews>
    <sheetView workbookViewId="0">
      <selection activeCell="I2" sqref="I2:J8"/>
    </sheetView>
  </sheetViews>
  <sheetFormatPr baseColWidth="10" defaultRowHeight="16" x14ac:dyDescent="0.2"/>
  <cols>
    <col min="1" max="1" width="10.83203125" style="4"/>
    <col min="2" max="2" width="11.6640625" style="4" customWidth="1"/>
    <col min="3" max="4" width="10.83203125" style="4"/>
    <col min="5" max="5" width="15.1640625" style="4" customWidth="1"/>
    <col min="6" max="6" width="13.5" style="4" customWidth="1"/>
    <col min="7" max="8" width="10.83203125" style="4"/>
    <col min="9" max="9" width="14.33203125" style="4" customWidth="1"/>
    <col min="10" max="10" width="14" style="4" bestFit="1" customWidth="1"/>
    <col min="11" max="16384" width="10.83203125" style="4"/>
  </cols>
  <sheetData>
    <row r="1" spans="1:12" x14ac:dyDescent="0.2">
      <c r="A1" s="15">
        <v>2020</v>
      </c>
      <c r="B1" s="15"/>
      <c r="C1" s="15"/>
      <c r="D1" s="15"/>
      <c r="E1" s="15"/>
      <c r="F1" s="15"/>
      <c r="G1" s="15"/>
    </row>
    <row r="2" spans="1:12" x14ac:dyDescent="0.2">
      <c r="A2" s="1" t="s">
        <v>0</v>
      </c>
      <c r="B2" s="1" t="s">
        <v>147</v>
      </c>
      <c r="C2" s="1" t="s">
        <v>148</v>
      </c>
      <c r="D2" s="1" t="s">
        <v>149</v>
      </c>
      <c r="E2" s="1" t="s">
        <v>150</v>
      </c>
      <c r="F2" s="1" t="s">
        <v>151</v>
      </c>
      <c r="G2" s="1" t="s">
        <v>152</v>
      </c>
      <c r="J2" s="4" t="s">
        <v>16</v>
      </c>
      <c r="L2" s="4" t="s">
        <v>158</v>
      </c>
    </row>
    <row r="3" spans="1:12" x14ac:dyDescent="0.2">
      <c r="A3" s="2" t="s">
        <v>153</v>
      </c>
      <c r="B3" s="7">
        <v>3520.3</v>
      </c>
      <c r="C3" s="7">
        <v>2692.9</v>
      </c>
      <c r="D3" s="8">
        <v>0.76500000000000001</v>
      </c>
      <c r="E3" s="3">
        <v>11190020</v>
      </c>
      <c r="F3" s="3">
        <v>8448465</v>
      </c>
      <c r="G3" s="8">
        <v>0.755</v>
      </c>
      <c r="I3" s="4" t="s">
        <v>17</v>
      </c>
      <c r="J3" s="4">
        <f>(B3+B4)*8760/(E3+E4)</f>
        <v>2.7578971834013259</v>
      </c>
      <c r="L3" s="4">
        <f>(J3+J11+J19+J27+J35+J43)/6</f>
        <v>2.5496028756818041</v>
      </c>
    </row>
    <row r="4" spans="1:12" x14ac:dyDescent="0.2">
      <c r="A4" s="2" t="s">
        <v>154</v>
      </c>
      <c r="B4" s="2">
        <v>261.60000000000002</v>
      </c>
      <c r="C4" s="2">
        <v>192.7</v>
      </c>
      <c r="D4" s="8">
        <v>0.73699999999999999</v>
      </c>
      <c r="E4" s="3">
        <v>822554</v>
      </c>
      <c r="F4" s="3">
        <v>593062</v>
      </c>
      <c r="G4" s="8">
        <v>0.72099999999999997</v>
      </c>
    </row>
    <row r="5" spans="1:12" x14ac:dyDescent="0.2">
      <c r="A5" s="2" t="s">
        <v>155</v>
      </c>
      <c r="B5" s="2">
        <v>542.1</v>
      </c>
      <c r="C5" s="2">
        <v>297.10000000000002</v>
      </c>
      <c r="D5" s="8">
        <v>0.54800000000000004</v>
      </c>
      <c r="E5" s="3">
        <v>2501459</v>
      </c>
      <c r="F5" s="3">
        <v>1300294</v>
      </c>
      <c r="G5" s="8">
        <v>0.52</v>
      </c>
      <c r="I5" s="4" t="s">
        <v>18</v>
      </c>
      <c r="J5" s="4">
        <f>(B5+B6+B7)*8760/(E5+E6+E7)</f>
        <v>1.7524543400140777</v>
      </c>
      <c r="L5" s="4">
        <f>(J5+J13+J21+J29+J37+J45)/6</f>
        <v>1.8662742229038607</v>
      </c>
    </row>
    <row r="6" spans="1:12" x14ac:dyDescent="0.2">
      <c r="A6" s="2" t="s">
        <v>134</v>
      </c>
      <c r="B6" s="2">
        <v>48.9</v>
      </c>
      <c r="C6" s="2">
        <v>9.3000000000000007</v>
      </c>
      <c r="D6" s="8">
        <v>0.191</v>
      </c>
      <c r="E6" s="3">
        <v>242819</v>
      </c>
      <c r="F6" s="3">
        <v>44511</v>
      </c>
      <c r="G6" s="8">
        <v>0.183</v>
      </c>
    </row>
    <row r="7" spans="1:12" x14ac:dyDescent="0.2">
      <c r="A7" s="2" t="s">
        <v>156</v>
      </c>
      <c r="B7" s="2">
        <v>3</v>
      </c>
      <c r="C7" s="2">
        <v>1.5</v>
      </c>
      <c r="D7" s="8">
        <v>0.5</v>
      </c>
      <c r="E7" s="3">
        <v>224952</v>
      </c>
      <c r="F7" s="3">
        <v>99249</v>
      </c>
      <c r="G7" s="8">
        <v>0.441</v>
      </c>
    </row>
    <row r="8" spans="1:12" x14ac:dyDescent="0.2">
      <c r="A8" s="2" t="s">
        <v>157</v>
      </c>
      <c r="B8" s="7">
        <v>1243.7</v>
      </c>
      <c r="C8" s="2">
        <v>250.8</v>
      </c>
      <c r="D8" s="8">
        <v>0.20200000000000001</v>
      </c>
      <c r="E8" s="3">
        <v>6858663</v>
      </c>
      <c r="F8" s="3">
        <v>1165973</v>
      </c>
      <c r="G8" s="8">
        <v>0.17</v>
      </c>
      <c r="I8" s="4" t="s">
        <v>19</v>
      </c>
      <c r="J8" s="4">
        <f>(B8)*8760/(E8)</f>
        <v>1.5884746050359961</v>
      </c>
      <c r="L8" s="4">
        <f>(J8+J16+J24+J32+J40+J48)/6</f>
        <v>1.641033277244331</v>
      </c>
    </row>
    <row r="9" spans="1:12" x14ac:dyDescent="0.2">
      <c r="A9" s="15">
        <v>2021</v>
      </c>
      <c r="B9" s="15"/>
      <c r="C9" s="15"/>
      <c r="D9" s="15"/>
      <c r="E9" s="15"/>
      <c r="F9" s="15"/>
      <c r="G9" s="15"/>
    </row>
    <row r="10" spans="1:12" x14ac:dyDescent="0.2">
      <c r="A10" s="1" t="s">
        <v>0</v>
      </c>
      <c r="B10" s="1" t="s">
        <v>147</v>
      </c>
      <c r="C10" s="1" t="s">
        <v>148</v>
      </c>
      <c r="D10" s="1" t="s">
        <v>149</v>
      </c>
      <c r="E10" s="1" t="s">
        <v>150</v>
      </c>
      <c r="F10" s="1" t="s">
        <v>151</v>
      </c>
      <c r="G10" s="1" t="s">
        <v>152</v>
      </c>
    </row>
    <row r="11" spans="1:12" x14ac:dyDescent="0.2">
      <c r="A11" s="2" t="s">
        <v>153</v>
      </c>
      <c r="B11" s="7">
        <v>3649.6</v>
      </c>
      <c r="C11" s="7">
        <v>2834.4</v>
      </c>
      <c r="D11" s="8">
        <v>0.77700000000000002</v>
      </c>
      <c r="E11" s="3">
        <v>11589252</v>
      </c>
      <c r="F11" s="3">
        <v>8749885</v>
      </c>
      <c r="G11" s="8">
        <v>0.755</v>
      </c>
      <c r="I11" s="4" t="s">
        <v>17</v>
      </c>
      <c r="J11" s="4">
        <f>(B11+B12)*8760/(E11+E12)</f>
        <v>2.7481421858957078</v>
      </c>
    </row>
    <row r="12" spans="1:12" x14ac:dyDescent="0.2">
      <c r="A12" s="2" t="s">
        <v>154</v>
      </c>
      <c r="B12" s="2">
        <v>253.4</v>
      </c>
      <c r="C12" s="2">
        <v>190.2</v>
      </c>
      <c r="D12" s="8">
        <v>0.751</v>
      </c>
      <c r="E12" s="3">
        <v>851982</v>
      </c>
      <c r="F12" s="3">
        <v>614279</v>
      </c>
      <c r="G12" s="8">
        <v>0.72099999999999997</v>
      </c>
    </row>
    <row r="13" spans="1:12" x14ac:dyDescent="0.2">
      <c r="A13" s="2" t="s">
        <v>155</v>
      </c>
      <c r="B13" s="2">
        <v>507.4</v>
      </c>
      <c r="C13" s="2">
        <v>288.10000000000002</v>
      </c>
      <c r="D13" s="8">
        <v>0.56799999999999995</v>
      </c>
      <c r="E13" s="3">
        <v>2384420</v>
      </c>
      <c r="F13" s="3">
        <v>1236521</v>
      </c>
      <c r="G13" s="8">
        <v>0.51900000000000002</v>
      </c>
      <c r="I13" s="4" t="s">
        <v>18</v>
      </c>
      <c r="J13" s="4">
        <f>(B13+B14)*8760/(E13+E14)</f>
        <v>1.8532587919027943</v>
      </c>
    </row>
    <row r="14" spans="1:12" x14ac:dyDescent="0.2">
      <c r="A14" s="2" t="s">
        <v>134</v>
      </c>
      <c r="B14" s="2">
        <v>46</v>
      </c>
      <c r="C14" s="2">
        <v>8.6999999999999993</v>
      </c>
      <c r="D14" s="8">
        <v>0.189</v>
      </c>
      <c r="E14" s="3">
        <v>231396</v>
      </c>
      <c r="F14" s="3">
        <v>42398</v>
      </c>
      <c r="G14" s="8">
        <v>0.183</v>
      </c>
    </row>
    <row r="15" spans="1:12" x14ac:dyDescent="0.2">
      <c r="A15" s="2" t="s">
        <v>156</v>
      </c>
      <c r="B15" s="2" t="s">
        <v>28</v>
      </c>
      <c r="C15" s="2" t="s">
        <v>28</v>
      </c>
      <c r="D15" s="8">
        <v>0</v>
      </c>
      <c r="E15" s="2">
        <v>0</v>
      </c>
      <c r="F15" s="2">
        <v>0</v>
      </c>
      <c r="G15" s="8">
        <v>0</v>
      </c>
    </row>
    <row r="16" spans="1:12" x14ac:dyDescent="0.2">
      <c r="A16" s="2" t="s">
        <v>157</v>
      </c>
      <c r="B16" s="7">
        <v>1203.3</v>
      </c>
      <c r="C16" s="2">
        <v>257.8</v>
      </c>
      <c r="D16" s="8">
        <v>0.214</v>
      </c>
      <c r="E16" s="3">
        <v>6746283</v>
      </c>
      <c r="F16" s="3">
        <v>1146868</v>
      </c>
      <c r="G16" s="8">
        <v>0.17</v>
      </c>
      <c r="I16" s="4" t="s">
        <v>19</v>
      </c>
      <c r="J16" s="4">
        <f>(B16)*8760/(E16)</f>
        <v>1.5624764036729559</v>
      </c>
    </row>
    <row r="17" spans="1:10" x14ac:dyDescent="0.2">
      <c r="A17" s="15">
        <v>2022</v>
      </c>
      <c r="B17" s="15"/>
      <c r="C17" s="15"/>
      <c r="D17" s="15"/>
      <c r="E17" s="15"/>
      <c r="F17" s="15"/>
      <c r="G17" s="15"/>
    </row>
    <row r="18" spans="1:10" x14ac:dyDescent="0.2">
      <c r="A18" s="1" t="s">
        <v>0</v>
      </c>
      <c r="B18" s="1" t="s">
        <v>147</v>
      </c>
      <c r="C18" s="1" t="s">
        <v>148</v>
      </c>
      <c r="D18" s="1" t="s">
        <v>149</v>
      </c>
      <c r="E18" s="1" t="s">
        <v>150</v>
      </c>
      <c r="F18" s="1" t="s">
        <v>151</v>
      </c>
      <c r="G18" s="1" t="s">
        <v>152</v>
      </c>
    </row>
    <row r="19" spans="1:10" x14ac:dyDescent="0.2">
      <c r="A19" s="2" t="s">
        <v>153</v>
      </c>
      <c r="B19" s="7">
        <v>3343.2</v>
      </c>
      <c r="C19" s="7">
        <v>2650.3</v>
      </c>
      <c r="D19" s="8">
        <v>0.79300000000000004</v>
      </c>
      <c r="E19" s="3">
        <v>11777837</v>
      </c>
      <c r="F19" s="3">
        <v>9379951</v>
      </c>
      <c r="G19" s="8">
        <v>0.79600000000000004</v>
      </c>
      <c r="I19" s="4" t="s">
        <v>17</v>
      </c>
      <c r="J19" s="4">
        <f>(B19+B20)*8760/(E19+E20)</f>
        <v>2.4816007484650693</v>
      </c>
    </row>
    <row r="20" spans="1:10" x14ac:dyDescent="0.2">
      <c r="A20" s="2" t="s">
        <v>154</v>
      </c>
      <c r="B20" s="2">
        <v>234</v>
      </c>
      <c r="C20" s="2">
        <v>180.4</v>
      </c>
      <c r="D20" s="8">
        <v>0.77100000000000002</v>
      </c>
      <c r="E20" s="3">
        <v>849606</v>
      </c>
      <c r="F20" s="3">
        <v>657513</v>
      </c>
      <c r="G20" s="8">
        <v>0.77400000000000002</v>
      </c>
    </row>
    <row r="21" spans="1:10" x14ac:dyDescent="0.2">
      <c r="A21" s="2" t="s">
        <v>155</v>
      </c>
      <c r="B21" s="2">
        <v>525.6</v>
      </c>
      <c r="C21" s="2">
        <v>313.89999999999998</v>
      </c>
      <c r="D21" s="8">
        <v>0.59699999999999998</v>
      </c>
      <c r="E21" s="3">
        <v>2391257</v>
      </c>
      <c r="F21" s="3">
        <v>1436230</v>
      </c>
      <c r="G21" s="8">
        <v>0.60099999999999998</v>
      </c>
      <c r="I21" s="4" t="s">
        <v>18</v>
      </c>
      <c r="J21" s="4">
        <f>(B21+B22)*8760/(E21+E22)</f>
        <v>1.909470828423447</v>
      </c>
    </row>
    <row r="22" spans="1:10" x14ac:dyDescent="0.2">
      <c r="A22" s="2" t="s">
        <v>134</v>
      </c>
      <c r="B22" s="2">
        <v>47.1</v>
      </c>
      <c r="C22" s="2">
        <v>10.1</v>
      </c>
      <c r="D22" s="8">
        <v>0.214</v>
      </c>
      <c r="E22" s="3">
        <v>236095</v>
      </c>
      <c r="F22" s="3">
        <v>50833</v>
      </c>
      <c r="G22" s="8">
        <v>0.215</v>
      </c>
    </row>
    <row r="23" spans="1:10" x14ac:dyDescent="0.2">
      <c r="A23" s="2" t="s">
        <v>156</v>
      </c>
      <c r="B23" s="2" t="s">
        <v>28</v>
      </c>
      <c r="C23" s="2" t="s">
        <v>28</v>
      </c>
      <c r="D23" s="8">
        <v>0</v>
      </c>
      <c r="E23" s="2">
        <v>0</v>
      </c>
      <c r="F23" s="2">
        <v>0</v>
      </c>
      <c r="G23" s="8">
        <v>0</v>
      </c>
    </row>
    <row r="24" spans="1:10" x14ac:dyDescent="0.2">
      <c r="A24" s="2" t="s">
        <v>157</v>
      </c>
      <c r="B24" s="7">
        <v>1260</v>
      </c>
      <c r="C24" s="2">
        <v>278.5</v>
      </c>
      <c r="D24" s="8">
        <v>0.221</v>
      </c>
      <c r="E24" s="3">
        <v>6729003</v>
      </c>
      <c r="F24" s="3">
        <v>1479322</v>
      </c>
      <c r="G24" s="8">
        <v>0.22</v>
      </c>
      <c r="I24" s="4" t="s">
        <v>19</v>
      </c>
      <c r="J24" s="4">
        <f>(B24)*8760/(E24)</f>
        <v>1.6403024341050227</v>
      </c>
    </row>
    <row r="25" spans="1:10" x14ac:dyDescent="0.2">
      <c r="A25" s="15">
        <v>2023</v>
      </c>
      <c r="B25" s="15"/>
      <c r="C25" s="15"/>
      <c r="D25" s="15"/>
      <c r="E25" s="15"/>
      <c r="F25" s="15"/>
      <c r="G25" s="15"/>
    </row>
    <row r="26" spans="1:10" x14ac:dyDescent="0.2">
      <c r="A26" s="1" t="s">
        <v>0</v>
      </c>
      <c r="B26" s="1" t="s">
        <v>147</v>
      </c>
      <c r="C26" s="1" t="s">
        <v>148</v>
      </c>
      <c r="D26" s="1" t="s">
        <v>149</v>
      </c>
      <c r="E26" s="1" t="s">
        <v>150</v>
      </c>
      <c r="F26" s="1" t="s">
        <v>151</v>
      </c>
      <c r="G26" s="1" t="s">
        <v>152</v>
      </c>
    </row>
    <row r="27" spans="1:10" x14ac:dyDescent="0.2">
      <c r="A27" s="2" t="s">
        <v>153</v>
      </c>
      <c r="B27" s="7">
        <v>3421.9</v>
      </c>
      <c r="C27" s="7">
        <v>2812.3</v>
      </c>
      <c r="D27" s="8">
        <v>0.82199999999999995</v>
      </c>
      <c r="E27" s="3">
        <v>12136137</v>
      </c>
      <c r="F27" s="3">
        <v>10018062</v>
      </c>
      <c r="G27" s="8">
        <v>0.82499999999999996</v>
      </c>
      <c r="I27" s="4" t="s">
        <v>17</v>
      </c>
      <c r="J27" s="4">
        <f>(B27+B28)*8760/(E27+E28)</f>
        <v>2.4659435377030934</v>
      </c>
    </row>
    <row r="28" spans="1:10" x14ac:dyDescent="0.2">
      <c r="A28" s="2" t="s">
        <v>154</v>
      </c>
      <c r="B28" s="2">
        <v>236.2</v>
      </c>
      <c r="C28" s="2">
        <v>189.4</v>
      </c>
      <c r="D28" s="8">
        <v>0.80200000000000005</v>
      </c>
      <c r="E28" s="3">
        <v>858871</v>
      </c>
      <c r="F28" s="3">
        <v>690778</v>
      </c>
      <c r="G28" s="8">
        <v>0.80400000000000005</v>
      </c>
    </row>
    <row r="29" spans="1:10" x14ac:dyDescent="0.2">
      <c r="A29" s="2" t="s">
        <v>155</v>
      </c>
      <c r="B29" s="2">
        <v>526.79999999999995</v>
      </c>
      <c r="C29" s="2">
        <v>319.8</v>
      </c>
      <c r="D29" s="8">
        <v>0.60699999999999998</v>
      </c>
      <c r="E29" s="3">
        <v>2493915</v>
      </c>
      <c r="F29" s="3">
        <v>1500524</v>
      </c>
      <c r="G29" s="8">
        <v>0.60199999999999998</v>
      </c>
      <c r="I29" s="4" t="s">
        <v>18</v>
      </c>
      <c r="J29" s="4">
        <f>(B29+B30)*8760/(E29+E30)</f>
        <v>1.8336618110576592</v>
      </c>
    </row>
    <row r="30" spans="1:10" x14ac:dyDescent="0.2">
      <c r="A30" s="2" t="s">
        <v>134</v>
      </c>
      <c r="B30" s="2">
        <v>44.6</v>
      </c>
      <c r="C30" s="2">
        <v>10.5</v>
      </c>
      <c r="D30" s="8">
        <v>0.23499999999999999</v>
      </c>
      <c r="E30" s="3">
        <v>235849</v>
      </c>
      <c r="F30" s="3">
        <v>51285</v>
      </c>
      <c r="G30" s="8">
        <v>0.217</v>
      </c>
    </row>
    <row r="31" spans="1:10" x14ac:dyDescent="0.2">
      <c r="A31" s="2" t="s">
        <v>156</v>
      </c>
      <c r="B31" s="2" t="s">
        <v>28</v>
      </c>
      <c r="C31" s="2" t="s">
        <v>28</v>
      </c>
      <c r="D31" s="8">
        <v>0</v>
      </c>
      <c r="E31" s="2">
        <v>0</v>
      </c>
      <c r="F31" s="2">
        <v>0</v>
      </c>
      <c r="G31" s="8">
        <v>0</v>
      </c>
    </row>
    <row r="32" spans="1:10" x14ac:dyDescent="0.2">
      <c r="A32" s="2" t="s">
        <v>157</v>
      </c>
      <c r="B32" s="7">
        <v>1214.7</v>
      </c>
      <c r="C32" s="2">
        <v>262.5</v>
      </c>
      <c r="D32" s="8">
        <v>0.216</v>
      </c>
      <c r="E32" s="3">
        <v>6559242</v>
      </c>
      <c r="F32" s="3">
        <v>1402987</v>
      </c>
      <c r="G32" s="8">
        <v>0.214</v>
      </c>
      <c r="I32" s="4" t="s">
        <v>19</v>
      </c>
      <c r="J32" s="4">
        <f>(B32)*8760/(E32)</f>
        <v>1.6222563521821576</v>
      </c>
    </row>
    <row r="33" spans="1:10" x14ac:dyDescent="0.2">
      <c r="A33" s="15">
        <v>2024</v>
      </c>
      <c r="B33" s="15"/>
      <c r="C33" s="15"/>
      <c r="D33" s="15"/>
      <c r="E33" s="15"/>
      <c r="F33" s="15"/>
      <c r="G33" s="15"/>
    </row>
    <row r="34" spans="1:10" x14ac:dyDescent="0.2">
      <c r="A34" s="1" t="s">
        <v>0</v>
      </c>
      <c r="B34" s="1" t="s">
        <v>147</v>
      </c>
      <c r="C34" s="1" t="s">
        <v>148</v>
      </c>
      <c r="D34" s="1" t="s">
        <v>149</v>
      </c>
      <c r="E34" s="1" t="s">
        <v>150</v>
      </c>
      <c r="F34" s="1" t="s">
        <v>151</v>
      </c>
      <c r="G34" s="1" t="s">
        <v>152</v>
      </c>
    </row>
    <row r="35" spans="1:10" x14ac:dyDescent="0.2">
      <c r="A35" s="2" t="s">
        <v>153</v>
      </c>
      <c r="B35" s="7">
        <v>3263.6</v>
      </c>
      <c r="C35" s="7">
        <v>2730.3</v>
      </c>
      <c r="D35" s="8">
        <v>0.83699999999999997</v>
      </c>
      <c r="E35" s="3">
        <v>12164884</v>
      </c>
      <c r="F35" s="3">
        <v>10041014</v>
      </c>
      <c r="G35" s="8">
        <v>0.82499999999999996</v>
      </c>
      <c r="I35" s="4" t="s">
        <v>17</v>
      </c>
      <c r="J35" s="4">
        <f>(B35+B36)*8760/(E35+E36)</f>
        <v>2.3455328744149342</v>
      </c>
    </row>
    <row r="36" spans="1:10" x14ac:dyDescent="0.2">
      <c r="A36" s="2" t="s">
        <v>154</v>
      </c>
      <c r="B36" s="2">
        <v>221.8</v>
      </c>
      <c r="C36" s="2">
        <v>178.5</v>
      </c>
      <c r="D36" s="8">
        <v>0.80500000000000005</v>
      </c>
      <c r="E36" s="3">
        <v>852245</v>
      </c>
      <c r="F36" s="3">
        <v>685471</v>
      </c>
      <c r="G36" s="8">
        <v>0.80400000000000005</v>
      </c>
    </row>
    <row r="37" spans="1:10" x14ac:dyDescent="0.2">
      <c r="A37" s="2" t="s">
        <v>155</v>
      </c>
      <c r="B37" s="2">
        <v>522</v>
      </c>
      <c r="C37" s="2">
        <v>312.3</v>
      </c>
      <c r="D37" s="8">
        <v>0.59799999999999998</v>
      </c>
      <c r="E37" s="3">
        <v>2414965</v>
      </c>
      <c r="F37" s="3">
        <v>1376079</v>
      </c>
      <c r="G37" s="8">
        <v>0.56999999999999995</v>
      </c>
      <c r="I37" s="4" t="s">
        <v>18</v>
      </c>
      <c r="J37" s="4">
        <f>(B37+B38)*8760/(E37+E38)</f>
        <v>1.8737553729800316</v>
      </c>
    </row>
    <row r="38" spans="1:10" x14ac:dyDescent="0.2">
      <c r="A38" s="2" t="s">
        <v>134</v>
      </c>
      <c r="B38" s="2">
        <v>44.1</v>
      </c>
      <c r="C38" s="2">
        <v>8.3000000000000007</v>
      </c>
      <c r="D38" s="8">
        <v>0.188</v>
      </c>
      <c r="E38" s="3">
        <v>231611</v>
      </c>
      <c r="F38" s="3">
        <v>39599</v>
      </c>
      <c r="G38" s="8">
        <v>0.17100000000000001</v>
      </c>
    </row>
    <row r="39" spans="1:10" x14ac:dyDescent="0.2">
      <c r="A39" s="2" t="s">
        <v>156</v>
      </c>
      <c r="B39" s="2" t="s">
        <v>28</v>
      </c>
      <c r="C39" s="2" t="s">
        <v>28</v>
      </c>
      <c r="D39" s="8">
        <v>0</v>
      </c>
      <c r="E39" s="2">
        <v>0</v>
      </c>
      <c r="F39" s="2">
        <v>0</v>
      </c>
      <c r="G39" s="8">
        <v>0</v>
      </c>
    </row>
    <row r="40" spans="1:10" x14ac:dyDescent="0.2">
      <c r="A40" s="2" t="s">
        <v>157</v>
      </c>
      <c r="B40" s="7">
        <v>1240.0999999999999</v>
      </c>
      <c r="C40" s="2">
        <v>261</v>
      </c>
      <c r="D40" s="8">
        <v>0.21</v>
      </c>
      <c r="E40" s="3">
        <v>6575597</v>
      </c>
      <c r="F40" s="3">
        <v>1396771</v>
      </c>
      <c r="G40" s="8">
        <v>0.21199999999999999</v>
      </c>
      <c r="I40" s="4" t="s">
        <v>19</v>
      </c>
      <c r="J40" s="4">
        <f>(B40)*8760/(E40)</f>
        <v>1.6520592730971804</v>
      </c>
    </row>
    <row r="41" spans="1:10" x14ac:dyDescent="0.2">
      <c r="A41" s="15">
        <v>2025</v>
      </c>
      <c r="B41" s="15"/>
      <c r="C41" s="15"/>
      <c r="D41" s="15"/>
      <c r="E41" s="15"/>
      <c r="F41" s="15"/>
      <c r="G41" s="15"/>
    </row>
    <row r="42" spans="1:10" x14ac:dyDescent="0.2">
      <c r="A42" s="1" t="s">
        <v>0</v>
      </c>
      <c r="B42" s="1" t="s">
        <v>147</v>
      </c>
      <c r="C42" s="1" t="s">
        <v>148</v>
      </c>
      <c r="D42" s="1" t="s">
        <v>149</v>
      </c>
      <c r="E42" s="1" t="s">
        <v>150</v>
      </c>
      <c r="F42" s="1" t="s">
        <v>151</v>
      </c>
      <c r="G42" s="1" t="s">
        <v>152</v>
      </c>
    </row>
    <row r="43" spans="1:10" x14ac:dyDescent="0.2">
      <c r="A43" s="2" t="s">
        <v>153</v>
      </c>
      <c r="B43" s="7">
        <v>3518.7</v>
      </c>
      <c r="C43" s="7">
        <v>2977.4</v>
      </c>
      <c r="D43" s="8">
        <v>0.84599999999999997</v>
      </c>
      <c r="E43" s="3">
        <v>12318958</v>
      </c>
      <c r="F43" s="3">
        <v>10729812</v>
      </c>
      <c r="G43" s="8">
        <v>0.871</v>
      </c>
      <c r="I43" s="4" t="s">
        <v>17</v>
      </c>
      <c r="J43" s="4">
        <f>(B43+B44)*8760/(E43+E44)</f>
        <v>2.4985007242106931</v>
      </c>
    </row>
    <row r="44" spans="1:10" x14ac:dyDescent="0.2">
      <c r="A44" s="2" t="s">
        <v>154</v>
      </c>
      <c r="B44" s="2">
        <v>241.8</v>
      </c>
      <c r="C44" s="2">
        <v>195.8</v>
      </c>
      <c r="D44" s="8">
        <v>0.81</v>
      </c>
      <c r="E44" s="3">
        <v>865741</v>
      </c>
      <c r="F44" s="3">
        <v>727223</v>
      </c>
      <c r="G44" s="8">
        <v>0.84</v>
      </c>
    </row>
    <row r="45" spans="1:10" x14ac:dyDescent="0.2">
      <c r="A45" s="2" t="s">
        <v>155</v>
      </c>
      <c r="B45" s="2">
        <v>552.79999999999995</v>
      </c>
      <c r="C45" s="2">
        <v>329.8</v>
      </c>
      <c r="D45" s="8">
        <v>0.59699999999999998</v>
      </c>
      <c r="E45" s="3">
        <v>2430601</v>
      </c>
      <c r="F45" s="3">
        <v>1397681</v>
      </c>
      <c r="G45" s="8">
        <v>0.57499999999999996</v>
      </c>
      <c r="I45" s="4" t="s">
        <v>18</v>
      </c>
      <c r="J45" s="4">
        <f>(B45+B46)*8760/(E45+E46)</f>
        <v>1.9750441930451546</v>
      </c>
    </row>
    <row r="46" spans="1:10" x14ac:dyDescent="0.2">
      <c r="A46" s="2" t="s">
        <v>134</v>
      </c>
      <c r="B46" s="2">
        <v>46.4</v>
      </c>
      <c r="C46" s="2">
        <v>9</v>
      </c>
      <c r="D46" s="8">
        <v>0.193</v>
      </c>
      <c r="E46" s="3">
        <v>227057</v>
      </c>
      <c r="F46" s="3">
        <v>37960</v>
      </c>
      <c r="G46" s="8">
        <v>0.16700000000000001</v>
      </c>
    </row>
    <row r="47" spans="1:10" x14ac:dyDescent="0.2">
      <c r="A47" s="2" t="s">
        <v>156</v>
      </c>
      <c r="B47" s="2" t="s">
        <v>28</v>
      </c>
      <c r="C47" s="2" t="s">
        <v>28</v>
      </c>
      <c r="D47" s="8">
        <v>0</v>
      </c>
      <c r="E47" s="2">
        <v>0</v>
      </c>
      <c r="F47" s="2">
        <v>0</v>
      </c>
      <c r="G47" s="8">
        <v>0</v>
      </c>
    </row>
    <row r="48" spans="1:10" x14ac:dyDescent="0.2">
      <c r="A48" s="2" t="s">
        <v>157</v>
      </c>
      <c r="B48" s="7">
        <v>1267.3</v>
      </c>
      <c r="C48" s="2">
        <v>281</v>
      </c>
      <c r="D48" s="8">
        <v>0.222</v>
      </c>
      <c r="E48" s="3">
        <v>6234616</v>
      </c>
      <c r="F48" s="3">
        <v>1306334</v>
      </c>
      <c r="G48" s="8">
        <v>0.21</v>
      </c>
      <c r="I48" s="4" t="s">
        <v>19</v>
      </c>
      <c r="J48" s="4">
        <f>(B48)*8760/(E48)</f>
        <v>1.7806305953726742</v>
      </c>
    </row>
  </sheetData>
  <mergeCells count="6">
    <mergeCell ref="A41:G41"/>
    <mergeCell ref="A1:G1"/>
    <mergeCell ref="A9:G9"/>
    <mergeCell ref="A17:G17"/>
    <mergeCell ref="A25:G25"/>
    <mergeCell ref="A33:G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EE3C-F31B-3343-B013-6CB7F9643482}">
  <dimension ref="A1:X48"/>
  <sheetViews>
    <sheetView topLeftCell="A3" workbookViewId="0">
      <selection activeCell="Y33" sqref="Y33"/>
    </sheetView>
  </sheetViews>
  <sheetFormatPr baseColWidth="10" defaultRowHeight="16" x14ac:dyDescent="0.2"/>
  <cols>
    <col min="1" max="1" width="19.83203125" customWidth="1"/>
    <col min="2" max="2" width="15.5" customWidth="1"/>
    <col min="3" max="3" width="15.5" bestFit="1" customWidth="1"/>
    <col min="4" max="4" width="12.83203125" customWidth="1"/>
    <col min="22" max="22" width="14.1640625" bestFit="1" customWidth="1"/>
  </cols>
  <sheetData>
    <row r="1" spans="1:24" x14ac:dyDescent="0.2">
      <c r="A1" s="15">
        <v>2020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24" x14ac:dyDescent="0.2">
      <c r="A2" s="1" t="s">
        <v>962</v>
      </c>
      <c r="B2" s="1" t="s">
        <v>437</v>
      </c>
      <c r="C2" s="1" t="s">
        <v>963</v>
      </c>
      <c r="D2" s="1" t="s">
        <v>964</v>
      </c>
      <c r="E2" s="1" t="s">
        <v>965</v>
      </c>
      <c r="F2" s="1" t="s">
        <v>966</v>
      </c>
      <c r="G2" s="1" t="s">
        <v>967</v>
      </c>
      <c r="H2" s="1" t="s">
        <v>971</v>
      </c>
      <c r="I2" s="1" t="s">
        <v>972</v>
      </c>
      <c r="J2" s="1" t="s">
        <v>973</v>
      </c>
      <c r="K2" s="1" t="s">
        <v>983</v>
      </c>
      <c r="L2" s="1" t="s">
        <v>974</v>
      </c>
      <c r="M2" s="1" t="s">
        <v>975</v>
      </c>
      <c r="N2" s="1" t="s">
        <v>976</v>
      </c>
      <c r="O2" s="1" t="s">
        <v>984</v>
      </c>
      <c r="P2" s="1" t="s">
        <v>985</v>
      </c>
      <c r="Q2" s="1" t="s">
        <v>986</v>
      </c>
      <c r="R2" s="1" t="s">
        <v>987</v>
      </c>
      <c r="S2" s="1" t="s">
        <v>988</v>
      </c>
      <c r="U2" s="4"/>
      <c r="V2" s="4" t="s">
        <v>16</v>
      </c>
      <c r="X2" t="s">
        <v>158</v>
      </c>
    </row>
    <row r="3" spans="1:24" x14ac:dyDescent="0.2">
      <c r="A3" s="1" t="s">
        <v>977</v>
      </c>
      <c r="B3" s="3">
        <v>86112915445</v>
      </c>
      <c r="C3" s="3">
        <v>19801269007</v>
      </c>
      <c r="D3" s="3">
        <v>4568105270</v>
      </c>
      <c r="E3" s="3">
        <v>705375158</v>
      </c>
      <c r="F3" s="3">
        <v>1577233211</v>
      </c>
      <c r="G3" s="3">
        <v>377911451</v>
      </c>
      <c r="H3" s="3">
        <v>11342756244</v>
      </c>
      <c r="I3" s="3">
        <v>9854538396</v>
      </c>
      <c r="J3" s="3">
        <v>9184612630</v>
      </c>
      <c r="K3" s="3">
        <v>17350117769</v>
      </c>
      <c r="L3" s="3">
        <v>4117664146</v>
      </c>
      <c r="M3" s="3">
        <v>429147880</v>
      </c>
      <c r="N3" s="3">
        <v>5567660581</v>
      </c>
      <c r="O3" s="3">
        <v>126539103</v>
      </c>
      <c r="P3" s="3">
        <v>450586818</v>
      </c>
      <c r="Q3" s="3">
        <v>60892275</v>
      </c>
      <c r="R3" s="3">
        <v>76510784</v>
      </c>
      <c r="S3" s="3">
        <v>521994710</v>
      </c>
      <c r="U3" s="4" t="s">
        <v>17</v>
      </c>
      <c r="V3" s="4">
        <f>SUM(C7:F7)*8760/SUM(C3:F3)</f>
        <v>2.9048536519146886</v>
      </c>
      <c r="X3">
        <f>(V3+V11+V19+V27+V35+V43)/6</f>
        <v>2.9345883648069062</v>
      </c>
    </row>
    <row r="4" spans="1:24" x14ac:dyDescent="0.2">
      <c r="A4" s="1" t="s">
        <v>978</v>
      </c>
      <c r="B4" s="3">
        <v>86112915445</v>
      </c>
      <c r="C4" s="8">
        <v>0.22989999999999999</v>
      </c>
      <c r="D4" s="8">
        <v>5.2999999999999999E-2</v>
      </c>
      <c r="E4" s="8">
        <v>8.2000000000000007E-3</v>
      </c>
      <c r="F4" s="8">
        <v>1.83E-2</v>
      </c>
      <c r="G4" s="8">
        <v>4.4000000000000003E-3</v>
      </c>
      <c r="H4" s="8">
        <v>0.13170000000000001</v>
      </c>
      <c r="I4" s="8">
        <v>0.1144</v>
      </c>
      <c r="J4" s="8">
        <v>0.1067</v>
      </c>
      <c r="K4" s="8">
        <v>0.20150000000000001</v>
      </c>
      <c r="L4" s="8">
        <v>4.7800000000000002E-2</v>
      </c>
      <c r="M4" s="8">
        <v>5.0000000000000001E-3</v>
      </c>
      <c r="N4" s="8">
        <v>6.4699999999999994E-2</v>
      </c>
      <c r="O4" s="8">
        <v>1.5E-3</v>
      </c>
      <c r="P4" s="8">
        <v>5.1999999999999998E-3</v>
      </c>
      <c r="Q4" s="8">
        <v>6.9999999999999999E-4</v>
      </c>
      <c r="R4" s="8">
        <v>8.9999999999999998E-4</v>
      </c>
      <c r="S4" s="8">
        <v>6.1000000000000004E-3</v>
      </c>
      <c r="U4" s="4"/>
      <c r="V4" s="4"/>
    </row>
    <row r="5" spans="1:24" x14ac:dyDescent="0.2">
      <c r="A5" s="1" t="s">
        <v>979</v>
      </c>
      <c r="B5" s="3">
        <v>19852661</v>
      </c>
      <c r="C5" s="3">
        <v>7184716</v>
      </c>
      <c r="D5" s="3">
        <v>1355319</v>
      </c>
      <c r="E5" s="3">
        <v>97586</v>
      </c>
      <c r="F5" s="3">
        <v>200291</v>
      </c>
      <c r="G5" s="3">
        <v>73580</v>
      </c>
      <c r="H5" s="3">
        <v>2870995</v>
      </c>
      <c r="I5" s="3">
        <v>2180547</v>
      </c>
      <c r="J5" s="3">
        <v>1878189</v>
      </c>
      <c r="K5" s="3">
        <v>3170438</v>
      </c>
      <c r="L5" s="3">
        <v>671089</v>
      </c>
      <c r="M5" s="3">
        <v>23406</v>
      </c>
      <c r="N5" s="3">
        <v>51600</v>
      </c>
      <c r="O5" s="2">
        <v>303</v>
      </c>
      <c r="P5" s="3">
        <v>1078</v>
      </c>
      <c r="Q5" s="2">
        <v>146</v>
      </c>
      <c r="R5" s="3">
        <v>9325</v>
      </c>
      <c r="S5" s="3">
        <v>84052</v>
      </c>
      <c r="U5" s="4" t="s">
        <v>18</v>
      </c>
      <c r="V5" s="4">
        <f>SUM(G7:J7)*8760/SUM(G3:J3)</f>
        <v>1.9944527279712638</v>
      </c>
      <c r="X5">
        <f>(V5+V13+V21+V29+V37+V45)/6</f>
        <v>2.0790203323857352</v>
      </c>
    </row>
    <row r="6" spans="1:24" x14ac:dyDescent="0.2">
      <c r="A6" s="1" t="s">
        <v>980</v>
      </c>
      <c r="B6" s="3">
        <v>19852661</v>
      </c>
      <c r="C6" s="8">
        <v>0.3619</v>
      </c>
      <c r="D6" s="8">
        <v>6.83E-2</v>
      </c>
      <c r="E6" s="8">
        <v>4.8999999999999998E-3</v>
      </c>
      <c r="F6" s="8">
        <v>1.01E-2</v>
      </c>
      <c r="G6" s="8">
        <v>3.7000000000000002E-3</v>
      </c>
      <c r="H6" s="8">
        <v>0.14460000000000001</v>
      </c>
      <c r="I6" s="8">
        <v>0.10979999999999999</v>
      </c>
      <c r="J6" s="8">
        <v>9.4600000000000004E-2</v>
      </c>
      <c r="K6" s="8">
        <v>0.15970000000000001</v>
      </c>
      <c r="L6" s="8">
        <v>3.3799999999999997E-2</v>
      </c>
      <c r="M6" s="8">
        <v>1.1999999999999999E-3</v>
      </c>
      <c r="N6" s="8">
        <v>2.5999999999999999E-3</v>
      </c>
      <c r="O6" s="8">
        <v>0</v>
      </c>
      <c r="P6" s="8">
        <v>1E-4</v>
      </c>
      <c r="Q6" s="8">
        <v>0</v>
      </c>
      <c r="R6" s="8">
        <v>5.0000000000000001E-4</v>
      </c>
      <c r="S6" s="8">
        <v>4.1999999999999997E-3</v>
      </c>
      <c r="U6" s="4"/>
      <c r="V6" s="4"/>
    </row>
    <row r="7" spans="1:24" x14ac:dyDescent="0.2">
      <c r="A7" s="1" t="s">
        <v>981</v>
      </c>
      <c r="B7" s="3">
        <v>20419712</v>
      </c>
      <c r="C7" s="3">
        <v>7184716</v>
      </c>
      <c r="D7" s="3">
        <v>1355319</v>
      </c>
      <c r="E7" s="3">
        <v>97586</v>
      </c>
      <c r="F7" s="3">
        <v>200291</v>
      </c>
      <c r="G7" s="3">
        <v>73580</v>
      </c>
      <c r="H7" s="3">
        <v>2870995</v>
      </c>
      <c r="I7" s="3">
        <v>2180547</v>
      </c>
      <c r="J7" s="3">
        <v>1878189</v>
      </c>
      <c r="K7" s="3">
        <v>3170438</v>
      </c>
      <c r="L7" s="3">
        <v>671089</v>
      </c>
      <c r="M7" s="3">
        <v>51727</v>
      </c>
      <c r="N7" s="3">
        <v>590331</v>
      </c>
      <c r="O7" s="2">
        <v>303</v>
      </c>
      <c r="P7" s="3">
        <v>1078</v>
      </c>
      <c r="Q7" s="2">
        <v>146</v>
      </c>
      <c r="R7" s="3">
        <v>9325</v>
      </c>
      <c r="S7" s="3">
        <v>84052</v>
      </c>
      <c r="U7" s="4"/>
      <c r="V7" s="4"/>
    </row>
    <row r="8" spans="1:24" x14ac:dyDescent="0.2">
      <c r="A8" s="1" t="s">
        <v>982</v>
      </c>
      <c r="B8" s="3">
        <v>20419712</v>
      </c>
      <c r="C8" s="8">
        <v>0.35189999999999999</v>
      </c>
      <c r="D8" s="8">
        <v>6.6400000000000001E-2</v>
      </c>
      <c r="E8" s="8">
        <v>4.7999999999999996E-3</v>
      </c>
      <c r="F8" s="8">
        <v>9.7999999999999997E-3</v>
      </c>
      <c r="G8" s="8">
        <v>3.5999999999999999E-3</v>
      </c>
      <c r="H8" s="8">
        <v>0.1406</v>
      </c>
      <c r="I8" s="8">
        <v>0.10680000000000001</v>
      </c>
      <c r="J8" s="8">
        <v>9.1999999999999998E-2</v>
      </c>
      <c r="K8" s="8">
        <v>0.15529999999999999</v>
      </c>
      <c r="L8" s="8">
        <v>3.2899999999999999E-2</v>
      </c>
      <c r="M8" s="8">
        <v>2.5000000000000001E-3</v>
      </c>
      <c r="N8" s="8">
        <v>2.69E-2</v>
      </c>
      <c r="O8" s="8">
        <v>0</v>
      </c>
      <c r="P8" s="8">
        <v>1E-4</v>
      </c>
      <c r="Q8" s="8">
        <v>0</v>
      </c>
      <c r="R8" s="8">
        <v>5.0000000000000001E-4</v>
      </c>
      <c r="S8" s="8">
        <v>4.1000000000000003E-3</v>
      </c>
      <c r="U8" s="4" t="s">
        <v>19</v>
      </c>
      <c r="V8" s="4">
        <f>SUM(K7:N7)*8760/SUM(K3:N3)</f>
        <v>1.4300670085479086</v>
      </c>
      <c r="X8">
        <f>(V8+V16+V24+V32+V40+V48)/6</f>
        <v>1.3887730840524419</v>
      </c>
    </row>
    <row r="9" spans="1:24" x14ac:dyDescent="0.2">
      <c r="A9" s="15">
        <v>2021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24" x14ac:dyDescent="0.2">
      <c r="A10" s="1" t="s">
        <v>962</v>
      </c>
      <c r="B10" s="1" t="s">
        <v>437</v>
      </c>
      <c r="C10" s="1" t="s">
        <v>963</v>
      </c>
      <c r="D10" s="1" t="s">
        <v>964</v>
      </c>
      <c r="E10" s="1" t="s">
        <v>965</v>
      </c>
      <c r="F10" s="1" t="s">
        <v>966</v>
      </c>
      <c r="G10" s="1" t="s">
        <v>967</v>
      </c>
      <c r="H10" s="1" t="s">
        <v>968</v>
      </c>
      <c r="I10" s="1" t="s">
        <v>969</v>
      </c>
      <c r="J10" s="1" t="s">
        <v>970</v>
      </c>
      <c r="K10" s="1" t="s">
        <v>983</v>
      </c>
      <c r="L10" s="1" t="s">
        <v>974</v>
      </c>
      <c r="M10" s="1" t="s">
        <v>975</v>
      </c>
      <c r="N10" s="1" t="s">
        <v>976</v>
      </c>
      <c r="O10" s="1" t="s">
        <v>984</v>
      </c>
      <c r="P10" s="1" t="s">
        <v>985</v>
      </c>
      <c r="Q10" s="1" t="s">
        <v>986</v>
      </c>
      <c r="R10" s="1" t="s">
        <v>987</v>
      </c>
      <c r="S10" s="1" t="s">
        <v>988</v>
      </c>
      <c r="U10" s="4"/>
      <c r="V10" s="4" t="s">
        <v>16</v>
      </c>
    </row>
    <row r="11" spans="1:24" x14ac:dyDescent="0.2">
      <c r="A11" s="1" t="s">
        <v>977</v>
      </c>
      <c r="B11" s="3">
        <v>82579647559</v>
      </c>
      <c r="C11" s="3">
        <v>19990759551</v>
      </c>
      <c r="D11" s="3">
        <v>4724994929</v>
      </c>
      <c r="E11" s="3">
        <v>706492684</v>
      </c>
      <c r="F11" s="3">
        <v>1614087610</v>
      </c>
      <c r="G11" s="3">
        <v>385515137</v>
      </c>
      <c r="H11" s="3">
        <v>10554085410</v>
      </c>
      <c r="I11" s="3">
        <v>9136345500</v>
      </c>
      <c r="J11" s="3">
        <v>8374803423</v>
      </c>
      <c r="K11" s="3">
        <v>16172345914</v>
      </c>
      <c r="L11" s="3">
        <v>3770361543</v>
      </c>
      <c r="M11" s="3">
        <v>453742539</v>
      </c>
      <c r="N11" s="3">
        <v>5643684544</v>
      </c>
      <c r="O11" s="3">
        <v>108762433</v>
      </c>
      <c r="P11" s="3">
        <v>406808886</v>
      </c>
      <c r="Q11" s="3">
        <v>39313207</v>
      </c>
      <c r="R11" s="3">
        <v>77053177</v>
      </c>
      <c r="S11" s="3">
        <v>420531073</v>
      </c>
      <c r="U11" s="4" t="s">
        <v>17</v>
      </c>
      <c r="V11" s="4">
        <f>SUM(C15:F15)*8760/SUM(C11:F11)</f>
        <v>2.8635575423652653</v>
      </c>
    </row>
    <row r="12" spans="1:24" x14ac:dyDescent="0.2">
      <c r="A12" s="1" t="s">
        <v>978</v>
      </c>
      <c r="B12" s="3">
        <v>82579647559</v>
      </c>
      <c r="C12" s="8">
        <v>0.24210000000000001</v>
      </c>
      <c r="D12" s="8">
        <v>5.7200000000000001E-2</v>
      </c>
      <c r="E12" s="8">
        <v>8.6E-3</v>
      </c>
      <c r="F12" s="8">
        <v>1.95E-2</v>
      </c>
      <c r="G12" s="8">
        <v>4.7000000000000002E-3</v>
      </c>
      <c r="H12" s="8">
        <v>0.1278</v>
      </c>
      <c r="I12" s="8">
        <v>0.1106</v>
      </c>
      <c r="J12" s="8">
        <v>0.1014</v>
      </c>
      <c r="K12" s="8">
        <v>0.1958</v>
      </c>
      <c r="L12" s="8">
        <v>4.5699999999999998E-2</v>
      </c>
      <c r="M12" s="8">
        <v>5.4999999999999997E-3</v>
      </c>
      <c r="N12" s="8">
        <v>6.83E-2</v>
      </c>
      <c r="O12" s="8">
        <v>1.2999999999999999E-3</v>
      </c>
      <c r="P12" s="8">
        <v>4.8999999999999998E-3</v>
      </c>
      <c r="Q12" s="8">
        <v>5.0000000000000001E-4</v>
      </c>
      <c r="R12" s="8">
        <v>8.9999999999999998E-4</v>
      </c>
      <c r="S12" s="8">
        <v>5.1000000000000004E-3</v>
      </c>
      <c r="U12" s="4"/>
      <c r="V12" s="4"/>
    </row>
    <row r="13" spans="1:24" x14ac:dyDescent="0.2">
      <c r="A13" s="1" t="s">
        <v>989</v>
      </c>
      <c r="B13" s="3">
        <v>19891149</v>
      </c>
      <c r="C13" s="3">
        <v>7165426</v>
      </c>
      <c r="D13" s="3">
        <v>1375343</v>
      </c>
      <c r="E13" s="3">
        <v>95388</v>
      </c>
      <c r="F13" s="3">
        <v>201754</v>
      </c>
      <c r="G13" s="3">
        <v>82280</v>
      </c>
      <c r="H13" s="3">
        <v>2915083</v>
      </c>
      <c r="I13" s="3">
        <v>2290477</v>
      </c>
      <c r="J13" s="3">
        <v>1869774</v>
      </c>
      <c r="K13" s="3">
        <v>3172581</v>
      </c>
      <c r="L13" s="3">
        <v>579326</v>
      </c>
      <c r="M13" s="3">
        <v>8693</v>
      </c>
      <c r="N13" s="3">
        <v>60874</v>
      </c>
      <c r="O13" s="2">
        <v>246</v>
      </c>
      <c r="P13" s="2">
        <v>920</v>
      </c>
      <c r="Q13" s="2">
        <v>89</v>
      </c>
      <c r="R13" s="3">
        <v>9358</v>
      </c>
      <c r="S13" s="3">
        <v>63537</v>
      </c>
      <c r="U13" s="4" t="s">
        <v>18</v>
      </c>
      <c r="V13" s="4">
        <f>SUM(G15:J15)*8760/SUM(G11:J11)</f>
        <v>2.2038329326302981</v>
      </c>
    </row>
    <row r="14" spans="1:24" x14ac:dyDescent="0.2">
      <c r="A14" s="1" t="s">
        <v>990</v>
      </c>
      <c r="B14" s="3">
        <v>19891149</v>
      </c>
      <c r="C14" s="8">
        <v>0.36020000000000002</v>
      </c>
      <c r="D14" s="8">
        <v>6.9099999999999995E-2</v>
      </c>
      <c r="E14" s="8">
        <v>4.7999999999999996E-3</v>
      </c>
      <c r="F14" s="8">
        <v>1.01E-2</v>
      </c>
      <c r="G14" s="8">
        <v>4.1000000000000003E-3</v>
      </c>
      <c r="H14" s="8">
        <v>0.14660000000000001</v>
      </c>
      <c r="I14" s="8">
        <v>0.1152</v>
      </c>
      <c r="J14" s="8">
        <v>9.4E-2</v>
      </c>
      <c r="K14" s="8">
        <v>0.1595</v>
      </c>
      <c r="L14" s="8">
        <v>2.9100000000000001E-2</v>
      </c>
      <c r="M14" s="8">
        <v>4.0000000000000002E-4</v>
      </c>
      <c r="N14" s="8">
        <v>3.0999999999999999E-3</v>
      </c>
      <c r="O14" s="8">
        <v>0</v>
      </c>
      <c r="P14" s="8">
        <v>0</v>
      </c>
      <c r="Q14" s="8">
        <v>0</v>
      </c>
      <c r="R14" s="8">
        <v>5.0000000000000001E-4</v>
      </c>
      <c r="S14" s="8">
        <v>3.2000000000000002E-3</v>
      </c>
      <c r="U14" s="4"/>
      <c r="V14" s="4"/>
    </row>
    <row r="15" spans="1:24" x14ac:dyDescent="0.2">
      <c r="A15" s="1" t="s">
        <v>981</v>
      </c>
      <c r="B15" s="3">
        <v>20419712</v>
      </c>
      <c r="C15" s="3">
        <v>7165426</v>
      </c>
      <c r="D15" s="3">
        <v>1375343</v>
      </c>
      <c r="E15" s="3">
        <v>95388</v>
      </c>
      <c r="F15" s="3">
        <v>201754</v>
      </c>
      <c r="G15" s="3">
        <v>82280</v>
      </c>
      <c r="H15" s="3">
        <v>2915083</v>
      </c>
      <c r="I15" s="3">
        <v>2290477</v>
      </c>
      <c r="J15" s="3">
        <v>1869774</v>
      </c>
      <c r="K15" s="3">
        <v>3172581</v>
      </c>
      <c r="L15" s="3">
        <v>579326</v>
      </c>
      <c r="M15" s="3">
        <v>34053</v>
      </c>
      <c r="N15" s="3">
        <v>564078</v>
      </c>
      <c r="O15" s="2">
        <v>246</v>
      </c>
      <c r="P15" s="2">
        <v>920</v>
      </c>
      <c r="Q15" s="2">
        <v>89</v>
      </c>
      <c r="R15" s="3">
        <v>9358</v>
      </c>
      <c r="S15" s="3">
        <v>63537</v>
      </c>
      <c r="U15" s="4"/>
      <c r="V15" s="4"/>
    </row>
    <row r="16" spans="1:24" x14ac:dyDescent="0.2">
      <c r="A16" s="1" t="s">
        <v>982</v>
      </c>
      <c r="B16" s="3">
        <v>20419712</v>
      </c>
      <c r="C16" s="8">
        <v>0.35089999999999999</v>
      </c>
      <c r="D16" s="8">
        <v>6.7400000000000002E-2</v>
      </c>
      <c r="E16" s="8">
        <v>4.7000000000000002E-3</v>
      </c>
      <c r="F16" s="8">
        <v>9.9000000000000008E-3</v>
      </c>
      <c r="G16" s="8">
        <v>4.0000000000000001E-3</v>
      </c>
      <c r="H16" s="8">
        <v>0.14280000000000001</v>
      </c>
      <c r="I16" s="8">
        <v>0.11219999999999999</v>
      </c>
      <c r="J16" s="8">
        <v>9.1600000000000001E-2</v>
      </c>
      <c r="K16" s="8">
        <v>0.15540000000000001</v>
      </c>
      <c r="L16" s="8">
        <v>2.8400000000000002E-2</v>
      </c>
      <c r="M16" s="8">
        <v>1.6999999999999999E-3</v>
      </c>
      <c r="N16" s="8">
        <v>2.76E-2</v>
      </c>
      <c r="O16" s="8">
        <v>0</v>
      </c>
      <c r="P16" s="8">
        <v>0</v>
      </c>
      <c r="Q16" s="8">
        <v>0</v>
      </c>
      <c r="R16" s="8">
        <v>5.0000000000000001E-4</v>
      </c>
      <c r="S16" s="8">
        <v>3.0999999999999999E-3</v>
      </c>
      <c r="U16" s="4" t="s">
        <v>19</v>
      </c>
      <c r="V16" s="4">
        <f>SUM(K15:N15)*8760/SUM(K11:N11)</f>
        <v>1.463369277968408</v>
      </c>
    </row>
    <row r="17" spans="1:22" x14ac:dyDescent="0.2">
      <c r="A17" s="15">
        <v>2022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22" x14ac:dyDescent="0.2">
      <c r="A18" s="1" t="s">
        <v>962</v>
      </c>
      <c r="B18" s="1" t="s">
        <v>437</v>
      </c>
      <c r="C18" s="1" t="s">
        <v>963</v>
      </c>
      <c r="D18" s="1" t="s">
        <v>964</v>
      </c>
      <c r="E18" s="1" t="s">
        <v>965</v>
      </c>
      <c r="F18" s="1" t="s">
        <v>966</v>
      </c>
      <c r="G18" s="1" t="s">
        <v>967</v>
      </c>
      <c r="H18" s="1" t="s">
        <v>971</v>
      </c>
      <c r="I18" s="1" t="s">
        <v>972</v>
      </c>
      <c r="J18" s="1" t="s">
        <v>973</v>
      </c>
      <c r="K18" s="1" t="s">
        <v>983</v>
      </c>
      <c r="L18" s="1" t="s">
        <v>974</v>
      </c>
      <c r="M18" s="1" t="s">
        <v>975</v>
      </c>
      <c r="N18" s="1" t="s">
        <v>976</v>
      </c>
      <c r="O18" s="1" t="s">
        <v>984</v>
      </c>
      <c r="P18" s="1" t="s">
        <v>985</v>
      </c>
      <c r="Q18" s="1" t="s">
        <v>986</v>
      </c>
      <c r="R18" s="1" t="s">
        <v>987</v>
      </c>
      <c r="S18" s="1" t="s">
        <v>988</v>
      </c>
      <c r="U18" s="4"/>
      <c r="V18" s="4" t="s">
        <v>16</v>
      </c>
    </row>
    <row r="19" spans="1:22" x14ac:dyDescent="0.2">
      <c r="A19" s="1" t="s">
        <v>977</v>
      </c>
      <c r="B19" s="3">
        <v>83724079969</v>
      </c>
      <c r="C19" s="3">
        <v>20190124155</v>
      </c>
      <c r="D19" s="3">
        <v>4844497562</v>
      </c>
      <c r="E19" s="3">
        <v>689208025</v>
      </c>
      <c r="F19" s="3">
        <v>1583756199</v>
      </c>
      <c r="G19" s="3">
        <v>382359156</v>
      </c>
      <c r="H19" s="3">
        <v>10840743120</v>
      </c>
      <c r="I19" s="3">
        <v>9462908595</v>
      </c>
      <c r="J19" s="3">
        <v>8483845880</v>
      </c>
      <c r="K19" s="3">
        <v>16327624961</v>
      </c>
      <c r="L19" s="3">
        <v>3655585251</v>
      </c>
      <c r="M19" s="3">
        <v>405778935</v>
      </c>
      <c r="N19" s="3">
        <v>5863660819</v>
      </c>
      <c r="O19" s="3">
        <v>90203367</v>
      </c>
      <c r="P19" s="3">
        <v>364558244</v>
      </c>
      <c r="Q19" s="3">
        <v>26145152</v>
      </c>
      <c r="R19" s="3">
        <v>76301076</v>
      </c>
      <c r="S19" s="3">
        <v>436779472</v>
      </c>
      <c r="U19" s="4" t="s">
        <v>17</v>
      </c>
      <c r="V19" s="4">
        <f>SUM(C23:F23)*8760/SUM(C19:F19)</f>
        <v>2.9615854017536938</v>
      </c>
    </row>
    <row r="20" spans="1:22" x14ac:dyDescent="0.2">
      <c r="A20" s="1" t="s">
        <v>978</v>
      </c>
      <c r="B20" s="3">
        <v>83724079969</v>
      </c>
      <c r="C20" s="8">
        <v>0.2412</v>
      </c>
      <c r="D20" s="8">
        <v>5.79E-2</v>
      </c>
      <c r="E20" s="8">
        <v>8.2000000000000007E-3</v>
      </c>
      <c r="F20" s="8">
        <v>1.89E-2</v>
      </c>
      <c r="G20" s="8">
        <v>4.5999999999999999E-3</v>
      </c>
      <c r="H20" s="8">
        <v>0.1295</v>
      </c>
      <c r="I20" s="8">
        <v>0.113</v>
      </c>
      <c r="J20" s="8">
        <v>0.1013</v>
      </c>
      <c r="K20" s="8">
        <v>0.19500000000000001</v>
      </c>
      <c r="L20" s="8">
        <v>4.3700000000000003E-2</v>
      </c>
      <c r="M20" s="8">
        <v>4.7999999999999996E-3</v>
      </c>
      <c r="N20" s="8">
        <v>7.0000000000000007E-2</v>
      </c>
      <c r="O20" s="8">
        <v>1.1000000000000001E-3</v>
      </c>
      <c r="P20" s="8">
        <v>4.4000000000000003E-3</v>
      </c>
      <c r="Q20" s="8">
        <v>2.9999999999999997E-4</v>
      </c>
      <c r="R20" s="8">
        <v>8.9999999999999998E-4</v>
      </c>
      <c r="S20" s="8">
        <v>5.1999999999999998E-3</v>
      </c>
      <c r="U20" s="4"/>
      <c r="V20" s="4"/>
    </row>
    <row r="21" spans="1:22" x14ac:dyDescent="0.2">
      <c r="A21" s="1" t="s">
        <v>989</v>
      </c>
      <c r="B21" s="3">
        <v>19653539</v>
      </c>
      <c r="C21" s="3">
        <v>7476428</v>
      </c>
      <c r="D21" s="3">
        <v>1447838</v>
      </c>
      <c r="E21" s="3">
        <v>99637</v>
      </c>
      <c r="F21" s="3">
        <v>208260</v>
      </c>
      <c r="G21" s="3">
        <v>73906</v>
      </c>
      <c r="H21" s="3">
        <v>2723059</v>
      </c>
      <c r="I21" s="3">
        <v>2188187</v>
      </c>
      <c r="J21" s="3">
        <v>1758095</v>
      </c>
      <c r="K21" s="3">
        <v>2951584</v>
      </c>
      <c r="L21" s="3">
        <v>580248</v>
      </c>
      <c r="M21" s="3">
        <v>12120</v>
      </c>
      <c r="N21" s="3">
        <v>48920</v>
      </c>
      <c r="O21" s="2">
        <v>200</v>
      </c>
      <c r="P21" s="2">
        <v>806</v>
      </c>
      <c r="Q21" s="2">
        <v>58</v>
      </c>
      <c r="R21" s="3">
        <v>9303</v>
      </c>
      <c r="S21" s="3">
        <v>74890</v>
      </c>
      <c r="U21" s="4" t="s">
        <v>18</v>
      </c>
      <c r="V21" s="4">
        <f>SUM(G23:J23)*8760/SUM(G19:J19)</f>
        <v>2.0250645803385692</v>
      </c>
    </row>
    <row r="22" spans="1:22" x14ac:dyDescent="0.2">
      <c r="A22" s="1" t="s">
        <v>990</v>
      </c>
      <c r="B22" s="3">
        <v>19653539</v>
      </c>
      <c r="C22" s="8">
        <v>0.38040000000000002</v>
      </c>
      <c r="D22" s="8">
        <v>7.3700000000000002E-2</v>
      </c>
      <c r="E22" s="8">
        <v>5.1000000000000004E-3</v>
      </c>
      <c r="F22" s="8">
        <v>1.06E-2</v>
      </c>
      <c r="G22" s="8">
        <v>3.8E-3</v>
      </c>
      <c r="H22" s="8">
        <v>0.1386</v>
      </c>
      <c r="I22" s="8">
        <v>0.1113</v>
      </c>
      <c r="J22" s="8">
        <v>8.9499999999999996E-2</v>
      </c>
      <c r="K22" s="8">
        <v>0.1502</v>
      </c>
      <c r="L22" s="8">
        <v>2.9499999999999998E-2</v>
      </c>
      <c r="M22" s="8">
        <v>5.9999999999999995E-4</v>
      </c>
      <c r="N22" s="8">
        <v>2.5000000000000001E-3</v>
      </c>
      <c r="O22" s="8">
        <v>0</v>
      </c>
      <c r="P22" s="8">
        <v>0</v>
      </c>
      <c r="Q22" s="8">
        <v>0</v>
      </c>
      <c r="R22" s="8">
        <v>5.0000000000000001E-4</v>
      </c>
      <c r="S22" s="8">
        <v>3.8E-3</v>
      </c>
      <c r="U22" s="4"/>
      <c r="V22" s="4"/>
    </row>
    <row r="23" spans="1:22" x14ac:dyDescent="0.2">
      <c r="A23" s="1" t="s">
        <v>981</v>
      </c>
      <c r="B23" s="3">
        <v>20238476</v>
      </c>
      <c r="C23" s="3">
        <v>7476428</v>
      </c>
      <c r="D23" s="3">
        <v>1447838</v>
      </c>
      <c r="E23" s="3">
        <v>99637</v>
      </c>
      <c r="F23" s="3">
        <v>208260</v>
      </c>
      <c r="G23" s="3">
        <v>73906</v>
      </c>
      <c r="H23" s="3">
        <v>2723059</v>
      </c>
      <c r="I23" s="3">
        <v>2188187</v>
      </c>
      <c r="J23" s="3">
        <v>1758095</v>
      </c>
      <c r="K23" s="3">
        <v>2951584</v>
      </c>
      <c r="L23" s="3">
        <v>580248</v>
      </c>
      <c r="M23" s="3">
        <v>37965</v>
      </c>
      <c r="N23" s="3">
        <v>608012</v>
      </c>
      <c r="O23" s="2">
        <v>200</v>
      </c>
      <c r="P23" s="2">
        <v>806</v>
      </c>
      <c r="Q23" s="2">
        <v>58</v>
      </c>
      <c r="R23" s="3">
        <v>9303</v>
      </c>
      <c r="S23" s="3">
        <v>74890</v>
      </c>
      <c r="U23" s="4"/>
      <c r="V23" s="4"/>
    </row>
    <row r="24" spans="1:22" x14ac:dyDescent="0.2">
      <c r="A24" s="1" t="s">
        <v>982</v>
      </c>
      <c r="B24" s="3">
        <v>20238476</v>
      </c>
      <c r="C24" s="8">
        <v>0.36940000000000001</v>
      </c>
      <c r="D24" s="8">
        <v>7.1499999999999994E-2</v>
      </c>
      <c r="E24" s="8">
        <v>4.8999999999999998E-3</v>
      </c>
      <c r="F24" s="8">
        <v>1.03E-2</v>
      </c>
      <c r="G24" s="8">
        <v>3.7000000000000002E-3</v>
      </c>
      <c r="H24" s="8">
        <v>0.13450000000000001</v>
      </c>
      <c r="I24" s="8">
        <v>0.1081</v>
      </c>
      <c r="J24" s="8">
        <v>8.6900000000000005E-2</v>
      </c>
      <c r="K24" s="8">
        <v>0.14580000000000001</v>
      </c>
      <c r="L24" s="8">
        <v>2.87E-2</v>
      </c>
      <c r="M24" s="8">
        <v>1.9E-3</v>
      </c>
      <c r="N24" s="8">
        <v>0.03</v>
      </c>
      <c r="O24" s="8">
        <v>0</v>
      </c>
      <c r="P24" s="8">
        <v>0</v>
      </c>
      <c r="Q24" s="8">
        <v>0</v>
      </c>
      <c r="R24" s="8">
        <v>5.0000000000000001E-4</v>
      </c>
      <c r="S24" s="8">
        <v>3.7000000000000002E-3</v>
      </c>
      <c r="U24" s="4" t="s">
        <v>19</v>
      </c>
      <c r="V24" s="4">
        <f>SUM(K23:N23)*8760/SUM(K19:N19)</f>
        <v>1.3940538150395418</v>
      </c>
    </row>
    <row r="25" spans="1:22" x14ac:dyDescent="0.2">
      <c r="A25" s="15">
        <v>2023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22" x14ac:dyDescent="0.2">
      <c r="A26" s="1" t="s">
        <v>962</v>
      </c>
      <c r="B26" s="1" t="s">
        <v>437</v>
      </c>
      <c r="C26" s="1" t="s">
        <v>963</v>
      </c>
      <c r="D26" s="1" t="s">
        <v>964</v>
      </c>
      <c r="E26" s="1" t="s">
        <v>965</v>
      </c>
      <c r="F26" s="1" t="s">
        <v>966</v>
      </c>
      <c r="G26" s="1" t="s">
        <v>967</v>
      </c>
      <c r="H26" s="1" t="s">
        <v>971</v>
      </c>
      <c r="I26" s="1" t="s">
        <v>972</v>
      </c>
      <c r="J26" s="1" t="s">
        <v>973</v>
      </c>
      <c r="K26" s="1" t="s">
        <v>983</v>
      </c>
      <c r="L26" s="1" t="s">
        <v>974</v>
      </c>
      <c r="M26" s="1" t="s">
        <v>975</v>
      </c>
      <c r="N26" s="1" t="s">
        <v>976</v>
      </c>
      <c r="O26" s="1" t="s">
        <v>984</v>
      </c>
      <c r="P26" s="1" t="s">
        <v>985</v>
      </c>
      <c r="Q26" s="1" t="s">
        <v>986</v>
      </c>
      <c r="R26" s="1" t="s">
        <v>987</v>
      </c>
      <c r="S26" s="1" t="s">
        <v>988</v>
      </c>
      <c r="U26" s="4"/>
      <c r="V26" s="4" t="s">
        <v>16</v>
      </c>
    </row>
    <row r="27" spans="1:22" x14ac:dyDescent="0.2">
      <c r="A27" s="1" t="s">
        <v>977</v>
      </c>
      <c r="B27" s="2" t="s">
        <v>28</v>
      </c>
      <c r="C27" s="3">
        <v>20190124155</v>
      </c>
      <c r="D27" s="3">
        <v>4844497562</v>
      </c>
      <c r="E27" s="3">
        <v>689208025</v>
      </c>
      <c r="F27" s="3">
        <v>1583756199</v>
      </c>
      <c r="G27" s="3">
        <v>382359156</v>
      </c>
      <c r="H27" s="3">
        <v>10840743120</v>
      </c>
      <c r="I27" s="3">
        <v>9462908595</v>
      </c>
      <c r="J27" s="3">
        <v>8483845880</v>
      </c>
      <c r="K27" s="3">
        <v>16327624961</v>
      </c>
      <c r="L27" s="3">
        <v>3655585251</v>
      </c>
      <c r="M27" s="3">
        <v>405778935</v>
      </c>
      <c r="N27" s="3">
        <v>5863660819</v>
      </c>
      <c r="O27" s="3">
        <v>90203367</v>
      </c>
      <c r="P27" s="3">
        <v>364558244</v>
      </c>
      <c r="Q27" s="3">
        <v>26145152</v>
      </c>
      <c r="R27" s="3">
        <v>76301076</v>
      </c>
      <c r="S27" s="3">
        <v>436779472</v>
      </c>
      <c r="U27" s="4" t="s">
        <v>17</v>
      </c>
      <c r="V27" s="4">
        <f>SUM(C31:F31)*8760/SUM(C27:F27)</f>
        <v>2.9615854017536938</v>
      </c>
    </row>
    <row r="28" spans="1:22" x14ac:dyDescent="0.2">
      <c r="A28" s="1" t="s">
        <v>978</v>
      </c>
      <c r="B28" s="3">
        <v>83724079969</v>
      </c>
      <c r="C28" s="8">
        <v>0.2412</v>
      </c>
      <c r="D28" s="8">
        <v>5.79E-2</v>
      </c>
      <c r="E28" s="8">
        <v>8.2000000000000007E-3</v>
      </c>
      <c r="F28" s="8">
        <v>1.89E-2</v>
      </c>
      <c r="G28" s="8">
        <v>4.5999999999999999E-3</v>
      </c>
      <c r="H28" s="8">
        <v>0.1295</v>
      </c>
      <c r="I28" s="8">
        <v>0.113</v>
      </c>
      <c r="J28" s="8">
        <v>0.1013</v>
      </c>
      <c r="K28" s="8">
        <v>0.19500000000000001</v>
      </c>
      <c r="L28" s="8">
        <v>4.3700000000000003E-2</v>
      </c>
      <c r="M28" s="8">
        <v>4.7999999999999996E-3</v>
      </c>
      <c r="N28" s="8">
        <v>7.0000000000000007E-2</v>
      </c>
      <c r="O28" s="8">
        <v>1.1000000000000001E-3</v>
      </c>
      <c r="P28" s="8">
        <v>4.4000000000000003E-3</v>
      </c>
      <c r="Q28" s="8">
        <v>2.9999999999999997E-4</v>
      </c>
      <c r="R28" s="8">
        <v>8.9999999999999998E-4</v>
      </c>
      <c r="S28" s="8">
        <v>5.1999999999999998E-3</v>
      </c>
      <c r="U28" s="4"/>
      <c r="V28" s="4"/>
    </row>
    <row r="29" spans="1:22" x14ac:dyDescent="0.2">
      <c r="A29" s="1" t="s">
        <v>989</v>
      </c>
      <c r="B29" s="2" t="s">
        <v>28</v>
      </c>
      <c r="C29" s="3">
        <v>7476428</v>
      </c>
      <c r="D29" s="3">
        <v>1447838</v>
      </c>
      <c r="E29" s="3">
        <v>99637</v>
      </c>
      <c r="F29" s="3">
        <v>208260</v>
      </c>
      <c r="G29" s="3">
        <v>73906</v>
      </c>
      <c r="H29" s="3">
        <v>2723059</v>
      </c>
      <c r="I29" s="3">
        <v>2188187</v>
      </c>
      <c r="J29" s="3">
        <v>1758095</v>
      </c>
      <c r="K29" s="3">
        <v>2951584</v>
      </c>
      <c r="L29" s="3">
        <v>580248</v>
      </c>
      <c r="M29" s="3">
        <v>12120</v>
      </c>
      <c r="N29" s="3">
        <v>48920</v>
      </c>
      <c r="O29" s="2">
        <v>200</v>
      </c>
      <c r="P29" s="2">
        <v>806</v>
      </c>
      <c r="Q29" s="2">
        <v>58</v>
      </c>
      <c r="R29" s="3">
        <v>9303</v>
      </c>
      <c r="S29" s="3">
        <v>74890</v>
      </c>
      <c r="U29" s="4" t="s">
        <v>18</v>
      </c>
      <c r="V29" s="4">
        <f>SUM(G31:J31)*8760/SUM(G27:J27)</f>
        <v>2.0250645803385692</v>
      </c>
    </row>
    <row r="30" spans="1:22" x14ac:dyDescent="0.2">
      <c r="A30" s="1" t="s">
        <v>990</v>
      </c>
      <c r="B30" s="3">
        <v>19653539</v>
      </c>
      <c r="C30" s="8">
        <v>0.38040000000000002</v>
      </c>
      <c r="D30" s="8">
        <v>7.3700000000000002E-2</v>
      </c>
      <c r="E30" s="8">
        <v>5.1000000000000004E-3</v>
      </c>
      <c r="F30" s="8">
        <v>1.06E-2</v>
      </c>
      <c r="G30" s="8">
        <v>3.8E-3</v>
      </c>
      <c r="H30" s="8">
        <v>0.1386</v>
      </c>
      <c r="I30" s="8">
        <v>0.1113</v>
      </c>
      <c r="J30" s="8">
        <v>8.9499999999999996E-2</v>
      </c>
      <c r="K30" s="8">
        <v>0.1502</v>
      </c>
      <c r="L30" s="8">
        <v>2.9499999999999998E-2</v>
      </c>
      <c r="M30" s="8">
        <v>5.9999999999999995E-4</v>
      </c>
      <c r="N30" s="8">
        <v>2.5000000000000001E-3</v>
      </c>
      <c r="O30" s="8">
        <v>0</v>
      </c>
      <c r="P30" s="8">
        <v>0</v>
      </c>
      <c r="Q30" s="8">
        <v>0</v>
      </c>
      <c r="R30" s="8">
        <v>5.0000000000000001E-4</v>
      </c>
      <c r="S30" s="8">
        <v>3.8E-3</v>
      </c>
      <c r="U30" s="4"/>
      <c r="V30" s="4"/>
    </row>
    <row r="31" spans="1:22" x14ac:dyDescent="0.2">
      <c r="A31" s="1" t="s">
        <v>981</v>
      </c>
      <c r="B31" s="2" t="s">
        <v>28</v>
      </c>
      <c r="C31" s="3">
        <v>7476428</v>
      </c>
      <c r="D31" s="3">
        <v>1447838</v>
      </c>
      <c r="E31" s="3">
        <v>99637</v>
      </c>
      <c r="F31" s="3">
        <v>208260</v>
      </c>
      <c r="G31" s="3">
        <v>73906</v>
      </c>
      <c r="H31" s="3">
        <v>2723059</v>
      </c>
      <c r="I31" s="3">
        <v>2188187</v>
      </c>
      <c r="J31" s="3">
        <v>1758095</v>
      </c>
      <c r="K31" s="3">
        <v>2951584</v>
      </c>
      <c r="L31" s="3">
        <v>580248</v>
      </c>
      <c r="M31" s="3">
        <v>37965</v>
      </c>
      <c r="N31" s="3">
        <v>608012</v>
      </c>
      <c r="O31" s="2">
        <v>200</v>
      </c>
      <c r="P31" s="2">
        <v>806</v>
      </c>
      <c r="Q31" s="2">
        <v>58</v>
      </c>
      <c r="R31" s="3">
        <v>9303</v>
      </c>
      <c r="S31" s="3">
        <v>74890</v>
      </c>
      <c r="U31" s="4"/>
      <c r="V31" s="4"/>
    </row>
    <row r="32" spans="1:22" x14ac:dyDescent="0.2">
      <c r="A32" s="1" t="s">
        <v>982</v>
      </c>
      <c r="B32" s="3">
        <v>20238476</v>
      </c>
      <c r="C32" s="8">
        <v>0.36940000000000001</v>
      </c>
      <c r="D32" s="8">
        <v>7.1499999999999994E-2</v>
      </c>
      <c r="E32" s="8">
        <v>4.8999999999999998E-3</v>
      </c>
      <c r="F32" s="8">
        <v>1.03E-2</v>
      </c>
      <c r="G32" s="8">
        <v>3.7000000000000002E-3</v>
      </c>
      <c r="H32" s="8">
        <v>0.13450000000000001</v>
      </c>
      <c r="I32" s="8">
        <v>0.1081</v>
      </c>
      <c r="J32" s="8">
        <v>8.6900000000000005E-2</v>
      </c>
      <c r="K32" s="8">
        <v>0.14580000000000001</v>
      </c>
      <c r="L32" s="8">
        <v>2.87E-2</v>
      </c>
      <c r="M32" s="8">
        <v>1.9E-3</v>
      </c>
      <c r="N32" s="8">
        <v>0.03</v>
      </c>
      <c r="O32" s="8">
        <v>0</v>
      </c>
      <c r="P32" s="8">
        <v>0</v>
      </c>
      <c r="Q32" s="8">
        <v>0</v>
      </c>
      <c r="R32" s="8">
        <v>5.0000000000000001E-4</v>
      </c>
      <c r="S32" s="8">
        <v>3.7000000000000002E-3</v>
      </c>
      <c r="U32" s="4" t="s">
        <v>19</v>
      </c>
      <c r="V32" s="4">
        <f>SUM(K31:N31)*8760/SUM(K27:N27)</f>
        <v>1.3940538150395418</v>
      </c>
    </row>
    <row r="33" spans="1:22" x14ac:dyDescent="0.2">
      <c r="A33" s="15">
        <v>2024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22" x14ac:dyDescent="0.2">
      <c r="A34" s="1" t="s">
        <v>962</v>
      </c>
      <c r="B34" s="1" t="s">
        <v>437</v>
      </c>
      <c r="C34" s="1" t="s">
        <v>963</v>
      </c>
      <c r="D34" s="1" t="s">
        <v>964</v>
      </c>
      <c r="E34" s="1" t="s">
        <v>965</v>
      </c>
      <c r="F34" s="1" t="s">
        <v>966</v>
      </c>
      <c r="G34" s="1" t="s">
        <v>967</v>
      </c>
      <c r="H34" s="1" t="s">
        <v>971</v>
      </c>
      <c r="I34" s="1" t="s">
        <v>972</v>
      </c>
      <c r="J34" s="1" t="s">
        <v>973</v>
      </c>
      <c r="K34" s="1" t="s">
        <v>983</v>
      </c>
      <c r="L34" s="1" t="s">
        <v>974</v>
      </c>
      <c r="M34" s="1" t="s">
        <v>975</v>
      </c>
      <c r="N34" s="1" t="s">
        <v>976</v>
      </c>
      <c r="O34" s="1" t="s">
        <v>984</v>
      </c>
      <c r="P34" s="1" t="s">
        <v>985</v>
      </c>
      <c r="Q34" s="1" t="s">
        <v>986</v>
      </c>
      <c r="R34" s="1" t="s">
        <v>987</v>
      </c>
      <c r="S34" s="1" t="s">
        <v>988</v>
      </c>
      <c r="U34" s="4"/>
      <c r="V34" s="4" t="s">
        <v>16</v>
      </c>
    </row>
    <row r="35" spans="1:22" x14ac:dyDescent="0.2">
      <c r="A35" s="1" t="s">
        <v>977</v>
      </c>
      <c r="B35" s="2" t="s">
        <v>28</v>
      </c>
      <c r="C35" s="3">
        <v>20055740094</v>
      </c>
      <c r="D35" s="3">
        <v>5031503822</v>
      </c>
      <c r="E35" s="3">
        <v>674744649</v>
      </c>
      <c r="F35" s="3">
        <v>1578936429</v>
      </c>
      <c r="G35" s="3">
        <v>300651571</v>
      </c>
      <c r="H35" s="3">
        <v>10568685526</v>
      </c>
      <c r="I35" s="3">
        <v>9071290019</v>
      </c>
      <c r="J35" s="3">
        <v>8017218774</v>
      </c>
      <c r="K35" s="3">
        <v>17070737903</v>
      </c>
      <c r="L35" s="3">
        <v>3989613362</v>
      </c>
      <c r="M35" s="3">
        <v>451933945</v>
      </c>
      <c r="N35" s="3">
        <v>6097146011</v>
      </c>
      <c r="O35" s="3">
        <v>75619250</v>
      </c>
      <c r="P35" s="3">
        <v>341262737</v>
      </c>
      <c r="Q35" s="3">
        <v>23687513</v>
      </c>
      <c r="R35" s="3">
        <v>75677012</v>
      </c>
      <c r="S35" s="3">
        <v>455291967</v>
      </c>
      <c r="U35" s="4" t="s">
        <v>17</v>
      </c>
      <c r="V35" s="4">
        <f>SUM(C39:F39)*8760/SUM(C35:F35)</f>
        <v>2.9579740955270477</v>
      </c>
    </row>
    <row r="36" spans="1:22" x14ac:dyDescent="0.2">
      <c r="A36" s="1" t="s">
        <v>978</v>
      </c>
      <c r="B36" s="3">
        <v>83879543585</v>
      </c>
      <c r="C36" s="8">
        <v>0.23910000000000001</v>
      </c>
      <c r="D36" s="8">
        <v>0.06</v>
      </c>
      <c r="E36" s="8">
        <v>8.0000000000000002E-3</v>
      </c>
      <c r="F36" s="8">
        <v>1.8800000000000001E-2</v>
      </c>
      <c r="G36" s="8">
        <v>3.5999999999999999E-3</v>
      </c>
      <c r="H36" s="8">
        <v>0.126</v>
      </c>
      <c r="I36" s="8">
        <v>0.1081</v>
      </c>
      <c r="J36" s="8">
        <v>9.5600000000000004E-2</v>
      </c>
      <c r="K36" s="8">
        <v>0.20349999999999999</v>
      </c>
      <c r="L36" s="8">
        <v>4.7600000000000003E-2</v>
      </c>
      <c r="M36" s="8">
        <v>5.4000000000000003E-3</v>
      </c>
      <c r="N36" s="8">
        <v>7.2700000000000001E-2</v>
      </c>
      <c r="O36" s="8">
        <v>8.9999999999999998E-4</v>
      </c>
      <c r="P36" s="8">
        <v>4.1000000000000003E-3</v>
      </c>
      <c r="Q36" s="8">
        <v>2.9999999999999997E-4</v>
      </c>
      <c r="R36" s="8">
        <v>8.9999999999999998E-4</v>
      </c>
      <c r="S36" s="8">
        <v>5.4000000000000003E-3</v>
      </c>
      <c r="U36" s="4"/>
      <c r="V36" s="4"/>
    </row>
    <row r="37" spans="1:22" x14ac:dyDescent="0.2">
      <c r="A37" s="1" t="s">
        <v>989</v>
      </c>
      <c r="B37" s="2" t="s">
        <v>28</v>
      </c>
      <c r="C37" s="3">
        <v>7476428</v>
      </c>
      <c r="D37" s="3">
        <v>1447838</v>
      </c>
      <c r="E37" s="3">
        <v>99637</v>
      </c>
      <c r="F37" s="3">
        <v>208260</v>
      </c>
      <c r="G37" s="3">
        <v>59453</v>
      </c>
      <c r="H37" s="3">
        <v>2737511</v>
      </c>
      <c r="I37" s="3">
        <v>2188187</v>
      </c>
      <c r="J37" s="3">
        <v>1758095</v>
      </c>
      <c r="K37" s="3">
        <v>2951584</v>
      </c>
      <c r="L37" s="3">
        <v>580248</v>
      </c>
      <c r="M37" s="3">
        <v>12120</v>
      </c>
      <c r="N37" s="3">
        <v>48920</v>
      </c>
      <c r="O37" s="2">
        <v>200</v>
      </c>
      <c r="P37" s="2">
        <v>809</v>
      </c>
      <c r="Q37" s="2">
        <v>55</v>
      </c>
      <c r="R37" s="3">
        <v>9303</v>
      </c>
      <c r="S37" s="3">
        <v>74890</v>
      </c>
      <c r="U37" s="4" t="s">
        <v>18</v>
      </c>
      <c r="V37" s="4">
        <f>SUM(G39:J39)*8760/SUM(G35:J35)</f>
        <v>2.1128535865178559</v>
      </c>
    </row>
    <row r="38" spans="1:22" x14ac:dyDescent="0.2">
      <c r="A38" s="1" t="s">
        <v>990</v>
      </c>
      <c r="B38" s="3">
        <v>19653538</v>
      </c>
      <c r="C38" s="8">
        <v>0.38040000000000002</v>
      </c>
      <c r="D38" s="8">
        <v>7.3700000000000002E-2</v>
      </c>
      <c r="E38" s="8">
        <v>5.1000000000000004E-3</v>
      </c>
      <c r="F38" s="8">
        <v>1.06E-2</v>
      </c>
      <c r="G38" s="8">
        <v>3.0000000000000001E-3</v>
      </c>
      <c r="H38" s="8">
        <v>0.13930000000000001</v>
      </c>
      <c r="I38" s="8">
        <v>0.1113</v>
      </c>
      <c r="J38" s="8">
        <v>8.9499999999999996E-2</v>
      </c>
      <c r="K38" s="8">
        <v>0.1502</v>
      </c>
      <c r="L38" s="8">
        <v>2.9499999999999998E-2</v>
      </c>
      <c r="M38" s="8">
        <v>5.9999999999999995E-4</v>
      </c>
      <c r="N38" s="8">
        <v>2.5000000000000001E-3</v>
      </c>
      <c r="O38" s="8">
        <v>0</v>
      </c>
      <c r="P38" s="8">
        <v>0</v>
      </c>
      <c r="Q38" s="8">
        <v>0</v>
      </c>
      <c r="R38" s="8">
        <v>5.0000000000000001E-4</v>
      </c>
      <c r="S38" s="8">
        <v>3.8E-3</v>
      </c>
      <c r="U38" s="4"/>
      <c r="V38" s="4"/>
    </row>
    <row r="39" spans="1:22" x14ac:dyDescent="0.2">
      <c r="A39" s="1" t="s">
        <v>981</v>
      </c>
      <c r="B39" s="2" t="s">
        <v>28</v>
      </c>
      <c r="C39" s="3">
        <v>7476428</v>
      </c>
      <c r="D39" s="3">
        <v>1447838</v>
      </c>
      <c r="E39" s="3">
        <v>99637</v>
      </c>
      <c r="F39" s="3">
        <v>208260</v>
      </c>
      <c r="G39" s="3">
        <v>59453</v>
      </c>
      <c r="H39" s="3">
        <v>2737511</v>
      </c>
      <c r="I39" s="3">
        <v>2188187</v>
      </c>
      <c r="J39" s="3">
        <v>1758095</v>
      </c>
      <c r="K39" s="3">
        <v>2951584</v>
      </c>
      <c r="L39" s="3">
        <v>580248</v>
      </c>
      <c r="M39" s="3">
        <v>37965</v>
      </c>
      <c r="N39" s="3">
        <v>608012</v>
      </c>
      <c r="O39" s="2">
        <v>200</v>
      </c>
      <c r="P39" s="2">
        <v>809</v>
      </c>
      <c r="Q39" s="2">
        <v>55</v>
      </c>
      <c r="R39" s="3">
        <v>9303</v>
      </c>
      <c r="S39" s="3">
        <v>74890</v>
      </c>
      <c r="U39" s="4"/>
      <c r="V39" s="4"/>
    </row>
    <row r="40" spans="1:22" x14ac:dyDescent="0.2">
      <c r="A40" s="1" t="s">
        <v>982</v>
      </c>
      <c r="B40" s="3">
        <v>20238470</v>
      </c>
      <c r="C40" s="8">
        <v>0.36940000000000001</v>
      </c>
      <c r="D40" s="8">
        <v>7.1499999999999994E-2</v>
      </c>
      <c r="E40" s="8">
        <v>4.8999999999999998E-3</v>
      </c>
      <c r="F40" s="8">
        <v>1.03E-2</v>
      </c>
      <c r="G40" s="8">
        <v>2.8999999999999998E-3</v>
      </c>
      <c r="H40" s="8">
        <v>0.1353</v>
      </c>
      <c r="I40" s="8">
        <v>0.1081</v>
      </c>
      <c r="J40" s="8">
        <v>8.6900000000000005E-2</v>
      </c>
      <c r="K40" s="8">
        <v>0.14580000000000001</v>
      </c>
      <c r="L40" s="8">
        <v>2.87E-2</v>
      </c>
      <c r="M40" s="8">
        <v>1.9E-3</v>
      </c>
      <c r="N40" s="8">
        <v>0.03</v>
      </c>
      <c r="O40" s="8">
        <v>0</v>
      </c>
      <c r="P40" s="8">
        <v>0</v>
      </c>
      <c r="Q40" s="8">
        <v>0</v>
      </c>
      <c r="R40" s="8">
        <v>5.0000000000000001E-4</v>
      </c>
      <c r="S40" s="8">
        <v>3.7000000000000002E-3</v>
      </c>
      <c r="U40" s="4" t="s">
        <v>19</v>
      </c>
      <c r="V40" s="4">
        <f>SUM(K39:N39)*8760/SUM(K35:N35)</f>
        <v>1.3255472938596253</v>
      </c>
    </row>
    <row r="41" spans="1:22" x14ac:dyDescent="0.2">
      <c r="A41" s="16">
        <v>2025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22" x14ac:dyDescent="0.2">
      <c r="A42" s="1" t="s">
        <v>962</v>
      </c>
      <c r="B42" s="1" t="s">
        <v>437</v>
      </c>
      <c r="C42" s="1" t="s">
        <v>963</v>
      </c>
      <c r="D42" s="1" t="s">
        <v>964</v>
      </c>
      <c r="E42" s="1" t="s">
        <v>965</v>
      </c>
      <c r="F42" s="1" t="s">
        <v>966</v>
      </c>
      <c r="G42" s="1" t="s">
        <v>967</v>
      </c>
      <c r="H42" s="1" t="s">
        <v>971</v>
      </c>
      <c r="I42" s="1" t="s">
        <v>972</v>
      </c>
      <c r="J42" s="1" t="s">
        <v>973</v>
      </c>
      <c r="K42" s="1" t="s">
        <v>983</v>
      </c>
      <c r="L42" s="1" t="s">
        <v>974</v>
      </c>
      <c r="M42" s="1" t="s">
        <v>975</v>
      </c>
      <c r="N42" s="1" t="s">
        <v>976</v>
      </c>
      <c r="O42" s="1" t="s">
        <v>984</v>
      </c>
      <c r="P42" s="1" t="s">
        <v>985</v>
      </c>
      <c r="Q42" s="1" t="s">
        <v>986</v>
      </c>
      <c r="R42" s="1" t="s">
        <v>987</v>
      </c>
      <c r="S42" s="1" t="s">
        <v>988</v>
      </c>
      <c r="U42" s="4"/>
      <c r="V42" s="4" t="s">
        <v>16</v>
      </c>
    </row>
    <row r="43" spans="1:22" x14ac:dyDescent="0.2">
      <c r="A43" s="1" t="s">
        <v>977</v>
      </c>
      <c r="B43" s="2" t="s">
        <v>28</v>
      </c>
      <c r="C43" s="3">
        <v>20055740094</v>
      </c>
      <c r="D43" s="3">
        <v>5031503822</v>
      </c>
      <c r="E43" s="3">
        <v>674744649</v>
      </c>
      <c r="F43" s="3">
        <v>1578936429</v>
      </c>
      <c r="G43" s="3">
        <v>300651571</v>
      </c>
      <c r="H43" s="3">
        <v>10568685526</v>
      </c>
      <c r="I43" s="3">
        <v>9071290019</v>
      </c>
      <c r="J43" s="3">
        <v>8017218774</v>
      </c>
      <c r="K43" s="3">
        <v>17070737903</v>
      </c>
      <c r="L43" s="3">
        <v>3989613362</v>
      </c>
      <c r="M43" s="3">
        <v>451933945</v>
      </c>
      <c r="N43" s="3">
        <v>6097146011</v>
      </c>
      <c r="O43" s="3">
        <v>75619250</v>
      </c>
      <c r="P43" s="3">
        <v>341262737</v>
      </c>
      <c r="Q43" s="3">
        <v>23687513</v>
      </c>
      <c r="R43" s="3">
        <v>75677012</v>
      </c>
      <c r="S43" s="3">
        <v>455291967</v>
      </c>
      <c r="U43" s="4" t="s">
        <v>17</v>
      </c>
      <c r="V43" s="4">
        <f>SUM(C47:F47)*8760/SUM(C43:F43)</f>
        <v>2.9579740955270477</v>
      </c>
    </row>
    <row r="44" spans="1:22" x14ac:dyDescent="0.2">
      <c r="A44" s="1" t="s">
        <v>978</v>
      </c>
      <c r="B44" s="3">
        <v>83879543585</v>
      </c>
      <c r="C44" s="8">
        <v>0.23910000000000001</v>
      </c>
      <c r="D44" s="8">
        <v>0.06</v>
      </c>
      <c r="E44" s="8">
        <v>8.0000000000000002E-3</v>
      </c>
      <c r="F44" s="8">
        <v>1.8800000000000001E-2</v>
      </c>
      <c r="G44" s="8">
        <v>3.5999999999999999E-3</v>
      </c>
      <c r="H44" s="8">
        <v>0.126</v>
      </c>
      <c r="I44" s="8">
        <v>0.1081</v>
      </c>
      <c r="J44" s="8">
        <v>9.5600000000000004E-2</v>
      </c>
      <c r="K44" s="8">
        <v>0.20349999999999999</v>
      </c>
      <c r="L44" s="8">
        <v>4.7600000000000003E-2</v>
      </c>
      <c r="M44" s="8">
        <v>5.4000000000000003E-3</v>
      </c>
      <c r="N44" s="8">
        <v>7.2700000000000001E-2</v>
      </c>
      <c r="O44" s="8">
        <v>8.9999999999999998E-4</v>
      </c>
      <c r="P44" s="8">
        <v>4.1000000000000003E-3</v>
      </c>
      <c r="Q44" s="8">
        <v>2.9999999999999997E-4</v>
      </c>
      <c r="R44" s="8">
        <v>8.9999999999999998E-4</v>
      </c>
      <c r="S44" s="8">
        <v>5.4000000000000003E-3</v>
      </c>
      <c r="U44" s="4"/>
      <c r="V44" s="4"/>
    </row>
    <row r="45" spans="1:22" x14ac:dyDescent="0.2">
      <c r="A45" s="1" t="s">
        <v>989</v>
      </c>
      <c r="B45" s="2" t="s">
        <v>28</v>
      </c>
      <c r="C45" s="3">
        <v>7476428</v>
      </c>
      <c r="D45" s="3">
        <v>1447838</v>
      </c>
      <c r="E45" s="3">
        <v>99637</v>
      </c>
      <c r="F45" s="3">
        <v>208260</v>
      </c>
      <c r="G45" s="3">
        <v>59453</v>
      </c>
      <c r="H45" s="3">
        <v>2737511</v>
      </c>
      <c r="I45" s="3">
        <v>2188187</v>
      </c>
      <c r="J45" s="3">
        <v>1758095</v>
      </c>
      <c r="K45" s="3">
        <v>2951584</v>
      </c>
      <c r="L45" s="3">
        <v>580248</v>
      </c>
      <c r="M45" s="3">
        <v>12120</v>
      </c>
      <c r="N45" s="3">
        <v>48920</v>
      </c>
      <c r="O45" s="2">
        <v>200</v>
      </c>
      <c r="P45" s="2">
        <v>809</v>
      </c>
      <c r="Q45" s="2">
        <v>55</v>
      </c>
      <c r="R45" s="3">
        <v>9303</v>
      </c>
      <c r="S45" s="3">
        <v>74890</v>
      </c>
      <c r="U45" s="4" t="s">
        <v>18</v>
      </c>
      <c r="V45" s="4">
        <f>SUM(G47:J47)*8760/SUM(G43:J43)</f>
        <v>2.1128535865178559</v>
      </c>
    </row>
    <row r="46" spans="1:22" x14ac:dyDescent="0.2">
      <c r="A46" s="1" t="s">
        <v>990</v>
      </c>
      <c r="B46" s="3">
        <v>19653538</v>
      </c>
      <c r="C46" s="8">
        <v>0.38040000000000002</v>
      </c>
      <c r="D46" s="8">
        <v>7.3700000000000002E-2</v>
      </c>
      <c r="E46" s="8">
        <v>5.1000000000000004E-3</v>
      </c>
      <c r="F46" s="8">
        <v>1.06E-2</v>
      </c>
      <c r="G46" s="8">
        <v>3.0000000000000001E-3</v>
      </c>
      <c r="H46" s="8">
        <v>0.13930000000000001</v>
      </c>
      <c r="I46" s="8">
        <v>0.1113</v>
      </c>
      <c r="J46" s="8">
        <v>8.9499999999999996E-2</v>
      </c>
      <c r="K46" s="8">
        <v>0.1502</v>
      </c>
      <c r="L46" s="8">
        <v>2.9499999999999998E-2</v>
      </c>
      <c r="M46" s="8">
        <v>5.9999999999999995E-4</v>
      </c>
      <c r="N46" s="8">
        <v>2.5000000000000001E-3</v>
      </c>
      <c r="O46" s="8">
        <v>0</v>
      </c>
      <c r="P46" s="8">
        <v>0</v>
      </c>
      <c r="Q46" s="8">
        <v>0</v>
      </c>
      <c r="R46" s="8">
        <v>5.0000000000000001E-4</v>
      </c>
      <c r="S46" s="8">
        <v>3.8E-3</v>
      </c>
      <c r="U46" s="4"/>
      <c r="V46" s="4"/>
    </row>
    <row r="47" spans="1:22" x14ac:dyDescent="0.2">
      <c r="A47" s="1" t="s">
        <v>981</v>
      </c>
      <c r="B47" s="2" t="s">
        <v>28</v>
      </c>
      <c r="C47" s="3">
        <v>7476428</v>
      </c>
      <c r="D47" s="3">
        <v>1447838</v>
      </c>
      <c r="E47" s="3">
        <v>99637</v>
      </c>
      <c r="F47" s="3">
        <v>208260</v>
      </c>
      <c r="G47" s="3">
        <v>59453</v>
      </c>
      <c r="H47" s="3">
        <v>2737511</v>
      </c>
      <c r="I47" s="3">
        <v>2188187</v>
      </c>
      <c r="J47" s="3">
        <v>1758095</v>
      </c>
      <c r="K47" s="3">
        <v>2951584</v>
      </c>
      <c r="L47" s="3">
        <v>580248</v>
      </c>
      <c r="M47" s="3">
        <v>37965</v>
      </c>
      <c r="N47" s="3">
        <v>608012</v>
      </c>
      <c r="O47" s="2">
        <v>200</v>
      </c>
      <c r="P47" s="2">
        <v>809</v>
      </c>
      <c r="Q47" s="2">
        <v>55</v>
      </c>
      <c r="R47" s="3">
        <v>9303</v>
      </c>
      <c r="S47" s="3">
        <v>74890</v>
      </c>
      <c r="U47" s="4"/>
      <c r="V47" s="4"/>
    </row>
    <row r="48" spans="1:22" x14ac:dyDescent="0.2">
      <c r="A48" s="1" t="s">
        <v>982</v>
      </c>
      <c r="B48" s="3">
        <v>20238470</v>
      </c>
      <c r="C48" s="8">
        <v>0.36940000000000001</v>
      </c>
      <c r="D48" s="8">
        <v>7.1499999999999994E-2</v>
      </c>
      <c r="E48" s="8">
        <v>4.8999999999999998E-3</v>
      </c>
      <c r="F48" s="8">
        <v>1.03E-2</v>
      </c>
      <c r="G48" s="8">
        <v>2.8999999999999998E-3</v>
      </c>
      <c r="H48" s="8">
        <v>0.1353</v>
      </c>
      <c r="I48" s="8">
        <v>0.1081</v>
      </c>
      <c r="J48" s="8">
        <v>8.6900000000000005E-2</v>
      </c>
      <c r="K48" s="8">
        <v>0.14580000000000001</v>
      </c>
      <c r="L48" s="8">
        <v>2.87E-2</v>
      </c>
      <c r="M48" s="8">
        <v>1.9E-3</v>
      </c>
      <c r="N48" s="8">
        <v>0.03</v>
      </c>
      <c r="O48" s="8">
        <v>0</v>
      </c>
      <c r="P48" s="8">
        <v>0</v>
      </c>
      <c r="Q48" s="8">
        <v>0</v>
      </c>
      <c r="R48" s="8">
        <v>5.0000000000000001E-4</v>
      </c>
      <c r="S48" s="8">
        <v>3.7000000000000002E-3</v>
      </c>
      <c r="U48" s="4" t="s">
        <v>19</v>
      </c>
      <c r="V48" s="4">
        <f>SUM(K47:N47)*8760/SUM(K43:N43)</f>
        <v>1.3255472938596253</v>
      </c>
    </row>
  </sheetData>
  <mergeCells count="6">
    <mergeCell ref="A41:O41"/>
    <mergeCell ref="A1:O1"/>
    <mergeCell ref="A9:O9"/>
    <mergeCell ref="A17:O17"/>
    <mergeCell ref="A25:O25"/>
    <mergeCell ref="A33:O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8BD7-3FD3-F849-A913-E4FCD5CBB392}">
  <dimension ref="A1:M52"/>
  <sheetViews>
    <sheetView topLeftCell="A30" workbookViewId="0">
      <selection activeCell="E23" sqref="E23"/>
    </sheetView>
  </sheetViews>
  <sheetFormatPr baseColWidth="10" defaultRowHeight="16" x14ac:dyDescent="0.2"/>
  <cols>
    <col min="1" max="1" width="13.5" style="4" customWidth="1"/>
    <col min="2" max="3" width="15.83203125" style="4" customWidth="1"/>
    <col min="4" max="6" width="10.83203125" style="4"/>
    <col min="7" max="7" width="16.33203125" style="4" customWidth="1"/>
    <col min="8" max="8" width="15.33203125" style="4" customWidth="1"/>
    <col min="9" max="10" width="10.83203125" style="4"/>
    <col min="11" max="11" width="14.1640625" style="4" bestFit="1" customWidth="1"/>
    <col min="12" max="16384" width="10.83203125" style="4"/>
  </cols>
  <sheetData>
    <row r="1" spans="1:13" x14ac:dyDescent="0.2">
      <c r="A1" s="15">
        <v>2023</v>
      </c>
      <c r="B1" s="15"/>
      <c r="C1" s="15"/>
      <c r="D1" s="15"/>
      <c r="E1" s="15"/>
      <c r="F1" s="15"/>
      <c r="G1" s="15"/>
      <c r="H1" s="15"/>
    </row>
    <row r="2" spans="1:13" x14ac:dyDescent="0.2">
      <c r="A2" s="1" t="s">
        <v>70</v>
      </c>
      <c r="B2" s="1" t="s">
        <v>159</v>
      </c>
      <c r="C2" s="1" t="s">
        <v>160</v>
      </c>
      <c r="D2" s="1" t="s">
        <v>161</v>
      </c>
      <c r="E2" s="1" t="s">
        <v>162</v>
      </c>
      <c r="F2" s="1" t="s">
        <v>163</v>
      </c>
      <c r="G2" s="1" t="s">
        <v>164</v>
      </c>
      <c r="H2" s="1" t="s">
        <v>165</v>
      </c>
      <c r="K2" s="4" t="s">
        <v>16</v>
      </c>
      <c r="M2" s="4" t="s">
        <v>158</v>
      </c>
    </row>
    <row r="3" spans="1:13" x14ac:dyDescent="0.2">
      <c r="A3" s="1" t="s">
        <v>17</v>
      </c>
      <c r="B3" s="8">
        <v>0.4703</v>
      </c>
      <c r="C3" s="8">
        <v>0.41139999999999999</v>
      </c>
      <c r="D3" s="2" t="s">
        <v>166</v>
      </c>
      <c r="E3" s="2" t="s">
        <v>167</v>
      </c>
      <c r="F3" s="2" t="s">
        <v>168</v>
      </c>
      <c r="G3" s="3">
        <v>5546596959</v>
      </c>
      <c r="H3" s="3">
        <v>5546596959</v>
      </c>
      <c r="J3" s="4" t="s">
        <v>17</v>
      </c>
      <c r="K3" s="4">
        <f>B3*2*10^6*8760/H3</f>
        <v>1.4855335732714809</v>
      </c>
      <c r="M3" s="4">
        <f>(K3+K10+K19+K28+K37+K46)/6</f>
        <v>1.4467552592446082</v>
      </c>
    </row>
    <row r="4" spans="1:13" x14ac:dyDescent="0.2">
      <c r="A4" s="1" t="s">
        <v>169</v>
      </c>
      <c r="B4" s="8">
        <v>0.27739999999999998</v>
      </c>
      <c r="C4" s="8">
        <v>0.26600000000000001</v>
      </c>
      <c r="D4" s="2" t="s">
        <v>170</v>
      </c>
      <c r="E4" s="2" t="s">
        <v>171</v>
      </c>
      <c r="F4" s="2" t="s">
        <v>172</v>
      </c>
      <c r="G4" s="3">
        <v>9769877</v>
      </c>
      <c r="H4" s="3">
        <v>3585845228</v>
      </c>
      <c r="J4" s="4" t="s">
        <v>18</v>
      </c>
      <c r="K4" s="4">
        <f>(B4+B5)*2*10^6*8760/(H4+H5)</f>
        <v>1.2321752686881537</v>
      </c>
      <c r="M4" s="4">
        <f>(K4+K11+K20+K29+K38+K47)/6</f>
        <v>1.2726937420471218</v>
      </c>
    </row>
    <row r="5" spans="1:13" x14ac:dyDescent="0.2">
      <c r="A5" s="1" t="s">
        <v>173</v>
      </c>
      <c r="B5" s="8">
        <v>0.1552</v>
      </c>
      <c r="C5" s="8">
        <v>0.1903</v>
      </c>
      <c r="D5" s="2" t="s">
        <v>174</v>
      </c>
      <c r="E5" s="2" t="s">
        <v>175</v>
      </c>
      <c r="F5" s="2" t="s">
        <v>176</v>
      </c>
      <c r="G5" s="3">
        <v>5456540</v>
      </c>
      <c r="H5" s="3">
        <v>2565188795</v>
      </c>
    </row>
    <row r="6" spans="1:13" x14ac:dyDescent="0.2">
      <c r="A6" s="1" t="s">
        <v>177</v>
      </c>
      <c r="B6" s="8">
        <v>4.24E-2</v>
      </c>
      <c r="C6" s="8">
        <v>5.5E-2</v>
      </c>
      <c r="D6" s="2" t="s">
        <v>178</v>
      </c>
      <c r="E6" s="2" t="s">
        <v>179</v>
      </c>
      <c r="F6" s="2" t="s">
        <v>180</v>
      </c>
      <c r="G6" s="3">
        <v>1354161</v>
      </c>
      <c r="H6" s="3">
        <v>741025896</v>
      </c>
      <c r="J6" s="4" t="s">
        <v>19</v>
      </c>
      <c r="K6" s="4">
        <f>(B6+B7)*2*10^6*8760/(H6+H7)</f>
        <v>0.98285675403591588</v>
      </c>
      <c r="M6" s="4">
        <f>(K6+K13+K22+K31+K40+K49)/6</f>
        <v>1.0033988764707977</v>
      </c>
    </row>
    <row r="7" spans="1:13" x14ac:dyDescent="0.2">
      <c r="A7" s="1" t="s">
        <v>181</v>
      </c>
      <c r="B7" s="8">
        <v>5.4199999999999998E-2</v>
      </c>
      <c r="C7" s="8">
        <v>7.2800000000000004E-2</v>
      </c>
      <c r="D7" s="2" t="s">
        <v>182</v>
      </c>
      <c r="E7" s="2" t="s">
        <v>183</v>
      </c>
      <c r="F7" s="2" t="s">
        <v>184</v>
      </c>
      <c r="G7" s="3">
        <v>1922252</v>
      </c>
      <c r="H7" s="3">
        <v>980925948</v>
      </c>
    </row>
    <row r="8" spans="1:13" x14ac:dyDescent="0.2">
      <c r="A8" s="15">
        <v>2020</v>
      </c>
      <c r="B8" s="15"/>
      <c r="C8" s="15"/>
      <c r="D8" s="15"/>
      <c r="E8" s="15"/>
      <c r="F8" s="15"/>
      <c r="G8" s="15"/>
      <c r="H8" s="15"/>
    </row>
    <row r="9" spans="1:13" x14ac:dyDescent="0.2">
      <c r="A9" s="1" t="s">
        <v>70</v>
      </c>
      <c r="B9" s="1" t="s">
        <v>159</v>
      </c>
      <c r="C9" s="1" t="s">
        <v>160</v>
      </c>
      <c r="D9" s="1" t="s">
        <v>161</v>
      </c>
      <c r="E9" s="1" t="s">
        <v>162</v>
      </c>
      <c r="F9" s="1" t="s">
        <v>163</v>
      </c>
      <c r="G9" s="1" t="s">
        <v>164</v>
      </c>
      <c r="H9" s="1" t="s">
        <v>165</v>
      </c>
      <c r="I9" s="1"/>
      <c r="J9" s="1"/>
    </row>
    <row r="10" spans="1:13" x14ac:dyDescent="0.2">
      <c r="A10" s="1" t="s">
        <v>17</v>
      </c>
      <c r="B10" s="8">
        <v>0.4481</v>
      </c>
      <c r="C10" s="8">
        <v>0.38679999999999998</v>
      </c>
      <c r="D10" s="2" t="s">
        <v>187</v>
      </c>
      <c r="E10" s="2" t="s">
        <v>188</v>
      </c>
      <c r="F10" s="2" t="s">
        <v>189</v>
      </c>
      <c r="G10" s="3">
        <v>5325186228</v>
      </c>
      <c r="H10" s="3">
        <v>5325186228</v>
      </c>
      <c r="I10" s="2"/>
      <c r="J10" s="4" t="s">
        <v>17</v>
      </c>
      <c r="K10" s="4">
        <f>B10*2*10^6*8760/H10</f>
        <v>1.4742605542545544</v>
      </c>
    </row>
    <row r="11" spans="1:13" x14ac:dyDescent="0.2">
      <c r="A11" s="1" t="s">
        <v>169</v>
      </c>
      <c r="B11" s="8">
        <v>0.29349999999999998</v>
      </c>
      <c r="C11" s="8">
        <v>0.27710000000000001</v>
      </c>
      <c r="D11" s="2" t="s">
        <v>190</v>
      </c>
      <c r="E11" s="2" t="s">
        <v>191</v>
      </c>
      <c r="F11" s="2" t="s">
        <v>192</v>
      </c>
      <c r="G11" s="3">
        <v>12975570</v>
      </c>
      <c r="H11" s="3">
        <v>3815413372</v>
      </c>
      <c r="I11" s="2"/>
      <c r="J11" s="4" t="s">
        <v>18</v>
      </c>
      <c r="K11" s="4">
        <f>(B11+B12)*2*10^6*8760/(H11+H12)</f>
        <v>1.202275857052866</v>
      </c>
    </row>
    <row r="12" spans="1:13" x14ac:dyDescent="0.2">
      <c r="A12" s="1" t="s">
        <v>173</v>
      </c>
      <c r="B12" s="8">
        <v>0.15809999999999999</v>
      </c>
      <c r="C12" s="8">
        <v>0.2009</v>
      </c>
      <c r="D12" s="2" t="s">
        <v>193</v>
      </c>
      <c r="E12" s="2" t="s">
        <v>194</v>
      </c>
      <c r="F12" s="2" t="s">
        <v>195</v>
      </c>
      <c r="G12" s="3">
        <v>6384220</v>
      </c>
      <c r="H12" s="3">
        <v>2765465678</v>
      </c>
      <c r="I12" s="2"/>
    </row>
    <row r="13" spans="1:13" x14ac:dyDescent="0.2">
      <c r="A13" s="1" t="s">
        <v>177</v>
      </c>
      <c r="B13" s="8">
        <v>4.41E-2</v>
      </c>
      <c r="C13" s="8">
        <v>5.6500000000000002E-2</v>
      </c>
      <c r="D13" s="2" t="s">
        <v>196</v>
      </c>
      <c r="E13" s="2" t="s">
        <v>197</v>
      </c>
      <c r="F13" s="2" t="s">
        <v>198</v>
      </c>
      <c r="G13" s="3">
        <v>1522406</v>
      </c>
      <c r="H13" s="3">
        <v>778336517</v>
      </c>
      <c r="I13" s="2"/>
      <c r="J13" s="4" t="s">
        <v>19</v>
      </c>
      <c r="K13" s="4">
        <f>(B13+B14)*2*10^6*8760/(H13+H14)</f>
        <v>0.97951881288152265</v>
      </c>
    </row>
    <row r="14" spans="1:13" x14ac:dyDescent="0.2">
      <c r="A14" s="1" t="s">
        <v>181</v>
      </c>
      <c r="B14" s="8">
        <v>5.5899999999999998E-2</v>
      </c>
      <c r="C14" s="8">
        <v>7.3400000000000007E-2</v>
      </c>
      <c r="D14" s="2" t="s">
        <v>199</v>
      </c>
      <c r="E14" s="2" t="s">
        <v>200</v>
      </c>
      <c r="F14" s="2" t="s">
        <v>201</v>
      </c>
      <c r="G14" s="3">
        <v>2075594</v>
      </c>
      <c r="H14" s="3">
        <v>1010296817</v>
      </c>
      <c r="I14" s="2"/>
      <c r="J14" s="2"/>
    </row>
    <row r="15" spans="1:13" x14ac:dyDescent="0.2">
      <c r="A15" s="1" t="s">
        <v>185</v>
      </c>
      <c r="B15" s="8">
        <v>1E-4</v>
      </c>
      <c r="C15" s="8">
        <v>1.9E-3</v>
      </c>
      <c r="D15" s="2" t="s">
        <v>202</v>
      </c>
      <c r="E15" s="2" t="s">
        <v>203</v>
      </c>
      <c r="F15" s="2" t="s">
        <v>204</v>
      </c>
      <c r="G15" s="3">
        <v>25876255</v>
      </c>
      <c r="H15" s="3">
        <v>25876255</v>
      </c>
      <c r="I15" s="2"/>
      <c r="J15" s="2"/>
    </row>
    <row r="16" spans="1:13" x14ac:dyDescent="0.2">
      <c r="A16" s="1" t="s">
        <v>186</v>
      </c>
      <c r="B16" s="8">
        <v>2.0000000000000001E-4</v>
      </c>
      <c r="C16" s="8">
        <v>3.5000000000000001E-3</v>
      </c>
      <c r="D16" s="2" t="s">
        <v>205</v>
      </c>
      <c r="E16" s="2" t="s">
        <v>206</v>
      </c>
      <c r="F16" s="2" t="s">
        <v>207</v>
      </c>
      <c r="G16" s="3">
        <v>47544438</v>
      </c>
      <c r="H16" s="3">
        <v>47544438</v>
      </c>
      <c r="I16" s="2"/>
      <c r="J16" s="2"/>
    </row>
    <row r="17" spans="1:11" x14ac:dyDescent="0.2">
      <c r="A17" s="15">
        <v>2021</v>
      </c>
      <c r="B17" s="15"/>
      <c r="C17" s="15"/>
      <c r="D17" s="15"/>
      <c r="E17" s="15"/>
      <c r="F17" s="15"/>
      <c r="G17" s="15"/>
      <c r="H17" s="15"/>
    </row>
    <row r="18" spans="1:11" x14ac:dyDescent="0.2">
      <c r="A18" s="1" t="s">
        <v>70</v>
      </c>
      <c r="B18" s="1" t="s">
        <v>159</v>
      </c>
      <c r="C18" s="1" t="s">
        <v>160</v>
      </c>
      <c r="D18" s="1" t="s">
        <v>161</v>
      </c>
      <c r="E18" s="1" t="s">
        <v>162</v>
      </c>
      <c r="F18" s="1" t="s">
        <v>163</v>
      </c>
      <c r="G18" s="1" t="s">
        <v>164</v>
      </c>
      <c r="H18" s="1" t="s">
        <v>165</v>
      </c>
    </row>
    <row r="19" spans="1:11" x14ac:dyDescent="0.2">
      <c r="A19" s="1" t="s">
        <v>17</v>
      </c>
      <c r="B19" s="8">
        <v>0.43390000000000001</v>
      </c>
      <c r="C19" s="8">
        <v>0.40649999999999997</v>
      </c>
      <c r="D19" s="2" t="s">
        <v>208</v>
      </c>
      <c r="E19" s="2" t="s">
        <v>209</v>
      </c>
      <c r="F19" s="2" t="s">
        <v>210</v>
      </c>
      <c r="G19" s="3">
        <v>5384371252</v>
      </c>
      <c r="H19" s="3">
        <v>5384371252</v>
      </c>
      <c r="J19" s="4" t="s">
        <v>17</v>
      </c>
      <c r="K19" s="4">
        <f>B19*2*10^6*8760/H19</f>
        <v>1.4118506403465956</v>
      </c>
    </row>
    <row r="20" spans="1:11" x14ac:dyDescent="0.2">
      <c r="A20" s="1" t="s">
        <v>169</v>
      </c>
      <c r="B20" s="8">
        <v>0.29389999999999999</v>
      </c>
      <c r="C20" s="8">
        <v>0.25009999999999999</v>
      </c>
      <c r="D20" s="2" t="s">
        <v>211</v>
      </c>
      <c r="E20" s="2" t="s">
        <v>212</v>
      </c>
      <c r="F20" s="2" t="s">
        <v>213</v>
      </c>
      <c r="G20" s="3">
        <v>8720853</v>
      </c>
      <c r="H20" s="3">
        <v>3312352646</v>
      </c>
      <c r="J20" s="4" t="s">
        <v>18</v>
      </c>
      <c r="K20" s="4">
        <f>(B20+B21)*2*10^6*8760/(H20+H21)</f>
        <v>1.3539223680139445</v>
      </c>
    </row>
    <row r="21" spans="1:11" x14ac:dyDescent="0.2">
      <c r="A21" s="1" t="s">
        <v>173</v>
      </c>
      <c r="B21" s="8">
        <v>0.1686</v>
      </c>
      <c r="C21" s="8">
        <v>0.20180000000000001</v>
      </c>
      <c r="D21" s="2" t="s">
        <v>214</v>
      </c>
      <c r="E21" s="2" t="s">
        <v>215</v>
      </c>
      <c r="F21" s="2" t="s">
        <v>216</v>
      </c>
      <c r="G21" s="3">
        <v>5518942</v>
      </c>
      <c r="H21" s="3">
        <v>2672480895</v>
      </c>
    </row>
    <row r="22" spans="1:11" x14ac:dyDescent="0.2">
      <c r="A22" s="1" t="s">
        <v>177</v>
      </c>
      <c r="B22" s="8">
        <v>4.5499999999999999E-2</v>
      </c>
      <c r="C22" s="8">
        <v>6.2899999999999998E-2</v>
      </c>
      <c r="D22" s="2" t="s">
        <v>217</v>
      </c>
      <c r="E22" s="2" t="s">
        <v>218</v>
      </c>
      <c r="F22" s="2" t="s">
        <v>219</v>
      </c>
      <c r="G22" s="3">
        <v>1505367</v>
      </c>
      <c r="H22" s="3">
        <v>833112219</v>
      </c>
      <c r="J22" s="4" t="s">
        <v>19</v>
      </c>
      <c r="K22" s="4">
        <f>(B22+B23)*2*10^6*8760/(H22+H23)</f>
        <v>0.99827621814401846</v>
      </c>
    </row>
    <row r="23" spans="1:11" x14ac:dyDescent="0.2">
      <c r="A23" s="1" t="s">
        <v>181</v>
      </c>
      <c r="B23" s="8">
        <v>5.7799999999999997E-2</v>
      </c>
      <c r="C23" s="8">
        <v>7.3999999999999996E-2</v>
      </c>
      <c r="D23" s="2" t="s">
        <v>220</v>
      </c>
      <c r="E23" s="2" t="s">
        <v>221</v>
      </c>
      <c r="F23" s="2" t="s">
        <v>222</v>
      </c>
      <c r="G23" s="3">
        <v>1877503</v>
      </c>
      <c r="H23" s="3">
        <v>979828896</v>
      </c>
    </row>
    <row r="24" spans="1:11" x14ac:dyDescent="0.2">
      <c r="A24" s="1" t="s">
        <v>185</v>
      </c>
      <c r="B24" s="8">
        <v>1E-4</v>
      </c>
      <c r="C24" s="8">
        <v>1.8E-3</v>
      </c>
      <c r="D24" s="2" t="s">
        <v>223</v>
      </c>
      <c r="E24" s="2" t="s">
        <v>224</v>
      </c>
      <c r="F24" s="2" t="s">
        <v>225</v>
      </c>
      <c r="G24" s="3">
        <v>24036660</v>
      </c>
      <c r="H24" s="3">
        <v>24036660</v>
      </c>
    </row>
    <row r="25" spans="1:11" x14ac:dyDescent="0.2">
      <c r="A25" s="1" t="s">
        <v>186</v>
      </c>
      <c r="B25" s="8">
        <v>2.0000000000000001E-4</v>
      </c>
      <c r="C25" s="8">
        <v>3.0000000000000001E-3</v>
      </c>
      <c r="D25" s="2" t="s">
        <v>226</v>
      </c>
      <c r="E25" s="2" t="s">
        <v>227</v>
      </c>
      <c r="F25" s="2" t="s">
        <v>228</v>
      </c>
      <c r="G25" s="3">
        <v>39705042</v>
      </c>
      <c r="H25" s="3">
        <v>39705042</v>
      </c>
    </row>
    <row r="26" spans="1:11" x14ac:dyDescent="0.2">
      <c r="A26" s="15">
        <v>2022</v>
      </c>
      <c r="B26" s="15"/>
      <c r="C26" s="15"/>
      <c r="D26" s="15"/>
      <c r="E26" s="15"/>
      <c r="F26" s="15"/>
      <c r="G26" s="15"/>
      <c r="H26" s="15"/>
    </row>
    <row r="27" spans="1:11" x14ac:dyDescent="0.2">
      <c r="A27" s="1" t="s">
        <v>70</v>
      </c>
      <c r="B27" s="1" t="s">
        <v>159</v>
      </c>
      <c r="C27" s="1" t="s">
        <v>160</v>
      </c>
      <c r="D27" s="1" t="s">
        <v>161</v>
      </c>
      <c r="E27" s="1" t="s">
        <v>162</v>
      </c>
      <c r="F27" s="1" t="s">
        <v>163</v>
      </c>
      <c r="G27" s="1" t="s">
        <v>164</v>
      </c>
      <c r="H27" s="1" t="s">
        <v>165</v>
      </c>
    </row>
    <row r="28" spans="1:11" x14ac:dyDescent="0.2">
      <c r="A28" s="1" t="s">
        <v>17</v>
      </c>
      <c r="B28" s="8">
        <v>0.40129999999999999</v>
      </c>
      <c r="C28" s="8">
        <v>0.40820000000000001</v>
      </c>
      <c r="D28" s="2" t="s">
        <v>229</v>
      </c>
      <c r="E28" s="2" t="s">
        <v>230</v>
      </c>
      <c r="F28" s="2" t="s">
        <v>231</v>
      </c>
      <c r="G28" s="3">
        <v>5505729722</v>
      </c>
      <c r="H28" s="3">
        <v>5505729722</v>
      </c>
      <c r="J28" s="4" t="s">
        <v>17</v>
      </c>
      <c r="K28" s="4">
        <f>B28*2*10^6*8760/H28</f>
        <v>1.2769925795496577</v>
      </c>
    </row>
    <row r="29" spans="1:11" x14ac:dyDescent="0.2">
      <c r="A29" s="1" t="s">
        <v>169</v>
      </c>
      <c r="B29" s="8">
        <v>0.30499999999999999</v>
      </c>
      <c r="C29" s="8">
        <v>0.26269999999999999</v>
      </c>
      <c r="D29" s="2" t="s">
        <v>232</v>
      </c>
      <c r="E29" s="2" t="s">
        <v>233</v>
      </c>
      <c r="F29" s="2" t="s">
        <v>234</v>
      </c>
      <c r="G29" s="3">
        <v>9545874</v>
      </c>
      <c r="H29" s="3">
        <v>3543494762</v>
      </c>
      <c r="J29" s="4" t="s">
        <v>18</v>
      </c>
      <c r="K29" s="4">
        <f>(B29+B30)*2*10^6*8760/(H29+H30)</f>
        <v>1.3821451553699717</v>
      </c>
    </row>
    <row r="30" spans="1:11" x14ac:dyDescent="0.2">
      <c r="A30" s="1" t="s">
        <v>173</v>
      </c>
      <c r="B30" s="8">
        <v>0.1779</v>
      </c>
      <c r="C30" s="8">
        <v>0.19109999999999999</v>
      </c>
      <c r="D30" s="2" t="s">
        <v>235</v>
      </c>
      <c r="E30" s="2" t="s">
        <v>236</v>
      </c>
      <c r="F30" s="2" t="s">
        <v>237</v>
      </c>
      <c r="G30" s="3">
        <v>5495123</v>
      </c>
      <c r="H30" s="3">
        <v>2577720486</v>
      </c>
    </row>
    <row r="31" spans="1:11" x14ac:dyDescent="0.2">
      <c r="A31" s="1" t="s">
        <v>177</v>
      </c>
      <c r="B31" s="8">
        <v>5.1299999999999998E-2</v>
      </c>
      <c r="C31" s="8">
        <v>6.1899999999999997E-2</v>
      </c>
      <c r="D31" s="2" t="s">
        <v>238</v>
      </c>
      <c r="E31" s="2" t="s">
        <v>239</v>
      </c>
      <c r="F31" s="2" t="s">
        <v>240</v>
      </c>
      <c r="G31" s="3">
        <v>1516609</v>
      </c>
      <c r="H31" s="3">
        <v>834370955</v>
      </c>
      <c r="J31" s="4" t="s">
        <v>19</v>
      </c>
      <c r="K31" s="4">
        <f>(B31+B32)*2*10^6*8760/(H31+H32)</f>
        <v>1.1227351477090834</v>
      </c>
    </row>
    <row r="32" spans="1:11" x14ac:dyDescent="0.2">
      <c r="A32" s="1" t="s">
        <v>181</v>
      </c>
      <c r="B32" s="8">
        <v>6.3899999999999998E-2</v>
      </c>
      <c r="C32" s="8">
        <v>7.1400000000000005E-2</v>
      </c>
      <c r="D32" s="2" t="s">
        <v>241</v>
      </c>
      <c r="E32" s="2" t="s">
        <v>242</v>
      </c>
      <c r="F32" s="2" t="s">
        <v>243</v>
      </c>
      <c r="G32" s="3">
        <v>1876550</v>
      </c>
      <c r="H32" s="3">
        <v>963296112</v>
      </c>
    </row>
    <row r="33" spans="1:11" x14ac:dyDescent="0.2">
      <c r="A33" s="1" t="s">
        <v>185</v>
      </c>
      <c r="B33" s="8">
        <v>2.0000000000000001E-4</v>
      </c>
      <c r="C33" s="8">
        <v>1.8E-3</v>
      </c>
      <c r="D33" s="2" t="s">
        <v>244</v>
      </c>
      <c r="E33" s="2" t="s">
        <v>245</v>
      </c>
      <c r="F33" s="2" t="s">
        <v>246</v>
      </c>
      <c r="G33" s="3">
        <v>23908368</v>
      </c>
      <c r="H33" s="3">
        <v>23908368</v>
      </c>
    </row>
    <row r="34" spans="1:11" x14ac:dyDescent="0.2">
      <c r="A34" s="1" t="s">
        <v>186</v>
      </c>
      <c r="B34" s="8">
        <v>4.0000000000000002E-4</v>
      </c>
      <c r="C34" s="8">
        <v>2.8E-3</v>
      </c>
      <c r="D34" s="2" t="s">
        <v>247</v>
      </c>
      <c r="E34" s="2" t="s">
        <v>248</v>
      </c>
      <c r="F34" s="2" t="s">
        <v>249</v>
      </c>
      <c r="G34" s="3">
        <v>38017167</v>
      </c>
      <c r="H34" s="3">
        <v>38017167</v>
      </c>
    </row>
    <row r="35" spans="1:11" x14ac:dyDescent="0.2">
      <c r="A35" s="15">
        <v>2024</v>
      </c>
      <c r="B35" s="15"/>
      <c r="C35" s="15"/>
      <c r="D35" s="15"/>
      <c r="E35" s="15"/>
      <c r="F35" s="15"/>
      <c r="G35" s="15"/>
      <c r="H35" s="15"/>
    </row>
    <row r="36" spans="1:11" x14ac:dyDescent="0.2">
      <c r="A36" s="1" t="s">
        <v>70</v>
      </c>
      <c r="B36" s="1" t="s">
        <v>159</v>
      </c>
      <c r="C36" s="1" t="s">
        <v>160</v>
      </c>
      <c r="D36" s="1" t="s">
        <v>161</v>
      </c>
      <c r="E36" s="1" t="s">
        <v>162</v>
      </c>
      <c r="F36" s="1" t="s">
        <v>163</v>
      </c>
      <c r="G36" s="1" t="s">
        <v>164</v>
      </c>
      <c r="H36" s="1" t="s">
        <v>165</v>
      </c>
    </row>
    <row r="37" spans="1:11" x14ac:dyDescent="0.2">
      <c r="A37" s="1" t="s">
        <v>17</v>
      </c>
      <c r="B37" s="8">
        <v>0.45660000000000001</v>
      </c>
      <c r="C37" s="8">
        <v>0.4083</v>
      </c>
      <c r="D37" s="2" t="s">
        <v>250</v>
      </c>
      <c r="E37" s="2" t="s">
        <v>251</v>
      </c>
      <c r="F37" s="2" t="s">
        <v>252</v>
      </c>
      <c r="G37" s="3">
        <v>5474304206</v>
      </c>
      <c r="H37" s="3">
        <v>5474304206</v>
      </c>
      <c r="J37" s="4" t="s">
        <v>17</v>
      </c>
      <c r="K37" s="4">
        <f>B37*2*10^6*8760/H37</f>
        <v>1.4613057110038141</v>
      </c>
    </row>
    <row r="38" spans="1:11" x14ac:dyDescent="0.2">
      <c r="A38" s="1" t="s">
        <v>169</v>
      </c>
      <c r="B38" s="8">
        <v>0.28399999999999997</v>
      </c>
      <c r="C38" s="8">
        <v>0.26860000000000001</v>
      </c>
      <c r="D38" s="2" t="s">
        <v>253</v>
      </c>
      <c r="E38" s="2" t="s">
        <v>254</v>
      </c>
      <c r="F38" s="2" t="s">
        <v>255</v>
      </c>
      <c r="G38" s="3">
        <v>9877899</v>
      </c>
      <c r="H38" s="3">
        <v>3601117379</v>
      </c>
      <c r="J38" s="4" t="s">
        <v>18</v>
      </c>
      <c r="K38" s="4">
        <f>(B38+B39)*2*10^6*8760/(H38+H39)</f>
        <v>1.2607077371203228</v>
      </c>
    </row>
    <row r="39" spans="1:11" x14ac:dyDescent="0.2">
      <c r="A39" s="1" t="s">
        <v>173</v>
      </c>
      <c r="B39" s="8">
        <v>0.159</v>
      </c>
      <c r="C39" s="8">
        <v>0.19059999999999999</v>
      </c>
      <c r="D39" s="2" t="s">
        <v>256</v>
      </c>
      <c r="E39" s="2" t="s">
        <v>257</v>
      </c>
      <c r="F39" s="2" t="s">
        <v>258</v>
      </c>
      <c r="G39" s="3">
        <v>5444326</v>
      </c>
      <c r="H39" s="3">
        <v>2555234146</v>
      </c>
    </row>
    <row r="40" spans="1:11" x14ac:dyDescent="0.2">
      <c r="A40" s="1" t="s">
        <v>177</v>
      </c>
      <c r="B40" s="8">
        <v>4.07E-2</v>
      </c>
      <c r="C40" s="8">
        <v>5.5500000000000001E-2</v>
      </c>
      <c r="D40" s="2" t="s">
        <v>259</v>
      </c>
      <c r="E40" s="2" t="s">
        <v>260</v>
      </c>
      <c r="F40" s="2" t="s">
        <v>261</v>
      </c>
      <c r="G40" s="3">
        <v>1363574</v>
      </c>
      <c r="H40" s="3">
        <v>743936093</v>
      </c>
      <c r="J40" s="4" t="s">
        <v>19</v>
      </c>
      <c r="K40" s="4">
        <f>(B40+B41)*2*10^6*8760/(H40+H41)</f>
        <v>1.0186562183069658</v>
      </c>
    </row>
    <row r="41" spans="1:11" x14ac:dyDescent="0.2">
      <c r="A41" s="1" t="s">
        <v>181</v>
      </c>
      <c r="B41" s="8">
        <v>5.9200000000000003E-2</v>
      </c>
      <c r="C41" s="8">
        <v>7.2700000000000001E-2</v>
      </c>
      <c r="D41" s="2" t="s">
        <v>262</v>
      </c>
      <c r="E41" s="2" t="s">
        <v>263</v>
      </c>
      <c r="F41" s="2" t="s">
        <v>264</v>
      </c>
      <c r="G41" s="3">
        <v>1854230</v>
      </c>
      <c r="H41" s="3">
        <v>974256923</v>
      </c>
    </row>
    <row r="42" spans="1:11" x14ac:dyDescent="0.2">
      <c r="A42" s="1" t="s">
        <v>185</v>
      </c>
      <c r="B42" s="8">
        <v>2.0000000000000001E-4</v>
      </c>
      <c r="C42" s="8">
        <v>1.6999999999999999E-3</v>
      </c>
      <c r="D42" s="2" t="s">
        <v>265</v>
      </c>
      <c r="E42" s="2" t="s">
        <v>266</v>
      </c>
      <c r="F42" s="2" t="s">
        <v>267</v>
      </c>
      <c r="G42" s="3">
        <v>22987243</v>
      </c>
      <c r="H42" s="3">
        <v>22987243</v>
      </c>
    </row>
    <row r="43" spans="1:11" x14ac:dyDescent="0.2">
      <c r="A43" s="1" t="s">
        <v>186</v>
      </c>
      <c r="B43" s="8">
        <v>2.9999999999999997E-4</v>
      </c>
      <c r="C43" s="8">
        <v>2.7000000000000001E-3</v>
      </c>
      <c r="D43" s="2" t="s">
        <v>268</v>
      </c>
      <c r="E43" s="2" t="s">
        <v>269</v>
      </c>
      <c r="F43" s="2" t="s">
        <v>270</v>
      </c>
      <c r="G43" s="3">
        <v>35792512</v>
      </c>
      <c r="H43" s="3">
        <v>35792512</v>
      </c>
    </row>
    <row r="44" spans="1:11" x14ac:dyDescent="0.2">
      <c r="A44" s="15">
        <v>2025</v>
      </c>
      <c r="B44" s="15"/>
      <c r="C44" s="15"/>
      <c r="D44" s="15"/>
      <c r="E44" s="15"/>
      <c r="F44" s="15"/>
      <c r="G44" s="15"/>
      <c r="H44" s="15"/>
    </row>
    <row r="45" spans="1:11" x14ac:dyDescent="0.2">
      <c r="A45" s="1" t="s">
        <v>70</v>
      </c>
      <c r="B45" s="1" t="s">
        <v>159</v>
      </c>
      <c r="C45" s="1" t="s">
        <v>160</v>
      </c>
      <c r="D45" s="1" t="s">
        <v>161</v>
      </c>
      <c r="E45" s="1" t="s">
        <v>162</v>
      </c>
      <c r="F45" s="1" t="s">
        <v>163</v>
      </c>
      <c r="G45" s="1" t="s">
        <v>271</v>
      </c>
      <c r="H45" s="1" t="s">
        <v>165</v>
      </c>
    </row>
    <row r="46" spans="1:11" x14ac:dyDescent="0.2">
      <c r="A46" s="1" t="s">
        <v>17</v>
      </c>
      <c r="B46" s="8">
        <v>0.4652</v>
      </c>
      <c r="C46" s="8">
        <v>0.38640000000000002</v>
      </c>
      <c r="D46" s="2" t="s">
        <v>272</v>
      </c>
      <c r="E46" s="2" t="s">
        <v>273</v>
      </c>
      <c r="F46" s="2" t="s">
        <v>274</v>
      </c>
      <c r="G46" s="3">
        <v>5189331270</v>
      </c>
      <c r="H46" s="3">
        <v>5189331270</v>
      </c>
      <c r="J46" s="4" t="s">
        <v>17</v>
      </c>
      <c r="K46" s="4">
        <f>B46*2*10^6*8760/H46</f>
        <v>1.5705884970415465</v>
      </c>
    </row>
    <row r="47" spans="1:11" x14ac:dyDescent="0.2">
      <c r="A47" s="1" t="s">
        <v>169</v>
      </c>
      <c r="B47" s="8">
        <v>0.2843</v>
      </c>
      <c r="C47" s="8">
        <v>0.27839999999999998</v>
      </c>
      <c r="D47" s="2" t="s">
        <v>275</v>
      </c>
      <c r="E47" s="2" t="s">
        <v>276</v>
      </c>
      <c r="F47" s="2" t="s">
        <v>277</v>
      </c>
      <c r="G47" s="3">
        <v>11148537</v>
      </c>
      <c r="H47" s="3">
        <v>3739537117</v>
      </c>
      <c r="J47" s="4" t="s">
        <v>18</v>
      </c>
      <c r="K47" s="4">
        <f>(B47+B48)*2*10^6*8760/(H47+H48)</f>
        <v>1.2049360660374722</v>
      </c>
    </row>
    <row r="48" spans="1:11" x14ac:dyDescent="0.2">
      <c r="A48" s="1" t="s">
        <v>173</v>
      </c>
      <c r="B48" s="8">
        <v>0.15620000000000001</v>
      </c>
      <c r="C48" s="8">
        <v>0.19850000000000001</v>
      </c>
      <c r="D48" s="2" t="s">
        <v>278</v>
      </c>
      <c r="E48" s="2" t="s">
        <v>279</v>
      </c>
      <c r="F48" s="2" t="s">
        <v>280</v>
      </c>
      <c r="G48" s="3">
        <v>5032489</v>
      </c>
      <c r="H48" s="3">
        <v>2665416820</v>
      </c>
    </row>
    <row r="49" spans="1:11" x14ac:dyDescent="0.2">
      <c r="A49" s="1" t="s">
        <v>177</v>
      </c>
      <c r="B49" s="8">
        <v>4.3499999999999997E-2</v>
      </c>
      <c r="C49" s="8">
        <v>6.0299999999999999E-2</v>
      </c>
      <c r="D49" s="2" t="s">
        <v>281</v>
      </c>
      <c r="E49" s="2" t="s">
        <v>282</v>
      </c>
      <c r="F49" s="2" t="s">
        <v>283</v>
      </c>
      <c r="G49" s="3">
        <v>1352511</v>
      </c>
      <c r="H49" s="3">
        <v>809663882</v>
      </c>
      <c r="J49" s="4" t="s">
        <v>19</v>
      </c>
      <c r="K49" s="4">
        <f>(B49+B50)*2*10^6*8760/(H49+H50)</f>
        <v>0.91835010774728043</v>
      </c>
    </row>
    <row r="50" spans="1:11" x14ac:dyDescent="0.2">
      <c r="A50" s="1" t="s">
        <v>181</v>
      </c>
      <c r="B50" s="8">
        <v>5.0200000000000002E-2</v>
      </c>
      <c r="C50" s="8">
        <v>7.2800000000000004E-2</v>
      </c>
      <c r="D50" s="2" t="s">
        <v>284</v>
      </c>
      <c r="E50" s="2" t="s">
        <v>285</v>
      </c>
      <c r="F50" s="2" t="s">
        <v>286</v>
      </c>
      <c r="G50" s="3">
        <v>2234304</v>
      </c>
      <c r="H50" s="3">
        <v>977915807</v>
      </c>
    </row>
    <row r="51" spans="1:11" x14ac:dyDescent="0.2">
      <c r="A51" s="1" t="s">
        <v>185</v>
      </c>
      <c r="B51" s="8">
        <v>2.0000000000000001E-4</v>
      </c>
      <c r="C51" s="8">
        <v>1.4E-3</v>
      </c>
      <c r="D51" s="2" t="s">
        <v>287</v>
      </c>
      <c r="E51" s="2" t="s">
        <v>288</v>
      </c>
      <c r="F51" s="2" t="s">
        <v>289</v>
      </c>
      <c r="G51" s="3">
        <v>19091701</v>
      </c>
      <c r="H51" s="3">
        <v>19091701</v>
      </c>
    </row>
    <row r="52" spans="1:11" x14ac:dyDescent="0.2">
      <c r="A52" s="1" t="s">
        <v>186</v>
      </c>
      <c r="B52" s="8">
        <v>5.0000000000000001E-4</v>
      </c>
      <c r="C52" s="8">
        <v>2.2000000000000001E-3</v>
      </c>
      <c r="D52" s="2" t="s">
        <v>290</v>
      </c>
      <c r="E52" s="2" t="s">
        <v>291</v>
      </c>
      <c r="F52" s="2" t="s">
        <v>292</v>
      </c>
      <c r="G52" s="3">
        <v>29723523</v>
      </c>
      <c r="H52" s="3">
        <v>29723523</v>
      </c>
    </row>
  </sheetData>
  <mergeCells count="6">
    <mergeCell ref="A44:H44"/>
    <mergeCell ref="A1:H1"/>
    <mergeCell ref="A8:H8"/>
    <mergeCell ref="A17:H17"/>
    <mergeCell ref="A26:H26"/>
    <mergeCell ref="A35:H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B3440-8AFF-5040-897F-C8DA26EBFF50}">
  <dimension ref="A1:J60"/>
  <sheetViews>
    <sheetView workbookViewId="0">
      <selection activeCell="I14" sqref="I14"/>
    </sheetView>
  </sheetViews>
  <sheetFormatPr baseColWidth="10" defaultRowHeight="16" x14ac:dyDescent="0.2"/>
  <cols>
    <col min="1" max="1" width="10.83203125" style="4"/>
    <col min="2" max="2" width="18.5" style="4" customWidth="1"/>
    <col min="3" max="3" width="10.83203125" style="4"/>
    <col min="4" max="4" width="22.6640625" style="4" customWidth="1"/>
    <col min="5" max="16384" width="10.83203125" style="4"/>
  </cols>
  <sheetData>
    <row r="1" spans="1:10" x14ac:dyDescent="0.2">
      <c r="A1" s="15">
        <v>2023</v>
      </c>
      <c r="B1" s="15"/>
      <c r="C1" s="15"/>
      <c r="D1" s="15"/>
      <c r="E1" s="15"/>
    </row>
    <row r="2" spans="1:10" x14ac:dyDescent="0.2">
      <c r="A2" s="1" t="s">
        <v>293</v>
      </c>
      <c r="B2" s="1" t="s">
        <v>294</v>
      </c>
      <c r="C2" s="1" t="s">
        <v>295</v>
      </c>
      <c r="D2" s="1" t="s">
        <v>296</v>
      </c>
      <c r="E2" s="1" t="s">
        <v>297</v>
      </c>
      <c r="H2" s="4" t="s">
        <v>16</v>
      </c>
      <c r="J2" s="4" t="s">
        <v>57</v>
      </c>
    </row>
    <row r="3" spans="1:10" x14ac:dyDescent="0.2">
      <c r="A3" s="2" t="s">
        <v>298</v>
      </c>
      <c r="B3" s="3">
        <v>2568484</v>
      </c>
      <c r="C3" s="8">
        <v>0.49736999999999998</v>
      </c>
      <c r="D3" s="3">
        <v>7390640814</v>
      </c>
      <c r="E3" s="8">
        <v>0.37805</v>
      </c>
      <c r="G3" s="4" t="s">
        <v>17</v>
      </c>
      <c r="H3" s="4">
        <f>B3*8760/D3</f>
        <v>3.0443801026534367</v>
      </c>
      <c r="J3" s="4">
        <f>(H3+H13+H23+H33+H43+H53)/6</f>
        <v>3.0476518363668141</v>
      </c>
    </row>
    <row r="4" spans="1:10" x14ac:dyDescent="0.2">
      <c r="A4" s="2" t="s">
        <v>299</v>
      </c>
      <c r="B4" s="3">
        <v>1658290</v>
      </c>
      <c r="C4" s="8">
        <v>0.32113000000000003</v>
      </c>
      <c r="D4" s="3">
        <v>6055507818</v>
      </c>
      <c r="E4" s="8">
        <v>0.30975000000000003</v>
      </c>
      <c r="G4" s="4" t="s">
        <v>18</v>
      </c>
      <c r="H4" s="4">
        <f>(B4+B8)*8760/(D4+D8)</f>
        <v>2.1227653957787909</v>
      </c>
      <c r="J4" s="4">
        <f>(H4+H14+H24+H34+H44+H54)/6</f>
        <v>2.0318070885645412</v>
      </c>
    </row>
    <row r="5" spans="1:10" x14ac:dyDescent="0.2">
      <c r="A5" s="2" t="s">
        <v>300</v>
      </c>
      <c r="B5" s="2" t="s">
        <v>28</v>
      </c>
      <c r="C5" s="8">
        <v>0</v>
      </c>
      <c r="D5" s="3">
        <v>53441025</v>
      </c>
      <c r="E5" s="8">
        <v>2.7299999999999998E-3</v>
      </c>
    </row>
    <row r="6" spans="1:10" x14ac:dyDescent="0.2">
      <c r="A6" s="2" t="s">
        <v>301</v>
      </c>
      <c r="B6" s="3">
        <v>218967</v>
      </c>
      <c r="C6" s="8">
        <v>4.24E-2</v>
      </c>
      <c r="D6" s="3">
        <v>580936969</v>
      </c>
      <c r="E6" s="8">
        <v>2.972E-2</v>
      </c>
    </row>
    <row r="7" spans="1:10" x14ac:dyDescent="0.2">
      <c r="A7" s="2" t="s">
        <v>302</v>
      </c>
      <c r="B7" s="3">
        <v>5039</v>
      </c>
      <c r="C7" s="8">
        <v>9.7999999999999997E-4</v>
      </c>
      <c r="D7" s="3">
        <v>32326873</v>
      </c>
      <c r="E7" s="8">
        <v>1.65E-3</v>
      </c>
    </row>
    <row r="8" spans="1:10" x14ac:dyDescent="0.2">
      <c r="A8" s="2" t="s">
        <v>303</v>
      </c>
      <c r="B8" s="3">
        <v>301869</v>
      </c>
      <c r="C8" s="8">
        <v>5.8459999999999998E-2</v>
      </c>
      <c r="D8" s="3">
        <v>2033465591</v>
      </c>
      <c r="E8" s="8">
        <v>0.10402</v>
      </c>
      <c r="G8" s="4" t="s">
        <v>19</v>
      </c>
      <c r="H8" s="4">
        <f>(B8+B9)*8760/(D8+D9)</f>
        <v>1.1725544901999378</v>
      </c>
      <c r="J8" s="4">
        <f>(H8+H18+H28+H38+H48+H58)/6</f>
        <v>1.3005528581875494</v>
      </c>
    </row>
    <row r="9" spans="1:10" x14ac:dyDescent="0.2">
      <c r="A9" s="2" t="s">
        <v>304</v>
      </c>
      <c r="B9" s="3">
        <v>411351</v>
      </c>
      <c r="C9" s="8">
        <v>7.9659999999999995E-2</v>
      </c>
      <c r="D9" s="3">
        <v>3294906994</v>
      </c>
      <c r="E9" s="8">
        <v>0.16854</v>
      </c>
    </row>
    <row r="10" spans="1:10" x14ac:dyDescent="0.2">
      <c r="A10" s="2" t="s">
        <v>305</v>
      </c>
      <c r="B10" s="2" t="s">
        <v>28</v>
      </c>
      <c r="C10" s="8">
        <v>0</v>
      </c>
      <c r="D10" s="3">
        <v>108387060</v>
      </c>
      <c r="E10" s="8">
        <v>5.5399999999999998E-3</v>
      </c>
    </row>
    <row r="11" spans="1:10" x14ac:dyDescent="0.2">
      <c r="A11" s="15">
        <v>2020</v>
      </c>
      <c r="B11" s="15"/>
      <c r="C11" s="15"/>
      <c r="D11" s="15"/>
      <c r="E11" s="15"/>
    </row>
    <row r="12" spans="1:10" x14ac:dyDescent="0.2">
      <c r="A12" s="1" t="s">
        <v>293</v>
      </c>
      <c r="B12" s="1" t="s">
        <v>294</v>
      </c>
      <c r="C12" s="1" t="s">
        <v>295</v>
      </c>
      <c r="D12" s="1" t="s">
        <v>296</v>
      </c>
      <c r="E12" s="1" t="s">
        <v>297</v>
      </c>
      <c r="H12" s="4" t="s">
        <v>16</v>
      </c>
    </row>
    <row r="13" spans="1:10" x14ac:dyDescent="0.2">
      <c r="A13" s="2" t="s">
        <v>306</v>
      </c>
      <c r="B13" s="3">
        <v>2404662</v>
      </c>
      <c r="C13" s="8">
        <v>0.4854</v>
      </c>
      <c r="D13" s="3">
        <v>7438370602</v>
      </c>
      <c r="E13" s="8">
        <v>0.37816</v>
      </c>
      <c r="G13" s="4" t="s">
        <v>17</v>
      </c>
      <c r="H13" s="4">
        <f>B13*8760/D13</f>
        <v>2.831915784666089</v>
      </c>
    </row>
    <row r="14" spans="1:10" x14ac:dyDescent="0.2">
      <c r="A14" s="2" t="s">
        <v>299</v>
      </c>
      <c r="B14" s="3">
        <v>1563947</v>
      </c>
      <c r="C14" s="8">
        <v>0.31569000000000003</v>
      </c>
      <c r="D14" s="3">
        <v>6262064622</v>
      </c>
      <c r="E14" s="8">
        <v>0.31835999999999998</v>
      </c>
      <c r="G14" s="4" t="s">
        <v>18</v>
      </c>
      <c r="H14" s="4">
        <f>(B14+B18)*8760/(D14+D18)</f>
        <v>2.0007150843665773</v>
      </c>
    </row>
    <row r="15" spans="1:10" x14ac:dyDescent="0.2">
      <c r="A15" s="2" t="s">
        <v>300</v>
      </c>
      <c r="B15" s="2" t="s">
        <v>28</v>
      </c>
      <c r="C15" s="8">
        <v>0</v>
      </c>
      <c r="D15" s="3">
        <v>53376289</v>
      </c>
      <c r="E15" s="8">
        <v>2.7100000000000002E-3</v>
      </c>
    </row>
    <row r="16" spans="1:10" x14ac:dyDescent="0.2">
      <c r="A16" s="2" t="s">
        <v>301</v>
      </c>
      <c r="B16" s="3">
        <v>168607</v>
      </c>
      <c r="C16" s="8">
        <v>3.4029999999999998E-2</v>
      </c>
      <c r="D16" s="3">
        <v>579770808</v>
      </c>
      <c r="E16" s="8">
        <v>2.9479999999999999E-2</v>
      </c>
    </row>
    <row r="17" spans="1:8" x14ac:dyDescent="0.2">
      <c r="A17" s="2" t="s">
        <v>302</v>
      </c>
      <c r="B17" s="3">
        <v>7361</v>
      </c>
      <c r="C17" s="8">
        <v>1.49E-3</v>
      </c>
      <c r="D17" s="3">
        <v>29835479</v>
      </c>
      <c r="E17" s="8">
        <v>1.5200000000000001E-3</v>
      </c>
    </row>
    <row r="18" spans="1:8" x14ac:dyDescent="0.2">
      <c r="A18" s="2" t="s">
        <v>303</v>
      </c>
      <c r="B18" s="3">
        <v>328759</v>
      </c>
      <c r="C18" s="8">
        <v>6.6360000000000002E-2</v>
      </c>
      <c r="D18" s="3">
        <v>2025024674</v>
      </c>
      <c r="E18" s="8">
        <v>0.10295</v>
      </c>
      <c r="G18" s="4" t="s">
        <v>19</v>
      </c>
      <c r="H18" s="4">
        <f>(B18+B19)*8760/(D18+D19)</f>
        <v>1.3650619023648292</v>
      </c>
    </row>
    <row r="19" spans="1:8" x14ac:dyDescent="0.2">
      <c r="A19" s="2" t="s">
        <v>304</v>
      </c>
      <c r="B19" s="3">
        <v>480664</v>
      </c>
      <c r="C19" s="8">
        <v>9.7030000000000005E-2</v>
      </c>
      <c r="D19" s="3">
        <v>3169278579</v>
      </c>
      <c r="E19" s="8">
        <v>0.16112000000000001</v>
      </c>
    </row>
    <row r="20" spans="1:8" x14ac:dyDescent="0.2">
      <c r="A20" s="2" t="s">
        <v>305</v>
      </c>
      <c r="B20" s="2" t="s">
        <v>28</v>
      </c>
      <c r="C20" s="8">
        <v>0</v>
      </c>
      <c r="D20" s="3">
        <v>112101303</v>
      </c>
      <c r="E20" s="8">
        <v>5.7000000000000002E-3</v>
      </c>
    </row>
    <row r="21" spans="1:8" x14ac:dyDescent="0.2">
      <c r="A21" s="15">
        <v>2021</v>
      </c>
      <c r="B21" s="15"/>
      <c r="C21" s="15"/>
      <c r="D21" s="15"/>
      <c r="E21" s="15"/>
    </row>
    <row r="22" spans="1:8" x14ac:dyDescent="0.2">
      <c r="A22" s="1" t="s">
        <v>293</v>
      </c>
      <c r="B22" s="1" t="s">
        <v>294</v>
      </c>
      <c r="C22" s="1" t="s">
        <v>295</v>
      </c>
      <c r="D22" s="1" t="s">
        <v>296</v>
      </c>
      <c r="E22" s="1" t="s">
        <v>297</v>
      </c>
      <c r="H22" s="4" t="s">
        <v>16</v>
      </c>
    </row>
    <row r="23" spans="1:8" x14ac:dyDescent="0.2">
      <c r="A23" s="1" t="s">
        <v>306</v>
      </c>
      <c r="B23" s="3">
        <v>2596546</v>
      </c>
      <c r="C23" s="8">
        <v>0.52359999999999995</v>
      </c>
      <c r="D23" s="3">
        <v>7651378711</v>
      </c>
      <c r="E23" s="8">
        <v>0.39184999999999998</v>
      </c>
      <c r="G23" s="4" t="s">
        <v>17</v>
      </c>
      <c r="H23" s="4">
        <f>B23*8760/D23</f>
        <v>2.9727639709297877</v>
      </c>
    </row>
    <row r="24" spans="1:8" x14ac:dyDescent="0.2">
      <c r="A24" s="1" t="s">
        <v>299</v>
      </c>
      <c r="B24" s="3">
        <v>1436823</v>
      </c>
      <c r="C24" s="8">
        <v>0.28974</v>
      </c>
      <c r="D24" s="3">
        <v>5978464957</v>
      </c>
      <c r="E24" s="8">
        <v>0.30617</v>
      </c>
      <c r="G24" s="4" t="s">
        <v>18</v>
      </c>
      <c r="H24" s="4">
        <f>(B24+B28)*8760/(D24+D28)</f>
        <v>1.96007974195336</v>
      </c>
    </row>
    <row r="25" spans="1:8" x14ac:dyDescent="0.2">
      <c r="A25" s="1" t="s">
        <v>300</v>
      </c>
      <c r="B25" s="2" t="s">
        <v>28</v>
      </c>
      <c r="C25" s="8">
        <v>0</v>
      </c>
      <c r="D25" s="3">
        <v>57289431</v>
      </c>
      <c r="E25" s="8">
        <v>2.9299999999999999E-3</v>
      </c>
    </row>
    <row r="26" spans="1:8" x14ac:dyDescent="0.2">
      <c r="A26" s="1" t="s">
        <v>301</v>
      </c>
      <c r="B26" s="3">
        <v>171680</v>
      </c>
      <c r="C26" s="8">
        <v>3.4619999999999998E-2</v>
      </c>
      <c r="D26" s="3">
        <v>612057793</v>
      </c>
      <c r="E26" s="8">
        <v>3.134E-2</v>
      </c>
    </row>
    <row r="27" spans="1:8" x14ac:dyDescent="0.2">
      <c r="A27" s="1" t="s">
        <v>302</v>
      </c>
      <c r="B27" s="3">
        <v>7399</v>
      </c>
      <c r="C27" s="8">
        <v>1.49E-3</v>
      </c>
      <c r="D27" s="3">
        <v>29888184</v>
      </c>
      <c r="E27" s="8">
        <v>1.5299999999999999E-3</v>
      </c>
    </row>
    <row r="28" spans="1:8" x14ac:dyDescent="0.2">
      <c r="A28" s="1" t="s">
        <v>303</v>
      </c>
      <c r="B28" s="3">
        <v>342512</v>
      </c>
      <c r="C28" s="8">
        <v>6.9070000000000006E-2</v>
      </c>
      <c r="D28" s="3">
        <v>1973749571</v>
      </c>
      <c r="E28" s="8">
        <v>0.10108</v>
      </c>
      <c r="G28" s="4" t="s">
        <v>19</v>
      </c>
      <c r="H28" s="4">
        <f>(B28+B29)*8760/(D28+D29)</f>
        <v>1.2853500917732987</v>
      </c>
    </row>
    <row r="29" spans="1:8" x14ac:dyDescent="0.2">
      <c r="A29" s="1" t="s">
        <v>304</v>
      </c>
      <c r="B29" s="3">
        <v>404040</v>
      </c>
      <c r="C29" s="8">
        <v>8.1479999999999997E-2</v>
      </c>
      <c r="D29" s="3">
        <v>3114199278</v>
      </c>
      <c r="E29" s="8">
        <v>0.15948000000000001</v>
      </c>
    </row>
    <row r="30" spans="1:8" x14ac:dyDescent="0.2">
      <c r="A30" s="1" t="s">
        <v>305</v>
      </c>
      <c r="B30" s="2" t="s">
        <v>28</v>
      </c>
      <c r="C30" s="8">
        <v>0</v>
      </c>
      <c r="D30" s="3">
        <v>109743741</v>
      </c>
      <c r="E30" s="8">
        <v>5.62E-3</v>
      </c>
    </row>
    <row r="31" spans="1:8" x14ac:dyDescent="0.2">
      <c r="A31" s="15">
        <v>2022</v>
      </c>
      <c r="B31" s="15"/>
      <c r="C31" s="15"/>
      <c r="D31" s="15"/>
      <c r="E31" s="15"/>
    </row>
    <row r="32" spans="1:8" x14ac:dyDescent="0.2">
      <c r="A32" s="1" t="s">
        <v>293</v>
      </c>
      <c r="B32" s="1" t="s">
        <v>294</v>
      </c>
      <c r="C32" s="1" t="s">
        <v>295</v>
      </c>
      <c r="D32" s="1" t="s">
        <v>296</v>
      </c>
      <c r="E32" s="1" t="s">
        <v>297</v>
      </c>
      <c r="H32" s="4" t="s">
        <v>16</v>
      </c>
    </row>
    <row r="33" spans="1:8" x14ac:dyDescent="0.2">
      <c r="A33" s="1" t="s">
        <v>306</v>
      </c>
      <c r="B33" s="3">
        <v>2685317</v>
      </c>
      <c r="C33" s="8">
        <v>0.50636999999999999</v>
      </c>
      <c r="D33" s="3">
        <v>7593503124</v>
      </c>
      <c r="E33" s="8">
        <v>0.38335000000000002</v>
      </c>
      <c r="G33" s="4" t="s">
        <v>17</v>
      </c>
      <c r="H33" s="4">
        <f>B33*8760/D33</f>
        <v>3.0978293596340398</v>
      </c>
    </row>
    <row r="34" spans="1:8" x14ac:dyDescent="0.2">
      <c r="A34" s="1" t="s">
        <v>299</v>
      </c>
      <c r="B34" s="3">
        <v>1576735</v>
      </c>
      <c r="C34" s="8">
        <v>0.29732999999999998</v>
      </c>
      <c r="D34" s="3">
        <v>6089505630</v>
      </c>
      <c r="E34" s="8">
        <v>0.30743999999999999</v>
      </c>
      <c r="G34" s="4" t="s">
        <v>18</v>
      </c>
      <c r="H34" s="4">
        <f>(B34+B38)*8760/(D34+D38)</f>
        <v>2.0928897713071795</v>
      </c>
    </row>
    <row r="35" spans="1:8" x14ac:dyDescent="0.2">
      <c r="A35" s="1" t="s">
        <v>300</v>
      </c>
      <c r="B35" s="2" t="s">
        <v>28</v>
      </c>
      <c r="C35" s="8">
        <v>0</v>
      </c>
      <c r="D35" s="3">
        <v>64418050</v>
      </c>
      <c r="E35" s="8">
        <v>3.2499999999999999E-3</v>
      </c>
    </row>
    <row r="36" spans="1:8" x14ac:dyDescent="0.2">
      <c r="A36" s="1" t="s">
        <v>301</v>
      </c>
      <c r="B36" s="3">
        <v>205714</v>
      </c>
      <c r="C36" s="8">
        <v>3.8789999999999998E-2</v>
      </c>
      <c r="D36" s="3">
        <v>676941271</v>
      </c>
      <c r="E36" s="8">
        <v>3.4180000000000002E-2</v>
      </c>
    </row>
    <row r="37" spans="1:8" x14ac:dyDescent="0.2">
      <c r="A37" s="1" t="s">
        <v>302</v>
      </c>
      <c r="B37" s="3">
        <v>7991</v>
      </c>
      <c r="C37" s="8">
        <v>1.5100000000000001E-3</v>
      </c>
      <c r="D37" s="3">
        <v>29017957</v>
      </c>
      <c r="E37" s="8">
        <v>1.47E-3</v>
      </c>
    </row>
    <row r="38" spans="1:8" x14ac:dyDescent="0.2">
      <c r="A38" s="1" t="s">
        <v>303</v>
      </c>
      <c r="B38" s="3">
        <v>358365</v>
      </c>
      <c r="C38" s="8">
        <v>6.7580000000000001E-2</v>
      </c>
      <c r="D38" s="3">
        <v>2010049460</v>
      </c>
      <c r="E38" s="8">
        <v>0.10148</v>
      </c>
      <c r="G38" s="4" t="s">
        <v>19</v>
      </c>
      <c r="H38" s="4">
        <f>(B38+B39)*8760/(D38+D39)</f>
        <v>1.3816981508030521</v>
      </c>
    </row>
    <row r="39" spans="1:8" x14ac:dyDescent="0.2">
      <c r="A39" s="1" t="s">
        <v>304</v>
      </c>
      <c r="B39" s="3">
        <v>468878</v>
      </c>
      <c r="C39" s="8">
        <v>8.8419999999999999E-2</v>
      </c>
      <c r="D39" s="3">
        <v>3234691351</v>
      </c>
      <c r="E39" s="8">
        <v>0.16331000000000001</v>
      </c>
    </row>
    <row r="40" spans="1:8" x14ac:dyDescent="0.2">
      <c r="A40" s="1" t="s">
        <v>305</v>
      </c>
      <c r="B40" s="2" t="s">
        <v>28</v>
      </c>
      <c r="C40" s="8">
        <v>0</v>
      </c>
      <c r="D40" s="3">
        <v>109296460</v>
      </c>
      <c r="E40" s="8">
        <v>5.5199999999999997E-3</v>
      </c>
    </row>
    <row r="41" spans="1:8" x14ac:dyDescent="0.2">
      <c r="A41" s="15">
        <v>2024</v>
      </c>
      <c r="B41" s="15"/>
      <c r="C41" s="15"/>
      <c r="D41" s="15"/>
      <c r="E41" s="15"/>
    </row>
    <row r="42" spans="1:8" x14ac:dyDescent="0.2">
      <c r="A42" s="1" t="s">
        <v>293</v>
      </c>
      <c r="B42" s="1" t="s">
        <v>294</v>
      </c>
      <c r="C42" s="1" t="s">
        <v>295</v>
      </c>
      <c r="D42" s="1" t="s">
        <v>296</v>
      </c>
      <c r="E42" s="1" t="s">
        <v>297</v>
      </c>
      <c r="H42" s="4" t="s">
        <v>16</v>
      </c>
    </row>
    <row r="43" spans="1:8" x14ac:dyDescent="0.2">
      <c r="A43" s="1" t="s">
        <v>298</v>
      </c>
      <c r="B43" s="3">
        <v>2862635</v>
      </c>
      <c r="C43" s="8">
        <v>0.55747000000000002</v>
      </c>
      <c r="D43" s="3">
        <v>7244587456</v>
      </c>
      <c r="E43" s="8">
        <v>0.37481999999999999</v>
      </c>
      <c r="G43" s="4" t="s">
        <v>17</v>
      </c>
      <c r="H43" s="4">
        <f>B43*8760/D43</f>
        <v>3.4614369351330527</v>
      </c>
    </row>
    <row r="44" spans="1:8" x14ac:dyDescent="0.2">
      <c r="A44" s="1" t="s">
        <v>299</v>
      </c>
      <c r="B44" s="3">
        <v>1489008</v>
      </c>
      <c r="C44" s="8">
        <v>0.28997000000000001</v>
      </c>
      <c r="D44" s="3">
        <v>6214700682</v>
      </c>
      <c r="E44" s="8">
        <v>0.32153999999999999</v>
      </c>
      <c r="G44" s="4" t="s">
        <v>18</v>
      </c>
      <c r="H44" s="4">
        <f>(B44+B48)*8760/(D44+D48)</f>
        <v>1.8881452425098668</v>
      </c>
    </row>
    <row r="45" spans="1:8" x14ac:dyDescent="0.2">
      <c r="A45" s="1" t="s">
        <v>300</v>
      </c>
      <c r="B45" s="2" t="s">
        <v>28</v>
      </c>
      <c r="C45" s="8">
        <v>0</v>
      </c>
      <c r="D45" s="3">
        <v>54310914</v>
      </c>
      <c r="E45" s="8">
        <v>2.81E-3</v>
      </c>
    </row>
    <row r="46" spans="1:8" x14ac:dyDescent="0.2">
      <c r="A46" s="1" t="s">
        <v>301</v>
      </c>
      <c r="B46" s="3">
        <v>162966</v>
      </c>
      <c r="C46" s="8">
        <v>3.1739999999999997E-2</v>
      </c>
      <c r="D46" s="3">
        <v>544834790</v>
      </c>
      <c r="E46" s="8">
        <v>2.819E-2</v>
      </c>
    </row>
    <row r="47" spans="1:8" x14ac:dyDescent="0.2">
      <c r="A47" s="1" t="s">
        <v>302</v>
      </c>
      <c r="B47" s="3">
        <v>7479</v>
      </c>
      <c r="C47" s="8">
        <v>1.4599999999999999E-3</v>
      </c>
      <c r="D47" s="3">
        <v>29531773</v>
      </c>
      <c r="E47" s="8">
        <v>1.5299999999999999E-3</v>
      </c>
    </row>
    <row r="48" spans="1:8" x14ac:dyDescent="0.2">
      <c r="A48" s="1" t="s">
        <v>303</v>
      </c>
      <c r="B48" s="3">
        <v>267367</v>
      </c>
      <c r="C48" s="8">
        <v>5.2069999999999998E-2</v>
      </c>
      <c r="D48" s="3">
        <v>1933954757</v>
      </c>
      <c r="E48" s="8">
        <v>0.10006</v>
      </c>
      <c r="G48" s="4" t="s">
        <v>19</v>
      </c>
      <c r="H48" s="4">
        <f>(B48+B49)*8760/(D48+D49)</f>
        <v>1.045008063089339</v>
      </c>
    </row>
    <row r="49" spans="1:8" x14ac:dyDescent="0.2">
      <c r="A49" s="1" t="s">
        <v>304</v>
      </c>
      <c r="B49" s="3">
        <v>345545</v>
      </c>
      <c r="C49" s="8">
        <v>6.7290000000000003E-2</v>
      </c>
      <c r="D49" s="3">
        <v>3203909064</v>
      </c>
      <c r="E49" s="8">
        <v>0.16577</v>
      </c>
    </row>
    <row r="50" spans="1:8" x14ac:dyDescent="0.2">
      <c r="A50" s="1" t="s">
        <v>305</v>
      </c>
      <c r="B50" s="2" t="s">
        <v>28</v>
      </c>
      <c r="C50" s="8">
        <v>0</v>
      </c>
      <c r="D50" s="3">
        <v>102053855</v>
      </c>
      <c r="E50" s="8">
        <v>5.28E-3</v>
      </c>
    </row>
    <row r="51" spans="1:8" x14ac:dyDescent="0.2">
      <c r="A51" s="15">
        <v>2025</v>
      </c>
      <c r="B51" s="15"/>
      <c r="C51" s="15"/>
      <c r="D51" s="15"/>
      <c r="E51" s="15"/>
    </row>
    <row r="52" spans="1:8" x14ac:dyDescent="0.2">
      <c r="A52" s="1" t="s">
        <v>293</v>
      </c>
      <c r="B52" s="1" t="s">
        <v>294</v>
      </c>
      <c r="C52" s="1" t="s">
        <v>295</v>
      </c>
      <c r="D52" s="1" t="s">
        <v>296</v>
      </c>
      <c r="E52" s="1" t="s">
        <v>297</v>
      </c>
      <c r="H52" s="4" t="s">
        <v>16</v>
      </c>
    </row>
    <row r="53" spans="1:8" x14ac:dyDescent="0.2">
      <c r="A53" s="1" t="s">
        <v>298</v>
      </c>
      <c r="B53" s="3">
        <v>2517711</v>
      </c>
      <c r="C53" s="8">
        <v>0.48688999999999999</v>
      </c>
      <c r="D53" s="3">
        <v>7664464957</v>
      </c>
      <c r="E53" s="8">
        <v>0.38925999999999999</v>
      </c>
      <c r="G53" s="4" t="s">
        <v>17</v>
      </c>
      <c r="H53" s="4">
        <f>B53*8760/D53</f>
        <v>2.877584865184478</v>
      </c>
    </row>
    <row r="54" spans="1:8" x14ac:dyDescent="0.2">
      <c r="A54" s="1" t="s">
        <v>299</v>
      </c>
      <c r="B54" s="3">
        <v>1602943</v>
      </c>
      <c r="C54" s="8">
        <v>0.30998999999999999</v>
      </c>
      <c r="D54" s="3">
        <v>6284344914</v>
      </c>
      <c r="E54" s="8">
        <v>0.31916</v>
      </c>
      <c r="G54" s="4" t="s">
        <v>18</v>
      </c>
      <c r="H54" s="4">
        <f>(B54+B58)*8760/(D54+D58)</f>
        <v>2.1262472954714742</v>
      </c>
    </row>
    <row r="55" spans="1:8" x14ac:dyDescent="0.2">
      <c r="A55" s="1" t="s">
        <v>300</v>
      </c>
      <c r="B55" s="2" t="s">
        <v>28</v>
      </c>
      <c r="C55" s="8">
        <v>0</v>
      </c>
      <c r="D55" s="3">
        <v>59965222</v>
      </c>
      <c r="E55" s="8">
        <v>3.0500000000000002E-3</v>
      </c>
    </row>
    <row r="56" spans="1:8" x14ac:dyDescent="0.2">
      <c r="A56" s="1" t="s">
        <v>301</v>
      </c>
      <c r="B56" s="3">
        <v>162068</v>
      </c>
      <c r="C56" s="8">
        <v>3.134E-2</v>
      </c>
      <c r="D56" s="3">
        <v>580317711</v>
      </c>
      <c r="E56" s="8">
        <v>2.947E-2</v>
      </c>
    </row>
    <row r="57" spans="1:8" x14ac:dyDescent="0.2">
      <c r="A57" s="1" t="s">
        <v>302</v>
      </c>
      <c r="B57" s="3">
        <v>7483</v>
      </c>
      <c r="C57" s="8">
        <v>1.4499999999999999E-3</v>
      </c>
      <c r="D57" s="3">
        <v>29582756</v>
      </c>
      <c r="E57" s="8">
        <v>1.5E-3</v>
      </c>
    </row>
    <row r="58" spans="1:8" x14ac:dyDescent="0.2">
      <c r="A58" s="1" t="s">
        <v>303</v>
      </c>
      <c r="B58" s="3">
        <v>380786</v>
      </c>
      <c r="C58" s="8">
        <v>7.3639999999999997E-2</v>
      </c>
      <c r="D58" s="3">
        <v>1888489016</v>
      </c>
      <c r="E58" s="8">
        <v>9.5909999999999995E-2</v>
      </c>
      <c r="G58" s="4" t="s">
        <v>19</v>
      </c>
      <c r="H58" s="4">
        <f>(B58+B59)*8760/(D58+D59)</f>
        <v>1.5536444508948388</v>
      </c>
    </row>
    <row r="59" spans="1:8" x14ac:dyDescent="0.2">
      <c r="A59" s="1" t="s">
        <v>304</v>
      </c>
      <c r="B59" s="3">
        <v>500009</v>
      </c>
      <c r="C59" s="8">
        <v>9.6689999999999998E-2</v>
      </c>
      <c r="D59" s="3">
        <v>3077746467</v>
      </c>
      <c r="E59" s="8">
        <v>0.15631</v>
      </c>
    </row>
    <row r="60" spans="1:8" x14ac:dyDescent="0.2">
      <c r="A60" s="1" t="s">
        <v>305</v>
      </c>
      <c r="B60" s="2" t="s">
        <v>28</v>
      </c>
      <c r="C60" s="8">
        <v>0</v>
      </c>
      <c r="D60" s="3">
        <v>105231898</v>
      </c>
      <c r="E60" s="8">
        <v>5.3400000000000001E-3</v>
      </c>
    </row>
  </sheetData>
  <mergeCells count="6">
    <mergeCell ref="A51:E51"/>
    <mergeCell ref="A1:E1"/>
    <mergeCell ref="A11:E11"/>
    <mergeCell ref="A21:E21"/>
    <mergeCell ref="A31:E31"/>
    <mergeCell ref="A41:E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BD8F-0672-8D4A-84BE-4C55004B5A3B}">
  <dimension ref="A1:K54"/>
  <sheetViews>
    <sheetView workbookViewId="0">
      <selection activeCell="H2" sqref="H2:I6"/>
    </sheetView>
  </sheetViews>
  <sheetFormatPr baseColWidth="10" defaultRowHeight="16" x14ac:dyDescent="0.2"/>
  <cols>
    <col min="1" max="1" width="12.1640625" customWidth="1"/>
    <col min="2" max="2" width="14.1640625" customWidth="1"/>
    <col min="3" max="3" width="13.83203125" customWidth="1"/>
    <col min="4" max="4" width="15" customWidth="1"/>
    <col min="5" max="5" width="17.33203125" customWidth="1"/>
  </cols>
  <sheetData>
    <row r="1" spans="1:11" x14ac:dyDescent="0.2">
      <c r="A1" s="17">
        <v>2020</v>
      </c>
      <c r="B1" s="17"/>
      <c r="C1" s="17"/>
      <c r="D1" s="17"/>
      <c r="E1" s="17"/>
      <c r="F1" s="17"/>
    </row>
    <row r="2" spans="1:11" x14ac:dyDescent="0.2">
      <c r="A2" s="1" t="s">
        <v>307</v>
      </c>
      <c r="B2" s="1" t="s">
        <v>308</v>
      </c>
      <c r="C2" s="1" t="s">
        <v>309</v>
      </c>
      <c r="D2" s="1" t="s">
        <v>310</v>
      </c>
      <c r="E2" s="1" t="s">
        <v>311</v>
      </c>
      <c r="F2" s="1" t="s">
        <v>312</v>
      </c>
      <c r="H2" s="4"/>
      <c r="I2" s="4" t="s">
        <v>16</v>
      </c>
      <c r="K2" t="s">
        <v>57</v>
      </c>
    </row>
    <row r="3" spans="1:11" x14ac:dyDescent="0.2">
      <c r="A3" s="1" t="s">
        <v>313</v>
      </c>
      <c r="B3" s="2" t="s">
        <v>314</v>
      </c>
      <c r="C3" s="2">
        <v>0.59752021</v>
      </c>
      <c r="D3" s="2" t="s">
        <v>315</v>
      </c>
      <c r="E3" s="3">
        <v>29532864090</v>
      </c>
      <c r="F3" s="2" t="s">
        <v>316</v>
      </c>
      <c r="H3" s="4" t="s">
        <v>17</v>
      </c>
      <c r="I3" s="4">
        <f>C3*8760*10^7/E3</f>
        <v>1.7723567289812425</v>
      </c>
      <c r="K3">
        <f>(I3+I12+I21+I30+I39+I48)/6</f>
        <v>1.5741429512771898</v>
      </c>
    </row>
    <row r="4" spans="1:11" x14ac:dyDescent="0.2">
      <c r="A4" s="1" t="s">
        <v>317</v>
      </c>
      <c r="B4" s="2" t="s">
        <v>314</v>
      </c>
      <c r="C4" s="2">
        <v>4.8626780000000001E-2</v>
      </c>
      <c r="D4" s="2" t="s">
        <v>318</v>
      </c>
      <c r="E4" s="3">
        <v>3274050506</v>
      </c>
      <c r="F4" s="2" t="s">
        <v>319</v>
      </c>
      <c r="H4" s="4" t="s">
        <v>18</v>
      </c>
      <c r="I4" s="4">
        <f>(C4+C5+C6)*8760*10^7/(E4+E5+E6)</f>
        <v>1.0780791703958512</v>
      </c>
      <c r="K4">
        <f>(I4+I13+I22+I31+I40+I49)/6</f>
        <v>0.96328169959617782</v>
      </c>
    </row>
    <row r="5" spans="1:11" x14ac:dyDescent="0.2">
      <c r="A5" s="1" t="s">
        <v>320</v>
      </c>
      <c r="B5" s="2" t="s">
        <v>314</v>
      </c>
      <c r="C5" s="2">
        <v>0.13711359000000001</v>
      </c>
      <c r="D5" s="2" t="s">
        <v>321</v>
      </c>
      <c r="E5" s="3">
        <v>10176636639</v>
      </c>
      <c r="F5" s="2" t="s">
        <v>322</v>
      </c>
      <c r="H5" s="4"/>
      <c r="I5" s="4"/>
    </row>
    <row r="6" spans="1:11" x14ac:dyDescent="0.2">
      <c r="A6" s="1" t="s">
        <v>323</v>
      </c>
      <c r="B6" s="2" t="s">
        <v>314</v>
      </c>
      <c r="C6" s="2">
        <v>0.13027332999999999</v>
      </c>
      <c r="D6" s="2" t="s">
        <v>324</v>
      </c>
      <c r="E6" s="3">
        <v>12227204498</v>
      </c>
      <c r="F6" s="2" t="s">
        <v>325</v>
      </c>
      <c r="H6" s="4" t="s">
        <v>19</v>
      </c>
      <c r="I6" s="4">
        <f>(C6+C7)*8760*10^7/(E6+E7)</f>
        <v>0.76739170972491177</v>
      </c>
      <c r="K6">
        <f>(I6+I15+I24+I33+I42+I51)/6</f>
        <v>0.7754221575047463</v>
      </c>
    </row>
    <row r="7" spans="1:11" x14ac:dyDescent="0.2">
      <c r="A7" s="1" t="s">
        <v>326</v>
      </c>
      <c r="B7" s="2" t="s">
        <v>314</v>
      </c>
      <c r="C7" s="2">
        <v>8.2549040000000004E-2</v>
      </c>
      <c r="D7" s="2" t="s">
        <v>327</v>
      </c>
      <c r="E7" s="3">
        <v>12067089245</v>
      </c>
      <c r="F7" s="2" t="s">
        <v>328</v>
      </c>
      <c r="H7" s="4"/>
      <c r="I7" s="4"/>
    </row>
    <row r="8" spans="1:11" x14ac:dyDescent="0.2">
      <c r="A8" s="1" t="s">
        <v>329</v>
      </c>
      <c r="B8" s="2" t="s">
        <v>314</v>
      </c>
      <c r="C8" s="2">
        <v>3.8895900000000001E-3</v>
      </c>
      <c r="D8" s="2" t="s">
        <v>330</v>
      </c>
      <c r="E8" s="3">
        <v>211542616</v>
      </c>
      <c r="F8" s="2" t="s">
        <v>331</v>
      </c>
      <c r="H8" s="4"/>
      <c r="I8" s="4"/>
    </row>
    <row r="9" spans="1:11" x14ac:dyDescent="0.2">
      <c r="A9" s="1" t="s">
        <v>332</v>
      </c>
      <c r="B9" s="2" t="s">
        <v>314</v>
      </c>
      <c r="C9" s="2">
        <v>2.7460000000000001E-5</v>
      </c>
      <c r="D9" s="2" t="s">
        <v>333</v>
      </c>
      <c r="E9" s="3">
        <v>86952322</v>
      </c>
      <c r="F9" s="2" t="s">
        <v>334</v>
      </c>
    </row>
    <row r="10" spans="1:11" x14ac:dyDescent="0.2">
      <c r="A10" s="17">
        <v>2021</v>
      </c>
      <c r="B10" s="17"/>
      <c r="C10" s="17"/>
      <c r="D10" s="17"/>
      <c r="E10" s="17"/>
      <c r="F10" s="17"/>
    </row>
    <row r="11" spans="1:11" x14ac:dyDescent="0.2">
      <c r="A11" s="1" t="s">
        <v>307</v>
      </c>
      <c r="B11" s="1" t="s">
        <v>308</v>
      </c>
      <c r="C11" s="1" t="s">
        <v>309</v>
      </c>
      <c r="D11" s="1" t="s">
        <v>310</v>
      </c>
      <c r="E11" s="1" t="s">
        <v>335</v>
      </c>
      <c r="F11" s="1" t="s">
        <v>312</v>
      </c>
      <c r="H11" s="4"/>
      <c r="I11" s="4" t="s">
        <v>16</v>
      </c>
    </row>
    <row r="12" spans="1:11" x14ac:dyDescent="0.2">
      <c r="A12" s="1" t="s">
        <v>313</v>
      </c>
      <c r="B12" s="2" t="s">
        <v>336</v>
      </c>
      <c r="C12" s="2">
        <v>0.57468775000000005</v>
      </c>
      <c r="D12" s="2" t="s">
        <v>337</v>
      </c>
      <c r="E12" s="3">
        <v>30263873797</v>
      </c>
      <c r="F12" s="2" t="s">
        <v>338</v>
      </c>
      <c r="H12" s="4" t="s">
        <v>17</v>
      </c>
      <c r="I12" s="4">
        <f>C12*8760*10^7/E12</f>
        <v>1.6634568078654353</v>
      </c>
    </row>
    <row r="13" spans="1:11" x14ac:dyDescent="0.2">
      <c r="A13" s="1" t="s">
        <v>317</v>
      </c>
      <c r="B13" s="2" t="s">
        <v>336</v>
      </c>
      <c r="C13" s="2">
        <v>4.8997770000000003E-2</v>
      </c>
      <c r="D13" s="2" t="s">
        <v>339</v>
      </c>
      <c r="E13" s="3">
        <v>3910391157</v>
      </c>
      <c r="F13" s="2" t="s">
        <v>340</v>
      </c>
      <c r="H13" s="4" t="s">
        <v>18</v>
      </c>
      <c r="I13" s="4">
        <f>(C13+C14+C15)*8760*10^7/(E13+E14+E15)</f>
        <v>0.95330738973157947</v>
      </c>
    </row>
    <row r="14" spans="1:11" x14ac:dyDescent="0.2">
      <c r="A14" s="1" t="s">
        <v>320</v>
      </c>
      <c r="B14" s="2" t="s">
        <v>336</v>
      </c>
      <c r="C14" s="2">
        <v>0.13384351999999999</v>
      </c>
      <c r="D14" s="2" t="s">
        <v>341</v>
      </c>
      <c r="E14" s="3">
        <v>11218975119</v>
      </c>
      <c r="F14" s="2" t="s">
        <v>342</v>
      </c>
      <c r="H14" s="4"/>
      <c r="I14" s="4"/>
    </row>
    <row r="15" spans="1:11" x14ac:dyDescent="0.2">
      <c r="A15" s="1" t="s">
        <v>323</v>
      </c>
      <c r="B15" s="2" t="s">
        <v>336</v>
      </c>
      <c r="C15" s="2">
        <v>0.11898209</v>
      </c>
      <c r="D15" s="2" t="s">
        <v>343</v>
      </c>
      <c r="E15" s="3">
        <v>12605368997</v>
      </c>
      <c r="F15" s="2" t="s">
        <v>344</v>
      </c>
      <c r="H15" s="4" t="s">
        <v>19</v>
      </c>
      <c r="I15" s="4">
        <f>(C15+C16)*8760*10^7/(E15+E16)</f>
        <v>0.82564501019980274</v>
      </c>
    </row>
    <row r="16" spans="1:11" x14ac:dyDescent="0.2">
      <c r="A16" s="1" t="s">
        <v>326</v>
      </c>
      <c r="B16" s="2" t="s">
        <v>336</v>
      </c>
      <c r="C16" s="2">
        <v>0.11962115</v>
      </c>
      <c r="D16" s="2" t="s">
        <v>345</v>
      </c>
      <c r="E16" s="3">
        <v>12710164393</v>
      </c>
      <c r="F16" s="2" t="s">
        <v>346</v>
      </c>
    </row>
    <row r="17" spans="1:9" x14ac:dyDescent="0.2">
      <c r="A17" s="1" t="s">
        <v>329</v>
      </c>
      <c r="B17" s="2" t="s">
        <v>336</v>
      </c>
      <c r="C17" s="2">
        <v>3.8366199999999998E-3</v>
      </c>
      <c r="D17" s="2" t="s">
        <v>347</v>
      </c>
      <c r="E17" s="3">
        <v>238899906</v>
      </c>
      <c r="F17" s="2" t="s">
        <v>348</v>
      </c>
    </row>
    <row r="18" spans="1:9" x14ac:dyDescent="0.2">
      <c r="A18" s="1" t="s">
        <v>332</v>
      </c>
      <c r="B18" s="2" t="s">
        <v>336</v>
      </c>
      <c r="C18" s="2">
        <v>3.1090000000000002E-5</v>
      </c>
      <c r="D18" s="2" t="s">
        <v>349</v>
      </c>
      <c r="E18" s="3">
        <v>99816884</v>
      </c>
      <c r="F18" s="2" t="s">
        <v>350</v>
      </c>
    </row>
    <row r="19" spans="1:9" x14ac:dyDescent="0.2">
      <c r="A19" s="17">
        <v>2022</v>
      </c>
      <c r="B19" s="17"/>
      <c r="C19" s="17"/>
      <c r="D19" s="17"/>
      <c r="E19" s="17"/>
      <c r="F19" s="17"/>
    </row>
    <row r="20" spans="1:9" x14ac:dyDescent="0.2">
      <c r="A20" s="1" t="s">
        <v>307</v>
      </c>
      <c r="B20" s="1" t="s">
        <v>308</v>
      </c>
      <c r="C20" s="1" t="s">
        <v>309</v>
      </c>
      <c r="D20" s="1" t="s">
        <v>310</v>
      </c>
      <c r="E20" s="1" t="s">
        <v>351</v>
      </c>
      <c r="F20" s="1" t="s">
        <v>312</v>
      </c>
      <c r="H20" s="4"/>
      <c r="I20" s="4" t="s">
        <v>16</v>
      </c>
    </row>
    <row r="21" spans="1:9" x14ac:dyDescent="0.2">
      <c r="A21" s="1" t="s">
        <v>313</v>
      </c>
      <c r="B21" s="2" t="s">
        <v>352</v>
      </c>
      <c r="C21" s="2">
        <v>0.53731329999999999</v>
      </c>
      <c r="D21" s="2" t="s">
        <v>353</v>
      </c>
      <c r="E21" s="3">
        <v>29406627171</v>
      </c>
      <c r="F21" s="2" t="s">
        <v>354</v>
      </c>
      <c r="H21" s="4" t="s">
        <v>17</v>
      </c>
      <c r="I21" s="4">
        <f>C21*8760*10^7/E21</f>
        <v>1.6006135217852455</v>
      </c>
    </row>
    <row r="22" spans="1:9" x14ac:dyDescent="0.2">
      <c r="A22" s="1" t="s">
        <v>317</v>
      </c>
      <c r="B22" s="2" t="s">
        <v>352</v>
      </c>
      <c r="C22" s="2">
        <v>5.0680879999999998E-2</v>
      </c>
      <c r="D22" s="2" t="s">
        <v>355</v>
      </c>
      <c r="E22" s="3">
        <v>3650910988</v>
      </c>
      <c r="F22" s="2" t="s">
        <v>356</v>
      </c>
      <c r="H22" s="4" t="s">
        <v>18</v>
      </c>
      <c r="I22" s="4">
        <f>(C22+C23+C24)*8760*10^7/(E22+E23+E24)</f>
        <v>1.0707968529874652</v>
      </c>
    </row>
    <row r="23" spans="1:9" x14ac:dyDescent="0.2">
      <c r="A23" s="1" t="s">
        <v>320</v>
      </c>
      <c r="B23" s="2" t="s">
        <v>352</v>
      </c>
      <c r="C23" s="2">
        <v>0.13298653999999999</v>
      </c>
      <c r="D23" s="2" t="s">
        <v>357</v>
      </c>
      <c r="E23" s="3">
        <v>10145819255</v>
      </c>
      <c r="F23" s="2" t="s">
        <v>358</v>
      </c>
      <c r="H23" s="4"/>
      <c r="I23" s="4"/>
    </row>
    <row r="24" spans="1:9" x14ac:dyDescent="0.2">
      <c r="A24" s="1" t="s">
        <v>323</v>
      </c>
      <c r="B24" s="2" t="s">
        <v>352</v>
      </c>
      <c r="C24" s="2">
        <v>0.12174172</v>
      </c>
      <c r="D24" s="2" t="s">
        <v>359</v>
      </c>
      <c r="E24" s="3">
        <v>11188252286</v>
      </c>
      <c r="F24" s="2" t="s">
        <v>360</v>
      </c>
      <c r="H24" s="4" t="s">
        <v>19</v>
      </c>
      <c r="I24" s="4">
        <f>(C24+C25)*8760*10^7/(E24+E25)</f>
        <v>0.7923341632234544</v>
      </c>
    </row>
    <row r="25" spans="1:9" x14ac:dyDescent="0.2">
      <c r="A25" s="1" t="s">
        <v>326</v>
      </c>
      <c r="B25" s="2" t="s">
        <v>352</v>
      </c>
      <c r="C25" s="2">
        <v>0.15339443</v>
      </c>
      <c r="D25" s="2" t="s">
        <v>361</v>
      </c>
      <c r="E25" s="3">
        <v>19230638958</v>
      </c>
      <c r="F25" s="2" t="s">
        <v>362</v>
      </c>
    </row>
    <row r="26" spans="1:9" x14ac:dyDescent="0.2">
      <c r="A26" s="1" t="s">
        <v>329</v>
      </c>
      <c r="B26" s="2" t="s">
        <v>352</v>
      </c>
      <c r="C26" s="2">
        <v>3.85856E-3</v>
      </c>
      <c r="D26" s="2" t="s">
        <v>363</v>
      </c>
      <c r="E26" s="3">
        <v>207921796</v>
      </c>
      <c r="F26" s="2" t="s">
        <v>364</v>
      </c>
    </row>
    <row r="27" spans="1:9" x14ac:dyDescent="0.2">
      <c r="A27" s="1" t="s">
        <v>332</v>
      </c>
      <c r="B27" s="2" t="s">
        <v>352</v>
      </c>
      <c r="C27" s="2">
        <v>2.4579999999999998E-5</v>
      </c>
      <c r="D27" s="2" t="s">
        <v>365</v>
      </c>
      <c r="E27" s="3">
        <v>90501055</v>
      </c>
      <c r="F27" s="2" t="s">
        <v>366</v>
      </c>
    </row>
    <row r="28" spans="1:9" x14ac:dyDescent="0.2">
      <c r="A28" s="17">
        <v>2023</v>
      </c>
      <c r="B28" s="17"/>
      <c r="C28" s="17"/>
      <c r="D28" s="17"/>
      <c r="E28" s="17"/>
      <c r="F28" s="17"/>
    </row>
    <row r="29" spans="1:9" x14ac:dyDescent="0.2">
      <c r="A29" s="1" t="s">
        <v>307</v>
      </c>
      <c r="B29" s="1" t="s">
        <v>308</v>
      </c>
      <c r="C29" s="1" t="s">
        <v>309</v>
      </c>
      <c r="D29" s="1" t="s">
        <v>310</v>
      </c>
      <c r="E29" s="1" t="s">
        <v>367</v>
      </c>
      <c r="F29" s="1" t="s">
        <v>312</v>
      </c>
      <c r="H29" s="4"/>
      <c r="I29" s="4" t="s">
        <v>16</v>
      </c>
    </row>
    <row r="30" spans="1:9" x14ac:dyDescent="0.2">
      <c r="A30" s="1" t="s">
        <v>313</v>
      </c>
      <c r="B30" s="2" t="s">
        <v>368</v>
      </c>
      <c r="C30" s="2">
        <v>0.52663400999999999</v>
      </c>
      <c r="D30" s="2" t="s">
        <v>369</v>
      </c>
      <c r="E30" s="3">
        <v>29685833207</v>
      </c>
      <c r="F30" s="2" t="s">
        <v>370</v>
      </c>
      <c r="H30" s="4" t="s">
        <v>17</v>
      </c>
      <c r="I30" s="4">
        <f>C30*8760*10^7/E30</f>
        <v>1.5540456268925502</v>
      </c>
    </row>
    <row r="31" spans="1:9" x14ac:dyDescent="0.2">
      <c r="A31" s="1" t="s">
        <v>317</v>
      </c>
      <c r="B31" s="2" t="s">
        <v>368</v>
      </c>
      <c r="C31" s="2">
        <v>4.6437069999999997E-2</v>
      </c>
      <c r="D31" s="2" t="s">
        <v>371</v>
      </c>
      <c r="E31" s="3">
        <v>3762020314</v>
      </c>
      <c r="F31" s="2" t="s">
        <v>372</v>
      </c>
      <c r="H31" s="4" t="s">
        <v>18</v>
      </c>
      <c r="I31" s="4">
        <f>(C31+C32+C33)*8760*10^7/(E31+E32+E33)</f>
        <v>0.8792451382252382</v>
      </c>
    </row>
    <row r="32" spans="1:9" x14ac:dyDescent="0.2">
      <c r="A32" s="1" t="s">
        <v>320</v>
      </c>
      <c r="B32" s="2" t="s">
        <v>368</v>
      </c>
      <c r="C32" s="2">
        <v>0.12408764</v>
      </c>
      <c r="D32" s="2" t="s">
        <v>373</v>
      </c>
      <c r="E32" s="3">
        <v>10951858143</v>
      </c>
      <c r="F32" s="2" t="s">
        <v>374</v>
      </c>
      <c r="H32" s="4"/>
      <c r="I32" s="4"/>
    </row>
    <row r="33" spans="1:9" x14ac:dyDescent="0.2">
      <c r="A33" s="1" t="s">
        <v>323</v>
      </c>
      <c r="B33" s="2" t="s">
        <v>368</v>
      </c>
      <c r="C33" s="2">
        <v>0.11753797000000001</v>
      </c>
      <c r="D33" s="2" t="s">
        <v>375</v>
      </c>
      <c r="E33" s="3">
        <v>13986070705</v>
      </c>
      <c r="F33" s="2" t="s">
        <v>376</v>
      </c>
      <c r="H33" s="4" t="s">
        <v>19</v>
      </c>
      <c r="I33" s="4">
        <f>(C33+C34)*8760*10^7/(E33+E34)</f>
        <v>0.74760340754911503</v>
      </c>
    </row>
    <row r="34" spans="1:9" x14ac:dyDescent="0.2">
      <c r="A34" s="1" t="s">
        <v>326</v>
      </c>
      <c r="B34" s="2" t="s">
        <v>368</v>
      </c>
      <c r="C34" s="2">
        <v>0.18192558</v>
      </c>
      <c r="D34" s="2" t="s">
        <v>377</v>
      </c>
      <c r="E34" s="3">
        <v>21103398812</v>
      </c>
      <c r="F34" s="2" t="s">
        <v>378</v>
      </c>
    </row>
    <row r="35" spans="1:9" x14ac:dyDescent="0.2">
      <c r="A35" s="1" t="s">
        <v>329</v>
      </c>
      <c r="B35" s="2" t="s">
        <v>368</v>
      </c>
      <c r="C35" s="2">
        <v>3.35229E-3</v>
      </c>
      <c r="D35" s="2" t="s">
        <v>379</v>
      </c>
      <c r="E35" s="3">
        <v>205696532</v>
      </c>
      <c r="F35" s="2" t="s">
        <v>380</v>
      </c>
    </row>
    <row r="36" spans="1:9" x14ac:dyDescent="0.2">
      <c r="A36" s="1" t="s">
        <v>332</v>
      </c>
      <c r="B36" s="2" t="s">
        <v>368</v>
      </c>
      <c r="C36" s="2">
        <v>2.5429999999999999E-5</v>
      </c>
      <c r="D36" s="2" t="s">
        <v>381</v>
      </c>
      <c r="E36" s="3">
        <v>91106003</v>
      </c>
      <c r="F36" s="2" t="s">
        <v>382</v>
      </c>
    </row>
    <row r="37" spans="1:9" x14ac:dyDescent="0.2">
      <c r="A37" s="17">
        <v>2024</v>
      </c>
      <c r="B37" s="17"/>
      <c r="C37" s="17"/>
      <c r="D37" s="17"/>
      <c r="E37" s="17"/>
      <c r="F37" s="17"/>
    </row>
    <row r="38" spans="1:9" x14ac:dyDescent="0.2">
      <c r="A38" s="1" t="s">
        <v>307</v>
      </c>
      <c r="B38" s="1" t="s">
        <v>308</v>
      </c>
      <c r="C38" s="1" t="s">
        <v>309</v>
      </c>
      <c r="D38" s="1" t="s">
        <v>310</v>
      </c>
      <c r="E38" s="1" t="s">
        <v>383</v>
      </c>
      <c r="F38" s="1" t="s">
        <v>312</v>
      </c>
      <c r="H38" s="4"/>
      <c r="I38" s="4" t="s">
        <v>16</v>
      </c>
    </row>
    <row r="39" spans="1:9" x14ac:dyDescent="0.2">
      <c r="A39" s="1" t="s">
        <v>313</v>
      </c>
      <c r="B39" s="2" t="s">
        <v>384</v>
      </c>
      <c r="C39" s="2">
        <v>0.48732555</v>
      </c>
      <c r="D39" s="2" t="s">
        <v>385</v>
      </c>
      <c r="E39" s="3">
        <v>29384612503</v>
      </c>
      <c r="F39" s="2" t="s">
        <v>386</v>
      </c>
      <c r="H39" s="4" t="s">
        <v>17</v>
      </c>
      <c r="I39" s="4">
        <f>C39*8760*10^7/E39</f>
        <v>1.4527915988560893</v>
      </c>
    </row>
    <row r="40" spans="1:9" x14ac:dyDescent="0.2">
      <c r="A40" s="1" t="s">
        <v>317</v>
      </c>
      <c r="B40" s="2" t="s">
        <v>384</v>
      </c>
      <c r="C40" s="2">
        <v>4.9128239999999997E-2</v>
      </c>
      <c r="D40" s="2" t="s">
        <v>387</v>
      </c>
      <c r="E40" s="3">
        <v>3813574650</v>
      </c>
      <c r="F40" s="2" t="s">
        <v>388</v>
      </c>
      <c r="H40" s="4" t="s">
        <v>18</v>
      </c>
      <c r="I40" s="4">
        <f>(C40+C41+C42)*8760*10^7/(E40+E41+E42)</f>
        <v>0.92909000084306359</v>
      </c>
    </row>
    <row r="41" spans="1:9" x14ac:dyDescent="0.2">
      <c r="A41" s="1" t="s">
        <v>320</v>
      </c>
      <c r="B41" s="2" t="s">
        <v>384</v>
      </c>
      <c r="C41" s="2">
        <v>0.13225057000000001</v>
      </c>
      <c r="D41" s="2" t="s">
        <v>389</v>
      </c>
      <c r="E41" s="3">
        <v>10916418983</v>
      </c>
      <c r="F41" s="2" t="s">
        <v>390</v>
      </c>
      <c r="H41" s="4"/>
      <c r="I41" s="4"/>
    </row>
    <row r="42" spans="1:9" x14ac:dyDescent="0.2">
      <c r="A42" s="1" t="s">
        <v>323</v>
      </c>
      <c r="B42" s="2" t="s">
        <v>384</v>
      </c>
      <c r="C42" s="2">
        <v>0.12639669000000001</v>
      </c>
      <c r="D42" s="2" t="s">
        <v>391</v>
      </c>
      <c r="E42" s="3">
        <v>14288867592</v>
      </c>
      <c r="F42" s="2" t="s">
        <v>392</v>
      </c>
      <c r="H42" s="4" t="s">
        <v>19</v>
      </c>
      <c r="I42" s="4">
        <f>(C42+C43)*8760*10^7/(E42+E43)</f>
        <v>0.77838266955905322</v>
      </c>
    </row>
    <row r="43" spans="1:9" x14ac:dyDescent="0.2">
      <c r="A43" s="1" t="s">
        <v>326</v>
      </c>
      <c r="B43" s="2" t="s">
        <v>384</v>
      </c>
      <c r="C43" s="2">
        <v>0.20153386000000001</v>
      </c>
      <c r="D43" s="2" t="s">
        <v>393</v>
      </c>
      <c r="E43" s="3">
        <v>22616779596</v>
      </c>
      <c r="F43" s="2" t="s">
        <v>394</v>
      </c>
    </row>
    <row r="44" spans="1:9" x14ac:dyDescent="0.2">
      <c r="A44" s="1" t="s">
        <v>329</v>
      </c>
      <c r="B44" s="2" t="s">
        <v>384</v>
      </c>
      <c r="C44" s="2">
        <v>3.3408600000000002E-3</v>
      </c>
      <c r="D44" s="2" t="s">
        <v>395</v>
      </c>
      <c r="E44" s="3">
        <v>204868703</v>
      </c>
      <c r="F44" s="2" t="s">
        <v>396</v>
      </c>
    </row>
    <row r="45" spans="1:9" x14ac:dyDescent="0.2">
      <c r="A45" s="1" t="s">
        <v>332</v>
      </c>
      <c r="B45" s="2" t="s">
        <v>384</v>
      </c>
      <c r="C45" s="2">
        <v>2.4239999999999998E-5</v>
      </c>
      <c r="D45" s="2" t="s">
        <v>397</v>
      </c>
      <c r="E45" s="3">
        <v>89629026</v>
      </c>
      <c r="F45" s="2" t="s">
        <v>398</v>
      </c>
    </row>
    <row r="46" spans="1:9" x14ac:dyDescent="0.2">
      <c r="A46" s="17">
        <v>2025</v>
      </c>
      <c r="B46" s="17"/>
      <c r="C46" s="17"/>
      <c r="D46" s="17"/>
      <c r="E46" s="17"/>
      <c r="F46" s="17"/>
    </row>
    <row r="47" spans="1:9" x14ac:dyDescent="0.2">
      <c r="A47" s="1" t="s">
        <v>307</v>
      </c>
      <c r="B47" s="1" t="s">
        <v>308</v>
      </c>
      <c r="C47" s="1" t="s">
        <v>309</v>
      </c>
      <c r="D47" s="1" t="s">
        <v>310</v>
      </c>
      <c r="E47" s="1" t="s">
        <v>383</v>
      </c>
      <c r="F47" s="1" t="s">
        <v>312</v>
      </c>
      <c r="H47" s="4"/>
      <c r="I47" s="4" t="s">
        <v>16</v>
      </c>
    </row>
    <row r="48" spans="1:9" x14ac:dyDescent="0.2">
      <c r="A48" s="1" t="s">
        <v>313</v>
      </c>
      <c r="B48" s="2" t="s">
        <v>399</v>
      </c>
      <c r="C48" s="2">
        <v>0.48274682000000002</v>
      </c>
      <c r="D48" s="2" t="s">
        <v>400</v>
      </c>
      <c r="E48" s="3">
        <v>30171817825</v>
      </c>
      <c r="F48" s="2" t="s">
        <v>401</v>
      </c>
      <c r="H48" s="4" t="s">
        <v>17</v>
      </c>
      <c r="I48" s="4">
        <f>C48*8760*10^7/E48</f>
        <v>1.4015934232825762</v>
      </c>
    </row>
    <row r="49" spans="1:9" x14ac:dyDescent="0.2">
      <c r="A49" s="1" t="s">
        <v>317</v>
      </c>
      <c r="B49" s="2" t="s">
        <v>399</v>
      </c>
      <c r="C49" s="2">
        <v>5.1501270000000002E-2</v>
      </c>
      <c r="D49" s="2" t="s">
        <v>402</v>
      </c>
      <c r="E49" s="3">
        <v>4354075183</v>
      </c>
      <c r="F49" s="2" t="s">
        <v>403</v>
      </c>
      <c r="H49" s="4" t="s">
        <v>18</v>
      </c>
      <c r="I49" s="4">
        <f>(C49+C50+C51)*8760*10^7/(E49+E50+E51)</f>
        <v>0.86917164539386937</v>
      </c>
    </row>
    <row r="50" spans="1:9" x14ac:dyDescent="0.2">
      <c r="A50" s="1" t="s">
        <v>320</v>
      </c>
      <c r="B50" s="2" t="s">
        <v>399</v>
      </c>
      <c r="C50" s="2">
        <v>0.12714628</v>
      </c>
      <c r="D50" s="2" t="s">
        <v>404</v>
      </c>
      <c r="E50" s="3">
        <v>12140615635</v>
      </c>
      <c r="F50" s="2" t="s">
        <v>405</v>
      </c>
      <c r="H50" s="4"/>
      <c r="I50" s="4"/>
    </row>
    <row r="51" spans="1:9" x14ac:dyDescent="0.2">
      <c r="A51" s="1" t="s">
        <v>323</v>
      </c>
      <c r="B51" s="2" t="s">
        <v>399</v>
      </c>
      <c r="C51" s="2">
        <v>0.11942274</v>
      </c>
      <c r="D51" s="2" t="s">
        <v>406</v>
      </c>
      <c r="E51" s="3">
        <v>13546507077</v>
      </c>
      <c r="F51" s="2" t="s">
        <v>407</v>
      </c>
      <c r="H51" s="4" t="s">
        <v>19</v>
      </c>
      <c r="I51" s="4">
        <f>(C51+C52)*8760*10^7/(E51+E52)</f>
        <v>0.74117598477214031</v>
      </c>
    </row>
    <row r="52" spans="1:9" x14ac:dyDescent="0.2">
      <c r="A52" s="1" t="s">
        <v>326</v>
      </c>
      <c r="B52" s="2" t="s">
        <v>399</v>
      </c>
      <c r="C52" s="2">
        <v>0.21566282000000001</v>
      </c>
      <c r="D52" s="2" t="s">
        <v>408</v>
      </c>
      <c r="E52" s="3">
        <v>26057440783</v>
      </c>
      <c r="F52" s="2" t="s">
        <v>409</v>
      </c>
    </row>
    <row r="53" spans="1:9" x14ac:dyDescent="0.2">
      <c r="A53" s="1" t="s">
        <v>329</v>
      </c>
      <c r="B53" s="2" t="s">
        <v>399</v>
      </c>
      <c r="C53" s="2">
        <v>3.3755600000000001E-3</v>
      </c>
      <c r="D53" s="2" t="s">
        <v>410</v>
      </c>
      <c r="E53" s="3">
        <v>241923482</v>
      </c>
      <c r="F53" s="2" t="s">
        <v>411</v>
      </c>
    </row>
    <row r="54" spans="1:9" x14ac:dyDescent="0.2">
      <c r="A54" s="1" t="s">
        <v>332</v>
      </c>
      <c r="B54" s="2" t="s">
        <v>399</v>
      </c>
      <c r="C54" s="2">
        <v>1.4449999999999999E-4</v>
      </c>
      <c r="D54" s="2" t="s">
        <v>412</v>
      </c>
      <c r="E54" s="3">
        <v>99009910</v>
      </c>
      <c r="F54" s="2" t="s">
        <v>413</v>
      </c>
    </row>
  </sheetData>
  <mergeCells count="6">
    <mergeCell ref="A46:F46"/>
    <mergeCell ref="A1:F1"/>
    <mergeCell ref="A10:F10"/>
    <mergeCell ref="A19:F19"/>
    <mergeCell ref="A28:F28"/>
    <mergeCell ref="A37:F3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DABA-4348-EE46-8EFE-CC63A2F3D352}">
  <dimension ref="A1:I72"/>
  <sheetViews>
    <sheetView workbookViewId="0">
      <selection activeCell="G7" sqref="G7"/>
    </sheetView>
  </sheetViews>
  <sheetFormatPr baseColWidth="10" defaultRowHeight="16" x14ac:dyDescent="0.2"/>
  <cols>
    <col min="2" max="2" width="25.33203125" bestFit="1" customWidth="1"/>
  </cols>
  <sheetData>
    <row r="1" spans="1:9" x14ac:dyDescent="0.2">
      <c r="A1" s="17">
        <v>2020</v>
      </c>
      <c r="B1" s="17"/>
      <c r="C1" s="17"/>
      <c r="D1" s="17"/>
    </row>
    <row r="2" spans="1:9" x14ac:dyDescent="0.2">
      <c r="A2" s="1" t="s">
        <v>0</v>
      </c>
      <c r="B2" s="1" t="s">
        <v>414</v>
      </c>
      <c r="C2" s="1" t="s">
        <v>415</v>
      </c>
      <c r="D2" s="1" t="s">
        <v>416</v>
      </c>
      <c r="F2" s="4"/>
      <c r="G2" s="4" t="s">
        <v>16</v>
      </c>
      <c r="I2" t="s">
        <v>57</v>
      </c>
    </row>
    <row r="3" spans="1:9" x14ac:dyDescent="0.2">
      <c r="A3" s="1" t="s">
        <v>417</v>
      </c>
      <c r="B3" s="3">
        <v>2143027539</v>
      </c>
      <c r="C3" s="2" t="s">
        <v>418</v>
      </c>
      <c r="D3" s="3">
        <v>587697</v>
      </c>
      <c r="F3" s="4" t="s">
        <v>17</v>
      </c>
      <c r="G3" s="4">
        <f>(D3+D4)*8760/(B3+B4)</f>
        <v>2.402276576110963</v>
      </c>
      <c r="I3">
        <f>(G3+G15+G27+G51+G39+G63)/6</f>
        <v>2.4154593423222388</v>
      </c>
    </row>
    <row r="4" spans="1:9" x14ac:dyDescent="0.2">
      <c r="A4" s="1" t="s">
        <v>419</v>
      </c>
      <c r="B4" s="3">
        <v>861425</v>
      </c>
      <c r="C4" s="2" t="s">
        <v>420</v>
      </c>
      <c r="D4" s="2">
        <v>227</v>
      </c>
      <c r="G4" s="4"/>
    </row>
    <row r="5" spans="1:9" x14ac:dyDescent="0.2">
      <c r="A5" s="1" t="s">
        <v>421</v>
      </c>
      <c r="B5" s="3">
        <v>860913331</v>
      </c>
      <c r="C5" s="2" t="s">
        <v>422</v>
      </c>
      <c r="D5" s="3">
        <v>183807</v>
      </c>
      <c r="F5" s="4" t="s">
        <v>18</v>
      </c>
      <c r="G5" s="4">
        <f>SUM(D5:D9)*8760/SUM(B5:B9)</f>
        <v>1.791397713743065</v>
      </c>
      <c r="I5">
        <f>(G5+G17+G29+G53+G41+G65)/6</f>
        <v>1.8485704147555095</v>
      </c>
    </row>
    <row r="6" spans="1:9" x14ac:dyDescent="0.2">
      <c r="A6" s="1" t="s">
        <v>424</v>
      </c>
      <c r="B6" s="3">
        <v>130359</v>
      </c>
      <c r="C6" s="2" t="s">
        <v>425</v>
      </c>
      <c r="D6" s="2">
        <v>38</v>
      </c>
    </row>
    <row r="7" spans="1:9" x14ac:dyDescent="0.2">
      <c r="A7" s="1" t="s">
        <v>426</v>
      </c>
      <c r="B7" s="3">
        <v>70736256</v>
      </c>
      <c r="C7" s="2" t="s">
        <v>427</v>
      </c>
      <c r="D7" s="3">
        <v>18958</v>
      </c>
    </row>
    <row r="8" spans="1:9" x14ac:dyDescent="0.2">
      <c r="A8" s="1" t="s">
        <v>428</v>
      </c>
      <c r="B8" s="3">
        <v>709510</v>
      </c>
      <c r="C8" s="2" t="s">
        <v>429</v>
      </c>
      <c r="D8" s="2">
        <v>80</v>
      </c>
    </row>
    <row r="9" spans="1:9" x14ac:dyDescent="0.2">
      <c r="A9" s="1" t="s">
        <v>430</v>
      </c>
      <c r="B9" s="3">
        <v>419145941</v>
      </c>
      <c r="C9" s="2" t="s">
        <v>431</v>
      </c>
      <c r="D9" s="3">
        <v>73523</v>
      </c>
    </row>
    <row r="10" spans="1:9" x14ac:dyDescent="0.2">
      <c r="A10" s="1" t="s">
        <v>432</v>
      </c>
      <c r="B10" s="3">
        <v>665893702</v>
      </c>
      <c r="C10" s="2" t="s">
        <v>433</v>
      </c>
      <c r="D10" s="3">
        <v>102720</v>
      </c>
      <c r="F10" s="4" t="s">
        <v>19</v>
      </c>
      <c r="G10" s="4">
        <f>(D10)*8760/(B10)</f>
        <v>1.3513075695075427</v>
      </c>
      <c r="I10">
        <f>(G10+G22+G34+G58+G46+G70)/6</f>
        <v>1.4585740409308663</v>
      </c>
    </row>
    <row r="11" spans="1:9" x14ac:dyDescent="0.2">
      <c r="A11" s="1" t="s">
        <v>434</v>
      </c>
      <c r="B11" s="3">
        <v>4281208</v>
      </c>
      <c r="C11" s="2" t="s">
        <v>435</v>
      </c>
      <c r="D11" s="2" t="s">
        <v>28</v>
      </c>
    </row>
    <row r="12" spans="1:9" x14ac:dyDescent="0.2">
      <c r="A12" s="1" t="s">
        <v>436</v>
      </c>
      <c r="B12" s="3">
        <v>17460034</v>
      </c>
      <c r="C12" s="2" t="s">
        <v>435</v>
      </c>
      <c r="D12" s="2" t="s">
        <v>28</v>
      </c>
    </row>
    <row r="13" spans="1:9" x14ac:dyDescent="0.2">
      <c r="A13" s="17">
        <v>2021</v>
      </c>
      <c r="B13" s="17"/>
      <c r="C13" s="17"/>
      <c r="D13" s="17"/>
    </row>
    <row r="14" spans="1:9" x14ac:dyDescent="0.2">
      <c r="A14" s="1" t="s">
        <v>0</v>
      </c>
      <c r="B14" s="1" t="s">
        <v>438</v>
      </c>
      <c r="C14" s="1" t="s">
        <v>415</v>
      </c>
      <c r="D14" s="1" t="s">
        <v>416</v>
      </c>
    </row>
    <row r="15" spans="1:9" x14ac:dyDescent="0.2">
      <c r="A15" s="1" t="s">
        <v>417</v>
      </c>
      <c r="B15" s="3">
        <v>2082028302</v>
      </c>
      <c r="C15" s="2" t="s">
        <v>439</v>
      </c>
      <c r="D15" s="3">
        <v>587051</v>
      </c>
      <c r="F15" s="4" t="s">
        <v>17</v>
      </c>
      <c r="G15" s="4">
        <f>(D15+D16)*8760/(B15+B16)</f>
        <v>2.4699634629979728</v>
      </c>
    </row>
    <row r="16" spans="1:9" x14ac:dyDescent="0.2">
      <c r="A16" s="1" t="s">
        <v>419</v>
      </c>
      <c r="B16" s="3">
        <v>772305</v>
      </c>
      <c r="C16" s="2" t="s">
        <v>440</v>
      </c>
      <c r="D16" s="2">
        <v>214</v>
      </c>
      <c r="G16" s="4"/>
    </row>
    <row r="17" spans="1:7" x14ac:dyDescent="0.2">
      <c r="A17" s="1" t="s">
        <v>421</v>
      </c>
      <c r="B17" s="3">
        <v>777394168</v>
      </c>
      <c r="C17" s="2" t="s">
        <v>441</v>
      </c>
      <c r="D17" s="3">
        <v>173295</v>
      </c>
      <c r="F17" s="4" t="s">
        <v>18</v>
      </c>
      <c r="G17" s="4">
        <f>SUM(D17:D21)*8760/SUM(B17:B21)</f>
        <v>1.8837204932134071</v>
      </c>
    </row>
    <row r="18" spans="1:7" x14ac:dyDescent="0.2">
      <c r="A18" s="1" t="s">
        <v>424</v>
      </c>
      <c r="B18" s="3">
        <v>119426</v>
      </c>
      <c r="C18" s="2" t="s">
        <v>442</v>
      </c>
      <c r="D18" s="2">
        <v>36</v>
      </c>
    </row>
    <row r="19" spans="1:7" x14ac:dyDescent="0.2">
      <c r="A19" s="1" t="s">
        <v>426</v>
      </c>
      <c r="B19" s="3">
        <v>56909909</v>
      </c>
      <c r="C19" s="2" t="s">
        <v>443</v>
      </c>
      <c r="D19" s="3">
        <v>16411</v>
      </c>
    </row>
    <row r="20" spans="1:7" x14ac:dyDescent="0.2">
      <c r="A20" s="1" t="s">
        <v>428</v>
      </c>
      <c r="B20" s="3">
        <v>493857</v>
      </c>
      <c r="C20" s="2" t="s">
        <v>444</v>
      </c>
      <c r="D20" s="2">
        <v>70</v>
      </c>
    </row>
    <row r="21" spans="1:7" x14ac:dyDescent="0.2">
      <c r="A21" s="1" t="s">
        <v>430</v>
      </c>
      <c r="B21" s="3">
        <v>398970347</v>
      </c>
      <c r="C21" s="2" t="s">
        <v>445</v>
      </c>
      <c r="D21" s="3">
        <v>75519</v>
      </c>
    </row>
    <row r="22" spans="1:7" x14ac:dyDescent="0.2">
      <c r="A22" s="1" t="s">
        <v>432</v>
      </c>
      <c r="B22" s="3">
        <v>645087867</v>
      </c>
      <c r="C22" s="2" t="s">
        <v>446</v>
      </c>
      <c r="D22" s="3">
        <v>108894</v>
      </c>
      <c r="F22" s="4" t="s">
        <v>19</v>
      </c>
      <c r="G22" s="4">
        <f>(D22)*8760/(B22)</f>
        <v>1.4787310206843496</v>
      </c>
    </row>
    <row r="23" spans="1:7" x14ac:dyDescent="0.2">
      <c r="A23" s="1" t="s">
        <v>434</v>
      </c>
      <c r="B23" s="3">
        <v>3816056</v>
      </c>
      <c r="C23" s="2" t="s">
        <v>435</v>
      </c>
      <c r="D23" s="2" t="s">
        <v>28</v>
      </c>
    </row>
    <row r="24" spans="1:7" x14ac:dyDescent="0.2">
      <c r="A24" s="1" t="s">
        <v>436</v>
      </c>
      <c r="B24" s="3">
        <v>16588090</v>
      </c>
      <c r="C24" s="2" t="s">
        <v>435</v>
      </c>
      <c r="D24" s="2" t="s">
        <v>28</v>
      </c>
    </row>
    <row r="25" spans="1:7" x14ac:dyDescent="0.2">
      <c r="A25" s="17">
        <v>2022</v>
      </c>
      <c r="B25" s="17"/>
      <c r="C25" s="17"/>
      <c r="D25" s="17"/>
    </row>
    <row r="26" spans="1:7" x14ac:dyDescent="0.2">
      <c r="A26" s="1" t="s">
        <v>0</v>
      </c>
      <c r="B26" s="1" t="s">
        <v>447</v>
      </c>
      <c r="C26" s="1" t="s">
        <v>415</v>
      </c>
      <c r="D26" s="1" t="s">
        <v>416</v>
      </c>
    </row>
    <row r="27" spans="1:7" x14ac:dyDescent="0.2">
      <c r="A27" s="1" t="s">
        <v>417</v>
      </c>
      <c r="B27" s="3">
        <v>2192905985</v>
      </c>
      <c r="C27" s="2" t="s">
        <v>448</v>
      </c>
      <c r="D27" s="3">
        <v>561188</v>
      </c>
      <c r="F27" s="4" t="s">
        <v>17</v>
      </c>
      <c r="G27" s="4">
        <f>(D27)*8760/(B27)</f>
        <v>2.2417773099378904</v>
      </c>
    </row>
    <row r="28" spans="1:7" x14ac:dyDescent="0.2">
      <c r="A28" s="1" t="s">
        <v>419</v>
      </c>
      <c r="B28" s="2" t="s">
        <v>28</v>
      </c>
      <c r="C28" s="2" t="s">
        <v>435</v>
      </c>
      <c r="D28" s="2" t="s">
        <v>28</v>
      </c>
      <c r="G28" s="4"/>
    </row>
    <row r="29" spans="1:7" x14ac:dyDescent="0.2">
      <c r="A29" s="1" t="s">
        <v>421</v>
      </c>
      <c r="B29" s="3">
        <v>828078730</v>
      </c>
      <c r="C29" s="2" t="s">
        <v>449</v>
      </c>
      <c r="D29" s="3">
        <v>178517</v>
      </c>
      <c r="F29" s="4" t="s">
        <v>18</v>
      </c>
      <c r="G29" s="4">
        <f>SUM(D29:D33)*8760/SUM(B29:B33)</f>
        <v>1.7983731309674034</v>
      </c>
    </row>
    <row r="30" spans="1:7" x14ac:dyDescent="0.2">
      <c r="A30" s="1" t="s">
        <v>424</v>
      </c>
      <c r="B30" s="3">
        <v>162962</v>
      </c>
      <c r="C30" s="2" t="s">
        <v>450</v>
      </c>
      <c r="D30" s="2">
        <v>45</v>
      </c>
    </row>
    <row r="31" spans="1:7" x14ac:dyDescent="0.2">
      <c r="A31" s="1" t="s">
        <v>426</v>
      </c>
      <c r="B31" s="3">
        <v>63428005</v>
      </c>
      <c r="C31" s="2" t="s">
        <v>451</v>
      </c>
      <c r="D31" s="3">
        <v>15958</v>
      </c>
    </row>
    <row r="32" spans="1:7" x14ac:dyDescent="0.2">
      <c r="A32" s="1" t="s">
        <v>428</v>
      </c>
      <c r="B32" s="3">
        <v>643611</v>
      </c>
      <c r="C32" s="2" t="s">
        <v>452</v>
      </c>
      <c r="D32" s="2">
        <v>75</v>
      </c>
    </row>
    <row r="33" spans="1:7" x14ac:dyDescent="0.2">
      <c r="A33" s="1" t="s">
        <v>430</v>
      </c>
      <c r="B33" s="3">
        <v>415714909</v>
      </c>
      <c r="C33" s="2" t="s">
        <v>453</v>
      </c>
      <c r="D33" s="3">
        <v>73935</v>
      </c>
    </row>
    <row r="34" spans="1:7" x14ac:dyDescent="0.2">
      <c r="A34" s="1" t="s">
        <v>432</v>
      </c>
      <c r="B34" s="3">
        <v>653340569</v>
      </c>
      <c r="C34" s="2" t="s">
        <v>454</v>
      </c>
      <c r="D34" s="3">
        <v>111200</v>
      </c>
      <c r="F34" s="4" t="s">
        <v>19</v>
      </c>
      <c r="G34" s="4">
        <f>(D34)*8760/(B34)</f>
        <v>1.490971242595529</v>
      </c>
    </row>
    <row r="35" spans="1:7" x14ac:dyDescent="0.2">
      <c r="A35" s="1" t="s">
        <v>434</v>
      </c>
      <c r="B35" s="3">
        <v>3816995</v>
      </c>
      <c r="C35" s="2" t="s">
        <v>435</v>
      </c>
      <c r="D35" s="2" t="s">
        <v>28</v>
      </c>
    </row>
    <row r="36" spans="1:7" x14ac:dyDescent="0.2">
      <c r="A36" s="1" t="s">
        <v>436</v>
      </c>
      <c r="B36" s="3">
        <v>16707882</v>
      </c>
      <c r="C36" s="2" t="s">
        <v>435</v>
      </c>
      <c r="D36" s="2" t="s">
        <v>28</v>
      </c>
    </row>
    <row r="37" spans="1:7" x14ac:dyDescent="0.2">
      <c r="A37" s="17">
        <v>2023</v>
      </c>
      <c r="B37" s="17"/>
      <c r="C37" s="17"/>
      <c r="D37" s="17"/>
    </row>
    <row r="38" spans="1:7" x14ac:dyDescent="0.2">
      <c r="A38" s="1" t="s">
        <v>0</v>
      </c>
      <c r="B38" s="1" t="s">
        <v>455</v>
      </c>
      <c r="C38" s="1" t="s">
        <v>415</v>
      </c>
      <c r="D38" s="1" t="s">
        <v>416</v>
      </c>
    </row>
    <row r="39" spans="1:7" x14ac:dyDescent="0.2">
      <c r="A39" s="1" t="s">
        <v>417</v>
      </c>
      <c r="B39" s="3">
        <v>2187791790</v>
      </c>
      <c r="C39" s="2" t="s">
        <v>456</v>
      </c>
      <c r="D39" s="3">
        <v>577143</v>
      </c>
      <c r="F39" s="4" t="s">
        <v>17</v>
      </c>
      <c r="G39" s="4">
        <f>(D39)*8760/(B39)</f>
        <v>2.3109021174268141</v>
      </c>
    </row>
    <row r="40" spans="1:7" x14ac:dyDescent="0.2">
      <c r="A40" s="1" t="s">
        <v>419</v>
      </c>
      <c r="B40" s="2" t="s">
        <v>28</v>
      </c>
      <c r="C40" s="2" t="s">
        <v>435</v>
      </c>
      <c r="D40" s="2" t="s">
        <v>28</v>
      </c>
      <c r="G40" s="4"/>
    </row>
    <row r="41" spans="1:7" x14ac:dyDescent="0.2">
      <c r="A41" s="1" t="s">
        <v>421</v>
      </c>
      <c r="B41" s="3">
        <v>843824296</v>
      </c>
      <c r="C41" s="2" t="s">
        <v>457</v>
      </c>
      <c r="D41" s="3">
        <v>181023</v>
      </c>
      <c r="F41" s="4" t="s">
        <v>18</v>
      </c>
      <c r="G41" s="4">
        <f>SUM(D41:D45)*8760/SUM(B41:B45)</f>
        <v>1.7828820268667387</v>
      </c>
    </row>
    <row r="42" spans="1:7" x14ac:dyDescent="0.2">
      <c r="A42" s="1" t="s">
        <v>424</v>
      </c>
      <c r="B42" s="3">
        <v>164798</v>
      </c>
      <c r="C42" s="2" t="s">
        <v>458</v>
      </c>
      <c r="D42" s="2">
        <v>45</v>
      </c>
    </row>
    <row r="43" spans="1:7" x14ac:dyDescent="0.2">
      <c r="A43" s="1" t="s">
        <v>426</v>
      </c>
      <c r="B43" s="3">
        <v>62498720</v>
      </c>
      <c r="C43" s="2" t="s">
        <v>459</v>
      </c>
      <c r="D43" s="3">
        <v>15534</v>
      </c>
    </row>
    <row r="44" spans="1:7" x14ac:dyDescent="0.2">
      <c r="A44" s="1" t="s">
        <v>428</v>
      </c>
      <c r="B44" s="3">
        <v>679253</v>
      </c>
      <c r="C44" s="2" t="s">
        <v>460</v>
      </c>
      <c r="D44" s="2">
        <v>70</v>
      </c>
    </row>
    <row r="45" spans="1:7" x14ac:dyDescent="0.2">
      <c r="A45" s="1" t="s">
        <v>430</v>
      </c>
      <c r="B45" s="3">
        <v>423708944</v>
      </c>
      <c r="C45" s="2" t="s">
        <v>461</v>
      </c>
      <c r="D45" s="3">
        <v>74195</v>
      </c>
    </row>
    <row r="46" spans="1:7" x14ac:dyDescent="0.2">
      <c r="A46" s="1" t="s">
        <v>432</v>
      </c>
      <c r="B46" s="3">
        <v>656979503</v>
      </c>
      <c r="C46" s="2" t="s">
        <v>462</v>
      </c>
      <c r="D46" s="3">
        <v>115970</v>
      </c>
      <c r="F46" s="4" t="s">
        <v>19</v>
      </c>
      <c r="G46" s="4">
        <f>(D46)*8760/(B46)</f>
        <v>1.5463149083967693</v>
      </c>
    </row>
    <row r="47" spans="1:7" x14ac:dyDescent="0.2">
      <c r="A47" s="1" t="s">
        <v>434</v>
      </c>
      <c r="B47" s="3">
        <v>3364188</v>
      </c>
      <c r="C47" s="2" t="s">
        <v>435</v>
      </c>
      <c r="D47" s="2" t="s">
        <v>28</v>
      </c>
    </row>
    <row r="48" spans="1:7" x14ac:dyDescent="0.2">
      <c r="A48" s="1" t="s">
        <v>436</v>
      </c>
      <c r="B48" s="3">
        <v>16523368</v>
      </c>
      <c r="C48" s="2" t="s">
        <v>435</v>
      </c>
      <c r="D48" s="2" t="s">
        <v>28</v>
      </c>
    </row>
    <row r="49" spans="1:7" x14ac:dyDescent="0.2">
      <c r="A49" s="17">
        <v>2024</v>
      </c>
      <c r="B49" s="17"/>
      <c r="C49" s="17"/>
      <c r="D49" s="17"/>
    </row>
    <row r="50" spans="1:7" x14ac:dyDescent="0.2">
      <c r="A50" s="1" t="s">
        <v>0</v>
      </c>
      <c r="B50" s="1" t="s">
        <v>463</v>
      </c>
      <c r="C50" s="1" t="s">
        <v>415</v>
      </c>
      <c r="D50" s="1" t="s">
        <v>416</v>
      </c>
    </row>
    <row r="51" spans="1:7" x14ac:dyDescent="0.2">
      <c r="A51" s="1" t="s">
        <v>417</v>
      </c>
      <c r="B51" s="3">
        <v>2054552641</v>
      </c>
      <c r="C51" s="2" t="s">
        <v>464</v>
      </c>
      <c r="D51" s="3">
        <v>593626</v>
      </c>
      <c r="F51" s="4" t="s">
        <v>17</v>
      </c>
      <c r="G51" s="4">
        <f>(D51)*8760/(B51)</f>
        <v>2.5310443043547211</v>
      </c>
    </row>
    <row r="52" spans="1:7" x14ac:dyDescent="0.2">
      <c r="A52" s="1" t="s">
        <v>419</v>
      </c>
      <c r="B52" s="2" t="s">
        <v>28</v>
      </c>
      <c r="C52" s="2" t="s">
        <v>435</v>
      </c>
      <c r="D52" s="2" t="s">
        <v>28</v>
      </c>
      <c r="G52" s="4"/>
    </row>
    <row r="53" spans="1:7" x14ac:dyDescent="0.2">
      <c r="A53" s="1" t="s">
        <v>421</v>
      </c>
      <c r="B53" s="3">
        <v>819595038</v>
      </c>
      <c r="C53" s="2" t="s">
        <v>465</v>
      </c>
      <c r="D53" s="3">
        <v>207563</v>
      </c>
      <c r="F53" s="4" t="s">
        <v>18</v>
      </c>
      <c r="G53" s="4">
        <f>SUM(D53:D57)*8760/SUM(B53:B57)</f>
        <v>2.0045967485641798</v>
      </c>
    </row>
    <row r="54" spans="1:7" x14ac:dyDescent="0.2">
      <c r="A54" s="1" t="s">
        <v>424</v>
      </c>
      <c r="B54" s="3">
        <v>157249</v>
      </c>
      <c r="C54" s="2" t="s">
        <v>466</v>
      </c>
      <c r="D54" s="2">
        <v>39</v>
      </c>
    </row>
    <row r="55" spans="1:7" x14ac:dyDescent="0.2">
      <c r="A55" s="1" t="s">
        <v>426</v>
      </c>
      <c r="B55" s="3">
        <v>55816813</v>
      </c>
      <c r="C55" s="2" t="s">
        <v>467</v>
      </c>
      <c r="D55" s="3">
        <v>16428</v>
      </c>
    </row>
    <row r="56" spans="1:7" x14ac:dyDescent="0.2">
      <c r="A56" s="1" t="s">
        <v>428</v>
      </c>
      <c r="B56" s="3">
        <v>617479</v>
      </c>
      <c r="C56" s="2" t="s">
        <v>468</v>
      </c>
      <c r="D56" s="2">
        <v>89</v>
      </c>
    </row>
    <row r="57" spans="1:7" x14ac:dyDescent="0.2">
      <c r="A57" s="1" t="s">
        <v>430</v>
      </c>
      <c r="B57" s="3">
        <v>419085920</v>
      </c>
      <c r="C57" s="2" t="s">
        <v>469</v>
      </c>
      <c r="D57" s="3">
        <v>72285</v>
      </c>
    </row>
    <row r="58" spans="1:7" x14ac:dyDescent="0.2">
      <c r="A58" s="1" t="s">
        <v>432</v>
      </c>
      <c r="B58" s="3">
        <v>658118246</v>
      </c>
      <c r="C58" s="2" t="s">
        <v>470</v>
      </c>
      <c r="D58" s="3">
        <v>107336</v>
      </c>
      <c r="F58" s="4" t="s">
        <v>19</v>
      </c>
      <c r="G58" s="4">
        <f>(D58)*8760/(B58)</f>
        <v>1.4287149242782125</v>
      </c>
    </row>
    <row r="59" spans="1:7" x14ac:dyDescent="0.2">
      <c r="A59" s="1" t="s">
        <v>434</v>
      </c>
      <c r="B59" s="3">
        <v>3042764</v>
      </c>
      <c r="C59" s="2" t="s">
        <v>435</v>
      </c>
      <c r="D59" s="2" t="s">
        <v>28</v>
      </c>
    </row>
    <row r="60" spans="1:7" x14ac:dyDescent="0.2">
      <c r="A60" s="1" t="s">
        <v>436</v>
      </c>
      <c r="B60" s="3">
        <v>16371984</v>
      </c>
      <c r="C60" s="2" t="s">
        <v>435</v>
      </c>
      <c r="D60" s="2" t="s">
        <v>28</v>
      </c>
    </row>
    <row r="61" spans="1:7" x14ac:dyDescent="0.2">
      <c r="A61" s="17">
        <v>2025</v>
      </c>
      <c r="B61" s="17"/>
      <c r="C61" s="17"/>
      <c r="D61" s="17"/>
    </row>
    <row r="62" spans="1:7" x14ac:dyDescent="0.2">
      <c r="A62" s="1" t="s">
        <v>0</v>
      </c>
      <c r="B62" s="1" t="s">
        <v>471</v>
      </c>
      <c r="C62" s="1" t="s">
        <v>415</v>
      </c>
      <c r="D62" s="1" t="s">
        <v>416</v>
      </c>
    </row>
    <row r="63" spans="1:7" x14ac:dyDescent="0.2">
      <c r="A63" s="1" t="s">
        <v>417</v>
      </c>
      <c r="B63" s="3">
        <v>2110749278</v>
      </c>
      <c r="C63" s="2" t="s">
        <v>472</v>
      </c>
      <c r="D63" s="3">
        <v>611248</v>
      </c>
      <c r="F63" s="4" t="s">
        <v>17</v>
      </c>
      <c r="G63" s="4">
        <f>(D63)*8760/(B63)</f>
        <v>2.5367922831050711</v>
      </c>
    </row>
    <row r="64" spans="1:7" x14ac:dyDescent="0.2">
      <c r="A64" s="1" t="s">
        <v>419</v>
      </c>
      <c r="B64" s="2" t="s">
        <v>28</v>
      </c>
      <c r="C64" s="2" t="s">
        <v>435</v>
      </c>
      <c r="D64" s="2" t="s">
        <v>28</v>
      </c>
      <c r="G64" s="4"/>
    </row>
    <row r="65" spans="1:7" x14ac:dyDescent="0.2">
      <c r="A65" s="1" t="s">
        <v>421</v>
      </c>
      <c r="B65" s="3">
        <v>837100917</v>
      </c>
      <c r="C65" s="2" t="s">
        <v>473</v>
      </c>
      <c r="D65" s="3">
        <v>191087</v>
      </c>
      <c r="F65" s="4" t="s">
        <v>18</v>
      </c>
      <c r="G65" s="4">
        <f>SUM(D65:D69)*8760/SUM(B65:B69)</f>
        <v>1.8304523751782653</v>
      </c>
    </row>
    <row r="66" spans="1:7" x14ac:dyDescent="0.2">
      <c r="A66" s="1" t="s">
        <v>424</v>
      </c>
      <c r="B66" s="3">
        <v>135684</v>
      </c>
      <c r="C66" s="2" t="s">
        <v>474</v>
      </c>
      <c r="D66" s="2">
        <v>34</v>
      </c>
    </row>
    <row r="67" spans="1:7" x14ac:dyDescent="0.2">
      <c r="A67" s="1" t="s">
        <v>426</v>
      </c>
      <c r="B67" s="3">
        <v>55169401</v>
      </c>
      <c r="C67" s="2" t="s">
        <v>475</v>
      </c>
      <c r="D67" s="3">
        <v>15384</v>
      </c>
    </row>
    <row r="68" spans="1:7" x14ac:dyDescent="0.2">
      <c r="A68" s="1" t="s">
        <v>428</v>
      </c>
      <c r="B68" s="3">
        <v>652047</v>
      </c>
      <c r="C68" s="2" t="s">
        <v>476</v>
      </c>
      <c r="D68" s="2">
        <v>83</v>
      </c>
    </row>
    <row r="69" spans="1:7" x14ac:dyDescent="0.2">
      <c r="A69" s="1" t="s">
        <v>430</v>
      </c>
      <c r="B69" s="3">
        <v>442009300</v>
      </c>
      <c r="C69" s="2" t="s">
        <v>477</v>
      </c>
      <c r="D69" s="3">
        <v>72382</v>
      </c>
    </row>
    <row r="70" spans="1:7" x14ac:dyDescent="0.2">
      <c r="A70" s="1" t="s">
        <v>432</v>
      </c>
      <c r="B70" s="3">
        <v>668409852</v>
      </c>
      <c r="C70" s="2" t="s">
        <v>478</v>
      </c>
      <c r="D70" s="3">
        <v>111051</v>
      </c>
      <c r="F70" s="4" t="s">
        <v>19</v>
      </c>
      <c r="G70" s="4">
        <f>(D70)*8760/(B70)</f>
        <v>1.4554045801227957</v>
      </c>
    </row>
    <row r="71" spans="1:7" x14ac:dyDescent="0.2">
      <c r="A71" s="1" t="s">
        <v>434</v>
      </c>
      <c r="B71" s="3">
        <v>3046303</v>
      </c>
      <c r="C71" s="2" t="s">
        <v>435</v>
      </c>
      <c r="D71" s="2" t="s">
        <v>28</v>
      </c>
    </row>
    <row r="72" spans="1:7" x14ac:dyDescent="0.2">
      <c r="A72" s="1" t="s">
        <v>436</v>
      </c>
      <c r="B72" s="3">
        <v>16179500</v>
      </c>
      <c r="C72" s="2" t="s">
        <v>435</v>
      </c>
      <c r="D72" s="2" t="s">
        <v>28</v>
      </c>
    </row>
  </sheetData>
  <mergeCells count="6">
    <mergeCell ref="A61:D61"/>
    <mergeCell ref="A1:D1"/>
    <mergeCell ref="A13:D13"/>
    <mergeCell ref="A25:D25"/>
    <mergeCell ref="A37:D37"/>
    <mergeCell ref="A49:D49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E7EF-A551-4146-B687-52A87101FA48}">
  <dimension ref="A1:K122"/>
  <sheetViews>
    <sheetView topLeftCell="A71" workbookViewId="0">
      <selection activeCell="I20" sqref="I20"/>
    </sheetView>
  </sheetViews>
  <sheetFormatPr baseColWidth="10" defaultRowHeight="16" x14ac:dyDescent="0.2"/>
  <cols>
    <col min="1" max="4" width="10.83203125" style="4"/>
    <col min="5" max="5" width="14.1640625" style="4" customWidth="1"/>
    <col min="6" max="6" width="16.83203125" style="4" customWidth="1"/>
    <col min="7" max="16384" width="10.83203125" style="4"/>
  </cols>
  <sheetData>
    <row r="1" spans="1:11" x14ac:dyDescent="0.2">
      <c r="A1" s="15">
        <v>2020</v>
      </c>
      <c r="B1" s="15"/>
      <c r="C1" s="15"/>
      <c r="D1" s="15"/>
      <c r="E1" s="15"/>
      <c r="F1" s="15"/>
    </row>
    <row r="2" spans="1:11" x14ac:dyDescent="0.2">
      <c r="A2" s="1" t="s">
        <v>479</v>
      </c>
      <c r="B2" s="1" t="s">
        <v>480</v>
      </c>
      <c r="C2" s="1" t="s">
        <v>481</v>
      </c>
      <c r="D2" s="1" t="s">
        <v>482</v>
      </c>
      <c r="E2" s="1" t="s">
        <v>483</v>
      </c>
      <c r="F2" s="1" t="s">
        <v>484</v>
      </c>
      <c r="I2" s="4" t="s">
        <v>16</v>
      </c>
      <c r="K2" s="4" t="s">
        <v>57</v>
      </c>
    </row>
    <row r="3" spans="1:11" x14ac:dyDescent="0.2">
      <c r="A3" s="1" t="s">
        <v>4</v>
      </c>
      <c r="B3" s="3">
        <v>1119480</v>
      </c>
      <c r="C3" s="2" t="s">
        <v>485</v>
      </c>
      <c r="D3" s="2" t="s">
        <v>486</v>
      </c>
      <c r="E3" s="2" t="s">
        <v>487</v>
      </c>
      <c r="F3" s="3">
        <v>3480915075</v>
      </c>
      <c r="H3" s="4" t="s">
        <v>17</v>
      </c>
      <c r="I3" s="4">
        <f>SUM(B3:B5)*8760/SUM(F3:F5)</f>
        <v>2.6464339970526241</v>
      </c>
      <c r="K3" s="4">
        <f>(I3+I23+I43+I63+I103+I83)/6</f>
        <v>2.8120126775307308</v>
      </c>
    </row>
    <row r="4" spans="1:11" x14ac:dyDescent="0.2">
      <c r="A4" s="1" t="s">
        <v>488</v>
      </c>
      <c r="B4" s="3">
        <v>54961</v>
      </c>
      <c r="C4" s="2" t="s">
        <v>489</v>
      </c>
      <c r="D4" s="2" t="s">
        <v>490</v>
      </c>
      <c r="E4" s="2" t="s">
        <v>491</v>
      </c>
      <c r="F4" s="3">
        <v>393995412</v>
      </c>
    </row>
    <row r="5" spans="1:11" x14ac:dyDescent="0.2">
      <c r="A5" s="1" t="s">
        <v>492</v>
      </c>
      <c r="B5" s="3">
        <v>15012</v>
      </c>
      <c r="C5" s="2" t="s">
        <v>493</v>
      </c>
      <c r="D5" s="2" t="s">
        <v>494</v>
      </c>
      <c r="E5" s="2" t="s">
        <v>495</v>
      </c>
      <c r="F5" s="3">
        <v>62315339</v>
      </c>
    </row>
    <row r="6" spans="1:11" x14ac:dyDescent="0.2">
      <c r="A6" s="1" t="s">
        <v>134</v>
      </c>
      <c r="B6" s="3">
        <v>18751</v>
      </c>
      <c r="C6" s="2" t="s">
        <v>496</v>
      </c>
      <c r="D6" s="2" t="s">
        <v>497</v>
      </c>
      <c r="E6" s="2" t="s">
        <v>498</v>
      </c>
      <c r="F6" s="3">
        <v>95023649</v>
      </c>
      <c r="H6" s="4" t="s">
        <v>18</v>
      </c>
      <c r="I6" s="4">
        <f>SUM(B6:B10)*8760/SUM(F6:F10)</f>
        <v>1.7405936146458247</v>
      </c>
      <c r="K6" s="4">
        <f>(I6+I26+I46+I66+I106+I86)/6</f>
        <v>1.7825058979506281</v>
      </c>
    </row>
    <row r="7" spans="1:11" x14ac:dyDescent="0.2">
      <c r="A7" s="1" t="s">
        <v>499</v>
      </c>
      <c r="B7" s="3">
        <v>155107</v>
      </c>
      <c r="C7" s="2" t="s">
        <v>500</v>
      </c>
      <c r="D7" s="2" t="s">
        <v>501</v>
      </c>
      <c r="E7" s="2" t="s">
        <v>502</v>
      </c>
      <c r="F7" s="3">
        <v>658292988</v>
      </c>
    </row>
    <row r="8" spans="1:11" x14ac:dyDescent="0.2">
      <c r="A8" s="1" t="s">
        <v>503</v>
      </c>
      <c r="B8" s="3">
        <v>409763</v>
      </c>
      <c r="C8" s="2" t="s">
        <v>504</v>
      </c>
      <c r="D8" s="2" t="s">
        <v>505</v>
      </c>
      <c r="E8" s="2" t="s">
        <v>506</v>
      </c>
      <c r="F8" s="3">
        <v>2144446201</v>
      </c>
    </row>
    <row r="9" spans="1:11" x14ac:dyDescent="0.2">
      <c r="A9" s="1" t="s">
        <v>507</v>
      </c>
      <c r="B9" s="3">
        <v>9446</v>
      </c>
      <c r="C9" s="2" t="s">
        <v>508</v>
      </c>
      <c r="D9" s="2" t="s">
        <v>509</v>
      </c>
      <c r="E9" s="2" t="s">
        <v>510</v>
      </c>
      <c r="F9" s="3">
        <v>52392104</v>
      </c>
    </row>
    <row r="10" spans="1:11" x14ac:dyDescent="0.2">
      <c r="A10" s="1" t="s">
        <v>511</v>
      </c>
      <c r="B10" s="3">
        <v>32396</v>
      </c>
      <c r="C10" s="2" t="s">
        <v>512</v>
      </c>
      <c r="D10" s="2" t="s">
        <v>513</v>
      </c>
      <c r="E10" s="2" t="s">
        <v>514</v>
      </c>
      <c r="F10" s="3">
        <v>197653848</v>
      </c>
    </row>
    <row r="11" spans="1:11" x14ac:dyDescent="0.2">
      <c r="A11" s="1" t="s">
        <v>515</v>
      </c>
      <c r="B11" s="2">
        <v>18</v>
      </c>
      <c r="C11" s="2" t="s">
        <v>516</v>
      </c>
      <c r="D11" s="2" t="s">
        <v>517</v>
      </c>
      <c r="E11" s="2" t="s">
        <v>518</v>
      </c>
      <c r="F11" s="3">
        <v>107803</v>
      </c>
    </row>
    <row r="12" spans="1:11" x14ac:dyDescent="0.2">
      <c r="A12" s="1" t="s">
        <v>519</v>
      </c>
      <c r="B12" s="2">
        <v>0</v>
      </c>
      <c r="C12" s="2" t="s">
        <v>520</v>
      </c>
      <c r="D12" s="2" t="s">
        <v>521</v>
      </c>
      <c r="E12" s="2" t="s">
        <v>521</v>
      </c>
      <c r="F12" s="3">
        <v>24784044</v>
      </c>
    </row>
    <row r="13" spans="1:11" x14ac:dyDescent="0.2">
      <c r="A13" s="1" t="s">
        <v>522</v>
      </c>
      <c r="B13" s="2">
        <v>0</v>
      </c>
      <c r="C13" s="2" t="s">
        <v>521</v>
      </c>
      <c r="D13" s="2" t="s">
        <v>521</v>
      </c>
      <c r="E13" s="2" t="s">
        <v>521</v>
      </c>
      <c r="F13" s="3">
        <v>29540376</v>
      </c>
    </row>
    <row r="14" spans="1:11" x14ac:dyDescent="0.2">
      <c r="A14" s="1" t="s">
        <v>523</v>
      </c>
      <c r="B14" s="2">
        <v>0</v>
      </c>
      <c r="C14" s="2" t="s">
        <v>521</v>
      </c>
      <c r="D14" s="2" t="s">
        <v>521</v>
      </c>
      <c r="E14" s="2" t="s">
        <v>521</v>
      </c>
      <c r="F14" s="3">
        <v>866940</v>
      </c>
    </row>
    <row r="15" spans="1:11" x14ac:dyDescent="0.2">
      <c r="A15" s="1" t="s">
        <v>524</v>
      </c>
      <c r="B15" s="3">
        <v>2546</v>
      </c>
      <c r="C15" s="2" t="s">
        <v>525</v>
      </c>
      <c r="D15" s="2" t="s">
        <v>526</v>
      </c>
      <c r="E15" s="2" t="s">
        <v>527</v>
      </c>
      <c r="F15" s="3">
        <v>22523964</v>
      </c>
    </row>
    <row r="16" spans="1:11" x14ac:dyDescent="0.2">
      <c r="A16" s="1" t="s">
        <v>528</v>
      </c>
      <c r="B16" s="2">
        <v>0</v>
      </c>
      <c r="C16" s="2" t="s">
        <v>521</v>
      </c>
      <c r="D16" s="2" t="s">
        <v>521</v>
      </c>
      <c r="E16" s="2" t="s">
        <v>521</v>
      </c>
      <c r="F16" s="3">
        <v>2893908</v>
      </c>
    </row>
    <row r="17" spans="1:11" x14ac:dyDescent="0.2">
      <c r="A17" s="1" t="s">
        <v>529</v>
      </c>
      <c r="B17" s="3">
        <v>454563</v>
      </c>
      <c r="C17" s="2" t="s">
        <v>530</v>
      </c>
      <c r="D17" s="2" t="s">
        <v>531</v>
      </c>
      <c r="E17" s="2" t="s">
        <v>532</v>
      </c>
      <c r="F17" s="3">
        <v>2701520529</v>
      </c>
      <c r="H17" s="4" t="s">
        <v>19</v>
      </c>
      <c r="I17" s="4">
        <f>SUM(B17:B20)*8760/SUM(F17:F20)</f>
        <v>1.3546858887754187</v>
      </c>
      <c r="K17" s="4">
        <f>(I17+I37+I57+I77+I117+I97)/6</f>
        <v>1.2737116441741909</v>
      </c>
    </row>
    <row r="18" spans="1:11" x14ac:dyDescent="0.2">
      <c r="A18" s="1" t="s">
        <v>533</v>
      </c>
      <c r="B18" s="3">
        <v>60209</v>
      </c>
      <c r="C18" s="2" t="s">
        <v>534</v>
      </c>
      <c r="D18" s="2" t="s">
        <v>535</v>
      </c>
      <c r="E18" s="2" t="s">
        <v>536</v>
      </c>
      <c r="F18" s="3">
        <v>330194260</v>
      </c>
    </row>
    <row r="19" spans="1:11" x14ac:dyDescent="0.2">
      <c r="A19" s="1" t="s">
        <v>537</v>
      </c>
      <c r="B19" s="3">
        <v>163104</v>
      </c>
      <c r="C19" s="2" t="s">
        <v>538</v>
      </c>
      <c r="D19" s="2" t="s">
        <v>539</v>
      </c>
      <c r="E19" s="2" t="s">
        <v>540</v>
      </c>
      <c r="F19" s="3">
        <v>1076301120</v>
      </c>
    </row>
    <row r="20" spans="1:11" x14ac:dyDescent="0.2">
      <c r="A20" s="1" t="s">
        <v>541</v>
      </c>
      <c r="B20" s="3">
        <v>163612</v>
      </c>
      <c r="C20" s="2" t="s">
        <v>542</v>
      </c>
      <c r="D20" s="2" t="s">
        <v>543</v>
      </c>
      <c r="E20" s="2" t="s">
        <v>544</v>
      </c>
      <c r="F20" s="3">
        <v>1333418848</v>
      </c>
    </row>
    <row r="21" spans="1:11" x14ac:dyDescent="0.2">
      <c r="A21" s="15">
        <v>2021</v>
      </c>
      <c r="B21" s="15"/>
      <c r="C21" s="15"/>
      <c r="D21" s="15"/>
      <c r="E21" s="15"/>
      <c r="F21" s="15"/>
    </row>
    <row r="22" spans="1:11" x14ac:dyDescent="0.2">
      <c r="A22" s="1" t="s">
        <v>0</v>
      </c>
      <c r="B22" s="1" t="s">
        <v>545</v>
      </c>
      <c r="C22" s="1" t="s">
        <v>546</v>
      </c>
      <c r="D22" s="1" t="s">
        <v>547</v>
      </c>
      <c r="E22" s="1" t="s">
        <v>548</v>
      </c>
      <c r="F22" s="1" t="s">
        <v>549</v>
      </c>
      <c r="I22" s="4" t="s">
        <v>16</v>
      </c>
    </row>
    <row r="23" spans="1:11" x14ac:dyDescent="0.2">
      <c r="A23" s="1" t="s">
        <v>4</v>
      </c>
      <c r="B23" s="3">
        <v>1285910</v>
      </c>
      <c r="C23" s="2" t="s">
        <v>550</v>
      </c>
      <c r="D23" s="2" t="s">
        <v>551</v>
      </c>
      <c r="E23" s="2" t="s">
        <v>552</v>
      </c>
      <c r="F23" s="3">
        <v>3474190476</v>
      </c>
      <c r="H23" s="4" t="s">
        <v>17</v>
      </c>
      <c r="I23" s="4">
        <f>SUM(B23:B25)*8760/SUM(F23:F25)</f>
        <v>3.0482236137583798</v>
      </c>
    </row>
    <row r="24" spans="1:11" x14ac:dyDescent="0.2">
      <c r="A24" s="1" t="s">
        <v>488</v>
      </c>
      <c r="B24" s="3">
        <v>65646</v>
      </c>
      <c r="C24" s="2" t="s">
        <v>553</v>
      </c>
      <c r="D24" s="2" t="s">
        <v>554</v>
      </c>
      <c r="E24" s="2" t="s">
        <v>555</v>
      </c>
      <c r="F24" s="3">
        <v>398128849</v>
      </c>
    </row>
    <row r="25" spans="1:11" x14ac:dyDescent="0.2">
      <c r="A25" s="1" t="s">
        <v>492</v>
      </c>
      <c r="B25" s="3">
        <v>17163</v>
      </c>
      <c r="C25" s="2" t="s">
        <v>556</v>
      </c>
      <c r="D25" s="2" t="s">
        <v>557</v>
      </c>
      <c r="E25" s="2" t="s">
        <v>558</v>
      </c>
      <c r="F25" s="3">
        <v>61112063</v>
      </c>
    </row>
    <row r="26" spans="1:11" x14ac:dyDescent="0.2">
      <c r="A26" s="1" t="s">
        <v>134</v>
      </c>
      <c r="B26" s="3">
        <v>19361</v>
      </c>
      <c r="C26" s="2" t="s">
        <v>559</v>
      </c>
      <c r="D26" s="2" t="s">
        <v>560</v>
      </c>
      <c r="E26" s="2" t="s">
        <v>561</v>
      </c>
      <c r="F26" s="3">
        <v>97733559</v>
      </c>
      <c r="H26" s="4" t="s">
        <v>18</v>
      </c>
      <c r="I26" s="4">
        <f>SUM(B26:B30)*8760/SUM(F26:F30)</f>
        <v>1.6541717171788428</v>
      </c>
    </row>
    <row r="27" spans="1:11" x14ac:dyDescent="0.2">
      <c r="A27" s="1" t="s">
        <v>499</v>
      </c>
      <c r="B27" s="3">
        <v>144524</v>
      </c>
      <c r="C27" s="2" t="s">
        <v>562</v>
      </c>
      <c r="D27" s="2" t="s">
        <v>563</v>
      </c>
      <c r="E27" s="2" t="s">
        <v>564</v>
      </c>
      <c r="F27" s="3">
        <v>630563506</v>
      </c>
    </row>
    <row r="28" spans="1:11" x14ac:dyDescent="0.2">
      <c r="A28" s="1" t="s">
        <v>503</v>
      </c>
      <c r="B28" s="3">
        <v>378715</v>
      </c>
      <c r="C28" s="2" t="s">
        <v>565</v>
      </c>
      <c r="D28" s="2" t="s">
        <v>566</v>
      </c>
      <c r="E28" s="2" t="s">
        <v>567</v>
      </c>
      <c r="F28" s="3">
        <v>2112110707</v>
      </c>
    </row>
    <row r="29" spans="1:11" x14ac:dyDescent="0.2">
      <c r="A29" s="1" t="s">
        <v>507</v>
      </c>
      <c r="B29" s="3">
        <v>9325</v>
      </c>
      <c r="C29" s="2" t="s">
        <v>568</v>
      </c>
      <c r="D29" s="2" t="s">
        <v>569</v>
      </c>
      <c r="E29" s="2" t="s">
        <v>570</v>
      </c>
      <c r="F29" s="3">
        <v>59063118</v>
      </c>
    </row>
    <row r="30" spans="1:11" x14ac:dyDescent="0.2">
      <c r="A30" s="1" t="s">
        <v>511</v>
      </c>
      <c r="B30" s="3">
        <v>30552</v>
      </c>
      <c r="C30" s="2" t="s">
        <v>571</v>
      </c>
      <c r="D30" s="2" t="s">
        <v>572</v>
      </c>
      <c r="E30" s="2" t="s">
        <v>573</v>
      </c>
      <c r="F30" s="3">
        <v>185153558</v>
      </c>
    </row>
    <row r="31" spans="1:11" x14ac:dyDescent="0.2">
      <c r="A31" s="1" t="s">
        <v>515</v>
      </c>
      <c r="B31" s="2">
        <v>0</v>
      </c>
      <c r="C31" s="2" t="s">
        <v>520</v>
      </c>
      <c r="D31" s="2" t="s">
        <v>521</v>
      </c>
      <c r="E31" s="2" t="s">
        <v>521</v>
      </c>
      <c r="F31" s="3">
        <v>109708</v>
      </c>
    </row>
    <row r="32" spans="1:11" x14ac:dyDescent="0.2">
      <c r="A32" s="1" t="s">
        <v>519</v>
      </c>
      <c r="B32" s="2">
        <v>0</v>
      </c>
      <c r="C32" s="2" t="s">
        <v>520</v>
      </c>
      <c r="D32" s="2" t="s">
        <v>521</v>
      </c>
      <c r="E32" s="2" t="s">
        <v>521</v>
      </c>
      <c r="F32" s="3">
        <v>24710172</v>
      </c>
    </row>
    <row r="33" spans="1:9" x14ac:dyDescent="0.2">
      <c r="A33" s="1" t="s">
        <v>522</v>
      </c>
      <c r="B33" s="2">
        <v>0</v>
      </c>
      <c r="C33" s="2" t="s">
        <v>521</v>
      </c>
      <c r="D33" s="2" t="s">
        <v>521</v>
      </c>
      <c r="E33" s="2" t="s">
        <v>521</v>
      </c>
      <c r="F33" s="3">
        <v>29841648</v>
      </c>
    </row>
    <row r="34" spans="1:9" x14ac:dyDescent="0.2">
      <c r="A34" s="1" t="s">
        <v>523</v>
      </c>
      <c r="B34" s="2">
        <v>0</v>
      </c>
      <c r="C34" s="2" t="s">
        <v>521</v>
      </c>
      <c r="D34" s="2" t="s">
        <v>521</v>
      </c>
      <c r="E34" s="2" t="s">
        <v>521</v>
      </c>
      <c r="F34" s="3">
        <v>866940</v>
      </c>
    </row>
    <row r="35" spans="1:9" x14ac:dyDescent="0.2">
      <c r="A35" s="1" t="s">
        <v>524</v>
      </c>
      <c r="B35" s="3">
        <v>2601</v>
      </c>
      <c r="C35" s="2" t="s">
        <v>574</v>
      </c>
      <c r="D35" s="2" t="s">
        <v>575</v>
      </c>
      <c r="E35" s="2" t="s">
        <v>576</v>
      </c>
      <c r="F35" s="3">
        <v>21081932</v>
      </c>
    </row>
    <row r="36" spans="1:9" x14ac:dyDescent="0.2">
      <c r="A36" s="1" t="s">
        <v>528</v>
      </c>
      <c r="B36" s="2">
        <v>0</v>
      </c>
      <c r="C36" s="2" t="s">
        <v>521</v>
      </c>
      <c r="D36" s="2" t="s">
        <v>521</v>
      </c>
      <c r="E36" s="2" t="s">
        <v>521</v>
      </c>
      <c r="F36" s="3">
        <v>2906016</v>
      </c>
    </row>
    <row r="37" spans="1:9" x14ac:dyDescent="0.2">
      <c r="A37" s="1" t="s">
        <v>529</v>
      </c>
      <c r="B37" s="3">
        <v>409875</v>
      </c>
      <c r="C37" s="2" t="s">
        <v>577</v>
      </c>
      <c r="D37" s="2" t="s">
        <v>578</v>
      </c>
      <c r="E37" s="2" t="s">
        <v>579</v>
      </c>
      <c r="F37" s="3">
        <v>2622793380</v>
      </c>
      <c r="H37" s="4" t="s">
        <v>19</v>
      </c>
      <c r="I37" s="4">
        <f>SUM(B37:B40)*8760/SUM(F37:F40)</f>
        <v>1.218210138067084</v>
      </c>
    </row>
    <row r="38" spans="1:9" x14ac:dyDescent="0.2">
      <c r="A38" s="1" t="s">
        <v>533</v>
      </c>
      <c r="B38" s="3">
        <v>50195</v>
      </c>
      <c r="C38" s="2" t="s">
        <v>580</v>
      </c>
      <c r="D38" s="2" t="s">
        <v>581</v>
      </c>
      <c r="E38" s="2" t="s">
        <v>582</v>
      </c>
      <c r="F38" s="3">
        <v>322459725</v>
      </c>
    </row>
    <row r="39" spans="1:9" x14ac:dyDescent="0.2">
      <c r="A39" s="1" t="s">
        <v>537</v>
      </c>
      <c r="B39" s="3">
        <v>153156</v>
      </c>
      <c r="C39" s="2" t="s">
        <v>583</v>
      </c>
      <c r="D39" s="2" t="s">
        <v>584</v>
      </c>
      <c r="E39" s="2" t="s">
        <v>585</v>
      </c>
      <c r="F39" s="3">
        <v>955520104</v>
      </c>
    </row>
    <row r="40" spans="1:9" x14ac:dyDescent="0.2">
      <c r="A40" s="1" t="s">
        <v>541</v>
      </c>
      <c r="B40" s="3">
        <v>97285</v>
      </c>
      <c r="C40" s="2" t="s">
        <v>586</v>
      </c>
      <c r="D40" s="2" t="s">
        <v>587</v>
      </c>
      <c r="E40" s="2" t="s">
        <v>588</v>
      </c>
      <c r="F40" s="3">
        <v>1208424429</v>
      </c>
    </row>
    <row r="41" spans="1:9" x14ac:dyDescent="0.2">
      <c r="A41" s="15">
        <v>2022</v>
      </c>
      <c r="B41" s="15"/>
      <c r="C41" s="15"/>
      <c r="D41" s="15"/>
      <c r="E41" s="15"/>
      <c r="F41" s="15"/>
    </row>
    <row r="42" spans="1:9" x14ac:dyDescent="0.2">
      <c r="A42" s="1" t="s">
        <v>0</v>
      </c>
      <c r="B42" s="1" t="s">
        <v>545</v>
      </c>
      <c r="C42" s="1" t="s">
        <v>546</v>
      </c>
      <c r="D42" s="1" t="s">
        <v>547</v>
      </c>
      <c r="E42" s="1" t="s">
        <v>548</v>
      </c>
      <c r="F42" s="1" t="s">
        <v>549</v>
      </c>
      <c r="I42" s="4" t="s">
        <v>16</v>
      </c>
    </row>
    <row r="43" spans="1:9" x14ac:dyDescent="0.2">
      <c r="A43" s="1" t="s">
        <v>4</v>
      </c>
      <c r="B43" s="3">
        <v>1265201</v>
      </c>
      <c r="C43" s="2" t="s">
        <v>589</v>
      </c>
      <c r="D43" s="2" t="s">
        <v>590</v>
      </c>
      <c r="E43" s="2" t="s">
        <v>591</v>
      </c>
      <c r="F43" s="3">
        <v>3486921005</v>
      </c>
      <c r="H43" s="4" t="s">
        <v>17</v>
      </c>
      <c r="I43" s="4">
        <f>SUM(B43:B45)*8760/SUM(F43:F45)</f>
        <v>2.9898968147267646</v>
      </c>
    </row>
    <row r="44" spans="1:9" x14ac:dyDescent="0.2">
      <c r="A44" s="1" t="s">
        <v>488</v>
      </c>
      <c r="B44" s="3">
        <v>66404</v>
      </c>
      <c r="C44" s="2" t="s">
        <v>592</v>
      </c>
      <c r="D44" s="2" t="s">
        <v>593</v>
      </c>
      <c r="E44" s="2" t="s">
        <v>594</v>
      </c>
      <c r="F44" s="3">
        <v>402834013</v>
      </c>
    </row>
    <row r="45" spans="1:9" x14ac:dyDescent="0.2">
      <c r="A45" s="1" t="s">
        <v>492</v>
      </c>
      <c r="B45" s="3">
        <v>16907</v>
      </c>
      <c r="C45" s="2" t="s">
        <v>595</v>
      </c>
      <c r="D45" s="2" t="s">
        <v>596</v>
      </c>
      <c r="E45" s="2" t="s">
        <v>597</v>
      </c>
      <c r="F45" s="3">
        <v>61205785</v>
      </c>
    </row>
    <row r="46" spans="1:9" x14ac:dyDescent="0.2">
      <c r="A46" s="1" t="s">
        <v>134</v>
      </c>
      <c r="B46" s="3">
        <v>23932</v>
      </c>
      <c r="C46" s="2" t="s">
        <v>598</v>
      </c>
      <c r="D46" s="2" t="s">
        <v>599</v>
      </c>
      <c r="E46" s="2" t="s">
        <v>600</v>
      </c>
      <c r="F46" s="3">
        <v>100763939</v>
      </c>
      <c r="H46" s="4" t="s">
        <v>18</v>
      </c>
      <c r="I46" s="4">
        <f>SUM(B46:B50)*8760/SUM(F46:F50)</f>
        <v>1.7836669327678703</v>
      </c>
    </row>
    <row r="47" spans="1:9" x14ac:dyDescent="0.2">
      <c r="A47" s="1" t="s">
        <v>499</v>
      </c>
      <c r="B47" s="3">
        <v>155685</v>
      </c>
      <c r="C47" s="2" t="s">
        <v>601</v>
      </c>
      <c r="D47" s="2" t="s">
        <v>602</v>
      </c>
      <c r="E47" s="2" t="s">
        <v>603</v>
      </c>
      <c r="F47" s="3">
        <v>612222295</v>
      </c>
    </row>
    <row r="48" spans="1:9" x14ac:dyDescent="0.2">
      <c r="A48" s="1" t="s">
        <v>503</v>
      </c>
      <c r="B48" s="3">
        <v>397158</v>
      </c>
      <c r="C48" s="2" t="s">
        <v>604</v>
      </c>
      <c r="D48" s="2" t="s">
        <v>605</v>
      </c>
      <c r="E48" s="2" t="s">
        <v>606</v>
      </c>
      <c r="F48" s="3">
        <v>2086803251</v>
      </c>
    </row>
    <row r="49" spans="1:9" x14ac:dyDescent="0.2">
      <c r="A49" s="1" t="s">
        <v>507</v>
      </c>
      <c r="B49" s="3">
        <v>10154</v>
      </c>
      <c r="C49" s="2" t="s">
        <v>607</v>
      </c>
      <c r="D49" s="2" t="s">
        <v>608</v>
      </c>
      <c r="E49" s="2" t="s">
        <v>609</v>
      </c>
      <c r="F49" s="3">
        <v>54675311</v>
      </c>
    </row>
    <row r="50" spans="1:9" x14ac:dyDescent="0.2">
      <c r="A50" s="1" t="s">
        <v>511</v>
      </c>
      <c r="B50" s="3">
        <v>30866</v>
      </c>
      <c r="C50" s="2" t="s">
        <v>610</v>
      </c>
      <c r="D50" s="2" t="s">
        <v>611</v>
      </c>
      <c r="E50" s="2" t="s">
        <v>612</v>
      </c>
      <c r="F50" s="3">
        <v>179669044</v>
      </c>
    </row>
    <row r="51" spans="1:9" x14ac:dyDescent="0.2">
      <c r="A51" s="1" t="s">
        <v>515</v>
      </c>
      <c r="B51" s="2">
        <v>0</v>
      </c>
      <c r="C51" s="2" t="s">
        <v>520</v>
      </c>
      <c r="D51" s="2" t="s">
        <v>521</v>
      </c>
      <c r="E51" s="2" t="s">
        <v>521</v>
      </c>
      <c r="F51" s="3">
        <v>112316</v>
      </c>
    </row>
    <row r="52" spans="1:9" x14ac:dyDescent="0.2">
      <c r="A52" s="1" t="s">
        <v>519</v>
      </c>
      <c r="B52" s="2">
        <v>0</v>
      </c>
      <c r="C52" s="2" t="s">
        <v>520</v>
      </c>
      <c r="D52" s="2" t="s">
        <v>521</v>
      </c>
      <c r="E52" s="2" t="s">
        <v>521</v>
      </c>
      <c r="F52" s="3">
        <v>24707961</v>
      </c>
    </row>
    <row r="53" spans="1:9" x14ac:dyDescent="0.2">
      <c r="A53" s="1" t="s">
        <v>522</v>
      </c>
      <c r="B53" s="2">
        <v>0</v>
      </c>
      <c r="C53" s="2" t="s">
        <v>521</v>
      </c>
      <c r="D53" s="2" t="s">
        <v>521</v>
      </c>
      <c r="E53" s="2" t="s">
        <v>521</v>
      </c>
      <c r="F53" s="3">
        <v>25352916</v>
      </c>
    </row>
    <row r="54" spans="1:9" x14ac:dyDescent="0.2">
      <c r="A54" s="1" t="s">
        <v>523</v>
      </c>
      <c r="B54" s="2">
        <v>0</v>
      </c>
      <c r="C54" s="2" t="s">
        <v>521</v>
      </c>
      <c r="D54" s="2" t="s">
        <v>521</v>
      </c>
      <c r="E54" s="2" t="s">
        <v>521</v>
      </c>
      <c r="F54" s="3">
        <v>866940</v>
      </c>
    </row>
    <row r="55" spans="1:9" x14ac:dyDescent="0.2">
      <c r="A55" s="1" t="s">
        <v>524</v>
      </c>
      <c r="B55" s="3">
        <v>3024</v>
      </c>
      <c r="C55" s="2" t="s">
        <v>613</v>
      </c>
      <c r="D55" s="2" t="s">
        <v>614</v>
      </c>
      <c r="E55" s="2" t="s">
        <v>615</v>
      </c>
      <c r="F55" s="3">
        <v>21200277</v>
      </c>
    </row>
    <row r="56" spans="1:9" x14ac:dyDescent="0.2">
      <c r="A56" s="1" t="s">
        <v>528</v>
      </c>
      <c r="B56" s="2">
        <v>0</v>
      </c>
      <c r="C56" s="2" t="s">
        <v>521</v>
      </c>
      <c r="D56" s="2" t="s">
        <v>521</v>
      </c>
      <c r="E56" s="2" t="s">
        <v>521</v>
      </c>
      <c r="F56" s="3">
        <v>2709900</v>
      </c>
    </row>
    <row r="57" spans="1:9" x14ac:dyDescent="0.2">
      <c r="A57" s="1" t="s">
        <v>529</v>
      </c>
      <c r="B57" s="3">
        <v>429691</v>
      </c>
      <c r="C57" s="2" t="s">
        <v>616</v>
      </c>
      <c r="D57" s="2" t="s">
        <v>617</v>
      </c>
      <c r="E57" s="2" t="s">
        <v>618</v>
      </c>
      <c r="F57" s="3">
        <v>2574412123</v>
      </c>
      <c r="H57" s="4" t="s">
        <v>19</v>
      </c>
      <c r="I57" s="4">
        <f>SUM(B57:B60)*8760/SUM(F57:F60)</f>
        <v>1.3827832469554544</v>
      </c>
    </row>
    <row r="58" spans="1:9" x14ac:dyDescent="0.2">
      <c r="A58" s="1" t="s">
        <v>533</v>
      </c>
      <c r="B58" s="3">
        <v>53623</v>
      </c>
      <c r="C58" s="2" t="s">
        <v>619</v>
      </c>
      <c r="D58" s="2" t="s">
        <v>620</v>
      </c>
      <c r="E58" s="2" t="s">
        <v>621</v>
      </c>
      <c r="F58" s="3">
        <v>317869638</v>
      </c>
    </row>
    <row r="59" spans="1:9" x14ac:dyDescent="0.2">
      <c r="A59" s="1" t="s">
        <v>537</v>
      </c>
      <c r="B59" s="3">
        <v>153420</v>
      </c>
      <c r="C59" s="2" t="s">
        <v>622</v>
      </c>
      <c r="D59" s="2" t="s">
        <v>623</v>
      </c>
      <c r="E59" s="2" t="s">
        <v>624</v>
      </c>
      <c r="F59" s="3">
        <v>920800268</v>
      </c>
    </row>
    <row r="60" spans="1:9" x14ac:dyDescent="0.2">
      <c r="A60" s="1" t="s">
        <v>541</v>
      </c>
      <c r="B60" s="3">
        <v>149922</v>
      </c>
      <c r="C60" s="2" t="s">
        <v>625</v>
      </c>
      <c r="D60" s="2" t="s">
        <v>626</v>
      </c>
      <c r="E60" s="2" t="s">
        <v>627</v>
      </c>
      <c r="F60" s="3">
        <v>1170422490</v>
      </c>
    </row>
    <row r="61" spans="1:9" x14ac:dyDescent="0.2">
      <c r="A61" s="15">
        <v>2023</v>
      </c>
      <c r="B61" s="15"/>
      <c r="C61" s="15"/>
      <c r="D61" s="15"/>
      <c r="E61" s="15"/>
      <c r="F61" s="15"/>
    </row>
    <row r="62" spans="1:9" x14ac:dyDescent="0.2">
      <c r="A62" s="1" t="s">
        <v>0</v>
      </c>
      <c r="B62" s="1" t="s">
        <v>545</v>
      </c>
      <c r="C62" s="1" t="s">
        <v>546</v>
      </c>
      <c r="D62" s="1" t="s">
        <v>547</v>
      </c>
      <c r="E62" s="1" t="s">
        <v>548</v>
      </c>
      <c r="F62" s="1" t="s">
        <v>549</v>
      </c>
      <c r="I62" s="4" t="s">
        <v>16</v>
      </c>
    </row>
    <row r="63" spans="1:9" x14ac:dyDescent="0.2">
      <c r="A63" s="1" t="s">
        <v>4</v>
      </c>
      <c r="B63" s="3">
        <v>1187826</v>
      </c>
      <c r="C63" s="2" t="s">
        <v>628</v>
      </c>
      <c r="D63" s="2" t="s">
        <v>629</v>
      </c>
      <c r="E63" s="2" t="s">
        <v>630</v>
      </c>
      <c r="F63" s="3">
        <v>3638939593</v>
      </c>
      <c r="H63" s="4" t="s">
        <v>17</v>
      </c>
      <c r="I63" s="4">
        <f>SUM(B63:B65)*8760/SUM(F63:F65)</f>
        <v>2.6886499934026822</v>
      </c>
    </row>
    <row r="64" spans="1:9" x14ac:dyDescent="0.2">
      <c r="A64" s="1" t="s">
        <v>488</v>
      </c>
      <c r="B64" s="3">
        <v>62186</v>
      </c>
      <c r="C64" s="2" t="s">
        <v>631</v>
      </c>
      <c r="D64" s="2" t="s">
        <v>632</v>
      </c>
      <c r="E64" s="2" t="s">
        <v>633</v>
      </c>
      <c r="F64" s="3">
        <v>421539913</v>
      </c>
    </row>
    <row r="65" spans="1:9" x14ac:dyDescent="0.2">
      <c r="A65" s="1" t="s">
        <v>492</v>
      </c>
      <c r="B65" s="3">
        <v>16197</v>
      </c>
      <c r="C65" s="2" t="s">
        <v>634</v>
      </c>
      <c r="D65" s="2" t="s">
        <v>635</v>
      </c>
      <c r="E65" s="2" t="s">
        <v>636</v>
      </c>
      <c r="F65" s="3">
        <v>65007585</v>
      </c>
    </row>
    <row r="66" spans="1:9" x14ac:dyDescent="0.2">
      <c r="A66" s="1" t="s">
        <v>134</v>
      </c>
      <c r="B66" s="3">
        <v>31194</v>
      </c>
      <c r="C66" s="2" t="s">
        <v>637</v>
      </c>
      <c r="D66" s="2" t="s">
        <v>638</v>
      </c>
      <c r="E66" s="2" t="s">
        <v>639</v>
      </c>
      <c r="F66" s="3">
        <v>144167748</v>
      </c>
      <c r="H66" s="4" t="s">
        <v>18</v>
      </c>
      <c r="I66" s="4">
        <f>SUM(B66:B70)*8760/SUM(F66:F70)</f>
        <v>1.8984536625686381</v>
      </c>
    </row>
    <row r="67" spans="1:9" x14ac:dyDescent="0.2">
      <c r="A67" s="1" t="s">
        <v>499</v>
      </c>
      <c r="B67" s="3">
        <v>155751</v>
      </c>
      <c r="C67" s="2" t="s">
        <v>640</v>
      </c>
      <c r="D67" s="2" t="s">
        <v>641</v>
      </c>
      <c r="E67" s="2" t="s">
        <v>642</v>
      </c>
      <c r="F67" s="3">
        <v>617965563</v>
      </c>
    </row>
    <row r="68" spans="1:9" x14ac:dyDescent="0.2">
      <c r="A68" s="1" t="s">
        <v>503</v>
      </c>
      <c r="B68" s="3">
        <v>420732</v>
      </c>
      <c r="C68" s="2" t="s">
        <v>643</v>
      </c>
      <c r="D68" s="2" t="s">
        <v>644</v>
      </c>
      <c r="E68" s="2" t="s">
        <v>645</v>
      </c>
      <c r="F68" s="3">
        <v>1999821988</v>
      </c>
    </row>
    <row r="69" spans="1:9" x14ac:dyDescent="0.2">
      <c r="A69" s="1" t="s">
        <v>507</v>
      </c>
      <c r="B69" s="3">
        <v>11961</v>
      </c>
      <c r="C69" s="2" t="s">
        <v>646</v>
      </c>
      <c r="D69" s="2" t="s">
        <v>647</v>
      </c>
      <c r="E69" s="2" t="s">
        <v>648</v>
      </c>
      <c r="F69" s="3">
        <v>60077659</v>
      </c>
    </row>
    <row r="70" spans="1:9" x14ac:dyDescent="0.2">
      <c r="A70" s="1" t="s">
        <v>511</v>
      </c>
      <c r="B70" s="3">
        <v>33233</v>
      </c>
      <c r="C70" s="2" t="s">
        <v>649</v>
      </c>
      <c r="D70" s="2" t="s">
        <v>650</v>
      </c>
      <c r="E70" s="2" t="s">
        <v>651</v>
      </c>
      <c r="F70" s="3">
        <v>190497752</v>
      </c>
    </row>
    <row r="71" spans="1:9" x14ac:dyDescent="0.2">
      <c r="A71" s="1" t="s">
        <v>515</v>
      </c>
      <c r="B71" s="2">
        <v>0</v>
      </c>
      <c r="C71" s="2" t="s">
        <v>520</v>
      </c>
      <c r="D71" s="2" t="s">
        <v>521</v>
      </c>
      <c r="E71" s="2" t="s">
        <v>521</v>
      </c>
      <c r="F71" s="3">
        <v>119549</v>
      </c>
    </row>
    <row r="72" spans="1:9" x14ac:dyDescent="0.2">
      <c r="A72" s="1" t="s">
        <v>519</v>
      </c>
      <c r="B72" s="2">
        <v>0</v>
      </c>
      <c r="C72" s="2" t="s">
        <v>520</v>
      </c>
      <c r="D72" s="2" t="s">
        <v>521</v>
      </c>
      <c r="E72" s="2" t="s">
        <v>521</v>
      </c>
      <c r="F72" s="3">
        <v>25144128</v>
      </c>
    </row>
    <row r="73" spans="1:9" x14ac:dyDescent="0.2">
      <c r="A73" s="1" t="s">
        <v>522</v>
      </c>
      <c r="B73" s="2">
        <v>0</v>
      </c>
      <c r="C73" s="2" t="s">
        <v>521</v>
      </c>
      <c r="D73" s="2" t="s">
        <v>521</v>
      </c>
      <c r="E73" s="2" t="s">
        <v>521</v>
      </c>
      <c r="F73" s="3">
        <v>25379496</v>
      </c>
    </row>
    <row r="74" spans="1:9" x14ac:dyDescent="0.2">
      <c r="A74" s="1" t="s">
        <v>523</v>
      </c>
      <c r="B74" s="2">
        <v>0</v>
      </c>
      <c r="C74" s="2" t="s">
        <v>521</v>
      </c>
      <c r="D74" s="2" t="s">
        <v>521</v>
      </c>
      <c r="E74" s="2" t="s">
        <v>521</v>
      </c>
      <c r="F74" s="3">
        <v>866940</v>
      </c>
    </row>
    <row r="75" spans="1:9" x14ac:dyDescent="0.2">
      <c r="A75" s="1" t="s">
        <v>524</v>
      </c>
      <c r="B75" s="3">
        <v>3288</v>
      </c>
      <c r="C75" s="2" t="s">
        <v>652</v>
      </c>
      <c r="D75" s="2" t="s">
        <v>653</v>
      </c>
      <c r="E75" s="2" t="s">
        <v>654</v>
      </c>
      <c r="F75" s="3">
        <v>23925861</v>
      </c>
    </row>
    <row r="76" spans="1:9" x14ac:dyDescent="0.2">
      <c r="A76" s="1" t="s">
        <v>528</v>
      </c>
      <c r="B76" s="2">
        <v>0</v>
      </c>
      <c r="C76" s="2" t="s">
        <v>521</v>
      </c>
      <c r="D76" s="2" t="s">
        <v>521</v>
      </c>
      <c r="E76" s="2" t="s">
        <v>521</v>
      </c>
      <c r="F76" s="3">
        <v>2808528</v>
      </c>
    </row>
    <row r="77" spans="1:9" x14ac:dyDescent="0.2">
      <c r="A77" s="1" t="s">
        <v>529</v>
      </c>
      <c r="B77" s="3">
        <v>456763</v>
      </c>
      <c r="C77" s="2" t="s">
        <v>655</v>
      </c>
      <c r="D77" s="2" t="s">
        <v>656</v>
      </c>
      <c r="E77" s="2" t="s">
        <v>657</v>
      </c>
      <c r="F77" s="3">
        <v>2539697109</v>
      </c>
      <c r="H77" s="4" t="s">
        <v>19</v>
      </c>
      <c r="I77" s="4">
        <f>SUM(B77:B80)*8760/SUM(F77:F80)</f>
        <v>1.3295040873262376</v>
      </c>
    </row>
    <row r="78" spans="1:9" x14ac:dyDescent="0.2">
      <c r="A78" s="1" t="s">
        <v>533</v>
      </c>
      <c r="B78" s="3">
        <v>53153</v>
      </c>
      <c r="C78" s="2" t="s">
        <v>658</v>
      </c>
      <c r="D78" s="2" t="s">
        <v>659</v>
      </c>
      <c r="E78" s="2" t="s">
        <v>660</v>
      </c>
      <c r="F78" s="3">
        <v>309460069</v>
      </c>
    </row>
    <row r="79" spans="1:9" x14ac:dyDescent="0.2">
      <c r="A79" s="1" t="s">
        <v>537</v>
      </c>
      <c r="B79" s="3">
        <v>150059</v>
      </c>
      <c r="C79" s="2" t="s">
        <v>661</v>
      </c>
      <c r="D79" s="2" t="s">
        <v>662</v>
      </c>
      <c r="E79" s="2" t="s">
        <v>663</v>
      </c>
      <c r="F79" s="3">
        <v>946107684</v>
      </c>
    </row>
    <row r="80" spans="1:9" x14ac:dyDescent="0.2">
      <c r="A80" s="1" t="s">
        <v>541</v>
      </c>
      <c r="B80" s="3">
        <v>129254</v>
      </c>
      <c r="C80" s="2" t="s">
        <v>664</v>
      </c>
      <c r="D80" s="2" t="s">
        <v>665</v>
      </c>
      <c r="E80" s="2" t="s">
        <v>666</v>
      </c>
      <c r="F80" s="3">
        <v>1404904213</v>
      </c>
    </row>
    <row r="81" spans="1:9" x14ac:dyDescent="0.2">
      <c r="A81" s="15">
        <v>2024</v>
      </c>
      <c r="B81" s="15"/>
      <c r="C81" s="15"/>
      <c r="D81" s="15"/>
      <c r="E81" s="15"/>
      <c r="F81" s="15"/>
    </row>
    <row r="82" spans="1:9" x14ac:dyDescent="0.2">
      <c r="A82" s="1" t="s">
        <v>0</v>
      </c>
      <c r="B82" s="1" t="s">
        <v>545</v>
      </c>
      <c r="C82" s="1" t="s">
        <v>546</v>
      </c>
      <c r="D82" s="1" t="s">
        <v>547</v>
      </c>
      <c r="E82" s="1" t="s">
        <v>548</v>
      </c>
      <c r="F82" s="1" t="s">
        <v>549</v>
      </c>
      <c r="I82" s="4" t="s">
        <v>16</v>
      </c>
    </row>
    <row r="83" spans="1:9" x14ac:dyDescent="0.2">
      <c r="A83" s="1" t="s">
        <v>4</v>
      </c>
      <c r="B83" s="3">
        <v>1105457</v>
      </c>
      <c r="C83" s="2" t="s">
        <v>667</v>
      </c>
      <c r="D83" s="2" t="s">
        <v>668</v>
      </c>
      <c r="E83" s="2" t="s">
        <v>669</v>
      </c>
      <c r="F83" s="3">
        <v>3484064621</v>
      </c>
      <c r="H83" s="4" t="s">
        <v>17</v>
      </c>
      <c r="I83" s="4">
        <f>SUM(B83:B85)*8760/SUM(F83:F85)</f>
        <v>2.5843544318565423</v>
      </c>
    </row>
    <row r="84" spans="1:9" x14ac:dyDescent="0.2">
      <c r="A84" s="1" t="s">
        <v>488</v>
      </c>
      <c r="B84" s="3">
        <v>60353</v>
      </c>
      <c r="C84" s="2" t="s">
        <v>670</v>
      </c>
      <c r="D84" s="2" t="s">
        <v>671</v>
      </c>
      <c r="E84" s="2" t="s">
        <v>672</v>
      </c>
      <c r="F84" s="3">
        <v>451197768</v>
      </c>
    </row>
    <row r="85" spans="1:9" x14ac:dyDescent="0.2">
      <c r="A85" s="1" t="s">
        <v>492</v>
      </c>
      <c r="B85" s="3">
        <v>15486</v>
      </c>
      <c r="C85" s="2" t="s">
        <v>673</v>
      </c>
      <c r="D85" s="2" t="s">
        <v>674</v>
      </c>
      <c r="E85" s="2" t="s">
        <v>675</v>
      </c>
      <c r="F85" s="3">
        <v>68891543</v>
      </c>
    </row>
    <row r="86" spans="1:9" x14ac:dyDescent="0.2">
      <c r="A86" s="1" t="s">
        <v>134</v>
      </c>
      <c r="B86" s="3">
        <v>31618</v>
      </c>
      <c r="C86" s="2" t="s">
        <v>676</v>
      </c>
      <c r="D86" s="2" t="s">
        <v>677</v>
      </c>
      <c r="E86" s="2" t="s">
        <v>678</v>
      </c>
      <c r="F86" s="3">
        <v>151823399</v>
      </c>
      <c r="H86" s="4" t="s">
        <v>18</v>
      </c>
      <c r="I86" s="4">
        <f>SUM(B86:B90)*8760/SUM(F86:F90)</f>
        <v>1.822936879476144</v>
      </c>
    </row>
    <row r="87" spans="1:9" x14ac:dyDescent="0.2">
      <c r="A87" s="1" t="s">
        <v>499</v>
      </c>
      <c r="B87" s="3">
        <v>149137</v>
      </c>
      <c r="C87" s="2" t="s">
        <v>679</v>
      </c>
      <c r="D87" s="2" t="s">
        <v>680</v>
      </c>
      <c r="E87" s="2" t="s">
        <v>681</v>
      </c>
      <c r="F87" s="3">
        <v>632120991</v>
      </c>
    </row>
    <row r="88" spans="1:9" x14ac:dyDescent="0.2">
      <c r="A88" s="1" t="s">
        <v>503</v>
      </c>
      <c r="B88" s="3">
        <v>387662</v>
      </c>
      <c r="C88" s="2" t="s">
        <v>682</v>
      </c>
      <c r="D88" s="2" t="s">
        <v>683</v>
      </c>
      <c r="E88" s="2" t="s">
        <v>684</v>
      </c>
      <c r="F88" s="3">
        <v>1911048139</v>
      </c>
    </row>
    <row r="89" spans="1:9" x14ac:dyDescent="0.2">
      <c r="A89" s="1" t="s">
        <v>507</v>
      </c>
      <c r="B89" s="3">
        <v>9681</v>
      </c>
      <c r="C89" s="2" t="s">
        <v>685</v>
      </c>
      <c r="D89" s="2" t="s">
        <v>686</v>
      </c>
      <c r="E89" s="2" t="s">
        <v>687</v>
      </c>
      <c r="F89" s="3">
        <v>50073748</v>
      </c>
    </row>
    <row r="90" spans="1:9" x14ac:dyDescent="0.2">
      <c r="A90" s="1" t="s">
        <v>511</v>
      </c>
      <c r="B90" s="3">
        <v>31026</v>
      </c>
      <c r="C90" s="2" t="s">
        <v>688</v>
      </c>
      <c r="D90" s="2" t="s">
        <v>689</v>
      </c>
      <c r="E90" s="2" t="s">
        <v>690</v>
      </c>
      <c r="F90" s="3">
        <v>182037947</v>
      </c>
    </row>
    <row r="91" spans="1:9" x14ac:dyDescent="0.2">
      <c r="A91" s="1" t="s">
        <v>515</v>
      </c>
      <c r="B91" s="2">
        <v>0</v>
      </c>
      <c r="C91" s="2" t="s">
        <v>691</v>
      </c>
      <c r="D91" s="2" t="s">
        <v>692</v>
      </c>
      <c r="E91" s="2" t="s">
        <v>693</v>
      </c>
      <c r="F91" s="3">
        <v>115852</v>
      </c>
    </row>
    <row r="92" spans="1:9" x14ac:dyDescent="0.2">
      <c r="A92" s="1" t="s">
        <v>519</v>
      </c>
      <c r="B92" s="2">
        <v>0</v>
      </c>
      <c r="C92" s="2" t="s">
        <v>520</v>
      </c>
      <c r="D92" s="2" t="s">
        <v>521</v>
      </c>
      <c r="E92" s="2" t="s">
        <v>521</v>
      </c>
      <c r="F92" s="3">
        <v>25271096</v>
      </c>
    </row>
    <row r="93" spans="1:9" x14ac:dyDescent="0.2">
      <c r="A93" s="1" t="s">
        <v>522</v>
      </c>
      <c r="B93" s="2">
        <v>0</v>
      </c>
      <c r="C93" s="2" t="s">
        <v>521</v>
      </c>
      <c r="D93" s="2" t="s">
        <v>521</v>
      </c>
      <c r="E93" s="2" t="s">
        <v>521</v>
      </c>
      <c r="F93" s="3">
        <v>19422996</v>
      </c>
    </row>
    <row r="94" spans="1:9" x14ac:dyDescent="0.2">
      <c r="A94" s="1" t="s">
        <v>523</v>
      </c>
      <c r="B94" s="2">
        <v>0</v>
      </c>
      <c r="C94" s="2" t="s">
        <v>521</v>
      </c>
      <c r="D94" s="2" t="s">
        <v>521</v>
      </c>
      <c r="E94" s="2" t="s">
        <v>521</v>
      </c>
      <c r="F94" s="3">
        <v>865476</v>
      </c>
    </row>
    <row r="95" spans="1:9" x14ac:dyDescent="0.2">
      <c r="A95" s="1" t="s">
        <v>524</v>
      </c>
      <c r="B95" s="3">
        <v>3277</v>
      </c>
      <c r="C95" s="2" t="s">
        <v>694</v>
      </c>
      <c r="D95" s="2" t="s">
        <v>695</v>
      </c>
      <c r="E95" s="2" t="s">
        <v>696</v>
      </c>
      <c r="F95" s="3">
        <v>26210461</v>
      </c>
    </row>
    <row r="96" spans="1:9" x14ac:dyDescent="0.2">
      <c r="A96" s="1" t="s">
        <v>528</v>
      </c>
      <c r="B96" s="2">
        <v>0</v>
      </c>
      <c r="C96" s="2" t="s">
        <v>521</v>
      </c>
      <c r="D96" s="2" t="s">
        <v>521</v>
      </c>
      <c r="E96" s="2" t="s">
        <v>521</v>
      </c>
      <c r="F96" s="3">
        <v>2673000</v>
      </c>
    </row>
    <row r="97" spans="1:9" x14ac:dyDescent="0.2">
      <c r="A97" s="1" t="s">
        <v>529</v>
      </c>
      <c r="B97" s="3">
        <v>429746</v>
      </c>
      <c r="C97" s="2" t="s">
        <v>697</v>
      </c>
      <c r="D97" s="2" t="s">
        <v>698</v>
      </c>
      <c r="E97" s="2" t="s">
        <v>699</v>
      </c>
      <c r="F97" s="3">
        <v>2553991388</v>
      </c>
      <c r="H97" s="4" t="s">
        <v>19</v>
      </c>
      <c r="I97" s="4">
        <f>SUM(B97:B100)*8760/SUM(F97:F100)</f>
        <v>1.1424521577057374</v>
      </c>
    </row>
    <row r="98" spans="1:9" x14ac:dyDescent="0.2">
      <c r="A98" s="1" t="s">
        <v>533</v>
      </c>
      <c r="B98" s="3">
        <v>47579</v>
      </c>
      <c r="C98" s="2" t="s">
        <v>700</v>
      </c>
      <c r="D98" s="2" t="s">
        <v>701</v>
      </c>
      <c r="E98" s="2" t="s">
        <v>702</v>
      </c>
      <c r="F98" s="3">
        <v>290388751</v>
      </c>
    </row>
    <row r="99" spans="1:9" x14ac:dyDescent="0.2">
      <c r="A99" s="1" t="s">
        <v>537</v>
      </c>
      <c r="B99" s="3">
        <v>142356</v>
      </c>
      <c r="C99" s="2" t="s">
        <v>703</v>
      </c>
      <c r="D99" s="2" t="s">
        <v>704</v>
      </c>
      <c r="E99" s="2" t="s">
        <v>705</v>
      </c>
      <c r="F99" s="3">
        <v>989885537</v>
      </c>
    </row>
    <row r="100" spans="1:9" x14ac:dyDescent="0.2">
      <c r="A100" s="1" t="s">
        <v>541</v>
      </c>
      <c r="B100" s="3">
        <v>117884</v>
      </c>
      <c r="C100" s="2" t="s">
        <v>706</v>
      </c>
      <c r="D100" s="2" t="s">
        <v>707</v>
      </c>
      <c r="E100" s="2" t="s">
        <v>708</v>
      </c>
      <c r="F100" s="3">
        <v>1821174122</v>
      </c>
    </row>
    <row r="101" spans="1:9" x14ac:dyDescent="0.2">
      <c r="A101" s="15">
        <v>2025</v>
      </c>
      <c r="B101" s="15"/>
      <c r="C101" s="15"/>
      <c r="D101" s="15"/>
      <c r="E101" s="15"/>
      <c r="F101" s="15"/>
    </row>
    <row r="102" spans="1:9" x14ac:dyDescent="0.2">
      <c r="A102" s="1" t="s">
        <v>0</v>
      </c>
      <c r="B102" s="1" t="s">
        <v>545</v>
      </c>
      <c r="C102" s="1" t="s">
        <v>546</v>
      </c>
      <c r="D102" s="1" t="s">
        <v>547</v>
      </c>
      <c r="E102" s="1" t="s">
        <v>548</v>
      </c>
      <c r="F102" s="1" t="s">
        <v>549</v>
      </c>
      <c r="I102" s="4" t="s">
        <v>16</v>
      </c>
    </row>
    <row r="103" spans="1:9" x14ac:dyDescent="0.2">
      <c r="A103" s="1" t="s">
        <v>4</v>
      </c>
      <c r="B103" s="3">
        <v>1222798</v>
      </c>
      <c r="C103" s="2" t="s">
        <v>709</v>
      </c>
      <c r="D103" s="2" t="s">
        <v>710</v>
      </c>
      <c r="E103" s="2" t="s">
        <v>711</v>
      </c>
      <c r="F103" s="3">
        <v>3439406623</v>
      </c>
      <c r="H103" s="4" t="s">
        <v>17</v>
      </c>
      <c r="I103" s="4">
        <f>SUM(B103:B105)*8760/SUM(F103:F105)</f>
        <v>2.9145172143873919</v>
      </c>
    </row>
    <row r="104" spans="1:9" x14ac:dyDescent="0.2">
      <c r="A104" s="1" t="s">
        <v>488</v>
      </c>
      <c r="B104" s="3">
        <v>69431</v>
      </c>
      <c r="C104" s="2" t="s">
        <v>712</v>
      </c>
      <c r="D104" s="2" t="s">
        <v>713</v>
      </c>
      <c r="E104" s="2" t="s">
        <v>714</v>
      </c>
      <c r="F104" s="3">
        <v>431701724</v>
      </c>
    </row>
    <row r="105" spans="1:9" x14ac:dyDescent="0.2">
      <c r="A105" s="1" t="s">
        <v>492</v>
      </c>
      <c r="B105" s="3">
        <v>18423</v>
      </c>
      <c r="C105" s="2" t="s">
        <v>715</v>
      </c>
      <c r="D105" s="2" t="s">
        <v>716</v>
      </c>
      <c r="E105" s="2" t="s">
        <v>717</v>
      </c>
      <c r="F105" s="3">
        <v>68244443</v>
      </c>
    </row>
    <row r="106" spans="1:9" x14ac:dyDescent="0.2">
      <c r="A106" s="1" t="s">
        <v>134</v>
      </c>
      <c r="B106" s="3">
        <v>23163</v>
      </c>
      <c r="C106" s="2" t="s">
        <v>718</v>
      </c>
      <c r="D106" s="2" t="s">
        <v>719</v>
      </c>
      <c r="E106" s="2" t="s">
        <v>720</v>
      </c>
      <c r="F106" s="3">
        <v>106006373</v>
      </c>
      <c r="H106" s="4" t="s">
        <v>18</v>
      </c>
      <c r="I106" s="4">
        <f>SUM(B106:B110)*8760/SUM(F106:F110)</f>
        <v>1.7952125810664479</v>
      </c>
    </row>
    <row r="107" spans="1:9" x14ac:dyDescent="0.2">
      <c r="A107" s="1" t="s">
        <v>499</v>
      </c>
      <c r="B107" s="3">
        <v>147833</v>
      </c>
      <c r="C107" s="2" t="s">
        <v>721</v>
      </c>
      <c r="D107" s="2" t="s">
        <v>722</v>
      </c>
      <c r="E107" s="2" t="s">
        <v>723</v>
      </c>
      <c r="F107" s="3">
        <v>646781455</v>
      </c>
    </row>
    <row r="108" spans="1:9" x14ac:dyDescent="0.2">
      <c r="A108" s="1" t="s">
        <v>503</v>
      </c>
      <c r="B108" s="3">
        <v>379101</v>
      </c>
      <c r="C108" s="2" t="s">
        <v>724</v>
      </c>
      <c r="D108" s="2" t="s">
        <v>725</v>
      </c>
      <c r="E108" s="2" t="s">
        <v>726</v>
      </c>
      <c r="F108" s="3">
        <v>1896646510</v>
      </c>
    </row>
    <row r="109" spans="1:9" x14ac:dyDescent="0.2">
      <c r="A109" s="1" t="s">
        <v>507</v>
      </c>
      <c r="B109" s="3">
        <v>9888</v>
      </c>
      <c r="C109" s="2" t="s">
        <v>727</v>
      </c>
      <c r="D109" s="2" t="s">
        <v>728</v>
      </c>
      <c r="E109" s="2" t="s">
        <v>729</v>
      </c>
      <c r="F109" s="3">
        <v>52518718</v>
      </c>
    </row>
    <row r="110" spans="1:9" x14ac:dyDescent="0.2">
      <c r="A110" s="1" t="s">
        <v>511</v>
      </c>
      <c r="B110" s="3">
        <v>29972</v>
      </c>
      <c r="C110" s="2" t="s">
        <v>730</v>
      </c>
      <c r="D110" s="2" t="s">
        <v>731</v>
      </c>
      <c r="E110" s="2" t="s">
        <v>732</v>
      </c>
      <c r="F110" s="3">
        <v>176827638</v>
      </c>
    </row>
    <row r="111" spans="1:9" x14ac:dyDescent="0.2">
      <c r="A111" s="1" t="s">
        <v>515</v>
      </c>
      <c r="B111" s="2">
        <v>3</v>
      </c>
      <c r="C111" s="2" t="s">
        <v>733</v>
      </c>
      <c r="D111" s="2" t="s">
        <v>693</v>
      </c>
      <c r="E111" s="2" t="s">
        <v>734</v>
      </c>
      <c r="F111" s="3">
        <v>34444</v>
      </c>
    </row>
    <row r="112" spans="1:9" x14ac:dyDescent="0.2">
      <c r="A112" s="1" t="s">
        <v>519</v>
      </c>
      <c r="B112" s="2">
        <v>0</v>
      </c>
      <c r="C112" s="2" t="s">
        <v>520</v>
      </c>
      <c r="D112" s="2" t="s">
        <v>521</v>
      </c>
      <c r="E112" s="2" t="s">
        <v>521</v>
      </c>
      <c r="F112" s="3">
        <v>25336747</v>
      </c>
    </row>
    <row r="113" spans="1:9" x14ac:dyDescent="0.2">
      <c r="A113" s="1" t="s">
        <v>522</v>
      </c>
      <c r="B113" s="2">
        <v>0</v>
      </c>
      <c r="C113" s="2" t="s">
        <v>521</v>
      </c>
      <c r="D113" s="2" t="s">
        <v>521</v>
      </c>
      <c r="E113" s="2" t="s">
        <v>521</v>
      </c>
      <c r="F113" s="3">
        <v>13968365</v>
      </c>
    </row>
    <row r="114" spans="1:9" x14ac:dyDescent="0.2">
      <c r="A114" s="1" t="s">
        <v>523</v>
      </c>
      <c r="B114" s="2">
        <v>0</v>
      </c>
      <c r="C114" s="2" t="s">
        <v>521</v>
      </c>
      <c r="D114" s="2" t="s">
        <v>521</v>
      </c>
      <c r="E114" s="2" t="s">
        <v>521</v>
      </c>
      <c r="F114" s="3">
        <v>364612</v>
      </c>
    </row>
    <row r="115" spans="1:9" x14ac:dyDescent="0.2">
      <c r="A115" s="1" t="s">
        <v>524</v>
      </c>
      <c r="B115" s="3">
        <v>3308</v>
      </c>
      <c r="C115" s="2" t="s">
        <v>735</v>
      </c>
      <c r="D115" s="2" t="s">
        <v>736</v>
      </c>
      <c r="E115" s="2" t="s">
        <v>737</v>
      </c>
      <c r="F115" s="3">
        <v>26783948</v>
      </c>
    </row>
    <row r="116" spans="1:9" x14ac:dyDescent="0.2">
      <c r="A116" s="1" t="s">
        <v>528</v>
      </c>
      <c r="B116" s="2">
        <v>0</v>
      </c>
      <c r="C116" s="2" t="s">
        <v>521</v>
      </c>
      <c r="D116" s="2" t="s">
        <v>521</v>
      </c>
      <c r="E116" s="2" t="s">
        <v>521</v>
      </c>
      <c r="F116" s="3">
        <v>2165699</v>
      </c>
    </row>
    <row r="117" spans="1:9" x14ac:dyDescent="0.2">
      <c r="A117" s="1" t="s">
        <v>529</v>
      </c>
      <c r="B117" s="3">
        <v>432154</v>
      </c>
      <c r="C117" s="2" t="s">
        <v>738</v>
      </c>
      <c r="D117" s="2" t="s">
        <v>739</v>
      </c>
      <c r="E117" s="2" t="s">
        <v>740</v>
      </c>
      <c r="F117" s="3">
        <v>2590147352</v>
      </c>
      <c r="H117" s="4" t="s">
        <v>19</v>
      </c>
      <c r="I117" s="4">
        <f>SUM(B117:B120)*8760/SUM(F117:F120)</f>
        <v>1.2146343462152129</v>
      </c>
    </row>
    <row r="118" spans="1:9" x14ac:dyDescent="0.2">
      <c r="A118" s="1" t="s">
        <v>533</v>
      </c>
      <c r="B118" s="3">
        <v>47876</v>
      </c>
      <c r="C118" s="2" t="s">
        <v>741</v>
      </c>
      <c r="D118" s="2" t="s">
        <v>742</v>
      </c>
      <c r="E118" s="2" t="s">
        <v>743</v>
      </c>
      <c r="F118" s="3">
        <v>277222110</v>
      </c>
    </row>
    <row r="119" spans="1:9" x14ac:dyDescent="0.2">
      <c r="A119" s="1" t="s">
        <v>537</v>
      </c>
      <c r="B119" s="3">
        <v>141296</v>
      </c>
      <c r="C119" s="2" t="s">
        <v>744</v>
      </c>
      <c r="D119" s="2" t="s">
        <v>745</v>
      </c>
      <c r="E119" s="2" t="s">
        <v>746</v>
      </c>
      <c r="F119" s="3">
        <v>941042434</v>
      </c>
    </row>
    <row r="120" spans="1:9" x14ac:dyDescent="0.2">
      <c r="A120" s="1" t="s">
        <v>541</v>
      </c>
      <c r="B120" s="3">
        <v>162340</v>
      </c>
      <c r="C120" s="2" t="s">
        <v>747</v>
      </c>
      <c r="D120" s="2" t="s">
        <v>748</v>
      </c>
      <c r="E120" s="2" t="s">
        <v>749</v>
      </c>
      <c r="F120" s="3">
        <v>1843424133</v>
      </c>
    </row>
    <row r="121" spans="1:9" x14ac:dyDescent="0.2">
      <c r="A121" s="2"/>
      <c r="B121" s="2"/>
      <c r="C121" s="2"/>
      <c r="D121" s="2"/>
      <c r="E121" s="2"/>
      <c r="F121" s="2"/>
    </row>
    <row r="122" spans="1:9" x14ac:dyDescent="0.2">
      <c r="A122" s="1"/>
      <c r="B122" s="9"/>
      <c r="C122" s="1"/>
      <c r="D122" s="1"/>
      <c r="E122" s="1"/>
      <c r="F122" s="9"/>
    </row>
  </sheetData>
  <mergeCells count="6">
    <mergeCell ref="A101:F101"/>
    <mergeCell ref="A1:F1"/>
    <mergeCell ref="A21:F21"/>
    <mergeCell ref="A41:F41"/>
    <mergeCell ref="A61:F61"/>
    <mergeCell ref="A81:F8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01E9-7D6E-A145-8454-FA331D6E942D}">
  <dimension ref="A1:Q10"/>
  <sheetViews>
    <sheetView workbookViewId="0">
      <selection activeCell="N2" sqref="N2:O5"/>
    </sheetView>
  </sheetViews>
  <sheetFormatPr baseColWidth="10" defaultRowHeight="16" x14ac:dyDescent="0.2"/>
  <cols>
    <col min="1" max="1" width="10.1640625" style="4" customWidth="1"/>
    <col min="2" max="2" width="11.6640625" style="4" bestFit="1" customWidth="1"/>
    <col min="3" max="7" width="11" style="4" bestFit="1" customWidth="1"/>
    <col min="8" max="10" width="11.6640625" style="4" bestFit="1" customWidth="1"/>
    <col min="11" max="11" width="14" style="4" bestFit="1" customWidth="1"/>
    <col min="12" max="12" width="12.83203125" style="4" bestFit="1" customWidth="1"/>
    <col min="13" max="16384" width="10.83203125" style="4"/>
  </cols>
  <sheetData>
    <row r="1" spans="1:17" x14ac:dyDescent="0.2">
      <c r="A1" s="14" t="s">
        <v>991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7" x14ac:dyDescent="0.2">
      <c r="B2" s="4" t="s">
        <v>1001</v>
      </c>
      <c r="C2" s="4" t="s">
        <v>1001</v>
      </c>
      <c r="D2" s="4" t="s">
        <v>1002</v>
      </c>
      <c r="E2" s="4" t="s">
        <v>1003</v>
      </c>
      <c r="F2" s="4" t="s">
        <v>1004</v>
      </c>
      <c r="G2" s="4" t="s">
        <v>1005</v>
      </c>
      <c r="I2" s="4" t="s">
        <v>995</v>
      </c>
      <c r="J2" s="4" t="s">
        <v>998</v>
      </c>
      <c r="K2" s="4" t="s">
        <v>1006</v>
      </c>
      <c r="L2" s="4" t="s">
        <v>437</v>
      </c>
      <c r="O2" s="4" t="s">
        <v>16</v>
      </c>
      <c r="Q2" s="4" t="s">
        <v>57</v>
      </c>
    </row>
    <row r="3" spans="1:17" x14ac:dyDescent="0.2">
      <c r="B3" s="4" t="s">
        <v>17</v>
      </c>
      <c r="C3" s="4" t="s">
        <v>17</v>
      </c>
      <c r="D3" s="4" t="s">
        <v>1007</v>
      </c>
      <c r="E3" s="4" t="s">
        <v>1007</v>
      </c>
      <c r="F3" s="4" t="s">
        <v>1008</v>
      </c>
      <c r="G3" s="4" t="s">
        <v>1008</v>
      </c>
      <c r="H3" s="4" t="s">
        <v>993</v>
      </c>
      <c r="I3" s="4" t="s">
        <v>996</v>
      </c>
      <c r="J3" s="4" t="s">
        <v>999</v>
      </c>
      <c r="K3" s="4" t="s">
        <v>1009</v>
      </c>
      <c r="L3" s="4" t="s">
        <v>1010</v>
      </c>
      <c r="N3" s="4" t="s">
        <v>17</v>
      </c>
      <c r="O3" s="4">
        <f>(B6+C6)/12*8760/(B5+C5)</f>
        <v>1.777455678066403</v>
      </c>
      <c r="Q3" s="4">
        <f>(O3+O8)/2</f>
        <v>1.884585410672097</v>
      </c>
    </row>
    <row r="4" spans="1:17" x14ac:dyDescent="0.2">
      <c r="B4" s="4" t="s">
        <v>1011</v>
      </c>
      <c r="C4" s="4" t="s">
        <v>1012</v>
      </c>
      <c r="D4" s="4" t="s">
        <v>1013</v>
      </c>
      <c r="E4" s="4" t="s">
        <v>992</v>
      </c>
      <c r="F4" s="4" t="s">
        <v>1014</v>
      </c>
      <c r="G4" s="4" t="s">
        <v>1015</v>
      </c>
      <c r="H4" s="4" t="s">
        <v>994</v>
      </c>
      <c r="I4" s="4" t="s">
        <v>997</v>
      </c>
      <c r="J4" s="4" t="s">
        <v>1000</v>
      </c>
      <c r="K4" s="4" t="s">
        <v>1000</v>
      </c>
      <c r="L4" s="4" t="s">
        <v>997</v>
      </c>
      <c r="N4" s="4" t="s">
        <v>18</v>
      </c>
      <c r="O4" s="4">
        <f>SUM(F6)/12*8760/SUM(F5)</f>
        <v>1.345245374082489</v>
      </c>
      <c r="Q4" s="4">
        <f t="shared" ref="Q4:Q5" si="0">(O4+O9)/2</f>
        <v>1.4653009604900473</v>
      </c>
    </row>
    <row r="5" spans="1:17" x14ac:dyDescent="0.2">
      <c r="A5" s="4" t="s">
        <v>1016</v>
      </c>
      <c r="B5" s="4">
        <v>793939806</v>
      </c>
      <c r="C5" s="4">
        <v>437447</v>
      </c>
      <c r="D5" s="4">
        <v>70405905</v>
      </c>
      <c r="E5" s="4">
        <v>659159</v>
      </c>
      <c r="F5" s="4">
        <v>37501047</v>
      </c>
      <c r="G5" s="4">
        <v>80941225</v>
      </c>
      <c r="H5" s="4">
        <v>9008707</v>
      </c>
      <c r="I5" s="4">
        <v>992893296</v>
      </c>
      <c r="J5" s="4">
        <v>198094047</v>
      </c>
      <c r="K5" s="4">
        <v>104067043.2</v>
      </c>
      <c r="L5" s="4">
        <v>1295054386.2</v>
      </c>
      <c r="N5" s="4" t="s">
        <v>19</v>
      </c>
      <c r="O5" s="4">
        <f>(G6+J6+K6)/12*8760/(G5+J5+K5)</f>
        <v>1.157149829722564</v>
      </c>
      <c r="Q5" s="4">
        <f t="shared" si="0"/>
        <v>1.1538441367645518</v>
      </c>
    </row>
    <row r="6" spans="1:17" x14ac:dyDescent="0.2">
      <c r="A6" s="4" t="s">
        <v>1017</v>
      </c>
      <c r="B6" s="4">
        <v>1931896</v>
      </c>
      <c r="C6" s="4">
        <v>2309.9710570432217</v>
      </c>
      <c r="D6" s="4">
        <v>326582</v>
      </c>
      <c r="E6" s="4">
        <v>4042.4493498256375</v>
      </c>
      <c r="F6" s="4">
        <v>69107</v>
      </c>
      <c r="G6" s="4">
        <v>145921</v>
      </c>
      <c r="H6" s="4">
        <v>22016</v>
      </c>
      <c r="I6" s="4">
        <v>2501874.4204068687</v>
      </c>
      <c r="J6" s="4">
        <v>281348.56</v>
      </c>
      <c r="K6" s="4">
        <v>180000</v>
      </c>
      <c r="L6" s="4">
        <v>2722615.05</v>
      </c>
    </row>
    <row r="7" spans="1:17" x14ac:dyDescent="0.2">
      <c r="A7" s="14" t="s">
        <v>1028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7" x14ac:dyDescent="0.2">
      <c r="B8" s="4" t="s">
        <v>1018</v>
      </c>
      <c r="C8" s="4" t="s">
        <v>1019</v>
      </c>
      <c r="D8" s="4" t="s">
        <v>1020</v>
      </c>
      <c r="E8" s="4" t="s">
        <v>1021</v>
      </c>
      <c r="F8" s="4" t="s">
        <v>1022</v>
      </c>
      <c r="G8" s="4" t="s">
        <v>1023</v>
      </c>
      <c r="H8" s="4" t="s">
        <v>1024</v>
      </c>
      <c r="I8" s="4" t="s">
        <v>1025</v>
      </c>
      <c r="J8" s="4" t="s">
        <v>1026</v>
      </c>
      <c r="K8" s="4" t="s">
        <v>1027</v>
      </c>
      <c r="L8" s="4" t="s">
        <v>305</v>
      </c>
      <c r="N8" s="4" t="s">
        <v>17</v>
      </c>
      <c r="O8" s="4">
        <f>(B10+C10)/12*8760/(B9+C9)</f>
        <v>1.9917151432777909</v>
      </c>
    </row>
    <row r="9" spans="1:17" x14ac:dyDescent="0.2">
      <c r="A9" s="4" t="s">
        <v>142</v>
      </c>
      <c r="B9" s="4">
        <v>842884819</v>
      </c>
      <c r="C9" s="4">
        <v>157760</v>
      </c>
      <c r="D9" s="4">
        <v>212575</v>
      </c>
      <c r="E9" s="4">
        <v>82360082</v>
      </c>
      <c r="F9" s="4">
        <v>1396110</v>
      </c>
      <c r="G9" s="4">
        <v>36945673</v>
      </c>
      <c r="H9" s="4">
        <v>119234589</v>
      </c>
      <c r="I9" s="4">
        <v>69502841</v>
      </c>
      <c r="J9" s="4">
        <v>139574198</v>
      </c>
      <c r="K9" s="4">
        <v>94772820</v>
      </c>
      <c r="L9" s="4">
        <v>5406125</v>
      </c>
      <c r="N9" s="4" t="s">
        <v>18</v>
      </c>
      <c r="O9" s="4">
        <f>SUM(E10:G10)/12*8760/SUM(E9:G9)</f>
        <v>1.5853565468976056</v>
      </c>
    </row>
    <row r="10" spans="1:17" ht="17" x14ac:dyDescent="0.2">
      <c r="A10" s="21" t="s">
        <v>1029</v>
      </c>
      <c r="B10" s="4">
        <v>2299702.2269583596</v>
      </c>
      <c r="C10" s="4">
        <v>435.67855159021195</v>
      </c>
      <c r="D10" s="4">
        <v>97.645889870285004</v>
      </c>
      <c r="E10" s="4">
        <v>189013.99690685957</v>
      </c>
      <c r="F10" s="4">
        <v>640.65668416111953</v>
      </c>
      <c r="G10" s="4">
        <v>72476.157231583362</v>
      </c>
      <c r="H10" s="4">
        <v>205950.09441084365</v>
      </c>
      <c r="I10" s="4">
        <v>105799.17850279964</v>
      </c>
      <c r="J10" s="4">
        <v>202365.78527905385</v>
      </c>
      <c r="K10" s="4">
        <v>152699.90400000001</v>
      </c>
      <c r="L10" s="4">
        <v>7344.121415770609</v>
      </c>
      <c r="N10" s="4" t="s">
        <v>19</v>
      </c>
      <c r="O10" s="4">
        <f>SUM(H10:K10)/12*8760/SUM(H9:K9)</f>
        <v>1.1505384438065396</v>
      </c>
    </row>
  </sheetData>
  <mergeCells count="2">
    <mergeCell ref="A1:L1"/>
    <mergeCell ref="A7:L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D1304-C3DA-5048-8BF0-4409CD2112DE}">
  <dimension ref="A1:I42"/>
  <sheetViews>
    <sheetView workbookViewId="0">
      <selection activeCell="N8" sqref="N8"/>
    </sheetView>
  </sheetViews>
  <sheetFormatPr baseColWidth="10" defaultRowHeight="16" x14ac:dyDescent="0.2"/>
  <cols>
    <col min="1" max="1" width="33" style="4" customWidth="1"/>
    <col min="2" max="3" width="10.83203125" style="4"/>
    <col min="4" max="4" width="27.5" style="4" customWidth="1"/>
    <col min="5" max="5" width="10.83203125" style="4"/>
    <col min="6" max="6" width="12.1640625" style="4" bestFit="1" customWidth="1"/>
    <col min="7" max="16384" width="10.83203125" style="4"/>
  </cols>
  <sheetData>
    <row r="1" spans="1:9" x14ac:dyDescent="0.2">
      <c r="A1" s="15">
        <v>2020</v>
      </c>
      <c r="B1" s="15"/>
      <c r="C1" s="15"/>
      <c r="D1" s="15"/>
    </row>
    <row r="2" spans="1:9" x14ac:dyDescent="0.2">
      <c r="A2" s="1" t="s">
        <v>750</v>
      </c>
      <c r="B2" s="1" t="s">
        <v>1</v>
      </c>
      <c r="C2" s="1" t="s">
        <v>751</v>
      </c>
      <c r="D2" s="1" t="s">
        <v>752</v>
      </c>
      <c r="G2" s="4" t="s">
        <v>16</v>
      </c>
      <c r="I2" s="4" t="s">
        <v>57</v>
      </c>
    </row>
    <row r="3" spans="1:9" x14ac:dyDescent="0.2">
      <c r="A3" s="1" t="s">
        <v>753</v>
      </c>
      <c r="B3" s="7">
        <v>5274.3</v>
      </c>
      <c r="C3" s="2" t="s">
        <v>754</v>
      </c>
      <c r="D3" s="3">
        <v>15933921417</v>
      </c>
      <c r="F3" s="4" t="s">
        <v>17</v>
      </c>
      <c r="G3" s="4">
        <f>B3*8760/D3*1000</f>
        <v>2.8996545665592319</v>
      </c>
      <c r="I3" s="4">
        <f>(G3+G10+G17+G24+G31+G38)/6</f>
        <v>2.8525006758773421</v>
      </c>
    </row>
    <row r="4" spans="1:9" x14ac:dyDescent="0.2">
      <c r="A4" s="1" t="s">
        <v>173</v>
      </c>
      <c r="B4" s="2">
        <v>332.7</v>
      </c>
      <c r="C4" s="2" t="s">
        <v>755</v>
      </c>
      <c r="D4" s="3">
        <v>1589192784</v>
      </c>
      <c r="F4" s="4" t="s">
        <v>18</v>
      </c>
      <c r="G4" s="4">
        <f>SUM(B4:B5)*8760/SUM(D4:D5)*1000</f>
        <v>1.7497749718923603</v>
      </c>
      <c r="I4" s="4">
        <f>(G4+G11+G18+G25+G32+G39)/6</f>
        <v>1.6991723488384369</v>
      </c>
    </row>
    <row r="5" spans="1:9" x14ac:dyDescent="0.2">
      <c r="A5" s="1" t="s">
        <v>756</v>
      </c>
      <c r="B5" s="2">
        <v>276.2</v>
      </c>
      <c r="C5" s="2" t="s">
        <v>757</v>
      </c>
      <c r="D5" s="3">
        <v>1459178627</v>
      </c>
      <c r="I5" s="4">
        <f>(G6+G13+G20+G27+G34+G41)/6</f>
        <v>1.4400596264377359</v>
      </c>
    </row>
    <row r="6" spans="1:9" x14ac:dyDescent="0.2">
      <c r="A6" s="1" t="s">
        <v>758</v>
      </c>
      <c r="B6" s="2">
        <v>20.3</v>
      </c>
      <c r="C6" s="2" t="s">
        <v>759</v>
      </c>
      <c r="D6" s="3">
        <v>343139121</v>
      </c>
      <c r="F6" s="4" t="s">
        <v>19</v>
      </c>
      <c r="G6" s="4">
        <f>SUM(B5:B6)*8760/SUM(D5:D6)*1000</f>
        <v>1.4411110376526126</v>
      </c>
    </row>
    <row r="7" spans="1:9" x14ac:dyDescent="0.2">
      <c r="A7" s="1" t="s">
        <v>437</v>
      </c>
      <c r="B7" s="10">
        <v>5903.5</v>
      </c>
      <c r="C7" s="1" t="s">
        <v>760</v>
      </c>
      <c r="D7" s="9">
        <v>19325431948</v>
      </c>
    </row>
    <row r="8" spans="1:9" x14ac:dyDescent="0.2">
      <c r="A8" s="15">
        <v>2021</v>
      </c>
      <c r="B8" s="15"/>
      <c r="C8" s="15"/>
      <c r="D8" s="15"/>
    </row>
    <row r="9" spans="1:9" x14ac:dyDescent="0.2">
      <c r="A9" s="1" t="s">
        <v>750</v>
      </c>
      <c r="B9" s="1" t="s">
        <v>1</v>
      </c>
      <c r="C9" s="1" t="s">
        <v>751</v>
      </c>
      <c r="D9" s="1" t="s">
        <v>752</v>
      </c>
      <c r="G9" s="4" t="s">
        <v>16</v>
      </c>
    </row>
    <row r="10" spans="1:9" x14ac:dyDescent="0.2">
      <c r="A10" s="1" t="s">
        <v>753</v>
      </c>
      <c r="B10" s="7">
        <v>5166.2</v>
      </c>
      <c r="C10" s="2" t="s">
        <v>761</v>
      </c>
      <c r="D10" s="3">
        <v>15764349660</v>
      </c>
      <c r="F10" s="4" t="s">
        <v>17</v>
      </c>
      <c r="G10" s="4">
        <f>B10*8760/D10*1000</f>
        <v>2.8707757044257289</v>
      </c>
    </row>
    <row r="11" spans="1:9" x14ac:dyDescent="0.2">
      <c r="A11" s="1" t="s">
        <v>173</v>
      </c>
      <c r="B11" s="2">
        <v>307.60000000000002</v>
      </c>
      <c r="C11" s="2" t="s">
        <v>762</v>
      </c>
      <c r="D11" s="3">
        <v>1616383577</v>
      </c>
      <c r="F11" s="4" t="s">
        <v>18</v>
      </c>
      <c r="G11" s="4">
        <f>SUM(B11:B12)*8760/SUM(D11:D12)*1000</f>
        <v>1.6186004483607588</v>
      </c>
    </row>
    <row r="12" spans="1:9" x14ac:dyDescent="0.2">
      <c r="A12" s="1" t="s">
        <v>756</v>
      </c>
      <c r="B12" s="2">
        <v>265.89999999999998</v>
      </c>
      <c r="C12" s="2" t="s">
        <v>763</v>
      </c>
      <c r="D12" s="3">
        <v>1487446034</v>
      </c>
    </row>
    <row r="13" spans="1:9" x14ac:dyDescent="0.2">
      <c r="A13" s="1" t="s">
        <v>758</v>
      </c>
      <c r="B13" s="2">
        <v>17.2</v>
      </c>
      <c r="C13" s="2" t="s">
        <v>764</v>
      </c>
      <c r="D13" s="3">
        <v>346622419</v>
      </c>
      <c r="F13" s="4" t="s">
        <v>19</v>
      </c>
      <c r="G13" s="4">
        <f>SUM(B12:B13)*8760/SUM(D12:D13)*1000</f>
        <v>1.3521610907943575</v>
      </c>
    </row>
    <row r="14" spans="1:9" x14ac:dyDescent="0.2">
      <c r="A14" s="1" t="s">
        <v>437</v>
      </c>
      <c r="B14" s="10">
        <v>5756.9</v>
      </c>
      <c r="C14" s="1" t="s">
        <v>765</v>
      </c>
      <c r="D14" s="9">
        <v>19214801690</v>
      </c>
    </row>
    <row r="15" spans="1:9" x14ac:dyDescent="0.2">
      <c r="A15" s="15">
        <v>2022</v>
      </c>
      <c r="B15" s="15"/>
      <c r="C15" s="15"/>
      <c r="D15" s="15"/>
    </row>
    <row r="16" spans="1:9" x14ac:dyDescent="0.2">
      <c r="A16" s="1" t="s">
        <v>750</v>
      </c>
      <c r="B16" s="1" t="s">
        <v>766</v>
      </c>
      <c r="C16" s="1" t="s">
        <v>751</v>
      </c>
      <c r="D16" s="1" t="s">
        <v>752</v>
      </c>
      <c r="G16" s="4" t="s">
        <v>16</v>
      </c>
    </row>
    <row r="17" spans="1:7" x14ac:dyDescent="0.2">
      <c r="A17" s="1" t="s">
        <v>753</v>
      </c>
      <c r="B17" s="7">
        <v>5413.7</v>
      </c>
      <c r="C17" s="2" t="s">
        <v>767</v>
      </c>
      <c r="D17" s="3">
        <v>16394489049</v>
      </c>
      <c r="F17" s="4" t="s">
        <v>17</v>
      </c>
      <c r="G17" s="4">
        <f>B17*8760/D17*1000</f>
        <v>2.8926800864765392</v>
      </c>
    </row>
    <row r="18" spans="1:7" x14ac:dyDescent="0.2">
      <c r="A18" s="1" t="s">
        <v>173</v>
      </c>
      <c r="B18" s="2">
        <v>318.5</v>
      </c>
      <c r="C18" s="2" t="s">
        <v>768</v>
      </c>
      <c r="D18" s="3">
        <v>1618140790</v>
      </c>
      <c r="F18" s="4" t="s">
        <v>18</v>
      </c>
      <c r="G18" s="4">
        <f>SUM(B18:B19)*8760/SUM(D18:D19)*1000</f>
        <v>1.6507433591802045</v>
      </c>
    </row>
    <row r="19" spans="1:7" x14ac:dyDescent="0.2">
      <c r="A19" s="1" t="s">
        <v>756</v>
      </c>
      <c r="B19" s="2">
        <v>270.39999999999998</v>
      </c>
      <c r="C19" s="2" t="s">
        <v>769</v>
      </c>
      <c r="D19" s="3">
        <v>1506974917</v>
      </c>
    </row>
    <row r="20" spans="1:7" x14ac:dyDescent="0.2">
      <c r="A20" s="1" t="s">
        <v>758</v>
      </c>
      <c r="B20" s="2">
        <v>18.600000000000001</v>
      </c>
      <c r="C20" s="2" t="s">
        <v>770</v>
      </c>
      <c r="D20" s="3">
        <v>354832301</v>
      </c>
      <c r="F20" s="4" t="s">
        <v>19</v>
      </c>
      <c r="G20" s="4">
        <f>SUM(B19:B20)*8760/SUM(D19:D20)*1000</f>
        <v>1.3597755855300373</v>
      </c>
    </row>
    <row r="21" spans="1:7" x14ac:dyDescent="0.2">
      <c r="A21" s="1" t="s">
        <v>437</v>
      </c>
      <c r="B21" s="10">
        <v>6021.2</v>
      </c>
      <c r="C21" s="1" t="s">
        <v>771</v>
      </c>
      <c r="D21" s="9">
        <v>19874437057</v>
      </c>
    </row>
    <row r="22" spans="1:7" x14ac:dyDescent="0.2">
      <c r="A22" s="15">
        <v>2023</v>
      </c>
      <c r="B22" s="15"/>
      <c r="C22" s="15"/>
      <c r="D22" s="15"/>
    </row>
    <row r="23" spans="1:7" x14ac:dyDescent="0.2">
      <c r="A23" s="1" t="s">
        <v>750</v>
      </c>
      <c r="B23" s="1" t="s">
        <v>766</v>
      </c>
      <c r="C23" s="1" t="s">
        <v>751</v>
      </c>
      <c r="D23" s="1" t="s">
        <v>752</v>
      </c>
      <c r="G23" s="4" t="s">
        <v>16</v>
      </c>
    </row>
    <row r="24" spans="1:7" x14ac:dyDescent="0.2">
      <c r="A24" s="1" t="s">
        <v>753</v>
      </c>
      <c r="B24" s="7">
        <v>5267</v>
      </c>
      <c r="C24" s="2" t="s">
        <v>772</v>
      </c>
      <c r="D24" s="3">
        <v>16289286665</v>
      </c>
      <c r="F24" s="4" t="s">
        <v>17</v>
      </c>
      <c r="G24" s="4">
        <f>B24*8760/D24*1000</f>
        <v>2.8324702578374077</v>
      </c>
    </row>
    <row r="25" spans="1:7" x14ac:dyDescent="0.2">
      <c r="A25" s="1" t="s">
        <v>173</v>
      </c>
      <c r="B25" s="2">
        <v>362.6</v>
      </c>
      <c r="C25" s="2" t="s">
        <v>773</v>
      </c>
      <c r="D25" s="3">
        <v>1596796544</v>
      </c>
      <c r="F25" s="4" t="s">
        <v>18</v>
      </c>
      <c r="G25" s="4">
        <f>SUM(B25:B26)*8760/SUM(D25:D26)*1000</f>
        <v>1.9644991873494517</v>
      </c>
    </row>
    <row r="26" spans="1:7" x14ac:dyDescent="0.2">
      <c r="A26" s="1" t="s">
        <v>756</v>
      </c>
      <c r="B26" s="2">
        <v>329.5</v>
      </c>
      <c r="C26" s="2" t="s">
        <v>774</v>
      </c>
      <c r="D26" s="3">
        <v>1489382386</v>
      </c>
    </row>
    <row r="27" spans="1:7" x14ac:dyDescent="0.2">
      <c r="A27" s="1" t="s">
        <v>758</v>
      </c>
      <c r="B27" s="2">
        <v>22.4</v>
      </c>
      <c r="C27" s="2" t="s">
        <v>775</v>
      </c>
      <c r="D27" s="3">
        <v>353935879</v>
      </c>
      <c r="F27" s="4" t="s">
        <v>19</v>
      </c>
      <c r="G27" s="4">
        <f>SUM(B26:B27)*8760/SUM(D26:D27)*1000</f>
        <v>1.6723341044960567</v>
      </c>
    </row>
    <row r="28" spans="1:7" x14ac:dyDescent="0.2">
      <c r="A28" s="1" t="s">
        <v>437</v>
      </c>
      <c r="B28" s="10">
        <v>5981.5</v>
      </c>
      <c r="C28" s="1" t="s">
        <v>776</v>
      </c>
      <c r="D28" s="9">
        <v>19729401475</v>
      </c>
    </row>
    <row r="29" spans="1:7" x14ac:dyDescent="0.2">
      <c r="A29" s="15">
        <v>2024</v>
      </c>
      <c r="B29" s="15"/>
      <c r="C29" s="15"/>
      <c r="D29" s="15"/>
    </row>
    <row r="30" spans="1:7" x14ac:dyDescent="0.2">
      <c r="A30" s="1" t="s">
        <v>750</v>
      </c>
      <c r="B30" s="1" t="s">
        <v>766</v>
      </c>
      <c r="C30" s="1" t="s">
        <v>751</v>
      </c>
      <c r="D30" s="1" t="s">
        <v>752</v>
      </c>
      <c r="G30" s="4" t="s">
        <v>16</v>
      </c>
    </row>
    <row r="31" spans="1:7" x14ac:dyDescent="0.2">
      <c r="A31" s="1" t="s">
        <v>753</v>
      </c>
      <c r="B31" s="7">
        <v>5009.8</v>
      </c>
      <c r="C31" s="2" t="s">
        <v>777</v>
      </c>
      <c r="D31" s="3">
        <v>16551242747</v>
      </c>
      <c r="F31" s="4" t="s">
        <v>17</v>
      </c>
      <c r="G31" s="4">
        <f>B31*8760/D31*1000</f>
        <v>2.6515137667202993</v>
      </c>
    </row>
    <row r="32" spans="1:7" x14ac:dyDescent="0.2">
      <c r="A32" s="1" t="s">
        <v>173</v>
      </c>
      <c r="B32" s="2">
        <v>287.8</v>
      </c>
      <c r="C32" s="2" t="s">
        <v>778</v>
      </c>
      <c r="D32" s="3">
        <v>1569605449</v>
      </c>
      <c r="F32" s="4" t="s">
        <v>18</v>
      </c>
      <c r="G32" s="4">
        <f>SUM(B32:B33)*8760/SUM(D32:D33)*1000</f>
        <v>1.5563254526064145</v>
      </c>
    </row>
    <row r="33" spans="1:7" x14ac:dyDescent="0.2">
      <c r="A33" s="1" t="s">
        <v>756</v>
      </c>
      <c r="B33" s="2">
        <v>286</v>
      </c>
      <c r="C33" s="2" t="s">
        <v>779</v>
      </c>
      <c r="D33" s="3">
        <v>1660109770</v>
      </c>
    </row>
    <row r="34" spans="1:7" x14ac:dyDescent="0.2">
      <c r="A34" s="1" t="s">
        <v>758</v>
      </c>
      <c r="B34" s="2">
        <v>12.6</v>
      </c>
      <c r="C34" s="2" t="s">
        <v>780</v>
      </c>
      <c r="D34" s="3">
        <v>146936649</v>
      </c>
      <c r="F34" s="4" t="s">
        <v>19</v>
      </c>
      <c r="G34" s="4">
        <f>SUM(B33:B34)*8760/SUM(D33:D34)*1000</f>
        <v>1.447520092730944</v>
      </c>
    </row>
    <row r="35" spans="1:7" x14ac:dyDescent="0.2">
      <c r="A35" s="1" t="s">
        <v>437</v>
      </c>
      <c r="B35" s="10">
        <v>5596.3</v>
      </c>
      <c r="C35" s="1" t="s">
        <v>781</v>
      </c>
      <c r="D35" s="9">
        <v>19927894615</v>
      </c>
    </row>
    <row r="36" spans="1:7" x14ac:dyDescent="0.2">
      <c r="A36" s="15">
        <v>2025</v>
      </c>
      <c r="B36" s="15"/>
      <c r="C36" s="15"/>
      <c r="D36" s="15"/>
    </row>
    <row r="37" spans="1:7" x14ac:dyDescent="0.2">
      <c r="A37" s="1" t="s">
        <v>750</v>
      </c>
      <c r="B37" s="1" t="s">
        <v>766</v>
      </c>
      <c r="C37" s="1" t="s">
        <v>751</v>
      </c>
      <c r="D37" s="1" t="s">
        <v>752</v>
      </c>
      <c r="G37" s="4" t="s">
        <v>16</v>
      </c>
    </row>
    <row r="38" spans="1:7" x14ac:dyDescent="0.2">
      <c r="A38" s="1" t="s">
        <v>753</v>
      </c>
      <c r="B38" s="7">
        <v>5496</v>
      </c>
      <c r="C38" s="2" t="s">
        <v>782</v>
      </c>
      <c r="D38" s="3">
        <v>16221841397</v>
      </c>
      <c r="F38" s="4" t="s">
        <v>17</v>
      </c>
      <c r="G38" s="4">
        <f>B38*8760/D38*1000</f>
        <v>2.9679096732448471</v>
      </c>
    </row>
    <row r="39" spans="1:7" x14ac:dyDescent="0.2">
      <c r="A39" s="1" t="s">
        <v>173</v>
      </c>
      <c r="B39" s="2">
        <v>280.60000000000002</v>
      </c>
      <c r="C39" s="2" t="s">
        <v>783</v>
      </c>
      <c r="D39" s="3">
        <v>1405079078</v>
      </c>
      <c r="F39" s="4" t="s">
        <v>18</v>
      </c>
      <c r="G39" s="4">
        <f>SUM(B39:B40)*8760/SUM(D39:D40)*1000</f>
        <v>1.6550906736414319</v>
      </c>
    </row>
    <row r="40" spans="1:7" x14ac:dyDescent="0.2">
      <c r="A40" s="1" t="s">
        <v>756</v>
      </c>
      <c r="B40" s="2">
        <v>239.2</v>
      </c>
      <c r="C40" s="2" t="s">
        <v>784</v>
      </c>
      <c r="D40" s="3">
        <v>1346098288</v>
      </c>
    </row>
    <row r="41" spans="1:7" x14ac:dyDescent="0.2">
      <c r="A41" s="1" t="s">
        <v>758</v>
      </c>
      <c r="B41" s="2">
        <v>20.9</v>
      </c>
      <c r="C41" s="2" t="s">
        <v>785</v>
      </c>
      <c r="D41" s="3">
        <v>320117118</v>
      </c>
      <c r="F41" s="4" t="s">
        <v>19</v>
      </c>
      <c r="G41" s="4">
        <f>SUM(B40:B41)*8760/SUM(D40:D41)*1000</f>
        <v>1.3674558474224068</v>
      </c>
    </row>
    <row r="42" spans="1:7" x14ac:dyDescent="0.2">
      <c r="A42" s="1" t="s">
        <v>437</v>
      </c>
      <c r="B42" s="10">
        <v>6036.7</v>
      </c>
      <c r="C42" s="1" t="s">
        <v>786</v>
      </c>
      <c r="D42" s="9">
        <v>19293135882</v>
      </c>
    </row>
  </sheetData>
  <mergeCells count="6">
    <mergeCell ref="A36:D36"/>
    <mergeCell ref="A1:D1"/>
    <mergeCell ref="A8:D8"/>
    <mergeCell ref="A15:D15"/>
    <mergeCell ref="A22:D22"/>
    <mergeCell ref="A29:D2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2A87-4D85-2E42-8F3E-AC71FD02DE7A}">
  <dimension ref="A1:M51"/>
  <sheetViews>
    <sheetView topLeftCell="A5" workbookViewId="0">
      <selection activeCell="A38" sqref="A38:H51"/>
    </sheetView>
  </sheetViews>
  <sheetFormatPr baseColWidth="10" defaultRowHeight="16" x14ac:dyDescent="0.2"/>
  <cols>
    <col min="2" max="2" width="15.33203125" customWidth="1"/>
    <col min="3" max="3" width="14.83203125" customWidth="1"/>
    <col min="5" max="5" width="14.1640625" customWidth="1"/>
    <col min="6" max="6" width="20.33203125" customWidth="1"/>
    <col min="8" max="8" width="17" customWidth="1"/>
  </cols>
  <sheetData>
    <row r="1" spans="1:13" x14ac:dyDescent="0.2">
      <c r="A1" s="17">
        <v>2020</v>
      </c>
      <c r="B1" s="17"/>
      <c r="C1" s="17"/>
      <c r="D1" s="17"/>
      <c r="E1" s="17"/>
      <c r="F1" s="17"/>
      <c r="G1" s="17"/>
      <c r="H1" s="17"/>
    </row>
    <row r="2" spans="1:13" x14ac:dyDescent="0.2">
      <c r="A2" s="1" t="s">
        <v>70</v>
      </c>
      <c r="B2" s="1" t="s">
        <v>787</v>
      </c>
      <c r="C2" s="1" t="s">
        <v>788</v>
      </c>
      <c r="D2" s="1" t="s">
        <v>789</v>
      </c>
      <c r="E2" s="1" t="s">
        <v>790</v>
      </c>
      <c r="F2" s="1" t="s">
        <v>791</v>
      </c>
      <c r="G2" s="1" t="s">
        <v>792</v>
      </c>
      <c r="H2" s="1" t="s">
        <v>793</v>
      </c>
      <c r="J2" s="4"/>
      <c r="K2" s="4" t="s">
        <v>16</v>
      </c>
      <c r="M2" s="4" t="s">
        <v>57</v>
      </c>
    </row>
    <row r="3" spans="1:13" x14ac:dyDescent="0.2">
      <c r="A3" s="1" t="s">
        <v>794</v>
      </c>
      <c r="B3" s="3">
        <v>13006560</v>
      </c>
      <c r="C3" s="3">
        <v>34504840</v>
      </c>
      <c r="D3" s="6">
        <v>1</v>
      </c>
      <c r="E3" s="3">
        <v>13006560</v>
      </c>
      <c r="F3" s="3">
        <v>13793085</v>
      </c>
      <c r="G3" s="3">
        <v>-786525</v>
      </c>
      <c r="H3" s="3">
        <v>8347265918</v>
      </c>
      <c r="M3" s="4"/>
    </row>
    <row r="4" spans="1:13" x14ac:dyDescent="0.2">
      <c r="A4" s="1" t="s">
        <v>17</v>
      </c>
      <c r="B4" s="2" t="s">
        <v>28</v>
      </c>
      <c r="C4" s="3">
        <v>17403440</v>
      </c>
      <c r="D4" s="6">
        <v>0.5</v>
      </c>
      <c r="E4" s="3">
        <v>6560207</v>
      </c>
      <c r="F4" s="3">
        <v>6458886</v>
      </c>
      <c r="G4" s="3">
        <v>101321</v>
      </c>
      <c r="H4" s="3">
        <v>5441055329</v>
      </c>
      <c r="J4" s="4" t="s">
        <v>17</v>
      </c>
      <c r="K4" s="4">
        <f>C4/12*8760/H4</f>
        <v>2.3349351241269098</v>
      </c>
      <c r="M4" s="4">
        <f>(K4+K10+K16+K22+K28+K34)/6</f>
        <v>2.2699564563315993</v>
      </c>
    </row>
    <row r="5" spans="1:13" x14ac:dyDescent="0.2">
      <c r="A5" s="1" t="s">
        <v>18</v>
      </c>
      <c r="B5" s="2" t="s">
        <v>28</v>
      </c>
      <c r="C5" s="3">
        <v>5977752</v>
      </c>
      <c r="D5" s="6">
        <v>0.17</v>
      </c>
      <c r="E5" s="3">
        <v>2253307</v>
      </c>
      <c r="F5" s="3">
        <v>3107393</v>
      </c>
      <c r="G5" s="3">
        <v>-854087</v>
      </c>
      <c r="H5" s="3">
        <v>2906210589</v>
      </c>
      <c r="J5" s="4" t="s">
        <v>18</v>
      </c>
      <c r="K5" s="4">
        <f>C5/12*8760/H5</f>
        <v>1.5015288212481288</v>
      </c>
      <c r="M5" s="4">
        <f t="shared" ref="M5" si="0">(K5+K11+K17+K23+K29+K35)/6</f>
        <v>1.5019628110608056</v>
      </c>
    </row>
    <row r="6" spans="1:13" x14ac:dyDescent="0.2">
      <c r="A6" s="1" t="s">
        <v>19</v>
      </c>
      <c r="B6" s="2" t="s">
        <v>28</v>
      </c>
      <c r="C6" s="3">
        <v>11123648</v>
      </c>
      <c r="D6" s="6">
        <v>0.32</v>
      </c>
      <c r="E6" s="3">
        <v>4193046</v>
      </c>
      <c r="F6" s="3">
        <v>4226806</v>
      </c>
      <c r="G6" s="3">
        <v>-33759</v>
      </c>
      <c r="H6" s="2" t="s">
        <v>28</v>
      </c>
      <c r="J6" s="4" t="s">
        <v>19</v>
      </c>
      <c r="K6" s="4" t="s">
        <v>146</v>
      </c>
      <c r="M6" s="4">
        <f>K36</f>
        <v>1.4826978720196609</v>
      </c>
    </row>
    <row r="7" spans="1:13" x14ac:dyDescent="0.2">
      <c r="A7" s="17">
        <v>2021</v>
      </c>
      <c r="B7" s="17"/>
      <c r="C7" s="17"/>
      <c r="D7" s="17"/>
      <c r="E7" s="17"/>
      <c r="F7" s="17"/>
      <c r="G7" s="17"/>
      <c r="H7" s="17"/>
    </row>
    <row r="8" spans="1:13" x14ac:dyDescent="0.2">
      <c r="A8" s="1" t="s">
        <v>70</v>
      </c>
      <c r="B8" s="1" t="s">
        <v>787</v>
      </c>
      <c r="C8" s="1" t="s">
        <v>788</v>
      </c>
      <c r="D8" s="1" t="s">
        <v>789</v>
      </c>
      <c r="E8" s="1" t="s">
        <v>790</v>
      </c>
      <c r="F8" s="1" t="s">
        <v>791</v>
      </c>
      <c r="G8" s="1" t="s">
        <v>792</v>
      </c>
      <c r="H8" s="1" t="s">
        <v>793</v>
      </c>
      <c r="J8" s="4"/>
      <c r="K8" s="4" t="s">
        <v>16</v>
      </c>
    </row>
    <row r="9" spans="1:13" x14ac:dyDescent="0.2">
      <c r="A9" s="1" t="s">
        <v>794</v>
      </c>
      <c r="B9" s="3">
        <v>11406600</v>
      </c>
      <c r="C9" s="3">
        <v>34164843</v>
      </c>
      <c r="D9" s="6">
        <v>1</v>
      </c>
      <c r="E9" s="3">
        <v>11406600</v>
      </c>
      <c r="F9" s="3">
        <v>689498</v>
      </c>
      <c r="G9" s="3">
        <v>10717102</v>
      </c>
      <c r="H9" s="3">
        <v>7455723084</v>
      </c>
    </row>
    <row r="10" spans="1:13" x14ac:dyDescent="0.2">
      <c r="A10" s="1" t="s">
        <v>17</v>
      </c>
      <c r="B10" s="2" t="s">
        <v>28</v>
      </c>
      <c r="C10" s="3">
        <v>17610539</v>
      </c>
      <c r="D10" s="6">
        <v>0.52</v>
      </c>
      <c r="E10" s="3">
        <v>5879622</v>
      </c>
      <c r="F10" s="3">
        <v>185957</v>
      </c>
      <c r="G10" s="3">
        <v>5693665</v>
      </c>
      <c r="H10" s="3">
        <v>5515770273</v>
      </c>
      <c r="J10" s="4" t="s">
        <v>17</v>
      </c>
      <c r="K10" s="4">
        <f>C10/12*8760/H10</f>
        <v>2.3307158989070538</v>
      </c>
    </row>
    <row r="11" spans="1:13" x14ac:dyDescent="0.2">
      <c r="A11" s="1" t="s">
        <v>18</v>
      </c>
      <c r="B11" s="2" t="s">
        <v>28</v>
      </c>
      <c r="C11" s="3">
        <v>5523469</v>
      </c>
      <c r="D11" s="6">
        <v>0.16</v>
      </c>
      <c r="E11" s="3">
        <v>1844118</v>
      </c>
      <c r="F11" s="3">
        <v>354223</v>
      </c>
      <c r="G11" s="3">
        <v>1489895</v>
      </c>
      <c r="H11" s="3">
        <v>1939952812</v>
      </c>
      <c r="J11" s="4" t="s">
        <v>18</v>
      </c>
      <c r="K11" s="4">
        <f>C11/12*8760/H11</f>
        <v>2.0784693035100483</v>
      </c>
    </row>
    <row r="12" spans="1:13" x14ac:dyDescent="0.2">
      <c r="A12" s="1" t="s">
        <v>19</v>
      </c>
      <c r="B12" s="2" t="s">
        <v>28</v>
      </c>
      <c r="C12" s="3">
        <v>11030836</v>
      </c>
      <c r="D12" s="6">
        <v>0.32</v>
      </c>
      <c r="E12" s="3">
        <v>3682860</v>
      </c>
      <c r="F12" s="3">
        <v>149318</v>
      </c>
      <c r="G12" s="3">
        <v>3533542</v>
      </c>
      <c r="H12" s="2" t="s">
        <v>28</v>
      </c>
      <c r="J12" s="4" t="s">
        <v>19</v>
      </c>
      <c r="K12" s="4" t="s">
        <v>146</v>
      </c>
    </row>
    <row r="13" spans="1:13" x14ac:dyDescent="0.2">
      <c r="A13" s="17">
        <v>2022</v>
      </c>
      <c r="B13" s="17"/>
      <c r="C13" s="17"/>
      <c r="D13" s="17"/>
      <c r="E13" s="17"/>
      <c r="F13" s="17"/>
      <c r="G13" s="17"/>
      <c r="H13" s="17"/>
    </row>
    <row r="14" spans="1:13" x14ac:dyDescent="0.2">
      <c r="A14" s="1" t="s">
        <v>70</v>
      </c>
      <c r="B14" s="1" t="s">
        <v>787</v>
      </c>
      <c r="C14" s="1" t="s">
        <v>788</v>
      </c>
      <c r="D14" s="1" t="s">
        <v>789</v>
      </c>
      <c r="E14" s="1" t="s">
        <v>790</v>
      </c>
      <c r="F14" s="1" t="s">
        <v>791</v>
      </c>
      <c r="G14" s="1" t="s">
        <v>792</v>
      </c>
      <c r="H14" s="1" t="s">
        <v>793</v>
      </c>
      <c r="J14" s="4"/>
      <c r="K14" s="4" t="s">
        <v>16</v>
      </c>
    </row>
    <row r="15" spans="1:13" x14ac:dyDescent="0.2">
      <c r="A15" s="1" t="s">
        <v>794</v>
      </c>
      <c r="B15" s="3">
        <v>13777471</v>
      </c>
      <c r="C15" s="3">
        <v>35441949</v>
      </c>
      <c r="D15" s="6">
        <v>1</v>
      </c>
      <c r="E15" s="3">
        <v>13777471</v>
      </c>
      <c r="F15" s="3">
        <v>-9978728</v>
      </c>
      <c r="G15" s="3">
        <v>23756199</v>
      </c>
      <c r="H15" s="3">
        <v>8585971648</v>
      </c>
    </row>
    <row r="16" spans="1:13" x14ac:dyDescent="0.2">
      <c r="A16" s="1" t="s">
        <v>17</v>
      </c>
      <c r="B16" s="2" t="s">
        <v>28</v>
      </c>
      <c r="C16" s="3">
        <v>18829845</v>
      </c>
      <c r="D16" s="6">
        <v>0.53</v>
      </c>
      <c r="E16" s="3">
        <v>7319790</v>
      </c>
      <c r="F16" s="3">
        <v>-5123095</v>
      </c>
      <c r="G16" s="3">
        <v>12442885</v>
      </c>
      <c r="H16" s="3">
        <v>5730753829</v>
      </c>
      <c r="J16" s="4" t="s">
        <v>17</v>
      </c>
      <c r="K16" s="4">
        <f>C16/12*8760/H16</f>
        <v>2.3986001248981585</v>
      </c>
    </row>
    <row r="17" spans="1:11" x14ac:dyDescent="0.2">
      <c r="A17" s="1" t="s">
        <v>18</v>
      </c>
      <c r="B17" s="2" t="s">
        <v>28</v>
      </c>
      <c r="C17" s="3">
        <v>5602590</v>
      </c>
      <c r="D17" s="6">
        <v>0.16</v>
      </c>
      <c r="E17" s="3">
        <v>2177914</v>
      </c>
      <c r="F17" s="3">
        <v>-1222791</v>
      </c>
      <c r="G17" s="3">
        <v>3400705</v>
      </c>
      <c r="H17" s="3">
        <v>2855217819</v>
      </c>
      <c r="J17" s="4" t="s">
        <v>18</v>
      </c>
      <c r="K17" s="4">
        <f>C17/12*8760/H17</f>
        <v>1.4324268617209832</v>
      </c>
    </row>
    <row r="18" spans="1:11" x14ac:dyDescent="0.2">
      <c r="A18" s="1" t="s">
        <v>19</v>
      </c>
      <c r="B18" s="2" t="s">
        <v>28</v>
      </c>
      <c r="C18" s="3">
        <v>11009514</v>
      </c>
      <c r="D18" s="6">
        <v>0.31</v>
      </c>
      <c r="E18" s="3">
        <v>4279766</v>
      </c>
      <c r="F18" s="3">
        <v>-3632842</v>
      </c>
      <c r="G18" s="3">
        <v>7912608</v>
      </c>
      <c r="H18" s="2" t="s">
        <v>28</v>
      </c>
      <c r="J18" s="4" t="s">
        <v>19</v>
      </c>
      <c r="K18" s="4" t="s">
        <v>146</v>
      </c>
    </row>
    <row r="19" spans="1:11" x14ac:dyDescent="0.2">
      <c r="A19" s="17">
        <v>2023</v>
      </c>
      <c r="B19" s="17"/>
      <c r="C19" s="17"/>
      <c r="D19" s="17"/>
      <c r="E19" s="17"/>
      <c r="F19" s="17"/>
      <c r="G19" s="17"/>
      <c r="H19" s="17"/>
    </row>
    <row r="20" spans="1:11" x14ac:dyDescent="0.2">
      <c r="A20" s="1" t="s">
        <v>70</v>
      </c>
      <c r="B20" s="1" t="s">
        <v>787</v>
      </c>
      <c r="C20" s="1" t="s">
        <v>788</v>
      </c>
      <c r="D20" s="1" t="s">
        <v>789</v>
      </c>
      <c r="E20" s="1" t="s">
        <v>790</v>
      </c>
      <c r="F20" s="1" t="s">
        <v>791</v>
      </c>
      <c r="G20" s="1" t="s">
        <v>792</v>
      </c>
      <c r="H20" s="1" t="s">
        <v>793</v>
      </c>
      <c r="J20" s="4"/>
      <c r="K20" s="4" t="s">
        <v>16</v>
      </c>
    </row>
    <row r="21" spans="1:11" x14ac:dyDescent="0.2">
      <c r="A21" s="1" t="s">
        <v>794</v>
      </c>
      <c r="B21" s="3">
        <v>17030937</v>
      </c>
      <c r="C21" s="3">
        <v>34822597</v>
      </c>
      <c r="D21" s="6">
        <v>1</v>
      </c>
      <c r="E21" s="3">
        <v>17030937</v>
      </c>
      <c r="F21" s="3">
        <v>-1582354</v>
      </c>
      <c r="G21" s="3">
        <v>18613291</v>
      </c>
      <c r="H21" s="3">
        <v>8777900603</v>
      </c>
    </row>
    <row r="22" spans="1:11" x14ac:dyDescent="0.2">
      <c r="A22" s="1" t="s">
        <v>17</v>
      </c>
      <c r="B22" s="2" t="s">
        <v>28</v>
      </c>
      <c r="C22" s="3">
        <v>17528697</v>
      </c>
      <c r="D22" s="6">
        <v>0.5</v>
      </c>
      <c r="E22" s="3">
        <v>8572885</v>
      </c>
      <c r="F22" s="3">
        <v>-450368</v>
      </c>
      <c r="G22" s="3">
        <v>9023253</v>
      </c>
      <c r="H22" s="3">
        <v>5900559709</v>
      </c>
      <c r="J22" s="4" t="s">
        <v>17</v>
      </c>
      <c r="K22" s="4">
        <f>C22/12*8760/H22</f>
        <v>2.1685991568702554</v>
      </c>
    </row>
    <row r="23" spans="1:11" x14ac:dyDescent="0.2">
      <c r="A23" s="1" t="s">
        <v>18</v>
      </c>
      <c r="B23" s="2" t="s">
        <v>28</v>
      </c>
      <c r="C23" s="3">
        <v>5340184</v>
      </c>
      <c r="D23" s="6">
        <v>0.15</v>
      </c>
      <c r="E23" s="3">
        <v>2611762</v>
      </c>
      <c r="F23" s="3">
        <v>5930</v>
      </c>
      <c r="G23" s="3">
        <v>2605832</v>
      </c>
      <c r="H23" s="3">
        <v>2877340894</v>
      </c>
      <c r="J23" s="4" t="s">
        <v>18</v>
      </c>
      <c r="K23" s="4">
        <f>C23/12*8760/H23</f>
        <v>1.3548392295570661</v>
      </c>
    </row>
    <row r="24" spans="1:11" x14ac:dyDescent="0.2">
      <c r="A24" s="1" t="s">
        <v>19</v>
      </c>
      <c r="B24" s="2" t="s">
        <v>28</v>
      </c>
      <c r="C24" s="3">
        <v>11953716</v>
      </c>
      <c r="D24" s="6">
        <v>0.34</v>
      </c>
      <c r="E24" s="3">
        <v>5846289</v>
      </c>
      <c r="F24" s="3">
        <v>-1137916</v>
      </c>
      <c r="G24" s="3">
        <v>6984205</v>
      </c>
      <c r="H24" s="2" t="s">
        <v>28</v>
      </c>
      <c r="J24" s="4" t="s">
        <v>19</v>
      </c>
      <c r="K24" s="4" t="s">
        <v>146</v>
      </c>
    </row>
    <row r="25" spans="1:11" x14ac:dyDescent="0.2">
      <c r="A25" s="17">
        <v>2024</v>
      </c>
      <c r="B25" s="17"/>
      <c r="C25" s="17"/>
      <c r="D25" s="17"/>
      <c r="E25" s="17"/>
      <c r="F25" s="17"/>
      <c r="G25" s="17"/>
      <c r="H25" s="17"/>
    </row>
    <row r="26" spans="1:11" x14ac:dyDescent="0.2">
      <c r="A26" s="1" t="s">
        <v>70</v>
      </c>
      <c r="B26" s="1" t="s">
        <v>787</v>
      </c>
      <c r="C26" s="1" t="s">
        <v>788</v>
      </c>
      <c r="D26" s="1" t="s">
        <v>789</v>
      </c>
      <c r="E26" s="1" t="s">
        <v>790</v>
      </c>
      <c r="F26" s="1" t="s">
        <v>791</v>
      </c>
      <c r="G26" s="1" t="s">
        <v>792</v>
      </c>
      <c r="H26" s="1" t="s">
        <v>793</v>
      </c>
      <c r="J26" s="4"/>
      <c r="K26" s="4" t="s">
        <v>16</v>
      </c>
    </row>
    <row r="27" spans="1:11" x14ac:dyDescent="0.2">
      <c r="A27" s="1" t="s">
        <v>794</v>
      </c>
      <c r="B27" s="3">
        <v>13223788</v>
      </c>
      <c r="C27" s="3">
        <v>33246375</v>
      </c>
      <c r="D27" s="6">
        <v>1</v>
      </c>
      <c r="E27" s="3">
        <v>13223788</v>
      </c>
      <c r="F27" s="3">
        <v>4696093</v>
      </c>
      <c r="G27" s="3">
        <v>8527695</v>
      </c>
      <c r="H27" s="3">
        <v>8714025049</v>
      </c>
    </row>
    <row r="28" spans="1:11" x14ac:dyDescent="0.2">
      <c r="A28" s="1" t="s">
        <v>17</v>
      </c>
      <c r="B28" s="2" t="s">
        <v>28</v>
      </c>
      <c r="C28" s="3">
        <v>17141270</v>
      </c>
      <c r="D28" s="6">
        <v>0.52</v>
      </c>
      <c r="E28" s="3">
        <v>6817962</v>
      </c>
      <c r="F28" s="3">
        <v>2762181</v>
      </c>
      <c r="G28" s="3">
        <v>4055781</v>
      </c>
      <c r="H28" s="3">
        <v>5890809097</v>
      </c>
      <c r="J28" s="4" t="s">
        <v>17</v>
      </c>
      <c r="K28" s="4">
        <f>C28/12*8760/H28</f>
        <v>2.1241780023685597</v>
      </c>
    </row>
    <row r="29" spans="1:11" x14ac:dyDescent="0.2">
      <c r="A29" s="1" t="s">
        <v>18</v>
      </c>
      <c r="B29" s="2" t="s">
        <v>28</v>
      </c>
      <c r="C29" s="3">
        <v>5120403</v>
      </c>
      <c r="D29" s="6">
        <v>0.15</v>
      </c>
      <c r="E29" s="3">
        <v>2036647</v>
      </c>
      <c r="F29" s="3">
        <v>942292</v>
      </c>
      <c r="G29" s="3">
        <v>1094355</v>
      </c>
      <c r="H29" s="3">
        <v>2823215952</v>
      </c>
      <c r="J29" s="4" t="s">
        <v>18</v>
      </c>
      <c r="K29" s="4">
        <f>C29/12*8760/H29</f>
        <v>1.3239845104133925</v>
      </c>
    </row>
    <row r="30" spans="1:11" x14ac:dyDescent="0.2">
      <c r="A30" s="1" t="s">
        <v>19</v>
      </c>
      <c r="B30" s="2" t="s">
        <v>28</v>
      </c>
      <c r="C30" s="3">
        <v>10984701</v>
      </c>
      <c r="D30" s="6">
        <v>0.33</v>
      </c>
      <c r="E30" s="3">
        <v>4369179</v>
      </c>
      <c r="F30" s="3">
        <v>991620</v>
      </c>
      <c r="G30" s="3">
        <v>3377559</v>
      </c>
      <c r="H30" s="2" t="s">
        <v>28</v>
      </c>
      <c r="J30" s="4" t="s">
        <v>19</v>
      </c>
      <c r="K30" s="4" t="s">
        <v>146</v>
      </c>
    </row>
    <row r="31" spans="1:11" x14ac:dyDescent="0.2">
      <c r="A31" s="17">
        <v>2025</v>
      </c>
      <c r="B31" s="17"/>
      <c r="C31" s="17"/>
      <c r="D31" s="17"/>
      <c r="E31" s="17"/>
      <c r="F31" s="17"/>
      <c r="G31" s="17"/>
      <c r="H31" s="17"/>
    </row>
    <row r="32" spans="1:11" x14ac:dyDescent="0.2">
      <c r="A32" s="1" t="s">
        <v>70</v>
      </c>
      <c r="B32" s="1" t="s">
        <v>787</v>
      </c>
      <c r="C32" s="1" t="s">
        <v>788</v>
      </c>
      <c r="D32" s="1" t="s">
        <v>789</v>
      </c>
      <c r="E32" s="1" t="s">
        <v>790</v>
      </c>
      <c r="F32" s="1" t="s">
        <v>791</v>
      </c>
      <c r="G32" s="1" t="s">
        <v>792</v>
      </c>
      <c r="H32" s="1" t="s">
        <v>793</v>
      </c>
      <c r="J32" s="4"/>
      <c r="K32" s="4" t="s">
        <v>16</v>
      </c>
    </row>
    <row r="33" spans="1:11" x14ac:dyDescent="0.2">
      <c r="A33" s="1" t="s">
        <v>794</v>
      </c>
      <c r="B33" s="3">
        <v>4015701</v>
      </c>
      <c r="C33" s="3">
        <v>35349854</v>
      </c>
      <c r="D33" s="6">
        <v>1</v>
      </c>
      <c r="E33" s="3">
        <v>4015701</v>
      </c>
      <c r="F33" s="3">
        <v>13574594</v>
      </c>
      <c r="G33" s="3">
        <v>-9558893</v>
      </c>
      <c r="H33" s="3">
        <v>9052494324</v>
      </c>
    </row>
    <row r="34" spans="1:11" x14ac:dyDescent="0.2">
      <c r="A34" s="1" t="s">
        <v>17</v>
      </c>
      <c r="B34" s="2" t="s">
        <v>28</v>
      </c>
      <c r="C34" s="3">
        <v>18524247</v>
      </c>
      <c r="D34" s="6">
        <v>0.52</v>
      </c>
      <c r="E34" s="3">
        <v>2104332</v>
      </c>
      <c r="F34" s="3">
        <v>7199486</v>
      </c>
      <c r="G34" s="3">
        <v>-5095154</v>
      </c>
      <c r="H34" s="3">
        <v>5976328268</v>
      </c>
      <c r="J34" s="4" t="s">
        <v>17</v>
      </c>
      <c r="K34" s="4">
        <f>C34/12*8760/H34</f>
        <v>2.2627104308186574</v>
      </c>
    </row>
    <row r="35" spans="1:11" x14ac:dyDescent="0.2">
      <c r="A35" s="1" t="s">
        <v>18</v>
      </c>
      <c r="B35" s="2" t="s">
        <v>28</v>
      </c>
      <c r="C35" s="3">
        <v>5564608</v>
      </c>
      <c r="D35" s="6">
        <v>0.16</v>
      </c>
      <c r="E35" s="3">
        <v>632133</v>
      </c>
      <c r="F35" s="3">
        <v>2223591</v>
      </c>
      <c r="G35" s="3">
        <v>-1591458</v>
      </c>
      <c r="H35" s="3">
        <v>3076166056</v>
      </c>
      <c r="J35" s="4" t="s">
        <v>18</v>
      </c>
      <c r="K35" s="4">
        <f>C35/12*8760/H35</f>
        <v>1.320528139915214</v>
      </c>
    </row>
    <row r="36" spans="1:11" x14ac:dyDescent="0.2">
      <c r="A36" s="1" t="s">
        <v>19</v>
      </c>
      <c r="B36" s="2" t="s">
        <v>28</v>
      </c>
      <c r="C36" s="3">
        <v>11260998</v>
      </c>
      <c r="D36" s="6">
        <v>0.32</v>
      </c>
      <c r="E36" s="3">
        <v>1279236</v>
      </c>
      <c r="F36" s="3">
        <v>4151517</v>
      </c>
      <c r="G36" s="3">
        <v>-2872281</v>
      </c>
      <c r="H36" s="2">
        <f>H34/H40*H42</f>
        <v>5544304537.7831326</v>
      </c>
      <c r="J36" s="4" t="s">
        <v>19</v>
      </c>
      <c r="K36" s="4">
        <f>C36/12*8760/H36</f>
        <v>1.4826978720196609</v>
      </c>
    </row>
    <row r="38" spans="1:11" x14ac:dyDescent="0.2">
      <c r="A38" s="18" t="s">
        <v>940</v>
      </c>
      <c r="B38" s="4"/>
      <c r="C38" s="4"/>
      <c r="D38" s="4"/>
      <c r="E38" s="4"/>
      <c r="F38" s="4"/>
      <c r="G38" s="4"/>
      <c r="H38" s="4"/>
    </row>
    <row r="39" spans="1:11" x14ac:dyDescent="0.2">
      <c r="A39" s="1" t="s">
        <v>941</v>
      </c>
      <c r="B39" s="1" t="s">
        <v>942</v>
      </c>
      <c r="C39" s="1" t="s">
        <v>943</v>
      </c>
      <c r="D39" s="1" t="s">
        <v>944</v>
      </c>
      <c r="E39" s="1" t="s">
        <v>945</v>
      </c>
      <c r="F39" s="4"/>
      <c r="G39" s="4"/>
      <c r="H39" s="4"/>
    </row>
    <row r="40" spans="1:11" x14ac:dyDescent="0.2">
      <c r="A40" s="2" t="s">
        <v>153</v>
      </c>
      <c r="B40" s="3">
        <v>5857567027</v>
      </c>
      <c r="C40" s="8">
        <v>0.41499999999999998</v>
      </c>
      <c r="D40" s="3">
        <v>525508</v>
      </c>
      <c r="E40" s="8">
        <v>0.88200000000000001</v>
      </c>
      <c r="F40" s="4"/>
      <c r="G40" s="4" t="s">
        <v>17</v>
      </c>
      <c r="H40" s="20">
        <f>C40</f>
        <v>0.41499999999999998</v>
      </c>
    </row>
    <row r="41" spans="1:11" x14ac:dyDescent="0.2">
      <c r="A41" s="2" t="s">
        <v>946</v>
      </c>
      <c r="B41" s="3">
        <v>10064727</v>
      </c>
      <c r="C41" s="8">
        <v>1E-3</v>
      </c>
      <c r="D41" s="2">
        <v>252</v>
      </c>
      <c r="E41" s="8">
        <v>0</v>
      </c>
      <c r="F41" s="4"/>
      <c r="G41" s="4" t="s">
        <v>18</v>
      </c>
      <c r="H41" s="20">
        <f>C41+C42+C43</f>
        <v>0.19700000000000001</v>
      </c>
    </row>
    <row r="42" spans="1:11" x14ac:dyDescent="0.2">
      <c r="A42" s="2" t="s">
        <v>947</v>
      </c>
      <c r="B42" s="3">
        <v>151865272</v>
      </c>
      <c r="C42" s="8">
        <v>1.0999999999999999E-2</v>
      </c>
      <c r="D42" s="3">
        <v>41202</v>
      </c>
      <c r="E42" s="8">
        <v>6.9000000000000006E-2</v>
      </c>
      <c r="F42" s="4"/>
      <c r="G42" s="4" t="s">
        <v>19</v>
      </c>
      <c r="H42" s="20">
        <f>C44+C45+C46</f>
        <v>0.38500000000000001</v>
      </c>
    </row>
    <row r="43" spans="1:11" x14ac:dyDescent="0.2">
      <c r="A43" s="2" t="s">
        <v>948</v>
      </c>
      <c r="B43" s="3">
        <v>2610563574</v>
      </c>
      <c r="C43" s="8">
        <v>0.185</v>
      </c>
      <c r="D43" s="3">
        <v>26308</v>
      </c>
      <c r="E43" s="8">
        <v>4.3999999999999997E-2</v>
      </c>
      <c r="F43" s="4"/>
      <c r="G43" s="4"/>
      <c r="H43" s="4"/>
    </row>
    <row r="44" spans="1:11" x14ac:dyDescent="0.2">
      <c r="A44" s="2" t="s">
        <v>949</v>
      </c>
      <c r="B44" s="3">
        <v>862656896</v>
      </c>
      <c r="C44" s="8">
        <v>6.0999999999999999E-2</v>
      </c>
      <c r="D44" s="2">
        <v>399</v>
      </c>
      <c r="E44" s="8">
        <v>1E-3</v>
      </c>
      <c r="F44" s="4"/>
      <c r="G44" s="4"/>
      <c r="H44" s="4"/>
    </row>
    <row r="45" spans="1:11" x14ac:dyDescent="0.2">
      <c r="A45" s="2" t="s">
        <v>135</v>
      </c>
      <c r="B45" s="3">
        <v>2723839928</v>
      </c>
      <c r="C45" s="8">
        <v>0.193</v>
      </c>
      <c r="D45" s="2">
        <v>582</v>
      </c>
      <c r="E45" s="8">
        <v>1E-3</v>
      </c>
      <c r="F45" s="4"/>
      <c r="G45" s="4"/>
      <c r="H45" s="4"/>
    </row>
    <row r="46" spans="1:11" x14ac:dyDescent="0.2">
      <c r="A46" s="2" t="s">
        <v>1030</v>
      </c>
      <c r="B46" s="3">
        <v>1848231542</v>
      </c>
      <c r="C46" s="8">
        <v>0.13100000000000001</v>
      </c>
      <c r="D46" s="2">
        <v>33</v>
      </c>
      <c r="E46" s="8">
        <v>0</v>
      </c>
      <c r="F46" s="4"/>
      <c r="G46" s="4"/>
      <c r="H46" s="4"/>
    </row>
    <row r="47" spans="1:11" x14ac:dyDescent="0.2">
      <c r="A47" s="2" t="s">
        <v>1031</v>
      </c>
      <c r="B47" s="3">
        <v>1092299</v>
      </c>
      <c r="C47" s="8">
        <v>0</v>
      </c>
      <c r="D47" s="2">
        <v>70</v>
      </c>
      <c r="E47" s="8">
        <v>0</v>
      </c>
      <c r="F47" s="4"/>
      <c r="G47" s="4"/>
      <c r="H47" s="4"/>
    </row>
    <row r="48" spans="1:11" x14ac:dyDescent="0.2">
      <c r="A48" s="2" t="s">
        <v>1032</v>
      </c>
      <c r="B48" s="3">
        <v>4347594</v>
      </c>
      <c r="C48" s="8">
        <v>0</v>
      </c>
      <c r="D48" s="2">
        <v>55</v>
      </c>
      <c r="E48" s="8">
        <v>0</v>
      </c>
      <c r="F48" s="4"/>
      <c r="G48" s="4"/>
      <c r="H48" s="4"/>
    </row>
    <row r="49" spans="1:8" x14ac:dyDescent="0.2">
      <c r="A49" s="2" t="s">
        <v>953</v>
      </c>
      <c r="B49" s="3">
        <v>4007790</v>
      </c>
      <c r="C49" s="8">
        <v>0</v>
      </c>
      <c r="D49" s="2">
        <v>783</v>
      </c>
      <c r="E49" s="8">
        <v>1E-3</v>
      </c>
      <c r="F49" s="4"/>
      <c r="G49" s="4"/>
      <c r="H49" s="4"/>
    </row>
    <row r="50" spans="1:8" x14ac:dyDescent="0.2">
      <c r="A50" s="2" t="s">
        <v>954</v>
      </c>
      <c r="B50" s="3">
        <v>25935220</v>
      </c>
      <c r="C50" s="8">
        <v>2E-3</v>
      </c>
      <c r="D50" s="2">
        <v>610</v>
      </c>
      <c r="E50" s="8">
        <v>1E-3</v>
      </c>
      <c r="F50" s="4"/>
      <c r="G50" s="4"/>
      <c r="H50" s="4"/>
    </row>
    <row r="51" spans="1:8" x14ac:dyDescent="0.2">
      <c r="A51" s="1" t="s">
        <v>437</v>
      </c>
      <c r="B51" s="9">
        <v>14100171868</v>
      </c>
      <c r="C51" s="19">
        <v>1</v>
      </c>
      <c r="D51" s="9">
        <v>595801</v>
      </c>
      <c r="E51" s="19">
        <v>1</v>
      </c>
      <c r="F51" s="4"/>
      <c r="G51" s="4"/>
      <c r="H51" s="4"/>
    </row>
  </sheetData>
  <mergeCells count="6">
    <mergeCell ref="A31:H31"/>
    <mergeCell ref="A1:H1"/>
    <mergeCell ref="A7:H7"/>
    <mergeCell ref="A13:H13"/>
    <mergeCell ref="A19:H19"/>
    <mergeCell ref="A25:H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3D34-D1AF-4D4A-9B36-FD311CC3D6E8}">
  <dimension ref="A1:N10"/>
  <sheetViews>
    <sheetView workbookViewId="0">
      <selection activeCell="B18" sqref="B18"/>
    </sheetView>
  </sheetViews>
  <sheetFormatPr baseColWidth="10" defaultRowHeight="16" x14ac:dyDescent="0.2"/>
  <cols>
    <col min="1" max="1" width="14.6640625" customWidth="1"/>
    <col min="3" max="3" width="12.5" customWidth="1"/>
  </cols>
  <sheetData>
    <row r="1" spans="1:14" x14ac:dyDescent="0.2">
      <c r="A1" s="15">
        <v>2021</v>
      </c>
      <c r="B1" s="15"/>
      <c r="C1" s="15"/>
      <c r="D1" s="15"/>
      <c r="E1" s="15"/>
      <c r="F1" s="15"/>
      <c r="G1" s="15"/>
      <c r="H1" s="15"/>
      <c r="I1" s="15"/>
    </row>
    <row r="2" spans="1:14" x14ac:dyDescent="0.2">
      <c r="A2" s="1" t="s">
        <v>1033</v>
      </c>
      <c r="B2" s="1" t="s">
        <v>1034</v>
      </c>
      <c r="C2" s="1" t="s">
        <v>1035</v>
      </c>
      <c r="D2" s="1" t="s">
        <v>1036</v>
      </c>
      <c r="E2" s="1" t="s">
        <v>1037</v>
      </c>
      <c r="F2" s="1" t="s">
        <v>1038</v>
      </c>
      <c r="G2" s="1" t="s">
        <v>1039</v>
      </c>
      <c r="H2" s="1" t="s">
        <v>1040</v>
      </c>
      <c r="I2" s="1" t="s">
        <v>1041</v>
      </c>
      <c r="K2" s="4"/>
      <c r="L2" s="4" t="s">
        <v>16</v>
      </c>
      <c r="N2" t="s">
        <v>57</v>
      </c>
    </row>
    <row r="3" spans="1:14" x14ac:dyDescent="0.2">
      <c r="A3" s="2">
        <v>1</v>
      </c>
      <c r="B3" s="2" t="s">
        <v>1042</v>
      </c>
      <c r="C3" s="2" t="s">
        <v>1043</v>
      </c>
      <c r="D3" s="2" t="s">
        <v>1044</v>
      </c>
      <c r="E3" s="2" t="s">
        <v>1045</v>
      </c>
      <c r="F3" s="2" t="s">
        <v>1046</v>
      </c>
      <c r="G3" s="2" t="s">
        <v>1047</v>
      </c>
      <c r="H3" s="2" t="s">
        <v>1048</v>
      </c>
      <c r="I3" s="2" t="s">
        <v>1049</v>
      </c>
      <c r="K3" s="4" t="s">
        <v>17</v>
      </c>
      <c r="L3" s="4">
        <f>SUM(C4:D4)*8760/SUM(C6:D6)/1000</f>
        <v>2.9047050408762916</v>
      </c>
      <c r="N3">
        <f>(L3+L8)/2</f>
        <v>2.529223068339721</v>
      </c>
    </row>
    <row r="4" spans="1:14" x14ac:dyDescent="0.2">
      <c r="A4" s="2">
        <v>2</v>
      </c>
      <c r="B4" s="2" t="s">
        <v>1050</v>
      </c>
      <c r="C4" s="3">
        <v>3936848</v>
      </c>
      <c r="D4" s="3">
        <v>573449</v>
      </c>
      <c r="E4" s="3">
        <v>1483729</v>
      </c>
      <c r="F4" s="3">
        <v>61105</v>
      </c>
      <c r="G4" s="3">
        <v>1997280</v>
      </c>
      <c r="H4" s="3">
        <v>89696</v>
      </c>
      <c r="I4" s="3">
        <v>5798</v>
      </c>
      <c r="K4" s="4" t="s">
        <v>18</v>
      </c>
      <c r="L4" s="4">
        <f>SUM(E4:F4)*8760/SUM(E6:F6)/1000</f>
        <v>1.6441562396919382</v>
      </c>
      <c r="N4">
        <f t="shared" ref="N4:N5" si="0">(L4+L9)/2</f>
        <v>1.7647967608668886</v>
      </c>
    </row>
    <row r="5" spans="1:14" x14ac:dyDescent="0.2">
      <c r="A5" s="2">
        <v>3</v>
      </c>
      <c r="B5" s="2" t="s">
        <v>1051</v>
      </c>
      <c r="C5" s="3">
        <v>3955972</v>
      </c>
      <c r="D5" s="3">
        <v>916127</v>
      </c>
      <c r="E5" s="3">
        <v>1749730</v>
      </c>
      <c r="F5" s="3">
        <v>71520</v>
      </c>
      <c r="G5" s="3">
        <v>2304905</v>
      </c>
      <c r="H5" s="3">
        <v>111591</v>
      </c>
      <c r="I5" s="3">
        <v>51972</v>
      </c>
      <c r="K5" s="4" t="s">
        <v>19</v>
      </c>
      <c r="L5" s="4">
        <f>SUM(F4:G4)*8760/SUM(F6:G6)/1000</f>
        <v>1.2310439353747855</v>
      </c>
      <c r="N5">
        <f t="shared" si="0"/>
        <v>1.3453530871450758</v>
      </c>
    </row>
    <row r="6" spans="1:14" x14ac:dyDescent="0.2">
      <c r="A6" s="2">
        <v>4</v>
      </c>
      <c r="B6" s="2" t="s">
        <v>1052</v>
      </c>
      <c r="C6" s="3">
        <v>10847126</v>
      </c>
      <c r="D6" s="3">
        <v>2755013</v>
      </c>
      <c r="E6" s="3">
        <v>7891837</v>
      </c>
      <c r="F6" s="3">
        <v>338978</v>
      </c>
      <c r="G6" s="3">
        <v>14308308</v>
      </c>
      <c r="H6" s="3">
        <v>573028</v>
      </c>
      <c r="I6" s="3">
        <v>175727</v>
      </c>
    </row>
    <row r="7" spans="1:14" x14ac:dyDescent="0.2">
      <c r="A7" s="15">
        <v>2024</v>
      </c>
      <c r="B7" s="15"/>
      <c r="C7" s="15"/>
      <c r="D7" s="15"/>
      <c r="E7" s="15"/>
      <c r="F7" s="15"/>
      <c r="G7" s="15"/>
      <c r="H7" s="15"/>
      <c r="I7" s="15"/>
    </row>
    <row r="8" spans="1:14" x14ac:dyDescent="0.2">
      <c r="A8" s="1" t="s">
        <v>1053</v>
      </c>
      <c r="B8" s="1" t="s">
        <v>437</v>
      </c>
      <c r="C8" s="1" t="s">
        <v>17</v>
      </c>
      <c r="D8" s="1" t="s">
        <v>1054</v>
      </c>
      <c r="E8" s="1" t="s">
        <v>1055</v>
      </c>
      <c r="F8" s="1" t="s">
        <v>1056</v>
      </c>
      <c r="G8" s="1" t="s">
        <v>1057</v>
      </c>
      <c r="H8" s="1" t="s">
        <v>1058</v>
      </c>
      <c r="I8" s="1" t="s">
        <v>305</v>
      </c>
      <c r="K8" s="4" t="s">
        <v>17</v>
      </c>
      <c r="L8" s="4">
        <f>SUM(C10:D10)*8760/SUM(C9:D9)/1000</f>
        <v>2.1537410958031504</v>
      </c>
    </row>
    <row r="9" spans="1:14" x14ac:dyDescent="0.2">
      <c r="A9" s="2" t="s">
        <v>1059</v>
      </c>
      <c r="B9" s="3">
        <v>39246230</v>
      </c>
      <c r="C9" s="3">
        <v>12539027</v>
      </c>
      <c r="D9" s="3">
        <v>3190915</v>
      </c>
      <c r="E9" s="3">
        <v>8324866</v>
      </c>
      <c r="F9" s="3">
        <v>315267</v>
      </c>
      <c r="G9" s="3">
        <v>14225899</v>
      </c>
      <c r="H9" s="3">
        <v>462334</v>
      </c>
      <c r="I9" s="3">
        <v>187922</v>
      </c>
      <c r="K9" s="4" t="s">
        <v>18</v>
      </c>
      <c r="L9" s="4">
        <f>SUM(E10:F10)*8760/SUM(E9:F9)/1000</f>
        <v>1.8854372820418388</v>
      </c>
    </row>
    <row r="10" spans="1:14" x14ac:dyDescent="0.2">
      <c r="A10" s="2" t="s">
        <v>1060</v>
      </c>
      <c r="B10" s="3">
        <v>8162912</v>
      </c>
      <c r="C10" s="3">
        <v>3388691</v>
      </c>
      <c r="D10" s="3">
        <v>478686</v>
      </c>
      <c r="E10" s="3">
        <v>1794443</v>
      </c>
      <c r="F10" s="3">
        <v>65195</v>
      </c>
      <c r="G10" s="3">
        <v>2357772</v>
      </c>
      <c r="H10" s="3">
        <v>72240</v>
      </c>
      <c r="I10" s="3">
        <v>5886</v>
      </c>
      <c r="K10" s="4" t="s">
        <v>19</v>
      </c>
      <c r="L10" s="4">
        <f>SUM(F10:G10)*8760/SUM(F9:G9)/1000</f>
        <v>1.4596622389153664</v>
      </c>
    </row>
  </sheetData>
  <mergeCells count="2">
    <mergeCell ref="A1:I1"/>
    <mergeCell ref="A7:I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95CA-FA16-C745-9437-290D115B4E71}">
  <dimension ref="A1:M51"/>
  <sheetViews>
    <sheetView workbookViewId="0">
      <selection activeCell="O7" sqref="O7"/>
    </sheetView>
  </sheetViews>
  <sheetFormatPr baseColWidth="10" defaultRowHeight="16" x14ac:dyDescent="0.2"/>
  <cols>
    <col min="1" max="1" width="16.83203125" bestFit="1" customWidth="1"/>
    <col min="2" max="3" width="17" bestFit="1" customWidth="1"/>
    <col min="5" max="5" width="32" bestFit="1" customWidth="1"/>
    <col min="6" max="6" width="12.33203125" customWidth="1"/>
    <col min="7" max="7" width="30" bestFit="1" customWidth="1"/>
    <col min="8" max="8" width="28.83203125" bestFit="1" customWidth="1"/>
    <col min="10" max="10" width="13.33203125" customWidth="1"/>
    <col min="11" max="11" width="14.1640625" customWidth="1"/>
  </cols>
  <sheetData>
    <row r="1" spans="1:13" x14ac:dyDescent="0.2">
      <c r="A1" s="17">
        <v>2020</v>
      </c>
      <c r="B1" s="17"/>
      <c r="C1" s="17"/>
      <c r="D1" s="17"/>
      <c r="E1" s="17"/>
      <c r="F1" s="17"/>
      <c r="G1" s="17"/>
      <c r="H1" s="17"/>
    </row>
    <row r="2" spans="1:13" x14ac:dyDescent="0.2">
      <c r="A2" s="1" t="s">
        <v>70</v>
      </c>
      <c r="B2" s="1" t="s">
        <v>787</v>
      </c>
      <c r="C2" s="1" t="s">
        <v>788</v>
      </c>
      <c r="D2" s="1" t="s">
        <v>789</v>
      </c>
      <c r="E2" s="1" t="s">
        <v>790</v>
      </c>
      <c r="F2" s="1" t="s">
        <v>791</v>
      </c>
      <c r="G2" s="1" t="s">
        <v>792</v>
      </c>
      <c r="H2" s="1" t="s">
        <v>793</v>
      </c>
      <c r="J2" s="4"/>
      <c r="K2" s="4" t="s">
        <v>16</v>
      </c>
      <c r="M2" s="4" t="s">
        <v>57</v>
      </c>
    </row>
    <row r="3" spans="1:13" x14ac:dyDescent="0.2">
      <c r="A3" s="1" t="s">
        <v>794</v>
      </c>
      <c r="B3" s="3">
        <v>31052112</v>
      </c>
      <c r="C3" s="3">
        <v>29638708</v>
      </c>
      <c r="D3" s="6">
        <v>1</v>
      </c>
      <c r="E3" s="3">
        <v>31052112</v>
      </c>
      <c r="F3" s="3">
        <v>4066338</v>
      </c>
      <c r="G3" s="3">
        <v>26985774</v>
      </c>
      <c r="H3" s="3">
        <v>7544420509</v>
      </c>
      <c r="M3" s="4"/>
    </row>
    <row r="4" spans="1:13" x14ac:dyDescent="0.2">
      <c r="A4" s="1" t="s">
        <v>17</v>
      </c>
      <c r="B4" s="2" t="s">
        <v>28</v>
      </c>
      <c r="C4" s="3">
        <v>11417308</v>
      </c>
      <c r="D4" s="6">
        <v>0.39</v>
      </c>
      <c r="E4" s="3">
        <v>11961774</v>
      </c>
      <c r="F4" s="3">
        <v>1507106</v>
      </c>
      <c r="G4" s="3">
        <v>10454668</v>
      </c>
      <c r="H4" s="3">
        <v>4096064399</v>
      </c>
      <c r="J4" s="4" t="s">
        <v>17</v>
      </c>
      <c r="K4" s="4">
        <f>C4/12*8760/H4</f>
        <v>2.0347909671622326</v>
      </c>
      <c r="M4" s="4">
        <f>(K4+K10+K16+K22+K28+K34)/6</f>
        <v>1.9338733985623902</v>
      </c>
    </row>
    <row r="5" spans="1:13" x14ac:dyDescent="0.2">
      <c r="A5" s="1" t="s">
        <v>18</v>
      </c>
      <c r="B5" s="2" t="s">
        <v>28</v>
      </c>
      <c r="C5" s="3">
        <v>6296496</v>
      </c>
      <c r="D5" s="6">
        <v>0.21</v>
      </c>
      <c r="E5" s="3">
        <v>6596762</v>
      </c>
      <c r="F5" s="3">
        <v>916272</v>
      </c>
      <c r="G5" s="3">
        <v>5680490</v>
      </c>
      <c r="H5" s="3">
        <v>3448356109</v>
      </c>
      <c r="J5" s="4" t="s">
        <v>18</v>
      </c>
      <c r="K5" s="4">
        <f>C5/12*8760/H5</f>
        <v>1.3329371836057087</v>
      </c>
      <c r="M5" s="4">
        <f t="shared" ref="M5" si="0">(K5+K11+K17+K23+K29+K35)/6</f>
        <v>1.3971525575734016</v>
      </c>
    </row>
    <row r="6" spans="1:13" x14ac:dyDescent="0.2">
      <c r="A6" s="1" t="s">
        <v>19</v>
      </c>
      <c r="B6" s="2" t="s">
        <v>28</v>
      </c>
      <c r="C6" s="3">
        <v>11924904</v>
      </c>
      <c r="D6" s="6">
        <v>0.4</v>
      </c>
      <c r="E6" s="3">
        <v>12493576</v>
      </c>
      <c r="F6" s="3">
        <v>1642960</v>
      </c>
      <c r="G6" s="3">
        <v>10850616</v>
      </c>
      <c r="H6" s="2" t="s">
        <v>28</v>
      </c>
      <c r="J6" s="4" t="s">
        <v>19</v>
      </c>
      <c r="K6" s="4" t="s">
        <v>146</v>
      </c>
      <c r="M6" s="4">
        <f>K36</f>
        <v>1.1863815954880206</v>
      </c>
    </row>
    <row r="7" spans="1:13" x14ac:dyDescent="0.2">
      <c r="A7" s="17">
        <v>2021</v>
      </c>
      <c r="B7" s="17"/>
      <c r="C7" s="17"/>
      <c r="D7" s="17"/>
      <c r="E7" s="17"/>
      <c r="F7" s="17"/>
      <c r="G7" s="17"/>
      <c r="H7" s="17"/>
    </row>
    <row r="8" spans="1:13" x14ac:dyDescent="0.2">
      <c r="A8" s="1" t="s">
        <v>70</v>
      </c>
      <c r="B8" s="1" t="s">
        <v>787</v>
      </c>
      <c r="C8" s="1" t="s">
        <v>788</v>
      </c>
      <c r="D8" s="1" t="s">
        <v>789</v>
      </c>
      <c r="E8" s="1" t="s">
        <v>790</v>
      </c>
      <c r="F8" s="1" t="s">
        <v>791</v>
      </c>
      <c r="G8" s="1" t="s">
        <v>792</v>
      </c>
      <c r="H8" s="1" t="s">
        <v>793</v>
      </c>
      <c r="J8" s="4"/>
      <c r="K8" s="4" t="s">
        <v>16</v>
      </c>
    </row>
    <row r="9" spans="1:13" x14ac:dyDescent="0.2">
      <c r="A9" s="1" t="s">
        <v>794</v>
      </c>
      <c r="B9" s="3">
        <v>32706960</v>
      </c>
      <c r="C9" s="3">
        <v>28799140</v>
      </c>
      <c r="D9" s="6">
        <v>1</v>
      </c>
      <c r="E9" s="3">
        <v>32706960</v>
      </c>
      <c r="F9" s="3">
        <v>-2085807</v>
      </c>
      <c r="G9" s="3">
        <v>34792767</v>
      </c>
      <c r="H9" s="3">
        <v>6474017081</v>
      </c>
    </row>
    <row r="10" spans="1:13" x14ac:dyDescent="0.2">
      <c r="A10" s="1" t="s">
        <v>17</v>
      </c>
      <c r="B10" s="2" t="s">
        <v>28</v>
      </c>
      <c r="C10" s="3">
        <v>11617836</v>
      </c>
      <c r="D10" s="6">
        <v>0.4</v>
      </c>
      <c r="E10" s="3">
        <v>13194286</v>
      </c>
      <c r="F10" s="3">
        <v>491826</v>
      </c>
      <c r="G10" s="3">
        <v>12702460</v>
      </c>
      <c r="H10" s="3">
        <v>4219564731</v>
      </c>
      <c r="J10" s="4" t="s">
        <v>17</v>
      </c>
      <c r="K10" s="4">
        <f>C10/12*8760/H10</f>
        <v>2.009927758115011</v>
      </c>
    </row>
    <row r="11" spans="1:13" x14ac:dyDescent="0.2">
      <c r="A11" s="1" t="s">
        <v>18</v>
      </c>
      <c r="B11" s="2" t="s">
        <v>28</v>
      </c>
      <c r="C11" s="3">
        <v>5875940</v>
      </c>
      <c r="D11" s="6">
        <v>0.2</v>
      </c>
      <c r="E11" s="3">
        <v>6673260</v>
      </c>
      <c r="F11" s="3">
        <v>-582068</v>
      </c>
      <c r="G11" s="3">
        <v>7255328</v>
      </c>
      <c r="H11" s="3">
        <v>2254452350</v>
      </c>
      <c r="J11" s="4" t="s">
        <v>18</v>
      </c>
      <c r="K11" s="4">
        <f>C11/12*8760/H11</f>
        <v>1.9026510806493648</v>
      </c>
    </row>
    <row r="12" spans="1:13" x14ac:dyDescent="0.2">
      <c r="A12" s="1" t="s">
        <v>19</v>
      </c>
      <c r="B12" s="2" t="s">
        <v>28</v>
      </c>
      <c r="C12" s="3">
        <v>11305364</v>
      </c>
      <c r="D12" s="6">
        <v>0.39</v>
      </c>
      <c r="E12" s="3">
        <v>12839415</v>
      </c>
      <c r="F12" s="3">
        <v>-1995565</v>
      </c>
      <c r="G12" s="3">
        <v>14834980</v>
      </c>
      <c r="H12" s="2" t="s">
        <v>28</v>
      </c>
      <c r="J12" s="4" t="s">
        <v>19</v>
      </c>
      <c r="K12" s="4" t="s">
        <v>146</v>
      </c>
    </row>
    <row r="13" spans="1:13" x14ac:dyDescent="0.2">
      <c r="A13" s="17">
        <v>2022</v>
      </c>
      <c r="B13" s="17"/>
      <c r="C13" s="17"/>
      <c r="D13" s="17"/>
      <c r="E13" s="17"/>
      <c r="F13" s="17"/>
      <c r="G13" s="17"/>
      <c r="H13" s="17"/>
    </row>
    <row r="14" spans="1:13" x14ac:dyDescent="0.2">
      <c r="A14" s="1" t="s">
        <v>70</v>
      </c>
      <c r="B14" s="1" t="s">
        <v>787</v>
      </c>
      <c r="C14" s="1" t="s">
        <v>788</v>
      </c>
      <c r="D14" s="1" t="s">
        <v>789</v>
      </c>
      <c r="E14" s="1" t="s">
        <v>790</v>
      </c>
      <c r="F14" s="1" t="s">
        <v>791</v>
      </c>
      <c r="G14" s="1" t="s">
        <v>792</v>
      </c>
      <c r="H14" s="1" t="s">
        <v>793</v>
      </c>
      <c r="J14" s="4"/>
      <c r="K14" s="4" t="s">
        <v>16</v>
      </c>
    </row>
    <row r="15" spans="1:13" x14ac:dyDescent="0.2">
      <c r="A15" s="1" t="s">
        <v>794</v>
      </c>
      <c r="B15" s="3">
        <v>51162078</v>
      </c>
      <c r="C15" s="3">
        <v>29447781</v>
      </c>
      <c r="D15" s="6">
        <v>1</v>
      </c>
      <c r="E15" s="3">
        <v>51162078</v>
      </c>
      <c r="F15" s="3">
        <v>-3404128</v>
      </c>
      <c r="G15" s="3">
        <v>54566206</v>
      </c>
      <c r="H15" s="3">
        <v>7551006498</v>
      </c>
    </row>
    <row r="16" spans="1:13" x14ac:dyDescent="0.2">
      <c r="A16" s="1" t="s">
        <v>17</v>
      </c>
      <c r="B16" s="2" t="s">
        <v>28</v>
      </c>
      <c r="C16" s="3">
        <v>11069412</v>
      </c>
      <c r="D16" s="6">
        <v>0.38</v>
      </c>
      <c r="E16" s="3">
        <v>19231811</v>
      </c>
      <c r="F16" s="3">
        <v>-848879</v>
      </c>
      <c r="G16" s="3">
        <v>20080690</v>
      </c>
      <c r="H16" s="3">
        <v>4220926963</v>
      </c>
      <c r="J16" s="4" t="s">
        <v>17</v>
      </c>
      <c r="K16" s="4">
        <f>C16/12*8760/H16</f>
        <v>1.9144303682186221</v>
      </c>
    </row>
    <row r="17" spans="1:11" x14ac:dyDescent="0.2">
      <c r="A17" s="1" t="s">
        <v>18</v>
      </c>
      <c r="B17" s="2" t="s">
        <v>28</v>
      </c>
      <c r="C17" s="3">
        <v>6447409</v>
      </c>
      <c r="D17" s="6">
        <v>0.22</v>
      </c>
      <c r="E17" s="3">
        <v>11201620</v>
      </c>
      <c r="F17" s="3">
        <v>1876087</v>
      </c>
      <c r="G17" s="3">
        <v>9325533</v>
      </c>
      <c r="H17" s="3">
        <v>3330079535</v>
      </c>
      <c r="J17" s="4" t="s">
        <v>18</v>
      </c>
      <c r="K17" s="4">
        <f>C17/12*8760/H17</f>
        <v>1.4133622096806766</v>
      </c>
    </row>
    <row r="18" spans="1:11" x14ac:dyDescent="0.2">
      <c r="A18" s="1" t="s">
        <v>19</v>
      </c>
      <c r="B18" s="2" t="s">
        <v>28</v>
      </c>
      <c r="C18" s="3">
        <v>11930959</v>
      </c>
      <c r="D18" s="6">
        <v>0.41</v>
      </c>
      <c r="E18" s="3">
        <v>20728646</v>
      </c>
      <c r="F18" s="3">
        <v>-4431336</v>
      </c>
      <c r="G18" s="3">
        <v>25159982</v>
      </c>
      <c r="H18" s="2" t="s">
        <v>28</v>
      </c>
      <c r="J18" s="4" t="s">
        <v>19</v>
      </c>
      <c r="K18" s="4" t="s">
        <v>146</v>
      </c>
    </row>
    <row r="19" spans="1:11" x14ac:dyDescent="0.2">
      <c r="A19" s="17">
        <v>2023</v>
      </c>
      <c r="B19" s="17"/>
      <c r="C19" s="17"/>
      <c r="D19" s="17"/>
      <c r="E19" s="17"/>
      <c r="F19" s="17"/>
      <c r="G19" s="17"/>
      <c r="H19" s="17"/>
    </row>
    <row r="20" spans="1:11" x14ac:dyDescent="0.2">
      <c r="A20" s="1" t="s">
        <v>70</v>
      </c>
      <c r="B20" s="1" t="s">
        <v>787</v>
      </c>
      <c r="C20" s="1" t="s">
        <v>788</v>
      </c>
      <c r="D20" s="1" t="s">
        <v>789</v>
      </c>
      <c r="E20" s="1" t="s">
        <v>790</v>
      </c>
      <c r="F20" s="1" t="s">
        <v>791</v>
      </c>
      <c r="G20" s="1" t="s">
        <v>792</v>
      </c>
      <c r="H20" s="1" t="s">
        <v>793</v>
      </c>
      <c r="J20" s="4"/>
      <c r="K20" s="4" t="s">
        <v>16</v>
      </c>
    </row>
    <row r="21" spans="1:11" x14ac:dyDescent="0.2">
      <c r="A21" s="1" t="s">
        <v>794</v>
      </c>
      <c r="B21" s="3">
        <v>56967300</v>
      </c>
      <c r="C21" s="3">
        <v>27726148</v>
      </c>
      <c r="D21" s="6">
        <v>1</v>
      </c>
      <c r="E21" s="3">
        <v>56967300</v>
      </c>
      <c r="F21" s="3">
        <v>-14373376</v>
      </c>
      <c r="G21" s="3">
        <v>71340676</v>
      </c>
      <c r="H21" s="3">
        <v>7751532676</v>
      </c>
    </row>
    <row r="22" spans="1:11" x14ac:dyDescent="0.2">
      <c r="A22" s="1" t="s">
        <v>17</v>
      </c>
      <c r="B22" s="2" t="s">
        <v>28</v>
      </c>
      <c r="C22" s="3">
        <v>9125237</v>
      </c>
      <c r="D22" s="6">
        <v>0.33</v>
      </c>
      <c r="E22" s="3">
        <v>18749092</v>
      </c>
      <c r="F22" s="3">
        <v>-4791700</v>
      </c>
      <c r="G22" s="3">
        <v>23540792</v>
      </c>
      <c r="H22" s="3">
        <v>4284896182</v>
      </c>
      <c r="J22" s="4" t="s">
        <v>17</v>
      </c>
      <c r="K22" s="4">
        <f>C22/12*8760/H22</f>
        <v>1.5546288001056638</v>
      </c>
    </row>
    <row r="23" spans="1:11" x14ac:dyDescent="0.2">
      <c r="A23" s="1" t="s">
        <v>18</v>
      </c>
      <c r="B23" s="2" t="s">
        <v>28</v>
      </c>
      <c r="C23" s="3">
        <v>5229380</v>
      </c>
      <c r="D23" s="6">
        <v>0.19</v>
      </c>
      <c r="E23" s="3">
        <v>10744502</v>
      </c>
      <c r="F23" s="3">
        <v>-1679358</v>
      </c>
      <c r="G23" s="3">
        <v>12423860</v>
      </c>
      <c r="H23" s="3">
        <v>3466636493</v>
      </c>
      <c r="J23" s="4" t="s">
        <v>18</v>
      </c>
      <c r="K23" s="4">
        <f>C23/12*8760/H23</f>
        <v>1.1011963347493672</v>
      </c>
    </row>
    <row r="24" spans="1:11" x14ac:dyDescent="0.2">
      <c r="A24" s="1" t="s">
        <v>19</v>
      </c>
      <c r="B24" s="2" t="s">
        <v>28</v>
      </c>
      <c r="C24" s="3">
        <v>13371532</v>
      </c>
      <c r="D24" s="6">
        <v>0.48</v>
      </c>
      <c r="E24" s="3">
        <v>27473706</v>
      </c>
      <c r="F24" s="3">
        <v>-7902318</v>
      </c>
      <c r="G24" s="3">
        <v>35376024</v>
      </c>
      <c r="H24" s="2" t="s">
        <v>28</v>
      </c>
      <c r="J24" s="4" t="s">
        <v>19</v>
      </c>
      <c r="K24" s="4" t="s">
        <v>146</v>
      </c>
    </row>
    <row r="25" spans="1:11" x14ac:dyDescent="0.2">
      <c r="A25" s="17">
        <v>2024</v>
      </c>
      <c r="B25" s="17"/>
      <c r="C25" s="17"/>
      <c r="D25" s="17"/>
      <c r="E25" s="17"/>
      <c r="F25" s="17"/>
      <c r="G25" s="17"/>
      <c r="H25" s="17"/>
    </row>
    <row r="26" spans="1:11" x14ac:dyDescent="0.2">
      <c r="A26" s="1" t="s">
        <v>70</v>
      </c>
      <c r="B26" s="1" t="s">
        <v>787</v>
      </c>
      <c r="C26" s="1" t="s">
        <v>788</v>
      </c>
      <c r="D26" s="1" t="s">
        <v>789</v>
      </c>
      <c r="E26" s="1" t="s">
        <v>790</v>
      </c>
      <c r="F26" s="1" t="s">
        <v>791</v>
      </c>
      <c r="G26" s="1" t="s">
        <v>792</v>
      </c>
      <c r="H26" s="1" t="s">
        <v>793</v>
      </c>
      <c r="J26" s="4"/>
      <c r="K26" s="4" t="s">
        <v>16</v>
      </c>
    </row>
    <row r="27" spans="1:11" x14ac:dyDescent="0.2">
      <c r="A27" s="1" t="s">
        <v>794</v>
      </c>
      <c r="B27" s="3">
        <v>60636507</v>
      </c>
      <c r="C27" s="3">
        <v>28028613</v>
      </c>
      <c r="D27" s="6">
        <v>1</v>
      </c>
      <c r="E27" s="3">
        <v>60636507</v>
      </c>
      <c r="F27" s="3">
        <v>-10982033</v>
      </c>
      <c r="G27" s="3">
        <v>71618540</v>
      </c>
      <c r="H27" s="3">
        <v>7600545491</v>
      </c>
    </row>
    <row r="28" spans="1:11" x14ac:dyDescent="0.2">
      <c r="A28" s="1" t="s">
        <v>17</v>
      </c>
      <c r="B28" s="2" t="s">
        <v>28</v>
      </c>
      <c r="C28" s="3">
        <v>10904545</v>
      </c>
      <c r="D28" s="6">
        <v>0.39</v>
      </c>
      <c r="E28" s="3">
        <v>23590661</v>
      </c>
      <c r="F28" s="3">
        <v>-806291</v>
      </c>
      <c r="G28" s="3">
        <v>24396951</v>
      </c>
      <c r="H28" s="3">
        <v>4357634511</v>
      </c>
      <c r="J28" s="4" t="s">
        <v>17</v>
      </c>
      <c r="K28" s="4">
        <f>C28/12*8760/H28</f>
        <v>1.826752066954153</v>
      </c>
    </row>
    <row r="29" spans="1:11" x14ac:dyDescent="0.2">
      <c r="A29" s="1" t="s">
        <v>18</v>
      </c>
      <c r="B29" s="2" t="s">
        <v>28</v>
      </c>
      <c r="C29" s="3">
        <v>5829423</v>
      </c>
      <c r="D29" s="6">
        <v>0.21</v>
      </c>
      <c r="E29" s="3">
        <v>12611249</v>
      </c>
      <c r="F29" s="3">
        <v>-801710</v>
      </c>
      <c r="G29" s="3">
        <v>13412959</v>
      </c>
      <c r="H29" s="3">
        <v>3242910979</v>
      </c>
      <c r="J29" s="4" t="s">
        <v>18</v>
      </c>
      <c r="K29" s="4">
        <f>C29/12*8760/H29</f>
        <v>1.3122403968400762</v>
      </c>
    </row>
    <row r="30" spans="1:11" x14ac:dyDescent="0.2">
      <c r="A30" s="1" t="s">
        <v>19</v>
      </c>
      <c r="B30" s="2" t="s">
        <v>28</v>
      </c>
      <c r="C30" s="3">
        <v>11294646</v>
      </c>
      <c r="D30" s="6">
        <v>0.4</v>
      </c>
      <c r="E30" s="3">
        <v>24434597</v>
      </c>
      <c r="F30" s="3">
        <v>-9374033</v>
      </c>
      <c r="G30" s="3">
        <v>33808629</v>
      </c>
      <c r="H30" s="2" t="s">
        <v>28</v>
      </c>
      <c r="J30" s="4" t="s">
        <v>19</v>
      </c>
      <c r="K30" s="4" t="s">
        <v>146</v>
      </c>
    </row>
    <row r="31" spans="1:11" x14ac:dyDescent="0.2">
      <c r="A31" s="17">
        <v>2025</v>
      </c>
      <c r="B31" s="17"/>
      <c r="C31" s="17"/>
      <c r="D31" s="17"/>
      <c r="E31" s="17"/>
      <c r="F31" s="17"/>
      <c r="G31" s="17"/>
      <c r="H31" s="17"/>
    </row>
    <row r="32" spans="1:11" x14ac:dyDescent="0.2">
      <c r="A32" s="1" t="s">
        <v>70</v>
      </c>
      <c r="B32" s="1" t="s">
        <v>787</v>
      </c>
      <c r="C32" s="1" t="s">
        <v>788</v>
      </c>
      <c r="D32" s="1" t="s">
        <v>789</v>
      </c>
      <c r="E32" s="1" t="s">
        <v>790</v>
      </c>
      <c r="F32" s="1" t="s">
        <v>791</v>
      </c>
      <c r="G32" s="1" t="s">
        <v>792</v>
      </c>
      <c r="H32" s="1" t="s">
        <v>793</v>
      </c>
      <c r="J32" s="4"/>
      <c r="K32" s="4" t="s">
        <v>16</v>
      </c>
    </row>
    <row r="33" spans="1:11" x14ac:dyDescent="0.2">
      <c r="A33" s="1" t="s">
        <v>794</v>
      </c>
      <c r="B33" s="3">
        <v>4015701</v>
      </c>
      <c r="C33" s="3">
        <v>35349854</v>
      </c>
      <c r="D33" s="6">
        <v>1</v>
      </c>
      <c r="E33" s="3">
        <v>4015701</v>
      </c>
      <c r="F33" s="3">
        <v>13574594</v>
      </c>
      <c r="G33" s="3">
        <v>-9558893</v>
      </c>
      <c r="H33" s="3">
        <v>9052494324</v>
      </c>
    </row>
    <row r="34" spans="1:11" x14ac:dyDescent="0.2">
      <c r="A34" s="1" t="s">
        <v>17</v>
      </c>
      <c r="B34" s="2" t="s">
        <v>28</v>
      </c>
      <c r="C34" s="3">
        <v>18524247</v>
      </c>
      <c r="D34" s="6">
        <v>0.52</v>
      </c>
      <c r="E34" s="3">
        <v>2104332</v>
      </c>
      <c r="F34" s="3">
        <v>7199486</v>
      </c>
      <c r="G34" s="3">
        <v>-5095154</v>
      </c>
      <c r="H34" s="3">
        <v>5976328268</v>
      </c>
      <c r="J34" s="4" t="s">
        <v>17</v>
      </c>
      <c r="K34" s="4">
        <f>C34/12*8760/H34</f>
        <v>2.2627104308186574</v>
      </c>
    </row>
    <row r="35" spans="1:11" x14ac:dyDescent="0.2">
      <c r="A35" s="1" t="s">
        <v>18</v>
      </c>
      <c r="B35" s="2" t="s">
        <v>28</v>
      </c>
      <c r="C35" s="3">
        <v>5564608</v>
      </c>
      <c r="D35" s="6">
        <v>0.16</v>
      </c>
      <c r="E35" s="3">
        <v>632133</v>
      </c>
      <c r="F35" s="3">
        <v>2223591</v>
      </c>
      <c r="G35" s="3">
        <v>-1591458</v>
      </c>
      <c r="H35" s="3">
        <v>3076166056</v>
      </c>
      <c r="J35" s="4" t="s">
        <v>18</v>
      </c>
      <c r="K35" s="4">
        <f>C35/12*8760/H35</f>
        <v>1.320528139915214</v>
      </c>
    </row>
    <row r="36" spans="1:11" x14ac:dyDescent="0.2">
      <c r="A36" s="1" t="s">
        <v>19</v>
      </c>
      <c r="B36" s="2" t="s">
        <v>28</v>
      </c>
      <c r="C36" s="3">
        <v>11260998</v>
      </c>
      <c r="D36" s="6">
        <v>0.32</v>
      </c>
      <c r="E36" s="3">
        <v>1279236</v>
      </c>
      <c r="F36" s="3">
        <v>4151517</v>
      </c>
      <c r="G36" s="3">
        <v>-2872281</v>
      </c>
      <c r="H36" s="2">
        <f>H34/H40*H42</f>
        <v>6929076252.753624</v>
      </c>
      <c r="J36" s="4" t="s">
        <v>19</v>
      </c>
      <c r="K36" s="4">
        <f>C36/12*8760/H36</f>
        <v>1.1863815954880206</v>
      </c>
    </row>
    <row r="38" spans="1:11" x14ac:dyDescent="0.2">
      <c r="A38" s="18" t="s">
        <v>940</v>
      </c>
      <c r="B38" s="4"/>
      <c r="C38" s="4"/>
      <c r="D38" s="4"/>
      <c r="E38" s="4"/>
      <c r="F38" s="4"/>
      <c r="G38" s="4"/>
      <c r="H38" s="4"/>
    </row>
    <row r="39" spans="1:11" x14ac:dyDescent="0.2">
      <c r="A39" s="1" t="s">
        <v>941</v>
      </c>
      <c r="B39" s="1" t="s">
        <v>942</v>
      </c>
      <c r="C39" s="1" t="s">
        <v>943</v>
      </c>
      <c r="D39" s="1" t="s">
        <v>944</v>
      </c>
      <c r="E39" s="1" t="s">
        <v>945</v>
      </c>
      <c r="F39" s="4"/>
      <c r="G39" s="4"/>
      <c r="H39" s="4"/>
    </row>
    <row r="40" spans="1:11" x14ac:dyDescent="0.2">
      <c r="A40" s="2" t="s">
        <v>153</v>
      </c>
      <c r="B40" s="3">
        <v>4312760298</v>
      </c>
      <c r="C40" s="8">
        <v>0.34499999999999997</v>
      </c>
      <c r="D40" s="3">
        <v>496418</v>
      </c>
      <c r="E40" s="8">
        <v>0.84899999999999998</v>
      </c>
      <c r="F40" s="4"/>
      <c r="G40" s="4" t="s">
        <v>17</v>
      </c>
      <c r="H40" s="20">
        <f>C40</f>
        <v>0.34499999999999997</v>
      </c>
    </row>
    <row r="41" spans="1:11" x14ac:dyDescent="0.2">
      <c r="A41" s="2" t="s">
        <v>946</v>
      </c>
      <c r="B41" s="3">
        <v>13948372</v>
      </c>
      <c r="C41" s="8">
        <v>1E-3</v>
      </c>
      <c r="D41" s="2">
        <v>622</v>
      </c>
      <c r="E41" s="8">
        <v>1E-3</v>
      </c>
      <c r="F41" s="4"/>
      <c r="G41" s="4" t="s">
        <v>18</v>
      </c>
      <c r="H41" s="20">
        <f>C41+C42+C43</f>
        <v>0.249</v>
      </c>
    </row>
    <row r="42" spans="1:11" x14ac:dyDescent="0.2">
      <c r="A42" s="2" t="s">
        <v>947</v>
      </c>
      <c r="B42" s="3">
        <v>202620628</v>
      </c>
      <c r="C42" s="8">
        <v>1.6E-2</v>
      </c>
      <c r="D42" s="3">
        <v>52935</v>
      </c>
      <c r="E42" s="8">
        <v>9.0999999999999998E-2</v>
      </c>
      <c r="F42" s="4"/>
      <c r="G42" s="4" t="s">
        <v>19</v>
      </c>
      <c r="H42" s="20">
        <f>C44+C45+C46</f>
        <v>0.4</v>
      </c>
    </row>
    <row r="43" spans="1:11" x14ac:dyDescent="0.2">
      <c r="A43" s="2" t="s">
        <v>948</v>
      </c>
      <c r="B43" s="3">
        <v>2897970802</v>
      </c>
      <c r="C43" s="8">
        <v>0.23200000000000001</v>
      </c>
      <c r="D43" s="3">
        <v>30681</v>
      </c>
      <c r="E43" s="8">
        <v>5.2999999999999999E-2</v>
      </c>
      <c r="F43" s="4"/>
      <c r="G43" s="4"/>
      <c r="H43" s="4"/>
    </row>
    <row r="44" spans="1:11" x14ac:dyDescent="0.2">
      <c r="A44" s="2" t="s">
        <v>949</v>
      </c>
      <c r="B44" s="3">
        <v>919325959</v>
      </c>
      <c r="C44" s="8">
        <v>7.2999999999999995E-2</v>
      </c>
      <c r="D44" s="2">
        <v>424</v>
      </c>
      <c r="E44" s="8">
        <v>1E-3</v>
      </c>
      <c r="F44" s="4"/>
      <c r="G44" s="4"/>
      <c r="H44" s="4"/>
    </row>
    <row r="45" spans="1:11" x14ac:dyDescent="0.2">
      <c r="A45" s="2" t="s">
        <v>135</v>
      </c>
      <c r="B45" s="3">
        <v>1495018951</v>
      </c>
      <c r="C45" s="8">
        <v>0.11899999999999999</v>
      </c>
      <c r="D45" s="2">
        <v>450</v>
      </c>
      <c r="E45" s="8">
        <v>1E-3</v>
      </c>
      <c r="F45" s="4"/>
      <c r="G45" s="4"/>
      <c r="H45" s="4"/>
    </row>
    <row r="46" spans="1:11" x14ac:dyDescent="0.2">
      <c r="A46" s="2" t="s">
        <v>1030</v>
      </c>
      <c r="B46" s="3">
        <v>2608661409</v>
      </c>
      <c r="C46" s="8">
        <v>0.20799999999999999</v>
      </c>
      <c r="D46" s="2">
        <v>61</v>
      </c>
      <c r="E46" s="8">
        <v>0</v>
      </c>
      <c r="F46" s="4"/>
      <c r="G46" s="4"/>
      <c r="H46" s="4"/>
    </row>
    <row r="47" spans="1:11" x14ac:dyDescent="0.2">
      <c r="A47" s="2" t="s">
        <v>1031</v>
      </c>
      <c r="B47" s="3">
        <v>313377</v>
      </c>
      <c r="C47" s="8">
        <v>0</v>
      </c>
      <c r="D47" s="2">
        <v>10</v>
      </c>
      <c r="E47" s="8">
        <v>0</v>
      </c>
      <c r="F47" s="4"/>
      <c r="G47" s="4"/>
      <c r="H47" s="4"/>
    </row>
    <row r="48" spans="1:11" x14ac:dyDescent="0.2">
      <c r="A48" s="2" t="s">
        <v>1061</v>
      </c>
      <c r="B48" s="3">
        <v>23931981</v>
      </c>
      <c r="C48" s="8">
        <v>2E-3</v>
      </c>
      <c r="D48" s="2">
        <v>140</v>
      </c>
      <c r="E48" s="8">
        <v>0</v>
      </c>
      <c r="F48" s="4"/>
      <c r="G48" s="4"/>
      <c r="H48" s="4"/>
    </row>
    <row r="49" spans="1:8" x14ac:dyDescent="0.2">
      <c r="A49" s="2" t="s">
        <v>953</v>
      </c>
      <c r="B49" s="3">
        <v>11026505</v>
      </c>
      <c r="C49" s="8">
        <v>1E-3</v>
      </c>
      <c r="D49" s="3">
        <v>1928</v>
      </c>
      <c r="E49" s="8">
        <v>3.0000000000000001E-3</v>
      </c>
      <c r="F49" s="4"/>
      <c r="G49" s="4"/>
      <c r="H49" s="4"/>
    </row>
    <row r="50" spans="1:8" x14ac:dyDescent="0.2">
      <c r="A50" s="2" t="s">
        <v>954</v>
      </c>
      <c r="B50" s="3">
        <v>31975577</v>
      </c>
      <c r="C50" s="8">
        <v>3.0000000000000001E-3</v>
      </c>
      <c r="D50" s="2">
        <v>713</v>
      </c>
      <c r="E50" s="8">
        <v>1E-3</v>
      </c>
      <c r="F50" s="4"/>
      <c r="G50" s="4"/>
      <c r="H50" s="4"/>
    </row>
    <row r="51" spans="1:8" x14ac:dyDescent="0.2">
      <c r="A51" s="1" t="s">
        <v>437</v>
      </c>
      <c r="B51" s="9">
        <v>12517553859</v>
      </c>
      <c r="C51" s="19">
        <v>1</v>
      </c>
      <c r="D51" s="9">
        <v>584383</v>
      </c>
      <c r="E51" s="19">
        <v>1</v>
      </c>
      <c r="F51" s="4"/>
      <c r="G51" s="4"/>
      <c r="H51" s="4"/>
    </row>
  </sheetData>
  <mergeCells count="6">
    <mergeCell ref="A31:H31"/>
    <mergeCell ref="A1:H1"/>
    <mergeCell ref="A7:H7"/>
    <mergeCell ref="A13:H13"/>
    <mergeCell ref="A19:H19"/>
    <mergeCell ref="A25:H2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1059D-0AFA-464D-9BC0-C96577EB90C3}">
  <dimension ref="A1:H90"/>
  <sheetViews>
    <sheetView workbookViewId="0">
      <selection activeCell="E16" sqref="E16"/>
    </sheetView>
  </sheetViews>
  <sheetFormatPr baseColWidth="10" defaultRowHeight="16" x14ac:dyDescent="0.2"/>
  <cols>
    <col min="1" max="1" width="11.83203125" style="4" bestFit="1" customWidth="1"/>
    <col min="2" max="2" width="28.6640625" style="4" bestFit="1" customWidth="1"/>
    <col min="3" max="3" width="19.83203125" style="4" bestFit="1" customWidth="1"/>
    <col min="4" max="4" width="10.83203125" style="4"/>
    <col min="5" max="5" width="12.1640625" style="4" bestFit="1" customWidth="1"/>
    <col min="6" max="16384" width="10.83203125" style="4"/>
  </cols>
  <sheetData>
    <row r="1" spans="1:8" x14ac:dyDescent="0.2">
      <c r="A1" s="15">
        <v>2020</v>
      </c>
      <c r="B1" s="15"/>
      <c r="C1" s="15"/>
    </row>
    <row r="2" spans="1:8" x14ac:dyDescent="0.2">
      <c r="A2" s="1" t="s">
        <v>0</v>
      </c>
      <c r="B2" s="1" t="s">
        <v>795</v>
      </c>
      <c r="C2" s="1" t="s">
        <v>796</v>
      </c>
      <c r="F2" s="4" t="s">
        <v>16</v>
      </c>
      <c r="H2" s="4" t="s">
        <v>57</v>
      </c>
    </row>
    <row r="3" spans="1:8" x14ac:dyDescent="0.2">
      <c r="A3" s="1" t="s">
        <v>17</v>
      </c>
      <c r="B3" s="7">
        <v>1450707.8</v>
      </c>
      <c r="C3" s="3">
        <v>4801696458</v>
      </c>
      <c r="E3" s="4" t="s">
        <v>17</v>
      </c>
      <c r="F3" s="4">
        <f>(B3+B4)*8760/(C3+C4)</f>
        <v>2.6467521163365144</v>
      </c>
      <c r="H3" s="4">
        <f>(F3+F18+F33+F48+F63+F78)/6</f>
        <v>2.606438450368064</v>
      </c>
    </row>
    <row r="4" spans="1:8" x14ac:dyDescent="0.2">
      <c r="A4" s="1" t="s">
        <v>797</v>
      </c>
      <c r="B4" s="7">
        <v>267896.7</v>
      </c>
      <c r="C4" s="3">
        <v>886397764</v>
      </c>
    </row>
    <row r="5" spans="1:8" x14ac:dyDescent="0.2">
      <c r="A5" s="1" t="s">
        <v>798</v>
      </c>
      <c r="B5" s="7">
        <v>71951.460000000006</v>
      </c>
      <c r="C5" s="3">
        <v>380359726</v>
      </c>
      <c r="E5" s="4" t="s">
        <v>18</v>
      </c>
      <c r="F5" s="4">
        <f>SUM(B5:B11)*8760/SUM(C5:C11)</f>
        <v>1.6904379638005789</v>
      </c>
      <c r="H5" s="4">
        <f>(F5+F20+F35+F50+F65+F80)/6</f>
        <v>1.7365898609308605</v>
      </c>
    </row>
    <row r="6" spans="1:8" x14ac:dyDescent="0.2">
      <c r="A6" s="1" t="s">
        <v>799</v>
      </c>
      <c r="B6" s="7">
        <v>2544.7399999999998</v>
      </c>
      <c r="C6" s="3">
        <v>16194178</v>
      </c>
    </row>
    <row r="7" spans="1:8" x14ac:dyDescent="0.2">
      <c r="A7" s="1" t="s">
        <v>800</v>
      </c>
      <c r="B7" s="2">
        <v>22.2</v>
      </c>
      <c r="C7" s="3">
        <v>63909696</v>
      </c>
    </row>
    <row r="8" spans="1:8" x14ac:dyDescent="0.2">
      <c r="A8" s="1" t="s">
        <v>436</v>
      </c>
      <c r="B8" s="2">
        <v>0</v>
      </c>
      <c r="C8" s="11">
        <v>0</v>
      </c>
    </row>
    <row r="9" spans="1:8" x14ac:dyDescent="0.2">
      <c r="A9" s="1" t="s">
        <v>423</v>
      </c>
      <c r="B9" s="7">
        <v>2222.5</v>
      </c>
      <c r="C9" s="3">
        <v>17640440</v>
      </c>
    </row>
    <row r="10" spans="1:8" x14ac:dyDescent="0.2">
      <c r="A10" s="1" t="s">
        <v>801</v>
      </c>
      <c r="B10" s="7">
        <v>893714.8</v>
      </c>
      <c r="C10" s="3">
        <v>4544270814</v>
      </c>
    </row>
    <row r="11" spans="1:8" x14ac:dyDescent="0.2">
      <c r="A11" s="1" t="s">
        <v>802</v>
      </c>
      <c r="B11" s="7">
        <v>16942</v>
      </c>
      <c r="C11" s="3">
        <v>94407919</v>
      </c>
    </row>
    <row r="12" spans="1:8" x14ac:dyDescent="0.2">
      <c r="A12" s="1" t="s">
        <v>803</v>
      </c>
      <c r="B12" s="7">
        <v>189843.9</v>
      </c>
      <c r="C12" s="3">
        <v>1019465383</v>
      </c>
      <c r="E12" s="4" t="s">
        <v>19</v>
      </c>
      <c r="F12" s="4">
        <f>SUM(B12:B15)*8760/SUM(C12:C15)</f>
        <v>1.5637825870369988</v>
      </c>
      <c r="H12" s="4">
        <f>(F12+F27+F42+F57+F72+F87)/6</f>
        <v>1.6409963490991004</v>
      </c>
    </row>
    <row r="13" spans="1:8" x14ac:dyDescent="0.2">
      <c r="A13" s="1" t="s">
        <v>804</v>
      </c>
      <c r="B13" s="7">
        <v>286865.7</v>
      </c>
      <c r="C13" s="12">
        <v>1599129961</v>
      </c>
    </row>
    <row r="14" spans="1:8" x14ac:dyDescent="0.2">
      <c r="A14" s="1" t="s">
        <v>805</v>
      </c>
      <c r="B14" s="7">
        <v>50380.3</v>
      </c>
      <c r="C14" s="12">
        <v>307405592</v>
      </c>
    </row>
    <row r="15" spans="1:8" x14ac:dyDescent="0.2">
      <c r="A15" s="1" t="s">
        <v>806</v>
      </c>
      <c r="B15" s="7">
        <v>45901.9</v>
      </c>
      <c r="C15" s="12">
        <v>283785520</v>
      </c>
    </row>
    <row r="16" spans="1:8" x14ac:dyDescent="0.2">
      <c r="A16" s="15">
        <v>2021</v>
      </c>
      <c r="B16" s="15"/>
      <c r="C16" s="15"/>
    </row>
    <row r="17" spans="1:6" x14ac:dyDescent="0.2">
      <c r="A17" s="1" t="s">
        <v>0</v>
      </c>
      <c r="B17" s="1" t="s">
        <v>795</v>
      </c>
      <c r="C17" s="1" t="s">
        <v>796</v>
      </c>
      <c r="F17" s="4" t="s">
        <v>16</v>
      </c>
    </row>
    <row r="18" spans="1:6" x14ac:dyDescent="0.2">
      <c r="A18" s="1" t="s">
        <v>17</v>
      </c>
      <c r="B18" s="7">
        <v>1436502.42</v>
      </c>
      <c r="C18" s="12">
        <v>4746794425</v>
      </c>
      <c r="E18" s="4" t="s">
        <v>17</v>
      </c>
      <c r="F18" s="4">
        <f>(B18+B19)*8760/(C18+C19)</f>
        <v>2.6518578665826573</v>
      </c>
    </row>
    <row r="19" spans="1:6" x14ac:dyDescent="0.2">
      <c r="A19" s="1" t="s">
        <v>797</v>
      </c>
      <c r="B19" s="7">
        <v>260120.97</v>
      </c>
      <c r="C19" s="12">
        <v>857737056</v>
      </c>
    </row>
    <row r="20" spans="1:6" x14ac:dyDescent="0.2">
      <c r="A20" s="1" t="s">
        <v>798</v>
      </c>
      <c r="B20" s="7">
        <v>65762.03</v>
      </c>
      <c r="C20" s="12">
        <v>323406965</v>
      </c>
      <c r="E20" s="4" t="s">
        <v>18</v>
      </c>
      <c r="F20" s="4">
        <f>SUM(B20:B26)*8760/SUM(C20:C26)</f>
        <v>1.7706842250500203</v>
      </c>
    </row>
    <row r="21" spans="1:6" x14ac:dyDescent="0.2">
      <c r="A21" s="1" t="s">
        <v>799</v>
      </c>
      <c r="B21" s="7">
        <v>3800</v>
      </c>
      <c r="C21" s="12">
        <v>14839778</v>
      </c>
    </row>
    <row r="22" spans="1:6" x14ac:dyDescent="0.2">
      <c r="A22" s="1" t="s">
        <v>800</v>
      </c>
      <c r="B22" s="2">
        <v>21.97</v>
      </c>
      <c r="C22" s="12">
        <v>59581371</v>
      </c>
    </row>
    <row r="23" spans="1:6" x14ac:dyDescent="0.2">
      <c r="A23" s="1" t="s">
        <v>436</v>
      </c>
      <c r="B23" s="2">
        <v>0</v>
      </c>
      <c r="C23" s="11">
        <v>0</v>
      </c>
    </row>
    <row r="24" spans="1:6" x14ac:dyDescent="0.2">
      <c r="A24" s="1" t="s">
        <v>423</v>
      </c>
      <c r="B24" s="7">
        <v>2209.86</v>
      </c>
      <c r="C24" s="12">
        <v>17642126</v>
      </c>
    </row>
    <row r="25" spans="1:6" x14ac:dyDescent="0.2">
      <c r="A25" s="1" t="s">
        <v>801</v>
      </c>
      <c r="B25" s="7">
        <v>836022.14</v>
      </c>
      <c r="C25" s="12">
        <v>4069666658</v>
      </c>
    </row>
    <row r="26" spans="1:6" x14ac:dyDescent="0.2">
      <c r="A26" s="1" t="s">
        <v>802</v>
      </c>
      <c r="B26" s="7">
        <v>18178.47</v>
      </c>
      <c r="C26" s="12">
        <v>95980075</v>
      </c>
    </row>
    <row r="27" spans="1:6" x14ac:dyDescent="0.2">
      <c r="A27" s="1" t="s">
        <v>803</v>
      </c>
      <c r="B27" s="7">
        <v>187153.66</v>
      </c>
      <c r="C27" s="12">
        <v>949676285</v>
      </c>
      <c r="E27" s="4" t="s">
        <v>19</v>
      </c>
      <c r="F27" s="4">
        <f>SUM(B27:B30)*8760/SUM(C27:C30)</f>
        <v>1.4948848385537574</v>
      </c>
    </row>
    <row r="28" spans="1:6" x14ac:dyDescent="0.2">
      <c r="A28" s="1" t="s">
        <v>804</v>
      </c>
      <c r="B28" s="7">
        <v>259750.13</v>
      </c>
      <c r="C28" s="12">
        <v>1531059887</v>
      </c>
    </row>
    <row r="29" spans="1:6" x14ac:dyDescent="0.2">
      <c r="A29" s="1" t="s">
        <v>805</v>
      </c>
      <c r="B29" s="7">
        <v>43233.39</v>
      </c>
      <c r="C29" s="12">
        <v>289431749</v>
      </c>
    </row>
    <row r="30" spans="1:6" x14ac:dyDescent="0.2">
      <c r="A30" s="1" t="s">
        <v>806</v>
      </c>
      <c r="B30" s="7">
        <v>29157.67</v>
      </c>
      <c r="C30" s="12">
        <v>272891162</v>
      </c>
    </row>
    <row r="31" spans="1:6" x14ac:dyDescent="0.2">
      <c r="A31" s="15">
        <v>2022</v>
      </c>
      <c r="B31" s="15"/>
      <c r="C31" s="15"/>
    </row>
    <row r="32" spans="1:6" x14ac:dyDescent="0.2">
      <c r="A32" s="1" t="s">
        <v>0</v>
      </c>
      <c r="B32" s="1" t="s">
        <v>795</v>
      </c>
      <c r="C32" s="1" t="s">
        <v>796</v>
      </c>
      <c r="F32" s="4" t="s">
        <v>16</v>
      </c>
    </row>
    <row r="33" spans="1:6" x14ac:dyDescent="0.2">
      <c r="A33" s="1" t="s">
        <v>17</v>
      </c>
      <c r="B33" s="7">
        <v>1363368.63</v>
      </c>
      <c r="C33" s="12">
        <v>4879969147</v>
      </c>
      <c r="E33" s="4" t="s">
        <v>17</v>
      </c>
      <c r="F33" s="4">
        <f>(B33+B34)*8760/(C33+C34)</f>
        <v>2.4531293854941008</v>
      </c>
    </row>
    <row r="34" spans="1:6" x14ac:dyDescent="0.2">
      <c r="A34" s="1" t="s">
        <v>797</v>
      </c>
      <c r="B34" s="7">
        <v>247976.99</v>
      </c>
      <c r="C34" s="12">
        <v>874063932</v>
      </c>
    </row>
    <row r="35" spans="1:6" x14ac:dyDescent="0.2">
      <c r="A35" s="1" t="s">
        <v>798</v>
      </c>
      <c r="B35" s="7">
        <v>64947.839999999997</v>
      </c>
      <c r="C35" s="12">
        <v>331544099</v>
      </c>
      <c r="E35" s="4" t="s">
        <v>18</v>
      </c>
      <c r="F35" s="4">
        <f>SUM(B35:B41)*8760/SUM(C35:C41)</f>
        <v>1.6761002102565814</v>
      </c>
    </row>
    <row r="36" spans="1:6" x14ac:dyDescent="0.2">
      <c r="A36" s="1" t="s">
        <v>799</v>
      </c>
      <c r="B36" s="7">
        <v>1968.15</v>
      </c>
      <c r="C36" s="12">
        <v>12794727</v>
      </c>
    </row>
    <row r="37" spans="1:6" x14ac:dyDescent="0.2">
      <c r="A37" s="1" t="s">
        <v>800</v>
      </c>
      <c r="B37" s="2">
        <v>15.45</v>
      </c>
      <c r="C37" s="12">
        <v>58928825</v>
      </c>
    </row>
    <row r="38" spans="1:6" x14ac:dyDescent="0.2">
      <c r="A38" s="1" t="s">
        <v>436</v>
      </c>
      <c r="B38" s="2">
        <v>0</v>
      </c>
      <c r="C38" s="11">
        <v>0</v>
      </c>
    </row>
    <row r="39" spans="1:6" x14ac:dyDescent="0.2">
      <c r="A39" s="1" t="s">
        <v>423</v>
      </c>
      <c r="B39" s="7">
        <v>2178.7600000000002</v>
      </c>
      <c r="C39" s="12">
        <v>17638752</v>
      </c>
    </row>
    <row r="40" spans="1:6" x14ac:dyDescent="0.2">
      <c r="A40" s="1" t="s">
        <v>801</v>
      </c>
      <c r="B40" s="7">
        <v>825777.86</v>
      </c>
      <c r="C40" s="12">
        <v>4239723015</v>
      </c>
    </row>
    <row r="41" spans="1:6" x14ac:dyDescent="0.2">
      <c r="A41" s="1" t="s">
        <v>802</v>
      </c>
      <c r="B41" s="7">
        <v>16342.95</v>
      </c>
      <c r="C41" s="12">
        <v>101844567</v>
      </c>
    </row>
    <row r="42" spans="1:6" x14ac:dyDescent="0.2">
      <c r="A42" s="1" t="s">
        <v>803</v>
      </c>
      <c r="B42" s="7">
        <v>178113.8</v>
      </c>
      <c r="C42" s="12">
        <v>960888064</v>
      </c>
      <c r="E42" s="4" t="s">
        <v>19</v>
      </c>
      <c r="F42" s="4">
        <f>SUM(B42:B45)*8760/SUM(C42:C45)</f>
        <v>1.5532025256514652</v>
      </c>
    </row>
    <row r="43" spans="1:6" x14ac:dyDescent="0.2">
      <c r="A43" s="1" t="s">
        <v>804</v>
      </c>
      <c r="B43" s="7">
        <v>275411.37</v>
      </c>
      <c r="C43" s="12">
        <v>1515146982</v>
      </c>
    </row>
    <row r="44" spans="1:6" x14ac:dyDescent="0.2">
      <c r="A44" s="1" t="s">
        <v>805</v>
      </c>
      <c r="B44" s="7">
        <v>41184.959999999999</v>
      </c>
      <c r="C44" s="12">
        <v>284401328</v>
      </c>
    </row>
    <row r="45" spans="1:6" x14ac:dyDescent="0.2">
      <c r="A45" s="1" t="s">
        <v>806</v>
      </c>
      <c r="B45" s="7">
        <v>35914.239999999998</v>
      </c>
      <c r="C45" s="12">
        <v>232263808</v>
      </c>
    </row>
    <row r="46" spans="1:6" x14ac:dyDescent="0.2">
      <c r="A46" s="15">
        <v>2023</v>
      </c>
      <c r="B46" s="15"/>
      <c r="C46" s="15"/>
    </row>
    <row r="47" spans="1:6" x14ac:dyDescent="0.2">
      <c r="A47" s="1" t="s">
        <v>0</v>
      </c>
      <c r="B47" s="1" t="s">
        <v>795</v>
      </c>
      <c r="C47" s="1" t="s">
        <v>796</v>
      </c>
      <c r="F47" s="4" t="s">
        <v>16</v>
      </c>
    </row>
    <row r="48" spans="1:6" x14ac:dyDescent="0.2">
      <c r="A48" s="1" t="s">
        <v>17</v>
      </c>
      <c r="B48" s="7">
        <v>1330088.82</v>
      </c>
      <c r="C48" s="12">
        <v>4768403377</v>
      </c>
      <c r="E48" s="4" t="s">
        <v>17</v>
      </c>
      <c r="F48" s="4">
        <f>(B48+B49)*8760/(C48+C49)</f>
        <v>2.4491379261601165</v>
      </c>
    </row>
    <row r="49" spans="1:6" x14ac:dyDescent="0.2">
      <c r="A49" s="1" t="s">
        <v>797</v>
      </c>
      <c r="B49" s="7">
        <v>239185.49</v>
      </c>
      <c r="C49" s="12">
        <v>844527936</v>
      </c>
    </row>
    <row r="50" spans="1:6" x14ac:dyDescent="0.2">
      <c r="A50" s="1" t="s">
        <v>798</v>
      </c>
      <c r="B50" s="7">
        <v>68872.820000000007</v>
      </c>
      <c r="C50" s="12">
        <v>322931138</v>
      </c>
      <c r="E50" s="4" t="s">
        <v>18</v>
      </c>
      <c r="F50" s="4">
        <f>SUM(B50:B56)*8760/SUM(C50:C56)</f>
        <v>1.7668830862841338</v>
      </c>
    </row>
    <row r="51" spans="1:6" x14ac:dyDescent="0.2">
      <c r="A51" s="1" t="s">
        <v>799</v>
      </c>
      <c r="B51" s="7">
        <v>2294.96</v>
      </c>
      <c r="C51" s="12">
        <v>13760977</v>
      </c>
    </row>
    <row r="52" spans="1:6" x14ac:dyDescent="0.2">
      <c r="A52" s="1" t="s">
        <v>800</v>
      </c>
      <c r="B52" s="2">
        <v>54.4</v>
      </c>
      <c r="C52" s="12">
        <v>59137086</v>
      </c>
    </row>
    <row r="53" spans="1:6" x14ac:dyDescent="0.2">
      <c r="A53" s="1" t="s">
        <v>436</v>
      </c>
      <c r="B53" s="2">
        <v>0</v>
      </c>
      <c r="C53" s="12">
        <v>0</v>
      </c>
    </row>
    <row r="54" spans="1:6" x14ac:dyDescent="0.2">
      <c r="A54" s="1" t="s">
        <v>423</v>
      </c>
      <c r="B54" s="7">
        <v>2209.08</v>
      </c>
      <c r="C54" s="12">
        <v>17640439</v>
      </c>
    </row>
    <row r="55" spans="1:6" x14ac:dyDescent="0.2">
      <c r="A55" s="1" t="s">
        <v>801</v>
      </c>
      <c r="B55" s="7">
        <v>868628.65</v>
      </c>
      <c r="C55" s="12">
        <v>4247386267</v>
      </c>
    </row>
    <row r="56" spans="1:6" x14ac:dyDescent="0.2">
      <c r="A56" s="1" t="s">
        <v>802</v>
      </c>
      <c r="B56" s="7">
        <v>17557.330000000002</v>
      </c>
      <c r="C56" s="12">
        <v>96814302</v>
      </c>
    </row>
    <row r="57" spans="1:6" x14ac:dyDescent="0.2">
      <c r="A57" s="1" t="s">
        <v>803</v>
      </c>
      <c r="B57" s="7">
        <v>188909.62</v>
      </c>
      <c r="C57" s="12">
        <v>960050432</v>
      </c>
      <c r="E57" s="4" t="s">
        <v>19</v>
      </c>
      <c r="F57" s="4">
        <f>SUM(B57:B60)*8760/SUM(C57:C60)</f>
        <v>1.5229311525020668</v>
      </c>
    </row>
    <row r="58" spans="1:6" x14ac:dyDescent="0.2">
      <c r="A58" s="1" t="s">
        <v>804</v>
      </c>
      <c r="B58" s="7">
        <v>265563.99</v>
      </c>
      <c r="C58" s="12">
        <v>1542677296</v>
      </c>
    </row>
    <row r="59" spans="1:6" x14ac:dyDescent="0.2">
      <c r="A59" s="1" t="s">
        <v>805</v>
      </c>
      <c r="B59" s="7">
        <v>41233.910000000003</v>
      </c>
      <c r="C59" s="12">
        <v>287973382</v>
      </c>
    </row>
    <row r="60" spans="1:6" x14ac:dyDescent="0.2">
      <c r="A60" s="1" t="s">
        <v>806</v>
      </c>
      <c r="B60" s="7">
        <v>26815.21</v>
      </c>
      <c r="C60" s="12">
        <v>214883947</v>
      </c>
    </row>
    <row r="61" spans="1:6" x14ac:dyDescent="0.2">
      <c r="A61" s="15">
        <v>2024</v>
      </c>
      <c r="B61" s="15"/>
      <c r="C61" s="15"/>
    </row>
    <row r="62" spans="1:6" x14ac:dyDescent="0.2">
      <c r="A62" s="1" t="s">
        <v>0</v>
      </c>
      <c r="B62" s="1" t="s">
        <v>795</v>
      </c>
      <c r="C62" s="1" t="s">
        <v>796</v>
      </c>
      <c r="F62" s="4" t="s">
        <v>16</v>
      </c>
    </row>
    <row r="63" spans="1:6" x14ac:dyDescent="0.2">
      <c r="A63" s="1" t="s">
        <v>17</v>
      </c>
      <c r="B63" s="7">
        <v>1392096</v>
      </c>
      <c r="C63" s="12">
        <v>4489904711</v>
      </c>
      <c r="E63" s="4" t="s">
        <v>17</v>
      </c>
      <c r="F63" s="4">
        <f>(B63+B64)*8760/(C63+C64)</f>
        <v>2.7215448108212565</v>
      </c>
    </row>
    <row r="64" spans="1:6" x14ac:dyDescent="0.2">
      <c r="A64" s="1" t="s">
        <v>797</v>
      </c>
      <c r="B64" s="7">
        <v>246261</v>
      </c>
      <c r="C64" s="13">
        <v>783573522</v>
      </c>
    </row>
    <row r="65" spans="1:6" x14ac:dyDescent="0.2">
      <c r="A65" s="1" t="s">
        <v>798</v>
      </c>
      <c r="B65" s="7">
        <v>64126</v>
      </c>
      <c r="C65" s="13">
        <v>309939846</v>
      </c>
      <c r="E65" s="4" t="s">
        <v>18</v>
      </c>
      <c r="F65" s="4">
        <f>SUM(B65:B71)*8760/SUM(C65:C71)</f>
        <v>1.7219922295439891</v>
      </c>
    </row>
    <row r="66" spans="1:6" x14ac:dyDescent="0.2">
      <c r="A66" s="1" t="s">
        <v>799</v>
      </c>
      <c r="B66" s="7">
        <v>2369</v>
      </c>
      <c r="C66" s="13">
        <v>15881783</v>
      </c>
    </row>
    <row r="67" spans="1:6" x14ac:dyDescent="0.2">
      <c r="A67" s="1" t="s">
        <v>800</v>
      </c>
      <c r="B67" s="2">
        <v>37</v>
      </c>
      <c r="C67" s="13">
        <v>56497421</v>
      </c>
    </row>
    <row r="68" spans="1:6" x14ac:dyDescent="0.2">
      <c r="A68" s="1" t="s">
        <v>436</v>
      </c>
      <c r="B68" s="2">
        <v>0</v>
      </c>
      <c r="C68" s="11">
        <v>0</v>
      </c>
    </row>
    <row r="69" spans="1:6" x14ac:dyDescent="0.2">
      <c r="A69" s="1" t="s">
        <v>423</v>
      </c>
      <c r="B69" s="7">
        <v>2153</v>
      </c>
      <c r="C69" s="13">
        <v>17640439</v>
      </c>
    </row>
    <row r="70" spans="1:6" x14ac:dyDescent="0.2">
      <c r="A70" s="1" t="s">
        <v>801</v>
      </c>
      <c r="B70" s="7">
        <v>834142</v>
      </c>
      <c r="C70" s="13">
        <v>4184882522</v>
      </c>
    </row>
    <row r="71" spans="1:6" x14ac:dyDescent="0.2">
      <c r="A71" s="1" t="s">
        <v>802</v>
      </c>
      <c r="B71" s="7">
        <v>17762</v>
      </c>
      <c r="C71" s="13">
        <v>98314801</v>
      </c>
    </row>
    <row r="72" spans="1:6" x14ac:dyDescent="0.2">
      <c r="A72" s="1" t="s">
        <v>803</v>
      </c>
      <c r="B72" s="7">
        <v>176853</v>
      </c>
      <c r="C72" s="13">
        <v>923884410</v>
      </c>
      <c r="E72" s="4" t="s">
        <v>19</v>
      </c>
      <c r="F72" s="4">
        <f>SUM(B72:B75)*8760/SUM(C72:C75)</f>
        <v>1.505724635785221</v>
      </c>
    </row>
    <row r="73" spans="1:6" x14ac:dyDescent="0.2">
      <c r="A73" s="1" t="s">
        <v>804</v>
      </c>
      <c r="B73" s="7">
        <v>278103</v>
      </c>
      <c r="C73" s="13">
        <v>1621564733</v>
      </c>
    </row>
    <row r="74" spans="1:6" x14ac:dyDescent="0.2">
      <c r="A74" s="1" t="s">
        <v>805</v>
      </c>
      <c r="B74" s="7">
        <v>42393</v>
      </c>
      <c r="C74" s="13">
        <v>284941604</v>
      </c>
    </row>
    <row r="75" spans="1:6" x14ac:dyDescent="0.2">
      <c r="A75" s="1" t="s">
        <v>806</v>
      </c>
      <c r="B75" s="7">
        <v>29867</v>
      </c>
      <c r="C75" s="13">
        <v>236844822</v>
      </c>
    </row>
    <row r="76" spans="1:6" x14ac:dyDescent="0.2">
      <c r="A76" s="15">
        <v>2025</v>
      </c>
      <c r="B76" s="15"/>
      <c r="C76" s="15"/>
    </row>
    <row r="77" spans="1:6" x14ac:dyDescent="0.2">
      <c r="A77" s="1" t="s">
        <v>0</v>
      </c>
      <c r="B77" s="1" t="s">
        <v>795</v>
      </c>
      <c r="C77" s="1" t="s">
        <v>796</v>
      </c>
      <c r="F77" s="4" t="s">
        <v>16</v>
      </c>
    </row>
    <row r="78" spans="1:6" x14ac:dyDescent="0.2">
      <c r="A78" s="1" t="s">
        <v>17</v>
      </c>
      <c r="B78" s="7">
        <v>1450405</v>
      </c>
      <c r="C78" s="5">
        <v>4674577688</v>
      </c>
      <c r="E78" s="4" t="s">
        <v>17</v>
      </c>
      <c r="F78" s="4">
        <f>(B78+B79)*8760/(C78+C79)</f>
        <v>2.7162085968137402</v>
      </c>
    </row>
    <row r="79" spans="1:6" x14ac:dyDescent="0.2">
      <c r="A79" s="1" t="s">
        <v>797</v>
      </c>
      <c r="B79" s="7">
        <v>248157</v>
      </c>
      <c r="C79" s="5">
        <v>803426887</v>
      </c>
    </row>
    <row r="80" spans="1:6" x14ac:dyDescent="0.2">
      <c r="A80" s="1" t="s">
        <v>798</v>
      </c>
      <c r="B80" s="7">
        <v>66937</v>
      </c>
      <c r="C80" s="5">
        <v>318441566</v>
      </c>
      <c r="E80" s="4" t="s">
        <v>18</v>
      </c>
      <c r="F80" s="4">
        <f>SUM(B80:B86)*8760/SUM(C80:C86)</f>
        <v>1.7934414506498608</v>
      </c>
    </row>
    <row r="81" spans="1:6" x14ac:dyDescent="0.2">
      <c r="A81" s="1" t="s">
        <v>799</v>
      </c>
      <c r="B81" s="7">
        <v>2043</v>
      </c>
      <c r="C81" s="5">
        <v>13012866</v>
      </c>
    </row>
    <row r="82" spans="1:6" x14ac:dyDescent="0.2">
      <c r="A82" s="1" t="s">
        <v>800</v>
      </c>
      <c r="B82" s="2">
        <v>62</v>
      </c>
      <c r="C82" s="5">
        <v>56770354</v>
      </c>
    </row>
    <row r="83" spans="1:6" x14ac:dyDescent="0.2">
      <c r="A83" s="1" t="s">
        <v>436</v>
      </c>
      <c r="B83" s="2">
        <v>0</v>
      </c>
      <c r="C83" s="11">
        <v>0</v>
      </c>
    </row>
    <row r="84" spans="1:6" x14ac:dyDescent="0.2">
      <c r="A84" s="1" t="s">
        <v>423</v>
      </c>
      <c r="B84" s="7">
        <v>2398</v>
      </c>
      <c r="C84" s="5">
        <v>18022203</v>
      </c>
    </row>
    <row r="85" spans="1:6" x14ac:dyDescent="0.2">
      <c r="A85" s="1" t="s">
        <v>801</v>
      </c>
      <c r="B85" s="7">
        <v>881827</v>
      </c>
      <c r="C85" s="5">
        <v>4249263490</v>
      </c>
    </row>
    <row r="86" spans="1:6" x14ac:dyDescent="0.2">
      <c r="A86" s="1" t="s">
        <v>802</v>
      </c>
      <c r="B86" s="7">
        <v>17255</v>
      </c>
      <c r="C86" s="13">
        <v>84969182</v>
      </c>
    </row>
    <row r="87" spans="1:6" x14ac:dyDescent="0.2">
      <c r="A87" s="1" t="s">
        <v>803</v>
      </c>
      <c r="B87" s="7">
        <v>181146</v>
      </c>
      <c r="C87" s="13">
        <v>13942880</v>
      </c>
      <c r="E87" s="4" t="s">
        <v>19</v>
      </c>
      <c r="F87" s="4">
        <f>SUM(B87:B90)*8760/SUM(C87:C90)</f>
        <v>2.2054523550650944</v>
      </c>
    </row>
    <row r="88" spans="1:6" x14ac:dyDescent="0.2">
      <c r="A88" s="1" t="s">
        <v>804</v>
      </c>
      <c r="B88" s="7">
        <v>298579</v>
      </c>
      <c r="C88" s="13">
        <v>1684200394</v>
      </c>
    </row>
    <row r="89" spans="1:6" x14ac:dyDescent="0.2">
      <c r="A89" s="1" t="s">
        <v>805</v>
      </c>
      <c r="B89" s="7">
        <v>47527</v>
      </c>
      <c r="C89" s="13">
        <v>287008915</v>
      </c>
    </row>
    <row r="90" spans="1:6" x14ac:dyDescent="0.2">
      <c r="A90" s="1" t="s">
        <v>806</v>
      </c>
      <c r="B90" s="7">
        <v>35319</v>
      </c>
      <c r="C90" s="13">
        <v>249365346</v>
      </c>
    </row>
  </sheetData>
  <mergeCells count="6">
    <mergeCell ref="A76:C76"/>
    <mergeCell ref="A1:C1"/>
    <mergeCell ref="A16:C16"/>
    <mergeCell ref="A31:C31"/>
    <mergeCell ref="A46:C46"/>
    <mergeCell ref="A61:C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66BB-4D6F-0E42-8B73-7F2832C17611}">
  <dimension ref="A1:N42"/>
  <sheetViews>
    <sheetView workbookViewId="0">
      <selection activeCell="A29" sqref="A29:I29"/>
    </sheetView>
  </sheetViews>
  <sheetFormatPr baseColWidth="10" defaultRowHeight="16" x14ac:dyDescent="0.2"/>
  <cols>
    <col min="2" max="2" width="24.83203125" customWidth="1"/>
    <col min="7" max="7" width="20.1640625" customWidth="1"/>
    <col min="8" max="8" width="29.5" bestFit="1" customWidth="1"/>
    <col min="9" max="9" width="12.83203125" bestFit="1" customWidth="1"/>
  </cols>
  <sheetData>
    <row r="1" spans="1:14" x14ac:dyDescent="0.2">
      <c r="A1" s="17">
        <v>2020</v>
      </c>
      <c r="B1" s="17"/>
      <c r="C1" s="17"/>
      <c r="D1" s="17"/>
      <c r="E1" s="17"/>
      <c r="F1" s="17"/>
      <c r="G1" s="17"/>
      <c r="H1" s="17"/>
      <c r="I1" s="17"/>
    </row>
    <row r="2" spans="1:14" x14ac:dyDescent="0.2">
      <c r="A2" s="1" t="s">
        <v>70</v>
      </c>
      <c r="B2" s="1" t="s">
        <v>807</v>
      </c>
      <c r="C2" s="1" t="s">
        <v>808</v>
      </c>
      <c r="D2" s="1" t="s">
        <v>809</v>
      </c>
      <c r="E2" s="1" t="s">
        <v>810</v>
      </c>
      <c r="F2" s="1" t="s">
        <v>811</v>
      </c>
      <c r="G2" s="1" t="s">
        <v>812</v>
      </c>
      <c r="H2" s="1" t="s">
        <v>813</v>
      </c>
      <c r="I2" s="1" t="s">
        <v>834</v>
      </c>
      <c r="K2" s="4"/>
      <c r="L2" s="4" t="s">
        <v>16</v>
      </c>
      <c r="N2" t="s">
        <v>57</v>
      </c>
    </row>
    <row r="3" spans="1:14" x14ac:dyDescent="0.2">
      <c r="A3" s="1" t="s">
        <v>437</v>
      </c>
      <c r="B3" s="3">
        <v>215684413</v>
      </c>
      <c r="C3" s="2" t="s">
        <v>814</v>
      </c>
      <c r="D3" s="2" t="s">
        <v>815</v>
      </c>
      <c r="E3" s="2" t="s">
        <v>816</v>
      </c>
      <c r="F3" s="2" t="s">
        <v>817</v>
      </c>
      <c r="G3" s="2" t="s">
        <v>818</v>
      </c>
      <c r="H3" s="3">
        <v>10149594888</v>
      </c>
    </row>
    <row r="4" spans="1:14" x14ac:dyDescent="0.2">
      <c r="A4" s="1" t="s">
        <v>17</v>
      </c>
      <c r="B4" s="3">
        <v>181023927</v>
      </c>
      <c r="C4" s="2" t="s">
        <v>814</v>
      </c>
      <c r="D4" s="2" t="s">
        <v>28</v>
      </c>
      <c r="E4" s="2" t="s">
        <v>819</v>
      </c>
      <c r="F4" s="2" t="s">
        <v>820</v>
      </c>
      <c r="G4" s="2" t="s">
        <v>821</v>
      </c>
      <c r="H4" s="3">
        <v>7982012663</v>
      </c>
      <c r="I4">
        <f>B4/$B$3</f>
        <v>0.83929999614761219</v>
      </c>
      <c r="K4" s="4" t="s">
        <v>17</v>
      </c>
      <c r="L4" s="4">
        <f>I4*8760*2*10^6/H4</f>
        <v>1.8422090459299694</v>
      </c>
      <c r="N4">
        <f>(L4+L11+L18+L25+L32+L39)/6</f>
        <v>1.9953556508709724</v>
      </c>
    </row>
    <row r="5" spans="1:14" x14ac:dyDescent="0.2">
      <c r="A5" s="1" t="s">
        <v>822</v>
      </c>
      <c r="B5" s="3">
        <v>31597767</v>
      </c>
      <c r="C5" s="2" t="s">
        <v>28</v>
      </c>
      <c r="D5" s="2" t="s">
        <v>823</v>
      </c>
      <c r="E5" s="2" t="s">
        <v>824</v>
      </c>
      <c r="F5" s="2" t="s">
        <v>825</v>
      </c>
      <c r="G5" s="2" t="s">
        <v>826</v>
      </c>
      <c r="H5" s="3">
        <v>1863008444</v>
      </c>
      <c r="I5">
        <f t="shared" ref="I5:I7" si="0">B5/$B$3</f>
        <v>0.14650000229733801</v>
      </c>
      <c r="K5" s="4" t="s">
        <v>18</v>
      </c>
      <c r="L5" s="4">
        <f>(I5+I6)*8760*2*10^6/(H5+H6)</f>
        <v>1.3758912279104871</v>
      </c>
      <c r="N5">
        <f>(L5+L12+L19+L26+L33+L40)/6</f>
        <v>1.7222196513300319</v>
      </c>
    </row>
    <row r="6" spans="1:14" x14ac:dyDescent="0.2">
      <c r="A6" s="1" t="s">
        <v>827</v>
      </c>
      <c r="B6" s="3">
        <v>2480371</v>
      </c>
      <c r="C6" s="2" t="s">
        <v>28</v>
      </c>
      <c r="D6" s="2" t="s">
        <v>828</v>
      </c>
      <c r="E6" s="2" t="s">
        <v>829</v>
      </c>
      <c r="F6" s="2" t="s">
        <v>830</v>
      </c>
      <c r="G6" s="2" t="s">
        <v>830</v>
      </c>
      <c r="H6" s="3">
        <v>148894826</v>
      </c>
      <c r="I6">
        <f t="shared" si="0"/>
        <v>1.1500001161419115E-2</v>
      </c>
    </row>
    <row r="7" spans="1:14" x14ac:dyDescent="0.2">
      <c r="A7" s="1" t="s">
        <v>831</v>
      </c>
      <c r="B7" s="3">
        <v>582348</v>
      </c>
      <c r="C7" s="2" t="s">
        <v>28</v>
      </c>
      <c r="D7" s="2" t="s">
        <v>28</v>
      </c>
      <c r="E7" s="2" t="s">
        <v>832</v>
      </c>
      <c r="F7" s="2" t="s">
        <v>833</v>
      </c>
      <c r="G7" s="2" t="s">
        <v>833</v>
      </c>
      <c r="H7" s="3">
        <v>155678955</v>
      </c>
      <c r="I7">
        <f t="shared" si="0"/>
        <v>2.7000003936306699E-3</v>
      </c>
      <c r="K7" s="4" t="s">
        <v>19</v>
      </c>
      <c r="L7" s="4">
        <f>(I7+I6)*8760*2*10^6/(H7+H6)</f>
        <v>0.81682680113713468</v>
      </c>
      <c r="N7">
        <f>(L7+L14+L21+L28+L35+L42)/6</f>
        <v>1.6628079880653044</v>
      </c>
    </row>
    <row r="8" spans="1:14" x14ac:dyDescent="0.2">
      <c r="A8" s="17">
        <v>2021</v>
      </c>
      <c r="B8" s="17"/>
      <c r="C8" s="17"/>
      <c r="D8" s="17"/>
      <c r="E8" s="17"/>
      <c r="F8" s="17"/>
      <c r="G8" s="17"/>
      <c r="H8" s="17"/>
      <c r="I8" s="17"/>
    </row>
    <row r="9" spans="1:14" x14ac:dyDescent="0.2">
      <c r="A9" s="1" t="s">
        <v>70</v>
      </c>
      <c r="B9" s="1" t="s">
        <v>807</v>
      </c>
      <c r="C9" s="1" t="s">
        <v>808</v>
      </c>
      <c r="D9" s="1" t="s">
        <v>809</v>
      </c>
      <c r="E9" s="1" t="s">
        <v>835</v>
      </c>
      <c r="F9" s="1" t="s">
        <v>811</v>
      </c>
      <c r="G9" s="1" t="s">
        <v>812</v>
      </c>
      <c r="H9" s="1" t="s">
        <v>813</v>
      </c>
      <c r="I9" s="1" t="s">
        <v>834</v>
      </c>
      <c r="K9" s="4"/>
      <c r="L9" s="4" t="s">
        <v>16</v>
      </c>
    </row>
    <row r="10" spans="1:14" x14ac:dyDescent="0.2">
      <c r="A10" s="1" t="s">
        <v>437</v>
      </c>
      <c r="B10" s="3">
        <v>251170035</v>
      </c>
      <c r="C10" s="2" t="s">
        <v>836</v>
      </c>
      <c r="D10" s="2" t="s">
        <v>837</v>
      </c>
      <c r="E10" s="2" t="s">
        <v>838</v>
      </c>
      <c r="F10" s="2" t="s">
        <v>839</v>
      </c>
      <c r="G10" s="2" t="s">
        <v>840</v>
      </c>
      <c r="H10" s="3">
        <v>10261167390</v>
      </c>
    </row>
    <row r="11" spans="1:14" x14ac:dyDescent="0.2">
      <c r="A11" s="1" t="s">
        <v>17</v>
      </c>
      <c r="B11" s="3">
        <v>201513719</v>
      </c>
      <c r="C11" s="2" t="s">
        <v>836</v>
      </c>
      <c r="D11" s="2" t="s">
        <v>28</v>
      </c>
      <c r="E11" s="2" t="s">
        <v>841</v>
      </c>
      <c r="F11" s="2" t="s">
        <v>842</v>
      </c>
      <c r="G11" s="2" t="s">
        <v>843</v>
      </c>
      <c r="H11" s="3">
        <v>8191151849</v>
      </c>
      <c r="I11">
        <f>B11/$B$10</f>
        <v>0.80229999967949994</v>
      </c>
      <c r="K11" s="4" t="s">
        <v>17</v>
      </c>
      <c r="L11" s="4">
        <f>I11*8760*2*10^6/H11</f>
        <v>1.7160341126017427</v>
      </c>
    </row>
    <row r="12" spans="1:14" x14ac:dyDescent="0.2">
      <c r="A12" s="1" t="s">
        <v>822</v>
      </c>
      <c r="B12" s="3">
        <v>43904522</v>
      </c>
      <c r="C12" s="2" t="s">
        <v>28</v>
      </c>
      <c r="D12" s="2" t="s">
        <v>844</v>
      </c>
      <c r="E12" s="2" t="s">
        <v>845</v>
      </c>
      <c r="F12" s="2" t="s">
        <v>846</v>
      </c>
      <c r="G12" s="2" t="s">
        <v>847</v>
      </c>
      <c r="H12" s="3">
        <v>1870522096</v>
      </c>
      <c r="I12">
        <f>B12/$B$10</f>
        <v>0.17479999953019873</v>
      </c>
      <c r="K12" s="4" t="s">
        <v>18</v>
      </c>
      <c r="L12" s="4">
        <f>(I12+I13)*8760*2*10^6/(H12+H13)</f>
        <v>1.6686418956173217</v>
      </c>
    </row>
    <row r="13" spans="1:14" x14ac:dyDescent="0.2">
      <c r="A13" s="1" t="s">
        <v>827</v>
      </c>
      <c r="B13" s="3">
        <v>5023401</v>
      </c>
      <c r="C13" s="2" t="s">
        <v>28</v>
      </c>
      <c r="D13" s="2" t="s">
        <v>848</v>
      </c>
      <c r="E13" s="2" t="s">
        <v>849</v>
      </c>
      <c r="F13" s="2" t="s">
        <v>850</v>
      </c>
      <c r="G13" s="2" t="s">
        <v>850</v>
      </c>
      <c r="H13" s="3">
        <v>174791534</v>
      </c>
      <c r="I13">
        <f>B13/$B$10</f>
        <v>2.0000001194409995E-2</v>
      </c>
    </row>
    <row r="14" spans="1:14" x14ac:dyDescent="0.2">
      <c r="A14" s="1" t="s">
        <v>831</v>
      </c>
      <c r="B14" s="3">
        <v>728393</v>
      </c>
      <c r="C14" s="2" t="s">
        <v>28</v>
      </c>
      <c r="D14" s="2" t="s">
        <v>28</v>
      </c>
      <c r="E14" s="2" t="s">
        <v>851</v>
      </c>
      <c r="F14" s="2" t="s">
        <v>852</v>
      </c>
      <c r="G14" s="2" t="s">
        <v>852</v>
      </c>
      <c r="H14" s="3">
        <v>24701911</v>
      </c>
      <c r="I14">
        <f>B14/$B$10</f>
        <v>2.8999995958912854E-3</v>
      </c>
      <c r="K14" s="4" t="s">
        <v>19</v>
      </c>
      <c r="L14" s="4">
        <f>(I14+I13)*8760*2*10^6/(H14+H13)</f>
        <v>2.0111338186880197</v>
      </c>
    </row>
    <row r="15" spans="1:14" x14ac:dyDescent="0.2">
      <c r="A15" s="17">
        <v>2022</v>
      </c>
      <c r="B15" s="17"/>
      <c r="C15" s="17"/>
      <c r="D15" s="17"/>
      <c r="E15" s="17"/>
      <c r="F15" s="17"/>
      <c r="G15" s="17"/>
      <c r="H15" s="17"/>
      <c r="I15" s="17"/>
    </row>
    <row r="16" spans="1:14" x14ac:dyDescent="0.2">
      <c r="A16" s="1" t="s">
        <v>70</v>
      </c>
      <c r="B16" s="1" t="s">
        <v>807</v>
      </c>
      <c r="C16" s="1" t="s">
        <v>808</v>
      </c>
      <c r="D16" s="1" t="s">
        <v>809</v>
      </c>
      <c r="E16" s="1" t="s">
        <v>835</v>
      </c>
      <c r="F16" s="1" t="s">
        <v>811</v>
      </c>
      <c r="G16" s="1" t="s">
        <v>812</v>
      </c>
      <c r="H16" s="1" t="s">
        <v>813</v>
      </c>
      <c r="I16" s="1" t="s">
        <v>834</v>
      </c>
      <c r="K16" s="4"/>
      <c r="L16" s="4" t="s">
        <v>16</v>
      </c>
    </row>
    <row r="17" spans="1:12" x14ac:dyDescent="0.2">
      <c r="A17" s="1" t="s">
        <v>437</v>
      </c>
      <c r="B17" s="3">
        <v>248082712</v>
      </c>
      <c r="C17" s="2" t="s">
        <v>853</v>
      </c>
      <c r="D17" s="2" t="s">
        <v>854</v>
      </c>
      <c r="E17" s="2" t="s">
        <v>855</v>
      </c>
      <c r="F17" s="2" t="s">
        <v>856</v>
      </c>
      <c r="G17" s="2" t="s">
        <v>857</v>
      </c>
      <c r="H17" s="3">
        <v>11949850916</v>
      </c>
    </row>
    <row r="18" spans="1:12" x14ac:dyDescent="0.2">
      <c r="A18" s="1" t="s">
        <v>17</v>
      </c>
      <c r="B18" s="3">
        <v>196853632</v>
      </c>
      <c r="C18" s="2" t="s">
        <v>853</v>
      </c>
      <c r="D18" s="2" t="s">
        <v>28</v>
      </c>
      <c r="E18" s="2" t="s">
        <v>858</v>
      </c>
      <c r="F18" s="2" t="s">
        <v>859</v>
      </c>
      <c r="G18" s="2" t="s">
        <v>860</v>
      </c>
      <c r="H18" s="3">
        <v>9172879486</v>
      </c>
      <c r="I18">
        <f>B18/$B$17</f>
        <v>0.79350000011286559</v>
      </c>
      <c r="K18" s="4" t="s">
        <v>17</v>
      </c>
      <c r="L18" s="4">
        <f>I18*8760*2*10^6/H18</f>
        <v>1.5155677149356812</v>
      </c>
    </row>
    <row r="19" spans="1:12" x14ac:dyDescent="0.2">
      <c r="A19" s="1" t="s">
        <v>822</v>
      </c>
      <c r="B19" s="3">
        <v>42050020</v>
      </c>
      <c r="C19" s="2" t="s">
        <v>28</v>
      </c>
      <c r="D19" s="2" t="s">
        <v>861</v>
      </c>
      <c r="E19" s="2" t="s">
        <v>862</v>
      </c>
      <c r="F19" s="2" t="s">
        <v>863</v>
      </c>
      <c r="G19" s="2" t="s">
        <v>864</v>
      </c>
      <c r="H19" s="3">
        <v>2396435910</v>
      </c>
      <c r="I19">
        <f t="shared" ref="I19:I21" si="1">B19/$B$17</f>
        <v>0.16950000127376871</v>
      </c>
      <c r="K19" s="4" t="s">
        <v>18</v>
      </c>
      <c r="L19" s="4">
        <f>(I19+I20)*8760*2*10^6/(H19+H20)</f>
        <v>1.2523277028445734</v>
      </c>
    </row>
    <row r="20" spans="1:12" x14ac:dyDescent="0.2">
      <c r="A20" s="1" t="s">
        <v>827</v>
      </c>
      <c r="B20" s="3">
        <v>4068556</v>
      </c>
      <c r="C20" s="2" t="s">
        <v>28</v>
      </c>
      <c r="D20" s="2" t="s">
        <v>865</v>
      </c>
      <c r="E20" s="2" t="s">
        <v>866</v>
      </c>
      <c r="F20" s="2" t="s">
        <v>867</v>
      </c>
      <c r="G20" s="2" t="s">
        <v>867</v>
      </c>
      <c r="H20" s="3">
        <v>204295497</v>
      </c>
      <c r="I20">
        <f>B20/$B$17</f>
        <v>1.6399998078060352E-2</v>
      </c>
    </row>
    <row r="21" spans="1:12" x14ac:dyDescent="0.2">
      <c r="A21" s="1" t="s">
        <v>831</v>
      </c>
      <c r="B21" s="3">
        <v>5110504</v>
      </c>
      <c r="C21" s="2" t="s">
        <v>28</v>
      </c>
      <c r="D21" s="2" t="s">
        <v>28</v>
      </c>
      <c r="E21" s="2" t="s">
        <v>868</v>
      </c>
      <c r="F21" s="2" t="s">
        <v>869</v>
      </c>
      <c r="G21" s="2" t="s">
        <v>869</v>
      </c>
      <c r="H21" s="3">
        <v>176240023</v>
      </c>
      <c r="I21">
        <f t="shared" si="1"/>
        <v>2.0600000535305339E-2</v>
      </c>
      <c r="K21" s="4" t="s">
        <v>19</v>
      </c>
      <c r="L21" s="4">
        <f>(I21+I20)*8760*2*10^6/(H21+H20)</f>
        <v>1.7034940015748514</v>
      </c>
    </row>
    <row r="22" spans="1:12" x14ac:dyDescent="0.2">
      <c r="A22" s="17">
        <v>2023</v>
      </c>
      <c r="B22" s="17"/>
      <c r="C22" s="17"/>
      <c r="D22" s="17"/>
      <c r="E22" s="17"/>
      <c r="F22" s="17"/>
      <c r="G22" s="17"/>
      <c r="H22" s="17"/>
      <c r="I22" s="17"/>
    </row>
    <row r="23" spans="1:12" x14ac:dyDescent="0.2">
      <c r="A23" s="1" t="s">
        <v>70</v>
      </c>
      <c r="B23" s="1" t="s">
        <v>807</v>
      </c>
      <c r="C23" s="1" t="s">
        <v>808</v>
      </c>
      <c r="D23" s="1" t="s">
        <v>809</v>
      </c>
      <c r="E23" s="1" t="s">
        <v>835</v>
      </c>
      <c r="F23" s="1" t="s">
        <v>811</v>
      </c>
      <c r="G23" s="1" t="s">
        <v>812</v>
      </c>
      <c r="H23" s="1" t="s">
        <v>813</v>
      </c>
      <c r="I23" s="1" t="s">
        <v>834</v>
      </c>
      <c r="K23" s="4"/>
      <c r="L23" s="4" t="s">
        <v>16</v>
      </c>
    </row>
    <row r="24" spans="1:12" x14ac:dyDescent="0.2">
      <c r="A24" s="1" t="s">
        <v>437</v>
      </c>
      <c r="B24" s="3">
        <v>237401952</v>
      </c>
      <c r="C24" s="2" t="s">
        <v>870</v>
      </c>
      <c r="D24" s="2" t="s">
        <v>871</v>
      </c>
      <c r="E24" s="2" t="s">
        <v>872</v>
      </c>
      <c r="F24" s="2" t="s">
        <v>873</v>
      </c>
      <c r="G24" s="2" t="s">
        <v>874</v>
      </c>
      <c r="H24" s="3">
        <v>11839828965</v>
      </c>
    </row>
    <row r="25" spans="1:12" x14ac:dyDescent="0.2">
      <c r="A25" s="1" t="s">
        <v>17</v>
      </c>
      <c r="B25" s="3">
        <v>186597934</v>
      </c>
      <c r="C25" s="2" t="s">
        <v>870</v>
      </c>
      <c r="D25" s="2" t="s">
        <v>28</v>
      </c>
      <c r="E25" s="2" t="s">
        <v>875</v>
      </c>
      <c r="F25" s="2" t="s">
        <v>876</v>
      </c>
      <c r="G25" s="2" t="s">
        <v>877</v>
      </c>
      <c r="H25" s="3">
        <v>9196400603</v>
      </c>
      <c r="I25">
        <f>B25/$B$24</f>
        <v>0.78599999885426386</v>
      </c>
      <c r="K25" s="4" t="s">
        <v>17</v>
      </c>
      <c r="L25" s="4">
        <f>I25*8760*2*10^6/H25</f>
        <v>1.4974032313723367</v>
      </c>
    </row>
    <row r="26" spans="1:12" x14ac:dyDescent="0.2">
      <c r="A26" s="1" t="s">
        <v>822</v>
      </c>
      <c r="B26" s="3">
        <v>42922273</v>
      </c>
      <c r="C26" s="2" t="s">
        <v>28</v>
      </c>
      <c r="D26" s="2" t="s">
        <v>878</v>
      </c>
      <c r="E26" s="2" t="s">
        <v>879</v>
      </c>
      <c r="F26" s="2" t="s">
        <v>880</v>
      </c>
      <c r="G26" s="2" t="s">
        <v>881</v>
      </c>
      <c r="H26" s="3">
        <v>2270470708</v>
      </c>
      <c r="I26">
        <f t="shared" ref="I26:I28" si="2">B26/$B$17</f>
        <v>0.1730159778324255</v>
      </c>
      <c r="K26" s="4" t="s">
        <v>18</v>
      </c>
      <c r="L26" s="4">
        <f>(I26+I27)*8760*2*10^6/(H26+H27)</f>
        <v>1.3873913539993605</v>
      </c>
    </row>
    <row r="27" spans="1:12" x14ac:dyDescent="0.2">
      <c r="A27" s="1" t="s">
        <v>827</v>
      </c>
      <c r="B27" s="3">
        <v>6148711</v>
      </c>
      <c r="C27" s="2" t="s">
        <v>28</v>
      </c>
      <c r="D27" s="2" t="s">
        <v>882</v>
      </c>
      <c r="E27" s="2" t="s">
        <v>883</v>
      </c>
      <c r="F27" s="2" t="s">
        <v>884</v>
      </c>
      <c r="G27" s="2" t="s">
        <v>884</v>
      </c>
      <c r="H27" s="3">
        <v>227362206</v>
      </c>
      <c r="I27">
        <f>B27/$B$17</f>
        <v>2.4784923344436834E-2</v>
      </c>
    </row>
    <row r="28" spans="1:12" x14ac:dyDescent="0.2">
      <c r="A28" s="1" t="s">
        <v>831</v>
      </c>
      <c r="B28" s="3">
        <v>1733034</v>
      </c>
      <c r="C28" s="2" t="s">
        <v>28</v>
      </c>
      <c r="D28" s="2" t="s">
        <v>28</v>
      </c>
      <c r="E28" s="2" t="s">
        <v>885</v>
      </c>
      <c r="F28" s="2" t="s">
        <v>886</v>
      </c>
      <c r="G28" s="2" t="s">
        <v>886</v>
      </c>
      <c r="H28" s="3">
        <v>145595448</v>
      </c>
      <c r="I28">
        <f t="shared" si="2"/>
        <v>6.9857104754643285E-3</v>
      </c>
      <c r="K28" s="4" t="s">
        <v>19</v>
      </c>
      <c r="L28" s="4">
        <f>(I28+I27)*8760*2*10^6/(H28+H27)</f>
        <v>1.4924522893011021</v>
      </c>
    </row>
    <row r="29" spans="1:12" x14ac:dyDescent="0.2">
      <c r="A29" s="17">
        <v>2024</v>
      </c>
      <c r="B29" s="17"/>
      <c r="C29" s="17"/>
      <c r="D29" s="17"/>
      <c r="E29" s="17"/>
      <c r="F29" s="17"/>
      <c r="G29" s="17"/>
      <c r="H29" s="17"/>
      <c r="I29" s="17"/>
    </row>
    <row r="30" spans="1:12" x14ac:dyDescent="0.2">
      <c r="A30" s="1" t="s">
        <v>70</v>
      </c>
      <c r="B30" s="1" t="s">
        <v>807</v>
      </c>
      <c r="C30" s="1" t="s">
        <v>808</v>
      </c>
      <c r="D30" s="1" t="s">
        <v>809</v>
      </c>
      <c r="E30" s="1" t="s">
        <v>835</v>
      </c>
      <c r="F30" s="1" t="s">
        <v>811</v>
      </c>
      <c r="G30" s="1" t="s">
        <v>812</v>
      </c>
      <c r="H30" s="1" t="s">
        <v>813</v>
      </c>
      <c r="I30" s="1" t="s">
        <v>834</v>
      </c>
      <c r="K30" s="4"/>
      <c r="L30" s="4" t="s">
        <v>16</v>
      </c>
    </row>
    <row r="31" spans="1:12" x14ac:dyDescent="0.2">
      <c r="A31" s="1" t="s">
        <v>437</v>
      </c>
      <c r="B31" s="3">
        <v>242663413</v>
      </c>
      <c r="C31" s="2" t="s">
        <v>887</v>
      </c>
      <c r="D31" s="2" t="s">
        <v>888</v>
      </c>
      <c r="E31" s="2" t="s">
        <v>889</v>
      </c>
      <c r="F31" s="2" t="s">
        <v>890</v>
      </c>
      <c r="G31" s="2" t="s">
        <v>891</v>
      </c>
      <c r="H31" s="3">
        <v>10619242277</v>
      </c>
    </row>
    <row r="32" spans="1:12" x14ac:dyDescent="0.2">
      <c r="A32" s="1" t="s">
        <v>17</v>
      </c>
      <c r="B32" s="3">
        <v>201604763</v>
      </c>
      <c r="C32" s="2" t="s">
        <v>887</v>
      </c>
      <c r="D32" s="2" t="s">
        <v>28</v>
      </c>
      <c r="E32" s="2" t="s">
        <v>892</v>
      </c>
      <c r="F32" s="2" t="s">
        <v>893</v>
      </c>
      <c r="G32" s="2" t="s">
        <v>894</v>
      </c>
      <c r="H32" s="3">
        <v>8358480411</v>
      </c>
      <c r="I32">
        <f>B32/$B$31</f>
        <v>0.83079999785546577</v>
      </c>
      <c r="K32" s="4" t="s">
        <v>17</v>
      </c>
      <c r="L32" s="4">
        <f>I32*8760*2*10^6/H32</f>
        <v>1.7414189238599103</v>
      </c>
    </row>
    <row r="33" spans="1:12" x14ac:dyDescent="0.2">
      <c r="A33" s="1" t="s">
        <v>822</v>
      </c>
      <c r="B33" s="3">
        <v>34894999</v>
      </c>
      <c r="C33" s="2" t="s">
        <v>28</v>
      </c>
      <c r="D33" s="2" t="s">
        <v>895</v>
      </c>
      <c r="E33" s="2" t="s">
        <v>896</v>
      </c>
      <c r="F33" s="2" t="s">
        <v>897</v>
      </c>
      <c r="G33" s="2" t="s">
        <v>898</v>
      </c>
      <c r="H33" s="3">
        <v>1989580594</v>
      </c>
      <c r="I33">
        <f t="shared" ref="I33:I34" si="3">B33/$B$31</f>
        <v>0.14380000086786879</v>
      </c>
      <c r="K33" s="4" t="s">
        <v>18</v>
      </c>
      <c r="L33" s="4">
        <f>(I33+I34)*8760*2*10^6/(H33+H34)</f>
        <v>1.309111985533171</v>
      </c>
    </row>
    <row r="34" spans="1:12" x14ac:dyDescent="0.2">
      <c r="A34" s="1" t="s">
        <v>827</v>
      </c>
      <c r="B34" s="3">
        <v>4052479</v>
      </c>
      <c r="C34" s="2" t="s">
        <v>28</v>
      </c>
      <c r="D34" s="2" t="s">
        <v>899</v>
      </c>
      <c r="E34" s="2" t="s">
        <v>900</v>
      </c>
      <c r="F34" s="2" t="s">
        <v>901</v>
      </c>
      <c r="G34" s="2" t="s">
        <v>901</v>
      </c>
      <c r="H34" s="3">
        <v>158409835</v>
      </c>
      <c r="I34">
        <f t="shared" si="3"/>
        <v>1.6700000011950711E-2</v>
      </c>
    </row>
    <row r="35" spans="1:12" x14ac:dyDescent="0.2">
      <c r="A35" s="1" t="s">
        <v>831</v>
      </c>
      <c r="B35" s="3">
        <v>2111172</v>
      </c>
      <c r="C35" s="2" t="s">
        <v>28</v>
      </c>
      <c r="D35" s="2" t="s">
        <v>28</v>
      </c>
      <c r="E35" s="2" t="s">
        <v>902</v>
      </c>
      <c r="F35" s="2" t="s">
        <v>903</v>
      </c>
      <c r="G35" s="2" t="s">
        <v>903</v>
      </c>
      <c r="H35" s="3">
        <v>112771437</v>
      </c>
      <c r="I35">
        <f>B35/$B$31</f>
        <v>8.7000012647147594E-3</v>
      </c>
      <c r="K35" s="4" t="s">
        <v>19</v>
      </c>
      <c r="L35" s="4">
        <f>(I35+I34)*8760*2*10^6/(H35+H34)</f>
        <v>1.6409983590871977</v>
      </c>
    </row>
    <row r="36" spans="1:12" x14ac:dyDescent="0.2">
      <c r="A36" s="17">
        <v>2025</v>
      </c>
      <c r="B36" s="17"/>
      <c r="C36" s="17"/>
      <c r="D36" s="17"/>
      <c r="E36" s="17"/>
      <c r="F36" s="17"/>
      <c r="G36" s="17"/>
      <c r="H36" s="17"/>
      <c r="I36" s="17"/>
    </row>
    <row r="37" spans="1:12" x14ac:dyDescent="0.2">
      <c r="A37" s="1" t="s">
        <v>70</v>
      </c>
      <c r="B37" s="1" t="s">
        <v>807</v>
      </c>
      <c r="C37" s="1" t="s">
        <v>808</v>
      </c>
      <c r="D37" s="1" t="s">
        <v>809</v>
      </c>
      <c r="E37" s="1" t="s">
        <v>835</v>
      </c>
      <c r="F37" s="1" t="s">
        <v>811</v>
      </c>
      <c r="G37" s="1" t="s">
        <v>812</v>
      </c>
      <c r="H37" s="1" t="s">
        <v>813</v>
      </c>
      <c r="I37" s="1" t="s">
        <v>834</v>
      </c>
      <c r="K37" s="4"/>
      <c r="L37" s="4" t="s">
        <v>16</v>
      </c>
    </row>
    <row r="38" spans="1:12" x14ac:dyDescent="0.2">
      <c r="A38" s="1" t="s">
        <v>437</v>
      </c>
      <c r="B38" s="3">
        <v>135974385</v>
      </c>
      <c r="C38" s="2" t="s">
        <v>904</v>
      </c>
      <c r="D38" s="2" t="s">
        <v>905</v>
      </c>
      <c r="E38" s="2" t="s">
        <v>906</v>
      </c>
      <c r="F38" s="2" t="s">
        <v>907</v>
      </c>
      <c r="G38" s="2" t="s">
        <v>908</v>
      </c>
      <c r="H38" s="3">
        <v>4951994998</v>
      </c>
    </row>
    <row r="39" spans="1:12" x14ac:dyDescent="0.2">
      <c r="A39" s="1" t="s">
        <v>17</v>
      </c>
      <c r="B39" s="3">
        <v>109459380</v>
      </c>
      <c r="C39" s="2" t="s">
        <v>904</v>
      </c>
      <c r="D39" s="2" t="s">
        <v>28</v>
      </c>
      <c r="E39" s="2" t="s">
        <v>909</v>
      </c>
      <c r="F39" s="2" t="s">
        <v>910</v>
      </c>
      <c r="G39" s="2" t="s">
        <v>911</v>
      </c>
      <c r="H39" s="3">
        <v>3853968201</v>
      </c>
      <c r="I39">
        <f>B39/$B$38</f>
        <v>0.8050000005515745</v>
      </c>
      <c r="K39" s="4" t="s">
        <v>17</v>
      </c>
      <c r="L39" s="4">
        <f>I39*8760*2*10^6/H39</f>
        <v>3.6595008765261956</v>
      </c>
    </row>
    <row r="40" spans="1:12" x14ac:dyDescent="0.2">
      <c r="A40" s="1" t="s">
        <v>822</v>
      </c>
      <c r="B40" s="3">
        <v>23142840</v>
      </c>
      <c r="C40" s="2" t="s">
        <v>28</v>
      </c>
      <c r="D40" s="2" t="s">
        <v>912</v>
      </c>
      <c r="E40" s="2" t="s">
        <v>913</v>
      </c>
      <c r="F40" s="2" t="s">
        <v>914</v>
      </c>
      <c r="G40" s="2" t="s">
        <v>915</v>
      </c>
      <c r="H40" s="3">
        <v>910091326</v>
      </c>
      <c r="I40">
        <f t="shared" ref="I40:I41" si="4">B40/$B$38</f>
        <v>0.17019999759513529</v>
      </c>
      <c r="K40" s="4" t="s">
        <v>18</v>
      </c>
      <c r="L40" s="4">
        <f>(I40+I41)*8760*2*10^6/(H40+H41)</f>
        <v>3.3399537420752767</v>
      </c>
    </row>
    <row r="41" spans="1:12" x14ac:dyDescent="0.2">
      <c r="A41" s="1" t="s">
        <v>827</v>
      </c>
      <c r="B41" s="3">
        <v>3045826</v>
      </c>
      <c r="C41" s="2" t="s">
        <v>28</v>
      </c>
      <c r="D41" s="2" t="s">
        <v>916</v>
      </c>
      <c r="E41" s="2" t="s">
        <v>917</v>
      </c>
      <c r="F41" s="2" t="s">
        <v>918</v>
      </c>
      <c r="G41" s="2" t="s">
        <v>918</v>
      </c>
      <c r="H41" s="3">
        <v>100207675</v>
      </c>
      <c r="I41">
        <f t="shared" si="4"/>
        <v>2.2399998352630901E-2</v>
      </c>
    </row>
    <row r="42" spans="1:12" x14ac:dyDescent="0.2">
      <c r="A42" s="1" t="s">
        <v>831</v>
      </c>
      <c r="B42" s="3">
        <v>326339</v>
      </c>
      <c r="C42" s="2" t="s">
        <v>28</v>
      </c>
      <c r="D42" s="2" t="s">
        <v>28</v>
      </c>
      <c r="E42" s="2" t="s">
        <v>919</v>
      </c>
      <c r="F42" s="2" t="s">
        <v>920</v>
      </c>
      <c r="G42" s="2" t="s">
        <v>920</v>
      </c>
      <c r="H42" s="3">
        <v>87727796</v>
      </c>
      <c r="I42">
        <f>B42/$B$38</f>
        <v>2.4000035006593338E-3</v>
      </c>
      <c r="K42" s="4" t="s">
        <v>19</v>
      </c>
      <c r="L42" s="4">
        <f>(I42+I41)*8760*2*10^6/(H42+H41)</f>
        <v>2.3119426586035212</v>
      </c>
    </row>
  </sheetData>
  <mergeCells count="6">
    <mergeCell ref="A36:I36"/>
    <mergeCell ref="A1:I1"/>
    <mergeCell ref="A8:I8"/>
    <mergeCell ref="A15:I15"/>
    <mergeCell ref="A22:I22"/>
    <mergeCell ref="A29:I2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1D46-1F67-D24B-94B8-7B05689F275E}">
  <dimension ref="A1:H72"/>
  <sheetViews>
    <sheetView topLeftCell="A39" workbookViewId="0">
      <selection activeCell="F12" sqref="F12"/>
    </sheetView>
  </sheetViews>
  <sheetFormatPr baseColWidth="10" defaultRowHeight="16" x14ac:dyDescent="0.2"/>
  <cols>
    <col min="2" max="2" width="20.33203125" bestFit="1" customWidth="1"/>
    <col min="3" max="3" width="22.5" bestFit="1" customWidth="1"/>
  </cols>
  <sheetData>
    <row r="1" spans="1:8" x14ac:dyDescent="0.2">
      <c r="A1" s="17">
        <v>2020</v>
      </c>
      <c r="B1" s="17"/>
      <c r="C1" s="17"/>
    </row>
    <row r="2" spans="1:8" x14ac:dyDescent="0.2">
      <c r="A2" s="1" t="s">
        <v>0</v>
      </c>
      <c r="B2" s="1" t="s">
        <v>921</v>
      </c>
      <c r="C2" s="1" t="s">
        <v>922</v>
      </c>
      <c r="E2" s="4"/>
      <c r="F2" s="4" t="s">
        <v>16</v>
      </c>
      <c r="H2" t="s">
        <v>57</v>
      </c>
    </row>
    <row r="3" spans="1:8" x14ac:dyDescent="0.2">
      <c r="A3" s="1" t="s">
        <v>4</v>
      </c>
      <c r="B3" s="3">
        <v>12003419</v>
      </c>
      <c r="C3" s="7">
        <v>4435.3</v>
      </c>
      <c r="E3" s="4" t="s">
        <v>17</v>
      </c>
      <c r="F3" s="4">
        <f>(C4+C3+C5)*8760/(B4+B3+B5)</f>
        <v>3.2304049533900168</v>
      </c>
      <c r="H3">
        <f>(F3+F15+F27+F39+F51+F63)/6</f>
        <v>3.188608083656471</v>
      </c>
    </row>
    <row r="4" spans="1:8" x14ac:dyDescent="0.2">
      <c r="A4" s="1" t="s">
        <v>923</v>
      </c>
      <c r="B4" s="3">
        <v>94500</v>
      </c>
      <c r="C4" s="2">
        <v>20.100000000000001</v>
      </c>
    </row>
    <row r="5" spans="1:8" x14ac:dyDescent="0.2">
      <c r="A5" s="1" t="s">
        <v>924</v>
      </c>
      <c r="B5" s="3">
        <v>172950</v>
      </c>
      <c r="C5" s="2">
        <v>69.7</v>
      </c>
    </row>
    <row r="6" spans="1:8" x14ac:dyDescent="0.2">
      <c r="A6" s="1" t="s">
        <v>925</v>
      </c>
      <c r="B6" s="2">
        <v>658</v>
      </c>
      <c r="C6" s="2">
        <v>0</v>
      </c>
    </row>
    <row r="7" spans="1:8" x14ac:dyDescent="0.2">
      <c r="A7" s="1" t="s">
        <v>926</v>
      </c>
      <c r="B7" s="2">
        <v>16</v>
      </c>
      <c r="C7" s="2">
        <v>0</v>
      </c>
    </row>
    <row r="8" spans="1:8" x14ac:dyDescent="0.2">
      <c r="A8" s="1" t="s">
        <v>927</v>
      </c>
      <c r="B8" s="3">
        <v>10469</v>
      </c>
      <c r="C8" s="2">
        <v>3.3</v>
      </c>
    </row>
    <row r="9" spans="1:8" x14ac:dyDescent="0.2">
      <c r="A9" s="1" t="s">
        <v>928</v>
      </c>
      <c r="B9" s="3">
        <v>146959</v>
      </c>
      <c r="C9" s="2">
        <v>0</v>
      </c>
    </row>
    <row r="10" spans="1:8" x14ac:dyDescent="0.2">
      <c r="A10" s="1" t="s">
        <v>929</v>
      </c>
      <c r="B10" s="3">
        <v>296606</v>
      </c>
      <c r="C10" s="2">
        <v>0</v>
      </c>
    </row>
    <row r="11" spans="1:8" x14ac:dyDescent="0.2">
      <c r="A11" s="1" t="s">
        <v>930</v>
      </c>
      <c r="B11" s="3">
        <v>6306182</v>
      </c>
      <c r="C11" s="7">
        <v>1578.2</v>
      </c>
      <c r="E11" s="4" t="s">
        <v>18</v>
      </c>
      <c r="F11" s="4">
        <f>(C11)*8760/(B11)</f>
        <v>2.192298287616818</v>
      </c>
      <c r="H11">
        <f>(F11+F23+F35+F47+F59+F71)/6</f>
        <v>2.3376856484145492</v>
      </c>
    </row>
    <row r="12" spans="1:8" x14ac:dyDescent="0.2">
      <c r="A12" s="1" t="s">
        <v>931</v>
      </c>
      <c r="B12" s="3">
        <v>4755696</v>
      </c>
      <c r="C12" s="2">
        <v>841.1</v>
      </c>
      <c r="E12" s="4" t="s">
        <v>19</v>
      </c>
      <c r="F12" s="4">
        <f>(C12)*8760/(B12)</f>
        <v>1.5493076092332227</v>
      </c>
      <c r="H12">
        <f>(F12+F24+F36+F48+F60+F72)/6</f>
        <v>1.6263140934992746</v>
      </c>
    </row>
    <row r="13" spans="1:8" x14ac:dyDescent="0.2">
      <c r="A13" s="17">
        <v>2021</v>
      </c>
      <c r="B13" s="17"/>
      <c r="C13" s="17"/>
    </row>
    <row r="14" spans="1:8" x14ac:dyDescent="0.2">
      <c r="A14" s="1" t="s">
        <v>0</v>
      </c>
      <c r="B14" s="1" t="s">
        <v>921</v>
      </c>
      <c r="C14" s="1" t="s">
        <v>922</v>
      </c>
      <c r="E14" s="4"/>
      <c r="F14" s="4" t="s">
        <v>16</v>
      </c>
    </row>
    <row r="15" spans="1:8" x14ac:dyDescent="0.2">
      <c r="A15" s="1" t="s">
        <v>4</v>
      </c>
      <c r="B15" s="3">
        <v>13010844</v>
      </c>
      <c r="C15" s="7">
        <v>4459.7</v>
      </c>
      <c r="E15" s="4" t="s">
        <v>17</v>
      </c>
      <c r="F15" s="4">
        <f>(C16+C15+C17)*8760/(B16+B15+B17)</f>
        <v>3.0006518294143802</v>
      </c>
    </row>
    <row r="16" spans="1:8" x14ac:dyDescent="0.2">
      <c r="A16" s="1" t="s">
        <v>923</v>
      </c>
      <c r="B16" s="3">
        <v>89030</v>
      </c>
      <c r="C16" s="2">
        <v>19.399999999999999</v>
      </c>
    </row>
    <row r="17" spans="1:6" x14ac:dyDescent="0.2">
      <c r="A17" s="1" t="s">
        <v>924</v>
      </c>
      <c r="B17" s="3">
        <v>168935</v>
      </c>
      <c r="C17" s="2">
        <v>66</v>
      </c>
    </row>
    <row r="18" spans="1:6" x14ac:dyDescent="0.2">
      <c r="A18" s="1" t="s">
        <v>925</v>
      </c>
      <c r="B18" s="2">
        <v>834</v>
      </c>
      <c r="C18" s="2">
        <v>0</v>
      </c>
    </row>
    <row r="19" spans="1:6" x14ac:dyDescent="0.2">
      <c r="A19" s="1" t="s">
        <v>926</v>
      </c>
      <c r="B19" s="2">
        <v>14</v>
      </c>
      <c r="C19" s="2">
        <v>0</v>
      </c>
    </row>
    <row r="20" spans="1:6" x14ac:dyDescent="0.2">
      <c r="A20" s="1" t="s">
        <v>927</v>
      </c>
      <c r="B20" s="3">
        <v>9253</v>
      </c>
      <c r="C20" s="2">
        <v>2.9</v>
      </c>
    </row>
    <row r="21" spans="1:6" x14ac:dyDescent="0.2">
      <c r="A21" s="1" t="s">
        <v>928</v>
      </c>
      <c r="B21" s="3">
        <v>145085</v>
      </c>
      <c r="C21" s="2">
        <v>0</v>
      </c>
    </row>
    <row r="22" spans="1:6" x14ac:dyDescent="0.2">
      <c r="A22" s="1" t="s">
        <v>929</v>
      </c>
      <c r="B22" s="3">
        <v>291857</v>
      </c>
      <c r="C22" s="2">
        <v>0</v>
      </c>
    </row>
    <row r="23" spans="1:6" x14ac:dyDescent="0.2">
      <c r="A23" s="1" t="s">
        <v>930</v>
      </c>
      <c r="B23" s="3">
        <v>6326170</v>
      </c>
      <c r="C23" s="7">
        <v>1565.6</v>
      </c>
      <c r="E23" s="4" t="s">
        <v>18</v>
      </c>
      <c r="F23" s="4">
        <f>(C23)*8760/(B23)</f>
        <v>2.1679240361861916</v>
      </c>
    </row>
    <row r="24" spans="1:6" x14ac:dyDescent="0.2">
      <c r="A24" s="1" t="s">
        <v>931</v>
      </c>
      <c r="B24" s="3">
        <v>4322392</v>
      </c>
      <c r="C24" s="2">
        <v>827.5</v>
      </c>
      <c r="E24" s="4" t="s">
        <v>19</v>
      </c>
      <c r="F24" s="4">
        <f>(C24)*8760/(B24)</f>
        <v>1.6770575181519862</v>
      </c>
    </row>
    <row r="25" spans="1:6" x14ac:dyDescent="0.2">
      <c r="A25" s="17">
        <v>2022</v>
      </c>
      <c r="B25" s="17"/>
      <c r="C25" s="17"/>
    </row>
    <row r="26" spans="1:6" x14ac:dyDescent="0.2">
      <c r="A26" s="1" t="s">
        <v>0</v>
      </c>
      <c r="B26" s="1" t="s">
        <v>921</v>
      </c>
      <c r="C26" s="1" t="s">
        <v>922</v>
      </c>
      <c r="E26" s="4"/>
      <c r="F26" s="4" t="s">
        <v>16</v>
      </c>
    </row>
    <row r="27" spans="1:6" x14ac:dyDescent="0.2">
      <c r="A27" s="1" t="s">
        <v>4</v>
      </c>
      <c r="B27" s="3">
        <v>12638336</v>
      </c>
      <c r="C27" s="7">
        <v>4773.2</v>
      </c>
      <c r="E27" s="4" t="s">
        <v>17</v>
      </c>
      <c r="F27" s="4">
        <f>(C28+C27+C29)*8760/(B28+B27+B29)</f>
        <v>3.2976105925383643</v>
      </c>
    </row>
    <row r="28" spans="1:6" x14ac:dyDescent="0.2">
      <c r="A28" s="1" t="s">
        <v>923</v>
      </c>
      <c r="B28" s="3">
        <v>90438</v>
      </c>
      <c r="C28" s="2">
        <v>19.7</v>
      </c>
    </row>
    <row r="29" spans="1:6" x14ac:dyDescent="0.2">
      <c r="A29" s="1" t="s">
        <v>924</v>
      </c>
      <c r="B29" s="3">
        <v>175555</v>
      </c>
      <c r="C29" s="2">
        <v>64.8</v>
      </c>
    </row>
    <row r="30" spans="1:6" x14ac:dyDescent="0.2">
      <c r="A30" s="1" t="s">
        <v>925</v>
      </c>
      <c r="B30" s="2">
        <v>575</v>
      </c>
      <c r="C30" s="2">
        <v>0</v>
      </c>
    </row>
    <row r="31" spans="1:6" x14ac:dyDescent="0.2">
      <c r="A31" s="1" t="s">
        <v>926</v>
      </c>
      <c r="B31" s="2">
        <v>11</v>
      </c>
      <c r="C31" s="2">
        <v>0</v>
      </c>
    </row>
    <row r="32" spans="1:6" x14ac:dyDescent="0.2">
      <c r="A32" s="1" t="s">
        <v>927</v>
      </c>
      <c r="B32" s="3">
        <v>8054</v>
      </c>
      <c r="C32" s="2">
        <v>3.1</v>
      </c>
    </row>
    <row r="33" spans="1:6" x14ac:dyDescent="0.2">
      <c r="A33" s="1" t="s">
        <v>928</v>
      </c>
      <c r="B33" s="3">
        <v>141581</v>
      </c>
      <c r="C33" s="2">
        <v>0</v>
      </c>
    </row>
    <row r="34" spans="1:6" x14ac:dyDescent="0.2">
      <c r="A34" s="1" t="s">
        <v>929</v>
      </c>
      <c r="B34" s="3">
        <v>300241</v>
      </c>
      <c r="C34" s="2">
        <v>0</v>
      </c>
    </row>
    <row r="35" spans="1:6" x14ac:dyDescent="0.2">
      <c r="A35" s="1" t="s">
        <v>930</v>
      </c>
      <c r="B35" s="3">
        <v>6118844</v>
      </c>
      <c r="C35" s="7">
        <v>1694.6</v>
      </c>
      <c r="E35" s="4" t="s">
        <v>18</v>
      </c>
      <c r="F35" s="4">
        <f>(C35)*8760/(B35)</f>
        <v>2.4260621777577596</v>
      </c>
    </row>
    <row r="36" spans="1:6" x14ac:dyDescent="0.2">
      <c r="A36" s="1" t="s">
        <v>931</v>
      </c>
      <c r="B36" s="3">
        <v>4739001</v>
      </c>
      <c r="C36" s="2">
        <v>875.5</v>
      </c>
      <c r="E36" s="4" t="s">
        <v>19</v>
      </c>
      <c r="F36" s="4">
        <f>(C36)*8760/(B36)</f>
        <v>1.6183537416430172</v>
      </c>
    </row>
    <row r="37" spans="1:6" x14ac:dyDescent="0.2">
      <c r="A37" s="17">
        <v>2023</v>
      </c>
      <c r="B37" s="17"/>
      <c r="C37" s="17"/>
    </row>
    <row r="38" spans="1:6" x14ac:dyDescent="0.2">
      <c r="A38" s="1" t="s">
        <v>0</v>
      </c>
      <c r="B38" s="1" t="s">
        <v>921</v>
      </c>
      <c r="C38" s="1" t="s">
        <v>922</v>
      </c>
      <c r="E38" s="4"/>
      <c r="F38" s="4" t="s">
        <v>16</v>
      </c>
    </row>
    <row r="39" spans="1:6" x14ac:dyDescent="0.2">
      <c r="A39" s="1" t="s">
        <v>4</v>
      </c>
      <c r="B39" s="3">
        <v>12765976</v>
      </c>
      <c r="C39" s="7">
        <v>4899.3999999999996</v>
      </c>
      <c r="E39" s="4" t="s">
        <v>17</v>
      </c>
      <c r="F39" s="4">
        <f>(C40+C39+C41)*8760/(B40+B39+B41)</f>
        <v>3.3533644167196712</v>
      </c>
    </row>
    <row r="40" spans="1:6" x14ac:dyDescent="0.2">
      <c r="A40" s="1" t="s">
        <v>923</v>
      </c>
      <c r="B40" s="3">
        <v>83861</v>
      </c>
      <c r="C40" s="2">
        <v>21</v>
      </c>
    </row>
    <row r="41" spans="1:6" x14ac:dyDescent="0.2">
      <c r="A41" s="1" t="s">
        <v>924</v>
      </c>
      <c r="B41" s="3">
        <v>174055</v>
      </c>
      <c r="C41" s="2">
        <v>65.2</v>
      </c>
    </row>
    <row r="42" spans="1:6" x14ac:dyDescent="0.2">
      <c r="A42" s="1" t="s">
        <v>925</v>
      </c>
      <c r="B42" s="2">
        <v>544</v>
      </c>
      <c r="C42" s="2">
        <v>0</v>
      </c>
    </row>
    <row r="43" spans="1:6" x14ac:dyDescent="0.2">
      <c r="A43" s="1" t="s">
        <v>926</v>
      </c>
      <c r="B43" s="2">
        <v>11</v>
      </c>
      <c r="C43" s="2">
        <v>0</v>
      </c>
    </row>
    <row r="44" spans="1:6" x14ac:dyDescent="0.2">
      <c r="A44" s="1" t="s">
        <v>927</v>
      </c>
      <c r="B44" s="3">
        <v>9487</v>
      </c>
      <c r="C44" s="2">
        <v>3</v>
      </c>
    </row>
    <row r="45" spans="1:6" x14ac:dyDescent="0.2">
      <c r="A45" s="1" t="s">
        <v>928</v>
      </c>
      <c r="B45" s="3">
        <v>138755</v>
      </c>
      <c r="C45" s="2">
        <v>0</v>
      </c>
    </row>
    <row r="46" spans="1:6" x14ac:dyDescent="0.2">
      <c r="A46" s="1" t="s">
        <v>929</v>
      </c>
      <c r="B46" s="3">
        <v>301990</v>
      </c>
      <c r="C46" s="2">
        <v>0</v>
      </c>
    </row>
    <row r="47" spans="1:6" x14ac:dyDescent="0.2">
      <c r="A47" s="1" t="s">
        <v>930</v>
      </c>
      <c r="B47" s="3">
        <v>6237760</v>
      </c>
      <c r="C47" s="7">
        <v>1797.2</v>
      </c>
      <c r="E47" s="4" t="s">
        <v>18</v>
      </c>
      <c r="F47" s="4">
        <f>(C47)*8760/(B47)</f>
        <v>2.5238983224747344</v>
      </c>
    </row>
    <row r="48" spans="1:6" x14ac:dyDescent="0.2">
      <c r="A48" s="1" t="s">
        <v>931</v>
      </c>
      <c r="B48" s="3">
        <v>5180165</v>
      </c>
      <c r="C48" s="2">
        <v>957.8</v>
      </c>
      <c r="E48" s="4" t="s">
        <v>19</v>
      </c>
      <c r="F48" s="4">
        <f>(C48)*8760/(B48)</f>
        <v>1.6197028473031265</v>
      </c>
    </row>
    <row r="49" spans="1:6" x14ac:dyDescent="0.2">
      <c r="A49" s="17">
        <v>2024</v>
      </c>
      <c r="B49" s="17"/>
      <c r="C49" s="17"/>
    </row>
    <row r="50" spans="1:6" x14ac:dyDescent="0.2">
      <c r="A50" s="1" t="s">
        <v>0</v>
      </c>
      <c r="B50" s="1" t="s">
        <v>921</v>
      </c>
      <c r="C50" s="1" t="s">
        <v>922</v>
      </c>
      <c r="E50" s="4"/>
      <c r="F50" s="4" t="s">
        <v>16</v>
      </c>
    </row>
    <row r="51" spans="1:6" x14ac:dyDescent="0.2">
      <c r="A51" s="1" t="s">
        <v>4</v>
      </c>
      <c r="B51" s="3">
        <v>12963509</v>
      </c>
      <c r="C51" s="7">
        <v>4467.3999999999996</v>
      </c>
      <c r="E51" s="4" t="s">
        <v>17</v>
      </c>
      <c r="F51" s="4">
        <f>(C52+C51+C53)*8760/(B52+B51+B53)</f>
        <v>3.0132899375776003</v>
      </c>
    </row>
    <row r="52" spans="1:6" x14ac:dyDescent="0.2">
      <c r="A52" s="1" t="s">
        <v>923</v>
      </c>
      <c r="B52" s="3">
        <v>75494</v>
      </c>
      <c r="C52" s="2">
        <v>15.1</v>
      </c>
    </row>
    <row r="53" spans="1:6" x14ac:dyDescent="0.2">
      <c r="A53" s="1" t="s">
        <v>924</v>
      </c>
      <c r="B53" s="3">
        <v>172120</v>
      </c>
      <c r="C53" s="2">
        <v>61.9</v>
      </c>
    </row>
    <row r="54" spans="1:6" x14ac:dyDescent="0.2">
      <c r="A54" s="1" t="s">
        <v>925</v>
      </c>
      <c r="B54" s="2">
        <v>556</v>
      </c>
      <c r="C54" s="2">
        <v>0</v>
      </c>
    </row>
    <row r="55" spans="1:6" x14ac:dyDescent="0.2">
      <c r="A55" s="1" t="s">
        <v>926</v>
      </c>
      <c r="B55" s="2">
        <v>8</v>
      </c>
      <c r="C55" s="2">
        <v>0</v>
      </c>
    </row>
    <row r="56" spans="1:6" x14ac:dyDescent="0.2">
      <c r="A56" s="1" t="s">
        <v>927</v>
      </c>
      <c r="B56" s="3">
        <v>9253</v>
      </c>
      <c r="C56" s="2">
        <v>2.4</v>
      </c>
    </row>
    <row r="57" spans="1:6" x14ac:dyDescent="0.2">
      <c r="A57" s="1" t="s">
        <v>928</v>
      </c>
      <c r="B57" s="3">
        <v>122330</v>
      </c>
      <c r="C57" s="2">
        <v>0</v>
      </c>
    </row>
    <row r="58" spans="1:6" x14ac:dyDescent="0.2">
      <c r="A58" s="1" t="s">
        <v>929</v>
      </c>
      <c r="B58" s="3">
        <v>281193</v>
      </c>
      <c r="C58" s="2">
        <v>0</v>
      </c>
    </row>
    <row r="59" spans="1:6" x14ac:dyDescent="0.2">
      <c r="A59" s="1" t="s">
        <v>930</v>
      </c>
      <c r="B59" s="3">
        <v>6231073</v>
      </c>
      <c r="C59" s="7">
        <v>1765.8</v>
      </c>
      <c r="E59" s="4" t="s">
        <v>18</v>
      </c>
      <c r="F59" s="4">
        <f>(C59)*8760/(B59)</f>
        <v>2.4824629722681792</v>
      </c>
    </row>
    <row r="60" spans="1:6" x14ac:dyDescent="0.2">
      <c r="A60" s="1" t="s">
        <v>931</v>
      </c>
      <c r="B60" s="3">
        <v>5134333</v>
      </c>
      <c r="C60" s="2">
        <v>903.7</v>
      </c>
      <c r="E60" s="4" t="s">
        <v>19</v>
      </c>
      <c r="F60" s="4">
        <f>(C60)*8760/(B60)</f>
        <v>1.5418579200063571</v>
      </c>
    </row>
    <row r="61" spans="1:6" x14ac:dyDescent="0.2">
      <c r="A61" s="17">
        <v>2025</v>
      </c>
      <c r="B61" s="17"/>
      <c r="C61" s="17"/>
    </row>
    <row r="62" spans="1:6" x14ac:dyDescent="0.2">
      <c r="A62" s="1" t="s">
        <v>0</v>
      </c>
      <c r="B62" s="1" t="s">
        <v>921</v>
      </c>
      <c r="C62" s="1" t="s">
        <v>922</v>
      </c>
      <c r="E62" s="4"/>
      <c r="F62" s="4" t="s">
        <v>16</v>
      </c>
    </row>
    <row r="63" spans="1:6" x14ac:dyDescent="0.2">
      <c r="A63" s="1" t="s">
        <v>4</v>
      </c>
      <c r="B63" s="3">
        <v>13381253</v>
      </c>
      <c r="C63" s="7">
        <v>4949.6000000000004</v>
      </c>
      <c r="E63" s="4" t="s">
        <v>17</v>
      </c>
      <c r="F63" s="4">
        <f>(C64+C63+C65)*8760/(B64+B63+B65)</f>
        <v>3.2363267722987938</v>
      </c>
    </row>
    <row r="64" spans="1:6" x14ac:dyDescent="0.2">
      <c r="A64" s="1" t="s">
        <v>923</v>
      </c>
      <c r="B64" s="3">
        <v>72396</v>
      </c>
      <c r="C64" s="2">
        <v>13.8</v>
      </c>
    </row>
    <row r="65" spans="1:6" x14ac:dyDescent="0.2">
      <c r="A65" s="1" t="s">
        <v>924</v>
      </c>
      <c r="B65" s="3">
        <v>164935</v>
      </c>
      <c r="C65" s="2">
        <v>67.900000000000006</v>
      </c>
    </row>
    <row r="66" spans="1:6" x14ac:dyDescent="0.2">
      <c r="A66" s="1" t="s">
        <v>925</v>
      </c>
      <c r="B66" s="2">
        <v>233</v>
      </c>
      <c r="C66" s="2">
        <v>0</v>
      </c>
    </row>
    <row r="67" spans="1:6" x14ac:dyDescent="0.2">
      <c r="A67" s="1" t="s">
        <v>926</v>
      </c>
      <c r="B67" s="2">
        <v>8</v>
      </c>
      <c r="C67" s="2">
        <v>0</v>
      </c>
    </row>
    <row r="68" spans="1:6" x14ac:dyDescent="0.2">
      <c r="A68" s="1" t="s">
        <v>927</v>
      </c>
      <c r="B68" s="3">
        <v>9302</v>
      </c>
      <c r="C68" s="2">
        <v>1.6</v>
      </c>
    </row>
    <row r="69" spans="1:6" x14ac:dyDescent="0.2">
      <c r="A69" s="1" t="s">
        <v>928</v>
      </c>
      <c r="B69" s="3">
        <v>134720</v>
      </c>
      <c r="C69" s="2">
        <v>0</v>
      </c>
    </row>
    <row r="70" spans="1:6" x14ac:dyDescent="0.2">
      <c r="A70" s="1" t="s">
        <v>929</v>
      </c>
      <c r="B70" s="3">
        <v>300714</v>
      </c>
      <c r="C70" s="2">
        <v>0</v>
      </c>
    </row>
    <row r="71" spans="1:6" x14ac:dyDescent="0.2">
      <c r="A71" s="1" t="s">
        <v>930</v>
      </c>
      <c r="B71" s="3">
        <v>6103652</v>
      </c>
      <c r="C71" s="7">
        <v>1556.2</v>
      </c>
      <c r="E71" s="4" t="s">
        <v>18</v>
      </c>
      <c r="F71" s="4">
        <f>(C71)*8760/(B71)</f>
        <v>2.2334680941836131</v>
      </c>
    </row>
    <row r="72" spans="1:6" x14ac:dyDescent="0.2">
      <c r="A72" s="1" t="s">
        <v>931</v>
      </c>
      <c r="B72" s="3">
        <v>5042137</v>
      </c>
      <c r="C72" s="7">
        <v>1008.2</v>
      </c>
      <c r="E72" s="4" t="s">
        <v>19</v>
      </c>
      <c r="F72" s="4">
        <f>(C72)*8760/(B72)</f>
        <v>1.7516049246579377</v>
      </c>
    </row>
  </sheetData>
  <mergeCells count="6">
    <mergeCell ref="A61:C61"/>
    <mergeCell ref="A1:C1"/>
    <mergeCell ref="A13:C13"/>
    <mergeCell ref="A25:C25"/>
    <mergeCell ref="A37:C37"/>
    <mergeCell ref="A49:C4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B9FD-AA44-794E-8F73-31AA75831E87}">
  <dimension ref="A1:H60"/>
  <sheetViews>
    <sheetView tabSelected="1" workbookViewId="0">
      <selection activeCell="E10" sqref="E10"/>
    </sheetView>
  </sheetViews>
  <sheetFormatPr baseColWidth="10" defaultRowHeight="16" x14ac:dyDescent="0.2"/>
  <cols>
    <col min="1" max="1" width="16" bestFit="1" customWidth="1"/>
    <col min="2" max="2" width="19.83203125" bestFit="1" customWidth="1"/>
    <col min="3" max="3" width="11.33203125" bestFit="1" customWidth="1"/>
    <col min="5" max="5" width="12.1640625" bestFit="1" customWidth="1"/>
    <col min="6" max="6" width="14" bestFit="1" customWidth="1"/>
  </cols>
  <sheetData>
    <row r="1" spans="1:8" x14ac:dyDescent="0.2">
      <c r="A1" s="17">
        <v>2020</v>
      </c>
      <c r="B1" s="17"/>
      <c r="C1" s="17"/>
    </row>
    <row r="2" spans="1:8" x14ac:dyDescent="0.2">
      <c r="A2" s="1" t="s">
        <v>0</v>
      </c>
      <c r="B2" s="1" t="s">
        <v>796</v>
      </c>
      <c r="C2" s="1" t="s">
        <v>932</v>
      </c>
      <c r="E2" s="4"/>
      <c r="F2" s="4" t="s">
        <v>16</v>
      </c>
      <c r="H2" t="s">
        <v>57</v>
      </c>
    </row>
    <row r="3" spans="1:8" x14ac:dyDescent="0.2">
      <c r="A3" s="1" t="s">
        <v>933</v>
      </c>
      <c r="B3" s="3">
        <v>691834000</v>
      </c>
      <c r="C3" s="2">
        <v>271.2</v>
      </c>
      <c r="E3" s="4" t="s">
        <v>17</v>
      </c>
      <c r="F3" s="4">
        <f>(C3)*8760/(B3)*1000</f>
        <v>3.4339335736607337</v>
      </c>
      <c r="H3">
        <f>(F3+F13+F23+F33+F43+F53)/6</f>
        <v>3.5968403886920748</v>
      </c>
    </row>
    <row r="4" spans="1:8" x14ac:dyDescent="0.2">
      <c r="A4" s="1" t="s">
        <v>934</v>
      </c>
      <c r="B4" s="3">
        <v>454521000</v>
      </c>
      <c r="C4" s="2">
        <v>120.3</v>
      </c>
      <c r="E4" s="4" t="s">
        <v>18</v>
      </c>
      <c r="F4" s="4">
        <f>(C4+C5)*8760/(B4+B5)*1000</f>
        <v>2.3363087832794225</v>
      </c>
      <c r="H4">
        <f>(F4+F14+F24+F34+F44+F54)/6</f>
        <v>2.078253335117914</v>
      </c>
    </row>
    <row r="5" spans="1:8" x14ac:dyDescent="0.2">
      <c r="A5" s="1" t="s">
        <v>935</v>
      </c>
      <c r="B5" s="3">
        <v>59911000</v>
      </c>
      <c r="C5" s="2">
        <v>16.899999999999999</v>
      </c>
    </row>
    <row r="6" spans="1:8" x14ac:dyDescent="0.2">
      <c r="A6" s="1" t="s">
        <v>936</v>
      </c>
      <c r="B6" s="3">
        <v>272000</v>
      </c>
      <c r="C6" s="2">
        <v>0.1</v>
      </c>
    </row>
    <row r="7" spans="1:8" x14ac:dyDescent="0.2">
      <c r="A7" s="1" t="s">
        <v>937</v>
      </c>
      <c r="B7" s="3">
        <v>6431000</v>
      </c>
      <c r="C7" s="2">
        <v>0</v>
      </c>
    </row>
    <row r="8" spans="1:8" x14ac:dyDescent="0.2">
      <c r="A8" s="1" t="s">
        <v>938</v>
      </c>
      <c r="B8" s="3">
        <v>5596000</v>
      </c>
      <c r="C8" s="2">
        <v>0</v>
      </c>
      <c r="E8" s="4" t="s">
        <v>19</v>
      </c>
      <c r="F8" s="4">
        <f>(C8+C9)*8760/(B8+B9)*1000</f>
        <v>1.1386766433636355</v>
      </c>
      <c r="H8">
        <f>(F8+F18+F28+F38+F48+F58)/6</f>
        <v>1.1658790709542926</v>
      </c>
    </row>
    <row r="9" spans="1:8" x14ac:dyDescent="0.2">
      <c r="A9" s="1" t="s">
        <v>939</v>
      </c>
      <c r="B9" s="3">
        <v>234430000</v>
      </c>
      <c r="C9" s="2">
        <v>31.2</v>
      </c>
    </row>
    <row r="10" spans="1:8" x14ac:dyDescent="0.2">
      <c r="A10" s="1" t="s">
        <v>437</v>
      </c>
      <c r="B10" s="9">
        <v>1452995000</v>
      </c>
      <c r="C10" s="1">
        <v>439.8</v>
      </c>
      <c r="F10" s="4"/>
    </row>
    <row r="11" spans="1:8" x14ac:dyDescent="0.2">
      <c r="A11" s="17">
        <v>2021</v>
      </c>
      <c r="B11" s="17"/>
      <c r="C11" s="17"/>
      <c r="F11" s="4"/>
    </row>
    <row r="12" spans="1:8" x14ac:dyDescent="0.2">
      <c r="A12" s="1" t="s">
        <v>0</v>
      </c>
      <c r="B12" s="1" t="s">
        <v>796</v>
      </c>
      <c r="C12" s="1" t="s">
        <v>932</v>
      </c>
      <c r="E12" s="4"/>
      <c r="F12" s="4" t="s">
        <v>16</v>
      </c>
    </row>
    <row r="13" spans="1:8" x14ac:dyDescent="0.2">
      <c r="A13" s="1" t="s">
        <v>933</v>
      </c>
      <c r="B13" s="3">
        <v>676255000</v>
      </c>
      <c r="C13" s="2">
        <v>288.5</v>
      </c>
      <c r="E13" s="4" t="s">
        <v>17</v>
      </c>
      <c r="F13" s="4">
        <f>(C13)*8760/(B13)*1000</f>
        <v>3.7371405756704199</v>
      </c>
    </row>
    <row r="14" spans="1:8" x14ac:dyDescent="0.2">
      <c r="A14" s="1" t="s">
        <v>934</v>
      </c>
      <c r="B14" s="3">
        <v>488163000</v>
      </c>
      <c r="C14" s="2">
        <v>106.7</v>
      </c>
      <c r="E14" s="4" t="s">
        <v>18</v>
      </c>
      <c r="F14" s="4">
        <f>(C14+C15)*8760/(B14+B15)*1000</f>
        <v>1.928865015331753</v>
      </c>
    </row>
    <row r="15" spans="1:8" x14ac:dyDescent="0.2">
      <c r="A15" s="1" t="s">
        <v>935</v>
      </c>
      <c r="B15" s="3">
        <v>63633000</v>
      </c>
      <c r="C15" s="2">
        <v>14.8</v>
      </c>
    </row>
    <row r="16" spans="1:8" x14ac:dyDescent="0.2">
      <c r="A16" s="1" t="s">
        <v>936</v>
      </c>
      <c r="B16" s="3">
        <v>352000</v>
      </c>
      <c r="C16" s="2">
        <v>0.1</v>
      </c>
    </row>
    <row r="17" spans="1:6" x14ac:dyDescent="0.2">
      <c r="A17" s="1" t="s">
        <v>937</v>
      </c>
      <c r="B17" s="3">
        <v>6401000</v>
      </c>
      <c r="C17" s="2">
        <v>0</v>
      </c>
    </row>
    <row r="18" spans="1:6" x14ac:dyDescent="0.2">
      <c r="A18" s="1" t="s">
        <v>938</v>
      </c>
      <c r="B18" s="3">
        <v>5510000</v>
      </c>
      <c r="C18" s="2">
        <v>0</v>
      </c>
      <c r="E18" s="4" t="s">
        <v>19</v>
      </c>
      <c r="F18" s="4">
        <f>(C18+C19)*8760/(B18+B19)*1000</f>
        <v>1.1827658838927084</v>
      </c>
    </row>
    <row r="19" spans="1:6" x14ac:dyDescent="0.2">
      <c r="A19" s="1" t="s">
        <v>939</v>
      </c>
      <c r="B19" s="3">
        <v>263341177</v>
      </c>
      <c r="C19" s="2">
        <v>36.299999999999997</v>
      </c>
    </row>
    <row r="20" spans="1:6" x14ac:dyDescent="0.2">
      <c r="A20" s="1" t="s">
        <v>437</v>
      </c>
      <c r="B20" s="9">
        <v>1503655177</v>
      </c>
      <c r="C20" s="1">
        <v>446.4</v>
      </c>
    </row>
    <row r="21" spans="1:6" x14ac:dyDescent="0.2">
      <c r="A21" s="17">
        <v>2022</v>
      </c>
      <c r="B21" s="17"/>
      <c r="C21" s="17"/>
    </row>
    <row r="22" spans="1:6" x14ac:dyDescent="0.2">
      <c r="A22" s="1" t="s">
        <v>0</v>
      </c>
      <c r="B22" s="1" t="s">
        <v>796</v>
      </c>
      <c r="C22" s="1" t="s">
        <v>932</v>
      </c>
      <c r="E22" s="4"/>
      <c r="F22" s="4" t="s">
        <v>16</v>
      </c>
    </row>
    <row r="23" spans="1:6" x14ac:dyDescent="0.2">
      <c r="A23" s="1" t="s">
        <v>933</v>
      </c>
      <c r="B23" s="3">
        <v>675953000</v>
      </c>
      <c r="C23" s="2">
        <v>320.8</v>
      </c>
      <c r="E23" s="4" t="s">
        <v>17</v>
      </c>
      <c r="F23" s="4">
        <f>(C23)*8760/(B23)*1000</f>
        <v>4.1574014761381335</v>
      </c>
    </row>
    <row r="24" spans="1:6" x14ac:dyDescent="0.2">
      <c r="A24" s="1" t="s">
        <v>934</v>
      </c>
      <c r="B24" s="3">
        <v>490902000</v>
      </c>
      <c r="C24" s="2">
        <v>117.3</v>
      </c>
      <c r="E24" s="4" t="s">
        <v>18</v>
      </c>
      <c r="F24" s="4">
        <f>(C24+C25)*8760/(B24+B25)*1000</f>
        <v>2.1165053500703861</v>
      </c>
    </row>
    <row r="25" spans="1:6" x14ac:dyDescent="0.2">
      <c r="A25" s="1" t="s">
        <v>935</v>
      </c>
      <c r="B25" s="3">
        <v>57502000</v>
      </c>
      <c r="C25" s="2">
        <v>15.2</v>
      </c>
    </row>
    <row r="26" spans="1:6" x14ac:dyDescent="0.2">
      <c r="A26" s="1" t="s">
        <v>936</v>
      </c>
      <c r="B26" s="3">
        <v>328000</v>
      </c>
      <c r="C26" s="2">
        <v>0.1</v>
      </c>
    </row>
    <row r="27" spans="1:6" x14ac:dyDescent="0.2">
      <c r="A27" s="1" t="s">
        <v>937</v>
      </c>
      <c r="B27" s="3">
        <v>6629000</v>
      </c>
      <c r="C27" s="2">
        <v>0</v>
      </c>
    </row>
    <row r="28" spans="1:6" x14ac:dyDescent="0.2">
      <c r="A28" s="1" t="s">
        <v>938</v>
      </c>
      <c r="B28" s="3">
        <v>5318000</v>
      </c>
      <c r="C28" s="2">
        <v>0</v>
      </c>
      <c r="E28" s="4" t="s">
        <v>19</v>
      </c>
      <c r="F28" s="4">
        <f>(C28+C29)*8760/(B28+B29)*1000</f>
        <v>1.3720339975790392</v>
      </c>
    </row>
    <row r="29" spans="1:6" x14ac:dyDescent="0.2">
      <c r="A29" s="1" t="s">
        <v>939</v>
      </c>
      <c r="B29" s="3">
        <v>225169000</v>
      </c>
      <c r="C29" s="2">
        <v>36.1</v>
      </c>
    </row>
    <row r="30" spans="1:6" x14ac:dyDescent="0.2">
      <c r="A30" s="1" t="s">
        <v>437</v>
      </c>
      <c r="B30" s="9">
        <v>1461801000</v>
      </c>
      <c r="C30" s="1">
        <v>489.5</v>
      </c>
    </row>
    <row r="31" spans="1:6" x14ac:dyDescent="0.2">
      <c r="A31" s="17">
        <v>2023</v>
      </c>
      <c r="B31" s="17"/>
      <c r="C31" s="17"/>
    </row>
    <row r="32" spans="1:6" x14ac:dyDescent="0.2">
      <c r="A32" s="1" t="s">
        <v>0</v>
      </c>
      <c r="B32" s="1" t="s">
        <v>796</v>
      </c>
      <c r="C32" s="1" t="s">
        <v>932</v>
      </c>
      <c r="E32" s="4"/>
      <c r="F32" s="4" t="s">
        <v>16</v>
      </c>
    </row>
    <row r="33" spans="1:6" x14ac:dyDescent="0.2">
      <c r="A33" s="1" t="s">
        <v>933</v>
      </c>
      <c r="B33" s="3">
        <v>730214000</v>
      </c>
      <c r="C33" s="2">
        <v>303.10000000000002</v>
      </c>
      <c r="E33" s="4" t="s">
        <v>17</v>
      </c>
      <c r="F33" s="4">
        <f>(C33)*8760/(B33)*1000</f>
        <v>3.6361340648083988</v>
      </c>
    </row>
    <row r="34" spans="1:6" x14ac:dyDescent="0.2">
      <c r="A34" s="1" t="s">
        <v>934</v>
      </c>
      <c r="B34" s="3">
        <v>500002000</v>
      </c>
      <c r="C34" s="2">
        <v>111.5</v>
      </c>
      <c r="E34" s="4" t="s">
        <v>18</v>
      </c>
      <c r="F34" s="4">
        <f>(C34+C35)*8760/(B34+B35)*1000</f>
        <v>1.9837782355601172</v>
      </c>
    </row>
    <row r="35" spans="1:6" x14ac:dyDescent="0.2">
      <c r="A35" s="1" t="s">
        <v>935</v>
      </c>
      <c r="B35" s="3">
        <v>57274000</v>
      </c>
      <c r="C35" s="2">
        <v>14.7</v>
      </c>
    </row>
    <row r="36" spans="1:6" x14ac:dyDescent="0.2">
      <c r="A36" s="1" t="s">
        <v>936</v>
      </c>
      <c r="B36" s="3">
        <v>339000</v>
      </c>
      <c r="C36" s="2">
        <v>0.1</v>
      </c>
    </row>
    <row r="37" spans="1:6" x14ac:dyDescent="0.2">
      <c r="A37" s="1" t="s">
        <v>937</v>
      </c>
      <c r="B37" s="3">
        <v>6481000</v>
      </c>
      <c r="C37" s="2">
        <v>0</v>
      </c>
    </row>
    <row r="38" spans="1:6" x14ac:dyDescent="0.2">
      <c r="A38" s="1" t="s">
        <v>938</v>
      </c>
      <c r="B38" s="3">
        <v>5458000</v>
      </c>
      <c r="C38" s="2">
        <v>0</v>
      </c>
      <c r="E38" s="4" t="s">
        <v>19</v>
      </c>
      <c r="F38" s="4">
        <f>(C38+C39)*8760/(B38+B39)*1000</f>
        <v>1.2567699681273001</v>
      </c>
    </row>
    <row r="39" spans="1:6" x14ac:dyDescent="0.2">
      <c r="A39" s="1" t="s">
        <v>939</v>
      </c>
      <c r="B39" s="3">
        <v>246168000</v>
      </c>
      <c r="C39" s="2">
        <v>36.1</v>
      </c>
    </row>
    <row r="40" spans="1:6" x14ac:dyDescent="0.2">
      <c r="A40" s="1" t="s">
        <v>437</v>
      </c>
      <c r="B40" s="9">
        <v>1545936000</v>
      </c>
      <c r="C40" s="1">
        <v>465.5</v>
      </c>
    </row>
    <row r="41" spans="1:6" x14ac:dyDescent="0.2">
      <c r="A41" s="17">
        <v>2024</v>
      </c>
      <c r="B41" s="17"/>
      <c r="C41" s="17"/>
    </row>
    <row r="42" spans="1:6" x14ac:dyDescent="0.2">
      <c r="A42" s="1" t="s">
        <v>0</v>
      </c>
      <c r="B42" s="1" t="s">
        <v>796</v>
      </c>
      <c r="C42" s="1" t="s">
        <v>932</v>
      </c>
      <c r="E42" s="4"/>
      <c r="F42" s="4" t="s">
        <v>16</v>
      </c>
    </row>
    <row r="43" spans="1:6" x14ac:dyDescent="0.2">
      <c r="A43" s="1" t="s">
        <v>933</v>
      </c>
      <c r="B43" s="3">
        <v>734458205</v>
      </c>
      <c r="C43" s="2">
        <v>278.60000000000002</v>
      </c>
      <c r="E43" s="4" t="s">
        <v>17</v>
      </c>
      <c r="F43" s="4">
        <f>(C43)*8760/(B43)*1000</f>
        <v>3.322906577100599</v>
      </c>
    </row>
    <row r="44" spans="1:6" x14ac:dyDescent="0.2">
      <c r="A44" s="1" t="s">
        <v>934</v>
      </c>
      <c r="B44" s="3">
        <v>468694198</v>
      </c>
      <c r="C44" s="2">
        <v>104.2</v>
      </c>
      <c r="E44" s="4" t="s">
        <v>18</v>
      </c>
      <c r="F44" s="4">
        <f>(C44+C45)*8760/(B44+B45)*1000</f>
        <v>2.0033199949377973</v>
      </c>
    </row>
    <row r="45" spans="1:6" x14ac:dyDescent="0.2">
      <c r="A45" s="1" t="s">
        <v>935</v>
      </c>
      <c r="B45" s="3">
        <v>48163819</v>
      </c>
      <c r="C45" s="2">
        <v>14</v>
      </c>
    </row>
    <row r="46" spans="1:6" x14ac:dyDescent="0.2">
      <c r="A46" s="1" t="s">
        <v>936</v>
      </c>
      <c r="B46" s="3">
        <v>718283</v>
      </c>
      <c r="C46" s="2">
        <v>0.1</v>
      </c>
    </row>
    <row r="47" spans="1:6" x14ac:dyDescent="0.2">
      <c r="A47" s="1" t="s">
        <v>937</v>
      </c>
      <c r="B47" s="3">
        <v>6518000</v>
      </c>
      <c r="C47" s="2">
        <v>0</v>
      </c>
    </row>
    <row r="48" spans="1:6" x14ac:dyDescent="0.2">
      <c r="A48" s="1" t="s">
        <v>938</v>
      </c>
      <c r="B48" s="3">
        <v>5384000</v>
      </c>
      <c r="C48" s="2">
        <v>0</v>
      </c>
      <c r="E48" s="4" t="s">
        <v>19</v>
      </c>
      <c r="F48" s="4">
        <f>(C48+C49)*8760/(B48+B49)*1000</f>
        <v>0.94662583683445489</v>
      </c>
    </row>
    <row r="49" spans="1:6" x14ac:dyDescent="0.2">
      <c r="A49" s="1" t="s">
        <v>939</v>
      </c>
      <c r="B49" s="3">
        <v>328682521</v>
      </c>
      <c r="C49" s="2">
        <v>36.1</v>
      </c>
    </row>
    <row r="50" spans="1:6" x14ac:dyDescent="0.2">
      <c r="A50" s="1" t="s">
        <v>437</v>
      </c>
      <c r="B50" s="9">
        <v>1592619026</v>
      </c>
      <c r="C50" s="1">
        <v>433</v>
      </c>
    </row>
    <row r="51" spans="1:6" x14ac:dyDescent="0.2">
      <c r="A51" s="17">
        <v>2025</v>
      </c>
      <c r="B51" s="17"/>
      <c r="C51" s="17"/>
    </row>
    <row r="52" spans="1:6" x14ac:dyDescent="0.2">
      <c r="A52" s="1" t="s">
        <v>0</v>
      </c>
      <c r="B52" s="1" t="s">
        <v>796</v>
      </c>
      <c r="C52" s="1" t="s">
        <v>932</v>
      </c>
      <c r="E52" s="4"/>
      <c r="F52" s="4" t="s">
        <v>16</v>
      </c>
    </row>
    <row r="53" spans="1:6" x14ac:dyDescent="0.2">
      <c r="A53" s="1" t="s">
        <v>933</v>
      </c>
      <c r="B53" s="3">
        <v>775587000</v>
      </c>
      <c r="C53" s="2">
        <v>291.60000000000002</v>
      </c>
      <c r="E53" s="4" t="s">
        <v>17</v>
      </c>
      <c r="F53" s="4">
        <f>(C53)*8760/(B53)*1000</f>
        <v>3.2935260647741647</v>
      </c>
    </row>
    <row r="54" spans="1:6" x14ac:dyDescent="0.2">
      <c r="A54" s="1" t="s">
        <v>934</v>
      </c>
      <c r="B54" s="3">
        <v>478730887</v>
      </c>
      <c r="C54" s="2">
        <v>118</v>
      </c>
      <c r="E54" s="4" t="s">
        <v>18</v>
      </c>
      <c r="F54" s="4">
        <f>(C54+C55)*8760/(B54+B55)*1000</f>
        <v>2.1007426315280071</v>
      </c>
    </row>
    <row r="55" spans="1:6" x14ac:dyDescent="0.2">
      <c r="A55" s="1" t="s">
        <v>935</v>
      </c>
      <c r="B55" s="3">
        <v>74622000</v>
      </c>
      <c r="C55" s="2">
        <v>14.7</v>
      </c>
    </row>
    <row r="56" spans="1:6" x14ac:dyDescent="0.2">
      <c r="A56" s="1" t="s">
        <v>936</v>
      </c>
      <c r="B56" s="3">
        <v>354243</v>
      </c>
      <c r="C56" s="2">
        <v>0.1</v>
      </c>
    </row>
    <row r="57" spans="1:6" x14ac:dyDescent="0.2">
      <c r="A57" s="1" t="s">
        <v>937</v>
      </c>
      <c r="B57" s="3">
        <v>6494000</v>
      </c>
      <c r="C57" s="2">
        <v>0</v>
      </c>
    </row>
    <row r="58" spans="1:6" x14ac:dyDescent="0.2">
      <c r="A58" s="1" t="s">
        <v>938</v>
      </c>
      <c r="B58" s="3">
        <v>5386000</v>
      </c>
      <c r="C58" s="2">
        <v>0</v>
      </c>
      <c r="E58" s="4" t="s">
        <v>19</v>
      </c>
      <c r="F58" s="4">
        <f>(C58+C59)*8760/(B58+B59)*1000</f>
        <v>1.0984020959286174</v>
      </c>
    </row>
    <row r="59" spans="1:6" x14ac:dyDescent="0.2">
      <c r="A59" s="1" t="s">
        <v>939</v>
      </c>
      <c r="B59" s="3">
        <v>310432771</v>
      </c>
      <c r="C59" s="2">
        <v>39.6</v>
      </c>
    </row>
    <row r="60" spans="1:6" x14ac:dyDescent="0.2">
      <c r="A60" s="1" t="s">
        <v>437</v>
      </c>
      <c r="B60" s="9">
        <v>1651606901</v>
      </c>
      <c r="C60" s="1">
        <v>464.1</v>
      </c>
    </row>
  </sheetData>
  <mergeCells count="6">
    <mergeCell ref="A51:C51"/>
    <mergeCell ref="A1:C1"/>
    <mergeCell ref="A11:C11"/>
    <mergeCell ref="A21:C21"/>
    <mergeCell ref="A31:C31"/>
    <mergeCell ref="A41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AECO</vt:lpstr>
      <vt:lpstr>AEP</vt:lpstr>
      <vt:lpstr>APS</vt:lpstr>
      <vt:lpstr>ATSI</vt:lpstr>
      <vt:lpstr>BGE</vt:lpstr>
      <vt:lpstr>COMED</vt:lpstr>
      <vt:lpstr>DAY</vt:lpstr>
      <vt:lpstr>DEOK</vt:lpstr>
      <vt:lpstr>DOM</vt:lpstr>
      <vt:lpstr>DPL</vt:lpstr>
      <vt:lpstr>DUQ</vt:lpstr>
      <vt:lpstr>EKPC</vt:lpstr>
      <vt:lpstr>JCPL</vt:lpstr>
      <vt:lpstr>METED</vt:lpstr>
      <vt:lpstr>PECO</vt:lpstr>
      <vt:lpstr>PENELEC</vt:lpstr>
      <vt:lpstr>PEPCO</vt:lpstr>
      <vt:lpstr>PPL</vt:lpstr>
      <vt:lpstr>PSEG</vt:lpstr>
      <vt:lpstr>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Authors</dc:creator>
  <cp:lastModifiedBy>Authors</cp:lastModifiedBy>
  <dcterms:created xsi:type="dcterms:W3CDTF">2026-04-12T00:34:22Z</dcterms:created>
  <dcterms:modified xsi:type="dcterms:W3CDTF">2026-04-16T18:24:13Z</dcterms:modified>
</cp:coreProperties>
</file>