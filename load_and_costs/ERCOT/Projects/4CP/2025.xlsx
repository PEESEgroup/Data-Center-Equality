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__OLD_STRUCTURE\CP RESULTS\2025\"/>
    </mc:Choice>
  </mc:AlternateContent>
  <xr:revisionPtr revIDLastSave="0" documentId="13_ncr:1_{93D53CA4-00AA-462B-B919-7450F2234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 CP CALCULATION" sheetId="4" r:id="rId1"/>
  </sheets>
  <definedNames>
    <definedName name="_xlnm._FilterDatabase" localSheetId="0" hidden="1">'2025 CP CALCULATION'!$A$3:$J$153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1" i="4" l="1"/>
  <c r="H152" i="4"/>
  <c r="H102" i="4"/>
  <c r="H96" i="4"/>
  <c r="H103" i="4" l="1"/>
  <c r="H94" i="4"/>
  <c r="H95" i="4"/>
  <c r="H36" i="4"/>
  <c r="H60" i="4" l="1"/>
  <c r="H68" i="4"/>
  <c r="H69" i="4"/>
  <c r="H71" i="4"/>
  <c r="H72" i="4"/>
  <c r="H73" i="4"/>
  <c r="H83" i="4"/>
  <c r="H84" i="4"/>
  <c r="H92" i="4"/>
  <c r="H99" i="4"/>
  <c r="H100" i="4"/>
  <c r="H109" i="4"/>
  <c r="H112" i="4"/>
  <c r="H113" i="4"/>
  <c r="H114" i="4"/>
  <c r="H120" i="4"/>
  <c r="H121" i="4"/>
  <c r="H124" i="4"/>
  <c r="H125" i="4"/>
  <c r="H126" i="4"/>
  <c r="H133" i="4"/>
  <c r="H134" i="4"/>
  <c r="H136" i="4"/>
  <c r="H137" i="4"/>
  <c r="H138" i="4"/>
  <c r="H145" i="4"/>
  <c r="H148" i="4"/>
  <c r="H149" i="4"/>
  <c r="H150" i="4"/>
  <c r="H9" i="4"/>
  <c r="H11" i="4"/>
  <c r="H13" i="4"/>
  <c r="H15" i="4"/>
  <c r="H24" i="4"/>
  <c r="H25" i="4"/>
  <c r="H27" i="4"/>
  <c r="H28" i="4"/>
  <c r="H37" i="4"/>
  <c r="H38" i="4"/>
  <c r="H41" i="4"/>
  <c r="H46" i="4"/>
  <c r="H47" i="4"/>
  <c r="H4" i="4"/>
  <c r="H49" i="4"/>
  <c r="H26" i="4"/>
  <c r="D155" i="4"/>
  <c r="H75" i="4"/>
  <c r="H153" i="4"/>
  <c r="G155" i="4"/>
  <c r="E155" i="4"/>
  <c r="H146" i="4"/>
  <c r="H147" i="4"/>
  <c r="H14" i="4"/>
  <c r="H32" i="4"/>
  <c r="H131" i="4"/>
  <c r="H130" i="4"/>
  <c r="H129" i="4"/>
  <c r="H123" i="4"/>
  <c r="H118" i="4"/>
  <c r="H117" i="4"/>
  <c r="H116" i="4"/>
  <c r="H115" i="4"/>
  <c r="H108" i="4"/>
  <c r="H107" i="4"/>
  <c r="H106" i="4"/>
  <c r="H97" i="4"/>
  <c r="H89" i="4"/>
  <c r="H87" i="4"/>
  <c r="H86" i="4"/>
  <c r="H79" i="4"/>
  <c r="H78" i="4"/>
  <c r="H77" i="4"/>
  <c r="H70" i="4"/>
  <c r="H62" i="4"/>
  <c r="H61" i="4"/>
  <c r="H52" i="4"/>
  <c r="H39" i="4"/>
  <c r="H35" i="4"/>
  <c r="H20" i="4"/>
  <c r="H19" i="4"/>
  <c r="H18" i="4"/>
  <c r="H17" i="4"/>
  <c r="H10" i="4"/>
  <c r="H140" i="4"/>
  <c r="H139" i="4"/>
  <c r="H88" i="4"/>
  <c r="H53" i="4"/>
  <c r="H80" i="4"/>
  <c r="H122" i="4"/>
  <c r="H132" i="4"/>
  <c r="H74" i="4"/>
  <c r="H142" i="4"/>
  <c r="H91" i="4"/>
  <c r="H143" i="4"/>
  <c r="H141" i="4"/>
  <c r="H127" i="4"/>
  <c r="H110" i="4"/>
  <c r="H101" i="4"/>
  <c r="H42" i="4"/>
  <c r="H34" i="4"/>
  <c r="H30" i="4"/>
  <c r="H22" i="4"/>
  <c r="H21" i="4"/>
  <c r="H144" i="4"/>
  <c r="H135" i="4"/>
  <c r="H128" i="4"/>
  <c r="H119" i="4"/>
  <c r="H111" i="4"/>
  <c r="H105" i="4"/>
  <c r="H104" i="4"/>
  <c r="H98" i="4"/>
  <c r="H93" i="4"/>
  <c r="H90" i="4"/>
  <c r="H85" i="4"/>
  <c r="H82" i="4"/>
  <c r="H81" i="4"/>
  <c r="H76" i="4"/>
  <c r="H67" i="4"/>
  <c r="H66" i="4"/>
  <c r="H65" i="4"/>
  <c r="H64" i="4"/>
  <c r="H63" i="4"/>
  <c r="H59" i="4"/>
  <c r="H58" i="4"/>
  <c r="H57" i="4"/>
  <c r="H56" i="4"/>
  <c r="H55" i="4"/>
  <c r="H54" i="4"/>
  <c r="H51" i="4"/>
  <c r="H50" i="4"/>
  <c r="H48" i="4"/>
  <c r="H45" i="4"/>
  <c r="H44" i="4"/>
  <c r="H43" i="4"/>
  <c r="H40" i="4"/>
  <c r="H33" i="4"/>
  <c r="H31" i="4"/>
  <c r="H29" i="4"/>
  <c r="H23" i="4"/>
  <c r="H8" i="4"/>
  <c r="H7" i="4"/>
  <c r="H6" i="4"/>
  <c r="H5" i="4"/>
  <c r="H12" i="4"/>
  <c r="F155" i="4" l="1"/>
  <c r="H16" i="4"/>
  <c r="H155" i="4" s="1"/>
  <c r="I152" i="4" l="1"/>
  <c r="I96" i="4"/>
  <c r="I102" i="4"/>
  <c r="I103" i="4"/>
  <c r="I151" i="4"/>
  <c r="I94" i="4"/>
  <c r="I95" i="4"/>
  <c r="I49" i="4"/>
  <c r="I36" i="4"/>
  <c r="I93" i="4"/>
  <c r="I12" i="4"/>
  <c r="I137" i="4"/>
  <c r="I4" i="4"/>
  <c r="I153" i="4"/>
  <c r="I72" i="4"/>
  <c r="I78" i="4"/>
  <c r="I109" i="4"/>
  <c r="I32" i="4"/>
  <c r="I145" i="4"/>
  <c r="I71" i="4"/>
  <c r="I89" i="4"/>
  <c r="I9" i="4"/>
  <c r="I136" i="4"/>
  <c r="I33" i="4"/>
  <c r="I84" i="4"/>
  <c r="I104" i="4"/>
  <c r="I16" i="4"/>
  <c r="I75" i="4"/>
  <c r="I115" i="4"/>
  <c r="I86" i="4"/>
  <c r="I116" i="4"/>
  <c r="I35" i="4"/>
  <c r="I10" i="4"/>
  <c r="I114" i="4"/>
  <c r="I13" i="4"/>
  <c r="I118" i="4"/>
  <c r="I69" i="4"/>
  <c r="I143" i="4"/>
  <c r="I147" i="4"/>
  <c r="I67" i="4"/>
  <c r="I28" i="4"/>
  <c r="I146" i="4"/>
  <c r="I113" i="4"/>
  <c r="I90" i="4"/>
  <c r="I52" i="4"/>
  <c r="I31" i="4"/>
  <c r="I7" i="4"/>
  <c r="I20" i="4"/>
  <c r="I124" i="4"/>
  <c r="I123" i="4"/>
  <c r="I141" i="4"/>
  <c r="I132" i="4"/>
  <c r="I60" i="4"/>
  <c r="I107" i="4"/>
  <c r="I76" i="4"/>
  <c r="I51" i="4"/>
  <c r="I130" i="4"/>
  <c r="I53" i="4"/>
  <c r="I29" i="4"/>
  <c r="I46" i="4"/>
  <c r="I30" i="4"/>
  <c r="I48" i="4"/>
  <c r="I98" i="4"/>
  <c r="I34" i="4"/>
  <c r="I150" i="4"/>
  <c r="I59" i="4"/>
  <c r="I117" i="4"/>
  <c r="I87" i="4"/>
  <c r="I25" i="4"/>
  <c r="I70" i="4"/>
  <c r="I58" i="4"/>
  <c r="I142" i="4"/>
  <c r="I77" i="4"/>
  <c r="I121" i="4"/>
  <c r="I106" i="4"/>
  <c r="I129" i="4"/>
  <c r="I39" i="4"/>
  <c r="I65" i="4"/>
  <c r="I23" i="4"/>
  <c r="I120" i="4"/>
  <c r="I11" i="4"/>
  <c r="I127" i="4"/>
  <c r="I45" i="4"/>
  <c r="I5" i="4"/>
  <c r="I63" i="4"/>
  <c r="I128" i="4"/>
  <c r="I8" i="4"/>
  <c r="I47" i="4"/>
  <c r="I42" i="4"/>
  <c r="I139" i="4"/>
  <c r="I88" i="4"/>
  <c r="I133" i="4"/>
  <c r="I125" i="4"/>
  <c r="I111" i="4"/>
  <c r="I19" i="4"/>
  <c r="I100" i="4"/>
  <c r="I79" i="4"/>
  <c r="I83" i="4"/>
  <c r="I62" i="4"/>
  <c r="I37" i="4"/>
  <c r="I135" i="4"/>
  <c r="I56" i="4"/>
  <c r="I92" i="4"/>
  <c r="I40" i="4"/>
  <c r="I91" i="4"/>
  <c r="I57" i="4"/>
  <c r="I61" i="4"/>
  <c r="I97" i="4"/>
  <c r="I17" i="4"/>
  <c r="I131" i="4"/>
  <c r="I119" i="4"/>
  <c r="I134" i="4"/>
  <c r="I38" i="4"/>
  <c r="I66" i="4"/>
  <c r="I108" i="4"/>
  <c r="I44" i="4"/>
  <c r="I55" i="4"/>
  <c r="I148" i="4"/>
  <c r="I15" i="4"/>
  <c r="I122" i="4"/>
  <c r="I126" i="4"/>
  <c r="I99" i="4"/>
  <c r="I18" i="4"/>
  <c r="I138" i="4"/>
  <c r="I64" i="4"/>
  <c r="I24" i="4"/>
  <c r="I110" i="4"/>
  <c r="I82" i="4"/>
  <c r="I73" i="4"/>
  <c r="I80" i="4"/>
  <c r="I68" i="4"/>
  <c r="I14" i="4"/>
  <c r="I85" i="4"/>
  <c r="I112" i="4"/>
  <c r="I22" i="4"/>
  <c r="I21" i="4"/>
  <c r="I149" i="4"/>
  <c r="I43" i="4"/>
  <c r="I50" i="4"/>
  <c r="I105" i="4"/>
  <c r="I81" i="4"/>
  <c r="I101" i="4"/>
  <c r="I6" i="4"/>
  <c r="I26" i="4"/>
  <c r="I54" i="4"/>
  <c r="I27" i="4"/>
  <c r="I140" i="4"/>
  <c r="I144" i="4"/>
  <c r="I41" i="4"/>
  <c r="I74" i="4"/>
  <c r="I155" i="4" l="1"/>
</calcChain>
</file>

<file path=xl/sharedStrings.xml><?xml version="1.0" encoding="utf-8"?>
<sst xmlns="http://schemas.openxmlformats.org/spreadsheetml/2006/main" count="312" uniqueCount="312">
  <si>
    <t>Load Ratio Share</t>
  </si>
  <si>
    <t>CENTERPOINT ENERGY HOUSTON ELECTRIC LLC (TDSP)</t>
  </si>
  <si>
    <t>957877905</t>
  </si>
  <si>
    <t>1039940674000</t>
  </si>
  <si>
    <t>TEXAS-NEW MEXICO POWER CO (TDSP)</t>
  </si>
  <si>
    <t>007929441</t>
  </si>
  <si>
    <t>007924772</t>
  </si>
  <si>
    <t>007923311</t>
  </si>
  <si>
    <t>BANDERA ELECTRIC CO OP INC (TDSP)</t>
  </si>
  <si>
    <t>0089451494000</t>
  </si>
  <si>
    <t>002781813</t>
  </si>
  <si>
    <t>BIG COUNTRY ELECTRIC CO OP INC (TDSP)</t>
  </si>
  <si>
    <t>0058630484000</t>
  </si>
  <si>
    <t>BLUEBONNET ELECTRIC CO OP INC (TDSP)</t>
  </si>
  <si>
    <t>0524834354000</t>
  </si>
  <si>
    <t>CENTRAL TEXAS ELECTRIC CO OP INC (TDSP)</t>
  </si>
  <si>
    <t>0079302744000</t>
  </si>
  <si>
    <t>CITY OF BASTROP (TDSP)</t>
  </si>
  <si>
    <t>0851553724000</t>
  </si>
  <si>
    <t>CITY OF BELLVILLE (TDSP)</t>
  </si>
  <si>
    <t>0935648704000</t>
  </si>
  <si>
    <t>CITY OF BOERNE (TDSP)</t>
  </si>
  <si>
    <t>0052470694000</t>
  </si>
  <si>
    <t>CITY OF BRENHAM (TDSP)</t>
  </si>
  <si>
    <t>0741649224000</t>
  </si>
  <si>
    <t>CITY OF BRIDGEPORT MUN ELEC SYS (TDSP)</t>
  </si>
  <si>
    <t>0842801714000</t>
  </si>
  <si>
    <t>CITY OF BURNET (TDSP)</t>
  </si>
  <si>
    <t>0746121514000</t>
  </si>
  <si>
    <t>CITY OF CUERO (TDSP)</t>
  </si>
  <si>
    <t>0526842144000</t>
  </si>
  <si>
    <t>CITY OF FLATONIA (TDSP)</t>
  </si>
  <si>
    <t>0626890134000</t>
  </si>
  <si>
    <t>CITY OF FREDERICKSBURG (TDSP)</t>
  </si>
  <si>
    <t>0769243074000</t>
  </si>
  <si>
    <t>CITY OF GEORGETOWN (TDSP)</t>
  </si>
  <si>
    <t>0895923724000</t>
  </si>
  <si>
    <t>CITY OF GIDDINGS (TDSP)</t>
  </si>
  <si>
    <t>0096899514000</t>
  </si>
  <si>
    <t>CITY OF GOLDTHWAITE (TDSP)</t>
  </si>
  <si>
    <t>1558252764000</t>
  </si>
  <si>
    <t>CITY OF GONZALES (TDSP)</t>
  </si>
  <si>
    <t>0937385404000</t>
  </si>
  <si>
    <t>CITY OF HALLETTSVILLE (TDSP)</t>
  </si>
  <si>
    <t>0090811834000</t>
  </si>
  <si>
    <t>CITY OF HEMPSTEAD (TDSP)</t>
  </si>
  <si>
    <t>1272175604000</t>
  </si>
  <si>
    <t>CITY OF LA GRANGE (TDSP)</t>
  </si>
  <si>
    <t>0607085184000</t>
  </si>
  <si>
    <t>CITY OF LAMPASAS (TDSP)</t>
  </si>
  <si>
    <t>0203311204000</t>
  </si>
  <si>
    <t>CITY OF LEXINGTON (TDSP)</t>
  </si>
  <si>
    <t>0081817324000</t>
  </si>
  <si>
    <t>CITY OF LLANO (TDSP)</t>
  </si>
  <si>
    <t>0916952054000</t>
  </si>
  <si>
    <t>CITY OF LOCKHART (TDSP)</t>
  </si>
  <si>
    <t>0746168634000</t>
  </si>
  <si>
    <t>CITY OF LULING (TDSP)</t>
  </si>
  <si>
    <t>0105539984000</t>
  </si>
  <si>
    <t>CITY OF MASON (TDSP)</t>
  </si>
  <si>
    <t>1561267084000</t>
  </si>
  <si>
    <t>CITY OF MOULTON (TDSP)</t>
  </si>
  <si>
    <t>0091871544000</t>
  </si>
  <si>
    <t>CITY OF SAN MARCOS (TDSP)</t>
  </si>
  <si>
    <t>0694628694000</t>
  </si>
  <si>
    <t>CITY OF SAN SABA (TDSP)</t>
  </si>
  <si>
    <t>0248592254000</t>
  </si>
  <si>
    <t>CITY OF SANGER</t>
  </si>
  <si>
    <t>058956020</t>
  </si>
  <si>
    <t>CITY OF SCHULENBURG (TDSP)</t>
  </si>
  <si>
    <t>0532950364000</t>
  </si>
  <si>
    <t>CITY OF SEGUIN (TDSP)</t>
  </si>
  <si>
    <t>0862819794000</t>
  </si>
  <si>
    <t>166319145</t>
  </si>
  <si>
    <t>CITY OF SHINER (TDSP)</t>
  </si>
  <si>
    <t>1504533714000</t>
  </si>
  <si>
    <t>CITY OF SMITHVILLE (TDSP)</t>
  </si>
  <si>
    <t>0916978134000</t>
  </si>
  <si>
    <t>CITY OF WAELDER (TDSP)</t>
  </si>
  <si>
    <t>0541779694000</t>
  </si>
  <si>
    <t>CITY OF WEIMAR (TDSP)</t>
  </si>
  <si>
    <t>0214974584000</t>
  </si>
  <si>
    <t>134546522</t>
  </si>
  <si>
    <t>CITY OF YOAKUM (TDSP)</t>
  </si>
  <si>
    <t>0694557724000</t>
  </si>
  <si>
    <t>COLEMAN COUNTY ELECTRIC CO OP INC (TDSP)</t>
  </si>
  <si>
    <t>0079246734000</t>
  </si>
  <si>
    <t>002889210</t>
  </si>
  <si>
    <t>CONCHO VALLEY ELECTRIC CO OP INC (TDSP)</t>
  </si>
  <si>
    <t>0038666624000</t>
  </si>
  <si>
    <t>008951808</t>
  </si>
  <si>
    <t>047845623</t>
  </si>
  <si>
    <t>008947913</t>
  </si>
  <si>
    <t>FANNIN COUNTY ELECTRIC CO OP INC</t>
  </si>
  <si>
    <t>0018220894000</t>
  </si>
  <si>
    <t>FARMERS ELECTRIC CO OP INC DBA FEC ELECTRIC</t>
  </si>
  <si>
    <t>0098442344000</t>
  </si>
  <si>
    <t>FAYETTE ELECTRIC CO OP INC (TDSP)</t>
  </si>
  <si>
    <t>0593309774000</t>
  </si>
  <si>
    <t>FORT BELKNAP ELECTRIC CO OP INC (TDSP)</t>
  </si>
  <si>
    <t>007935299</t>
  </si>
  <si>
    <t>GRANBURY MUNICIPAL UTILITIES (TDSP)</t>
  </si>
  <si>
    <t>0952141694000</t>
  </si>
  <si>
    <t>008953812</t>
  </si>
  <si>
    <t>GUADALUPE VALLEY ELECTRIC CO OP INC (TDSP)</t>
  </si>
  <si>
    <t>0079305894000</t>
  </si>
  <si>
    <t>008949216</t>
  </si>
  <si>
    <t>HILCO ELECTRIC CO OP INC (TDSP)</t>
  </si>
  <si>
    <t>008950545</t>
  </si>
  <si>
    <t>005777206</t>
  </si>
  <si>
    <t>003890795</t>
  </si>
  <si>
    <t>007933518</t>
  </si>
  <si>
    <t>KERRVILLE PUBLIC UTILITY BOARD (TDSP)</t>
  </si>
  <si>
    <t>1248248064000</t>
  </si>
  <si>
    <t>LAMAR COUNTY ELEC COOP DBA LEC (TDSP)</t>
  </si>
  <si>
    <t>0048060974000</t>
  </si>
  <si>
    <t>LIGHTHOUSE ELECTRIC CO OP (TDSP)</t>
  </si>
  <si>
    <t>0028252894000</t>
  </si>
  <si>
    <t>LYNTEGAR ELECTRIC CO OP INC (TDSP)</t>
  </si>
  <si>
    <t>0079371474000</t>
  </si>
  <si>
    <t>MAGIC VALLEY ELECTRIC CO OP INC (TDSP)</t>
  </si>
  <si>
    <t>008951501</t>
  </si>
  <si>
    <t>MID SOUTH ELECTRIC CO OP ASSOC</t>
  </si>
  <si>
    <t>061278594</t>
  </si>
  <si>
    <t>006770101</t>
  </si>
  <si>
    <t>046299913</t>
  </si>
  <si>
    <t>NEW BRAUNFELS UTILITIES (TDSP)</t>
  </si>
  <si>
    <t>0383461694000</t>
  </si>
  <si>
    <t>PEDERNALES ELECTRIC CO OP INC (TDSP)</t>
  </si>
  <si>
    <t>0079241114000</t>
  </si>
  <si>
    <t>SAM HOUSTON ELECTRIC CO OP INC (TDSP)</t>
  </si>
  <si>
    <t>056267867</t>
  </si>
  <si>
    <t>SAN BERNARD ELECTRIC CO OP (TDSP)</t>
  </si>
  <si>
    <t>0089453134000</t>
  </si>
  <si>
    <t>SOUTH PLAINS ELECTRIC CO OP INC (TDSP)</t>
  </si>
  <si>
    <t>007934185</t>
  </si>
  <si>
    <t>SOUTHWEST TEXAS ELECTRIC CO OP INC (TDSP)</t>
  </si>
  <si>
    <t>0084158954000</t>
  </si>
  <si>
    <t>008945123</t>
  </si>
  <si>
    <t>009844564</t>
  </si>
  <si>
    <t>008945826</t>
  </si>
  <si>
    <t>041405408</t>
  </si>
  <si>
    <t>6063470374000</t>
  </si>
  <si>
    <t>BRYAN TEXAS UTILITIES (TDSP)</t>
  </si>
  <si>
    <t>0793907794000</t>
  </si>
  <si>
    <t>008862625</t>
  </si>
  <si>
    <t>CITY OF AUSTIN DBA AUSTIN ENERGY (TDSP)</t>
  </si>
  <si>
    <t>8008717664000</t>
  </si>
  <si>
    <t>CITY OF BOWIE (TDSP)</t>
  </si>
  <si>
    <t>8094182964000</t>
  </si>
  <si>
    <t>CITY OF BRADY (TDSP)</t>
  </si>
  <si>
    <t>070804877</t>
  </si>
  <si>
    <t>CITY OF COLEMAN (TDSP)</t>
  </si>
  <si>
    <t>1024920064000</t>
  </si>
  <si>
    <t>CITY OF COLLEGE STATION (TDSP)</t>
  </si>
  <si>
    <t>0403303004000</t>
  </si>
  <si>
    <t>CITY OF GARLAND (TDSP)</t>
  </si>
  <si>
    <t>6011012564000</t>
  </si>
  <si>
    <t>CITY OF GOLDSMITH (TDSP)</t>
  </si>
  <si>
    <t>0888946704000</t>
  </si>
  <si>
    <t>CITY OF HEARNE MUNICIPAL ELECTRIC SYSTEM (TDSP)</t>
  </si>
  <si>
    <t>0897458894000</t>
  </si>
  <si>
    <t>CITY OF ROBSTOWN UTILITY SYSTEM (TDSP)</t>
  </si>
  <si>
    <t>9387911424000</t>
  </si>
  <si>
    <t>0079360734000</t>
  </si>
  <si>
    <t>DENTON MUNICIPAL ELECTRIC (TDSP)</t>
  </si>
  <si>
    <t>GEUS (TDSP)</t>
  </si>
  <si>
    <t>8062449354000</t>
  </si>
  <si>
    <t>078423555</t>
  </si>
  <si>
    <t>006824106</t>
  </si>
  <si>
    <t>MEDINA ELECTRIC CO OP INC (TDSP) STEC</t>
  </si>
  <si>
    <t>0081378124000</t>
  </si>
  <si>
    <t>SAN MIGUEL ELECTRIC CO OP INC (TDSP)</t>
  </si>
  <si>
    <t>0884848524000</t>
  </si>
  <si>
    <t>SAN PATRICIO ELECTRIC CO OP (TDSP)</t>
  </si>
  <si>
    <t>003864907</t>
  </si>
  <si>
    <t>0038663324000</t>
  </si>
  <si>
    <t>008953861</t>
  </si>
  <si>
    <t>WEATHERFORD MUNICIPAL UTILITY SYSTEM (TDSP)</t>
  </si>
  <si>
    <t>0817196274000</t>
  </si>
  <si>
    <t>118487958</t>
  </si>
  <si>
    <t>0089492164100</t>
  </si>
  <si>
    <t>PEDERNALES ELEC CO OP INC AEP (TDSP)</t>
  </si>
  <si>
    <t>0079241114100</t>
  </si>
  <si>
    <t>TAYLOR ELECTRIC CO OP INC ABILENE (TDSP)</t>
  </si>
  <si>
    <t>0079344254100</t>
  </si>
  <si>
    <t>WESTERN FARMERS ELECTRIC COOPERATIVE (TDSP)</t>
  </si>
  <si>
    <t>0728624074000</t>
  </si>
  <si>
    <t>0088288574800</t>
  </si>
  <si>
    <t>Total</t>
  </si>
  <si>
    <t>Average 4CP Load</t>
  </si>
  <si>
    <t>TDSP Code</t>
  </si>
  <si>
    <t>Load Entity Name</t>
  </si>
  <si>
    <t>WOOD COUNTY ELECTRIC COOPERATIVE INC (TDSP)</t>
  </si>
  <si>
    <t>008952491</t>
  </si>
  <si>
    <t>HEART OF TEXAS ELECTRIC COOPERATIVE INC (DSP)</t>
  </si>
  <si>
    <t>012074558</t>
  </si>
  <si>
    <t>ONCOR ELECTRIC DELIVERY COMPANY LLC (TDSP)</t>
  </si>
  <si>
    <t>BROWNSVILLE PUBLIC UTILITIES BOARD (TDSP)</t>
  </si>
  <si>
    <t>CPS ENERGY (TDSP)</t>
  </si>
  <si>
    <t>0713801904000</t>
  </si>
  <si>
    <t>0098445644000</t>
  </si>
  <si>
    <t>0089538124000</t>
  </si>
  <si>
    <t>LAMAR COUNTY ELEC COOP DBA LEC RC HOUPL (TDSP)</t>
  </si>
  <si>
    <t>0048060974100</t>
  </si>
  <si>
    <t>TRINITY VALLEY ELECTRIC COOPERATIVE INC LPL (TDSP)</t>
  </si>
  <si>
    <t>AEP TEXAS CENTRAL COMPANY (TDSP)</t>
  </si>
  <si>
    <t>AEP TEXAS NORTH COMPANY (TDSP)</t>
  </si>
  <si>
    <t>BARTLETT ELECTRIC CO OP INC (TDSP)</t>
  </si>
  <si>
    <t>CITY OF SEYMOUR (TDSP)</t>
  </si>
  <si>
    <t>CITY OF WHITESBORO (TDSP)</t>
  </si>
  <si>
    <t>COMANCHE ELECTRIC CO OP ASSOCIATION (TDSP)</t>
  </si>
  <si>
    <t>COOKE COUNTY ELECTRIC CO OP ASSOC INC (TDSP)</t>
  </si>
  <si>
    <t>DEEP EAST TEXAS ELECTRIC CO OP INC (TDSP)</t>
  </si>
  <si>
    <t>DENTON COUNTY ELEC CO OP DBA COSERVE ELEC (TDSP)</t>
  </si>
  <si>
    <t>HAMILTON COUNTY ELECTRIC CO OP (BRAZOS) (TDSP)</t>
  </si>
  <si>
    <t>HOUSTON COUNTY ELEC COOP INC (TDSP)</t>
  </si>
  <si>
    <t>J A C ELECTRIC CO OP INC (TDSP)</t>
  </si>
  <si>
    <t>JASPER NEWTON ELECTRIC CO OP INC (TDSP)</t>
  </si>
  <si>
    <t>NAVARRO COUNTY ELECTRIC CO OP INC (TDSP)</t>
  </si>
  <si>
    <t>NAVASOTA VALLEY ELECTRIC CO OP INC (TDSP)</t>
  </si>
  <si>
    <t>TRI COUNTY ELECTRIC CO OP INC (TDSP)</t>
  </si>
  <si>
    <t>TRINITY VALLEY ELEC CO OP (TDSP)</t>
  </si>
  <si>
    <t>UNITED ELECTRIC CO OP SERVICES INC (TDSP)</t>
  </si>
  <si>
    <t>WISE ELECTRIC CO OP (TDSP)</t>
  </si>
  <si>
    <t>CHEROKEE COUNTY ELEC CO OP ASSOC (TDSP)</t>
  </si>
  <si>
    <t>CITY OF BARTLETT (TDSP)</t>
  </si>
  <si>
    <t>074618935</t>
  </si>
  <si>
    <t>JACKSON ELECTRIC CO OP INC (TDSP)</t>
  </si>
  <si>
    <t>KARNES ELECTRIC CO OP INC (TDSP)</t>
  </si>
  <si>
    <t>SOUTH TEXAS ELECTRIC CO OP INC (TDSP)</t>
  </si>
  <si>
    <t>VICTORIA ELECTRIC CO OP INC (TDSP)</t>
  </si>
  <si>
    <t>WHARTON COUNTY ELECTRIC CO OP INC (TDSP)</t>
  </si>
  <si>
    <t>HAMILTON COUNTY ELECTRIC CO OP (LCRA) (TDSP)</t>
  </si>
  <si>
    <t>CITY OF FARMERSVILLE (TDSP)</t>
  </si>
  <si>
    <t>1903494984000</t>
  </si>
  <si>
    <t>8012610534999</t>
  </si>
  <si>
    <t>GREENBELT ELECTRIC COOPERATIVE INC (EDSP)</t>
  </si>
  <si>
    <t>0098338564999</t>
  </si>
  <si>
    <t>DUNS NUMBER</t>
  </si>
  <si>
    <t>DEAF SMITH ELECTRIC COOPERATIVE INC (EDSP)</t>
  </si>
  <si>
    <t>0079307464999</t>
  </si>
  <si>
    <t>0027819534200</t>
  </si>
  <si>
    <t>SOUTHWEST RURAL ELECTRIC ASSOCIATION INC (EDSP)</t>
  </si>
  <si>
    <t>0079071734999</t>
  </si>
  <si>
    <t>NUECES ELECTRIC COOP INC (TDSP)</t>
  </si>
  <si>
    <t>* Note:  DC Tie exports, Block Load Transfer exports, and Wholesale Storage Loads are excluded from this report.</t>
  </si>
  <si>
    <t>RIO GRANDE ELECTRIC COOPERATIVE INC (TDSP) 2C</t>
  </si>
  <si>
    <t>FARMERS ELECTRIC CO OP INC NPL (TDSP)</t>
  </si>
  <si>
    <t>0098442344100</t>
  </si>
  <si>
    <t>SWISHER ELECTRIC COOPERATIVE INC (EDSP)</t>
  </si>
  <si>
    <t>0098337734999</t>
  </si>
  <si>
    <t>RUSK COUNTY ELECTRIC COOPERATIVE INC TSK (EDSP)</t>
  </si>
  <si>
    <t>0098444404999</t>
  </si>
  <si>
    <t>RUSK COUNTY ELECTRIC COOPERATIVE INC AEP (EDSP)</t>
  </si>
  <si>
    <t>0098444404991</t>
  </si>
  <si>
    <t>FARMERS ELECTRIC CO OP INC ARCO (TDSP)</t>
  </si>
  <si>
    <t>0098442344200</t>
  </si>
  <si>
    <t>FARMERS ELECTRIC CO OP INC PRTN RC (TDSP)</t>
  </si>
  <si>
    <t>0098442344300</t>
  </si>
  <si>
    <t>ENTERGY TEXAS INC (EDSP)</t>
  </si>
  <si>
    <t>CITY OF FLORESVILLE DBA FLORESVILLE ELEC LIGHT AND PWR (TDSP)</t>
  </si>
  <si>
    <t>008948374</t>
  </si>
  <si>
    <t>PEDERNALES ELEC CO OP INC DCP (TDSP)</t>
  </si>
  <si>
    <t>0079241114400</t>
  </si>
  <si>
    <t>CENTRAL TEXAS ELECTRIC COOPERATIVE - NORTH (TDSP)</t>
  </si>
  <si>
    <t>0079302744100</t>
  </si>
  <si>
    <t>GRAYSON COLLIN ELECTRIC COOPERATIVE INC (EPCO) (TDSP)</t>
  </si>
  <si>
    <t>GRAYSON COLLIN ELECTRIC COOPERATIVE INC (MEL) (TDSP)</t>
  </si>
  <si>
    <t>0089538124100</t>
  </si>
  <si>
    <t>GRAYSON COLLIN ELECTRIC COOPERATIVE INC (TDSP)</t>
  </si>
  <si>
    <t>RIO GRANDE ELECTRIC COOPERATIVE INC (TDSP) 2A</t>
  </si>
  <si>
    <t>0027819534100</t>
  </si>
  <si>
    <t>FANNIN COUNTY ELECTRIC CO OP INC NTMWD (TDSP)</t>
  </si>
  <si>
    <t>0018220894100</t>
  </si>
  <si>
    <t>FARMERS ELECTRIC CO OP INC NTMWD (TDSP)</t>
  </si>
  <si>
    <t>0098442344400</t>
  </si>
  <si>
    <t>TRINITY VALLEY ELECTRIC COOPERATIVE NTMWD (TDSP)</t>
  </si>
  <si>
    <t>0098445644100</t>
  </si>
  <si>
    <t>DENTON MUNICIPAL ELECTRIC CS (TDSP)</t>
  </si>
  <si>
    <t>0713801904100</t>
  </si>
  <si>
    <t>CITY OF CASTROVILLE (TDSP)</t>
  </si>
  <si>
    <t>797816378</t>
  </si>
  <si>
    <t>FARMERS ELECTRIC CO OP INC TURQ (TDSP)</t>
  </si>
  <si>
    <t>0098442344500</t>
  </si>
  <si>
    <t>LIGHTHOUSE ELECTRIC COOPERATIVE INC 2 (TDSP)</t>
  </si>
  <si>
    <t>0028252894100</t>
  </si>
  <si>
    <t>SOUTHWEST TEXAS ELECTRIC CO OP INC 2 (TDSP)</t>
  </si>
  <si>
    <t>0084158954100</t>
  </si>
  <si>
    <t>CITY OF LUBBOCK ACTING THRU LUBBOCK POWER AND LIGHT 1 (TDSP)</t>
  </si>
  <si>
    <t>0582138934100</t>
  </si>
  <si>
    <t>2025 Four Coincident Peak Load Calculation (MW)</t>
  </si>
  <si>
    <t>CITY OF GEORGETOWN 1 (TDSP)</t>
  </si>
  <si>
    <t>GUADALUPE VALLEY ELECTRIC CO OP INC 1 (TDSP)</t>
  </si>
  <si>
    <t>GUADALUPE VALLEY ELECTRIC CO OP INC 2 (TDSP)</t>
  </si>
  <si>
    <t>HOUSTON COUNTY ELEC COOP INC TXU (TDSP)</t>
  </si>
  <si>
    <t xml:space="preserve">June 
6/19/2025 17:00 </t>
  </si>
  <si>
    <t>WISE ELECTRIC COOPERATIVE INC 1  (TDSP)</t>
  </si>
  <si>
    <t>0895923724100</t>
  </si>
  <si>
    <t>0079305894100</t>
  </si>
  <si>
    <t>0079305894200</t>
  </si>
  <si>
    <t>0057772064100</t>
  </si>
  <si>
    <t>July
7/30/2025 17:00</t>
  </si>
  <si>
    <t>GUADALUPE VALLEY ELECTRIC CO OP INC 3 (TDSP)</t>
  </si>
  <si>
    <t>0079305894300</t>
  </si>
  <si>
    <t>HOUSTON COUNTY ELEC COOP INC 2 (TDSP)</t>
  </si>
  <si>
    <t>0057772064200</t>
  </si>
  <si>
    <t>WISE ELECTRIC COOPERATIVE INC 2  (TDSP)</t>
  </si>
  <si>
    <t>August
8/18/2025 17:00</t>
  </si>
  <si>
    <t>0414054084000</t>
  </si>
  <si>
    <t>0414054084100</t>
  </si>
  <si>
    <t>September
9/04/2025 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</si>
</sst>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_(* #,##0.0000_);_(* \(#,##0.0000\);_(* &quot;-&quot;??_);_(@_)"/>
    <numFmt numFmtId="166" formatCode="#,##0.00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/>
    <xf numFmtId="0" fontId="9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164" fontId="4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6" fillId="0" borderId="4" xfId="0" quotePrefix="1" applyFont="1" applyBorder="1" applyAlignment="1" applyProtection="1">
      <alignment horizontal="left"/>
      <protection locked="0"/>
    </xf>
    <xf numFmtId="0" fontId="8" fillId="0" borderId="2" xfId="0" quotePrefix="1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22" fontId="4" fillId="2" borderId="1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left"/>
      <protection locked="0"/>
    </xf>
    <xf numFmtId="0" fontId="8" fillId="0" borderId="2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4" fontId="7" fillId="0" borderId="6" xfId="5" applyNumberFormat="1" applyFont="1" applyBorder="1"/>
    <xf numFmtId="2" fontId="5" fillId="0" borderId="1" xfId="0" applyNumberFormat="1" applyFont="1" applyBorder="1"/>
    <xf numFmtId="166" fontId="5" fillId="3" borderId="1" xfId="0" applyNumberFormat="1" applyFont="1" applyFill="1" applyBorder="1"/>
    <xf numFmtId="165" fontId="5" fillId="0" borderId="1" xfId="0" applyNumberFormat="1" applyFont="1" applyBorder="1"/>
    <xf numFmtId="166" fontId="7" fillId="0" borderId="6" xfId="0" applyNumberFormat="1" applyFont="1" applyBorder="1"/>
    <xf numFmtId="0" fontId="2" fillId="0" borderId="0" xfId="0" applyFont="1"/>
    <xf numFmtId="0" fontId="12" fillId="0" borderId="3" xfId="0" applyFont="1" applyBorder="1"/>
    <xf numFmtId="0" fontId="0" fillId="0" borderId="1" xfId="0" applyBorder="1"/>
    <xf numFmtId="49" fontId="2" fillId="0" borderId="0" xfId="0" applyNumberFormat="1" applyFont="1"/>
    <xf numFmtId="0" fontId="2" fillId="0" borderId="0" xfId="0" quotePrefix="1" applyFont="1"/>
    <xf numFmtId="165" fontId="2" fillId="0" borderId="1" xfId="0" applyNumberFormat="1" applyFont="1" applyBorder="1"/>
    <xf numFmtId="0" fontId="1" fillId="0" borderId="0" xfId="8"/>
    <xf numFmtId="0" fontId="0" fillId="0" borderId="0" xfId="0" quotePrefix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Normal 5" xfId="8" xr:uid="{388F5227-C4EE-467B-A7B0-A9F6D6394E83}"/>
    <cellStyle name="Percent" xfId="5" builtinId="5"/>
    <cellStyle name="Percent 2" xfId="6" xr:uid="{00000000-0005-0000-0000-000006000000}"/>
    <cellStyle name="Percent 2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workbookViewId="0">
      <selection sqref="A1:I1"/>
    </sheetView>
  </sheetViews>
  <sheetFormatPr defaultColWidth="8.85546875" defaultRowHeight="12.75" x14ac:dyDescent="0.2"/>
  <cols>
    <col min="1" max="1" width="7" customWidth="1"/>
    <col min="2" max="2" width="68.140625" customWidth="1"/>
    <col min="3" max="3" width="14.42578125" bestFit="1" customWidth="1"/>
    <col min="4" max="4" width="13.85546875" bestFit="1" customWidth="1"/>
    <col min="5" max="5" width="13.5703125" bestFit="1" customWidth="1"/>
    <col min="6" max="6" width="13.42578125" bestFit="1" customWidth="1"/>
    <col min="7" max="7" width="13.85546875" bestFit="1" customWidth="1"/>
    <col min="8" max="8" width="13.28515625" bestFit="1" customWidth="1"/>
    <col min="9" max="9" width="15" bestFit="1" customWidth="1"/>
  </cols>
  <sheetData>
    <row r="1" spans="1:9" ht="20.25" x14ac:dyDescent="0.3">
      <c r="A1" s="27" t="s">
        <v>291</v>
      </c>
      <c r="B1" s="28"/>
      <c r="C1" s="28"/>
      <c r="D1" s="28"/>
      <c r="E1" s="28"/>
      <c r="F1" s="28"/>
      <c r="G1" s="28"/>
      <c r="H1" s="28"/>
      <c r="I1" s="28"/>
    </row>
    <row r="2" spans="1:9" x14ac:dyDescent="0.2">
      <c r="A2" s="29"/>
      <c r="B2" s="30"/>
      <c r="C2" s="30"/>
      <c r="D2" s="30"/>
      <c r="E2" s="30"/>
      <c r="F2" s="30"/>
      <c r="G2" s="30"/>
      <c r="H2" s="30"/>
      <c r="I2" s="30"/>
    </row>
    <row r="3" spans="1:9" ht="36" x14ac:dyDescent="0.2">
      <c r="A3" s="6" t="s">
        <v>191</v>
      </c>
      <c r="B3" s="7" t="s">
        <v>192</v>
      </c>
      <c r="C3" s="6" t="s">
        <v>239</v>
      </c>
      <c r="D3" s="8" t="s">
        <v>296</v>
      </c>
      <c r="E3" s="8" t="s">
        <v>302</v>
      </c>
      <c r="F3" s="8" t="s">
        <v>308</v>
      </c>
      <c r="G3" s="8" t="s">
        <v>311</v>
      </c>
      <c r="H3" s="8" t="s">
        <v>190</v>
      </c>
      <c r="I3" s="9" t="s">
        <v>0</v>
      </c>
    </row>
    <row r="4" spans="1:9" x14ac:dyDescent="0.2">
      <c r="A4">
        <v>5</v>
      </c>
      <c r="B4" t="s">
        <v>206</v>
      </c>
      <c r="C4" t="s">
        <v>6</v>
      </c>
      <c r="D4" s="21">
        <v>5014.427404</v>
      </c>
      <c r="E4" s="21">
        <v>5284.9558880000004</v>
      </c>
      <c r="F4" s="21">
        <v>5559.3523960000002</v>
      </c>
      <c r="G4" s="21">
        <v>5340.0821800000003</v>
      </c>
      <c r="H4" s="16">
        <f t="shared" ref="H4:H35" si="0">AVERAGE(D4:G4)</f>
        <v>5299.7044670000005</v>
      </c>
      <c r="I4" s="1">
        <f t="shared" ref="I4:I35" si="1">ROUND(H4/H$155,7)</f>
        <v>6.55419E-2</v>
      </c>
    </row>
    <row r="5" spans="1:9" x14ac:dyDescent="0.2">
      <c r="A5">
        <v>7</v>
      </c>
      <c r="B5" t="s">
        <v>207</v>
      </c>
      <c r="C5" t="s">
        <v>7</v>
      </c>
      <c r="D5" s="21">
        <v>1184.8511719999999</v>
      </c>
      <c r="E5" s="21">
        <v>1251.534592</v>
      </c>
      <c r="F5" s="21">
        <v>1142.4656279999999</v>
      </c>
      <c r="G5" s="21">
        <v>1243.346976</v>
      </c>
      <c r="H5" s="16">
        <f t="shared" si="0"/>
        <v>1205.5495919999998</v>
      </c>
      <c r="I5" s="1">
        <f t="shared" si="1"/>
        <v>1.49091E-2</v>
      </c>
    </row>
    <row r="6" spans="1:9" x14ac:dyDescent="0.2">
      <c r="A6">
        <v>18</v>
      </c>
      <c r="B6" t="s">
        <v>8</v>
      </c>
      <c r="C6" t="s">
        <v>9</v>
      </c>
      <c r="D6" s="21">
        <v>154.79730000000001</v>
      </c>
      <c r="E6" s="21">
        <v>158.618888</v>
      </c>
      <c r="F6" s="21">
        <v>168.17366799999999</v>
      </c>
      <c r="G6" s="21">
        <v>163.33925600000001</v>
      </c>
      <c r="H6" s="16">
        <f t="shared" si="0"/>
        <v>161.23227800000001</v>
      </c>
      <c r="I6" s="1">
        <f t="shared" si="1"/>
        <v>1.9940000000000001E-3</v>
      </c>
    </row>
    <row r="7" spans="1:9" x14ac:dyDescent="0.2">
      <c r="A7">
        <v>19</v>
      </c>
      <c r="B7" t="s">
        <v>208</v>
      </c>
      <c r="C7" t="s">
        <v>10</v>
      </c>
      <c r="D7" s="21">
        <v>51.858407999999997</v>
      </c>
      <c r="E7" s="21">
        <v>57.079259999999998</v>
      </c>
      <c r="F7" s="21">
        <v>61.712656000000003</v>
      </c>
      <c r="G7" s="21">
        <v>58.653120000000001</v>
      </c>
      <c r="H7" s="16">
        <f t="shared" si="0"/>
        <v>57.325861000000003</v>
      </c>
      <c r="I7" s="1">
        <f t="shared" si="1"/>
        <v>7.0899999999999999E-4</v>
      </c>
    </row>
    <row r="8" spans="1:9" x14ac:dyDescent="0.2">
      <c r="A8">
        <v>21</v>
      </c>
      <c r="B8" t="s">
        <v>11</v>
      </c>
      <c r="C8" t="s">
        <v>12</v>
      </c>
      <c r="D8" s="21">
        <v>41.228955999999997</v>
      </c>
      <c r="E8" s="21">
        <v>45.016323999999997</v>
      </c>
      <c r="F8" s="21">
        <v>38.563459999999999</v>
      </c>
      <c r="G8" s="21">
        <v>44.159520000000001</v>
      </c>
      <c r="H8" s="16">
        <f t="shared" si="0"/>
        <v>42.242064999999997</v>
      </c>
      <c r="I8" s="1">
        <f t="shared" si="1"/>
        <v>5.2240000000000001E-4</v>
      </c>
    </row>
    <row r="9" spans="1:9" x14ac:dyDescent="0.2">
      <c r="A9">
        <v>22</v>
      </c>
      <c r="B9" t="s">
        <v>13</v>
      </c>
      <c r="C9" t="s">
        <v>14</v>
      </c>
      <c r="D9" s="21">
        <v>776.36013200000002</v>
      </c>
      <c r="E9" s="21">
        <v>785.46427600000004</v>
      </c>
      <c r="F9" s="21">
        <v>833.15603999999996</v>
      </c>
      <c r="G9" s="21">
        <v>813.19401600000003</v>
      </c>
      <c r="H9" s="16">
        <f t="shared" si="0"/>
        <v>802.04361599999993</v>
      </c>
      <c r="I9" s="1">
        <f t="shared" si="1"/>
        <v>9.9188999999999996E-3</v>
      </c>
    </row>
    <row r="10" spans="1:9" x14ac:dyDescent="0.2">
      <c r="A10">
        <v>104</v>
      </c>
      <c r="B10" t="s">
        <v>198</v>
      </c>
      <c r="C10" t="s">
        <v>142</v>
      </c>
      <c r="D10" s="21">
        <v>241.68615600000001</v>
      </c>
      <c r="E10" s="21">
        <v>277.32228400000002</v>
      </c>
      <c r="F10" s="21">
        <v>277.91103199999998</v>
      </c>
      <c r="G10" s="21">
        <v>277.43874799999998</v>
      </c>
      <c r="H10" s="16">
        <f t="shared" si="0"/>
        <v>268.58955500000002</v>
      </c>
      <c r="I10" s="1">
        <f t="shared" si="1"/>
        <v>3.3216999999999999E-3</v>
      </c>
    </row>
    <row r="11" spans="1:9" x14ac:dyDescent="0.2">
      <c r="A11">
        <v>105</v>
      </c>
      <c r="B11" t="s">
        <v>143</v>
      </c>
      <c r="C11" t="s">
        <v>144</v>
      </c>
      <c r="D11" s="21">
        <v>400.48442799999998</v>
      </c>
      <c r="E11" s="21">
        <v>383.76877200000001</v>
      </c>
      <c r="F11" s="21">
        <v>425.336096</v>
      </c>
      <c r="G11" s="21">
        <v>381.89381600000002</v>
      </c>
      <c r="H11" s="16">
        <f t="shared" si="0"/>
        <v>397.87077800000003</v>
      </c>
      <c r="I11" s="1">
        <f t="shared" si="1"/>
        <v>4.9205000000000004E-3</v>
      </c>
    </row>
    <row r="12" spans="1:9" x14ac:dyDescent="0.2">
      <c r="A12">
        <v>1</v>
      </c>
      <c r="B12" t="s">
        <v>1</v>
      </c>
      <c r="C12" t="s">
        <v>2</v>
      </c>
      <c r="D12" s="21">
        <v>19857.068107999999</v>
      </c>
      <c r="E12" s="21">
        <v>20153.65494</v>
      </c>
      <c r="F12" s="21">
        <v>20747.447287999999</v>
      </c>
      <c r="G12" s="21">
        <v>19962.162491999999</v>
      </c>
      <c r="H12" s="16">
        <f t="shared" si="0"/>
        <v>20180.083207</v>
      </c>
      <c r="I12" s="1">
        <f t="shared" si="1"/>
        <v>0.24956890000000001</v>
      </c>
    </row>
    <row r="13" spans="1:9" x14ac:dyDescent="0.2">
      <c r="A13">
        <v>25</v>
      </c>
      <c r="B13" t="s">
        <v>15</v>
      </c>
      <c r="C13" t="s">
        <v>16</v>
      </c>
      <c r="D13" s="21">
        <v>145.01606799999999</v>
      </c>
      <c r="E13" s="21">
        <v>153.07557600000001</v>
      </c>
      <c r="F13" s="21">
        <v>160.05174</v>
      </c>
      <c r="G13" s="21">
        <v>152.56684799999999</v>
      </c>
      <c r="H13" s="16">
        <f t="shared" si="0"/>
        <v>152.67755799999998</v>
      </c>
      <c r="I13" s="1">
        <f t="shared" si="1"/>
        <v>1.8882E-3</v>
      </c>
    </row>
    <row r="14" spans="1:9" x14ac:dyDescent="0.2">
      <c r="A14">
        <v>209</v>
      </c>
      <c r="B14" t="s">
        <v>265</v>
      </c>
      <c r="C14" t="s">
        <v>266</v>
      </c>
      <c r="D14" s="21">
        <v>19.833227999999998</v>
      </c>
      <c r="E14" s="21">
        <v>20.444908000000002</v>
      </c>
      <c r="F14" s="21">
        <v>19.963415999999999</v>
      </c>
      <c r="G14" s="21">
        <v>17.013648</v>
      </c>
      <c r="H14" s="16">
        <f t="shared" si="0"/>
        <v>19.313800000000001</v>
      </c>
      <c r="I14" s="1">
        <f t="shared" si="1"/>
        <v>2.3890000000000001E-4</v>
      </c>
    </row>
    <row r="15" spans="1:9" x14ac:dyDescent="0.2">
      <c r="A15">
        <v>107</v>
      </c>
      <c r="B15" t="s">
        <v>225</v>
      </c>
      <c r="C15" t="s">
        <v>145</v>
      </c>
      <c r="D15" s="21">
        <v>84.555527999999995</v>
      </c>
      <c r="E15" s="21">
        <v>74.183524000000006</v>
      </c>
      <c r="F15" s="21">
        <v>85.192899999999995</v>
      </c>
      <c r="G15" s="21">
        <v>70.915763999999996</v>
      </c>
      <c r="H15" s="16">
        <f t="shared" si="0"/>
        <v>78.711928999999998</v>
      </c>
      <c r="I15" s="1">
        <f t="shared" si="1"/>
        <v>9.7340000000000002E-4</v>
      </c>
    </row>
    <row r="16" spans="1:9" x14ac:dyDescent="0.2">
      <c r="A16">
        <v>108</v>
      </c>
      <c r="B16" t="s">
        <v>146</v>
      </c>
      <c r="C16" t="s">
        <v>147</v>
      </c>
      <c r="D16" s="21">
        <v>2644.0847520000002</v>
      </c>
      <c r="E16" s="21">
        <v>2677.7973999999999</v>
      </c>
      <c r="F16" s="21">
        <v>2891.7413000000001</v>
      </c>
      <c r="G16" s="21">
        <v>2757.2988639999999</v>
      </c>
      <c r="H16" s="16">
        <f t="shared" si="0"/>
        <v>2742.730579</v>
      </c>
      <c r="I16" s="1">
        <f t="shared" si="1"/>
        <v>3.3919600000000001E-2</v>
      </c>
    </row>
    <row r="17" spans="1:9" x14ac:dyDescent="0.2">
      <c r="A17">
        <v>109</v>
      </c>
      <c r="B17" t="s">
        <v>226</v>
      </c>
      <c r="C17" t="s">
        <v>227</v>
      </c>
      <c r="D17" s="21">
        <v>2.5802160000000001</v>
      </c>
      <c r="E17" s="21">
        <v>2.8538320000000001</v>
      </c>
      <c r="F17" s="21">
        <v>3.0257200000000002</v>
      </c>
      <c r="G17" s="21">
        <v>2.9389240000000001</v>
      </c>
      <c r="H17" s="16">
        <f t="shared" si="0"/>
        <v>2.8496730000000001</v>
      </c>
      <c r="I17" s="1">
        <f t="shared" si="1"/>
        <v>3.5200000000000002E-5</v>
      </c>
    </row>
    <row r="18" spans="1:9" x14ac:dyDescent="0.2">
      <c r="A18">
        <v>26</v>
      </c>
      <c r="B18" t="s">
        <v>17</v>
      </c>
      <c r="C18" t="s">
        <v>18</v>
      </c>
      <c r="D18" s="21">
        <v>17.400872</v>
      </c>
      <c r="E18" s="21">
        <v>17.692332</v>
      </c>
      <c r="F18" s="21">
        <v>18.914159999999999</v>
      </c>
      <c r="G18" s="21">
        <v>17.596627999999999</v>
      </c>
      <c r="H18" s="16">
        <f t="shared" si="0"/>
        <v>17.900997999999998</v>
      </c>
      <c r="I18" s="1">
        <f t="shared" si="1"/>
        <v>2.2139999999999999E-4</v>
      </c>
    </row>
    <row r="19" spans="1:9" x14ac:dyDescent="0.2">
      <c r="A19">
        <v>27</v>
      </c>
      <c r="B19" t="s">
        <v>19</v>
      </c>
      <c r="C19" t="s">
        <v>20</v>
      </c>
      <c r="D19" s="21">
        <v>12.616504000000001</v>
      </c>
      <c r="E19" s="21">
        <v>12.761559999999999</v>
      </c>
      <c r="F19" s="21">
        <v>14.5222</v>
      </c>
      <c r="G19" s="21">
        <v>12.980195999999999</v>
      </c>
      <c r="H19" s="16">
        <f t="shared" si="0"/>
        <v>13.220115</v>
      </c>
      <c r="I19" s="1">
        <f t="shared" si="1"/>
        <v>1.6349999999999999E-4</v>
      </c>
    </row>
    <row r="20" spans="1:9" x14ac:dyDescent="0.2">
      <c r="A20">
        <v>28</v>
      </c>
      <c r="B20" t="s">
        <v>21</v>
      </c>
      <c r="C20" t="s">
        <v>22</v>
      </c>
      <c r="D20" s="21">
        <v>33.079756000000003</v>
      </c>
      <c r="E20" s="21">
        <v>33.629716000000002</v>
      </c>
      <c r="F20" s="21">
        <v>36.932380000000002</v>
      </c>
      <c r="G20" s="21">
        <v>34.853279999999998</v>
      </c>
      <c r="H20" s="16">
        <f t="shared" si="0"/>
        <v>34.623783000000003</v>
      </c>
      <c r="I20" s="1">
        <f t="shared" si="1"/>
        <v>4.282E-4</v>
      </c>
    </row>
    <row r="21" spans="1:9" x14ac:dyDescent="0.2">
      <c r="A21">
        <v>110</v>
      </c>
      <c r="B21" t="s">
        <v>148</v>
      </c>
      <c r="C21" t="s">
        <v>149</v>
      </c>
      <c r="D21" s="21">
        <v>15.420515999999999</v>
      </c>
      <c r="E21" s="21">
        <v>16.542404000000001</v>
      </c>
      <c r="F21" s="21">
        <v>16.257712000000001</v>
      </c>
      <c r="G21" s="21">
        <v>14.269772</v>
      </c>
      <c r="H21" s="16">
        <f t="shared" si="0"/>
        <v>15.622601</v>
      </c>
      <c r="I21" s="1">
        <f t="shared" si="1"/>
        <v>1.9320000000000001E-4</v>
      </c>
    </row>
    <row r="22" spans="1:9" x14ac:dyDescent="0.2">
      <c r="A22">
        <v>111</v>
      </c>
      <c r="B22" t="s">
        <v>150</v>
      </c>
      <c r="C22" t="s">
        <v>151</v>
      </c>
      <c r="D22" s="21">
        <v>12.846284000000001</v>
      </c>
      <c r="E22" s="21">
        <v>13.325144</v>
      </c>
      <c r="F22" s="21">
        <v>13.667576</v>
      </c>
      <c r="G22" s="21">
        <v>12.62092</v>
      </c>
      <c r="H22" s="16">
        <f t="shared" si="0"/>
        <v>13.114981</v>
      </c>
      <c r="I22" s="1">
        <f t="shared" si="1"/>
        <v>1.6220000000000001E-4</v>
      </c>
    </row>
    <row r="23" spans="1:9" x14ac:dyDescent="0.2">
      <c r="A23">
        <v>29</v>
      </c>
      <c r="B23" t="s">
        <v>23</v>
      </c>
      <c r="C23" t="s">
        <v>24</v>
      </c>
      <c r="D23" s="21">
        <v>54.321295999999997</v>
      </c>
      <c r="E23" s="21">
        <v>55.263840000000002</v>
      </c>
      <c r="F23" s="21">
        <v>59.138364000000003</v>
      </c>
      <c r="G23" s="21">
        <v>55.306420000000003</v>
      </c>
      <c r="H23" s="16">
        <f t="shared" si="0"/>
        <v>56.007480000000001</v>
      </c>
      <c r="I23" s="1">
        <f t="shared" si="1"/>
        <v>6.9260000000000003E-4</v>
      </c>
    </row>
    <row r="24" spans="1:9" x14ac:dyDescent="0.2">
      <c r="A24">
        <v>30</v>
      </c>
      <c r="B24" t="s">
        <v>25</v>
      </c>
      <c r="C24" t="s">
        <v>26</v>
      </c>
      <c r="D24" s="21">
        <v>12.409592</v>
      </c>
      <c r="E24" s="21">
        <v>14.269159999999999</v>
      </c>
      <c r="F24" s="21">
        <v>14.065519999999999</v>
      </c>
      <c r="G24" s="21">
        <v>12.653688000000001</v>
      </c>
      <c r="H24" s="16">
        <f t="shared" si="0"/>
        <v>13.349489999999999</v>
      </c>
      <c r="I24" s="1">
        <f t="shared" si="1"/>
        <v>1.651E-4</v>
      </c>
    </row>
    <row r="25" spans="1:9" x14ac:dyDescent="0.2">
      <c r="A25">
        <v>31</v>
      </c>
      <c r="B25" t="s">
        <v>27</v>
      </c>
      <c r="C25" t="s">
        <v>28</v>
      </c>
      <c r="D25" s="21">
        <v>17.775207999999999</v>
      </c>
      <c r="E25" s="21">
        <v>18.536864000000001</v>
      </c>
      <c r="F25" s="21">
        <v>19.802864</v>
      </c>
      <c r="G25" s="21">
        <v>18.354379999999999</v>
      </c>
      <c r="H25" s="16">
        <f t="shared" si="0"/>
        <v>18.617328999999998</v>
      </c>
      <c r="I25" s="1">
        <f t="shared" si="1"/>
        <v>2.3020000000000001E-4</v>
      </c>
    </row>
    <row r="26" spans="1:9" x14ac:dyDescent="0.2">
      <c r="A26">
        <v>112</v>
      </c>
      <c r="B26" t="s">
        <v>281</v>
      </c>
      <c r="C26" t="s">
        <v>282</v>
      </c>
      <c r="D26" s="21">
        <v>6.6640119999999996</v>
      </c>
      <c r="E26" s="21">
        <v>6.7394040000000004</v>
      </c>
      <c r="F26" s="21">
        <v>7.1682240000000004</v>
      </c>
      <c r="G26" s="21">
        <v>7.145664</v>
      </c>
      <c r="H26" s="16">
        <f t="shared" si="0"/>
        <v>6.9293260000000005</v>
      </c>
      <c r="I26" s="1">
        <f t="shared" si="1"/>
        <v>8.5699999999999996E-5</v>
      </c>
    </row>
    <row r="27" spans="1:9" x14ac:dyDescent="0.2">
      <c r="A27">
        <v>113</v>
      </c>
      <c r="B27" t="s">
        <v>152</v>
      </c>
      <c r="C27" t="s">
        <v>153</v>
      </c>
      <c r="D27" s="21">
        <v>7.946072</v>
      </c>
      <c r="E27" s="21">
        <v>8.7728439999999992</v>
      </c>
      <c r="F27" s="21">
        <v>8.6061359999999993</v>
      </c>
      <c r="G27" s="21">
        <v>8.9793880000000001</v>
      </c>
      <c r="H27" s="16">
        <f t="shared" si="0"/>
        <v>8.5761099999999999</v>
      </c>
      <c r="I27" s="1">
        <f t="shared" si="1"/>
        <v>1.061E-4</v>
      </c>
    </row>
    <row r="28" spans="1:9" x14ac:dyDescent="0.2">
      <c r="A28">
        <v>114</v>
      </c>
      <c r="B28" t="s">
        <v>154</v>
      </c>
      <c r="C28" t="s">
        <v>155</v>
      </c>
      <c r="D28" s="21">
        <v>202.73426000000001</v>
      </c>
      <c r="E28" s="21">
        <v>210.96453199999999</v>
      </c>
      <c r="F28" s="21">
        <v>233.33519200000001</v>
      </c>
      <c r="G28" s="21">
        <v>214.74419599999999</v>
      </c>
      <c r="H28" s="16">
        <f t="shared" si="0"/>
        <v>215.44454500000001</v>
      </c>
      <c r="I28" s="1">
        <f t="shared" si="1"/>
        <v>2.6643999999999999E-3</v>
      </c>
    </row>
    <row r="29" spans="1:9" x14ac:dyDescent="0.2">
      <c r="A29">
        <v>32</v>
      </c>
      <c r="B29" t="s">
        <v>29</v>
      </c>
      <c r="C29" t="s">
        <v>30</v>
      </c>
      <c r="D29" s="21">
        <v>19.885860000000001</v>
      </c>
      <c r="E29" s="21">
        <v>21.542680000000001</v>
      </c>
      <c r="F29" s="21">
        <v>23.188687999999999</v>
      </c>
      <c r="G29" s="21">
        <v>22.495728</v>
      </c>
      <c r="H29" s="16">
        <f t="shared" si="0"/>
        <v>21.778238999999999</v>
      </c>
      <c r="I29" s="1">
        <f t="shared" si="1"/>
        <v>2.6929999999999999E-4</v>
      </c>
    </row>
    <row r="30" spans="1:9" x14ac:dyDescent="0.2">
      <c r="A30">
        <v>115</v>
      </c>
      <c r="B30" t="s">
        <v>234</v>
      </c>
      <c r="C30" t="s">
        <v>235</v>
      </c>
      <c r="D30" s="21">
        <v>7.2202679999999999</v>
      </c>
      <c r="E30" s="21">
        <v>8.4636519999999997</v>
      </c>
      <c r="F30" s="21">
        <v>8.6673720000000003</v>
      </c>
      <c r="G30" s="21">
        <v>7.372776</v>
      </c>
      <c r="H30" s="16">
        <f t="shared" si="0"/>
        <v>7.9310170000000006</v>
      </c>
      <c r="I30" s="1">
        <f t="shared" si="1"/>
        <v>9.8099999999999999E-5</v>
      </c>
    </row>
    <row r="31" spans="1:9" x14ac:dyDescent="0.2">
      <c r="A31">
        <v>33</v>
      </c>
      <c r="B31" t="s">
        <v>31</v>
      </c>
      <c r="C31" t="s">
        <v>32</v>
      </c>
      <c r="D31" s="21">
        <v>5.9207280000000004</v>
      </c>
      <c r="E31" s="21">
        <v>5.4005520000000002</v>
      </c>
      <c r="F31" s="21">
        <v>6.205552</v>
      </c>
      <c r="G31" s="21">
        <v>6.0344639999999998</v>
      </c>
      <c r="H31" s="16">
        <f t="shared" si="0"/>
        <v>5.8903240000000006</v>
      </c>
      <c r="I31" s="1">
        <f t="shared" si="1"/>
        <v>7.2799999999999994E-5</v>
      </c>
    </row>
    <row r="32" spans="1:9" x14ac:dyDescent="0.2">
      <c r="A32">
        <v>116</v>
      </c>
      <c r="B32" t="s">
        <v>261</v>
      </c>
      <c r="C32" t="s">
        <v>262</v>
      </c>
      <c r="D32" s="21">
        <v>80.797871999999998</v>
      </c>
      <c r="E32" s="21">
        <v>84.896011999999999</v>
      </c>
      <c r="F32" s="21">
        <v>93.187876000000003</v>
      </c>
      <c r="G32" s="21">
        <v>89.833848000000003</v>
      </c>
      <c r="H32" s="16">
        <f t="shared" si="0"/>
        <v>87.178901999999994</v>
      </c>
      <c r="I32" s="1">
        <f t="shared" si="1"/>
        <v>1.0781E-3</v>
      </c>
    </row>
    <row r="33" spans="1:9" x14ac:dyDescent="0.2">
      <c r="A33">
        <v>34</v>
      </c>
      <c r="B33" t="s">
        <v>33</v>
      </c>
      <c r="C33" t="s">
        <v>34</v>
      </c>
      <c r="D33" s="21">
        <v>31.196895999999999</v>
      </c>
      <c r="E33" s="21">
        <v>31.69388</v>
      </c>
      <c r="F33" s="21">
        <v>32.523491999999997</v>
      </c>
      <c r="G33" s="21">
        <v>31.260860000000001</v>
      </c>
      <c r="H33" s="16">
        <f t="shared" si="0"/>
        <v>31.668782</v>
      </c>
      <c r="I33" s="1">
        <f t="shared" si="1"/>
        <v>3.9169999999999998E-4</v>
      </c>
    </row>
    <row r="34" spans="1:9" x14ac:dyDescent="0.2">
      <c r="A34">
        <v>117</v>
      </c>
      <c r="B34" t="s">
        <v>156</v>
      </c>
      <c r="C34" t="s">
        <v>157</v>
      </c>
      <c r="D34" s="21">
        <v>439.02045600000002</v>
      </c>
      <c r="E34" s="21">
        <v>486.35361599999999</v>
      </c>
      <c r="F34" s="21">
        <v>486.66606400000001</v>
      </c>
      <c r="G34" s="21">
        <v>453.17533200000003</v>
      </c>
      <c r="H34" s="16">
        <f t="shared" si="0"/>
        <v>466.30386700000003</v>
      </c>
      <c r="I34" s="1">
        <f t="shared" si="1"/>
        <v>5.7667999999999999E-3</v>
      </c>
    </row>
    <row r="35" spans="1:9" x14ac:dyDescent="0.2">
      <c r="A35">
        <v>35</v>
      </c>
      <c r="B35" t="s">
        <v>35</v>
      </c>
      <c r="C35" t="s">
        <v>36</v>
      </c>
      <c r="D35" s="21">
        <v>192.76356799999999</v>
      </c>
      <c r="E35" s="21">
        <v>178.97128799999999</v>
      </c>
      <c r="F35" s="21">
        <v>190.84007600000001</v>
      </c>
      <c r="G35" s="21">
        <v>176.06896</v>
      </c>
      <c r="H35" s="16">
        <f t="shared" si="0"/>
        <v>184.66097300000001</v>
      </c>
      <c r="I35" s="1">
        <f t="shared" si="1"/>
        <v>2.2837000000000001E-3</v>
      </c>
    </row>
    <row r="36" spans="1:9" x14ac:dyDescent="0.2">
      <c r="A36">
        <v>222</v>
      </c>
      <c r="B36" s="19" t="s">
        <v>292</v>
      </c>
      <c r="C36" s="23" t="s">
        <v>298</v>
      </c>
      <c r="D36" s="21">
        <v>3.174604</v>
      </c>
      <c r="E36" s="21">
        <v>4.1258239999999997</v>
      </c>
      <c r="F36" s="21">
        <v>4.4207039999999997</v>
      </c>
      <c r="G36" s="21">
        <v>3.630096</v>
      </c>
      <c r="H36" s="16">
        <f t="shared" ref="H36" si="2">AVERAGE(D36:G36)</f>
        <v>3.8378070000000002</v>
      </c>
      <c r="I36" s="1">
        <f t="shared" ref="I36:I67" si="3">ROUND(H36/H$155,7)</f>
        <v>4.7500000000000003E-5</v>
      </c>
    </row>
    <row r="37" spans="1:9" x14ac:dyDescent="0.2">
      <c r="A37">
        <v>36</v>
      </c>
      <c r="B37" t="s">
        <v>37</v>
      </c>
      <c r="C37" t="s">
        <v>38</v>
      </c>
      <c r="D37" s="21">
        <v>12.333048</v>
      </c>
      <c r="E37" s="21">
        <v>12.483312</v>
      </c>
      <c r="F37" s="21">
        <v>13.669271999999999</v>
      </c>
      <c r="G37" s="21">
        <v>12.917088</v>
      </c>
      <c r="H37" s="16">
        <f t="shared" ref="H37:H67" si="4">AVERAGE(D37:G37)</f>
        <v>12.850679999999999</v>
      </c>
      <c r="I37" s="1">
        <f t="shared" si="3"/>
        <v>1.5890000000000001E-4</v>
      </c>
    </row>
    <row r="38" spans="1:9" x14ac:dyDescent="0.2">
      <c r="A38">
        <v>118</v>
      </c>
      <c r="B38" t="s">
        <v>158</v>
      </c>
      <c r="C38" t="s">
        <v>159</v>
      </c>
      <c r="D38" s="21">
        <v>1.0003839999999999</v>
      </c>
      <c r="E38" s="21">
        <v>1.014168</v>
      </c>
      <c r="F38" s="21">
        <v>0.93176000000000003</v>
      </c>
      <c r="G38" s="21">
        <v>1.0469919999999999</v>
      </c>
      <c r="H38" s="16">
        <f t="shared" si="4"/>
        <v>0.99832600000000005</v>
      </c>
      <c r="I38" s="1">
        <f t="shared" si="3"/>
        <v>1.2300000000000001E-5</v>
      </c>
    </row>
    <row r="39" spans="1:9" x14ac:dyDescent="0.2">
      <c r="A39">
        <v>37</v>
      </c>
      <c r="B39" t="s">
        <v>39</v>
      </c>
      <c r="C39" t="s">
        <v>40</v>
      </c>
      <c r="D39" s="21">
        <v>4.6659240000000004</v>
      </c>
      <c r="E39" s="21">
        <v>5.1748120000000002</v>
      </c>
      <c r="F39" s="21">
        <v>5.1394359999999999</v>
      </c>
      <c r="G39" s="21">
        <v>4.7037440000000004</v>
      </c>
      <c r="H39" s="16">
        <f t="shared" si="4"/>
        <v>4.920979</v>
      </c>
      <c r="I39" s="1">
        <f t="shared" si="3"/>
        <v>6.0900000000000003E-5</v>
      </c>
    </row>
    <row r="40" spans="1:9" ht="12.75" customHeight="1" x14ac:dyDescent="0.2">
      <c r="A40">
        <v>38</v>
      </c>
      <c r="B40" t="s">
        <v>41</v>
      </c>
      <c r="C40" t="s">
        <v>42</v>
      </c>
      <c r="D40" s="21">
        <v>16.697744</v>
      </c>
      <c r="E40" s="21">
        <v>17.674392000000001</v>
      </c>
      <c r="F40" s="21">
        <v>18.68768</v>
      </c>
      <c r="G40" s="21">
        <v>19.222180000000002</v>
      </c>
      <c r="H40" s="16">
        <f t="shared" si="4"/>
        <v>18.070498999999998</v>
      </c>
      <c r="I40" s="1">
        <f t="shared" si="3"/>
        <v>2.2350000000000001E-4</v>
      </c>
    </row>
    <row r="41" spans="1:9" ht="12.75" customHeight="1" x14ac:dyDescent="0.2">
      <c r="A41">
        <v>39</v>
      </c>
      <c r="B41" t="s">
        <v>43</v>
      </c>
      <c r="C41" t="s">
        <v>44</v>
      </c>
      <c r="D41" s="21">
        <v>8.6453520000000008</v>
      </c>
      <c r="E41" s="21">
        <v>8.8536040000000007</v>
      </c>
      <c r="F41" s="21">
        <v>9.6740519999999997</v>
      </c>
      <c r="G41" s="21">
        <v>9.1433079999999993</v>
      </c>
      <c r="H41" s="16">
        <f t="shared" si="4"/>
        <v>9.0790790000000001</v>
      </c>
      <c r="I41" s="1">
        <f t="shared" si="3"/>
        <v>1.1230000000000001E-4</v>
      </c>
    </row>
    <row r="42" spans="1:9" x14ac:dyDescent="0.2">
      <c r="A42">
        <v>119</v>
      </c>
      <c r="B42" t="s">
        <v>160</v>
      </c>
      <c r="C42" t="s">
        <v>161</v>
      </c>
      <c r="D42" s="21">
        <v>10.73516</v>
      </c>
      <c r="E42" s="21">
        <v>10.9504</v>
      </c>
      <c r="F42" s="21">
        <v>9.9446519999999996</v>
      </c>
      <c r="G42" s="21">
        <v>10.6242</v>
      </c>
      <c r="H42" s="16">
        <f t="shared" si="4"/>
        <v>10.563603000000001</v>
      </c>
      <c r="I42" s="1">
        <f t="shared" si="3"/>
        <v>1.306E-4</v>
      </c>
    </row>
    <row r="43" spans="1:9" x14ac:dyDescent="0.2">
      <c r="A43">
        <v>40</v>
      </c>
      <c r="B43" t="s">
        <v>45</v>
      </c>
      <c r="C43" t="s">
        <v>46</v>
      </c>
      <c r="D43" s="21">
        <v>11.760528000000001</v>
      </c>
      <c r="E43" s="21">
        <v>12.064655999999999</v>
      </c>
      <c r="F43" s="21">
        <v>12.958232000000001</v>
      </c>
      <c r="G43" s="21">
        <v>11.91112</v>
      </c>
      <c r="H43" s="16">
        <f t="shared" si="4"/>
        <v>12.173634</v>
      </c>
      <c r="I43" s="1">
        <f t="shared" si="3"/>
        <v>1.506E-4</v>
      </c>
    </row>
    <row r="44" spans="1:9" x14ac:dyDescent="0.2">
      <c r="A44">
        <v>41</v>
      </c>
      <c r="B44" t="s">
        <v>47</v>
      </c>
      <c r="C44" t="s">
        <v>48</v>
      </c>
      <c r="D44" s="21">
        <v>13.680816</v>
      </c>
      <c r="E44" s="21">
        <v>14.021240000000001</v>
      </c>
      <c r="F44" s="21">
        <v>16.44566</v>
      </c>
      <c r="G44" s="21">
        <v>14.879676</v>
      </c>
      <c r="H44" s="16">
        <f t="shared" si="4"/>
        <v>14.756848000000002</v>
      </c>
      <c r="I44" s="1">
        <f t="shared" si="3"/>
        <v>1.8249999999999999E-4</v>
      </c>
    </row>
    <row r="45" spans="1:9" x14ac:dyDescent="0.2">
      <c r="A45">
        <v>42</v>
      </c>
      <c r="B45" t="s">
        <v>49</v>
      </c>
      <c r="C45" t="s">
        <v>50</v>
      </c>
      <c r="D45" s="21">
        <v>22.436916</v>
      </c>
      <c r="E45" s="21">
        <v>22.947127999999999</v>
      </c>
      <c r="F45" s="21">
        <v>24.363935999999999</v>
      </c>
      <c r="G45" s="21">
        <v>22.368580000000001</v>
      </c>
      <c r="H45" s="16">
        <f t="shared" si="4"/>
        <v>23.029139999999998</v>
      </c>
      <c r="I45" s="1">
        <f t="shared" si="3"/>
        <v>2.8479999999999998E-4</v>
      </c>
    </row>
    <row r="46" spans="1:9" x14ac:dyDescent="0.2">
      <c r="A46">
        <v>43</v>
      </c>
      <c r="B46" t="s">
        <v>51</v>
      </c>
      <c r="C46" t="s">
        <v>52</v>
      </c>
      <c r="D46" s="21">
        <v>2.4508760000000001</v>
      </c>
      <c r="E46" s="21">
        <v>2.5746039999999999</v>
      </c>
      <c r="F46" s="21">
        <v>2.8887879999999999</v>
      </c>
      <c r="G46" s="21">
        <v>2.6651120000000001</v>
      </c>
      <c r="H46" s="16">
        <f t="shared" si="4"/>
        <v>2.6448450000000001</v>
      </c>
      <c r="I46" s="1">
        <f t="shared" si="3"/>
        <v>3.2700000000000002E-5</v>
      </c>
    </row>
    <row r="47" spans="1:9" x14ac:dyDescent="0.2">
      <c r="A47">
        <v>44</v>
      </c>
      <c r="B47" t="s">
        <v>53</v>
      </c>
      <c r="C47" t="s">
        <v>54</v>
      </c>
      <c r="D47" s="21">
        <v>9.56968</v>
      </c>
      <c r="E47" s="21">
        <v>9.8820440000000005</v>
      </c>
      <c r="F47" s="21">
        <v>10.723000000000001</v>
      </c>
      <c r="G47" s="21">
        <v>9.6351720000000007</v>
      </c>
      <c r="H47" s="16">
        <f t="shared" si="4"/>
        <v>9.9524739999999987</v>
      </c>
      <c r="I47" s="1">
        <f t="shared" si="3"/>
        <v>1.2310000000000001E-4</v>
      </c>
    </row>
    <row r="48" spans="1:9" x14ac:dyDescent="0.2">
      <c r="A48">
        <v>45</v>
      </c>
      <c r="B48" t="s">
        <v>55</v>
      </c>
      <c r="C48" t="s">
        <v>56</v>
      </c>
      <c r="D48" s="21">
        <v>26.690048000000001</v>
      </c>
      <c r="E48" s="21">
        <v>26.663432</v>
      </c>
      <c r="F48" s="21">
        <v>29.542584000000002</v>
      </c>
      <c r="G48" s="21">
        <v>28.130579999999998</v>
      </c>
      <c r="H48" s="16">
        <f t="shared" si="4"/>
        <v>27.756661000000001</v>
      </c>
      <c r="I48" s="1">
        <f t="shared" si="3"/>
        <v>3.433E-4</v>
      </c>
    </row>
    <row r="49" spans="1:9" x14ac:dyDescent="0.2">
      <c r="A49">
        <v>217</v>
      </c>
      <c r="B49" t="s">
        <v>289</v>
      </c>
      <c r="C49" s="22" t="s">
        <v>290</v>
      </c>
      <c r="D49" s="21">
        <v>550.57581600000003</v>
      </c>
      <c r="E49" s="21">
        <v>573.49158799999998</v>
      </c>
      <c r="F49" s="21">
        <v>554.83871599999998</v>
      </c>
      <c r="G49" s="21">
        <v>540.62523599999997</v>
      </c>
      <c r="H49" s="16">
        <f t="shared" si="4"/>
        <v>554.88283899999999</v>
      </c>
      <c r="I49" s="1">
        <f t="shared" si="3"/>
        <v>6.8623E-3</v>
      </c>
    </row>
    <row r="50" spans="1:9" x14ac:dyDescent="0.2">
      <c r="A50">
        <v>46</v>
      </c>
      <c r="B50" t="s">
        <v>57</v>
      </c>
      <c r="C50" t="s">
        <v>58</v>
      </c>
      <c r="D50" s="21">
        <v>12.109676</v>
      </c>
      <c r="E50" s="21">
        <v>12.638275999999999</v>
      </c>
      <c r="F50" s="21">
        <v>13.828531999999999</v>
      </c>
      <c r="G50" s="21">
        <v>12.787167999999999</v>
      </c>
      <c r="H50" s="16">
        <f t="shared" si="4"/>
        <v>12.840912999999999</v>
      </c>
      <c r="I50" s="1">
        <f t="shared" si="3"/>
        <v>1.5880000000000001E-4</v>
      </c>
    </row>
    <row r="51" spans="1:9" x14ac:dyDescent="0.2">
      <c r="A51">
        <v>47</v>
      </c>
      <c r="B51" t="s">
        <v>59</v>
      </c>
      <c r="C51" t="s">
        <v>60</v>
      </c>
      <c r="D51" s="21">
        <v>5.138312</v>
      </c>
      <c r="E51" s="21">
        <v>5.6653760000000002</v>
      </c>
      <c r="F51" s="21">
        <v>5.6439760000000003</v>
      </c>
      <c r="G51" s="21">
        <v>5.5630480000000002</v>
      </c>
      <c r="H51" s="16">
        <f t="shared" si="4"/>
        <v>5.5026780000000013</v>
      </c>
      <c r="I51" s="1">
        <f t="shared" si="3"/>
        <v>6.8100000000000002E-5</v>
      </c>
    </row>
    <row r="52" spans="1:9" x14ac:dyDescent="0.2">
      <c r="A52">
        <v>48</v>
      </c>
      <c r="B52" t="s">
        <v>61</v>
      </c>
      <c r="C52" t="s">
        <v>62</v>
      </c>
      <c r="D52" s="21">
        <v>2.3041719999999999</v>
      </c>
      <c r="E52" s="21">
        <v>2.198388</v>
      </c>
      <c r="F52" s="21">
        <v>2.5409120000000001</v>
      </c>
      <c r="G52" s="21">
        <v>2.4658359999999999</v>
      </c>
      <c r="H52" s="16">
        <f t="shared" si="4"/>
        <v>2.3773269999999997</v>
      </c>
      <c r="I52" s="1">
        <f t="shared" si="3"/>
        <v>2.94E-5</v>
      </c>
    </row>
    <row r="53" spans="1:9" x14ac:dyDescent="0.2">
      <c r="A53">
        <v>121</v>
      </c>
      <c r="B53" t="s">
        <v>162</v>
      </c>
      <c r="C53" t="s">
        <v>163</v>
      </c>
      <c r="D53" s="21">
        <v>18.106535999999998</v>
      </c>
      <c r="E53" s="21">
        <v>20.213284000000002</v>
      </c>
      <c r="F53" s="21">
        <v>20.52994</v>
      </c>
      <c r="G53" s="21">
        <v>20.045891999999998</v>
      </c>
      <c r="H53" s="16">
        <f t="shared" si="4"/>
        <v>19.723913</v>
      </c>
      <c r="I53" s="1">
        <f t="shared" si="3"/>
        <v>2.4389999999999999E-4</v>
      </c>
    </row>
    <row r="54" spans="1:9" x14ac:dyDescent="0.2">
      <c r="A54">
        <v>49</v>
      </c>
      <c r="B54" t="s">
        <v>63</v>
      </c>
      <c r="C54" t="s">
        <v>64</v>
      </c>
      <c r="D54" s="21">
        <v>120.39455599999999</v>
      </c>
      <c r="E54" s="21">
        <v>119.72758</v>
      </c>
      <c r="F54" s="21">
        <v>134.75448</v>
      </c>
      <c r="G54" s="21">
        <v>131.898428</v>
      </c>
      <c r="H54" s="16">
        <f t="shared" si="4"/>
        <v>126.69376099999999</v>
      </c>
      <c r="I54" s="1">
        <f t="shared" si="3"/>
        <v>1.5667999999999999E-3</v>
      </c>
    </row>
    <row r="55" spans="1:9" x14ac:dyDescent="0.2">
      <c r="A55">
        <v>50</v>
      </c>
      <c r="B55" t="s">
        <v>65</v>
      </c>
      <c r="C55" t="s">
        <v>66</v>
      </c>
      <c r="D55" s="21">
        <v>8.4157519999999995</v>
      </c>
      <c r="E55" s="21">
        <v>8.8472039999999996</v>
      </c>
      <c r="F55" s="21">
        <v>8.8366640000000007</v>
      </c>
      <c r="G55" s="21">
        <v>8.1780000000000008</v>
      </c>
      <c r="H55" s="16">
        <f t="shared" si="4"/>
        <v>8.5694049999999997</v>
      </c>
      <c r="I55" s="1">
        <f t="shared" si="3"/>
        <v>1.06E-4</v>
      </c>
    </row>
    <row r="56" spans="1:9" x14ac:dyDescent="0.2">
      <c r="A56">
        <v>51</v>
      </c>
      <c r="B56" t="s">
        <v>67</v>
      </c>
      <c r="C56" t="s">
        <v>68</v>
      </c>
      <c r="D56" s="21">
        <v>13.870996</v>
      </c>
      <c r="E56" s="21">
        <v>15.657112</v>
      </c>
      <c r="F56" s="21">
        <v>14.95398</v>
      </c>
      <c r="G56" s="21">
        <v>13.643412</v>
      </c>
      <c r="H56" s="16">
        <f t="shared" si="4"/>
        <v>14.531374999999999</v>
      </c>
      <c r="I56" s="1">
        <f t="shared" si="3"/>
        <v>1.797E-4</v>
      </c>
    </row>
    <row r="57" spans="1:9" x14ac:dyDescent="0.2">
      <c r="A57">
        <v>52</v>
      </c>
      <c r="B57" t="s">
        <v>69</v>
      </c>
      <c r="C57" t="s">
        <v>70</v>
      </c>
      <c r="D57" s="21">
        <v>13.738564</v>
      </c>
      <c r="E57" s="21">
        <v>14.189375999999999</v>
      </c>
      <c r="F57" s="21">
        <v>14.529684</v>
      </c>
      <c r="G57" s="21">
        <v>13.957103999999999</v>
      </c>
      <c r="H57" s="16">
        <f t="shared" si="4"/>
        <v>14.103681999999999</v>
      </c>
      <c r="I57" s="1">
        <f t="shared" si="3"/>
        <v>1.7440000000000001E-4</v>
      </c>
    </row>
    <row r="58" spans="1:9" x14ac:dyDescent="0.2">
      <c r="A58">
        <v>53</v>
      </c>
      <c r="B58" t="s">
        <v>71</v>
      </c>
      <c r="C58" t="s">
        <v>72</v>
      </c>
      <c r="D58" s="21">
        <v>70.453152000000003</v>
      </c>
      <c r="E58" s="21">
        <v>70.135360000000006</v>
      </c>
      <c r="F58" s="21">
        <v>77.306516000000002</v>
      </c>
      <c r="G58" s="21">
        <v>74.971028000000004</v>
      </c>
      <c r="H58" s="16">
        <f t="shared" si="4"/>
        <v>73.216514000000004</v>
      </c>
      <c r="I58" s="1">
        <f t="shared" si="3"/>
        <v>9.0549999999999995E-4</v>
      </c>
    </row>
    <row r="59" spans="1:9" x14ac:dyDescent="0.2">
      <c r="A59">
        <v>54</v>
      </c>
      <c r="B59" t="s">
        <v>209</v>
      </c>
      <c r="C59" t="s">
        <v>73</v>
      </c>
      <c r="D59" s="21">
        <v>6.1990639999999999</v>
      </c>
      <c r="E59" s="21">
        <v>7.1627400000000003</v>
      </c>
      <c r="F59" s="21">
        <v>5.3865280000000002</v>
      </c>
      <c r="G59" s="21">
        <v>6.3706480000000001</v>
      </c>
      <c r="H59" s="16">
        <f t="shared" si="4"/>
        <v>6.2797449999999992</v>
      </c>
      <c r="I59" s="1">
        <f t="shared" si="3"/>
        <v>7.7700000000000005E-5</v>
      </c>
    </row>
    <row r="60" spans="1:9" x14ac:dyDescent="0.2">
      <c r="A60">
        <v>55</v>
      </c>
      <c r="B60" t="s">
        <v>74</v>
      </c>
      <c r="C60" t="s">
        <v>75</v>
      </c>
      <c r="D60" s="21">
        <v>7.5530600000000003</v>
      </c>
      <c r="E60" s="21">
        <v>7.9630479999999997</v>
      </c>
      <c r="F60" s="21">
        <v>8.2654119999999995</v>
      </c>
      <c r="G60" s="21">
        <v>8.49634</v>
      </c>
      <c r="H60" s="16">
        <f t="shared" si="4"/>
        <v>8.069465000000001</v>
      </c>
      <c r="I60" s="1">
        <f t="shared" si="3"/>
        <v>9.98E-5</v>
      </c>
    </row>
    <row r="61" spans="1:9" x14ac:dyDescent="0.2">
      <c r="A61">
        <v>56</v>
      </c>
      <c r="B61" t="s">
        <v>76</v>
      </c>
      <c r="C61" t="s">
        <v>77</v>
      </c>
      <c r="D61" s="21">
        <v>7.5961439999999998</v>
      </c>
      <c r="E61" s="21">
        <v>7.8216200000000002</v>
      </c>
      <c r="F61" s="21">
        <v>9.1449599999999993</v>
      </c>
      <c r="G61" s="21">
        <v>8.5532000000000004</v>
      </c>
      <c r="H61" s="16">
        <f t="shared" si="4"/>
        <v>8.2789809999999999</v>
      </c>
      <c r="I61" s="1">
        <f t="shared" si="3"/>
        <v>1.024E-4</v>
      </c>
    </row>
    <row r="62" spans="1:9" x14ac:dyDescent="0.2">
      <c r="A62">
        <v>57</v>
      </c>
      <c r="B62" t="s">
        <v>78</v>
      </c>
      <c r="C62" t="s">
        <v>79</v>
      </c>
      <c r="D62" s="21">
        <v>4.5302800000000003</v>
      </c>
      <c r="E62" s="21">
        <v>4.3150360000000001</v>
      </c>
      <c r="F62" s="21">
        <v>3.5927560000000001</v>
      </c>
      <c r="G62" s="21">
        <v>4.2965840000000002</v>
      </c>
      <c r="H62" s="16">
        <f t="shared" si="4"/>
        <v>4.1836640000000003</v>
      </c>
      <c r="I62" s="1">
        <f t="shared" si="3"/>
        <v>5.1700000000000003E-5</v>
      </c>
    </row>
    <row r="63" spans="1:9" x14ac:dyDescent="0.2">
      <c r="A63">
        <v>58</v>
      </c>
      <c r="B63" t="s">
        <v>80</v>
      </c>
      <c r="C63" t="s">
        <v>81</v>
      </c>
      <c r="D63" s="21">
        <v>6.6979439999999997</v>
      </c>
      <c r="E63" s="21">
        <v>7.3076040000000004</v>
      </c>
      <c r="F63" s="21">
        <v>7.8115959999999998</v>
      </c>
      <c r="G63" s="21">
        <v>7.0910080000000004</v>
      </c>
      <c r="H63" s="16">
        <f t="shared" si="4"/>
        <v>7.2270380000000003</v>
      </c>
      <c r="I63" s="1">
        <f t="shared" si="3"/>
        <v>8.9400000000000005E-5</v>
      </c>
    </row>
    <row r="64" spans="1:9" x14ac:dyDescent="0.2">
      <c r="A64">
        <v>59</v>
      </c>
      <c r="B64" t="s">
        <v>210</v>
      </c>
      <c r="C64" t="s">
        <v>82</v>
      </c>
      <c r="D64" s="21">
        <v>8.4651639999999997</v>
      </c>
      <c r="E64" s="21">
        <v>10.184564</v>
      </c>
      <c r="F64" s="21">
        <v>9.9040800000000004</v>
      </c>
      <c r="G64" s="21">
        <v>8.2282600000000006</v>
      </c>
      <c r="H64" s="16">
        <f t="shared" si="4"/>
        <v>9.1955170000000006</v>
      </c>
      <c r="I64" s="1">
        <f t="shared" si="3"/>
        <v>1.137E-4</v>
      </c>
    </row>
    <row r="65" spans="1:9" x14ac:dyDescent="0.2">
      <c r="A65">
        <v>60</v>
      </c>
      <c r="B65" t="s">
        <v>83</v>
      </c>
      <c r="C65" t="s">
        <v>84</v>
      </c>
      <c r="D65" s="21">
        <v>18.409079999999999</v>
      </c>
      <c r="E65" s="21">
        <v>18.836224000000001</v>
      </c>
      <c r="F65" s="21">
        <v>20.350847999999999</v>
      </c>
      <c r="G65" s="21">
        <v>18.710152000000001</v>
      </c>
      <c r="H65" s="16">
        <f t="shared" si="4"/>
        <v>19.076576000000003</v>
      </c>
      <c r="I65" s="1">
        <f t="shared" si="3"/>
        <v>2.3589999999999999E-4</v>
      </c>
    </row>
    <row r="66" spans="1:9" x14ac:dyDescent="0.2">
      <c r="A66">
        <v>61</v>
      </c>
      <c r="B66" t="s">
        <v>85</v>
      </c>
      <c r="C66" t="s">
        <v>86</v>
      </c>
      <c r="D66" s="21">
        <v>39.514684000000003</v>
      </c>
      <c r="E66" s="21">
        <v>41.419296000000003</v>
      </c>
      <c r="F66" s="21">
        <v>38.107211999999997</v>
      </c>
      <c r="G66" s="21">
        <v>41.675744000000002</v>
      </c>
      <c r="H66" s="16">
        <f t="shared" si="4"/>
        <v>40.179234000000001</v>
      </c>
      <c r="I66" s="1">
        <f t="shared" si="3"/>
        <v>4.9689999999999999E-4</v>
      </c>
    </row>
    <row r="67" spans="1:9" x14ac:dyDescent="0.2">
      <c r="A67">
        <v>62</v>
      </c>
      <c r="B67" t="s">
        <v>211</v>
      </c>
      <c r="C67" t="s">
        <v>87</v>
      </c>
      <c r="D67" s="21">
        <v>59.282831999999999</v>
      </c>
      <c r="E67" s="21">
        <v>62.994675999999998</v>
      </c>
      <c r="F67" s="21">
        <v>52.357239999999997</v>
      </c>
      <c r="G67" s="21">
        <v>57.869368000000001</v>
      </c>
      <c r="H67" s="16">
        <f t="shared" si="4"/>
        <v>58.126029000000003</v>
      </c>
      <c r="I67" s="1">
        <f t="shared" si="3"/>
        <v>7.1880000000000002E-4</v>
      </c>
    </row>
    <row r="68" spans="1:9" x14ac:dyDescent="0.2">
      <c r="A68">
        <v>63</v>
      </c>
      <c r="B68" t="s">
        <v>88</v>
      </c>
      <c r="C68" t="s">
        <v>89</v>
      </c>
      <c r="D68" s="21">
        <v>79.193107999999995</v>
      </c>
      <c r="E68" s="21">
        <v>83.486444000000006</v>
      </c>
      <c r="F68" s="21">
        <v>75.990408000000002</v>
      </c>
      <c r="G68" s="21">
        <v>84.830532000000005</v>
      </c>
      <c r="H68" s="16">
        <f t="shared" ref="H68:H104" si="5">AVERAGE(D68:G68)</f>
        <v>80.875123000000002</v>
      </c>
      <c r="I68" s="1">
        <f t="shared" ref="I68:I99" si="6">ROUND(H68/H$155,7)</f>
        <v>1.0001999999999999E-3</v>
      </c>
    </row>
    <row r="69" spans="1:9" x14ac:dyDescent="0.2">
      <c r="A69">
        <v>64</v>
      </c>
      <c r="B69" t="s">
        <v>212</v>
      </c>
      <c r="C69" t="s">
        <v>90</v>
      </c>
      <c r="D69" s="21">
        <v>75.198955999999995</v>
      </c>
      <c r="E69" s="21">
        <v>86.547616000000005</v>
      </c>
      <c r="F69" s="21">
        <v>83.026088000000001</v>
      </c>
      <c r="G69" s="21">
        <v>75.290695999999997</v>
      </c>
      <c r="H69" s="16">
        <f t="shared" si="5"/>
        <v>80.015839</v>
      </c>
      <c r="I69" s="1">
        <f t="shared" si="6"/>
        <v>9.8959999999999998E-4</v>
      </c>
    </row>
    <row r="70" spans="1:9" x14ac:dyDescent="0.2">
      <c r="A70">
        <v>122</v>
      </c>
      <c r="B70" t="s">
        <v>199</v>
      </c>
      <c r="C70" t="s">
        <v>164</v>
      </c>
      <c r="D70" s="21">
        <v>4845.6718920000003</v>
      </c>
      <c r="E70" s="21">
        <v>4884.9996279999996</v>
      </c>
      <c r="F70" s="21">
        <v>5361.8467280000004</v>
      </c>
      <c r="G70" s="21">
        <v>5150.9646359999997</v>
      </c>
      <c r="H70" s="16">
        <f t="shared" si="5"/>
        <v>5060.8707210000002</v>
      </c>
      <c r="I70" s="1">
        <f t="shared" si="6"/>
        <v>6.2588199999999997E-2</v>
      </c>
    </row>
    <row r="71" spans="1:9" x14ac:dyDescent="0.2">
      <c r="A71">
        <v>198</v>
      </c>
      <c r="B71" t="s">
        <v>240</v>
      </c>
      <c r="C71" t="s">
        <v>241</v>
      </c>
      <c r="D71" s="17">
        <v>0</v>
      </c>
      <c r="E71" s="17">
        <v>0.47277599999999997</v>
      </c>
      <c r="F71" s="17">
        <v>0</v>
      </c>
      <c r="G71" s="17">
        <v>0</v>
      </c>
      <c r="H71" s="16">
        <f t="shared" si="5"/>
        <v>0.11819399999999999</v>
      </c>
      <c r="I71" s="1">
        <f t="shared" si="6"/>
        <v>1.5E-6</v>
      </c>
    </row>
    <row r="72" spans="1:9" x14ac:dyDescent="0.2">
      <c r="A72">
        <v>66</v>
      </c>
      <c r="B72" t="s">
        <v>213</v>
      </c>
      <c r="C72" t="s">
        <v>91</v>
      </c>
      <c r="D72" s="21">
        <v>15.001972</v>
      </c>
      <c r="E72" s="21">
        <v>15.950799999999999</v>
      </c>
      <c r="F72" s="21">
        <v>10.255852000000001</v>
      </c>
      <c r="G72" s="21">
        <v>14.054004000000001</v>
      </c>
      <c r="H72" s="16">
        <f t="shared" si="5"/>
        <v>13.815657</v>
      </c>
      <c r="I72" s="1">
        <f t="shared" si="6"/>
        <v>1.7090000000000001E-4</v>
      </c>
    </row>
    <row r="73" spans="1:9" x14ac:dyDescent="0.2">
      <c r="A73">
        <v>67</v>
      </c>
      <c r="B73" t="s">
        <v>214</v>
      </c>
      <c r="C73" t="s">
        <v>92</v>
      </c>
      <c r="D73" s="21">
        <v>1565.422372</v>
      </c>
      <c r="E73" s="21">
        <v>1819.2673600000001</v>
      </c>
      <c r="F73" s="21">
        <v>1827.184</v>
      </c>
      <c r="G73" s="21">
        <v>1598.3853959999999</v>
      </c>
      <c r="H73" s="16">
        <f t="shared" si="5"/>
        <v>1702.5647819999999</v>
      </c>
      <c r="I73" s="1">
        <f t="shared" si="6"/>
        <v>2.10558E-2</v>
      </c>
    </row>
    <row r="74" spans="1:9" x14ac:dyDescent="0.2">
      <c r="A74">
        <v>123</v>
      </c>
      <c r="B74" t="s">
        <v>165</v>
      </c>
      <c r="C74" t="s">
        <v>200</v>
      </c>
      <c r="D74" s="21">
        <v>344.05070000000001</v>
      </c>
      <c r="E74" s="21">
        <v>379.32139599999999</v>
      </c>
      <c r="F74" s="21">
        <v>387.12913200000003</v>
      </c>
      <c r="G74" s="21">
        <v>355.46373199999999</v>
      </c>
      <c r="H74" s="16">
        <f t="shared" si="5"/>
        <v>366.49124</v>
      </c>
      <c r="I74" s="1">
        <f t="shared" si="6"/>
        <v>4.5323999999999998E-3</v>
      </c>
    </row>
    <row r="75" spans="1:9" x14ac:dyDescent="0.2">
      <c r="A75">
        <v>216</v>
      </c>
      <c r="B75" t="s">
        <v>279</v>
      </c>
      <c r="C75" t="s">
        <v>280</v>
      </c>
      <c r="D75" s="21">
        <v>0.180252</v>
      </c>
      <c r="E75" s="21">
        <v>0.182032</v>
      </c>
      <c r="F75" s="21">
        <v>0.17802000000000001</v>
      </c>
      <c r="G75" s="21">
        <v>0.204568</v>
      </c>
      <c r="H75" s="16">
        <f t="shared" si="5"/>
        <v>0.18621799999999999</v>
      </c>
      <c r="I75" s="1">
        <f t="shared" si="6"/>
        <v>2.3E-6</v>
      </c>
    </row>
    <row r="76" spans="1:9" x14ac:dyDescent="0.2">
      <c r="A76">
        <v>193</v>
      </c>
      <c r="B76" t="s">
        <v>260</v>
      </c>
      <c r="C76" t="s">
        <v>236</v>
      </c>
      <c r="D76" s="17">
        <v>3.2741039999999999</v>
      </c>
      <c r="E76" s="17">
        <v>0</v>
      </c>
      <c r="F76" s="17">
        <v>0</v>
      </c>
      <c r="G76" s="17">
        <v>0</v>
      </c>
      <c r="H76" s="16">
        <f t="shared" si="5"/>
        <v>0.81852599999999998</v>
      </c>
      <c r="I76" s="1">
        <f t="shared" si="6"/>
        <v>1.01E-5</v>
      </c>
    </row>
    <row r="77" spans="1:9" x14ac:dyDescent="0.2">
      <c r="A77">
        <v>69</v>
      </c>
      <c r="B77" t="s">
        <v>93</v>
      </c>
      <c r="C77" t="s">
        <v>94</v>
      </c>
      <c r="D77" s="21">
        <v>41.288235999999998</v>
      </c>
      <c r="E77" s="21">
        <v>49.815032000000002</v>
      </c>
      <c r="F77" s="21">
        <v>49.651291999999998</v>
      </c>
      <c r="G77" s="21">
        <v>40.939079999999997</v>
      </c>
      <c r="H77" s="16">
        <f t="shared" si="5"/>
        <v>45.423409999999997</v>
      </c>
      <c r="I77" s="1">
        <f t="shared" si="6"/>
        <v>5.6179999999999999E-4</v>
      </c>
    </row>
    <row r="78" spans="1:9" x14ac:dyDescent="0.2">
      <c r="A78">
        <v>215</v>
      </c>
      <c r="B78" t="s">
        <v>273</v>
      </c>
      <c r="C78" t="s">
        <v>274</v>
      </c>
      <c r="D78" s="21">
        <v>2.5868359999999999</v>
      </c>
      <c r="E78" s="21">
        <v>5.0072239999999999</v>
      </c>
      <c r="F78" s="21">
        <v>3.0928840000000002</v>
      </c>
      <c r="G78" s="21">
        <v>3.1241919999999999</v>
      </c>
      <c r="H78" s="16">
        <f t="shared" si="5"/>
        <v>3.4527840000000003</v>
      </c>
      <c r="I78" s="1">
        <f t="shared" si="6"/>
        <v>4.2700000000000001E-5</v>
      </c>
    </row>
    <row r="79" spans="1:9" x14ac:dyDescent="0.2">
      <c r="A79">
        <v>205</v>
      </c>
      <c r="B79" t="s">
        <v>256</v>
      </c>
      <c r="C79" t="s">
        <v>257</v>
      </c>
      <c r="D79" s="21">
        <v>1.6505160000000001</v>
      </c>
      <c r="E79" s="21">
        <v>5.2999999999999999E-2</v>
      </c>
      <c r="F79" s="21">
        <v>2.612752</v>
      </c>
      <c r="G79" s="21">
        <v>5.7147999999999997E-2</v>
      </c>
      <c r="H79" s="16">
        <f t="shared" si="5"/>
        <v>1.0933539999999999</v>
      </c>
      <c r="I79" s="1">
        <f t="shared" si="6"/>
        <v>1.3499999999999999E-5</v>
      </c>
    </row>
    <row r="80" spans="1:9" x14ac:dyDescent="0.2">
      <c r="A80">
        <v>70</v>
      </c>
      <c r="B80" t="s">
        <v>95</v>
      </c>
      <c r="C80" t="s">
        <v>96</v>
      </c>
      <c r="D80" s="21">
        <v>359.58631200000002</v>
      </c>
      <c r="E80" s="21">
        <v>431.668656</v>
      </c>
      <c r="F80" s="21">
        <v>434.10838000000001</v>
      </c>
      <c r="G80" s="21">
        <v>378.01408400000003</v>
      </c>
      <c r="H80" s="16">
        <f t="shared" si="5"/>
        <v>400.84435799999994</v>
      </c>
      <c r="I80" s="1">
        <f t="shared" si="6"/>
        <v>4.9573000000000004E-3</v>
      </c>
    </row>
    <row r="81" spans="1:9" x14ac:dyDescent="0.2">
      <c r="A81">
        <v>202</v>
      </c>
      <c r="B81" t="s">
        <v>248</v>
      </c>
      <c r="C81" t="s">
        <v>249</v>
      </c>
      <c r="D81" s="21">
        <v>8.7454999999999998</v>
      </c>
      <c r="E81" s="21">
        <v>0.20250000000000001</v>
      </c>
      <c r="F81" s="21">
        <v>2.027676</v>
      </c>
      <c r="G81" s="21">
        <v>0.20524000000000001</v>
      </c>
      <c r="H81" s="16">
        <f t="shared" si="5"/>
        <v>2.795229</v>
      </c>
      <c r="I81" s="1">
        <f t="shared" si="6"/>
        <v>3.4600000000000001E-5</v>
      </c>
    </row>
    <row r="82" spans="1:9" x14ac:dyDescent="0.2">
      <c r="A82">
        <v>213</v>
      </c>
      <c r="B82" t="s">
        <v>275</v>
      </c>
      <c r="C82" t="s">
        <v>276</v>
      </c>
      <c r="D82" s="21">
        <v>0.235372</v>
      </c>
      <c r="E82" s="21">
        <v>0.44991599999999998</v>
      </c>
      <c r="F82" s="21">
        <v>1.557868</v>
      </c>
      <c r="G82" s="21">
        <v>1.73506</v>
      </c>
      <c r="H82" s="16">
        <f t="shared" si="5"/>
        <v>0.99455399999999994</v>
      </c>
      <c r="I82" s="1">
        <f t="shared" si="6"/>
        <v>1.2300000000000001E-5</v>
      </c>
    </row>
    <row r="83" spans="1:9" x14ac:dyDescent="0.2">
      <c r="A83">
        <v>207</v>
      </c>
      <c r="B83" t="s">
        <v>258</v>
      </c>
      <c r="C83" t="s">
        <v>259</v>
      </c>
      <c r="D83" s="21">
        <v>1.7529079999999999</v>
      </c>
      <c r="E83" s="21">
        <v>1.7612239999999999</v>
      </c>
      <c r="F83" s="21">
        <v>1.782724</v>
      </c>
      <c r="G83" s="21">
        <v>1.4123159999999999</v>
      </c>
      <c r="H83" s="16">
        <f t="shared" si="5"/>
        <v>1.6772929999999999</v>
      </c>
      <c r="I83" s="1">
        <f t="shared" si="6"/>
        <v>2.0699999999999998E-5</v>
      </c>
    </row>
    <row r="84" spans="1:9" x14ac:dyDescent="0.2">
      <c r="A84">
        <v>219</v>
      </c>
      <c r="B84" t="s">
        <v>283</v>
      </c>
      <c r="C84" t="s">
        <v>284</v>
      </c>
      <c r="D84" s="24">
        <v>9.8271999999999998E-2</v>
      </c>
      <c r="E84" s="24">
        <v>9.0443999999999997E-2</v>
      </c>
      <c r="F84" s="17">
        <v>0</v>
      </c>
      <c r="G84" s="21">
        <v>4.3619999999999999E-2</v>
      </c>
      <c r="H84" s="16">
        <f t="shared" si="5"/>
        <v>5.8083999999999997E-2</v>
      </c>
      <c r="I84" s="1">
        <f t="shared" si="6"/>
        <v>6.9999999999999997E-7</v>
      </c>
    </row>
    <row r="85" spans="1:9" x14ac:dyDescent="0.2">
      <c r="A85">
        <v>71</v>
      </c>
      <c r="B85" t="s">
        <v>97</v>
      </c>
      <c r="C85" t="s">
        <v>98</v>
      </c>
      <c r="D85" s="21">
        <v>70.248615999999998</v>
      </c>
      <c r="E85" s="21">
        <v>72.157179999999997</v>
      </c>
      <c r="F85" s="21">
        <v>78.605332000000004</v>
      </c>
      <c r="G85" s="21">
        <v>73.949672000000007</v>
      </c>
      <c r="H85" s="16">
        <f t="shared" si="5"/>
        <v>73.740200000000002</v>
      </c>
      <c r="I85" s="1">
        <f t="shared" si="6"/>
        <v>9.1200000000000005E-4</v>
      </c>
    </row>
    <row r="86" spans="1:9" x14ac:dyDescent="0.2">
      <c r="A86">
        <v>72</v>
      </c>
      <c r="B86" t="s">
        <v>99</v>
      </c>
      <c r="C86" t="s">
        <v>100</v>
      </c>
      <c r="D86" s="21">
        <v>20.456332</v>
      </c>
      <c r="E86" s="21">
        <v>26.444959999999998</v>
      </c>
      <c r="F86" s="21">
        <v>20.370920000000002</v>
      </c>
      <c r="G86" s="21">
        <v>23.72878</v>
      </c>
      <c r="H86" s="16">
        <f t="shared" si="5"/>
        <v>22.750247999999999</v>
      </c>
      <c r="I86" s="1">
        <f t="shared" si="6"/>
        <v>2.8140000000000001E-4</v>
      </c>
    </row>
    <row r="87" spans="1:9" x14ac:dyDescent="0.2">
      <c r="A87">
        <v>125</v>
      </c>
      <c r="B87" t="s">
        <v>166</v>
      </c>
      <c r="C87" t="s">
        <v>167</v>
      </c>
      <c r="D87" s="21">
        <v>113.410516</v>
      </c>
      <c r="E87" s="21">
        <v>125.780708</v>
      </c>
      <c r="F87" s="21">
        <v>123.33304</v>
      </c>
      <c r="G87" s="21">
        <v>114.645948</v>
      </c>
      <c r="H87" s="16">
        <f t="shared" si="5"/>
        <v>119.292553</v>
      </c>
      <c r="I87" s="1">
        <f t="shared" si="6"/>
        <v>1.4752999999999999E-3</v>
      </c>
    </row>
    <row r="88" spans="1:9" x14ac:dyDescent="0.2">
      <c r="A88">
        <v>73</v>
      </c>
      <c r="B88" t="s">
        <v>101</v>
      </c>
      <c r="C88" t="s">
        <v>102</v>
      </c>
      <c r="D88" s="21">
        <v>19.567620000000002</v>
      </c>
      <c r="E88" s="21">
        <v>21.24344</v>
      </c>
      <c r="F88" s="21">
        <v>21.118500000000001</v>
      </c>
      <c r="G88" s="21">
        <v>21.516387999999999</v>
      </c>
      <c r="H88" s="16">
        <f t="shared" si="5"/>
        <v>20.861486999999997</v>
      </c>
      <c r="I88" s="1">
        <f t="shared" si="6"/>
        <v>2.5799999999999998E-4</v>
      </c>
    </row>
    <row r="89" spans="1:9" x14ac:dyDescent="0.2">
      <c r="A89">
        <v>177</v>
      </c>
      <c r="B89" t="s">
        <v>267</v>
      </c>
      <c r="C89" t="s">
        <v>202</v>
      </c>
      <c r="D89" s="21">
        <v>0.122864</v>
      </c>
      <c r="E89" s="21">
        <v>0.122304</v>
      </c>
      <c r="F89" s="21">
        <v>0.122664</v>
      </c>
      <c r="G89" s="21">
        <v>0.163276</v>
      </c>
      <c r="H89" s="16">
        <f t="shared" si="5"/>
        <v>0.13277700000000001</v>
      </c>
      <c r="I89" s="1">
        <f t="shared" si="6"/>
        <v>1.5999999999999999E-6</v>
      </c>
    </row>
    <row r="90" spans="1:9" x14ac:dyDescent="0.2">
      <c r="A90">
        <v>212</v>
      </c>
      <c r="B90" t="s">
        <v>268</v>
      </c>
      <c r="C90" t="s">
        <v>269</v>
      </c>
      <c r="D90" s="21">
        <v>3.757584</v>
      </c>
      <c r="E90" s="21">
        <v>3.8320280000000002</v>
      </c>
      <c r="F90" s="21">
        <v>3.2624879999999998</v>
      </c>
      <c r="G90" s="21">
        <v>3.6671480000000001</v>
      </c>
      <c r="H90" s="16">
        <f t="shared" si="5"/>
        <v>3.6298120000000003</v>
      </c>
      <c r="I90" s="1">
        <f t="shared" si="6"/>
        <v>4.49E-5</v>
      </c>
    </row>
    <row r="91" spans="1:9" x14ac:dyDescent="0.2">
      <c r="A91">
        <v>74</v>
      </c>
      <c r="B91" t="s">
        <v>270</v>
      </c>
      <c r="C91" t="s">
        <v>103</v>
      </c>
      <c r="D91" s="21">
        <v>381.18349999999998</v>
      </c>
      <c r="E91" s="21">
        <v>464.08085999999997</v>
      </c>
      <c r="F91" s="21">
        <v>463.62886400000002</v>
      </c>
      <c r="G91" s="21">
        <v>395.02926400000001</v>
      </c>
      <c r="H91" s="16">
        <f t="shared" si="5"/>
        <v>425.98062199999998</v>
      </c>
      <c r="I91" s="1">
        <f t="shared" si="6"/>
        <v>5.2681000000000004E-3</v>
      </c>
    </row>
    <row r="92" spans="1:9" x14ac:dyDescent="0.2">
      <c r="A92">
        <v>196</v>
      </c>
      <c r="B92" t="s">
        <v>237</v>
      </c>
      <c r="C92" t="s">
        <v>238</v>
      </c>
      <c r="D92" s="17">
        <v>0</v>
      </c>
      <c r="E92" s="17">
        <v>0</v>
      </c>
      <c r="F92" s="17">
        <v>0</v>
      </c>
      <c r="G92" s="17">
        <v>0</v>
      </c>
      <c r="H92" s="16">
        <f t="shared" si="5"/>
        <v>0</v>
      </c>
      <c r="I92" s="1">
        <f t="shared" si="6"/>
        <v>0</v>
      </c>
    </row>
    <row r="93" spans="1:9" x14ac:dyDescent="0.2">
      <c r="A93">
        <v>75</v>
      </c>
      <c r="B93" s="19" t="s">
        <v>104</v>
      </c>
      <c r="C93" t="s">
        <v>105</v>
      </c>
      <c r="D93" s="21">
        <v>444.23777200000001</v>
      </c>
      <c r="E93" s="21">
        <v>458.96664399999997</v>
      </c>
      <c r="F93" s="21">
        <v>502.92471999999998</v>
      </c>
      <c r="G93" s="21">
        <v>491.43971599999998</v>
      </c>
      <c r="H93" s="16">
        <f t="shared" si="5"/>
        <v>474.39221299999997</v>
      </c>
      <c r="I93" s="1">
        <f t="shared" si="6"/>
        <v>5.8669000000000004E-3</v>
      </c>
    </row>
    <row r="94" spans="1:9" x14ac:dyDescent="0.2">
      <c r="A94">
        <v>220</v>
      </c>
      <c r="B94" s="19" t="s">
        <v>293</v>
      </c>
      <c r="C94" s="23" t="s">
        <v>299</v>
      </c>
      <c r="D94" s="21">
        <v>10.957204000000001</v>
      </c>
      <c r="E94" s="21">
        <v>12.495312</v>
      </c>
      <c r="F94" s="21">
        <v>13.501168</v>
      </c>
      <c r="G94" s="21">
        <v>13.714067999999999</v>
      </c>
      <c r="H94" s="16">
        <f t="shared" ref="H94:H96" si="7">AVERAGE(D94:G94)</f>
        <v>12.666938</v>
      </c>
      <c r="I94" s="1">
        <f t="shared" si="6"/>
        <v>1.5669999999999999E-4</v>
      </c>
    </row>
    <row r="95" spans="1:9" x14ac:dyDescent="0.2">
      <c r="A95">
        <v>221</v>
      </c>
      <c r="B95" s="19" t="s">
        <v>294</v>
      </c>
      <c r="C95" s="23" t="s">
        <v>300</v>
      </c>
      <c r="D95" s="21">
        <v>0.12063599999999999</v>
      </c>
      <c r="E95" s="21">
        <v>0.13745599999999999</v>
      </c>
      <c r="F95" s="21">
        <v>0.14352400000000001</v>
      </c>
      <c r="G95" s="21">
        <v>0.14013600000000001</v>
      </c>
      <c r="H95" s="16">
        <f t="shared" si="7"/>
        <v>0.135438</v>
      </c>
      <c r="I95" s="1">
        <f t="shared" si="6"/>
        <v>1.7E-6</v>
      </c>
    </row>
    <row r="96" spans="1:9" x14ac:dyDescent="0.2">
      <c r="A96">
        <v>225</v>
      </c>
      <c r="B96" s="19" t="s">
        <v>303</v>
      </c>
      <c r="C96" s="23" t="s">
        <v>304</v>
      </c>
      <c r="D96" s="17">
        <v>0</v>
      </c>
      <c r="E96" s="17">
        <v>0</v>
      </c>
      <c r="F96" s="17">
        <v>0</v>
      </c>
      <c r="G96" s="17">
        <v>0</v>
      </c>
      <c r="H96" s="16">
        <f t="shared" si="7"/>
        <v>0</v>
      </c>
      <c r="I96" s="1">
        <f t="shared" si="6"/>
        <v>0</v>
      </c>
    </row>
    <row r="97" spans="1:9" x14ac:dyDescent="0.2">
      <c r="A97">
        <v>76</v>
      </c>
      <c r="B97" t="s">
        <v>215</v>
      </c>
      <c r="C97" t="s">
        <v>106</v>
      </c>
      <c r="D97" s="21">
        <v>18.137727999999999</v>
      </c>
      <c r="E97" s="21">
        <v>21.016372</v>
      </c>
      <c r="F97" s="21">
        <v>20.487272000000001</v>
      </c>
      <c r="G97" s="21">
        <v>20.587340000000001</v>
      </c>
      <c r="H97" s="16">
        <f t="shared" si="5"/>
        <v>20.057178</v>
      </c>
      <c r="I97" s="1">
        <f t="shared" si="6"/>
        <v>2.4800000000000001E-4</v>
      </c>
    </row>
    <row r="98" spans="1:9" x14ac:dyDescent="0.2">
      <c r="A98">
        <v>142</v>
      </c>
      <c r="B98" t="s">
        <v>233</v>
      </c>
      <c r="C98" t="s">
        <v>181</v>
      </c>
      <c r="D98" s="21">
        <v>38.652976000000002</v>
      </c>
      <c r="E98" s="21">
        <v>41.679116</v>
      </c>
      <c r="F98" s="21">
        <v>43.455143999999997</v>
      </c>
      <c r="G98" s="21">
        <v>42.088624000000003</v>
      </c>
      <c r="H98" s="16">
        <f t="shared" si="5"/>
        <v>41.468965000000004</v>
      </c>
      <c r="I98" s="1">
        <f t="shared" si="6"/>
        <v>5.1290000000000005E-4</v>
      </c>
    </row>
    <row r="99" spans="1:9" x14ac:dyDescent="0.2">
      <c r="A99">
        <v>172</v>
      </c>
      <c r="B99" t="s">
        <v>195</v>
      </c>
      <c r="C99" t="s">
        <v>196</v>
      </c>
      <c r="D99" s="21">
        <v>118.566524</v>
      </c>
      <c r="E99" s="21">
        <v>130.29422</v>
      </c>
      <c r="F99" s="21">
        <v>133.46044000000001</v>
      </c>
      <c r="G99" s="21">
        <v>126.174932</v>
      </c>
      <c r="H99" s="16">
        <f t="shared" si="5"/>
        <v>127.12402900000001</v>
      </c>
      <c r="I99" s="1">
        <f t="shared" si="6"/>
        <v>1.5721999999999999E-3</v>
      </c>
    </row>
    <row r="100" spans="1:9" x14ac:dyDescent="0.2">
      <c r="A100">
        <v>77</v>
      </c>
      <c r="B100" t="s">
        <v>107</v>
      </c>
      <c r="C100" t="s">
        <v>108</v>
      </c>
      <c r="D100" s="21">
        <v>142.59922800000001</v>
      </c>
      <c r="E100" s="21">
        <v>164.638464</v>
      </c>
      <c r="F100" s="21">
        <v>167.48008400000001</v>
      </c>
      <c r="G100" s="21">
        <v>155.22710000000001</v>
      </c>
      <c r="H100" s="16">
        <f t="shared" si="5"/>
        <v>157.48621900000001</v>
      </c>
      <c r="I100" s="1">
        <f t="shared" ref="I100:I131" si="8">ROUND(H100/H$155,7)</f>
        <v>1.9476000000000001E-3</v>
      </c>
    </row>
    <row r="101" spans="1:9" x14ac:dyDescent="0.2">
      <c r="A101">
        <v>78</v>
      </c>
      <c r="B101" t="s">
        <v>216</v>
      </c>
      <c r="C101" t="s">
        <v>109</v>
      </c>
      <c r="D101" s="21">
        <v>68.050932000000003</v>
      </c>
      <c r="E101" s="21">
        <v>63.673063999999997</v>
      </c>
      <c r="F101" s="21">
        <v>73.0261</v>
      </c>
      <c r="G101" s="21">
        <v>63.177624000000002</v>
      </c>
      <c r="H101" s="16">
        <f t="shared" si="5"/>
        <v>66.981929999999991</v>
      </c>
      <c r="I101" s="1">
        <f t="shared" si="8"/>
        <v>8.2839999999999997E-4</v>
      </c>
    </row>
    <row r="102" spans="1:9" x14ac:dyDescent="0.2">
      <c r="A102">
        <v>226</v>
      </c>
      <c r="B102" s="19" t="s">
        <v>305</v>
      </c>
      <c r="C102" s="23" t="s">
        <v>306</v>
      </c>
      <c r="D102" s="17">
        <v>0</v>
      </c>
      <c r="E102" s="17">
        <v>0</v>
      </c>
      <c r="F102" s="17">
        <v>0</v>
      </c>
      <c r="G102" s="17">
        <v>0</v>
      </c>
      <c r="H102" s="16">
        <f t="shared" si="5"/>
        <v>0</v>
      </c>
      <c r="I102" s="1">
        <f t="shared" si="8"/>
        <v>0</v>
      </c>
    </row>
    <row r="103" spans="1:9" ht="15" x14ac:dyDescent="0.25">
      <c r="A103">
        <v>155</v>
      </c>
      <c r="B103" s="25" t="s">
        <v>295</v>
      </c>
      <c r="C103" s="26" t="s">
        <v>301</v>
      </c>
      <c r="D103" s="21">
        <v>0.222472</v>
      </c>
      <c r="E103" s="21">
        <v>0.20926800000000001</v>
      </c>
      <c r="F103" s="17">
        <v>0</v>
      </c>
      <c r="G103" s="17">
        <v>0</v>
      </c>
      <c r="H103" s="16">
        <f t="shared" ref="H103" si="9">AVERAGE(D103:G103)</f>
        <v>0.107935</v>
      </c>
      <c r="I103" s="1">
        <f t="shared" si="8"/>
        <v>1.3E-6</v>
      </c>
    </row>
    <row r="104" spans="1:9" x14ac:dyDescent="0.2">
      <c r="A104">
        <v>79</v>
      </c>
      <c r="B104" t="s">
        <v>217</v>
      </c>
      <c r="C104" t="s">
        <v>110</v>
      </c>
      <c r="D104" s="21">
        <v>18.402595999999999</v>
      </c>
      <c r="E104" s="21">
        <v>22.168935999999999</v>
      </c>
      <c r="F104" s="21">
        <v>19.57856</v>
      </c>
      <c r="G104" s="21">
        <v>20.152083999999999</v>
      </c>
      <c r="H104" s="16">
        <f t="shared" si="5"/>
        <v>20.075544000000001</v>
      </c>
      <c r="I104" s="1">
        <f t="shared" si="8"/>
        <v>2.4830000000000002E-4</v>
      </c>
    </row>
    <row r="105" spans="1:9" x14ac:dyDescent="0.2">
      <c r="A105">
        <v>126</v>
      </c>
      <c r="B105" t="s">
        <v>228</v>
      </c>
      <c r="C105" t="s">
        <v>168</v>
      </c>
      <c r="D105" s="21">
        <v>99.319723999999994</v>
      </c>
      <c r="E105" s="21">
        <v>98.294280000000001</v>
      </c>
      <c r="F105" s="21">
        <v>109.348924</v>
      </c>
      <c r="G105" s="21">
        <v>101.785732</v>
      </c>
      <c r="H105" s="16">
        <f t="shared" ref="H105:H136" si="10">AVERAGE(D105:G105)</f>
        <v>102.18716499999999</v>
      </c>
      <c r="I105" s="1">
        <f t="shared" si="8"/>
        <v>1.2638E-3</v>
      </c>
    </row>
    <row r="106" spans="1:9" x14ac:dyDescent="0.2">
      <c r="A106">
        <v>80</v>
      </c>
      <c r="B106" t="s">
        <v>218</v>
      </c>
      <c r="C106" t="s">
        <v>111</v>
      </c>
      <c r="D106" s="21">
        <v>1.715268</v>
      </c>
      <c r="E106" s="21">
        <v>1.8414159999999999</v>
      </c>
      <c r="F106" s="21">
        <v>1.5727599999999999</v>
      </c>
      <c r="G106" s="21">
        <v>1.4492560000000001</v>
      </c>
      <c r="H106" s="16">
        <f t="shared" si="10"/>
        <v>1.6446749999999999</v>
      </c>
      <c r="I106" s="1">
        <f t="shared" si="8"/>
        <v>2.0299999999999999E-5</v>
      </c>
    </row>
    <row r="107" spans="1:9" x14ac:dyDescent="0.2">
      <c r="A107">
        <v>127</v>
      </c>
      <c r="B107" t="s">
        <v>229</v>
      </c>
      <c r="C107" t="s">
        <v>169</v>
      </c>
      <c r="D107" s="21">
        <v>214.14052000000001</v>
      </c>
      <c r="E107" s="21">
        <v>217.79215199999999</v>
      </c>
      <c r="F107" s="21">
        <v>227.747972</v>
      </c>
      <c r="G107" s="21">
        <v>225.28994</v>
      </c>
      <c r="H107" s="16">
        <f t="shared" si="10"/>
        <v>221.24264600000001</v>
      </c>
      <c r="I107" s="1">
        <f t="shared" si="8"/>
        <v>2.7361E-3</v>
      </c>
    </row>
    <row r="108" spans="1:9" x14ac:dyDescent="0.2">
      <c r="A108">
        <v>81</v>
      </c>
      <c r="B108" t="s">
        <v>112</v>
      </c>
      <c r="C108" t="s">
        <v>113</v>
      </c>
      <c r="D108" s="21">
        <v>102.346012</v>
      </c>
      <c r="E108" s="21">
        <v>103.36958</v>
      </c>
      <c r="F108" s="21">
        <v>108.18226</v>
      </c>
      <c r="G108" s="21">
        <v>104.38522399999999</v>
      </c>
      <c r="H108" s="16">
        <f t="shared" si="10"/>
        <v>104.570769</v>
      </c>
      <c r="I108" s="1">
        <f t="shared" si="8"/>
        <v>1.2932E-3</v>
      </c>
    </row>
    <row r="109" spans="1:9" x14ac:dyDescent="0.2">
      <c r="A109">
        <v>82</v>
      </c>
      <c r="B109" t="s">
        <v>114</v>
      </c>
      <c r="C109" t="s">
        <v>115</v>
      </c>
      <c r="D109" s="21">
        <v>57.079284000000001</v>
      </c>
      <c r="E109" s="21">
        <v>62.008935999999999</v>
      </c>
      <c r="F109" s="21">
        <v>55.245623999999999</v>
      </c>
      <c r="G109" s="21">
        <v>51.456919999999997</v>
      </c>
      <c r="H109" s="16">
        <f t="shared" si="10"/>
        <v>56.447690999999999</v>
      </c>
      <c r="I109" s="1">
        <f t="shared" si="8"/>
        <v>6.981E-4</v>
      </c>
    </row>
    <row r="110" spans="1:9" x14ac:dyDescent="0.2">
      <c r="A110">
        <v>182</v>
      </c>
      <c r="B110" t="s">
        <v>203</v>
      </c>
      <c r="C110" t="s">
        <v>204</v>
      </c>
      <c r="D110" s="21">
        <v>4.0456960000000004</v>
      </c>
      <c r="E110" s="21">
        <v>3.2118679999999999</v>
      </c>
      <c r="F110" s="21">
        <v>2.0373160000000001</v>
      </c>
      <c r="G110" s="21">
        <v>2.0408719999999998</v>
      </c>
      <c r="H110" s="16">
        <f t="shared" si="10"/>
        <v>2.8339380000000003</v>
      </c>
      <c r="I110" s="1">
        <f t="shared" si="8"/>
        <v>3.4999999999999997E-5</v>
      </c>
    </row>
    <row r="111" spans="1:9" x14ac:dyDescent="0.2">
      <c r="A111">
        <v>83</v>
      </c>
      <c r="B111" t="s">
        <v>116</v>
      </c>
      <c r="C111" t="s">
        <v>117</v>
      </c>
      <c r="D111" s="21">
        <v>2.3402280000000002</v>
      </c>
      <c r="E111" s="21">
        <v>4.4339120000000003</v>
      </c>
      <c r="F111" s="21">
        <v>1.704288</v>
      </c>
      <c r="G111" s="21">
        <v>3.6348319999999998</v>
      </c>
      <c r="H111" s="16">
        <f t="shared" si="10"/>
        <v>3.0283150000000001</v>
      </c>
      <c r="I111" s="1">
        <f t="shared" si="8"/>
        <v>3.7499999999999997E-5</v>
      </c>
    </row>
    <row r="112" spans="1:9" x14ac:dyDescent="0.2">
      <c r="A112">
        <v>169</v>
      </c>
      <c r="B112" t="s">
        <v>285</v>
      </c>
      <c r="C112" t="s">
        <v>286</v>
      </c>
      <c r="D112" s="17">
        <v>0</v>
      </c>
      <c r="E112" s="17">
        <v>0</v>
      </c>
      <c r="F112" s="17">
        <v>0</v>
      </c>
      <c r="G112" s="17">
        <v>0</v>
      </c>
      <c r="H112" s="16">
        <f t="shared" si="10"/>
        <v>0</v>
      </c>
      <c r="I112" s="1">
        <f t="shared" si="8"/>
        <v>0</v>
      </c>
    </row>
    <row r="113" spans="1:9" x14ac:dyDescent="0.2">
      <c r="A113">
        <v>85</v>
      </c>
      <c r="B113" t="s">
        <v>118</v>
      </c>
      <c r="C113" t="s">
        <v>119</v>
      </c>
      <c r="D113" s="21">
        <v>51.988087999999998</v>
      </c>
      <c r="E113" s="21">
        <v>58.568939999999998</v>
      </c>
      <c r="F113" s="21">
        <v>60.006152</v>
      </c>
      <c r="G113" s="21">
        <v>50.919967999999997</v>
      </c>
      <c r="H113" s="16">
        <f t="shared" si="10"/>
        <v>55.370786999999993</v>
      </c>
      <c r="I113" s="1">
        <f t="shared" si="8"/>
        <v>6.8479999999999995E-4</v>
      </c>
    </row>
    <row r="114" spans="1:9" x14ac:dyDescent="0.2">
      <c r="A114">
        <v>86</v>
      </c>
      <c r="B114" t="s">
        <v>120</v>
      </c>
      <c r="C114" t="s">
        <v>121</v>
      </c>
      <c r="D114" s="21">
        <v>576.22989600000005</v>
      </c>
      <c r="E114" s="21">
        <v>652.01950799999997</v>
      </c>
      <c r="F114" s="21">
        <v>674.58591999999999</v>
      </c>
      <c r="G114" s="21">
        <v>683.52238399999999</v>
      </c>
      <c r="H114" s="16">
        <f t="shared" si="10"/>
        <v>646.589427</v>
      </c>
      <c r="I114" s="1">
        <f t="shared" si="8"/>
        <v>7.9964000000000007E-3</v>
      </c>
    </row>
    <row r="115" spans="1:9" x14ac:dyDescent="0.2">
      <c r="A115">
        <v>128</v>
      </c>
      <c r="B115" t="s">
        <v>170</v>
      </c>
      <c r="C115" t="s">
        <v>171</v>
      </c>
      <c r="D115" s="21">
        <v>222.40074000000001</v>
      </c>
      <c r="E115" s="21">
        <v>244.23361199999999</v>
      </c>
      <c r="F115" s="21">
        <v>254.56387599999999</v>
      </c>
      <c r="G115" s="21">
        <v>240.92331999999999</v>
      </c>
      <c r="H115" s="16">
        <f t="shared" si="10"/>
        <v>240.53038699999999</v>
      </c>
      <c r="I115" s="1">
        <f t="shared" si="8"/>
        <v>2.9746999999999998E-3</v>
      </c>
    </row>
    <row r="116" spans="1:9" x14ac:dyDescent="0.2">
      <c r="A116">
        <v>88</v>
      </c>
      <c r="B116" t="s">
        <v>122</v>
      </c>
      <c r="C116" t="s">
        <v>123</v>
      </c>
      <c r="D116" s="21">
        <v>65.646596000000002</v>
      </c>
      <c r="E116" s="21">
        <v>54.966524</v>
      </c>
      <c r="F116" s="21">
        <v>57.171672000000001</v>
      </c>
      <c r="G116" s="21">
        <v>54.554692000000003</v>
      </c>
      <c r="H116" s="16">
        <f t="shared" si="10"/>
        <v>58.084871000000007</v>
      </c>
      <c r="I116" s="1">
        <f t="shared" si="8"/>
        <v>7.1829999999999995E-4</v>
      </c>
    </row>
    <row r="117" spans="1:9" x14ac:dyDescent="0.2">
      <c r="A117">
        <v>89</v>
      </c>
      <c r="B117" t="s">
        <v>219</v>
      </c>
      <c r="C117" t="s">
        <v>124</v>
      </c>
      <c r="D117" s="21">
        <v>108.975644</v>
      </c>
      <c r="E117" s="21">
        <v>110.33439199999999</v>
      </c>
      <c r="F117" s="21">
        <v>120.533964</v>
      </c>
      <c r="G117" s="21">
        <v>118.56492</v>
      </c>
      <c r="H117" s="16">
        <f t="shared" si="10"/>
        <v>114.60222999999999</v>
      </c>
      <c r="I117" s="1">
        <f t="shared" si="8"/>
        <v>1.4173E-3</v>
      </c>
    </row>
    <row r="118" spans="1:9" x14ac:dyDescent="0.2">
      <c r="A118">
        <v>90</v>
      </c>
      <c r="B118" t="s">
        <v>220</v>
      </c>
      <c r="C118" t="s">
        <v>125</v>
      </c>
      <c r="D118" s="21">
        <v>74.661192</v>
      </c>
      <c r="E118" s="21">
        <v>80.211712000000006</v>
      </c>
      <c r="F118" s="21">
        <v>87.691136</v>
      </c>
      <c r="G118" s="21">
        <v>76.359296000000001</v>
      </c>
      <c r="H118" s="16">
        <f t="shared" si="10"/>
        <v>79.730834000000002</v>
      </c>
      <c r="I118" s="1">
        <f t="shared" si="8"/>
        <v>9.859999999999999E-4</v>
      </c>
    </row>
    <row r="119" spans="1:9" x14ac:dyDescent="0.2">
      <c r="A119">
        <v>91</v>
      </c>
      <c r="B119" t="s">
        <v>126</v>
      </c>
      <c r="C119" t="s">
        <v>127</v>
      </c>
      <c r="D119" s="21">
        <v>348.776432</v>
      </c>
      <c r="E119" s="21">
        <v>362.09930400000002</v>
      </c>
      <c r="F119" s="21">
        <v>370.480704</v>
      </c>
      <c r="G119" s="21">
        <v>368.68241999999998</v>
      </c>
      <c r="H119" s="16">
        <f t="shared" si="10"/>
        <v>362.50971500000003</v>
      </c>
      <c r="I119" s="1">
        <f t="shared" si="8"/>
        <v>4.4831999999999997E-3</v>
      </c>
    </row>
    <row r="120" spans="1:9" x14ac:dyDescent="0.2">
      <c r="A120">
        <v>158</v>
      </c>
      <c r="B120" t="s">
        <v>245</v>
      </c>
      <c r="C120" t="s">
        <v>188</v>
      </c>
      <c r="D120" s="21">
        <v>99.844796000000002</v>
      </c>
      <c r="E120" s="21">
        <v>136.878176</v>
      </c>
      <c r="F120" s="21">
        <v>138.26612399999999</v>
      </c>
      <c r="G120" s="21">
        <v>156.124696</v>
      </c>
      <c r="H120" s="16">
        <f t="shared" si="10"/>
        <v>132.778448</v>
      </c>
      <c r="I120" s="1">
        <f t="shared" si="8"/>
        <v>1.6421000000000001E-3</v>
      </c>
    </row>
    <row r="121" spans="1:9" x14ac:dyDescent="0.2">
      <c r="A121">
        <v>2</v>
      </c>
      <c r="B121" t="s">
        <v>197</v>
      </c>
      <c r="C121" t="s">
        <v>3</v>
      </c>
      <c r="D121" s="21">
        <v>27203.363239999999</v>
      </c>
      <c r="E121" s="21">
        <v>29484.433403999999</v>
      </c>
      <c r="F121" s="21">
        <v>29873.028608000001</v>
      </c>
      <c r="G121" s="21">
        <v>28148.041888</v>
      </c>
      <c r="H121" s="16">
        <f t="shared" si="10"/>
        <v>28677.216785000004</v>
      </c>
      <c r="I121" s="1">
        <f t="shared" si="8"/>
        <v>0.35465370000000002</v>
      </c>
    </row>
    <row r="122" spans="1:9" x14ac:dyDescent="0.2">
      <c r="A122">
        <v>145</v>
      </c>
      <c r="B122" t="s">
        <v>182</v>
      </c>
      <c r="C122" t="s">
        <v>183</v>
      </c>
      <c r="D122" s="21">
        <v>6.1072800000000003</v>
      </c>
      <c r="E122" s="21">
        <v>5.8220999999999998</v>
      </c>
      <c r="F122" s="21">
        <v>6.4979839999999998</v>
      </c>
      <c r="G122" s="21">
        <v>6.1133639999999998</v>
      </c>
      <c r="H122" s="16">
        <f t="shared" si="10"/>
        <v>6.1351820000000004</v>
      </c>
      <c r="I122" s="1">
        <f t="shared" si="8"/>
        <v>7.5900000000000002E-5</v>
      </c>
    </row>
    <row r="123" spans="1:9" x14ac:dyDescent="0.2">
      <c r="A123">
        <v>210</v>
      </c>
      <c r="B123" t="s">
        <v>263</v>
      </c>
      <c r="C123" t="s">
        <v>264</v>
      </c>
      <c r="D123" s="21">
        <v>4.314432</v>
      </c>
      <c r="E123" s="21">
        <v>8.1624000000000002E-2</v>
      </c>
      <c r="F123" s="21">
        <v>4.9301560000000002</v>
      </c>
      <c r="G123" s="21">
        <v>8.0495999999999998E-2</v>
      </c>
      <c r="H123" s="16">
        <f t="shared" si="10"/>
        <v>2.351677</v>
      </c>
      <c r="I123" s="1">
        <f t="shared" si="8"/>
        <v>2.9099999999999999E-5</v>
      </c>
    </row>
    <row r="124" spans="1:9" x14ac:dyDescent="0.2">
      <c r="A124">
        <v>92</v>
      </c>
      <c r="B124" t="s">
        <v>128</v>
      </c>
      <c r="C124" t="s">
        <v>129</v>
      </c>
      <c r="D124" s="21">
        <v>1748.1892359999999</v>
      </c>
      <c r="E124" s="21">
        <v>1853.3201280000001</v>
      </c>
      <c r="F124" s="21">
        <v>2012.46244</v>
      </c>
      <c r="G124" s="21">
        <v>1920.1235919999999</v>
      </c>
      <c r="H124" s="16">
        <f t="shared" si="10"/>
        <v>1883.5238489999999</v>
      </c>
      <c r="I124" s="1">
        <f t="shared" si="8"/>
        <v>2.3293700000000001E-2</v>
      </c>
    </row>
    <row r="125" spans="1:9" x14ac:dyDescent="0.2">
      <c r="A125">
        <v>148</v>
      </c>
      <c r="B125" t="s">
        <v>271</v>
      </c>
      <c r="C125" t="s">
        <v>272</v>
      </c>
      <c r="D125" s="21">
        <v>0.51129199999999997</v>
      </c>
      <c r="E125" s="21">
        <v>0.63126800000000005</v>
      </c>
      <c r="F125" s="21">
        <v>0.52762399999999998</v>
      </c>
      <c r="G125" s="21">
        <v>0.58460000000000001</v>
      </c>
      <c r="H125" s="16">
        <f t="shared" si="10"/>
        <v>0.56369599999999997</v>
      </c>
      <c r="I125" s="1">
        <f t="shared" si="8"/>
        <v>6.9999999999999999E-6</v>
      </c>
    </row>
    <row r="126" spans="1:9" x14ac:dyDescent="0.2">
      <c r="A126">
        <v>199</v>
      </c>
      <c r="B126" t="s">
        <v>247</v>
      </c>
      <c r="C126" t="s">
        <v>242</v>
      </c>
      <c r="D126" s="21">
        <v>64.855767999999998</v>
      </c>
      <c r="E126" s="21">
        <v>73.911987999999994</v>
      </c>
      <c r="F126" s="21">
        <v>69.183828000000005</v>
      </c>
      <c r="G126" s="21">
        <v>47.008800000000001</v>
      </c>
      <c r="H126" s="16">
        <f t="shared" si="10"/>
        <v>63.740096000000001</v>
      </c>
      <c r="I126" s="1">
        <f t="shared" si="8"/>
        <v>7.8830000000000002E-4</v>
      </c>
    </row>
    <row r="127" spans="1:9" x14ac:dyDescent="0.2">
      <c r="A127">
        <v>204</v>
      </c>
      <c r="B127" t="s">
        <v>254</v>
      </c>
      <c r="C127" t="s">
        <v>255</v>
      </c>
      <c r="D127" s="21">
        <v>0.30690800000000001</v>
      </c>
      <c r="E127" s="21">
        <v>0.242644</v>
      </c>
      <c r="F127" s="21">
        <v>0.32292399999999999</v>
      </c>
      <c r="G127" s="21">
        <v>0.26419599999999999</v>
      </c>
      <c r="H127" s="16">
        <f t="shared" si="10"/>
        <v>0.28416799999999998</v>
      </c>
      <c r="I127" s="1">
        <f t="shared" si="8"/>
        <v>3.4999999999999999E-6</v>
      </c>
    </row>
    <row r="128" spans="1:9" x14ac:dyDescent="0.2">
      <c r="A128">
        <v>203</v>
      </c>
      <c r="B128" t="s">
        <v>252</v>
      </c>
      <c r="C128" t="s">
        <v>253</v>
      </c>
      <c r="D128" s="17">
        <v>0</v>
      </c>
      <c r="E128" s="17">
        <v>0</v>
      </c>
      <c r="F128" s="17">
        <v>0</v>
      </c>
      <c r="G128" s="17">
        <v>0</v>
      </c>
      <c r="H128" s="16">
        <f t="shared" si="10"/>
        <v>0</v>
      </c>
      <c r="I128" s="1">
        <f t="shared" si="8"/>
        <v>0</v>
      </c>
    </row>
    <row r="129" spans="1:9" x14ac:dyDescent="0.2">
      <c r="A129">
        <v>94</v>
      </c>
      <c r="B129" t="s">
        <v>130</v>
      </c>
      <c r="C129" t="s">
        <v>131</v>
      </c>
      <c r="D129" s="21">
        <v>5.9034440000000004</v>
      </c>
      <c r="E129" s="21">
        <v>6.2624079999999998</v>
      </c>
      <c r="F129" s="21">
        <v>5.4718960000000001</v>
      </c>
      <c r="G129" s="21">
        <v>5.4842320000000004</v>
      </c>
      <c r="H129" s="16">
        <f t="shared" si="10"/>
        <v>5.7804950000000002</v>
      </c>
      <c r="I129" s="1">
        <f t="shared" si="8"/>
        <v>7.1500000000000003E-5</v>
      </c>
    </row>
    <row r="130" spans="1:9" x14ac:dyDescent="0.2">
      <c r="A130">
        <v>95</v>
      </c>
      <c r="B130" t="s">
        <v>132</v>
      </c>
      <c r="C130" t="s">
        <v>133</v>
      </c>
      <c r="D130" s="21">
        <v>160.10022000000001</v>
      </c>
      <c r="E130" s="21">
        <v>164.42308</v>
      </c>
      <c r="F130" s="21">
        <v>175.42500000000001</v>
      </c>
      <c r="G130" s="21">
        <v>164.08124000000001</v>
      </c>
      <c r="H130" s="16">
        <f t="shared" si="10"/>
        <v>166.007385</v>
      </c>
      <c r="I130" s="1">
        <f t="shared" si="8"/>
        <v>2.0530000000000001E-3</v>
      </c>
    </row>
    <row r="131" spans="1:9" x14ac:dyDescent="0.2">
      <c r="A131">
        <v>131</v>
      </c>
      <c r="B131" t="s">
        <v>172</v>
      </c>
      <c r="C131" t="s">
        <v>173</v>
      </c>
      <c r="D131" s="17">
        <v>0</v>
      </c>
      <c r="E131" s="17">
        <v>0</v>
      </c>
      <c r="F131" s="17">
        <v>0</v>
      </c>
      <c r="G131" s="17">
        <v>0</v>
      </c>
      <c r="H131" s="16">
        <f t="shared" si="10"/>
        <v>0</v>
      </c>
      <c r="I131" s="1">
        <f t="shared" si="8"/>
        <v>0</v>
      </c>
    </row>
    <row r="132" spans="1:9" x14ac:dyDescent="0.2">
      <c r="A132">
        <v>132</v>
      </c>
      <c r="B132" t="s">
        <v>174</v>
      </c>
      <c r="C132" t="s">
        <v>175</v>
      </c>
      <c r="D132" s="21">
        <v>41.592283999999999</v>
      </c>
      <c r="E132" s="21">
        <v>45.428851999999999</v>
      </c>
      <c r="F132" s="21">
        <v>49.511035999999997</v>
      </c>
      <c r="G132" s="21">
        <v>49.330883999999998</v>
      </c>
      <c r="H132" s="16">
        <f t="shared" si="10"/>
        <v>46.465764</v>
      </c>
      <c r="I132" s="1">
        <f t="shared" ref="I132:I153" si="11">ROUND(H132/H$155,7)</f>
        <v>5.7459999999999998E-4</v>
      </c>
    </row>
    <row r="133" spans="1:9" x14ac:dyDescent="0.2">
      <c r="A133">
        <v>96</v>
      </c>
      <c r="B133" t="s">
        <v>134</v>
      </c>
      <c r="C133" t="s">
        <v>135</v>
      </c>
      <c r="D133" s="21">
        <v>77.824656000000004</v>
      </c>
      <c r="E133" s="21">
        <v>56.021540000000002</v>
      </c>
      <c r="F133" s="21">
        <v>77.448099999999997</v>
      </c>
      <c r="G133" s="21">
        <v>79.207464000000002</v>
      </c>
      <c r="H133" s="16">
        <f t="shared" si="10"/>
        <v>72.625440000000012</v>
      </c>
      <c r="I133" s="1">
        <f t="shared" si="11"/>
        <v>8.9820000000000004E-4</v>
      </c>
    </row>
    <row r="134" spans="1:9" x14ac:dyDescent="0.2">
      <c r="A134">
        <v>134</v>
      </c>
      <c r="B134" t="s">
        <v>230</v>
      </c>
      <c r="C134" t="s">
        <v>176</v>
      </c>
      <c r="D134" s="17">
        <v>1.2526759999999999</v>
      </c>
      <c r="E134" s="17">
        <v>1.2172000000000001</v>
      </c>
      <c r="F134" s="21">
        <v>0.27911200000000003</v>
      </c>
      <c r="G134" s="21">
        <v>1.08538</v>
      </c>
      <c r="H134" s="16">
        <f t="shared" si="10"/>
        <v>0.95859200000000011</v>
      </c>
      <c r="I134" s="1">
        <f t="shared" si="11"/>
        <v>1.19E-5</v>
      </c>
    </row>
    <row r="135" spans="1:9" x14ac:dyDescent="0.2">
      <c r="A135">
        <v>200</v>
      </c>
      <c r="B135" t="s">
        <v>243</v>
      </c>
      <c r="C135" s="23" t="s">
        <v>244</v>
      </c>
      <c r="D135" s="17">
        <v>0</v>
      </c>
      <c r="E135" s="17">
        <v>0.44774399999999998</v>
      </c>
      <c r="F135" s="17">
        <v>0</v>
      </c>
      <c r="G135" s="17">
        <v>0</v>
      </c>
      <c r="H135" s="16">
        <f t="shared" si="10"/>
        <v>0.11193599999999999</v>
      </c>
      <c r="I135" s="1">
        <f t="shared" si="11"/>
        <v>1.3999999999999999E-6</v>
      </c>
    </row>
    <row r="136" spans="1:9" x14ac:dyDescent="0.2">
      <c r="A136">
        <v>97</v>
      </c>
      <c r="B136" t="s">
        <v>136</v>
      </c>
      <c r="C136" t="s">
        <v>137</v>
      </c>
      <c r="D136" s="21">
        <v>44.980772000000002</v>
      </c>
      <c r="E136" s="21">
        <v>48.369751999999998</v>
      </c>
      <c r="F136" s="21">
        <v>43.520332000000003</v>
      </c>
      <c r="G136" s="21">
        <v>42.235627999999998</v>
      </c>
      <c r="H136" s="16">
        <f t="shared" si="10"/>
        <v>44.776620999999999</v>
      </c>
      <c r="I136" s="1">
        <f t="shared" si="11"/>
        <v>5.5380000000000002E-4</v>
      </c>
    </row>
    <row r="137" spans="1:9" x14ac:dyDescent="0.2">
      <c r="A137">
        <v>218</v>
      </c>
      <c r="B137" t="s">
        <v>287</v>
      </c>
      <c r="C137" t="s">
        <v>288</v>
      </c>
      <c r="D137" s="21">
        <v>2.7727040000000001</v>
      </c>
      <c r="E137" s="17">
        <v>0</v>
      </c>
      <c r="F137" s="21">
        <v>3.0339</v>
      </c>
      <c r="G137" s="21">
        <v>3.1970960000000002</v>
      </c>
      <c r="H137" s="16">
        <f t="shared" ref="H137:H153" si="12">AVERAGE(D137:G137)</f>
        <v>2.2509250000000001</v>
      </c>
      <c r="I137" s="1">
        <f t="shared" si="11"/>
        <v>2.7800000000000001E-5</v>
      </c>
    </row>
    <row r="138" spans="1:9" x14ac:dyDescent="0.2">
      <c r="A138">
        <v>201</v>
      </c>
      <c r="B138" t="s">
        <v>250</v>
      </c>
      <c r="C138" t="s">
        <v>251</v>
      </c>
      <c r="D138" s="17">
        <v>0</v>
      </c>
      <c r="E138" s="17">
        <v>0</v>
      </c>
      <c r="F138" s="17">
        <v>0</v>
      </c>
      <c r="G138" s="17">
        <v>0</v>
      </c>
      <c r="H138" s="16">
        <f t="shared" si="12"/>
        <v>0</v>
      </c>
      <c r="I138" s="1">
        <f t="shared" si="11"/>
        <v>0</v>
      </c>
    </row>
    <row r="139" spans="1:9" x14ac:dyDescent="0.2">
      <c r="A139">
        <v>146</v>
      </c>
      <c r="B139" t="s">
        <v>184</v>
      </c>
      <c r="C139" t="s">
        <v>185</v>
      </c>
      <c r="D139" s="21">
        <v>90.127132000000003</v>
      </c>
      <c r="E139" s="21">
        <v>108.069676</v>
      </c>
      <c r="F139" s="21">
        <v>91.850172000000001</v>
      </c>
      <c r="G139" s="21">
        <v>110.328948</v>
      </c>
      <c r="H139" s="16">
        <f t="shared" si="12"/>
        <v>100.09398200000001</v>
      </c>
      <c r="I139" s="1">
        <f t="shared" si="11"/>
        <v>1.2378999999999999E-3</v>
      </c>
    </row>
    <row r="140" spans="1:9" x14ac:dyDescent="0.2">
      <c r="A140">
        <v>4</v>
      </c>
      <c r="B140" t="s">
        <v>4</v>
      </c>
      <c r="C140" t="s">
        <v>5</v>
      </c>
      <c r="D140" s="21">
        <v>2391.8735919999999</v>
      </c>
      <c r="E140" s="21">
        <v>2616.403084</v>
      </c>
      <c r="F140" s="21">
        <v>2349.4118279999998</v>
      </c>
      <c r="G140" s="21">
        <v>2332.9079240000001</v>
      </c>
      <c r="H140" s="16">
        <f t="shared" si="12"/>
        <v>2422.6491070000002</v>
      </c>
      <c r="I140" s="1">
        <f t="shared" si="11"/>
        <v>2.9961100000000001E-2</v>
      </c>
    </row>
    <row r="141" spans="1:9" x14ac:dyDescent="0.2">
      <c r="A141">
        <v>99</v>
      </c>
      <c r="B141" t="s">
        <v>221</v>
      </c>
      <c r="C141" t="s">
        <v>138</v>
      </c>
      <c r="D141" s="21">
        <v>699.29811199999995</v>
      </c>
      <c r="E141" s="21">
        <v>810.468796</v>
      </c>
      <c r="F141" s="21">
        <v>803.56304399999999</v>
      </c>
      <c r="G141" s="21">
        <v>754.93292799999995</v>
      </c>
      <c r="H141" s="16">
        <f t="shared" si="12"/>
        <v>767.06572000000006</v>
      </c>
      <c r="I141" s="1">
        <f t="shared" si="11"/>
        <v>9.4864000000000007E-3</v>
      </c>
    </row>
    <row r="142" spans="1:9" x14ac:dyDescent="0.2">
      <c r="A142">
        <v>100</v>
      </c>
      <c r="B142" t="s">
        <v>222</v>
      </c>
      <c r="C142" t="s">
        <v>139</v>
      </c>
      <c r="D142" s="21">
        <v>323.551624</v>
      </c>
      <c r="E142" s="21">
        <v>375.62477200000001</v>
      </c>
      <c r="F142" s="21">
        <v>365.948736</v>
      </c>
      <c r="G142" s="21">
        <v>323.35703599999999</v>
      </c>
      <c r="H142" s="16">
        <f t="shared" si="12"/>
        <v>347.120542</v>
      </c>
      <c r="I142" s="1">
        <f t="shared" si="11"/>
        <v>4.2928999999999997E-3</v>
      </c>
    </row>
    <row r="143" spans="1:9" x14ac:dyDescent="0.2">
      <c r="A143">
        <v>176</v>
      </c>
      <c r="B143" t="s">
        <v>205</v>
      </c>
      <c r="C143" t="s">
        <v>201</v>
      </c>
      <c r="D143" s="21">
        <v>0.10238800000000001</v>
      </c>
      <c r="E143" s="21">
        <v>7.3179999999999995E-2</v>
      </c>
      <c r="F143" s="21">
        <v>7.4440000000000006E-2</v>
      </c>
      <c r="G143" s="21">
        <v>7.1676000000000004E-2</v>
      </c>
      <c r="H143" s="16">
        <f t="shared" si="12"/>
        <v>8.0421000000000006E-2</v>
      </c>
      <c r="I143" s="1">
        <f t="shared" si="11"/>
        <v>9.9999999999999995E-7</v>
      </c>
    </row>
    <row r="144" spans="1:9" x14ac:dyDescent="0.2">
      <c r="A144">
        <v>214</v>
      </c>
      <c r="B144" t="s">
        <v>277</v>
      </c>
      <c r="C144" t="s">
        <v>278</v>
      </c>
      <c r="D144" s="21">
        <v>0.197876</v>
      </c>
      <c r="E144" s="21">
        <v>1.178304</v>
      </c>
      <c r="F144" s="21">
        <v>3.8562479999999999</v>
      </c>
      <c r="G144" s="21">
        <v>9.8113720000000004</v>
      </c>
      <c r="H144" s="16">
        <f t="shared" si="12"/>
        <v>3.7609500000000002</v>
      </c>
      <c r="I144" s="1">
        <f t="shared" si="11"/>
        <v>4.6499999999999999E-5</v>
      </c>
    </row>
    <row r="145" spans="1:9" x14ac:dyDescent="0.2">
      <c r="A145">
        <v>102</v>
      </c>
      <c r="B145" t="s">
        <v>223</v>
      </c>
      <c r="C145" t="s">
        <v>140</v>
      </c>
      <c r="D145" s="21">
        <v>496.65446800000001</v>
      </c>
      <c r="E145" s="21">
        <v>558.27313600000002</v>
      </c>
      <c r="F145" s="21">
        <v>562.67320400000006</v>
      </c>
      <c r="G145" s="21">
        <v>555.58346400000005</v>
      </c>
      <c r="H145" s="16">
        <f t="shared" si="12"/>
        <v>543.2960680000001</v>
      </c>
      <c r="I145" s="1">
        <f t="shared" si="11"/>
        <v>6.7190000000000001E-3</v>
      </c>
    </row>
    <row r="146" spans="1:9" x14ac:dyDescent="0.2">
      <c r="A146">
        <v>136</v>
      </c>
      <c r="B146" t="s">
        <v>231</v>
      </c>
      <c r="C146" t="s">
        <v>177</v>
      </c>
      <c r="D146" s="21">
        <v>113.851596</v>
      </c>
      <c r="E146" s="21">
        <v>122.454228</v>
      </c>
      <c r="F146" s="21">
        <v>131.15219200000001</v>
      </c>
      <c r="G146" s="21">
        <v>125.828436</v>
      </c>
      <c r="H146" s="16">
        <f t="shared" si="12"/>
        <v>123.32161300000001</v>
      </c>
      <c r="I146" s="1">
        <f t="shared" si="11"/>
        <v>1.5250999999999999E-3</v>
      </c>
    </row>
    <row r="147" spans="1:9" x14ac:dyDescent="0.2">
      <c r="A147">
        <v>137</v>
      </c>
      <c r="B147" t="s">
        <v>178</v>
      </c>
      <c r="C147" t="s">
        <v>179</v>
      </c>
      <c r="D147" s="21">
        <v>95.626115999999996</v>
      </c>
      <c r="E147" s="21">
        <v>99.211588000000006</v>
      </c>
      <c r="F147" s="21">
        <v>94.691051999999999</v>
      </c>
      <c r="G147" s="21">
        <v>95.898964000000007</v>
      </c>
      <c r="H147" s="16">
        <f t="shared" si="12"/>
        <v>96.356930000000006</v>
      </c>
      <c r="I147" s="1">
        <f t="shared" si="11"/>
        <v>1.1917E-3</v>
      </c>
    </row>
    <row r="148" spans="1:9" x14ac:dyDescent="0.2">
      <c r="A148">
        <v>153</v>
      </c>
      <c r="B148" t="s">
        <v>186</v>
      </c>
      <c r="C148" t="s">
        <v>187</v>
      </c>
      <c r="D148" s="21">
        <v>0.65070799999999995</v>
      </c>
      <c r="E148" s="21">
        <v>0.77053199999999999</v>
      </c>
      <c r="F148" s="21">
        <v>0.69477199999999995</v>
      </c>
      <c r="G148" s="21">
        <v>0.71562800000000004</v>
      </c>
      <c r="H148" s="16">
        <f t="shared" si="12"/>
        <v>0.70791000000000004</v>
      </c>
      <c r="I148" s="1">
        <f t="shared" si="11"/>
        <v>8.8000000000000004E-6</v>
      </c>
    </row>
    <row r="149" spans="1:9" x14ac:dyDescent="0.2">
      <c r="A149">
        <v>138</v>
      </c>
      <c r="B149" t="s">
        <v>232</v>
      </c>
      <c r="C149" t="s">
        <v>180</v>
      </c>
      <c r="D149" s="21">
        <v>37.168084</v>
      </c>
      <c r="E149" s="21">
        <v>38.134872000000001</v>
      </c>
      <c r="F149" s="21">
        <v>44.631335999999997</v>
      </c>
      <c r="G149" s="21">
        <v>40.001040000000003</v>
      </c>
      <c r="H149" s="16">
        <f t="shared" si="12"/>
        <v>39.983833000000004</v>
      </c>
      <c r="I149" s="1">
        <f t="shared" si="11"/>
        <v>4.9450000000000004E-4</v>
      </c>
    </row>
    <row r="150" spans="1:9" x14ac:dyDescent="0.2">
      <c r="A150">
        <v>103</v>
      </c>
      <c r="B150" t="s">
        <v>224</v>
      </c>
      <c r="C150" t="s">
        <v>141</v>
      </c>
      <c r="D150" s="21">
        <v>126.391588</v>
      </c>
      <c r="E150" s="21">
        <v>147.69477599999999</v>
      </c>
      <c r="F150" s="21">
        <v>144.237056</v>
      </c>
      <c r="G150" s="21">
        <v>132.834384</v>
      </c>
      <c r="H150" s="16">
        <f t="shared" si="12"/>
        <v>137.78945099999999</v>
      </c>
      <c r="I150" s="1">
        <f t="shared" si="11"/>
        <v>1.7041000000000001E-3</v>
      </c>
    </row>
    <row r="151" spans="1:9" x14ac:dyDescent="0.2">
      <c r="A151">
        <v>227</v>
      </c>
      <c r="B151" t="s">
        <v>297</v>
      </c>
      <c r="C151" s="23" t="s">
        <v>309</v>
      </c>
      <c r="D151" s="17">
        <v>0</v>
      </c>
      <c r="E151" s="17">
        <v>0</v>
      </c>
      <c r="F151" s="17">
        <v>0</v>
      </c>
      <c r="G151" s="21">
        <v>0.39700400000000002</v>
      </c>
      <c r="H151" s="16">
        <f t="shared" si="12"/>
        <v>9.9251000000000006E-2</v>
      </c>
      <c r="I151" s="1">
        <f t="shared" si="11"/>
        <v>1.1999999999999999E-6</v>
      </c>
    </row>
    <row r="152" spans="1:9" x14ac:dyDescent="0.2">
      <c r="A152">
        <v>228</v>
      </c>
      <c r="B152" s="19" t="s">
        <v>307</v>
      </c>
      <c r="C152" s="23" t="s">
        <v>310</v>
      </c>
      <c r="D152" s="17">
        <v>0</v>
      </c>
      <c r="E152" s="17">
        <v>0</v>
      </c>
      <c r="F152" s="17">
        <v>0</v>
      </c>
      <c r="G152" s="17">
        <v>0</v>
      </c>
      <c r="H152" s="16">
        <f t="shared" si="12"/>
        <v>0</v>
      </c>
      <c r="I152" s="1">
        <f t="shared" si="11"/>
        <v>0</v>
      </c>
    </row>
    <row r="153" spans="1:9" x14ac:dyDescent="0.2">
      <c r="A153">
        <v>168</v>
      </c>
      <c r="B153" t="s">
        <v>193</v>
      </c>
      <c r="C153" s="23" t="s">
        <v>194</v>
      </c>
      <c r="D153" s="21">
        <v>7.5275999999999996E-2</v>
      </c>
      <c r="E153" s="21">
        <v>8.2068000000000002E-2</v>
      </c>
      <c r="F153" s="21">
        <v>9.8419999999999994E-2</v>
      </c>
      <c r="G153" s="21">
        <v>8.1596000000000002E-2</v>
      </c>
      <c r="H153" s="16">
        <f t="shared" si="12"/>
        <v>8.4339999999999998E-2</v>
      </c>
      <c r="I153" s="1">
        <f t="shared" si="11"/>
        <v>9.9999999999999995E-7</v>
      </c>
    </row>
    <row r="154" spans="1:9" x14ac:dyDescent="0.2">
      <c r="A154" s="12"/>
      <c r="B154" s="13"/>
      <c r="C154" s="20"/>
      <c r="D154" s="15"/>
      <c r="E154" s="15"/>
      <c r="F154" s="15"/>
      <c r="G154" s="15"/>
      <c r="H154" s="15"/>
      <c r="I154" s="1"/>
    </row>
    <row r="155" spans="1:9" ht="15.75" x14ac:dyDescent="0.25">
      <c r="A155" s="3"/>
      <c r="B155" s="10" t="s">
        <v>189</v>
      </c>
      <c r="C155" s="4"/>
      <c r="D155" s="18">
        <f>ROUND(SUM(D4:D153),6)</f>
        <v>77485.834736000004</v>
      </c>
      <c r="E155" s="18">
        <f>ROUND(SUM(E4:E153),6)</f>
        <v>81908.321347999998</v>
      </c>
      <c r="F155" s="18">
        <f>ROUND(SUM(F4:F153),6)</f>
        <v>83968.463331999999</v>
      </c>
      <c r="G155" s="18">
        <f>ROUND(SUM(G4:G153),6)</f>
        <v>80076.465112000005</v>
      </c>
      <c r="H155" s="18">
        <f>ROUND(SUM(H4:H153),6)</f>
        <v>80859.771131999994</v>
      </c>
      <c r="I155" s="14">
        <f>ROUND(SUM(I4:I153),5)</f>
        <v>1</v>
      </c>
    </row>
    <row r="156" spans="1:9" x14ac:dyDescent="0.2">
      <c r="A156" s="2"/>
      <c r="B156" s="11" t="s">
        <v>246</v>
      </c>
      <c r="C156" s="5"/>
      <c r="D156" s="2"/>
    </row>
  </sheetData>
  <mergeCells count="2">
    <mergeCell ref="A1:I1"/>
    <mergeCell ref="A2:I2"/>
  </mergeCells>
  <phoneticPr fontId="1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CP CALCULATION</vt:lpstr>
    </vt:vector>
  </TitlesOfParts>
  <Company>ERCOT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bburr</dc:creator>
  <cp:lastModifiedBy>Lara, Jose</cp:lastModifiedBy>
  <dcterms:created xsi:type="dcterms:W3CDTF">2006-11-27T20:43:52Z</dcterms:created>
  <dcterms:modified xsi:type="dcterms:W3CDTF">2025-11-24T14:37:26Z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2023-08-22T20:35:19Z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e34cc790-abe8-407c-b757-54845646fbb9</vt:lpwstr>
  </property>
  <property fmtid="{D5CDD505-2E9C-101B-9397-08002B2CF9AE}" pid="8" name="MSIP_Label_7084cbda-52b8-46fb-a7b7-cb5bd465ed85_ContentBits">
    <vt:lpwstr>0</vt:lpwstr>
  </property>
</Properties>
</file>