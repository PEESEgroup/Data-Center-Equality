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P RESULTS\2022\"/>
    </mc:Choice>
  </mc:AlternateContent>
  <xr:revisionPtr revIDLastSave="0" documentId="8_{8289F580-3A90-4223-951C-CE82604550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2 4CP CALCULA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4" i="4" l="1"/>
  <c r="I142" i="4" s="1"/>
  <c r="D144" i="4" l="1"/>
  <c r="H74" i="4" l="1"/>
  <c r="H139" i="4" l="1"/>
  <c r="H140" i="4"/>
  <c r="H141" i="4"/>
  <c r="H142" i="4"/>
  <c r="G144" i="4"/>
  <c r="E144" i="4"/>
  <c r="F144" i="4"/>
  <c r="H137" i="4"/>
  <c r="H138" i="4"/>
  <c r="H15" i="4" l="1"/>
  <c r="H112" i="4"/>
  <c r="H32" i="4" l="1"/>
  <c r="H129" i="4" l="1"/>
  <c r="H123" i="4"/>
  <c r="H122" i="4"/>
  <c r="H121" i="4"/>
  <c r="H118" i="4"/>
  <c r="H117" i="4"/>
  <c r="H116" i="4"/>
  <c r="H115" i="4"/>
  <c r="H110" i="4"/>
  <c r="H109" i="4"/>
  <c r="H108" i="4"/>
  <c r="H107" i="4"/>
  <c r="H102" i="4"/>
  <c r="H101" i="4"/>
  <c r="H100" i="4"/>
  <c r="H99" i="4"/>
  <c r="H94" i="4"/>
  <c r="H92" i="4"/>
  <c r="H87" i="4"/>
  <c r="H85" i="4"/>
  <c r="H84" i="4"/>
  <c r="H78" i="4"/>
  <c r="H77" i="4"/>
  <c r="H76" i="4"/>
  <c r="H70" i="4"/>
  <c r="H69" i="4"/>
  <c r="H68" i="4"/>
  <c r="H67" i="4"/>
  <c r="H61" i="4"/>
  <c r="H60" i="4"/>
  <c r="H59" i="4"/>
  <c r="H51" i="4"/>
  <c r="H38" i="4"/>
  <c r="H36" i="4"/>
  <c r="H35" i="4"/>
  <c r="H28" i="4"/>
  <c r="H27" i="4"/>
  <c r="H26" i="4"/>
  <c r="H21" i="4"/>
  <c r="H20" i="4"/>
  <c r="H19" i="4"/>
  <c r="H18" i="4"/>
  <c r="H11" i="4"/>
  <c r="H131" i="4"/>
  <c r="H130" i="4"/>
  <c r="H86" i="4"/>
  <c r="H52" i="4"/>
  <c r="H37" i="4"/>
  <c r="H4" i="4"/>
  <c r="H79" i="4"/>
  <c r="H114" i="4"/>
  <c r="H124" i="4"/>
  <c r="H113" i="4"/>
  <c r="H73" i="4"/>
  <c r="H90" i="4"/>
  <c r="H136" i="4"/>
  <c r="H133" i="4"/>
  <c r="H125" i="4"/>
  <c r="H89" i="4"/>
  <c r="H134" i="4"/>
  <c r="H132" i="4"/>
  <c r="H119" i="4"/>
  <c r="H103" i="4"/>
  <c r="H96" i="4"/>
  <c r="H82" i="4"/>
  <c r="H72" i="4"/>
  <c r="H41" i="4"/>
  <c r="H34" i="4"/>
  <c r="H30" i="4"/>
  <c r="H23" i="4"/>
  <c r="H22" i="4"/>
  <c r="H17" i="4"/>
  <c r="H16" i="4"/>
  <c r="H12" i="4"/>
  <c r="H135" i="4"/>
  <c r="H128" i="4"/>
  <c r="H127" i="4"/>
  <c r="H120" i="4"/>
  <c r="H111" i="4"/>
  <c r="H106" i="4"/>
  <c r="H105" i="4"/>
  <c r="H104" i="4"/>
  <c r="H98" i="4"/>
  <c r="H97" i="4"/>
  <c r="H95" i="4"/>
  <c r="H93" i="4"/>
  <c r="H91" i="4"/>
  <c r="H88" i="4"/>
  <c r="H83" i="4"/>
  <c r="H81" i="4"/>
  <c r="H80" i="4"/>
  <c r="H75" i="4"/>
  <c r="H71" i="4"/>
  <c r="H66" i="4"/>
  <c r="H65" i="4"/>
  <c r="H64" i="4"/>
  <c r="H63" i="4"/>
  <c r="H62" i="4"/>
  <c r="H58" i="4"/>
  <c r="H57" i="4"/>
  <c r="H56" i="4"/>
  <c r="H55" i="4"/>
  <c r="H54" i="4"/>
  <c r="H53" i="4"/>
  <c r="H50" i="4"/>
  <c r="H49" i="4"/>
  <c r="H48" i="4"/>
  <c r="H47" i="4"/>
  <c r="H46" i="4"/>
  <c r="H45" i="4"/>
  <c r="H44" i="4"/>
  <c r="H43" i="4"/>
  <c r="H42" i="4"/>
  <c r="H40" i="4"/>
  <c r="H39" i="4"/>
  <c r="H33" i="4"/>
  <c r="H31" i="4"/>
  <c r="H29" i="4"/>
  <c r="H25" i="4"/>
  <c r="H24" i="4"/>
  <c r="H14" i="4"/>
  <c r="H10" i="4"/>
  <c r="H9" i="4"/>
  <c r="H8" i="4"/>
  <c r="H7" i="4"/>
  <c r="H6" i="4"/>
  <c r="H5" i="4"/>
  <c r="H126" i="4"/>
  <c r="H13" i="4"/>
  <c r="I74" i="4" l="1"/>
  <c r="I15" i="4" l="1"/>
  <c r="I141" i="4"/>
  <c r="I140" i="4"/>
  <c r="I139" i="4"/>
  <c r="I42" i="4"/>
  <c r="I72" i="4"/>
  <c r="I69" i="4"/>
  <c r="I119" i="4"/>
  <c r="I71" i="4"/>
  <c r="I37" i="4"/>
  <c r="I36" i="4"/>
  <c r="I88" i="4"/>
  <c r="I19" i="4"/>
  <c r="I132" i="4"/>
  <c r="I77" i="4"/>
  <c r="I16" i="4"/>
  <c r="I14" i="4"/>
  <c r="I129" i="4"/>
  <c r="I76" i="4"/>
  <c r="I126" i="4"/>
  <c r="I91" i="4"/>
  <c r="I67" i="4"/>
  <c r="I107" i="4"/>
  <c r="I23" i="4"/>
  <c r="I112" i="4"/>
  <c r="I39" i="4"/>
  <c r="I102" i="4"/>
  <c r="I43" i="4"/>
  <c r="I110" i="4"/>
  <c r="I94" i="4"/>
  <c r="I24" i="4"/>
  <c r="I124" i="4"/>
  <c r="I61" i="4"/>
  <c r="I97" i="4"/>
  <c r="I84" i="4"/>
  <c r="I104" i="4"/>
  <c r="I111" i="4"/>
  <c r="I89" i="4"/>
  <c r="I65" i="4"/>
  <c r="I95" i="4"/>
  <c r="I68" i="4"/>
  <c r="I98" i="4"/>
  <c r="I26" i="4"/>
  <c r="I59" i="4"/>
  <c r="I32" i="4"/>
  <c r="I46" i="4"/>
  <c r="I108" i="4"/>
  <c r="I51" i="4"/>
  <c r="I113" i="4"/>
  <c r="I62" i="4"/>
  <c r="I136" i="4"/>
  <c r="I63" i="4"/>
  <c r="I135" i="4"/>
  <c r="I31" i="4"/>
  <c r="I54" i="4"/>
  <c r="I100" i="4"/>
  <c r="I70" i="4"/>
  <c r="I53" i="4"/>
  <c r="I35" i="4"/>
  <c r="I79" i="4"/>
  <c r="I58" i="4"/>
  <c r="I41" i="4"/>
  <c r="I47" i="4"/>
  <c r="I5" i="4"/>
  <c r="I134" i="4"/>
  <c r="I13" i="4"/>
  <c r="I117" i="4"/>
  <c r="I75" i="4"/>
  <c r="I87" i="4"/>
  <c r="I120" i="4"/>
  <c r="I118" i="4"/>
  <c r="I56" i="4"/>
  <c r="I99" i="4"/>
  <c r="I20" i="4"/>
  <c r="I9" i="4"/>
  <c r="I44" i="4"/>
  <c r="I40" i="4"/>
  <c r="I125" i="4"/>
  <c r="I133" i="4"/>
  <c r="I50" i="4"/>
  <c r="I82" i="4"/>
  <c r="I8" i="4"/>
  <c r="I138" i="4"/>
  <c r="I7" i="4"/>
  <c r="I109" i="4"/>
  <c r="I122" i="4"/>
  <c r="I80" i="4"/>
  <c r="I25" i="4"/>
  <c r="I11" i="4"/>
  <c r="I130" i="4"/>
  <c r="I57" i="4"/>
  <c r="I52" i="4"/>
  <c r="I18" i="4"/>
  <c r="I55" i="4"/>
  <c r="I66" i="4"/>
  <c r="I21" i="4"/>
  <c r="I121" i="4"/>
  <c r="I114" i="4"/>
  <c r="I127" i="4"/>
  <c r="I101" i="4"/>
  <c r="I6" i="4"/>
  <c r="I90" i="4"/>
  <c r="I12" i="4"/>
  <c r="I81" i="4"/>
  <c r="I128" i="4"/>
  <c r="I17" i="4"/>
  <c r="I106" i="4"/>
  <c r="I22" i="4"/>
  <c r="I4" i="4"/>
  <c r="I73" i="4"/>
  <c r="I29" i="4"/>
  <c r="I93" i="4"/>
  <c r="I27" i="4"/>
  <c r="I28" i="4"/>
  <c r="I103" i="4"/>
  <c r="I92" i="4"/>
  <c r="I48" i="4"/>
  <c r="I123" i="4"/>
  <c r="I60" i="4"/>
  <c r="I137" i="4"/>
  <c r="I49" i="4"/>
  <c r="I10" i="4"/>
  <c r="I38" i="4"/>
  <c r="I45" i="4"/>
  <c r="I34" i="4"/>
  <c r="I96" i="4"/>
  <c r="I105" i="4"/>
  <c r="I116" i="4"/>
  <c r="I64" i="4"/>
  <c r="I30" i="4"/>
  <c r="I83" i="4"/>
  <c r="I131" i="4"/>
  <c r="I86" i="4"/>
  <c r="I115" i="4"/>
  <c r="I85" i="4"/>
  <c r="I78" i="4"/>
  <c r="I33" i="4"/>
  <c r="I144" i="4" l="1"/>
</calcChain>
</file>

<file path=xl/sharedStrings.xml><?xml version="1.0" encoding="utf-8"?>
<sst xmlns="http://schemas.openxmlformats.org/spreadsheetml/2006/main" count="290" uniqueCount="290">
  <si>
    <t>Load Ratio Share</t>
  </si>
  <si>
    <t>CENTERPOINT ENERGY HOUSTON ELECTRIC LLC (TDSP)</t>
  </si>
  <si>
    <t>957877905</t>
  </si>
  <si>
    <t>1039940674000</t>
  </si>
  <si>
    <t>TEXAS-NEW MEXICO POWER CO (TDSP)</t>
  </si>
  <si>
    <t>007929441</t>
  </si>
  <si>
    <t>007924772</t>
  </si>
  <si>
    <t>007923311</t>
  </si>
  <si>
    <t>BANDERA ELECTRIC CO OP INC (TDSP)</t>
  </si>
  <si>
    <t>0089451494000</t>
  </si>
  <si>
    <t>002781813</t>
  </si>
  <si>
    <t>BIG COUNTRY ELECTRIC CO OP INC (TDSP)</t>
  </si>
  <si>
    <t>0058630484000</t>
  </si>
  <si>
    <t>BLUEBONNET ELECTRIC CO OP INC (TDSP)</t>
  </si>
  <si>
    <t>0524834354000</t>
  </si>
  <si>
    <t>0037722904000</t>
  </si>
  <si>
    <t>CENTRAL TEXAS ELECTRIC CO OP INC (TDSP)</t>
  </si>
  <si>
    <t>0079302744000</t>
  </si>
  <si>
    <t>CITY OF BASTROP (TDSP)</t>
  </si>
  <si>
    <t>0851553724000</t>
  </si>
  <si>
    <t>CITY OF BELLVILLE (TDSP)</t>
  </si>
  <si>
    <t>0935648704000</t>
  </si>
  <si>
    <t>CITY OF BOERNE (TDSP)</t>
  </si>
  <si>
    <t>0052470694000</t>
  </si>
  <si>
    <t>CITY OF BRENHAM (TDSP)</t>
  </si>
  <si>
    <t>0741649224000</t>
  </si>
  <si>
    <t>CITY OF BRIDGEPORT MUN ELEC SYS (TDSP)</t>
  </si>
  <si>
    <t>0842801714000</t>
  </si>
  <si>
    <t>CITY OF BURNET (TDSP)</t>
  </si>
  <si>
    <t>0746121514000</t>
  </si>
  <si>
    <t>CITY OF CUERO (TDSP)</t>
  </si>
  <si>
    <t>0526842144000</t>
  </si>
  <si>
    <t>CITY OF FLATONIA (TDSP)</t>
  </si>
  <si>
    <t>0626890134000</t>
  </si>
  <si>
    <t>CITY OF FREDERICKSBURG (TDSP)</t>
  </si>
  <si>
    <t>0769243074000</t>
  </si>
  <si>
    <t>CITY OF GEORGETOWN (TDSP)</t>
  </si>
  <si>
    <t>0895923724000</t>
  </si>
  <si>
    <t>CITY OF GIDDINGS (TDSP)</t>
  </si>
  <si>
    <t>0096899514000</t>
  </si>
  <si>
    <t>CITY OF GOLDTHWAITE (TDSP)</t>
  </si>
  <si>
    <t>1558252764000</t>
  </si>
  <si>
    <t>CITY OF GONZALES (TDSP)</t>
  </si>
  <si>
    <t>0937385404000</t>
  </si>
  <si>
    <t>CITY OF HALLETTSVILLE (TDSP)</t>
  </si>
  <si>
    <t>0090811834000</t>
  </si>
  <si>
    <t>CITY OF HEMPSTEAD (TDSP)</t>
  </si>
  <si>
    <t>1272175604000</t>
  </si>
  <si>
    <t>CITY OF LA GRANGE (TDSP)</t>
  </si>
  <si>
    <t>0607085184000</t>
  </si>
  <si>
    <t>CITY OF LAMPASAS (TDSP)</t>
  </si>
  <si>
    <t>0203311204000</t>
  </si>
  <si>
    <t>CITY OF LEXINGTON (TDSP)</t>
  </si>
  <si>
    <t>0081817324000</t>
  </si>
  <si>
    <t>CITY OF LLANO (TDSP)</t>
  </si>
  <si>
    <t>0916952054000</t>
  </si>
  <si>
    <t>CITY OF LOCKHART (TDSP)</t>
  </si>
  <si>
    <t>0746168634000</t>
  </si>
  <si>
    <t>CITY OF LULING (TDSP)</t>
  </si>
  <si>
    <t>0105539984000</t>
  </si>
  <si>
    <t>CITY OF MASON (TDSP)</t>
  </si>
  <si>
    <t>1561267084000</t>
  </si>
  <si>
    <t>CITY OF MOULTON (TDSP)</t>
  </si>
  <si>
    <t>0091871544000</t>
  </si>
  <si>
    <t>CITY OF SAN MARCOS (TDSP)</t>
  </si>
  <si>
    <t>0694628694000</t>
  </si>
  <si>
    <t>CITY OF SAN SABA (TDSP)</t>
  </si>
  <si>
    <t>0248592254000</t>
  </si>
  <si>
    <t>CITY OF SANGER</t>
  </si>
  <si>
    <t>058956020</t>
  </si>
  <si>
    <t>CITY OF SCHULENBURG (TDSP)</t>
  </si>
  <si>
    <t>0532950364000</t>
  </si>
  <si>
    <t>CITY OF SEGUIN (TDSP)</t>
  </si>
  <si>
    <t>0862819794000</t>
  </si>
  <si>
    <t>166319145</t>
  </si>
  <si>
    <t>CITY OF SHINER (TDSP)</t>
  </si>
  <si>
    <t>1504533714000</t>
  </si>
  <si>
    <t>CITY OF SMITHVILLE (TDSP)</t>
  </si>
  <si>
    <t>0916978134000</t>
  </si>
  <si>
    <t>CITY OF WAELDER (TDSP)</t>
  </si>
  <si>
    <t>0541779694000</t>
  </si>
  <si>
    <t>CITY OF WEIMAR (TDSP)</t>
  </si>
  <si>
    <t>0214974584000</t>
  </si>
  <si>
    <t>134546522</t>
  </si>
  <si>
    <t>CITY OF YOAKUM (TDSP)</t>
  </si>
  <si>
    <t>0694557724000</t>
  </si>
  <si>
    <t>COLEMAN COUNTY ELECTRIC CO OP INC (TDSP)</t>
  </si>
  <si>
    <t>0079246734000</t>
  </si>
  <si>
    <t>002889210</t>
  </si>
  <si>
    <t>CONCHO VALLEY ELECTRIC CO OP INC (TDSP)</t>
  </si>
  <si>
    <t>0038666624000</t>
  </si>
  <si>
    <t>008951808</t>
  </si>
  <si>
    <t>047845623</t>
  </si>
  <si>
    <t>008947913</t>
  </si>
  <si>
    <t>FANNIN COUNTY ELECTRIC CO OP INC</t>
  </si>
  <si>
    <t>0018220894000</t>
  </si>
  <si>
    <t>FARMERS ELECTRIC CO OP INC DBA FEC ELECTRIC</t>
  </si>
  <si>
    <t>0098442344000</t>
  </si>
  <si>
    <t>FAYETTE ELECTRIC CO OP INC (TDSP)</t>
  </si>
  <si>
    <t>0593309774000</t>
  </si>
  <si>
    <t>FORT BELKNAP ELECTRIC CO OP INC (TDSP)</t>
  </si>
  <si>
    <t>007935299</t>
  </si>
  <si>
    <t>GRANBURY MUNICIPAL UTILITIES (TDSP)</t>
  </si>
  <si>
    <t>0952141694000</t>
  </si>
  <si>
    <t>008953812</t>
  </si>
  <si>
    <t>GUADALUPE VALLEY ELECTRIC CO OP INC (TDSP)</t>
  </si>
  <si>
    <t>0079305894000</t>
  </si>
  <si>
    <t>008949216</t>
  </si>
  <si>
    <t>HILCO ELECTRIC CO OP INC (TDSP)</t>
  </si>
  <si>
    <t>008950545</t>
  </si>
  <si>
    <t>005777206</t>
  </si>
  <si>
    <t>003890795</t>
  </si>
  <si>
    <t>007933518</t>
  </si>
  <si>
    <t>KERRVILLE PUBLIC UTILITY BOARD (TDSP)</t>
  </si>
  <si>
    <t>1248248064000</t>
  </si>
  <si>
    <t>LAMAR COUNTY ELEC COOP DBA LEC (TDSP)</t>
  </si>
  <si>
    <t>0048060974000</t>
  </si>
  <si>
    <t>LIGHTHOUSE ELECTRIC CO OP (TDSP)</t>
  </si>
  <si>
    <t>0028252894000</t>
  </si>
  <si>
    <t>LYNTEGAR ELECTRIC CO OP INC (TDSP)</t>
  </si>
  <si>
    <t>0079371474000</t>
  </si>
  <si>
    <t>MAGIC VALLEY ELECTRIC CO OP INC (TDSP)</t>
  </si>
  <si>
    <t>008951501</t>
  </si>
  <si>
    <t>MID SOUTH ELECTRIC CO OP ASSOC</t>
  </si>
  <si>
    <t>061278594</t>
  </si>
  <si>
    <t>006770101</t>
  </si>
  <si>
    <t>046299913</t>
  </si>
  <si>
    <t>NEW BRAUNFELS UTILITIES (TDSP)</t>
  </si>
  <si>
    <t>0383461694000</t>
  </si>
  <si>
    <t>PEDERNALES ELECTRIC CO OP INC (TDSP)</t>
  </si>
  <si>
    <t>0079241114000</t>
  </si>
  <si>
    <t>SAM HOUSTON ELECTRIC CO OP INC (TDSP)</t>
  </si>
  <si>
    <t>056267867</t>
  </si>
  <si>
    <t>SAN BERNARD ELECTRIC CO OP (TDSP)</t>
  </si>
  <si>
    <t>0089453134000</t>
  </si>
  <si>
    <t>SOUTH PLAINS ELECTRIC CO OP INC (TDSP)</t>
  </si>
  <si>
    <t>007934185</t>
  </si>
  <si>
    <t>SOUTHWEST TEXAS ELECTRIC CO OP INC (TDSP)</t>
  </si>
  <si>
    <t>0084158954000</t>
  </si>
  <si>
    <t>008945123</t>
  </si>
  <si>
    <t>009844564</t>
  </si>
  <si>
    <t>008945826</t>
  </si>
  <si>
    <t>041405408</t>
  </si>
  <si>
    <t>6063470374000</t>
  </si>
  <si>
    <t>BRYAN TEXAS UTILITIES (TDSP)</t>
  </si>
  <si>
    <t>0793907794000</t>
  </si>
  <si>
    <t>008862625</t>
  </si>
  <si>
    <t>CITY OF AUSTIN DBA AUSTIN ENERGY (TDSP)</t>
  </si>
  <si>
    <t>8008717664000</t>
  </si>
  <si>
    <t>CITY OF BOWIE (TDSP)</t>
  </si>
  <si>
    <t>8094182964000</t>
  </si>
  <si>
    <t>CITY OF BRADY (TDSP)</t>
  </si>
  <si>
    <t>070804877</t>
  </si>
  <si>
    <t>CITY OF COLEMAN (TDSP)</t>
  </si>
  <si>
    <t>1024920064000</t>
  </si>
  <si>
    <t>CITY OF COLLEGE STATION (TDSP)</t>
  </si>
  <si>
    <t>0403303004000</t>
  </si>
  <si>
    <t>CITY OF GARLAND (TDSP)</t>
  </si>
  <si>
    <t>6011012564000</t>
  </si>
  <si>
    <t>CITY OF GOLDSMITH (TDSP)</t>
  </si>
  <si>
    <t>0888946704000</t>
  </si>
  <si>
    <t>CITY OF HEARNE MUNICIPAL ELECTRIC SYSTEM (TDSP)</t>
  </si>
  <si>
    <t>0897458894000</t>
  </si>
  <si>
    <t>CITY OF ROBSTOWN UTILITY SYSTEM (TDSP)</t>
  </si>
  <si>
    <t>9387911424000</t>
  </si>
  <si>
    <t>0079360734000</t>
  </si>
  <si>
    <t>DENTON MUNICIPAL ELECTRIC (TDSP)</t>
  </si>
  <si>
    <t>GEUS (TDSP)</t>
  </si>
  <si>
    <t>8062449354000</t>
  </si>
  <si>
    <t>078423555</t>
  </si>
  <si>
    <t>006824106</t>
  </si>
  <si>
    <t>MEDINA ELECTRIC CO OP INC (TDSP) STEC</t>
  </si>
  <si>
    <t>0081378124000</t>
  </si>
  <si>
    <t>SAN MIGUEL ELECTRIC CO OP INC (TDSP)</t>
  </si>
  <si>
    <t>0884848524000</t>
  </si>
  <si>
    <t>SAN PATRICIO ELECTRIC CO OP (TDSP)</t>
  </si>
  <si>
    <t>003864907</t>
  </si>
  <si>
    <t>0038663324000</t>
  </si>
  <si>
    <t>008953861</t>
  </si>
  <si>
    <t>WEATHERFORD MUNICIPAL UTILITY SYSTEM (TDSP)</t>
  </si>
  <si>
    <t>0817196274000</t>
  </si>
  <si>
    <t>118487958</t>
  </si>
  <si>
    <t>0089492164100</t>
  </si>
  <si>
    <t>PEDERNALES ELEC CO OP INC AEP (TDSP)</t>
  </si>
  <si>
    <t>0079241114100</t>
  </si>
  <si>
    <t>TAYLOR ELECTRIC CO OP INC ABILENE (TDSP)</t>
  </si>
  <si>
    <t>0079344254100</t>
  </si>
  <si>
    <t>WESTERN FARMERS ELECTRIC COOPERATIVE (TDSP)</t>
  </si>
  <si>
    <t>0728624074000</t>
  </si>
  <si>
    <t>0088288574800</t>
  </si>
  <si>
    <t>Total</t>
  </si>
  <si>
    <t>Average 4CP Load</t>
  </si>
  <si>
    <t>TDSP Code</t>
  </si>
  <si>
    <t>Load Entity Name</t>
  </si>
  <si>
    <t>WOOD COUNTY ELECTRIC COOPERATIVE INC (TDSP)</t>
  </si>
  <si>
    <t>008952491</t>
  </si>
  <si>
    <t>HEART OF TEXAS ELECTRIC COOPERATIVE INC (DSP)</t>
  </si>
  <si>
    <t>012074558</t>
  </si>
  <si>
    <t>ONCOR ELECTRIC DELIVERY COMPANY LLC (TDSP)</t>
  </si>
  <si>
    <t>BRAZOS ELECTRIC POWER CO OP INC (TDSP)</t>
  </si>
  <si>
    <t>BROWNSVILLE PUBLIC UTILITIES BOARD (TDSP)</t>
  </si>
  <si>
    <t>CPS ENERGY (TDSP)</t>
  </si>
  <si>
    <t>0713801904000</t>
  </si>
  <si>
    <t>0098445644000</t>
  </si>
  <si>
    <t>0089538124000</t>
  </si>
  <si>
    <t>LAMAR COUNTY ELEC COOP DBA LEC RC HOUPL (TDSP)</t>
  </si>
  <si>
    <t>0048060974100</t>
  </si>
  <si>
    <t>TRINITY VALLEY ELECTRIC COOPERATIVE INC LPL (TDSP)</t>
  </si>
  <si>
    <t>AEP TEXAS CENTRAL COMPANY (TDSP)</t>
  </si>
  <si>
    <t>AEP TEXAS NORTH COMPANY (TDSP)</t>
  </si>
  <si>
    <t>BARTLETT ELECTRIC CO OP INC (TDSP)</t>
  </si>
  <si>
    <t>CITY OF SEYMOUR (TDSP)</t>
  </si>
  <si>
    <t>CITY OF WHITESBORO (TDSP)</t>
  </si>
  <si>
    <t>COMANCHE ELECTRIC CO OP ASSOCIATION (TDSP)</t>
  </si>
  <si>
    <t>COOKE COUNTY ELECTRIC CO OP ASSOC INC (TDSP)</t>
  </si>
  <si>
    <t>DEEP EAST TEXAS ELECTRIC CO OP INC (TDSP)</t>
  </si>
  <si>
    <t>DENTON COUNTY ELEC CO OP DBA COSERVE ELEC (TDSP)</t>
  </si>
  <si>
    <t>HAMILTON COUNTY ELECTRIC CO OP (BRAZOS) (TDSP)</t>
  </si>
  <si>
    <t>HOUSTON COUNTY ELEC COOP INC (TDSP)</t>
  </si>
  <si>
    <t>J A C ELECTRIC CO OP INC (TDSP)</t>
  </si>
  <si>
    <t>JASPER NEWTON ELECTRIC CO OP INC (TDSP)</t>
  </si>
  <si>
    <t>NAVARRO COUNTY ELECTRIC CO OP INC (TDSP)</t>
  </si>
  <si>
    <t>NAVASOTA VALLEY ELECTRIC CO OP INC (TDSP)</t>
  </si>
  <si>
    <t>TRI COUNTY ELECTRIC CO OP INC (TDSP)</t>
  </si>
  <si>
    <t>TRINITY VALLEY ELEC CO OP (TDSP)</t>
  </si>
  <si>
    <t>UNITED ELECTRIC CO OP SERVICES INC (TDSP)</t>
  </si>
  <si>
    <t>WISE ELECTRIC CO OP (TDSP)</t>
  </si>
  <si>
    <t>CHEROKEE COUNTY ELEC CO OP ASSOC (TDSP)</t>
  </si>
  <si>
    <t>CITY OF BARTLETT (TDSP)</t>
  </si>
  <si>
    <t>074618935</t>
  </si>
  <si>
    <t>JACKSON ELECTRIC CO OP INC (TDSP)</t>
  </si>
  <si>
    <t>KARNES ELECTRIC CO OP INC (TDSP)</t>
  </si>
  <si>
    <t>SOUTH TEXAS ELECTRIC CO OP INC (TDSP)</t>
  </si>
  <si>
    <t>VICTORIA ELECTRIC CO OP INC (TDSP)</t>
  </si>
  <si>
    <t>WHARTON COUNTY ELECTRIC CO OP INC (TDSP)</t>
  </si>
  <si>
    <t>HAMILTON COUNTY ELECTRIC CO OP (LCRA) (TDSP)</t>
  </si>
  <si>
    <t>CITY OF FARMERSVILLE (TDSP)</t>
  </si>
  <si>
    <t>1903494984000</t>
  </si>
  <si>
    <t>8012610534999</t>
  </si>
  <si>
    <t>GREENBELT ELECTRIC COOPERATIVE INC (EDSP)</t>
  </si>
  <si>
    <t>0098338564999</t>
  </si>
  <si>
    <t>DUNS NUMBER</t>
  </si>
  <si>
    <t>DEAF SMITH ELECTRIC COOPERATIVE INC (EDSP)</t>
  </si>
  <si>
    <t>0079307464999</t>
  </si>
  <si>
    <t>0027819534200</t>
  </si>
  <si>
    <t>SOUTHWEST RURAL ELECTRIC ASSOCIATION INC (EDSP)</t>
  </si>
  <si>
    <t>0079071734999</t>
  </si>
  <si>
    <t>NUECES ELECTRIC COOP INC (TDSP)</t>
  </si>
  <si>
    <t>* Note:  DC Tie exports, Block Load Transfer exports, and Wholesale Storage Loads are excluded from this report.</t>
  </si>
  <si>
    <t>RIO GRANDE ELECTRIC COOPERATIVE INC (TDSP) 2C</t>
  </si>
  <si>
    <t>FARMERS ELECTRIC CO OP INC NPL (TDSP)</t>
  </si>
  <si>
    <t>0098442344100</t>
  </si>
  <si>
    <t>SWISHER ELECTRIC COOPERATIVE INC (EDSP)</t>
  </si>
  <si>
    <t>0098337734999</t>
  </si>
  <si>
    <t>RUSK COUNTY ELECTRIC COOPERATIVE INC TSK (EDSP)</t>
  </si>
  <si>
    <t>0098444404999</t>
  </si>
  <si>
    <t>RUSK COUNTY ELECTRIC COOPERATIVE INC AEP (EDSP)</t>
  </si>
  <si>
    <t>0098444404991</t>
  </si>
  <si>
    <t>FARMERS ELECTRIC CO OP INC ARCO (TDSP)</t>
  </si>
  <si>
    <t>0098442344200</t>
  </si>
  <si>
    <t>FARMERS ELECTRIC CO OP INC PRTN RC (TDSP)</t>
  </si>
  <si>
    <t>0098442344300</t>
  </si>
  <si>
    <t>ENTERGY TEXAS INC (EDSP)</t>
  </si>
  <si>
    <t>CITY OF FLORESVILLE DBA FLORESVILLE ELEC LIGHT AND PWR (TDSP)</t>
  </si>
  <si>
    <t>008948374</t>
  </si>
  <si>
    <t>PEDERNALES ELEC CO OP INC DCP (TDSP)</t>
  </si>
  <si>
    <t>0079241114400</t>
  </si>
  <si>
    <t>CENTRAL TEXAS ELECTRIC COOPERATIVE - NORTH (TDSP)</t>
  </si>
  <si>
    <t>0079302744100</t>
  </si>
  <si>
    <t>GRAYSON COLLIN ELECTRIC COOPERATIVE INC (EPCO) (TDSP)</t>
  </si>
  <si>
    <t>GRAYSON COLLIN ELECTRIC COOPERATIVE INC (MEL) (TDSP)</t>
  </si>
  <si>
    <t>0089538124100</t>
  </si>
  <si>
    <t>GRAYSON COLLIN ELECTRIC COOPERATIVE INC (TDSP)</t>
  </si>
  <si>
    <t>RIO GRANDE ELECTRIC COOPERATIVE INC (TDSP) 2A</t>
  </si>
  <si>
    <t>0027819534100</t>
  </si>
  <si>
    <t>CITY OF LUBBOCK ACTING THROUGH LUBBOCK POWER AND LIGHT (TDSP)</t>
  </si>
  <si>
    <t>0582138934000</t>
  </si>
  <si>
    <t>FANNIN COUNTY ELECTRIC CO OP INC NTMWD (TDSP)</t>
  </si>
  <si>
    <t>0018220894100</t>
  </si>
  <si>
    <t>FARMERS ELECTRIC CO OP INC NTMWD (TDSP)</t>
  </si>
  <si>
    <t>0098442344400</t>
  </si>
  <si>
    <t>TRINITY VALLEY ELECTRIC COOPERATIVE NTMWD (TDSP)</t>
  </si>
  <si>
    <t>0098445644100</t>
  </si>
  <si>
    <t xml:space="preserve">June 
6/23/2022 17:00 </t>
  </si>
  <si>
    <t>July
7/20/2022 16:45</t>
  </si>
  <si>
    <t>DENTON MUNICIPAL ELECTRIC CS (TDSP)</t>
  </si>
  <si>
    <t>0713801904100</t>
  </si>
  <si>
    <t>August
8/02/2022 17:00</t>
  </si>
  <si>
    <t>September
9/20/2022 17:00</t>
  </si>
  <si>
    <t>2022 Four Coincident Peak Load Calculation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</si>
</sst>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%"/>
    <numFmt numFmtId="165" formatCode="_(* #,##0.0000_);_(* \(#,##0.0000\);_(* &quot;-&quot;??_);_(@_)"/>
    <numFmt numFmtId="166" formatCode="#,##0.000000_);\(#,##0.000000\)"/>
    <numFmt numFmtId="167" formatCode="#,##0.000000"/>
  </numFmts>
  <fonts count="12" x14ac:knownFonts="1">
    <font>
      <sz val="10"/>
      <name val="Arial"/>
    </font>
    <font>
      <sz val="10"/>
      <name val="Arial"/>
      <family val="2"/>
    </font>
    <font>
      <b/>
      <sz val="16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0" fillId="0" borderId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Border="1"/>
    <xf numFmtId="164" fontId="3" fillId="0" borderId="1" xfId="0" applyNumberFormat="1" applyFont="1" applyBorder="1" applyAlignment="1"/>
    <xf numFmtId="0" fontId="0" fillId="0" borderId="2" xfId="0" applyBorder="1"/>
    <xf numFmtId="0" fontId="0" fillId="0" borderId="3" xfId="0" applyBorder="1"/>
    <xf numFmtId="0" fontId="5" fillId="0" borderId="4" xfId="0" quotePrefix="1" applyFont="1" applyFill="1" applyBorder="1" applyAlignment="1" applyProtection="1">
      <alignment horizontal="left"/>
      <protection locked="0"/>
    </xf>
    <xf numFmtId="0" fontId="7" fillId="0" borderId="2" xfId="0" quotePrefix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NumberFormat="1" applyFont="1" applyBorder="1"/>
    <xf numFmtId="0" fontId="11" fillId="0" borderId="6" xfId="0" applyNumberFormat="1" applyFont="1" applyBorder="1"/>
    <xf numFmtId="164" fontId="6" fillId="0" borderId="6" xfId="5" applyNumberFormat="1" applyFont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167" fontId="4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Fill="1" applyBorder="1"/>
    <xf numFmtId="167" fontId="6" fillId="0" borderId="6" xfId="0" applyNumberFormat="1" applyFont="1" applyBorder="1"/>
    <xf numFmtId="164" fontId="0" fillId="0" borderId="0" xfId="0" applyNumberFormat="1" applyBorder="1"/>
    <xf numFmtId="0" fontId="11" fillId="0" borderId="0" xfId="0" applyFont="1" applyBorder="1" applyAlignment="1">
      <alignment horizontal="center"/>
    </xf>
    <xf numFmtId="0" fontId="11" fillId="0" borderId="0" xfId="0" applyNumberFormat="1" applyFont="1" applyBorder="1"/>
    <xf numFmtId="14" fontId="11" fillId="0" borderId="0" xfId="0" applyNumberFormat="1" applyFont="1" applyBorder="1"/>
    <xf numFmtId="0" fontId="1" fillId="0" borderId="0" xfId="0" applyFont="1" applyBorder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Percent" xfId="5" builtinId="5"/>
    <cellStyle name="Percent 2" xfId="6" xr:uid="{00000000-0005-0000-0000-000006000000}"/>
    <cellStyle name="Percent 2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"/>
  <sheetViews>
    <sheetView tabSelected="1" workbookViewId="0">
      <selection sqref="A1:I1"/>
    </sheetView>
  </sheetViews>
  <sheetFormatPr defaultColWidth="8.85546875" defaultRowHeight="12.75" x14ac:dyDescent="0.2"/>
  <cols>
    <col min="1" max="1" width="7" style="1" customWidth="1"/>
    <col min="2" max="2" width="68.140625" style="1" customWidth="1"/>
    <col min="3" max="3" width="14.42578125" style="1" bestFit="1" customWidth="1"/>
    <col min="4" max="4" width="13.85546875" style="1" bestFit="1" customWidth="1"/>
    <col min="5" max="5" width="13.5703125" style="1" bestFit="1" customWidth="1"/>
    <col min="6" max="6" width="13.5703125" style="1" customWidth="1"/>
    <col min="7" max="7" width="13.85546875" style="1" bestFit="1" customWidth="1"/>
    <col min="8" max="8" width="13.28515625" style="1" bestFit="1" customWidth="1"/>
    <col min="9" max="9" width="15" style="1" bestFit="1" customWidth="1"/>
    <col min="10" max="16384" width="8.85546875" style="1"/>
  </cols>
  <sheetData>
    <row r="1" spans="1:11" ht="20.25" x14ac:dyDescent="0.3">
      <c r="A1" s="32" t="s">
        <v>289</v>
      </c>
      <c r="B1" s="33"/>
      <c r="C1" s="33"/>
      <c r="D1" s="33"/>
      <c r="E1" s="33"/>
      <c r="F1" s="33"/>
      <c r="G1" s="33"/>
      <c r="H1" s="33"/>
      <c r="I1" s="33"/>
      <c r="K1" s="28"/>
    </row>
    <row r="2" spans="1:11" x14ac:dyDescent="0.2">
      <c r="A2" s="34"/>
      <c r="B2" s="35"/>
      <c r="C2" s="35"/>
      <c r="D2" s="35"/>
      <c r="E2" s="35"/>
      <c r="F2" s="35"/>
      <c r="G2" s="35"/>
      <c r="H2" s="35"/>
      <c r="I2" s="35"/>
    </row>
    <row r="3" spans="1:11" ht="36" x14ac:dyDescent="0.2">
      <c r="A3" s="7" t="s">
        <v>192</v>
      </c>
      <c r="B3" s="8" t="s">
        <v>193</v>
      </c>
      <c r="C3" s="7" t="s">
        <v>241</v>
      </c>
      <c r="D3" s="9" t="s">
        <v>283</v>
      </c>
      <c r="E3" s="9" t="s">
        <v>284</v>
      </c>
      <c r="F3" s="9" t="s">
        <v>287</v>
      </c>
      <c r="G3" s="9" t="s">
        <v>288</v>
      </c>
      <c r="H3" s="9" t="s">
        <v>191</v>
      </c>
      <c r="I3" s="10" t="s">
        <v>0</v>
      </c>
    </row>
    <row r="4" spans="1:11" x14ac:dyDescent="0.2">
      <c r="A4">
        <v>5</v>
      </c>
      <c r="B4" t="s">
        <v>208</v>
      </c>
      <c r="C4" s="29" t="s">
        <v>6</v>
      </c>
      <c r="D4" s="18">
        <v>5290.1200760000002</v>
      </c>
      <c r="E4" s="18">
        <v>5392.1969360000003</v>
      </c>
      <c r="F4" s="18">
        <v>5442.4770760000001</v>
      </c>
      <c r="G4" s="18">
        <v>4785.04936</v>
      </c>
      <c r="H4" s="19">
        <f t="shared" ref="H4:H36" si="0">AVERAGE(D4:G4)</f>
        <v>5227.4608619999999</v>
      </c>
      <c r="I4" s="2">
        <f t="shared" ref="I4:I35" si="1">ROUND(H4/H$144,7)</f>
        <v>6.8142300000000003E-2</v>
      </c>
    </row>
    <row r="5" spans="1:11" x14ac:dyDescent="0.2">
      <c r="A5">
        <v>7</v>
      </c>
      <c r="B5" t="s">
        <v>209</v>
      </c>
      <c r="C5" s="29" t="s">
        <v>7</v>
      </c>
      <c r="D5" s="18">
        <v>1187.918232</v>
      </c>
      <c r="E5" s="18">
        <v>1239.9922079999999</v>
      </c>
      <c r="F5" s="18">
        <v>1265.9318679999999</v>
      </c>
      <c r="G5" s="18">
        <v>1085.724688</v>
      </c>
      <c r="H5" s="19">
        <f t="shared" si="0"/>
        <v>1194.8917489999999</v>
      </c>
      <c r="I5" s="2">
        <f t="shared" si="1"/>
        <v>1.5576E-2</v>
      </c>
    </row>
    <row r="6" spans="1:11" x14ac:dyDescent="0.2">
      <c r="A6">
        <v>18</v>
      </c>
      <c r="B6" t="s">
        <v>8</v>
      </c>
      <c r="C6" s="29" t="s">
        <v>9</v>
      </c>
      <c r="D6" s="18">
        <v>167.356492</v>
      </c>
      <c r="E6" s="18">
        <v>175.14990399999999</v>
      </c>
      <c r="F6" s="18">
        <v>164.78858</v>
      </c>
      <c r="G6" s="18">
        <v>140.203688</v>
      </c>
      <c r="H6" s="19">
        <f t="shared" si="0"/>
        <v>161.87466599999999</v>
      </c>
      <c r="I6" s="2">
        <f t="shared" si="1"/>
        <v>2.1101000000000002E-3</v>
      </c>
    </row>
    <row r="7" spans="1:11" x14ac:dyDescent="0.2">
      <c r="A7">
        <v>19</v>
      </c>
      <c r="B7" t="s">
        <v>210</v>
      </c>
      <c r="C7" s="29" t="s">
        <v>10</v>
      </c>
      <c r="D7" s="18">
        <v>52.3125</v>
      </c>
      <c r="E7" s="18">
        <v>56.071551999999997</v>
      </c>
      <c r="F7" s="18">
        <v>53.561416000000001</v>
      </c>
      <c r="G7" s="18">
        <v>45.140923999999998</v>
      </c>
      <c r="H7" s="19">
        <f t="shared" si="0"/>
        <v>51.771597999999997</v>
      </c>
      <c r="I7" s="2">
        <f t="shared" si="1"/>
        <v>6.7489999999999998E-4</v>
      </c>
    </row>
    <row r="8" spans="1:11" x14ac:dyDescent="0.2">
      <c r="A8">
        <v>21</v>
      </c>
      <c r="B8" t="s">
        <v>11</v>
      </c>
      <c r="C8" s="29" t="s">
        <v>12</v>
      </c>
      <c r="D8" s="18">
        <v>44.671999999999997</v>
      </c>
      <c r="E8" s="18">
        <v>47.798299999999998</v>
      </c>
      <c r="F8" s="18">
        <v>45.525052000000002</v>
      </c>
      <c r="G8" s="18">
        <v>42.111899999999999</v>
      </c>
      <c r="H8" s="19">
        <f t="shared" si="0"/>
        <v>45.026812999999997</v>
      </c>
      <c r="I8" s="2">
        <f t="shared" si="1"/>
        <v>5.8690000000000001E-4</v>
      </c>
    </row>
    <row r="9" spans="1:11" x14ac:dyDescent="0.2">
      <c r="A9">
        <v>22</v>
      </c>
      <c r="B9" t="s">
        <v>13</v>
      </c>
      <c r="C9" s="29" t="s">
        <v>14</v>
      </c>
      <c r="D9" s="18">
        <v>601.43174399999998</v>
      </c>
      <c r="E9" s="18">
        <v>610.50495599999999</v>
      </c>
      <c r="F9" s="18">
        <v>613.25676399999998</v>
      </c>
      <c r="G9" s="18">
        <v>550.12865199999999</v>
      </c>
      <c r="H9" s="19">
        <f t="shared" si="0"/>
        <v>593.83052899999996</v>
      </c>
      <c r="I9" s="2">
        <f t="shared" si="1"/>
        <v>7.7409000000000002E-3</v>
      </c>
    </row>
    <row r="10" spans="1:11" x14ac:dyDescent="0.2">
      <c r="A10">
        <v>23</v>
      </c>
      <c r="B10" t="s">
        <v>199</v>
      </c>
      <c r="C10" s="29" t="s">
        <v>15</v>
      </c>
      <c r="D10" s="20">
        <v>0.90957200000000005</v>
      </c>
      <c r="E10" s="20">
        <v>1.003468</v>
      </c>
      <c r="F10" s="20">
        <v>0.99934000000000001</v>
      </c>
      <c r="G10" s="20">
        <v>0.94215599999999999</v>
      </c>
      <c r="H10" s="19">
        <f t="shared" si="0"/>
        <v>0.9636340000000001</v>
      </c>
      <c r="I10" s="2">
        <f t="shared" si="1"/>
        <v>1.26E-5</v>
      </c>
    </row>
    <row r="11" spans="1:11" x14ac:dyDescent="0.2">
      <c r="A11">
        <v>104</v>
      </c>
      <c r="B11" t="s">
        <v>200</v>
      </c>
      <c r="C11" s="29" t="s">
        <v>143</v>
      </c>
      <c r="D11" s="18">
        <v>268.49225200000001</v>
      </c>
      <c r="E11" s="18">
        <v>276.854512</v>
      </c>
      <c r="F11" s="18">
        <v>276.544352</v>
      </c>
      <c r="G11" s="18">
        <v>234.793688</v>
      </c>
      <c r="H11" s="19">
        <f t="shared" si="0"/>
        <v>264.171201</v>
      </c>
      <c r="I11" s="2">
        <f t="shared" si="1"/>
        <v>3.4435999999999998E-3</v>
      </c>
    </row>
    <row r="12" spans="1:11" x14ac:dyDescent="0.2">
      <c r="A12">
        <v>105</v>
      </c>
      <c r="B12" t="s">
        <v>144</v>
      </c>
      <c r="C12" s="29" t="s">
        <v>145</v>
      </c>
      <c r="D12" s="18">
        <v>425.86219599999998</v>
      </c>
      <c r="E12" s="18">
        <v>400.730164</v>
      </c>
      <c r="F12" s="18">
        <v>389.11790400000001</v>
      </c>
      <c r="G12" s="18">
        <v>369.20784400000002</v>
      </c>
      <c r="H12" s="19">
        <f t="shared" si="0"/>
        <v>396.22952700000002</v>
      </c>
      <c r="I12" s="2">
        <f t="shared" si="1"/>
        <v>5.1650000000000003E-3</v>
      </c>
    </row>
    <row r="13" spans="1:11" x14ac:dyDescent="0.2">
      <c r="A13">
        <v>1</v>
      </c>
      <c r="B13" t="s">
        <v>1</v>
      </c>
      <c r="C13" s="29" t="s">
        <v>2</v>
      </c>
      <c r="D13" s="18">
        <v>19053.638360000001</v>
      </c>
      <c r="E13" s="18">
        <v>19115.412224</v>
      </c>
      <c r="F13" s="18">
        <v>19211.890232000002</v>
      </c>
      <c r="G13" s="18">
        <v>17547.686888</v>
      </c>
      <c r="H13" s="19">
        <f t="shared" si="0"/>
        <v>18732.156926</v>
      </c>
      <c r="I13" s="2">
        <f t="shared" si="1"/>
        <v>0.24418219999999999</v>
      </c>
    </row>
    <row r="14" spans="1:11" x14ac:dyDescent="0.2">
      <c r="A14">
        <v>25</v>
      </c>
      <c r="B14" t="s">
        <v>16</v>
      </c>
      <c r="C14" s="29" t="s">
        <v>17</v>
      </c>
      <c r="D14" s="18">
        <v>155.72474399999999</v>
      </c>
      <c r="E14" s="18">
        <v>164.773088</v>
      </c>
      <c r="F14" s="18">
        <v>154.309956</v>
      </c>
      <c r="G14" s="18">
        <v>132.092592</v>
      </c>
      <c r="H14" s="19">
        <f t="shared" si="0"/>
        <v>151.72509500000001</v>
      </c>
      <c r="I14" s="2">
        <f t="shared" si="1"/>
        <v>1.9778E-3</v>
      </c>
    </row>
    <row r="15" spans="1:11" x14ac:dyDescent="0.2">
      <c r="A15">
        <v>209</v>
      </c>
      <c r="B15" t="s">
        <v>267</v>
      </c>
      <c r="C15" s="29" t="s">
        <v>268</v>
      </c>
      <c r="D15" s="18">
        <v>0.17824799999999999</v>
      </c>
      <c r="E15" s="18">
        <v>0.18455199999999999</v>
      </c>
      <c r="F15" s="18">
        <v>15.302016</v>
      </c>
      <c r="G15" s="18">
        <v>11.895616</v>
      </c>
      <c r="H15" s="19">
        <f t="shared" ref="H15" si="2">AVERAGE(D15:G15)</f>
        <v>6.8901079999999997</v>
      </c>
      <c r="I15" s="2">
        <f t="shared" si="1"/>
        <v>8.9800000000000001E-5</v>
      </c>
    </row>
    <row r="16" spans="1:11" x14ac:dyDescent="0.2">
      <c r="A16">
        <v>107</v>
      </c>
      <c r="B16" t="s">
        <v>227</v>
      </c>
      <c r="C16" s="29" t="s">
        <v>146</v>
      </c>
      <c r="D16" s="18">
        <v>64.102215999999999</v>
      </c>
      <c r="E16" s="18">
        <v>80.257136000000003</v>
      </c>
      <c r="F16" s="18">
        <v>74.106560000000002</v>
      </c>
      <c r="G16" s="18">
        <v>67.601755999999995</v>
      </c>
      <c r="H16" s="19">
        <f t="shared" si="0"/>
        <v>71.516917000000007</v>
      </c>
      <c r="I16" s="2">
        <f t="shared" si="1"/>
        <v>9.3229999999999995E-4</v>
      </c>
    </row>
    <row r="17" spans="1:9" x14ac:dyDescent="0.2">
      <c r="A17">
        <v>108</v>
      </c>
      <c r="B17" t="s">
        <v>147</v>
      </c>
      <c r="C17" s="29" t="s">
        <v>148</v>
      </c>
      <c r="D17" s="18">
        <v>2741.5027879999998</v>
      </c>
      <c r="E17" s="18">
        <v>2849.1608000000001</v>
      </c>
      <c r="F17" s="18">
        <v>2781.27702</v>
      </c>
      <c r="G17" s="18">
        <v>2592.3767760000001</v>
      </c>
      <c r="H17" s="19">
        <f t="shared" si="0"/>
        <v>2741.0793459999995</v>
      </c>
      <c r="I17" s="2">
        <f t="shared" si="1"/>
        <v>3.5731199999999998E-2</v>
      </c>
    </row>
    <row r="18" spans="1:9" x14ac:dyDescent="0.2">
      <c r="A18">
        <v>109</v>
      </c>
      <c r="B18" t="s">
        <v>228</v>
      </c>
      <c r="C18" s="29" t="s">
        <v>229</v>
      </c>
      <c r="D18" s="18">
        <v>2.8143720000000001</v>
      </c>
      <c r="E18" s="18">
        <v>2.977776</v>
      </c>
      <c r="F18" s="18">
        <v>2.936836</v>
      </c>
      <c r="G18" s="18">
        <v>2.569512</v>
      </c>
      <c r="H18" s="19">
        <f t="shared" si="0"/>
        <v>2.824624</v>
      </c>
      <c r="I18" s="2">
        <f t="shared" si="1"/>
        <v>3.68E-5</v>
      </c>
    </row>
    <row r="19" spans="1:9" x14ac:dyDescent="0.2">
      <c r="A19">
        <v>26</v>
      </c>
      <c r="B19" t="s">
        <v>18</v>
      </c>
      <c r="C19" s="29" t="s">
        <v>19</v>
      </c>
      <c r="D19" s="18">
        <v>17.598292000000001</v>
      </c>
      <c r="E19" s="18">
        <v>18.474404</v>
      </c>
      <c r="F19" s="18">
        <v>18.215228</v>
      </c>
      <c r="G19" s="18">
        <v>16.804635999999999</v>
      </c>
      <c r="H19" s="19">
        <f t="shared" si="0"/>
        <v>17.773140000000001</v>
      </c>
      <c r="I19" s="2">
        <f t="shared" si="1"/>
        <v>2.3169999999999999E-4</v>
      </c>
    </row>
    <row r="20" spans="1:9" x14ac:dyDescent="0.2">
      <c r="A20">
        <v>27</v>
      </c>
      <c r="B20" t="s">
        <v>20</v>
      </c>
      <c r="C20" s="29" t="s">
        <v>21</v>
      </c>
      <c r="D20" s="18">
        <v>13.418792</v>
      </c>
      <c r="E20" s="18">
        <v>14.423120000000001</v>
      </c>
      <c r="F20" s="18">
        <v>14.014408</v>
      </c>
      <c r="G20" s="18">
        <v>12.726948</v>
      </c>
      <c r="H20" s="19">
        <f t="shared" si="0"/>
        <v>13.645816999999999</v>
      </c>
      <c r="I20" s="2">
        <f t="shared" si="1"/>
        <v>1.7789999999999999E-4</v>
      </c>
    </row>
    <row r="21" spans="1:9" x14ac:dyDescent="0.2">
      <c r="A21">
        <v>28</v>
      </c>
      <c r="B21" t="s">
        <v>22</v>
      </c>
      <c r="C21" s="29" t="s">
        <v>23</v>
      </c>
      <c r="D21" s="18">
        <v>35.247163999999998</v>
      </c>
      <c r="E21" s="18">
        <v>37.431244</v>
      </c>
      <c r="F21" s="18">
        <v>35.389220000000002</v>
      </c>
      <c r="G21" s="18">
        <v>32.782947999999998</v>
      </c>
      <c r="H21" s="19">
        <f t="shared" si="0"/>
        <v>35.212643999999997</v>
      </c>
      <c r="I21" s="2">
        <f t="shared" si="1"/>
        <v>4.5899999999999999E-4</v>
      </c>
    </row>
    <row r="22" spans="1:9" x14ac:dyDescent="0.2">
      <c r="A22">
        <v>110</v>
      </c>
      <c r="B22" t="s">
        <v>149</v>
      </c>
      <c r="C22" s="29" t="s">
        <v>150</v>
      </c>
      <c r="D22" s="18">
        <v>15.931476</v>
      </c>
      <c r="E22" s="18">
        <v>18.449988000000001</v>
      </c>
      <c r="F22" s="18">
        <v>16.605551999999999</v>
      </c>
      <c r="G22" s="18">
        <v>13.945527999999999</v>
      </c>
      <c r="H22" s="19">
        <f t="shared" si="0"/>
        <v>16.233135999999998</v>
      </c>
      <c r="I22" s="2">
        <f t="shared" si="1"/>
        <v>2.1159999999999999E-4</v>
      </c>
    </row>
    <row r="23" spans="1:9" x14ac:dyDescent="0.2">
      <c r="A23">
        <v>111</v>
      </c>
      <c r="B23" t="s">
        <v>151</v>
      </c>
      <c r="C23" s="29" t="s">
        <v>152</v>
      </c>
      <c r="D23" s="18">
        <v>14.701288</v>
      </c>
      <c r="E23" s="18">
        <v>15.205743999999999</v>
      </c>
      <c r="F23" s="18">
        <v>14.204492</v>
      </c>
      <c r="G23" s="18">
        <v>12.88768</v>
      </c>
      <c r="H23" s="19">
        <f t="shared" si="0"/>
        <v>14.249801000000001</v>
      </c>
      <c r="I23" s="2">
        <f t="shared" si="1"/>
        <v>1.8579999999999999E-4</v>
      </c>
    </row>
    <row r="24" spans="1:9" x14ac:dyDescent="0.2">
      <c r="A24">
        <v>29</v>
      </c>
      <c r="B24" t="s">
        <v>24</v>
      </c>
      <c r="C24" s="29" t="s">
        <v>25</v>
      </c>
      <c r="D24" s="18">
        <v>57.703712000000003</v>
      </c>
      <c r="E24" s="18">
        <v>59.815224000000001</v>
      </c>
      <c r="F24" s="18">
        <v>57.461039999999997</v>
      </c>
      <c r="G24" s="18">
        <v>54.338608000000001</v>
      </c>
      <c r="H24" s="19">
        <f t="shared" si="0"/>
        <v>57.329645999999997</v>
      </c>
      <c r="I24" s="2">
        <f t="shared" si="1"/>
        <v>7.473E-4</v>
      </c>
    </row>
    <row r="25" spans="1:9" x14ac:dyDescent="0.2">
      <c r="A25">
        <v>30</v>
      </c>
      <c r="B25" t="s">
        <v>26</v>
      </c>
      <c r="C25" s="29" t="s">
        <v>27</v>
      </c>
      <c r="D25" s="18">
        <v>13.541604</v>
      </c>
      <c r="E25" s="18">
        <v>15.337580000000001</v>
      </c>
      <c r="F25" s="18">
        <v>14.194699999999999</v>
      </c>
      <c r="G25" s="18">
        <v>12.602831999999999</v>
      </c>
      <c r="H25" s="19">
        <f t="shared" si="0"/>
        <v>13.919179</v>
      </c>
      <c r="I25" s="2">
        <f t="shared" si="1"/>
        <v>1.8139999999999999E-4</v>
      </c>
    </row>
    <row r="26" spans="1:9" x14ac:dyDescent="0.2">
      <c r="A26">
        <v>31</v>
      </c>
      <c r="B26" t="s">
        <v>28</v>
      </c>
      <c r="C26" s="29" t="s">
        <v>29</v>
      </c>
      <c r="D26" s="18">
        <v>19.936340000000001</v>
      </c>
      <c r="E26" s="18">
        <v>21.002412</v>
      </c>
      <c r="F26" s="18">
        <v>19.620868000000002</v>
      </c>
      <c r="G26" s="18">
        <v>18.010795999999999</v>
      </c>
      <c r="H26" s="19">
        <f t="shared" si="0"/>
        <v>19.642603999999999</v>
      </c>
      <c r="I26" s="2">
        <f t="shared" si="1"/>
        <v>2.5609999999999999E-4</v>
      </c>
    </row>
    <row r="27" spans="1:9" x14ac:dyDescent="0.2">
      <c r="A27">
        <v>113</v>
      </c>
      <c r="B27" t="s">
        <v>153</v>
      </c>
      <c r="C27" s="29" t="s">
        <v>154</v>
      </c>
      <c r="D27" s="18">
        <v>9.3251080000000002</v>
      </c>
      <c r="E27" s="18">
        <v>9.8721800000000002</v>
      </c>
      <c r="F27" s="18">
        <v>9.564292</v>
      </c>
      <c r="G27" s="18">
        <v>4.686788</v>
      </c>
      <c r="H27" s="19">
        <f t="shared" si="0"/>
        <v>8.3620920000000005</v>
      </c>
      <c r="I27" s="2">
        <f t="shared" si="1"/>
        <v>1.0900000000000001E-4</v>
      </c>
    </row>
    <row r="28" spans="1:9" x14ac:dyDescent="0.2">
      <c r="A28">
        <v>114</v>
      </c>
      <c r="B28" t="s">
        <v>155</v>
      </c>
      <c r="C28" s="29" t="s">
        <v>156</v>
      </c>
      <c r="D28" s="18">
        <v>215.760424</v>
      </c>
      <c r="E28" s="18">
        <v>226.54589200000001</v>
      </c>
      <c r="F28" s="18">
        <v>216.58177599999999</v>
      </c>
      <c r="G28" s="18">
        <v>205.28729200000001</v>
      </c>
      <c r="H28" s="19">
        <f t="shared" si="0"/>
        <v>216.043846</v>
      </c>
      <c r="I28" s="2">
        <f t="shared" si="1"/>
        <v>2.8162E-3</v>
      </c>
    </row>
    <row r="29" spans="1:9" x14ac:dyDescent="0.2">
      <c r="A29">
        <v>32</v>
      </c>
      <c r="B29" t="s">
        <v>30</v>
      </c>
      <c r="C29" s="29" t="s">
        <v>31</v>
      </c>
      <c r="D29" s="18">
        <v>21.581440000000001</v>
      </c>
      <c r="E29" s="18">
        <v>21.766027999999999</v>
      </c>
      <c r="F29" s="18">
        <v>22.020219999999998</v>
      </c>
      <c r="G29" s="18">
        <v>19.559884</v>
      </c>
      <c r="H29" s="19">
        <f t="shared" si="0"/>
        <v>21.231892999999999</v>
      </c>
      <c r="I29" s="2">
        <f t="shared" si="1"/>
        <v>2.7680000000000001E-4</v>
      </c>
    </row>
    <row r="30" spans="1:9" x14ac:dyDescent="0.2">
      <c r="A30">
        <v>115</v>
      </c>
      <c r="B30" t="s">
        <v>236</v>
      </c>
      <c r="C30" s="29" t="s">
        <v>237</v>
      </c>
      <c r="D30" s="21">
        <v>7.6315920000000004</v>
      </c>
      <c r="E30" s="21">
        <v>8.5955720000000007</v>
      </c>
      <c r="F30" s="21">
        <v>8.0206920000000004</v>
      </c>
      <c r="G30" s="21">
        <v>7.0624799999999999</v>
      </c>
      <c r="H30" s="19">
        <f t="shared" si="0"/>
        <v>7.8275840000000008</v>
      </c>
      <c r="I30" s="2">
        <f t="shared" si="1"/>
        <v>1.02E-4</v>
      </c>
    </row>
    <row r="31" spans="1:9" x14ac:dyDescent="0.2">
      <c r="A31">
        <v>33</v>
      </c>
      <c r="B31" t="s">
        <v>32</v>
      </c>
      <c r="C31" s="29" t="s">
        <v>33</v>
      </c>
      <c r="D31" s="18">
        <v>6.1024079999999996</v>
      </c>
      <c r="E31" s="18">
        <v>6.2713159999999997</v>
      </c>
      <c r="F31" s="18">
        <v>6.0922599999999996</v>
      </c>
      <c r="G31" s="18">
        <v>5.8358840000000001</v>
      </c>
      <c r="H31" s="19">
        <f t="shared" si="0"/>
        <v>6.0754669999999997</v>
      </c>
      <c r="I31" s="2">
        <f t="shared" si="1"/>
        <v>7.9200000000000001E-5</v>
      </c>
    </row>
    <row r="32" spans="1:9" x14ac:dyDescent="0.2">
      <c r="A32">
        <v>116</v>
      </c>
      <c r="B32" t="s">
        <v>263</v>
      </c>
      <c r="C32" s="29" t="s">
        <v>264</v>
      </c>
      <c r="D32" s="18">
        <v>82.117980000000003</v>
      </c>
      <c r="E32" s="18">
        <v>86.034199999999998</v>
      </c>
      <c r="F32" s="18">
        <v>85.517908000000006</v>
      </c>
      <c r="G32" s="18">
        <v>72.101759999999999</v>
      </c>
      <c r="H32" s="19">
        <f t="shared" ref="H32" si="3">AVERAGE(D32:G32)</f>
        <v>81.442961999999994</v>
      </c>
      <c r="I32" s="2">
        <f t="shared" si="1"/>
        <v>1.0616E-3</v>
      </c>
    </row>
    <row r="33" spans="1:9" x14ac:dyDescent="0.2">
      <c r="A33">
        <v>34</v>
      </c>
      <c r="B33" t="s">
        <v>34</v>
      </c>
      <c r="C33" s="29" t="s">
        <v>35</v>
      </c>
      <c r="D33" s="18">
        <v>34.463872000000002</v>
      </c>
      <c r="E33" s="18">
        <v>36.17944</v>
      </c>
      <c r="F33" s="18">
        <v>33.471304000000003</v>
      </c>
      <c r="G33" s="18">
        <v>29.674043999999999</v>
      </c>
      <c r="H33" s="19">
        <f t="shared" si="0"/>
        <v>33.447165000000005</v>
      </c>
      <c r="I33" s="2">
        <f t="shared" si="1"/>
        <v>4.3600000000000003E-4</v>
      </c>
    </row>
    <row r="34" spans="1:9" x14ac:dyDescent="0.2">
      <c r="A34">
        <v>117</v>
      </c>
      <c r="B34" t="s">
        <v>157</v>
      </c>
      <c r="C34" s="29" t="s">
        <v>158</v>
      </c>
      <c r="D34" s="18">
        <v>466.66988800000001</v>
      </c>
      <c r="E34" s="18">
        <v>509.01687199999998</v>
      </c>
      <c r="F34" s="18">
        <v>487.90565600000002</v>
      </c>
      <c r="G34" s="18">
        <v>406.023664</v>
      </c>
      <c r="H34" s="19">
        <f t="shared" si="0"/>
        <v>467.40402</v>
      </c>
      <c r="I34" s="2">
        <f t="shared" si="1"/>
        <v>6.0927999999999998E-3</v>
      </c>
    </row>
    <row r="35" spans="1:9" x14ac:dyDescent="0.2">
      <c r="A35">
        <v>35</v>
      </c>
      <c r="B35" t="s">
        <v>36</v>
      </c>
      <c r="C35" s="29" t="s">
        <v>37</v>
      </c>
      <c r="D35" s="18">
        <v>164.933268</v>
      </c>
      <c r="E35" s="18">
        <v>174.65305599999999</v>
      </c>
      <c r="F35" s="18">
        <v>167.194872</v>
      </c>
      <c r="G35" s="18">
        <v>152.19253599999999</v>
      </c>
      <c r="H35" s="19">
        <f t="shared" si="0"/>
        <v>164.74343300000001</v>
      </c>
      <c r="I35" s="2">
        <f t="shared" si="1"/>
        <v>2.1475000000000001E-3</v>
      </c>
    </row>
    <row r="36" spans="1:9" x14ac:dyDescent="0.2">
      <c r="A36">
        <v>36</v>
      </c>
      <c r="B36" t="s">
        <v>38</v>
      </c>
      <c r="C36" s="29" t="s">
        <v>39</v>
      </c>
      <c r="D36" s="18">
        <v>13.065239999999999</v>
      </c>
      <c r="E36" s="18">
        <v>13.649876000000001</v>
      </c>
      <c r="F36" s="18">
        <v>13.478396</v>
      </c>
      <c r="G36" s="18">
        <v>12.008584000000001</v>
      </c>
      <c r="H36" s="19">
        <f t="shared" si="0"/>
        <v>13.050523999999999</v>
      </c>
      <c r="I36" s="2">
        <f t="shared" ref="I36:I67" si="4">ROUND(H36/H$144,7)</f>
        <v>1.7009999999999999E-4</v>
      </c>
    </row>
    <row r="37" spans="1:9" x14ac:dyDescent="0.2">
      <c r="A37">
        <v>118</v>
      </c>
      <c r="B37" t="s">
        <v>159</v>
      </c>
      <c r="C37" s="29" t="s">
        <v>160</v>
      </c>
      <c r="D37" s="18">
        <v>0.89643600000000001</v>
      </c>
      <c r="E37" s="18">
        <v>1.03088</v>
      </c>
      <c r="F37" s="18">
        <v>1.023488</v>
      </c>
      <c r="G37" s="18">
        <v>0.80168799999999996</v>
      </c>
      <c r="H37" s="19">
        <f t="shared" ref="H37:H68" si="5">AVERAGE(D37:G37)</f>
        <v>0.93812299999999993</v>
      </c>
      <c r="I37" s="2">
        <f t="shared" si="4"/>
        <v>1.22E-5</v>
      </c>
    </row>
    <row r="38" spans="1:9" x14ac:dyDescent="0.2">
      <c r="A38">
        <v>37</v>
      </c>
      <c r="B38" t="s">
        <v>40</v>
      </c>
      <c r="C38" s="29" t="s">
        <v>41</v>
      </c>
      <c r="D38" s="18">
        <v>5.246308</v>
      </c>
      <c r="E38" s="18">
        <v>5.9916080000000003</v>
      </c>
      <c r="F38" s="18">
        <v>5.5050160000000004</v>
      </c>
      <c r="G38" s="18">
        <v>4.6088440000000004</v>
      </c>
      <c r="H38" s="19">
        <f t="shared" si="5"/>
        <v>5.3379440000000002</v>
      </c>
      <c r="I38" s="2">
        <f t="shared" si="4"/>
        <v>6.9599999999999998E-5</v>
      </c>
    </row>
    <row r="39" spans="1:9" ht="12.75" customHeight="1" x14ac:dyDescent="0.2">
      <c r="A39">
        <v>38</v>
      </c>
      <c r="B39" t="s">
        <v>42</v>
      </c>
      <c r="C39" s="29" t="s">
        <v>43</v>
      </c>
      <c r="D39" s="18">
        <v>18.339248000000001</v>
      </c>
      <c r="E39" s="18">
        <v>19.230592000000001</v>
      </c>
      <c r="F39" s="18">
        <v>19.337707999999999</v>
      </c>
      <c r="G39" s="18">
        <v>18.196864000000001</v>
      </c>
      <c r="H39" s="19">
        <f t="shared" si="5"/>
        <v>18.776102999999999</v>
      </c>
      <c r="I39" s="2">
        <f t="shared" si="4"/>
        <v>2.4479999999999999E-4</v>
      </c>
    </row>
    <row r="40" spans="1:9" ht="12.75" customHeight="1" x14ac:dyDescent="0.2">
      <c r="A40">
        <v>39</v>
      </c>
      <c r="B40" t="s">
        <v>44</v>
      </c>
      <c r="C40" s="29" t="s">
        <v>45</v>
      </c>
      <c r="D40" s="18">
        <v>9.3463560000000001</v>
      </c>
      <c r="E40" s="18">
        <v>9.3458919999999992</v>
      </c>
      <c r="F40" s="18">
        <v>9.4002759999999999</v>
      </c>
      <c r="G40" s="18">
        <v>8.5875439999999994</v>
      </c>
      <c r="H40" s="19">
        <f t="shared" si="5"/>
        <v>9.1700169999999996</v>
      </c>
      <c r="I40" s="2">
        <f t="shared" si="4"/>
        <v>1.195E-4</v>
      </c>
    </row>
    <row r="41" spans="1:9" x14ac:dyDescent="0.2">
      <c r="A41">
        <v>119</v>
      </c>
      <c r="B41" t="s">
        <v>161</v>
      </c>
      <c r="C41" s="29" t="s">
        <v>162</v>
      </c>
      <c r="D41" s="18">
        <v>7.9291799999999997</v>
      </c>
      <c r="E41" s="18">
        <v>8.3748079999999998</v>
      </c>
      <c r="F41" s="18">
        <v>8.1100680000000001</v>
      </c>
      <c r="G41" s="18">
        <v>9.8889399999999998</v>
      </c>
      <c r="H41" s="19">
        <f t="shared" si="5"/>
        <v>8.5757490000000001</v>
      </c>
      <c r="I41" s="2">
        <f t="shared" si="4"/>
        <v>1.1179999999999999E-4</v>
      </c>
    </row>
    <row r="42" spans="1:9" x14ac:dyDescent="0.2">
      <c r="A42">
        <v>40</v>
      </c>
      <c r="B42" t="s">
        <v>46</v>
      </c>
      <c r="C42" s="29" t="s">
        <v>47</v>
      </c>
      <c r="D42" s="18">
        <v>12.463784</v>
      </c>
      <c r="E42" s="18">
        <v>13.117996</v>
      </c>
      <c r="F42" s="18">
        <v>12.595468</v>
      </c>
      <c r="G42" s="18">
        <v>11.788259999999999</v>
      </c>
      <c r="H42" s="19">
        <f t="shared" si="5"/>
        <v>12.491377000000002</v>
      </c>
      <c r="I42" s="2">
        <f t="shared" si="4"/>
        <v>1.628E-4</v>
      </c>
    </row>
    <row r="43" spans="1:9" x14ac:dyDescent="0.2">
      <c r="A43">
        <v>41</v>
      </c>
      <c r="B43" t="s">
        <v>48</v>
      </c>
      <c r="C43" s="29" t="s">
        <v>49</v>
      </c>
      <c r="D43" s="18">
        <v>15.92864</v>
      </c>
      <c r="E43" s="18">
        <v>16.7136</v>
      </c>
      <c r="F43" s="18">
        <v>16.474375999999999</v>
      </c>
      <c r="G43" s="18">
        <v>14.533023999999999</v>
      </c>
      <c r="H43" s="19">
        <f t="shared" si="5"/>
        <v>15.912409999999999</v>
      </c>
      <c r="I43" s="2">
        <f t="shared" si="4"/>
        <v>2.074E-4</v>
      </c>
    </row>
    <row r="44" spans="1:9" x14ac:dyDescent="0.2">
      <c r="A44">
        <v>42</v>
      </c>
      <c r="B44" t="s">
        <v>50</v>
      </c>
      <c r="C44" s="29" t="s">
        <v>51</v>
      </c>
      <c r="D44" s="18">
        <v>25.104707999999999</v>
      </c>
      <c r="E44" s="18">
        <v>26.517171999999999</v>
      </c>
      <c r="F44" s="18">
        <v>25.302579999999999</v>
      </c>
      <c r="G44" s="18">
        <v>22.706596000000001</v>
      </c>
      <c r="H44" s="19">
        <f t="shared" si="5"/>
        <v>24.907764</v>
      </c>
      <c r="I44" s="2">
        <f t="shared" si="4"/>
        <v>3.2469999999999998E-4</v>
      </c>
    </row>
    <row r="45" spans="1:9" x14ac:dyDescent="0.2">
      <c r="A45">
        <v>43</v>
      </c>
      <c r="B45" t="s">
        <v>52</v>
      </c>
      <c r="C45" s="29" t="s">
        <v>53</v>
      </c>
      <c r="D45" s="18">
        <v>2.8215479999999999</v>
      </c>
      <c r="E45" s="18">
        <v>2.9323320000000002</v>
      </c>
      <c r="F45" s="18">
        <v>2.7922760000000002</v>
      </c>
      <c r="G45" s="18">
        <v>2.4541279999999999</v>
      </c>
      <c r="H45" s="19">
        <f t="shared" si="5"/>
        <v>2.7500710000000002</v>
      </c>
      <c r="I45" s="2">
        <f t="shared" si="4"/>
        <v>3.5800000000000003E-5</v>
      </c>
    </row>
    <row r="46" spans="1:9" x14ac:dyDescent="0.2">
      <c r="A46">
        <v>44</v>
      </c>
      <c r="B46" t="s">
        <v>54</v>
      </c>
      <c r="C46" s="29" t="s">
        <v>55</v>
      </c>
      <c r="D46" s="18">
        <v>10.49858</v>
      </c>
      <c r="E46" s="18">
        <v>11.227396000000001</v>
      </c>
      <c r="F46" s="18">
        <v>10.493024</v>
      </c>
      <c r="G46" s="18">
        <v>9.6267320000000005</v>
      </c>
      <c r="H46" s="19">
        <f t="shared" si="5"/>
        <v>10.461433</v>
      </c>
      <c r="I46" s="2">
        <f t="shared" si="4"/>
        <v>1.3640000000000001E-4</v>
      </c>
    </row>
    <row r="47" spans="1:9" x14ac:dyDescent="0.2">
      <c r="A47">
        <v>45</v>
      </c>
      <c r="B47" t="s">
        <v>56</v>
      </c>
      <c r="C47" s="29" t="s">
        <v>57</v>
      </c>
      <c r="D47" s="18">
        <v>27.569403999999999</v>
      </c>
      <c r="E47" s="18">
        <v>29.344463999999999</v>
      </c>
      <c r="F47" s="18">
        <v>28.005776000000001</v>
      </c>
      <c r="G47" s="18">
        <v>25.843964</v>
      </c>
      <c r="H47" s="19">
        <f t="shared" si="5"/>
        <v>27.690901999999998</v>
      </c>
      <c r="I47" s="2">
        <f t="shared" si="4"/>
        <v>3.6099999999999999E-4</v>
      </c>
    </row>
    <row r="48" spans="1:9" x14ac:dyDescent="0.2">
      <c r="A48">
        <v>208</v>
      </c>
      <c r="B48" t="s">
        <v>275</v>
      </c>
      <c r="C48" s="29" t="s">
        <v>276</v>
      </c>
      <c r="D48" s="18">
        <v>430.46141999999998</v>
      </c>
      <c r="E48" s="18">
        <v>467.75638400000003</v>
      </c>
      <c r="F48" s="18">
        <v>458.78850799999998</v>
      </c>
      <c r="G48" s="18">
        <v>393.98123600000002</v>
      </c>
      <c r="H48" s="19">
        <f t="shared" si="5"/>
        <v>437.74688700000002</v>
      </c>
      <c r="I48" s="2">
        <f t="shared" si="4"/>
        <v>5.7061999999999998E-3</v>
      </c>
    </row>
    <row r="49" spans="1:9" x14ac:dyDescent="0.2">
      <c r="A49">
        <v>46</v>
      </c>
      <c r="B49" t="s">
        <v>58</v>
      </c>
      <c r="C49" s="29" t="s">
        <v>59</v>
      </c>
      <c r="D49" s="18">
        <v>13.391176</v>
      </c>
      <c r="E49" s="18">
        <v>13.778248</v>
      </c>
      <c r="F49" s="18">
        <v>13.058024</v>
      </c>
      <c r="G49" s="18">
        <v>11.761787999999999</v>
      </c>
      <c r="H49" s="19">
        <f t="shared" si="5"/>
        <v>12.997308999999998</v>
      </c>
      <c r="I49" s="2">
        <f t="shared" si="4"/>
        <v>1.694E-4</v>
      </c>
    </row>
    <row r="50" spans="1:9" x14ac:dyDescent="0.2">
      <c r="A50">
        <v>47</v>
      </c>
      <c r="B50" t="s">
        <v>60</v>
      </c>
      <c r="C50" s="29" t="s">
        <v>61</v>
      </c>
      <c r="D50" s="18">
        <v>5.9388519999999998</v>
      </c>
      <c r="E50" s="18">
        <v>6.6269400000000003</v>
      </c>
      <c r="F50" s="18">
        <v>6.0849159999999998</v>
      </c>
      <c r="G50" s="18">
        <v>5.1343719999999999</v>
      </c>
      <c r="H50" s="19">
        <f t="shared" si="5"/>
        <v>5.9462700000000002</v>
      </c>
      <c r="I50" s="2">
        <f t="shared" si="4"/>
        <v>7.75E-5</v>
      </c>
    </row>
    <row r="51" spans="1:9" x14ac:dyDescent="0.2">
      <c r="A51">
        <v>48</v>
      </c>
      <c r="B51" t="s">
        <v>62</v>
      </c>
      <c r="C51" s="29" t="s">
        <v>63</v>
      </c>
      <c r="D51" s="18">
        <v>2.522284</v>
      </c>
      <c r="E51" s="18">
        <v>2.6128119999999999</v>
      </c>
      <c r="F51" s="18">
        <v>2.5984039999999999</v>
      </c>
      <c r="G51" s="18">
        <v>2.2513399999999999</v>
      </c>
      <c r="H51" s="19">
        <f t="shared" si="5"/>
        <v>2.4962099999999996</v>
      </c>
      <c r="I51" s="2">
        <f t="shared" si="4"/>
        <v>3.2499999999999997E-5</v>
      </c>
    </row>
    <row r="52" spans="1:9" x14ac:dyDescent="0.2">
      <c r="A52">
        <v>121</v>
      </c>
      <c r="B52" t="s">
        <v>163</v>
      </c>
      <c r="C52" s="29" t="s">
        <v>164</v>
      </c>
      <c r="D52" s="18">
        <v>15.487192</v>
      </c>
      <c r="E52" s="18">
        <v>19.481992000000002</v>
      </c>
      <c r="F52" s="18">
        <v>19.717580000000002</v>
      </c>
      <c r="G52" s="18">
        <v>17.774484000000001</v>
      </c>
      <c r="H52" s="19">
        <f t="shared" si="5"/>
        <v>18.115311999999999</v>
      </c>
      <c r="I52" s="2">
        <f t="shared" si="4"/>
        <v>2.3609999999999999E-4</v>
      </c>
    </row>
    <row r="53" spans="1:9" x14ac:dyDescent="0.2">
      <c r="A53">
        <v>49</v>
      </c>
      <c r="B53" t="s">
        <v>64</v>
      </c>
      <c r="C53" s="29" t="s">
        <v>65</v>
      </c>
      <c r="D53" s="18">
        <v>130.26089200000001</v>
      </c>
      <c r="E53" s="18">
        <v>133.53281999999999</v>
      </c>
      <c r="F53" s="18">
        <v>131.36839599999999</v>
      </c>
      <c r="G53" s="18">
        <v>125.673872</v>
      </c>
      <c r="H53" s="19">
        <f t="shared" si="5"/>
        <v>130.20899499999999</v>
      </c>
      <c r="I53" s="2">
        <f t="shared" si="4"/>
        <v>1.6972999999999999E-3</v>
      </c>
    </row>
    <row r="54" spans="1:9" x14ac:dyDescent="0.2">
      <c r="A54">
        <v>50</v>
      </c>
      <c r="B54" t="s">
        <v>66</v>
      </c>
      <c r="C54" s="29" t="s">
        <v>67</v>
      </c>
      <c r="D54" s="18">
        <v>9.8540480000000006</v>
      </c>
      <c r="E54" s="18">
        <v>10.140836</v>
      </c>
      <c r="F54" s="18">
        <v>9.7191279999999995</v>
      </c>
      <c r="G54" s="18">
        <v>8.3792919999999995</v>
      </c>
      <c r="H54" s="19">
        <f t="shared" si="5"/>
        <v>9.5233259999999991</v>
      </c>
      <c r="I54" s="2">
        <f t="shared" si="4"/>
        <v>1.2410000000000001E-4</v>
      </c>
    </row>
    <row r="55" spans="1:9" x14ac:dyDescent="0.2">
      <c r="A55">
        <v>51</v>
      </c>
      <c r="B55" t="s">
        <v>68</v>
      </c>
      <c r="C55" s="29" t="s">
        <v>69</v>
      </c>
      <c r="D55" s="18">
        <v>15.229148</v>
      </c>
      <c r="E55" s="18">
        <v>16.979588</v>
      </c>
      <c r="F55" s="18">
        <v>15.695408</v>
      </c>
      <c r="G55" s="18">
        <v>13.946364000000001</v>
      </c>
      <c r="H55" s="19">
        <f t="shared" si="5"/>
        <v>15.462627000000001</v>
      </c>
      <c r="I55" s="2">
        <f t="shared" si="4"/>
        <v>2.0159999999999999E-4</v>
      </c>
    </row>
    <row r="56" spans="1:9" x14ac:dyDescent="0.2">
      <c r="A56">
        <v>52</v>
      </c>
      <c r="B56" t="s">
        <v>70</v>
      </c>
      <c r="C56" s="29" t="s">
        <v>71</v>
      </c>
      <c r="D56" s="18">
        <v>13.734451999999999</v>
      </c>
      <c r="E56" s="18">
        <v>14.078227999999999</v>
      </c>
      <c r="F56" s="18">
        <v>14.22048</v>
      </c>
      <c r="G56" s="18">
        <v>13.275107999999999</v>
      </c>
      <c r="H56" s="19">
        <f t="shared" si="5"/>
        <v>13.827067</v>
      </c>
      <c r="I56" s="2">
        <f t="shared" si="4"/>
        <v>1.8019999999999999E-4</v>
      </c>
    </row>
    <row r="57" spans="1:9" x14ac:dyDescent="0.2">
      <c r="A57">
        <v>53</v>
      </c>
      <c r="B57" t="s">
        <v>72</v>
      </c>
      <c r="C57" s="29" t="s">
        <v>73</v>
      </c>
      <c r="D57" s="18">
        <v>68.682659999999998</v>
      </c>
      <c r="E57" s="18">
        <v>67.042159999999996</v>
      </c>
      <c r="F57" s="18">
        <v>67.340224000000006</v>
      </c>
      <c r="G57" s="18">
        <v>63.107979999999998</v>
      </c>
      <c r="H57" s="19">
        <f t="shared" si="5"/>
        <v>66.543256</v>
      </c>
      <c r="I57" s="2">
        <f t="shared" si="4"/>
        <v>8.6740000000000005E-4</v>
      </c>
    </row>
    <row r="58" spans="1:9" x14ac:dyDescent="0.2">
      <c r="A58">
        <v>54</v>
      </c>
      <c r="B58" t="s">
        <v>211</v>
      </c>
      <c r="C58" s="29" t="s">
        <v>74</v>
      </c>
      <c r="D58" s="18">
        <v>7.4703679999999997</v>
      </c>
      <c r="E58" s="18">
        <v>5.9225640000000004</v>
      </c>
      <c r="F58" s="18">
        <v>7.9586560000000004</v>
      </c>
      <c r="G58" s="18">
        <v>6.3759480000000002</v>
      </c>
      <c r="H58" s="19">
        <f t="shared" si="5"/>
        <v>6.9318840000000002</v>
      </c>
      <c r="I58" s="2">
        <f t="shared" si="4"/>
        <v>9.0400000000000002E-5</v>
      </c>
    </row>
    <row r="59" spans="1:9" x14ac:dyDescent="0.2">
      <c r="A59">
        <v>55</v>
      </c>
      <c r="B59" t="s">
        <v>75</v>
      </c>
      <c r="C59" s="29" t="s">
        <v>76</v>
      </c>
      <c r="D59" s="18">
        <v>10.11664</v>
      </c>
      <c r="E59" s="18">
        <v>11.015076000000001</v>
      </c>
      <c r="F59" s="18">
        <v>10.425027999999999</v>
      </c>
      <c r="G59" s="18">
        <v>9.7351399999999995</v>
      </c>
      <c r="H59" s="19">
        <f t="shared" si="5"/>
        <v>10.322971000000001</v>
      </c>
      <c r="I59" s="2">
        <f t="shared" si="4"/>
        <v>1.3459999999999999E-4</v>
      </c>
    </row>
    <row r="60" spans="1:9" x14ac:dyDescent="0.2">
      <c r="A60">
        <v>56</v>
      </c>
      <c r="B60" t="s">
        <v>77</v>
      </c>
      <c r="C60" s="29" t="s">
        <v>78</v>
      </c>
      <c r="D60" s="18">
        <v>9.9127399999999994</v>
      </c>
      <c r="E60" s="18">
        <v>10.580399999999999</v>
      </c>
      <c r="F60" s="18">
        <v>10.59728</v>
      </c>
      <c r="G60" s="18">
        <v>9.3094959999999993</v>
      </c>
      <c r="H60" s="19">
        <f t="shared" si="5"/>
        <v>10.099978999999998</v>
      </c>
      <c r="I60" s="2">
        <f t="shared" si="4"/>
        <v>1.317E-4</v>
      </c>
    </row>
    <row r="61" spans="1:9" x14ac:dyDescent="0.2">
      <c r="A61">
        <v>57</v>
      </c>
      <c r="B61" t="s">
        <v>79</v>
      </c>
      <c r="C61" s="29" t="s">
        <v>80</v>
      </c>
      <c r="D61" s="18">
        <v>4.8484239999999996</v>
      </c>
      <c r="E61" s="18">
        <v>4.9388639999999997</v>
      </c>
      <c r="F61" s="18">
        <v>4.6541079999999999</v>
      </c>
      <c r="G61" s="18">
        <v>4.511164</v>
      </c>
      <c r="H61" s="19">
        <f t="shared" si="5"/>
        <v>4.7381400000000005</v>
      </c>
      <c r="I61" s="2">
        <f t="shared" si="4"/>
        <v>6.1799999999999998E-5</v>
      </c>
    </row>
    <row r="62" spans="1:9" x14ac:dyDescent="0.2">
      <c r="A62">
        <v>58</v>
      </c>
      <c r="B62" t="s">
        <v>81</v>
      </c>
      <c r="C62" s="29" t="s">
        <v>82</v>
      </c>
      <c r="D62" s="18">
        <v>7.7978839999999998</v>
      </c>
      <c r="E62" s="18">
        <v>8.2218839999999993</v>
      </c>
      <c r="F62" s="18">
        <v>8.1259359999999994</v>
      </c>
      <c r="G62" s="18">
        <v>6.9969799999999998</v>
      </c>
      <c r="H62" s="19">
        <f t="shared" si="5"/>
        <v>7.7856709999999998</v>
      </c>
      <c r="I62" s="2">
        <f t="shared" si="4"/>
        <v>1.015E-4</v>
      </c>
    </row>
    <row r="63" spans="1:9" x14ac:dyDescent="0.2">
      <c r="A63">
        <v>59</v>
      </c>
      <c r="B63" t="s">
        <v>212</v>
      </c>
      <c r="C63" s="29" t="s">
        <v>83</v>
      </c>
      <c r="D63" s="18">
        <v>9.1772919999999996</v>
      </c>
      <c r="E63" s="18">
        <v>10.157068000000001</v>
      </c>
      <c r="F63" s="18">
        <v>9.5854999999999997</v>
      </c>
      <c r="G63" s="18">
        <v>8.6873880000000003</v>
      </c>
      <c r="H63" s="19">
        <f t="shared" si="5"/>
        <v>9.4018119999999996</v>
      </c>
      <c r="I63" s="2">
        <f t="shared" si="4"/>
        <v>1.226E-4</v>
      </c>
    </row>
    <row r="64" spans="1:9" x14ac:dyDescent="0.2">
      <c r="A64">
        <v>60</v>
      </c>
      <c r="B64" t="s">
        <v>84</v>
      </c>
      <c r="C64" s="29" t="s">
        <v>85</v>
      </c>
      <c r="D64" s="18">
        <v>19.894088</v>
      </c>
      <c r="E64" s="18">
        <v>20.412524000000001</v>
      </c>
      <c r="F64" s="18">
        <v>21.030183999999998</v>
      </c>
      <c r="G64" s="18">
        <v>18.777691999999998</v>
      </c>
      <c r="H64" s="19">
        <f t="shared" si="5"/>
        <v>20.028621999999999</v>
      </c>
      <c r="I64" s="2">
        <f t="shared" si="4"/>
        <v>2.611E-4</v>
      </c>
    </row>
    <row r="65" spans="1:9" x14ac:dyDescent="0.2">
      <c r="A65">
        <v>61</v>
      </c>
      <c r="B65" t="s">
        <v>86</v>
      </c>
      <c r="C65" s="29" t="s">
        <v>87</v>
      </c>
      <c r="D65" s="18">
        <v>29.503036000000002</v>
      </c>
      <c r="E65" s="18">
        <v>25.898036000000001</v>
      </c>
      <c r="F65" s="18">
        <v>29.427447999999998</v>
      </c>
      <c r="G65" s="18">
        <v>19.558620000000001</v>
      </c>
      <c r="H65" s="19">
        <f t="shared" si="5"/>
        <v>26.096785000000001</v>
      </c>
      <c r="I65" s="2">
        <f t="shared" si="4"/>
        <v>3.4019999999999998E-4</v>
      </c>
    </row>
    <row r="66" spans="1:9" x14ac:dyDescent="0.2">
      <c r="A66">
        <v>62</v>
      </c>
      <c r="B66" t="s">
        <v>213</v>
      </c>
      <c r="C66" s="29" t="s">
        <v>88</v>
      </c>
      <c r="D66" s="18">
        <v>57.078207999999997</v>
      </c>
      <c r="E66" s="18">
        <v>59.633783999999999</v>
      </c>
      <c r="F66" s="18">
        <v>54.698332000000001</v>
      </c>
      <c r="G66" s="18">
        <v>49.614863999999997</v>
      </c>
      <c r="H66" s="19">
        <f t="shared" si="5"/>
        <v>55.256297000000004</v>
      </c>
      <c r="I66" s="2">
        <f t="shared" si="4"/>
        <v>7.203E-4</v>
      </c>
    </row>
    <row r="67" spans="1:9" x14ac:dyDescent="0.2">
      <c r="A67">
        <v>63</v>
      </c>
      <c r="B67" t="s">
        <v>89</v>
      </c>
      <c r="C67" s="29" t="s">
        <v>90</v>
      </c>
      <c r="D67" s="18">
        <v>74.178380000000004</v>
      </c>
      <c r="E67" s="18">
        <v>62.396180000000001</v>
      </c>
      <c r="F67" s="18">
        <v>81.665328000000002</v>
      </c>
      <c r="G67" s="18">
        <v>56.004016</v>
      </c>
      <c r="H67" s="19">
        <f t="shared" si="5"/>
        <v>68.560975999999997</v>
      </c>
      <c r="I67" s="2">
        <f t="shared" si="4"/>
        <v>8.9369999999999998E-4</v>
      </c>
    </row>
    <row r="68" spans="1:9" x14ac:dyDescent="0.2">
      <c r="A68">
        <v>64</v>
      </c>
      <c r="B68" t="s">
        <v>214</v>
      </c>
      <c r="C68" s="29" t="s">
        <v>91</v>
      </c>
      <c r="D68" s="18">
        <v>78.760975999999999</v>
      </c>
      <c r="E68" s="18">
        <v>86.531720000000007</v>
      </c>
      <c r="F68" s="18">
        <v>79.714088000000004</v>
      </c>
      <c r="G68" s="18">
        <v>71.589851999999993</v>
      </c>
      <c r="H68" s="19">
        <f t="shared" si="5"/>
        <v>79.149158999999997</v>
      </c>
      <c r="I68" s="2">
        <f t="shared" ref="I68:I99" si="6">ROUND(H68/H$144,7)</f>
        <v>1.0317E-3</v>
      </c>
    </row>
    <row r="69" spans="1:9" x14ac:dyDescent="0.2">
      <c r="A69">
        <v>122</v>
      </c>
      <c r="B69" t="s">
        <v>201</v>
      </c>
      <c r="C69" s="29" t="s">
        <v>165</v>
      </c>
      <c r="D69" s="20">
        <v>4949.5890959999997</v>
      </c>
      <c r="E69" s="20">
        <v>5153.2743200000004</v>
      </c>
      <c r="F69" s="20">
        <v>5154.3702000000003</v>
      </c>
      <c r="G69" s="20">
        <v>4700.7889480000003</v>
      </c>
      <c r="H69" s="19">
        <f t="shared" ref="H69:H101" si="7">AVERAGE(D69:G69)</f>
        <v>4989.5056410000007</v>
      </c>
      <c r="I69" s="2">
        <f t="shared" si="6"/>
        <v>6.5040500000000001E-2</v>
      </c>
    </row>
    <row r="70" spans="1:9" x14ac:dyDescent="0.2">
      <c r="A70">
        <v>198</v>
      </c>
      <c r="B70" t="s">
        <v>242</v>
      </c>
      <c r="C70" s="29" t="s">
        <v>243</v>
      </c>
      <c r="D70" s="20">
        <v>0</v>
      </c>
      <c r="E70" s="20">
        <v>0</v>
      </c>
      <c r="F70" s="20">
        <v>0</v>
      </c>
      <c r="G70" s="20">
        <v>0</v>
      </c>
      <c r="H70" s="19">
        <f t="shared" si="7"/>
        <v>0</v>
      </c>
      <c r="I70" s="2">
        <f t="shared" si="6"/>
        <v>0</v>
      </c>
    </row>
    <row r="71" spans="1:9" x14ac:dyDescent="0.2">
      <c r="A71">
        <v>66</v>
      </c>
      <c r="B71" t="s">
        <v>215</v>
      </c>
      <c r="C71" s="29" t="s">
        <v>92</v>
      </c>
      <c r="D71" s="18">
        <v>16.821120000000001</v>
      </c>
      <c r="E71" s="18">
        <v>17.735956000000002</v>
      </c>
      <c r="F71" s="18">
        <v>16.747788</v>
      </c>
      <c r="G71" s="18">
        <v>14.439664</v>
      </c>
      <c r="H71" s="19">
        <f t="shared" si="7"/>
        <v>16.436132000000001</v>
      </c>
      <c r="I71" s="2">
        <f t="shared" si="6"/>
        <v>2.143E-4</v>
      </c>
    </row>
    <row r="72" spans="1:9" x14ac:dyDescent="0.2">
      <c r="A72">
        <v>67</v>
      </c>
      <c r="B72" t="s">
        <v>216</v>
      </c>
      <c r="C72" s="29" t="s">
        <v>93</v>
      </c>
      <c r="D72" s="18">
        <v>1622.9237880000001</v>
      </c>
      <c r="E72" s="18">
        <v>1777.420748</v>
      </c>
      <c r="F72" s="18">
        <v>1650.8067920000001</v>
      </c>
      <c r="G72" s="18">
        <v>1443.128324</v>
      </c>
      <c r="H72" s="19">
        <f t="shared" si="7"/>
        <v>1623.569913</v>
      </c>
      <c r="I72" s="2">
        <f t="shared" si="6"/>
        <v>2.1163999999999999E-2</v>
      </c>
    </row>
    <row r="73" spans="1:9" x14ac:dyDescent="0.2">
      <c r="A73">
        <v>123</v>
      </c>
      <c r="B73" t="s">
        <v>166</v>
      </c>
      <c r="C73" s="29" t="s">
        <v>202</v>
      </c>
      <c r="D73" s="20">
        <v>362.86585200000002</v>
      </c>
      <c r="E73" s="20">
        <v>399.23515600000002</v>
      </c>
      <c r="F73" s="20">
        <v>367.54200800000001</v>
      </c>
      <c r="G73" s="20">
        <v>334.16682400000002</v>
      </c>
      <c r="H73" s="19">
        <f t="shared" si="7"/>
        <v>365.95245999999997</v>
      </c>
      <c r="I73" s="2">
        <f t="shared" si="6"/>
        <v>4.7704000000000002E-3</v>
      </c>
    </row>
    <row r="74" spans="1:9" x14ac:dyDescent="0.2">
      <c r="A74" s="30">
        <v>216</v>
      </c>
      <c r="B74" s="30" t="s">
        <v>285</v>
      </c>
      <c r="C74" s="31" t="s">
        <v>286</v>
      </c>
      <c r="D74" s="20">
        <v>1.0308120000000001</v>
      </c>
      <c r="E74" s="20">
        <v>1.3155760000000001</v>
      </c>
      <c r="F74" s="20">
        <v>1.0055639999999999</v>
      </c>
      <c r="G74" s="20">
        <v>3.1392479999999998</v>
      </c>
      <c r="H74" s="19">
        <f t="shared" ref="H74" si="8">AVERAGE(D74:G74)</f>
        <v>1.6227999999999998</v>
      </c>
      <c r="I74" s="2">
        <f t="shared" si="6"/>
        <v>2.12E-5</v>
      </c>
    </row>
    <row r="75" spans="1:9" x14ac:dyDescent="0.2">
      <c r="A75">
        <v>193</v>
      </c>
      <c r="B75" t="s">
        <v>262</v>
      </c>
      <c r="C75" s="29" t="s">
        <v>238</v>
      </c>
      <c r="D75" s="20">
        <v>0</v>
      </c>
      <c r="E75" s="20">
        <v>0</v>
      </c>
      <c r="F75" s="20">
        <v>0</v>
      </c>
      <c r="G75" s="20">
        <v>0</v>
      </c>
      <c r="H75" s="19">
        <f t="shared" si="7"/>
        <v>0</v>
      </c>
      <c r="I75" s="2">
        <f t="shared" si="6"/>
        <v>0</v>
      </c>
    </row>
    <row r="76" spans="1:9" x14ac:dyDescent="0.2">
      <c r="A76">
        <v>69</v>
      </c>
      <c r="B76" t="s">
        <v>94</v>
      </c>
      <c r="C76" s="29" t="s">
        <v>95</v>
      </c>
      <c r="D76" s="20">
        <v>44.443435999999998</v>
      </c>
      <c r="E76" s="20">
        <v>47.786512000000002</v>
      </c>
      <c r="F76" s="18">
        <v>44.791879999999999</v>
      </c>
      <c r="G76" s="18">
        <v>40.118096000000001</v>
      </c>
      <c r="H76" s="19">
        <f t="shared" si="7"/>
        <v>44.284981000000002</v>
      </c>
      <c r="I76" s="2">
        <f t="shared" si="6"/>
        <v>5.7729999999999999E-4</v>
      </c>
    </row>
    <row r="77" spans="1:9" x14ac:dyDescent="0.2">
      <c r="A77">
        <v>215</v>
      </c>
      <c r="B77" t="s">
        <v>277</v>
      </c>
      <c r="C77" s="29" t="s">
        <v>278</v>
      </c>
      <c r="D77" s="18">
        <v>0.246252</v>
      </c>
      <c r="E77" s="18">
        <v>0.26634400000000003</v>
      </c>
      <c r="F77" s="18">
        <v>0.32799200000000001</v>
      </c>
      <c r="G77" s="18">
        <v>2.4292959999999999</v>
      </c>
      <c r="H77" s="19">
        <f t="shared" si="7"/>
        <v>0.81747100000000006</v>
      </c>
      <c r="I77" s="2">
        <f t="shared" si="6"/>
        <v>1.0699999999999999E-5</v>
      </c>
    </row>
    <row r="78" spans="1:9" x14ac:dyDescent="0.2">
      <c r="A78">
        <v>205</v>
      </c>
      <c r="B78" t="s">
        <v>258</v>
      </c>
      <c r="C78" s="29" t="s">
        <v>259</v>
      </c>
      <c r="D78" s="18">
        <v>5.7099999999999998E-2</v>
      </c>
      <c r="E78" s="18">
        <v>5.7107999999999999E-2</v>
      </c>
      <c r="F78" s="18">
        <v>5.7104000000000002E-2</v>
      </c>
      <c r="G78" s="18">
        <v>5.3024000000000002E-2</v>
      </c>
      <c r="H78" s="19">
        <f t="shared" si="7"/>
        <v>5.6084000000000009E-2</v>
      </c>
      <c r="I78" s="2">
        <f t="shared" si="6"/>
        <v>6.9999999999999997E-7</v>
      </c>
    </row>
    <row r="79" spans="1:9" x14ac:dyDescent="0.2">
      <c r="A79">
        <v>70</v>
      </c>
      <c r="B79" t="s">
        <v>96</v>
      </c>
      <c r="C79" s="29" t="s">
        <v>97</v>
      </c>
      <c r="D79" s="20">
        <v>363.97696000000002</v>
      </c>
      <c r="E79" s="18">
        <v>396.35400399999997</v>
      </c>
      <c r="F79" s="18">
        <v>364.914312</v>
      </c>
      <c r="G79" s="18">
        <v>317.58973600000002</v>
      </c>
      <c r="H79" s="19">
        <f>AVERAGE(D79:G79)</f>
        <v>360.708753</v>
      </c>
      <c r="I79" s="2">
        <f t="shared" si="6"/>
        <v>4.7019999999999996E-3</v>
      </c>
    </row>
    <row r="80" spans="1:9" x14ac:dyDescent="0.2">
      <c r="A80">
        <v>202</v>
      </c>
      <c r="B80" t="s">
        <v>250</v>
      </c>
      <c r="C80" s="29" t="s">
        <v>251</v>
      </c>
      <c r="D80" s="18">
        <v>0.16315199999999999</v>
      </c>
      <c r="E80" s="18">
        <v>0.203956</v>
      </c>
      <c r="F80" s="18">
        <v>0.163156</v>
      </c>
      <c r="G80" s="18">
        <v>0.203932</v>
      </c>
      <c r="H80" s="19">
        <f t="shared" si="7"/>
        <v>0.18354899999999999</v>
      </c>
      <c r="I80" s="2">
        <f t="shared" si="6"/>
        <v>2.3999999999999999E-6</v>
      </c>
    </row>
    <row r="81" spans="1:9" x14ac:dyDescent="0.2">
      <c r="A81">
        <v>213</v>
      </c>
      <c r="B81" t="s">
        <v>279</v>
      </c>
      <c r="C81" s="29" t="s">
        <v>280</v>
      </c>
      <c r="D81" s="18">
        <v>0.22433600000000001</v>
      </c>
      <c r="E81" s="18">
        <v>1.8600920000000001</v>
      </c>
      <c r="F81" s="18">
        <v>0.70157599999999998</v>
      </c>
      <c r="G81" s="18">
        <v>0.65665600000000002</v>
      </c>
      <c r="H81" s="19">
        <f t="shared" si="7"/>
        <v>0.86066500000000001</v>
      </c>
      <c r="I81" s="2">
        <f t="shared" si="6"/>
        <v>1.1199999999999999E-5</v>
      </c>
    </row>
    <row r="82" spans="1:9" x14ac:dyDescent="0.2">
      <c r="A82">
        <v>207</v>
      </c>
      <c r="B82" t="s">
        <v>260</v>
      </c>
      <c r="C82" s="29" t="s">
        <v>261</v>
      </c>
      <c r="D82" s="18">
        <v>1.6192800000000001</v>
      </c>
      <c r="E82" s="18">
        <v>1.745876</v>
      </c>
      <c r="F82" s="18">
        <v>1.6642079999999999</v>
      </c>
      <c r="G82" s="18">
        <v>1.6966920000000001</v>
      </c>
      <c r="H82" s="19">
        <f t="shared" si="7"/>
        <v>1.681514</v>
      </c>
      <c r="I82" s="2">
        <f t="shared" si="6"/>
        <v>2.19E-5</v>
      </c>
    </row>
    <row r="83" spans="1:9" x14ac:dyDescent="0.2">
      <c r="A83">
        <v>71</v>
      </c>
      <c r="B83" t="s">
        <v>98</v>
      </c>
      <c r="C83" s="29" t="s">
        <v>99</v>
      </c>
      <c r="D83" s="18">
        <v>68.689908000000003</v>
      </c>
      <c r="E83" s="18">
        <v>70.550184000000002</v>
      </c>
      <c r="F83" s="18">
        <v>71.937064000000007</v>
      </c>
      <c r="G83" s="18">
        <v>61.330283999999999</v>
      </c>
      <c r="H83" s="19">
        <f t="shared" si="7"/>
        <v>68.126860000000008</v>
      </c>
      <c r="I83" s="2">
        <f t="shared" si="6"/>
        <v>8.8809999999999996E-4</v>
      </c>
    </row>
    <row r="84" spans="1:9" x14ac:dyDescent="0.2">
      <c r="A84">
        <v>72</v>
      </c>
      <c r="B84" t="s">
        <v>100</v>
      </c>
      <c r="C84" s="29" t="s">
        <v>101</v>
      </c>
      <c r="D84" s="18">
        <v>23.140015999999999</v>
      </c>
      <c r="E84" s="18">
        <v>22.932468</v>
      </c>
      <c r="F84" s="18">
        <v>23.803228000000001</v>
      </c>
      <c r="G84" s="18">
        <v>21.710139999999999</v>
      </c>
      <c r="H84" s="19">
        <f t="shared" si="7"/>
        <v>22.896463000000001</v>
      </c>
      <c r="I84" s="2">
        <f t="shared" si="6"/>
        <v>2.9849999999999999E-4</v>
      </c>
    </row>
    <row r="85" spans="1:9" x14ac:dyDescent="0.2">
      <c r="A85">
        <v>125</v>
      </c>
      <c r="B85" t="s">
        <v>167</v>
      </c>
      <c r="C85" s="29" t="s">
        <v>168</v>
      </c>
      <c r="D85" s="18">
        <v>113.051704</v>
      </c>
      <c r="E85" s="18">
        <v>124.688636</v>
      </c>
      <c r="F85" s="18">
        <v>116.847668</v>
      </c>
      <c r="G85" s="18">
        <v>106.56956</v>
      </c>
      <c r="H85" s="19">
        <f t="shared" si="7"/>
        <v>115.28939199999999</v>
      </c>
      <c r="I85" s="2">
        <f t="shared" si="6"/>
        <v>1.5028000000000001E-3</v>
      </c>
    </row>
    <row r="86" spans="1:9" x14ac:dyDescent="0.2">
      <c r="A86">
        <v>73</v>
      </c>
      <c r="B86" t="s">
        <v>102</v>
      </c>
      <c r="C86" s="29" t="s">
        <v>103</v>
      </c>
      <c r="D86" s="20">
        <v>22.686959999999999</v>
      </c>
      <c r="E86" s="20">
        <v>24.276375999999999</v>
      </c>
      <c r="F86" s="20">
        <v>22.34836</v>
      </c>
      <c r="G86" s="20">
        <v>20.343319999999999</v>
      </c>
      <c r="H86" s="19">
        <f t="shared" si="7"/>
        <v>22.413753999999997</v>
      </c>
      <c r="I86" s="2">
        <f t="shared" si="6"/>
        <v>2.922E-4</v>
      </c>
    </row>
    <row r="87" spans="1:9" x14ac:dyDescent="0.2">
      <c r="A87">
        <v>177</v>
      </c>
      <c r="B87" t="s">
        <v>269</v>
      </c>
      <c r="C87" s="29" t="s">
        <v>204</v>
      </c>
      <c r="D87" s="20">
        <v>0.122364</v>
      </c>
      <c r="E87" s="20">
        <v>0.12237199999999999</v>
      </c>
      <c r="F87" s="20">
        <v>0.122368</v>
      </c>
      <c r="G87" s="20">
        <v>0.12235600000000001</v>
      </c>
      <c r="H87" s="19">
        <f t="shared" si="7"/>
        <v>0.122365</v>
      </c>
      <c r="I87" s="2">
        <f t="shared" si="6"/>
        <v>1.5999999999999999E-6</v>
      </c>
    </row>
    <row r="88" spans="1:9" x14ac:dyDescent="0.2">
      <c r="A88">
        <v>212</v>
      </c>
      <c r="B88" t="s">
        <v>270</v>
      </c>
      <c r="C88" s="29" t="s">
        <v>271</v>
      </c>
      <c r="D88" s="18">
        <v>3.9882080000000002</v>
      </c>
      <c r="E88" s="18">
        <v>4.1829200000000002</v>
      </c>
      <c r="F88" s="18">
        <v>4.1676039999999999</v>
      </c>
      <c r="G88" s="18">
        <v>1.7329239999999999</v>
      </c>
      <c r="H88" s="19">
        <f t="shared" si="7"/>
        <v>3.5179140000000002</v>
      </c>
      <c r="I88" s="2">
        <f t="shared" si="6"/>
        <v>4.5899999999999998E-5</v>
      </c>
    </row>
    <row r="89" spans="1:9" x14ac:dyDescent="0.2">
      <c r="A89">
        <v>74</v>
      </c>
      <c r="B89" t="s">
        <v>272</v>
      </c>
      <c r="C89" s="29" t="s">
        <v>104</v>
      </c>
      <c r="D89" s="18">
        <v>354.227192</v>
      </c>
      <c r="E89" s="18">
        <v>388.138532</v>
      </c>
      <c r="F89" s="18">
        <v>360.63607999999999</v>
      </c>
      <c r="G89" s="18">
        <v>314.026476</v>
      </c>
      <c r="H89" s="19">
        <f t="shared" si="7"/>
        <v>354.25707</v>
      </c>
      <c r="I89" s="2">
        <f t="shared" si="6"/>
        <v>4.6179000000000003E-3</v>
      </c>
    </row>
    <row r="90" spans="1:9" x14ac:dyDescent="0.2">
      <c r="A90">
        <v>196</v>
      </c>
      <c r="B90" t="s">
        <v>239</v>
      </c>
      <c r="C90" s="29" t="s">
        <v>240</v>
      </c>
      <c r="D90" s="20">
        <v>0</v>
      </c>
      <c r="E90" s="20">
        <v>0</v>
      </c>
      <c r="F90" s="20">
        <v>0</v>
      </c>
      <c r="G90" s="20">
        <v>0</v>
      </c>
      <c r="H90" s="19">
        <f t="shared" si="7"/>
        <v>0</v>
      </c>
      <c r="I90" s="2">
        <f t="shared" si="6"/>
        <v>0</v>
      </c>
    </row>
    <row r="91" spans="1:9" x14ac:dyDescent="0.2">
      <c r="A91">
        <v>75</v>
      </c>
      <c r="B91" t="s">
        <v>105</v>
      </c>
      <c r="C91" s="29" t="s">
        <v>106</v>
      </c>
      <c r="D91" s="18">
        <v>465.00995599999999</v>
      </c>
      <c r="E91" s="18">
        <v>480.43537199999997</v>
      </c>
      <c r="F91" s="18">
        <v>467.64173199999999</v>
      </c>
      <c r="G91" s="18">
        <v>426.39927599999999</v>
      </c>
      <c r="H91" s="19">
        <f t="shared" si="7"/>
        <v>459.87158399999998</v>
      </c>
      <c r="I91" s="2">
        <f t="shared" si="6"/>
        <v>5.9946000000000001E-3</v>
      </c>
    </row>
    <row r="92" spans="1:9" x14ac:dyDescent="0.2">
      <c r="A92">
        <v>76</v>
      </c>
      <c r="B92" t="s">
        <v>217</v>
      </c>
      <c r="C92" s="29" t="s">
        <v>107</v>
      </c>
      <c r="D92" s="18">
        <v>20.475556000000001</v>
      </c>
      <c r="E92" s="18">
        <v>22.10896</v>
      </c>
      <c r="F92" s="18">
        <v>20.680208</v>
      </c>
      <c r="G92" s="18">
        <v>17.701067999999999</v>
      </c>
      <c r="H92" s="19">
        <f t="shared" si="7"/>
        <v>20.241447999999998</v>
      </c>
      <c r="I92" s="2">
        <f t="shared" si="6"/>
        <v>2.6390000000000002E-4</v>
      </c>
    </row>
    <row r="93" spans="1:9" x14ac:dyDescent="0.2">
      <c r="A93">
        <v>142</v>
      </c>
      <c r="B93" t="s">
        <v>235</v>
      </c>
      <c r="C93" s="29" t="s">
        <v>182</v>
      </c>
      <c r="D93" s="18">
        <v>43.404471999999998</v>
      </c>
      <c r="E93" s="18">
        <v>46.678255999999998</v>
      </c>
      <c r="F93" s="18">
        <v>44.089756000000001</v>
      </c>
      <c r="G93" s="18">
        <v>36.672452</v>
      </c>
      <c r="H93" s="19">
        <f t="shared" si="7"/>
        <v>42.711233999999997</v>
      </c>
      <c r="I93" s="2">
        <f t="shared" si="6"/>
        <v>5.5679999999999998E-4</v>
      </c>
    </row>
    <row r="94" spans="1:9" x14ac:dyDescent="0.2">
      <c r="A94">
        <v>172</v>
      </c>
      <c r="B94" t="s">
        <v>196</v>
      </c>
      <c r="C94" s="29" t="s">
        <v>197</v>
      </c>
      <c r="D94" s="18">
        <v>113.7576</v>
      </c>
      <c r="E94" s="18">
        <v>116.3935</v>
      </c>
      <c r="F94" s="18">
        <v>114.00895199999999</v>
      </c>
      <c r="G94" s="18">
        <v>100.175888</v>
      </c>
      <c r="H94" s="19">
        <f t="shared" si="7"/>
        <v>111.08398499999998</v>
      </c>
      <c r="I94" s="2">
        <f t="shared" si="6"/>
        <v>1.4480000000000001E-3</v>
      </c>
    </row>
    <row r="95" spans="1:9" x14ac:dyDescent="0.2">
      <c r="A95">
        <v>77</v>
      </c>
      <c r="B95" t="s">
        <v>108</v>
      </c>
      <c r="C95" s="29" t="s">
        <v>109</v>
      </c>
      <c r="D95" s="18">
        <v>158.35163600000001</v>
      </c>
      <c r="E95" s="18">
        <v>168.36426399999999</v>
      </c>
      <c r="F95" s="18">
        <v>156.22491600000001</v>
      </c>
      <c r="G95" s="18">
        <v>137.421908</v>
      </c>
      <c r="H95" s="19">
        <f t="shared" si="7"/>
        <v>155.09068100000002</v>
      </c>
      <c r="I95" s="2">
        <f t="shared" si="6"/>
        <v>2.0217E-3</v>
      </c>
    </row>
    <row r="96" spans="1:9" x14ac:dyDescent="0.2">
      <c r="A96">
        <v>78</v>
      </c>
      <c r="B96" t="s">
        <v>218</v>
      </c>
      <c r="C96" s="29" t="s">
        <v>110</v>
      </c>
      <c r="D96" s="18">
        <v>56.021451999999996</v>
      </c>
      <c r="E96" s="18">
        <v>63.013800000000003</v>
      </c>
      <c r="F96" s="18">
        <v>60.376992000000001</v>
      </c>
      <c r="G96" s="18">
        <v>56.278219999999997</v>
      </c>
      <c r="H96" s="19">
        <f t="shared" si="7"/>
        <v>58.922615999999998</v>
      </c>
      <c r="I96" s="2">
        <f t="shared" si="6"/>
        <v>7.6809999999999997E-4</v>
      </c>
    </row>
    <row r="97" spans="1:9" x14ac:dyDescent="0.2">
      <c r="A97">
        <v>79</v>
      </c>
      <c r="B97" t="s">
        <v>219</v>
      </c>
      <c r="C97" s="29" t="s">
        <v>111</v>
      </c>
      <c r="D97" s="18">
        <v>19.302275999999999</v>
      </c>
      <c r="E97" s="18">
        <v>21.399128000000001</v>
      </c>
      <c r="F97" s="18">
        <v>20.603096000000001</v>
      </c>
      <c r="G97" s="18">
        <v>17.882628</v>
      </c>
      <c r="H97" s="19">
        <f t="shared" si="7"/>
        <v>19.796782</v>
      </c>
      <c r="I97" s="2">
        <f t="shared" si="6"/>
        <v>2.5809999999999999E-4</v>
      </c>
    </row>
    <row r="98" spans="1:9" x14ac:dyDescent="0.2">
      <c r="A98">
        <v>126</v>
      </c>
      <c r="B98" t="s">
        <v>230</v>
      </c>
      <c r="C98" s="29" t="s">
        <v>169</v>
      </c>
      <c r="D98" s="18">
        <v>92.419280000000001</v>
      </c>
      <c r="E98" s="18">
        <v>89.808499999999995</v>
      </c>
      <c r="F98" s="18">
        <v>93.449439999999996</v>
      </c>
      <c r="G98" s="18">
        <v>76.521320000000003</v>
      </c>
      <c r="H98" s="19">
        <f t="shared" si="7"/>
        <v>88.049634999999995</v>
      </c>
      <c r="I98" s="2">
        <f t="shared" si="6"/>
        <v>1.1478E-3</v>
      </c>
    </row>
    <row r="99" spans="1:9" x14ac:dyDescent="0.2">
      <c r="A99">
        <v>80</v>
      </c>
      <c r="B99" t="s">
        <v>220</v>
      </c>
      <c r="C99" s="29" t="s">
        <v>112</v>
      </c>
      <c r="D99" s="18">
        <v>1.7561640000000001</v>
      </c>
      <c r="E99" s="18">
        <v>1.9090400000000001</v>
      </c>
      <c r="F99" s="18">
        <v>1.6857439999999999</v>
      </c>
      <c r="G99" s="18">
        <v>1.454588</v>
      </c>
      <c r="H99" s="19">
        <f t="shared" si="7"/>
        <v>1.701384</v>
      </c>
      <c r="I99" s="2">
        <f t="shared" si="6"/>
        <v>2.2200000000000001E-5</v>
      </c>
    </row>
    <row r="100" spans="1:9" x14ac:dyDescent="0.2">
      <c r="A100">
        <v>127</v>
      </c>
      <c r="B100" t="s">
        <v>231</v>
      </c>
      <c r="C100" s="29" t="s">
        <v>170</v>
      </c>
      <c r="D100" s="18">
        <v>193.64297199999999</v>
      </c>
      <c r="E100" s="18">
        <v>205.95083199999999</v>
      </c>
      <c r="F100" s="18">
        <v>202.47053199999999</v>
      </c>
      <c r="G100" s="18">
        <v>175.41146800000001</v>
      </c>
      <c r="H100" s="19">
        <f t="shared" si="7"/>
        <v>194.36895099999998</v>
      </c>
      <c r="I100" s="2">
        <f t="shared" ref="I100" si="9">ROUND(H100/H$144,7)</f>
        <v>2.5336999999999998E-3</v>
      </c>
    </row>
    <row r="101" spans="1:9" x14ac:dyDescent="0.2">
      <c r="A101">
        <v>81</v>
      </c>
      <c r="B101" t="s">
        <v>113</v>
      </c>
      <c r="C101" s="29" t="s">
        <v>114</v>
      </c>
      <c r="D101" s="18">
        <v>113.761428</v>
      </c>
      <c r="E101" s="18">
        <v>121.895348</v>
      </c>
      <c r="F101" s="18">
        <v>112.475452</v>
      </c>
      <c r="G101" s="18">
        <v>100.909628</v>
      </c>
      <c r="H101" s="19">
        <f t="shared" si="7"/>
        <v>112.260464</v>
      </c>
      <c r="I101" s="2">
        <f t="shared" ref="I101:I132" si="10">ROUND(H101/H$144,7)</f>
        <v>1.4633999999999999E-3</v>
      </c>
    </row>
    <row r="102" spans="1:9" x14ac:dyDescent="0.2">
      <c r="A102">
        <v>82</v>
      </c>
      <c r="B102" t="s">
        <v>115</v>
      </c>
      <c r="C102" s="29" t="s">
        <v>116</v>
      </c>
      <c r="D102" s="18">
        <v>48.629092</v>
      </c>
      <c r="E102" s="18">
        <v>61.037551999999998</v>
      </c>
      <c r="F102" s="18">
        <v>56.909351999999998</v>
      </c>
      <c r="G102" s="18">
        <v>40.627256000000003</v>
      </c>
      <c r="H102" s="19">
        <f t="shared" ref="H102:H131" si="11">AVERAGE(D102:G102)</f>
        <v>51.800812999999991</v>
      </c>
      <c r="I102" s="2">
        <f t="shared" si="10"/>
        <v>6.7520000000000004E-4</v>
      </c>
    </row>
    <row r="103" spans="1:9" x14ac:dyDescent="0.2">
      <c r="A103">
        <v>182</v>
      </c>
      <c r="B103" t="s">
        <v>205</v>
      </c>
      <c r="C103" s="29" t="s">
        <v>206</v>
      </c>
      <c r="D103" s="18">
        <v>3.4020280000000001</v>
      </c>
      <c r="E103" s="20">
        <v>0</v>
      </c>
      <c r="F103" s="18">
        <v>1.4993160000000001</v>
      </c>
      <c r="G103" s="18">
        <v>1.7121519999999999</v>
      </c>
      <c r="H103" s="19">
        <f t="shared" si="11"/>
        <v>1.6533739999999999</v>
      </c>
      <c r="I103" s="2">
        <f t="shared" si="10"/>
        <v>2.16E-5</v>
      </c>
    </row>
    <row r="104" spans="1:9" x14ac:dyDescent="0.2">
      <c r="A104">
        <v>83</v>
      </c>
      <c r="B104" t="s">
        <v>117</v>
      </c>
      <c r="C104" s="29" t="s">
        <v>118</v>
      </c>
      <c r="D104" s="18">
        <v>4.1087360000000004</v>
      </c>
      <c r="E104" s="18">
        <v>4.7982959999999997</v>
      </c>
      <c r="F104" s="18">
        <v>4.3824920000000001</v>
      </c>
      <c r="G104" s="18">
        <v>1.9824360000000001</v>
      </c>
      <c r="H104" s="19">
        <f t="shared" si="11"/>
        <v>3.81799</v>
      </c>
      <c r="I104" s="2">
        <f t="shared" si="10"/>
        <v>4.9799999999999998E-5</v>
      </c>
    </row>
    <row r="105" spans="1:9" x14ac:dyDescent="0.2">
      <c r="A105">
        <v>85</v>
      </c>
      <c r="B105" t="s">
        <v>119</v>
      </c>
      <c r="C105" s="29" t="s">
        <v>120</v>
      </c>
      <c r="D105" s="18">
        <v>29.733408000000001</v>
      </c>
      <c r="E105" s="18">
        <v>30.87096</v>
      </c>
      <c r="F105" s="18">
        <v>28.291504</v>
      </c>
      <c r="G105" s="18">
        <v>26.174332</v>
      </c>
      <c r="H105" s="19">
        <f t="shared" si="11"/>
        <v>28.767550999999997</v>
      </c>
      <c r="I105" s="2">
        <f t="shared" si="10"/>
        <v>3.7500000000000001E-4</v>
      </c>
    </row>
    <row r="106" spans="1:9" x14ac:dyDescent="0.2">
      <c r="A106">
        <v>86</v>
      </c>
      <c r="B106" t="s">
        <v>121</v>
      </c>
      <c r="C106" s="29" t="s">
        <v>122</v>
      </c>
      <c r="D106" s="18">
        <v>564.19378400000005</v>
      </c>
      <c r="E106" s="18">
        <v>592.24224400000003</v>
      </c>
      <c r="F106" s="18">
        <v>580.58767599999999</v>
      </c>
      <c r="G106" s="18">
        <v>491.13536800000003</v>
      </c>
      <c r="H106" s="19">
        <f t="shared" si="11"/>
        <v>557.03976800000009</v>
      </c>
      <c r="I106" s="2">
        <f t="shared" si="10"/>
        <v>7.2613E-3</v>
      </c>
    </row>
    <row r="107" spans="1:9" x14ac:dyDescent="0.2">
      <c r="A107">
        <v>128</v>
      </c>
      <c r="B107" t="s">
        <v>171</v>
      </c>
      <c r="C107" s="29" t="s">
        <v>172</v>
      </c>
      <c r="D107" s="18">
        <v>216.06433999999999</v>
      </c>
      <c r="E107" s="18">
        <v>239.46516800000001</v>
      </c>
      <c r="F107" s="18">
        <v>266.157644</v>
      </c>
      <c r="G107" s="18">
        <v>202.528424</v>
      </c>
      <c r="H107" s="19">
        <f t="shared" si="11"/>
        <v>231.05389399999999</v>
      </c>
      <c r="I107" s="2">
        <f t="shared" si="10"/>
        <v>3.0119000000000001E-3</v>
      </c>
    </row>
    <row r="108" spans="1:9" x14ac:dyDescent="0.2">
      <c r="A108">
        <v>88</v>
      </c>
      <c r="B108" t="s">
        <v>123</v>
      </c>
      <c r="C108" s="29" t="s">
        <v>124</v>
      </c>
      <c r="D108" s="18">
        <v>50.535668000000001</v>
      </c>
      <c r="E108" s="18">
        <v>46.834268000000002</v>
      </c>
      <c r="F108" s="18">
        <v>47.539064000000003</v>
      </c>
      <c r="G108" s="18">
        <v>42.098576000000001</v>
      </c>
      <c r="H108" s="19">
        <f t="shared" si="11"/>
        <v>46.751894</v>
      </c>
      <c r="I108" s="2">
        <f t="shared" si="10"/>
        <v>6.0939999999999996E-4</v>
      </c>
    </row>
    <row r="109" spans="1:9" x14ac:dyDescent="0.2">
      <c r="A109">
        <v>89</v>
      </c>
      <c r="B109" t="s">
        <v>221</v>
      </c>
      <c r="C109" s="29" t="s">
        <v>125</v>
      </c>
      <c r="D109" s="18">
        <v>102.86302000000001</v>
      </c>
      <c r="E109" s="18">
        <v>106.13059199999999</v>
      </c>
      <c r="F109" s="18">
        <v>105.369772</v>
      </c>
      <c r="G109" s="18">
        <v>92.638543999999996</v>
      </c>
      <c r="H109" s="19">
        <f t="shared" si="11"/>
        <v>101.75048200000001</v>
      </c>
      <c r="I109" s="2">
        <f t="shared" si="10"/>
        <v>1.3263999999999999E-3</v>
      </c>
    </row>
    <row r="110" spans="1:9" x14ac:dyDescent="0.2">
      <c r="A110">
        <v>90</v>
      </c>
      <c r="B110" t="s">
        <v>222</v>
      </c>
      <c r="C110" s="29" t="s">
        <v>126</v>
      </c>
      <c r="D110" s="18">
        <v>83.247219999999999</v>
      </c>
      <c r="E110" s="18">
        <v>86.464135999999996</v>
      </c>
      <c r="F110" s="18">
        <v>83.856468000000007</v>
      </c>
      <c r="G110" s="18">
        <v>70.835288000000006</v>
      </c>
      <c r="H110" s="19">
        <f t="shared" si="11"/>
        <v>81.100778000000005</v>
      </c>
      <c r="I110" s="2">
        <f t="shared" si="10"/>
        <v>1.0571999999999999E-3</v>
      </c>
    </row>
    <row r="111" spans="1:9" x14ac:dyDescent="0.2">
      <c r="A111">
        <v>91</v>
      </c>
      <c r="B111" t="s">
        <v>127</v>
      </c>
      <c r="C111" s="29" t="s">
        <v>128</v>
      </c>
      <c r="D111" s="18">
        <v>319.89231599999999</v>
      </c>
      <c r="E111" s="18">
        <v>328.94979999999998</v>
      </c>
      <c r="F111" s="18">
        <v>334.27979599999998</v>
      </c>
      <c r="G111" s="18">
        <v>287.44896</v>
      </c>
      <c r="H111" s="19">
        <f t="shared" si="11"/>
        <v>317.642718</v>
      </c>
      <c r="I111" s="2">
        <f t="shared" si="10"/>
        <v>4.1406000000000004E-3</v>
      </c>
    </row>
    <row r="112" spans="1:9" x14ac:dyDescent="0.2">
      <c r="A112">
        <v>158</v>
      </c>
      <c r="B112" t="s">
        <v>247</v>
      </c>
      <c r="C112" s="29" t="s">
        <v>189</v>
      </c>
      <c r="D112" s="18">
        <v>83.180747999999994</v>
      </c>
      <c r="E112" s="18">
        <v>90.119236000000001</v>
      </c>
      <c r="F112" s="18">
        <v>93.897171999999998</v>
      </c>
      <c r="G112" s="18">
        <v>78.638919999999999</v>
      </c>
      <c r="H112" s="19">
        <f t="shared" ref="H112" si="12">AVERAGE(D112:G112)</f>
        <v>86.459018999999998</v>
      </c>
      <c r="I112" s="2">
        <f t="shared" si="10"/>
        <v>1.127E-3</v>
      </c>
    </row>
    <row r="113" spans="1:9" x14ac:dyDescent="0.2">
      <c r="A113">
        <v>2</v>
      </c>
      <c r="B113" t="s">
        <v>198</v>
      </c>
      <c r="C113" s="29" t="s">
        <v>3</v>
      </c>
      <c r="D113" s="18">
        <v>27352.280183999999</v>
      </c>
      <c r="E113" s="18">
        <v>29223.621567999999</v>
      </c>
      <c r="F113" s="18">
        <v>28201.891211999999</v>
      </c>
      <c r="G113" s="18">
        <v>25704.858676</v>
      </c>
      <c r="H113" s="19">
        <f t="shared" si="11"/>
        <v>27620.662909999999</v>
      </c>
      <c r="I113" s="2">
        <f t="shared" si="10"/>
        <v>0.36004789999999998</v>
      </c>
    </row>
    <row r="114" spans="1:9" x14ac:dyDescent="0.2">
      <c r="A114">
        <v>145</v>
      </c>
      <c r="B114" t="s">
        <v>183</v>
      </c>
      <c r="C114" s="29" t="s">
        <v>184</v>
      </c>
      <c r="D114" s="18">
        <v>6.9293880000000003</v>
      </c>
      <c r="E114" s="18">
        <v>7.4098480000000002</v>
      </c>
      <c r="F114" s="18">
        <v>6.5583200000000001</v>
      </c>
      <c r="G114" s="18">
        <v>5.3925039999999997</v>
      </c>
      <c r="H114" s="19">
        <f t="shared" si="11"/>
        <v>6.5725150000000001</v>
      </c>
      <c r="I114" s="2">
        <f t="shared" si="10"/>
        <v>8.5699999999999996E-5</v>
      </c>
    </row>
    <row r="115" spans="1:9" x14ac:dyDescent="0.2">
      <c r="A115">
        <v>210</v>
      </c>
      <c r="B115" t="s">
        <v>265</v>
      </c>
      <c r="C115" s="29" t="s">
        <v>266</v>
      </c>
      <c r="D115" s="20">
        <v>5.2708719999999998</v>
      </c>
      <c r="E115" s="20">
        <v>3.814924</v>
      </c>
      <c r="F115" s="20">
        <v>5.2115320000000001</v>
      </c>
      <c r="G115" s="20">
        <v>1.7427680000000001</v>
      </c>
      <c r="H115" s="19">
        <f t="shared" si="11"/>
        <v>4.0100240000000005</v>
      </c>
      <c r="I115" s="2">
        <f t="shared" si="10"/>
        <v>5.2299999999999997E-5</v>
      </c>
    </row>
    <row r="116" spans="1:9" x14ac:dyDescent="0.2">
      <c r="A116">
        <v>92</v>
      </c>
      <c r="B116" t="s">
        <v>129</v>
      </c>
      <c r="C116" s="29" t="s">
        <v>130</v>
      </c>
      <c r="D116" s="18">
        <v>1725.427136</v>
      </c>
      <c r="E116" s="18">
        <v>1803.9087919999999</v>
      </c>
      <c r="F116" s="18">
        <v>1711.4516639999999</v>
      </c>
      <c r="G116" s="18">
        <v>1523.4996960000001</v>
      </c>
      <c r="H116" s="19">
        <f t="shared" si="11"/>
        <v>1691.0718219999999</v>
      </c>
      <c r="I116" s="2">
        <f t="shared" si="10"/>
        <v>2.2043900000000002E-2</v>
      </c>
    </row>
    <row r="117" spans="1:9" x14ac:dyDescent="0.2">
      <c r="A117">
        <v>148</v>
      </c>
      <c r="B117" t="s">
        <v>273</v>
      </c>
      <c r="C117" s="29" t="s">
        <v>274</v>
      </c>
      <c r="D117" s="20">
        <v>0.63625200000000004</v>
      </c>
      <c r="E117" s="20">
        <v>0.51539999999999997</v>
      </c>
      <c r="F117" s="20">
        <v>0.45549600000000001</v>
      </c>
      <c r="G117" s="20">
        <v>0.33313599999999999</v>
      </c>
      <c r="H117" s="19">
        <f t="shared" si="11"/>
        <v>0.48507100000000003</v>
      </c>
      <c r="I117" s="2">
        <f t="shared" si="10"/>
        <v>6.2999999999999998E-6</v>
      </c>
    </row>
    <row r="118" spans="1:9" x14ac:dyDescent="0.2">
      <c r="A118">
        <v>199</v>
      </c>
      <c r="B118" t="s">
        <v>249</v>
      </c>
      <c r="C118" s="29" t="s">
        <v>244</v>
      </c>
      <c r="D118" s="20">
        <v>62.346024</v>
      </c>
      <c r="E118" s="20">
        <v>84.923916000000006</v>
      </c>
      <c r="F118" s="20">
        <v>60.779167999999999</v>
      </c>
      <c r="G118" s="20">
        <v>56.448115999999999</v>
      </c>
      <c r="H118" s="19">
        <f t="shared" si="11"/>
        <v>66.124306000000004</v>
      </c>
      <c r="I118" s="2">
        <f t="shared" si="10"/>
        <v>8.6200000000000003E-4</v>
      </c>
    </row>
    <row r="119" spans="1:9" x14ac:dyDescent="0.2">
      <c r="A119">
        <v>204</v>
      </c>
      <c r="B119" t="s">
        <v>256</v>
      </c>
      <c r="C119" s="29" t="s">
        <v>257</v>
      </c>
      <c r="D119" s="18">
        <v>0.37396400000000002</v>
      </c>
      <c r="E119" s="18">
        <v>0.45106000000000002</v>
      </c>
      <c r="F119" s="18">
        <v>0.42159600000000003</v>
      </c>
      <c r="G119" s="18">
        <v>0.37731199999999998</v>
      </c>
      <c r="H119" s="19">
        <f t="shared" si="11"/>
        <v>0.40598299999999998</v>
      </c>
      <c r="I119" s="2">
        <f t="shared" si="10"/>
        <v>5.3000000000000001E-6</v>
      </c>
    </row>
    <row r="120" spans="1:9" x14ac:dyDescent="0.2">
      <c r="A120">
        <v>203</v>
      </c>
      <c r="B120" t="s">
        <v>254</v>
      </c>
      <c r="C120" s="29" t="s">
        <v>255</v>
      </c>
      <c r="D120" s="20">
        <v>0</v>
      </c>
      <c r="E120" s="20">
        <v>0</v>
      </c>
      <c r="F120" s="20">
        <v>0</v>
      </c>
      <c r="G120" s="20">
        <v>0</v>
      </c>
      <c r="H120" s="19">
        <f t="shared" si="11"/>
        <v>0</v>
      </c>
      <c r="I120" s="2">
        <f t="shared" si="10"/>
        <v>0</v>
      </c>
    </row>
    <row r="121" spans="1:9" x14ac:dyDescent="0.2">
      <c r="A121">
        <v>94</v>
      </c>
      <c r="B121" t="s">
        <v>131</v>
      </c>
      <c r="C121" s="29" t="s">
        <v>132</v>
      </c>
      <c r="D121" s="20">
        <v>5.0335640000000001</v>
      </c>
      <c r="E121" s="20">
        <v>6.340948</v>
      </c>
      <c r="F121" s="20">
        <v>5.8296159999999997</v>
      </c>
      <c r="G121" s="20">
        <v>5.1155280000000003</v>
      </c>
      <c r="H121" s="19">
        <f t="shared" si="11"/>
        <v>5.5799139999999996</v>
      </c>
      <c r="I121" s="2">
        <f t="shared" si="10"/>
        <v>7.2700000000000005E-5</v>
      </c>
    </row>
    <row r="122" spans="1:9" x14ac:dyDescent="0.2">
      <c r="A122">
        <v>95</v>
      </c>
      <c r="B122" t="s">
        <v>133</v>
      </c>
      <c r="C122" s="29" t="s">
        <v>134</v>
      </c>
      <c r="D122" s="20">
        <v>162.47118800000001</v>
      </c>
      <c r="E122" s="20">
        <v>164.39195599999999</v>
      </c>
      <c r="F122" s="20">
        <v>163.471296</v>
      </c>
      <c r="G122" s="20">
        <v>141.85346000000001</v>
      </c>
      <c r="H122" s="19">
        <f t="shared" si="11"/>
        <v>158.046975</v>
      </c>
      <c r="I122" s="2">
        <f t="shared" si="10"/>
        <v>2.0601999999999999E-3</v>
      </c>
    </row>
    <row r="123" spans="1:9" x14ac:dyDescent="0.2">
      <c r="A123">
        <v>131</v>
      </c>
      <c r="B123" t="s">
        <v>173</v>
      </c>
      <c r="C123" s="29" t="s">
        <v>174</v>
      </c>
      <c r="D123" s="20">
        <v>0</v>
      </c>
      <c r="E123" s="20">
        <v>0</v>
      </c>
      <c r="F123" s="20">
        <v>0</v>
      </c>
      <c r="G123" s="20">
        <v>0</v>
      </c>
      <c r="H123" s="19">
        <f t="shared" si="11"/>
        <v>0</v>
      </c>
      <c r="I123" s="2">
        <f t="shared" si="10"/>
        <v>0</v>
      </c>
    </row>
    <row r="124" spans="1:9" x14ac:dyDescent="0.2">
      <c r="A124">
        <v>132</v>
      </c>
      <c r="B124" t="s">
        <v>175</v>
      </c>
      <c r="C124" s="29" t="s">
        <v>176</v>
      </c>
      <c r="D124" s="20">
        <v>43.45308</v>
      </c>
      <c r="E124" s="20">
        <v>46.217328000000002</v>
      </c>
      <c r="F124" s="20">
        <v>42.206167999999998</v>
      </c>
      <c r="G124" s="20">
        <v>35.689872000000001</v>
      </c>
      <c r="H124" s="19">
        <f t="shared" si="11"/>
        <v>41.891612000000002</v>
      </c>
      <c r="I124" s="2">
        <f t="shared" si="10"/>
        <v>5.4609999999999999E-4</v>
      </c>
    </row>
    <row r="125" spans="1:9" x14ac:dyDescent="0.2">
      <c r="A125">
        <v>96</v>
      </c>
      <c r="B125" t="s">
        <v>135</v>
      </c>
      <c r="C125" s="29" t="s">
        <v>136</v>
      </c>
      <c r="D125" s="18">
        <v>79.540711999999999</v>
      </c>
      <c r="E125" s="18">
        <v>79.014408000000003</v>
      </c>
      <c r="F125" s="18">
        <v>75.048456000000002</v>
      </c>
      <c r="G125" s="18">
        <v>76.936831999999995</v>
      </c>
      <c r="H125" s="19">
        <f t="shared" si="11"/>
        <v>77.635101999999989</v>
      </c>
      <c r="I125" s="2">
        <f t="shared" si="10"/>
        <v>1.0120000000000001E-3</v>
      </c>
    </row>
    <row r="126" spans="1:9" x14ac:dyDescent="0.2">
      <c r="A126">
        <v>134</v>
      </c>
      <c r="B126" t="s">
        <v>232</v>
      </c>
      <c r="C126" s="29" t="s">
        <v>177</v>
      </c>
      <c r="D126" s="20">
        <v>0</v>
      </c>
      <c r="E126" s="20">
        <v>0</v>
      </c>
      <c r="F126" s="20">
        <v>2.2537120000000002</v>
      </c>
      <c r="G126" s="20">
        <v>0.148288</v>
      </c>
      <c r="H126" s="19">
        <f t="shared" si="11"/>
        <v>0.60050000000000003</v>
      </c>
      <c r="I126" s="2">
        <f t="shared" si="10"/>
        <v>7.7999999999999999E-6</v>
      </c>
    </row>
    <row r="127" spans="1:9" x14ac:dyDescent="0.2">
      <c r="A127">
        <v>200</v>
      </c>
      <c r="B127" t="s">
        <v>245</v>
      </c>
      <c r="C127" s="29" t="s">
        <v>246</v>
      </c>
      <c r="D127" s="20">
        <v>0</v>
      </c>
      <c r="E127" s="20">
        <v>0</v>
      </c>
      <c r="F127" s="20">
        <v>0</v>
      </c>
      <c r="G127" s="20">
        <v>0</v>
      </c>
      <c r="H127" s="19">
        <f t="shared" si="11"/>
        <v>0</v>
      </c>
      <c r="I127" s="2">
        <f t="shared" si="10"/>
        <v>0</v>
      </c>
    </row>
    <row r="128" spans="1:9" x14ac:dyDescent="0.2">
      <c r="A128">
        <v>97</v>
      </c>
      <c r="B128" t="s">
        <v>137</v>
      </c>
      <c r="C128" s="29" t="s">
        <v>138</v>
      </c>
      <c r="D128" s="18">
        <v>35.590947999999997</v>
      </c>
      <c r="E128" s="18">
        <v>42.120528</v>
      </c>
      <c r="F128" s="18">
        <v>34.197763999999999</v>
      </c>
      <c r="G128" s="18">
        <v>33.412108000000003</v>
      </c>
      <c r="H128" s="19">
        <f t="shared" si="11"/>
        <v>36.330337</v>
      </c>
      <c r="I128" s="2">
        <f t="shared" si="10"/>
        <v>4.7360000000000002E-4</v>
      </c>
    </row>
    <row r="129" spans="1:9" x14ac:dyDescent="0.2">
      <c r="A129">
        <v>201</v>
      </c>
      <c r="B129" t="s">
        <v>252</v>
      </c>
      <c r="C129" s="29" t="s">
        <v>253</v>
      </c>
      <c r="D129" s="20">
        <v>0</v>
      </c>
      <c r="E129" s="20">
        <v>0</v>
      </c>
      <c r="F129" s="20">
        <v>0</v>
      </c>
      <c r="G129" s="20">
        <v>0</v>
      </c>
      <c r="H129" s="19">
        <f t="shared" si="11"/>
        <v>0</v>
      </c>
      <c r="I129" s="2">
        <f t="shared" si="10"/>
        <v>0</v>
      </c>
    </row>
    <row r="130" spans="1:9" x14ac:dyDescent="0.2">
      <c r="A130">
        <v>146</v>
      </c>
      <c r="B130" t="s">
        <v>185</v>
      </c>
      <c r="C130" s="29" t="s">
        <v>186</v>
      </c>
      <c r="D130" s="18">
        <v>83.456419999999994</v>
      </c>
      <c r="E130" s="18">
        <v>83.694299999999998</v>
      </c>
      <c r="F130" s="18">
        <v>83.459487999999993</v>
      </c>
      <c r="G130" s="18">
        <v>74.279675999999995</v>
      </c>
      <c r="H130" s="19">
        <f t="shared" si="11"/>
        <v>81.222470999999985</v>
      </c>
      <c r="I130" s="2">
        <f t="shared" si="10"/>
        <v>1.0587999999999999E-3</v>
      </c>
    </row>
    <row r="131" spans="1:9" x14ac:dyDescent="0.2">
      <c r="A131">
        <v>4</v>
      </c>
      <c r="B131" t="s">
        <v>4</v>
      </c>
      <c r="C131" s="29" t="s">
        <v>5</v>
      </c>
      <c r="D131" s="18">
        <v>2099.144108</v>
      </c>
      <c r="E131" s="18">
        <v>2227.7656360000001</v>
      </c>
      <c r="F131" s="18">
        <v>2188.0816519999998</v>
      </c>
      <c r="G131" s="18">
        <v>2068.5770160000002</v>
      </c>
      <c r="H131" s="19">
        <f t="shared" si="11"/>
        <v>2145.8921030000001</v>
      </c>
      <c r="I131" s="2">
        <f t="shared" si="10"/>
        <v>2.79727E-2</v>
      </c>
    </row>
    <row r="132" spans="1:9" x14ac:dyDescent="0.2">
      <c r="A132">
        <v>99</v>
      </c>
      <c r="B132" t="s">
        <v>223</v>
      </c>
      <c r="C132" s="29" t="s">
        <v>139</v>
      </c>
      <c r="D132" s="18">
        <v>761.06631200000004</v>
      </c>
      <c r="E132" s="18">
        <v>851.47314800000004</v>
      </c>
      <c r="F132" s="18">
        <v>780.18428800000004</v>
      </c>
      <c r="G132" s="18">
        <v>677.13296000000003</v>
      </c>
      <c r="H132" s="19">
        <f>AVERAGE(D132:G132)</f>
        <v>767.46417699999995</v>
      </c>
      <c r="I132" s="2">
        <f t="shared" si="10"/>
        <v>1.00042E-2</v>
      </c>
    </row>
    <row r="133" spans="1:9" x14ac:dyDescent="0.2">
      <c r="A133">
        <v>100</v>
      </c>
      <c r="B133" t="s">
        <v>224</v>
      </c>
      <c r="C133" s="29" t="s">
        <v>140</v>
      </c>
      <c r="D133" s="18">
        <v>344.74872800000003</v>
      </c>
      <c r="E133" s="18">
        <v>374.47060800000003</v>
      </c>
      <c r="F133" s="18">
        <v>344.15754399999997</v>
      </c>
      <c r="G133" s="18">
        <v>298.64933200000002</v>
      </c>
      <c r="H133" s="19">
        <f>AVERAGE(D133:G133)</f>
        <v>340.506553</v>
      </c>
      <c r="I133" s="2">
        <f t="shared" ref="I133:I138" si="13">ROUND(H133/H$144,7)</f>
        <v>4.4387000000000003E-3</v>
      </c>
    </row>
    <row r="134" spans="1:9" x14ac:dyDescent="0.2">
      <c r="A134">
        <v>176</v>
      </c>
      <c r="B134" t="s">
        <v>207</v>
      </c>
      <c r="C134" s="29" t="s">
        <v>203</v>
      </c>
      <c r="D134" s="18">
        <v>0.106048</v>
      </c>
      <c r="E134" s="18">
        <v>0.110136</v>
      </c>
      <c r="F134" s="18">
        <v>3.1244640000000001</v>
      </c>
      <c r="G134" s="18">
        <v>3.6748080000000001</v>
      </c>
      <c r="H134" s="19">
        <f>AVERAGE(D134:G134)</f>
        <v>1.7538640000000001</v>
      </c>
      <c r="I134" s="2">
        <f t="shared" si="13"/>
        <v>2.2900000000000001E-5</v>
      </c>
    </row>
    <row r="135" spans="1:9" x14ac:dyDescent="0.2">
      <c r="A135">
        <v>214</v>
      </c>
      <c r="B135" t="s">
        <v>281</v>
      </c>
      <c r="C135" s="29" t="s">
        <v>282</v>
      </c>
      <c r="D135" s="18">
        <v>0.244728</v>
      </c>
      <c r="E135" s="18">
        <v>2.2231320000000001</v>
      </c>
      <c r="F135" s="18">
        <v>2.504464</v>
      </c>
      <c r="G135" s="18">
        <v>7.5290720000000002</v>
      </c>
      <c r="H135" s="19">
        <f>AVERAGE(D135:G135)</f>
        <v>3.1253489999999999</v>
      </c>
      <c r="I135" s="2">
        <f t="shared" si="13"/>
        <v>4.07E-5</v>
      </c>
    </row>
    <row r="136" spans="1:9" x14ac:dyDescent="0.2">
      <c r="A136">
        <v>102</v>
      </c>
      <c r="B136" t="s">
        <v>225</v>
      </c>
      <c r="C136" s="29" t="s">
        <v>141</v>
      </c>
      <c r="D136" s="18">
        <v>508.281768</v>
      </c>
      <c r="E136" s="18">
        <v>558.44309199999998</v>
      </c>
      <c r="F136" s="18">
        <v>540.80990399999996</v>
      </c>
      <c r="G136" s="20">
        <v>477.443128</v>
      </c>
      <c r="H136" s="19">
        <f>AVERAGE(D136:G136)</f>
        <v>521.24447299999997</v>
      </c>
      <c r="I136" s="2">
        <f t="shared" si="13"/>
        <v>6.7946999999999999E-3</v>
      </c>
    </row>
    <row r="137" spans="1:9" x14ac:dyDescent="0.2">
      <c r="A137">
        <v>136</v>
      </c>
      <c r="B137" t="s">
        <v>233</v>
      </c>
      <c r="C137" s="29" t="s">
        <v>178</v>
      </c>
      <c r="D137" s="18">
        <v>109.86680800000001</v>
      </c>
      <c r="E137" s="18">
        <v>115.733124</v>
      </c>
      <c r="F137" s="18">
        <v>122.032928</v>
      </c>
      <c r="G137" s="20">
        <v>104.56424</v>
      </c>
      <c r="H137" s="19">
        <f t="shared" ref="H137:H138" si="14">AVERAGE(D137:G137)</f>
        <v>113.04927500000001</v>
      </c>
      <c r="I137" s="2">
        <f t="shared" si="13"/>
        <v>1.4736E-3</v>
      </c>
    </row>
    <row r="138" spans="1:9" x14ac:dyDescent="0.2">
      <c r="A138">
        <v>137</v>
      </c>
      <c r="B138" t="s">
        <v>179</v>
      </c>
      <c r="C138" s="29" t="s">
        <v>180</v>
      </c>
      <c r="D138" s="18">
        <v>95.514319999999998</v>
      </c>
      <c r="E138" s="18">
        <v>107.69528</v>
      </c>
      <c r="F138" s="18">
        <v>96.631640000000004</v>
      </c>
      <c r="G138" s="20">
        <v>86.182828000000001</v>
      </c>
      <c r="H138" s="19">
        <f t="shared" si="14"/>
        <v>96.506016999999986</v>
      </c>
      <c r="I138" s="2">
        <f t="shared" si="13"/>
        <v>1.258E-3</v>
      </c>
    </row>
    <row r="139" spans="1:9" x14ac:dyDescent="0.2">
      <c r="A139">
        <v>153</v>
      </c>
      <c r="B139" t="s">
        <v>187</v>
      </c>
      <c r="C139" s="29" t="s">
        <v>188</v>
      </c>
      <c r="D139" s="18">
        <v>0.74593200000000004</v>
      </c>
      <c r="E139" s="18">
        <v>0.77487600000000001</v>
      </c>
      <c r="F139" s="18">
        <v>0.83455199999999996</v>
      </c>
      <c r="G139" s="20">
        <v>0.63674799999999998</v>
      </c>
      <c r="H139" s="19">
        <f t="shared" ref="H139:H142" si="15">AVERAGE(D139:G139)</f>
        <v>0.748027</v>
      </c>
      <c r="I139" s="2">
        <f t="shared" ref="I139:I141" si="16">ROUND(H139/H$144,7)</f>
        <v>9.7999999999999993E-6</v>
      </c>
    </row>
    <row r="140" spans="1:9" x14ac:dyDescent="0.2">
      <c r="A140">
        <v>138</v>
      </c>
      <c r="B140" t="s">
        <v>234</v>
      </c>
      <c r="C140" s="29" t="s">
        <v>181</v>
      </c>
      <c r="D140" s="18">
        <v>41.334076000000003</v>
      </c>
      <c r="E140" s="18">
        <v>40.395476000000002</v>
      </c>
      <c r="F140" s="18">
        <v>38.011099999999999</v>
      </c>
      <c r="G140" s="20">
        <v>37.804152000000002</v>
      </c>
      <c r="H140" s="19">
        <f t="shared" si="15"/>
        <v>39.386201</v>
      </c>
      <c r="I140" s="2">
        <f t="shared" si="16"/>
        <v>5.1340000000000001E-4</v>
      </c>
    </row>
    <row r="141" spans="1:9" x14ac:dyDescent="0.2">
      <c r="A141">
        <v>103</v>
      </c>
      <c r="B141" t="s">
        <v>226</v>
      </c>
      <c r="C141" s="29" t="s">
        <v>142</v>
      </c>
      <c r="D141" s="18">
        <v>128.667124</v>
      </c>
      <c r="E141" s="18">
        <v>143.24895599999999</v>
      </c>
      <c r="F141" s="18">
        <v>132.91357199999999</v>
      </c>
      <c r="G141" s="20">
        <v>118.79692799999999</v>
      </c>
      <c r="H141" s="19">
        <f t="shared" si="15"/>
        <v>130.906645</v>
      </c>
      <c r="I141" s="2">
        <f t="shared" si="16"/>
        <v>1.7064000000000001E-3</v>
      </c>
    </row>
    <row r="142" spans="1:9" x14ac:dyDescent="0.2">
      <c r="A142">
        <v>168</v>
      </c>
      <c r="B142" t="s">
        <v>194</v>
      </c>
      <c r="C142" s="29" t="s">
        <v>195</v>
      </c>
      <c r="D142" s="18">
        <v>9.7892000000000007E-2</v>
      </c>
      <c r="E142" s="18">
        <v>9.7900000000000001E-2</v>
      </c>
      <c r="F142" s="18">
        <v>9.3815999999999997E-2</v>
      </c>
      <c r="G142" s="20">
        <v>8.9732000000000006E-2</v>
      </c>
      <c r="H142" s="19">
        <f t="shared" si="15"/>
        <v>9.4835000000000003E-2</v>
      </c>
      <c r="I142" s="2">
        <f>ROUND(H142/H$144,7)</f>
        <v>1.1999999999999999E-6</v>
      </c>
    </row>
    <row r="143" spans="1:9" x14ac:dyDescent="0.2">
      <c r="A143" s="13"/>
      <c r="B143" s="14"/>
      <c r="C143" s="15"/>
      <c r="D143" s="17"/>
      <c r="E143" s="17"/>
      <c r="F143" s="17"/>
      <c r="G143" s="17"/>
      <c r="H143" s="17"/>
      <c r="I143" s="2"/>
    </row>
    <row r="144" spans="1:9" ht="15.75" x14ac:dyDescent="0.25">
      <c r="A144" s="4"/>
      <c r="B144" s="11" t="s">
        <v>190</v>
      </c>
      <c r="C144" s="5"/>
      <c r="D144" s="22">
        <f>ROUND(SUM(D4:D142),6)</f>
        <v>76803.458295999997</v>
      </c>
      <c r="E144" s="22">
        <f t="shared" ref="E144:F144" si="17">ROUND(SUM(E4:E142),6)</f>
        <v>80233.229300000006</v>
      </c>
      <c r="F144" s="22">
        <f t="shared" si="17"/>
        <v>78669.138307999994</v>
      </c>
      <c r="G144" s="22">
        <f>ROUND(SUM(G4:G142),6)</f>
        <v>71149.605628000005</v>
      </c>
      <c r="H144" s="22">
        <f>ROUND(SUM(H4:H142),6)</f>
        <v>76713.857883000004</v>
      </c>
      <c r="I144" s="16">
        <f>ROUND(SUM(I4:I142),5)</f>
        <v>1</v>
      </c>
    </row>
    <row r="145" spans="1:9" x14ac:dyDescent="0.2">
      <c r="A145" s="3"/>
      <c r="B145" s="12" t="s">
        <v>248</v>
      </c>
      <c r="C145" s="6"/>
      <c r="D145" s="3"/>
    </row>
    <row r="146" spans="1:9" x14ac:dyDescent="0.2">
      <c r="I146" s="23"/>
    </row>
    <row r="147" spans="1:9" x14ac:dyDescent="0.2">
      <c r="A147" s="27"/>
    </row>
    <row r="148" spans="1:9" x14ac:dyDescent="0.2">
      <c r="A148" s="24"/>
      <c r="B148" s="25"/>
      <c r="C148" s="25"/>
      <c r="D148" s="26"/>
    </row>
  </sheetData>
  <mergeCells count="2">
    <mergeCell ref="A1:I1"/>
    <mergeCell ref="A2:I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4CP CALCULATION</vt:lpstr>
    </vt:vector>
  </TitlesOfParts>
  <Company>ERCOT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bburr</dc:creator>
  <cp:lastModifiedBy>Clawson, Bill</cp:lastModifiedBy>
  <dcterms:created xsi:type="dcterms:W3CDTF">2006-11-27T20:43:52Z</dcterms:created>
  <dcterms:modified xsi:type="dcterms:W3CDTF">2022-11-21T21:44:03Z</dcterms:modified>
</cp:coreProperties>
</file>