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P RESULTS\2023\"/>
    </mc:Choice>
  </mc:AlternateContent>
  <xr:revisionPtr revIDLastSave="0" documentId="13_ncr:1_{A82E24BE-4C0D-4515-8B03-809AFD051DB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2023 4CP CALCUL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7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7" i="4"/>
  <c r="G147" i="4"/>
  <c r="F147" i="4"/>
  <c r="E147" i="4"/>
  <c r="D147" i="4"/>
</calcChain>
</file>

<file path=xl/sharedStrings.xml><?xml version="1.0" encoding="utf-8"?>
<sst xmlns="http://schemas.openxmlformats.org/spreadsheetml/2006/main" count="296" uniqueCount="296">
  <si>
    <t>Load Ratio Share</t>
  </si>
  <si>
    <t>CENTERPOINT ENERGY HOUSTON ELECTRIC LLC (TDSP)</t>
  </si>
  <si>
    <t>957877905</t>
  </si>
  <si>
    <t>1039940674000</t>
  </si>
  <si>
    <t>TEXAS-NEW MEXICO POWER CO (TDSP)</t>
  </si>
  <si>
    <t>007929441</t>
  </si>
  <si>
    <t>007924772</t>
  </si>
  <si>
    <t>007923311</t>
  </si>
  <si>
    <t>BANDERA ELECTRIC CO OP INC (TDSP)</t>
  </si>
  <si>
    <t>0089451494000</t>
  </si>
  <si>
    <t>002781813</t>
  </si>
  <si>
    <t>BIG COUNTRY ELECTRIC CO OP INC (TDSP)</t>
  </si>
  <si>
    <t>0058630484000</t>
  </si>
  <si>
    <t>BLUEBONNET ELECTRIC CO OP INC (TDSP)</t>
  </si>
  <si>
    <t>0524834354000</t>
  </si>
  <si>
    <t>CENTRAL TEXAS ELECTRIC CO OP INC (TDSP)</t>
  </si>
  <si>
    <t>0079302744000</t>
  </si>
  <si>
    <t>CITY OF BASTROP (TDSP)</t>
  </si>
  <si>
    <t>0851553724000</t>
  </si>
  <si>
    <t>CITY OF BELLVILLE (TDSP)</t>
  </si>
  <si>
    <t>0935648704000</t>
  </si>
  <si>
    <t>CITY OF BOERNE (TDSP)</t>
  </si>
  <si>
    <t>0052470694000</t>
  </si>
  <si>
    <t>CITY OF BRENHAM (TDSP)</t>
  </si>
  <si>
    <t>0741649224000</t>
  </si>
  <si>
    <t>CITY OF BRIDGEPORT MUN ELEC SYS (TDSP)</t>
  </si>
  <si>
    <t>0842801714000</t>
  </si>
  <si>
    <t>CITY OF BURNET (TDSP)</t>
  </si>
  <si>
    <t>0746121514000</t>
  </si>
  <si>
    <t>CITY OF CUERO (TDSP)</t>
  </si>
  <si>
    <t>0526842144000</t>
  </si>
  <si>
    <t>CITY OF FLATONIA (TDSP)</t>
  </si>
  <si>
    <t>0626890134000</t>
  </si>
  <si>
    <t>CITY OF FREDERICKSBURG (TDSP)</t>
  </si>
  <si>
    <t>0769243074000</t>
  </si>
  <si>
    <t>CITY OF GEORGETOWN (TDSP)</t>
  </si>
  <si>
    <t>0895923724000</t>
  </si>
  <si>
    <t>CITY OF GIDDINGS (TDSP)</t>
  </si>
  <si>
    <t>0096899514000</t>
  </si>
  <si>
    <t>CITY OF GOLDTHWAITE (TDSP)</t>
  </si>
  <si>
    <t>1558252764000</t>
  </si>
  <si>
    <t>CITY OF GONZALES (TDSP)</t>
  </si>
  <si>
    <t>0937385404000</t>
  </si>
  <si>
    <t>CITY OF HALLETTSVILLE (TDSP)</t>
  </si>
  <si>
    <t>0090811834000</t>
  </si>
  <si>
    <t>CITY OF HEMPSTEAD (TDSP)</t>
  </si>
  <si>
    <t>1272175604000</t>
  </si>
  <si>
    <t>CITY OF LA GRANGE (TDSP)</t>
  </si>
  <si>
    <t>0607085184000</t>
  </si>
  <si>
    <t>CITY OF LAMPASAS (TDSP)</t>
  </si>
  <si>
    <t>0203311204000</t>
  </si>
  <si>
    <t>CITY OF LEXINGTON (TDSP)</t>
  </si>
  <si>
    <t>0081817324000</t>
  </si>
  <si>
    <t>CITY OF LLANO (TDSP)</t>
  </si>
  <si>
    <t>0916952054000</t>
  </si>
  <si>
    <t>CITY OF LOCKHART (TDSP)</t>
  </si>
  <si>
    <t>0746168634000</t>
  </si>
  <si>
    <t>CITY OF LULING (TDSP)</t>
  </si>
  <si>
    <t>0105539984000</t>
  </si>
  <si>
    <t>CITY OF MASON (TDSP)</t>
  </si>
  <si>
    <t>1561267084000</t>
  </si>
  <si>
    <t>CITY OF MOULTON (TDSP)</t>
  </si>
  <si>
    <t>0091871544000</t>
  </si>
  <si>
    <t>CITY OF SAN MARCOS (TDSP)</t>
  </si>
  <si>
    <t>0694628694000</t>
  </si>
  <si>
    <t>CITY OF SAN SABA (TDSP)</t>
  </si>
  <si>
    <t>0248592254000</t>
  </si>
  <si>
    <t>CITY OF SANGER</t>
  </si>
  <si>
    <t>058956020</t>
  </si>
  <si>
    <t>CITY OF SCHULENBURG (TDSP)</t>
  </si>
  <si>
    <t>0532950364000</t>
  </si>
  <si>
    <t>CITY OF SEGUIN (TDSP)</t>
  </si>
  <si>
    <t>0862819794000</t>
  </si>
  <si>
    <t>166319145</t>
  </si>
  <si>
    <t>CITY OF SHINER (TDSP)</t>
  </si>
  <si>
    <t>1504533714000</t>
  </si>
  <si>
    <t>CITY OF SMITHVILLE (TDSP)</t>
  </si>
  <si>
    <t>0916978134000</t>
  </si>
  <si>
    <t>CITY OF WAELDER (TDSP)</t>
  </si>
  <si>
    <t>0541779694000</t>
  </si>
  <si>
    <t>CITY OF WEIMAR (TDSP)</t>
  </si>
  <si>
    <t>0214974584000</t>
  </si>
  <si>
    <t>134546522</t>
  </si>
  <si>
    <t>CITY OF YOAKUM (TDSP)</t>
  </si>
  <si>
    <t>0694557724000</t>
  </si>
  <si>
    <t>COLEMAN COUNTY ELECTRIC CO OP INC (TDSP)</t>
  </si>
  <si>
    <t>0079246734000</t>
  </si>
  <si>
    <t>002889210</t>
  </si>
  <si>
    <t>CONCHO VALLEY ELECTRIC CO OP INC (TDSP)</t>
  </si>
  <si>
    <t>0038666624000</t>
  </si>
  <si>
    <t>008951808</t>
  </si>
  <si>
    <t>047845623</t>
  </si>
  <si>
    <t>008947913</t>
  </si>
  <si>
    <t>FANNIN COUNTY ELECTRIC CO OP INC</t>
  </si>
  <si>
    <t>0018220894000</t>
  </si>
  <si>
    <t>FARMERS ELECTRIC CO OP INC DBA FEC ELECTRIC</t>
  </si>
  <si>
    <t>0098442344000</t>
  </si>
  <si>
    <t>FAYETTE ELECTRIC CO OP INC (TDSP)</t>
  </si>
  <si>
    <t>0593309774000</t>
  </si>
  <si>
    <t>FORT BELKNAP ELECTRIC CO OP INC (TDSP)</t>
  </si>
  <si>
    <t>007935299</t>
  </si>
  <si>
    <t>GRANBURY MUNICIPAL UTILITIES (TDSP)</t>
  </si>
  <si>
    <t>0952141694000</t>
  </si>
  <si>
    <t>008953812</t>
  </si>
  <si>
    <t>GUADALUPE VALLEY ELECTRIC CO OP INC (TDSP)</t>
  </si>
  <si>
    <t>0079305894000</t>
  </si>
  <si>
    <t>008949216</t>
  </si>
  <si>
    <t>HILCO ELECTRIC CO OP INC (TDSP)</t>
  </si>
  <si>
    <t>008950545</t>
  </si>
  <si>
    <t>005777206</t>
  </si>
  <si>
    <t>003890795</t>
  </si>
  <si>
    <t>007933518</t>
  </si>
  <si>
    <t>KERRVILLE PUBLIC UTILITY BOARD (TDSP)</t>
  </si>
  <si>
    <t>1248248064000</t>
  </si>
  <si>
    <t>LAMAR COUNTY ELEC COOP DBA LEC (TDSP)</t>
  </si>
  <si>
    <t>0048060974000</t>
  </si>
  <si>
    <t>LIGHTHOUSE ELECTRIC CO OP (TDSP)</t>
  </si>
  <si>
    <t>0028252894000</t>
  </si>
  <si>
    <t>LYNTEGAR ELECTRIC CO OP INC (TDSP)</t>
  </si>
  <si>
    <t>0079371474000</t>
  </si>
  <si>
    <t>MAGIC VALLEY ELECTRIC CO OP INC (TDSP)</t>
  </si>
  <si>
    <t>008951501</t>
  </si>
  <si>
    <t>MID SOUTH ELECTRIC CO OP ASSOC</t>
  </si>
  <si>
    <t>061278594</t>
  </si>
  <si>
    <t>006770101</t>
  </si>
  <si>
    <t>046299913</t>
  </si>
  <si>
    <t>NEW BRAUNFELS UTILITIES (TDSP)</t>
  </si>
  <si>
    <t>0383461694000</t>
  </si>
  <si>
    <t>PEDERNALES ELECTRIC CO OP INC (TDSP)</t>
  </si>
  <si>
    <t>0079241114000</t>
  </si>
  <si>
    <t>SAM HOUSTON ELECTRIC CO OP INC (TDSP)</t>
  </si>
  <si>
    <t>056267867</t>
  </si>
  <si>
    <t>SAN BERNARD ELECTRIC CO OP (TDSP)</t>
  </si>
  <si>
    <t>0089453134000</t>
  </si>
  <si>
    <t>SOUTH PLAINS ELECTRIC CO OP INC (TDSP)</t>
  </si>
  <si>
    <t>007934185</t>
  </si>
  <si>
    <t>SOUTHWEST TEXAS ELECTRIC CO OP INC (TDSP)</t>
  </si>
  <si>
    <t>0084158954000</t>
  </si>
  <si>
    <t>008945123</t>
  </si>
  <si>
    <t>009844564</t>
  </si>
  <si>
    <t>008945826</t>
  </si>
  <si>
    <t>041405408</t>
  </si>
  <si>
    <t>6063470374000</t>
  </si>
  <si>
    <t>BRYAN TEXAS UTILITIES (TDSP)</t>
  </si>
  <si>
    <t>0793907794000</t>
  </si>
  <si>
    <t>008862625</t>
  </si>
  <si>
    <t>CITY OF AUSTIN DBA AUSTIN ENERGY (TDSP)</t>
  </si>
  <si>
    <t>8008717664000</t>
  </si>
  <si>
    <t>CITY OF BOWIE (TDSP)</t>
  </si>
  <si>
    <t>8094182964000</t>
  </si>
  <si>
    <t>CITY OF BRADY (TDSP)</t>
  </si>
  <si>
    <t>070804877</t>
  </si>
  <si>
    <t>CITY OF COLEMAN (TDSP)</t>
  </si>
  <si>
    <t>1024920064000</t>
  </si>
  <si>
    <t>CITY OF COLLEGE STATION (TDSP)</t>
  </si>
  <si>
    <t>0403303004000</t>
  </si>
  <si>
    <t>CITY OF GARLAND (TDSP)</t>
  </si>
  <si>
    <t>6011012564000</t>
  </si>
  <si>
    <t>CITY OF GOLDSMITH (TDSP)</t>
  </si>
  <si>
    <t>0888946704000</t>
  </si>
  <si>
    <t>CITY OF HEARNE MUNICIPAL ELECTRIC SYSTEM (TDSP)</t>
  </si>
  <si>
    <t>0897458894000</t>
  </si>
  <si>
    <t>CITY OF ROBSTOWN UTILITY SYSTEM (TDSP)</t>
  </si>
  <si>
    <t>9387911424000</t>
  </si>
  <si>
    <t>0079360734000</t>
  </si>
  <si>
    <t>DENTON MUNICIPAL ELECTRIC (TDSP)</t>
  </si>
  <si>
    <t>GEUS (TDSP)</t>
  </si>
  <si>
    <t>8062449354000</t>
  </si>
  <si>
    <t>078423555</t>
  </si>
  <si>
    <t>006824106</t>
  </si>
  <si>
    <t>MEDINA ELECTRIC CO OP INC (TDSP) STEC</t>
  </si>
  <si>
    <t>0081378124000</t>
  </si>
  <si>
    <t>SAN MIGUEL ELECTRIC CO OP INC (TDSP)</t>
  </si>
  <si>
    <t>0884848524000</t>
  </si>
  <si>
    <t>SAN PATRICIO ELECTRIC CO OP (TDSP)</t>
  </si>
  <si>
    <t>003864907</t>
  </si>
  <si>
    <t>0038663324000</t>
  </si>
  <si>
    <t>008953861</t>
  </si>
  <si>
    <t>WEATHERFORD MUNICIPAL UTILITY SYSTEM (TDSP)</t>
  </si>
  <si>
    <t>0817196274000</t>
  </si>
  <si>
    <t>118487958</t>
  </si>
  <si>
    <t>0089492164100</t>
  </si>
  <si>
    <t>PEDERNALES ELEC CO OP INC AEP (TDSP)</t>
  </si>
  <si>
    <t>0079241114100</t>
  </si>
  <si>
    <t>TAYLOR ELECTRIC CO OP INC ABILENE (TDSP)</t>
  </si>
  <si>
    <t>0079344254100</t>
  </si>
  <si>
    <t>WESTERN FARMERS ELECTRIC COOPERATIVE (TDSP)</t>
  </si>
  <si>
    <t>0728624074000</t>
  </si>
  <si>
    <t>0088288574800</t>
  </si>
  <si>
    <t>Total</t>
  </si>
  <si>
    <t>Average 4CP Load</t>
  </si>
  <si>
    <t>TDSP Code</t>
  </si>
  <si>
    <t>Load Entity Name</t>
  </si>
  <si>
    <t>WOOD COUNTY ELECTRIC COOPERATIVE INC (TDSP)</t>
  </si>
  <si>
    <t>008952491</t>
  </si>
  <si>
    <t>HEART OF TEXAS ELECTRIC COOPERATIVE INC (DSP)</t>
  </si>
  <si>
    <t>012074558</t>
  </si>
  <si>
    <t>ONCOR ELECTRIC DELIVERY COMPANY LLC (TDSP)</t>
  </si>
  <si>
    <t>BROWNSVILLE PUBLIC UTILITIES BOARD (TDSP)</t>
  </si>
  <si>
    <t>CPS ENERGY (TDSP)</t>
  </si>
  <si>
    <t>0713801904000</t>
  </si>
  <si>
    <t>0098445644000</t>
  </si>
  <si>
    <t>0089538124000</t>
  </si>
  <si>
    <t>LAMAR COUNTY ELEC COOP DBA LEC RC HOUPL (TDSP)</t>
  </si>
  <si>
    <t>0048060974100</t>
  </si>
  <si>
    <t>TRINITY VALLEY ELECTRIC COOPERATIVE INC LPL (TDSP)</t>
  </si>
  <si>
    <t>AEP TEXAS CENTRAL COMPANY (TDSP)</t>
  </si>
  <si>
    <t>AEP TEXAS NORTH COMPANY (TDSP)</t>
  </si>
  <si>
    <t>BARTLETT ELECTRIC CO OP INC (TDSP)</t>
  </si>
  <si>
    <t>CITY OF SEYMOUR (TDSP)</t>
  </si>
  <si>
    <t>CITY OF WHITESBORO (TDSP)</t>
  </si>
  <si>
    <t>COMANCHE ELECTRIC CO OP ASSOCIATION (TDSP)</t>
  </si>
  <si>
    <t>COOKE COUNTY ELECTRIC CO OP ASSOC INC (TDSP)</t>
  </si>
  <si>
    <t>DEEP EAST TEXAS ELECTRIC CO OP INC (TDSP)</t>
  </si>
  <si>
    <t>DENTON COUNTY ELEC CO OP DBA COSERVE ELEC (TDSP)</t>
  </si>
  <si>
    <t>HAMILTON COUNTY ELECTRIC CO OP (BRAZOS) (TDSP)</t>
  </si>
  <si>
    <t>HOUSTON COUNTY ELEC COOP INC (TDSP)</t>
  </si>
  <si>
    <t>J A C ELECTRIC CO OP INC (TDSP)</t>
  </si>
  <si>
    <t>JASPER NEWTON ELECTRIC CO OP INC (TDSP)</t>
  </si>
  <si>
    <t>NAVARRO COUNTY ELECTRIC CO OP INC (TDSP)</t>
  </si>
  <si>
    <t>NAVASOTA VALLEY ELECTRIC CO OP INC (TDSP)</t>
  </si>
  <si>
    <t>TRI COUNTY ELECTRIC CO OP INC (TDSP)</t>
  </si>
  <si>
    <t>TRINITY VALLEY ELEC CO OP (TDSP)</t>
  </si>
  <si>
    <t>UNITED ELECTRIC CO OP SERVICES INC (TDSP)</t>
  </si>
  <si>
    <t>WISE ELECTRIC CO OP (TDSP)</t>
  </si>
  <si>
    <t>CHEROKEE COUNTY ELEC CO OP ASSOC (TDSP)</t>
  </si>
  <si>
    <t>CITY OF BARTLETT (TDSP)</t>
  </si>
  <si>
    <t>074618935</t>
  </si>
  <si>
    <t>JACKSON ELECTRIC CO OP INC (TDSP)</t>
  </si>
  <si>
    <t>KARNES ELECTRIC CO OP INC (TDSP)</t>
  </si>
  <si>
    <t>SOUTH TEXAS ELECTRIC CO OP INC (TDSP)</t>
  </si>
  <si>
    <t>VICTORIA ELECTRIC CO OP INC (TDSP)</t>
  </si>
  <si>
    <t>WHARTON COUNTY ELECTRIC CO OP INC (TDSP)</t>
  </si>
  <si>
    <t>HAMILTON COUNTY ELECTRIC CO OP (LCRA) (TDSP)</t>
  </si>
  <si>
    <t>CITY OF FARMERSVILLE (TDSP)</t>
  </si>
  <si>
    <t>1903494984000</t>
  </si>
  <si>
    <t>8012610534999</t>
  </si>
  <si>
    <t>GREENBELT ELECTRIC COOPERATIVE INC (EDSP)</t>
  </si>
  <si>
    <t>0098338564999</t>
  </si>
  <si>
    <t>DUNS NUMBER</t>
  </si>
  <si>
    <t>DEAF SMITH ELECTRIC COOPERATIVE INC (EDSP)</t>
  </si>
  <si>
    <t>0079307464999</t>
  </si>
  <si>
    <t>0027819534200</t>
  </si>
  <si>
    <t>SOUTHWEST RURAL ELECTRIC ASSOCIATION INC (EDSP)</t>
  </si>
  <si>
    <t>0079071734999</t>
  </si>
  <si>
    <t>NUECES ELECTRIC COOP INC (TDSP)</t>
  </si>
  <si>
    <t>* Note:  DC Tie exports, Block Load Transfer exports, and Wholesale Storage Loads are excluded from this report.</t>
  </si>
  <si>
    <t>RIO GRANDE ELECTRIC COOPERATIVE INC (TDSP) 2C</t>
  </si>
  <si>
    <t>FARMERS ELECTRIC CO OP INC NPL (TDSP)</t>
  </si>
  <si>
    <t>0098442344100</t>
  </si>
  <si>
    <t>SWISHER ELECTRIC COOPERATIVE INC (EDSP)</t>
  </si>
  <si>
    <t>0098337734999</t>
  </si>
  <si>
    <t>RUSK COUNTY ELECTRIC COOPERATIVE INC TSK (EDSP)</t>
  </si>
  <si>
    <t>0098444404999</t>
  </si>
  <si>
    <t>RUSK COUNTY ELECTRIC COOPERATIVE INC AEP (EDSP)</t>
  </si>
  <si>
    <t>0098444404991</t>
  </si>
  <si>
    <t>FARMERS ELECTRIC CO OP INC ARCO (TDSP)</t>
  </si>
  <si>
    <t>0098442344200</t>
  </si>
  <si>
    <t>FARMERS ELECTRIC CO OP INC PRTN RC (TDSP)</t>
  </si>
  <si>
    <t>0098442344300</t>
  </si>
  <si>
    <t>ENTERGY TEXAS INC (EDSP)</t>
  </si>
  <si>
    <t>CITY OF FLORESVILLE DBA FLORESVILLE ELEC LIGHT AND PWR (TDSP)</t>
  </si>
  <si>
    <t>008948374</t>
  </si>
  <si>
    <t>PEDERNALES ELEC CO OP INC DCP (TDSP)</t>
  </si>
  <si>
    <t>0079241114400</t>
  </si>
  <si>
    <t>CENTRAL TEXAS ELECTRIC COOPERATIVE - NORTH (TDSP)</t>
  </si>
  <si>
    <t>0079302744100</t>
  </si>
  <si>
    <t>GRAYSON COLLIN ELECTRIC COOPERATIVE INC (EPCO) (TDSP)</t>
  </si>
  <si>
    <t>GRAYSON COLLIN ELECTRIC COOPERATIVE INC (MEL) (TDSP)</t>
  </si>
  <si>
    <t>0089538124100</t>
  </si>
  <si>
    <t>GRAYSON COLLIN ELECTRIC COOPERATIVE INC (TDSP)</t>
  </si>
  <si>
    <t>RIO GRANDE ELECTRIC COOPERATIVE INC (TDSP) 2A</t>
  </si>
  <si>
    <t>0027819534100</t>
  </si>
  <si>
    <t>CITY OF LUBBOCK ACTING THROUGH LUBBOCK POWER AND LIGHT (TDSP)</t>
  </si>
  <si>
    <t>0582138934000</t>
  </si>
  <si>
    <t>FANNIN COUNTY ELECTRIC CO OP INC NTMWD (TDSP)</t>
  </si>
  <si>
    <t>0018220894100</t>
  </si>
  <si>
    <t>FARMERS ELECTRIC CO OP INC NTMWD (TDSP)</t>
  </si>
  <si>
    <t>0098442344400</t>
  </si>
  <si>
    <t>TRINITY VALLEY ELECTRIC COOPERATIVE NTMWD (TDSP)</t>
  </si>
  <si>
    <t>0098445644100</t>
  </si>
  <si>
    <t>DENTON MUNICIPAL ELECTRIC CS (TDSP)</t>
  </si>
  <si>
    <t>0713801904100</t>
  </si>
  <si>
    <t>2023 Four Coincident Peak Load Calculation (MW)</t>
  </si>
  <si>
    <t xml:space="preserve">June 
6/27/2023 17:00 </t>
  </si>
  <si>
    <t>August
8/10/2023 17:00</t>
  </si>
  <si>
    <t>September
9/08/2023 16:45</t>
  </si>
  <si>
    <t>CITY OF CASTROVILLE (TDSP)</t>
  </si>
  <si>
    <t>797816378</t>
  </si>
  <si>
    <t>FARMERS ELECTRIC CO OP INC TURQ (TDSP)</t>
  </si>
  <si>
    <t>0098442344500</t>
  </si>
  <si>
    <t>LIGHTHOUSE ELECTRIC COOPERATIVE INC 2 (TDSP)</t>
  </si>
  <si>
    <t>0028252894100</t>
  </si>
  <si>
    <t>SOUTHWEST TEXAS ELECTRIC CO OP INC 2 (TDSP)</t>
  </si>
  <si>
    <t>0084158954100</t>
  </si>
  <si>
    <t>July
7/31/2023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</si>
</sst>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_(* #,##0.0000_);_(* \(#,##0.0000\);_(* &quot;-&quot;??_);_(@_)"/>
    <numFmt numFmtId="166" formatCode="#,##0.000000_);\(#,##0.000000\)"/>
    <numFmt numFmtId="167" formatCode="#,##0.000000"/>
  </numFmts>
  <fonts count="12" x14ac:knownFonts="1">
    <font>
      <sz val="10"/>
      <name val="Arial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7" fillId="0" borderId="2" xfId="0" quotePrefix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164" fontId="6" fillId="0" borderId="6" xfId="5" applyNumberFormat="1" applyFont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7" fontId="4" fillId="3" borderId="1" xfId="0" applyNumberFormat="1" applyFont="1" applyFill="1" applyBorder="1"/>
    <xf numFmtId="165" fontId="4" fillId="0" borderId="1" xfId="0" applyNumberFormat="1" applyFont="1" applyBorder="1"/>
    <xf numFmtId="167" fontId="6" fillId="0" borderId="6" xfId="0" applyNumberFormat="1" applyFont="1" applyBorder="1"/>
    <xf numFmtId="0" fontId="0" fillId="0" borderId="0" xfId="0" applyAlignment="1">
      <alignment horizontal="center"/>
    </xf>
    <xf numFmtId="164" fontId="3" fillId="0" borderId="1" xfId="0" applyNumberFormat="1" applyFont="1" applyBorder="1"/>
    <xf numFmtId="0" fontId="11" fillId="0" borderId="1" xfId="0" applyFont="1" applyBorder="1"/>
    <xf numFmtId="0" fontId="5" fillId="0" borderId="5" xfId="0" applyFont="1" applyBorder="1" applyAlignment="1" applyProtection="1">
      <alignment horizontal="left"/>
      <protection locked="0"/>
    </xf>
    <xf numFmtId="0" fontId="5" fillId="0" borderId="4" xfId="0" quotePrefix="1" applyFont="1" applyBorder="1" applyAlignment="1" applyProtection="1">
      <alignment horizontal="left"/>
      <protection locked="0"/>
    </xf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0" fontId="2" fillId="0" borderId="0" xfId="0" applyFont="1" applyAlignment="1">
      <alignment horizontal="center"/>
    </xf>
    <xf numFmtId="14" fontId="9" fillId="0" borderId="5" xfId="0" applyNumberFormat="1" applyFont="1" applyBorder="1" applyAlignment="1">
      <alignment horizontal="center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Percent" xfId="5" builtinId="5"/>
    <cellStyle name="Percent 2" xfId="6" xr:uid="{00000000-0005-0000-0000-000006000000}"/>
    <cellStyle name="Percent 2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selection sqref="A1:I1"/>
    </sheetView>
  </sheetViews>
  <sheetFormatPr defaultColWidth="8.85546875" defaultRowHeight="12.75" x14ac:dyDescent="0.2"/>
  <cols>
    <col min="1" max="1" width="7" style="1" customWidth="1"/>
    <col min="2" max="2" width="68.140625" style="1" customWidth="1"/>
    <col min="3" max="3" width="14.42578125" style="1" bestFit="1" customWidth="1"/>
    <col min="4" max="4" width="13.85546875" style="1" bestFit="1" customWidth="1"/>
    <col min="5" max="5" width="13.5703125" style="1" bestFit="1" customWidth="1"/>
    <col min="6" max="6" width="13.5703125" style="1" customWidth="1"/>
    <col min="7" max="7" width="13.85546875" style="1" bestFit="1" customWidth="1"/>
    <col min="8" max="8" width="13.28515625" style="1" bestFit="1" customWidth="1"/>
    <col min="9" max="9" width="15" style="1" bestFit="1" customWidth="1"/>
    <col min="10" max="16384" width="8.85546875" style="1"/>
  </cols>
  <sheetData>
    <row r="1" spans="1:11" ht="20.25" x14ac:dyDescent="0.3">
      <c r="A1" s="26" t="s">
        <v>283</v>
      </c>
      <c r="B1" s="26"/>
      <c r="C1" s="26"/>
      <c r="D1" s="26"/>
      <c r="E1" s="26"/>
      <c r="F1" s="26"/>
      <c r="G1" s="26"/>
      <c r="H1" s="26"/>
      <c r="I1" s="26"/>
      <c r="K1" s="17"/>
    </row>
    <row r="2" spans="1:11" x14ac:dyDescent="0.2">
      <c r="A2" s="27"/>
      <c r="B2" s="27"/>
      <c r="C2" s="27"/>
      <c r="D2" s="27"/>
      <c r="E2" s="27"/>
      <c r="F2" s="27"/>
      <c r="G2" s="27"/>
      <c r="H2" s="27"/>
      <c r="I2" s="27"/>
    </row>
    <row r="3" spans="1:11" ht="36" x14ac:dyDescent="0.2">
      <c r="A3" s="5" t="s">
        <v>191</v>
      </c>
      <c r="B3" s="6" t="s">
        <v>192</v>
      </c>
      <c r="C3" s="5" t="s">
        <v>239</v>
      </c>
      <c r="D3" s="7" t="s">
        <v>284</v>
      </c>
      <c r="E3" s="7" t="s">
        <v>295</v>
      </c>
      <c r="F3" s="7" t="s">
        <v>285</v>
      </c>
      <c r="G3" s="7" t="s">
        <v>286</v>
      </c>
      <c r="H3" s="7" t="s">
        <v>190</v>
      </c>
      <c r="I3" s="8" t="s">
        <v>0</v>
      </c>
    </row>
    <row r="4" spans="1:11" x14ac:dyDescent="0.2">
      <c r="A4" s="24">
        <v>5</v>
      </c>
      <c r="B4" s="24" t="s">
        <v>206</v>
      </c>
      <c r="C4" s="24" t="s">
        <v>6</v>
      </c>
      <c r="D4" s="24">
        <v>5546.3801919999996</v>
      </c>
      <c r="E4" s="24">
        <v>5522.6187959999997</v>
      </c>
      <c r="F4" s="13">
        <v>5681.5136160000002</v>
      </c>
      <c r="G4" s="13">
        <v>5592.5436079999999</v>
      </c>
      <c r="H4" s="14">
        <f t="shared" ref="H4:H66" si="0">AVERAGE(D4:G4)</f>
        <v>5585.7640529999999</v>
      </c>
      <c r="I4" s="18">
        <f t="shared" ref="I4:I9" si="1">ROUND(H4/H$147,7)</f>
        <v>6.6849900000000004E-2</v>
      </c>
    </row>
    <row r="5" spans="1:11" x14ac:dyDescent="0.2">
      <c r="A5" s="24">
        <v>7</v>
      </c>
      <c r="B5" s="24" t="s">
        <v>207</v>
      </c>
      <c r="C5" s="24" t="s">
        <v>7</v>
      </c>
      <c r="D5" s="24">
        <v>1235.16776</v>
      </c>
      <c r="E5" s="24">
        <v>1206.0753159999999</v>
      </c>
      <c r="F5" s="13">
        <v>1334.5281319999999</v>
      </c>
      <c r="G5" s="13">
        <v>1267.3475960000001</v>
      </c>
      <c r="H5" s="14">
        <f t="shared" si="0"/>
        <v>1260.7797009999999</v>
      </c>
      <c r="I5" s="18">
        <f t="shared" si="1"/>
        <v>1.5088900000000001E-2</v>
      </c>
    </row>
    <row r="6" spans="1:11" x14ac:dyDescent="0.2">
      <c r="A6" s="24">
        <v>18</v>
      </c>
      <c r="B6" s="24" t="s">
        <v>8</v>
      </c>
      <c r="C6" s="24" t="s">
        <v>9</v>
      </c>
      <c r="D6" s="24">
        <v>189.25145599999999</v>
      </c>
      <c r="E6" s="24">
        <v>178.74026000000001</v>
      </c>
      <c r="F6" s="13">
        <v>187.996128</v>
      </c>
      <c r="G6" s="13">
        <v>180.4898</v>
      </c>
      <c r="H6" s="14">
        <f t="shared" si="0"/>
        <v>184.11941100000001</v>
      </c>
      <c r="I6" s="18">
        <f t="shared" si="1"/>
        <v>2.2035000000000002E-3</v>
      </c>
    </row>
    <row r="7" spans="1:11" x14ac:dyDescent="0.2">
      <c r="A7" s="24">
        <v>19</v>
      </c>
      <c r="B7" s="24" t="s">
        <v>208</v>
      </c>
      <c r="C7" s="24" t="s">
        <v>10</v>
      </c>
      <c r="D7" s="24">
        <v>52.831420000000001</v>
      </c>
      <c r="E7" s="24">
        <v>59.017240000000001</v>
      </c>
      <c r="F7" s="13">
        <v>60.130884000000002</v>
      </c>
      <c r="G7" s="13">
        <v>61.161048000000001</v>
      </c>
      <c r="H7" s="14">
        <f t="shared" si="0"/>
        <v>58.285148</v>
      </c>
      <c r="I7" s="18">
        <f t="shared" si="1"/>
        <v>6.9760000000000004E-4</v>
      </c>
    </row>
    <row r="8" spans="1:11" x14ac:dyDescent="0.2">
      <c r="A8" s="24">
        <v>21</v>
      </c>
      <c r="B8" s="24" t="s">
        <v>11</v>
      </c>
      <c r="C8" s="24" t="s">
        <v>12</v>
      </c>
      <c r="D8" s="24">
        <v>42.616840000000003</v>
      </c>
      <c r="E8" s="24">
        <v>42.411504000000001</v>
      </c>
      <c r="F8" s="13">
        <v>45.251840000000001</v>
      </c>
      <c r="G8" s="13">
        <v>46.792332000000002</v>
      </c>
      <c r="H8" s="14">
        <f t="shared" si="0"/>
        <v>44.268129000000002</v>
      </c>
      <c r="I8" s="18">
        <f t="shared" si="1"/>
        <v>5.2979999999999998E-4</v>
      </c>
    </row>
    <row r="9" spans="1:11" x14ac:dyDescent="0.2">
      <c r="A9" s="24">
        <v>22</v>
      </c>
      <c r="B9" s="24" t="s">
        <v>13</v>
      </c>
      <c r="C9" s="24" t="s">
        <v>14</v>
      </c>
      <c r="D9" s="24">
        <v>655.86818400000004</v>
      </c>
      <c r="E9" s="24">
        <v>709.41715599999998</v>
      </c>
      <c r="F9" s="13">
        <v>701.33864800000003</v>
      </c>
      <c r="G9" s="13">
        <v>686.46414800000002</v>
      </c>
      <c r="H9" s="14">
        <f t="shared" si="0"/>
        <v>688.27203399999996</v>
      </c>
      <c r="I9" s="18">
        <f t="shared" si="1"/>
        <v>8.2372000000000001E-3</v>
      </c>
    </row>
    <row r="10" spans="1:11" x14ac:dyDescent="0.2">
      <c r="A10" s="24">
        <v>104</v>
      </c>
      <c r="B10" s="24" t="s">
        <v>198</v>
      </c>
      <c r="C10" s="24" t="s">
        <v>142</v>
      </c>
      <c r="D10" s="24">
        <v>283.23775599999999</v>
      </c>
      <c r="E10" s="24">
        <v>291.98678000000001</v>
      </c>
      <c r="F10" s="13">
        <v>289.94172800000001</v>
      </c>
      <c r="G10" s="13">
        <v>288.79357599999997</v>
      </c>
      <c r="H10" s="14">
        <f t="shared" si="0"/>
        <v>288.48996</v>
      </c>
      <c r="I10" s="18">
        <f t="shared" ref="I10:I73" si="2">ROUND(H10/H$147,7)</f>
        <v>3.4526000000000001E-3</v>
      </c>
    </row>
    <row r="11" spans="1:11" x14ac:dyDescent="0.2">
      <c r="A11" s="24">
        <v>105</v>
      </c>
      <c r="B11" s="24" t="s">
        <v>143</v>
      </c>
      <c r="C11" s="24" t="s">
        <v>144</v>
      </c>
      <c r="D11" s="24">
        <v>384.63773200000003</v>
      </c>
      <c r="E11" s="24">
        <v>409.29011200000002</v>
      </c>
      <c r="F11" s="13">
        <v>433.22992399999998</v>
      </c>
      <c r="G11" s="13">
        <v>435.827268</v>
      </c>
      <c r="H11" s="14">
        <f t="shared" si="0"/>
        <v>415.74625900000001</v>
      </c>
      <c r="I11" s="18">
        <f t="shared" si="2"/>
        <v>4.9756000000000002E-3</v>
      </c>
    </row>
    <row r="12" spans="1:11" x14ac:dyDescent="0.2">
      <c r="A12" s="24">
        <v>1</v>
      </c>
      <c r="B12" s="24" t="s">
        <v>1</v>
      </c>
      <c r="C12" s="24" t="s">
        <v>2</v>
      </c>
      <c r="D12" s="24">
        <v>20427.751240000001</v>
      </c>
      <c r="E12" s="24">
        <v>20969.912304000001</v>
      </c>
      <c r="F12" s="13">
        <v>21191.125051999999</v>
      </c>
      <c r="G12" s="13">
        <v>21059.801584000001</v>
      </c>
      <c r="H12" s="14">
        <f t="shared" si="0"/>
        <v>20912.147545</v>
      </c>
      <c r="I12" s="18">
        <f t="shared" si="2"/>
        <v>0.25027450000000001</v>
      </c>
    </row>
    <row r="13" spans="1:11" x14ac:dyDescent="0.2">
      <c r="A13" s="24">
        <v>25</v>
      </c>
      <c r="B13" s="24" t="s">
        <v>15</v>
      </c>
      <c r="C13" s="24" t="s">
        <v>16</v>
      </c>
      <c r="D13" s="24">
        <v>166.87354400000001</v>
      </c>
      <c r="E13" s="24">
        <v>167.3219</v>
      </c>
      <c r="F13" s="13">
        <v>178.55673200000001</v>
      </c>
      <c r="G13" s="13">
        <v>176.95562000000001</v>
      </c>
      <c r="H13" s="14">
        <f t="shared" si="0"/>
        <v>172.42694899999998</v>
      </c>
      <c r="I13" s="18">
        <f t="shared" si="2"/>
        <v>2.0636000000000001E-3</v>
      </c>
    </row>
    <row r="14" spans="1:11" x14ac:dyDescent="0.2">
      <c r="A14" s="24">
        <v>209</v>
      </c>
      <c r="B14" s="24" t="s">
        <v>265</v>
      </c>
      <c r="C14" s="24" t="s">
        <v>266</v>
      </c>
      <c r="D14" s="24">
        <v>13.599615999999999</v>
      </c>
      <c r="E14" s="24">
        <v>28.193691999999999</v>
      </c>
      <c r="F14" s="13">
        <v>2.1108440000000002</v>
      </c>
      <c r="G14" s="13">
        <v>7.595904</v>
      </c>
      <c r="H14" s="14">
        <f t="shared" si="0"/>
        <v>12.875013999999998</v>
      </c>
      <c r="I14" s="18">
        <f t="shared" si="2"/>
        <v>1.5410000000000001E-4</v>
      </c>
    </row>
    <row r="15" spans="1:11" x14ac:dyDescent="0.2">
      <c r="A15" s="24">
        <v>107</v>
      </c>
      <c r="B15" s="24" t="s">
        <v>225</v>
      </c>
      <c r="C15" s="24" t="s">
        <v>145</v>
      </c>
      <c r="D15" s="24">
        <v>79.228564000000006</v>
      </c>
      <c r="E15" s="24">
        <v>84.977643999999998</v>
      </c>
      <c r="F15" s="13">
        <v>88.435016000000005</v>
      </c>
      <c r="G15" s="13">
        <v>81.384799999999998</v>
      </c>
      <c r="H15" s="14">
        <f t="shared" si="0"/>
        <v>83.506506000000002</v>
      </c>
      <c r="I15" s="18">
        <f t="shared" si="2"/>
        <v>9.993999999999999E-4</v>
      </c>
    </row>
    <row r="16" spans="1:11" x14ac:dyDescent="0.2">
      <c r="A16" s="24">
        <v>108</v>
      </c>
      <c r="B16" s="24" t="s">
        <v>146</v>
      </c>
      <c r="C16" s="24" t="s">
        <v>147</v>
      </c>
      <c r="D16" s="24">
        <v>2805.146968</v>
      </c>
      <c r="E16" s="24">
        <v>2889.3027520000001</v>
      </c>
      <c r="F16" s="13">
        <v>2996.5687039999998</v>
      </c>
      <c r="G16" s="13">
        <v>3022.6812159999999</v>
      </c>
      <c r="H16" s="14">
        <f t="shared" si="0"/>
        <v>2928.4249099999997</v>
      </c>
      <c r="I16" s="18">
        <f t="shared" si="2"/>
        <v>3.5047099999999998E-2</v>
      </c>
    </row>
    <row r="17" spans="1:9" x14ac:dyDescent="0.2">
      <c r="A17" s="24">
        <v>109</v>
      </c>
      <c r="B17" s="24" t="s">
        <v>226</v>
      </c>
      <c r="C17" s="24" t="s">
        <v>227</v>
      </c>
      <c r="D17" s="24">
        <v>2.8976999999999999</v>
      </c>
      <c r="E17" s="24">
        <v>3.1014400000000002</v>
      </c>
      <c r="F17" s="13">
        <v>3.2236959999999999</v>
      </c>
      <c r="G17" s="13">
        <v>3.305428</v>
      </c>
      <c r="H17" s="14">
        <f t="shared" si="0"/>
        <v>3.132066</v>
      </c>
      <c r="I17" s="18">
        <f t="shared" si="2"/>
        <v>3.7499999999999997E-5</v>
      </c>
    </row>
    <row r="18" spans="1:9" x14ac:dyDescent="0.2">
      <c r="A18" s="24">
        <v>26</v>
      </c>
      <c r="B18" s="24" t="s">
        <v>17</v>
      </c>
      <c r="C18" s="24" t="s">
        <v>18</v>
      </c>
      <c r="D18" s="24">
        <v>18.681436000000001</v>
      </c>
      <c r="E18" s="24">
        <v>18.810192000000001</v>
      </c>
      <c r="F18" s="13">
        <v>20.028368</v>
      </c>
      <c r="G18" s="13">
        <v>20.016567999999999</v>
      </c>
      <c r="H18" s="14">
        <f t="shared" si="0"/>
        <v>19.384141</v>
      </c>
      <c r="I18" s="18">
        <f t="shared" si="2"/>
        <v>2.32E-4</v>
      </c>
    </row>
    <row r="19" spans="1:9" x14ac:dyDescent="0.2">
      <c r="A19" s="24">
        <v>27</v>
      </c>
      <c r="B19" s="24" t="s">
        <v>19</v>
      </c>
      <c r="C19" s="24" t="s">
        <v>20</v>
      </c>
      <c r="D19" s="24">
        <v>13.954796</v>
      </c>
      <c r="E19" s="24">
        <v>14.908376000000001</v>
      </c>
      <c r="F19" s="13">
        <v>15.538615999999999</v>
      </c>
      <c r="G19" s="13">
        <v>15.497479999999999</v>
      </c>
      <c r="H19" s="14">
        <f t="shared" si="0"/>
        <v>14.974816999999998</v>
      </c>
      <c r="I19" s="18">
        <f t="shared" si="2"/>
        <v>1.7919999999999999E-4</v>
      </c>
    </row>
    <row r="20" spans="1:9" x14ac:dyDescent="0.2">
      <c r="A20" s="24">
        <v>28</v>
      </c>
      <c r="B20" s="24" t="s">
        <v>21</v>
      </c>
      <c r="C20" s="24" t="s">
        <v>22</v>
      </c>
      <c r="D20" s="24">
        <v>37.508448000000001</v>
      </c>
      <c r="E20" s="24">
        <v>37.516280000000002</v>
      </c>
      <c r="F20" s="13">
        <v>40.110964000000003</v>
      </c>
      <c r="G20" s="13">
        <v>39.650888000000002</v>
      </c>
      <c r="H20" s="14">
        <f t="shared" si="0"/>
        <v>38.696645000000004</v>
      </c>
      <c r="I20" s="18">
        <f t="shared" si="2"/>
        <v>4.6309999999999998E-4</v>
      </c>
    </row>
    <row r="21" spans="1:9" x14ac:dyDescent="0.2">
      <c r="A21" s="24">
        <v>110</v>
      </c>
      <c r="B21" s="24" t="s">
        <v>148</v>
      </c>
      <c r="C21" s="24" t="s">
        <v>149</v>
      </c>
      <c r="D21" s="24">
        <v>17.953828000000001</v>
      </c>
      <c r="E21" s="24">
        <v>17.036204000000001</v>
      </c>
      <c r="F21" s="13">
        <v>17.116503999999999</v>
      </c>
      <c r="G21" s="13">
        <v>18.352936</v>
      </c>
      <c r="H21" s="14">
        <f t="shared" si="0"/>
        <v>17.614868000000001</v>
      </c>
      <c r="I21" s="18">
        <f t="shared" si="2"/>
        <v>2.108E-4</v>
      </c>
    </row>
    <row r="22" spans="1:9" x14ac:dyDescent="0.2">
      <c r="A22" s="24">
        <v>111</v>
      </c>
      <c r="B22" s="24" t="s">
        <v>150</v>
      </c>
      <c r="C22" s="24" t="s">
        <v>151</v>
      </c>
      <c r="D22" s="24">
        <v>15.419356000000001</v>
      </c>
      <c r="E22" s="24">
        <v>14.569584000000001</v>
      </c>
      <c r="F22" s="13">
        <v>16.366904000000002</v>
      </c>
      <c r="G22" s="13">
        <v>15.585952000000001</v>
      </c>
      <c r="H22" s="14">
        <f t="shared" si="0"/>
        <v>15.485449000000001</v>
      </c>
      <c r="I22" s="18">
        <f t="shared" si="2"/>
        <v>1.853E-4</v>
      </c>
    </row>
    <row r="23" spans="1:9" x14ac:dyDescent="0.2">
      <c r="A23" s="24">
        <v>29</v>
      </c>
      <c r="B23" s="24" t="s">
        <v>23</v>
      </c>
      <c r="C23" s="24" t="s">
        <v>24</v>
      </c>
      <c r="D23" s="24">
        <v>58.601216000000001</v>
      </c>
      <c r="E23" s="24">
        <v>61.443272</v>
      </c>
      <c r="F23" s="13">
        <v>63.29374</v>
      </c>
      <c r="G23" s="13">
        <v>63.493223999999998</v>
      </c>
      <c r="H23" s="14">
        <f t="shared" si="0"/>
        <v>61.707863000000003</v>
      </c>
      <c r="I23" s="18">
        <f t="shared" si="2"/>
        <v>7.3850000000000001E-4</v>
      </c>
    </row>
    <row r="24" spans="1:9" x14ac:dyDescent="0.2">
      <c r="A24" s="24">
        <v>30</v>
      </c>
      <c r="B24" s="24" t="s">
        <v>25</v>
      </c>
      <c r="C24" s="24" t="s">
        <v>26</v>
      </c>
      <c r="D24" s="24">
        <v>15.345572000000001</v>
      </c>
      <c r="E24" s="24">
        <v>15.262347999999999</v>
      </c>
      <c r="F24" s="13">
        <v>15.6288</v>
      </c>
      <c r="G24" s="13">
        <v>15.139676</v>
      </c>
      <c r="H24" s="14">
        <f t="shared" si="0"/>
        <v>15.344099</v>
      </c>
      <c r="I24" s="18">
        <f t="shared" si="2"/>
        <v>1.8359999999999999E-4</v>
      </c>
    </row>
    <row r="25" spans="1:9" x14ac:dyDescent="0.2">
      <c r="A25" s="24">
        <v>31</v>
      </c>
      <c r="B25" s="24" t="s">
        <v>27</v>
      </c>
      <c r="C25" s="24" t="s">
        <v>28</v>
      </c>
      <c r="D25" s="24">
        <v>20.337612</v>
      </c>
      <c r="E25" s="24">
        <v>20.181923999999999</v>
      </c>
      <c r="F25" s="13">
        <v>21.668655999999999</v>
      </c>
      <c r="G25" s="13">
        <v>21.579180000000001</v>
      </c>
      <c r="H25" s="14">
        <f t="shared" si="0"/>
        <v>20.941842999999999</v>
      </c>
      <c r="I25" s="18">
        <f t="shared" si="2"/>
        <v>2.5060000000000002E-4</v>
      </c>
    </row>
    <row r="26" spans="1:9" x14ac:dyDescent="0.2">
      <c r="A26" s="25">
        <v>112</v>
      </c>
      <c r="B26" s="25" t="s">
        <v>287</v>
      </c>
      <c r="C26" s="25" t="s">
        <v>288</v>
      </c>
      <c r="D26" s="24">
        <v>7.8133160000000004</v>
      </c>
      <c r="E26" s="24">
        <v>7.8181000000000003</v>
      </c>
      <c r="F26" s="13">
        <v>8.4120559999999998</v>
      </c>
      <c r="G26" s="13">
        <v>8.0356799999999993</v>
      </c>
      <c r="H26" s="14">
        <f t="shared" si="0"/>
        <v>8.0197880000000001</v>
      </c>
      <c r="I26" s="18">
        <f t="shared" si="2"/>
        <v>9.6000000000000002E-5</v>
      </c>
    </row>
    <row r="27" spans="1:9" x14ac:dyDescent="0.2">
      <c r="A27" s="24">
        <v>113</v>
      </c>
      <c r="B27" s="24" t="s">
        <v>152</v>
      </c>
      <c r="C27" s="24" t="s">
        <v>153</v>
      </c>
      <c r="D27" s="24">
        <v>9.9145439999999994</v>
      </c>
      <c r="E27" s="24">
        <v>9.5119520000000009</v>
      </c>
      <c r="F27" s="13">
        <v>10.780688</v>
      </c>
      <c r="G27" s="13">
        <v>10.262003999999999</v>
      </c>
      <c r="H27" s="14">
        <f t="shared" si="0"/>
        <v>10.117296999999999</v>
      </c>
      <c r="I27" s="18">
        <f t="shared" si="2"/>
        <v>1.211E-4</v>
      </c>
    </row>
    <row r="28" spans="1:9" x14ac:dyDescent="0.2">
      <c r="A28" s="24">
        <v>114</v>
      </c>
      <c r="B28" s="24" t="s">
        <v>154</v>
      </c>
      <c r="C28" s="24" t="s">
        <v>155</v>
      </c>
      <c r="D28" s="24">
        <v>218.40351200000001</v>
      </c>
      <c r="E28" s="24">
        <v>232.70261199999999</v>
      </c>
      <c r="F28" s="13">
        <v>241.21515600000001</v>
      </c>
      <c r="G28" s="13">
        <v>250.31950399999999</v>
      </c>
      <c r="H28" s="14">
        <f t="shared" si="0"/>
        <v>235.66019599999998</v>
      </c>
      <c r="I28" s="18">
        <f t="shared" si="2"/>
        <v>2.8203999999999998E-3</v>
      </c>
    </row>
    <row r="29" spans="1:9" x14ac:dyDescent="0.2">
      <c r="A29" s="24">
        <v>32</v>
      </c>
      <c r="B29" s="24" t="s">
        <v>29</v>
      </c>
      <c r="C29" s="24" t="s">
        <v>30</v>
      </c>
      <c r="D29" s="24">
        <v>22.871711999999999</v>
      </c>
      <c r="E29" s="24">
        <v>23.680064000000002</v>
      </c>
      <c r="F29" s="13">
        <v>24.099360000000001</v>
      </c>
      <c r="G29" s="13">
        <v>23.758431999999999</v>
      </c>
      <c r="H29" s="14">
        <f t="shared" si="0"/>
        <v>23.602392000000002</v>
      </c>
      <c r="I29" s="18">
        <f t="shared" si="2"/>
        <v>2.8249999999999998E-4</v>
      </c>
    </row>
    <row r="30" spans="1:9" x14ac:dyDescent="0.2">
      <c r="A30" s="24">
        <v>115</v>
      </c>
      <c r="B30" s="24" t="s">
        <v>234</v>
      </c>
      <c r="C30" s="24" t="s">
        <v>235</v>
      </c>
      <c r="D30" s="24">
        <v>7.47166</v>
      </c>
      <c r="E30" s="24">
        <v>8.0495079999999994</v>
      </c>
      <c r="F30" s="13">
        <v>8.5967359999999999</v>
      </c>
      <c r="G30" s="13">
        <v>8.4877479999999998</v>
      </c>
      <c r="H30" s="14">
        <f t="shared" si="0"/>
        <v>8.1514129999999998</v>
      </c>
      <c r="I30" s="18">
        <f t="shared" si="2"/>
        <v>9.7600000000000001E-5</v>
      </c>
    </row>
    <row r="31" spans="1:9" x14ac:dyDescent="0.2">
      <c r="A31" s="24">
        <v>33</v>
      </c>
      <c r="B31" s="24" t="s">
        <v>31</v>
      </c>
      <c r="C31" s="24" t="s">
        <v>32</v>
      </c>
      <c r="D31" s="24">
        <v>6.0701919999999996</v>
      </c>
      <c r="E31" s="24">
        <v>6.5253880000000004</v>
      </c>
      <c r="F31" s="13">
        <v>6.8476600000000003</v>
      </c>
      <c r="G31" s="13">
        <v>6.6627239999999999</v>
      </c>
      <c r="H31" s="14">
        <f t="shared" si="0"/>
        <v>6.526491</v>
      </c>
      <c r="I31" s="18">
        <f t="shared" si="2"/>
        <v>7.8100000000000001E-5</v>
      </c>
    </row>
    <row r="32" spans="1:9" x14ac:dyDescent="0.2">
      <c r="A32" s="24">
        <v>116</v>
      </c>
      <c r="B32" s="24" t="s">
        <v>261</v>
      </c>
      <c r="C32" s="24" t="s">
        <v>262</v>
      </c>
      <c r="D32" s="24">
        <v>89.666883999999996</v>
      </c>
      <c r="E32" s="24">
        <v>88.943956</v>
      </c>
      <c r="F32" s="13">
        <v>93.737228000000002</v>
      </c>
      <c r="G32" s="13">
        <v>89.637699999999995</v>
      </c>
      <c r="H32" s="14">
        <f t="shared" si="0"/>
        <v>90.496442000000002</v>
      </c>
      <c r="I32" s="18">
        <f t="shared" si="2"/>
        <v>1.0831E-3</v>
      </c>
    </row>
    <row r="33" spans="1:9" x14ac:dyDescent="0.2">
      <c r="A33" s="24">
        <v>34</v>
      </c>
      <c r="B33" s="24" t="s">
        <v>33</v>
      </c>
      <c r="C33" s="24" t="s">
        <v>34</v>
      </c>
      <c r="D33" s="24">
        <v>35.834843999999997</v>
      </c>
      <c r="E33" s="24">
        <v>35.532456000000003</v>
      </c>
      <c r="F33" s="13">
        <v>38.325940000000003</v>
      </c>
      <c r="G33" s="13">
        <v>38.056328000000001</v>
      </c>
      <c r="H33" s="14">
        <f t="shared" si="0"/>
        <v>36.937392000000003</v>
      </c>
      <c r="I33" s="18">
        <f t="shared" si="2"/>
        <v>4.4210000000000001E-4</v>
      </c>
    </row>
    <row r="34" spans="1:9" x14ac:dyDescent="0.2">
      <c r="A34" s="24">
        <v>117</v>
      </c>
      <c r="B34" s="24" t="s">
        <v>156</v>
      </c>
      <c r="C34" s="24" t="s">
        <v>157</v>
      </c>
      <c r="D34" s="24">
        <v>473.99282799999997</v>
      </c>
      <c r="E34" s="24">
        <v>488.782152</v>
      </c>
      <c r="F34" s="13">
        <v>515.17363599999999</v>
      </c>
      <c r="G34" s="13">
        <v>491.102912</v>
      </c>
      <c r="H34" s="14">
        <f t="shared" si="0"/>
        <v>492.26288199999999</v>
      </c>
      <c r="I34" s="18">
        <f t="shared" si="2"/>
        <v>5.8913999999999998E-3</v>
      </c>
    </row>
    <row r="35" spans="1:9" x14ac:dyDescent="0.2">
      <c r="A35" s="24">
        <v>35</v>
      </c>
      <c r="B35" s="24" t="s">
        <v>35</v>
      </c>
      <c r="C35" s="24" t="s">
        <v>36</v>
      </c>
      <c r="D35" s="24">
        <v>175.64622399999999</v>
      </c>
      <c r="E35" s="24">
        <v>183.21230800000001</v>
      </c>
      <c r="F35" s="13">
        <v>190.578416</v>
      </c>
      <c r="G35" s="13">
        <v>190.78762</v>
      </c>
      <c r="H35" s="14">
        <f t="shared" si="0"/>
        <v>185.05614200000002</v>
      </c>
      <c r="I35" s="18">
        <f t="shared" si="2"/>
        <v>2.2147E-3</v>
      </c>
    </row>
    <row r="36" spans="1:9" x14ac:dyDescent="0.2">
      <c r="A36" s="24">
        <v>36</v>
      </c>
      <c r="B36" s="24" t="s">
        <v>37</v>
      </c>
      <c r="C36" s="24" t="s">
        <v>38</v>
      </c>
      <c r="D36" s="24">
        <v>13.226208</v>
      </c>
      <c r="E36" s="24">
        <v>13.769780000000001</v>
      </c>
      <c r="F36" s="13">
        <v>14.889308</v>
      </c>
      <c r="G36" s="13">
        <v>14.542083999999999</v>
      </c>
      <c r="H36" s="14">
        <f t="shared" si="0"/>
        <v>14.106845</v>
      </c>
      <c r="I36" s="18">
        <f t="shared" si="2"/>
        <v>1.6880000000000001E-4</v>
      </c>
    </row>
    <row r="37" spans="1:9" x14ac:dyDescent="0.2">
      <c r="A37" s="24">
        <v>118</v>
      </c>
      <c r="B37" s="24" t="s">
        <v>158</v>
      </c>
      <c r="C37" s="24" t="s">
        <v>159</v>
      </c>
      <c r="D37" s="24">
        <v>1.1739360000000001</v>
      </c>
      <c r="E37" s="24">
        <v>1.0988880000000001</v>
      </c>
      <c r="F37" s="13">
        <v>1.1928479999999999</v>
      </c>
      <c r="G37" s="13">
        <v>1.0305599999999999</v>
      </c>
      <c r="H37" s="14">
        <f t="shared" si="0"/>
        <v>1.1240579999999998</v>
      </c>
      <c r="I37" s="18">
        <f t="shared" si="2"/>
        <v>1.3499999999999999E-5</v>
      </c>
    </row>
    <row r="38" spans="1:9" ht="12.75" customHeight="1" x14ac:dyDescent="0.2">
      <c r="A38" s="24">
        <v>37</v>
      </c>
      <c r="B38" s="24" t="s">
        <v>39</v>
      </c>
      <c r="C38" s="24" t="s">
        <v>40</v>
      </c>
      <c r="D38" s="24">
        <v>5.883356</v>
      </c>
      <c r="E38" s="24">
        <v>5.6120520000000003</v>
      </c>
      <c r="F38" s="13">
        <v>6.3282759999999998</v>
      </c>
      <c r="G38" s="13">
        <v>5.9194120000000003</v>
      </c>
      <c r="H38" s="14">
        <f t="shared" si="0"/>
        <v>5.9357740000000003</v>
      </c>
      <c r="I38" s="18">
        <f t="shared" si="2"/>
        <v>7.1000000000000005E-5</v>
      </c>
    </row>
    <row r="39" spans="1:9" ht="12.75" customHeight="1" x14ac:dyDescent="0.2">
      <c r="A39" s="24">
        <v>38</v>
      </c>
      <c r="B39" s="24" t="s">
        <v>41</v>
      </c>
      <c r="C39" s="24" t="s">
        <v>42</v>
      </c>
      <c r="D39" s="24">
        <v>18.200088000000001</v>
      </c>
      <c r="E39" s="24">
        <v>18.576356000000001</v>
      </c>
      <c r="F39" s="13">
        <v>20.5502</v>
      </c>
      <c r="G39" s="13">
        <v>21.199096000000001</v>
      </c>
      <c r="H39" s="14">
        <f t="shared" si="0"/>
        <v>19.631435</v>
      </c>
      <c r="I39" s="18">
        <f t="shared" si="2"/>
        <v>2.3489999999999999E-4</v>
      </c>
    </row>
    <row r="40" spans="1:9" x14ac:dyDescent="0.2">
      <c r="A40" s="24">
        <v>39</v>
      </c>
      <c r="B40" s="24" t="s">
        <v>43</v>
      </c>
      <c r="C40" s="24" t="s">
        <v>44</v>
      </c>
      <c r="D40" s="24">
        <v>9.8713639999999998</v>
      </c>
      <c r="E40" s="24">
        <v>9.6866559999999993</v>
      </c>
      <c r="F40" s="13">
        <v>10.049808000000001</v>
      </c>
      <c r="G40" s="13">
        <v>10.126075999999999</v>
      </c>
      <c r="H40" s="14">
        <f t="shared" si="0"/>
        <v>9.9334759999999989</v>
      </c>
      <c r="I40" s="18">
        <f t="shared" si="2"/>
        <v>1.189E-4</v>
      </c>
    </row>
    <row r="41" spans="1:9" x14ac:dyDescent="0.2">
      <c r="A41" s="24">
        <v>119</v>
      </c>
      <c r="B41" s="24" t="s">
        <v>160</v>
      </c>
      <c r="C41" s="24" t="s">
        <v>161</v>
      </c>
      <c r="D41" s="24">
        <v>11.235408</v>
      </c>
      <c r="E41" s="24">
        <v>12.076028000000001</v>
      </c>
      <c r="F41" s="13">
        <v>12.533723999999999</v>
      </c>
      <c r="G41" s="13">
        <v>12.56944</v>
      </c>
      <c r="H41" s="14">
        <f t="shared" si="0"/>
        <v>12.10365</v>
      </c>
      <c r="I41" s="18">
        <f t="shared" si="2"/>
        <v>1.449E-4</v>
      </c>
    </row>
    <row r="42" spans="1:9" x14ac:dyDescent="0.2">
      <c r="A42" s="24">
        <v>40</v>
      </c>
      <c r="B42" s="24" t="s">
        <v>45</v>
      </c>
      <c r="C42" s="24" t="s">
        <v>46</v>
      </c>
      <c r="D42" s="24">
        <v>12.626096</v>
      </c>
      <c r="E42" s="24">
        <v>13.448536000000001</v>
      </c>
      <c r="F42" s="13">
        <v>13.533804</v>
      </c>
      <c r="G42" s="13">
        <v>13.783388</v>
      </c>
      <c r="H42" s="14">
        <f t="shared" si="0"/>
        <v>13.347956</v>
      </c>
      <c r="I42" s="18">
        <f t="shared" si="2"/>
        <v>1.5970000000000001E-4</v>
      </c>
    </row>
    <row r="43" spans="1:9" x14ac:dyDescent="0.2">
      <c r="A43" s="24">
        <v>41</v>
      </c>
      <c r="B43" s="24" t="s">
        <v>47</v>
      </c>
      <c r="C43" s="24" t="s">
        <v>48</v>
      </c>
      <c r="D43" s="24">
        <v>16.401024</v>
      </c>
      <c r="E43" s="24">
        <v>16.954508000000001</v>
      </c>
      <c r="F43" s="13">
        <v>17.562812000000001</v>
      </c>
      <c r="G43" s="13">
        <v>17.298283999999999</v>
      </c>
      <c r="H43" s="14">
        <f t="shared" si="0"/>
        <v>17.054157</v>
      </c>
      <c r="I43" s="18">
        <f t="shared" si="2"/>
        <v>2.041E-4</v>
      </c>
    </row>
    <row r="44" spans="1:9" x14ac:dyDescent="0.2">
      <c r="A44" s="24">
        <v>42</v>
      </c>
      <c r="B44" s="24" t="s">
        <v>49</v>
      </c>
      <c r="C44" s="24" t="s">
        <v>50</v>
      </c>
      <c r="D44" s="24">
        <v>26.100444</v>
      </c>
      <c r="E44" s="24">
        <v>24.691172000000002</v>
      </c>
      <c r="F44" s="13">
        <v>27.965471999999998</v>
      </c>
      <c r="G44" s="13">
        <v>26.999672</v>
      </c>
      <c r="H44" s="14">
        <f t="shared" si="0"/>
        <v>26.439190000000004</v>
      </c>
      <c r="I44" s="18">
        <f t="shared" si="2"/>
        <v>3.1639999999999999E-4</v>
      </c>
    </row>
    <row r="45" spans="1:9" x14ac:dyDescent="0.2">
      <c r="A45" s="24">
        <v>43</v>
      </c>
      <c r="B45" s="24" t="s">
        <v>51</v>
      </c>
      <c r="C45" s="24" t="s">
        <v>52</v>
      </c>
      <c r="D45" s="24">
        <v>2.7551000000000001</v>
      </c>
      <c r="E45" s="24">
        <v>3.0402239999999998</v>
      </c>
      <c r="F45" s="13">
        <v>3.1606480000000001</v>
      </c>
      <c r="G45" s="13">
        <v>3.1648839999999998</v>
      </c>
      <c r="H45" s="14">
        <f t="shared" si="0"/>
        <v>3.030214</v>
      </c>
      <c r="I45" s="18">
        <f t="shared" si="2"/>
        <v>3.6300000000000001E-5</v>
      </c>
    </row>
    <row r="46" spans="1:9" x14ac:dyDescent="0.2">
      <c r="A46" s="24">
        <v>44</v>
      </c>
      <c r="B46" s="24" t="s">
        <v>53</v>
      </c>
      <c r="C46" s="24" t="s">
        <v>54</v>
      </c>
      <c r="D46" s="24">
        <v>11.109088</v>
      </c>
      <c r="E46" s="24">
        <v>11.091116</v>
      </c>
      <c r="F46" s="13">
        <v>12.088448</v>
      </c>
      <c r="G46" s="13">
        <v>12.288271999999999</v>
      </c>
      <c r="H46" s="14">
        <f t="shared" si="0"/>
        <v>11.644231</v>
      </c>
      <c r="I46" s="18">
        <f t="shared" si="2"/>
        <v>1.394E-4</v>
      </c>
    </row>
    <row r="47" spans="1:9" x14ac:dyDescent="0.2">
      <c r="A47" s="24">
        <v>45</v>
      </c>
      <c r="B47" s="24" t="s">
        <v>55</v>
      </c>
      <c r="C47" s="24" t="s">
        <v>56</v>
      </c>
      <c r="D47" s="24">
        <v>28.186712</v>
      </c>
      <c r="E47" s="24">
        <v>28.772296000000001</v>
      </c>
      <c r="F47" s="13">
        <v>30.29804</v>
      </c>
      <c r="G47" s="13">
        <v>30.777124000000001</v>
      </c>
      <c r="H47" s="14">
        <f t="shared" si="0"/>
        <v>29.508543</v>
      </c>
      <c r="I47" s="18">
        <f t="shared" si="2"/>
        <v>3.5320000000000002E-4</v>
      </c>
    </row>
    <row r="48" spans="1:9" x14ac:dyDescent="0.2">
      <c r="A48" s="24">
        <v>208</v>
      </c>
      <c r="B48" s="24" t="s">
        <v>273</v>
      </c>
      <c r="C48" s="24" t="s">
        <v>274</v>
      </c>
      <c r="D48" s="24">
        <v>463.72286000000003</v>
      </c>
      <c r="E48" s="24">
        <v>455.79472399999997</v>
      </c>
      <c r="F48" s="13">
        <v>476.41836799999999</v>
      </c>
      <c r="G48" s="13">
        <v>482.05591199999998</v>
      </c>
      <c r="H48" s="14">
        <f t="shared" si="0"/>
        <v>469.49796599999996</v>
      </c>
      <c r="I48" s="18">
        <f t="shared" si="2"/>
        <v>5.6188999999999996E-3</v>
      </c>
    </row>
    <row r="49" spans="1:9" x14ac:dyDescent="0.2">
      <c r="A49" s="24">
        <v>46</v>
      </c>
      <c r="B49" s="24" t="s">
        <v>57</v>
      </c>
      <c r="C49" s="24" t="s">
        <v>58</v>
      </c>
      <c r="D49" s="24">
        <v>13.710044</v>
      </c>
      <c r="E49" s="24">
        <v>14.127468</v>
      </c>
      <c r="F49" s="13">
        <v>14.565716</v>
      </c>
      <c r="G49" s="13">
        <v>14.120664</v>
      </c>
      <c r="H49" s="14">
        <f t="shared" si="0"/>
        <v>14.130972999999999</v>
      </c>
      <c r="I49" s="18">
        <f t="shared" si="2"/>
        <v>1.6909999999999999E-4</v>
      </c>
    </row>
    <row r="50" spans="1:9" x14ac:dyDescent="0.2">
      <c r="A50" s="24">
        <v>47</v>
      </c>
      <c r="B50" s="24" t="s">
        <v>59</v>
      </c>
      <c r="C50" s="24" t="s">
        <v>60</v>
      </c>
      <c r="D50" s="24">
        <v>6.6005120000000002</v>
      </c>
      <c r="E50" s="24">
        <v>6.4081039999999998</v>
      </c>
      <c r="F50" s="13">
        <v>7.2080159999999998</v>
      </c>
      <c r="G50" s="13">
        <v>6.8611719999999998</v>
      </c>
      <c r="H50" s="14">
        <f t="shared" si="0"/>
        <v>6.7694510000000001</v>
      </c>
      <c r="I50" s="18">
        <f t="shared" si="2"/>
        <v>8.1000000000000004E-5</v>
      </c>
    </row>
    <row r="51" spans="1:9" x14ac:dyDescent="0.2">
      <c r="A51" s="24">
        <v>48</v>
      </c>
      <c r="B51" s="24" t="s">
        <v>61</v>
      </c>
      <c r="C51" s="24" t="s">
        <v>62</v>
      </c>
      <c r="D51" s="24">
        <v>2.4457840000000002</v>
      </c>
      <c r="E51" s="24">
        <v>2.6409959999999999</v>
      </c>
      <c r="F51" s="13">
        <v>2.8273839999999999</v>
      </c>
      <c r="G51" s="13">
        <v>2.8882919999999999</v>
      </c>
      <c r="H51" s="14">
        <f t="shared" si="0"/>
        <v>2.7006139999999998</v>
      </c>
      <c r="I51" s="18">
        <f t="shared" si="2"/>
        <v>3.2299999999999999E-5</v>
      </c>
    </row>
    <row r="52" spans="1:9" x14ac:dyDescent="0.2">
      <c r="A52" s="24">
        <v>121</v>
      </c>
      <c r="B52" s="24" t="s">
        <v>162</v>
      </c>
      <c r="C52" s="24" t="s">
        <v>163</v>
      </c>
      <c r="D52" s="24">
        <v>20.6553</v>
      </c>
      <c r="E52" s="24">
        <v>20.583763999999999</v>
      </c>
      <c r="F52" s="13">
        <v>21.268224</v>
      </c>
      <c r="G52" s="13">
        <v>20.673203999999998</v>
      </c>
      <c r="H52" s="14">
        <f t="shared" si="0"/>
        <v>20.795123</v>
      </c>
      <c r="I52" s="18">
        <f t="shared" si="2"/>
        <v>2.4889999999999998E-4</v>
      </c>
    </row>
    <row r="53" spans="1:9" x14ac:dyDescent="0.2">
      <c r="A53" s="24">
        <v>49</v>
      </c>
      <c r="B53" s="24" t="s">
        <v>63</v>
      </c>
      <c r="C53" s="24" t="s">
        <v>64</v>
      </c>
      <c r="D53" s="24">
        <v>132.63142400000001</v>
      </c>
      <c r="E53" s="24">
        <v>130.70490799999999</v>
      </c>
      <c r="F53" s="13">
        <v>138.24113600000001</v>
      </c>
      <c r="G53" s="13">
        <v>141.96876800000001</v>
      </c>
      <c r="H53" s="14">
        <f t="shared" si="0"/>
        <v>135.88655899999998</v>
      </c>
      <c r="I53" s="18">
        <f t="shared" si="2"/>
        <v>1.6263E-3</v>
      </c>
    </row>
    <row r="54" spans="1:9" x14ac:dyDescent="0.2">
      <c r="A54" s="24">
        <v>50</v>
      </c>
      <c r="B54" s="24" t="s">
        <v>65</v>
      </c>
      <c r="C54" s="24" t="s">
        <v>66</v>
      </c>
      <c r="D54" s="24">
        <v>10.225904</v>
      </c>
      <c r="E54" s="24">
        <v>10.298616000000001</v>
      </c>
      <c r="F54" s="13">
        <v>11.210748000000001</v>
      </c>
      <c r="G54" s="13">
        <v>10.609972000000001</v>
      </c>
      <c r="H54" s="14">
        <f t="shared" si="0"/>
        <v>10.586310000000001</v>
      </c>
      <c r="I54" s="18">
        <f t="shared" si="2"/>
        <v>1.2669999999999999E-4</v>
      </c>
    </row>
    <row r="55" spans="1:9" x14ac:dyDescent="0.2">
      <c r="A55" s="24">
        <v>51</v>
      </c>
      <c r="B55" s="24" t="s">
        <v>67</v>
      </c>
      <c r="C55" s="24" t="s">
        <v>68</v>
      </c>
      <c r="D55" s="24">
        <v>15.935832</v>
      </c>
      <c r="E55" s="24">
        <v>16.207428</v>
      </c>
      <c r="F55" s="13">
        <v>16.866644000000001</v>
      </c>
      <c r="G55" s="13">
        <v>16.788256000000001</v>
      </c>
      <c r="H55" s="14">
        <f t="shared" si="0"/>
        <v>16.449539999999999</v>
      </c>
      <c r="I55" s="18">
        <f t="shared" si="2"/>
        <v>1.9689999999999999E-4</v>
      </c>
    </row>
    <row r="56" spans="1:9" x14ac:dyDescent="0.2">
      <c r="A56" s="24">
        <v>52</v>
      </c>
      <c r="B56" s="24" t="s">
        <v>69</v>
      </c>
      <c r="C56" s="24" t="s">
        <v>70</v>
      </c>
      <c r="D56" s="24">
        <v>15.548</v>
      </c>
      <c r="E56" s="24">
        <v>14.160276</v>
      </c>
      <c r="F56" s="13">
        <v>15.191924</v>
      </c>
      <c r="G56" s="13">
        <v>14.6821</v>
      </c>
      <c r="H56" s="14">
        <f t="shared" si="0"/>
        <v>14.895574999999999</v>
      </c>
      <c r="I56" s="18">
        <f t="shared" si="2"/>
        <v>1.783E-4</v>
      </c>
    </row>
    <row r="57" spans="1:9" x14ac:dyDescent="0.2">
      <c r="A57" s="24">
        <v>53</v>
      </c>
      <c r="B57" s="24" t="s">
        <v>71</v>
      </c>
      <c r="C57" s="24" t="s">
        <v>72</v>
      </c>
      <c r="D57" s="24">
        <v>72.638824</v>
      </c>
      <c r="E57" s="24">
        <v>73.640827999999999</v>
      </c>
      <c r="F57" s="13">
        <v>77.124167999999997</v>
      </c>
      <c r="G57" s="13">
        <v>74.56514</v>
      </c>
      <c r="H57" s="14">
        <f t="shared" si="0"/>
        <v>74.492239999999995</v>
      </c>
      <c r="I57" s="18">
        <f t="shared" si="2"/>
        <v>8.9150000000000004E-4</v>
      </c>
    </row>
    <row r="58" spans="1:9" x14ac:dyDescent="0.2">
      <c r="A58" s="24">
        <v>54</v>
      </c>
      <c r="B58" s="24" t="s">
        <v>209</v>
      </c>
      <c r="C58" s="24" t="s">
        <v>73</v>
      </c>
      <c r="D58" s="24">
        <v>7.8603319999999997</v>
      </c>
      <c r="E58" s="24">
        <v>7.7610279999999996</v>
      </c>
      <c r="F58" s="13">
        <v>7.950844</v>
      </c>
      <c r="G58" s="13">
        <v>7.9771200000000002</v>
      </c>
      <c r="H58" s="14">
        <f t="shared" si="0"/>
        <v>7.8873309999999996</v>
      </c>
      <c r="I58" s="18">
        <f t="shared" si="2"/>
        <v>9.4400000000000004E-5</v>
      </c>
    </row>
    <row r="59" spans="1:9" x14ac:dyDescent="0.2">
      <c r="A59" s="24">
        <v>55</v>
      </c>
      <c r="B59" s="24" t="s">
        <v>74</v>
      </c>
      <c r="C59" s="24" t="s">
        <v>75</v>
      </c>
      <c r="D59" s="24">
        <v>10.4969</v>
      </c>
      <c r="E59" s="24">
        <v>11.053203999999999</v>
      </c>
      <c r="F59" s="13">
        <v>10.730824</v>
      </c>
      <c r="G59" s="13">
        <v>9.8535199999999996</v>
      </c>
      <c r="H59" s="14">
        <f t="shared" si="0"/>
        <v>10.533611999999998</v>
      </c>
      <c r="I59" s="18">
        <f t="shared" si="2"/>
        <v>1.261E-4</v>
      </c>
    </row>
    <row r="60" spans="1:9" x14ac:dyDescent="0.2">
      <c r="A60" s="24">
        <v>56</v>
      </c>
      <c r="B60" s="24" t="s">
        <v>76</v>
      </c>
      <c r="C60" s="24" t="s">
        <v>77</v>
      </c>
      <c r="D60" s="24">
        <v>9.4734400000000001</v>
      </c>
      <c r="E60" s="24">
        <v>10.261763999999999</v>
      </c>
      <c r="F60" s="13">
        <v>10.632764</v>
      </c>
      <c r="G60" s="13">
        <v>10.789692000000001</v>
      </c>
      <c r="H60" s="14">
        <f t="shared" si="0"/>
        <v>10.289415</v>
      </c>
      <c r="I60" s="18">
        <f t="shared" si="2"/>
        <v>1.2310000000000001E-4</v>
      </c>
    </row>
    <row r="61" spans="1:9" x14ac:dyDescent="0.2">
      <c r="A61" s="24">
        <v>57</v>
      </c>
      <c r="B61" s="24" t="s">
        <v>78</v>
      </c>
      <c r="C61" s="24" t="s">
        <v>79</v>
      </c>
      <c r="D61" s="24">
        <v>4.7325200000000001</v>
      </c>
      <c r="E61" s="24">
        <v>4.4397520000000004</v>
      </c>
      <c r="F61" s="13">
        <v>4.7550319999999999</v>
      </c>
      <c r="G61" s="13">
        <v>4.2419279999999997</v>
      </c>
      <c r="H61" s="14">
        <f t="shared" si="0"/>
        <v>4.5423080000000002</v>
      </c>
      <c r="I61" s="18">
        <f t="shared" si="2"/>
        <v>5.4400000000000001E-5</v>
      </c>
    </row>
    <row r="62" spans="1:9" x14ac:dyDescent="0.2">
      <c r="A62" s="24">
        <v>58</v>
      </c>
      <c r="B62" s="24" t="s">
        <v>80</v>
      </c>
      <c r="C62" s="24" t="s">
        <v>81</v>
      </c>
      <c r="D62" s="24">
        <v>7.8544</v>
      </c>
      <c r="E62" s="24">
        <v>8.0022040000000008</v>
      </c>
      <c r="F62" s="13">
        <v>8.2671480000000006</v>
      </c>
      <c r="G62" s="13">
        <v>8.3146599999999999</v>
      </c>
      <c r="H62" s="14">
        <f t="shared" si="0"/>
        <v>8.1096029999999999</v>
      </c>
      <c r="I62" s="18">
        <f t="shared" si="2"/>
        <v>9.7100000000000002E-5</v>
      </c>
    </row>
    <row r="63" spans="1:9" x14ac:dyDescent="0.2">
      <c r="A63" s="24">
        <v>59</v>
      </c>
      <c r="B63" s="24" t="s">
        <v>210</v>
      </c>
      <c r="C63" s="24" t="s">
        <v>82</v>
      </c>
      <c r="D63" s="24">
        <v>9.2644800000000007</v>
      </c>
      <c r="E63" s="24">
        <v>9.9572520000000004</v>
      </c>
      <c r="F63" s="13">
        <v>9.5894720000000007</v>
      </c>
      <c r="G63" s="13">
        <v>10.446783999999999</v>
      </c>
      <c r="H63" s="14">
        <f t="shared" si="0"/>
        <v>9.8144970000000011</v>
      </c>
      <c r="I63" s="18">
        <f t="shared" si="2"/>
        <v>1.175E-4</v>
      </c>
    </row>
    <row r="64" spans="1:9" x14ac:dyDescent="0.2">
      <c r="A64" s="24">
        <v>60</v>
      </c>
      <c r="B64" s="24" t="s">
        <v>83</v>
      </c>
      <c r="C64" s="24" t="s">
        <v>84</v>
      </c>
      <c r="D64" s="24">
        <v>20.610652000000002</v>
      </c>
      <c r="E64" s="24">
        <v>21.153492</v>
      </c>
      <c r="F64" s="13">
        <v>20.863672000000001</v>
      </c>
      <c r="G64" s="13">
        <v>20.484224000000001</v>
      </c>
      <c r="H64" s="14">
        <f t="shared" si="0"/>
        <v>20.778010000000002</v>
      </c>
      <c r="I64" s="18">
        <f t="shared" si="2"/>
        <v>2.4869999999999997E-4</v>
      </c>
    </row>
    <row r="65" spans="1:9" x14ac:dyDescent="0.2">
      <c r="A65" s="24">
        <v>61</v>
      </c>
      <c r="B65" s="24" t="s">
        <v>85</v>
      </c>
      <c r="C65" s="24" t="s">
        <v>86</v>
      </c>
      <c r="D65" s="24">
        <v>29.909292000000001</v>
      </c>
      <c r="E65" s="24">
        <v>28.597804</v>
      </c>
      <c r="F65" s="13">
        <v>35.503411999999997</v>
      </c>
      <c r="G65" s="13">
        <v>35.783540000000002</v>
      </c>
      <c r="H65" s="14">
        <f t="shared" si="0"/>
        <v>32.448512000000001</v>
      </c>
      <c r="I65" s="18">
        <f t="shared" si="2"/>
        <v>3.8830000000000001E-4</v>
      </c>
    </row>
    <row r="66" spans="1:9" x14ac:dyDescent="0.2">
      <c r="A66" s="24">
        <v>62</v>
      </c>
      <c r="B66" s="24" t="s">
        <v>211</v>
      </c>
      <c r="C66" s="24" t="s">
        <v>87</v>
      </c>
      <c r="D66" s="24">
        <v>54.900875999999997</v>
      </c>
      <c r="E66" s="24">
        <v>58.415232000000003</v>
      </c>
      <c r="F66" s="13">
        <v>64.236903999999996</v>
      </c>
      <c r="G66" s="13">
        <v>67.482748000000001</v>
      </c>
      <c r="H66" s="14">
        <f t="shared" si="0"/>
        <v>61.258939999999996</v>
      </c>
      <c r="I66" s="18">
        <f t="shared" si="2"/>
        <v>7.3309999999999998E-4</v>
      </c>
    </row>
    <row r="67" spans="1:9" x14ac:dyDescent="0.2">
      <c r="A67" s="24">
        <v>63</v>
      </c>
      <c r="B67" s="24" t="s">
        <v>88</v>
      </c>
      <c r="C67" s="24" t="s">
        <v>89</v>
      </c>
      <c r="D67" s="24">
        <v>85.943759999999997</v>
      </c>
      <c r="E67" s="24">
        <v>95.816608000000002</v>
      </c>
      <c r="F67" s="13">
        <v>75.845151999999999</v>
      </c>
      <c r="G67" s="13">
        <v>76.252815999999996</v>
      </c>
      <c r="H67" s="14">
        <f t="shared" ref="H67:H130" si="3">AVERAGE(D67:G67)</f>
        <v>83.464584000000002</v>
      </c>
      <c r="I67" s="18">
        <f t="shared" si="2"/>
        <v>9.9890000000000005E-4</v>
      </c>
    </row>
    <row r="68" spans="1:9" x14ac:dyDescent="0.2">
      <c r="A68" s="24">
        <v>64</v>
      </c>
      <c r="B68" s="24" t="s">
        <v>212</v>
      </c>
      <c r="C68" s="24" t="s">
        <v>90</v>
      </c>
      <c r="D68" s="24">
        <v>79.969763999999998</v>
      </c>
      <c r="E68" s="24">
        <v>85.394791999999995</v>
      </c>
      <c r="F68" s="13">
        <v>82.357048000000006</v>
      </c>
      <c r="G68" s="13">
        <v>89.688019999999995</v>
      </c>
      <c r="H68" s="14">
        <f t="shared" si="3"/>
        <v>84.352406000000002</v>
      </c>
      <c r="I68" s="18">
        <f t="shared" si="2"/>
        <v>1.0095E-3</v>
      </c>
    </row>
    <row r="69" spans="1:9" x14ac:dyDescent="0.2">
      <c r="A69" s="24">
        <v>122</v>
      </c>
      <c r="B69" s="24" t="s">
        <v>199</v>
      </c>
      <c r="C69" s="24" t="s">
        <v>164</v>
      </c>
      <c r="D69" s="24">
        <v>5274.4608760000001</v>
      </c>
      <c r="E69" s="24">
        <v>5205.1027999999997</v>
      </c>
      <c r="F69" s="15">
        <v>5538.0171479999999</v>
      </c>
      <c r="G69" s="15">
        <v>5364.5443640000003</v>
      </c>
      <c r="H69" s="14">
        <f t="shared" si="3"/>
        <v>5345.5312970000004</v>
      </c>
      <c r="I69" s="18">
        <f t="shared" si="2"/>
        <v>6.3974799999999998E-2</v>
      </c>
    </row>
    <row r="70" spans="1:9" x14ac:dyDescent="0.2">
      <c r="A70" s="24">
        <v>198</v>
      </c>
      <c r="B70" s="24" t="s">
        <v>240</v>
      </c>
      <c r="C70" s="24" t="s">
        <v>241</v>
      </c>
      <c r="D70" s="15">
        <v>0</v>
      </c>
      <c r="E70" s="15">
        <v>0</v>
      </c>
      <c r="F70" s="15">
        <v>0</v>
      </c>
      <c r="G70" s="15">
        <v>0</v>
      </c>
      <c r="H70" s="14">
        <f t="shared" si="3"/>
        <v>0</v>
      </c>
      <c r="I70" s="18">
        <f t="shared" si="2"/>
        <v>0</v>
      </c>
    </row>
    <row r="71" spans="1:9" x14ac:dyDescent="0.2">
      <c r="A71" s="24">
        <v>66</v>
      </c>
      <c r="B71" s="24" t="s">
        <v>213</v>
      </c>
      <c r="C71" s="24" t="s">
        <v>91</v>
      </c>
      <c r="D71" s="24">
        <v>16.482240000000001</v>
      </c>
      <c r="E71" s="24">
        <v>17.074648</v>
      </c>
      <c r="F71" s="13">
        <v>18.837724000000001</v>
      </c>
      <c r="G71" s="13">
        <v>16.398472000000002</v>
      </c>
      <c r="H71" s="14">
        <f t="shared" si="3"/>
        <v>17.198271000000002</v>
      </c>
      <c r="I71" s="18">
        <f t="shared" si="2"/>
        <v>2.0579999999999999E-4</v>
      </c>
    </row>
    <row r="72" spans="1:9" x14ac:dyDescent="0.2">
      <c r="A72" s="24">
        <v>67</v>
      </c>
      <c r="B72" s="24" t="s">
        <v>214</v>
      </c>
      <c r="C72" s="24" t="s">
        <v>92</v>
      </c>
      <c r="D72" s="24">
        <v>1728.9563639999999</v>
      </c>
      <c r="E72" s="24">
        <v>1804.626704</v>
      </c>
      <c r="F72" s="13">
        <v>1886.8199320000001</v>
      </c>
      <c r="G72" s="13">
        <v>1867.7158079999999</v>
      </c>
      <c r="H72" s="14">
        <f t="shared" si="3"/>
        <v>1822.029702</v>
      </c>
      <c r="I72" s="18">
        <f t="shared" si="2"/>
        <v>2.18059E-2</v>
      </c>
    </row>
    <row r="73" spans="1:9" x14ac:dyDescent="0.2">
      <c r="A73" s="24">
        <v>123</v>
      </c>
      <c r="B73" s="24" t="s">
        <v>165</v>
      </c>
      <c r="C73" s="24" t="s">
        <v>200</v>
      </c>
      <c r="D73" s="24">
        <v>390.55319600000001</v>
      </c>
      <c r="E73" s="24">
        <v>394.80058400000001</v>
      </c>
      <c r="F73" s="15">
        <v>405.85313200000002</v>
      </c>
      <c r="G73" s="15">
        <v>402.35216400000002</v>
      </c>
      <c r="H73" s="14">
        <f t="shared" si="3"/>
        <v>398.389769</v>
      </c>
      <c r="I73" s="18">
        <f t="shared" si="2"/>
        <v>4.7679000000000003E-3</v>
      </c>
    </row>
    <row r="74" spans="1:9" x14ac:dyDescent="0.2">
      <c r="A74" s="24">
        <v>216</v>
      </c>
      <c r="B74" s="24" t="s">
        <v>281</v>
      </c>
      <c r="C74" s="24" t="s">
        <v>282</v>
      </c>
      <c r="D74" s="24">
        <v>2.5353840000000001</v>
      </c>
      <c r="E74" s="24">
        <v>2.633648</v>
      </c>
      <c r="F74" s="15">
        <v>2.6195560000000002</v>
      </c>
      <c r="G74" s="15">
        <v>2.4805999999999999</v>
      </c>
      <c r="H74" s="14">
        <f t="shared" si="3"/>
        <v>2.5672969999999999</v>
      </c>
      <c r="I74" s="18">
        <f t="shared" ref="I74:I101" si="4">ROUND(H74/H$147,7)</f>
        <v>3.0700000000000001E-5</v>
      </c>
    </row>
    <row r="75" spans="1:9" x14ac:dyDescent="0.2">
      <c r="A75" s="24">
        <v>193</v>
      </c>
      <c r="B75" s="24" t="s">
        <v>260</v>
      </c>
      <c r="C75" s="24" t="s">
        <v>236</v>
      </c>
      <c r="D75" s="15">
        <v>0</v>
      </c>
      <c r="E75" s="15">
        <v>0</v>
      </c>
      <c r="F75" s="15">
        <v>0</v>
      </c>
      <c r="G75" s="15">
        <v>0</v>
      </c>
      <c r="H75" s="14">
        <f t="shared" si="3"/>
        <v>0</v>
      </c>
      <c r="I75" s="18">
        <f t="shared" si="4"/>
        <v>0</v>
      </c>
    </row>
    <row r="76" spans="1:9" x14ac:dyDescent="0.2">
      <c r="A76" s="24">
        <v>69</v>
      </c>
      <c r="B76" s="24" t="s">
        <v>93</v>
      </c>
      <c r="C76" s="24" t="s">
        <v>94</v>
      </c>
      <c r="D76" s="24">
        <v>43.097175999999997</v>
      </c>
      <c r="E76" s="24">
        <v>47.231028000000002</v>
      </c>
      <c r="F76" s="13">
        <v>47.125703999999999</v>
      </c>
      <c r="G76" s="13">
        <v>45.987160000000003</v>
      </c>
      <c r="H76" s="14">
        <f t="shared" si="3"/>
        <v>45.860267000000007</v>
      </c>
      <c r="I76" s="18">
        <f t="shared" si="4"/>
        <v>5.4889999999999995E-4</v>
      </c>
    </row>
    <row r="77" spans="1:9" x14ac:dyDescent="0.2">
      <c r="A77" s="24">
        <v>215</v>
      </c>
      <c r="B77" s="24" t="s">
        <v>275</v>
      </c>
      <c r="C77" s="24" t="s">
        <v>276</v>
      </c>
      <c r="D77" s="24">
        <v>5.7893879999999998</v>
      </c>
      <c r="E77" s="24">
        <v>2.117788</v>
      </c>
      <c r="F77" s="13">
        <v>6.2023320000000002</v>
      </c>
      <c r="G77" s="13">
        <v>5.6295919999999997</v>
      </c>
      <c r="H77" s="14">
        <f t="shared" si="3"/>
        <v>4.9347750000000001</v>
      </c>
      <c r="I77" s="18">
        <f t="shared" si="4"/>
        <v>5.91E-5</v>
      </c>
    </row>
    <row r="78" spans="1:9" x14ac:dyDescent="0.2">
      <c r="A78" s="24">
        <v>205</v>
      </c>
      <c r="B78" s="24" t="s">
        <v>256</v>
      </c>
      <c r="C78" s="24" t="s">
        <v>257</v>
      </c>
      <c r="D78" s="24">
        <v>4.8975999999999999E-2</v>
      </c>
      <c r="E78" s="24">
        <v>5.7132000000000002E-2</v>
      </c>
      <c r="F78" s="13">
        <v>5.7132000000000002E-2</v>
      </c>
      <c r="G78" s="13">
        <v>5.7132000000000002E-2</v>
      </c>
      <c r="H78" s="14">
        <f t="shared" si="3"/>
        <v>5.5093000000000003E-2</v>
      </c>
      <c r="I78" s="18">
        <f t="shared" si="4"/>
        <v>6.9999999999999997E-7</v>
      </c>
    </row>
    <row r="79" spans="1:9" x14ac:dyDescent="0.2">
      <c r="A79" s="24">
        <v>70</v>
      </c>
      <c r="B79" s="24" t="s">
        <v>95</v>
      </c>
      <c r="C79" s="24" t="s">
        <v>96</v>
      </c>
      <c r="D79" s="24">
        <v>368.91490399999998</v>
      </c>
      <c r="E79" s="24">
        <v>405.98567200000002</v>
      </c>
      <c r="F79" s="13">
        <v>425.60915599999998</v>
      </c>
      <c r="G79" s="13">
        <v>407.62425999999999</v>
      </c>
      <c r="H79" s="14">
        <f>AVERAGE(D79:G79)</f>
        <v>402.03349800000001</v>
      </c>
      <c r="I79" s="18">
        <f t="shared" si="4"/>
        <v>4.8114999999999998E-3</v>
      </c>
    </row>
    <row r="80" spans="1:9" x14ac:dyDescent="0.2">
      <c r="A80" s="24">
        <v>202</v>
      </c>
      <c r="B80" s="24" t="s">
        <v>248</v>
      </c>
      <c r="C80" s="24" t="s">
        <v>249</v>
      </c>
      <c r="D80" s="24">
        <v>0.16325200000000001</v>
      </c>
      <c r="E80" s="24">
        <v>0.204044</v>
      </c>
      <c r="F80" s="13">
        <v>0.20402799999999999</v>
      </c>
      <c r="G80" s="13">
        <v>0.24484800000000001</v>
      </c>
      <c r="H80" s="14">
        <f t="shared" si="3"/>
        <v>0.20404299999999997</v>
      </c>
      <c r="I80" s="18">
        <f t="shared" si="4"/>
        <v>2.3999999999999999E-6</v>
      </c>
    </row>
    <row r="81" spans="1:9" x14ac:dyDescent="0.2">
      <c r="A81" s="24">
        <v>213</v>
      </c>
      <c r="B81" s="24" t="s">
        <v>277</v>
      </c>
      <c r="C81" s="24" t="s">
        <v>278</v>
      </c>
      <c r="D81" s="24">
        <v>0.726468</v>
      </c>
      <c r="E81" s="24">
        <v>2.8361839999999998</v>
      </c>
      <c r="F81" s="13">
        <v>1.668976</v>
      </c>
      <c r="G81" s="13">
        <v>1.746572</v>
      </c>
      <c r="H81" s="14">
        <f t="shared" si="3"/>
        <v>1.7445499999999998</v>
      </c>
      <c r="I81" s="18">
        <f t="shared" si="4"/>
        <v>2.09E-5</v>
      </c>
    </row>
    <row r="82" spans="1:9" x14ac:dyDescent="0.2">
      <c r="A82" s="24">
        <v>207</v>
      </c>
      <c r="B82" s="24" t="s">
        <v>258</v>
      </c>
      <c r="C82" s="24" t="s">
        <v>259</v>
      </c>
      <c r="D82" s="24">
        <v>1.4243600000000001</v>
      </c>
      <c r="E82" s="24">
        <v>1.6078520000000001</v>
      </c>
      <c r="F82" s="13">
        <v>1.7261040000000001</v>
      </c>
      <c r="G82" s="13">
        <v>1.7220880000000001</v>
      </c>
      <c r="H82" s="14">
        <f t="shared" si="3"/>
        <v>1.6201010000000002</v>
      </c>
      <c r="I82" s="18">
        <f t="shared" si="4"/>
        <v>1.9400000000000001E-5</v>
      </c>
    </row>
    <row r="83" spans="1:9" x14ac:dyDescent="0.2">
      <c r="A83" s="25">
        <v>219</v>
      </c>
      <c r="B83" s="25" t="s">
        <v>289</v>
      </c>
      <c r="C83" s="25" t="s">
        <v>290</v>
      </c>
      <c r="D83" s="24">
        <v>8.3220000000000002E-2</v>
      </c>
      <c r="E83" s="24">
        <v>8.3407999999999996E-2</v>
      </c>
      <c r="F83" s="13">
        <v>8.2215999999999997E-2</v>
      </c>
      <c r="G83" s="13">
        <v>9.1691999999999996E-2</v>
      </c>
      <c r="H83" s="14">
        <f t="shared" si="3"/>
        <v>8.5134000000000001E-2</v>
      </c>
      <c r="I83" s="18">
        <f t="shared" si="4"/>
        <v>9.9999999999999995E-7</v>
      </c>
    </row>
    <row r="84" spans="1:9" x14ac:dyDescent="0.2">
      <c r="A84" s="24">
        <v>71</v>
      </c>
      <c r="B84" s="24" t="s">
        <v>97</v>
      </c>
      <c r="C84" s="24" t="s">
        <v>98</v>
      </c>
      <c r="D84" s="24">
        <v>64.437228000000005</v>
      </c>
      <c r="E84" s="24">
        <v>72.879503999999997</v>
      </c>
      <c r="F84" s="13">
        <v>76.792860000000005</v>
      </c>
      <c r="G84" s="13">
        <v>76.598551999999998</v>
      </c>
      <c r="H84" s="14">
        <f t="shared" si="3"/>
        <v>72.677036000000001</v>
      </c>
      <c r="I84" s="18">
        <f t="shared" si="4"/>
        <v>8.698E-4</v>
      </c>
    </row>
    <row r="85" spans="1:9" x14ac:dyDescent="0.2">
      <c r="A85" s="24">
        <v>72</v>
      </c>
      <c r="B85" s="24" t="s">
        <v>99</v>
      </c>
      <c r="C85" s="24" t="s">
        <v>100</v>
      </c>
      <c r="D85" s="24">
        <v>25.039448</v>
      </c>
      <c r="E85" s="24">
        <v>24.557648</v>
      </c>
      <c r="F85" s="13">
        <v>25.800128000000001</v>
      </c>
      <c r="G85" s="13">
        <v>25.760843999999999</v>
      </c>
      <c r="H85" s="14">
        <f t="shared" si="3"/>
        <v>25.289516999999996</v>
      </c>
      <c r="I85" s="18">
        <f t="shared" si="4"/>
        <v>3.0269999999999999E-4</v>
      </c>
    </row>
    <row r="86" spans="1:9" x14ac:dyDescent="0.2">
      <c r="A86" s="24">
        <v>125</v>
      </c>
      <c r="B86" s="24" t="s">
        <v>166</v>
      </c>
      <c r="C86" s="24" t="s">
        <v>167</v>
      </c>
      <c r="D86" s="24">
        <v>114.26319599999999</v>
      </c>
      <c r="E86" s="24">
        <v>120.475212</v>
      </c>
      <c r="F86" s="13">
        <v>124.209324</v>
      </c>
      <c r="G86" s="13">
        <v>118.5261</v>
      </c>
      <c r="H86" s="14">
        <f t="shared" si="3"/>
        <v>119.36845799999999</v>
      </c>
      <c r="I86" s="18">
        <f t="shared" si="4"/>
        <v>1.4285999999999999E-3</v>
      </c>
    </row>
    <row r="87" spans="1:9" x14ac:dyDescent="0.2">
      <c r="A87" s="24">
        <v>73</v>
      </c>
      <c r="B87" s="24" t="s">
        <v>101</v>
      </c>
      <c r="C87" s="24" t="s">
        <v>102</v>
      </c>
      <c r="D87" s="24">
        <v>23.328987999999999</v>
      </c>
      <c r="E87" s="24">
        <v>24.123135999999999</v>
      </c>
      <c r="F87" s="15">
        <v>26.218807999999999</v>
      </c>
      <c r="G87" s="15">
        <v>25.491616</v>
      </c>
      <c r="H87" s="14">
        <f t="shared" si="3"/>
        <v>24.790636999999997</v>
      </c>
      <c r="I87" s="18">
        <f t="shared" si="4"/>
        <v>2.967E-4</v>
      </c>
    </row>
    <row r="88" spans="1:9" x14ac:dyDescent="0.2">
      <c r="A88" s="24">
        <v>177</v>
      </c>
      <c r="B88" s="24" t="s">
        <v>267</v>
      </c>
      <c r="C88" s="24" t="s">
        <v>202</v>
      </c>
      <c r="D88" s="24">
        <v>0.122436</v>
      </c>
      <c r="E88" s="24">
        <v>0.122428</v>
      </c>
      <c r="F88" s="15">
        <v>0.122416</v>
      </c>
      <c r="G88" s="15">
        <v>0.12242</v>
      </c>
      <c r="H88" s="14">
        <f t="shared" si="3"/>
        <v>0.12242500000000001</v>
      </c>
      <c r="I88" s="18">
        <f t="shared" si="4"/>
        <v>1.5E-6</v>
      </c>
    </row>
    <row r="89" spans="1:9" x14ac:dyDescent="0.2">
      <c r="A89" s="24">
        <v>212</v>
      </c>
      <c r="B89" s="24" t="s">
        <v>268</v>
      </c>
      <c r="C89" s="24" t="s">
        <v>269</v>
      </c>
      <c r="D89" s="24">
        <v>3.937392</v>
      </c>
      <c r="E89" s="24">
        <v>4.0308440000000001</v>
      </c>
      <c r="F89" s="13">
        <v>4.0265000000000004</v>
      </c>
      <c r="G89" s="13">
        <v>4.0208640000000004</v>
      </c>
      <c r="H89" s="14">
        <f t="shared" si="3"/>
        <v>4.0038999999999998</v>
      </c>
      <c r="I89" s="18">
        <f t="shared" si="4"/>
        <v>4.7899999999999999E-5</v>
      </c>
    </row>
    <row r="90" spans="1:9" x14ac:dyDescent="0.2">
      <c r="A90" s="24">
        <v>74</v>
      </c>
      <c r="B90" s="24" t="s">
        <v>270</v>
      </c>
      <c r="C90" s="24" t="s">
        <v>103</v>
      </c>
      <c r="D90" s="24">
        <v>377.09777200000002</v>
      </c>
      <c r="E90" s="24">
        <v>410.41205200000002</v>
      </c>
      <c r="F90" s="13">
        <v>423.77032800000001</v>
      </c>
      <c r="G90" s="13">
        <v>426.82186799999999</v>
      </c>
      <c r="H90" s="14">
        <f t="shared" si="3"/>
        <v>409.52550500000001</v>
      </c>
      <c r="I90" s="18">
        <f t="shared" si="4"/>
        <v>4.9011999999999997E-3</v>
      </c>
    </row>
    <row r="91" spans="1:9" x14ac:dyDescent="0.2">
      <c r="A91" s="24">
        <v>196</v>
      </c>
      <c r="B91" s="24" t="s">
        <v>237</v>
      </c>
      <c r="C91" s="24" t="s">
        <v>238</v>
      </c>
      <c r="D91" s="15">
        <v>0</v>
      </c>
      <c r="E91" s="15">
        <v>0</v>
      </c>
      <c r="F91" s="15">
        <v>0</v>
      </c>
      <c r="G91" s="15">
        <v>0</v>
      </c>
      <c r="H91" s="14">
        <f t="shared" si="3"/>
        <v>0</v>
      </c>
      <c r="I91" s="18">
        <f t="shared" si="4"/>
        <v>0</v>
      </c>
    </row>
    <row r="92" spans="1:9" x14ac:dyDescent="0.2">
      <c r="A92" s="24">
        <v>75</v>
      </c>
      <c r="B92" s="24" t="s">
        <v>104</v>
      </c>
      <c r="C92" s="24" t="s">
        <v>105</v>
      </c>
      <c r="D92" s="24">
        <v>494.96968399999997</v>
      </c>
      <c r="E92" s="24">
        <v>504.31950799999998</v>
      </c>
      <c r="F92" s="13">
        <v>524.41209200000003</v>
      </c>
      <c r="G92" s="13">
        <v>522.19159200000001</v>
      </c>
      <c r="H92" s="14">
        <f t="shared" si="3"/>
        <v>511.47321899999997</v>
      </c>
      <c r="I92" s="18">
        <f t="shared" si="4"/>
        <v>6.1212999999999997E-3</v>
      </c>
    </row>
    <row r="93" spans="1:9" x14ac:dyDescent="0.2">
      <c r="A93" s="24">
        <v>76</v>
      </c>
      <c r="B93" s="24" t="s">
        <v>215</v>
      </c>
      <c r="C93" s="24" t="s">
        <v>106</v>
      </c>
      <c r="D93" s="24">
        <v>21.018532</v>
      </c>
      <c r="E93" s="24">
        <v>22.240587999999999</v>
      </c>
      <c r="F93" s="13">
        <v>23.667632000000001</v>
      </c>
      <c r="G93" s="13">
        <v>22.770724000000001</v>
      </c>
      <c r="H93" s="14">
        <f t="shared" si="3"/>
        <v>22.424368999999999</v>
      </c>
      <c r="I93" s="18">
        <f t="shared" si="4"/>
        <v>2.6840000000000002E-4</v>
      </c>
    </row>
    <row r="94" spans="1:9" x14ac:dyDescent="0.2">
      <c r="A94" s="24">
        <v>142</v>
      </c>
      <c r="B94" s="24" t="s">
        <v>233</v>
      </c>
      <c r="C94" s="24" t="s">
        <v>181</v>
      </c>
      <c r="D94" s="24">
        <v>45.76126</v>
      </c>
      <c r="E94" s="24">
        <v>46.526283999999997</v>
      </c>
      <c r="F94" s="13">
        <v>49.857176000000003</v>
      </c>
      <c r="G94" s="13">
        <v>49.052424000000002</v>
      </c>
      <c r="H94" s="14">
        <f t="shared" si="3"/>
        <v>47.799286000000002</v>
      </c>
      <c r="I94" s="18">
        <f t="shared" si="4"/>
        <v>5.7209999999999997E-4</v>
      </c>
    </row>
    <row r="95" spans="1:9" x14ac:dyDescent="0.2">
      <c r="A95" s="24">
        <v>172</v>
      </c>
      <c r="B95" s="24" t="s">
        <v>195</v>
      </c>
      <c r="C95" s="24" t="s">
        <v>196</v>
      </c>
      <c r="D95" s="24">
        <v>113.594584</v>
      </c>
      <c r="E95" s="24">
        <v>119.4199</v>
      </c>
      <c r="F95" s="13">
        <v>128.13586799999999</v>
      </c>
      <c r="G95" s="13">
        <v>133.43650400000001</v>
      </c>
      <c r="H95" s="14">
        <f t="shared" si="3"/>
        <v>123.646714</v>
      </c>
      <c r="I95" s="18">
        <f t="shared" si="4"/>
        <v>1.4798000000000001E-3</v>
      </c>
    </row>
    <row r="96" spans="1:9" x14ac:dyDescent="0.2">
      <c r="A96" s="24">
        <v>77</v>
      </c>
      <c r="B96" s="24" t="s">
        <v>107</v>
      </c>
      <c r="C96" s="24" t="s">
        <v>108</v>
      </c>
      <c r="D96" s="24">
        <v>154.09239600000001</v>
      </c>
      <c r="E96" s="24">
        <v>170.22170800000001</v>
      </c>
      <c r="F96" s="13">
        <v>178.677176</v>
      </c>
      <c r="G96" s="13">
        <v>177.70998800000001</v>
      </c>
      <c r="H96" s="14">
        <f t="shared" si="3"/>
        <v>170.17531700000001</v>
      </c>
      <c r="I96" s="18">
        <f t="shared" si="4"/>
        <v>2.0366E-3</v>
      </c>
    </row>
    <row r="97" spans="1:9" x14ac:dyDescent="0.2">
      <c r="A97" s="24">
        <v>78</v>
      </c>
      <c r="B97" s="24" t="s">
        <v>216</v>
      </c>
      <c r="C97" s="24" t="s">
        <v>109</v>
      </c>
      <c r="D97" s="24">
        <v>60.875016000000002</v>
      </c>
      <c r="E97" s="24">
        <v>64.352708000000007</v>
      </c>
      <c r="F97" s="13">
        <v>66.782920000000004</v>
      </c>
      <c r="G97" s="13">
        <v>67.566327999999999</v>
      </c>
      <c r="H97" s="14">
        <f t="shared" si="3"/>
        <v>64.894243000000003</v>
      </c>
      <c r="I97" s="18">
        <f t="shared" si="4"/>
        <v>7.7660000000000001E-4</v>
      </c>
    </row>
    <row r="98" spans="1:9" x14ac:dyDescent="0.2">
      <c r="A98" s="24">
        <v>79</v>
      </c>
      <c r="B98" s="24" t="s">
        <v>217</v>
      </c>
      <c r="C98" s="24" t="s">
        <v>110</v>
      </c>
      <c r="D98" s="24">
        <v>22.192540000000001</v>
      </c>
      <c r="E98" s="24">
        <v>22.703499999999998</v>
      </c>
      <c r="F98" s="13">
        <v>22.411044</v>
      </c>
      <c r="G98" s="13">
        <v>23.428916000000001</v>
      </c>
      <c r="H98" s="14">
        <f t="shared" si="3"/>
        <v>22.684000000000001</v>
      </c>
      <c r="I98" s="18">
        <f t="shared" si="4"/>
        <v>2.7149999999999999E-4</v>
      </c>
    </row>
    <row r="99" spans="1:9" x14ac:dyDescent="0.2">
      <c r="A99" s="24">
        <v>126</v>
      </c>
      <c r="B99" s="24" t="s">
        <v>228</v>
      </c>
      <c r="C99" s="24" t="s">
        <v>168</v>
      </c>
      <c r="D99" s="24">
        <v>88.777100000000004</v>
      </c>
      <c r="E99" s="24">
        <v>97.822816000000003</v>
      </c>
      <c r="F99" s="13">
        <v>92.232647999999998</v>
      </c>
      <c r="G99" s="13">
        <v>101.2282</v>
      </c>
      <c r="H99" s="14">
        <f t="shared" si="3"/>
        <v>95.015191000000002</v>
      </c>
      <c r="I99" s="18">
        <f t="shared" si="4"/>
        <v>1.1371E-3</v>
      </c>
    </row>
    <row r="100" spans="1:9" x14ac:dyDescent="0.2">
      <c r="A100" s="24">
        <v>80</v>
      </c>
      <c r="B100" s="24" t="s">
        <v>218</v>
      </c>
      <c r="C100" s="24" t="s">
        <v>111</v>
      </c>
      <c r="D100" s="24">
        <v>1.82698</v>
      </c>
      <c r="E100" s="24">
        <v>1.9043239999999999</v>
      </c>
      <c r="F100" s="13">
        <v>2.053248</v>
      </c>
      <c r="G100" s="13">
        <v>1.6327199999999999</v>
      </c>
      <c r="H100" s="14">
        <f t="shared" si="3"/>
        <v>1.8543179999999999</v>
      </c>
      <c r="I100" s="18">
        <f t="shared" si="4"/>
        <v>2.2200000000000001E-5</v>
      </c>
    </row>
    <row r="101" spans="1:9" x14ac:dyDescent="0.2">
      <c r="A101" s="24">
        <v>127</v>
      </c>
      <c r="B101" s="24" t="s">
        <v>229</v>
      </c>
      <c r="C101" s="24" t="s">
        <v>169</v>
      </c>
      <c r="D101" s="24">
        <v>198.91797199999999</v>
      </c>
      <c r="E101" s="24">
        <v>205.01951600000001</v>
      </c>
      <c r="F101" s="13">
        <v>214.75246000000001</v>
      </c>
      <c r="G101" s="13">
        <v>213.46972400000001</v>
      </c>
      <c r="H101" s="14">
        <f t="shared" si="3"/>
        <v>208.03991800000003</v>
      </c>
      <c r="I101" s="18">
        <f t="shared" si="4"/>
        <v>2.4897999999999999E-3</v>
      </c>
    </row>
    <row r="102" spans="1:9" x14ac:dyDescent="0.2">
      <c r="A102" s="24">
        <v>81</v>
      </c>
      <c r="B102" s="24" t="s">
        <v>112</v>
      </c>
      <c r="C102" s="24" t="s">
        <v>113</v>
      </c>
      <c r="D102" s="24">
        <v>120.821912</v>
      </c>
      <c r="E102" s="24">
        <v>117.83878799999999</v>
      </c>
      <c r="F102" s="13">
        <v>124.653468</v>
      </c>
      <c r="G102" s="13">
        <v>120.813788</v>
      </c>
      <c r="H102" s="14">
        <f t="shared" si="3"/>
        <v>121.031989</v>
      </c>
      <c r="I102" s="18">
        <f>ROUND(H102/H$147,7)</f>
        <v>1.4484999999999999E-3</v>
      </c>
    </row>
    <row r="103" spans="1:9" x14ac:dyDescent="0.2">
      <c r="A103" s="24">
        <v>82</v>
      </c>
      <c r="B103" s="24" t="s">
        <v>114</v>
      </c>
      <c r="C103" s="24" t="s">
        <v>115</v>
      </c>
      <c r="D103" s="24">
        <v>50.928148</v>
      </c>
      <c r="E103" s="24">
        <v>55.373956</v>
      </c>
      <c r="F103" s="13">
        <v>56.478811999999998</v>
      </c>
      <c r="G103" s="13">
        <v>48.198408000000001</v>
      </c>
      <c r="H103" s="14">
        <f t="shared" si="3"/>
        <v>52.744830999999998</v>
      </c>
      <c r="I103" s="18">
        <f>ROUND(H103/H$147,7)</f>
        <v>6.3119999999999995E-4</v>
      </c>
    </row>
    <row r="104" spans="1:9" x14ac:dyDescent="0.2">
      <c r="A104" s="24">
        <v>182</v>
      </c>
      <c r="B104" s="24" t="s">
        <v>203</v>
      </c>
      <c r="C104" s="24" t="s">
        <v>204</v>
      </c>
      <c r="D104" s="24">
        <v>2.3970639999999999</v>
      </c>
      <c r="E104" s="24">
        <v>2.1694360000000001</v>
      </c>
      <c r="F104" s="13">
        <v>2.7317399999999998</v>
      </c>
      <c r="G104" s="13">
        <v>2.922936</v>
      </c>
      <c r="H104" s="14">
        <f t="shared" si="3"/>
        <v>2.555294</v>
      </c>
      <c r="I104" s="18">
        <f>ROUND(H104/H$147,7)</f>
        <v>3.0599999999999998E-5</v>
      </c>
    </row>
    <row r="105" spans="1:9" x14ac:dyDescent="0.2">
      <c r="A105" s="24">
        <v>83</v>
      </c>
      <c r="B105" s="24" t="s">
        <v>116</v>
      </c>
      <c r="C105" s="24" t="s">
        <v>117</v>
      </c>
      <c r="D105" s="24">
        <v>2.4365199999999998</v>
      </c>
      <c r="E105" s="24">
        <v>4.2160799999999998</v>
      </c>
      <c r="F105" s="13">
        <v>4.2298119999999999</v>
      </c>
      <c r="G105" s="13">
        <v>4.3215399999999997</v>
      </c>
      <c r="H105" s="14">
        <f t="shared" si="3"/>
        <v>3.8009879999999994</v>
      </c>
      <c r="I105" s="18">
        <f>ROUND(H105/H$147,7)</f>
        <v>4.5500000000000001E-5</v>
      </c>
    </row>
    <row r="106" spans="1:9" x14ac:dyDescent="0.2">
      <c r="A106" s="25">
        <v>169</v>
      </c>
      <c r="B106" s="25" t="s">
        <v>291</v>
      </c>
      <c r="C106" s="25" t="s">
        <v>292</v>
      </c>
      <c r="D106" s="15">
        <v>0</v>
      </c>
      <c r="E106" s="15">
        <v>0</v>
      </c>
      <c r="F106" s="15">
        <v>0</v>
      </c>
      <c r="G106" s="15">
        <v>0</v>
      </c>
      <c r="H106" s="14">
        <f t="shared" si="3"/>
        <v>0</v>
      </c>
      <c r="I106" s="18">
        <f>ROUND(H106/H$147,7)</f>
        <v>0</v>
      </c>
    </row>
    <row r="107" spans="1:9" x14ac:dyDescent="0.2">
      <c r="A107" s="24">
        <v>85</v>
      </c>
      <c r="B107" s="24" t="s">
        <v>118</v>
      </c>
      <c r="C107" s="24" t="s">
        <v>119</v>
      </c>
      <c r="D107" s="24">
        <v>38.121084000000003</v>
      </c>
      <c r="E107" s="24">
        <v>41.790880000000001</v>
      </c>
      <c r="F107" s="13">
        <v>46.791628000000003</v>
      </c>
      <c r="G107" s="13">
        <v>40.632463999999999</v>
      </c>
      <c r="H107" s="14">
        <f t="shared" si="3"/>
        <v>41.834014000000003</v>
      </c>
      <c r="I107" s="18">
        <f t="shared" ref="I107:I131" si="5">ROUND(H107/H$147,7)</f>
        <v>5.0069999999999997E-4</v>
      </c>
    </row>
    <row r="108" spans="1:9" x14ac:dyDescent="0.2">
      <c r="A108" s="24">
        <v>86</v>
      </c>
      <c r="B108" s="24" t="s">
        <v>120</v>
      </c>
      <c r="C108" s="24" t="s">
        <v>121</v>
      </c>
      <c r="D108" s="24">
        <v>633.00357199999996</v>
      </c>
      <c r="E108" s="24">
        <v>654.24918000000002</v>
      </c>
      <c r="F108" s="13">
        <v>635.08444799999995</v>
      </c>
      <c r="G108" s="13">
        <v>652.91257199999995</v>
      </c>
      <c r="H108" s="14">
        <f t="shared" si="3"/>
        <v>643.81244300000003</v>
      </c>
      <c r="I108" s="18">
        <f t="shared" si="5"/>
        <v>7.7051000000000003E-3</v>
      </c>
    </row>
    <row r="109" spans="1:9" x14ac:dyDescent="0.2">
      <c r="A109" s="24">
        <v>128</v>
      </c>
      <c r="B109" s="24" t="s">
        <v>170</v>
      </c>
      <c r="C109" s="24" t="s">
        <v>171</v>
      </c>
      <c r="D109" s="24">
        <v>220.07897600000001</v>
      </c>
      <c r="E109" s="24">
        <v>223.57063600000001</v>
      </c>
      <c r="F109" s="13">
        <v>236.897684</v>
      </c>
      <c r="G109" s="13">
        <v>226.64369600000001</v>
      </c>
      <c r="H109" s="14">
        <f t="shared" si="3"/>
        <v>226.79774800000001</v>
      </c>
      <c r="I109" s="18">
        <f t="shared" si="5"/>
        <v>2.7142999999999998E-3</v>
      </c>
    </row>
    <row r="110" spans="1:9" x14ac:dyDescent="0.2">
      <c r="A110" s="24">
        <v>88</v>
      </c>
      <c r="B110" s="24" t="s">
        <v>122</v>
      </c>
      <c r="C110" s="24" t="s">
        <v>123</v>
      </c>
      <c r="D110" s="24">
        <v>52.338760000000001</v>
      </c>
      <c r="E110" s="24">
        <v>53.551603999999998</v>
      </c>
      <c r="F110" s="13">
        <v>61.588352</v>
      </c>
      <c r="G110" s="13">
        <v>62.815159999999999</v>
      </c>
      <c r="H110" s="14">
        <f t="shared" si="3"/>
        <v>57.573469000000003</v>
      </c>
      <c r="I110" s="18">
        <f t="shared" si="5"/>
        <v>6.8900000000000005E-4</v>
      </c>
    </row>
    <row r="111" spans="1:9" x14ac:dyDescent="0.2">
      <c r="A111" s="24">
        <v>89</v>
      </c>
      <c r="B111" s="24" t="s">
        <v>219</v>
      </c>
      <c r="C111" s="24" t="s">
        <v>124</v>
      </c>
      <c r="D111" s="24">
        <v>98.878664000000001</v>
      </c>
      <c r="E111" s="24">
        <v>107.829076</v>
      </c>
      <c r="F111" s="13">
        <v>107.97762400000001</v>
      </c>
      <c r="G111" s="13">
        <v>114.10172</v>
      </c>
      <c r="H111" s="14">
        <f t="shared" si="3"/>
        <v>107.196771</v>
      </c>
      <c r="I111" s="18">
        <f t="shared" si="5"/>
        <v>1.2829E-3</v>
      </c>
    </row>
    <row r="112" spans="1:9" x14ac:dyDescent="0.2">
      <c r="A112" s="24">
        <v>90</v>
      </c>
      <c r="B112" s="24" t="s">
        <v>220</v>
      </c>
      <c r="C112" s="24" t="s">
        <v>125</v>
      </c>
      <c r="D112" s="24">
        <v>80.572875999999994</v>
      </c>
      <c r="E112" s="24">
        <v>87.676068000000001</v>
      </c>
      <c r="F112" s="13">
        <v>90.537844000000007</v>
      </c>
      <c r="G112" s="13">
        <v>93.273827999999995</v>
      </c>
      <c r="H112" s="14">
        <f t="shared" si="3"/>
        <v>88.015153999999995</v>
      </c>
      <c r="I112" s="18">
        <f t="shared" si="5"/>
        <v>1.0533999999999999E-3</v>
      </c>
    </row>
    <row r="113" spans="1:9" x14ac:dyDescent="0.2">
      <c r="A113" s="24">
        <v>91</v>
      </c>
      <c r="B113" s="24" t="s">
        <v>126</v>
      </c>
      <c r="C113" s="24" t="s">
        <v>127</v>
      </c>
      <c r="D113" s="24">
        <v>343.746016</v>
      </c>
      <c r="E113" s="24">
        <v>365.85230799999999</v>
      </c>
      <c r="F113" s="13">
        <v>356.08805599999999</v>
      </c>
      <c r="G113" s="13">
        <v>364.95678400000003</v>
      </c>
      <c r="H113" s="14">
        <f t="shared" si="3"/>
        <v>357.66079100000002</v>
      </c>
      <c r="I113" s="18">
        <f t="shared" si="5"/>
        <v>4.2804000000000002E-3</v>
      </c>
    </row>
    <row r="114" spans="1:9" x14ac:dyDescent="0.2">
      <c r="A114" s="24">
        <v>158</v>
      </c>
      <c r="B114" s="24" t="s">
        <v>245</v>
      </c>
      <c r="C114" s="24" t="s">
        <v>188</v>
      </c>
      <c r="D114" s="24">
        <v>112.300164</v>
      </c>
      <c r="E114" s="24">
        <v>95.158096</v>
      </c>
      <c r="F114" s="13">
        <v>103.8997</v>
      </c>
      <c r="G114" s="13">
        <v>98.461296000000004</v>
      </c>
      <c r="H114" s="14">
        <f t="shared" si="3"/>
        <v>102.454814</v>
      </c>
      <c r="I114" s="18">
        <f t="shared" si="5"/>
        <v>1.2262E-3</v>
      </c>
    </row>
    <row r="115" spans="1:9" x14ac:dyDescent="0.2">
      <c r="A115" s="24">
        <v>2</v>
      </c>
      <c r="B115" s="24" t="s">
        <v>197</v>
      </c>
      <c r="C115" s="24" t="s">
        <v>3</v>
      </c>
      <c r="D115" s="24">
        <v>28551.006504000001</v>
      </c>
      <c r="E115" s="24">
        <v>29401.169227999999</v>
      </c>
      <c r="F115" s="13">
        <v>30469.632708000001</v>
      </c>
      <c r="G115" s="13">
        <v>29927.569864000001</v>
      </c>
      <c r="H115" s="14">
        <f t="shared" si="3"/>
        <v>29587.344576000003</v>
      </c>
      <c r="I115" s="18">
        <f t="shared" si="5"/>
        <v>0.35409839999999998</v>
      </c>
    </row>
    <row r="116" spans="1:9" x14ac:dyDescent="0.2">
      <c r="A116" s="24">
        <v>145</v>
      </c>
      <c r="B116" s="24" t="s">
        <v>182</v>
      </c>
      <c r="C116" s="24" t="s">
        <v>183</v>
      </c>
      <c r="D116" s="24">
        <v>7.3885680000000002</v>
      </c>
      <c r="E116" s="24">
        <v>7.4314600000000004</v>
      </c>
      <c r="F116" s="13">
        <v>7.9316800000000001</v>
      </c>
      <c r="G116" s="13">
        <v>7.6609600000000002</v>
      </c>
      <c r="H116" s="14">
        <f t="shared" si="3"/>
        <v>7.603167</v>
      </c>
      <c r="I116" s="18">
        <f t="shared" si="5"/>
        <v>9.1000000000000003E-5</v>
      </c>
    </row>
    <row r="117" spans="1:9" x14ac:dyDescent="0.2">
      <c r="A117" s="24">
        <v>210</v>
      </c>
      <c r="B117" s="24" t="s">
        <v>263</v>
      </c>
      <c r="C117" s="24" t="s">
        <v>264</v>
      </c>
      <c r="D117" s="24">
        <v>0.105624</v>
      </c>
      <c r="E117" s="24">
        <v>3.6606399999999999</v>
      </c>
      <c r="F117" s="15">
        <v>3.1023999999999998</v>
      </c>
      <c r="G117" s="15">
        <v>3.663376</v>
      </c>
      <c r="H117" s="14">
        <f t="shared" si="3"/>
        <v>2.6330100000000001</v>
      </c>
      <c r="I117" s="18">
        <f t="shared" si="5"/>
        <v>3.15E-5</v>
      </c>
    </row>
    <row r="118" spans="1:9" x14ac:dyDescent="0.2">
      <c r="A118" s="24">
        <v>92</v>
      </c>
      <c r="B118" s="24" t="s">
        <v>128</v>
      </c>
      <c r="C118" s="24" t="s">
        <v>129</v>
      </c>
      <c r="D118" s="24">
        <v>1842.4063880000001</v>
      </c>
      <c r="E118" s="24">
        <v>1911.313956</v>
      </c>
      <c r="F118" s="13">
        <v>2014.6514119999999</v>
      </c>
      <c r="G118" s="13">
        <v>2016.151384</v>
      </c>
      <c r="H118" s="14">
        <f t="shared" si="3"/>
        <v>1946.1307850000001</v>
      </c>
      <c r="I118" s="18">
        <f t="shared" si="5"/>
        <v>2.3291099999999999E-2</v>
      </c>
    </row>
    <row r="119" spans="1:9" x14ac:dyDescent="0.2">
      <c r="A119" s="24">
        <v>148</v>
      </c>
      <c r="B119" s="24" t="s">
        <v>271</v>
      </c>
      <c r="C119" s="24" t="s">
        <v>272</v>
      </c>
      <c r="D119" s="24">
        <v>0.69634399999999996</v>
      </c>
      <c r="E119" s="24">
        <v>0.57238</v>
      </c>
      <c r="F119" s="15">
        <v>0.685056</v>
      </c>
      <c r="G119" s="15">
        <v>0.47488000000000002</v>
      </c>
      <c r="H119" s="14">
        <f t="shared" si="3"/>
        <v>0.60716500000000007</v>
      </c>
      <c r="I119" s="18">
        <f t="shared" si="5"/>
        <v>7.3000000000000004E-6</v>
      </c>
    </row>
    <row r="120" spans="1:9" x14ac:dyDescent="0.2">
      <c r="A120" s="24">
        <v>199</v>
      </c>
      <c r="B120" s="24" t="s">
        <v>247</v>
      </c>
      <c r="C120" s="24" t="s">
        <v>242</v>
      </c>
      <c r="D120" s="24">
        <v>54.079196000000003</v>
      </c>
      <c r="E120" s="24">
        <v>55.868639999999999</v>
      </c>
      <c r="F120" s="15">
        <v>68.701216000000002</v>
      </c>
      <c r="G120" s="15">
        <v>57.562108000000002</v>
      </c>
      <c r="H120" s="14">
        <f t="shared" si="3"/>
        <v>59.052789999999995</v>
      </c>
      <c r="I120" s="18">
        <f t="shared" si="5"/>
        <v>7.0669999999999999E-4</v>
      </c>
    </row>
    <row r="121" spans="1:9" x14ac:dyDescent="0.2">
      <c r="A121" s="24">
        <v>204</v>
      </c>
      <c r="B121" s="24" t="s">
        <v>254</v>
      </c>
      <c r="C121" s="24" t="s">
        <v>255</v>
      </c>
      <c r="D121" s="24">
        <v>0.34933999999999998</v>
      </c>
      <c r="E121" s="24">
        <v>0.36841200000000002</v>
      </c>
      <c r="F121" s="15">
        <v>0</v>
      </c>
      <c r="G121" s="13">
        <v>0.23988000000000001</v>
      </c>
      <c r="H121" s="14">
        <f t="shared" si="3"/>
        <v>0.23940799999999998</v>
      </c>
      <c r="I121" s="18">
        <f t="shared" si="5"/>
        <v>2.9000000000000002E-6</v>
      </c>
    </row>
    <row r="122" spans="1:9" x14ac:dyDescent="0.2">
      <c r="A122" s="24">
        <v>203</v>
      </c>
      <c r="B122" s="24" t="s">
        <v>252</v>
      </c>
      <c r="C122" s="24" t="s">
        <v>253</v>
      </c>
      <c r="D122" s="24">
        <v>1.78556</v>
      </c>
      <c r="E122" s="15">
        <v>0</v>
      </c>
      <c r="F122" s="15">
        <v>0</v>
      </c>
      <c r="G122" s="15">
        <v>0</v>
      </c>
      <c r="H122" s="14">
        <f t="shared" si="3"/>
        <v>0.44639000000000001</v>
      </c>
      <c r="I122" s="18">
        <f t="shared" si="5"/>
        <v>5.3000000000000001E-6</v>
      </c>
    </row>
    <row r="123" spans="1:9" x14ac:dyDescent="0.2">
      <c r="A123" s="24">
        <v>94</v>
      </c>
      <c r="B123" s="24" t="s">
        <v>130</v>
      </c>
      <c r="C123" s="24" t="s">
        <v>131</v>
      </c>
      <c r="D123" s="24">
        <v>6.2069559999999999</v>
      </c>
      <c r="E123" s="24">
        <v>6.4967839999999999</v>
      </c>
      <c r="F123" s="15">
        <v>6.8041960000000001</v>
      </c>
      <c r="G123" s="15">
        <v>5.9988200000000003</v>
      </c>
      <c r="H123" s="14">
        <f t="shared" si="3"/>
        <v>6.3766890000000007</v>
      </c>
      <c r="I123" s="18">
        <f t="shared" si="5"/>
        <v>7.6299999999999998E-5</v>
      </c>
    </row>
    <row r="124" spans="1:9" x14ac:dyDescent="0.2">
      <c r="A124" s="24">
        <v>95</v>
      </c>
      <c r="B124" s="24" t="s">
        <v>132</v>
      </c>
      <c r="C124" s="24" t="s">
        <v>133</v>
      </c>
      <c r="D124" s="24">
        <v>163.155924</v>
      </c>
      <c r="E124" s="24">
        <v>179.71891199999999</v>
      </c>
      <c r="F124" s="15">
        <v>178.43677600000001</v>
      </c>
      <c r="G124" s="15">
        <v>185.89141599999999</v>
      </c>
      <c r="H124" s="14">
        <f t="shared" si="3"/>
        <v>176.80075699999998</v>
      </c>
      <c r="I124" s="18">
        <f t="shared" si="5"/>
        <v>2.1159E-3</v>
      </c>
    </row>
    <row r="125" spans="1:9" x14ac:dyDescent="0.2">
      <c r="A125" s="24">
        <v>131</v>
      </c>
      <c r="B125" s="24" t="s">
        <v>172</v>
      </c>
      <c r="C125" s="24" t="s">
        <v>173</v>
      </c>
      <c r="D125" s="15">
        <v>0</v>
      </c>
      <c r="E125" s="15">
        <v>0</v>
      </c>
      <c r="F125" s="15">
        <v>0</v>
      </c>
      <c r="G125" s="15">
        <v>0</v>
      </c>
      <c r="H125" s="14">
        <f t="shared" si="3"/>
        <v>0</v>
      </c>
      <c r="I125" s="18">
        <f t="shared" si="5"/>
        <v>0</v>
      </c>
    </row>
    <row r="126" spans="1:9" x14ac:dyDescent="0.2">
      <c r="A126" s="24">
        <v>132</v>
      </c>
      <c r="B126" s="24" t="s">
        <v>174</v>
      </c>
      <c r="C126" s="24" t="s">
        <v>175</v>
      </c>
      <c r="D126" s="24">
        <v>45.581152000000003</v>
      </c>
      <c r="E126" s="24">
        <v>48.497624000000002</v>
      </c>
      <c r="F126" s="15">
        <v>56.455468000000003</v>
      </c>
      <c r="G126" s="15">
        <v>50.588168000000003</v>
      </c>
      <c r="H126" s="14">
        <f t="shared" si="3"/>
        <v>50.280602999999999</v>
      </c>
      <c r="I126" s="18">
        <f t="shared" si="5"/>
        <v>6.0179999999999999E-4</v>
      </c>
    </row>
    <row r="127" spans="1:9" x14ac:dyDescent="0.2">
      <c r="A127" s="24">
        <v>96</v>
      </c>
      <c r="B127" s="24" t="s">
        <v>134</v>
      </c>
      <c r="C127" s="24" t="s">
        <v>135</v>
      </c>
      <c r="D127" s="24">
        <v>78.352851999999999</v>
      </c>
      <c r="E127" s="24">
        <v>77.138955999999993</v>
      </c>
      <c r="F127" s="13">
        <v>79.156996000000007</v>
      </c>
      <c r="G127" s="13">
        <v>74.214808000000005</v>
      </c>
      <c r="H127" s="14">
        <f t="shared" si="3"/>
        <v>77.215902999999997</v>
      </c>
      <c r="I127" s="18">
        <f t="shared" si="5"/>
        <v>9.2409999999999996E-4</v>
      </c>
    </row>
    <row r="128" spans="1:9" x14ac:dyDescent="0.2">
      <c r="A128" s="24">
        <v>134</v>
      </c>
      <c r="B128" s="24" t="s">
        <v>230</v>
      </c>
      <c r="C128" s="24" t="s">
        <v>176</v>
      </c>
      <c r="D128" s="15">
        <v>0</v>
      </c>
      <c r="E128" s="15">
        <v>0</v>
      </c>
      <c r="F128" s="15">
        <v>0.142512</v>
      </c>
      <c r="G128" s="15">
        <v>0</v>
      </c>
      <c r="H128" s="14">
        <f t="shared" si="3"/>
        <v>3.5628E-2</v>
      </c>
      <c r="I128" s="18">
        <f t="shared" si="5"/>
        <v>3.9999999999999998E-7</v>
      </c>
    </row>
    <row r="129" spans="1:9" x14ac:dyDescent="0.2">
      <c r="A129" s="24">
        <v>200</v>
      </c>
      <c r="B129" s="24" t="s">
        <v>243</v>
      </c>
      <c r="C129" s="24" t="s">
        <v>244</v>
      </c>
      <c r="D129" s="15">
        <v>0</v>
      </c>
      <c r="E129" s="15">
        <v>0</v>
      </c>
      <c r="F129" s="15">
        <v>0</v>
      </c>
      <c r="G129" s="15">
        <v>0</v>
      </c>
      <c r="H129" s="14">
        <f t="shared" si="3"/>
        <v>0</v>
      </c>
      <c r="I129" s="18">
        <f t="shared" si="5"/>
        <v>0</v>
      </c>
    </row>
    <row r="130" spans="1:9" x14ac:dyDescent="0.2">
      <c r="A130" s="24">
        <v>97</v>
      </c>
      <c r="B130" s="24" t="s">
        <v>136</v>
      </c>
      <c r="C130" s="24" t="s">
        <v>137</v>
      </c>
      <c r="D130" s="24">
        <v>39.574776</v>
      </c>
      <c r="E130" s="24">
        <v>39.470796</v>
      </c>
      <c r="F130" s="13">
        <v>44.641800000000003</v>
      </c>
      <c r="G130" s="13">
        <v>38.509416000000002</v>
      </c>
      <c r="H130" s="14">
        <f t="shared" si="3"/>
        <v>40.549196999999999</v>
      </c>
      <c r="I130" s="18">
        <f t="shared" si="5"/>
        <v>4.8529999999999998E-4</v>
      </c>
    </row>
    <row r="131" spans="1:9" x14ac:dyDescent="0.2">
      <c r="A131" s="25">
        <v>218</v>
      </c>
      <c r="B131" s="25" t="s">
        <v>293</v>
      </c>
      <c r="C131" s="25" t="s">
        <v>294</v>
      </c>
      <c r="D131" s="24">
        <v>0.48261199999999999</v>
      </c>
      <c r="E131" s="24">
        <v>0.697824</v>
      </c>
      <c r="F131" s="13">
        <v>0.62229599999999996</v>
      </c>
      <c r="G131" s="13">
        <v>0.73963999999999996</v>
      </c>
      <c r="H131" s="14">
        <f t="shared" ref="H131:H134" si="6">AVERAGE(D131:G131)</f>
        <v>0.63559299999999996</v>
      </c>
      <c r="I131" s="18">
        <f t="shared" si="5"/>
        <v>7.6000000000000001E-6</v>
      </c>
    </row>
    <row r="132" spans="1:9" x14ac:dyDescent="0.2">
      <c r="A132" s="24">
        <v>201</v>
      </c>
      <c r="B132" s="24" t="s">
        <v>250</v>
      </c>
      <c r="C132" s="24" t="s">
        <v>251</v>
      </c>
      <c r="D132" s="15">
        <v>0</v>
      </c>
      <c r="E132" s="15">
        <v>0</v>
      </c>
      <c r="F132" s="15">
        <v>0.22225200000000001</v>
      </c>
      <c r="G132" s="15">
        <v>0</v>
      </c>
      <c r="H132" s="14">
        <f t="shared" si="6"/>
        <v>5.5563000000000001E-2</v>
      </c>
      <c r="I132" s="18">
        <f>ROUND(H132/H$147,7)</f>
        <v>6.9999999999999997E-7</v>
      </c>
    </row>
    <row r="133" spans="1:9" x14ac:dyDescent="0.2">
      <c r="A133" s="24">
        <v>146</v>
      </c>
      <c r="B133" s="24" t="s">
        <v>184</v>
      </c>
      <c r="C133" s="24" t="s">
        <v>185</v>
      </c>
      <c r="D133" s="24">
        <v>90.008983999999998</v>
      </c>
      <c r="E133" s="24">
        <v>96.356911999999994</v>
      </c>
      <c r="F133" s="13">
        <v>99.558143999999999</v>
      </c>
      <c r="G133" s="13">
        <v>103.270008</v>
      </c>
      <c r="H133" s="14">
        <f t="shared" si="6"/>
        <v>97.298512000000002</v>
      </c>
      <c r="I133" s="18">
        <f>ROUND(H133/H$147,7)</f>
        <v>1.1645E-3</v>
      </c>
    </row>
    <row r="134" spans="1:9" x14ac:dyDescent="0.2">
      <c r="A134" s="24">
        <v>4</v>
      </c>
      <c r="B134" s="24" t="s">
        <v>4</v>
      </c>
      <c r="C134" s="24" t="s">
        <v>5</v>
      </c>
      <c r="D134" s="24">
        <v>2276.7550759999999</v>
      </c>
      <c r="E134" s="24">
        <v>2287.9795640000002</v>
      </c>
      <c r="F134" s="13">
        <v>2327.75614</v>
      </c>
      <c r="G134" s="13">
        <v>2321.8865679999999</v>
      </c>
      <c r="H134" s="14">
        <f t="shared" si="6"/>
        <v>2303.594337</v>
      </c>
      <c r="I134" s="18">
        <f>ROUND(H134/H$147,7)</f>
        <v>2.7569199999999999E-2</v>
      </c>
    </row>
    <row r="135" spans="1:9" x14ac:dyDescent="0.2">
      <c r="A135" s="24">
        <v>99</v>
      </c>
      <c r="B135" s="24" t="s">
        <v>221</v>
      </c>
      <c r="C135" s="24" t="s">
        <v>138</v>
      </c>
      <c r="D135" s="24">
        <v>804.37172799999996</v>
      </c>
      <c r="E135" s="24">
        <v>837.81715999999994</v>
      </c>
      <c r="F135" s="13">
        <v>884.12825199999997</v>
      </c>
      <c r="G135" s="13">
        <v>863.71083599999997</v>
      </c>
      <c r="H135" s="14">
        <f>AVERAGE(D135:G135)</f>
        <v>847.50699400000008</v>
      </c>
      <c r="I135" s="18">
        <f>ROUND(H135/H$147,7)</f>
        <v>1.01429E-2</v>
      </c>
    </row>
    <row r="136" spans="1:9" x14ac:dyDescent="0.2">
      <c r="A136" s="24">
        <v>100</v>
      </c>
      <c r="B136" s="24" t="s">
        <v>222</v>
      </c>
      <c r="C136" s="24" t="s">
        <v>139</v>
      </c>
      <c r="D136" s="24">
        <v>340.148708</v>
      </c>
      <c r="E136" s="24">
        <v>378.02193999999997</v>
      </c>
      <c r="F136" s="13">
        <v>387.36174799999998</v>
      </c>
      <c r="G136" s="13">
        <v>379.70662800000002</v>
      </c>
      <c r="H136" s="14">
        <f>AVERAGE(D136:G136)</f>
        <v>371.30975599999999</v>
      </c>
      <c r="I136" s="18">
        <f t="shared" ref="I136:I145" si="7">ROUND(H136/H$147,7)</f>
        <v>4.4438000000000004E-3</v>
      </c>
    </row>
    <row r="137" spans="1:9" x14ac:dyDescent="0.2">
      <c r="A137" s="24">
        <v>176</v>
      </c>
      <c r="B137" s="24" t="s">
        <v>205</v>
      </c>
      <c r="C137" s="24" t="s">
        <v>201</v>
      </c>
      <c r="D137" s="24">
        <v>0.106112</v>
      </c>
      <c r="E137" s="24">
        <v>0.1061</v>
      </c>
      <c r="F137" s="13">
        <v>0.106096</v>
      </c>
      <c r="G137" s="13">
        <v>0.10202</v>
      </c>
      <c r="H137" s="14">
        <f>AVERAGE(D137:G137)</f>
        <v>0.10508200000000001</v>
      </c>
      <c r="I137" s="18">
        <f t="shared" si="7"/>
        <v>1.3E-6</v>
      </c>
    </row>
    <row r="138" spans="1:9" x14ac:dyDescent="0.2">
      <c r="A138" s="24">
        <v>214</v>
      </c>
      <c r="B138" s="24" t="s">
        <v>279</v>
      </c>
      <c r="C138" s="24" t="s">
        <v>280</v>
      </c>
      <c r="D138" s="24">
        <v>0.92236399999999996</v>
      </c>
      <c r="E138" s="24">
        <v>5.4805720000000004</v>
      </c>
      <c r="F138" s="13">
        <v>4.6274319999999998</v>
      </c>
      <c r="G138" s="13">
        <v>4.6643239999999997</v>
      </c>
      <c r="H138" s="14">
        <f>AVERAGE(D138:G138)</f>
        <v>3.923673</v>
      </c>
      <c r="I138" s="18">
        <f t="shared" si="7"/>
        <v>4.6999999999999997E-5</v>
      </c>
    </row>
    <row r="139" spans="1:9" x14ac:dyDescent="0.2">
      <c r="A139" s="24">
        <v>102</v>
      </c>
      <c r="B139" s="24" t="s">
        <v>223</v>
      </c>
      <c r="C139" s="24" t="s">
        <v>140</v>
      </c>
      <c r="D139" s="24">
        <v>545.79920400000003</v>
      </c>
      <c r="E139" s="24">
        <v>573.21897999999999</v>
      </c>
      <c r="F139" s="13">
        <v>603.39949200000001</v>
      </c>
      <c r="G139" s="15">
        <v>593.79819199999997</v>
      </c>
      <c r="H139" s="14">
        <f>AVERAGE(D139:G139)</f>
        <v>579.05396700000006</v>
      </c>
      <c r="I139" s="18">
        <f t="shared" si="7"/>
        <v>6.9300999999999998E-3</v>
      </c>
    </row>
    <row r="140" spans="1:9" x14ac:dyDescent="0.2">
      <c r="A140" s="24">
        <v>136</v>
      </c>
      <c r="B140" s="24" t="s">
        <v>231</v>
      </c>
      <c r="C140" s="24" t="s">
        <v>177</v>
      </c>
      <c r="D140" s="24">
        <v>121.875868</v>
      </c>
      <c r="E140" s="24">
        <v>128.00752399999999</v>
      </c>
      <c r="F140" s="13">
        <v>127.851456</v>
      </c>
      <c r="G140" s="15">
        <v>132.79599999999999</v>
      </c>
      <c r="H140" s="14">
        <f t="shared" ref="H140:H145" si="8">AVERAGE(D140:G140)</f>
        <v>127.632712</v>
      </c>
      <c r="I140" s="18">
        <f t="shared" si="7"/>
        <v>1.5275E-3</v>
      </c>
    </row>
    <row r="141" spans="1:9" x14ac:dyDescent="0.2">
      <c r="A141" s="24">
        <v>137</v>
      </c>
      <c r="B141" s="24" t="s">
        <v>178</v>
      </c>
      <c r="C141" s="24" t="s">
        <v>179</v>
      </c>
      <c r="D141" s="24">
        <v>102.195612</v>
      </c>
      <c r="E141" s="24">
        <v>103.54042</v>
      </c>
      <c r="F141" s="13">
        <v>108.79799199999999</v>
      </c>
      <c r="G141" s="15">
        <v>107.88916</v>
      </c>
      <c r="H141" s="14">
        <f t="shared" si="8"/>
        <v>105.605796</v>
      </c>
      <c r="I141" s="18">
        <f t="shared" si="7"/>
        <v>1.2639000000000001E-3</v>
      </c>
    </row>
    <row r="142" spans="1:9" x14ac:dyDescent="0.2">
      <c r="A142" s="24">
        <v>153</v>
      </c>
      <c r="B142" s="24" t="s">
        <v>186</v>
      </c>
      <c r="C142" s="24" t="s">
        <v>187</v>
      </c>
      <c r="D142" s="24">
        <v>0.79193199999999997</v>
      </c>
      <c r="E142" s="24">
        <v>0.79282799999999998</v>
      </c>
      <c r="F142" s="13">
        <v>0.76585199999999998</v>
      </c>
      <c r="G142" s="15">
        <v>0.91915599999999997</v>
      </c>
      <c r="H142" s="14">
        <f t="shared" si="8"/>
        <v>0.817442</v>
      </c>
      <c r="I142" s="18">
        <f t="shared" si="7"/>
        <v>9.7999999999999993E-6</v>
      </c>
    </row>
    <row r="143" spans="1:9" x14ac:dyDescent="0.2">
      <c r="A143" s="24">
        <v>138</v>
      </c>
      <c r="B143" s="24" t="s">
        <v>232</v>
      </c>
      <c r="C143" s="24" t="s">
        <v>180</v>
      </c>
      <c r="D143" s="24">
        <v>40.224792000000001</v>
      </c>
      <c r="E143" s="24">
        <v>42.557307999999999</v>
      </c>
      <c r="F143" s="13">
        <v>40.56476</v>
      </c>
      <c r="G143" s="15">
        <v>43.000715999999997</v>
      </c>
      <c r="H143" s="14">
        <f t="shared" si="8"/>
        <v>41.586894000000001</v>
      </c>
      <c r="I143" s="18">
        <f t="shared" si="7"/>
        <v>4.9770000000000001E-4</v>
      </c>
    </row>
    <row r="144" spans="1:9" x14ac:dyDescent="0.2">
      <c r="A144" s="24">
        <v>103</v>
      </c>
      <c r="B144" s="24" t="s">
        <v>224</v>
      </c>
      <c r="C144" s="24" t="s">
        <v>141</v>
      </c>
      <c r="D144" s="24">
        <v>141.151612</v>
      </c>
      <c r="E144" s="24">
        <v>150.36102399999999</v>
      </c>
      <c r="F144" s="13">
        <v>151.70738800000001</v>
      </c>
      <c r="G144" s="15">
        <v>148.922516</v>
      </c>
      <c r="H144" s="14">
        <f t="shared" si="8"/>
        <v>148.03563499999998</v>
      </c>
      <c r="I144" s="18">
        <f t="shared" si="7"/>
        <v>1.7717E-3</v>
      </c>
    </row>
    <row r="145" spans="1:9" x14ac:dyDescent="0.2">
      <c r="A145" s="24">
        <v>168</v>
      </c>
      <c r="B145" s="24" t="s">
        <v>193</v>
      </c>
      <c r="C145" s="24" t="s">
        <v>194</v>
      </c>
      <c r="D145" s="24">
        <v>8.5708000000000006E-2</v>
      </c>
      <c r="E145" s="24">
        <v>0.10202</v>
      </c>
      <c r="F145" s="13">
        <v>8.9772000000000005E-2</v>
      </c>
      <c r="G145" s="15">
        <v>8.5695999999999994E-2</v>
      </c>
      <c r="H145" s="14">
        <f t="shared" si="8"/>
        <v>9.0799000000000005E-2</v>
      </c>
      <c r="I145" s="18">
        <f t="shared" si="7"/>
        <v>1.1000000000000001E-6</v>
      </c>
    </row>
    <row r="146" spans="1:9" x14ac:dyDescent="0.2">
      <c r="A146" s="10"/>
      <c r="B146" s="19"/>
      <c r="C146" s="19"/>
      <c r="D146" s="12"/>
      <c r="E146" s="12"/>
      <c r="F146" s="12"/>
      <c r="G146" s="12"/>
      <c r="H146" s="12"/>
      <c r="I146" s="18"/>
    </row>
    <row r="147" spans="1:9" ht="15.75" x14ac:dyDescent="0.25">
      <c r="A147" s="3"/>
      <c r="B147" s="20" t="s">
        <v>189</v>
      </c>
      <c r="C147" s="21"/>
      <c r="D147" s="16">
        <f>ROUND(SUM(D4:D145),6)</f>
        <v>81017.598255999997</v>
      </c>
      <c r="E147" s="16">
        <f>ROUND(SUM(E4:E145),6)</f>
        <v>83032.608668000001</v>
      </c>
      <c r="F147" s="16">
        <f>ROUND(SUM(F4:F145),6)</f>
        <v>85636.884588000001</v>
      </c>
      <c r="G147" s="16">
        <f>ROUND(SUM(G4:G145),6)</f>
        <v>84540.292176000003</v>
      </c>
      <c r="H147" s="16">
        <f>ROUND(SUM(H4:H145),6)</f>
        <v>83556.845921999993</v>
      </c>
      <c r="I147" s="11">
        <f>ROUND(SUM(I4:I145),5)</f>
        <v>1</v>
      </c>
    </row>
    <row r="148" spans="1:9" x14ac:dyDescent="0.2">
      <c r="A148" s="2"/>
      <c r="B148" s="9" t="s">
        <v>246</v>
      </c>
      <c r="C148" s="4"/>
      <c r="D148" s="2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 s="22"/>
    </row>
    <row r="150" spans="1:9" x14ac:dyDescent="0.2">
      <c r="A150" s="23"/>
      <c r="B150"/>
      <c r="C150"/>
      <c r="D150"/>
      <c r="E150"/>
      <c r="F150"/>
      <c r="G150"/>
      <c r="H150"/>
      <c r="I150"/>
    </row>
  </sheetData>
  <mergeCells count="2">
    <mergeCell ref="A1:I1"/>
    <mergeCell ref="A2:I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4CP CALCULATION</vt:lpstr>
    </vt:vector>
  </TitlesOfParts>
  <Company>ERCOT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bburr</dc:creator>
  <cp:lastModifiedBy>Roberts, Randy</cp:lastModifiedBy>
  <dcterms:created xsi:type="dcterms:W3CDTF">2006-11-27T20:43:52Z</dcterms:created>
  <dcterms:modified xsi:type="dcterms:W3CDTF">2023-11-27T15:47:20Z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2023-11-20T16:01:43Z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3d7848f9-15f3-43ab-8d3b-d97ba959a39e</vt:lpwstr>
  </property>
  <property fmtid="{D5CDD505-2E9C-101B-9397-08002B2CF9AE}" pid="8" name="MSIP_Label_7084cbda-52b8-46fb-a7b7-cb5bd465ed85_ContentBits">
    <vt:lpwstr>0</vt:lpwstr>
  </property>
</Properties>
</file>