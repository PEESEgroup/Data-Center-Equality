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P:\2025 RTP\Report\"/>
    </mc:Choice>
  </mc:AlternateContent>
  <xr:revisionPtr revIDLastSave="0" documentId="13_ncr:1_{2FC76E2D-4D24-44A7-AE99-10D23B91F504}" xr6:coauthVersionLast="47" xr6:coauthVersionMax="47" xr10:uidLastSave="{00000000-0000-0000-0000-000000000000}"/>
  <bookViews>
    <workbookView xWindow="14295" yWindow="0" windowWidth="14610" windowHeight="15585" tabRatio="800" xr2:uid="{00000000-000D-0000-FFFF-FFFF00000000}"/>
  </bookViews>
  <sheets>
    <sheet name="Index" sheetId="1" r:id="rId1"/>
    <sheet name="Start Cases" sheetId="25" r:id="rId2"/>
    <sheet name="RPG Projects Removed or Moved" sheetId="21" r:id="rId3"/>
    <sheet name="Recently Approved RPG Projects" sheetId="22" r:id="rId4"/>
    <sheet name="Model Updates &amp; Corrections" sheetId="5" r:id="rId5"/>
    <sheet name="Transmission &amp; Gen Outages" sheetId="6" r:id="rId6"/>
    <sheet name="Temp. for Dynamic Ratings" sheetId="16" r:id="rId7"/>
    <sheet name="Gen Add. Ret. and Mothball" sheetId="23" r:id="rId8"/>
    <sheet name="Renewable Generation Dispatch" sheetId="24" r:id="rId9"/>
    <sheet name="Switchable Generation" sheetId="9" r:id="rId10"/>
    <sheet name="DC Tie Modeling &amp; Dispatch" sheetId="10" r:id="rId11"/>
    <sheet name="Reserve Requirement" sheetId="11" r:id="rId12"/>
    <sheet name="Fuel Price Assumptions" sheetId="12" r:id="rId13"/>
    <sheet name="Reliability Case-Load Forecast" sheetId="14" r:id="rId14"/>
    <sheet name="Sensitivity Analysis" sheetId="19" r:id="rId15"/>
  </sheets>
  <definedNames>
    <definedName name="_xlnm._FilterDatabase" localSheetId="7" hidden="1">'Gen Add. Ret. and Mothball'!$A$7:$P$229</definedName>
    <definedName name="_xlnm._FilterDatabase" localSheetId="2" hidden="1">'RPG Projects Removed or Moved'!$A$6:$S$25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 l="1"/>
  <c r="H20" i="9" l="1"/>
  <c r="I20" i="9"/>
  <c r="J20" i="9"/>
  <c r="K20" i="9"/>
  <c r="G20" i="9"/>
  <c r="C17" i="1" l="1"/>
  <c r="D6" i="1"/>
  <c r="N11" i="12"/>
  <c r="N12" i="12"/>
  <c r="N13" i="12"/>
  <c r="N14" i="12"/>
  <c r="N15" i="12"/>
  <c r="N16" i="12"/>
  <c r="N10" i="12"/>
  <c r="D19" i="1" l="1"/>
  <c r="C19" i="1"/>
  <c r="D17" i="1"/>
  <c r="D15" i="1"/>
  <c r="C15" i="1"/>
  <c r="D14" i="1"/>
  <c r="C14" i="1"/>
  <c r="D13" i="1"/>
  <c r="C13" i="1" l="1"/>
  <c r="D12" i="1"/>
  <c r="C12" i="1"/>
  <c r="D11" i="1"/>
  <c r="C11" i="1"/>
  <c r="D10" i="1"/>
  <c r="C10" i="1"/>
  <c r="D8" i="1"/>
  <c r="C8" i="1"/>
  <c r="D7" i="1"/>
  <c r="C6" i="1"/>
  <c r="D5" i="1"/>
  <c r="C5" i="1"/>
  <c r="C4" i="1"/>
  <c r="D4" i="1"/>
  <c r="D3" i="1"/>
  <c r="C3" i="1"/>
</calcChain>
</file>

<file path=xl/sharedStrings.xml><?xml version="1.0" encoding="utf-8"?>
<sst xmlns="http://schemas.openxmlformats.org/spreadsheetml/2006/main" count="7086" uniqueCount="1656">
  <si>
    <t>RTP Scope Section Number</t>
  </si>
  <si>
    <t>Input Assumption</t>
  </si>
  <si>
    <t>Status</t>
  </si>
  <si>
    <t>Date</t>
  </si>
  <si>
    <t>Transmission Topology</t>
  </si>
  <si>
    <t>3.1.1</t>
  </si>
  <si>
    <t>Start Cases</t>
  </si>
  <si>
    <t>3.1.2</t>
  </si>
  <si>
    <t>RPG Projects Backed Out For Lack of Approval or Moved Due to ISD Change</t>
  </si>
  <si>
    <t>Recently Approved RPG Projects</t>
  </si>
  <si>
    <t>Model Updates &amp; Corrections</t>
  </si>
  <si>
    <t>3.1.3</t>
  </si>
  <si>
    <t>Transmission &amp; Generation Outages</t>
  </si>
  <si>
    <t>3.1.5</t>
  </si>
  <si>
    <t>Temperatures Used in Dynamic Rating Calculation</t>
  </si>
  <si>
    <t>Generation</t>
  </si>
  <si>
    <t>3.2.1</t>
  </si>
  <si>
    <t>Generation Additions, Retirements and Mothballs</t>
  </si>
  <si>
    <t>3.2.2</t>
  </si>
  <si>
    <t>Renewable Generation Dispatch</t>
  </si>
  <si>
    <t>3.2.3</t>
  </si>
  <si>
    <t xml:space="preserve">Switchable Generation </t>
  </si>
  <si>
    <t>3.2.4</t>
  </si>
  <si>
    <t>DC Tie Modeling and Dispatch</t>
  </si>
  <si>
    <t>3.2.5</t>
  </si>
  <si>
    <t>Reserve Requirement</t>
  </si>
  <si>
    <t>3.2.6</t>
  </si>
  <si>
    <t>Fuel Price Assumptions</t>
  </si>
  <si>
    <t>Demand</t>
  </si>
  <si>
    <t>SSWG Forecast
90/10 Forecast
RTP Summer Peak Case Forecast
RTP Min Load Case Forecast</t>
  </si>
  <si>
    <t>Other Studies</t>
  </si>
  <si>
    <t>4.2.2</t>
  </si>
  <si>
    <t>Sensitivity Analysis</t>
  </si>
  <si>
    <t>Date Last Updated:</t>
  </si>
  <si>
    <t>Back</t>
  </si>
  <si>
    <t>Status:</t>
  </si>
  <si>
    <t>Final</t>
  </si>
  <si>
    <t>SSWG Case Version:</t>
  </si>
  <si>
    <t>24SSWG Update 1 Final - October 14, 2022</t>
  </si>
  <si>
    <t>On Peak Cases:</t>
  </si>
  <si>
    <t>24SSWG_2027_SUM1_U1_Final_10142024.raw</t>
  </si>
  <si>
    <t>24SSWG_2028_SUM1_U1_Final_10142024.raw</t>
  </si>
  <si>
    <t>24SSWG_2030_SUM1_U1_Final_10142024.raw</t>
  </si>
  <si>
    <t>24SSWG_2031_SUM1_U1_Final_10142024.raw</t>
  </si>
  <si>
    <t>Off Peak Case:</t>
  </si>
  <si>
    <t>24SSWG_2028_MIN_U1_Final_10142024.raw</t>
  </si>
  <si>
    <t>Based on TPIT dated:</t>
  </si>
  <si>
    <t>RPG Projects Removed from the RTP Cases</t>
  </si>
  <si>
    <t>ERCOT Project Number</t>
  </si>
  <si>
    <t>Project Title</t>
  </si>
  <si>
    <t xml:space="preserve">Project Description </t>
  </si>
  <si>
    <t>"from" Location</t>
  </si>
  <si>
    <t>"to" Location</t>
  </si>
  <si>
    <t>Associated Projects</t>
  </si>
  <si>
    <t>Transmission Owner</t>
  </si>
  <si>
    <t>TSP Contact</t>
  </si>
  <si>
    <t>Transmission Owner Project Number (Optional)</t>
  </si>
  <si>
    <t>Projected In-Service Date (Month/Yr)</t>
  </si>
  <si>
    <t>Service Level kV</t>
  </si>
  <si>
    <t xml:space="preserve">Planning Charter Tier </t>
  </si>
  <si>
    <t>Date Submitted TO ERCOT for RPG Review (Month/Yr)</t>
  </si>
  <si>
    <t>Date RPG Review Completed (Month/Yr)</t>
  </si>
  <si>
    <t>Date ERCOT BOD Review Completed (Month/Yr)</t>
  </si>
  <si>
    <t>SSWG Base Case Related Bus Numbers (If applicable)  (CSV)</t>
  </si>
  <si>
    <t>Is the project reflected in SSWG Base Cases? (Y/N)</t>
  </si>
  <si>
    <t>Phase Number</t>
  </si>
  <si>
    <t>MOD Project Number</t>
  </si>
  <si>
    <t>AEP TCC</t>
  </si>
  <si>
    <t>Not Submitted</t>
  </si>
  <si>
    <t>NA</t>
  </si>
  <si>
    <t>Y</t>
  </si>
  <si>
    <t>Eden to Yellowjacket: Rebuild 69 kV Line</t>
  </si>
  <si>
    <t>Rehab the Eden to Yellowjacket 69kV line.</t>
  </si>
  <si>
    <t>Yellowjacket</t>
  </si>
  <si>
    <t>Damian Raab
twang1@aep.com
918-599-2635</t>
  </si>
  <si>
    <t>TA2021119</t>
  </si>
  <si>
    <t>Tier 3</t>
  </si>
  <si>
    <t>6363, 6372</t>
  </si>
  <si>
    <t>Asherton to West Batesville: Rebuild 138 kV Line</t>
  </si>
  <si>
    <t xml:space="preserve">Rehab Asherton to West Batesville 138 kV line. </t>
  </si>
  <si>
    <t>Asherton</t>
  </si>
  <si>
    <t>West Batesville</t>
  </si>
  <si>
    <t>AEP TCC/ETT</t>
  </si>
  <si>
    <t>John Solis
jsolis@aep.com
361-881-5574</t>
  </si>
  <si>
    <t>8236, 8283, 8285</t>
  </si>
  <si>
    <t>78473A</t>
  </si>
  <si>
    <t>Odin (ODI) 138kV CEHE Substation</t>
  </si>
  <si>
    <t>Loop new CEHE 138kV substation Odin (ODI) into Ckt. 36 to create new Ckt. 36 COPPER to Odin to Booster tap to Jones Creek.</t>
  </si>
  <si>
    <t>Odin</t>
  </si>
  <si>
    <t>Brazosport/Booster</t>
  </si>
  <si>
    <t>CNP</t>
  </si>
  <si>
    <t>Wesley Woitt
wesley.woitt@centerpointenergy.com
713-207-2760</t>
  </si>
  <si>
    <t>42199, 42215, 42280</t>
  </si>
  <si>
    <t>78473B</t>
  </si>
  <si>
    <t>Install one generator lead from CEHE 138kV substation Odin (ODI) to VALHAL (VAL) / Valhalla Solar (26INR0042)</t>
  </si>
  <si>
    <t>VALHAL</t>
  </si>
  <si>
    <t>42280, 113811</t>
  </si>
  <si>
    <t>Establish Voss Lake 345/138 kV Switch</t>
  </si>
  <si>
    <t>Voss Lake</t>
  </si>
  <si>
    <t>ONCOR</t>
  </si>
  <si>
    <t>Jared Gurley
jared.gurley@oncor.com
817-215-6079</t>
  </si>
  <si>
    <t>R6278</t>
  </si>
  <si>
    <t>3675, 3678, 3687, 3717, 3740, 3750, 3751, 3752, 3761, 13429, 13430</t>
  </si>
  <si>
    <t>Skyview 345/138 kV Switch</t>
  </si>
  <si>
    <t>Establish Skyview 345/138 kV Switch</t>
  </si>
  <si>
    <t>Skyview</t>
  </si>
  <si>
    <t>M4350</t>
  </si>
  <si>
    <t>1922, 1924, 1927, 2119, 2120, 2123, 2124, 2125, 2127, 2128, 2129, 2130, 2131, 2132, 2134, 2231, 2243, 2244, 11938</t>
  </si>
  <si>
    <t>Rebuild the Hillsboro - Elm Mott 69 kV Line</t>
  </si>
  <si>
    <t>Rebuild the Hillsboro - Elm Mott 68 kV Line</t>
  </si>
  <si>
    <t>Hillsboro</t>
  </si>
  <si>
    <t>Elm Mott</t>
  </si>
  <si>
    <t>R6221</t>
  </si>
  <si>
    <t>3408, 3523, 3524, 3525, 3526, 3527, 3528, 3529, 13525</t>
  </si>
  <si>
    <t>Sherry Sw. - Webb/Kennedale 345 kV DCKT Line</t>
  </si>
  <si>
    <t>Upgrade existing 345 kV Line</t>
  </si>
  <si>
    <t>Sherry</t>
  </si>
  <si>
    <t>Webb/Kennedale</t>
  </si>
  <si>
    <t>M4252</t>
  </si>
  <si>
    <t>1911, 1918, 1929, 1930, 1932, 1934</t>
  </si>
  <si>
    <t>Rebuild Elbow to Redberry to Bulldog 138 kV Line</t>
  </si>
  <si>
    <t>Elbow</t>
  </si>
  <si>
    <t>Bulldog</t>
  </si>
  <si>
    <t>R8666</t>
  </si>
  <si>
    <t>10080, 23833, 23834</t>
  </si>
  <si>
    <t>Construct a new Border – Shifting Sands 138 kV Line</t>
  </si>
  <si>
    <t>Atchison</t>
  </si>
  <si>
    <t>Shifting Sands</t>
  </si>
  <si>
    <t>R8628</t>
  </si>
  <si>
    <t>Permian Basin Reliability Plan (common local transmission upgrade L1C)</t>
  </si>
  <si>
    <t>11089, 11189, 11392, 18672, 18705</t>
  </si>
  <si>
    <t>Bluff Creek to China Grove Line Rebuild</t>
  </si>
  <si>
    <t>Rebuild existing 138 kV Line</t>
  </si>
  <si>
    <t>Bluff Creek 138 kV Switch</t>
  </si>
  <si>
    <t>China Grove Switch</t>
  </si>
  <si>
    <t>R8655</t>
  </si>
  <si>
    <t>1309, 1318</t>
  </si>
  <si>
    <t>Lamesa - Willow Valley 138 kV Line</t>
  </si>
  <si>
    <t xml:space="preserve">Rebuild Lamesa to Willow Valley 138 kV line. </t>
  </si>
  <si>
    <t>Lamesa Switch</t>
  </si>
  <si>
    <t>Willow Valley Switch</t>
  </si>
  <si>
    <t>R8654</t>
  </si>
  <si>
    <t>1163, 1301, 1307, 1308</t>
  </si>
  <si>
    <t>China Grove to Tributary Line Rebuild</t>
  </si>
  <si>
    <t>China Grove</t>
  </si>
  <si>
    <t>Tributary Switch</t>
  </si>
  <si>
    <t>R8656</t>
  </si>
  <si>
    <t>1318, 1394</t>
  </si>
  <si>
    <t xml:space="preserve"> Salt Flat Road 138 kV Switch and Salt Flat Road - Barr Ranch - Reiter 138 kV Second Circuit</t>
  </si>
  <si>
    <t>Add Salt Flat Road 138 kV Switch and Salt Flat Road - Barr Ranch - Reiter 138 kV Second Circuit</t>
  </si>
  <si>
    <t>Reiter</t>
  </si>
  <si>
    <t>Salt Flat Road</t>
  </si>
  <si>
    <t>R8704</t>
  </si>
  <si>
    <t>1027, 1111, 1193, 1234, 1276, 11111, 11217, 11235, 11344, 18545, 18701, 23859</t>
  </si>
  <si>
    <t>Reiter to Yarbrough 138 kV Line Rebuild</t>
  </si>
  <si>
    <t xml:space="preserve">138 kV existing line rebuild. </t>
  </si>
  <si>
    <t>Yarbrough</t>
  </si>
  <si>
    <t>R8527</t>
  </si>
  <si>
    <t>11111, 18545</t>
  </si>
  <si>
    <t>Bluff Creek to Scurry Chevron Line Rebuild</t>
  </si>
  <si>
    <t>Rebuild Bluff Creek to Scurry Chevron</t>
  </si>
  <si>
    <t>Bluff Creek</t>
  </si>
  <si>
    <t>Scurry Chevron</t>
  </si>
  <si>
    <t>R9002</t>
  </si>
  <si>
    <t>1309, 1310, 1312</t>
  </si>
  <si>
    <t>Oncor_FW_Expanse - Tredway 138 kV Line</t>
  </si>
  <si>
    <t>Rebuild the existing Expanse – Vealmoor 138 kV Line with both circuits in place.</t>
  </si>
  <si>
    <t>Expanse</t>
  </si>
  <si>
    <t>Tredway</t>
  </si>
  <si>
    <t>R8681</t>
  </si>
  <si>
    <t>1355, 10032, 10090, 10097, 10098, 10110, 10112, 10113, 11006, 11338, 11348, 11349, 11368, 11383, 23829, 23835, 23838, 23849, 23880</t>
  </si>
  <si>
    <t>Rockhound - Connell 345 kV Double-Circuit Line</t>
  </si>
  <si>
    <t>Construct a new 345 kV Double-Circuit Line and establish a 345/138 kV Switch</t>
  </si>
  <si>
    <t>Rockhound</t>
  </si>
  <si>
    <t>Connell</t>
  </si>
  <si>
    <t>R8718, R8807</t>
  </si>
  <si>
    <t>Tier 2</t>
  </si>
  <si>
    <t>10033, 10036, 10062, 10085, 10086, 10087, 10088, 10089, 11371, 23840, 23841, 23855</t>
  </si>
  <si>
    <t>Wolf to Monahan to Pecos / Odessa EHV to Reiter138 kV Line Rebuild</t>
  </si>
  <si>
    <t>Wolf/Odessa EHV</t>
  </si>
  <si>
    <t>Pecos/Reiter</t>
  </si>
  <si>
    <t>R8527, R8629</t>
  </si>
  <si>
    <t>1013, 1027, 1107, 11117, 18545</t>
  </si>
  <si>
    <t>AddKiowaToQuinlanLine</t>
  </si>
  <si>
    <t>Add 138kV line from Kiowa to Quinlan</t>
  </si>
  <si>
    <t>Kiowa</t>
  </si>
  <si>
    <t>Quinlan</t>
  </si>
  <si>
    <t>RCEC</t>
  </si>
  <si>
    <t>Scott Donhamsdonham@rayburnelectric.com_x000D_
469-402-2024</t>
  </si>
  <si>
    <t>6796, 6884</t>
  </si>
  <si>
    <t>RPG Projects With ISD Changes</t>
  </si>
  <si>
    <t>Original Projected In-Service Date (Month/Yr)</t>
  </si>
  <si>
    <t>New Projected In-Service Date (Month/Yr)</t>
  </si>
  <si>
    <t>17TPIT0031</t>
  </si>
  <si>
    <t>Elkton 345/138 kV Autotransformer</t>
  </si>
  <si>
    <t>Replace existing autotransformer</t>
  </si>
  <si>
    <t>Elkton</t>
  </si>
  <si>
    <t>R6023-E</t>
  </si>
  <si>
    <t>3105, 3106, 29150</t>
  </si>
  <si>
    <t>Shamburger North 345/138 kV Switching Station</t>
  </si>
  <si>
    <t>Establish Shamburger North 345/138 kV Switching Station</t>
  </si>
  <si>
    <t xml:space="preserve">Shamburger North </t>
  </si>
  <si>
    <t>Shamburger North</t>
  </si>
  <si>
    <t>R6083</t>
  </si>
  <si>
    <t>2485, 3103, 3201, 3206, 3217, 3223, 3226</t>
  </si>
  <si>
    <t>Shamburger North - Shamburger 345 kV Line</t>
  </si>
  <si>
    <t xml:space="preserve">Shamburger </t>
  </si>
  <si>
    <t>R6085</t>
  </si>
  <si>
    <t>3103, 3223</t>
  </si>
  <si>
    <t>RPG Project ID</t>
  </si>
  <si>
    <t>RPG Project Name</t>
  </si>
  <si>
    <t>TDSP</t>
  </si>
  <si>
    <t>Approve Date</t>
  </si>
  <si>
    <t>Comments</t>
  </si>
  <si>
    <t>25RPG011</t>
  </si>
  <si>
    <t>138-kV West Columbia to Needville Upgrades</t>
  </si>
  <si>
    <t>24RPG040</t>
  </si>
  <si>
    <t>Roscoe Area Upgrades Project</t>
  </si>
  <si>
    <t>24RPG035</t>
  </si>
  <si>
    <r>
      <rPr>
        <sz val="11"/>
        <color rgb="FF000000"/>
        <rFont val="Calibri"/>
        <family val="2"/>
        <scheme val="minor"/>
      </rPr>
      <t>Aransas</t>
    </r>
    <r>
      <rPr>
        <b/>
        <sz val="11"/>
        <color rgb="FF242424"/>
        <rFont val="Segoe UI"/>
        <family val="2"/>
      </rPr>
      <t xml:space="preserve"> </t>
    </r>
    <r>
      <rPr>
        <sz val="11"/>
        <color rgb="FF242424"/>
        <rFont val="Calibri"/>
        <family val="2"/>
        <scheme val="minor"/>
      </rPr>
      <t xml:space="preserve">Pass </t>
    </r>
    <r>
      <rPr>
        <sz val="11"/>
        <color rgb="FF000000"/>
        <rFont val="Calibri"/>
        <family val="2"/>
        <scheme val="minor"/>
      </rPr>
      <t>to</t>
    </r>
    <r>
      <rPr>
        <sz val="11"/>
        <color rgb="FF242424"/>
        <rFont val="Calibri"/>
        <family val="2"/>
        <scheme val="minor"/>
      </rPr>
      <t xml:space="preserve"> </t>
    </r>
    <r>
      <rPr>
        <sz val="11"/>
        <color rgb="FF000000"/>
        <rFont val="Calibri"/>
        <family val="2"/>
        <scheme val="minor"/>
      </rPr>
      <t>Rincon</t>
    </r>
    <r>
      <rPr>
        <sz val="11"/>
        <color rgb="FF242424"/>
        <rFont val="Calibri"/>
        <family val="2"/>
        <scheme val="minor"/>
      </rPr>
      <t xml:space="preserve"> 69-kV Line Rebuild Project</t>
    </r>
  </si>
  <si>
    <t>AEP</t>
  </si>
  <si>
    <t>25RPG014</t>
  </si>
  <si>
    <t>Cedar Bayou Autotransformer Upgrades Project</t>
  </si>
  <si>
    <t>24RPG008</t>
  </si>
  <si>
    <t>Brownsville Area Improvements Transmission Project</t>
  </si>
  <si>
    <t>25RPG002</t>
  </si>
  <si>
    <t>East Munday 138-kV Station Rebuild Project</t>
  </si>
  <si>
    <t>Reclassified as Tier 4</t>
  </si>
  <si>
    <t>24RPG026</t>
  </si>
  <si>
    <t>Jordan/Mont Belvieu Area Improvement Project</t>
  </si>
  <si>
    <t>24RPG037</t>
  </si>
  <si>
    <t>Partial Rebuild of 138-kV Ckt.63 West Galveston to Moody Project</t>
  </si>
  <si>
    <t>24RPG003</t>
  </si>
  <si>
    <t>Eastside 345/138-kV Switching Station Project</t>
  </si>
  <si>
    <t>CPS</t>
  </si>
  <si>
    <t>24RPG004</t>
  </si>
  <si>
    <t>Omicron Reliability Project</t>
  </si>
  <si>
    <t>24RPG014</t>
  </si>
  <si>
    <t>Sim Gideon to Cedar Hill Transmission Line Upgrade Project</t>
  </si>
  <si>
    <t>LCRA</t>
  </si>
  <si>
    <t>24RPG034</t>
  </si>
  <si>
    <t>Redwood to San Marcos Transmission Line Upgrade Project</t>
  </si>
  <si>
    <t>24RPG038</t>
  </si>
  <si>
    <t>Bergheim Substation Upgrade Project</t>
  </si>
  <si>
    <t>LCRA/PEC</t>
  </si>
  <si>
    <t>24RPG001</t>
  </si>
  <si>
    <t>Temple Area Project</t>
  </si>
  <si>
    <t>24RPG002</t>
  </si>
  <si>
    <t>Rockhound 345/138-kV Switch and Grey Well Draw to Buffalo 2nd 138-kV Circuit Project</t>
  </si>
  <si>
    <t>24RPG005</t>
  </si>
  <si>
    <t>Montfort Switch to Shankle Switch 138-kV Line Project</t>
  </si>
  <si>
    <t>24RPG006</t>
  </si>
  <si>
    <t>Prairieland 345/138-kV Switch and Prairieland Switch to Quartz Sand Switch/Hog Mountain Pod 138-kV Line Project</t>
  </si>
  <si>
    <t>24RPG010</t>
  </si>
  <si>
    <t>Delaware Basin Stage 3 and 4 Project</t>
  </si>
  <si>
    <t>24RPG017</t>
  </si>
  <si>
    <t>Venus Switch to Sam Switch 345-kV Line Project</t>
  </si>
  <si>
    <t>24RPG018</t>
  </si>
  <si>
    <t>Salado Switch to Hutto Switch 138-kV Line Project</t>
  </si>
  <si>
    <t>24RPG020</t>
  </si>
  <si>
    <t>Connell 345/138-kV Switch and Connell to Rockhound 345-kV Double-Circuit Line Project</t>
  </si>
  <si>
    <t>24RPG021</t>
  </si>
  <si>
    <t>Forney 345/138-kV Switch Rebuild Project</t>
  </si>
  <si>
    <t>24RPG022</t>
  </si>
  <si>
    <t>Wilmer 345/138-kV Switch Project</t>
  </si>
  <si>
    <t>24RPG025</t>
  </si>
  <si>
    <t>Gunter 345/138-kV Switch Project</t>
  </si>
  <si>
    <t>25RPG006</t>
  </si>
  <si>
    <t>WETT</t>
  </si>
  <si>
    <t>24RPG041</t>
  </si>
  <si>
    <t>Buck Canyon and Binturong 345-kV Synchronous Condenser Stations Project</t>
  </si>
  <si>
    <t>25RPG005</t>
  </si>
  <si>
    <t>Pitchfork 345-kV Substation Addition Project</t>
  </si>
  <si>
    <t>25RPG007</t>
  </si>
  <si>
    <t>Salt Flat Road to Barr Ranch to Reiter 138-kV Second Circuit Project</t>
  </si>
  <si>
    <t>25RPG008</t>
  </si>
  <si>
    <t>Wolf Switch to Reiter Switch 138-kV Line Project</t>
  </si>
  <si>
    <t>24RPG024</t>
  </si>
  <si>
    <t>Hartring to Upland 138-kV Line and Benedum Autotransformer Addition Project</t>
  </si>
  <si>
    <t>ONCOR/LCRA</t>
  </si>
  <si>
    <t>25RPG019</t>
  </si>
  <si>
    <t>Lamesa Switch to Willow Valley Switch 138-kV Line Rebuild Project</t>
  </si>
  <si>
    <t>25RPG021</t>
  </si>
  <si>
    <t>AEPSC Victoria to Warburton 138-kV Line Rebuild Project</t>
  </si>
  <si>
    <t>24RPG015</t>
  </si>
  <si>
    <t>Delaware Basin Stage 5 Project</t>
  </si>
  <si>
    <t>24RPG029</t>
  </si>
  <si>
    <t>Oncor Tredway 138kV Switch and Expanse to Tredway 138kV 2nd Circuit Project</t>
  </si>
  <si>
    <t>25RPG010</t>
  </si>
  <si>
    <t>138-kV Flewellen to Fort Bend Upgrades Project</t>
  </si>
  <si>
    <t>25RPG001</t>
  </si>
  <si>
    <t>Texas A&amp;M University System RELLIS Campus Reliability Project</t>
  </si>
  <si>
    <t>BTU</t>
  </si>
  <si>
    <t>25RPG027</t>
  </si>
  <si>
    <t xml:space="preserve">Royse Switch to Edgewood 69-kV Line Conversion to 138-kV Project </t>
  </si>
  <si>
    <t xml:space="preserve">25RPG030 </t>
  </si>
  <si>
    <t>Bonham Switch to Toco Switch 69-kV Line Rebuild Project</t>
  </si>
  <si>
    <t>25RPG003</t>
  </si>
  <si>
    <t>Hamilton County Conversion Project</t>
  </si>
  <si>
    <t>BEC</t>
  </si>
  <si>
    <t>25RPG031</t>
  </si>
  <si>
    <t xml:space="preserve">Sam Switch Resiliency Project </t>
  </si>
  <si>
    <t>LST</t>
  </si>
  <si>
    <t xml:space="preserve">24RPG028 </t>
  </si>
  <si>
    <t xml:space="preserve">CNP Baytown Area Load Addition Project </t>
  </si>
  <si>
    <t>25RPG029</t>
  </si>
  <si>
    <t>Hillsboro Switch to Elm Mott Switch 69-kV Line Rebuild Project</t>
  </si>
  <si>
    <t>25RPG032</t>
  </si>
  <si>
    <t>Fort Stockton Plant 138-kV Transmission Station Rebuild Project</t>
  </si>
  <si>
    <t>Model Corrections/Updates Made to the 2025 RTP Cases</t>
  </si>
  <si>
    <t>Transmission Changes</t>
  </si>
  <si>
    <t>TO</t>
  </si>
  <si>
    <t>2027 SUM</t>
  </si>
  <si>
    <t>2028 MIN</t>
  </si>
  <si>
    <t>2028 SUM</t>
  </si>
  <si>
    <t>2030 SUM</t>
  </si>
  <si>
    <t>2031 SUM</t>
  </si>
  <si>
    <t>Applied model update to update ratings, impedances, and line lengths on lines connected to Progress Park 138-kV Switch</t>
  </si>
  <si>
    <t>X</t>
  </si>
  <si>
    <t>MOD 90069 - SSWG Incremental Update</t>
  </si>
  <si>
    <t>Added the LCRATSC Bastrop West Bluebonnet Transmission Line Upgrade MOD project to upgrade ratings on Bastrop West to Bluebonnet</t>
  </si>
  <si>
    <t>LCRA TSC</t>
  </si>
  <si>
    <t>MOD 92602</t>
  </si>
  <si>
    <t>Added the LCRATSC Bluebonnet Wyldwood Transmission Line Overhaul MOD project to upgrade ratings on Wyldwood to Bluebonnet</t>
  </si>
  <si>
    <t>MOD 92598</t>
  </si>
  <si>
    <t>Added the LCRATSC Colton Elroy Transmission Line Overhaul MOD project to upgrade ratings on Colton to Elroy</t>
  </si>
  <si>
    <t>MOD 92561</t>
  </si>
  <si>
    <t>Added the LCRATSC Colton Mendoza Transmission Line Upgrade MOD project to upgrade ratings on Colton to Mendoza</t>
  </si>
  <si>
    <t>MOD 92627</t>
  </si>
  <si>
    <t>Added the LCRATSC Elroy Wolf Lane Transmission Line Overhaul MOD project to upgrade ratings on Elroy to County Line to Wolf Lane</t>
  </si>
  <si>
    <t>MOD 92622</t>
  </si>
  <si>
    <t>Added the LCRATSC Lockhart Mendoza Transmission Line Overhaul MOD project to upgrade ratings on Lockhart to Mendoza</t>
  </si>
  <si>
    <t>MOD 92572</t>
  </si>
  <si>
    <t>Added the LCRATSC Wolf Lane Wyldwood Transmission Line Overhaul MOD project to upgrade ratings on Wolf Lane to County Line to Wyldwood</t>
  </si>
  <si>
    <t>MOD 91397</t>
  </si>
  <si>
    <t>Added the ONCOR Watermill Reindeer Line Upgrade MOD project to upgrade ratings on the Watermill to Reindeer Line</t>
  </si>
  <si>
    <t>MOD 92845</t>
  </si>
  <si>
    <t>Applied topology update to the 138-kV path from TNMP Amoco to MPL Tank Farm to be Amoco to Spoonbill to MPL Tank Farm.</t>
  </si>
  <si>
    <t>TNMP</t>
  </si>
  <si>
    <t>Confirmed by TNMP</t>
  </si>
  <si>
    <t>Added the ONCOR Tonkawa to Ranger Camp 345-kV Line Rebuild MOD project since the in-service MOD date has been updated</t>
  </si>
  <si>
    <t>MOD 72011</t>
  </si>
  <si>
    <t>Updated load interconnection topology which included relocating load from bus 8759 to bus 8318.</t>
  </si>
  <si>
    <t>Updated load interconnection topology which included relocating load from bus 40170 to bus 940000.</t>
  </si>
  <si>
    <t>Provided by CNP</t>
  </si>
  <si>
    <t>Updated load interconnection topology which included relocating load from bus 40700 to bus 940450.</t>
  </si>
  <si>
    <t>Applied topology update to remove the Haber substation.</t>
  </si>
  <si>
    <t>Added the LCRATSC Canyon to San Marcos Transmission Line Upgrade MOD project to upgrade ratings on Canyon to San Marcos</t>
  </si>
  <si>
    <t>MOD 92575</t>
  </si>
  <si>
    <t>Added the LCRATSC Gabriel to Rivery MLSE Upgrade MOD project to upgrade ratings on Gabriel to Rivery</t>
  </si>
  <si>
    <t>MOD 92629</t>
  </si>
  <si>
    <t>Added the LCRATSC Howard Lane to Wells Branch Transmission Line Upgrade MOD project to upgrade ratings on Howard Lane to Wells Branch</t>
  </si>
  <si>
    <t>MOD 91404</t>
  </si>
  <si>
    <t>Added the LCRATSC Lytton Springs to Mendoza Transmission Line Upgrade MOD project to upgrade ratings on Lytton Springs to Mendoza</t>
  </si>
  <si>
    <t>MOD 100184</t>
  </si>
  <si>
    <t>Transformer Changes</t>
  </si>
  <si>
    <t>TO/GO</t>
  </si>
  <si>
    <t>Removed the branch connecting the Jordan transformer to Philip transformer.</t>
  </si>
  <si>
    <t>The connecting branch caused an violation on the Philip transformer (modeling error).</t>
  </si>
  <si>
    <t>Updated the voltage limits on the Cedar Bayou ckt. A3 transformer</t>
  </si>
  <si>
    <t>Confirmed by CNP</t>
  </si>
  <si>
    <t>Turned on North Edinburg transformer #2</t>
  </si>
  <si>
    <t>SSWG modeling error</t>
  </si>
  <si>
    <t>Generation Changes</t>
  </si>
  <si>
    <t>Removed Garcitas Solar Unit on bus 113051</t>
  </si>
  <si>
    <t>AEP confirmed that this solar site project has been cancelled</t>
  </si>
  <si>
    <t>Load Changes</t>
  </si>
  <si>
    <t>Moved/Adjusted Network-served and Self-Serve Loads at all buses within the DOWGEN PUN facility</t>
  </si>
  <si>
    <t>This self-serve adjustment was to account for the mothballing of DOWGEN units G66 and ST64.</t>
  </si>
  <si>
    <t>Bus Voltage Changes</t>
  </si>
  <si>
    <t>Reactive Device Changes</t>
  </si>
  <si>
    <t>Phase Shifters Changes</t>
  </si>
  <si>
    <t>Synchronous Condensers Changes</t>
  </si>
  <si>
    <t>FACTS Device Changes</t>
  </si>
  <si>
    <t>Case</t>
  </si>
  <si>
    <t>Outaged Elements</t>
  </si>
  <si>
    <t>Outage Description</t>
  </si>
  <si>
    <t>Associated TO/RE</t>
  </si>
  <si>
    <t>Notes</t>
  </si>
  <si>
    <t>Known outages collected by ERCOT from TSPs and Resource Entities were incorporated based on the TSP and ERCOT technical rationale into the known outages impact studies.</t>
  </si>
  <si>
    <t>Weather Zone</t>
  </si>
  <si>
    <t>90th Percentile Temperature (degree F)</t>
  </si>
  <si>
    <t>Coast</t>
  </si>
  <si>
    <t>East</t>
  </si>
  <si>
    <t>Far West</t>
  </si>
  <si>
    <t>North Central</t>
  </si>
  <si>
    <t>North</t>
  </si>
  <si>
    <t>South Central</t>
  </si>
  <si>
    <t>South</t>
  </si>
  <si>
    <t>West</t>
  </si>
  <si>
    <r>
      <t xml:space="preserve">New generators that met PG Section 6.9 requirements (1)(b) through (1)(d) by 5/31/2025 in </t>
    </r>
    <r>
      <rPr>
        <b/>
        <sz val="11"/>
        <color rgb="FFFF0000"/>
        <rFont val="Calibri"/>
        <family val="2"/>
        <scheme val="minor"/>
      </rPr>
      <t>FULL LOAD CASES</t>
    </r>
    <r>
      <rPr>
        <b/>
        <sz val="11"/>
        <color theme="1"/>
        <rFont val="Calibri"/>
        <family val="2"/>
        <scheme val="minor"/>
      </rPr>
      <t xml:space="preserve">.
New generators that met PG Section 6.9 requirements (1)(b) through (1)(d) by 9/30/2025 in </t>
    </r>
    <r>
      <rPr>
        <b/>
        <sz val="11"/>
        <color rgb="FFFF0000"/>
        <rFont val="Calibri"/>
        <family val="2"/>
        <scheme val="minor"/>
      </rPr>
      <t>SENSITIVITY CASES</t>
    </r>
    <r>
      <rPr>
        <b/>
        <sz val="11"/>
        <color theme="1"/>
        <rFont val="Calibri"/>
        <family val="2"/>
        <scheme val="minor"/>
      </rPr>
      <t>.</t>
    </r>
  </si>
  <si>
    <t xml:space="preserve">GINR Reference Number                     </t>
  </si>
  <si>
    <t>Project Name</t>
  </si>
  <si>
    <t>County</t>
  </si>
  <si>
    <t>Projected COD</t>
  </si>
  <si>
    <t>Fuel</t>
  </si>
  <si>
    <t xml:space="preserve">MW For Grid </t>
  </si>
  <si>
    <t>Meets Section 6.9 Requirements (1)(b) through (1)(d)</t>
  </si>
  <si>
    <t>2027 SUM SENS</t>
  </si>
  <si>
    <t>2028 MIN SENS</t>
  </si>
  <si>
    <t>2030 SUM SENS</t>
  </si>
  <si>
    <t>22INR0540</t>
  </si>
  <si>
    <t>Walstrom BESS</t>
  </si>
  <si>
    <t>Austin</t>
  </si>
  <si>
    <t>Battery</t>
  </si>
  <si>
    <t>22INR0517</t>
  </si>
  <si>
    <t>Lane City Wind</t>
  </si>
  <si>
    <t>Wharton</t>
  </si>
  <si>
    <t>Wind</t>
  </si>
  <si>
    <t>23INR0079</t>
  </si>
  <si>
    <t>Chillingham Storage</t>
  </si>
  <si>
    <t>Bell</t>
  </si>
  <si>
    <t>24INR0456</t>
  </si>
  <si>
    <t>FRIENDSWOOD ENERGY GENCO</t>
  </si>
  <si>
    <t>Harris</t>
  </si>
  <si>
    <t>Gas</t>
  </si>
  <si>
    <t>21INR0517</t>
  </si>
  <si>
    <t>Tidwell Prairie Storage 1</t>
  </si>
  <si>
    <t>Robertson</t>
  </si>
  <si>
    <t>22INR0525</t>
  </si>
  <si>
    <t>St. Gall II Energy Storage</t>
  </si>
  <si>
    <t>Pecos</t>
  </si>
  <si>
    <t>19INR0054</t>
  </si>
  <si>
    <t>Monte Cristo 1 Wind</t>
  </si>
  <si>
    <t>Hidalgo</t>
  </si>
  <si>
    <t>25INR0467</t>
  </si>
  <si>
    <t>Bocanova Power</t>
  </si>
  <si>
    <t>Brazoria</t>
  </si>
  <si>
    <t>25INR0389</t>
  </si>
  <si>
    <t>Stoneridge BESS</t>
  </si>
  <si>
    <t>Milam</t>
  </si>
  <si>
    <t>24INR0166</t>
  </si>
  <si>
    <t>Stillhouse Solar</t>
  </si>
  <si>
    <t>Solar</t>
  </si>
  <si>
    <t>23INR0364</t>
  </si>
  <si>
    <t>Tierra Seca BESS</t>
  </si>
  <si>
    <t>Val Verde</t>
  </si>
  <si>
    <t>25INR0672</t>
  </si>
  <si>
    <t>Fagus Solar Park 2 SLF</t>
  </si>
  <si>
    <t>Childress</t>
  </si>
  <si>
    <t>Split INR fix for Fagus Solar Park 1</t>
  </si>
  <si>
    <t>26INR0669</t>
  </si>
  <si>
    <t>Greyhound Solar - Phase E</t>
  </si>
  <si>
    <t>Ector</t>
  </si>
  <si>
    <t>23INR0494</t>
  </si>
  <si>
    <t>Cartwheel BESS 1</t>
  </si>
  <si>
    <t>Hopkins</t>
  </si>
  <si>
    <t>24INR0302</t>
  </si>
  <si>
    <t>Pintail Pass BESS</t>
  </si>
  <si>
    <t>San Patricio</t>
  </si>
  <si>
    <t>16INR0104</t>
  </si>
  <si>
    <t xml:space="preserve">Big Sampson Wind </t>
  </si>
  <si>
    <t>Crockett</t>
  </si>
  <si>
    <t>24INR0116</t>
  </si>
  <si>
    <t>Hart Wind</t>
  </si>
  <si>
    <t>Castro</t>
  </si>
  <si>
    <t>26INR0670</t>
  </si>
  <si>
    <t>Greyhound Solar - Phase F</t>
  </si>
  <si>
    <t>24INR0181</t>
  </si>
  <si>
    <t>Bynum Solar Project</t>
  </si>
  <si>
    <t>Coryell</t>
  </si>
  <si>
    <t>23INR0351</t>
  </si>
  <si>
    <t>Seven Flags BESS</t>
  </si>
  <si>
    <t>Webb</t>
  </si>
  <si>
    <t>25INR0578</t>
  </si>
  <si>
    <t>Forest Creek Wind Repower</t>
  </si>
  <si>
    <t>Glasscock</t>
  </si>
  <si>
    <t>Repower</t>
  </si>
  <si>
    <t>23INR0501</t>
  </si>
  <si>
    <t>Soda Lake BESS 1</t>
  </si>
  <si>
    <t>Crane</t>
  </si>
  <si>
    <t>23INR0344</t>
  </si>
  <si>
    <t>Hermes Solar</t>
  </si>
  <si>
    <t>24INR0365</t>
  </si>
  <si>
    <t>Hermes Storage</t>
  </si>
  <si>
    <t>20INR0242</t>
  </si>
  <si>
    <t>Anson Solar 2</t>
  </si>
  <si>
    <t>Jones</t>
  </si>
  <si>
    <t>23INR0150</t>
  </si>
  <si>
    <t>Cradle Solar</t>
  </si>
  <si>
    <t>23INR0249</t>
  </si>
  <si>
    <t xml:space="preserve">Limewood Solar </t>
  </si>
  <si>
    <t>23INR0358</t>
  </si>
  <si>
    <t>Castor BESS</t>
  </si>
  <si>
    <t>23INR0538</t>
  </si>
  <si>
    <t>Roadrunner Crossing BESS SLF</t>
  </si>
  <si>
    <t>Eastland</t>
  </si>
  <si>
    <t>24INR0472</t>
  </si>
  <si>
    <t>Amador Storage</t>
  </si>
  <si>
    <t>Van Zandt</t>
  </si>
  <si>
    <t>23INR0286</t>
  </si>
  <si>
    <t>Dry Creek Solar I</t>
  </si>
  <si>
    <t>Rusk</t>
  </si>
  <si>
    <t>24INR0453</t>
  </si>
  <si>
    <t>Longfellow BESS I</t>
  </si>
  <si>
    <t>24INR0455</t>
  </si>
  <si>
    <t>Longfellow BESS II</t>
  </si>
  <si>
    <t>26INR0333</t>
  </si>
  <si>
    <t>VERTUS ENERGY STORAGE</t>
  </si>
  <si>
    <t>Galveston</t>
  </si>
  <si>
    <t>24INR0364</t>
  </si>
  <si>
    <t>Pitts Dudik II</t>
  </si>
  <si>
    <t>Hill</t>
  </si>
  <si>
    <t>26INR0296</t>
  </si>
  <si>
    <t>Sherbino II BESS SLF</t>
  </si>
  <si>
    <t>21INR0359</t>
  </si>
  <si>
    <t>Hickerson Solar</t>
  </si>
  <si>
    <t>Bosque</t>
  </si>
  <si>
    <t>24INR0477</t>
  </si>
  <si>
    <t>Barrett Solar</t>
  </si>
  <si>
    <t>Rains</t>
  </si>
  <si>
    <t>24INR0294</t>
  </si>
  <si>
    <t>Citrus Flatts BESS</t>
  </si>
  <si>
    <t>Cameron</t>
  </si>
  <si>
    <t>25INR0329</t>
  </si>
  <si>
    <t>Project Lynx BESS</t>
  </si>
  <si>
    <t>Nueces</t>
  </si>
  <si>
    <t>21INR0268</t>
  </si>
  <si>
    <t>Greyhound Solar</t>
  </si>
  <si>
    <t>24INR0128</t>
  </si>
  <si>
    <t>Desna BESS</t>
  </si>
  <si>
    <t>24INR0493</t>
  </si>
  <si>
    <t>Crowned Heron BESS 2</t>
  </si>
  <si>
    <t>Fort Bend</t>
  </si>
  <si>
    <t>19INR0042</t>
  </si>
  <si>
    <t>Long Point Solar</t>
  </si>
  <si>
    <t>24INR0044</t>
  </si>
  <si>
    <t>Millers Branch Solar II</t>
  </si>
  <si>
    <t>Haskell</t>
  </si>
  <si>
    <t>Split INR fix for Millers Branch Solar 1</t>
  </si>
  <si>
    <t>26INR0524</t>
  </si>
  <si>
    <t>Fagus Solar Park 3 SLF</t>
  </si>
  <si>
    <t>23INR0361</t>
  </si>
  <si>
    <t>Third Coast BESS</t>
  </si>
  <si>
    <t>Jackson</t>
  </si>
  <si>
    <t>25INR0503</t>
  </si>
  <si>
    <t>Uhland Maxwell Expansion</t>
  </si>
  <si>
    <t>Caldwell</t>
  </si>
  <si>
    <t>22INR0274</t>
  </si>
  <si>
    <t>Crowded Star Solar II</t>
  </si>
  <si>
    <t>23INR0078</t>
  </si>
  <si>
    <t>Shaw Solar</t>
  </si>
  <si>
    <t>Bandera</t>
  </si>
  <si>
    <t>24INR0482</t>
  </si>
  <si>
    <t>NRG THW GT 345 (TEF -Due Diligence)</t>
  </si>
  <si>
    <t>26INR0049</t>
  </si>
  <si>
    <t>Pin Peaking Energy Center 1 (TEF- Due Diligence)</t>
  </si>
  <si>
    <t>Freestone</t>
  </si>
  <si>
    <t>26INR0109</t>
  </si>
  <si>
    <t>Pin Peaking Energy Center 2 (TEF- Due Diligence)</t>
  </si>
  <si>
    <t>26INR0226</t>
  </si>
  <si>
    <t>First Capitol BESS</t>
  </si>
  <si>
    <t>23INR0225</t>
  </si>
  <si>
    <t>MRG GOODY SOLAR</t>
  </si>
  <si>
    <t>Lamar</t>
  </si>
  <si>
    <t>24INR0305</t>
  </si>
  <si>
    <t>MRG Goody Storage</t>
  </si>
  <si>
    <t>24INR0528</t>
  </si>
  <si>
    <t>Blanquilla BESS</t>
  </si>
  <si>
    <t>23INR0290</t>
  </si>
  <si>
    <t>Zeya BESS</t>
  </si>
  <si>
    <t>26INR0405</t>
  </si>
  <si>
    <t>Buffalo Creek BESS</t>
  </si>
  <si>
    <t>24INR0584</t>
  </si>
  <si>
    <t>Houston IV BESS</t>
  </si>
  <si>
    <t>21INR0334</t>
  </si>
  <si>
    <t>Nightfall Solar SLF</t>
  </si>
  <si>
    <t>Uvalde</t>
  </si>
  <si>
    <t>22INR0559</t>
  </si>
  <si>
    <t>Honeycomb Solar SLF</t>
  </si>
  <si>
    <t>Bee</t>
  </si>
  <si>
    <t>23INR0392</t>
  </si>
  <si>
    <t>Honeycomb Storage SLF</t>
  </si>
  <si>
    <t>24INR0399</t>
  </si>
  <si>
    <t>Buzios Solar</t>
  </si>
  <si>
    <t>Motley</t>
  </si>
  <si>
    <t>22INR0558</t>
  </si>
  <si>
    <t>Callisto II Energy Center</t>
  </si>
  <si>
    <t>25INR0492</t>
  </si>
  <si>
    <t>Blue Summit Energy Storage</t>
  </si>
  <si>
    <t>Wilbarger</t>
  </si>
  <si>
    <t>26INR0023</t>
  </si>
  <si>
    <t>Leon Solar Park</t>
  </si>
  <si>
    <t>Leon</t>
  </si>
  <si>
    <t>22INR0457</t>
  </si>
  <si>
    <t>Anson BAT</t>
  </si>
  <si>
    <t>23INR0354</t>
  </si>
  <si>
    <t>Bordertown BESS</t>
  </si>
  <si>
    <t>Starr</t>
  </si>
  <si>
    <t>21INR0031</t>
  </si>
  <si>
    <t>Indigo Solar</t>
  </si>
  <si>
    <t>Fisher</t>
  </si>
  <si>
    <t>24INR0533</t>
  </si>
  <si>
    <t>Padua Grid BESS Unit 2</t>
  </si>
  <si>
    <t>Bexar</t>
  </si>
  <si>
    <t>25INR0199</t>
  </si>
  <si>
    <t>Bonham Solar 1</t>
  </si>
  <si>
    <t>Limestone</t>
  </si>
  <si>
    <t>26INR0521</t>
  </si>
  <si>
    <t>Millers Branch Solar III</t>
  </si>
  <si>
    <t>23INR0056</t>
  </si>
  <si>
    <t xml:space="preserve">Caliche Mound Solar </t>
  </si>
  <si>
    <t>Deaf Smith</t>
  </si>
  <si>
    <t>23INR0235</t>
  </si>
  <si>
    <t>Hoyte Solar</t>
  </si>
  <si>
    <t>26INR0447</t>
  </si>
  <si>
    <t>Honey Mesquite Wind Farm</t>
  </si>
  <si>
    <t>21INR0421</t>
  </si>
  <si>
    <t xml:space="preserve">Armadillo Solar </t>
  </si>
  <si>
    <t>Navarro</t>
  </si>
  <si>
    <t>23INR0084</t>
  </si>
  <si>
    <t xml:space="preserve">Lavaca Bay Solar </t>
  </si>
  <si>
    <t>Matagorda</t>
  </si>
  <si>
    <t>24INR0188</t>
  </si>
  <si>
    <t>Tehuacana Creek Solar SLF</t>
  </si>
  <si>
    <t>24INR0189</t>
  </si>
  <si>
    <t>Tehuacana Creek BESS SLF</t>
  </si>
  <si>
    <t>24INR0206</t>
  </si>
  <si>
    <t>Glasgow Solar</t>
  </si>
  <si>
    <t>24INR0207</t>
  </si>
  <si>
    <t>Glasgow Storage</t>
  </si>
  <si>
    <t>22INR0437</t>
  </si>
  <si>
    <t>TORMES SOLAR</t>
  </si>
  <si>
    <t>24INR0355</t>
  </si>
  <si>
    <t>Anatole Renewable Energy Storage</t>
  </si>
  <si>
    <t>Henderson</t>
  </si>
  <si>
    <t>25INR0018</t>
  </si>
  <si>
    <t>Yellow Cat Wind</t>
  </si>
  <si>
    <t>26INR0034</t>
  </si>
  <si>
    <t>Bracero Pecan Storage</t>
  </si>
  <si>
    <t>Reeves</t>
  </si>
  <si>
    <t>24INR0425</t>
  </si>
  <si>
    <t>Two Brothers ESS</t>
  </si>
  <si>
    <t>Victoria</t>
  </si>
  <si>
    <t>23INR0086</t>
  </si>
  <si>
    <t>Hanson Solar</t>
  </si>
  <si>
    <t>Coleman</t>
  </si>
  <si>
    <t>24INR0298</t>
  </si>
  <si>
    <t>Leighton Solar SLF</t>
  </si>
  <si>
    <t>23INR0093</t>
  </si>
  <si>
    <t>Alila Solar</t>
  </si>
  <si>
    <t>23INR0181</t>
  </si>
  <si>
    <t>Starling Storage</t>
  </si>
  <si>
    <t>Gonzales</t>
  </si>
  <si>
    <t>25INR0391</t>
  </si>
  <si>
    <t>Purple Sage BESS 1</t>
  </si>
  <si>
    <t>Collin</t>
  </si>
  <si>
    <t>25INR0392</t>
  </si>
  <si>
    <t>Purple Sage BESS 2</t>
  </si>
  <si>
    <t>25INR0060</t>
  </si>
  <si>
    <t>Argenta Solar</t>
  </si>
  <si>
    <t>25INR0061</t>
  </si>
  <si>
    <t>Argenta Storage</t>
  </si>
  <si>
    <t>25INR0262</t>
  </si>
  <si>
    <t>Shepard Energy Storage</t>
  </si>
  <si>
    <t>25INR0208</t>
  </si>
  <si>
    <t>Iron Belt Energy Storage</t>
  </si>
  <si>
    <t>Borden</t>
  </si>
  <si>
    <t>N</t>
  </si>
  <si>
    <t>22INR0342</t>
  </si>
  <si>
    <t>Matagorda Solar</t>
  </si>
  <si>
    <t>23INR0061</t>
  </si>
  <si>
    <t>Noria Solar DCC</t>
  </si>
  <si>
    <t>26INR0543</t>
  </si>
  <si>
    <t>Three Canes Solar SLF</t>
  </si>
  <si>
    <t>24INR0291</t>
  </si>
  <si>
    <t>Rubicon Alpha Wind</t>
  </si>
  <si>
    <t>23INR0089</t>
  </si>
  <si>
    <t>Donegal Solar</t>
  </si>
  <si>
    <t>Dickens</t>
  </si>
  <si>
    <t>26INR0189</t>
  </si>
  <si>
    <t>Skipjack Energy Storage</t>
  </si>
  <si>
    <t>23INR0035</t>
  </si>
  <si>
    <t xml:space="preserve">Starling Solar </t>
  </si>
  <si>
    <t>23INR0202</t>
  </si>
  <si>
    <t>Erath County Solar</t>
  </si>
  <si>
    <t>Erath</t>
  </si>
  <si>
    <t>19INR0023</t>
  </si>
  <si>
    <t>Monte Alto 2 Wind</t>
  </si>
  <si>
    <t>Willacy</t>
  </si>
  <si>
    <t>22INR0239</t>
  </si>
  <si>
    <t>Rockefeller Storage</t>
  </si>
  <si>
    <t>Schleicher</t>
  </si>
  <si>
    <t>25INR0102</t>
  </si>
  <si>
    <t>Austin Bayou Solar</t>
  </si>
  <si>
    <t>23INR0244</t>
  </si>
  <si>
    <t>Tiger Solar</t>
  </si>
  <si>
    <t>24INR0386</t>
  </si>
  <si>
    <t>Black &amp; Gold Energy Storage</t>
  </si>
  <si>
    <t>Menard</t>
  </si>
  <si>
    <t>25INR0131</t>
  </si>
  <si>
    <t>SOSA Storage</t>
  </si>
  <si>
    <t>Madison</t>
  </si>
  <si>
    <t>25INR0081</t>
  </si>
  <si>
    <t>SanPat Solar I</t>
  </si>
  <si>
    <t>26INR0269</t>
  </si>
  <si>
    <t>Moccasin Solar</t>
  </si>
  <si>
    <t>Stonewall</t>
  </si>
  <si>
    <t>25INR0319</t>
  </si>
  <si>
    <t>Northington Solar</t>
  </si>
  <si>
    <t>22INR0209</t>
  </si>
  <si>
    <t>Felix North Solar</t>
  </si>
  <si>
    <t>27INR0004</t>
  </si>
  <si>
    <t>Dundee North Wind</t>
  </si>
  <si>
    <t>27INR0005</t>
  </si>
  <si>
    <t>Dundee South A Wind</t>
  </si>
  <si>
    <t>Baylor</t>
  </si>
  <si>
    <t>27INR0007</t>
  </si>
  <si>
    <t>Felix East Solar</t>
  </si>
  <si>
    <t>27INR0011</t>
  </si>
  <si>
    <t>Dundee South B Wind</t>
  </si>
  <si>
    <t>27INR0012</t>
  </si>
  <si>
    <t>Felix West Solar</t>
  </si>
  <si>
    <t>25INR0103</t>
  </si>
  <si>
    <t>Elio BESS</t>
  </si>
  <si>
    <t>22INR0220</t>
  </si>
  <si>
    <t>Lamkin Solar</t>
  </si>
  <si>
    <t>Comanche</t>
  </si>
  <si>
    <t>24INR0498</t>
  </si>
  <si>
    <t>Fort Watt Storage</t>
  </si>
  <si>
    <t>Tarrant</t>
  </si>
  <si>
    <t>24INR0059</t>
  </si>
  <si>
    <t>Cuchillas Solar</t>
  </si>
  <si>
    <t>25INR0052</t>
  </si>
  <si>
    <t>SanPat Solar II</t>
  </si>
  <si>
    <t>23INR0059</t>
  </si>
  <si>
    <t>Briggs Solar</t>
  </si>
  <si>
    <t>24INR0058</t>
  </si>
  <si>
    <t>Briggs Storage</t>
  </si>
  <si>
    <t>21INR0326</t>
  </si>
  <si>
    <t>Dove Run Solar</t>
  </si>
  <si>
    <t>Duval</t>
  </si>
  <si>
    <t>25INR0109</t>
  </si>
  <si>
    <t>Sun Cactus Solar</t>
  </si>
  <si>
    <t>25INR0425</t>
  </si>
  <si>
    <t>Aldrin 345 BESS</t>
  </si>
  <si>
    <t>23INR0029</t>
  </si>
  <si>
    <t>Cedar Bayou 5 (TEF - Due Diligence)</t>
  </si>
  <si>
    <t>Chambers</t>
  </si>
  <si>
    <t>20INR0162</t>
  </si>
  <si>
    <t>Diamondback solar</t>
  </si>
  <si>
    <t>25INR0046</t>
  </si>
  <si>
    <t>Blue Skies BESS</t>
  </si>
  <si>
    <t>25INR0282</t>
  </si>
  <si>
    <t>Hornet Solar II SLF</t>
  </si>
  <si>
    <t>Swisher</t>
  </si>
  <si>
    <t>25INR0283</t>
  </si>
  <si>
    <t>Hornet Storage II SLF</t>
  </si>
  <si>
    <t>19INR0022</t>
  </si>
  <si>
    <t>Monte Alto I</t>
  </si>
  <si>
    <t>26INR0452</t>
  </si>
  <si>
    <t>Cannibal Draw Solar</t>
  </si>
  <si>
    <t>26INR0453</t>
  </si>
  <si>
    <t>Cannibal Draw Storage</t>
  </si>
  <si>
    <t>24INR0124</t>
  </si>
  <si>
    <t>High Noon Solar</t>
  </si>
  <si>
    <t>24INR0126</t>
  </si>
  <si>
    <t>High Noon Storage</t>
  </si>
  <si>
    <t>23INR0116</t>
  </si>
  <si>
    <t>Cantaloupe Solar</t>
  </si>
  <si>
    <t>24INR0201</t>
  </si>
  <si>
    <t>Short Creek Solar</t>
  </si>
  <si>
    <t>Wichita</t>
  </si>
  <si>
    <t>25INR0068</t>
  </si>
  <si>
    <t>High Chap Solar</t>
  </si>
  <si>
    <t>24INR0258</t>
  </si>
  <si>
    <t>Zeissel Solar</t>
  </si>
  <si>
    <t>Knox</t>
  </si>
  <si>
    <t>23INR0248</t>
  </si>
  <si>
    <t xml:space="preserve">Limewood Storage </t>
  </si>
  <si>
    <t>22INR0401</t>
  </si>
  <si>
    <t>Eval Storage</t>
  </si>
  <si>
    <t>27INR0127</t>
  </si>
  <si>
    <t>Bigway Solar I</t>
  </si>
  <si>
    <t>King</t>
  </si>
  <si>
    <t>27INR0128</t>
  </si>
  <si>
    <t>Bigway Solar II</t>
  </si>
  <si>
    <t>21INR0207</t>
  </si>
  <si>
    <t>Quantum Solar</t>
  </si>
  <si>
    <t>25INR0101</t>
  </si>
  <si>
    <t>Mallard BESS</t>
  </si>
  <si>
    <t>26INR0310</t>
  </si>
  <si>
    <t>Quantum Storage</t>
  </si>
  <si>
    <t>21INR0265</t>
  </si>
  <si>
    <t>Sisters Solar</t>
  </si>
  <si>
    <t>21INR0428</t>
  </si>
  <si>
    <t>Pecan Prairie North</t>
  </si>
  <si>
    <t>22INR0262</t>
  </si>
  <si>
    <t>Sequoia II Solar</t>
  </si>
  <si>
    <t>Callahan</t>
  </si>
  <si>
    <t>22INR0499</t>
  </si>
  <si>
    <t>Aquilla Lake 3 Wind</t>
  </si>
  <si>
    <t>22INR0503</t>
  </si>
  <si>
    <t>Tidwell Prairie II Batt</t>
  </si>
  <si>
    <t>22INR0504</t>
  </si>
  <si>
    <t>Barton Branch IA</t>
  </si>
  <si>
    <t>23INR0231</t>
  </si>
  <si>
    <t>Rocinante Solar</t>
  </si>
  <si>
    <t>23INR0266</t>
  </si>
  <si>
    <t>Langer Storage</t>
  </si>
  <si>
    <t>23INR0300</t>
  </si>
  <si>
    <t>Greater Bryant G Solar</t>
  </si>
  <si>
    <t>Midland</t>
  </si>
  <si>
    <t>24INR0042</t>
  </si>
  <si>
    <t>Yaupon Solar SLF</t>
  </si>
  <si>
    <t>24INR0186</t>
  </si>
  <si>
    <t>Rowdy Creek Solar</t>
  </si>
  <si>
    <t>24INR0187</t>
  </si>
  <si>
    <t xml:space="preserve"> Rowdy Creek BESS</t>
  </si>
  <si>
    <t>24INR0303</t>
  </si>
  <si>
    <t>Erika Solar</t>
  </si>
  <si>
    <t>Kaufman</t>
  </si>
  <si>
    <t>24INR0331</t>
  </si>
  <si>
    <t>Chisme Storage</t>
  </si>
  <si>
    <t>Brown</t>
  </si>
  <si>
    <t>24INR0333</t>
  </si>
  <si>
    <t>Chisme Solar</t>
  </si>
  <si>
    <t>24INR0476</t>
  </si>
  <si>
    <t>DOS RIOS ENERGY STORAGE SLF</t>
  </si>
  <si>
    <t>24INR0485</t>
  </si>
  <si>
    <t>Rutile BESS</t>
  </si>
  <si>
    <t>Runnels</t>
  </si>
  <si>
    <t>24INR0490</t>
  </si>
  <si>
    <t>Lupinus Storage 3</t>
  </si>
  <si>
    <t>Franklin</t>
  </si>
  <si>
    <t>24INR0543</t>
  </si>
  <si>
    <t>Thomas Cameron BESS</t>
  </si>
  <si>
    <t>Lampasas</t>
  </si>
  <si>
    <t>25INR0055</t>
  </si>
  <si>
    <t>Three W Solar</t>
  </si>
  <si>
    <t>25INR0166</t>
  </si>
  <si>
    <t>Padrino Solar</t>
  </si>
  <si>
    <t>25INR0168</t>
  </si>
  <si>
    <t>Piedra Solar</t>
  </si>
  <si>
    <t>25INR0169</t>
  </si>
  <si>
    <t>Piedra BESS</t>
  </si>
  <si>
    <t>25INR0215</t>
  </si>
  <si>
    <t>Middlebrook BESS</t>
  </si>
  <si>
    <t>Nacogdoches</t>
  </si>
  <si>
    <t>25INR0368</t>
  </si>
  <si>
    <t>Echols Creek Solar</t>
  </si>
  <si>
    <t>25INR0432</t>
  </si>
  <si>
    <t>Brotherton Storage</t>
  </si>
  <si>
    <t>Anderson</t>
  </si>
  <si>
    <t>25INR0557</t>
  </si>
  <si>
    <t>McCamey's Castle Battery</t>
  </si>
  <si>
    <t>Upton</t>
  </si>
  <si>
    <t>25INR0706</t>
  </si>
  <si>
    <t>Bocanova Power II</t>
  </si>
  <si>
    <t>26INR0021</t>
  </si>
  <si>
    <t>Crossroads Wind</t>
  </si>
  <si>
    <t>26INR0250</t>
  </si>
  <si>
    <t>Duffy BESS</t>
  </si>
  <si>
    <t>26INR0309</t>
  </si>
  <si>
    <t>Solace Storage</t>
  </si>
  <si>
    <t>27INR0056</t>
  </si>
  <si>
    <t>Laurel Wind Energy Center</t>
  </si>
  <si>
    <t>27INR0080</t>
  </si>
  <si>
    <t>Laurel Storage Energy Center</t>
  </si>
  <si>
    <t>29INR0015</t>
  </si>
  <si>
    <t>Funston Solar</t>
  </si>
  <si>
    <t>28INR0024</t>
  </si>
  <si>
    <t>Padua Grid BESS Unit 3</t>
  </si>
  <si>
    <t>22INR0605</t>
  </si>
  <si>
    <t>Camino Santiago Solar</t>
  </si>
  <si>
    <t>25INR0229</t>
  </si>
  <si>
    <t>OCI Cobb Creek Solar</t>
  </si>
  <si>
    <t>25INR0233</t>
  </si>
  <si>
    <t>OCI Cobb Creek ESS</t>
  </si>
  <si>
    <t>27INR0297</t>
  </si>
  <si>
    <t>Tolivar Power Plant (TEF- Due Diligence)</t>
  </si>
  <si>
    <t>27INR0321</t>
  </si>
  <si>
    <t>Rock Island Generating (TEF -Due Diligence)</t>
  </si>
  <si>
    <t>Colorado</t>
  </si>
  <si>
    <t>23INR0561</t>
  </si>
  <si>
    <t>Cascabel Wind 2</t>
  </si>
  <si>
    <t>Zapata</t>
  </si>
  <si>
    <t>24INR0150</t>
  </si>
  <si>
    <t>Lupinus Solar 1</t>
  </si>
  <si>
    <t>24INR0153</t>
  </si>
  <si>
    <t>Lupinus Storage 1</t>
  </si>
  <si>
    <t>24INR0418</t>
  </si>
  <si>
    <t>Middlebrook Solar Limited Liability Company</t>
  </si>
  <si>
    <t>24INR0422</t>
  </si>
  <si>
    <t xml:space="preserve">Hollow Branch Creek Solar </t>
  </si>
  <si>
    <t>24INR0424</t>
  </si>
  <si>
    <t>Cascabel Wind 1</t>
  </si>
  <si>
    <t>25INR0122</t>
  </si>
  <si>
    <t>Vial BESS</t>
  </si>
  <si>
    <t>25INR0281</t>
  </si>
  <si>
    <t>Cosper Solar</t>
  </si>
  <si>
    <t>25INR0370</t>
  </si>
  <si>
    <t>Willis Storage</t>
  </si>
  <si>
    <t>25INR0441</t>
  </si>
  <si>
    <t>Dios BESS</t>
  </si>
  <si>
    <t>26INR0241</t>
  </si>
  <si>
    <t>Sol Marina Energy Center</t>
  </si>
  <si>
    <t>Ellis</t>
  </si>
  <si>
    <t>26INR0242</t>
  </si>
  <si>
    <t>Sol Marina Energy Center BESS</t>
  </si>
  <si>
    <t>26INR0380</t>
  </si>
  <si>
    <t>Pepper Solar Farm</t>
  </si>
  <si>
    <t>McLennan</t>
  </si>
  <si>
    <t>27INR0399</t>
  </si>
  <si>
    <t>Resaca Oasis Storage</t>
  </si>
  <si>
    <t>20INR0086</t>
  </si>
  <si>
    <t>Arroyo Solar</t>
  </si>
  <si>
    <t>23INR0137</t>
  </si>
  <si>
    <t>BRP Diran BESS</t>
  </si>
  <si>
    <t>24INR0442</t>
  </si>
  <si>
    <t>Midnight Sun Energy Storage</t>
  </si>
  <si>
    <t>25INR0112</t>
  </si>
  <si>
    <t>August Draw Energy</t>
  </si>
  <si>
    <t>26INR0255</t>
  </si>
  <si>
    <t>Operation Sunshine</t>
  </si>
  <si>
    <t>Concho</t>
  </si>
  <si>
    <t>26INR0357</t>
  </si>
  <si>
    <t>Operation Sunshine Storage</t>
  </si>
  <si>
    <t>26INR0407</t>
  </si>
  <si>
    <t>Rock Creek BESS</t>
  </si>
  <si>
    <t>Kendall</t>
  </si>
  <si>
    <t>27INR0076</t>
  </si>
  <si>
    <t>Bob Creek Wind</t>
  </si>
  <si>
    <t>Sterling</t>
  </si>
  <si>
    <t>27INR0243</t>
  </si>
  <si>
    <t>Brookview Road BESS</t>
  </si>
  <si>
    <t>23INR0479</t>
  </si>
  <si>
    <t>Taormina Storage</t>
  </si>
  <si>
    <t>25INR0008</t>
  </si>
  <si>
    <t>BasRanch (TEF - Due Diligence)</t>
  </si>
  <si>
    <t>Ward</t>
  </si>
  <si>
    <t>27INR0047</t>
  </si>
  <si>
    <t>Sunscape Renewable Energy Solar SLF</t>
  </si>
  <si>
    <t>27INR0048</t>
  </si>
  <si>
    <t>Sunscape Renewable Energy Storage SLF</t>
  </si>
  <si>
    <t>27INR0118</t>
  </si>
  <si>
    <t>Grapefruit Solar</t>
  </si>
  <si>
    <t>27INR0126</t>
  </si>
  <si>
    <t>Corvus Solar</t>
  </si>
  <si>
    <t>27INR0224</t>
  </si>
  <si>
    <t>Leopard BESS</t>
  </si>
  <si>
    <t>28INR0127</t>
  </si>
  <si>
    <t>Half Moon Solar</t>
  </si>
  <si>
    <r>
      <t xml:space="preserve">New generators that have a signed IA
</t>
    </r>
    <r>
      <rPr>
        <b/>
        <sz val="11"/>
        <color rgb="FFFF0000"/>
        <rFont val="Calibri"/>
        <family val="2"/>
        <scheme val="minor"/>
      </rPr>
      <t>in 2028MIN and 2028-2031SUM ONLY</t>
    </r>
    <r>
      <rPr>
        <b/>
        <sz val="11"/>
        <color theme="1"/>
        <rFont val="Calibri"/>
        <family val="2"/>
        <scheme val="minor"/>
      </rPr>
      <t>.</t>
    </r>
  </si>
  <si>
    <t>IA Signed</t>
  </si>
  <si>
    <t>18INR0073</t>
  </si>
  <si>
    <t xml:space="preserve">Sweetwater 1 repower </t>
  </si>
  <si>
    <t>Nolan</t>
  </si>
  <si>
    <t>16INR0112</t>
  </si>
  <si>
    <t xml:space="preserve">Loma Pinta Wind </t>
  </si>
  <si>
    <t>La Salle</t>
  </si>
  <si>
    <t>25INR0688</t>
  </si>
  <si>
    <t xml:space="preserve">Giga Texas Data Center </t>
  </si>
  <si>
    <t>Travis</t>
  </si>
  <si>
    <t>24INR0313</t>
  </si>
  <si>
    <t>Backbone Creek BESS</t>
  </si>
  <si>
    <t>Burnet</t>
  </si>
  <si>
    <t>21INR0256</t>
  </si>
  <si>
    <t>Amsterdam Solar</t>
  </si>
  <si>
    <t>22INR0417</t>
  </si>
  <si>
    <t>Amsterdam Storage</t>
  </si>
  <si>
    <t>24INR0514</t>
  </si>
  <si>
    <t>Rogers Draw BESS</t>
  </si>
  <si>
    <t>Gillespie</t>
  </si>
  <si>
    <t>26INR0417</t>
  </si>
  <si>
    <t>GAMAY ENERGY STORAGE</t>
  </si>
  <si>
    <t>25INR0480</t>
  </si>
  <si>
    <t xml:space="preserve">Bell Creek BESS </t>
  </si>
  <si>
    <t>24INR0471</t>
  </si>
  <si>
    <t>McGee Storage</t>
  </si>
  <si>
    <t>23INR0502</t>
  </si>
  <si>
    <t>Adelite Storage</t>
  </si>
  <si>
    <t>25INR0202</t>
  </si>
  <si>
    <t>East West BESS</t>
  </si>
  <si>
    <t>Kerr</t>
  </si>
  <si>
    <t>22INR0301</t>
  </si>
  <si>
    <t>Fortuna Wind</t>
  </si>
  <si>
    <t>Jack</t>
  </si>
  <si>
    <t>24INR0274</t>
  </si>
  <si>
    <t>Bufflehead BESS</t>
  </si>
  <si>
    <t>25INR0382</t>
  </si>
  <si>
    <t>HappyDogSolar</t>
  </si>
  <si>
    <t>25INR0442</t>
  </si>
  <si>
    <t>Happy Dog Storage</t>
  </si>
  <si>
    <t>21INR0362</t>
  </si>
  <si>
    <t>Oystercatcher Solar</t>
  </si>
  <si>
    <t>24INR0484</t>
  </si>
  <si>
    <t>Lupinus Solar 3</t>
  </si>
  <si>
    <t>21INR0391</t>
  </si>
  <si>
    <t>Grandslam Solar</t>
  </si>
  <si>
    <t>Atascosa</t>
  </si>
  <si>
    <t>24INR0452</t>
  </si>
  <si>
    <t>Longfellow Solar I</t>
  </si>
  <si>
    <t>24INR0454</t>
  </si>
  <si>
    <t>Longfellow Solar II</t>
  </si>
  <si>
    <t>26INR0375</t>
  </si>
  <si>
    <t>Avalon BESS</t>
  </si>
  <si>
    <t>26INR0474</t>
  </si>
  <si>
    <t>Sorghum BESS</t>
  </si>
  <si>
    <t>24INR0275</t>
  </si>
  <si>
    <t>Picadillo BESS</t>
  </si>
  <si>
    <t>Martin</t>
  </si>
  <si>
    <t>26INR0201</t>
  </si>
  <si>
    <t>Rock Rose Energy BESS</t>
  </si>
  <si>
    <t>25INR0230</t>
  </si>
  <si>
    <t>Great Rock BESS</t>
  </si>
  <si>
    <t>21INR0444</t>
  </si>
  <si>
    <t>Long Point Storage</t>
  </si>
  <si>
    <t>22INR0307</t>
  </si>
  <si>
    <t>Desert Vine Solar</t>
  </si>
  <si>
    <t>24INR0401</t>
  </si>
  <si>
    <t>Portside Energy Center (Solar) SLF</t>
  </si>
  <si>
    <t>24INR0403</t>
  </si>
  <si>
    <t>Portside Energy Center (BESS) SLF</t>
  </si>
  <si>
    <t>26INR0290</t>
  </si>
  <si>
    <t>Cold Creek Solar 2</t>
  </si>
  <si>
    <t>26INR0291</t>
  </si>
  <si>
    <t>Cold Creek Storage 2</t>
  </si>
  <si>
    <t>25INR0170</t>
  </si>
  <si>
    <t>Pinewood Solar</t>
  </si>
  <si>
    <t>26INR0340</t>
  </si>
  <si>
    <t>SOUTHERN SELECT ENERGY STORAGE</t>
  </si>
  <si>
    <t>25INR0253</t>
  </si>
  <si>
    <t>Whiskey BESS</t>
  </si>
  <si>
    <t>25INR0554</t>
  </si>
  <si>
    <t>Dan Kearney BESS</t>
  </si>
  <si>
    <t>25INR0334</t>
  </si>
  <si>
    <t>Star Dairy Storage</t>
  </si>
  <si>
    <t>24INR0154</t>
  </si>
  <si>
    <t>Lupinus Solar 2</t>
  </si>
  <si>
    <t>24INR0155</t>
  </si>
  <si>
    <t>Lupinus Storage 2</t>
  </si>
  <si>
    <t>25INR0164</t>
  </si>
  <si>
    <t>Star Dairy Solar</t>
  </si>
  <si>
    <t>24INR0304</t>
  </si>
  <si>
    <t>Jack Barton BESS</t>
  </si>
  <si>
    <t>23INR0207</t>
  </si>
  <si>
    <t>El Patrimonio Solar</t>
  </si>
  <si>
    <t>26INR0314</t>
  </si>
  <si>
    <t>Brazos River BESS</t>
  </si>
  <si>
    <t>22INR0281</t>
  </si>
  <si>
    <t>Pink Solar</t>
  </si>
  <si>
    <t>Hunt</t>
  </si>
  <si>
    <t>Nabatoto Solar North</t>
  </si>
  <si>
    <t>24INR0285</t>
  </si>
  <si>
    <t>APV Plumwood Storage</t>
  </si>
  <si>
    <t>25INR0384</t>
  </si>
  <si>
    <t xml:space="preserve">Zorro BESS </t>
  </si>
  <si>
    <t>23INR0340</t>
  </si>
  <si>
    <t>Larkspur Energy Storage</t>
  </si>
  <si>
    <t>23INR0289</t>
  </si>
  <si>
    <t>Skull Creek Solar</t>
  </si>
  <si>
    <t>25INR0293</t>
  </si>
  <si>
    <t>TOCE BESS 1</t>
  </si>
  <si>
    <t>25INR0236</t>
  </si>
  <si>
    <t>Austin Bayou Storage II</t>
  </si>
  <si>
    <t>25INR0237</t>
  </si>
  <si>
    <t>Austin Bayou Storage III</t>
  </si>
  <si>
    <t>21INR0022</t>
  </si>
  <si>
    <t>Red Holly Solar</t>
  </si>
  <si>
    <t>Dawson</t>
  </si>
  <si>
    <t>25INR0100</t>
  </si>
  <si>
    <t>Goldeneye BESS</t>
  </si>
  <si>
    <t>25INR0235</t>
  </si>
  <si>
    <t>Austin Bayou Storage I</t>
  </si>
  <si>
    <t>24INR0356</t>
  </si>
  <si>
    <t>Cibeles Solar</t>
  </si>
  <si>
    <t>25INR0225</t>
  </si>
  <si>
    <t>Lucy Solar</t>
  </si>
  <si>
    <t>24INR0326</t>
  </si>
  <si>
    <t>Blarney Solar</t>
  </si>
  <si>
    <t>26INR0431</t>
  </si>
  <si>
    <t>Big Rooter West Solar SLF</t>
  </si>
  <si>
    <t>21INR0520</t>
  </si>
  <si>
    <t>Yellow Viking Solar</t>
  </si>
  <si>
    <t>Somervell</t>
  </si>
  <si>
    <t>26INR0155</t>
  </si>
  <si>
    <t>Ross Solar</t>
  </si>
  <si>
    <t>Refugio</t>
  </si>
  <si>
    <t>26INR0156</t>
  </si>
  <si>
    <t>Ross Storage</t>
  </si>
  <si>
    <t>23INR0200</t>
  </si>
  <si>
    <t>Paradiso BESS</t>
  </si>
  <si>
    <t>23INR0441</t>
  </si>
  <si>
    <t xml:space="preserve">Bug Tussle Wind Project </t>
  </si>
  <si>
    <t>24INR0106</t>
  </si>
  <si>
    <t>Payne Battlecreek</t>
  </si>
  <si>
    <t>23INR0040</t>
  </si>
  <si>
    <t>Dori BQ Solar</t>
  </si>
  <si>
    <t>24INR0196</t>
  </si>
  <si>
    <t>Dori BQ BESS</t>
  </si>
  <si>
    <t>21INR0210</t>
  </si>
  <si>
    <t>Adamstown Solar</t>
  </si>
  <si>
    <t>25INR0460</t>
  </si>
  <si>
    <t>Acker BESS</t>
  </si>
  <si>
    <t>25INR0172</t>
  </si>
  <si>
    <t>Wolf Spring Solar</t>
  </si>
  <si>
    <t>25INR0173</t>
  </si>
  <si>
    <t>Wolf Spring Storage</t>
  </si>
  <si>
    <t>21INR0263</t>
  </si>
  <si>
    <t>Monarch Creek Wind</t>
  </si>
  <si>
    <t>Throckmorton</t>
  </si>
  <si>
    <t>22INR0426</t>
  </si>
  <si>
    <t>LUBIO SOLAR</t>
  </si>
  <si>
    <t>26INR0180</t>
  </si>
  <si>
    <t>Cape Rich BESS</t>
  </si>
  <si>
    <t>23INR0261</t>
  </si>
  <si>
    <t>Dodd Solar I</t>
  </si>
  <si>
    <t>23INR0082</t>
  </si>
  <si>
    <t>Bottom Grass Solar</t>
  </si>
  <si>
    <t>23INR0083</t>
  </si>
  <si>
    <t>Bottom Grass BESS</t>
  </si>
  <si>
    <t>20INR0050</t>
  </si>
  <si>
    <t>Castro Solar</t>
  </si>
  <si>
    <t>25INR0174</t>
  </si>
  <si>
    <t>Concho Pearl Solar</t>
  </si>
  <si>
    <t>25INR0175</t>
  </si>
  <si>
    <t>Concho Pearl Storage</t>
  </si>
  <si>
    <t>23INR0058</t>
  </si>
  <si>
    <t>Erin Solar</t>
  </si>
  <si>
    <t>23INR0080</t>
  </si>
  <si>
    <t>Soda Lake Solar 2 SLF</t>
  </si>
  <si>
    <t>23INR0140</t>
  </si>
  <si>
    <t>Seine BESS</t>
  </si>
  <si>
    <t>Foard</t>
  </si>
  <si>
    <t>23INR0342</t>
  </si>
  <si>
    <t>Brizo BESS</t>
  </si>
  <si>
    <t>25INR0422</t>
  </si>
  <si>
    <t>Waterloo Solar 1</t>
  </si>
  <si>
    <t>Bastrop</t>
  </si>
  <si>
    <t>25INR0447</t>
  </si>
  <si>
    <t>Waterloo BESS 1</t>
  </si>
  <si>
    <t>24INR0161</t>
  </si>
  <si>
    <t>Miranda Solar Project</t>
  </si>
  <si>
    <t>McMullen</t>
  </si>
  <si>
    <t>20INR0247</t>
  </si>
  <si>
    <t>Water Valley Wind Energy</t>
  </si>
  <si>
    <t>Tom Green</t>
  </si>
  <si>
    <t>25INR0080</t>
  </si>
  <si>
    <t>Meitner Solar</t>
  </si>
  <si>
    <t>Gray</t>
  </si>
  <si>
    <t>26INR0113</t>
  </si>
  <si>
    <t>Meitner Wind</t>
  </si>
  <si>
    <t>24INR0269</t>
  </si>
  <si>
    <t>Bar Candela Solar SLF</t>
  </si>
  <si>
    <t>24INR0271</t>
  </si>
  <si>
    <t>Bar Candela Storage SLF</t>
  </si>
  <si>
    <t>25INR0097</t>
  </si>
  <si>
    <t>Soleil Solar</t>
  </si>
  <si>
    <t>Clay</t>
  </si>
  <si>
    <t>24INR0065</t>
  </si>
  <si>
    <t>Keys Hollow Solar Phase II SLF</t>
  </si>
  <si>
    <t>Goliad</t>
  </si>
  <si>
    <t>24INR0066</t>
  </si>
  <si>
    <t>Keys Hollow Storage Phase II SLF</t>
  </si>
  <si>
    <t>24INR0067</t>
  </si>
  <si>
    <t>KEYS HOLLOW SOLAR SLF</t>
  </si>
  <si>
    <t>24INR0068</t>
  </si>
  <si>
    <t>KEYS HOLLOW STORAGE SLF</t>
  </si>
  <si>
    <t>23INR0324</t>
  </si>
  <si>
    <t>Lumberjack Storage</t>
  </si>
  <si>
    <t>Cherokee</t>
  </si>
  <si>
    <t>24INR0382</t>
  </si>
  <si>
    <t>Remy Jade III Power Station</t>
  </si>
  <si>
    <t>24INR0410</t>
  </si>
  <si>
    <t>NRG Greens Bayou 6 (TEF-Due Diligence)</t>
  </si>
  <si>
    <t>25INR0313</t>
  </si>
  <si>
    <t xml:space="preserve">Staked Plains BESS </t>
  </si>
  <si>
    <t>Lubbock</t>
  </si>
  <si>
    <t>21INR0029</t>
  </si>
  <si>
    <t>Red Holly Storage 1</t>
  </si>
  <si>
    <t>21INR0033</t>
  </si>
  <si>
    <t>Red Holly Storage</t>
  </si>
  <si>
    <t>22INR0279</t>
  </si>
  <si>
    <t>Clutch City Solar Phase I</t>
  </si>
  <si>
    <t>25INR0330</t>
  </si>
  <si>
    <t>Clutch City Solar Phase II</t>
  </si>
  <si>
    <t>22INR0257</t>
  </si>
  <si>
    <t>Corazon Solar Phase II</t>
  </si>
  <si>
    <t>26INR0074</t>
  </si>
  <si>
    <t>Anila Solar</t>
  </si>
  <si>
    <t>Wilson</t>
  </si>
  <si>
    <t>26INR0077</t>
  </si>
  <si>
    <t>Anila BESS</t>
  </si>
  <si>
    <t>23INR0345</t>
  </si>
  <si>
    <t xml:space="preserve">Elmax Power Station </t>
  </si>
  <si>
    <t>26INR0359</t>
  </si>
  <si>
    <t>Uva Creek Solar</t>
  </si>
  <si>
    <t>23INR0385</t>
  </si>
  <si>
    <t>Camp Creek Solar SLF</t>
  </si>
  <si>
    <t>23INR0423</t>
  </si>
  <si>
    <t>Camp Creek Storage SLF</t>
  </si>
  <si>
    <t>24INR0330</t>
  </si>
  <si>
    <t>TRAVIS KIMBRO BESS</t>
  </si>
  <si>
    <t>20INR0143</t>
  </si>
  <si>
    <t>Tri-X Solar 1 SLF</t>
  </si>
  <si>
    <t>24INR0108</t>
  </si>
  <si>
    <t>Louisa Energy Storage</t>
  </si>
  <si>
    <t>23INR0088</t>
  </si>
  <si>
    <t>Nockenut Springs Solar 1</t>
  </si>
  <si>
    <t>Guadalupe</t>
  </si>
  <si>
    <t>24INR0156</t>
  </si>
  <si>
    <t>Moonstone Solar Project</t>
  </si>
  <si>
    <r>
      <rPr>
        <b/>
        <sz val="11"/>
        <color rgb="FF000000"/>
        <rFont val="Calibri"/>
        <family val="2"/>
        <scheme val="minor"/>
      </rPr>
      <t xml:space="preserve">New generators that have a completed FIS
</t>
    </r>
    <r>
      <rPr>
        <b/>
        <sz val="11"/>
        <color rgb="FFFF0000"/>
        <rFont val="Calibri"/>
        <family val="2"/>
        <scheme val="minor"/>
      </rPr>
      <t>in 2030 and 2031 ONLY</t>
    </r>
    <r>
      <rPr>
        <b/>
        <sz val="11"/>
        <color theme="1"/>
        <rFont val="Calibri"/>
        <family val="2"/>
        <scheme val="minor"/>
      </rPr>
      <t>.</t>
    </r>
  </si>
  <si>
    <t>FIS Completed</t>
  </si>
  <si>
    <t>24INR0567</t>
  </si>
  <si>
    <t>Wolf Hollow III</t>
  </si>
  <si>
    <t>Hood</t>
  </si>
  <si>
    <t>26INR0408</t>
  </si>
  <si>
    <t>Liatris Flexible Gas</t>
  </si>
  <si>
    <t>26INR0519</t>
  </si>
  <si>
    <t>Sky Global West Houston</t>
  </si>
  <si>
    <t>23INR0422</t>
  </si>
  <si>
    <t>Masroor Storage</t>
  </si>
  <si>
    <t>Fannin</t>
  </si>
  <si>
    <t>22INR0444</t>
  </si>
  <si>
    <t>Liberty Senate Solar 1</t>
  </si>
  <si>
    <t>23INR0101</t>
  </si>
  <si>
    <t>Atria Solar</t>
  </si>
  <si>
    <t>23INR0474</t>
  </si>
  <si>
    <t>AP Greenport</t>
  </si>
  <si>
    <t>24INR0369</t>
  </si>
  <si>
    <t>Glory Bee Storage</t>
  </si>
  <si>
    <t>24INR0368</t>
  </si>
  <si>
    <t>Glory Bee Solar</t>
  </si>
  <si>
    <t>24INR0011</t>
  </si>
  <si>
    <t>Pinnington Storage</t>
  </si>
  <si>
    <t>23INR0439</t>
  </si>
  <si>
    <t>Smokey Willie Solar SLF</t>
  </si>
  <si>
    <t>25INR0487</t>
  </si>
  <si>
    <t>Marick Rose BESS</t>
  </si>
  <si>
    <t>25INR0167</t>
  </si>
  <si>
    <t>Padrino BESS</t>
  </si>
  <si>
    <t>25INR0466</t>
  </si>
  <si>
    <t>Yooperlite Storage</t>
  </si>
  <si>
    <t>Wise</t>
  </si>
  <si>
    <t>21INR0320</t>
  </si>
  <si>
    <t>Ion Solar</t>
  </si>
  <si>
    <t>23INR0495</t>
  </si>
  <si>
    <t>Cartwheel BESS 2</t>
  </si>
  <si>
    <t>24INR0569</t>
  </si>
  <si>
    <t>Hadrian Energy Storage</t>
  </si>
  <si>
    <t>25INR0420</t>
  </si>
  <si>
    <t>Houston BESS</t>
  </si>
  <si>
    <t>27INR0096</t>
  </si>
  <si>
    <t>Rubicon Power BESS</t>
  </si>
  <si>
    <t>24INR0570</t>
  </si>
  <si>
    <t>Marcus Energy Storage</t>
  </si>
  <si>
    <t>25INR0371</t>
  </si>
  <si>
    <t>McMurtre Storage</t>
  </si>
  <si>
    <t>24INR0110</t>
  </si>
  <si>
    <t>Kildare</t>
  </si>
  <si>
    <t>25INR0133</t>
  </si>
  <si>
    <t>Rose Quartz BESS</t>
  </si>
  <si>
    <t>Dimmit</t>
  </si>
  <si>
    <t>24INR0450</t>
  </si>
  <si>
    <t>Smokey Willie BESS SLF</t>
  </si>
  <si>
    <t>23INR0318</t>
  </si>
  <si>
    <t xml:space="preserve">Marcelina Storage </t>
  </si>
  <si>
    <t>24INR0255</t>
  </si>
  <si>
    <t>Mitchell Plant Road Storage</t>
  </si>
  <si>
    <t>24INR0177</t>
  </si>
  <si>
    <t>Mitchell Plant Road Solar</t>
  </si>
  <si>
    <t>25INR0482</t>
  </si>
  <si>
    <t>Vault Solar</t>
  </si>
  <si>
    <t>Palo Pinto</t>
  </si>
  <si>
    <t>26INR0139</t>
  </si>
  <si>
    <t>Weathervane Storage SLF</t>
  </si>
  <si>
    <t>Montague</t>
  </si>
  <si>
    <t>26INR0138</t>
  </si>
  <si>
    <t>Weathervane Solar SLF</t>
  </si>
  <si>
    <t>26INR0551</t>
  </si>
  <si>
    <t>Hastings Park BESS</t>
  </si>
  <si>
    <t>26INR0321</t>
  </si>
  <si>
    <t>Windmill Ridge Storage</t>
  </si>
  <si>
    <t>25INR0372</t>
  </si>
  <si>
    <t>Elan BESS</t>
  </si>
  <si>
    <t>27INR0068</t>
  </si>
  <si>
    <t>Jerboa BESS</t>
  </si>
  <si>
    <t>27INR0085</t>
  </si>
  <si>
    <t>Eagle Claw Energy Center</t>
  </si>
  <si>
    <t>Grimes</t>
  </si>
  <si>
    <t>25INR0301</t>
  </si>
  <si>
    <t xml:space="preserve">Van Zandt Energy Storage </t>
  </si>
  <si>
    <t>27INR0102</t>
  </si>
  <si>
    <t>Cottonseed Energy Storage</t>
  </si>
  <si>
    <t>24INR0099</t>
  </si>
  <si>
    <t>Two Rivers Solar</t>
  </si>
  <si>
    <t>27INR0235</t>
  </si>
  <si>
    <t>Ochoa Energy Storage II</t>
  </si>
  <si>
    <t>Waller</t>
  </si>
  <si>
    <t>25INR0138</t>
  </si>
  <si>
    <t>Champaign BESS</t>
  </si>
  <si>
    <t>26INR0231</t>
  </si>
  <si>
    <t>Energy City BESS</t>
  </si>
  <si>
    <t>25INR0363</t>
  </si>
  <si>
    <t>Emerald Hill Energy Storage</t>
  </si>
  <si>
    <t>Dallas</t>
  </si>
  <si>
    <t>25INR0471</t>
  </si>
  <si>
    <t>Tyler BESS</t>
  </si>
  <si>
    <t>Smith</t>
  </si>
  <si>
    <t>27INR0209</t>
  </si>
  <si>
    <t>Goby Energy Center</t>
  </si>
  <si>
    <t>25INR0222</t>
  </si>
  <si>
    <t>Olympic BESS</t>
  </si>
  <si>
    <t>25INR0139</t>
  </si>
  <si>
    <t>Dolce BESS</t>
  </si>
  <si>
    <t>Mitchell</t>
  </si>
  <si>
    <t>26INR0432</t>
  </si>
  <si>
    <t>Big Rooter West Storage SLF</t>
  </si>
  <si>
    <t>26INR0411</t>
  </si>
  <si>
    <t>Tex-Bar ESS</t>
  </si>
  <si>
    <t>24INR0167</t>
  </si>
  <si>
    <t>OCI SunRoper</t>
  </si>
  <si>
    <t>26INR0280</t>
  </si>
  <si>
    <t>Pethrus BESS</t>
  </si>
  <si>
    <t>24INR0340</t>
  </si>
  <si>
    <t>Mystic Springs Renewable Energy Storage SLF</t>
  </si>
  <si>
    <t>24INR0339</t>
  </si>
  <si>
    <t>Mystic Springs Renewable Energy Solar SLF</t>
  </si>
  <si>
    <t>25INR0396</t>
  </si>
  <si>
    <t>Stewart Grady BESS</t>
  </si>
  <si>
    <t>27INR0234</t>
  </si>
  <si>
    <t>Maddox Solar</t>
  </si>
  <si>
    <t>Grayson</t>
  </si>
  <si>
    <t>25INR0431</t>
  </si>
  <si>
    <t xml:space="preserve">Millennium Energy Storage </t>
  </si>
  <si>
    <t>26INR0184</t>
  </si>
  <si>
    <t>Arc Energy Storage</t>
  </si>
  <si>
    <t>26INR0472</t>
  </si>
  <si>
    <t>Bologna BESS</t>
  </si>
  <si>
    <t>26INR0253</t>
  </si>
  <si>
    <t>Goldfinch Solar</t>
  </si>
  <si>
    <t>25INR0657</t>
  </si>
  <si>
    <t>O'Bannion Energy Storage</t>
  </si>
  <si>
    <t>26INR0355</t>
  </si>
  <si>
    <t>Pleiades Storage</t>
  </si>
  <si>
    <t>25INR0374</t>
  </si>
  <si>
    <t>Meridian BESS</t>
  </si>
  <si>
    <t>25INR0494</t>
  </si>
  <si>
    <t>Willow Beach Wind</t>
  </si>
  <si>
    <t>26INR0215</t>
  </si>
  <si>
    <t>JackGard BESS</t>
  </si>
  <si>
    <t>25INR0369</t>
  </si>
  <si>
    <t>Echols Creek Storage</t>
  </si>
  <si>
    <t>24INR0375</t>
  </si>
  <si>
    <t>Possum Kingdom BESS</t>
  </si>
  <si>
    <t>24INR0118</t>
  </si>
  <si>
    <t>Possum Kingdom Solar</t>
  </si>
  <si>
    <t>25INR0142</t>
  </si>
  <si>
    <t>Sagewood BESS</t>
  </si>
  <si>
    <t>23INR0335</t>
  </si>
  <si>
    <t>BRP Bachman BESS</t>
  </si>
  <si>
    <t>23INR0360</t>
  </si>
  <si>
    <t>BRP Charon BESS</t>
  </si>
  <si>
    <t>24INR0461</t>
  </si>
  <si>
    <t>Augie BESS</t>
  </si>
  <si>
    <t>27INR0218</t>
  </si>
  <si>
    <t>Themisto Solar</t>
  </si>
  <si>
    <t>22INR0443</t>
  </si>
  <si>
    <t>Bowstring BESS</t>
  </si>
  <si>
    <t>24INR0423</t>
  </si>
  <si>
    <t>Hollow Branch Creek Storage</t>
  </si>
  <si>
    <t>25INR0311</t>
  </si>
  <si>
    <t>RIVERBEND STORAGE SLF</t>
  </si>
  <si>
    <t>Falls</t>
  </si>
  <si>
    <t>24INR0178</t>
  </si>
  <si>
    <t>Cumulus Grid BESS</t>
  </si>
  <si>
    <t>20INR0244</t>
  </si>
  <si>
    <t>Montezuma Storage</t>
  </si>
  <si>
    <t>26INR0235</t>
  </si>
  <si>
    <t>Noor Solar</t>
  </si>
  <si>
    <t>Liberty</t>
  </si>
  <si>
    <t>25INR0440</t>
  </si>
  <si>
    <t>Bronc Rodeo Solar Project</t>
  </si>
  <si>
    <t>25INR0405</t>
  </si>
  <si>
    <t>Pledgor BESS</t>
  </si>
  <si>
    <t>25INR0184</t>
  </si>
  <si>
    <t>Legato BESS</t>
  </si>
  <si>
    <t>25INR0190</t>
  </si>
  <si>
    <t>Fortissimo BESS</t>
  </si>
  <si>
    <t>23INR0174</t>
  </si>
  <si>
    <t>Campsey Wind</t>
  </si>
  <si>
    <t>26INR0294</t>
  </si>
  <si>
    <t xml:space="preserve">Longleaf Power Station </t>
  </si>
  <si>
    <t>Angelina</t>
  </si>
  <si>
    <t>26INR0285</t>
  </si>
  <si>
    <t>Hill Valley BESS</t>
  </si>
  <si>
    <t>26INR0324</t>
  </si>
  <si>
    <t>Misty Hollow BESS</t>
  </si>
  <si>
    <t>26INR0349</t>
  </si>
  <si>
    <t>ARTIO ENERGY STORAGE</t>
  </si>
  <si>
    <t>27INR0190</t>
  </si>
  <si>
    <t>Millsing BESS</t>
  </si>
  <si>
    <t>29INR0018</t>
  </si>
  <si>
    <t>Big Rooter East Storage SLF</t>
  </si>
  <si>
    <t>29INR0017</t>
  </si>
  <si>
    <t>Big Rooter East Solar SLF</t>
  </si>
  <si>
    <t>26INR0183</t>
  </si>
  <si>
    <t>TRIFECTA Gas</t>
  </si>
  <si>
    <r>
      <t xml:space="preserve">New generators that have a started FIS
</t>
    </r>
    <r>
      <rPr>
        <b/>
        <sz val="11"/>
        <color rgb="FFFF0000"/>
        <rFont val="Calibri"/>
        <family val="2"/>
        <scheme val="minor"/>
      </rPr>
      <t>in 2031 ONLY</t>
    </r>
    <r>
      <rPr>
        <b/>
        <sz val="11"/>
        <color theme="1"/>
        <rFont val="Calibri"/>
        <family val="2"/>
        <scheme val="minor"/>
      </rPr>
      <t>.</t>
    </r>
  </si>
  <si>
    <t>FIS Started</t>
  </si>
  <si>
    <t>27INR0272</t>
  </si>
  <si>
    <t xml:space="preserve">EMPower Odessa (TEF - Due Diligence) </t>
  </si>
  <si>
    <t>GAS</t>
  </si>
  <si>
    <t>26INR0261</t>
  </si>
  <si>
    <t>Bastrop Peaking Generators (TEF-Due Diligence)</t>
  </si>
  <si>
    <t>28INR0105</t>
  </si>
  <si>
    <t>Vast Sands Power I (TEF -Due Diligence)</t>
  </si>
  <si>
    <t>27INR0095</t>
  </si>
  <si>
    <t xml:space="preserve">Bulldog Power (TEF - Due Diligence) </t>
  </si>
  <si>
    <t>24INR0576</t>
  </si>
  <si>
    <t>Boling Generation (TEF-Due Diligience)</t>
  </si>
  <si>
    <t>28INR0109</t>
  </si>
  <si>
    <t>Vast Sands Power II (TEF-Due Diligence)</t>
  </si>
  <si>
    <t>28INR0108</t>
  </si>
  <si>
    <t>RAYBURN ENERGY STATION II Gas (TEF-Due Diligence)</t>
  </si>
  <si>
    <t>29INR0041</t>
  </si>
  <si>
    <t xml:space="preserve">Homestead Power (TEF-Due Diligence) </t>
  </si>
  <si>
    <t>28INR0087</t>
  </si>
  <si>
    <t>North Royal Thermal (TEF- Due Diligence)</t>
  </si>
  <si>
    <t>28INR0086</t>
  </si>
  <si>
    <t xml:space="preserve">West Royal Natural Gas (TEF-Due Diligence) </t>
  </si>
  <si>
    <t>26INR0351</t>
  </si>
  <si>
    <t>Jack County III – 345 kV (TEF -Due Diligence)</t>
  </si>
  <si>
    <t>26INR0396</t>
  </si>
  <si>
    <t>Kodiak AGR1 (TEF- Due Diligence)</t>
  </si>
  <si>
    <t>Fuel Oil</t>
  </si>
  <si>
    <t>Retired Units</t>
  </si>
  <si>
    <t>Unit Name</t>
  </si>
  <si>
    <t>MW For Grid</t>
  </si>
  <si>
    <t>CALAVERS_JTD1</t>
  </si>
  <si>
    <t>NCGRD</t>
  </si>
  <si>
    <t>CALAVERS_JTD2</t>
  </si>
  <si>
    <t>TOSBATT_UNIT1</t>
  </si>
  <si>
    <t>OCI_ALM1_ASTRO1</t>
  </si>
  <si>
    <t>NSO</t>
  </si>
  <si>
    <t>DOWGEN_DOW_G37</t>
  </si>
  <si>
    <t>DECKER_DPG2</t>
  </si>
  <si>
    <t>Generation Resources Unavailable in Planning Studies Prior to NSO</t>
  </si>
  <si>
    <t>COL_COLETOG1</t>
  </si>
  <si>
    <t>https://www.ercot.com/mp/data-products/data-product-details?id=PG3-1411-M</t>
  </si>
  <si>
    <t>BRAUNIG_VHB1</t>
  </si>
  <si>
    <t>BRAUNIG_VHB2</t>
  </si>
  <si>
    <t>BRAUNIG_VHB3</t>
  </si>
  <si>
    <t>CALAVER_OWS1</t>
  </si>
  <si>
    <t>CALAVER_OWS2</t>
  </si>
  <si>
    <t>CALAVER_JKS1</t>
  </si>
  <si>
    <t>MIL_MILLERG1</t>
  </si>
  <si>
    <t>Mothballed Units</t>
  </si>
  <si>
    <t>AMOC_AMOCO_5</t>
  </si>
  <si>
    <t>Notice of probability</t>
  </si>
  <si>
    <t>BRANDON_UNIT1</t>
  </si>
  <si>
    <t>CDR, NSO</t>
  </si>
  <si>
    <t>DOWGEN_DOW_G66</t>
  </si>
  <si>
    <t>DOWGEN_DOW_ST64</t>
  </si>
  <si>
    <t>FLCNS_UNIT3</t>
  </si>
  <si>
    <t>MASSENGL_G6</t>
  </si>
  <si>
    <t>MASSENGL_G7</t>
  </si>
  <si>
    <t>MASSENGL_G8</t>
  </si>
  <si>
    <t>OLINGR_OLING_1</t>
  </si>
  <si>
    <t>SGMTN_SIGNALM2</t>
  </si>
  <si>
    <t>TY_COOKE_GT2</t>
  </si>
  <si>
    <t>TY_COOKE_GT3</t>
  </si>
  <si>
    <t>WFCOGEN_UNIT4</t>
  </si>
  <si>
    <t>BYU_BYU_G8</t>
  </si>
  <si>
    <t>Seasonal Mothballed Units (Offline in the 2028 Min case only)</t>
  </si>
  <si>
    <t>STEAM1A_STEAM_1</t>
  </si>
  <si>
    <t>SPNCER_SPNCE_4</t>
  </si>
  <si>
    <t>SPNCER_SPNCE_5</t>
  </si>
  <si>
    <t>CHISMGRD_BES1</t>
  </si>
  <si>
    <t>NSO, temporary MB ends 1/1/2029</t>
  </si>
  <si>
    <t xml:space="preserve">Retirement Units back in service </t>
  </si>
  <si>
    <t>B_DAVIS_B_DAVIG1</t>
  </si>
  <si>
    <t>Withdrawal of NSO</t>
  </si>
  <si>
    <t>MCSES_UNIT8</t>
  </si>
  <si>
    <t>PNPI_GT2</t>
  </si>
  <si>
    <t>LGE_LGE_GT1</t>
  </si>
  <si>
    <t>LGE_LGE_GT2</t>
  </si>
  <si>
    <t>LGE_LGE_STG</t>
  </si>
  <si>
    <t>Planned Units Removed Due to Project Cancellation</t>
  </si>
  <si>
    <t>MIRAGE_G1</t>
  </si>
  <si>
    <t>CDR</t>
  </si>
  <si>
    <t>VALHALLA_S1</t>
  </si>
  <si>
    <t>BERKMAN_B1</t>
  </si>
  <si>
    <t>NEPTUNE_S1</t>
  </si>
  <si>
    <t>September GIS</t>
  </si>
  <si>
    <t>Solar maximum capacity percentage based on historical Settlements HSL dispatch levels during the top 20 load hours of the last five years for summer peak conditions. Note: All solar units are offline in the MIN case.</t>
  </si>
  <si>
    <t>Summer Peak, Solar</t>
  </si>
  <si>
    <t>Summer Peak, Coastal</t>
  </si>
  <si>
    <t>Summer Peak, Panhandle</t>
  </si>
  <si>
    <t>Summer Peak, Other</t>
  </si>
  <si>
    <t>Min Case, Coastal</t>
  </si>
  <si>
    <t>Min Case, Panhandle</t>
  </si>
  <si>
    <t>Min Case, Other</t>
  </si>
  <si>
    <t>Hydro</t>
  </si>
  <si>
    <t>Unit specific generation MW dispatch modeled based on historical Settlements HSL dispatch levels during the top 20 load hours of the last three years. Note: All Hydro units are offline in the MIN case.</t>
  </si>
  <si>
    <t>AMI_AMISTAG1 (H1)</t>
  </si>
  <si>
    <t>AMI_AMISTAG2 (H2)</t>
  </si>
  <si>
    <t>AUS_AUSTING1 (H2)</t>
  </si>
  <si>
    <t>AUS_AUSTING1 (H1)</t>
  </si>
  <si>
    <t>BUC_BUCHANG1 (H1)</t>
  </si>
  <si>
    <t>BUC_BUCHANG2 (H2)</t>
  </si>
  <si>
    <t>BUC_BUCHANG3 (H3)</t>
  </si>
  <si>
    <t>CAN_CANYHYG1 (H1)</t>
  </si>
  <si>
    <t>CAN_CANYHYG1 (H2)</t>
  </si>
  <si>
    <t>DND_DENISOG1 (H1)</t>
  </si>
  <si>
    <t>DND_DENISOG2 (H2)</t>
  </si>
  <si>
    <t>EA_EAGLE_HY1 (H3)</t>
  </si>
  <si>
    <t>EA_EAGLE_HY1 (H2)</t>
  </si>
  <si>
    <t>EA_EAGLE_HY1 (H1)</t>
  </si>
  <si>
    <t>FAL_FALCONG1 (H1)</t>
  </si>
  <si>
    <t>FAL_FALCONG2 (H2)</t>
  </si>
  <si>
    <t>FAL_FALCONG3 (H3)</t>
  </si>
  <si>
    <t>INKS_INKS_G1 (H1)</t>
  </si>
  <si>
    <t>MAR_MARBFAG1 (H1)</t>
  </si>
  <si>
    <t>MAR_MARBFAG2 (H2)</t>
  </si>
  <si>
    <t>MAR_MARSFOG1 (H1)</t>
  </si>
  <si>
    <t>MAR_MARSFOG2 (H2)</t>
  </si>
  <si>
    <t>MAR_MARSFOG3 (H3)</t>
  </si>
  <si>
    <t>WIR_WIRTZ_G1 (H1)</t>
  </si>
  <si>
    <t>WIR_WIRTZ_G2 (H2)</t>
  </si>
  <si>
    <t>WND_WHITNEY1 (H1)</t>
  </si>
  <si>
    <t>WND_WHITNEY2 (H2)</t>
  </si>
  <si>
    <t>Operational Resources Unavailable to ERCOT (Switchable)</t>
  </si>
  <si>
    <t>Summer</t>
  </si>
  <si>
    <t>Winter</t>
  </si>
  <si>
    <t>UNIT NAME</t>
  </si>
  <si>
    <t>UNIT CODE</t>
  </si>
  <si>
    <t>COUNTY</t>
  </si>
  <si>
    <t>FUEL</t>
  </si>
  <si>
    <t>ZONE</t>
  </si>
  <si>
    <t>IN SERVICE</t>
  </si>
  <si>
    <t>2027/2028</t>
  </si>
  <si>
    <t>ANTELOPE IC 1</t>
  </si>
  <si>
    <t>AEEC_ANTLP_1_UNAVAIL</t>
  </si>
  <si>
    <t>HALE</t>
  </si>
  <si>
    <t>PANHANDLE</t>
  </si>
  <si>
    <t>ANTELOPE IC 2</t>
  </si>
  <si>
    <t>AEEC_ANTLP_2_UNAVAIL</t>
  </si>
  <si>
    <t>ANTELOPE IC 3</t>
  </si>
  <si>
    <t>AEEC_ANTLP_3_UNAVAIL</t>
  </si>
  <si>
    <t>ELK STATION CTG 1</t>
  </si>
  <si>
    <t>AEEC_ELK_1_UNAVAIL</t>
  </si>
  <si>
    <t>ELK STATION CTG 2</t>
  </si>
  <si>
    <t>AEEC_ELK_2_UNAVAIL</t>
  </si>
  <si>
    <t>ELK STATION CTG 3</t>
  </si>
  <si>
    <t>AEEC_ELK_3_UNAVAIL</t>
  </si>
  <si>
    <t>TENASKA GATEWAY STATION CTG 1</t>
  </si>
  <si>
    <t>TGCCS_CT1_UNAVAIL</t>
  </si>
  <si>
    <t>RUSK</t>
  </si>
  <si>
    <t>NORTH</t>
  </si>
  <si>
    <t>TENASKA GATEWAY STATION CTG 2</t>
  </si>
  <si>
    <t>TGCCS_CT2_UNAVAIL</t>
  </si>
  <si>
    <t>TENASKA GATEWAY STATION CTG 3</t>
  </si>
  <si>
    <t>TGCCS_CT3_UNAVAIL</t>
  </si>
  <si>
    <t>TENASKA GATEWAY STATION STG 4</t>
  </si>
  <si>
    <t>TGCCS_UNIT4_UNAVAIL</t>
  </si>
  <si>
    <t>TENASKA KIAMICHI STATION 2CT101</t>
  </si>
  <si>
    <t>KMCHI_2CT101_UNAVAIL</t>
  </si>
  <si>
    <t>FANNIN</t>
  </si>
  <si>
    <t>TENASKA KIAMICHI STATION 2CT201</t>
  </si>
  <si>
    <t>KMCHI_2CT201_UNAVAIL</t>
  </si>
  <si>
    <t>TENASKA KIAMICHI STATION 2ST</t>
  </si>
  <si>
    <t>KMCHI_2ST_UNAVAIL</t>
  </si>
  <si>
    <t>Switchable Capacity Unavailable to ERCOT Total</t>
  </si>
  <si>
    <t>Reliability Analysis</t>
  </si>
  <si>
    <t>DC Tie Dispatch - Summer Peak Conditions (MW)</t>
  </si>
  <si>
    <t>DC_E</t>
  </si>
  <si>
    <t>Import</t>
  </si>
  <si>
    <t>DC_N</t>
  </si>
  <si>
    <t>DC_L</t>
  </si>
  <si>
    <t>DC_R</t>
  </si>
  <si>
    <t>DC Tie Dispatch - Minimum Load Conditions (MW)</t>
  </si>
  <si>
    <t>Reliability Cases</t>
  </si>
  <si>
    <t>3,000 MW</t>
  </si>
  <si>
    <t>Source:</t>
  </si>
  <si>
    <t>Annual Energy Outlook 2025 was incorporated into a longer-term historical analysis of natural gas prices</t>
  </si>
  <si>
    <t>https://www.eia.gov/outlooks/aeo/</t>
  </si>
  <si>
    <t>Natural Gas Price Forecast ($/MMBtu)</t>
  </si>
  <si>
    <t>Year</t>
  </si>
  <si>
    <t>Jan</t>
  </si>
  <si>
    <t>Feb</t>
  </si>
  <si>
    <t>Mar</t>
  </si>
  <si>
    <t>Apr</t>
  </si>
  <si>
    <t>May</t>
  </si>
  <si>
    <t>Jun</t>
  </si>
  <si>
    <t>Jul</t>
  </si>
  <si>
    <t>Aug</t>
  </si>
  <si>
    <t>Sep</t>
  </si>
  <si>
    <t>Oct</t>
  </si>
  <si>
    <t>Nov</t>
  </si>
  <si>
    <t>Dec</t>
  </si>
  <si>
    <t>Average</t>
  </si>
  <si>
    <t>SSWG load based on 24 SSWG cases posted on 10/14/2024 less self-served load and losses (MW)</t>
  </si>
  <si>
    <t>NCP Total</t>
  </si>
  <si>
    <t>ERCOT 90th percentile coincident peak load forecast less self-served and losses (MW)</t>
  </si>
  <si>
    <t xml:space="preserve"> Year </t>
  </si>
  <si>
    <t xml:space="preserve"> Coast </t>
  </si>
  <si>
    <t xml:space="preserve"> East </t>
  </si>
  <si>
    <t xml:space="preserve"> Far West </t>
  </si>
  <si>
    <t xml:space="preserve"> North </t>
  </si>
  <si>
    <t xml:space="preserve"> North Central </t>
  </si>
  <si>
    <t xml:space="preserve"> South Central </t>
  </si>
  <si>
    <t xml:space="preserve"> South</t>
  </si>
  <si>
    <t xml:space="preserve"> West </t>
  </si>
  <si>
    <t xml:space="preserve"> CP Total </t>
  </si>
  <si>
    <t>2025 RTP load level with self-served load and less losses (MW) - based on ERCOT large load incorporation of the PUC-approved Good Cause Exception, the incorporation of the S&amp;P Global Permian Basin load forecast, EV load adoption, and rooftop PV growth forecast contribution</t>
  </si>
  <si>
    <t>Total</t>
  </si>
  <si>
    <t>2025 RTP load level with self-served load and less losses for Off-Peak Case (MW) - based on 2026 SSWG Min Case, ERCOT large load incorporation of the PUC-approved Good Cause Exception, the incorporation of the S&amp;P Global Permian Basin load forecast, and EV load adoption</t>
  </si>
  <si>
    <t>Sensitivity 1:</t>
  </si>
  <si>
    <t>ERCOT Load (MW)</t>
  </si>
  <si>
    <t>DC Tie Export* (MW)</t>
  </si>
  <si>
    <t>Wind Output (MW)</t>
  </si>
  <si>
    <t>Solar Output (MW)</t>
  </si>
  <si>
    <t>Total Renewable Output (MW)</t>
  </si>
  <si>
    <t>South Wind (Coastal)</t>
  </si>
  <si>
    <t>South Wind (Non-Coastal)</t>
  </si>
  <si>
    <t>Panhandle</t>
  </si>
  <si>
    <t>Other</t>
  </si>
  <si>
    <t xml:space="preserve">Sensitivity 2: </t>
  </si>
  <si>
    <t>* negative sign indicating DC tie import.</t>
  </si>
  <si>
    <t>Added the LCRATSC Georgetown to Rivery Transmission Line Upgrade MOD project to upgrade ratings on Georgetown to Rivery</t>
  </si>
  <si>
    <t>MOD 85973</t>
  </si>
  <si>
    <t>25RPG022</t>
  </si>
  <si>
    <t>Oncor and AEPSC Drill Hole to Sand Lake to Solstice 765-kV Line Project</t>
  </si>
  <si>
    <t>AEPSC/ONCOR</t>
  </si>
  <si>
    <t>25RPG025</t>
  </si>
  <si>
    <t>AEP Texas, CPS Energy, Oncor, and CNP Texas 765-kV-STEP Eastern Backbone Project</t>
  </si>
  <si>
    <t>AEP Texas/CPS/Oncor/CNP</t>
  </si>
  <si>
    <t>AEPSC</t>
  </si>
  <si>
    <t>Provided by AEPSC</t>
  </si>
  <si>
    <t>Confirmed by AEPSC</t>
  </si>
  <si>
    <t>Opened Kendal (7046) 345/138-kV AT#3 (N.O. in operations)</t>
  </si>
  <si>
    <t>Node breaker to bus branch modeling error; confirmed by LCRA TSC</t>
  </si>
  <si>
    <t>Updated ratings based on current operations model.</t>
  </si>
  <si>
    <t xml:space="preserve">Holly (8486) bus tie breaker ratings upgrade. </t>
  </si>
  <si>
    <t>Eden</t>
  </si>
  <si>
    <t xml:space="preserve">Sensitivity 3(a): </t>
  </si>
  <si>
    <t xml:space="preserve">Sensitivity 3(b): </t>
  </si>
  <si>
    <t>2028MIN</t>
  </si>
  <si>
    <t>Units Removed Due to Confirmed Extended Outage</t>
  </si>
  <si>
    <t>March GIS</t>
  </si>
  <si>
    <t>Notification of Change of Generation Resource Designation (NCGRD)</t>
  </si>
  <si>
    <t>Notice of Suspension of Operations (NSO)</t>
  </si>
  <si>
    <t>February Generation Interconnection Status (GIS)</t>
  </si>
  <si>
    <t>Generation Resources Unavailable in Planning Studies Prior to NSO - Now Available</t>
  </si>
  <si>
    <t>May 2025 Capacity, Demand, and Reserves Report (CDR) (Unconfirmed Planned Fuel Conversion for an Operating Unit)</t>
  </si>
  <si>
    <t>Sensitivity 1 and Sensitivity 2 were used to meet NERC TPL sensitivity requirements, while Sensitivity 3(a) was developed as the basis for Sensitivity 3(b), which was used for Minimum Deliverability analysis.</t>
  </si>
  <si>
    <t>The peak net load case was modeled with generation dispatch and load updated to represent "sunset" conditions typically observed during the 7–8 PM time period. Load substantiated by TSP officer letters was reduced to zero, and only generators compliant with ERCOT Planning Guide 6.9(1) requirements were included.</t>
  </si>
  <si>
    <t>The peak net load ("sunset") case was modeled with generation dispatch updated to reflect the Minimum Deliverability Criteria outlined in Planning Guide Section 4.1.1.7. Load substantiated by TSP officer letters was reduced to zero, and only generators compliant with ERCOT Planning Guide 6.9(1) requirements were included.</t>
  </si>
  <si>
    <t>The summer peak load cases were modeled with load substantiated by TSP officer letters reduced to zero and included only generators compliant with ERCOT Planning Guide 6.9(1) requirements.</t>
  </si>
  <si>
    <t>The minimum load case was modeled with load substantiated by TSP officer letters reduced to zero and included only generators compliant with ERCOT Planning Guide 6.9(1) requirements.</t>
  </si>
  <si>
    <t>Monthly Outlook for Resource Adequacy (MORA) - February 2026</t>
  </si>
  <si>
    <t>The reserve requirements used in the reliability models account for the outage of ERCOT's two largest units as well as the increased losses observed during such an G-1 &amp; N-1 outage. The reserves target is an approximation and will fluctuate with losses in the cases.</t>
  </si>
  <si>
    <t>Wind region maximum capacity percentages based on historical Settlements HSL dispatch levels during the top 20 load hours of the last ten years for summer peak conditions and three years for minimum load conditions. Each wind region was then scaled up 4% in the minimum load case to allow Quick Start units to be turned 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</si>
</sst>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
    <numFmt numFmtId="165" formatCode="_(* #,##0_);_(* \(#,##0\);_(* &quot;-&quot;??_);_(@_)"/>
    <numFmt numFmtId="166" formatCode="0.0%"/>
    <numFmt numFmtId="167" formatCode="[$-F800]dddd\,\ mmmm\ dd\,\ yyyy"/>
    <numFmt numFmtId="168" formatCode="m/yyyy"/>
    <numFmt numFmtId="169" formatCode="[$-409]mmm\-yy;@"/>
  </numFmts>
  <fonts count="37" x14ac:knownFonts="1">
    <font>
      <sz val="11"/>
      <color theme="1"/>
      <name val="Calibri"/>
      <family val="2"/>
      <scheme val="minor"/>
    </font>
    <font>
      <b/>
      <sz val="11"/>
      <color theme="0"/>
      <name val="Calibri"/>
      <family val="2"/>
      <scheme val="minor"/>
    </font>
    <font>
      <u/>
      <sz val="11"/>
      <color theme="10"/>
      <name val="Calibri"/>
      <family val="2"/>
      <scheme val="minor"/>
    </font>
    <font>
      <strike/>
      <vertAlign val="superscript"/>
      <sz val="12"/>
      <name val="Arial"/>
      <family val="2"/>
    </font>
    <font>
      <strike/>
      <vertAlign val="superscript"/>
      <sz val="12"/>
      <name val="Calibri"/>
      <family val="2"/>
      <scheme val="minor"/>
    </font>
    <font>
      <i/>
      <sz val="11"/>
      <color theme="1"/>
      <name val="Calibri"/>
      <family val="2"/>
      <scheme val="minor"/>
    </font>
    <font>
      <sz val="11"/>
      <color theme="1"/>
      <name val="Calibri"/>
      <family val="2"/>
      <scheme val="minor"/>
    </font>
    <font>
      <b/>
      <sz val="11"/>
      <color theme="1"/>
      <name val="Calibri"/>
      <family val="2"/>
      <scheme val="minor"/>
    </font>
    <font>
      <b/>
      <sz val="11"/>
      <name val="Calibri"/>
      <family val="2"/>
      <scheme val="minor"/>
    </font>
    <font>
      <sz val="8"/>
      <name val="Calibri"/>
      <family val="2"/>
      <scheme val="minor"/>
    </font>
    <font>
      <sz val="10"/>
      <name val="Calibri"/>
      <family val="2"/>
      <scheme val="minor"/>
    </font>
    <font>
      <b/>
      <sz val="14"/>
      <color theme="1"/>
      <name val="Calibri"/>
      <family val="2"/>
      <scheme val="minor"/>
    </font>
    <font>
      <sz val="9"/>
      <color theme="1"/>
      <name val="Calibri"/>
      <family val="2"/>
      <scheme val="minor"/>
    </font>
    <font>
      <sz val="10"/>
      <name val="Arial"/>
      <family val="2"/>
    </font>
    <font>
      <b/>
      <sz val="16"/>
      <color theme="1"/>
      <name val="Calibri"/>
      <family val="2"/>
      <scheme val="minor"/>
    </font>
    <font>
      <sz val="11"/>
      <name val="Calibri"/>
      <family val="2"/>
      <scheme val="minor"/>
    </font>
    <font>
      <sz val="10"/>
      <color indexed="8"/>
      <name val="Arial"/>
      <family val="2"/>
    </font>
    <font>
      <sz val="11"/>
      <color indexed="8"/>
      <name val="Calibri"/>
      <family val="2"/>
    </font>
    <font>
      <sz val="11"/>
      <color rgb="FF000000"/>
      <name val="Calibri"/>
      <family val="2"/>
    </font>
    <font>
      <b/>
      <sz val="12"/>
      <name val="Calibri"/>
      <family val="2"/>
    </font>
    <font>
      <b/>
      <sz val="11"/>
      <name val="Calibri"/>
      <family val="2"/>
    </font>
    <font>
      <sz val="9"/>
      <color indexed="8"/>
      <name val="Calibri"/>
      <family val="2"/>
    </font>
    <font>
      <b/>
      <sz val="12"/>
      <color theme="1"/>
      <name val="Calibri"/>
      <family val="2"/>
      <scheme val="minor"/>
    </font>
    <font>
      <sz val="10"/>
      <color theme="1"/>
      <name val="Calibri"/>
      <family val="2"/>
      <scheme val="minor"/>
    </font>
    <font>
      <b/>
      <sz val="11"/>
      <color rgb="FF000000"/>
      <name val="Calibri"/>
      <family val="2"/>
    </font>
    <font>
      <sz val="11"/>
      <color theme="1"/>
      <name val="Calibri"/>
      <family val="2"/>
    </font>
    <font>
      <sz val="11"/>
      <color rgb="FF006100"/>
      <name val="Calibri"/>
      <family val="2"/>
      <scheme val="minor"/>
    </font>
    <font>
      <sz val="11"/>
      <color rgb="FF000000"/>
      <name val="Calibri"/>
      <family val="2"/>
      <scheme val="minor"/>
    </font>
    <font>
      <u/>
      <sz val="10"/>
      <color indexed="12"/>
      <name val="Arial"/>
      <family val="2"/>
    </font>
    <font>
      <b/>
      <sz val="11"/>
      <color rgb="FFFF0000"/>
      <name val="Calibri"/>
      <family val="2"/>
      <scheme val="minor"/>
    </font>
    <font>
      <sz val="11"/>
      <color rgb="FF242424"/>
      <name val="Aptos Narrow"/>
      <family val="2"/>
    </font>
    <font>
      <b/>
      <sz val="11"/>
      <color rgb="FF242424"/>
      <name val="Segoe UI"/>
      <family val="2"/>
    </font>
    <font>
      <sz val="11"/>
      <color rgb="FF242424"/>
      <name val="Calibri"/>
      <family val="2"/>
      <scheme val="minor"/>
    </font>
    <font>
      <b/>
      <sz val="11"/>
      <color rgb="FF000000"/>
      <name val="Calibri"/>
      <family val="2"/>
      <scheme val="minor"/>
    </font>
    <font>
      <b/>
      <sz val="11"/>
      <color rgb="FF000000"/>
      <name val="Calibri"/>
    </font>
    <font>
      <sz val="11"/>
      <color rgb="FF000000"/>
      <name val="Calibri"/>
    </font>
    <font>
      <sz val="11"/>
      <color theme="1"/>
      <name val="Calibri"/>
    </font>
  </fonts>
  <fills count="12">
    <fill>
      <patternFill patternType="none"/>
    </fill>
    <fill>
      <patternFill patternType="gray125"/>
    </fill>
    <fill>
      <patternFill patternType="solid">
        <fgColor theme="7"/>
        <bgColor indexed="64"/>
      </patternFill>
    </fill>
    <fill>
      <patternFill patternType="solid">
        <fgColor theme="1"/>
        <bgColor theme="1"/>
      </patternFill>
    </fill>
    <fill>
      <patternFill patternType="solid">
        <fgColor theme="0" tint="-0.14999847407452621"/>
        <bgColor theme="0" tint="-0.14999847407452621"/>
      </patternFill>
    </fill>
    <fill>
      <patternFill patternType="solid">
        <fgColor theme="0" tint="-0.34998626667073579"/>
        <bgColor theme="0" tint="-0.34998626667073579"/>
      </patternFill>
    </fill>
    <fill>
      <patternFill patternType="solid">
        <fgColor theme="4" tint="0.59999389629810485"/>
        <bgColor indexed="64"/>
      </patternFill>
    </fill>
    <fill>
      <patternFill patternType="solid">
        <fgColor theme="2"/>
        <bgColor indexed="64"/>
      </patternFill>
    </fill>
    <fill>
      <patternFill patternType="solid">
        <fgColor theme="0" tint="-0.34998626667073579"/>
        <bgColor theme="0" tint="-0.14999847407452621"/>
      </patternFill>
    </fill>
    <fill>
      <patternFill patternType="solid">
        <fgColor theme="0"/>
        <bgColor indexed="64"/>
      </patternFill>
    </fill>
    <fill>
      <patternFill patternType="solid">
        <fgColor rgb="FFFFFFFF"/>
        <bgColor indexed="64"/>
      </patternFill>
    </fill>
    <fill>
      <patternFill patternType="solid">
        <fgColor rgb="FFC6EFCE"/>
      </patternFill>
    </fill>
  </fills>
  <borders count="83">
    <border>
      <left/>
      <right/>
      <top/>
      <bottom/>
      <diagonal/>
    </border>
    <border>
      <left style="thin">
        <color theme="0"/>
      </left>
      <right/>
      <top style="thin">
        <color theme="0"/>
      </top>
      <bottom/>
      <diagonal/>
    </border>
    <border>
      <left style="thin">
        <color theme="0"/>
      </left>
      <right/>
      <top/>
      <bottom/>
      <diagonal/>
    </border>
    <border>
      <left/>
      <right/>
      <top style="thin">
        <color theme="0"/>
      </top>
      <bottom/>
      <diagonal/>
    </border>
    <border>
      <left style="thin">
        <color indexed="64"/>
      </left>
      <right style="thin">
        <color indexed="64"/>
      </right>
      <top style="thin">
        <color indexed="64"/>
      </top>
      <bottom style="thin">
        <color indexed="64"/>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style="medium">
        <color auto="1"/>
      </right>
      <top style="thin">
        <color auto="1"/>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diagonal/>
    </border>
    <border>
      <left style="thin">
        <color indexed="64"/>
      </left>
      <right style="thin">
        <color indexed="64"/>
      </right>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top/>
      <bottom style="thin">
        <color indexed="64"/>
      </bottom>
      <diagonal/>
    </border>
    <border>
      <left/>
      <right style="medium">
        <color indexed="64"/>
      </right>
      <top/>
      <bottom style="thin">
        <color indexed="64"/>
      </bottom>
      <diagonal/>
    </border>
    <border>
      <left style="thin">
        <color auto="1"/>
      </left>
      <right/>
      <top style="thin">
        <color auto="1"/>
      </top>
      <bottom style="thin">
        <color auto="1"/>
      </bottom>
      <diagonal/>
    </border>
    <border>
      <left/>
      <right style="medium">
        <color auto="1"/>
      </right>
      <top style="thin">
        <color indexed="64"/>
      </top>
      <bottom style="thin">
        <color auto="1"/>
      </bottom>
      <diagonal/>
    </border>
    <border>
      <left style="thin">
        <color auto="1"/>
      </left>
      <right/>
      <top style="thin">
        <color auto="1"/>
      </top>
      <bottom style="medium">
        <color indexed="64"/>
      </bottom>
      <diagonal/>
    </border>
    <border>
      <left/>
      <right style="medium">
        <color auto="1"/>
      </right>
      <top style="thin">
        <color auto="1"/>
      </top>
      <bottom style="medium">
        <color indexed="64"/>
      </bottom>
      <diagonal/>
    </border>
    <border>
      <left/>
      <right/>
      <top style="medium">
        <color indexed="64"/>
      </top>
      <bottom/>
      <diagonal/>
    </border>
    <border>
      <left/>
      <right style="thin">
        <color indexed="64"/>
      </right>
      <top style="thin">
        <color indexed="64"/>
      </top>
      <bottom style="thin">
        <color indexed="64"/>
      </bottom>
      <diagonal/>
    </border>
    <border>
      <left/>
      <right/>
      <top/>
      <bottom style="thin">
        <color rgb="FF000000"/>
      </bottom>
      <diagonal/>
    </border>
    <border>
      <left style="medium">
        <color indexed="64"/>
      </left>
      <right style="thin">
        <color rgb="FF000000"/>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medium">
        <color rgb="FF000000"/>
      </left>
      <right/>
      <top style="medium">
        <color rgb="FF000000"/>
      </top>
      <bottom style="medium">
        <color indexed="64"/>
      </bottom>
      <diagonal/>
    </border>
    <border>
      <left style="thin">
        <color indexed="64"/>
      </left>
      <right style="thin">
        <color indexed="64"/>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style="medium">
        <color indexed="64"/>
      </left>
      <right/>
      <top style="medium">
        <color indexed="64"/>
      </top>
      <bottom/>
      <diagonal/>
    </border>
    <border>
      <left style="thin">
        <color indexed="64"/>
      </left>
      <right style="thin">
        <color indexed="64"/>
      </right>
      <top style="medium">
        <color rgb="FF000000"/>
      </top>
      <bottom/>
      <diagonal/>
    </border>
    <border>
      <left style="thin">
        <color indexed="64"/>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indexed="64"/>
      </right>
      <top style="medium">
        <color rgb="FF000000"/>
      </top>
      <bottom style="medium">
        <color rgb="FF000000"/>
      </bottom>
      <diagonal/>
    </border>
    <border>
      <left/>
      <right style="medium">
        <color indexed="64"/>
      </right>
      <top style="medium">
        <color rgb="FF000000"/>
      </top>
      <bottom/>
      <diagonal/>
    </border>
    <border>
      <left/>
      <right/>
      <top/>
      <bottom style="medium">
        <color rgb="FF000000"/>
      </bottom>
      <diagonal/>
    </border>
    <border>
      <left/>
      <right style="medium">
        <color indexed="64"/>
      </right>
      <top/>
      <bottom style="medium">
        <color rgb="FF000000"/>
      </bottom>
      <diagonal/>
    </border>
    <border>
      <left/>
      <right style="medium">
        <color rgb="FF000000"/>
      </right>
      <top style="medium">
        <color indexed="64"/>
      </top>
      <bottom style="medium">
        <color indexed="64"/>
      </bottom>
      <diagonal/>
    </border>
  </borders>
  <cellStyleXfs count="14">
    <xf numFmtId="0" fontId="0" fillId="0" borderId="0"/>
    <xf numFmtId="0" fontId="2" fillId="0" borderId="0" applyNumberForma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13" fillId="0" borderId="0"/>
    <xf numFmtId="0" fontId="16" fillId="0" borderId="0"/>
    <xf numFmtId="0" fontId="16" fillId="0" borderId="0"/>
    <xf numFmtId="0" fontId="21" fillId="0" borderId="0"/>
    <xf numFmtId="0" fontId="26" fillId="11" borderId="0" applyNumberFormat="0" applyBorder="0" applyAlignment="0" applyProtection="0"/>
    <xf numFmtId="0" fontId="6" fillId="0" borderId="0"/>
    <xf numFmtId="0" fontId="13" fillId="0" borderId="0"/>
    <xf numFmtId="0" fontId="28" fillId="0" borderId="0" applyNumberFormat="0" applyFill="0" applyBorder="0" applyAlignment="0" applyProtection="0">
      <alignment vertical="top"/>
      <protection locked="0"/>
    </xf>
    <xf numFmtId="0" fontId="13" fillId="0" borderId="0"/>
    <xf numFmtId="0" fontId="2" fillId="0" borderId="0" applyNumberFormat="0" applyFill="0" applyBorder="0" applyAlignment="0" applyProtection="0"/>
  </cellStyleXfs>
  <cellXfs count="345">
    <xf numFmtId="0" fontId="0" fillId="0" borderId="0" xfId="0"/>
    <xf numFmtId="0" fontId="0" fillId="0" borderId="0" xfId="0" applyAlignment="1">
      <alignment wrapText="1"/>
    </xf>
    <xf numFmtId="0" fontId="2" fillId="4" borderId="3" xfId="1" applyFill="1" applyBorder="1" applyAlignment="1">
      <alignment horizontal="center"/>
    </xf>
    <xf numFmtId="0" fontId="2" fillId="5" borderId="3" xfId="1" applyFill="1" applyBorder="1" applyAlignment="1">
      <alignment horizontal="center"/>
    </xf>
    <xf numFmtId="0" fontId="3" fillId="0" borderId="0" xfId="0" applyFont="1" applyAlignment="1">
      <alignment horizontal="justify" vertical="center"/>
    </xf>
    <xf numFmtId="0" fontId="4" fillId="0" borderId="0" xfId="0" applyFont="1"/>
    <xf numFmtId="164" fontId="0" fillId="0" borderId="0" xfId="0" applyNumberFormat="1"/>
    <xf numFmtId="0" fontId="5" fillId="0" borderId="0" xfId="0" applyFont="1"/>
    <xf numFmtId="166" fontId="9" fillId="0" borderId="0" xfId="3" applyNumberFormat="1" applyFont="1" applyAlignment="1">
      <alignment horizontal="left" vertical="top" wrapText="1"/>
    </xf>
    <xf numFmtId="0" fontId="0" fillId="0" borderId="4" xfId="0" applyBorder="1"/>
    <xf numFmtId="167" fontId="0" fillId="0" borderId="0" xfId="0" applyNumberFormat="1"/>
    <xf numFmtId="0" fontId="0" fillId="0" borderId="0" xfId="0" applyAlignment="1">
      <alignment vertical="center"/>
    </xf>
    <xf numFmtId="0" fontId="2" fillId="4" borderId="1" xfId="1" applyFill="1" applyBorder="1" applyAlignment="1">
      <alignment horizontal="left"/>
    </xf>
    <xf numFmtId="0" fontId="2" fillId="5" borderId="1" xfId="1" applyFill="1" applyBorder="1" applyAlignment="1">
      <alignment horizontal="left"/>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left"/>
    </xf>
    <xf numFmtId="165" fontId="0" fillId="0" borderId="0" xfId="2" applyNumberFormat="1" applyFont="1" applyAlignment="1">
      <alignment horizontal="center" vertical="center"/>
    </xf>
    <xf numFmtId="0" fontId="7" fillId="7" borderId="8" xfId="0" applyFont="1" applyFill="1" applyBorder="1" applyAlignment="1">
      <alignment horizontal="center"/>
    </xf>
    <xf numFmtId="0" fontId="7" fillId="7" borderId="9" xfId="0" applyFont="1" applyFill="1" applyBorder="1" applyAlignment="1">
      <alignment horizontal="center"/>
    </xf>
    <xf numFmtId="0" fontId="7" fillId="7" borderId="11" xfId="0" applyFont="1" applyFill="1" applyBorder="1" applyAlignment="1">
      <alignment horizontal="center"/>
    </xf>
    <xf numFmtId="0" fontId="7" fillId="7" borderId="12" xfId="0" applyFont="1" applyFill="1" applyBorder="1" applyAlignment="1">
      <alignment horizontal="center"/>
    </xf>
    <xf numFmtId="0" fontId="7" fillId="7" borderId="16" xfId="0" applyFont="1" applyFill="1" applyBorder="1" applyAlignment="1">
      <alignment horizontal="center"/>
    </xf>
    <xf numFmtId="0" fontId="0" fillId="0" borderId="5" xfId="0" applyBorder="1"/>
    <xf numFmtId="0" fontId="2" fillId="4" borderId="3" xfId="1" applyFill="1" applyBorder="1" applyAlignment="1">
      <alignment horizontal="center" vertical="center"/>
    </xf>
    <xf numFmtId="0" fontId="2" fillId="4" borderId="1" xfId="1" applyFill="1" applyBorder="1" applyAlignment="1">
      <alignment wrapText="1"/>
    </xf>
    <xf numFmtId="0" fontId="0" fillId="0" borderId="0" xfId="0" applyAlignment="1">
      <alignment horizontal="center" vertical="center" wrapText="1"/>
    </xf>
    <xf numFmtId="0" fontId="7" fillId="0" borderId="0" xfId="0" applyFont="1"/>
    <xf numFmtId="0" fontId="8" fillId="0" borderId="11" xfId="0" applyFont="1" applyBorder="1" applyAlignment="1">
      <alignment horizontal="left" vertical="center" wrapText="1"/>
    </xf>
    <xf numFmtId="0" fontId="7" fillId="0" borderId="4" xfId="0" applyFont="1" applyBorder="1"/>
    <xf numFmtId="0" fontId="1" fillId="3" borderId="18" xfId="0" applyFont="1" applyFill="1" applyBorder="1" applyAlignment="1">
      <alignment horizontal="center" vertical="center" wrapText="1"/>
    </xf>
    <xf numFmtId="0" fontId="15" fillId="0" borderId="0" xfId="0" applyFont="1" applyAlignment="1">
      <alignment horizontal="center" vertical="center"/>
    </xf>
    <xf numFmtId="166" fontId="10" fillId="0" borderId="0" xfId="3" applyNumberFormat="1" applyFont="1" applyAlignment="1">
      <alignment horizontal="left" vertical="top" wrapText="1"/>
    </xf>
    <xf numFmtId="167" fontId="0" fillId="0" borderId="0" xfId="0" applyNumberFormat="1" applyAlignment="1">
      <alignment horizontal="left"/>
    </xf>
    <xf numFmtId="0" fontId="7" fillId="0" borderId="0" xfId="0" applyFont="1" applyAlignment="1">
      <alignment wrapText="1"/>
    </xf>
    <xf numFmtId="0" fontId="0" fillId="0" borderId="0" xfId="0" applyAlignment="1">
      <alignment horizontal="center"/>
    </xf>
    <xf numFmtId="49" fontId="8" fillId="0" borderId="4" xfId="3" applyNumberFormat="1" applyFont="1" applyBorder="1"/>
    <xf numFmtId="0" fontId="8" fillId="0" borderId="20" xfId="0" applyFont="1" applyBorder="1" applyAlignment="1">
      <alignment horizontal="center" vertical="center" wrapText="1"/>
    </xf>
    <xf numFmtId="0" fontId="2" fillId="8" borderId="3" xfId="1" applyFill="1" applyBorder="1" applyAlignment="1">
      <alignment horizontal="center" vertical="center"/>
    </xf>
    <xf numFmtId="0" fontId="2" fillId="8" borderId="1" xfId="1" applyFill="1" applyBorder="1" applyAlignment="1">
      <alignment wrapText="1"/>
    </xf>
    <xf numFmtId="0" fontId="1" fillId="3" borderId="2" xfId="0" applyFont="1" applyFill="1" applyBorder="1" applyAlignment="1">
      <alignment horizontal="center" vertical="center"/>
    </xf>
    <xf numFmtId="167" fontId="1" fillId="3" borderId="2" xfId="0" applyNumberFormat="1" applyFont="1" applyFill="1" applyBorder="1" applyAlignment="1">
      <alignment horizontal="center" vertical="center"/>
    </xf>
    <xf numFmtId="0" fontId="0" fillId="0" borderId="21" xfId="0" applyBorder="1"/>
    <xf numFmtId="0" fontId="0" fillId="0" borderId="23" xfId="0" applyBorder="1"/>
    <xf numFmtId="0" fontId="1" fillId="3" borderId="4" xfId="0" applyFont="1" applyFill="1" applyBorder="1" applyAlignment="1">
      <alignment horizontal="center" vertical="center" wrapText="1"/>
    </xf>
    <xf numFmtId="0" fontId="1" fillId="0" borderId="0" xfId="0" applyFont="1" applyAlignment="1">
      <alignment horizontal="center" vertical="center" wrapText="1"/>
    </xf>
    <xf numFmtId="167" fontId="0" fillId="0" borderId="0" xfId="0" applyNumberFormat="1" applyAlignment="1">
      <alignment horizontal="right"/>
    </xf>
    <xf numFmtId="0" fontId="19" fillId="7" borderId="27" xfId="0" applyFont="1" applyFill="1" applyBorder="1" applyAlignment="1">
      <alignment horizontal="center" vertical="center" wrapText="1" readingOrder="1"/>
    </xf>
    <xf numFmtId="0" fontId="20" fillId="7" borderId="27" xfId="0" applyFont="1" applyFill="1" applyBorder="1" applyAlignment="1">
      <alignment horizontal="center" vertical="center" wrapText="1" readingOrder="1"/>
    </xf>
    <xf numFmtId="3" fontId="18" fillId="0" borderId="27" xfId="0" applyNumberFormat="1" applyFont="1" applyBorder="1" applyAlignment="1">
      <alignment horizontal="center" vertical="center" wrapText="1" readingOrder="1"/>
    </xf>
    <xf numFmtId="0" fontId="20" fillId="0" borderId="0" xfId="0" applyFont="1" applyAlignment="1">
      <alignment horizontal="center" vertical="center" wrapText="1" readingOrder="1"/>
    </xf>
    <xf numFmtId="3" fontId="18" fillId="0" borderId="0" xfId="0" applyNumberFormat="1" applyFont="1" applyAlignment="1">
      <alignment horizontal="center" wrapText="1" readingOrder="1"/>
    </xf>
    <xf numFmtId="3" fontId="18" fillId="0" borderId="27" xfId="0" applyNumberFormat="1" applyFont="1" applyBorder="1" applyAlignment="1">
      <alignment horizontal="center" wrapText="1" readingOrder="1"/>
    </xf>
    <xf numFmtId="166" fontId="10" fillId="0" borderId="0" xfId="3" applyNumberFormat="1" applyFont="1" applyFill="1" applyAlignment="1">
      <alignment horizontal="left" vertical="top" wrapText="1"/>
    </xf>
    <xf numFmtId="0" fontId="0" fillId="0" borderId="31" xfId="0" applyBorder="1"/>
    <xf numFmtId="0" fontId="0" fillId="0" borderId="11" xfId="0" applyBorder="1"/>
    <xf numFmtId="0" fontId="0" fillId="0" borderId="11" xfId="0" applyBorder="1" applyAlignment="1">
      <alignment wrapText="1"/>
    </xf>
    <xf numFmtId="0" fontId="8" fillId="0" borderId="0" xfId="0" applyFont="1" applyAlignment="1">
      <alignment horizontal="left" vertical="center" wrapText="1"/>
    </xf>
    <xf numFmtId="0" fontId="8" fillId="0" borderId="0" xfId="0" applyFont="1" applyAlignment="1">
      <alignment horizontal="center" vertical="center" wrapText="1"/>
    </xf>
    <xf numFmtId="0" fontId="8" fillId="0" borderId="23" xfId="0" applyFont="1" applyBorder="1" applyAlignment="1">
      <alignment horizontal="center" vertical="center" wrapText="1"/>
    </xf>
    <xf numFmtId="0" fontId="8" fillId="0" borderId="22" xfId="0" applyFont="1" applyBorder="1" applyAlignment="1">
      <alignment horizontal="center" vertical="center" wrapText="1"/>
    </xf>
    <xf numFmtId="10" fontId="0" fillId="0" borderId="12" xfId="0" applyNumberFormat="1" applyBorder="1" applyAlignment="1">
      <alignment horizontal="center" vertical="center"/>
    </xf>
    <xf numFmtId="10" fontId="0" fillId="0" borderId="6" xfId="0" applyNumberFormat="1" applyBorder="1" applyAlignment="1">
      <alignment horizontal="center" vertical="center"/>
    </xf>
    <xf numFmtId="10" fontId="0" fillId="0" borderId="7" xfId="0" applyNumberFormat="1" applyBorder="1" applyAlignment="1">
      <alignment horizontal="center" vertical="center"/>
    </xf>
    <xf numFmtId="10" fontId="0" fillId="0" borderId="4" xfId="0" applyNumberFormat="1" applyBorder="1" applyAlignment="1">
      <alignment horizontal="center"/>
    </xf>
    <xf numFmtId="0" fontId="7" fillId="0" borderId="8" xfId="0" applyFont="1" applyBorder="1" applyAlignment="1">
      <alignment horizontal="center" vertical="center"/>
    </xf>
    <xf numFmtId="0" fontId="7" fillId="0" borderId="10" xfId="0" applyFont="1" applyBorder="1" applyAlignment="1">
      <alignment horizontal="center" vertical="center"/>
    </xf>
    <xf numFmtId="0" fontId="7" fillId="0" borderId="22" xfId="0" applyFont="1" applyBorder="1"/>
    <xf numFmtId="0" fontId="7" fillId="0" borderId="23" xfId="0" applyFont="1" applyBorder="1"/>
    <xf numFmtId="0" fontId="7" fillId="0" borderId="38" xfId="0" applyFont="1" applyBorder="1"/>
    <xf numFmtId="0" fontId="0" fillId="0" borderId="40" xfId="0" applyBorder="1"/>
    <xf numFmtId="0" fontId="0" fillId="0" borderId="41" xfId="0" applyBorder="1"/>
    <xf numFmtId="0" fontId="7" fillId="0" borderId="36" xfId="0" applyFont="1" applyBorder="1"/>
    <xf numFmtId="0" fontId="0" fillId="0" borderId="15" xfId="0" applyBorder="1" applyAlignment="1">
      <alignment horizontal="left" wrapText="1"/>
    </xf>
    <xf numFmtId="0" fontId="7" fillId="0" borderId="36" xfId="0" applyFont="1" applyBorder="1" applyAlignment="1">
      <alignment vertical="center"/>
    </xf>
    <xf numFmtId="0" fontId="0" fillId="0" borderId="43" xfId="0" applyBorder="1"/>
    <xf numFmtId="0" fontId="0" fillId="0" borderId="44" xfId="0" applyBorder="1"/>
    <xf numFmtId="0" fontId="7" fillId="0" borderId="13" xfId="0" applyFont="1" applyBorder="1"/>
    <xf numFmtId="0" fontId="7" fillId="0" borderId="15" xfId="0" applyFont="1" applyBorder="1" applyAlignment="1">
      <alignment wrapText="1"/>
    </xf>
    <xf numFmtId="0" fontId="1" fillId="3" borderId="46" xfId="0" applyFont="1" applyFill="1" applyBorder="1" applyAlignment="1">
      <alignment horizontal="center" vertical="center" wrapText="1"/>
    </xf>
    <xf numFmtId="0" fontId="2" fillId="5" borderId="1" xfId="1" applyFill="1" applyBorder="1" applyAlignment="1">
      <alignment horizontal="left" wrapText="1"/>
    </xf>
    <xf numFmtId="14" fontId="0" fillId="0" borderId="4" xfId="0" applyNumberFormat="1" applyBorder="1" applyAlignment="1">
      <alignment horizontal="center"/>
    </xf>
    <xf numFmtId="0" fontId="7" fillId="0" borderId="20" xfId="0" applyFont="1" applyBorder="1" applyAlignment="1">
      <alignment vertical="center"/>
    </xf>
    <xf numFmtId="0" fontId="0" fillId="0" borderId="0" xfId="0" applyAlignment="1">
      <alignment horizontal="left" wrapText="1"/>
    </xf>
    <xf numFmtId="0" fontId="2" fillId="0" borderId="0" xfId="1" applyAlignment="1">
      <alignment horizontal="center" vertical="center"/>
    </xf>
    <xf numFmtId="0" fontId="0" fillId="0" borderId="0" xfId="0" applyAlignment="1">
      <alignment horizontal="left" vertical="center"/>
    </xf>
    <xf numFmtId="0" fontId="18" fillId="0" borderId="11" xfId="0" applyFont="1" applyBorder="1" applyAlignment="1">
      <alignment horizontal="center" vertical="center"/>
    </xf>
    <xf numFmtId="3" fontId="25" fillId="0" borderId="4" xfId="0" applyNumberFormat="1" applyFont="1" applyBorder="1" applyAlignment="1">
      <alignment horizontal="center" vertical="center"/>
    </xf>
    <xf numFmtId="0" fontId="18" fillId="0" borderId="12" xfId="0" applyFont="1" applyBorder="1" applyAlignment="1">
      <alignment horizontal="center" vertical="center"/>
    </xf>
    <xf numFmtId="3" fontId="18" fillId="0" borderId="6" xfId="0" applyNumberFormat="1" applyFont="1" applyBorder="1" applyAlignment="1">
      <alignment horizontal="center" vertical="center"/>
    </xf>
    <xf numFmtId="3" fontId="25" fillId="0" borderId="6" xfId="0" applyNumberFormat="1" applyFont="1" applyBorder="1" applyAlignment="1">
      <alignment horizontal="center" vertical="center"/>
    </xf>
    <xf numFmtId="43" fontId="0" fillId="0" borderId="24" xfId="0" applyNumberFormat="1" applyBorder="1" applyAlignment="1">
      <alignment vertical="center"/>
    </xf>
    <xf numFmtId="2" fontId="17" fillId="0" borderId="19" xfId="7" applyNumberFormat="1" applyFont="1" applyBorder="1" applyAlignment="1">
      <alignment horizontal="center" vertical="center"/>
    </xf>
    <xf numFmtId="2" fontId="17" fillId="0" borderId="47" xfId="7" applyNumberFormat="1" applyFont="1" applyBorder="1" applyAlignment="1">
      <alignment horizontal="center" vertical="center"/>
    </xf>
    <xf numFmtId="3" fontId="18" fillId="0" borderId="59" xfId="0" applyNumberFormat="1" applyFont="1" applyBorder="1" applyAlignment="1">
      <alignment horizontal="center" vertical="center" wrapText="1" readingOrder="1"/>
    </xf>
    <xf numFmtId="3" fontId="18" fillId="0" borderId="59" xfId="0" applyNumberFormat="1" applyFont="1" applyBorder="1" applyAlignment="1">
      <alignment horizontal="center" wrapText="1" readingOrder="1"/>
    </xf>
    <xf numFmtId="0" fontId="20" fillId="0" borderId="59" xfId="0" applyFont="1" applyBorder="1" applyAlignment="1">
      <alignment horizontal="center" vertical="center" wrapText="1" readingOrder="1"/>
    </xf>
    <xf numFmtId="0" fontId="1" fillId="3" borderId="18" xfId="0" applyFont="1" applyFill="1" applyBorder="1" applyAlignment="1">
      <alignment horizontal="center"/>
    </xf>
    <xf numFmtId="0" fontId="1" fillId="3" borderId="19" xfId="0" applyFont="1" applyFill="1" applyBorder="1" applyAlignment="1">
      <alignment horizontal="center"/>
    </xf>
    <xf numFmtId="0" fontId="7" fillId="7" borderId="60" xfId="0" applyFont="1" applyFill="1" applyBorder="1" applyAlignment="1">
      <alignment horizontal="center" vertical="center"/>
    </xf>
    <xf numFmtId="3" fontId="0" fillId="0" borderId="0" xfId="0" applyNumberFormat="1"/>
    <xf numFmtId="0" fontId="15" fillId="0" borderId="0" xfId="0" applyFont="1"/>
    <xf numFmtId="0" fontId="15" fillId="9" borderId="4" xfId="8" applyFont="1" applyFill="1" applyBorder="1" applyAlignment="1">
      <alignment horizontal="center" vertical="center" wrapText="1"/>
    </xf>
    <xf numFmtId="169" fontId="15" fillId="9" borderId="4" xfId="8" applyNumberFormat="1" applyFont="1" applyFill="1" applyBorder="1" applyAlignment="1">
      <alignment horizontal="center" vertical="center" wrapText="1"/>
    </xf>
    <xf numFmtId="0" fontId="15" fillId="9" borderId="0" xfId="8" applyFont="1" applyFill="1" applyBorder="1" applyAlignment="1">
      <alignment horizontal="center" vertical="center"/>
    </xf>
    <xf numFmtId="0" fontId="7" fillId="0" borderId="0" xfId="0" applyFont="1" applyAlignment="1">
      <alignment horizontal="center"/>
    </xf>
    <xf numFmtId="167" fontId="0" fillId="0" borderId="0" xfId="0" applyNumberFormat="1" applyAlignment="1">
      <alignment horizontal="right" vertical="center"/>
    </xf>
    <xf numFmtId="2" fontId="0" fillId="0" borderId="37" xfId="0" applyNumberFormat="1" applyBorder="1" applyAlignment="1">
      <alignment horizontal="center" vertical="center"/>
    </xf>
    <xf numFmtId="43" fontId="0" fillId="0" borderId="56" xfId="0" applyNumberFormat="1" applyBorder="1" applyAlignment="1">
      <alignment vertical="center"/>
    </xf>
    <xf numFmtId="0" fontId="7" fillId="7" borderId="10" xfId="0" applyFont="1" applyFill="1" applyBorder="1" applyAlignment="1">
      <alignment horizontal="center"/>
    </xf>
    <xf numFmtId="0" fontId="0" fillId="0" borderId="19" xfId="0" applyBorder="1" applyAlignment="1">
      <alignment wrapText="1"/>
    </xf>
    <xf numFmtId="0" fontId="0" fillId="0" borderId="19" xfId="0" applyBorder="1"/>
    <xf numFmtId="0" fontId="0" fillId="0" borderId="58" xfId="0" applyBorder="1" applyAlignment="1">
      <alignment horizontal="left"/>
    </xf>
    <xf numFmtId="0" fontId="0" fillId="0" borderId="4" xfId="0" applyBorder="1" applyAlignment="1">
      <alignment horizontal="left"/>
    </xf>
    <xf numFmtId="14" fontId="0" fillId="0" borderId="4" xfId="0" applyNumberFormat="1" applyBorder="1" applyAlignment="1">
      <alignment horizontal="right"/>
    </xf>
    <xf numFmtId="2" fontId="0" fillId="0" borderId="4" xfId="0" applyNumberFormat="1" applyBorder="1" applyAlignment="1">
      <alignment horizontal="right"/>
    </xf>
    <xf numFmtId="0" fontId="0" fillId="10" borderId="4" xfId="0" applyFill="1" applyBorder="1" applyAlignment="1">
      <alignment horizontal="left" vertical="top" wrapText="1"/>
    </xf>
    <xf numFmtId="0" fontId="0" fillId="9" borderId="4" xfId="0" applyFill="1" applyBorder="1" applyAlignment="1">
      <alignment horizontal="left" vertical="top"/>
    </xf>
    <xf numFmtId="0" fontId="0" fillId="0" borderId="43" xfId="0" applyBorder="1" applyAlignment="1">
      <alignment wrapText="1"/>
    </xf>
    <xf numFmtId="0" fontId="0" fillId="0" borderId="44" xfId="0" applyBorder="1" applyAlignment="1">
      <alignment wrapText="1"/>
    </xf>
    <xf numFmtId="0" fontId="0" fillId="0" borderId="45" xfId="0" applyBorder="1" applyAlignment="1">
      <alignment horizontal="center"/>
    </xf>
    <xf numFmtId="14" fontId="0" fillId="0" borderId="0" xfId="0" applyNumberFormat="1" applyAlignment="1">
      <alignment horizontal="center"/>
    </xf>
    <xf numFmtId="14" fontId="0" fillId="0" borderId="0" xfId="0" applyNumberFormat="1" applyAlignment="1">
      <alignment horizontal="left"/>
    </xf>
    <xf numFmtId="0" fontId="7" fillId="0" borderId="39" xfId="0" applyFont="1" applyBorder="1" applyAlignment="1">
      <alignment horizont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xf>
    <xf numFmtId="0" fontId="0" fillId="0" borderId="43" xfId="0" applyBorder="1" applyAlignment="1">
      <alignment horizontal="left" vertical="center" wrapText="1"/>
    </xf>
    <xf numFmtId="0" fontId="0" fillId="0" borderId="0" xfId="5" applyFont="1" applyAlignment="1">
      <alignment horizontal="center"/>
    </xf>
    <xf numFmtId="0" fontId="0" fillId="0" borderId="44" xfId="0" applyBorder="1" applyAlignment="1">
      <alignment horizontal="left" vertical="center" wrapText="1"/>
    </xf>
    <xf numFmtId="0" fontId="0" fillId="0" borderId="45" xfId="0" applyBorder="1" applyAlignment="1">
      <alignment horizontal="center" vertical="center"/>
    </xf>
    <xf numFmtId="0" fontId="0" fillId="0" borderId="45" xfId="5" applyFont="1" applyBorder="1" applyAlignment="1">
      <alignment horizontal="center"/>
    </xf>
    <xf numFmtId="0" fontId="7" fillId="0" borderId="39" xfId="5" applyFont="1" applyBorder="1" applyAlignment="1">
      <alignment horizontal="center" wrapText="1"/>
    </xf>
    <xf numFmtId="1" fontId="0" fillId="0" borderId="0" xfId="6" applyNumberFormat="1" applyFont="1" applyAlignment="1">
      <alignment horizontal="center"/>
    </xf>
    <xf numFmtId="0" fontId="7" fillId="0" borderId="13" xfId="0" applyFont="1" applyBorder="1" applyAlignment="1">
      <alignment horizontal="center" vertical="center" wrapText="1"/>
    </xf>
    <xf numFmtId="0" fontId="0" fillId="0" borderId="0" xfId="5" applyFont="1" applyAlignment="1">
      <alignment horizontal="center" vertical="center"/>
    </xf>
    <xf numFmtId="0" fontId="0" fillId="0" borderId="21" xfId="0" applyBorder="1" applyAlignment="1">
      <alignment horizontal="left"/>
    </xf>
    <xf numFmtId="0" fontId="0" fillId="0" borderId="11" xfId="0" applyBorder="1" applyAlignment="1">
      <alignment horizontal="left" vertical="center"/>
    </xf>
    <xf numFmtId="14" fontId="0" fillId="0" borderId="5" xfId="0" applyNumberFormat="1" applyBorder="1" applyAlignment="1">
      <alignment horizontal="left"/>
    </xf>
    <xf numFmtId="0" fontId="0" fillId="0" borderId="11" xfId="0" applyBorder="1" applyAlignment="1">
      <alignment horizontal="left"/>
    </xf>
    <xf numFmtId="0" fontId="0" fillId="9" borderId="11" xfId="0" applyFill="1" applyBorder="1" applyAlignment="1">
      <alignment horizontal="left" vertical="top"/>
    </xf>
    <xf numFmtId="0" fontId="0" fillId="0" borderId="31" xfId="0" applyBorder="1" applyAlignment="1">
      <alignment horizontal="left" vertical="center"/>
    </xf>
    <xf numFmtId="0" fontId="0" fillId="0" borderId="12" xfId="0" applyBorder="1" applyAlignment="1">
      <alignment horizontal="left" vertical="center"/>
    </xf>
    <xf numFmtId="0" fontId="0" fillId="0" borderId="6" xfId="0" applyBorder="1" applyAlignment="1">
      <alignment horizontal="left"/>
    </xf>
    <xf numFmtId="14" fontId="0" fillId="0" borderId="6" xfId="0" applyNumberFormat="1" applyBorder="1" applyAlignment="1">
      <alignment horizontal="right"/>
    </xf>
    <xf numFmtId="2" fontId="0" fillId="0" borderId="6" xfId="0" applyNumberFormat="1" applyBorder="1" applyAlignment="1">
      <alignment horizontal="right"/>
    </xf>
    <xf numFmtId="14" fontId="0" fillId="0" borderId="6" xfId="0" applyNumberFormat="1" applyBorder="1" applyAlignment="1">
      <alignment horizontal="center"/>
    </xf>
    <xf numFmtId="14" fontId="0" fillId="0" borderId="7" xfId="0" applyNumberFormat="1" applyBorder="1" applyAlignment="1">
      <alignment horizontal="left"/>
    </xf>
    <xf numFmtId="0" fontId="2" fillId="0" borderId="0" xfId="1" applyAlignment="1">
      <alignment horizontal="center"/>
    </xf>
    <xf numFmtId="0" fontId="27" fillId="0" borderId="0" xfId="0" applyFont="1"/>
    <xf numFmtId="164" fontId="0" fillId="0" borderId="25" xfId="0" applyNumberFormat="1" applyBorder="1"/>
    <xf numFmtId="164" fontId="0" fillId="0" borderId="26" xfId="0" applyNumberFormat="1" applyBorder="1"/>
    <xf numFmtId="14" fontId="0" fillId="0" borderId="0" xfId="0" applyNumberFormat="1" applyAlignment="1">
      <alignment horizontal="right"/>
    </xf>
    <xf numFmtId="2" fontId="0" fillId="0" borderId="0" xfId="0" applyNumberFormat="1" applyAlignment="1">
      <alignment horizontal="right"/>
    </xf>
    <xf numFmtId="0" fontId="0" fillId="0" borderId="5" xfId="0" applyBorder="1" applyAlignment="1">
      <alignment horizontal="center"/>
    </xf>
    <xf numFmtId="0" fontId="0" fillId="0" borderId="61" xfId="0" applyBorder="1" applyAlignment="1">
      <alignment horizontal="left"/>
    </xf>
    <xf numFmtId="14" fontId="0" fillId="0" borderId="21" xfId="0" applyNumberFormat="1" applyBorder="1" applyAlignment="1">
      <alignment horizontal="right"/>
    </xf>
    <xf numFmtId="2" fontId="0" fillId="0" borderId="21" xfId="0" applyNumberFormat="1" applyBorder="1" applyAlignment="1">
      <alignment horizontal="right"/>
    </xf>
    <xf numFmtId="14" fontId="0" fillId="0" borderId="21" xfId="0" applyNumberFormat="1" applyBorder="1" applyAlignment="1">
      <alignment horizontal="center"/>
    </xf>
    <xf numFmtId="168" fontId="7" fillId="0" borderId="23" xfId="0" applyNumberFormat="1" applyFont="1" applyBorder="1" applyAlignment="1">
      <alignment horizontal="center" vertical="center" wrapText="1"/>
    </xf>
    <xf numFmtId="1" fontId="7" fillId="0" borderId="23" xfId="0" applyNumberFormat="1" applyFont="1" applyBorder="1" applyAlignment="1">
      <alignment horizontal="center" vertical="center" wrapText="1"/>
    </xf>
    <xf numFmtId="0" fontId="7" fillId="0" borderId="23" xfId="0" applyFont="1" applyBorder="1" applyAlignment="1">
      <alignment horizontal="center" vertical="center" wrapText="1"/>
    </xf>
    <xf numFmtId="0" fontId="7" fillId="0" borderId="20" xfId="0" applyFont="1" applyBorder="1" applyAlignment="1">
      <alignment horizontal="center" vertical="center"/>
    </xf>
    <xf numFmtId="14" fontId="0" fillId="0" borderId="32" xfId="0" applyNumberFormat="1" applyBorder="1" applyAlignment="1">
      <alignment horizontal="left"/>
    </xf>
    <xf numFmtId="0" fontId="0" fillId="0" borderId="62" xfId="0" applyBorder="1" applyAlignment="1">
      <alignment horizontal="left"/>
    </xf>
    <xf numFmtId="0" fontId="15" fillId="0" borderId="0" xfId="0" applyFont="1" applyAlignment="1">
      <alignment horizontal="left"/>
    </xf>
    <xf numFmtId="0" fontId="7" fillId="0" borderId="22" xfId="0" applyFont="1" applyBorder="1" applyAlignment="1">
      <alignment horizontal="center"/>
    </xf>
    <xf numFmtId="0" fontId="7" fillId="0" borderId="38" xfId="0" applyFont="1" applyBorder="1" applyAlignment="1">
      <alignment horizontal="center"/>
    </xf>
    <xf numFmtId="0" fontId="7" fillId="0" borderId="23" xfId="0" applyFont="1" applyBorder="1" applyAlignment="1">
      <alignment horizontal="center"/>
    </xf>
    <xf numFmtId="0" fontId="1" fillId="3" borderId="2" xfId="0" applyFont="1" applyFill="1" applyBorder="1" applyAlignment="1">
      <alignment horizontal="center" vertical="center" wrapText="1"/>
    </xf>
    <xf numFmtId="0" fontId="0" fillId="10" borderId="4" xfId="0" applyFill="1" applyBorder="1" applyAlignment="1">
      <alignment horizontal="left" wrapText="1"/>
    </xf>
    <xf numFmtId="0" fontId="7" fillId="0" borderId="28" xfId="0" applyFont="1" applyBorder="1" applyAlignment="1">
      <alignment horizontal="center" vertical="center" wrapText="1"/>
    </xf>
    <xf numFmtId="0" fontId="7" fillId="0" borderId="29" xfId="0" applyFont="1" applyBorder="1" applyAlignment="1">
      <alignment horizontal="center" vertical="center"/>
    </xf>
    <xf numFmtId="168" fontId="7" fillId="0" borderId="29" xfId="0" applyNumberFormat="1" applyFont="1" applyBorder="1" applyAlignment="1">
      <alignment horizontal="center" vertical="center" wrapText="1"/>
    </xf>
    <xf numFmtId="1" fontId="7" fillId="0" borderId="29" xfId="0" applyNumberFormat="1"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xf>
    <xf numFmtId="0" fontId="0" fillId="0" borderId="8" xfId="0" applyBorder="1" applyAlignment="1">
      <alignment horizontal="left" vertical="center"/>
    </xf>
    <xf numFmtId="0" fontId="0" fillId="0" borderId="9" xfId="0" applyBorder="1" applyAlignment="1">
      <alignment horizontal="left"/>
    </xf>
    <xf numFmtId="14" fontId="0" fillId="0" borderId="9" xfId="0" applyNumberFormat="1" applyBorder="1" applyAlignment="1">
      <alignment horizontal="right"/>
    </xf>
    <xf numFmtId="2" fontId="0" fillId="0" borderId="9" xfId="0" applyNumberFormat="1" applyBorder="1" applyAlignment="1">
      <alignment horizontal="right"/>
    </xf>
    <xf numFmtId="14" fontId="0" fillId="0" borderId="9" xfId="0" applyNumberFormat="1" applyBorder="1" applyAlignment="1">
      <alignment horizontal="center"/>
    </xf>
    <xf numFmtId="14" fontId="0" fillId="0" borderId="10" xfId="0" applyNumberFormat="1" applyBorder="1" applyAlignment="1">
      <alignment horizontal="left"/>
    </xf>
    <xf numFmtId="14" fontId="0" fillId="0" borderId="37" xfId="0" applyNumberFormat="1" applyBorder="1" applyAlignment="1">
      <alignment horizontal="center"/>
    </xf>
    <xf numFmtId="0" fontId="29" fillId="0" borderId="0" xfId="0" applyFont="1"/>
    <xf numFmtId="0" fontId="7" fillId="0" borderId="63" xfId="0" applyFont="1" applyBorder="1" applyAlignment="1">
      <alignment horizontal="center" vertical="center" wrapText="1"/>
    </xf>
    <xf numFmtId="0" fontId="7" fillId="0" borderId="64" xfId="0" applyFont="1" applyBorder="1" applyAlignment="1">
      <alignment horizontal="center" vertical="center"/>
    </xf>
    <xf numFmtId="0" fontId="7" fillId="0" borderId="39" xfId="5" applyFont="1" applyBorder="1" applyAlignment="1">
      <alignment horizontal="center"/>
    </xf>
    <xf numFmtId="1" fontId="0" fillId="0" borderId="42" xfId="6" applyNumberFormat="1" applyFont="1" applyBorder="1" applyAlignment="1">
      <alignment horizontal="center"/>
    </xf>
    <xf numFmtId="0" fontId="30" fillId="0" borderId="0" xfId="0" applyFont="1"/>
    <xf numFmtId="0" fontId="7" fillId="0" borderId="20" xfId="0" applyFont="1" applyBorder="1" applyAlignment="1">
      <alignment horizontal="center"/>
    </xf>
    <xf numFmtId="0" fontId="0" fillId="0" borderId="0" xfId="0" applyAlignment="1">
      <alignment vertical="top" wrapText="1"/>
    </xf>
    <xf numFmtId="0" fontId="12" fillId="0" borderId="0" xfId="0" applyFont="1" applyAlignment="1">
      <alignment horizontal="left" wrapText="1"/>
    </xf>
    <xf numFmtId="0" fontId="0" fillId="0" borderId="0" xfId="0" applyAlignment="1">
      <alignment horizontal="left" vertical="center" wrapText="1"/>
    </xf>
    <xf numFmtId="3" fontId="0" fillId="0" borderId="23" xfId="0" applyNumberFormat="1" applyBorder="1"/>
    <xf numFmtId="0" fontId="0" fillId="0" borderId="67" xfId="0" applyBorder="1" applyAlignment="1">
      <alignment horizontal="left" vertical="center" wrapText="1"/>
    </xf>
    <xf numFmtId="0" fontId="0" fillId="0" borderId="57" xfId="0" applyBorder="1" applyAlignment="1">
      <alignment horizontal="center" vertical="center"/>
    </xf>
    <xf numFmtId="0" fontId="0" fillId="0" borderId="57" xfId="5" applyFont="1" applyBorder="1" applyAlignment="1">
      <alignment horizontal="center"/>
    </xf>
    <xf numFmtId="0" fontId="7" fillId="0" borderId="68" xfId="0" applyFont="1" applyBorder="1" applyAlignment="1">
      <alignment horizontal="center" vertical="center"/>
    </xf>
    <xf numFmtId="0" fontId="0" fillId="0" borderId="67" xfId="0" applyBorder="1" applyAlignment="1">
      <alignment wrapText="1"/>
    </xf>
    <xf numFmtId="0" fontId="0" fillId="0" borderId="57" xfId="0" applyBorder="1" applyAlignment="1">
      <alignment horizontal="center"/>
    </xf>
    <xf numFmtId="0" fontId="7" fillId="0" borderId="72" xfId="0" applyFont="1" applyBorder="1" applyAlignment="1">
      <alignment horizontal="center" vertical="center" wrapText="1"/>
    </xf>
    <xf numFmtId="0" fontId="0" fillId="0" borderId="43" xfId="0" applyBorder="1" applyAlignment="1">
      <alignment vertical="center" wrapText="1"/>
    </xf>
    <xf numFmtId="0" fontId="8" fillId="0" borderId="12" xfId="0" applyFont="1" applyBorder="1" applyAlignment="1">
      <alignment horizontal="left" vertical="center" wrapText="1"/>
    </xf>
    <xf numFmtId="0" fontId="0" fillId="0" borderId="6" xfId="0" applyBorder="1"/>
    <xf numFmtId="0" fontId="0" fillId="0" borderId="7" xfId="0" applyBorder="1"/>
    <xf numFmtId="0" fontId="7" fillId="0" borderId="9" xfId="0" applyFont="1" applyBorder="1" applyAlignment="1">
      <alignment horizontal="center" vertical="center"/>
    </xf>
    <xf numFmtId="0" fontId="7" fillId="0" borderId="4" xfId="0" applyFont="1" applyBorder="1" applyAlignment="1">
      <alignment horizontal="center" vertical="center"/>
    </xf>
    <xf numFmtId="0" fontId="7" fillId="0" borderId="17" xfId="0" applyFont="1" applyBorder="1" applyAlignment="1">
      <alignment horizontal="center" vertical="center"/>
    </xf>
    <xf numFmtId="0" fontId="0" fillId="0" borderId="0" xfId="5" applyFont="1" applyAlignment="1">
      <alignment horizontal="left"/>
    </xf>
    <xf numFmtId="0" fontId="7" fillId="0" borderId="69" xfId="0" applyFont="1" applyBorder="1" applyAlignment="1">
      <alignment horizontal="center" vertical="center"/>
    </xf>
    <xf numFmtId="0" fontId="5" fillId="0" borderId="0" xfId="0" applyFont="1" applyAlignment="1">
      <alignment horizontal="left" wrapText="1"/>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0" fillId="0" borderId="4" xfId="0" applyBorder="1" applyAlignment="1">
      <alignment wrapText="1"/>
    </xf>
    <xf numFmtId="0" fontId="24" fillId="0" borderId="4" xfId="0" applyFont="1" applyBorder="1" applyAlignment="1">
      <alignment horizontal="center" vertical="center" wrapText="1"/>
    </xf>
    <xf numFmtId="0" fontId="0" fillId="0" borderId="4" xfId="0" applyBorder="1" applyAlignment="1">
      <alignment horizontal="center" vertical="center" wrapText="1"/>
    </xf>
    <xf numFmtId="169" fontId="0" fillId="0" borderId="4" xfId="0" applyNumberFormat="1" applyBorder="1" applyAlignment="1">
      <alignment horizontal="center" vertical="center" wrapText="1"/>
    </xf>
    <xf numFmtId="17" fontId="0" fillId="0" borderId="4" xfId="0" applyNumberFormat="1" applyBorder="1" applyAlignment="1">
      <alignment horizontal="center" vertical="center" wrapText="1"/>
    </xf>
    <xf numFmtId="0" fontId="15" fillId="0" borderId="4" xfId="0" applyFont="1" applyBorder="1" applyAlignment="1">
      <alignment horizontal="center" vertical="center" wrapText="1"/>
    </xf>
    <xf numFmtId="169" fontId="15" fillId="0" borderId="4" xfId="0" applyNumberFormat="1" applyFont="1" applyBorder="1" applyAlignment="1">
      <alignment horizontal="center" vertical="center" wrapText="1"/>
    </xf>
    <xf numFmtId="14" fontId="0" fillId="0" borderId="0" xfId="0" quotePrefix="1" applyNumberFormat="1" applyAlignment="1">
      <alignment horizontal="left" vertical="center"/>
    </xf>
    <xf numFmtId="14" fontId="0" fillId="0" borderId="0" xfId="0" quotePrefix="1" applyNumberFormat="1" applyAlignment="1">
      <alignment horizontal="center" vertical="center"/>
    </xf>
    <xf numFmtId="0" fontId="23" fillId="0" borderId="0" xfId="0" applyFont="1" applyAlignment="1">
      <alignment horizontal="center" vertical="center" wrapText="1"/>
    </xf>
    <xf numFmtId="169" fontId="23" fillId="0" borderId="0" xfId="0" applyNumberFormat="1" applyFont="1" applyAlignment="1">
      <alignment horizontal="center" vertical="center" wrapText="1"/>
    </xf>
    <xf numFmtId="0" fontId="15" fillId="0" borderId="19" xfId="0" applyFont="1" applyBorder="1" applyAlignment="1">
      <alignment horizontal="center" vertical="center" wrapText="1"/>
    </xf>
    <xf numFmtId="169" fontId="15" fillId="0" borderId="19" xfId="0" applyNumberFormat="1" applyFont="1" applyBorder="1" applyAlignment="1">
      <alignment horizontal="center" vertical="center" wrapText="1"/>
    </xf>
    <xf numFmtId="0" fontId="22" fillId="7" borderId="11" xfId="0" applyFont="1" applyFill="1" applyBorder="1" applyAlignment="1">
      <alignment horizontal="center" vertical="center"/>
    </xf>
    <xf numFmtId="165" fontId="22" fillId="7" borderId="4" xfId="2" applyNumberFormat="1" applyFont="1" applyFill="1" applyBorder="1" applyAlignment="1">
      <alignment horizontal="center" vertical="center"/>
    </xf>
    <xf numFmtId="0" fontId="34" fillId="0" borderId="4" xfId="0" applyFont="1" applyBorder="1" applyAlignment="1">
      <alignment horizontal="center" vertical="center" wrapText="1"/>
    </xf>
    <xf numFmtId="0" fontId="35" fillId="0" borderId="12" xfId="0" applyFont="1" applyBorder="1" applyAlignment="1">
      <alignment horizontal="center" vertical="center"/>
    </xf>
    <xf numFmtId="3" fontId="35" fillId="0" borderId="6" xfId="0" applyNumberFormat="1" applyFont="1" applyBorder="1" applyAlignment="1">
      <alignment horizontal="center" vertical="center"/>
    </xf>
    <xf numFmtId="3" fontId="36" fillId="0" borderId="6" xfId="0" applyNumberFormat="1" applyFont="1" applyBorder="1" applyAlignment="1">
      <alignment horizontal="center" vertical="center"/>
    </xf>
    <xf numFmtId="0" fontId="7" fillId="0" borderId="73" xfId="0" applyFont="1" applyBorder="1" applyAlignment="1">
      <alignment horizontal="center" vertical="center" wrapText="1"/>
    </xf>
    <xf numFmtId="0" fontId="7" fillId="0" borderId="74" xfId="0" applyFont="1" applyBorder="1" applyAlignment="1">
      <alignment horizontal="center" vertical="center"/>
    </xf>
    <xf numFmtId="0" fontId="7" fillId="0" borderId="75" xfId="0" applyFont="1" applyBorder="1" applyAlignment="1">
      <alignment horizontal="center" vertical="center"/>
    </xf>
    <xf numFmtId="0" fontId="7" fillId="0" borderId="78" xfId="0" applyFont="1" applyBorder="1" applyAlignment="1">
      <alignment horizontal="center" vertical="center" wrapText="1"/>
    </xf>
    <xf numFmtId="0" fontId="2" fillId="0" borderId="0" xfId="1" applyFill="1" applyBorder="1" applyAlignment="1">
      <alignment horizontal="center" vertical="center"/>
    </xf>
    <xf numFmtId="0" fontId="0" fillId="0" borderId="45" xfId="0" applyBorder="1"/>
    <xf numFmtId="0" fontId="0" fillId="0" borderId="13" xfId="0" applyBorder="1" applyAlignment="1">
      <alignment wrapText="1"/>
    </xf>
    <xf numFmtId="0" fontId="0" fillId="0" borderId="14" xfId="0" applyBorder="1" applyAlignment="1">
      <alignment horizontal="center"/>
    </xf>
    <xf numFmtId="0" fontId="0" fillId="0" borderId="14" xfId="5" applyFont="1" applyBorder="1" applyAlignment="1">
      <alignment horizontal="center"/>
    </xf>
    <xf numFmtId="3" fontId="18" fillId="0" borderId="4" xfId="0" applyNumberFormat="1" applyFont="1" applyBorder="1" applyAlignment="1">
      <alignment horizontal="center" vertical="center"/>
    </xf>
    <xf numFmtId="0" fontId="0" fillId="2" borderId="0" xfId="0" applyFill="1" applyAlignment="1">
      <alignment horizontal="center"/>
    </xf>
    <xf numFmtId="0" fontId="0" fillId="2" borderId="0" xfId="0" applyFill="1" applyAlignment="1">
      <alignment horizontal="center" wrapText="1"/>
    </xf>
    <xf numFmtId="0" fontId="22" fillId="0" borderId="13" xfId="0" applyFont="1" applyBorder="1" applyAlignment="1">
      <alignment horizontal="left" vertical="center"/>
    </xf>
    <xf numFmtId="0" fontId="22" fillId="0" borderId="15" xfId="0" applyFont="1" applyBorder="1" applyAlignment="1">
      <alignment horizontal="left" vertical="center"/>
    </xf>
    <xf numFmtId="0" fontId="7" fillId="0" borderId="8" xfId="0" applyFont="1" applyBorder="1" applyAlignment="1">
      <alignment wrapText="1"/>
    </xf>
    <xf numFmtId="0" fontId="7" fillId="0" borderId="11" xfId="0" applyFont="1" applyBorder="1" applyAlignment="1">
      <alignment wrapText="1"/>
    </xf>
    <xf numFmtId="0" fontId="7" fillId="0" borderId="9" xfId="0" applyFont="1" applyBorder="1" applyAlignment="1">
      <alignment horizontal="center" vertical="center"/>
    </xf>
    <xf numFmtId="0" fontId="7" fillId="0" borderId="4" xfId="0" applyFont="1" applyBorder="1" applyAlignment="1">
      <alignment horizontal="center" vertical="center"/>
    </xf>
    <xf numFmtId="0" fontId="7" fillId="0" borderId="10" xfId="0" applyFont="1" applyBorder="1" applyAlignment="1">
      <alignment horizontal="center" vertical="center" wrapText="1"/>
    </xf>
    <xf numFmtId="0" fontId="7" fillId="0" borderId="5" xfId="0" applyFont="1" applyBorder="1" applyAlignment="1">
      <alignment horizontal="center" vertical="center" wrapText="1"/>
    </xf>
    <xf numFmtId="0" fontId="14" fillId="0" borderId="0" xfId="0" applyFont="1" applyAlignment="1">
      <alignment horizontal="center" vertical="center" wrapText="1"/>
    </xf>
    <xf numFmtId="0" fontId="7" fillId="0" borderId="30" xfId="0" applyFont="1" applyBorder="1" applyAlignment="1">
      <alignment horizontal="center" vertical="center" wrapText="1"/>
    </xf>
    <xf numFmtId="0" fontId="7" fillId="0" borderId="32" xfId="0" applyFont="1" applyBorder="1" applyAlignment="1">
      <alignment horizontal="center" vertical="center" wrapText="1"/>
    </xf>
    <xf numFmtId="0" fontId="7" fillId="0" borderId="17" xfId="0" applyFont="1" applyBorder="1" applyAlignment="1">
      <alignment horizontal="center" vertical="center"/>
    </xf>
    <xf numFmtId="0" fontId="7" fillId="0" borderId="14" xfId="0" applyFont="1" applyBorder="1" applyAlignment="1">
      <alignment horizontal="center" vertical="center"/>
    </xf>
    <xf numFmtId="0" fontId="7" fillId="0" borderId="38" xfId="0" applyFont="1" applyBorder="1" applyAlignment="1">
      <alignment horizontal="center" vertical="center"/>
    </xf>
    <xf numFmtId="0" fontId="7" fillId="0" borderId="13" xfId="5" applyFont="1" applyBorder="1" applyAlignment="1">
      <alignment horizontal="center"/>
    </xf>
    <xf numFmtId="0" fontId="7" fillId="0" borderId="15" xfId="5" applyFont="1" applyBorder="1" applyAlignment="1">
      <alignment horizontal="center"/>
    </xf>
    <xf numFmtId="0" fontId="7" fillId="0" borderId="15" xfId="0" applyFont="1" applyBorder="1" applyAlignment="1">
      <alignment horizontal="center" vertical="center"/>
    </xf>
    <xf numFmtId="0" fontId="0" fillId="0" borderId="0" xfId="5" applyFont="1" applyAlignment="1">
      <alignment horizontal="left"/>
    </xf>
    <xf numFmtId="0" fontId="0" fillId="0" borderId="25" xfId="5" applyFont="1" applyBorder="1" applyAlignment="1">
      <alignment horizontal="left"/>
    </xf>
    <xf numFmtId="0" fontId="0" fillId="0" borderId="45" xfId="0" applyBorder="1" applyAlignment="1">
      <alignment horizontal="left"/>
    </xf>
    <xf numFmtId="0" fontId="0" fillId="0" borderId="26" xfId="0" applyBorder="1" applyAlignment="1">
      <alignment horizontal="left"/>
    </xf>
    <xf numFmtId="0" fontId="0" fillId="0" borderId="0" xfId="0" applyAlignment="1">
      <alignment horizontal="left"/>
    </xf>
    <xf numFmtId="0" fontId="0" fillId="0" borderId="25" xfId="0" applyBorder="1" applyAlignment="1">
      <alignment horizontal="left"/>
    </xf>
    <xf numFmtId="0" fontId="0" fillId="0" borderId="57" xfId="0" applyBorder="1" applyAlignment="1">
      <alignment horizontal="left"/>
    </xf>
    <xf numFmtId="0" fontId="0" fillId="0" borderId="42" xfId="0" applyBorder="1" applyAlignment="1">
      <alignment horizontal="left"/>
    </xf>
    <xf numFmtId="0" fontId="0" fillId="0" borderId="45" xfId="5" applyFont="1" applyBorder="1" applyAlignment="1">
      <alignment horizontal="left"/>
    </xf>
    <xf numFmtId="0" fontId="0" fillId="0" borderId="26" xfId="5" applyFont="1" applyBorder="1" applyAlignment="1">
      <alignment horizontal="left"/>
    </xf>
    <xf numFmtId="0" fontId="0" fillId="0" borderId="57" xfId="5" applyFont="1" applyBorder="1" applyAlignment="1">
      <alignment horizontal="left"/>
    </xf>
    <xf numFmtId="0" fontId="0" fillId="0" borderId="42" xfId="5" applyFont="1" applyBorder="1" applyAlignment="1">
      <alignment horizontal="left"/>
    </xf>
    <xf numFmtId="0" fontId="18" fillId="0" borderId="0" xfId="5" applyFont="1" applyAlignment="1">
      <alignment horizontal="left"/>
    </xf>
    <xf numFmtId="0" fontId="7" fillId="0" borderId="67" xfId="0" applyFont="1" applyBorder="1" applyAlignment="1">
      <alignment horizontal="center"/>
    </xf>
    <xf numFmtId="0" fontId="7" fillId="0" borderId="42" xfId="0" applyFont="1" applyBorder="1" applyAlignment="1">
      <alignment horizontal="center"/>
    </xf>
    <xf numFmtId="0" fontId="7" fillId="0" borderId="75" xfId="0" applyFont="1" applyBorder="1" applyAlignment="1">
      <alignment horizontal="center" vertical="center"/>
    </xf>
    <xf numFmtId="0" fontId="7" fillId="0" borderId="76" xfId="0" applyFont="1" applyBorder="1" applyAlignment="1">
      <alignment horizontal="center" vertical="center"/>
    </xf>
    <xf numFmtId="0" fontId="7" fillId="0" borderId="77" xfId="0" applyFont="1" applyBorder="1" applyAlignment="1">
      <alignment horizontal="center" vertical="center"/>
    </xf>
    <xf numFmtId="0" fontId="7" fillId="0" borderId="69" xfId="0" applyFont="1" applyBorder="1" applyAlignment="1">
      <alignment horizontal="center" vertical="center"/>
    </xf>
    <xf numFmtId="0" fontId="7" fillId="0" borderId="70" xfId="0" applyFont="1" applyBorder="1" applyAlignment="1">
      <alignment horizontal="center" vertical="center"/>
    </xf>
    <xf numFmtId="0" fontId="7" fillId="0" borderId="71" xfId="0" applyFont="1" applyBorder="1" applyAlignment="1">
      <alignment horizontal="center" vertical="center"/>
    </xf>
    <xf numFmtId="0" fontId="0" fillId="0" borderId="14" xfId="0" applyBorder="1" applyAlignment="1">
      <alignment horizontal="center" vertical="center"/>
    </xf>
    <xf numFmtId="0" fontId="7" fillId="0" borderId="82" xfId="0" applyFont="1" applyBorder="1" applyAlignment="1">
      <alignment horizontal="center" vertical="center"/>
    </xf>
    <xf numFmtId="0" fontId="2" fillId="0" borderId="70" xfId="1" applyFill="1" applyBorder="1" applyAlignment="1">
      <alignment horizontal="center" vertical="center"/>
    </xf>
    <xf numFmtId="0" fontId="2" fillId="0" borderId="79" xfId="1" applyFill="1" applyBorder="1" applyAlignment="1">
      <alignment horizontal="center" vertical="center"/>
    </xf>
    <xf numFmtId="0" fontId="2" fillId="0" borderId="0" xfId="1" applyFill="1" applyBorder="1" applyAlignment="1">
      <alignment horizontal="center" vertical="center"/>
    </xf>
    <xf numFmtId="0" fontId="2" fillId="0" borderId="25" xfId="1" applyFill="1" applyBorder="1" applyAlignment="1">
      <alignment horizontal="center" vertical="center"/>
    </xf>
    <xf numFmtId="0" fontId="2" fillId="0" borderId="80" xfId="1" applyFill="1" applyBorder="1" applyAlignment="1">
      <alignment horizontal="center" vertical="center"/>
    </xf>
    <xf numFmtId="0" fontId="2" fillId="0" borderId="81" xfId="1" applyFill="1" applyBorder="1" applyAlignment="1">
      <alignment horizontal="center" vertical="center"/>
    </xf>
    <xf numFmtId="0" fontId="7" fillId="0" borderId="67" xfId="5" applyFont="1" applyBorder="1" applyAlignment="1">
      <alignment horizontal="center"/>
    </xf>
    <xf numFmtId="0" fontId="7" fillId="0" borderId="42" xfId="5" applyFont="1" applyBorder="1" applyAlignment="1">
      <alignment horizontal="center"/>
    </xf>
    <xf numFmtId="0" fontId="7" fillId="0" borderId="65" xfId="0" applyFont="1" applyBorder="1" applyAlignment="1">
      <alignment horizontal="center" vertical="center"/>
    </xf>
    <xf numFmtId="0" fontId="7" fillId="0" borderId="66" xfId="0" applyFont="1" applyBorder="1" applyAlignment="1">
      <alignment horizontal="center" vertical="center"/>
    </xf>
    <xf numFmtId="0" fontId="11" fillId="6" borderId="0" xfId="0" applyFont="1" applyFill="1" applyAlignment="1">
      <alignment horizontal="center" vertical="center"/>
    </xf>
    <xf numFmtId="0" fontId="5" fillId="0" borderId="0" xfId="0" applyFont="1" applyAlignment="1">
      <alignment horizontal="left" wrapText="1"/>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166" fontId="10" fillId="0" borderId="4" xfId="3" applyNumberFormat="1" applyFont="1" applyBorder="1" applyAlignment="1">
      <alignment horizontal="left" vertical="top" wrapText="1"/>
    </xf>
    <xf numFmtId="0" fontId="0" fillId="0" borderId="4" xfId="0" applyBorder="1" applyAlignment="1">
      <alignment horizontal="left" vertical="top" wrapText="1"/>
    </xf>
    <xf numFmtId="0" fontId="0" fillId="0" borderId="4" xfId="0" applyBorder="1" applyAlignment="1">
      <alignment wrapText="1"/>
    </xf>
    <xf numFmtId="0" fontId="7" fillId="7" borderId="13" xfId="0" applyFont="1" applyFill="1" applyBorder="1" applyAlignment="1">
      <alignment horizontal="center"/>
    </xf>
    <xf numFmtId="0" fontId="7" fillId="7" borderId="14" xfId="0" applyFont="1" applyFill="1" applyBorder="1" applyAlignment="1">
      <alignment horizontal="center"/>
    </xf>
    <xf numFmtId="0" fontId="7" fillId="7" borderId="15" xfId="0" applyFont="1" applyFill="1" applyBorder="1" applyAlignment="1">
      <alignment horizontal="center"/>
    </xf>
    <xf numFmtId="0" fontId="7" fillId="7" borderId="8" xfId="0" applyFont="1" applyFill="1" applyBorder="1" applyAlignment="1">
      <alignment horizontal="center" vertical="center"/>
    </xf>
    <xf numFmtId="0" fontId="7" fillId="7" borderId="9" xfId="0" applyFont="1" applyFill="1" applyBorder="1" applyAlignment="1">
      <alignment horizontal="center" vertical="center"/>
    </xf>
    <xf numFmtId="0" fontId="7" fillId="7" borderId="10" xfId="0" applyFont="1" applyFill="1" applyBorder="1" applyAlignment="1">
      <alignment horizontal="center" vertical="center"/>
    </xf>
    <xf numFmtId="0" fontId="7" fillId="7" borderId="33" xfId="0" applyFont="1" applyFill="1" applyBorder="1" applyAlignment="1">
      <alignment horizontal="center" vertical="center" wrapText="1"/>
    </xf>
    <xf numFmtId="0" fontId="7" fillId="7" borderId="34" xfId="0" applyFont="1" applyFill="1" applyBorder="1" applyAlignment="1">
      <alignment horizontal="center" vertical="center" wrapText="1"/>
    </xf>
    <xf numFmtId="0" fontId="7" fillId="7" borderId="35" xfId="0" applyFont="1" applyFill="1" applyBorder="1" applyAlignment="1">
      <alignment horizontal="center" vertical="center" wrapText="1"/>
    </xf>
    <xf numFmtId="0" fontId="7" fillId="7" borderId="8" xfId="0"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10" xfId="0" applyFont="1" applyFill="1" applyBorder="1" applyAlignment="1">
      <alignment horizontal="center" vertical="center" wrapText="1"/>
    </xf>
    <xf numFmtId="0" fontId="0" fillId="0" borderId="0" xfId="0" applyAlignment="1">
      <alignment horizontal="left" wrapText="1"/>
    </xf>
    <xf numFmtId="0" fontId="24" fillId="0" borderId="9" xfId="0" applyFont="1" applyBorder="1" applyAlignment="1">
      <alignment horizontal="center" vertical="center" wrapText="1"/>
    </xf>
    <xf numFmtId="0" fontId="24" fillId="0" borderId="4" xfId="0" applyFont="1" applyBorder="1" applyAlignment="1">
      <alignment horizontal="center" vertical="center" wrapText="1"/>
    </xf>
    <xf numFmtId="0" fontId="24" fillId="0" borderId="16" xfId="0" applyFont="1" applyBorder="1" applyAlignment="1">
      <alignment horizontal="center" vertical="center" wrapText="1"/>
    </xf>
    <xf numFmtId="0" fontId="24" fillId="0" borderId="48" xfId="0" applyFont="1" applyBorder="1" applyAlignment="1">
      <alignment horizontal="center" vertical="center" wrapText="1"/>
    </xf>
    <xf numFmtId="0" fontId="24" fillId="0" borderId="49" xfId="0" applyFont="1" applyBorder="1" applyAlignment="1">
      <alignment horizontal="center" vertical="center" wrapText="1"/>
    </xf>
    <xf numFmtId="3" fontId="36" fillId="0" borderId="55" xfId="0" applyNumberFormat="1" applyFont="1" applyBorder="1" applyAlignment="1">
      <alignment horizontal="center" vertical="center"/>
    </xf>
    <xf numFmtId="3" fontId="36" fillId="0" borderId="56" xfId="0" applyNumberFormat="1" applyFont="1" applyBorder="1" applyAlignment="1">
      <alignment horizontal="center" vertical="center"/>
    </xf>
    <xf numFmtId="0" fontId="34" fillId="0" borderId="16" xfId="0" applyFont="1" applyBorder="1" applyAlignment="1">
      <alignment horizontal="center" vertical="center" wrapText="1"/>
    </xf>
    <xf numFmtId="0" fontId="34" fillId="0" borderId="48" xfId="0" applyFont="1" applyBorder="1" applyAlignment="1">
      <alignment horizontal="center" vertical="center" wrapText="1"/>
    </xf>
    <xf numFmtId="0" fontId="34" fillId="0" borderId="49" xfId="0" applyFont="1" applyBorder="1" applyAlignment="1">
      <alignment horizontal="center" vertical="center" wrapText="1"/>
    </xf>
    <xf numFmtId="0" fontId="34" fillId="0" borderId="29" xfId="0" applyFont="1" applyBorder="1" applyAlignment="1">
      <alignment horizontal="center" vertical="center" wrapText="1"/>
    </xf>
    <xf numFmtId="0" fontId="34" fillId="0" borderId="21"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42" xfId="0" applyFont="1" applyBorder="1" applyAlignment="1">
      <alignment horizontal="center" vertical="center" wrapText="1"/>
    </xf>
    <xf numFmtId="0" fontId="7" fillId="0" borderId="51" xfId="0" applyFont="1" applyBorder="1" applyAlignment="1">
      <alignment horizontal="center" vertical="center" wrapText="1"/>
    </xf>
    <xf numFmtId="0" fontId="7" fillId="0" borderId="52" xfId="0" applyFont="1" applyBorder="1" applyAlignment="1">
      <alignment horizontal="center" vertical="center" wrapText="1"/>
    </xf>
    <xf numFmtId="0" fontId="0" fillId="0" borderId="0" xfId="0" applyAlignment="1">
      <alignment horizontal="left" vertical="center" wrapText="1"/>
    </xf>
    <xf numFmtId="0" fontId="34" fillId="0" borderId="8" xfId="0" applyFont="1" applyBorder="1" applyAlignment="1">
      <alignment horizontal="center" vertical="center" wrapText="1"/>
    </xf>
    <xf numFmtId="0" fontId="34" fillId="0" borderId="11" xfId="0" applyFont="1" applyBorder="1" applyAlignment="1">
      <alignment horizontal="center" vertical="center" wrapText="1"/>
    </xf>
    <xf numFmtId="0" fontId="34" fillId="0" borderId="9" xfId="0" applyFont="1" applyBorder="1" applyAlignment="1">
      <alignment horizontal="center" vertical="center" wrapText="1"/>
    </xf>
    <xf numFmtId="0" fontId="34" fillId="0" borderId="4" xfId="0" applyFont="1" applyBorder="1" applyAlignment="1">
      <alignment horizontal="center" vertical="center" wrapText="1"/>
    </xf>
    <xf numFmtId="3" fontId="25" fillId="0" borderId="53" xfId="0" applyNumberFormat="1" applyFont="1" applyBorder="1" applyAlignment="1">
      <alignment horizontal="center" vertical="center"/>
    </xf>
    <xf numFmtId="3" fontId="25" fillId="0" borderId="54" xfId="0" applyNumberFormat="1" applyFont="1" applyBorder="1" applyAlignment="1">
      <alignment horizontal="center" vertical="center"/>
    </xf>
    <xf numFmtId="3" fontId="25" fillId="0" borderId="55" xfId="0" applyNumberFormat="1" applyFont="1" applyBorder="1" applyAlignment="1">
      <alignment horizontal="center" vertical="center"/>
    </xf>
    <xf numFmtId="3" fontId="25" fillId="0" borderId="56" xfId="0" applyNumberFormat="1" applyFont="1" applyBorder="1" applyAlignment="1">
      <alignment horizontal="center" vertical="center"/>
    </xf>
    <xf numFmtId="0" fontId="24" fillId="0" borderId="8" xfId="0" applyFont="1" applyBorder="1" applyAlignment="1">
      <alignment horizontal="center" vertical="center" wrapText="1"/>
    </xf>
    <xf numFmtId="0" fontId="24" fillId="0" borderId="11" xfId="0" applyFont="1" applyBorder="1" applyAlignment="1">
      <alignment horizontal="center" vertical="center" wrapText="1"/>
    </xf>
    <xf numFmtId="0" fontId="24" fillId="0" borderId="29" xfId="0" applyFont="1" applyBorder="1" applyAlignment="1">
      <alignment horizontal="center" vertical="center" wrapText="1"/>
    </xf>
    <xf numFmtId="0" fontId="24" fillId="0" borderId="21" xfId="0" applyFont="1" applyBorder="1" applyAlignment="1">
      <alignment horizontal="center" vertical="center" wrapText="1"/>
    </xf>
  </cellXfs>
  <cellStyles count="14">
    <cellStyle name="Comma" xfId="2" builtinId="3"/>
    <cellStyle name="Good" xfId="8" builtinId="26"/>
    <cellStyle name="Hyperlink" xfId="1" builtinId="8"/>
    <cellStyle name="Hyperlink 2" xfId="13" xr:uid="{3F6EF737-2312-42BD-A589-5AF8EE3A298C}"/>
    <cellStyle name="Hyperlink 2 2 2" xfId="11" xr:uid="{89BC1D22-836B-4BD3-8DE1-80622A1E8D9E}"/>
    <cellStyle name="Normal" xfId="0" builtinId="0"/>
    <cellStyle name="Normal 10" xfId="10" xr:uid="{4816D03E-7037-4A77-936A-26B3F7B2FEFD}"/>
    <cellStyle name="Normal 12" xfId="4" xr:uid="{00000000-0005-0000-0000-000003000000}"/>
    <cellStyle name="Normal 2" xfId="7" xr:uid="{00000000-0005-0000-0000-000004000000}"/>
    <cellStyle name="Normal 2 2" xfId="12" xr:uid="{89F63FB1-ADE8-4B72-B274-2C16C845BCEE}"/>
    <cellStyle name="Normal 6 5" xfId="9" xr:uid="{0DACFED2-8463-4D4A-805E-4EB924A11FEA}"/>
    <cellStyle name="Normal_Cancelled" xfId="5" xr:uid="{00000000-0005-0000-0000-000005000000}"/>
    <cellStyle name="Normal_Sheet1" xfId="6" xr:uid="{00000000-0005-0000-0000-000006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Theme">
  <a:themeElements>
    <a:clrScheme name="Custom 6">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070C0"/>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ercot.com/mp/data-products/data-product-details?id=PG3-1411-M"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19"/>
  <sheetViews>
    <sheetView tabSelected="1" zoomScale="85" zoomScaleNormal="85" workbookViewId="0"/>
  </sheetViews>
  <sheetFormatPr defaultRowHeight="15" x14ac:dyDescent="0.25"/>
  <cols>
    <col min="1" max="1" width="16.140625" customWidth="1"/>
    <col min="2" max="2" width="68.28515625" bestFit="1" customWidth="1"/>
    <col min="3" max="3" width="44.28515625" bestFit="1" customWidth="1"/>
    <col min="4" max="4" width="30.42578125" style="10" bestFit="1" customWidth="1"/>
  </cols>
  <sheetData>
    <row r="1" spans="1:4" ht="30" x14ac:dyDescent="0.25">
      <c r="A1" s="168" t="s">
        <v>0</v>
      </c>
      <c r="B1" s="40" t="s">
        <v>1</v>
      </c>
      <c r="C1" s="40" t="s">
        <v>2</v>
      </c>
      <c r="D1" s="41" t="s">
        <v>3</v>
      </c>
    </row>
    <row r="2" spans="1:4" x14ac:dyDescent="0.25">
      <c r="A2" s="243" t="s">
        <v>4</v>
      </c>
      <c r="B2" s="243"/>
      <c r="C2" s="243"/>
      <c r="D2" s="243"/>
    </row>
    <row r="3" spans="1:4" ht="15" customHeight="1" x14ac:dyDescent="0.25">
      <c r="A3" s="2" t="s">
        <v>5</v>
      </c>
      <c r="B3" s="12" t="s">
        <v>6</v>
      </c>
      <c r="C3" s="35" t="str">
        <f>'Start Cases'!B2</f>
        <v>Final</v>
      </c>
      <c r="D3" s="10">
        <f>IF('Start Cases'!B1= "","N/A",'Start Cases'!B1)</f>
        <v>45874</v>
      </c>
    </row>
    <row r="4" spans="1:4" ht="15" customHeight="1" x14ac:dyDescent="0.25">
      <c r="A4" s="3" t="s">
        <v>7</v>
      </c>
      <c r="B4" s="80" t="s">
        <v>8</v>
      </c>
      <c r="C4" s="35" t="str">
        <f>'RPG Projects Removed or Moved'!B2</f>
        <v>Final</v>
      </c>
      <c r="D4" s="46">
        <f>IF('RPG Projects Removed or Moved'!B1 ="","N/A",'RPG Projects Removed or Moved'!B1)</f>
        <v>46009</v>
      </c>
    </row>
    <row r="5" spans="1:4" x14ac:dyDescent="0.25">
      <c r="A5" s="2" t="s">
        <v>7</v>
      </c>
      <c r="B5" s="12" t="s">
        <v>9</v>
      </c>
      <c r="C5" s="35" t="str">
        <f>'Recently Approved RPG Projects'!B2</f>
        <v>Final</v>
      </c>
      <c r="D5" s="46">
        <f>IF('Recently Approved RPG Projects'!B1= "","N/A",'Recently Approved RPG Projects'!B1)</f>
        <v>45994</v>
      </c>
    </row>
    <row r="6" spans="1:4" x14ac:dyDescent="0.25">
      <c r="A6" s="3" t="s">
        <v>7</v>
      </c>
      <c r="B6" s="13" t="s">
        <v>10</v>
      </c>
      <c r="C6" s="35" t="str">
        <f>'Model Updates &amp; Corrections'!B2</f>
        <v>Final</v>
      </c>
      <c r="D6" s="46">
        <f>IF('Model Updates &amp; Corrections'!B1= "","N/A",'Model Updates &amp; Corrections'!B1)</f>
        <v>46009</v>
      </c>
    </row>
    <row r="7" spans="1:4" x14ac:dyDescent="0.25">
      <c r="A7" s="2" t="s">
        <v>11</v>
      </c>
      <c r="B7" s="12" t="s">
        <v>12</v>
      </c>
      <c r="C7" s="35" t="str">
        <f>'Transmission &amp; Gen Outages'!B2</f>
        <v>Final</v>
      </c>
      <c r="D7" s="46">
        <f>IF('Transmission &amp; Gen Outages'!B1= "","N/A",'Transmission &amp; Gen Outages'!B1)</f>
        <v>46010</v>
      </c>
    </row>
    <row r="8" spans="1:4" x14ac:dyDescent="0.25">
      <c r="A8" s="3" t="s">
        <v>13</v>
      </c>
      <c r="B8" s="13" t="s">
        <v>14</v>
      </c>
      <c r="C8" s="35" t="str">
        <f>'Temp. for Dynamic Ratings'!B2</f>
        <v>Final</v>
      </c>
      <c r="D8" s="46">
        <f>IF('Temp. for Dynamic Ratings'!B1 ="","N/A",'Temp. for Dynamic Ratings'!B1)</f>
        <v>45874</v>
      </c>
    </row>
    <row r="9" spans="1:4" x14ac:dyDescent="0.25">
      <c r="A9" s="244" t="s">
        <v>15</v>
      </c>
      <c r="B9" s="244"/>
      <c r="C9" s="244"/>
      <c r="D9" s="244"/>
    </row>
    <row r="10" spans="1:4" x14ac:dyDescent="0.25">
      <c r="A10" s="2" t="s">
        <v>16</v>
      </c>
      <c r="B10" s="12" t="s">
        <v>17</v>
      </c>
      <c r="C10" s="35" t="str">
        <f>'Gen Add. Ret. and Mothball'!B2</f>
        <v>Final</v>
      </c>
      <c r="D10" s="46">
        <f>IF('Gen Add. Ret. and Mothball'!B1= "","N/A",'Gen Add. Ret. and Mothball'!B1)</f>
        <v>46010</v>
      </c>
    </row>
    <row r="11" spans="1:4" x14ac:dyDescent="0.25">
      <c r="A11" s="3" t="s">
        <v>18</v>
      </c>
      <c r="B11" s="13" t="s">
        <v>19</v>
      </c>
      <c r="C11" s="35" t="str">
        <f>'Renewable Generation Dispatch'!B2</f>
        <v>Final</v>
      </c>
      <c r="D11" s="10">
        <f>IF('Renewable Generation Dispatch'!B1= "","N/A",'Renewable Generation Dispatch'!B1)</f>
        <v>45874</v>
      </c>
    </row>
    <row r="12" spans="1:4" x14ac:dyDescent="0.25">
      <c r="A12" s="2" t="s">
        <v>20</v>
      </c>
      <c r="B12" s="12" t="s">
        <v>21</v>
      </c>
      <c r="C12" s="35" t="str">
        <f>'Switchable Generation'!B2</f>
        <v>Final</v>
      </c>
      <c r="D12" s="10">
        <f>IF('Switchable Generation'!B1= "","N/A",'Switchable Generation'!B1)</f>
        <v>45874</v>
      </c>
    </row>
    <row r="13" spans="1:4" x14ac:dyDescent="0.25">
      <c r="A13" s="3" t="s">
        <v>22</v>
      </c>
      <c r="B13" s="13" t="s">
        <v>23</v>
      </c>
      <c r="C13" s="35" t="str">
        <f>'DC Tie Modeling &amp; Dispatch'!B2</f>
        <v>Final</v>
      </c>
      <c r="D13" s="10">
        <f>IF('DC Tie Modeling &amp; Dispatch'!B1= "","N/A",'DC Tie Modeling &amp; Dispatch'!B1)</f>
        <v>45874</v>
      </c>
    </row>
    <row r="14" spans="1:4" x14ac:dyDescent="0.25">
      <c r="A14" s="2" t="s">
        <v>24</v>
      </c>
      <c r="B14" s="12" t="s">
        <v>25</v>
      </c>
      <c r="C14" s="35" t="str">
        <f>'Reserve Requirement'!B2</f>
        <v>Final</v>
      </c>
      <c r="D14" s="10">
        <f>IF('Reserve Requirement'!B1= "","N/A",'Reserve Requirement'!B1)</f>
        <v>45874</v>
      </c>
    </row>
    <row r="15" spans="1:4" x14ac:dyDescent="0.25">
      <c r="A15" s="3" t="s">
        <v>26</v>
      </c>
      <c r="B15" s="13" t="s">
        <v>27</v>
      </c>
      <c r="C15" s="35" t="str">
        <f>'Fuel Price Assumptions'!B2</f>
        <v>Final</v>
      </c>
      <c r="D15" s="46">
        <f>IF('Fuel Price Assumptions'!B1= "","N/A",'Fuel Price Assumptions'!B1)</f>
        <v>45874</v>
      </c>
    </row>
    <row r="16" spans="1:4" x14ac:dyDescent="0.25">
      <c r="A16" s="243" t="s">
        <v>28</v>
      </c>
      <c r="B16" s="243"/>
      <c r="C16" s="243"/>
      <c r="D16" s="243"/>
    </row>
    <row r="17" spans="1:4" ht="60" x14ac:dyDescent="0.25">
      <c r="A17" s="38">
        <v>3.3</v>
      </c>
      <c r="B17" s="39" t="s">
        <v>29</v>
      </c>
      <c r="C17" s="14" t="str">
        <f>'Reliability Case-Load Forecast'!B2</f>
        <v>Final</v>
      </c>
      <c r="D17" s="106">
        <f>IF('Reliability Case-Load Forecast'!B1= "","N/A",'Reliability Case-Load Forecast'!B1)</f>
        <v>45874</v>
      </c>
    </row>
    <row r="18" spans="1:4" x14ac:dyDescent="0.25">
      <c r="A18" s="243" t="s">
        <v>30</v>
      </c>
      <c r="B18" s="243"/>
      <c r="C18" s="243"/>
      <c r="D18" s="243"/>
    </row>
    <row r="19" spans="1:4" x14ac:dyDescent="0.25">
      <c r="A19" s="24" t="s">
        <v>31</v>
      </c>
      <c r="B19" s="25" t="s">
        <v>32</v>
      </c>
      <c r="C19" s="14" t="str">
        <f>'Sensitivity Analysis'!B2</f>
        <v>Final</v>
      </c>
      <c r="D19" s="46">
        <f>IF('Sensitivity Analysis'!B1 ="","N/A",'Sensitivity Analysis'!B1)</f>
        <v>46013</v>
      </c>
    </row>
  </sheetData>
  <mergeCells count="4">
    <mergeCell ref="A2:D2"/>
    <mergeCell ref="A9:D9"/>
    <mergeCell ref="A16:D16"/>
    <mergeCell ref="A18:D18"/>
  </mergeCells>
  <hyperlinks>
    <hyperlink ref="A3" location="'Start Cases'!A1" display="3.1.1" xr:uid="{00000000-0004-0000-0000-000000000000}"/>
    <hyperlink ref="A4" location="'RPG Projects Backed out'!A1" display="3.1.2" xr:uid="{00000000-0004-0000-0000-000001000000}"/>
    <hyperlink ref="A5" location="'Recently approved RPG project'!A1" display="3.1.2" xr:uid="{00000000-0004-0000-0000-000002000000}"/>
    <hyperlink ref="A6" location="'Model updates &amp; corrections'!A1" display="3.1.2" xr:uid="{00000000-0004-0000-0000-000003000000}"/>
    <hyperlink ref="A6:B6" location="'Model updates &amp; corrections'!A1" display="3.1.2" xr:uid="{00000000-0004-0000-0000-000004000000}"/>
    <hyperlink ref="A5:B5" location="'Recently approved RPG project'!A1" display="3.1.2" xr:uid="{00000000-0004-0000-0000-000005000000}"/>
    <hyperlink ref="A4:B4" location="'RPG Projects Backed out'!A1" display="3.1.2" xr:uid="{00000000-0004-0000-0000-000006000000}"/>
    <hyperlink ref="A3:B3" location="'Start Cases'!A1" display="3.1.1" xr:uid="{00000000-0004-0000-0000-000007000000}"/>
    <hyperlink ref="A7:B7" location="'Transmission &amp; Gen Outages'!A1" display="3.1.3" xr:uid="{00000000-0004-0000-0000-000008000000}"/>
    <hyperlink ref="A10:B10" location="'Gen add, ret. and mothball'!A1" display="3.2.1" xr:uid="{00000000-0004-0000-0000-000009000000}"/>
    <hyperlink ref="A11:B11" location="'Renewable Generation Dispatch'!A1" display="3.2.2" xr:uid="{00000000-0004-0000-0000-00000A000000}"/>
    <hyperlink ref="A12:B12" location="'Switchable Generation'!A1" display="3.2.3" xr:uid="{00000000-0004-0000-0000-00000B000000}"/>
    <hyperlink ref="A13:B13" location="'DC Tie modeling &amp; dispatch'!A1" display="3.2.4" xr:uid="{00000000-0004-0000-0000-00000C000000}"/>
    <hyperlink ref="A14:B14" location="'Reserve Requirement'!A1" display="3.2.5" xr:uid="{00000000-0004-0000-0000-00000D000000}"/>
    <hyperlink ref="A15:B15" location="'Fuel Price Assumptions'!A1" display="3.2.6" xr:uid="{00000000-0004-0000-0000-00000E000000}"/>
    <hyperlink ref="A17:B17" location="'Reliability case-Load Forecast'!A1" display="'Reliability case-Load Forecast'!A1" xr:uid="{00000000-0004-0000-0000-00000F000000}"/>
    <hyperlink ref="B8" location="'Temp. for Dynamic Ratings'!A1" display="Temperatures used in Dynamic Rating Calculation" xr:uid="{00000000-0004-0000-0000-000010000000}"/>
    <hyperlink ref="B12" location="'Switchable Generation'!A1" display="Switchable Generation " xr:uid="{00000000-0004-0000-0000-000011000000}"/>
    <hyperlink ref="A19:B19" location="'Sensitivity Analysis'!A1" display="5.2.2" xr:uid="{00000000-0004-0000-0000-000012000000}"/>
    <hyperlink ref="B5" location="'Recently Approved RPG Projects'!A1" display="Recently approved RPG projects" xr:uid="{00000000-0004-0000-0000-000013000000}"/>
    <hyperlink ref="A17" location="'Reliability Case-Load Forecast'!A1" display="'Reliability Case-Load Forecast'!A1" xr:uid="{00000000-0004-0000-0000-000014000000}"/>
    <hyperlink ref="B4" location="'RPG Projects Removed or Moved'!A1" display="RPG Projects Backed Out For Lack of Approval or Moved Due to ISD Change" xr:uid="{A3FBE779-5214-4B3C-B059-07023FDFC398}"/>
    <hyperlink ref="B10" location="'Gen Add. Ret. and Mothball'!A1" display="Generation Additions, Retirements and Mothballs" xr:uid="{B7F993AA-5641-4BA0-8EC5-36ED839348A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13"/>
  <sheetViews>
    <sheetView zoomScale="85" zoomScaleNormal="85" workbookViewId="0">
      <selection activeCell="A13" sqref="A13"/>
    </sheetView>
  </sheetViews>
  <sheetFormatPr defaultColWidth="9.28515625" defaultRowHeight="15" x14ac:dyDescent="0.25"/>
  <cols>
    <col min="1" max="1" width="41.5703125" bestFit="1" customWidth="1"/>
    <col min="2" max="2" width="28.28515625" style="16" bestFit="1" customWidth="1"/>
    <col min="3" max="3" width="9.28515625" customWidth="1"/>
  </cols>
  <sheetData>
    <row r="1" spans="1:3" x14ac:dyDescent="0.25">
      <c r="A1" t="s">
        <v>33</v>
      </c>
      <c r="B1" s="33">
        <v>45874</v>
      </c>
      <c r="C1" s="147" t="s">
        <v>34</v>
      </c>
    </row>
    <row r="2" spans="1:3" x14ac:dyDescent="0.25">
      <c r="A2" t="s">
        <v>35</v>
      </c>
      <c r="B2" s="16" t="s">
        <v>36</v>
      </c>
    </row>
    <row r="3" spans="1:3" ht="15.75" thickBot="1" x14ac:dyDescent="0.3"/>
    <row r="4" spans="1:3" ht="30" customHeight="1" thickBot="1" x14ac:dyDescent="0.3">
      <c r="A4" s="74" t="s">
        <v>37</v>
      </c>
      <c r="B4" s="73" t="s">
        <v>38</v>
      </c>
    </row>
    <row r="5" spans="1:3" ht="15.75" thickBot="1" x14ac:dyDescent="0.3"/>
    <row r="6" spans="1:3" ht="15.75" thickBot="1" x14ac:dyDescent="0.3">
      <c r="A6" s="72" t="s">
        <v>39</v>
      </c>
    </row>
    <row r="7" spans="1:3" x14ac:dyDescent="0.25">
      <c r="A7" s="70" t="s">
        <v>40</v>
      </c>
    </row>
    <row r="8" spans="1:3" x14ac:dyDescent="0.25">
      <c r="A8" s="70" t="s">
        <v>41</v>
      </c>
    </row>
    <row r="9" spans="1:3" x14ac:dyDescent="0.25">
      <c r="A9" s="70" t="s">
        <v>42</v>
      </c>
    </row>
    <row r="10" spans="1:3" ht="15.75" thickBot="1" x14ac:dyDescent="0.3">
      <c r="A10" s="71" t="s">
        <v>43</v>
      </c>
    </row>
    <row r="11" spans="1:3" ht="15.75" thickBot="1" x14ac:dyDescent="0.3"/>
    <row r="12" spans="1:3" ht="15.75" thickBot="1" x14ac:dyDescent="0.3">
      <c r="A12" s="72" t="s">
        <v>44</v>
      </c>
    </row>
    <row r="13" spans="1:3" ht="15.75" thickBot="1" x14ac:dyDescent="0.3">
      <c r="A13" s="71" t="s">
        <v>45</v>
      </c>
    </row>
  </sheetData>
  <hyperlinks>
    <hyperlink ref="C1" location="Index!A1" display="Back"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T49"/>
  <sheetViews>
    <sheetView zoomScale="85" zoomScaleNormal="85" workbookViewId="0">
      <selection activeCell="L9" sqref="L9"/>
    </sheetView>
  </sheetViews>
  <sheetFormatPr defaultColWidth="9.28515625" defaultRowHeight="15" x14ac:dyDescent="0.25"/>
  <cols>
    <col min="1" max="1" width="26.140625" style="14" bestFit="1" customWidth="1"/>
    <col min="2" max="2" width="29" style="14" bestFit="1" customWidth="1"/>
    <col min="3" max="3" width="31" style="26" customWidth="1"/>
    <col min="4" max="4" width="19.85546875" style="14" bestFit="1" customWidth="1"/>
    <col min="5" max="5" width="20.7109375" style="14" bestFit="1" customWidth="1"/>
    <col min="6" max="6" width="15.42578125" style="14" bestFit="1" customWidth="1"/>
    <col min="7" max="7" width="23.85546875" style="14" bestFit="1" customWidth="1"/>
    <col min="8" max="8" width="37" style="14" bestFit="1" customWidth="1"/>
    <col min="9" max="9" width="30.85546875" style="14" bestFit="1" customWidth="1"/>
    <col min="10" max="10" width="42.5703125" style="14" bestFit="1" customWidth="1"/>
    <col min="11" max="11" width="28.5703125" style="14" bestFit="1" customWidth="1"/>
    <col min="12" max="12" width="24.42578125" style="14" bestFit="1" customWidth="1"/>
    <col min="13" max="13" width="30.42578125" style="14" bestFit="1" customWidth="1"/>
    <col min="14" max="14" width="31.7109375" style="14" bestFit="1" customWidth="1"/>
    <col min="15" max="15" width="28.140625" style="14" bestFit="1" customWidth="1"/>
    <col min="16" max="16" width="43" style="14" bestFit="1" customWidth="1"/>
    <col min="17" max="17" width="38.28515625" style="14" bestFit="1" customWidth="1"/>
    <col min="18" max="18" width="23.7109375" style="14" bestFit="1" customWidth="1"/>
    <col min="19" max="19" width="17.140625" style="14" bestFit="1" customWidth="1"/>
    <col min="20" max="20" width="20.28515625" style="14" bestFit="1" customWidth="1"/>
    <col min="21" max="21" width="16.28515625" style="14" customWidth="1"/>
    <col min="22" max="16384" width="9.28515625" style="14"/>
  </cols>
  <sheetData>
    <row r="1" spans="1:20" x14ac:dyDescent="0.25">
      <c r="A1" s="85" t="s">
        <v>33</v>
      </c>
      <c r="B1" s="33">
        <v>46009</v>
      </c>
      <c r="C1" s="84" t="s">
        <v>34</v>
      </c>
    </row>
    <row r="2" spans="1:20" x14ac:dyDescent="0.25">
      <c r="A2" s="85" t="s">
        <v>35</v>
      </c>
      <c r="B2" s="16" t="s">
        <v>36</v>
      </c>
    </row>
    <row r="3" spans="1:20" x14ac:dyDescent="0.25">
      <c r="A3" s="85" t="s">
        <v>46</v>
      </c>
      <c r="B3" s="221">
        <v>45566</v>
      </c>
    </row>
    <row r="4" spans="1:20" ht="15.75" thickBot="1" x14ac:dyDescent="0.3">
      <c r="B4" s="222"/>
    </row>
    <row r="5" spans="1:20" ht="16.5" thickBot="1" x14ac:dyDescent="0.3">
      <c r="A5" s="245" t="s">
        <v>47</v>
      </c>
      <c r="B5" s="246"/>
    </row>
    <row r="6" spans="1:20" s="26" customFormat="1" ht="30" x14ac:dyDescent="0.25">
      <c r="A6" s="79" t="s">
        <v>48</v>
      </c>
      <c r="B6" s="79" t="s">
        <v>49</v>
      </c>
      <c r="C6" s="30" t="s">
        <v>50</v>
      </c>
      <c r="D6" s="30" t="s">
        <v>51</v>
      </c>
      <c r="E6" s="30" t="s">
        <v>52</v>
      </c>
      <c r="F6" s="30" t="s">
        <v>53</v>
      </c>
      <c r="G6" s="30" t="s">
        <v>54</v>
      </c>
      <c r="H6" s="30" t="s">
        <v>55</v>
      </c>
      <c r="I6" s="30" t="s">
        <v>56</v>
      </c>
      <c r="J6" s="30" t="s">
        <v>57</v>
      </c>
      <c r="K6" s="30" t="s">
        <v>58</v>
      </c>
      <c r="L6" s="30" t="s">
        <v>59</v>
      </c>
      <c r="M6" s="30" t="s">
        <v>60</v>
      </c>
      <c r="N6" s="30" t="s">
        <v>61</v>
      </c>
      <c r="O6" s="30" t="s">
        <v>62</v>
      </c>
      <c r="P6" s="30" t="s">
        <v>63</v>
      </c>
      <c r="Q6" s="30" t="s">
        <v>64</v>
      </c>
      <c r="R6" s="30" t="s">
        <v>65</v>
      </c>
      <c r="S6" s="44" t="s">
        <v>66</v>
      </c>
      <c r="T6" s="45"/>
    </row>
    <row r="7" spans="1:20" s="104" customFormat="1" ht="45" x14ac:dyDescent="0.25">
      <c r="A7" s="216">
        <v>70710</v>
      </c>
      <c r="B7" s="216" t="s">
        <v>71</v>
      </c>
      <c r="C7" s="216" t="s">
        <v>72</v>
      </c>
      <c r="D7" s="216" t="s">
        <v>1637</v>
      </c>
      <c r="E7" s="216" t="s">
        <v>73</v>
      </c>
      <c r="F7" s="102"/>
      <c r="G7" s="216" t="s">
        <v>67</v>
      </c>
      <c r="H7" s="216" t="s">
        <v>74</v>
      </c>
      <c r="I7" s="102" t="s">
        <v>75</v>
      </c>
      <c r="J7" s="217">
        <v>46721</v>
      </c>
      <c r="K7" s="216">
        <v>69</v>
      </c>
      <c r="L7" s="216" t="s">
        <v>76</v>
      </c>
      <c r="M7" s="103" t="s">
        <v>68</v>
      </c>
      <c r="N7" s="103" t="s">
        <v>69</v>
      </c>
      <c r="O7" s="103" t="s">
        <v>69</v>
      </c>
      <c r="P7" s="216" t="s">
        <v>77</v>
      </c>
      <c r="Q7" s="102" t="s">
        <v>70</v>
      </c>
      <c r="R7" s="216">
        <v>70711</v>
      </c>
      <c r="S7" s="216">
        <v>70710</v>
      </c>
    </row>
    <row r="8" spans="1:20" s="104" customFormat="1" ht="45" x14ac:dyDescent="0.25">
      <c r="A8" s="216">
        <v>67915</v>
      </c>
      <c r="B8" s="216" t="s">
        <v>78</v>
      </c>
      <c r="C8" s="216" t="s">
        <v>79</v>
      </c>
      <c r="D8" s="216" t="s">
        <v>80</v>
      </c>
      <c r="E8" s="216" t="s">
        <v>81</v>
      </c>
      <c r="F8" s="102"/>
      <c r="G8" s="216" t="s">
        <v>82</v>
      </c>
      <c r="H8" s="216" t="s">
        <v>83</v>
      </c>
      <c r="I8" s="102"/>
      <c r="J8" s="103">
        <v>47117</v>
      </c>
      <c r="K8" s="216">
        <v>138</v>
      </c>
      <c r="L8" s="216" t="s">
        <v>76</v>
      </c>
      <c r="M8" s="103" t="s">
        <v>69</v>
      </c>
      <c r="N8" s="103" t="s">
        <v>69</v>
      </c>
      <c r="O8" s="103" t="s">
        <v>69</v>
      </c>
      <c r="P8" s="216" t="s">
        <v>84</v>
      </c>
      <c r="Q8" s="102" t="s">
        <v>70</v>
      </c>
      <c r="R8" s="216">
        <v>67916</v>
      </c>
      <c r="S8" s="216">
        <v>67915</v>
      </c>
    </row>
    <row r="9" spans="1:20" s="104" customFormat="1" ht="60" x14ac:dyDescent="0.25">
      <c r="A9" s="219" t="s">
        <v>85</v>
      </c>
      <c r="B9" s="219" t="s">
        <v>86</v>
      </c>
      <c r="C9" s="219" t="s">
        <v>87</v>
      </c>
      <c r="D9" s="219" t="s">
        <v>88</v>
      </c>
      <c r="E9" s="219" t="s">
        <v>89</v>
      </c>
      <c r="F9" s="219"/>
      <c r="G9" s="219" t="s">
        <v>90</v>
      </c>
      <c r="H9" s="219" t="s">
        <v>91</v>
      </c>
      <c r="I9" s="219"/>
      <c r="J9" s="220">
        <v>46053</v>
      </c>
      <c r="K9" s="219">
        <v>138</v>
      </c>
      <c r="L9" s="219" t="s">
        <v>76</v>
      </c>
      <c r="M9" s="220" t="s">
        <v>69</v>
      </c>
      <c r="N9" s="220" t="s">
        <v>69</v>
      </c>
      <c r="O9" s="220" t="s">
        <v>69</v>
      </c>
      <c r="P9" s="219" t="s">
        <v>92</v>
      </c>
      <c r="Q9" s="219" t="s">
        <v>70</v>
      </c>
      <c r="R9" s="219">
        <v>87133</v>
      </c>
      <c r="S9" s="219">
        <v>78473</v>
      </c>
    </row>
    <row r="10" spans="1:20" s="104" customFormat="1" ht="60" x14ac:dyDescent="0.25">
      <c r="A10" s="219" t="s">
        <v>93</v>
      </c>
      <c r="B10" s="219" t="s">
        <v>86</v>
      </c>
      <c r="C10" s="219" t="s">
        <v>94</v>
      </c>
      <c r="D10" s="219" t="s">
        <v>88</v>
      </c>
      <c r="E10" s="219" t="s">
        <v>95</v>
      </c>
      <c r="F10" s="219"/>
      <c r="G10" s="219" t="s">
        <v>90</v>
      </c>
      <c r="H10" s="219" t="s">
        <v>91</v>
      </c>
      <c r="I10" s="219"/>
      <c r="J10" s="220">
        <v>46053</v>
      </c>
      <c r="K10" s="219">
        <v>138</v>
      </c>
      <c r="L10" s="219" t="s">
        <v>76</v>
      </c>
      <c r="M10" s="220" t="s">
        <v>69</v>
      </c>
      <c r="N10" s="220" t="s">
        <v>69</v>
      </c>
      <c r="O10" s="220" t="s">
        <v>69</v>
      </c>
      <c r="P10" s="219" t="s">
        <v>96</v>
      </c>
      <c r="Q10" s="219" t="s">
        <v>70</v>
      </c>
      <c r="R10" s="219">
        <v>87134</v>
      </c>
      <c r="S10" s="219">
        <v>78473</v>
      </c>
    </row>
    <row r="11" spans="1:20" s="104" customFormat="1" ht="45" x14ac:dyDescent="0.25">
      <c r="A11" s="219">
        <v>76654</v>
      </c>
      <c r="B11" s="219" t="s">
        <v>97</v>
      </c>
      <c r="C11" s="219" t="s">
        <v>97</v>
      </c>
      <c r="D11" s="219" t="s">
        <v>98</v>
      </c>
      <c r="E11" s="219" t="s">
        <v>98</v>
      </c>
      <c r="F11" s="219"/>
      <c r="G11" s="219" t="s">
        <v>99</v>
      </c>
      <c r="H11" s="219" t="s">
        <v>100</v>
      </c>
      <c r="I11" s="219" t="s">
        <v>101</v>
      </c>
      <c r="J11" s="220">
        <v>46371</v>
      </c>
      <c r="K11" s="219">
        <v>345</v>
      </c>
      <c r="L11" s="219" t="s">
        <v>76</v>
      </c>
      <c r="M11" s="220">
        <v>45715</v>
      </c>
      <c r="N11" s="220"/>
      <c r="O11" s="220"/>
      <c r="P11" s="219" t="s">
        <v>102</v>
      </c>
      <c r="Q11" s="219" t="s">
        <v>70</v>
      </c>
      <c r="R11" s="219">
        <v>76655</v>
      </c>
      <c r="S11" s="219">
        <v>76654</v>
      </c>
    </row>
    <row r="12" spans="1:20" s="104" customFormat="1" ht="45" x14ac:dyDescent="0.25">
      <c r="A12" s="219">
        <v>76728</v>
      </c>
      <c r="B12" s="219" t="s">
        <v>103</v>
      </c>
      <c r="C12" s="219" t="s">
        <v>104</v>
      </c>
      <c r="D12" s="219" t="s">
        <v>105</v>
      </c>
      <c r="E12" s="219"/>
      <c r="F12" s="219"/>
      <c r="G12" s="219" t="s">
        <v>99</v>
      </c>
      <c r="H12" s="219" t="s">
        <v>100</v>
      </c>
      <c r="I12" s="219" t="s">
        <v>106</v>
      </c>
      <c r="J12" s="220">
        <v>46522</v>
      </c>
      <c r="K12" s="219">
        <v>138</v>
      </c>
      <c r="L12" s="219" t="s">
        <v>76</v>
      </c>
      <c r="M12" s="220" t="s">
        <v>68</v>
      </c>
      <c r="N12" s="220" t="s">
        <v>69</v>
      </c>
      <c r="O12" s="220" t="s">
        <v>69</v>
      </c>
      <c r="P12" s="219" t="s">
        <v>107</v>
      </c>
      <c r="Q12" s="219" t="s">
        <v>70</v>
      </c>
      <c r="R12" s="219">
        <v>76831</v>
      </c>
      <c r="S12" s="219">
        <v>76728</v>
      </c>
    </row>
    <row r="13" spans="1:20" s="104" customFormat="1" ht="45" x14ac:dyDescent="0.25">
      <c r="A13" s="219">
        <v>71910</v>
      </c>
      <c r="B13" s="219" t="s">
        <v>108</v>
      </c>
      <c r="C13" s="219" t="s">
        <v>109</v>
      </c>
      <c r="D13" s="219" t="s">
        <v>110</v>
      </c>
      <c r="E13" s="219" t="s">
        <v>111</v>
      </c>
      <c r="F13" s="219"/>
      <c r="G13" s="219" t="s">
        <v>99</v>
      </c>
      <c r="H13" s="219" t="s">
        <v>100</v>
      </c>
      <c r="I13" s="219" t="s">
        <v>112</v>
      </c>
      <c r="J13" s="220">
        <v>47102</v>
      </c>
      <c r="K13" s="219">
        <v>69</v>
      </c>
      <c r="L13" s="219" t="s">
        <v>76</v>
      </c>
      <c r="M13" s="220" t="s">
        <v>68</v>
      </c>
      <c r="N13" s="220" t="s">
        <v>69</v>
      </c>
      <c r="O13" s="220" t="s">
        <v>69</v>
      </c>
      <c r="P13" s="219" t="s">
        <v>113</v>
      </c>
      <c r="Q13" s="219" t="s">
        <v>70</v>
      </c>
      <c r="R13" s="219">
        <v>71911</v>
      </c>
      <c r="S13" s="219">
        <v>71910</v>
      </c>
    </row>
    <row r="14" spans="1:20" s="104" customFormat="1" ht="45" x14ac:dyDescent="0.25">
      <c r="A14" s="219">
        <v>6287</v>
      </c>
      <c r="B14" s="219" t="s">
        <v>114</v>
      </c>
      <c r="C14" s="219" t="s">
        <v>115</v>
      </c>
      <c r="D14" s="219" t="s">
        <v>116</v>
      </c>
      <c r="E14" s="219" t="s">
        <v>117</v>
      </c>
      <c r="F14" s="219"/>
      <c r="G14" s="219" t="s">
        <v>99</v>
      </c>
      <c r="H14" s="219" t="s">
        <v>100</v>
      </c>
      <c r="I14" s="219" t="s">
        <v>118</v>
      </c>
      <c r="J14" s="220"/>
      <c r="K14" s="219">
        <v>345</v>
      </c>
      <c r="L14" s="219" t="s">
        <v>76</v>
      </c>
      <c r="M14" s="220" t="s">
        <v>68</v>
      </c>
      <c r="N14" s="220" t="s">
        <v>69</v>
      </c>
      <c r="O14" s="220" t="s">
        <v>69</v>
      </c>
      <c r="P14" s="219" t="s">
        <v>119</v>
      </c>
      <c r="Q14" s="219" t="s">
        <v>70</v>
      </c>
      <c r="R14" s="219">
        <v>14016</v>
      </c>
      <c r="S14" s="219">
        <v>6287</v>
      </c>
    </row>
    <row r="15" spans="1:20" s="104" customFormat="1" ht="45" x14ac:dyDescent="0.25">
      <c r="A15" s="219">
        <v>76669</v>
      </c>
      <c r="B15" s="219" t="s">
        <v>120</v>
      </c>
      <c r="C15" s="219" t="s">
        <v>120</v>
      </c>
      <c r="D15" s="219" t="s">
        <v>121</v>
      </c>
      <c r="E15" s="219" t="s">
        <v>122</v>
      </c>
      <c r="F15" s="219"/>
      <c r="G15" s="219" t="s">
        <v>99</v>
      </c>
      <c r="H15" s="219" t="s">
        <v>100</v>
      </c>
      <c r="I15" s="219" t="s">
        <v>123</v>
      </c>
      <c r="J15" s="220">
        <v>46371</v>
      </c>
      <c r="K15" s="219">
        <v>138</v>
      </c>
      <c r="L15" s="219" t="s">
        <v>76</v>
      </c>
      <c r="M15" s="220" t="s">
        <v>68</v>
      </c>
      <c r="N15" s="220" t="s">
        <v>69</v>
      </c>
      <c r="O15" s="220" t="s">
        <v>69</v>
      </c>
      <c r="P15" s="219" t="s">
        <v>124</v>
      </c>
      <c r="Q15" s="219" t="s">
        <v>70</v>
      </c>
      <c r="R15" s="219">
        <v>77043</v>
      </c>
      <c r="S15" s="219">
        <v>76669</v>
      </c>
    </row>
    <row r="16" spans="1:20" s="104" customFormat="1" ht="45" x14ac:dyDescent="0.25">
      <c r="A16" s="219">
        <v>76696</v>
      </c>
      <c r="B16" s="219" t="s">
        <v>125</v>
      </c>
      <c r="C16" s="219" t="s">
        <v>125</v>
      </c>
      <c r="D16" s="219" t="s">
        <v>126</v>
      </c>
      <c r="E16" s="219" t="s">
        <v>127</v>
      </c>
      <c r="F16" s="219"/>
      <c r="G16" s="219" t="s">
        <v>99</v>
      </c>
      <c r="H16" s="219" t="s">
        <v>100</v>
      </c>
      <c r="I16" s="219" t="s">
        <v>128</v>
      </c>
      <c r="J16" s="220">
        <v>46371</v>
      </c>
      <c r="K16" s="219">
        <v>138</v>
      </c>
      <c r="L16" s="219" t="s">
        <v>76</v>
      </c>
      <c r="M16" s="220" t="s">
        <v>129</v>
      </c>
      <c r="N16" s="220"/>
      <c r="O16" s="220"/>
      <c r="P16" s="219" t="s">
        <v>130</v>
      </c>
      <c r="Q16" s="219" t="s">
        <v>70</v>
      </c>
      <c r="R16" s="219">
        <v>87872</v>
      </c>
      <c r="S16" s="219">
        <v>76696</v>
      </c>
    </row>
    <row r="17" spans="1:20" s="104" customFormat="1" ht="45" x14ac:dyDescent="0.25">
      <c r="A17" s="219">
        <v>76712</v>
      </c>
      <c r="B17" s="219" t="s">
        <v>131</v>
      </c>
      <c r="C17" s="219" t="s">
        <v>132</v>
      </c>
      <c r="D17" s="219" t="s">
        <v>133</v>
      </c>
      <c r="E17" s="219" t="s">
        <v>134</v>
      </c>
      <c r="F17" s="219"/>
      <c r="G17" s="219" t="s">
        <v>99</v>
      </c>
      <c r="H17" s="219" t="s">
        <v>100</v>
      </c>
      <c r="I17" s="219" t="s">
        <v>135</v>
      </c>
      <c r="J17" s="220">
        <v>46371</v>
      </c>
      <c r="K17" s="219">
        <v>138</v>
      </c>
      <c r="L17" s="219" t="s">
        <v>76</v>
      </c>
      <c r="M17" s="220" t="s">
        <v>68</v>
      </c>
      <c r="N17" s="220"/>
      <c r="O17" s="220"/>
      <c r="P17" s="219" t="s">
        <v>136</v>
      </c>
      <c r="Q17" s="219" t="s">
        <v>70</v>
      </c>
      <c r="R17" s="219">
        <v>87645</v>
      </c>
      <c r="S17" s="219">
        <v>76712</v>
      </c>
    </row>
    <row r="18" spans="1:20" s="104" customFormat="1" ht="45" x14ac:dyDescent="0.25">
      <c r="A18" s="219">
        <v>81034</v>
      </c>
      <c r="B18" s="219" t="s">
        <v>137</v>
      </c>
      <c r="C18" s="219" t="s">
        <v>138</v>
      </c>
      <c r="D18" s="219" t="s">
        <v>139</v>
      </c>
      <c r="E18" s="219" t="s">
        <v>140</v>
      </c>
      <c r="F18" s="219"/>
      <c r="G18" s="219" t="s">
        <v>99</v>
      </c>
      <c r="H18" s="219" t="s">
        <v>100</v>
      </c>
      <c r="I18" s="219" t="s">
        <v>141</v>
      </c>
      <c r="J18" s="220">
        <v>46386</v>
      </c>
      <c r="K18" s="219">
        <v>138</v>
      </c>
      <c r="L18" s="219" t="s">
        <v>76</v>
      </c>
      <c r="M18" s="220" t="s">
        <v>68</v>
      </c>
      <c r="N18" s="220"/>
      <c r="O18" s="220"/>
      <c r="P18" s="219" t="s">
        <v>142</v>
      </c>
      <c r="Q18" s="219" t="s">
        <v>70</v>
      </c>
      <c r="R18" s="219">
        <v>81035</v>
      </c>
      <c r="S18" s="219">
        <v>81034</v>
      </c>
    </row>
    <row r="19" spans="1:20" s="104" customFormat="1" ht="45" x14ac:dyDescent="0.25">
      <c r="A19" s="219">
        <v>81152</v>
      </c>
      <c r="B19" s="219" t="s">
        <v>143</v>
      </c>
      <c r="C19" s="219" t="s">
        <v>143</v>
      </c>
      <c r="D19" s="219" t="s">
        <v>144</v>
      </c>
      <c r="E19" s="219" t="s">
        <v>145</v>
      </c>
      <c r="F19" s="219"/>
      <c r="G19" s="219" t="s">
        <v>99</v>
      </c>
      <c r="H19" s="219" t="s">
        <v>100</v>
      </c>
      <c r="I19" s="219" t="s">
        <v>146</v>
      </c>
      <c r="J19" s="220">
        <v>46371</v>
      </c>
      <c r="K19" s="219">
        <v>138</v>
      </c>
      <c r="L19" s="219" t="s">
        <v>76</v>
      </c>
      <c r="M19" s="220" t="s">
        <v>68</v>
      </c>
      <c r="N19" s="220"/>
      <c r="O19" s="220"/>
      <c r="P19" s="219" t="s">
        <v>147</v>
      </c>
      <c r="Q19" s="219" t="s">
        <v>70</v>
      </c>
      <c r="R19" s="219">
        <v>87650</v>
      </c>
      <c r="S19" s="219">
        <v>81152</v>
      </c>
    </row>
    <row r="20" spans="1:20" s="104" customFormat="1" ht="45" x14ac:dyDescent="0.25">
      <c r="A20" s="219">
        <v>81175</v>
      </c>
      <c r="B20" s="219" t="s">
        <v>148</v>
      </c>
      <c r="C20" s="219" t="s">
        <v>149</v>
      </c>
      <c r="D20" s="219" t="s">
        <v>150</v>
      </c>
      <c r="E20" s="219" t="s">
        <v>151</v>
      </c>
      <c r="F20" s="219"/>
      <c r="G20" s="219" t="s">
        <v>99</v>
      </c>
      <c r="H20" s="219" t="s">
        <v>100</v>
      </c>
      <c r="I20" s="219" t="s">
        <v>152</v>
      </c>
      <c r="J20" s="220">
        <v>46006</v>
      </c>
      <c r="K20" s="219">
        <v>138</v>
      </c>
      <c r="L20" s="219" t="s">
        <v>76</v>
      </c>
      <c r="M20" s="220">
        <v>45716</v>
      </c>
      <c r="N20" s="220"/>
      <c r="O20" s="220"/>
      <c r="P20" s="219" t="s">
        <v>153</v>
      </c>
      <c r="Q20" s="219" t="s">
        <v>70</v>
      </c>
      <c r="R20" s="219">
        <v>87224</v>
      </c>
      <c r="S20" s="219">
        <v>81175</v>
      </c>
    </row>
    <row r="21" spans="1:20" s="104" customFormat="1" ht="45" x14ac:dyDescent="0.25">
      <c r="A21" s="219">
        <v>81418</v>
      </c>
      <c r="B21" s="219" t="s">
        <v>154</v>
      </c>
      <c r="C21" s="219" t="s">
        <v>155</v>
      </c>
      <c r="D21" s="219" t="s">
        <v>150</v>
      </c>
      <c r="E21" s="219" t="s">
        <v>156</v>
      </c>
      <c r="F21" s="219"/>
      <c r="G21" s="219" t="s">
        <v>99</v>
      </c>
      <c r="H21" s="219" t="s">
        <v>100</v>
      </c>
      <c r="I21" s="219" t="s">
        <v>157</v>
      </c>
      <c r="J21" s="220">
        <v>46372</v>
      </c>
      <c r="K21" s="219">
        <v>138</v>
      </c>
      <c r="L21" s="219" t="s">
        <v>76</v>
      </c>
      <c r="M21" s="220">
        <v>45716</v>
      </c>
      <c r="N21" s="220"/>
      <c r="O21" s="220"/>
      <c r="P21" s="219" t="s">
        <v>158</v>
      </c>
      <c r="Q21" s="219" t="s">
        <v>70</v>
      </c>
      <c r="R21" s="219">
        <v>81419</v>
      </c>
      <c r="S21" s="219">
        <v>81418</v>
      </c>
    </row>
    <row r="22" spans="1:20" s="104" customFormat="1" ht="45" x14ac:dyDescent="0.25">
      <c r="A22" s="219">
        <v>87653</v>
      </c>
      <c r="B22" s="219" t="s">
        <v>159</v>
      </c>
      <c r="C22" s="219" t="s">
        <v>160</v>
      </c>
      <c r="D22" s="219" t="s">
        <v>161</v>
      </c>
      <c r="E22" s="219" t="s">
        <v>162</v>
      </c>
      <c r="F22" s="219"/>
      <c r="G22" s="219" t="s">
        <v>99</v>
      </c>
      <c r="H22" s="219" t="s">
        <v>100</v>
      </c>
      <c r="I22" s="219" t="s">
        <v>163</v>
      </c>
      <c r="J22" s="220">
        <v>46371</v>
      </c>
      <c r="K22" s="219">
        <v>138</v>
      </c>
      <c r="L22" s="219" t="s">
        <v>76</v>
      </c>
      <c r="M22" s="220" t="s">
        <v>68</v>
      </c>
      <c r="N22" s="220"/>
      <c r="O22" s="220"/>
      <c r="P22" s="219" t="s">
        <v>164</v>
      </c>
      <c r="Q22" s="219" t="s">
        <v>70</v>
      </c>
      <c r="R22" s="219">
        <v>87654</v>
      </c>
      <c r="S22" s="219">
        <v>5526</v>
      </c>
    </row>
    <row r="23" spans="1:20" s="104" customFormat="1" ht="45" x14ac:dyDescent="0.25">
      <c r="A23" s="219">
        <v>81305</v>
      </c>
      <c r="B23" s="219" t="s">
        <v>165</v>
      </c>
      <c r="C23" s="219" t="s">
        <v>166</v>
      </c>
      <c r="D23" s="219" t="s">
        <v>167</v>
      </c>
      <c r="E23" s="219" t="s">
        <v>168</v>
      </c>
      <c r="F23" s="219"/>
      <c r="G23" s="219" t="s">
        <v>99</v>
      </c>
      <c r="H23" s="219" t="s">
        <v>100</v>
      </c>
      <c r="I23" s="219" t="s">
        <v>169</v>
      </c>
      <c r="J23" s="220">
        <v>46157</v>
      </c>
      <c r="K23" s="219">
        <v>345</v>
      </c>
      <c r="L23" s="219" t="s">
        <v>76</v>
      </c>
      <c r="M23" s="220">
        <v>45198</v>
      </c>
      <c r="N23" s="220"/>
      <c r="O23" s="220"/>
      <c r="P23" s="219" t="s">
        <v>170</v>
      </c>
      <c r="Q23" s="219" t="s">
        <v>70</v>
      </c>
      <c r="R23" s="219">
        <v>87873</v>
      </c>
      <c r="S23" s="219">
        <v>81305</v>
      </c>
    </row>
    <row r="24" spans="1:20" s="104" customFormat="1" ht="45" x14ac:dyDescent="0.25">
      <c r="A24" s="219">
        <v>73436</v>
      </c>
      <c r="B24" s="219" t="s">
        <v>171</v>
      </c>
      <c r="C24" s="219" t="s">
        <v>172</v>
      </c>
      <c r="D24" s="219" t="s">
        <v>173</v>
      </c>
      <c r="E24" s="219" t="s">
        <v>174</v>
      </c>
      <c r="F24" s="219"/>
      <c r="G24" s="219" t="s">
        <v>99</v>
      </c>
      <c r="H24" s="219" t="s">
        <v>100</v>
      </c>
      <c r="I24" s="219" t="s">
        <v>175</v>
      </c>
      <c r="J24" s="220">
        <v>46372</v>
      </c>
      <c r="K24" s="219">
        <v>345</v>
      </c>
      <c r="L24" s="219" t="s">
        <v>176</v>
      </c>
      <c r="M24" s="220">
        <v>45461</v>
      </c>
      <c r="N24" s="220"/>
      <c r="O24" s="220"/>
      <c r="P24" s="219" t="s">
        <v>177</v>
      </c>
      <c r="Q24" s="219" t="s">
        <v>70</v>
      </c>
      <c r="R24" s="219">
        <v>81403</v>
      </c>
      <c r="S24" s="219">
        <v>73436</v>
      </c>
    </row>
    <row r="25" spans="1:20" s="104" customFormat="1" ht="45" x14ac:dyDescent="0.25">
      <c r="A25" s="225">
        <v>81440</v>
      </c>
      <c r="B25" s="225" t="s">
        <v>178</v>
      </c>
      <c r="C25" s="225" t="s">
        <v>155</v>
      </c>
      <c r="D25" s="225" t="s">
        <v>179</v>
      </c>
      <c r="E25" s="225" t="s">
        <v>180</v>
      </c>
      <c r="F25" s="225"/>
      <c r="G25" s="225" t="s">
        <v>99</v>
      </c>
      <c r="H25" s="225" t="s">
        <v>100</v>
      </c>
      <c r="I25" s="225" t="s">
        <v>181</v>
      </c>
      <c r="J25" s="226">
        <v>46737</v>
      </c>
      <c r="K25" s="225">
        <v>138</v>
      </c>
      <c r="L25" s="225" t="s">
        <v>76</v>
      </c>
      <c r="M25" s="226">
        <v>45716</v>
      </c>
      <c r="N25" s="226"/>
      <c r="O25" s="226"/>
      <c r="P25" s="225" t="s">
        <v>182</v>
      </c>
      <c r="Q25" s="225" t="s">
        <v>70</v>
      </c>
      <c r="R25" s="225">
        <v>81441</v>
      </c>
      <c r="S25" s="225">
        <v>81440</v>
      </c>
    </row>
    <row r="26" spans="1:20" ht="60" x14ac:dyDescent="0.25">
      <c r="A26" s="219">
        <v>72457</v>
      </c>
      <c r="B26" s="219" t="s">
        <v>183</v>
      </c>
      <c r="C26" s="219" t="s">
        <v>184</v>
      </c>
      <c r="D26" s="219" t="s">
        <v>185</v>
      </c>
      <c r="E26" s="219" t="s">
        <v>186</v>
      </c>
      <c r="F26" s="219"/>
      <c r="G26" s="219" t="s">
        <v>187</v>
      </c>
      <c r="H26" s="219" t="s">
        <v>188</v>
      </c>
      <c r="I26" s="219"/>
      <c r="J26" s="220">
        <v>46753</v>
      </c>
      <c r="K26" s="219">
        <v>138</v>
      </c>
      <c r="L26" s="219" t="s">
        <v>176</v>
      </c>
      <c r="M26" s="219" t="s">
        <v>68</v>
      </c>
      <c r="N26" s="219" t="s">
        <v>69</v>
      </c>
      <c r="O26" s="219" t="s">
        <v>69</v>
      </c>
      <c r="P26" s="219" t="s">
        <v>189</v>
      </c>
      <c r="Q26" s="219" t="s">
        <v>70</v>
      </c>
      <c r="R26" s="219">
        <v>72458</v>
      </c>
      <c r="S26" s="219">
        <v>72457</v>
      </c>
    </row>
    <row r="27" spans="1:20" ht="15.75" thickBot="1" x14ac:dyDescent="0.3"/>
    <row r="28" spans="1:20" ht="16.5" thickBot="1" x14ac:dyDescent="0.3">
      <c r="A28" s="245" t="s">
        <v>190</v>
      </c>
      <c r="B28" s="246"/>
    </row>
    <row r="29" spans="1:20" ht="45" x14ac:dyDescent="0.25">
      <c r="A29" s="79" t="s">
        <v>48</v>
      </c>
      <c r="B29" s="79" t="s">
        <v>49</v>
      </c>
      <c r="C29" s="30" t="s">
        <v>50</v>
      </c>
      <c r="D29" s="30" t="s">
        <v>51</v>
      </c>
      <c r="E29" s="30" t="s">
        <v>52</v>
      </c>
      <c r="F29" s="30" t="s">
        <v>53</v>
      </c>
      <c r="G29" s="30" t="s">
        <v>54</v>
      </c>
      <c r="H29" s="30" t="s">
        <v>55</v>
      </c>
      <c r="I29" s="30" t="s">
        <v>56</v>
      </c>
      <c r="J29" s="30" t="s">
        <v>191</v>
      </c>
      <c r="K29" s="30" t="s">
        <v>192</v>
      </c>
      <c r="L29" s="30" t="s">
        <v>58</v>
      </c>
      <c r="M29" s="30" t="s">
        <v>59</v>
      </c>
      <c r="N29" s="30" t="s">
        <v>60</v>
      </c>
      <c r="O29" s="30" t="s">
        <v>61</v>
      </c>
      <c r="P29" s="30" t="s">
        <v>62</v>
      </c>
      <c r="Q29" s="30" t="s">
        <v>63</v>
      </c>
      <c r="R29" s="30" t="s">
        <v>64</v>
      </c>
      <c r="S29" s="30" t="s">
        <v>65</v>
      </c>
      <c r="T29" s="44" t="s">
        <v>66</v>
      </c>
    </row>
    <row r="30" spans="1:20" s="104" customFormat="1" ht="45" x14ac:dyDescent="0.25">
      <c r="A30" s="216" t="s">
        <v>193</v>
      </c>
      <c r="B30" s="216" t="s">
        <v>194</v>
      </c>
      <c r="C30" s="216" t="s">
        <v>195</v>
      </c>
      <c r="D30" s="216" t="s">
        <v>196</v>
      </c>
      <c r="E30" s="216" t="s">
        <v>196</v>
      </c>
      <c r="F30" s="102"/>
      <c r="G30" s="216" t="s">
        <v>99</v>
      </c>
      <c r="H30" s="216" t="s">
        <v>100</v>
      </c>
      <c r="I30" s="102" t="s">
        <v>197</v>
      </c>
      <c r="J30" s="217"/>
      <c r="K30" s="103">
        <v>47618</v>
      </c>
      <c r="L30" s="216">
        <v>345</v>
      </c>
      <c r="M30" s="216" t="s">
        <v>76</v>
      </c>
      <c r="N30" s="103" t="s">
        <v>68</v>
      </c>
      <c r="O30" s="103"/>
      <c r="P30" s="103"/>
      <c r="Q30" s="216" t="s">
        <v>198</v>
      </c>
      <c r="R30" s="216" t="s">
        <v>70</v>
      </c>
      <c r="S30" s="216">
        <v>10501</v>
      </c>
      <c r="T30" s="216">
        <v>3155</v>
      </c>
    </row>
    <row r="31" spans="1:20" ht="45" x14ac:dyDescent="0.25">
      <c r="A31" s="216">
        <v>5981</v>
      </c>
      <c r="B31" s="216" t="s">
        <v>199</v>
      </c>
      <c r="C31" s="216" t="s">
        <v>200</v>
      </c>
      <c r="D31" s="216" t="s">
        <v>201</v>
      </c>
      <c r="E31" s="216" t="s">
        <v>202</v>
      </c>
      <c r="F31" s="216"/>
      <c r="G31" s="216" t="s">
        <v>99</v>
      </c>
      <c r="H31" s="216" t="s">
        <v>100</v>
      </c>
      <c r="I31" s="216" t="s">
        <v>203</v>
      </c>
      <c r="J31" s="217"/>
      <c r="K31" s="217">
        <v>47618</v>
      </c>
      <c r="L31" s="216">
        <v>345</v>
      </c>
      <c r="M31" s="216" t="s">
        <v>76</v>
      </c>
      <c r="N31" s="103" t="s">
        <v>68</v>
      </c>
      <c r="O31" s="217"/>
      <c r="P31" s="218"/>
      <c r="Q31" s="216" t="s">
        <v>204</v>
      </c>
      <c r="R31" s="216" t="s">
        <v>70</v>
      </c>
      <c r="S31" s="216">
        <v>13696</v>
      </c>
      <c r="T31" s="216">
        <v>5981</v>
      </c>
    </row>
    <row r="32" spans="1:20" ht="45" x14ac:dyDescent="0.25">
      <c r="A32" s="216">
        <v>6304</v>
      </c>
      <c r="B32" s="216" t="s">
        <v>205</v>
      </c>
      <c r="C32" s="216" t="s">
        <v>115</v>
      </c>
      <c r="D32" s="216" t="s">
        <v>201</v>
      </c>
      <c r="E32" s="216" t="s">
        <v>206</v>
      </c>
      <c r="F32" s="216"/>
      <c r="G32" s="216" t="s">
        <v>99</v>
      </c>
      <c r="H32" s="216" t="s">
        <v>100</v>
      </c>
      <c r="I32" s="216" t="s">
        <v>207</v>
      </c>
      <c r="J32" s="217"/>
      <c r="K32" s="217">
        <v>47618</v>
      </c>
      <c r="L32" s="216">
        <v>345</v>
      </c>
      <c r="M32" s="216" t="s">
        <v>76</v>
      </c>
      <c r="N32" s="103" t="s">
        <v>68</v>
      </c>
      <c r="O32" s="217"/>
      <c r="P32" s="217"/>
      <c r="Q32" s="216" t="s">
        <v>208</v>
      </c>
      <c r="R32" s="216" t="s">
        <v>70</v>
      </c>
      <c r="S32" s="216">
        <v>14033</v>
      </c>
      <c r="T32" s="216">
        <v>6304</v>
      </c>
    </row>
    <row r="33" spans="1:20" x14ac:dyDescent="0.25">
      <c r="A33" s="223"/>
      <c r="B33" s="223"/>
      <c r="C33" s="223"/>
      <c r="D33" s="223"/>
      <c r="E33" s="223"/>
      <c r="F33" s="223"/>
      <c r="G33" s="223"/>
      <c r="H33" s="223"/>
      <c r="I33" s="223"/>
      <c r="J33" s="224"/>
      <c r="K33" s="224"/>
      <c r="L33" s="223"/>
      <c r="M33" s="223"/>
      <c r="N33" s="224"/>
      <c r="O33" s="224"/>
      <c r="P33" s="224"/>
      <c r="Q33" s="223"/>
      <c r="R33" s="223"/>
      <c r="S33" s="223"/>
      <c r="T33" s="223"/>
    </row>
    <row r="34" spans="1:20" x14ac:dyDescent="0.25">
      <c r="A34" s="223"/>
      <c r="B34" s="223"/>
      <c r="C34" s="223"/>
      <c r="D34" s="223"/>
      <c r="E34" s="223"/>
      <c r="F34" s="223"/>
      <c r="G34" s="223"/>
      <c r="H34" s="223"/>
      <c r="I34" s="223"/>
      <c r="J34" s="224"/>
      <c r="K34" s="224"/>
      <c r="L34" s="223"/>
      <c r="M34" s="223"/>
      <c r="N34" s="224"/>
      <c r="O34" s="224"/>
      <c r="P34" s="224"/>
      <c r="Q34" s="223"/>
      <c r="R34" s="223"/>
      <c r="S34" s="223"/>
      <c r="T34" s="223"/>
    </row>
    <row r="35" spans="1:20" x14ac:dyDescent="0.25">
      <c r="A35" s="223"/>
      <c r="B35" s="223"/>
      <c r="C35" s="223"/>
      <c r="D35" s="223"/>
      <c r="E35" s="223"/>
      <c r="F35" s="223"/>
      <c r="G35" s="223"/>
      <c r="H35" s="223"/>
      <c r="I35" s="223"/>
      <c r="J35" s="224"/>
      <c r="K35" s="224"/>
      <c r="L35" s="223"/>
      <c r="M35" s="223"/>
      <c r="N35" s="224"/>
      <c r="O35" s="224"/>
      <c r="P35" s="224"/>
      <c r="Q35" s="223"/>
      <c r="R35" s="223"/>
      <c r="S35" s="223"/>
      <c r="T35" s="223"/>
    </row>
    <row r="36" spans="1:20" x14ac:dyDescent="0.25">
      <c r="A36" s="223"/>
      <c r="B36" s="223"/>
      <c r="C36" s="223"/>
      <c r="D36" s="223"/>
      <c r="E36" s="223"/>
      <c r="F36" s="223"/>
      <c r="G36" s="223"/>
      <c r="H36" s="223"/>
      <c r="I36" s="223"/>
      <c r="J36" s="224"/>
      <c r="K36" s="224"/>
      <c r="L36" s="223"/>
      <c r="M36" s="223"/>
      <c r="N36" s="224"/>
      <c r="O36" s="224"/>
      <c r="P36" s="224"/>
      <c r="Q36" s="223"/>
      <c r="R36" s="223"/>
      <c r="S36" s="223"/>
      <c r="T36" s="223"/>
    </row>
    <row r="37" spans="1:20" x14ac:dyDescent="0.25">
      <c r="A37" s="223"/>
      <c r="B37" s="223"/>
      <c r="C37" s="223"/>
      <c r="D37" s="223"/>
      <c r="E37" s="223"/>
      <c r="F37" s="223"/>
      <c r="G37" s="223"/>
      <c r="H37" s="223"/>
      <c r="I37" s="223"/>
      <c r="J37" s="224"/>
      <c r="K37" s="224"/>
      <c r="L37" s="223"/>
      <c r="M37" s="223"/>
      <c r="N37" s="224"/>
      <c r="O37" s="224"/>
      <c r="P37" s="224"/>
      <c r="Q37" s="223"/>
      <c r="R37" s="223"/>
      <c r="S37" s="223"/>
      <c r="T37" s="223"/>
    </row>
    <row r="38" spans="1:20" x14ac:dyDescent="0.25">
      <c r="A38" s="223"/>
      <c r="B38" s="223"/>
      <c r="C38" s="223"/>
      <c r="D38" s="223"/>
      <c r="E38" s="223"/>
      <c r="F38" s="223"/>
      <c r="G38" s="223"/>
      <c r="H38" s="223"/>
      <c r="I38" s="223"/>
      <c r="J38" s="224"/>
      <c r="K38" s="224"/>
      <c r="L38" s="223"/>
      <c r="M38" s="223"/>
      <c r="N38" s="224"/>
      <c r="O38" s="224"/>
      <c r="P38" s="224"/>
      <c r="Q38" s="223"/>
      <c r="R38" s="223"/>
      <c r="S38" s="223"/>
      <c r="T38" s="223"/>
    </row>
    <row r="39" spans="1:20" x14ac:dyDescent="0.25">
      <c r="A39" s="223"/>
      <c r="B39" s="223"/>
      <c r="C39" s="223"/>
      <c r="D39" s="223"/>
      <c r="E39" s="223"/>
      <c r="F39" s="223"/>
      <c r="G39" s="223"/>
      <c r="H39" s="223"/>
      <c r="I39" s="223"/>
      <c r="J39" s="224"/>
      <c r="K39" s="224"/>
      <c r="L39" s="223"/>
      <c r="M39" s="223"/>
      <c r="N39" s="224"/>
      <c r="O39" s="224"/>
      <c r="P39" s="224"/>
      <c r="Q39" s="223"/>
      <c r="R39" s="223"/>
      <c r="S39" s="223"/>
      <c r="T39" s="223"/>
    </row>
    <row r="40" spans="1:20" x14ac:dyDescent="0.25">
      <c r="A40" s="223"/>
      <c r="B40" s="223"/>
      <c r="C40" s="223"/>
      <c r="D40" s="223"/>
      <c r="E40" s="223"/>
      <c r="F40" s="223"/>
      <c r="G40" s="223"/>
      <c r="H40" s="223"/>
      <c r="I40" s="223"/>
      <c r="J40" s="224"/>
      <c r="K40" s="224"/>
      <c r="L40" s="223"/>
      <c r="M40" s="223"/>
      <c r="N40" s="224"/>
      <c r="O40" s="224"/>
      <c r="P40" s="224"/>
      <c r="Q40" s="223"/>
      <c r="R40" s="223"/>
      <c r="S40" s="223"/>
      <c r="T40" s="223"/>
    </row>
    <row r="41" spans="1:20" x14ac:dyDescent="0.25">
      <c r="A41" s="223"/>
      <c r="B41" s="223"/>
      <c r="C41" s="223"/>
      <c r="D41" s="223"/>
      <c r="E41" s="223"/>
      <c r="F41" s="223"/>
      <c r="G41" s="223"/>
      <c r="H41" s="223"/>
      <c r="I41" s="223"/>
      <c r="J41" s="224"/>
      <c r="K41" s="224"/>
      <c r="L41" s="223"/>
      <c r="M41" s="223"/>
      <c r="N41" s="224"/>
      <c r="O41" s="224"/>
      <c r="P41" s="224"/>
      <c r="Q41" s="223"/>
      <c r="R41" s="223"/>
      <c r="S41" s="223"/>
      <c r="T41" s="223"/>
    </row>
    <row r="47" spans="1:20" x14ac:dyDescent="0.25">
      <c r="A47" s="223"/>
    </row>
    <row r="48" spans="1:20" x14ac:dyDescent="0.25">
      <c r="A48" s="223"/>
    </row>
    <row r="49" spans="1:1" x14ac:dyDescent="0.25">
      <c r="A49" s="223"/>
    </row>
  </sheetData>
  <autoFilter ref="A6:S25" xr:uid="{F9201CC7-1BE1-4122-94AA-382C1559D598}"/>
  <mergeCells count="2">
    <mergeCell ref="A5:B5"/>
    <mergeCell ref="A28:B28"/>
  </mergeCells>
  <phoneticPr fontId="9" type="noConversion"/>
  <hyperlinks>
    <hyperlink ref="C1" location="Index!A1" display="Back" xr:uid="{00000000-0004-0000-0300-000000000000}"/>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D49"/>
  <sheetViews>
    <sheetView zoomScale="85" zoomScaleNormal="85" workbookViewId="0">
      <selection activeCell="B9" sqref="B9"/>
    </sheetView>
  </sheetViews>
  <sheetFormatPr defaultColWidth="9.28515625" defaultRowHeight="15" x14ac:dyDescent="0.25"/>
  <cols>
    <col min="1" max="1" width="35.28515625" customWidth="1"/>
    <col min="2" max="2" width="107.42578125" customWidth="1"/>
    <col min="3" max="3" width="23.85546875" customWidth="1"/>
    <col min="4" max="4" width="21.140625" bestFit="1" customWidth="1"/>
    <col min="5" max="5" width="22.7109375" customWidth="1"/>
    <col min="6" max="6" width="43" customWidth="1"/>
    <col min="7" max="7" width="35.7109375" customWidth="1"/>
    <col min="8" max="8" width="26.5703125" customWidth="1"/>
    <col min="9" max="9" width="22.5703125" customWidth="1"/>
    <col min="10" max="10" width="45.28515625" customWidth="1"/>
    <col min="11" max="11" width="35.7109375" customWidth="1"/>
    <col min="12" max="12" width="32.7109375" customWidth="1"/>
    <col min="13" max="13" width="50.5703125" customWidth="1"/>
    <col min="14" max="14" width="17.42578125" customWidth="1"/>
    <col min="15" max="15" width="23.7109375" customWidth="1"/>
    <col min="16" max="16" width="51.7109375" customWidth="1"/>
    <col min="17" max="17" width="32" customWidth="1"/>
    <col min="18" max="18" width="52.28515625" customWidth="1"/>
    <col min="19" max="19" width="53.42578125" customWidth="1"/>
    <col min="20" max="20" width="70.42578125" customWidth="1"/>
    <col min="21" max="21" width="22.28515625" customWidth="1"/>
    <col min="22" max="22" width="50.28515625" customWidth="1"/>
    <col min="23" max="23" width="38.7109375" customWidth="1"/>
    <col min="24" max="24" width="45.28515625" customWidth="1"/>
    <col min="25" max="25" width="55.28515625" customWidth="1"/>
    <col min="26" max="26" width="47.28515625" customWidth="1"/>
    <col min="27" max="27" width="22.5703125" customWidth="1"/>
    <col min="28" max="28" width="43" customWidth="1"/>
    <col min="29" max="29" width="17.7109375" customWidth="1"/>
    <col min="30" max="30" width="16.28515625" customWidth="1"/>
    <col min="31" max="31" width="22" customWidth="1"/>
  </cols>
  <sheetData>
    <row r="1" spans="1:4" x14ac:dyDescent="0.25">
      <c r="A1" t="s">
        <v>33</v>
      </c>
      <c r="B1" s="33">
        <v>45994</v>
      </c>
      <c r="C1" s="147" t="s">
        <v>34</v>
      </c>
    </row>
    <row r="2" spans="1:4" x14ac:dyDescent="0.25">
      <c r="A2" t="s">
        <v>35</v>
      </c>
      <c r="B2" s="16" t="s">
        <v>36</v>
      </c>
    </row>
    <row r="4" spans="1:4" x14ac:dyDescent="0.25">
      <c r="A4" s="97" t="s">
        <v>209</v>
      </c>
      <c r="B4" s="97" t="s">
        <v>210</v>
      </c>
      <c r="C4" s="97" t="s">
        <v>211</v>
      </c>
      <c r="D4" s="98" t="s">
        <v>212</v>
      </c>
    </row>
    <row r="5" spans="1:4" x14ac:dyDescent="0.25">
      <c r="A5" s="83" t="s">
        <v>245</v>
      </c>
      <c r="B5" s="83" t="s">
        <v>246</v>
      </c>
      <c r="C5" s="16" t="s">
        <v>99</v>
      </c>
      <c r="D5" s="16">
        <v>2024</v>
      </c>
    </row>
    <row r="6" spans="1:4" x14ac:dyDescent="0.25">
      <c r="A6" s="83" t="s">
        <v>247</v>
      </c>
      <c r="B6" s="83" t="s">
        <v>248</v>
      </c>
      <c r="C6" s="16" t="s">
        <v>99</v>
      </c>
      <c r="D6" s="83">
        <v>2024</v>
      </c>
    </row>
    <row r="7" spans="1:4" x14ac:dyDescent="0.25">
      <c r="A7" s="83" t="s">
        <v>232</v>
      </c>
      <c r="B7" s="83" t="s">
        <v>233</v>
      </c>
      <c r="C7" s="16" t="s">
        <v>234</v>
      </c>
      <c r="D7" s="16">
        <v>2024</v>
      </c>
    </row>
    <row r="8" spans="1:4" x14ac:dyDescent="0.25">
      <c r="A8" s="83" t="s">
        <v>235</v>
      </c>
      <c r="B8" s="83" t="s">
        <v>236</v>
      </c>
      <c r="C8" s="83" t="s">
        <v>234</v>
      </c>
      <c r="D8" s="83">
        <v>2024</v>
      </c>
    </row>
    <row r="9" spans="1:4" x14ac:dyDescent="0.25">
      <c r="A9" s="83" t="s">
        <v>249</v>
      </c>
      <c r="B9" s="16" t="s">
        <v>250</v>
      </c>
      <c r="C9" s="16" t="s">
        <v>99</v>
      </c>
      <c r="D9" s="16">
        <v>2024</v>
      </c>
    </row>
    <row r="10" spans="1:4" x14ac:dyDescent="0.25">
      <c r="A10" s="83" t="s">
        <v>251</v>
      </c>
      <c r="B10" s="83" t="s">
        <v>252</v>
      </c>
      <c r="C10" s="16" t="s">
        <v>99</v>
      </c>
      <c r="D10" s="16">
        <v>2024</v>
      </c>
    </row>
    <row r="11" spans="1:4" x14ac:dyDescent="0.25">
      <c r="A11" t="s">
        <v>223</v>
      </c>
      <c r="B11" t="s">
        <v>224</v>
      </c>
      <c r="C11" t="s">
        <v>220</v>
      </c>
      <c r="D11" s="16">
        <v>2024</v>
      </c>
    </row>
    <row r="12" spans="1:4" x14ac:dyDescent="0.25">
      <c r="A12" s="83" t="s">
        <v>253</v>
      </c>
      <c r="B12" s="16" t="s">
        <v>254</v>
      </c>
      <c r="C12" s="16" t="s">
        <v>99</v>
      </c>
      <c r="D12" s="16">
        <v>2024</v>
      </c>
    </row>
    <row r="13" spans="1:4" x14ac:dyDescent="0.25">
      <c r="A13" s="83" t="s">
        <v>237</v>
      </c>
      <c r="B13" s="83" t="s">
        <v>238</v>
      </c>
      <c r="C13" s="16" t="s">
        <v>239</v>
      </c>
      <c r="D13" s="83">
        <v>2024</v>
      </c>
    </row>
    <row r="14" spans="1:4" x14ac:dyDescent="0.25">
      <c r="A14" t="s">
        <v>284</v>
      </c>
      <c r="B14" s="16" t="s">
        <v>285</v>
      </c>
      <c r="C14" s="16" t="s">
        <v>99</v>
      </c>
      <c r="D14" s="16">
        <v>2025</v>
      </c>
    </row>
    <row r="15" spans="1:4" x14ac:dyDescent="0.25">
      <c r="A15" s="83" t="s">
        <v>255</v>
      </c>
      <c r="B15" s="16" t="s">
        <v>256</v>
      </c>
      <c r="C15" s="16" t="s">
        <v>99</v>
      </c>
      <c r="D15" s="16">
        <v>2024</v>
      </c>
    </row>
    <row r="16" spans="1:4" x14ac:dyDescent="0.25">
      <c r="A16" s="83" t="s">
        <v>257</v>
      </c>
      <c r="B16" s="16" t="s">
        <v>258</v>
      </c>
      <c r="C16" s="16" t="s">
        <v>99</v>
      </c>
      <c r="D16" s="16">
        <v>2024</v>
      </c>
    </row>
    <row r="17" spans="1:4" x14ac:dyDescent="0.25">
      <c r="A17" s="83" t="s">
        <v>259</v>
      </c>
      <c r="B17" s="16" t="s">
        <v>260</v>
      </c>
      <c r="C17" s="16" t="s">
        <v>99</v>
      </c>
      <c r="D17" s="16">
        <v>2025</v>
      </c>
    </row>
    <row r="18" spans="1:4" x14ac:dyDescent="0.25">
      <c r="A18" s="83" t="s">
        <v>261</v>
      </c>
      <c r="B18" s="16" t="s">
        <v>262</v>
      </c>
      <c r="C18" s="16" t="s">
        <v>99</v>
      </c>
      <c r="D18" s="16">
        <v>2025</v>
      </c>
    </row>
    <row r="19" spans="1:4" x14ac:dyDescent="0.25">
      <c r="A19" s="83" t="s">
        <v>263</v>
      </c>
      <c r="B19" s="16" t="s">
        <v>264</v>
      </c>
      <c r="C19" s="16" t="s">
        <v>99</v>
      </c>
      <c r="D19" s="16">
        <v>2025</v>
      </c>
    </row>
    <row r="20" spans="1:4" x14ac:dyDescent="0.25">
      <c r="A20" s="83" t="s">
        <v>277</v>
      </c>
      <c r="B20" s="16" t="s">
        <v>278</v>
      </c>
      <c r="C20" s="16" t="s">
        <v>279</v>
      </c>
      <c r="D20" s="16">
        <v>2025</v>
      </c>
    </row>
    <row r="21" spans="1:4" x14ac:dyDescent="0.25">
      <c r="A21" s="83" t="s">
        <v>265</v>
      </c>
      <c r="B21" s="16" t="s">
        <v>266</v>
      </c>
      <c r="C21" s="16" t="s">
        <v>99</v>
      </c>
      <c r="D21" s="16">
        <v>2024</v>
      </c>
    </row>
    <row r="22" spans="1:4" x14ac:dyDescent="0.25">
      <c r="A22" s="83" t="s">
        <v>228</v>
      </c>
      <c r="B22" s="83" t="s">
        <v>229</v>
      </c>
      <c r="C22" s="16" t="s">
        <v>90</v>
      </c>
      <c r="D22" s="16">
        <v>2024</v>
      </c>
    </row>
    <row r="23" spans="1:4" x14ac:dyDescent="0.25">
      <c r="A23" t="s">
        <v>303</v>
      </c>
      <c r="B23" t="s">
        <v>304</v>
      </c>
      <c r="C23" t="s">
        <v>90</v>
      </c>
      <c r="D23" s="16">
        <v>2025</v>
      </c>
    </row>
    <row r="24" spans="1:4" x14ac:dyDescent="0.25">
      <c r="A24" t="s">
        <v>286</v>
      </c>
      <c r="B24" s="16" t="s">
        <v>287</v>
      </c>
      <c r="C24" s="16" t="s">
        <v>99</v>
      </c>
      <c r="D24" s="16">
        <v>2025</v>
      </c>
    </row>
    <row r="25" spans="1:4" x14ac:dyDescent="0.25">
      <c r="A25" s="83" t="s">
        <v>240</v>
      </c>
      <c r="B25" s="83" t="s">
        <v>241</v>
      </c>
      <c r="C25" s="16" t="s">
        <v>239</v>
      </c>
      <c r="D25" s="16">
        <v>2025</v>
      </c>
    </row>
    <row r="26" spans="1:4" ht="16.5" x14ac:dyDescent="0.3">
      <c r="A26" t="s">
        <v>218</v>
      </c>
      <c r="B26" t="s">
        <v>219</v>
      </c>
      <c r="C26" t="s">
        <v>220</v>
      </c>
      <c r="D26" s="164">
        <v>2025</v>
      </c>
    </row>
    <row r="27" spans="1:4" x14ac:dyDescent="0.25">
      <c r="A27" s="83" t="s">
        <v>230</v>
      </c>
      <c r="B27" s="83" t="s">
        <v>231</v>
      </c>
      <c r="C27" s="16" t="s">
        <v>90</v>
      </c>
      <c r="D27" s="83" t="s">
        <v>227</v>
      </c>
    </row>
    <row r="28" spans="1:4" x14ac:dyDescent="0.25">
      <c r="A28" s="83" t="s">
        <v>242</v>
      </c>
      <c r="B28" s="83" t="s">
        <v>243</v>
      </c>
      <c r="C28" s="16" t="s">
        <v>244</v>
      </c>
      <c r="D28" s="16">
        <v>2025</v>
      </c>
    </row>
    <row r="29" spans="1:4" x14ac:dyDescent="0.25">
      <c r="A29" t="s">
        <v>216</v>
      </c>
      <c r="B29" t="s">
        <v>217</v>
      </c>
      <c r="C29" s="101" t="s">
        <v>99</v>
      </c>
      <c r="D29" s="164">
        <v>2025</v>
      </c>
    </row>
    <row r="30" spans="1:4" x14ac:dyDescent="0.25">
      <c r="A30" s="83" t="s">
        <v>269</v>
      </c>
      <c r="B30" s="16" t="s">
        <v>270</v>
      </c>
      <c r="C30" s="16" t="s">
        <v>268</v>
      </c>
      <c r="D30" s="16">
        <v>2025</v>
      </c>
    </row>
    <row r="31" spans="1:4" x14ac:dyDescent="0.25">
      <c r="A31" t="s">
        <v>290</v>
      </c>
      <c r="B31" s="16" t="s">
        <v>291</v>
      </c>
      <c r="C31" s="16" t="s">
        <v>292</v>
      </c>
      <c r="D31" s="16">
        <v>2025</v>
      </c>
    </row>
    <row r="32" spans="1:4" x14ac:dyDescent="0.25">
      <c r="A32" s="83" t="s">
        <v>225</v>
      </c>
      <c r="B32" s="83" t="s">
        <v>226</v>
      </c>
      <c r="C32" s="164" t="s">
        <v>220</v>
      </c>
      <c r="D32" s="83" t="s">
        <v>227</v>
      </c>
    </row>
    <row r="33" spans="1:4" x14ac:dyDescent="0.25">
      <c r="A33" t="s">
        <v>297</v>
      </c>
      <c r="B33" t="s">
        <v>298</v>
      </c>
      <c r="C33" s="16" t="s">
        <v>299</v>
      </c>
      <c r="D33" s="16">
        <v>2025</v>
      </c>
    </row>
    <row r="34" spans="1:4" x14ac:dyDescent="0.25">
      <c r="A34" s="83" t="s">
        <v>271</v>
      </c>
      <c r="B34" s="16" t="s">
        <v>272</v>
      </c>
      <c r="C34" s="16" t="s">
        <v>268</v>
      </c>
      <c r="D34" s="16">
        <v>2025</v>
      </c>
    </row>
    <row r="35" spans="1:4" x14ac:dyDescent="0.25">
      <c r="A35" s="83" t="s">
        <v>267</v>
      </c>
      <c r="B35" s="16" t="s">
        <v>258</v>
      </c>
      <c r="C35" s="16" t="s">
        <v>99</v>
      </c>
      <c r="D35" s="16">
        <v>2025</v>
      </c>
    </row>
    <row r="36" spans="1:4" x14ac:dyDescent="0.25">
      <c r="A36" s="83" t="s">
        <v>273</v>
      </c>
      <c r="B36" s="16" t="s">
        <v>274</v>
      </c>
      <c r="C36" s="16" t="s">
        <v>99</v>
      </c>
      <c r="D36" s="16">
        <v>2025</v>
      </c>
    </row>
    <row r="37" spans="1:4" x14ac:dyDescent="0.25">
      <c r="A37" s="83" t="s">
        <v>275</v>
      </c>
      <c r="B37" s="16" t="s">
        <v>276</v>
      </c>
      <c r="C37" s="16" t="s">
        <v>99</v>
      </c>
      <c r="D37" s="16">
        <v>2025</v>
      </c>
    </row>
    <row r="38" spans="1:4" x14ac:dyDescent="0.25">
      <c r="A38" t="s">
        <v>288</v>
      </c>
      <c r="B38" s="16" t="s">
        <v>289</v>
      </c>
      <c r="C38" s="16" t="s">
        <v>90</v>
      </c>
      <c r="D38" s="16">
        <v>2025</v>
      </c>
    </row>
    <row r="39" spans="1:4" x14ac:dyDescent="0.25">
      <c r="A39" s="188" t="s">
        <v>214</v>
      </c>
      <c r="B39" s="148" t="s">
        <v>215</v>
      </c>
      <c r="C39" s="101" t="s">
        <v>90</v>
      </c>
      <c r="D39" s="164">
        <v>2025</v>
      </c>
    </row>
    <row r="40" spans="1:4" x14ac:dyDescent="0.25">
      <c r="A40" t="s">
        <v>221</v>
      </c>
      <c r="B40" t="s">
        <v>222</v>
      </c>
      <c r="C40" t="s">
        <v>90</v>
      </c>
      <c r="D40" s="164">
        <v>2025</v>
      </c>
    </row>
    <row r="41" spans="1:4" x14ac:dyDescent="0.25">
      <c r="A41" s="83" t="s">
        <v>280</v>
      </c>
      <c r="B41" s="16" t="s">
        <v>281</v>
      </c>
      <c r="C41" s="16" t="s">
        <v>99</v>
      </c>
      <c r="D41" s="16">
        <v>2025</v>
      </c>
    </row>
    <row r="42" spans="1:4" x14ac:dyDescent="0.25">
      <c r="A42" t="s">
        <v>282</v>
      </c>
      <c r="B42" s="16" t="s">
        <v>283</v>
      </c>
      <c r="C42" s="16" t="s">
        <v>220</v>
      </c>
      <c r="D42" s="16">
        <v>2025</v>
      </c>
    </row>
    <row r="43" spans="1:4" x14ac:dyDescent="0.25">
      <c r="A43" t="s">
        <v>1624</v>
      </c>
      <c r="B43" t="s">
        <v>1625</v>
      </c>
      <c r="C43" t="s">
        <v>1626</v>
      </c>
      <c r="D43" s="16">
        <v>2025</v>
      </c>
    </row>
    <row r="44" spans="1:4" x14ac:dyDescent="0.25">
      <c r="A44" t="s">
        <v>1627</v>
      </c>
      <c r="B44" t="s">
        <v>1628</v>
      </c>
      <c r="C44" s="16" t="s">
        <v>1629</v>
      </c>
      <c r="D44" s="16">
        <v>2025</v>
      </c>
    </row>
    <row r="45" spans="1:4" x14ac:dyDescent="0.25">
      <c r="A45" t="s">
        <v>293</v>
      </c>
      <c r="B45" s="16" t="s">
        <v>294</v>
      </c>
      <c r="C45" s="16" t="s">
        <v>99</v>
      </c>
      <c r="D45" s="83" t="s">
        <v>227</v>
      </c>
    </row>
    <row r="46" spans="1:4" x14ac:dyDescent="0.25">
      <c r="A46" t="s">
        <v>305</v>
      </c>
      <c r="B46" t="s">
        <v>306</v>
      </c>
      <c r="C46" t="s">
        <v>99</v>
      </c>
      <c r="D46" s="83" t="s">
        <v>227</v>
      </c>
    </row>
    <row r="47" spans="1:4" x14ac:dyDescent="0.25">
      <c r="A47" t="s">
        <v>295</v>
      </c>
      <c r="B47" t="s">
        <v>296</v>
      </c>
      <c r="C47" t="s">
        <v>99</v>
      </c>
      <c r="D47" s="83" t="s">
        <v>227</v>
      </c>
    </row>
    <row r="48" spans="1:4" x14ac:dyDescent="0.25">
      <c r="A48" t="s">
        <v>300</v>
      </c>
      <c r="B48" t="s">
        <v>301</v>
      </c>
      <c r="C48" s="16" t="s">
        <v>302</v>
      </c>
      <c r="D48" s="16">
        <v>2025</v>
      </c>
    </row>
    <row r="49" spans="1:4" x14ac:dyDescent="0.25">
      <c r="A49" t="s">
        <v>307</v>
      </c>
      <c r="B49" t="s">
        <v>308</v>
      </c>
      <c r="C49" s="16" t="s">
        <v>220</v>
      </c>
      <c r="D49" s="16">
        <v>2025</v>
      </c>
    </row>
  </sheetData>
  <sortState xmlns:xlrd2="http://schemas.microsoft.com/office/spreadsheetml/2017/richdata2" ref="A4:D49">
    <sortCondition ref="A5:A49"/>
  </sortState>
  <hyperlinks>
    <hyperlink ref="C1" location="Index!A1" display="Back" xr:uid="{00000000-0004-0000-0400-000000000000}"/>
  </hyperlinks>
  <pageMargins left="0.7" right="0.7" top="0.75" bottom="0.75" header="0.3" footer="0.3"/>
  <pageSetup orientation="portrait"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H82"/>
  <sheetViews>
    <sheetView zoomScale="85" zoomScaleNormal="85" workbookViewId="0">
      <selection activeCell="I9" sqref="I9"/>
    </sheetView>
  </sheetViews>
  <sheetFormatPr defaultColWidth="9.28515625" defaultRowHeight="15" x14ac:dyDescent="0.25"/>
  <cols>
    <col min="1" max="1" width="65.5703125" style="1" customWidth="1"/>
    <col min="2" max="2" width="30.42578125" style="11" bestFit="1" customWidth="1"/>
    <col min="3" max="3" width="9.7109375" style="11" bestFit="1" customWidth="1"/>
    <col min="4" max="4" width="9.28515625" style="11" bestFit="1" customWidth="1"/>
    <col min="5" max="7" width="9.7109375" style="11" bestFit="1" customWidth="1"/>
    <col min="8" max="8" width="45.7109375" style="15" customWidth="1"/>
    <col min="9" max="16384" width="9.28515625" style="11"/>
  </cols>
  <sheetData>
    <row r="1" spans="1:8" x14ac:dyDescent="0.25">
      <c r="A1" s="1" t="s">
        <v>33</v>
      </c>
      <c r="B1" s="33">
        <v>46009</v>
      </c>
      <c r="C1" s="84" t="s">
        <v>34</v>
      </c>
    </row>
    <row r="2" spans="1:8" x14ac:dyDescent="0.25">
      <c r="A2" s="1" t="s">
        <v>35</v>
      </c>
      <c r="B2" s="16" t="s">
        <v>36</v>
      </c>
    </row>
    <row r="4" spans="1:8" ht="21.75" thickBot="1" x14ac:dyDescent="0.3">
      <c r="A4" s="253" t="s">
        <v>309</v>
      </c>
      <c r="B4" s="253"/>
      <c r="C4" s="253"/>
      <c r="D4" s="253"/>
      <c r="E4" s="253"/>
      <c r="F4" s="253"/>
      <c r="G4" s="253"/>
      <c r="H4" s="253"/>
    </row>
    <row r="5" spans="1:8" x14ac:dyDescent="0.25">
      <c r="A5" s="247" t="s">
        <v>310</v>
      </c>
      <c r="B5" s="249" t="s">
        <v>311</v>
      </c>
      <c r="C5" s="249"/>
      <c r="D5" s="249"/>
      <c r="E5" s="249"/>
      <c r="F5" s="249"/>
      <c r="G5" s="249"/>
      <c r="H5" s="251" t="s">
        <v>213</v>
      </c>
    </row>
    <row r="6" spans="1:8" x14ac:dyDescent="0.25">
      <c r="A6" s="248"/>
      <c r="B6" s="250"/>
      <c r="C6" s="206" t="s">
        <v>312</v>
      </c>
      <c r="D6" s="206" t="s">
        <v>313</v>
      </c>
      <c r="E6" s="206" t="s">
        <v>314</v>
      </c>
      <c r="F6" s="206" t="s">
        <v>315</v>
      </c>
      <c r="G6" s="206" t="s">
        <v>316</v>
      </c>
      <c r="H6" s="252"/>
    </row>
    <row r="7" spans="1:8" ht="30" x14ac:dyDescent="0.25">
      <c r="A7" s="1" t="s">
        <v>317</v>
      </c>
      <c r="B7" s="14" t="s">
        <v>99</v>
      </c>
      <c r="C7" s="14" t="s">
        <v>318</v>
      </c>
      <c r="D7" s="14" t="s">
        <v>318</v>
      </c>
      <c r="E7" s="14" t="s">
        <v>318</v>
      </c>
      <c r="F7" s="14" t="s">
        <v>318</v>
      </c>
      <c r="G7" s="14" t="s">
        <v>318</v>
      </c>
      <c r="H7" s="15" t="s">
        <v>319</v>
      </c>
    </row>
    <row r="8" spans="1:8" ht="45" x14ac:dyDescent="0.25">
      <c r="A8" s="201" t="s">
        <v>320</v>
      </c>
      <c r="B8" s="14" t="s">
        <v>321</v>
      </c>
      <c r="C8" s="14"/>
      <c r="D8" s="14"/>
      <c r="E8" s="14" t="s">
        <v>318</v>
      </c>
      <c r="F8" s="14" t="s">
        <v>318</v>
      </c>
      <c r="G8" s="14" t="s">
        <v>318</v>
      </c>
      <c r="H8" s="15" t="s">
        <v>322</v>
      </c>
    </row>
    <row r="9" spans="1:8" ht="30" x14ac:dyDescent="0.25">
      <c r="A9" s="201" t="s">
        <v>323</v>
      </c>
      <c r="B9" s="14" t="s">
        <v>321</v>
      </c>
      <c r="C9" s="14" t="s">
        <v>318</v>
      </c>
      <c r="D9" s="14" t="s">
        <v>318</v>
      </c>
      <c r="E9" s="14" t="s">
        <v>318</v>
      </c>
      <c r="F9" s="14" t="s">
        <v>318</v>
      </c>
      <c r="G9" s="14" t="s">
        <v>318</v>
      </c>
      <c r="H9" s="15" t="s">
        <v>324</v>
      </c>
    </row>
    <row r="10" spans="1:8" ht="30" x14ac:dyDescent="0.25">
      <c r="A10" s="201" t="s">
        <v>325</v>
      </c>
      <c r="B10" s="14" t="s">
        <v>321</v>
      </c>
      <c r="C10" s="14" t="s">
        <v>318</v>
      </c>
      <c r="D10" s="14" t="s">
        <v>318</v>
      </c>
      <c r="E10" s="14" t="s">
        <v>318</v>
      </c>
      <c r="F10" s="14" t="s">
        <v>318</v>
      </c>
      <c r="G10" s="14" t="s">
        <v>318</v>
      </c>
      <c r="H10" s="15" t="s">
        <v>326</v>
      </c>
    </row>
    <row r="11" spans="1:8" ht="30" x14ac:dyDescent="0.25">
      <c r="A11" s="201" t="s">
        <v>327</v>
      </c>
      <c r="B11" s="14" t="s">
        <v>321</v>
      </c>
      <c r="C11" s="14" t="s">
        <v>318</v>
      </c>
      <c r="D11" s="14" t="s">
        <v>318</v>
      </c>
      <c r="E11" s="14" t="s">
        <v>318</v>
      </c>
      <c r="F11" s="14" t="s">
        <v>318</v>
      </c>
      <c r="G11" s="14" t="s">
        <v>318</v>
      </c>
      <c r="H11" s="15" t="s">
        <v>328</v>
      </c>
    </row>
    <row r="12" spans="1:8" ht="30" x14ac:dyDescent="0.25">
      <c r="A12" s="201" t="s">
        <v>329</v>
      </c>
      <c r="B12" s="14" t="s">
        <v>321</v>
      </c>
      <c r="C12" s="14" t="s">
        <v>318</v>
      </c>
      <c r="D12" s="14" t="s">
        <v>318</v>
      </c>
      <c r="E12" s="14" t="s">
        <v>318</v>
      </c>
      <c r="F12" s="14" t="s">
        <v>318</v>
      </c>
      <c r="G12" s="14" t="s">
        <v>318</v>
      </c>
      <c r="H12" s="15" t="s">
        <v>330</v>
      </c>
    </row>
    <row r="13" spans="1:8" ht="30" x14ac:dyDescent="0.25">
      <c r="A13" s="201" t="s">
        <v>331</v>
      </c>
      <c r="B13" s="14" t="s">
        <v>321</v>
      </c>
      <c r="C13" s="14"/>
      <c r="D13" s="14"/>
      <c r="E13" s="14" t="s">
        <v>318</v>
      </c>
      <c r="F13" s="14" t="s">
        <v>318</v>
      </c>
      <c r="G13" s="14" t="s">
        <v>318</v>
      </c>
      <c r="H13" s="15" t="s">
        <v>332</v>
      </c>
    </row>
    <row r="14" spans="1:8" ht="45" x14ac:dyDescent="0.25">
      <c r="A14" s="201" t="s">
        <v>333</v>
      </c>
      <c r="B14" s="14" t="s">
        <v>321</v>
      </c>
      <c r="C14" s="14" t="s">
        <v>318</v>
      </c>
      <c r="D14" s="14" t="s">
        <v>318</v>
      </c>
      <c r="E14" s="14" t="s">
        <v>318</v>
      </c>
      <c r="F14" s="14" t="s">
        <v>318</v>
      </c>
      <c r="G14" s="14" t="s">
        <v>318</v>
      </c>
      <c r="H14" s="15" t="s">
        <v>334</v>
      </c>
    </row>
    <row r="15" spans="1:8" ht="30" x14ac:dyDescent="0.25">
      <c r="A15" s="201" t="s">
        <v>335</v>
      </c>
      <c r="B15" s="14" t="s">
        <v>99</v>
      </c>
      <c r="C15" s="14" t="s">
        <v>318</v>
      </c>
      <c r="D15" s="14" t="s">
        <v>318</v>
      </c>
      <c r="E15" s="14" t="s">
        <v>318</v>
      </c>
      <c r="F15" s="14" t="s">
        <v>318</v>
      </c>
      <c r="G15" s="14" t="s">
        <v>318</v>
      </c>
      <c r="H15" s="15" t="s">
        <v>336</v>
      </c>
    </row>
    <row r="16" spans="1:8" ht="30" x14ac:dyDescent="0.25">
      <c r="A16" s="15" t="s">
        <v>337</v>
      </c>
      <c r="B16" s="14" t="s">
        <v>338</v>
      </c>
      <c r="C16" s="14" t="s">
        <v>318</v>
      </c>
      <c r="D16" s="14" t="s">
        <v>318</v>
      </c>
      <c r="E16" s="14" t="s">
        <v>318</v>
      </c>
      <c r="F16" s="14" t="s">
        <v>318</v>
      </c>
      <c r="G16" s="14" t="s">
        <v>318</v>
      </c>
      <c r="H16" s="15" t="s">
        <v>339</v>
      </c>
    </row>
    <row r="17" spans="1:8" ht="30" x14ac:dyDescent="0.25">
      <c r="A17" s="15" t="s">
        <v>340</v>
      </c>
      <c r="B17" s="14" t="s">
        <v>99</v>
      </c>
      <c r="C17" s="14" t="s">
        <v>318</v>
      </c>
      <c r="D17" s="14"/>
      <c r="E17" s="14"/>
      <c r="F17" s="14"/>
      <c r="G17" s="14"/>
      <c r="H17" s="15" t="s">
        <v>341</v>
      </c>
    </row>
    <row r="18" spans="1:8" ht="30" x14ac:dyDescent="0.25">
      <c r="A18" s="1" t="s">
        <v>342</v>
      </c>
      <c r="B18" s="14" t="s">
        <v>1630</v>
      </c>
      <c r="C18" s="14" t="s">
        <v>318</v>
      </c>
      <c r="D18" s="14" t="s">
        <v>318</v>
      </c>
      <c r="E18" s="14" t="s">
        <v>318</v>
      </c>
      <c r="F18" s="14" t="s">
        <v>318</v>
      </c>
      <c r="G18" s="14" t="s">
        <v>318</v>
      </c>
      <c r="H18" s="15" t="s">
        <v>1631</v>
      </c>
    </row>
    <row r="19" spans="1:8" ht="30" x14ac:dyDescent="0.25">
      <c r="A19" s="1" t="s">
        <v>343</v>
      </c>
      <c r="B19" s="14" t="s">
        <v>90</v>
      </c>
      <c r="C19" s="14"/>
      <c r="D19" s="14"/>
      <c r="E19" s="14"/>
      <c r="F19" s="14" t="s">
        <v>318</v>
      </c>
      <c r="G19" s="14" t="s">
        <v>318</v>
      </c>
      <c r="H19" s="15" t="s">
        <v>344</v>
      </c>
    </row>
    <row r="20" spans="1:8" ht="30" x14ac:dyDescent="0.25">
      <c r="A20" s="1" t="s">
        <v>345</v>
      </c>
      <c r="B20" s="14" t="s">
        <v>90</v>
      </c>
      <c r="C20" s="14"/>
      <c r="D20" s="14"/>
      <c r="E20" s="14"/>
      <c r="F20" s="14"/>
      <c r="G20" s="14" t="s">
        <v>318</v>
      </c>
      <c r="H20" s="15" t="s">
        <v>344</v>
      </c>
    </row>
    <row r="21" spans="1:8" x14ac:dyDescent="0.25">
      <c r="A21" s="15" t="s">
        <v>346</v>
      </c>
      <c r="B21" s="14" t="s">
        <v>1630</v>
      </c>
      <c r="C21" s="14" t="s">
        <v>318</v>
      </c>
      <c r="D21" s="14" t="s">
        <v>318</v>
      </c>
      <c r="E21" s="14"/>
      <c r="F21" s="14"/>
      <c r="G21" s="14"/>
      <c r="H21" s="15" t="s">
        <v>1632</v>
      </c>
    </row>
    <row r="22" spans="1:8" ht="30" x14ac:dyDescent="0.25">
      <c r="A22" s="201" t="s">
        <v>347</v>
      </c>
      <c r="B22" s="14" t="s">
        <v>321</v>
      </c>
      <c r="C22" s="14" t="s">
        <v>318</v>
      </c>
      <c r="D22" s="14" t="s">
        <v>318</v>
      </c>
      <c r="E22" s="14" t="s">
        <v>318</v>
      </c>
      <c r="F22" s="14" t="s">
        <v>318</v>
      </c>
      <c r="G22" s="14" t="s">
        <v>318</v>
      </c>
      <c r="H22" s="15" t="s">
        <v>348</v>
      </c>
    </row>
    <row r="23" spans="1:8" ht="30" x14ac:dyDescent="0.25">
      <c r="A23" s="201" t="s">
        <v>349</v>
      </c>
      <c r="B23" s="14" t="s">
        <v>321</v>
      </c>
      <c r="C23" s="14" t="s">
        <v>318</v>
      </c>
      <c r="D23" s="14" t="s">
        <v>318</v>
      </c>
      <c r="E23" s="14" t="s">
        <v>318</v>
      </c>
      <c r="F23" s="14" t="s">
        <v>318</v>
      </c>
      <c r="G23" s="14" t="s">
        <v>318</v>
      </c>
      <c r="H23" s="15" t="s">
        <v>350</v>
      </c>
    </row>
    <row r="24" spans="1:8" ht="45" x14ac:dyDescent="0.25">
      <c r="A24" s="201" t="s">
        <v>351</v>
      </c>
      <c r="B24" s="14" t="s">
        <v>321</v>
      </c>
      <c r="C24" s="14" t="s">
        <v>318</v>
      </c>
      <c r="D24" s="14" t="s">
        <v>318</v>
      </c>
      <c r="E24" s="14" t="s">
        <v>318</v>
      </c>
      <c r="F24" s="14" t="s">
        <v>318</v>
      </c>
      <c r="G24" s="14" t="s">
        <v>318</v>
      </c>
      <c r="H24" s="15" t="s">
        <v>352</v>
      </c>
    </row>
    <row r="25" spans="1:8" ht="30" x14ac:dyDescent="0.25">
      <c r="A25" s="201" t="s">
        <v>353</v>
      </c>
      <c r="B25" s="14" t="s">
        <v>321</v>
      </c>
      <c r="C25" s="14" t="s">
        <v>318</v>
      </c>
      <c r="D25" s="14" t="s">
        <v>318</v>
      </c>
      <c r="E25" s="14" t="s">
        <v>318</v>
      </c>
      <c r="F25" s="14" t="s">
        <v>318</v>
      </c>
      <c r="G25" s="14" t="s">
        <v>318</v>
      </c>
      <c r="H25" s="15" t="s">
        <v>354</v>
      </c>
    </row>
    <row r="26" spans="1:8" ht="30" x14ac:dyDescent="0.25">
      <c r="A26" s="1" t="s">
        <v>1622</v>
      </c>
      <c r="B26" s="14" t="s">
        <v>321</v>
      </c>
      <c r="C26" s="14" t="s">
        <v>318</v>
      </c>
      <c r="D26" s="14" t="s">
        <v>318</v>
      </c>
      <c r="E26" s="14" t="s">
        <v>318</v>
      </c>
      <c r="F26" s="14" t="s">
        <v>318</v>
      </c>
      <c r="G26" s="14" t="s">
        <v>318</v>
      </c>
      <c r="H26" s="15" t="s">
        <v>1623</v>
      </c>
    </row>
    <row r="27" spans="1:8" ht="30" x14ac:dyDescent="0.25">
      <c r="A27" s="1" t="s">
        <v>1636</v>
      </c>
      <c r="B27" s="14" t="s">
        <v>1630</v>
      </c>
      <c r="C27" s="14" t="s">
        <v>318</v>
      </c>
      <c r="D27" s="14" t="s">
        <v>318</v>
      </c>
      <c r="E27" s="14" t="s">
        <v>318</v>
      </c>
      <c r="F27" s="14" t="s">
        <v>318</v>
      </c>
      <c r="G27" s="14" t="s">
        <v>318</v>
      </c>
      <c r="H27" s="15" t="s">
        <v>1635</v>
      </c>
    </row>
    <row r="28" spans="1:8" x14ac:dyDescent="0.25">
      <c r="B28" s="14"/>
      <c r="C28" s="14"/>
      <c r="D28" s="14"/>
      <c r="E28" s="14"/>
      <c r="F28" s="14"/>
      <c r="G28" s="14"/>
    </row>
    <row r="29" spans="1:8" x14ac:dyDescent="0.25">
      <c r="B29" s="14"/>
      <c r="C29" s="14"/>
      <c r="D29" s="14"/>
      <c r="E29" s="14"/>
      <c r="F29" s="14"/>
      <c r="G29" s="14"/>
    </row>
    <row r="30" spans="1:8" ht="15.75" thickBot="1" x14ac:dyDescent="0.3">
      <c r="A30"/>
      <c r="B30" s="14"/>
      <c r="C30" s="14"/>
      <c r="D30" s="14"/>
      <c r="E30" s="14"/>
      <c r="F30" s="14"/>
      <c r="G30" s="14"/>
    </row>
    <row r="31" spans="1:8" x14ac:dyDescent="0.25">
      <c r="A31" s="247" t="s">
        <v>355</v>
      </c>
      <c r="B31" s="249" t="s">
        <v>356</v>
      </c>
      <c r="C31" s="249"/>
      <c r="D31" s="249"/>
      <c r="E31" s="249"/>
      <c r="F31" s="249"/>
      <c r="G31" s="249"/>
      <c r="H31" s="251" t="s">
        <v>213</v>
      </c>
    </row>
    <row r="32" spans="1:8" x14ac:dyDescent="0.25">
      <c r="A32" s="248"/>
      <c r="B32" s="250"/>
      <c r="C32" s="206" t="s">
        <v>312</v>
      </c>
      <c r="D32" s="206" t="s">
        <v>313</v>
      </c>
      <c r="E32" s="206" t="s">
        <v>314</v>
      </c>
      <c r="F32" s="206" t="s">
        <v>315</v>
      </c>
      <c r="G32" s="206" t="s">
        <v>316</v>
      </c>
      <c r="H32" s="252"/>
    </row>
    <row r="33" spans="1:8" ht="30" x14ac:dyDescent="0.25">
      <c r="A33" s="1" t="s">
        <v>357</v>
      </c>
      <c r="B33" s="14" t="s">
        <v>90</v>
      </c>
      <c r="C33" s="14" t="s">
        <v>318</v>
      </c>
      <c r="D33" s="14"/>
      <c r="E33" s="14"/>
      <c r="F33" s="14"/>
      <c r="G33" s="14"/>
      <c r="H33" s="15" t="s">
        <v>358</v>
      </c>
    </row>
    <row r="34" spans="1:8" x14ac:dyDescent="0.25">
      <c r="A34" s="1" t="s">
        <v>359</v>
      </c>
      <c r="B34" s="14" t="s">
        <v>90</v>
      </c>
      <c r="C34" s="14" t="s">
        <v>318</v>
      </c>
      <c r="D34" s="14" t="s">
        <v>318</v>
      </c>
      <c r="E34" s="14" t="s">
        <v>318</v>
      </c>
      <c r="F34" s="14" t="s">
        <v>318</v>
      </c>
      <c r="G34" s="14" t="s">
        <v>318</v>
      </c>
      <c r="H34" s="15" t="s">
        <v>360</v>
      </c>
    </row>
    <row r="35" spans="1:8" x14ac:dyDescent="0.25">
      <c r="A35" s="15" t="s">
        <v>361</v>
      </c>
      <c r="B35" s="14" t="s">
        <v>1630</v>
      </c>
      <c r="C35" s="14" t="s">
        <v>318</v>
      </c>
      <c r="D35" s="14" t="s">
        <v>318</v>
      </c>
      <c r="E35" s="14" t="s">
        <v>318</v>
      </c>
      <c r="F35" s="14" t="s">
        <v>318</v>
      </c>
      <c r="G35" s="14" t="s">
        <v>318</v>
      </c>
      <c r="H35" s="15" t="s">
        <v>362</v>
      </c>
    </row>
    <row r="36" spans="1:8" ht="30" x14ac:dyDescent="0.25">
      <c r="A36" s="192" t="s">
        <v>1633</v>
      </c>
      <c r="B36" s="14" t="s">
        <v>321</v>
      </c>
      <c r="C36" s="14" t="s">
        <v>318</v>
      </c>
      <c r="D36" s="14" t="s">
        <v>318</v>
      </c>
      <c r="E36" s="14" t="s">
        <v>318</v>
      </c>
      <c r="F36" s="14" t="s">
        <v>318</v>
      </c>
      <c r="G36" s="14" t="s">
        <v>318</v>
      </c>
      <c r="H36" s="15" t="s">
        <v>1634</v>
      </c>
    </row>
    <row r="37" spans="1:8" x14ac:dyDescent="0.25">
      <c r="A37" s="192"/>
      <c r="B37" s="14"/>
      <c r="C37" s="14"/>
      <c r="D37" s="14"/>
      <c r="E37" s="14"/>
      <c r="F37" s="14"/>
      <c r="G37" s="14"/>
    </row>
    <row r="38" spans="1:8" x14ac:dyDescent="0.25">
      <c r="A38" s="192"/>
      <c r="B38" s="14"/>
      <c r="C38" s="14"/>
      <c r="D38" s="14"/>
      <c r="E38" s="14"/>
      <c r="F38" s="14"/>
      <c r="G38" s="14"/>
    </row>
    <row r="39" spans="1:8" ht="15.75" thickBot="1" x14ac:dyDescent="0.3">
      <c r="B39" s="14"/>
      <c r="C39" s="14"/>
      <c r="D39" s="14"/>
      <c r="E39" s="14"/>
      <c r="F39" s="14"/>
      <c r="G39" s="14"/>
      <c r="H39" s="26"/>
    </row>
    <row r="40" spans="1:8" x14ac:dyDescent="0.25">
      <c r="A40" s="247" t="s">
        <v>363</v>
      </c>
      <c r="B40" s="249" t="s">
        <v>356</v>
      </c>
      <c r="C40" s="249"/>
      <c r="D40" s="249"/>
      <c r="E40" s="249"/>
      <c r="F40" s="249"/>
      <c r="G40" s="205"/>
      <c r="H40" s="251" t="s">
        <v>213</v>
      </c>
    </row>
    <row r="41" spans="1:8" x14ac:dyDescent="0.25">
      <c r="A41" s="248"/>
      <c r="B41" s="250"/>
      <c r="C41" s="206" t="s">
        <v>312</v>
      </c>
      <c r="D41" s="206" t="s">
        <v>313</v>
      </c>
      <c r="E41" s="206" t="s">
        <v>314</v>
      </c>
      <c r="F41" s="206" t="s">
        <v>315</v>
      </c>
      <c r="G41" s="206" t="s">
        <v>316</v>
      </c>
      <c r="H41" s="252"/>
    </row>
    <row r="42" spans="1:8" ht="30" x14ac:dyDescent="0.25">
      <c r="A42" s="1" t="s">
        <v>364</v>
      </c>
      <c r="B42" s="14" t="s">
        <v>220</v>
      </c>
      <c r="C42" s="14" t="s">
        <v>318</v>
      </c>
      <c r="D42" s="14" t="s">
        <v>318</v>
      </c>
      <c r="E42" s="14" t="s">
        <v>318</v>
      </c>
      <c r="F42" s="14" t="s">
        <v>318</v>
      </c>
      <c r="G42" s="14" t="s">
        <v>318</v>
      </c>
      <c r="H42" s="192" t="s">
        <v>365</v>
      </c>
    </row>
    <row r="43" spans="1:8" x14ac:dyDescent="0.25">
      <c r="B43" s="14"/>
      <c r="C43" s="14"/>
      <c r="D43" s="14"/>
      <c r="E43" s="14"/>
      <c r="F43" s="14"/>
      <c r="G43" s="14"/>
      <c r="H43" s="192"/>
    </row>
    <row r="44" spans="1:8" x14ac:dyDescent="0.25">
      <c r="B44" s="14"/>
      <c r="C44" s="14"/>
      <c r="D44" s="14"/>
      <c r="E44" s="14"/>
      <c r="F44" s="14"/>
      <c r="G44" s="14"/>
      <c r="H44" s="192"/>
    </row>
    <row r="45" spans="1:8" ht="15.75" thickBot="1" x14ac:dyDescent="0.3">
      <c r="B45" s="14"/>
      <c r="C45" s="14"/>
      <c r="D45" s="14"/>
      <c r="E45" s="14"/>
      <c r="F45" s="14"/>
      <c r="G45" s="14"/>
      <c r="H45" s="192"/>
    </row>
    <row r="46" spans="1:8" x14ac:dyDescent="0.25">
      <c r="A46" s="247" t="s">
        <v>366</v>
      </c>
      <c r="B46" s="249" t="s">
        <v>311</v>
      </c>
      <c r="C46" s="249"/>
      <c r="D46" s="249"/>
      <c r="E46" s="249"/>
      <c r="F46" s="249"/>
      <c r="G46" s="205"/>
      <c r="H46" s="254" t="s">
        <v>213</v>
      </c>
    </row>
    <row r="47" spans="1:8" x14ac:dyDescent="0.25">
      <c r="A47" s="248"/>
      <c r="B47" s="250"/>
      <c r="C47" s="206" t="s">
        <v>312</v>
      </c>
      <c r="D47" s="206" t="s">
        <v>313</v>
      </c>
      <c r="E47" s="206" t="s">
        <v>314</v>
      </c>
      <c r="F47" s="206" t="s">
        <v>315</v>
      </c>
      <c r="G47" s="206" t="s">
        <v>316</v>
      </c>
      <c r="H47" s="255"/>
    </row>
    <row r="48" spans="1:8" ht="30" x14ac:dyDescent="0.25">
      <c r="A48" s="190" t="s">
        <v>367</v>
      </c>
      <c r="B48" s="14" t="s">
        <v>90</v>
      </c>
      <c r="C48" s="14" t="s">
        <v>318</v>
      </c>
      <c r="D48" s="14" t="s">
        <v>318</v>
      </c>
      <c r="E48" s="14" t="s">
        <v>318</v>
      </c>
      <c r="F48" s="14" t="s">
        <v>318</v>
      </c>
      <c r="G48" s="14" t="s">
        <v>318</v>
      </c>
      <c r="H48" s="192" t="s">
        <v>368</v>
      </c>
    </row>
    <row r="49" spans="1:8" x14ac:dyDescent="0.25">
      <c r="B49" s="14"/>
      <c r="C49" s="14"/>
      <c r="D49" s="14"/>
      <c r="E49" s="14"/>
      <c r="F49" s="14"/>
      <c r="G49" s="14"/>
      <c r="H49" s="192"/>
    </row>
    <row r="50" spans="1:8" x14ac:dyDescent="0.25">
      <c r="B50" s="14"/>
      <c r="C50" s="14"/>
      <c r="D50" s="14"/>
      <c r="E50" s="14"/>
      <c r="F50" s="14"/>
      <c r="G50" s="14"/>
    </row>
    <row r="51" spans="1:8" ht="15.75" thickBot="1" x14ac:dyDescent="0.3">
      <c r="H51" s="192"/>
    </row>
    <row r="52" spans="1:8" x14ac:dyDescent="0.25">
      <c r="A52" s="247" t="s">
        <v>369</v>
      </c>
      <c r="B52" s="249" t="s">
        <v>311</v>
      </c>
      <c r="C52" s="249"/>
      <c r="D52" s="249"/>
      <c r="E52" s="249"/>
      <c r="F52" s="249"/>
      <c r="G52" s="205"/>
      <c r="H52" s="254" t="s">
        <v>213</v>
      </c>
    </row>
    <row r="53" spans="1:8" x14ac:dyDescent="0.25">
      <c r="A53" s="248"/>
      <c r="B53" s="250"/>
      <c r="C53" s="206" t="s">
        <v>312</v>
      </c>
      <c r="D53" s="206" t="s">
        <v>313</v>
      </c>
      <c r="E53" s="206" t="s">
        <v>314</v>
      </c>
      <c r="F53" s="206" t="s">
        <v>315</v>
      </c>
      <c r="G53" s="206" t="s">
        <v>316</v>
      </c>
      <c r="H53" s="255"/>
    </row>
    <row r="54" spans="1:8" x14ac:dyDescent="0.25">
      <c r="A54" s="15"/>
      <c r="B54" s="14"/>
      <c r="C54" s="14"/>
      <c r="D54" s="14"/>
      <c r="E54" s="14"/>
      <c r="F54" s="14"/>
      <c r="G54" s="14"/>
    </row>
    <row r="55" spans="1:8" x14ac:dyDescent="0.25">
      <c r="A55" s="15"/>
      <c r="B55" s="14"/>
      <c r="C55" s="14"/>
      <c r="D55" s="14"/>
      <c r="E55" s="14"/>
      <c r="F55" s="14"/>
      <c r="G55" s="14"/>
    </row>
    <row r="56" spans="1:8" ht="15.75" thickBot="1" x14ac:dyDescent="0.3">
      <c r="C56" s="14"/>
      <c r="D56" s="14"/>
      <c r="E56" s="14"/>
      <c r="F56" s="14"/>
      <c r="G56" s="14"/>
    </row>
    <row r="57" spans="1:8" x14ac:dyDescent="0.25">
      <c r="A57" s="247" t="s">
        <v>370</v>
      </c>
      <c r="B57" s="249" t="s">
        <v>311</v>
      </c>
      <c r="C57" s="249"/>
      <c r="D57" s="249"/>
      <c r="E57" s="249"/>
      <c r="F57" s="249"/>
      <c r="G57" s="205"/>
      <c r="H57" s="254" t="s">
        <v>213</v>
      </c>
    </row>
    <row r="58" spans="1:8" x14ac:dyDescent="0.25">
      <c r="A58" s="248"/>
      <c r="B58" s="250"/>
      <c r="C58" s="206" t="s">
        <v>312</v>
      </c>
      <c r="D58" s="206" t="s">
        <v>313</v>
      </c>
      <c r="E58" s="206" t="s">
        <v>314</v>
      </c>
      <c r="F58" s="206" t="s">
        <v>315</v>
      </c>
      <c r="G58" s="206" t="s">
        <v>316</v>
      </c>
      <c r="H58" s="255"/>
    </row>
    <row r="59" spans="1:8" x14ac:dyDescent="0.25">
      <c r="A59" s="15"/>
      <c r="B59" s="14"/>
      <c r="C59" s="14"/>
      <c r="D59" s="14"/>
      <c r="E59" s="14"/>
      <c r="F59" s="14"/>
      <c r="G59" s="14"/>
      <c r="H59" s="11"/>
    </row>
    <row r="60" spans="1:8" x14ac:dyDescent="0.25">
      <c r="B60" s="14"/>
      <c r="C60" s="14"/>
      <c r="D60" s="14"/>
      <c r="E60" s="14"/>
      <c r="F60" s="14"/>
      <c r="G60" s="14"/>
    </row>
    <row r="61" spans="1:8" ht="15.75" thickBot="1" x14ac:dyDescent="0.3"/>
    <row r="62" spans="1:8" x14ac:dyDescent="0.25">
      <c r="A62" s="247" t="s">
        <v>371</v>
      </c>
      <c r="B62" s="249" t="s">
        <v>311</v>
      </c>
      <c r="C62" s="249"/>
      <c r="D62" s="249"/>
      <c r="E62" s="249"/>
      <c r="F62" s="249"/>
      <c r="G62" s="205"/>
      <c r="H62" s="254" t="s">
        <v>213</v>
      </c>
    </row>
    <row r="63" spans="1:8" x14ac:dyDescent="0.25">
      <c r="A63" s="248"/>
      <c r="B63" s="250"/>
      <c r="C63" s="206" t="s">
        <v>312</v>
      </c>
      <c r="D63" s="206" t="s">
        <v>313</v>
      </c>
      <c r="E63" s="206" t="s">
        <v>314</v>
      </c>
      <c r="F63" s="206" t="s">
        <v>315</v>
      </c>
      <c r="G63" s="206" t="s">
        <v>316</v>
      </c>
      <c r="H63" s="255"/>
    </row>
    <row r="64" spans="1:8" x14ac:dyDescent="0.25">
      <c r="B64" s="14"/>
      <c r="C64" s="14"/>
      <c r="D64" s="14"/>
      <c r="E64" s="14"/>
      <c r="F64" s="14"/>
      <c r="G64" s="14"/>
    </row>
    <row r="65" spans="1:8" x14ac:dyDescent="0.25">
      <c r="B65" s="14"/>
      <c r="C65" s="14"/>
      <c r="D65" s="14"/>
      <c r="E65" s="14"/>
      <c r="F65" s="14"/>
      <c r="G65" s="14"/>
    </row>
    <row r="66" spans="1:8" ht="15.75" thickBot="1" x14ac:dyDescent="0.3"/>
    <row r="67" spans="1:8" x14ac:dyDescent="0.25">
      <c r="A67" s="247" t="s">
        <v>372</v>
      </c>
      <c r="B67" s="249" t="s">
        <v>311</v>
      </c>
      <c r="C67" s="249"/>
      <c r="D67" s="249"/>
      <c r="E67" s="249"/>
      <c r="F67" s="249"/>
      <c r="G67" s="205"/>
      <c r="H67" s="254" t="s">
        <v>213</v>
      </c>
    </row>
    <row r="68" spans="1:8" x14ac:dyDescent="0.25">
      <c r="A68" s="248"/>
      <c r="B68" s="250"/>
      <c r="C68" s="206" t="s">
        <v>312</v>
      </c>
      <c r="D68" s="206" t="s">
        <v>313</v>
      </c>
      <c r="E68" s="206" t="s">
        <v>314</v>
      </c>
      <c r="F68" s="206" t="s">
        <v>315</v>
      </c>
      <c r="G68" s="206" t="s">
        <v>316</v>
      </c>
      <c r="H68" s="255"/>
    </row>
    <row r="69" spans="1:8" x14ac:dyDescent="0.25">
      <c r="B69" s="14"/>
      <c r="C69" s="14"/>
      <c r="D69" s="14"/>
      <c r="E69" s="14"/>
      <c r="F69" s="14"/>
      <c r="G69" s="14"/>
    </row>
    <row r="71" spans="1:8" ht="15.75" thickBot="1" x14ac:dyDescent="0.3"/>
    <row r="72" spans="1:8" x14ac:dyDescent="0.25">
      <c r="A72" s="247" t="s">
        <v>373</v>
      </c>
      <c r="B72" s="249" t="s">
        <v>311</v>
      </c>
      <c r="C72" s="249"/>
      <c r="D72" s="249"/>
      <c r="E72" s="249"/>
      <c r="F72" s="249"/>
      <c r="G72" s="205"/>
      <c r="H72" s="254" t="s">
        <v>213</v>
      </c>
    </row>
    <row r="73" spans="1:8" x14ac:dyDescent="0.25">
      <c r="A73" s="248"/>
      <c r="B73" s="250"/>
      <c r="C73" s="206" t="s">
        <v>312</v>
      </c>
      <c r="D73" s="206" t="s">
        <v>313</v>
      </c>
      <c r="E73" s="206" t="s">
        <v>314</v>
      </c>
      <c r="F73" s="206" t="s">
        <v>315</v>
      </c>
      <c r="G73" s="206" t="s">
        <v>316</v>
      </c>
      <c r="H73" s="255"/>
    </row>
    <row r="74" spans="1:8" x14ac:dyDescent="0.25">
      <c r="B74" s="14"/>
      <c r="C74" s="14"/>
      <c r="D74" s="14"/>
      <c r="E74" s="14"/>
      <c r="F74" s="14"/>
      <c r="G74" s="14"/>
    </row>
    <row r="75" spans="1:8" x14ac:dyDescent="0.25">
      <c r="B75" s="14"/>
      <c r="C75" s="14"/>
      <c r="D75" s="14"/>
      <c r="E75" s="14"/>
      <c r="F75" s="14"/>
      <c r="G75" s="14"/>
    </row>
    <row r="76" spans="1:8" x14ac:dyDescent="0.25">
      <c r="B76" s="14"/>
      <c r="C76" s="14"/>
      <c r="D76" s="14"/>
      <c r="E76" s="14"/>
      <c r="F76" s="14"/>
      <c r="G76" s="14"/>
    </row>
    <row r="77" spans="1:8" x14ac:dyDescent="0.25">
      <c r="B77" s="14"/>
      <c r="C77" s="14"/>
      <c r="D77" s="14"/>
      <c r="E77" s="14"/>
      <c r="F77" s="14"/>
      <c r="G77" s="14"/>
    </row>
    <row r="78" spans="1:8" x14ac:dyDescent="0.25">
      <c r="B78" s="14"/>
      <c r="C78" s="14"/>
      <c r="D78" s="14"/>
      <c r="E78" s="14"/>
      <c r="F78" s="14"/>
      <c r="G78" s="14"/>
    </row>
    <row r="79" spans="1:8" x14ac:dyDescent="0.25">
      <c r="B79" s="14"/>
      <c r="C79" s="14"/>
      <c r="D79" s="14"/>
      <c r="E79" s="14"/>
      <c r="F79" s="14"/>
      <c r="G79" s="14"/>
    </row>
    <row r="80" spans="1:8" x14ac:dyDescent="0.25">
      <c r="B80" s="14"/>
      <c r="C80" s="14"/>
      <c r="D80" s="14"/>
      <c r="E80" s="14"/>
      <c r="F80" s="14"/>
      <c r="G80" s="14"/>
    </row>
    <row r="81" spans="2:7" x14ac:dyDescent="0.25">
      <c r="B81" s="14"/>
      <c r="C81" s="14"/>
      <c r="D81" s="14"/>
      <c r="E81" s="14"/>
      <c r="F81" s="14"/>
      <c r="G81" s="14"/>
    </row>
    <row r="82" spans="2:7" x14ac:dyDescent="0.25">
      <c r="B82" s="14"/>
      <c r="C82" s="14"/>
      <c r="D82" s="14"/>
      <c r="E82" s="14"/>
      <c r="F82" s="14"/>
      <c r="G82" s="14"/>
    </row>
  </sheetData>
  <mergeCells count="37">
    <mergeCell ref="H52:H53"/>
    <mergeCell ref="A40:A41"/>
    <mergeCell ref="B40:B41"/>
    <mergeCell ref="C40:F40"/>
    <mergeCell ref="A52:A53"/>
    <mergeCell ref="B52:B53"/>
    <mergeCell ref="C52:F52"/>
    <mergeCell ref="A46:A47"/>
    <mergeCell ref="B46:B47"/>
    <mergeCell ref="C46:F46"/>
    <mergeCell ref="H46:H47"/>
    <mergeCell ref="H67:H68"/>
    <mergeCell ref="H57:H58"/>
    <mergeCell ref="H72:H73"/>
    <mergeCell ref="A57:A58"/>
    <mergeCell ref="B57:B58"/>
    <mergeCell ref="C57:F57"/>
    <mergeCell ref="A72:A73"/>
    <mergeCell ref="B72:B73"/>
    <mergeCell ref="C72:F72"/>
    <mergeCell ref="A62:A63"/>
    <mergeCell ref="B62:B63"/>
    <mergeCell ref="C62:F62"/>
    <mergeCell ref="A67:A68"/>
    <mergeCell ref="B67:B68"/>
    <mergeCell ref="C67:F67"/>
    <mergeCell ref="H62:H63"/>
    <mergeCell ref="A4:H4"/>
    <mergeCell ref="A5:A6"/>
    <mergeCell ref="B5:B6"/>
    <mergeCell ref="H5:H6"/>
    <mergeCell ref="C5:G5"/>
    <mergeCell ref="A31:A32"/>
    <mergeCell ref="B31:B32"/>
    <mergeCell ref="C31:G31"/>
    <mergeCell ref="H31:H32"/>
    <mergeCell ref="H40:H41"/>
  </mergeCells>
  <phoneticPr fontId="9" type="noConversion"/>
  <hyperlinks>
    <hyperlink ref="C1" location="Index!A1" display="Back" xr:uid="{00000000-0004-0000-0500-000000000000}"/>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J12"/>
  <sheetViews>
    <sheetView zoomScale="85" zoomScaleNormal="85" workbookViewId="0">
      <selection activeCell="B2" sqref="B2"/>
    </sheetView>
  </sheetViews>
  <sheetFormatPr defaultRowHeight="15" x14ac:dyDescent="0.25"/>
  <cols>
    <col min="1" max="1" width="30.28515625" customWidth="1"/>
    <col min="2" max="2" width="30.42578125" bestFit="1" customWidth="1"/>
    <col min="3" max="3" width="27.7109375" bestFit="1" customWidth="1"/>
    <col min="4" max="4" width="10.7109375" bestFit="1" customWidth="1"/>
    <col min="5" max="6" width="9.7109375" bestFit="1" customWidth="1"/>
    <col min="7" max="7" width="9.28515625" bestFit="1" customWidth="1"/>
    <col min="8" max="9" width="9.7109375" bestFit="1" customWidth="1"/>
    <col min="10" max="10" width="29.7109375" customWidth="1"/>
    <col min="11" max="11" width="15.28515625" bestFit="1" customWidth="1"/>
  </cols>
  <sheetData>
    <row r="1" spans="1:10" x14ac:dyDescent="0.25">
      <c r="A1" t="s">
        <v>33</v>
      </c>
      <c r="B1" s="33">
        <v>46010</v>
      </c>
      <c r="C1" s="147" t="s">
        <v>34</v>
      </c>
    </row>
    <row r="2" spans="1:10" x14ac:dyDescent="0.25">
      <c r="A2" t="s">
        <v>35</v>
      </c>
      <c r="B2" s="16" t="s">
        <v>36</v>
      </c>
    </row>
    <row r="3" spans="1:10" ht="15.75" thickBot="1" x14ac:dyDescent="0.3"/>
    <row r="4" spans="1:10" ht="15.75" thickBot="1" x14ac:dyDescent="0.3">
      <c r="A4" s="67"/>
      <c r="B4" s="69"/>
      <c r="C4" s="68"/>
      <c r="D4" s="256" t="s">
        <v>374</v>
      </c>
      <c r="E4" s="257"/>
      <c r="F4" s="257"/>
      <c r="G4" s="257"/>
      <c r="H4" s="258"/>
      <c r="I4" s="82"/>
    </row>
    <row r="5" spans="1:10" ht="15.75" thickBot="1" x14ac:dyDescent="0.3">
      <c r="A5" s="165" t="s">
        <v>375</v>
      </c>
      <c r="B5" s="166" t="s">
        <v>376</v>
      </c>
      <c r="C5" s="167" t="s">
        <v>377</v>
      </c>
      <c r="D5" s="125" t="s">
        <v>312</v>
      </c>
      <c r="E5" s="125" t="s">
        <v>313</v>
      </c>
      <c r="F5" s="125" t="s">
        <v>314</v>
      </c>
      <c r="G5" s="125" t="s">
        <v>315</v>
      </c>
      <c r="H5" s="125" t="s">
        <v>316</v>
      </c>
      <c r="I5" s="161" t="s">
        <v>378</v>
      </c>
    </row>
    <row r="6" spans="1:10" x14ac:dyDescent="0.25">
      <c r="C6" s="1"/>
      <c r="J6" s="31"/>
    </row>
    <row r="7" spans="1:10" x14ac:dyDescent="0.25">
      <c r="A7" t="s">
        <v>379</v>
      </c>
      <c r="C7" s="1"/>
      <c r="J7" s="31"/>
    </row>
    <row r="8" spans="1:10" x14ac:dyDescent="0.25">
      <c r="J8" s="31"/>
    </row>
    <row r="9" spans="1:10" x14ac:dyDescent="0.25">
      <c r="J9" s="31"/>
    </row>
    <row r="10" spans="1:10" x14ac:dyDescent="0.25">
      <c r="J10" s="31"/>
    </row>
    <row r="11" spans="1:10" x14ac:dyDescent="0.25">
      <c r="J11" s="31"/>
    </row>
    <row r="12" spans="1:10" x14ac:dyDescent="0.25">
      <c r="J12" s="31"/>
    </row>
  </sheetData>
  <mergeCells count="1">
    <mergeCell ref="D4:H4"/>
  </mergeCells>
  <hyperlinks>
    <hyperlink ref="C1" location="Index!A1" display="Back" xr:uid="{00000000-0004-0000-0600-000000000000}"/>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G16"/>
  <sheetViews>
    <sheetView zoomScale="85" zoomScaleNormal="85" workbookViewId="0">
      <selection activeCell="E23" sqref="E23"/>
    </sheetView>
  </sheetViews>
  <sheetFormatPr defaultRowHeight="15" x14ac:dyDescent="0.25"/>
  <cols>
    <col min="1" max="1" width="19" bestFit="1" customWidth="1"/>
    <col min="2" max="2" width="36.85546875" bestFit="1" customWidth="1"/>
    <col min="3" max="3" width="5.28515625" bestFit="1" customWidth="1"/>
  </cols>
  <sheetData>
    <row r="1" spans="1:7" x14ac:dyDescent="0.25">
      <c r="A1" t="s">
        <v>33</v>
      </c>
      <c r="B1" s="33">
        <v>45874</v>
      </c>
      <c r="C1" s="147" t="s">
        <v>34</v>
      </c>
    </row>
    <row r="2" spans="1:7" x14ac:dyDescent="0.25">
      <c r="A2" t="s">
        <v>35</v>
      </c>
      <c r="B2" s="16" t="s">
        <v>36</v>
      </c>
    </row>
    <row r="3" spans="1:7" ht="15.75" thickBot="1" x14ac:dyDescent="0.3"/>
    <row r="4" spans="1:7" ht="15" customHeight="1" thickBot="1" x14ac:dyDescent="0.3">
      <c r="A4" s="77" t="s">
        <v>380</v>
      </c>
      <c r="B4" s="78" t="s">
        <v>381</v>
      </c>
    </row>
    <row r="5" spans="1:7" x14ac:dyDescent="0.25">
      <c r="A5" s="75" t="s">
        <v>382</v>
      </c>
      <c r="B5" s="149">
        <v>105</v>
      </c>
      <c r="C5" s="6"/>
      <c r="D5" s="6"/>
      <c r="E5" s="6"/>
      <c r="F5" s="6"/>
      <c r="G5" s="6"/>
    </row>
    <row r="6" spans="1:7" x14ac:dyDescent="0.25">
      <c r="A6" s="75" t="s">
        <v>383</v>
      </c>
      <c r="B6" s="149">
        <v>110</v>
      </c>
      <c r="C6" s="6"/>
      <c r="D6" s="6"/>
      <c r="E6" s="6"/>
      <c r="F6" s="6"/>
      <c r="G6" s="6"/>
    </row>
    <row r="7" spans="1:7" x14ac:dyDescent="0.25">
      <c r="A7" s="75" t="s">
        <v>384</v>
      </c>
      <c r="B7" s="149">
        <v>115</v>
      </c>
    </row>
    <row r="8" spans="1:7" x14ac:dyDescent="0.25">
      <c r="A8" s="75" t="s">
        <v>385</v>
      </c>
      <c r="B8" s="149">
        <v>110</v>
      </c>
    </row>
    <row r="9" spans="1:7" x14ac:dyDescent="0.25">
      <c r="A9" s="75" t="s">
        <v>386</v>
      </c>
      <c r="B9" s="149">
        <v>110</v>
      </c>
    </row>
    <row r="10" spans="1:7" x14ac:dyDescent="0.25">
      <c r="A10" s="75" t="s">
        <v>387</v>
      </c>
      <c r="B10" s="149">
        <v>110</v>
      </c>
    </row>
    <row r="11" spans="1:7" x14ac:dyDescent="0.25">
      <c r="A11" s="75" t="s">
        <v>388</v>
      </c>
      <c r="B11" s="149">
        <v>105</v>
      </c>
    </row>
    <row r="12" spans="1:7" ht="15.75" thickBot="1" x14ac:dyDescent="0.3">
      <c r="A12" s="76" t="s">
        <v>389</v>
      </c>
      <c r="B12" s="150">
        <v>110</v>
      </c>
    </row>
    <row r="13" spans="1:7" ht="18" x14ac:dyDescent="0.25">
      <c r="A13" s="4"/>
      <c r="B13" s="5"/>
    </row>
    <row r="15" spans="1:7" x14ac:dyDescent="0.25">
      <c r="A15" s="7"/>
    </row>
    <row r="16" spans="1:7" x14ac:dyDescent="0.25">
      <c r="A16" s="7"/>
    </row>
  </sheetData>
  <hyperlinks>
    <hyperlink ref="C1" location="Index!A1" display="Back" xr:uid="{00000000-0004-0000-0200-000000000000}"/>
  </hyperlinks>
  <pageMargins left="0.7" right="0.7" top="0.75" bottom="0.75" header="0.3" footer="0.3"/>
  <pageSetup orientation="portrait" horizontalDpi="90" verticalDpi="9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R591"/>
  <sheetViews>
    <sheetView zoomScale="85" zoomScaleNormal="85" workbookViewId="0">
      <selection activeCell="H591" sqref="H591:L591"/>
    </sheetView>
  </sheetViews>
  <sheetFormatPr defaultColWidth="18.7109375" defaultRowHeight="15" x14ac:dyDescent="0.25"/>
  <cols>
    <col min="1" max="1" width="38.85546875" style="1" customWidth="1"/>
    <col min="2" max="2" width="65.7109375" bestFit="1" customWidth="1"/>
    <col min="7" max="7" width="21.5703125" style="35" customWidth="1"/>
    <col min="8" max="8" width="15.140625" bestFit="1" customWidth="1"/>
    <col min="9" max="9" width="20.140625" bestFit="1" customWidth="1"/>
    <col min="10" max="10" width="14.5703125" bestFit="1" customWidth="1"/>
    <col min="11" max="11" width="19.140625" bestFit="1" customWidth="1"/>
    <col min="12" max="12" width="15.140625" customWidth="1"/>
    <col min="13" max="13" width="20.140625" bestFit="1" customWidth="1"/>
    <col min="14" max="14" width="15.140625" bestFit="1" customWidth="1"/>
    <col min="15" max="15" width="20.140625" bestFit="1" customWidth="1"/>
    <col min="16" max="17" width="36.28515625" bestFit="1" customWidth="1"/>
  </cols>
  <sheetData>
    <row r="1" spans="1:16" x14ac:dyDescent="0.25">
      <c r="A1" s="1" t="s">
        <v>33</v>
      </c>
      <c r="B1" s="33">
        <v>46010</v>
      </c>
      <c r="C1" s="147" t="s">
        <v>34</v>
      </c>
    </row>
    <row r="2" spans="1:16" x14ac:dyDescent="0.25">
      <c r="A2" s="1" t="s">
        <v>35</v>
      </c>
      <c r="B2" s="16" t="s">
        <v>36</v>
      </c>
    </row>
    <row r="3" spans="1:16" x14ac:dyDescent="0.25">
      <c r="B3" s="16"/>
    </row>
    <row r="4" spans="1:16" x14ac:dyDescent="0.25">
      <c r="B4" s="183"/>
      <c r="G4" s="147"/>
    </row>
    <row r="5" spans="1:16" ht="90" x14ac:dyDescent="0.25">
      <c r="A5" s="34" t="s">
        <v>390</v>
      </c>
    </row>
    <row r="6" spans="1:16" ht="15.75" thickBot="1" x14ac:dyDescent="0.3"/>
    <row r="7" spans="1:16" ht="45.75" thickBot="1" x14ac:dyDescent="0.3">
      <c r="A7" s="170" t="s">
        <v>391</v>
      </c>
      <c r="B7" s="171" t="s">
        <v>392</v>
      </c>
      <c r="C7" s="171" t="s">
        <v>393</v>
      </c>
      <c r="D7" s="172" t="s">
        <v>394</v>
      </c>
      <c r="E7" s="171" t="s">
        <v>395</v>
      </c>
      <c r="F7" s="173" t="s">
        <v>396</v>
      </c>
      <c r="G7" s="174" t="s">
        <v>397</v>
      </c>
      <c r="H7" s="171" t="s">
        <v>312</v>
      </c>
      <c r="I7" s="171" t="s">
        <v>398</v>
      </c>
      <c r="J7" s="171" t="s">
        <v>313</v>
      </c>
      <c r="K7" s="171" t="s">
        <v>399</v>
      </c>
      <c r="L7" s="171" t="s">
        <v>314</v>
      </c>
      <c r="M7" s="171" t="s">
        <v>315</v>
      </c>
      <c r="N7" s="171" t="s">
        <v>400</v>
      </c>
      <c r="O7" s="171" t="s">
        <v>316</v>
      </c>
      <c r="P7" s="175" t="s">
        <v>213</v>
      </c>
    </row>
    <row r="8" spans="1:16" x14ac:dyDescent="0.25">
      <c r="A8" s="176" t="s">
        <v>401</v>
      </c>
      <c r="B8" s="177" t="s">
        <v>402</v>
      </c>
      <c r="C8" s="177" t="s">
        <v>403</v>
      </c>
      <c r="D8" s="178">
        <v>45827</v>
      </c>
      <c r="E8" s="177" t="s">
        <v>404</v>
      </c>
      <c r="F8" s="179">
        <v>205.31</v>
      </c>
      <c r="G8" s="180" t="s">
        <v>70</v>
      </c>
      <c r="H8" s="180" t="s">
        <v>70</v>
      </c>
      <c r="I8" s="180" t="s">
        <v>70</v>
      </c>
      <c r="J8" s="180" t="s">
        <v>70</v>
      </c>
      <c r="K8" s="180" t="s">
        <v>70</v>
      </c>
      <c r="L8" s="180" t="s">
        <v>70</v>
      </c>
      <c r="M8" s="180" t="s">
        <v>70</v>
      </c>
      <c r="N8" s="180" t="s">
        <v>70</v>
      </c>
      <c r="O8" s="180" t="s">
        <v>70</v>
      </c>
      <c r="P8" s="181"/>
    </row>
    <row r="9" spans="1:16" x14ac:dyDescent="0.25">
      <c r="A9" s="136" t="s">
        <v>405</v>
      </c>
      <c r="B9" s="113" t="s">
        <v>406</v>
      </c>
      <c r="C9" s="113" t="s">
        <v>407</v>
      </c>
      <c r="D9" s="114">
        <v>45838</v>
      </c>
      <c r="E9" s="113" t="s">
        <v>408</v>
      </c>
      <c r="F9" s="115">
        <v>199.5</v>
      </c>
      <c r="G9" s="81" t="s">
        <v>70</v>
      </c>
      <c r="H9" s="81" t="s">
        <v>70</v>
      </c>
      <c r="I9" s="81" t="s">
        <v>70</v>
      </c>
      <c r="J9" s="81" t="s">
        <v>70</v>
      </c>
      <c r="K9" s="81" t="s">
        <v>70</v>
      </c>
      <c r="L9" s="81" t="s">
        <v>70</v>
      </c>
      <c r="M9" s="81" t="s">
        <v>70</v>
      </c>
      <c r="N9" s="81" t="s">
        <v>70</v>
      </c>
      <c r="O9" s="81" t="s">
        <v>70</v>
      </c>
      <c r="P9" s="137"/>
    </row>
    <row r="10" spans="1:16" x14ac:dyDescent="0.25">
      <c r="A10" s="139" t="s">
        <v>409</v>
      </c>
      <c r="B10" s="117" t="s">
        <v>410</v>
      </c>
      <c r="C10" s="113" t="s">
        <v>411</v>
      </c>
      <c r="D10" s="114">
        <v>45853</v>
      </c>
      <c r="E10" s="113" t="s">
        <v>404</v>
      </c>
      <c r="F10" s="115">
        <v>153.93</v>
      </c>
      <c r="G10" s="81" t="s">
        <v>70</v>
      </c>
      <c r="H10" s="81" t="s">
        <v>70</v>
      </c>
      <c r="I10" s="81" t="s">
        <v>70</v>
      </c>
      <c r="J10" s="81" t="s">
        <v>70</v>
      </c>
      <c r="K10" s="81" t="s">
        <v>70</v>
      </c>
      <c r="L10" s="81" t="s">
        <v>70</v>
      </c>
      <c r="M10" s="81" t="s">
        <v>70</v>
      </c>
      <c r="N10" s="81" t="s">
        <v>70</v>
      </c>
      <c r="O10" s="81" t="s">
        <v>70</v>
      </c>
      <c r="P10" s="137"/>
    </row>
    <row r="11" spans="1:16" x14ac:dyDescent="0.25">
      <c r="A11" s="136" t="s">
        <v>412</v>
      </c>
      <c r="B11" s="113" t="s">
        <v>413</v>
      </c>
      <c r="C11" s="113" t="s">
        <v>414</v>
      </c>
      <c r="D11" s="114">
        <v>45856</v>
      </c>
      <c r="E11" s="113" t="s">
        <v>415</v>
      </c>
      <c r="F11" s="115">
        <v>143.69999999999999</v>
      </c>
      <c r="G11" s="81" t="s">
        <v>70</v>
      </c>
      <c r="H11" s="81" t="s">
        <v>70</v>
      </c>
      <c r="I11" s="81" t="s">
        <v>70</v>
      </c>
      <c r="J11" s="81" t="s">
        <v>70</v>
      </c>
      <c r="K11" s="81" t="s">
        <v>70</v>
      </c>
      <c r="L11" s="81" t="s">
        <v>70</v>
      </c>
      <c r="M11" s="81" t="s">
        <v>70</v>
      </c>
      <c r="N11" s="81" t="s">
        <v>70</v>
      </c>
      <c r="O11" s="81" t="s">
        <v>70</v>
      </c>
      <c r="P11" s="137"/>
    </row>
    <row r="12" spans="1:16" x14ac:dyDescent="0.25">
      <c r="A12" s="136" t="s">
        <v>416</v>
      </c>
      <c r="B12" s="116" t="s">
        <v>417</v>
      </c>
      <c r="C12" s="113" t="s">
        <v>418</v>
      </c>
      <c r="D12" s="114">
        <v>45869</v>
      </c>
      <c r="E12" s="113" t="s">
        <v>404</v>
      </c>
      <c r="F12" s="115">
        <v>204</v>
      </c>
      <c r="G12" s="81" t="s">
        <v>70</v>
      </c>
      <c r="H12" s="81" t="s">
        <v>70</v>
      </c>
      <c r="I12" s="81" t="s">
        <v>70</v>
      </c>
      <c r="J12" s="81" t="s">
        <v>70</v>
      </c>
      <c r="K12" s="81" t="s">
        <v>70</v>
      </c>
      <c r="L12" s="81" t="s">
        <v>70</v>
      </c>
      <c r="M12" s="81" t="s">
        <v>70</v>
      </c>
      <c r="N12" s="81" t="s">
        <v>70</v>
      </c>
      <c r="O12" s="81" t="s">
        <v>70</v>
      </c>
      <c r="P12" s="137"/>
    </row>
    <row r="13" spans="1:16" x14ac:dyDescent="0.25">
      <c r="A13" s="136" t="s">
        <v>419</v>
      </c>
      <c r="B13" s="113" t="s">
        <v>420</v>
      </c>
      <c r="C13" s="113" t="s">
        <v>421</v>
      </c>
      <c r="D13" s="114">
        <v>45869</v>
      </c>
      <c r="E13" s="113" t="s">
        <v>404</v>
      </c>
      <c r="F13" s="115">
        <v>100.24</v>
      </c>
      <c r="G13" s="81" t="s">
        <v>70</v>
      </c>
      <c r="H13" s="81" t="s">
        <v>70</v>
      </c>
      <c r="I13" s="81" t="s">
        <v>70</v>
      </c>
      <c r="J13" s="81" t="s">
        <v>70</v>
      </c>
      <c r="K13" s="81" t="s">
        <v>70</v>
      </c>
      <c r="L13" s="81" t="s">
        <v>70</v>
      </c>
      <c r="M13" s="81" t="s">
        <v>70</v>
      </c>
      <c r="N13" s="81" t="s">
        <v>70</v>
      </c>
      <c r="O13" s="81" t="s">
        <v>70</v>
      </c>
      <c r="P13" s="137"/>
    </row>
    <row r="14" spans="1:16" x14ac:dyDescent="0.25">
      <c r="A14" s="138" t="s">
        <v>422</v>
      </c>
      <c r="B14" s="116" t="s">
        <v>423</v>
      </c>
      <c r="C14" s="113" t="s">
        <v>424</v>
      </c>
      <c r="D14" s="114">
        <v>45889</v>
      </c>
      <c r="E14" s="113" t="s">
        <v>408</v>
      </c>
      <c r="F14" s="115">
        <v>234.5</v>
      </c>
      <c r="G14" s="81" t="s">
        <v>70</v>
      </c>
      <c r="H14" s="81" t="s">
        <v>70</v>
      </c>
      <c r="I14" s="81" t="s">
        <v>70</v>
      </c>
      <c r="J14" s="81" t="s">
        <v>70</v>
      </c>
      <c r="K14" s="81" t="s">
        <v>70</v>
      </c>
      <c r="L14" s="81" t="s">
        <v>70</v>
      </c>
      <c r="M14" s="81" t="s">
        <v>70</v>
      </c>
      <c r="N14" s="81" t="s">
        <v>70</v>
      </c>
      <c r="O14" s="81" t="s">
        <v>70</v>
      </c>
      <c r="P14" s="137"/>
    </row>
    <row r="15" spans="1:16" x14ac:dyDescent="0.25">
      <c r="A15" s="136" t="s">
        <v>425</v>
      </c>
      <c r="B15" s="113" t="s">
        <v>426</v>
      </c>
      <c r="C15" s="113" t="s">
        <v>427</v>
      </c>
      <c r="D15" s="114">
        <v>45895</v>
      </c>
      <c r="E15" s="113" t="s">
        <v>404</v>
      </c>
      <c r="F15" s="115">
        <v>150.46</v>
      </c>
      <c r="G15" s="81" t="s">
        <v>70</v>
      </c>
      <c r="H15" s="81" t="s">
        <v>70</v>
      </c>
      <c r="I15" s="81" t="s">
        <v>70</v>
      </c>
      <c r="J15" s="81" t="s">
        <v>70</v>
      </c>
      <c r="K15" s="81" t="s">
        <v>70</v>
      </c>
      <c r="L15" s="81" t="s">
        <v>70</v>
      </c>
      <c r="M15" s="81" t="s">
        <v>70</v>
      </c>
      <c r="N15" s="81" t="s">
        <v>70</v>
      </c>
      <c r="O15" s="81" t="s">
        <v>70</v>
      </c>
      <c r="P15" s="137"/>
    </row>
    <row r="16" spans="1:16" x14ac:dyDescent="0.25">
      <c r="A16" s="138" t="s">
        <v>428</v>
      </c>
      <c r="B16" s="116" t="s">
        <v>429</v>
      </c>
      <c r="C16" s="113" t="s">
        <v>430</v>
      </c>
      <c r="D16" s="114">
        <v>45901</v>
      </c>
      <c r="E16" s="113" t="s">
        <v>404</v>
      </c>
      <c r="F16" s="115">
        <v>101.9</v>
      </c>
      <c r="G16" s="81" t="s">
        <v>70</v>
      </c>
      <c r="H16" s="81" t="s">
        <v>70</v>
      </c>
      <c r="I16" s="81" t="s">
        <v>70</v>
      </c>
      <c r="J16" s="81" t="s">
        <v>70</v>
      </c>
      <c r="K16" s="81" t="s">
        <v>70</v>
      </c>
      <c r="L16" s="81" t="s">
        <v>70</v>
      </c>
      <c r="M16" s="81" t="s">
        <v>70</v>
      </c>
      <c r="N16" s="81" t="s">
        <v>70</v>
      </c>
      <c r="O16" s="81" t="s">
        <v>70</v>
      </c>
      <c r="P16" s="137"/>
    </row>
    <row r="17" spans="1:16" x14ac:dyDescent="0.25">
      <c r="A17" s="136" t="s">
        <v>431</v>
      </c>
      <c r="B17" s="113" t="s">
        <v>432</v>
      </c>
      <c r="C17" s="113" t="s">
        <v>411</v>
      </c>
      <c r="D17" s="114">
        <v>45902</v>
      </c>
      <c r="E17" s="113" t="s">
        <v>433</v>
      </c>
      <c r="F17" s="115">
        <v>210.8</v>
      </c>
      <c r="G17" s="81" t="s">
        <v>70</v>
      </c>
      <c r="H17" s="81" t="s">
        <v>70</v>
      </c>
      <c r="I17" s="81" t="s">
        <v>70</v>
      </c>
      <c r="J17" s="81" t="s">
        <v>70</v>
      </c>
      <c r="K17" s="81" t="s">
        <v>70</v>
      </c>
      <c r="L17" s="81" t="s">
        <v>70</v>
      </c>
      <c r="M17" s="81" t="s">
        <v>70</v>
      </c>
      <c r="N17" s="81" t="s">
        <v>70</v>
      </c>
      <c r="O17" s="81" t="s">
        <v>70</v>
      </c>
      <c r="P17" s="137"/>
    </row>
    <row r="18" spans="1:16" x14ac:dyDescent="0.25">
      <c r="A18" s="136" t="s">
        <v>434</v>
      </c>
      <c r="B18" s="113" t="s">
        <v>435</v>
      </c>
      <c r="C18" s="113" t="s">
        <v>436</v>
      </c>
      <c r="D18" s="114">
        <v>45903</v>
      </c>
      <c r="E18" s="113" t="s">
        <v>404</v>
      </c>
      <c r="F18" s="115">
        <v>102.7</v>
      </c>
      <c r="G18" s="81" t="s">
        <v>70</v>
      </c>
      <c r="H18" s="81" t="s">
        <v>70</v>
      </c>
      <c r="I18" s="81" t="s">
        <v>70</v>
      </c>
      <c r="J18" s="81" t="s">
        <v>70</v>
      </c>
      <c r="K18" s="81" t="s">
        <v>70</v>
      </c>
      <c r="L18" s="81" t="s">
        <v>70</v>
      </c>
      <c r="M18" s="81" t="s">
        <v>70</v>
      </c>
      <c r="N18" s="81" t="s">
        <v>70</v>
      </c>
      <c r="O18" s="81" t="s">
        <v>70</v>
      </c>
      <c r="P18" s="137"/>
    </row>
    <row r="19" spans="1:16" x14ac:dyDescent="0.25">
      <c r="A19" s="136" t="s">
        <v>437</v>
      </c>
      <c r="B19" s="116" t="s">
        <v>438</v>
      </c>
      <c r="C19" s="113" t="s">
        <v>439</v>
      </c>
      <c r="D19" s="114">
        <v>45926</v>
      </c>
      <c r="E19" s="113" t="s">
        <v>433</v>
      </c>
      <c r="F19" s="115">
        <v>166.57</v>
      </c>
      <c r="G19" s="81" t="s">
        <v>70</v>
      </c>
      <c r="H19" s="81" t="s">
        <v>70</v>
      </c>
      <c r="I19" s="81" t="s">
        <v>70</v>
      </c>
      <c r="J19" s="81" t="s">
        <v>70</v>
      </c>
      <c r="K19" s="81" t="s">
        <v>70</v>
      </c>
      <c r="L19" s="81" t="s">
        <v>70</v>
      </c>
      <c r="M19" s="81" t="s">
        <v>70</v>
      </c>
      <c r="N19" s="81" t="s">
        <v>70</v>
      </c>
      <c r="O19" s="81" t="s">
        <v>70</v>
      </c>
      <c r="P19" s="137" t="s">
        <v>440</v>
      </c>
    </row>
    <row r="20" spans="1:16" x14ac:dyDescent="0.25">
      <c r="A20" s="138" t="s">
        <v>441</v>
      </c>
      <c r="B20" s="116" t="s">
        <v>442</v>
      </c>
      <c r="C20" s="113" t="s">
        <v>443</v>
      </c>
      <c r="D20" s="114">
        <v>45926</v>
      </c>
      <c r="E20" s="113" t="s">
        <v>433</v>
      </c>
      <c r="F20" s="115">
        <v>150.71</v>
      </c>
      <c r="G20" s="81" t="s">
        <v>70</v>
      </c>
      <c r="H20" s="81" t="s">
        <v>70</v>
      </c>
      <c r="I20" s="81" t="s">
        <v>70</v>
      </c>
      <c r="J20" s="81" t="s">
        <v>70</v>
      </c>
      <c r="K20" s="81" t="s">
        <v>70</v>
      </c>
      <c r="L20" s="81" t="s">
        <v>70</v>
      </c>
      <c r="M20" s="81" t="s">
        <v>70</v>
      </c>
      <c r="N20" s="81" t="s">
        <v>70</v>
      </c>
      <c r="O20" s="81" t="s">
        <v>70</v>
      </c>
      <c r="P20" s="137"/>
    </row>
    <row r="21" spans="1:16" x14ac:dyDescent="0.25">
      <c r="A21" s="139" t="s">
        <v>444</v>
      </c>
      <c r="B21" s="117" t="s">
        <v>445</v>
      </c>
      <c r="C21" s="113" t="s">
        <v>446</v>
      </c>
      <c r="D21" s="114">
        <v>45930</v>
      </c>
      <c r="E21" s="113" t="s">
        <v>404</v>
      </c>
      <c r="F21" s="115">
        <v>154.19999999999999</v>
      </c>
      <c r="G21" s="81" t="s">
        <v>70</v>
      </c>
      <c r="H21" s="81" t="s">
        <v>70</v>
      </c>
      <c r="I21" s="81" t="s">
        <v>70</v>
      </c>
      <c r="J21" s="81" t="s">
        <v>70</v>
      </c>
      <c r="K21" s="81" t="s">
        <v>70</v>
      </c>
      <c r="L21" s="81" t="s">
        <v>70</v>
      </c>
      <c r="M21" s="81" t="s">
        <v>70</v>
      </c>
      <c r="N21" s="81" t="s">
        <v>70</v>
      </c>
      <c r="O21" s="81" t="s">
        <v>70</v>
      </c>
      <c r="P21" s="137"/>
    </row>
    <row r="22" spans="1:16" x14ac:dyDescent="0.25">
      <c r="A22" s="138" t="s">
        <v>447</v>
      </c>
      <c r="B22" s="116" t="s">
        <v>448</v>
      </c>
      <c r="C22" s="113" t="s">
        <v>449</v>
      </c>
      <c r="D22" s="114">
        <v>45930</v>
      </c>
      <c r="E22" s="113" t="s">
        <v>404</v>
      </c>
      <c r="F22" s="115">
        <v>207.25</v>
      </c>
      <c r="G22" s="81" t="s">
        <v>70</v>
      </c>
      <c r="H22" s="81" t="s">
        <v>70</v>
      </c>
      <c r="I22" s="81" t="s">
        <v>70</v>
      </c>
      <c r="J22" s="81" t="s">
        <v>70</v>
      </c>
      <c r="K22" s="81" t="s">
        <v>70</v>
      </c>
      <c r="L22" s="81" t="s">
        <v>70</v>
      </c>
      <c r="M22" s="81" t="s">
        <v>70</v>
      </c>
      <c r="N22" s="81" t="s">
        <v>70</v>
      </c>
      <c r="O22" s="81" t="s">
        <v>70</v>
      </c>
      <c r="P22" s="137"/>
    </row>
    <row r="23" spans="1:16" x14ac:dyDescent="0.25">
      <c r="A23" s="136" t="s">
        <v>450</v>
      </c>
      <c r="B23" s="113" t="s">
        <v>451</v>
      </c>
      <c r="C23" s="113" t="s">
        <v>452</v>
      </c>
      <c r="D23" s="114">
        <v>45934</v>
      </c>
      <c r="E23" s="113" t="s">
        <v>408</v>
      </c>
      <c r="F23" s="115">
        <v>265.39999999999998</v>
      </c>
      <c r="G23" s="81" t="s">
        <v>70</v>
      </c>
      <c r="H23" s="81" t="s">
        <v>70</v>
      </c>
      <c r="I23" s="81" t="s">
        <v>70</v>
      </c>
      <c r="J23" s="81" t="s">
        <v>70</v>
      </c>
      <c r="K23" s="81" t="s">
        <v>70</v>
      </c>
      <c r="L23" s="81" t="s">
        <v>70</v>
      </c>
      <c r="M23" s="81" t="s">
        <v>70</v>
      </c>
      <c r="N23" s="81" t="s">
        <v>70</v>
      </c>
      <c r="O23" s="81" t="s">
        <v>70</v>
      </c>
      <c r="P23" s="137"/>
    </row>
    <row r="24" spans="1:16" x14ac:dyDescent="0.25">
      <c r="A24" s="136" t="s">
        <v>453</v>
      </c>
      <c r="B24" s="116" t="s">
        <v>454</v>
      </c>
      <c r="C24" s="113" t="s">
        <v>455</v>
      </c>
      <c r="D24" s="114">
        <v>45961</v>
      </c>
      <c r="E24" s="113" t="s">
        <v>408</v>
      </c>
      <c r="F24" s="115">
        <v>163.4</v>
      </c>
      <c r="G24" s="81" t="s">
        <v>70</v>
      </c>
      <c r="H24" s="81" t="s">
        <v>70</v>
      </c>
      <c r="I24" s="81" t="s">
        <v>70</v>
      </c>
      <c r="J24" s="81" t="s">
        <v>70</v>
      </c>
      <c r="K24" s="81" t="s">
        <v>70</v>
      </c>
      <c r="L24" s="81" t="s">
        <v>70</v>
      </c>
      <c r="M24" s="81" t="s">
        <v>70</v>
      </c>
      <c r="N24" s="81" t="s">
        <v>70</v>
      </c>
      <c r="O24" s="81" t="s">
        <v>70</v>
      </c>
      <c r="P24" s="137"/>
    </row>
    <row r="25" spans="1:16" x14ac:dyDescent="0.25">
      <c r="A25" s="136" t="s">
        <v>456</v>
      </c>
      <c r="B25" s="113" t="s">
        <v>457</v>
      </c>
      <c r="C25" s="113" t="s">
        <v>443</v>
      </c>
      <c r="D25" s="114">
        <v>45961</v>
      </c>
      <c r="E25" s="113" t="s">
        <v>433</v>
      </c>
      <c r="F25" s="115">
        <v>101.6</v>
      </c>
      <c r="G25" s="81" t="s">
        <v>70</v>
      </c>
      <c r="H25" s="81" t="s">
        <v>70</v>
      </c>
      <c r="I25" s="81" t="s">
        <v>70</v>
      </c>
      <c r="J25" s="81" t="s">
        <v>70</v>
      </c>
      <c r="K25" s="81" t="s">
        <v>70</v>
      </c>
      <c r="L25" s="81" t="s">
        <v>70</v>
      </c>
      <c r="M25" s="81" t="s">
        <v>70</v>
      </c>
      <c r="N25" s="81" t="s">
        <v>70</v>
      </c>
      <c r="O25" s="81" t="s">
        <v>70</v>
      </c>
      <c r="P25" s="137"/>
    </row>
    <row r="26" spans="1:16" x14ac:dyDescent="0.25">
      <c r="A26" s="136" t="s">
        <v>458</v>
      </c>
      <c r="B26" s="113" t="s">
        <v>459</v>
      </c>
      <c r="C26" s="113" t="s">
        <v>460</v>
      </c>
      <c r="D26" s="114">
        <v>45992</v>
      </c>
      <c r="E26" s="113" t="s">
        <v>433</v>
      </c>
      <c r="F26" s="115">
        <v>56</v>
      </c>
      <c r="G26" s="81" t="s">
        <v>70</v>
      </c>
      <c r="H26" s="81" t="s">
        <v>70</v>
      </c>
      <c r="I26" s="81" t="s">
        <v>70</v>
      </c>
      <c r="J26" s="81" t="s">
        <v>70</v>
      </c>
      <c r="K26" s="81" t="s">
        <v>70</v>
      </c>
      <c r="L26" s="81" t="s">
        <v>70</v>
      </c>
      <c r="M26" s="81" t="s">
        <v>70</v>
      </c>
      <c r="N26" s="81" t="s">
        <v>70</v>
      </c>
      <c r="O26" s="81" t="s">
        <v>70</v>
      </c>
      <c r="P26" s="137"/>
    </row>
    <row r="27" spans="1:16" x14ac:dyDescent="0.25">
      <c r="A27" s="138" t="s">
        <v>461</v>
      </c>
      <c r="B27" s="116" t="s">
        <v>462</v>
      </c>
      <c r="C27" s="113" t="s">
        <v>463</v>
      </c>
      <c r="D27" s="114">
        <v>46003</v>
      </c>
      <c r="E27" s="113" t="s">
        <v>404</v>
      </c>
      <c r="F27" s="115">
        <v>102.7</v>
      </c>
      <c r="G27" s="81" t="s">
        <v>70</v>
      </c>
      <c r="H27" s="81" t="s">
        <v>70</v>
      </c>
      <c r="I27" s="81" t="s">
        <v>70</v>
      </c>
      <c r="J27" s="81" t="s">
        <v>70</v>
      </c>
      <c r="K27" s="81" t="s">
        <v>70</v>
      </c>
      <c r="L27" s="81" t="s">
        <v>70</v>
      </c>
      <c r="M27" s="81" t="s">
        <v>70</v>
      </c>
      <c r="N27" s="81" t="s">
        <v>70</v>
      </c>
      <c r="O27" s="81" t="s">
        <v>70</v>
      </c>
      <c r="P27" s="137"/>
    </row>
    <row r="28" spans="1:16" x14ac:dyDescent="0.25">
      <c r="A28" s="136" t="s">
        <v>464</v>
      </c>
      <c r="B28" s="116" t="s">
        <v>465</v>
      </c>
      <c r="C28" s="113" t="s">
        <v>466</v>
      </c>
      <c r="D28" s="114">
        <v>46006</v>
      </c>
      <c r="E28" s="113" t="s">
        <v>408</v>
      </c>
      <c r="F28" s="115">
        <v>125.1</v>
      </c>
      <c r="G28" s="81" t="s">
        <v>70</v>
      </c>
      <c r="H28" s="81" t="s">
        <v>70</v>
      </c>
      <c r="I28" s="81" t="s">
        <v>70</v>
      </c>
      <c r="J28" s="81" t="s">
        <v>70</v>
      </c>
      <c r="K28" s="81" t="s">
        <v>70</v>
      </c>
      <c r="L28" s="81" t="s">
        <v>70</v>
      </c>
      <c r="M28" s="81" t="s">
        <v>70</v>
      </c>
      <c r="N28" s="81" t="s">
        <v>70</v>
      </c>
      <c r="O28" s="81" t="s">
        <v>70</v>
      </c>
      <c r="P28" s="137" t="s">
        <v>467</v>
      </c>
    </row>
    <row r="29" spans="1:16" x14ac:dyDescent="0.25">
      <c r="A29" s="136" t="s">
        <v>468</v>
      </c>
      <c r="B29" s="116" t="s">
        <v>469</v>
      </c>
      <c r="C29" s="113" t="s">
        <v>470</v>
      </c>
      <c r="D29" s="114">
        <v>46008</v>
      </c>
      <c r="E29" s="113" t="s">
        <v>404</v>
      </c>
      <c r="F29" s="115">
        <v>203.87</v>
      </c>
      <c r="G29" s="81" t="s">
        <v>70</v>
      </c>
      <c r="H29" s="81" t="s">
        <v>70</v>
      </c>
      <c r="I29" s="81" t="s">
        <v>70</v>
      </c>
      <c r="J29" s="81" t="s">
        <v>70</v>
      </c>
      <c r="K29" s="81" t="s">
        <v>70</v>
      </c>
      <c r="L29" s="81" t="s">
        <v>70</v>
      </c>
      <c r="M29" s="81" t="s">
        <v>70</v>
      </c>
      <c r="N29" s="81" t="s">
        <v>70</v>
      </c>
      <c r="O29" s="81" t="s">
        <v>70</v>
      </c>
      <c r="P29" s="137"/>
    </row>
    <row r="30" spans="1:16" x14ac:dyDescent="0.25">
      <c r="A30" s="136" t="s">
        <v>471</v>
      </c>
      <c r="B30" s="116" t="s">
        <v>472</v>
      </c>
      <c r="C30" s="113" t="s">
        <v>411</v>
      </c>
      <c r="D30" s="114">
        <v>46021</v>
      </c>
      <c r="E30" s="113" t="s">
        <v>433</v>
      </c>
      <c r="F30" s="115">
        <v>100.36</v>
      </c>
      <c r="G30" s="81" t="s">
        <v>70</v>
      </c>
      <c r="H30" s="81" t="s">
        <v>70</v>
      </c>
      <c r="I30" s="81" t="s">
        <v>70</v>
      </c>
      <c r="J30" s="81" t="s">
        <v>70</v>
      </c>
      <c r="K30" s="81" t="s">
        <v>70</v>
      </c>
      <c r="L30" s="81" t="s">
        <v>70</v>
      </c>
      <c r="M30" s="81" t="s">
        <v>70</v>
      </c>
      <c r="N30" s="81" t="s">
        <v>70</v>
      </c>
      <c r="O30" s="81" t="s">
        <v>70</v>
      </c>
      <c r="P30" s="137"/>
    </row>
    <row r="31" spans="1:16" x14ac:dyDescent="0.25">
      <c r="A31" s="136" t="s">
        <v>473</v>
      </c>
      <c r="B31" s="116" t="s">
        <v>474</v>
      </c>
      <c r="C31" s="113" t="s">
        <v>411</v>
      </c>
      <c r="D31" s="114">
        <v>46021</v>
      </c>
      <c r="E31" s="113" t="s">
        <v>404</v>
      </c>
      <c r="F31" s="115">
        <v>100.42</v>
      </c>
      <c r="G31" s="81" t="s">
        <v>70</v>
      </c>
      <c r="H31" s="81" t="s">
        <v>70</v>
      </c>
      <c r="I31" s="81" t="s">
        <v>70</v>
      </c>
      <c r="J31" s="81" t="s">
        <v>70</v>
      </c>
      <c r="K31" s="81" t="s">
        <v>70</v>
      </c>
      <c r="L31" s="81" t="s">
        <v>70</v>
      </c>
      <c r="M31" s="81" t="s">
        <v>70</v>
      </c>
      <c r="N31" s="81" t="s">
        <v>70</v>
      </c>
      <c r="O31" s="81" t="s">
        <v>70</v>
      </c>
      <c r="P31" s="137"/>
    </row>
    <row r="32" spans="1:16" x14ac:dyDescent="0.25">
      <c r="A32" s="136" t="s">
        <v>475</v>
      </c>
      <c r="B32" s="116" t="s">
        <v>476</v>
      </c>
      <c r="C32" s="113" t="s">
        <v>477</v>
      </c>
      <c r="D32" s="114">
        <v>46022</v>
      </c>
      <c r="E32" s="113" t="s">
        <v>433</v>
      </c>
      <c r="F32" s="115">
        <v>200.9</v>
      </c>
      <c r="G32" s="81" t="s">
        <v>70</v>
      </c>
      <c r="H32" s="81" t="s">
        <v>70</v>
      </c>
      <c r="I32" s="81" t="s">
        <v>70</v>
      </c>
      <c r="J32" s="81" t="s">
        <v>70</v>
      </c>
      <c r="K32" s="81" t="s">
        <v>70</v>
      </c>
      <c r="L32" s="81" t="s">
        <v>70</v>
      </c>
      <c r="M32" s="81" t="s">
        <v>70</v>
      </c>
      <c r="N32" s="81" t="s">
        <v>70</v>
      </c>
      <c r="O32" s="81" t="s">
        <v>70</v>
      </c>
      <c r="P32" s="137"/>
    </row>
    <row r="33" spans="1:16" x14ac:dyDescent="0.25">
      <c r="A33" s="136" t="s">
        <v>478</v>
      </c>
      <c r="B33" s="113" t="s">
        <v>479</v>
      </c>
      <c r="C33" s="113" t="s">
        <v>427</v>
      </c>
      <c r="D33" s="114">
        <v>46022</v>
      </c>
      <c r="E33" s="113" t="s">
        <v>433</v>
      </c>
      <c r="F33" s="115">
        <v>200.85</v>
      </c>
      <c r="G33" s="81" t="s">
        <v>70</v>
      </c>
      <c r="H33" s="81" t="s">
        <v>70</v>
      </c>
      <c r="I33" s="81" t="s">
        <v>70</v>
      </c>
      <c r="J33" s="81" t="s">
        <v>70</v>
      </c>
      <c r="K33" s="81" t="s">
        <v>70</v>
      </c>
      <c r="L33" s="81" t="s">
        <v>70</v>
      </c>
      <c r="M33" s="81" t="s">
        <v>70</v>
      </c>
      <c r="N33" s="81" t="s">
        <v>70</v>
      </c>
      <c r="O33" s="81" t="s">
        <v>70</v>
      </c>
      <c r="P33" s="137"/>
    </row>
    <row r="34" spans="1:16" x14ac:dyDescent="0.25">
      <c r="A34" s="136" t="s">
        <v>480</v>
      </c>
      <c r="B34" s="116" t="s">
        <v>481</v>
      </c>
      <c r="C34" s="113" t="s">
        <v>411</v>
      </c>
      <c r="D34" s="114">
        <v>46022</v>
      </c>
      <c r="E34" s="113" t="s">
        <v>433</v>
      </c>
      <c r="F34" s="115">
        <v>204.6</v>
      </c>
      <c r="G34" s="81" t="s">
        <v>70</v>
      </c>
      <c r="H34" s="81" t="s">
        <v>70</v>
      </c>
      <c r="I34" s="81" t="s">
        <v>70</v>
      </c>
      <c r="J34" s="81" t="s">
        <v>70</v>
      </c>
      <c r="K34" s="81" t="s">
        <v>70</v>
      </c>
      <c r="L34" s="81" t="s">
        <v>70</v>
      </c>
      <c r="M34" s="81" t="s">
        <v>70</v>
      </c>
      <c r="N34" s="81" t="s">
        <v>70</v>
      </c>
      <c r="O34" s="81" t="s">
        <v>70</v>
      </c>
      <c r="P34" s="137"/>
    </row>
    <row r="35" spans="1:16" x14ac:dyDescent="0.25">
      <c r="A35" s="136" t="s">
        <v>482</v>
      </c>
      <c r="B35" s="113" t="s">
        <v>483</v>
      </c>
      <c r="C35" s="113" t="s">
        <v>427</v>
      </c>
      <c r="D35" s="114">
        <v>46022</v>
      </c>
      <c r="E35" s="113" t="s">
        <v>404</v>
      </c>
      <c r="F35" s="115">
        <v>205.39</v>
      </c>
      <c r="G35" s="81" t="s">
        <v>70</v>
      </c>
      <c r="H35" s="81" t="s">
        <v>70</v>
      </c>
      <c r="I35" s="81" t="s">
        <v>70</v>
      </c>
      <c r="J35" s="81" t="s">
        <v>70</v>
      </c>
      <c r="K35" s="81" t="s">
        <v>70</v>
      </c>
      <c r="L35" s="81" t="s">
        <v>70</v>
      </c>
      <c r="M35" s="81" t="s">
        <v>70</v>
      </c>
      <c r="N35" s="81" t="s">
        <v>70</v>
      </c>
      <c r="O35" s="81" t="s">
        <v>70</v>
      </c>
      <c r="P35" s="137"/>
    </row>
    <row r="36" spans="1:16" x14ac:dyDescent="0.25">
      <c r="A36" s="136" t="s">
        <v>484</v>
      </c>
      <c r="B36" s="113" t="s">
        <v>485</v>
      </c>
      <c r="C36" s="113" t="s">
        <v>486</v>
      </c>
      <c r="D36" s="114">
        <v>46022</v>
      </c>
      <c r="E36" s="113" t="s">
        <v>404</v>
      </c>
      <c r="F36" s="115">
        <v>150.4</v>
      </c>
      <c r="G36" s="81" t="s">
        <v>70</v>
      </c>
      <c r="H36" s="81" t="s">
        <v>70</v>
      </c>
      <c r="I36" s="81" t="s">
        <v>70</v>
      </c>
      <c r="J36" s="81" t="s">
        <v>70</v>
      </c>
      <c r="K36" s="81" t="s">
        <v>70</v>
      </c>
      <c r="L36" s="81" t="s">
        <v>70</v>
      </c>
      <c r="M36" s="81" t="s">
        <v>70</v>
      </c>
      <c r="N36" s="81" t="s">
        <v>70</v>
      </c>
      <c r="O36" s="81" t="s">
        <v>70</v>
      </c>
      <c r="P36" s="137"/>
    </row>
    <row r="37" spans="1:16" x14ac:dyDescent="0.25">
      <c r="A37" s="136" t="s">
        <v>487</v>
      </c>
      <c r="B37" s="113" t="s">
        <v>488</v>
      </c>
      <c r="C37" s="113" t="s">
        <v>489</v>
      </c>
      <c r="D37" s="114">
        <v>46022</v>
      </c>
      <c r="E37" s="113" t="s">
        <v>404</v>
      </c>
      <c r="F37" s="115">
        <v>102.41</v>
      </c>
      <c r="G37" s="81" t="s">
        <v>70</v>
      </c>
      <c r="H37" s="81" t="s">
        <v>70</v>
      </c>
      <c r="I37" s="81" t="s">
        <v>70</v>
      </c>
      <c r="J37" s="81" t="s">
        <v>70</v>
      </c>
      <c r="K37" s="81" t="s">
        <v>70</v>
      </c>
      <c r="L37" s="81" t="s">
        <v>70</v>
      </c>
      <c r="M37" s="81" t="s">
        <v>70</v>
      </c>
      <c r="N37" s="81" t="s">
        <v>70</v>
      </c>
      <c r="O37" s="81" t="s">
        <v>70</v>
      </c>
      <c r="P37" s="137"/>
    </row>
    <row r="38" spans="1:16" x14ac:dyDescent="0.25">
      <c r="A38" s="136" t="s">
        <v>490</v>
      </c>
      <c r="B38" s="113" t="s">
        <v>491</v>
      </c>
      <c r="C38" s="113" t="s">
        <v>492</v>
      </c>
      <c r="D38" s="114">
        <v>46023</v>
      </c>
      <c r="E38" s="113" t="s">
        <v>433</v>
      </c>
      <c r="F38" s="115">
        <v>201.06</v>
      </c>
      <c r="G38" s="81" t="s">
        <v>70</v>
      </c>
      <c r="H38" s="81" t="s">
        <v>70</v>
      </c>
      <c r="I38" s="81" t="s">
        <v>70</v>
      </c>
      <c r="J38" s="81" t="s">
        <v>70</v>
      </c>
      <c r="K38" s="81" t="s">
        <v>70</v>
      </c>
      <c r="L38" s="81" t="s">
        <v>70</v>
      </c>
      <c r="M38" s="81" t="s">
        <v>70</v>
      </c>
      <c r="N38" s="81" t="s">
        <v>70</v>
      </c>
      <c r="O38" s="81" t="s">
        <v>70</v>
      </c>
      <c r="P38" s="137"/>
    </row>
    <row r="39" spans="1:16" x14ac:dyDescent="0.25">
      <c r="A39" s="136" t="s">
        <v>493</v>
      </c>
      <c r="B39" s="113" t="s">
        <v>494</v>
      </c>
      <c r="C39" s="113" t="s">
        <v>421</v>
      </c>
      <c r="D39" s="114">
        <v>46053</v>
      </c>
      <c r="E39" s="113" t="s">
        <v>404</v>
      </c>
      <c r="F39" s="115">
        <v>54.99</v>
      </c>
      <c r="G39" s="81" t="s">
        <v>70</v>
      </c>
      <c r="H39" s="81" t="s">
        <v>70</v>
      </c>
      <c r="I39" s="81" t="s">
        <v>70</v>
      </c>
      <c r="J39" s="81" t="s">
        <v>70</v>
      </c>
      <c r="K39" s="81" t="s">
        <v>70</v>
      </c>
      <c r="L39" s="81" t="s">
        <v>70</v>
      </c>
      <c r="M39" s="81" t="s">
        <v>70</v>
      </c>
      <c r="N39" s="81" t="s">
        <v>70</v>
      </c>
      <c r="O39" s="81" t="s">
        <v>70</v>
      </c>
      <c r="P39" s="137"/>
    </row>
    <row r="40" spans="1:16" x14ac:dyDescent="0.25">
      <c r="A40" s="136" t="s">
        <v>495</v>
      </c>
      <c r="B40" s="113" t="s">
        <v>496</v>
      </c>
      <c r="C40" s="113" t="s">
        <v>421</v>
      </c>
      <c r="D40" s="114">
        <v>46053</v>
      </c>
      <c r="E40" s="113" t="s">
        <v>404</v>
      </c>
      <c r="F40" s="115">
        <v>105.75</v>
      </c>
      <c r="G40" s="81" t="s">
        <v>70</v>
      </c>
      <c r="H40" s="81" t="s">
        <v>70</v>
      </c>
      <c r="I40" s="81" t="s">
        <v>70</v>
      </c>
      <c r="J40" s="81" t="s">
        <v>70</v>
      </c>
      <c r="K40" s="81" t="s">
        <v>70</v>
      </c>
      <c r="L40" s="81" t="s">
        <v>70</v>
      </c>
      <c r="M40" s="81" t="s">
        <v>70</v>
      </c>
      <c r="N40" s="81" t="s">
        <v>70</v>
      </c>
      <c r="O40" s="81" t="s">
        <v>70</v>
      </c>
      <c r="P40" s="137"/>
    </row>
    <row r="41" spans="1:16" x14ac:dyDescent="0.25">
      <c r="A41" s="136" t="s">
        <v>497</v>
      </c>
      <c r="B41" s="113" t="s">
        <v>498</v>
      </c>
      <c r="C41" s="113" t="s">
        <v>499</v>
      </c>
      <c r="D41" s="114">
        <v>46054</v>
      </c>
      <c r="E41" s="113" t="s">
        <v>404</v>
      </c>
      <c r="F41" s="115">
        <v>207.3</v>
      </c>
      <c r="G41" s="81" t="s">
        <v>70</v>
      </c>
      <c r="H41" s="81" t="s">
        <v>70</v>
      </c>
      <c r="I41" s="81" t="s">
        <v>70</v>
      </c>
      <c r="J41" s="81" t="s">
        <v>70</v>
      </c>
      <c r="K41" s="81" t="s">
        <v>70</v>
      </c>
      <c r="L41" s="81" t="s">
        <v>70</v>
      </c>
      <c r="M41" s="81" t="s">
        <v>70</v>
      </c>
      <c r="N41" s="81" t="s">
        <v>70</v>
      </c>
      <c r="O41" s="81" t="s">
        <v>70</v>
      </c>
      <c r="P41" s="137"/>
    </row>
    <row r="42" spans="1:16" x14ac:dyDescent="0.25">
      <c r="A42" s="138" t="s">
        <v>500</v>
      </c>
      <c r="B42" s="116" t="s">
        <v>501</v>
      </c>
      <c r="C42" s="113" t="s">
        <v>502</v>
      </c>
      <c r="D42" s="114">
        <v>46057</v>
      </c>
      <c r="E42" s="113" t="s">
        <v>433</v>
      </c>
      <c r="F42" s="115">
        <v>30.23</v>
      </c>
      <c r="G42" s="81" t="s">
        <v>70</v>
      </c>
      <c r="H42" s="81" t="s">
        <v>70</v>
      </c>
      <c r="I42" s="81" t="s">
        <v>70</v>
      </c>
      <c r="J42" s="81" t="s">
        <v>70</v>
      </c>
      <c r="K42" s="81" t="s">
        <v>70</v>
      </c>
      <c r="L42" s="81" t="s">
        <v>70</v>
      </c>
      <c r="M42" s="81" t="s">
        <v>70</v>
      </c>
      <c r="N42" s="81" t="s">
        <v>70</v>
      </c>
      <c r="O42" s="81" t="s">
        <v>70</v>
      </c>
      <c r="P42" s="137"/>
    </row>
    <row r="43" spans="1:16" x14ac:dyDescent="0.25">
      <c r="A43" s="136" t="s">
        <v>503</v>
      </c>
      <c r="B43" s="113" t="s">
        <v>504</v>
      </c>
      <c r="C43" s="113" t="s">
        <v>421</v>
      </c>
      <c r="D43" s="114">
        <v>46061</v>
      </c>
      <c r="E43" s="113" t="s">
        <v>404</v>
      </c>
      <c r="F43" s="115">
        <v>77.37</v>
      </c>
      <c r="G43" s="81" t="s">
        <v>70</v>
      </c>
      <c r="H43" s="81" t="s">
        <v>70</v>
      </c>
      <c r="I43" s="81" t="s">
        <v>70</v>
      </c>
      <c r="J43" s="81" t="s">
        <v>70</v>
      </c>
      <c r="K43" s="81" t="s">
        <v>70</v>
      </c>
      <c r="L43" s="81" t="s">
        <v>70</v>
      </c>
      <c r="M43" s="81" t="s">
        <v>70</v>
      </c>
      <c r="N43" s="81" t="s">
        <v>70</v>
      </c>
      <c r="O43" s="81" t="s">
        <v>70</v>
      </c>
      <c r="P43" s="137"/>
    </row>
    <row r="44" spans="1:16" x14ac:dyDescent="0.25">
      <c r="A44" s="136" t="s">
        <v>505</v>
      </c>
      <c r="B44" s="113" t="s">
        <v>506</v>
      </c>
      <c r="C44" s="113" t="s">
        <v>507</v>
      </c>
      <c r="D44" s="114">
        <v>46082</v>
      </c>
      <c r="E44" s="113" t="s">
        <v>433</v>
      </c>
      <c r="F44" s="115">
        <v>311.10000000000002</v>
      </c>
      <c r="G44" s="81" t="s">
        <v>70</v>
      </c>
      <c r="H44" s="81" t="s">
        <v>70</v>
      </c>
      <c r="I44" s="81" t="s">
        <v>70</v>
      </c>
      <c r="J44" s="81" t="s">
        <v>70</v>
      </c>
      <c r="K44" s="81" t="s">
        <v>70</v>
      </c>
      <c r="L44" s="81" t="s">
        <v>70</v>
      </c>
      <c r="M44" s="81" t="s">
        <v>70</v>
      </c>
      <c r="N44" s="81" t="s">
        <v>70</v>
      </c>
      <c r="O44" s="81" t="s">
        <v>70</v>
      </c>
      <c r="P44" s="137"/>
    </row>
    <row r="45" spans="1:16" x14ac:dyDescent="0.25">
      <c r="A45" s="136" t="s">
        <v>508</v>
      </c>
      <c r="B45" s="113" t="s">
        <v>509</v>
      </c>
      <c r="C45" s="113" t="s">
        <v>510</v>
      </c>
      <c r="D45" s="114">
        <v>46082</v>
      </c>
      <c r="E45" s="113" t="s">
        <v>433</v>
      </c>
      <c r="F45" s="115">
        <v>125.81</v>
      </c>
      <c r="G45" s="81" t="s">
        <v>70</v>
      </c>
      <c r="H45" s="81" t="s">
        <v>70</v>
      </c>
      <c r="I45" s="81" t="s">
        <v>70</v>
      </c>
      <c r="J45" s="81" t="s">
        <v>70</v>
      </c>
      <c r="K45" s="81" t="s">
        <v>70</v>
      </c>
      <c r="L45" s="81" t="s">
        <v>70</v>
      </c>
      <c r="M45" s="81" t="s">
        <v>70</v>
      </c>
      <c r="N45" s="81" t="s">
        <v>70</v>
      </c>
      <c r="O45" s="81" t="s">
        <v>70</v>
      </c>
      <c r="P45" s="137"/>
    </row>
    <row r="46" spans="1:16" x14ac:dyDescent="0.25">
      <c r="A46" s="136" t="s">
        <v>511</v>
      </c>
      <c r="B46" s="113" t="s">
        <v>512</v>
      </c>
      <c r="C46" s="113" t="s">
        <v>513</v>
      </c>
      <c r="D46" s="114">
        <v>46092</v>
      </c>
      <c r="E46" s="113" t="s">
        <v>404</v>
      </c>
      <c r="F46" s="115">
        <v>101.2</v>
      </c>
      <c r="G46" s="81" t="s">
        <v>70</v>
      </c>
      <c r="H46" s="81" t="s">
        <v>70</v>
      </c>
      <c r="I46" s="81" t="s">
        <v>70</v>
      </c>
      <c r="J46" s="81" t="s">
        <v>70</v>
      </c>
      <c r="K46" s="81" t="s">
        <v>70</v>
      </c>
      <c r="L46" s="81" t="s">
        <v>70</v>
      </c>
      <c r="M46" s="81" t="s">
        <v>70</v>
      </c>
      <c r="N46" s="81" t="s">
        <v>70</v>
      </c>
      <c r="O46" s="81" t="s">
        <v>70</v>
      </c>
      <c r="P46" s="137"/>
    </row>
    <row r="47" spans="1:16" x14ac:dyDescent="0.25">
      <c r="A47" s="139" t="s">
        <v>514</v>
      </c>
      <c r="B47" s="117" t="s">
        <v>515</v>
      </c>
      <c r="C47" s="113" t="s">
        <v>516</v>
      </c>
      <c r="D47" s="114">
        <v>46095</v>
      </c>
      <c r="E47" s="113" t="s">
        <v>404</v>
      </c>
      <c r="F47" s="115">
        <v>125.36</v>
      </c>
      <c r="G47" s="81" t="s">
        <v>70</v>
      </c>
      <c r="H47" s="81" t="s">
        <v>70</v>
      </c>
      <c r="I47" s="81" t="s">
        <v>70</v>
      </c>
      <c r="J47" s="81" t="s">
        <v>70</v>
      </c>
      <c r="K47" s="81" t="s">
        <v>70</v>
      </c>
      <c r="L47" s="81" t="s">
        <v>70</v>
      </c>
      <c r="M47" s="81" t="s">
        <v>70</v>
      </c>
      <c r="N47" s="81" t="s">
        <v>70</v>
      </c>
      <c r="O47" s="81" t="s">
        <v>70</v>
      </c>
      <c r="P47" s="137"/>
    </row>
    <row r="48" spans="1:16" x14ac:dyDescent="0.25">
      <c r="A48" s="136" t="s">
        <v>517</v>
      </c>
      <c r="B48" s="113" t="s">
        <v>518</v>
      </c>
      <c r="C48" s="113" t="s">
        <v>443</v>
      </c>
      <c r="D48" s="114">
        <v>46112</v>
      </c>
      <c r="E48" s="113" t="s">
        <v>433</v>
      </c>
      <c r="F48" s="115">
        <v>335.45</v>
      </c>
      <c r="G48" s="81" t="s">
        <v>70</v>
      </c>
      <c r="H48" s="81" t="s">
        <v>70</v>
      </c>
      <c r="I48" s="81" t="s">
        <v>70</v>
      </c>
      <c r="J48" s="81" t="s">
        <v>70</v>
      </c>
      <c r="K48" s="81" t="s">
        <v>70</v>
      </c>
      <c r="L48" s="81" t="s">
        <v>70</v>
      </c>
      <c r="M48" s="81" t="s">
        <v>70</v>
      </c>
      <c r="N48" s="81" t="s">
        <v>70</v>
      </c>
      <c r="O48" s="81" t="s">
        <v>70</v>
      </c>
      <c r="P48" s="137"/>
    </row>
    <row r="49" spans="1:18" x14ac:dyDescent="0.25">
      <c r="A49" s="136" t="s">
        <v>519</v>
      </c>
      <c r="B49" s="113" t="s">
        <v>520</v>
      </c>
      <c r="C49" s="113" t="s">
        <v>427</v>
      </c>
      <c r="D49" s="114">
        <v>46112</v>
      </c>
      <c r="E49" s="113" t="s">
        <v>404</v>
      </c>
      <c r="F49" s="115">
        <v>205.46</v>
      </c>
      <c r="G49" s="81" t="s">
        <v>70</v>
      </c>
      <c r="H49" s="81" t="s">
        <v>70</v>
      </c>
      <c r="I49" s="81" t="s">
        <v>70</v>
      </c>
      <c r="J49" s="81" t="s">
        <v>70</v>
      </c>
      <c r="K49" s="81" t="s">
        <v>70</v>
      </c>
      <c r="L49" s="81" t="s">
        <v>70</v>
      </c>
      <c r="M49" s="81" t="s">
        <v>70</v>
      </c>
      <c r="N49" s="81" t="s">
        <v>70</v>
      </c>
      <c r="O49" s="81" t="s">
        <v>70</v>
      </c>
      <c r="P49" s="137"/>
    </row>
    <row r="50" spans="1:18" x14ac:dyDescent="0.25">
      <c r="A50" s="136" t="s">
        <v>521</v>
      </c>
      <c r="B50" s="113" t="s">
        <v>522</v>
      </c>
      <c r="C50" s="113" t="s">
        <v>523</v>
      </c>
      <c r="D50" s="114">
        <v>46112</v>
      </c>
      <c r="E50" s="113" t="s">
        <v>404</v>
      </c>
      <c r="F50" s="115">
        <v>154.19999999999999</v>
      </c>
      <c r="G50" s="81" t="s">
        <v>70</v>
      </c>
      <c r="H50" s="81" t="s">
        <v>70</v>
      </c>
      <c r="I50" s="81" t="s">
        <v>70</v>
      </c>
      <c r="J50" s="81" t="s">
        <v>70</v>
      </c>
      <c r="K50" s="81" t="s">
        <v>70</v>
      </c>
      <c r="L50" s="81" t="s">
        <v>70</v>
      </c>
      <c r="M50" s="81" t="s">
        <v>70</v>
      </c>
      <c r="N50" s="81" t="s">
        <v>70</v>
      </c>
      <c r="O50" s="81" t="s">
        <v>70</v>
      </c>
      <c r="P50" s="137"/>
    </row>
    <row r="51" spans="1:18" x14ac:dyDescent="0.25">
      <c r="A51" s="136" t="s">
        <v>524</v>
      </c>
      <c r="B51" s="116" t="s">
        <v>525</v>
      </c>
      <c r="C51" s="113" t="s">
        <v>427</v>
      </c>
      <c r="D51" s="114">
        <v>46113</v>
      </c>
      <c r="E51" s="113" t="s">
        <v>433</v>
      </c>
      <c r="F51" s="115">
        <v>120.7</v>
      </c>
      <c r="G51" s="81" t="s">
        <v>70</v>
      </c>
      <c r="H51" s="81" t="s">
        <v>70</v>
      </c>
      <c r="I51" s="81" t="s">
        <v>70</v>
      </c>
      <c r="J51" s="81" t="s">
        <v>70</v>
      </c>
      <c r="K51" s="81" t="s">
        <v>70</v>
      </c>
      <c r="L51" s="81" t="s">
        <v>70</v>
      </c>
      <c r="M51" s="81" t="s">
        <v>70</v>
      </c>
      <c r="N51" s="81" t="s">
        <v>70</v>
      </c>
      <c r="O51" s="81" t="s">
        <v>70</v>
      </c>
      <c r="P51" s="137"/>
    </row>
    <row r="52" spans="1:18" x14ac:dyDescent="0.25">
      <c r="A52" s="139" t="s">
        <v>526</v>
      </c>
      <c r="B52" s="117" t="s">
        <v>527</v>
      </c>
      <c r="C52" s="113" t="s">
        <v>528</v>
      </c>
      <c r="D52" s="114">
        <v>46113</v>
      </c>
      <c r="E52" s="113" t="s">
        <v>433</v>
      </c>
      <c r="F52" s="115">
        <v>178</v>
      </c>
      <c r="G52" s="81" t="s">
        <v>70</v>
      </c>
      <c r="H52" s="81" t="s">
        <v>70</v>
      </c>
      <c r="I52" s="81" t="s">
        <v>70</v>
      </c>
      <c r="J52" s="81" t="s">
        <v>70</v>
      </c>
      <c r="K52" s="81" t="s">
        <v>70</v>
      </c>
      <c r="L52" s="81" t="s">
        <v>70</v>
      </c>
      <c r="M52" s="81" t="s">
        <v>70</v>
      </c>
      <c r="N52" s="81" t="s">
        <v>70</v>
      </c>
      <c r="O52" s="81" t="s">
        <v>70</v>
      </c>
      <c r="P52" s="137" t="s">
        <v>529</v>
      </c>
    </row>
    <row r="53" spans="1:18" x14ac:dyDescent="0.25">
      <c r="A53" s="136" t="s">
        <v>530</v>
      </c>
      <c r="B53" s="113" t="s">
        <v>531</v>
      </c>
      <c r="C53" s="113" t="s">
        <v>439</v>
      </c>
      <c r="D53" s="114">
        <v>46113</v>
      </c>
      <c r="E53" s="113" t="s">
        <v>433</v>
      </c>
      <c r="F53" s="115">
        <v>186.83</v>
      </c>
      <c r="G53" s="81" t="s">
        <v>70</v>
      </c>
      <c r="H53" s="81" t="s">
        <v>70</v>
      </c>
      <c r="I53" s="81" t="s">
        <v>70</v>
      </c>
      <c r="J53" s="81" t="s">
        <v>70</v>
      </c>
      <c r="K53" s="81" t="s">
        <v>70</v>
      </c>
      <c r="L53" s="81" t="s">
        <v>70</v>
      </c>
      <c r="M53" s="81" t="s">
        <v>70</v>
      </c>
      <c r="N53" s="81" t="s">
        <v>70</v>
      </c>
      <c r="O53" s="81" t="s">
        <v>70</v>
      </c>
      <c r="P53" s="137" t="s">
        <v>440</v>
      </c>
    </row>
    <row r="54" spans="1:18" x14ac:dyDescent="0.25">
      <c r="A54" s="139" t="s">
        <v>532</v>
      </c>
      <c r="B54" s="117" t="s">
        <v>533</v>
      </c>
      <c r="C54" s="113" t="s">
        <v>534</v>
      </c>
      <c r="D54" s="114">
        <v>46116</v>
      </c>
      <c r="E54" s="113" t="s">
        <v>404</v>
      </c>
      <c r="F54" s="115">
        <v>102.82</v>
      </c>
      <c r="G54" s="81" t="s">
        <v>70</v>
      </c>
      <c r="H54" s="81" t="s">
        <v>70</v>
      </c>
      <c r="I54" s="81" t="s">
        <v>70</v>
      </c>
      <c r="J54" s="81" t="s">
        <v>70</v>
      </c>
      <c r="K54" s="81" t="s">
        <v>70</v>
      </c>
      <c r="L54" s="81" t="s">
        <v>70</v>
      </c>
      <c r="M54" s="81" t="s">
        <v>70</v>
      </c>
      <c r="N54" s="81" t="s">
        <v>70</v>
      </c>
      <c r="O54" s="81" t="s">
        <v>70</v>
      </c>
      <c r="P54" s="137"/>
    </row>
    <row r="55" spans="1:18" x14ac:dyDescent="0.25">
      <c r="A55" s="138" t="s">
        <v>535</v>
      </c>
      <c r="B55" s="116" t="s">
        <v>536</v>
      </c>
      <c r="C55" s="113" t="s">
        <v>537</v>
      </c>
      <c r="D55" s="114">
        <v>46119</v>
      </c>
      <c r="E55" s="113" t="s">
        <v>415</v>
      </c>
      <c r="F55" s="115">
        <v>188.4</v>
      </c>
      <c r="G55" s="81" t="s">
        <v>70</v>
      </c>
      <c r="H55" s="81" t="s">
        <v>70</v>
      </c>
      <c r="I55" s="81" t="s">
        <v>70</v>
      </c>
      <c r="J55" s="81" t="s">
        <v>70</v>
      </c>
      <c r="K55" s="81" t="s">
        <v>70</v>
      </c>
      <c r="L55" s="81" t="s">
        <v>70</v>
      </c>
      <c r="M55" s="81" t="s">
        <v>70</v>
      </c>
      <c r="N55" s="81" t="s">
        <v>70</v>
      </c>
      <c r="O55" s="81" t="s">
        <v>70</v>
      </c>
      <c r="P55" s="137"/>
    </row>
    <row r="56" spans="1:18" x14ac:dyDescent="0.25">
      <c r="A56" s="139" t="s">
        <v>538</v>
      </c>
      <c r="B56" s="117" t="s">
        <v>539</v>
      </c>
      <c r="C56" s="113" t="s">
        <v>477</v>
      </c>
      <c r="D56" s="114">
        <v>46128</v>
      </c>
      <c r="E56" s="113" t="s">
        <v>433</v>
      </c>
      <c r="F56" s="115">
        <v>190.18</v>
      </c>
      <c r="G56" s="81" t="s">
        <v>70</v>
      </c>
      <c r="H56" s="81" t="s">
        <v>70</v>
      </c>
      <c r="I56" s="81" t="s">
        <v>70</v>
      </c>
      <c r="J56" s="81" t="s">
        <v>70</v>
      </c>
      <c r="K56" s="81" t="s">
        <v>70</v>
      </c>
      <c r="L56" s="81" t="s">
        <v>70</v>
      </c>
      <c r="M56" s="81" t="s">
        <v>70</v>
      </c>
      <c r="N56" s="81" t="s">
        <v>70</v>
      </c>
      <c r="O56" s="81" t="s">
        <v>70</v>
      </c>
      <c r="P56" s="137"/>
      <c r="Q56" s="121"/>
      <c r="R56" s="122"/>
    </row>
    <row r="57" spans="1:18" x14ac:dyDescent="0.25">
      <c r="A57" s="136" t="s">
        <v>540</v>
      </c>
      <c r="B57" s="113" t="s">
        <v>541</v>
      </c>
      <c r="C57" s="113" t="s">
        <v>542</v>
      </c>
      <c r="D57" s="114">
        <v>46141</v>
      </c>
      <c r="E57" s="113" t="s">
        <v>433</v>
      </c>
      <c r="F57" s="115">
        <v>124.65</v>
      </c>
      <c r="G57" s="81" t="s">
        <v>70</v>
      </c>
      <c r="H57" s="81" t="s">
        <v>70</v>
      </c>
      <c r="I57" s="81" t="s">
        <v>70</v>
      </c>
      <c r="J57" s="81" t="s">
        <v>70</v>
      </c>
      <c r="K57" s="81" t="s">
        <v>70</v>
      </c>
      <c r="L57" s="81" t="s">
        <v>70</v>
      </c>
      <c r="M57" s="81" t="s">
        <v>70</v>
      </c>
      <c r="N57" s="81" t="s">
        <v>70</v>
      </c>
      <c r="O57" s="81" t="s">
        <v>70</v>
      </c>
      <c r="P57" s="137"/>
      <c r="Q57" s="121"/>
      <c r="R57" s="122"/>
    </row>
    <row r="58" spans="1:18" x14ac:dyDescent="0.25">
      <c r="A58" s="136" t="s">
        <v>543</v>
      </c>
      <c r="B58" s="113" t="s">
        <v>544</v>
      </c>
      <c r="C58" s="113" t="s">
        <v>414</v>
      </c>
      <c r="D58" s="114">
        <v>46143</v>
      </c>
      <c r="E58" s="113" t="s">
        <v>415</v>
      </c>
      <c r="F58" s="115">
        <v>422</v>
      </c>
      <c r="G58" s="81" t="s">
        <v>70</v>
      </c>
      <c r="H58" s="81" t="s">
        <v>70</v>
      </c>
      <c r="I58" s="81" t="s">
        <v>70</v>
      </c>
      <c r="J58" s="81" t="s">
        <v>70</v>
      </c>
      <c r="K58" s="81" t="s">
        <v>70</v>
      </c>
      <c r="L58" s="81" t="s">
        <v>70</v>
      </c>
      <c r="M58" s="81" t="s">
        <v>70</v>
      </c>
      <c r="N58" s="81" t="s">
        <v>70</v>
      </c>
      <c r="O58" s="81" t="s">
        <v>70</v>
      </c>
      <c r="P58" s="137"/>
    </row>
    <row r="59" spans="1:18" x14ac:dyDescent="0.25">
      <c r="A59" s="136" t="s">
        <v>545</v>
      </c>
      <c r="B59" s="116" t="s">
        <v>546</v>
      </c>
      <c r="C59" s="113" t="s">
        <v>547</v>
      </c>
      <c r="D59" s="114">
        <v>46143</v>
      </c>
      <c r="E59" s="113" t="s">
        <v>415</v>
      </c>
      <c r="F59" s="115">
        <v>214.8</v>
      </c>
      <c r="G59" s="81" t="s">
        <v>70</v>
      </c>
      <c r="H59" s="81" t="s">
        <v>70</v>
      </c>
      <c r="I59" s="81" t="s">
        <v>70</v>
      </c>
      <c r="J59" s="81" t="s">
        <v>70</v>
      </c>
      <c r="K59" s="81" t="s">
        <v>70</v>
      </c>
      <c r="L59" s="81" t="s">
        <v>70</v>
      </c>
      <c r="M59" s="81" t="s">
        <v>70</v>
      </c>
      <c r="N59" s="81" t="s">
        <v>70</v>
      </c>
      <c r="O59" s="81" t="s">
        <v>70</v>
      </c>
      <c r="P59" s="137"/>
    </row>
    <row r="60" spans="1:18" ht="15" customHeight="1" x14ac:dyDescent="0.25">
      <c r="A60" s="138" t="s">
        <v>548</v>
      </c>
      <c r="B60" s="169" t="s">
        <v>549</v>
      </c>
      <c r="C60" s="113" t="s">
        <v>547</v>
      </c>
      <c r="D60" s="114">
        <v>46143</v>
      </c>
      <c r="E60" s="113" t="s">
        <v>415</v>
      </c>
      <c r="F60" s="115">
        <v>214.8</v>
      </c>
      <c r="G60" s="81" t="s">
        <v>70</v>
      </c>
      <c r="H60" s="81" t="s">
        <v>70</v>
      </c>
      <c r="I60" s="81" t="s">
        <v>70</v>
      </c>
      <c r="J60" s="81" t="s">
        <v>70</v>
      </c>
      <c r="K60" s="81" t="s">
        <v>70</v>
      </c>
      <c r="L60" s="81" t="s">
        <v>70</v>
      </c>
      <c r="M60" s="81" t="s">
        <v>70</v>
      </c>
      <c r="N60" s="81" t="s">
        <v>70</v>
      </c>
      <c r="O60" s="81" t="s">
        <v>70</v>
      </c>
      <c r="P60" s="137"/>
    </row>
    <row r="61" spans="1:18" x14ac:dyDescent="0.25">
      <c r="A61" s="139" t="s">
        <v>550</v>
      </c>
      <c r="B61" s="117" t="s">
        <v>551</v>
      </c>
      <c r="C61" s="113" t="s">
        <v>427</v>
      </c>
      <c r="D61" s="114">
        <v>46143</v>
      </c>
      <c r="E61" s="113" t="s">
        <v>404</v>
      </c>
      <c r="F61" s="115">
        <v>257.48</v>
      </c>
      <c r="G61" s="81" t="s">
        <v>70</v>
      </c>
      <c r="H61" s="81" t="s">
        <v>70</v>
      </c>
      <c r="I61" s="81" t="s">
        <v>70</v>
      </c>
      <c r="J61" s="81" t="s">
        <v>70</v>
      </c>
      <c r="K61" s="81" t="s">
        <v>70</v>
      </c>
      <c r="L61" s="81" t="s">
        <v>70</v>
      </c>
      <c r="M61" s="81" t="s">
        <v>70</v>
      </c>
      <c r="N61" s="81" t="s">
        <v>70</v>
      </c>
      <c r="O61" s="81" t="s">
        <v>70</v>
      </c>
      <c r="P61" s="137"/>
    </row>
    <row r="62" spans="1:18" x14ac:dyDescent="0.25">
      <c r="A62" s="138" t="s">
        <v>552</v>
      </c>
      <c r="B62" s="116" t="s">
        <v>553</v>
      </c>
      <c r="C62" s="113" t="s">
        <v>554</v>
      </c>
      <c r="D62" s="114">
        <v>46144</v>
      </c>
      <c r="E62" s="113" t="s">
        <v>433</v>
      </c>
      <c r="F62" s="115">
        <v>170.82</v>
      </c>
      <c r="G62" s="81" t="s">
        <v>70</v>
      </c>
      <c r="H62" s="81" t="s">
        <v>70</v>
      </c>
      <c r="I62" s="81" t="s">
        <v>70</v>
      </c>
      <c r="J62" s="81" t="s">
        <v>70</v>
      </c>
      <c r="K62" s="81" t="s">
        <v>70</v>
      </c>
      <c r="L62" s="81" t="s">
        <v>70</v>
      </c>
      <c r="M62" s="81" t="s">
        <v>70</v>
      </c>
      <c r="N62" s="81" t="s">
        <v>70</v>
      </c>
      <c r="O62" s="81" t="s">
        <v>70</v>
      </c>
      <c r="P62" s="137"/>
    </row>
    <row r="63" spans="1:18" x14ac:dyDescent="0.25">
      <c r="A63" s="136" t="s">
        <v>555</v>
      </c>
      <c r="B63" s="113" t="s">
        <v>556</v>
      </c>
      <c r="C63" s="113" t="s">
        <v>554</v>
      </c>
      <c r="D63" s="114">
        <v>46144</v>
      </c>
      <c r="E63" s="113" t="s">
        <v>404</v>
      </c>
      <c r="F63" s="115">
        <v>52.29</v>
      </c>
      <c r="G63" s="81" t="s">
        <v>70</v>
      </c>
      <c r="H63" s="81" t="s">
        <v>70</v>
      </c>
      <c r="I63" s="81" t="s">
        <v>70</v>
      </c>
      <c r="J63" s="81" t="s">
        <v>70</v>
      </c>
      <c r="K63" s="81" t="s">
        <v>70</v>
      </c>
      <c r="L63" s="81" t="s">
        <v>70</v>
      </c>
      <c r="M63" s="81" t="s">
        <v>70</v>
      </c>
      <c r="N63" s="81" t="s">
        <v>70</v>
      </c>
      <c r="O63" s="81" t="s">
        <v>70</v>
      </c>
      <c r="P63" s="137"/>
    </row>
    <row r="64" spans="1:18" x14ac:dyDescent="0.25">
      <c r="A64" s="136" t="s">
        <v>557</v>
      </c>
      <c r="B64" s="113" t="s">
        <v>558</v>
      </c>
      <c r="C64" s="113" t="s">
        <v>516</v>
      </c>
      <c r="D64" s="114">
        <v>46157</v>
      </c>
      <c r="E64" s="113" t="s">
        <v>404</v>
      </c>
      <c r="F64" s="115">
        <v>200.78</v>
      </c>
      <c r="G64" s="81" t="s">
        <v>70</v>
      </c>
      <c r="H64" s="81" t="s">
        <v>70</v>
      </c>
      <c r="I64" s="81" t="s">
        <v>70</v>
      </c>
      <c r="J64" s="81" t="s">
        <v>70</v>
      </c>
      <c r="K64" s="81" t="s">
        <v>70</v>
      </c>
      <c r="L64" s="81" t="s">
        <v>70</v>
      </c>
      <c r="M64" s="81" t="s">
        <v>70</v>
      </c>
      <c r="N64" s="81" t="s">
        <v>70</v>
      </c>
      <c r="O64" s="81" t="s">
        <v>70</v>
      </c>
      <c r="P64" s="137"/>
    </row>
    <row r="65" spans="1:18" x14ac:dyDescent="0.25">
      <c r="A65" s="136" t="s">
        <v>559</v>
      </c>
      <c r="B65" s="113" t="s">
        <v>560</v>
      </c>
      <c r="C65" s="113" t="s">
        <v>499</v>
      </c>
      <c r="D65" s="114">
        <v>46174</v>
      </c>
      <c r="E65" s="113" t="s">
        <v>404</v>
      </c>
      <c r="F65" s="115">
        <v>255.33</v>
      </c>
      <c r="G65" s="81" t="s">
        <v>70</v>
      </c>
      <c r="H65" s="81" t="s">
        <v>70</v>
      </c>
      <c r="I65" s="81" t="s">
        <v>70</v>
      </c>
      <c r="J65" s="81" t="s">
        <v>70</v>
      </c>
      <c r="K65" s="81" t="s">
        <v>70</v>
      </c>
      <c r="L65" s="81" t="s">
        <v>70</v>
      </c>
      <c r="M65" s="81" t="s">
        <v>70</v>
      </c>
      <c r="N65" s="81" t="s">
        <v>70</v>
      </c>
      <c r="O65" s="81" t="s">
        <v>70</v>
      </c>
      <c r="P65" s="137"/>
    </row>
    <row r="66" spans="1:18" x14ac:dyDescent="0.25">
      <c r="A66" s="136" t="s">
        <v>561</v>
      </c>
      <c r="B66" s="113" t="s">
        <v>562</v>
      </c>
      <c r="C66" s="113" t="s">
        <v>523</v>
      </c>
      <c r="D66" s="114">
        <v>46174</v>
      </c>
      <c r="E66" s="113" t="s">
        <v>404</v>
      </c>
      <c r="F66" s="115">
        <v>251.4</v>
      </c>
      <c r="G66" s="81" t="s">
        <v>70</v>
      </c>
      <c r="H66" s="81" t="s">
        <v>70</v>
      </c>
      <c r="I66" s="81" t="s">
        <v>70</v>
      </c>
      <c r="J66" s="81" t="s">
        <v>70</v>
      </c>
      <c r="K66" s="81" t="s">
        <v>70</v>
      </c>
      <c r="L66" s="81" t="s">
        <v>70</v>
      </c>
      <c r="M66" s="81" t="s">
        <v>70</v>
      </c>
      <c r="N66" s="81" t="s">
        <v>70</v>
      </c>
      <c r="O66" s="81" t="s">
        <v>70</v>
      </c>
      <c r="P66" s="137"/>
    </row>
    <row r="67" spans="1:18" x14ac:dyDescent="0.25">
      <c r="A67" s="136" t="s">
        <v>563</v>
      </c>
      <c r="B67" s="113" t="s">
        <v>564</v>
      </c>
      <c r="C67" s="113" t="s">
        <v>414</v>
      </c>
      <c r="D67" s="114">
        <v>46176</v>
      </c>
      <c r="E67" s="113" t="s">
        <v>404</v>
      </c>
      <c r="F67" s="115">
        <v>164.6</v>
      </c>
      <c r="G67" s="81" t="s">
        <v>70</v>
      </c>
      <c r="H67" s="81" t="s">
        <v>70</v>
      </c>
      <c r="I67" s="81" t="s">
        <v>70</v>
      </c>
      <c r="J67" s="81" t="s">
        <v>70</v>
      </c>
      <c r="K67" s="81" t="s">
        <v>70</v>
      </c>
      <c r="L67" s="81" t="s">
        <v>70</v>
      </c>
      <c r="M67" s="81" t="s">
        <v>70</v>
      </c>
      <c r="N67" s="81" t="s">
        <v>70</v>
      </c>
      <c r="O67" s="81" t="s">
        <v>70</v>
      </c>
      <c r="P67" s="137"/>
    </row>
    <row r="68" spans="1:18" x14ac:dyDescent="0.25">
      <c r="A68" s="136" t="s">
        <v>565</v>
      </c>
      <c r="B68" s="113" t="s">
        <v>566</v>
      </c>
      <c r="C68" s="113" t="s">
        <v>567</v>
      </c>
      <c r="D68" s="114">
        <v>46203</v>
      </c>
      <c r="E68" s="113" t="s">
        <v>433</v>
      </c>
      <c r="F68" s="115">
        <v>180.87</v>
      </c>
      <c r="G68" s="81" t="s">
        <v>70</v>
      </c>
      <c r="H68" s="81" t="s">
        <v>70</v>
      </c>
      <c r="I68" s="81" t="s">
        <v>70</v>
      </c>
      <c r="J68" s="81" t="s">
        <v>70</v>
      </c>
      <c r="K68" s="81" t="s">
        <v>70</v>
      </c>
      <c r="L68" s="81" t="s">
        <v>70</v>
      </c>
      <c r="M68" s="81" t="s">
        <v>70</v>
      </c>
      <c r="N68" s="81" t="s">
        <v>70</v>
      </c>
      <c r="O68" s="81" t="s">
        <v>70</v>
      </c>
      <c r="P68" s="137"/>
    </row>
    <row r="69" spans="1:18" x14ac:dyDescent="0.25">
      <c r="A69" s="136" t="s">
        <v>568</v>
      </c>
      <c r="B69" s="113" t="s">
        <v>569</v>
      </c>
      <c r="C69" s="113" t="s">
        <v>570</v>
      </c>
      <c r="D69" s="114">
        <v>46203</v>
      </c>
      <c r="E69" s="113" t="s">
        <v>433</v>
      </c>
      <c r="F69" s="115">
        <v>61.1</v>
      </c>
      <c r="G69" s="81" t="s">
        <v>70</v>
      </c>
      <c r="H69" s="81" t="s">
        <v>70</v>
      </c>
      <c r="I69" s="81" t="s">
        <v>70</v>
      </c>
      <c r="J69" s="81" t="s">
        <v>70</v>
      </c>
      <c r="K69" s="81" t="s">
        <v>70</v>
      </c>
      <c r="L69" s="81" t="s">
        <v>70</v>
      </c>
      <c r="M69" s="81" t="s">
        <v>70</v>
      </c>
      <c r="N69" s="81" t="s">
        <v>70</v>
      </c>
      <c r="O69" s="81" t="s">
        <v>70</v>
      </c>
      <c r="P69" s="137"/>
    </row>
    <row r="70" spans="1:18" x14ac:dyDescent="0.25">
      <c r="A70" s="136" t="s">
        <v>571</v>
      </c>
      <c r="B70" s="113" t="s">
        <v>572</v>
      </c>
      <c r="C70" s="113" t="s">
        <v>570</v>
      </c>
      <c r="D70" s="114">
        <v>46203</v>
      </c>
      <c r="E70" s="113" t="s">
        <v>404</v>
      </c>
      <c r="F70" s="115">
        <v>61.47</v>
      </c>
      <c r="G70" s="81" t="s">
        <v>70</v>
      </c>
      <c r="H70" s="81" t="s">
        <v>70</v>
      </c>
      <c r="I70" s="81" t="s">
        <v>70</v>
      </c>
      <c r="J70" s="81" t="s">
        <v>70</v>
      </c>
      <c r="K70" s="81" t="s">
        <v>70</v>
      </c>
      <c r="L70" s="81" t="s">
        <v>70</v>
      </c>
      <c r="M70" s="81" t="s">
        <v>70</v>
      </c>
      <c r="N70" s="81" t="s">
        <v>70</v>
      </c>
      <c r="O70" s="81" t="s">
        <v>70</v>
      </c>
      <c r="P70" s="137"/>
    </row>
    <row r="71" spans="1:18" x14ac:dyDescent="0.25">
      <c r="A71" s="139" t="s">
        <v>573</v>
      </c>
      <c r="B71" s="117" t="s">
        <v>574</v>
      </c>
      <c r="C71" s="113" t="s">
        <v>575</v>
      </c>
      <c r="D71" s="114">
        <v>46203</v>
      </c>
      <c r="E71" s="113" t="s">
        <v>433</v>
      </c>
      <c r="F71" s="115">
        <v>252</v>
      </c>
      <c r="G71" s="81" t="s">
        <v>70</v>
      </c>
      <c r="H71" s="81" t="s">
        <v>70</v>
      </c>
      <c r="I71" s="81" t="s">
        <v>70</v>
      </c>
      <c r="J71" s="81" t="s">
        <v>70</v>
      </c>
      <c r="K71" s="81" t="s">
        <v>70</v>
      </c>
      <c r="L71" s="81" t="s">
        <v>70</v>
      </c>
      <c r="M71" s="81" t="s">
        <v>70</v>
      </c>
      <c r="N71" s="81" t="s">
        <v>70</v>
      </c>
      <c r="O71" s="81" t="s">
        <v>70</v>
      </c>
      <c r="P71" s="137"/>
    </row>
    <row r="72" spans="1:18" x14ac:dyDescent="0.25">
      <c r="A72" s="139" t="s">
        <v>576</v>
      </c>
      <c r="B72" s="117" t="s">
        <v>577</v>
      </c>
      <c r="C72" s="113" t="s">
        <v>414</v>
      </c>
      <c r="D72" s="114">
        <v>46204</v>
      </c>
      <c r="E72" s="113" t="s">
        <v>404</v>
      </c>
      <c r="F72" s="115">
        <v>203.2</v>
      </c>
      <c r="G72" s="81" t="s">
        <v>70</v>
      </c>
      <c r="H72" s="81" t="s">
        <v>70</v>
      </c>
      <c r="I72" s="81" t="s">
        <v>70</v>
      </c>
      <c r="J72" s="81" t="s">
        <v>70</v>
      </c>
      <c r="K72" s="81" t="s">
        <v>70</v>
      </c>
      <c r="L72" s="81" t="s">
        <v>70</v>
      </c>
      <c r="M72" s="81" t="s">
        <v>70</v>
      </c>
      <c r="N72" s="81" t="s">
        <v>70</v>
      </c>
      <c r="O72" s="81" t="s">
        <v>70</v>
      </c>
      <c r="P72" s="137"/>
    </row>
    <row r="73" spans="1:18" x14ac:dyDescent="0.25">
      <c r="A73" s="139" t="s">
        <v>578</v>
      </c>
      <c r="B73" s="117" t="s">
        <v>579</v>
      </c>
      <c r="C73" s="113" t="s">
        <v>580</v>
      </c>
      <c r="D73" s="114">
        <v>46204</v>
      </c>
      <c r="E73" s="113" t="s">
        <v>404</v>
      </c>
      <c r="F73" s="115">
        <v>100</v>
      </c>
      <c r="G73" s="81" t="s">
        <v>70</v>
      </c>
      <c r="H73" s="81" t="s">
        <v>70</v>
      </c>
      <c r="I73" s="81" t="s">
        <v>70</v>
      </c>
      <c r="J73" s="81" t="s">
        <v>70</v>
      </c>
      <c r="K73" s="81" t="s">
        <v>70</v>
      </c>
      <c r="L73" s="81" t="s">
        <v>70</v>
      </c>
      <c r="M73" s="81" t="s">
        <v>70</v>
      </c>
      <c r="N73" s="81" t="s">
        <v>70</v>
      </c>
      <c r="O73" s="81" t="s">
        <v>70</v>
      </c>
      <c r="P73" s="137"/>
    </row>
    <row r="74" spans="1:18" x14ac:dyDescent="0.25">
      <c r="A74" s="138" t="s">
        <v>581</v>
      </c>
      <c r="B74" s="116" t="s">
        <v>582</v>
      </c>
      <c r="C74" s="113" t="s">
        <v>583</v>
      </c>
      <c r="D74" s="114">
        <v>46204</v>
      </c>
      <c r="E74" s="113" t="s">
        <v>433</v>
      </c>
      <c r="F74" s="115">
        <v>210.11</v>
      </c>
      <c r="G74" s="81" t="s">
        <v>70</v>
      </c>
      <c r="H74" s="81" t="s">
        <v>70</v>
      </c>
      <c r="I74" s="81" t="s">
        <v>70</v>
      </c>
      <c r="J74" s="81" t="s">
        <v>70</v>
      </c>
      <c r="K74" s="81" t="s">
        <v>70</v>
      </c>
      <c r="L74" s="81" t="s">
        <v>70</v>
      </c>
      <c r="M74" s="81" t="s">
        <v>70</v>
      </c>
      <c r="N74" s="81" t="s">
        <v>70</v>
      </c>
      <c r="O74" s="81" t="s">
        <v>70</v>
      </c>
      <c r="P74" s="137"/>
      <c r="Q74" s="121"/>
      <c r="R74" s="122"/>
    </row>
    <row r="75" spans="1:18" x14ac:dyDescent="0.25">
      <c r="A75" s="136" t="s">
        <v>584</v>
      </c>
      <c r="B75" s="113" t="s">
        <v>585</v>
      </c>
      <c r="C75" s="113" t="s">
        <v>477</v>
      </c>
      <c r="D75" s="114">
        <v>46235</v>
      </c>
      <c r="E75" s="113" t="s">
        <v>404</v>
      </c>
      <c r="F75" s="115">
        <v>150.6</v>
      </c>
      <c r="G75" s="81" t="s">
        <v>70</v>
      </c>
      <c r="H75" s="81" t="s">
        <v>70</v>
      </c>
      <c r="I75" s="81" t="s">
        <v>70</v>
      </c>
      <c r="J75" s="81" t="s">
        <v>70</v>
      </c>
      <c r="K75" s="81" t="s">
        <v>70</v>
      </c>
      <c r="L75" s="81" t="s">
        <v>70</v>
      </c>
      <c r="M75" s="81" t="s">
        <v>70</v>
      </c>
      <c r="N75" s="81" t="s">
        <v>70</v>
      </c>
      <c r="O75" s="81" t="s">
        <v>70</v>
      </c>
      <c r="P75" s="137"/>
    </row>
    <row r="76" spans="1:18" x14ac:dyDescent="0.25">
      <c r="A76" s="136" t="s">
        <v>586</v>
      </c>
      <c r="B76" s="116" t="s">
        <v>587</v>
      </c>
      <c r="C76" s="113" t="s">
        <v>588</v>
      </c>
      <c r="D76" s="114">
        <v>46249</v>
      </c>
      <c r="E76" s="113" t="s">
        <v>404</v>
      </c>
      <c r="F76" s="115">
        <v>100</v>
      </c>
      <c r="G76" s="81" t="s">
        <v>70</v>
      </c>
      <c r="H76" s="81" t="s">
        <v>70</v>
      </c>
      <c r="I76" s="81" t="s">
        <v>70</v>
      </c>
      <c r="J76" s="81" t="s">
        <v>70</v>
      </c>
      <c r="K76" s="81" t="s">
        <v>70</v>
      </c>
      <c r="L76" s="81" t="s">
        <v>70</v>
      </c>
      <c r="M76" s="81" t="s">
        <v>70</v>
      </c>
      <c r="N76" s="81" t="s">
        <v>70</v>
      </c>
      <c r="O76" s="81" t="s">
        <v>70</v>
      </c>
      <c r="P76" s="137"/>
    </row>
    <row r="77" spans="1:18" x14ac:dyDescent="0.25">
      <c r="A77" s="139" t="s">
        <v>589</v>
      </c>
      <c r="B77" s="117" t="s">
        <v>590</v>
      </c>
      <c r="C77" s="113" t="s">
        <v>591</v>
      </c>
      <c r="D77" s="114">
        <v>46251</v>
      </c>
      <c r="E77" s="113" t="s">
        <v>433</v>
      </c>
      <c r="F77" s="115">
        <v>150</v>
      </c>
      <c r="G77" s="81" t="s">
        <v>70</v>
      </c>
      <c r="H77" s="81" t="s">
        <v>70</v>
      </c>
      <c r="I77" s="81" t="s">
        <v>70</v>
      </c>
      <c r="J77" s="81" t="s">
        <v>70</v>
      </c>
      <c r="K77" s="81" t="s">
        <v>70</v>
      </c>
      <c r="L77" s="81" t="s">
        <v>70</v>
      </c>
      <c r="M77" s="81" t="s">
        <v>70</v>
      </c>
      <c r="N77" s="81" t="s">
        <v>70</v>
      </c>
      <c r="O77" s="81" t="s">
        <v>70</v>
      </c>
      <c r="P77" s="137"/>
    </row>
    <row r="78" spans="1:18" x14ac:dyDescent="0.25">
      <c r="A78" s="139" t="s">
        <v>592</v>
      </c>
      <c r="B78" s="113" t="s">
        <v>593</v>
      </c>
      <c r="C78" s="113" t="s">
        <v>594</v>
      </c>
      <c r="D78" s="114">
        <v>46265</v>
      </c>
      <c r="E78" s="113" t="s">
        <v>404</v>
      </c>
      <c r="F78" s="115">
        <v>150.94</v>
      </c>
      <c r="G78" s="81" t="s">
        <v>70</v>
      </c>
      <c r="H78" s="81" t="s">
        <v>70</v>
      </c>
      <c r="I78" s="81" t="s">
        <v>70</v>
      </c>
      <c r="J78" s="81" t="s">
        <v>70</v>
      </c>
      <c r="K78" s="81" t="s">
        <v>70</v>
      </c>
      <c r="L78" s="81" t="s">
        <v>70</v>
      </c>
      <c r="M78" s="81" t="s">
        <v>70</v>
      </c>
      <c r="N78" s="81" t="s">
        <v>70</v>
      </c>
      <c r="O78" s="81" t="s">
        <v>70</v>
      </c>
      <c r="P78" s="137"/>
    </row>
    <row r="79" spans="1:18" x14ac:dyDescent="0.25">
      <c r="A79" s="138" t="s">
        <v>595</v>
      </c>
      <c r="B79" s="116" t="s">
        <v>596</v>
      </c>
      <c r="C79" s="113" t="s">
        <v>597</v>
      </c>
      <c r="D79" s="114">
        <v>46265</v>
      </c>
      <c r="E79" s="113" t="s">
        <v>433</v>
      </c>
      <c r="F79" s="115">
        <v>138.4</v>
      </c>
      <c r="G79" s="81" t="s">
        <v>70</v>
      </c>
      <c r="H79" s="81" t="s">
        <v>70</v>
      </c>
      <c r="I79" s="81" t="s">
        <v>70</v>
      </c>
      <c r="J79" s="81" t="s">
        <v>70</v>
      </c>
      <c r="K79" s="81" t="s">
        <v>70</v>
      </c>
      <c r="L79" s="81" t="s">
        <v>70</v>
      </c>
      <c r="M79" s="81" t="s">
        <v>70</v>
      </c>
      <c r="N79" s="81" t="s">
        <v>70</v>
      </c>
      <c r="O79" s="81" t="s">
        <v>70</v>
      </c>
      <c r="P79" s="137"/>
    </row>
    <row r="80" spans="1:18" x14ac:dyDescent="0.25">
      <c r="A80" s="136" t="s">
        <v>598</v>
      </c>
      <c r="B80" s="116" t="s">
        <v>599</v>
      </c>
      <c r="C80" s="113" t="s">
        <v>528</v>
      </c>
      <c r="D80" s="114">
        <v>46296</v>
      </c>
      <c r="E80" s="113" t="s">
        <v>433</v>
      </c>
      <c r="F80" s="115">
        <v>133</v>
      </c>
      <c r="G80" s="81" t="s">
        <v>70</v>
      </c>
      <c r="H80" s="81" t="s">
        <v>70</v>
      </c>
      <c r="I80" s="81" t="s">
        <v>70</v>
      </c>
      <c r="J80" s="81" t="s">
        <v>70</v>
      </c>
      <c r="K80" s="81" t="s">
        <v>70</v>
      </c>
      <c r="L80" s="81" t="s">
        <v>70</v>
      </c>
      <c r="M80" s="81" t="s">
        <v>70</v>
      </c>
      <c r="N80" s="81" t="s">
        <v>70</v>
      </c>
      <c r="O80" s="81" t="s">
        <v>70</v>
      </c>
      <c r="P80" s="137" t="s">
        <v>529</v>
      </c>
    </row>
    <row r="81" spans="1:18" x14ac:dyDescent="0.25">
      <c r="A81" s="136" t="s">
        <v>600</v>
      </c>
      <c r="B81" s="113" t="s">
        <v>601</v>
      </c>
      <c r="C81" s="113" t="s">
        <v>602</v>
      </c>
      <c r="D81" s="114">
        <v>46305</v>
      </c>
      <c r="E81" s="113" t="s">
        <v>433</v>
      </c>
      <c r="F81" s="115">
        <v>408.21</v>
      </c>
      <c r="G81" s="81" t="s">
        <v>70</v>
      </c>
      <c r="H81" s="81" t="s">
        <v>70</v>
      </c>
      <c r="I81" s="81" t="s">
        <v>70</v>
      </c>
      <c r="J81" s="81" t="s">
        <v>70</v>
      </c>
      <c r="K81" s="81" t="s">
        <v>70</v>
      </c>
      <c r="L81" s="81" t="s">
        <v>70</v>
      </c>
      <c r="M81" s="81" t="s">
        <v>70</v>
      </c>
      <c r="N81" s="81" t="s">
        <v>70</v>
      </c>
      <c r="O81" s="81" t="s">
        <v>70</v>
      </c>
      <c r="P81" s="137"/>
    </row>
    <row r="82" spans="1:18" x14ac:dyDescent="0.25">
      <c r="A82" s="136" t="s">
        <v>603</v>
      </c>
      <c r="B82" s="116" t="s">
        <v>604</v>
      </c>
      <c r="C82" s="113" t="s">
        <v>430</v>
      </c>
      <c r="D82" s="114">
        <v>46371</v>
      </c>
      <c r="E82" s="113" t="s">
        <v>433</v>
      </c>
      <c r="F82" s="115">
        <v>206.75</v>
      </c>
      <c r="G82" s="81" t="s">
        <v>70</v>
      </c>
      <c r="H82" s="81" t="s">
        <v>70</v>
      </c>
      <c r="I82" s="81" t="s">
        <v>70</v>
      </c>
      <c r="J82" s="81" t="s">
        <v>70</v>
      </c>
      <c r="K82" s="81" t="s">
        <v>70</v>
      </c>
      <c r="L82" s="81" t="s">
        <v>70</v>
      </c>
      <c r="M82" s="81" t="s">
        <v>70</v>
      </c>
      <c r="N82" s="81" t="s">
        <v>70</v>
      </c>
      <c r="O82" s="81" t="s">
        <v>70</v>
      </c>
      <c r="P82" s="137"/>
    </row>
    <row r="83" spans="1:18" x14ac:dyDescent="0.25">
      <c r="A83" s="136" t="s">
        <v>605</v>
      </c>
      <c r="B83" s="113" t="s">
        <v>606</v>
      </c>
      <c r="C83" s="113" t="s">
        <v>466</v>
      </c>
      <c r="D83" s="114">
        <v>46371</v>
      </c>
      <c r="E83" s="113" t="s">
        <v>408</v>
      </c>
      <c r="F83" s="115">
        <v>180.48</v>
      </c>
      <c r="G83" s="81" t="s">
        <v>70</v>
      </c>
      <c r="H83" s="81" t="s">
        <v>70</v>
      </c>
      <c r="I83" s="81" t="s">
        <v>70</v>
      </c>
      <c r="J83" s="81" t="s">
        <v>70</v>
      </c>
      <c r="K83" s="81" t="s">
        <v>70</v>
      </c>
      <c r="L83" s="81" t="s">
        <v>70</v>
      </c>
      <c r="M83" s="81" t="s">
        <v>70</v>
      </c>
      <c r="N83" s="81" t="s">
        <v>70</v>
      </c>
      <c r="O83" s="81" t="s">
        <v>70</v>
      </c>
      <c r="P83" s="137"/>
    </row>
    <row r="84" spans="1:18" x14ac:dyDescent="0.25">
      <c r="A84" s="136" t="s">
        <v>607</v>
      </c>
      <c r="B84" s="116" t="s">
        <v>608</v>
      </c>
      <c r="C84" s="113" t="s">
        <v>609</v>
      </c>
      <c r="D84" s="114">
        <v>46387</v>
      </c>
      <c r="E84" s="113" t="s">
        <v>433</v>
      </c>
      <c r="F84" s="115">
        <v>200.09</v>
      </c>
      <c r="G84" s="81" t="s">
        <v>70</v>
      </c>
      <c r="H84" s="81" t="s">
        <v>70</v>
      </c>
      <c r="I84" s="81" t="s">
        <v>70</v>
      </c>
      <c r="J84" s="81" t="s">
        <v>70</v>
      </c>
      <c r="K84" s="81" t="s">
        <v>70</v>
      </c>
      <c r="L84" s="81" t="s">
        <v>70</v>
      </c>
      <c r="M84" s="81" t="s">
        <v>70</v>
      </c>
      <c r="N84" s="81" t="s">
        <v>70</v>
      </c>
      <c r="O84" s="81" t="s">
        <v>70</v>
      </c>
      <c r="P84" s="137"/>
    </row>
    <row r="85" spans="1:18" x14ac:dyDescent="0.25">
      <c r="A85" s="136" t="s">
        <v>610</v>
      </c>
      <c r="B85" s="113" t="s">
        <v>611</v>
      </c>
      <c r="C85" s="113" t="s">
        <v>612</v>
      </c>
      <c r="D85" s="114">
        <v>46387</v>
      </c>
      <c r="E85" s="113" t="s">
        <v>433</v>
      </c>
      <c r="F85" s="115">
        <v>243.46</v>
      </c>
      <c r="G85" s="81" t="s">
        <v>70</v>
      </c>
      <c r="H85" s="81" t="s">
        <v>70</v>
      </c>
      <c r="I85" s="81" t="s">
        <v>70</v>
      </c>
      <c r="J85" s="81" t="s">
        <v>70</v>
      </c>
      <c r="K85" s="81" t="s">
        <v>70</v>
      </c>
      <c r="L85" s="81" t="s">
        <v>70</v>
      </c>
      <c r="M85" s="81" t="s">
        <v>70</v>
      </c>
      <c r="N85" s="81" t="s">
        <v>70</v>
      </c>
      <c r="O85" s="81" t="s">
        <v>70</v>
      </c>
      <c r="P85" s="137"/>
    </row>
    <row r="86" spans="1:18" x14ac:dyDescent="0.25">
      <c r="A86" s="136" t="s">
        <v>613</v>
      </c>
      <c r="B86" s="113" t="s">
        <v>614</v>
      </c>
      <c r="C86" s="113" t="s">
        <v>609</v>
      </c>
      <c r="D86" s="114">
        <v>46456</v>
      </c>
      <c r="E86" s="113" t="s">
        <v>433</v>
      </c>
      <c r="F86" s="115">
        <v>505.5</v>
      </c>
      <c r="G86" s="81" t="s">
        <v>70</v>
      </c>
      <c r="H86" s="81" t="s">
        <v>70</v>
      </c>
      <c r="I86" s="81" t="s">
        <v>70</v>
      </c>
      <c r="J86" s="81" t="s">
        <v>70</v>
      </c>
      <c r="K86" s="81" t="s">
        <v>70</v>
      </c>
      <c r="L86" s="81" t="s">
        <v>70</v>
      </c>
      <c r="M86" s="81" t="s">
        <v>70</v>
      </c>
      <c r="N86" s="81" t="s">
        <v>70</v>
      </c>
      <c r="O86" s="81" t="s">
        <v>70</v>
      </c>
      <c r="P86" s="137"/>
    </row>
    <row r="87" spans="1:18" x14ac:dyDescent="0.25">
      <c r="A87" s="136" t="s">
        <v>615</v>
      </c>
      <c r="B87" s="113" t="s">
        <v>616</v>
      </c>
      <c r="C87" s="113" t="s">
        <v>609</v>
      </c>
      <c r="D87" s="114">
        <v>46456</v>
      </c>
      <c r="E87" s="113" t="s">
        <v>404</v>
      </c>
      <c r="F87" s="115">
        <v>419</v>
      </c>
      <c r="G87" s="81" t="s">
        <v>70</v>
      </c>
      <c r="H87" s="81" t="s">
        <v>70</v>
      </c>
      <c r="I87" s="81" t="s">
        <v>70</v>
      </c>
      <c r="J87" s="81" t="s">
        <v>70</v>
      </c>
      <c r="K87" s="81" t="s">
        <v>70</v>
      </c>
      <c r="L87" s="81" t="s">
        <v>70</v>
      </c>
      <c r="M87" s="81" t="s">
        <v>70</v>
      </c>
      <c r="N87" s="81" t="s">
        <v>70</v>
      </c>
      <c r="O87" s="81" t="s">
        <v>70</v>
      </c>
      <c r="P87" s="137"/>
      <c r="Q87" s="121"/>
      <c r="R87" s="122"/>
    </row>
    <row r="88" spans="1:18" x14ac:dyDescent="0.25">
      <c r="A88" s="136" t="s">
        <v>617</v>
      </c>
      <c r="B88" s="113" t="s">
        <v>618</v>
      </c>
      <c r="C88" s="113" t="s">
        <v>609</v>
      </c>
      <c r="D88" s="114">
        <v>46462</v>
      </c>
      <c r="E88" s="113" t="s">
        <v>433</v>
      </c>
      <c r="F88" s="115">
        <v>203.5</v>
      </c>
      <c r="G88" s="81" t="s">
        <v>70</v>
      </c>
      <c r="H88" s="81" t="s">
        <v>70</v>
      </c>
      <c r="I88" s="81" t="s">
        <v>70</v>
      </c>
      <c r="J88" s="81" t="s">
        <v>70</v>
      </c>
      <c r="K88" s="81" t="s">
        <v>70</v>
      </c>
      <c r="L88" s="81" t="s">
        <v>70</v>
      </c>
      <c r="M88" s="81" t="s">
        <v>70</v>
      </c>
      <c r="N88" s="81" t="s">
        <v>70</v>
      </c>
      <c r="O88" s="81" t="s">
        <v>70</v>
      </c>
      <c r="P88" s="137"/>
    </row>
    <row r="89" spans="1:18" x14ac:dyDescent="0.25">
      <c r="A89" s="139" t="s">
        <v>619</v>
      </c>
      <c r="B89" s="117" t="s">
        <v>620</v>
      </c>
      <c r="C89" s="113" t="s">
        <v>609</v>
      </c>
      <c r="D89" s="114">
        <v>46462</v>
      </c>
      <c r="E89" s="113" t="s">
        <v>404</v>
      </c>
      <c r="F89" s="115">
        <v>101</v>
      </c>
      <c r="G89" s="81" t="s">
        <v>70</v>
      </c>
      <c r="H89" s="81" t="s">
        <v>70</v>
      </c>
      <c r="I89" s="81" t="s">
        <v>70</v>
      </c>
      <c r="J89" s="81" t="s">
        <v>70</v>
      </c>
      <c r="K89" s="81" t="s">
        <v>70</v>
      </c>
      <c r="L89" s="81" t="s">
        <v>70</v>
      </c>
      <c r="M89" s="81" t="s">
        <v>70</v>
      </c>
      <c r="N89" s="81" t="s">
        <v>70</v>
      </c>
      <c r="O89" s="81" t="s">
        <v>70</v>
      </c>
      <c r="P89" s="137"/>
    </row>
    <row r="90" spans="1:18" x14ac:dyDescent="0.25">
      <c r="A90" s="139" t="s">
        <v>621</v>
      </c>
      <c r="B90" s="117" t="s">
        <v>622</v>
      </c>
      <c r="C90" s="113" t="s">
        <v>609</v>
      </c>
      <c r="D90" s="114">
        <v>46477</v>
      </c>
      <c r="E90" s="113" t="s">
        <v>433</v>
      </c>
      <c r="F90" s="115">
        <v>382.12</v>
      </c>
      <c r="G90" s="81" t="s">
        <v>70</v>
      </c>
      <c r="H90" s="81" t="s">
        <v>70</v>
      </c>
      <c r="I90" s="81" t="s">
        <v>70</v>
      </c>
      <c r="J90" s="81" t="s">
        <v>70</v>
      </c>
      <c r="K90" s="81" t="s">
        <v>70</v>
      </c>
      <c r="L90" s="81" t="s">
        <v>70</v>
      </c>
      <c r="M90" s="81" t="s">
        <v>70</v>
      </c>
      <c r="N90" s="81" t="s">
        <v>70</v>
      </c>
      <c r="O90" s="81" t="s">
        <v>70</v>
      </c>
      <c r="P90" s="137"/>
    </row>
    <row r="91" spans="1:18" x14ac:dyDescent="0.25">
      <c r="A91" s="139" t="s">
        <v>623</v>
      </c>
      <c r="B91" s="117" t="s">
        <v>624</v>
      </c>
      <c r="C91" s="113" t="s">
        <v>625</v>
      </c>
      <c r="D91" s="114">
        <v>46477</v>
      </c>
      <c r="E91" s="113" t="s">
        <v>404</v>
      </c>
      <c r="F91" s="115">
        <v>207.82</v>
      </c>
      <c r="G91" s="81" t="s">
        <v>70</v>
      </c>
      <c r="H91" s="81" t="s">
        <v>70</v>
      </c>
      <c r="I91" s="81" t="s">
        <v>70</v>
      </c>
      <c r="J91" s="81" t="s">
        <v>70</v>
      </c>
      <c r="K91" s="81" t="s">
        <v>70</v>
      </c>
      <c r="L91" s="81" t="s">
        <v>70</v>
      </c>
      <c r="M91" s="81" t="s">
        <v>70</v>
      </c>
      <c r="N91" s="81" t="s">
        <v>70</v>
      </c>
      <c r="O91" s="81" t="s">
        <v>70</v>
      </c>
      <c r="P91" s="137"/>
    </row>
    <row r="92" spans="1:18" x14ac:dyDescent="0.25">
      <c r="A92" s="139" t="s">
        <v>626</v>
      </c>
      <c r="B92" s="117" t="s">
        <v>627</v>
      </c>
      <c r="C92" s="113" t="s">
        <v>609</v>
      </c>
      <c r="D92" s="114">
        <v>46478</v>
      </c>
      <c r="E92" s="113" t="s">
        <v>408</v>
      </c>
      <c r="F92" s="115">
        <v>262</v>
      </c>
      <c r="G92" s="81" t="s">
        <v>70</v>
      </c>
      <c r="H92" s="81" t="s">
        <v>70</v>
      </c>
      <c r="I92" s="81" t="s">
        <v>70</v>
      </c>
      <c r="J92" s="81" t="s">
        <v>70</v>
      </c>
      <c r="K92" s="81" t="s">
        <v>70</v>
      </c>
      <c r="L92" s="81" t="s">
        <v>70</v>
      </c>
      <c r="M92" s="81" t="s">
        <v>70</v>
      </c>
      <c r="N92" s="81" t="s">
        <v>70</v>
      </c>
      <c r="O92" s="81" t="s">
        <v>70</v>
      </c>
      <c r="P92" s="137"/>
    </row>
    <row r="93" spans="1:18" x14ac:dyDescent="0.25">
      <c r="A93" s="136" t="s">
        <v>628</v>
      </c>
      <c r="B93" s="113" t="s">
        <v>629</v>
      </c>
      <c r="C93" s="113" t="s">
        <v>630</v>
      </c>
      <c r="D93" s="114">
        <v>46478</v>
      </c>
      <c r="E93" s="113" t="s">
        <v>404</v>
      </c>
      <c r="F93" s="115">
        <v>232</v>
      </c>
      <c r="G93" s="81" t="s">
        <v>70</v>
      </c>
      <c r="H93" s="81" t="s">
        <v>70</v>
      </c>
      <c r="I93" s="81" t="s">
        <v>70</v>
      </c>
      <c r="J93" s="81" t="s">
        <v>70</v>
      </c>
      <c r="K93" s="81" t="s">
        <v>70</v>
      </c>
      <c r="L93" s="81" t="s">
        <v>70</v>
      </c>
      <c r="M93" s="81" t="s">
        <v>70</v>
      </c>
      <c r="N93" s="81" t="s">
        <v>70</v>
      </c>
      <c r="O93" s="81" t="s">
        <v>70</v>
      </c>
      <c r="P93" s="137"/>
    </row>
    <row r="94" spans="1:18" x14ac:dyDescent="0.25">
      <c r="A94" s="136" t="s">
        <v>631</v>
      </c>
      <c r="B94" s="113" t="s">
        <v>632</v>
      </c>
      <c r="C94" s="113" t="s">
        <v>633</v>
      </c>
      <c r="D94" s="114">
        <v>46484</v>
      </c>
      <c r="E94" s="113" t="s">
        <v>404</v>
      </c>
      <c r="F94" s="115">
        <v>152</v>
      </c>
      <c r="G94" s="81" t="s">
        <v>70</v>
      </c>
      <c r="H94" s="81" t="s">
        <v>70</v>
      </c>
      <c r="I94" s="81" t="s">
        <v>70</v>
      </c>
      <c r="J94" s="81" t="s">
        <v>70</v>
      </c>
      <c r="K94" s="81" t="s">
        <v>70</v>
      </c>
      <c r="L94" s="81" t="s">
        <v>70</v>
      </c>
      <c r="M94" s="81" t="s">
        <v>70</v>
      </c>
      <c r="N94" s="81" t="s">
        <v>70</v>
      </c>
      <c r="O94" s="81" t="s">
        <v>70</v>
      </c>
      <c r="P94" s="137"/>
    </row>
    <row r="95" spans="1:18" x14ac:dyDescent="0.25">
      <c r="A95" s="136" t="s">
        <v>634</v>
      </c>
      <c r="B95" s="116" t="s">
        <v>635</v>
      </c>
      <c r="C95" s="113" t="s">
        <v>636</v>
      </c>
      <c r="D95" s="114">
        <v>46494</v>
      </c>
      <c r="E95" s="113" t="s">
        <v>433</v>
      </c>
      <c r="F95" s="115">
        <v>398.83</v>
      </c>
      <c r="G95" s="81" t="s">
        <v>70</v>
      </c>
      <c r="H95" s="81" t="s">
        <v>70</v>
      </c>
      <c r="I95" s="81" t="s">
        <v>70</v>
      </c>
      <c r="J95" s="81" t="s">
        <v>70</v>
      </c>
      <c r="K95" s="81" t="s">
        <v>70</v>
      </c>
      <c r="L95" s="81" t="s">
        <v>70</v>
      </c>
      <c r="M95" s="81" t="s">
        <v>70</v>
      </c>
      <c r="N95" s="81" t="s">
        <v>70</v>
      </c>
      <c r="O95" s="81" t="s">
        <v>70</v>
      </c>
      <c r="P95" s="137"/>
    </row>
    <row r="96" spans="1:18" x14ac:dyDescent="0.25">
      <c r="A96" s="136" t="s">
        <v>637</v>
      </c>
      <c r="B96" s="113" t="s">
        <v>638</v>
      </c>
      <c r="C96" s="113" t="s">
        <v>597</v>
      </c>
      <c r="D96" s="114">
        <v>46507</v>
      </c>
      <c r="E96" s="113" t="s">
        <v>433</v>
      </c>
      <c r="F96" s="115">
        <v>183</v>
      </c>
      <c r="G96" s="81" t="s">
        <v>70</v>
      </c>
      <c r="H96" s="81" t="s">
        <v>70</v>
      </c>
      <c r="I96" s="81" t="s">
        <v>70</v>
      </c>
      <c r="J96" s="81" t="s">
        <v>70</v>
      </c>
      <c r="K96" s="81" t="s">
        <v>70</v>
      </c>
      <c r="L96" s="81" t="s">
        <v>70</v>
      </c>
      <c r="M96" s="81" t="s">
        <v>70</v>
      </c>
      <c r="N96" s="81" t="s">
        <v>70</v>
      </c>
      <c r="O96" s="81" t="s">
        <v>70</v>
      </c>
      <c r="P96" s="137"/>
    </row>
    <row r="97" spans="1:16" x14ac:dyDescent="0.25">
      <c r="A97" s="136" t="s">
        <v>639</v>
      </c>
      <c r="B97" s="113" t="s">
        <v>640</v>
      </c>
      <c r="C97" s="113" t="s">
        <v>449</v>
      </c>
      <c r="D97" s="114">
        <v>46515</v>
      </c>
      <c r="E97" s="113" t="s">
        <v>433</v>
      </c>
      <c r="F97" s="115">
        <v>256.5</v>
      </c>
      <c r="G97" s="81" t="s">
        <v>70</v>
      </c>
      <c r="H97" s="81" t="s">
        <v>70</v>
      </c>
      <c r="I97" s="81" t="s">
        <v>70</v>
      </c>
      <c r="J97" s="81" t="s">
        <v>70</v>
      </c>
      <c r="K97" s="81" t="s">
        <v>70</v>
      </c>
      <c r="L97" s="81" t="s">
        <v>70</v>
      </c>
      <c r="M97" s="81" t="s">
        <v>70</v>
      </c>
      <c r="N97" s="81" t="s">
        <v>70</v>
      </c>
      <c r="O97" s="81" t="s">
        <v>70</v>
      </c>
      <c r="P97" s="137"/>
    </row>
    <row r="98" spans="1:16" x14ac:dyDescent="0.25">
      <c r="A98" s="136" t="s">
        <v>641</v>
      </c>
      <c r="B98" s="113" t="s">
        <v>642</v>
      </c>
      <c r="C98" s="113" t="s">
        <v>643</v>
      </c>
      <c r="D98" s="114">
        <v>46522</v>
      </c>
      <c r="E98" s="113" t="s">
        <v>404</v>
      </c>
      <c r="F98" s="115">
        <v>63.6</v>
      </c>
      <c r="G98" s="81" t="s">
        <v>70</v>
      </c>
      <c r="H98" s="81" t="s">
        <v>70</v>
      </c>
      <c r="I98" s="81" t="s">
        <v>70</v>
      </c>
      <c r="J98" s="81" t="s">
        <v>70</v>
      </c>
      <c r="K98" s="81" t="s">
        <v>70</v>
      </c>
      <c r="L98" s="81" t="s">
        <v>70</v>
      </c>
      <c r="M98" s="81" t="s">
        <v>70</v>
      </c>
      <c r="N98" s="81" t="s">
        <v>70</v>
      </c>
      <c r="O98" s="81" t="s">
        <v>70</v>
      </c>
      <c r="P98" s="137"/>
    </row>
    <row r="99" spans="1:16" x14ac:dyDescent="0.25">
      <c r="A99" s="136" t="s">
        <v>644</v>
      </c>
      <c r="B99" s="113" t="s">
        <v>645</v>
      </c>
      <c r="C99" s="113" t="s">
        <v>646</v>
      </c>
      <c r="D99" s="114">
        <v>46537</v>
      </c>
      <c r="E99" s="113" t="s">
        <v>404</v>
      </c>
      <c r="F99" s="115">
        <v>156</v>
      </c>
      <c r="G99" s="81" t="s">
        <v>70</v>
      </c>
      <c r="H99" s="81" t="s">
        <v>70</v>
      </c>
      <c r="I99" s="81" t="s">
        <v>70</v>
      </c>
      <c r="J99" s="81" t="s">
        <v>70</v>
      </c>
      <c r="K99" s="81" t="s">
        <v>70</v>
      </c>
      <c r="L99" s="81" t="s">
        <v>70</v>
      </c>
      <c r="M99" s="81" t="s">
        <v>70</v>
      </c>
      <c r="N99" s="81" t="s">
        <v>70</v>
      </c>
      <c r="O99" s="81" t="s">
        <v>70</v>
      </c>
      <c r="P99" s="137"/>
    </row>
    <row r="100" spans="1:16" x14ac:dyDescent="0.25">
      <c r="A100" s="139" t="s">
        <v>647</v>
      </c>
      <c r="B100" s="117" t="s">
        <v>648</v>
      </c>
      <c r="C100" s="113" t="s">
        <v>646</v>
      </c>
      <c r="D100" s="114">
        <v>46537</v>
      </c>
      <c r="E100" s="113" t="s">
        <v>404</v>
      </c>
      <c r="F100" s="115">
        <v>156</v>
      </c>
      <c r="G100" s="81" t="s">
        <v>70</v>
      </c>
      <c r="H100" s="81" t="s">
        <v>70</v>
      </c>
      <c r="I100" s="81" t="s">
        <v>70</v>
      </c>
      <c r="J100" s="81" t="s">
        <v>70</v>
      </c>
      <c r="K100" s="81" t="s">
        <v>70</v>
      </c>
      <c r="L100" s="81" t="s">
        <v>70</v>
      </c>
      <c r="M100" s="81" t="s">
        <v>70</v>
      </c>
      <c r="N100" s="81" t="s">
        <v>70</v>
      </c>
      <c r="O100" s="81" t="s">
        <v>70</v>
      </c>
      <c r="P100" s="137"/>
    </row>
    <row r="101" spans="1:16" x14ac:dyDescent="0.25">
      <c r="A101" s="136" t="s">
        <v>649</v>
      </c>
      <c r="B101" s="113" t="s">
        <v>650</v>
      </c>
      <c r="C101" s="113" t="s">
        <v>570</v>
      </c>
      <c r="D101" s="114">
        <v>46569</v>
      </c>
      <c r="E101" s="113" t="s">
        <v>433</v>
      </c>
      <c r="F101" s="115">
        <v>310</v>
      </c>
      <c r="G101" s="81" t="s">
        <v>70</v>
      </c>
      <c r="H101" s="81" t="s">
        <v>70</v>
      </c>
      <c r="I101" s="81" t="s">
        <v>70</v>
      </c>
      <c r="J101" s="81" t="s">
        <v>70</v>
      </c>
      <c r="K101" s="81" t="s">
        <v>70</v>
      </c>
      <c r="L101" s="81" t="s">
        <v>70</v>
      </c>
      <c r="M101" s="81" t="s">
        <v>70</v>
      </c>
      <c r="N101" s="81" t="s">
        <v>70</v>
      </c>
      <c r="O101" s="81" t="s">
        <v>70</v>
      </c>
      <c r="P101" s="137"/>
    </row>
    <row r="102" spans="1:16" x14ac:dyDescent="0.25">
      <c r="A102" s="136" t="s">
        <v>651</v>
      </c>
      <c r="B102" s="116" t="s">
        <v>652</v>
      </c>
      <c r="C102" s="113" t="s">
        <v>570</v>
      </c>
      <c r="D102" s="114">
        <v>46569</v>
      </c>
      <c r="E102" s="113" t="s">
        <v>404</v>
      </c>
      <c r="F102" s="115">
        <v>192</v>
      </c>
      <c r="G102" s="81" t="s">
        <v>70</v>
      </c>
      <c r="H102" s="81" t="s">
        <v>70</v>
      </c>
      <c r="I102" s="81" t="s">
        <v>70</v>
      </c>
      <c r="J102" s="81" t="s">
        <v>70</v>
      </c>
      <c r="K102" s="81" t="s">
        <v>70</v>
      </c>
      <c r="L102" s="81" t="s">
        <v>70</v>
      </c>
      <c r="M102" s="81" t="s">
        <v>70</v>
      </c>
      <c r="N102" s="81" t="s">
        <v>70</v>
      </c>
      <c r="O102" s="81" t="s">
        <v>70</v>
      </c>
      <c r="P102" s="137"/>
    </row>
    <row r="103" spans="1:16" x14ac:dyDescent="0.25">
      <c r="A103" s="139" t="s">
        <v>653</v>
      </c>
      <c r="B103" s="117" t="s">
        <v>654</v>
      </c>
      <c r="C103" s="113" t="s">
        <v>499</v>
      </c>
      <c r="D103" s="114">
        <v>46569</v>
      </c>
      <c r="E103" s="113" t="s">
        <v>404</v>
      </c>
      <c r="F103" s="115">
        <v>256.37</v>
      </c>
      <c r="G103" s="81" t="s">
        <v>70</v>
      </c>
      <c r="H103" s="81" t="s">
        <v>70</v>
      </c>
      <c r="I103" s="81" t="s">
        <v>70</v>
      </c>
      <c r="J103" s="81" t="s">
        <v>70</v>
      </c>
      <c r="K103" s="81" t="s">
        <v>70</v>
      </c>
      <c r="L103" s="81" t="s">
        <v>70</v>
      </c>
      <c r="M103" s="81" t="s">
        <v>70</v>
      </c>
      <c r="N103" s="81" t="s">
        <v>70</v>
      </c>
      <c r="O103" s="81" t="s">
        <v>70</v>
      </c>
      <c r="P103" s="137"/>
    </row>
    <row r="104" spans="1:16" x14ac:dyDescent="0.25">
      <c r="A104" s="136" t="s">
        <v>655</v>
      </c>
      <c r="B104" s="116" t="s">
        <v>656</v>
      </c>
      <c r="C104" s="113" t="s">
        <v>657</v>
      </c>
      <c r="D104" s="114">
        <v>46234</v>
      </c>
      <c r="E104" s="113" t="s">
        <v>404</v>
      </c>
      <c r="F104" s="115">
        <v>401.9</v>
      </c>
      <c r="G104" s="81" t="s">
        <v>70</v>
      </c>
      <c r="H104" s="81" t="s">
        <v>70</v>
      </c>
      <c r="I104" s="81" t="s">
        <v>658</v>
      </c>
      <c r="J104" s="81" t="s">
        <v>70</v>
      </c>
      <c r="K104" s="81" t="s">
        <v>70</v>
      </c>
      <c r="L104" s="81" t="s">
        <v>70</v>
      </c>
      <c r="M104" s="81" t="s">
        <v>70</v>
      </c>
      <c r="N104" s="81" t="s">
        <v>70</v>
      </c>
      <c r="O104" s="81" t="s">
        <v>70</v>
      </c>
      <c r="P104" s="137"/>
    </row>
    <row r="105" spans="1:16" x14ac:dyDescent="0.25">
      <c r="A105" s="136" t="s">
        <v>659</v>
      </c>
      <c r="B105" s="113" t="s">
        <v>660</v>
      </c>
      <c r="C105" s="113" t="s">
        <v>612</v>
      </c>
      <c r="D105" s="114">
        <v>46258</v>
      </c>
      <c r="E105" s="113" t="s">
        <v>433</v>
      </c>
      <c r="F105" s="115">
        <v>101</v>
      </c>
      <c r="G105" s="81" t="s">
        <v>70</v>
      </c>
      <c r="H105" s="81" t="s">
        <v>70</v>
      </c>
      <c r="I105" s="81" t="s">
        <v>658</v>
      </c>
      <c r="J105" s="81" t="s">
        <v>70</v>
      </c>
      <c r="K105" s="81" t="s">
        <v>70</v>
      </c>
      <c r="L105" s="81" t="s">
        <v>70</v>
      </c>
      <c r="M105" s="81" t="s">
        <v>70</v>
      </c>
      <c r="N105" s="81" t="s">
        <v>70</v>
      </c>
      <c r="O105" s="81" t="s">
        <v>70</v>
      </c>
      <c r="P105" s="137"/>
    </row>
    <row r="106" spans="1:16" x14ac:dyDescent="0.25">
      <c r="A106" s="136" t="s">
        <v>661</v>
      </c>
      <c r="B106" s="116" t="s">
        <v>662</v>
      </c>
      <c r="C106" s="113" t="s">
        <v>516</v>
      </c>
      <c r="D106" s="114">
        <v>46308</v>
      </c>
      <c r="E106" s="113" t="s">
        <v>433</v>
      </c>
      <c r="F106" s="115">
        <v>145</v>
      </c>
      <c r="G106" s="81" t="s">
        <v>70</v>
      </c>
      <c r="H106" s="81" t="s">
        <v>70</v>
      </c>
      <c r="I106" s="81" t="s">
        <v>658</v>
      </c>
      <c r="J106" s="81" t="s">
        <v>70</v>
      </c>
      <c r="K106" s="81" t="s">
        <v>70</v>
      </c>
      <c r="L106" s="81" t="s">
        <v>70</v>
      </c>
      <c r="M106" s="81" t="s">
        <v>70</v>
      </c>
      <c r="N106" s="81" t="s">
        <v>70</v>
      </c>
      <c r="O106" s="81" t="s">
        <v>70</v>
      </c>
      <c r="P106" s="137"/>
    </row>
    <row r="107" spans="1:16" x14ac:dyDescent="0.25">
      <c r="A107" s="136" t="s">
        <v>663</v>
      </c>
      <c r="B107" s="116" t="s">
        <v>664</v>
      </c>
      <c r="C107" s="113" t="s">
        <v>609</v>
      </c>
      <c r="D107" s="114">
        <v>46456</v>
      </c>
      <c r="E107" s="113" t="s">
        <v>433</v>
      </c>
      <c r="F107" s="115">
        <v>333</v>
      </c>
      <c r="G107" s="81" t="s">
        <v>70</v>
      </c>
      <c r="H107" s="81" t="s">
        <v>70</v>
      </c>
      <c r="I107" s="81" t="s">
        <v>658</v>
      </c>
      <c r="J107" s="81" t="s">
        <v>70</v>
      </c>
      <c r="K107" s="81" t="s">
        <v>70</v>
      </c>
      <c r="L107" s="81" t="s">
        <v>70</v>
      </c>
      <c r="M107" s="81" t="s">
        <v>70</v>
      </c>
      <c r="N107" s="81" t="s">
        <v>70</v>
      </c>
      <c r="O107" s="81" t="s">
        <v>70</v>
      </c>
      <c r="P107" s="137"/>
    </row>
    <row r="108" spans="1:16" x14ac:dyDescent="0.25">
      <c r="A108" s="136" t="s">
        <v>665</v>
      </c>
      <c r="B108" s="113" t="s">
        <v>666</v>
      </c>
      <c r="C108" s="113" t="s">
        <v>528</v>
      </c>
      <c r="D108" s="114">
        <v>46569</v>
      </c>
      <c r="E108" s="113" t="s">
        <v>408</v>
      </c>
      <c r="F108" s="115">
        <v>225.6</v>
      </c>
      <c r="G108" s="81" t="s">
        <v>70</v>
      </c>
      <c r="H108" s="81" t="s">
        <v>70</v>
      </c>
      <c r="I108" s="81" t="s">
        <v>658</v>
      </c>
      <c r="J108" s="81" t="s">
        <v>70</v>
      </c>
      <c r="K108" s="81" t="s">
        <v>70</v>
      </c>
      <c r="L108" s="81" t="s">
        <v>70</v>
      </c>
      <c r="M108" s="81" t="s">
        <v>70</v>
      </c>
      <c r="N108" s="81" t="s">
        <v>70</v>
      </c>
      <c r="O108" s="81" t="s">
        <v>70</v>
      </c>
      <c r="P108" s="137"/>
    </row>
    <row r="109" spans="1:16" x14ac:dyDescent="0.25">
      <c r="A109" s="139" t="s">
        <v>667</v>
      </c>
      <c r="B109" s="117" t="s">
        <v>668</v>
      </c>
      <c r="C109" s="113" t="s">
        <v>669</v>
      </c>
      <c r="D109" s="114">
        <v>46447</v>
      </c>
      <c r="E109" s="113" t="s">
        <v>433</v>
      </c>
      <c r="F109" s="115">
        <v>201.68</v>
      </c>
      <c r="G109" s="81" t="s">
        <v>70</v>
      </c>
      <c r="H109" s="81" t="s">
        <v>70</v>
      </c>
      <c r="I109" s="81" t="s">
        <v>658</v>
      </c>
      <c r="J109" s="81" t="s">
        <v>70</v>
      </c>
      <c r="K109" s="81" t="s">
        <v>658</v>
      </c>
      <c r="L109" s="81" t="s">
        <v>70</v>
      </c>
      <c r="M109" s="81" t="s">
        <v>70</v>
      </c>
      <c r="N109" s="81" t="s">
        <v>70</v>
      </c>
      <c r="O109" s="81" t="s">
        <v>70</v>
      </c>
      <c r="P109" s="137"/>
    </row>
    <row r="110" spans="1:16" x14ac:dyDescent="0.25">
      <c r="A110" s="136" t="s">
        <v>670</v>
      </c>
      <c r="B110" s="113" t="s">
        <v>671</v>
      </c>
      <c r="C110" s="113" t="s">
        <v>427</v>
      </c>
      <c r="D110" s="114">
        <v>46482</v>
      </c>
      <c r="E110" s="113" t="s">
        <v>404</v>
      </c>
      <c r="F110" s="115">
        <v>150.6</v>
      </c>
      <c r="G110" s="81" t="s">
        <v>70</v>
      </c>
      <c r="H110" s="81" t="s">
        <v>70</v>
      </c>
      <c r="I110" s="81" t="s">
        <v>658</v>
      </c>
      <c r="J110" s="81" t="s">
        <v>70</v>
      </c>
      <c r="K110" s="81" t="s">
        <v>658</v>
      </c>
      <c r="L110" s="81" t="s">
        <v>70</v>
      </c>
      <c r="M110" s="81" t="s">
        <v>70</v>
      </c>
      <c r="N110" s="81" t="s">
        <v>70</v>
      </c>
      <c r="O110" s="81" t="s">
        <v>70</v>
      </c>
      <c r="P110" s="137"/>
    </row>
    <row r="111" spans="1:16" x14ac:dyDescent="0.25">
      <c r="A111" s="139" t="s">
        <v>672</v>
      </c>
      <c r="B111" s="117" t="s">
        <v>673</v>
      </c>
      <c r="C111" s="113" t="s">
        <v>643</v>
      </c>
      <c r="D111" s="114">
        <v>46522</v>
      </c>
      <c r="E111" s="113" t="s">
        <v>433</v>
      </c>
      <c r="F111" s="115">
        <v>123</v>
      </c>
      <c r="G111" s="81" t="s">
        <v>70</v>
      </c>
      <c r="H111" s="81" t="s">
        <v>70</v>
      </c>
      <c r="I111" s="81" t="s">
        <v>658</v>
      </c>
      <c r="J111" s="81" t="s">
        <v>70</v>
      </c>
      <c r="K111" s="81" t="s">
        <v>658</v>
      </c>
      <c r="L111" s="81" t="s">
        <v>70</v>
      </c>
      <c r="M111" s="81" t="s">
        <v>70</v>
      </c>
      <c r="N111" s="81" t="s">
        <v>70</v>
      </c>
      <c r="O111" s="81" t="s">
        <v>70</v>
      </c>
      <c r="P111" s="137"/>
    </row>
    <row r="112" spans="1:16" x14ac:dyDescent="0.25">
      <c r="A112" s="136" t="s">
        <v>674</v>
      </c>
      <c r="B112" s="113" t="s">
        <v>675</v>
      </c>
      <c r="C112" s="113" t="s">
        <v>676</v>
      </c>
      <c r="D112" s="114">
        <v>46261</v>
      </c>
      <c r="E112" s="113" t="s">
        <v>433</v>
      </c>
      <c r="F112" s="115">
        <v>207.4</v>
      </c>
      <c r="G112" s="81" t="s">
        <v>70</v>
      </c>
      <c r="H112" s="81" t="s">
        <v>70</v>
      </c>
      <c r="I112" s="81" t="s">
        <v>658</v>
      </c>
      <c r="J112" s="81" t="s">
        <v>70</v>
      </c>
      <c r="K112" s="81" t="s">
        <v>658</v>
      </c>
      <c r="L112" s="81" t="s">
        <v>70</v>
      </c>
      <c r="M112" s="81" t="s">
        <v>70</v>
      </c>
      <c r="N112" s="81" t="s">
        <v>70</v>
      </c>
      <c r="O112" s="81" t="s">
        <v>70</v>
      </c>
      <c r="P112" s="137"/>
    </row>
    <row r="113" spans="1:18" x14ac:dyDescent="0.25">
      <c r="A113" s="136" t="s">
        <v>677</v>
      </c>
      <c r="B113" s="113" t="s">
        <v>678</v>
      </c>
      <c r="C113" s="113" t="s">
        <v>679</v>
      </c>
      <c r="D113" s="114">
        <v>46539</v>
      </c>
      <c r="E113" s="113" t="s">
        <v>408</v>
      </c>
      <c r="F113" s="115">
        <v>307.89999999999998</v>
      </c>
      <c r="G113" s="81" t="s">
        <v>70</v>
      </c>
      <c r="H113" s="81" t="s">
        <v>658</v>
      </c>
      <c r="I113" s="81" t="s">
        <v>70</v>
      </c>
      <c r="J113" s="81" t="s">
        <v>70</v>
      </c>
      <c r="K113" s="81" t="s">
        <v>70</v>
      </c>
      <c r="L113" s="81" t="s">
        <v>70</v>
      </c>
      <c r="M113" s="81" t="s">
        <v>70</v>
      </c>
      <c r="N113" s="81" t="s">
        <v>70</v>
      </c>
      <c r="O113" s="81" t="s">
        <v>70</v>
      </c>
      <c r="P113" s="137"/>
      <c r="Q113" s="121"/>
      <c r="R113" s="122"/>
    </row>
    <row r="114" spans="1:18" x14ac:dyDescent="0.25">
      <c r="A114" s="136" t="s">
        <v>680</v>
      </c>
      <c r="B114" s="113" t="s">
        <v>681</v>
      </c>
      <c r="C114" s="113" t="s">
        <v>682</v>
      </c>
      <c r="D114" s="114">
        <v>46539</v>
      </c>
      <c r="E114" s="113" t="s">
        <v>404</v>
      </c>
      <c r="F114" s="115">
        <v>206.8</v>
      </c>
      <c r="G114" s="81" t="s">
        <v>70</v>
      </c>
      <c r="H114" s="81" t="s">
        <v>658</v>
      </c>
      <c r="I114" s="81" t="s">
        <v>70</v>
      </c>
      <c r="J114" s="81" t="s">
        <v>70</v>
      </c>
      <c r="K114" s="81" t="s">
        <v>70</v>
      </c>
      <c r="L114" s="81" t="s">
        <v>70</v>
      </c>
      <c r="M114" s="81" t="s">
        <v>70</v>
      </c>
      <c r="N114" s="81" t="s">
        <v>70</v>
      </c>
      <c r="O114" s="81" t="s">
        <v>70</v>
      </c>
      <c r="P114" s="137"/>
    </row>
    <row r="115" spans="1:18" x14ac:dyDescent="0.25">
      <c r="A115" s="136" t="s">
        <v>683</v>
      </c>
      <c r="B115" s="116" t="s">
        <v>684</v>
      </c>
      <c r="C115" s="113" t="s">
        <v>427</v>
      </c>
      <c r="D115" s="114">
        <v>46539</v>
      </c>
      <c r="E115" s="113" t="s">
        <v>433</v>
      </c>
      <c r="F115" s="115">
        <v>502.48</v>
      </c>
      <c r="G115" s="81" t="s">
        <v>70</v>
      </c>
      <c r="H115" s="81" t="s">
        <v>658</v>
      </c>
      <c r="I115" s="81" t="s">
        <v>70</v>
      </c>
      <c r="J115" s="81" t="s">
        <v>70</v>
      </c>
      <c r="K115" s="81" t="s">
        <v>70</v>
      </c>
      <c r="L115" s="81" t="s">
        <v>70</v>
      </c>
      <c r="M115" s="81" t="s">
        <v>70</v>
      </c>
      <c r="N115" s="81" t="s">
        <v>70</v>
      </c>
      <c r="O115" s="81" t="s">
        <v>70</v>
      </c>
      <c r="P115" s="137"/>
    </row>
    <row r="116" spans="1:18" x14ac:dyDescent="0.25">
      <c r="A116" s="136" t="s">
        <v>685</v>
      </c>
      <c r="B116" s="113" t="s">
        <v>686</v>
      </c>
      <c r="C116" s="113" t="s">
        <v>477</v>
      </c>
      <c r="D116" s="114">
        <v>46568</v>
      </c>
      <c r="E116" s="113" t="s">
        <v>433</v>
      </c>
      <c r="F116" s="115">
        <v>255</v>
      </c>
      <c r="G116" s="81" t="s">
        <v>70</v>
      </c>
      <c r="H116" s="81" t="s">
        <v>658</v>
      </c>
      <c r="I116" s="81" t="s">
        <v>70</v>
      </c>
      <c r="J116" s="81" t="s">
        <v>70</v>
      </c>
      <c r="K116" s="81" t="s">
        <v>70</v>
      </c>
      <c r="L116" s="81" t="s">
        <v>70</v>
      </c>
      <c r="M116" s="81" t="s">
        <v>70</v>
      </c>
      <c r="N116" s="81" t="s">
        <v>70</v>
      </c>
      <c r="O116" s="81" t="s">
        <v>70</v>
      </c>
      <c r="P116" s="137"/>
    </row>
    <row r="117" spans="1:18" x14ac:dyDescent="0.25">
      <c r="A117" s="138" t="s">
        <v>687</v>
      </c>
      <c r="B117" s="116" t="s">
        <v>688</v>
      </c>
      <c r="C117" s="113" t="s">
        <v>689</v>
      </c>
      <c r="D117" s="114">
        <v>46568</v>
      </c>
      <c r="E117" s="113" t="s">
        <v>404</v>
      </c>
      <c r="F117" s="115">
        <v>254.58</v>
      </c>
      <c r="G117" s="81" t="s">
        <v>70</v>
      </c>
      <c r="H117" s="81" t="s">
        <v>658</v>
      </c>
      <c r="I117" s="81" t="s">
        <v>70</v>
      </c>
      <c r="J117" s="81" t="s">
        <v>70</v>
      </c>
      <c r="K117" s="81" t="s">
        <v>70</v>
      </c>
      <c r="L117" s="81" t="s">
        <v>70</v>
      </c>
      <c r="M117" s="81" t="s">
        <v>70</v>
      </c>
      <c r="N117" s="81" t="s">
        <v>70</v>
      </c>
      <c r="O117" s="81" t="s">
        <v>70</v>
      </c>
      <c r="P117" s="137"/>
    </row>
    <row r="118" spans="1:18" x14ac:dyDescent="0.25">
      <c r="A118" s="136" t="s">
        <v>690</v>
      </c>
      <c r="B118" s="113" t="s">
        <v>691</v>
      </c>
      <c r="C118" s="113" t="s">
        <v>692</v>
      </c>
      <c r="D118" s="114">
        <v>46660</v>
      </c>
      <c r="E118" s="113" t="s">
        <v>404</v>
      </c>
      <c r="F118" s="115">
        <v>157.36000000000001</v>
      </c>
      <c r="G118" s="81" t="s">
        <v>70</v>
      </c>
      <c r="H118" s="81" t="s">
        <v>658</v>
      </c>
      <c r="I118" s="81" t="s">
        <v>70</v>
      </c>
      <c r="J118" s="81" t="s">
        <v>70</v>
      </c>
      <c r="K118" s="81" t="s">
        <v>70</v>
      </c>
      <c r="L118" s="81" t="s">
        <v>70</v>
      </c>
      <c r="M118" s="81" t="s">
        <v>70</v>
      </c>
      <c r="N118" s="81" t="s">
        <v>70</v>
      </c>
      <c r="O118" s="81" t="s">
        <v>70</v>
      </c>
      <c r="P118" s="137"/>
    </row>
    <row r="119" spans="1:18" x14ac:dyDescent="0.25">
      <c r="A119" s="138" t="s">
        <v>693</v>
      </c>
      <c r="B119" s="116" t="s">
        <v>694</v>
      </c>
      <c r="C119" s="113" t="s">
        <v>449</v>
      </c>
      <c r="D119" s="114">
        <v>46539</v>
      </c>
      <c r="E119" s="113" t="s">
        <v>433</v>
      </c>
      <c r="F119" s="115">
        <v>308.88</v>
      </c>
      <c r="G119" s="81" t="s">
        <v>70</v>
      </c>
      <c r="H119" s="81" t="s">
        <v>658</v>
      </c>
      <c r="I119" s="81" t="s">
        <v>658</v>
      </c>
      <c r="J119" s="81" t="s">
        <v>70</v>
      </c>
      <c r="K119" s="81" t="s">
        <v>70</v>
      </c>
      <c r="L119" s="81" t="s">
        <v>70</v>
      </c>
      <c r="M119" s="81" t="s">
        <v>70</v>
      </c>
      <c r="N119" s="81" t="s">
        <v>70</v>
      </c>
      <c r="O119" s="81" t="s">
        <v>70</v>
      </c>
      <c r="P119" s="137"/>
    </row>
    <row r="120" spans="1:18" x14ac:dyDescent="0.25">
      <c r="A120" s="138" t="s">
        <v>695</v>
      </c>
      <c r="B120" s="116" t="s">
        <v>696</v>
      </c>
      <c r="C120" s="113" t="s">
        <v>697</v>
      </c>
      <c r="D120" s="114">
        <v>46539</v>
      </c>
      <c r="E120" s="113" t="s">
        <v>433</v>
      </c>
      <c r="F120" s="115">
        <v>806.8</v>
      </c>
      <c r="G120" s="81" t="s">
        <v>70</v>
      </c>
      <c r="H120" s="81" t="s">
        <v>658</v>
      </c>
      <c r="I120" s="81" t="s">
        <v>658</v>
      </c>
      <c r="J120" s="81" t="s">
        <v>70</v>
      </c>
      <c r="K120" s="81" t="s">
        <v>70</v>
      </c>
      <c r="L120" s="81" t="s">
        <v>70</v>
      </c>
      <c r="M120" s="81" t="s">
        <v>70</v>
      </c>
      <c r="N120" s="81" t="s">
        <v>70</v>
      </c>
      <c r="O120" s="81" t="s">
        <v>70</v>
      </c>
      <c r="P120" s="137"/>
    </row>
    <row r="121" spans="1:18" x14ac:dyDescent="0.25">
      <c r="A121" s="136" t="s">
        <v>698</v>
      </c>
      <c r="B121" s="113" t="s">
        <v>699</v>
      </c>
      <c r="C121" s="113" t="s">
        <v>407</v>
      </c>
      <c r="D121" s="114">
        <v>46583</v>
      </c>
      <c r="E121" s="113" t="s">
        <v>433</v>
      </c>
      <c r="F121" s="115">
        <v>129.81</v>
      </c>
      <c r="G121" s="81" t="s">
        <v>70</v>
      </c>
      <c r="H121" s="81" t="s">
        <v>658</v>
      </c>
      <c r="I121" s="81" t="s">
        <v>658</v>
      </c>
      <c r="J121" s="81" t="s">
        <v>70</v>
      </c>
      <c r="K121" s="81" t="s">
        <v>70</v>
      </c>
      <c r="L121" s="81" t="s">
        <v>70</v>
      </c>
      <c r="M121" s="81" t="s">
        <v>70</v>
      </c>
      <c r="N121" s="81" t="s">
        <v>70</v>
      </c>
      <c r="O121" s="81" t="s">
        <v>70</v>
      </c>
      <c r="P121" s="137"/>
    </row>
    <row r="122" spans="1:18" x14ac:dyDescent="0.25">
      <c r="A122" s="136" t="s">
        <v>700</v>
      </c>
      <c r="B122" s="113" t="s">
        <v>701</v>
      </c>
      <c r="C122" s="113" t="s">
        <v>580</v>
      </c>
      <c r="D122" s="114">
        <v>46599</v>
      </c>
      <c r="E122" s="113" t="s">
        <v>433</v>
      </c>
      <c r="F122" s="115">
        <v>100.54</v>
      </c>
      <c r="G122" s="81" t="s">
        <v>70</v>
      </c>
      <c r="H122" s="81" t="s">
        <v>658</v>
      </c>
      <c r="I122" s="81" t="s">
        <v>658</v>
      </c>
      <c r="J122" s="81" t="s">
        <v>70</v>
      </c>
      <c r="K122" s="81" t="s">
        <v>70</v>
      </c>
      <c r="L122" s="81" t="s">
        <v>70</v>
      </c>
      <c r="M122" s="81" t="s">
        <v>70</v>
      </c>
      <c r="N122" s="81" t="s">
        <v>70</v>
      </c>
      <c r="O122" s="81" t="s">
        <v>70</v>
      </c>
      <c r="P122" s="137"/>
    </row>
    <row r="123" spans="1:18" x14ac:dyDescent="0.25">
      <c r="A123" s="136" t="s">
        <v>702</v>
      </c>
      <c r="B123" s="113" t="s">
        <v>703</v>
      </c>
      <c r="C123" s="113" t="s">
        <v>580</v>
      </c>
      <c r="D123" s="114">
        <v>46599</v>
      </c>
      <c r="E123" s="113" t="s">
        <v>408</v>
      </c>
      <c r="F123" s="115">
        <v>307.72000000000003</v>
      </c>
      <c r="G123" s="81" t="s">
        <v>70</v>
      </c>
      <c r="H123" s="81" t="s">
        <v>658</v>
      </c>
      <c r="I123" s="81" t="s">
        <v>658</v>
      </c>
      <c r="J123" s="81" t="s">
        <v>70</v>
      </c>
      <c r="K123" s="81" t="s">
        <v>70</v>
      </c>
      <c r="L123" s="81" t="s">
        <v>70</v>
      </c>
      <c r="M123" s="81" t="s">
        <v>70</v>
      </c>
      <c r="N123" s="81" t="s">
        <v>70</v>
      </c>
      <c r="O123" s="81" t="s">
        <v>70</v>
      </c>
      <c r="P123" s="137"/>
    </row>
    <row r="124" spans="1:18" x14ac:dyDescent="0.25">
      <c r="A124" s="136" t="s">
        <v>704</v>
      </c>
      <c r="B124" s="116" t="s">
        <v>705</v>
      </c>
      <c r="C124" s="113" t="s">
        <v>706</v>
      </c>
      <c r="D124" s="114">
        <v>46599</v>
      </c>
      <c r="E124" s="113" t="s">
        <v>408</v>
      </c>
      <c r="F124" s="115">
        <v>307.23</v>
      </c>
      <c r="G124" s="81" t="s">
        <v>70</v>
      </c>
      <c r="H124" s="81" t="s">
        <v>658</v>
      </c>
      <c r="I124" s="81" t="s">
        <v>658</v>
      </c>
      <c r="J124" s="81" t="s">
        <v>70</v>
      </c>
      <c r="K124" s="81" t="s">
        <v>70</v>
      </c>
      <c r="L124" s="81" t="s">
        <v>70</v>
      </c>
      <c r="M124" s="81" t="s">
        <v>70</v>
      </c>
      <c r="N124" s="81" t="s">
        <v>70</v>
      </c>
      <c r="O124" s="81" t="s">
        <v>70</v>
      </c>
      <c r="P124" s="137"/>
    </row>
    <row r="125" spans="1:18" x14ac:dyDescent="0.25">
      <c r="A125" s="139" t="s">
        <v>707</v>
      </c>
      <c r="B125" s="117" t="s">
        <v>708</v>
      </c>
      <c r="C125" s="113" t="s">
        <v>580</v>
      </c>
      <c r="D125" s="114">
        <v>46599</v>
      </c>
      <c r="E125" s="113" t="s">
        <v>433</v>
      </c>
      <c r="F125" s="115">
        <v>301.44</v>
      </c>
      <c r="G125" s="81" t="s">
        <v>70</v>
      </c>
      <c r="H125" s="81" t="s">
        <v>658</v>
      </c>
      <c r="I125" s="81" t="s">
        <v>658</v>
      </c>
      <c r="J125" s="81" t="s">
        <v>70</v>
      </c>
      <c r="K125" s="81" t="s">
        <v>70</v>
      </c>
      <c r="L125" s="81" t="s">
        <v>70</v>
      </c>
      <c r="M125" s="81" t="s">
        <v>70</v>
      </c>
      <c r="N125" s="81" t="s">
        <v>70</v>
      </c>
      <c r="O125" s="81" t="s">
        <v>70</v>
      </c>
      <c r="P125" s="137"/>
    </row>
    <row r="126" spans="1:18" x14ac:dyDescent="0.25">
      <c r="A126" s="136" t="s">
        <v>709</v>
      </c>
      <c r="B126" s="113" t="s">
        <v>710</v>
      </c>
      <c r="C126" s="113" t="s">
        <v>706</v>
      </c>
      <c r="D126" s="114">
        <v>46599</v>
      </c>
      <c r="E126" s="113" t="s">
        <v>408</v>
      </c>
      <c r="F126" s="115">
        <v>300.27</v>
      </c>
      <c r="G126" s="81" t="s">
        <v>70</v>
      </c>
      <c r="H126" s="81" t="s">
        <v>658</v>
      </c>
      <c r="I126" s="81" t="s">
        <v>658</v>
      </c>
      <c r="J126" s="81" t="s">
        <v>70</v>
      </c>
      <c r="K126" s="81" t="s">
        <v>70</v>
      </c>
      <c r="L126" s="81" t="s">
        <v>70</v>
      </c>
      <c r="M126" s="81" t="s">
        <v>70</v>
      </c>
      <c r="N126" s="81" t="s">
        <v>70</v>
      </c>
      <c r="O126" s="81" t="s">
        <v>70</v>
      </c>
      <c r="P126" s="137"/>
    </row>
    <row r="127" spans="1:18" x14ac:dyDescent="0.25">
      <c r="A127" s="136" t="s">
        <v>711</v>
      </c>
      <c r="B127" s="113" t="s">
        <v>712</v>
      </c>
      <c r="C127" s="113" t="s">
        <v>580</v>
      </c>
      <c r="D127" s="114">
        <v>46599</v>
      </c>
      <c r="E127" s="113" t="s">
        <v>433</v>
      </c>
      <c r="F127" s="115">
        <v>200.95</v>
      </c>
      <c r="G127" s="81" t="s">
        <v>70</v>
      </c>
      <c r="H127" s="81" t="s">
        <v>658</v>
      </c>
      <c r="I127" s="81" t="s">
        <v>658</v>
      </c>
      <c r="J127" s="81" t="s">
        <v>70</v>
      </c>
      <c r="K127" s="81" t="s">
        <v>70</v>
      </c>
      <c r="L127" s="81" t="s">
        <v>70</v>
      </c>
      <c r="M127" s="81" t="s">
        <v>70</v>
      </c>
      <c r="N127" s="81" t="s">
        <v>70</v>
      </c>
      <c r="O127" s="81" t="s">
        <v>70</v>
      </c>
      <c r="P127" s="137"/>
    </row>
    <row r="128" spans="1:18" x14ac:dyDescent="0.25">
      <c r="A128" s="139" t="s">
        <v>713</v>
      </c>
      <c r="B128" s="113" t="s">
        <v>714</v>
      </c>
      <c r="C128" s="113" t="s">
        <v>427</v>
      </c>
      <c r="D128" s="114">
        <v>46604</v>
      </c>
      <c r="E128" s="113" t="s">
        <v>404</v>
      </c>
      <c r="F128" s="115">
        <v>317.2</v>
      </c>
      <c r="G128" s="81" t="s">
        <v>70</v>
      </c>
      <c r="H128" s="81" t="s">
        <v>658</v>
      </c>
      <c r="I128" s="81" t="s">
        <v>658</v>
      </c>
      <c r="J128" s="81" t="s">
        <v>70</v>
      </c>
      <c r="K128" s="81" t="s">
        <v>70</v>
      </c>
      <c r="L128" s="81" t="s">
        <v>70</v>
      </c>
      <c r="M128" s="81" t="s">
        <v>70</v>
      </c>
      <c r="N128" s="81" t="s">
        <v>70</v>
      </c>
      <c r="O128" s="81" t="s">
        <v>70</v>
      </c>
      <c r="P128" s="137"/>
    </row>
    <row r="129" spans="1:18" x14ac:dyDescent="0.25">
      <c r="A129" s="138" t="s">
        <v>715</v>
      </c>
      <c r="B129" s="116" t="s">
        <v>716</v>
      </c>
      <c r="C129" s="113" t="s">
        <v>717</v>
      </c>
      <c r="D129" s="114">
        <v>46607</v>
      </c>
      <c r="E129" s="113" t="s">
        <v>433</v>
      </c>
      <c r="F129" s="115">
        <v>101.5</v>
      </c>
      <c r="G129" s="81" t="s">
        <v>70</v>
      </c>
      <c r="H129" s="81" t="s">
        <v>658</v>
      </c>
      <c r="I129" s="81" t="s">
        <v>658</v>
      </c>
      <c r="J129" s="81" t="s">
        <v>70</v>
      </c>
      <c r="K129" s="81" t="s">
        <v>70</v>
      </c>
      <c r="L129" s="81" t="s">
        <v>70</v>
      </c>
      <c r="M129" s="81" t="s">
        <v>70</v>
      </c>
      <c r="N129" s="81" t="s">
        <v>70</v>
      </c>
      <c r="O129" s="81" t="s">
        <v>70</v>
      </c>
      <c r="P129" s="137"/>
    </row>
    <row r="130" spans="1:18" x14ac:dyDescent="0.25">
      <c r="A130" s="136" t="s">
        <v>718</v>
      </c>
      <c r="B130" s="116" t="s">
        <v>719</v>
      </c>
      <c r="C130" s="113" t="s">
        <v>720</v>
      </c>
      <c r="D130" s="114">
        <v>46629</v>
      </c>
      <c r="E130" s="113" t="s">
        <v>404</v>
      </c>
      <c r="F130" s="115">
        <v>205.4</v>
      </c>
      <c r="G130" s="81" t="s">
        <v>70</v>
      </c>
      <c r="H130" s="81" t="s">
        <v>658</v>
      </c>
      <c r="I130" s="81" t="s">
        <v>658</v>
      </c>
      <c r="J130" s="81" t="s">
        <v>70</v>
      </c>
      <c r="K130" s="81" t="s">
        <v>70</v>
      </c>
      <c r="L130" s="81" t="s">
        <v>70</v>
      </c>
      <c r="M130" s="81" t="s">
        <v>70</v>
      </c>
      <c r="N130" s="81" t="s">
        <v>70</v>
      </c>
      <c r="O130" s="81" t="s">
        <v>70</v>
      </c>
      <c r="P130" s="137"/>
    </row>
    <row r="131" spans="1:18" x14ac:dyDescent="0.25">
      <c r="A131" s="136" t="s">
        <v>721</v>
      </c>
      <c r="B131" s="113" t="s">
        <v>722</v>
      </c>
      <c r="C131" s="113" t="s">
        <v>463</v>
      </c>
      <c r="D131" s="114">
        <v>46631</v>
      </c>
      <c r="E131" s="113" t="s">
        <v>433</v>
      </c>
      <c r="F131" s="115">
        <v>305.60000000000002</v>
      </c>
      <c r="G131" s="81" t="s">
        <v>70</v>
      </c>
      <c r="H131" s="81" t="s">
        <v>658</v>
      </c>
      <c r="I131" s="81" t="s">
        <v>658</v>
      </c>
      <c r="J131" s="81" t="s">
        <v>70</v>
      </c>
      <c r="K131" s="81" t="s">
        <v>70</v>
      </c>
      <c r="L131" s="81" t="s">
        <v>70</v>
      </c>
      <c r="M131" s="81" t="s">
        <v>70</v>
      </c>
      <c r="N131" s="81" t="s">
        <v>70</v>
      </c>
      <c r="O131" s="81" t="s">
        <v>70</v>
      </c>
      <c r="P131" s="137"/>
    </row>
    <row r="132" spans="1:18" x14ac:dyDescent="0.25">
      <c r="A132" s="136" t="s">
        <v>723</v>
      </c>
      <c r="B132" s="116" t="s">
        <v>724</v>
      </c>
      <c r="C132" s="113" t="s">
        <v>449</v>
      </c>
      <c r="D132" s="114">
        <v>46631</v>
      </c>
      <c r="E132" s="113" t="s">
        <v>433</v>
      </c>
      <c r="F132" s="115">
        <v>256.23</v>
      </c>
      <c r="G132" s="81" t="s">
        <v>70</v>
      </c>
      <c r="H132" s="81" t="s">
        <v>658</v>
      </c>
      <c r="I132" s="81" t="s">
        <v>658</v>
      </c>
      <c r="J132" s="81" t="s">
        <v>70</v>
      </c>
      <c r="K132" s="81" t="s">
        <v>70</v>
      </c>
      <c r="L132" s="81" t="s">
        <v>70</v>
      </c>
      <c r="M132" s="81" t="s">
        <v>70</v>
      </c>
      <c r="N132" s="81" t="s">
        <v>70</v>
      </c>
      <c r="O132" s="81" t="s">
        <v>70</v>
      </c>
      <c r="P132" s="137"/>
    </row>
    <row r="133" spans="1:18" x14ac:dyDescent="0.25">
      <c r="A133" s="136" t="s">
        <v>725</v>
      </c>
      <c r="B133" s="116" t="s">
        <v>726</v>
      </c>
      <c r="C133" s="113" t="s">
        <v>528</v>
      </c>
      <c r="D133" s="114">
        <v>46645</v>
      </c>
      <c r="E133" s="113" t="s">
        <v>433</v>
      </c>
      <c r="F133" s="115">
        <v>323.7</v>
      </c>
      <c r="G133" s="81" t="s">
        <v>70</v>
      </c>
      <c r="H133" s="81" t="s">
        <v>658</v>
      </c>
      <c r="I133" s="81" t="s">
        <v>658</v>
      </c>
      <c r="J133" s="81" t="s">
        <v>70</v>
      </c>
      <c r="K133" s="81" t="s">
        <v>70</v>
      </c>
      <c r="L133" s="81" t="s">
        <v>70</v>
      </c>
      <c r="M133" s="81" t="s">
        <v>70</v>
      </c>
      <c r="N133" s="81" t="s">
        <v>70</v>
      </c>
      <c r="O133" s="81" t="s">
        <v>70</v>
      </c>
      <c r="P133" s="137"/>
    </row>
    <row r="134" spans="1:18" x14ac:dyDescent="0.25">
      <c r="A134" s="136" t="s">
        <v>727</v>
      </c>
      <c r="B134" s="113" t="s">
        <v>728</v>
      </c>
      <c r="C134" s="113" t="s">
        <v>528</v>
      </c>
      <c r="D134" s="114">
        <v>46645</v>
      </c>
      <c r="E134" s="113" t="s">
        <v>404</v>
      </c>
      <c r="F134" s="115">
        <v>70.39</v>
      </c>
      <c r="G134" s="81" t="s">
        <v>70</v>
      </c>
      <c r="H134" s="81" t="s">
        <v>658</v>
      </c>
      <c r="I134" s="81" t="s">
        <v>658</v>
      </c>
      <c r="J134" s="81" t="s">
        <v>70</v>
      </c>
      <c r="K134" s="81" t="s">
        <v>70</v>
      </c>
      <c r="L134" s="81" t="s">
        <v>70</v>
      </c>
      <c r="M134" s="81" t="s">
        <v>70</v>
      </c>
      <c r="N134" s="81" t="s">
        <v>70</v>
      </c>
      <c r="O134" s="81" t="s">
        <v>70</v>
      </c>
      <c r="P134" s="137"/>
    </row>
    <row r="135" spans="1:18" x14ac:dyDescent="0.25">
      <c r="A135" s="136" t="s">
        <v>729</v>
      </c>
      <c r="B135" s="113" t="s">
        <v>730</v>
      </c>
      <c r="C135" s="113" t="s">
        <v>731</v>
      </c>
      <c r="D135" s="114">
        <v>46675</v>
      </c>
      <c r="E135" s="113" t="s">
        <v>433</v>
      </c>
      <c r="F135" s="115">
        <v>120.86</v>
      </c>
      <c r="G135" s="81" t="s">
        <v>70</v>
      </c>
      <c r="H135" s="81" t="s">
        <v>658</v>
      </c>
      <c r="I135" s="81" t="s">
        <v>658</v>
      </c>
      <c r="J135" s="81" t="s">
        <v>70</v>
      </c>
      <c r="K135" s="81" t="s">
        <v>70</v>
      </c>
      <c r="L135" s="81" t="s">
        <v>70</v>
      </c>
      <c r="M135" s="81" t="s">
        <v>70</v>
      </c>
      <c r="N135" s="81" t="s">
        <v>70</v>
      </c>
      <c r="O135" s="81" t="s">
        <v>70</v>
      </c>
      <c r="P135" s="137"/>
      <c r="Q135" s="121"/>
      <c r="R135" s="122"/>
    </row>
    <row r="136" spans="1:18" x14ac:dyDescent="0.25">
      <c r="A136" s="136" t="s">
        <v>732</v>
      </c>
      <c r="B136" s="116" t="s">
        <v>733</v>
      </c>
      <c r="C136" s="113" t="s">
        <v>731</v>
      </c>
      <c r="D136" s="114">
        <v>46675</v>
      </c>
      <c r="E136" s="113" t="s">
        <v>433</v>
      </c>
      <c r="F136" s="115">
        <v>120.63</v>
      </c>
      <c r="G136" s="81" t="s">
        <v>70</v>
      </c>
      <c r="H136" s="81" t="s">
        <v>658</v>
      </c>
      <c r="I136" s="81" t="s">
        <v>658</v>
      </c>
      <c r="J136" s="81" t="s">
        <v>70</v>
      </c>
      <c r="K136" s="81" t="s">
        <v>70</v>
      </c>
      <c r="L136" s="81" t="s">
        <v>70</v>
      </c>
      <c r="M136" s="81" t="s">
        <v>70</v>
      </c>
      <c r="N136" s="81" t="s">
        <v>70</v>
      </c>
      <c r="O136" s="81" t="s">
        <v>70</v>
      </c>
      <c r="P136" s="137"/>
    </row>
    <row r="137" spans="1:18" x14ac:dyDescent="0.25">
      <c r="A137" s="136" t="s">
        <v>734</v>
      </c>
      <c r="B137" s="113" t="s">
        <v>735</v>
      </c>
      <c r="C137" s="113" t="s">
        <v>427</v>
      </c>
      <c r="D137" s="114">
        <v>46722</v>
      </c>
      <c r="E137" s="113" t="s">
        <v>404</v>
      </c>
      <c r="F137" s="115">
        <v>362</v>
      </c>
      <c r="G137" s="81" t="s">
        <v>70</v>
      </c>
      <c r="H137" s="81" t="s">
        <v>658</v>
      </c>
      <c r="I137" s="81" t="s">
        <v>658</v>
      </c>
      <c r="J137" s="81" t="s">
        <v>70</v>
      </c>
      <c r="K137" s="81" t="s">
        <v>70</v>
      </c>
      <c r="L137" s="81" t="s">
        <v>70</v>
      </c>
      <c r="M137" s="81" t="s">
        <v>70</v>
      </c>
      <c r="N137" s="81" t="s">
        <v>70</v>
      </c>
      <c r="O137" s="81" t="s">
        <v>70</v>
      </c>
      <c r="P137" s="137"/>
    </row>
    <row r="138" spans="1:18" x14ac:dyDescent="0.25">
      <c r="A138" s="136" t="s">
        <v>736</v>
      </c>
      <c r="B138" s="113" t="s">
        <v>737</v>
      </c>
      <c r="C138" s="113" t="s">
        <v>738</v>
      </c>
      <c r="D138" s="114">
        <v>46736</v>
      </c>
      <c r="E138" s="113" t="s">
        <v>415</v>
      </c>
      <c r="F138" s="115">
        <v>674</v>
      </c>
      <c r="G138" s="81" t="s">
        <v>70</v>
      </c>
      <c r="H138" s="81" t="s">
        <v>658</v>
      </c>
      <c r="I138" s="81" t="s">
        <v>658</v>
      </c>
      <c r="J138" s="81" t="s">
        <v>70</v>
      </c>
      <c r="K138" s="81" t="s">
        <v>70</v>
      </c>
      <c r="L138" s="81" t="s">
        <v>70</v>
      </c>
      <c r="M138" s="81" t="s">
        <v>70</v>
      </c>
      <c r="N138" s="81" t="s">
        <v>70</v>
      </c>
      <c r="O138" s="81" t="s">
        <v>70</v>
      </c>
      <c r="P138" s="137"/>
    </row>
    <row r="139" spans="1:18" x14ac:dyDescent="0.25">
      <c r="A139" s="136" t="s">
        <v>739</v>
      </c>
      <c r="B139" s="113" t="s">
        <v>740</v>
      </c>
      <c r="C139" s="113" t="s">
        <v>588</v>
      </c>
      <c r="D139" s="114">
        <v>46752</v>
      </c>
      <c r="E139" s="113" t="s">
        <v>433</v>
      </c>
      <c r="F139" s="115">
        <v>203.8</v>
      </c>
      <c r="G139" s="81" t="s">
        <v>70</v>
      </c>
      <c r="H139" s="81" t="s">
        <v>658</v>
      </c>
      <c r="I139" s="81" t="s">
        <v>658</v>
      </c>
      <c r="J139" s="81" t="s">
        <v>70</v>
      </c>
      <c r="K139" s="81" t="s">
        <v>70</v>
      </c>
      <c r="L139" s="81" t="s">
        <v>70</v>
      </c>
      <c r="M139" s="81" t="s">
        <v>70</v>
      </c>
      <c r="N139" s="81" t="s">
        <v>70</v>
      </c>
      <c r="O139" s="81" t="s">
        <v>70</v>
      </c>
      <c r="P139" s="137"/>
    </row>
    <row r="140" spans="1:18" x14ac:dyDescent="0.25">
      <c r="A140" s="136" t="s">
        <v>741</v>
      </c>
      <c r="B140" s="113" t="s">
        <v>742</v>
      </c>
      <c r="C140" s="113" t="s">
        <v>502</v>
      </c>
      <c r="D140" s="114">
        <v>46752</v>
      </c>
      <c r="E140" s="113" t="s">
        <v>404</v>
      </c>
      <c r="F140" s="115">
        <v>306.26</v>
      </c>
      <c r="G140" s="81" t="s">
        <v>70</v>
      </c>
      <c r="H140" s="81" t="s">
        <v>658</v>
      </c>
      <c r="I140" s="81" t="s">
        <v>658</v>
      </c>
      <c r="J140" s="81" t="s">
        <v>70</v>
      </c>
      <c r="K140" s="81" t="s">
        <v>70</v>
      </c>
      <c r="L140" s="81" t="s">
        <v>70</v>
      </c>
      <c r="M140" s="81" t="s">
        <v>70</v>
      </c>
      <c r="N140" s="81" t="s">
        <v>70</v>
      </c>
      <c r="O140" s="81" t="s">
        <v>70</v>
      </c>
      <c r="P140" s="137"/>
    </row>
    <row r="141" spans="1:18" x14ac:dyDescent="0.25">
      <c r="A141" s="136" t="s">
        <v>743</v>
      </c>
      <c r="B141" s="113" t="s">
        <v>744</v>
      </c>
      <c r="C141" s="113" t="s">
        <v>745</v>
      </c>
      <c r="D141" s="114">
        <v>46539</v>
      </c>
      <c r="E141" s="113" t="s">
        <v>433</v>
      </c>
      <c r="F141" s="115">
        <v>208.95</v>
      </c>
      <c r="G141" s="81" t="s">
        <v>70</v>
      </c>
      <c r="H141" s="81" t="s">
        <v>658</v>
      </c>
      <c r="I141" s="81" t="s">
        <v>658</v>
      </c>
      <c r="J141" s="81" t="s">
        <v>70</v>
      </c>
      <c r="K141" s="81" t="s">
        <v>658</v>
      </c>
      <c r="L141" s="81" t="s">
        <v>70</v>
      </c>
      <c r="M141" s="81" t="s">
        <v>70</v>
      </c>
      <c r="N141" s="81" t="s">
        <v>70</v>
      </c>
      <c r="O141" s="81" t="s">
        <v>70</v>
      </c>
      <c r="P141" s="137"/>
    </row>
    <row r="142" spans="1:18" x14ac:dyDescent="0.25">
      <c r="A142" s="136" t="s">
        <v>746</v>
      </c>
      <c r="B142" s="113" t="s">
        <v>747</v>
      </c>
      <c r="C142" s="113" t="s">
        <v>745</v>
      </c>
      <c r="D142" s="114">
        <v>46539</v>
      </c>
      <c r="E142" s="113" t="s">
        <v>404</v>
      </c>
      <c r="F142" s="115">
        <v>207.96</v>
      </c>
      <c r="G142" s="81" t="s">
        <v>70</v>
      </c>
      <c r="H142" s="81" t="s">
        <v>658</v>
      </c>
      <c r="I142" s="81" t="s">
        <v>658</v>
      </c>
      <c r="J142" s="81" t="s">
        <v>70</v>
      </c>
      <c r="K142" s="81" t="s">
        <v>658</v>
      </c>
      <c r="L142" s="81" t="s">
        <v>70</v>
      </c>
      <c r="M142" s="81" t="s">
        <v>70</v>
      </c>
      <c r="N142" s="81" t="s">
        <v>70</v>
      </c>
      <c r="O142" s="81" t="s">
        <v>70</v>
      </c>
      <c r="P142" s="137"/>
    </row>
    <row r="143" spans="1:18" x14ac:dyDescent="0.25">
      <c r="A143" s="139" t="s">
        <v>748</v>
      </c>
      <c r="B143" s="117" t="s">
        <v>749</v>
      </c>
      <c r="C143" s="113" t="s">
        <v>679</v>
      </c>
      <c r="D143" s="114">
        <v>46752</v>
      </c>
      <c r="E143" s="113" t="s">
        <v>408</v>
      </c>
      <c r="F143" s="115">
        <v>141.5</v>
      </c>
      <c r="G143" s="81" t="s">
        <v>70</v>
      </c>
      <c r="H143" s="81" t="s">
        <v>658</v>
      </c>
      <c r="I143" s="81" t="s">
        <v>658</v>
      </c>
      <c r="J143" s="81" t="s">
        <v>70</v>
      </c>
      <c r="K143" s="81" t="s">
        <v>658</v>
      </c>
      <c r="L143" s="81" t="s">
        <v>70</v>
      </c>
      <c r="M143" s="81" t="s">
        <v>70</v>
      </c>
      <c r="N143" s="81" t="s">
        <v>70</v>
      </c>
      <c r="O143" s="81" t="s">
        <v>70</v>
      </c>
      <c r="P143" s="137"/>
    </row>
    <row r="144" spans="1:18" x14ac:dyDescent="0.25">
      <c r="A144" s="139" t="s">
        <v>750</v>
      </c>
      <c r="B144" s="117" t="s">
        <v>751</v>
      </c>
      <c r="C144" s="113" t="s">
        <v>466</v>
      </c>
      <c r="D144" s="114">
        <v>46853</v>
      </c>
      <c r="E144" s="113" t="s">
        <v>433</v>
      </c>
      <c r="F144" s="115">
        <v>149.5</v>
      </c>
      <c r="G144" s="81" t="s">
        <v>70</v>
      </c>
      <c r="H144" s="81" t="s">
        <v>658</v>
      </c>
      <c r="I144" s="81" t="s">
        <v>658</v>
      </c>
      <c r="J144" s="81" t="s">
        <v>658</v>
      </c>
      <c r="K144" s="81" t="s">
        <v>658</v>
      </c>
      <c r="L144" s="81" t="s">
        <v>70</v>
      </c>
      <c r="M144" s="81" t="s">
        <v>70</v>
      </c>
      <c r="N144" s="81" t="s">
        <v>70</v>
      </c>
      <c r="O144" s="81" t="s">
        <v>70</v>
      </c>
      <c r="P144" s="137"/>
    </row>
    <row r="145" spans="1:18" x14ac:dyDescent="0.25">
      <c r="A145" s="136" t="s">
        <v>752</v>
      </c>
      <c r="B145" s="113" t="s">
        <v>753</v>
      </c>
      <c r="C145" s="113" t="s">
        <v>466</v>
      </c>
      <c r="D145" s="114">
        <v>46853</v>
      </c>
      <c r="E145" s="113" t="s">
        <v>404</v>
      </c>
      <c r="F145" s="115">
        <v>98.6</v>
      </c>
      <c r="G145" s="81" t="s">
        <v>70</v>
      </c>
      <c r="H145" s="81" t="s">
        <v>658</v>
      </c>
      <c r="I145" s="81" t="s">
        <v>658</v>
      </c>
      <c r="J145" s="81" t="s">
        <v>658</v>
      </c>
      <c r="K145" s="81" t="s">
        <v>658</v>
      </c>
      <c r="L145" s="81" t="s">
        <v>70</v>
      </c>
      <c r="M145" s="81" t="s">
        <v>70</v>
      </c>
      <c r="N145" s="81" t="s">
        <v>70</v>
      </c>
      <c r="O145" s="81" t="s">
        <v>70</v>
      </c>
      <c r="P145" s="137"/>
      <c r="Q145" s="121"/>
      <c r="R145" s="122"/>
    </row>
    <row r="146" spans="1:18" x14ac:dyDescent="0.25">
      <c r="A146" s="136" t="s">
        <v>754</v>
      </c>
      <c r="B146" s="113" t="s">
        <v>755</v>
      </c>
      <c r="C146" s="113" t="s">
        <v>502</v>
      </c>
      <c r="D146" s="114">
        <v>46882</v>
      </c>
      <c r="E146" s="113" t="s">
        <v>433</v>
      </c>
      <c r="F146" s="115">
        <v>182</v>
      </c>
      <c r="G146" s="81" t="s">
        <v>70</v>
      </c>
      <c r="H146" s="81" t="s">
        <v>658</v>
      </c>
      <c r="I146" s="81" t="s">
        <v>658</v>
      </c>
      <c r="J146" s="81" t="s">
        <v>658</v>
      </c>
      <c r="K146" s="81" t="s">
        <v>658</v>
      </c>
      <c r="L146" s="81" t="s">
        <v>70</v>
      </c>
      <c r="M146" s="81" t="s">
        <v>70</v>
      </c>
      <c r="N146" s="81" t="s">
        <v>70</v>
      </c>
      <c r="O146" s="81" t="s">
        <v>70</v>
      </c>
      <c r="P146" s="137"/>
    </row>
    <row r="147" spans="1:18" x14ac:dyDescent="0.25">
      <c r="A147" s="138" t="s">
        <v>756</v>
      </c>
      <c r="B147" s="116" t="s">
        <v>757</v>
      </c>
      <c r="C147" s="113" t="s">
        <v>502</v>
      </c>
      <c r="D147" s="114">
        <v>46882</v>
      </c>
      <c r="E147" s="113" t="s">
        <v>404</v>
      </c>
      <c r="F147" s="115">
        <v>94</v>
      </c>
      <c r="G147" s="81" t="s">
        <v>70</v>
      </c>
      <c r="H147" s="81" t="s">
        <v>658</v>
      </c>
      <c r="I147" s="81" t="s">
        <v>658</v>
      </c>
      <c r="J147" s="81" t="s">
        <v>658</v>
      </c>
      <c r="K147" s="81" t="s">
        <v>658</v>
      </c>
      <c r="L147" s="81" t="s">
        <v>70</v>
      </c>
      <c r="M147" s="81" t="s">
        <v>70</v>
      </c>
      <c r="N147" s="81" t="s">
        <v>70</v>
      </c>
      <c r="O147" s="81" t="s">
        <v>70</v>
      </c>
      <c r="P147" s="137"/>
    </row>
    <row r="148" spans="1:18" x14ac:dyDescent="0.25">
      <c r="A148" s="136" t="s">
        <v>758</v>
      </c>
      <c r="B148" s="113" t="s">
        <v>759</v>
      </c>
      <c r="C148" s="113" t="s">
        <v>630</v>
      </c>
      <c r="D148" s="114">
        <v>46935</v>
      </c>
      <c r="E148" s="113" t="s">
        <v>433</v>
      </c>
      <c r="F148" s="115">
        <v>307</v>
      </c>
      <c r="G148" s="81" t="s">
        <v>70</v>
      </c>
      <c r="H148" s="81" t="s">
        <v>658</v>
      </c>
      <c r="I148" s="81" t="s">
        <v>658</v>
      </c>
      <c r="J148" s="81" t="s">
        <v>658</v>
      </c>
      <c r="K148" s="81" t="s">
        <v>658</v>
      </c>
      <c r="L148" s="81" t="s">
        <v>70</v>
      </c>
      <c r="M148" s="81" t="s">
        <v>70</v>
      </c>
      <c r="N148" s="81" t="s">
        <v>70</v>
      </c>
      <c r="O148" s="81" t="s">
        <v>70</v>
      </c>
      <c r="P148" s="137"/>
    </row>
    <row r="149" spans="1:18" x14ac:dyDescent="0.25">
      <c r="A149" s="136" t="s">
        <v>760</v>
      </c>
      <c r="B149" s="113" t="s">
        <v>761</v>
      </c>
      <c r="C149" s="113" t="s">
        <v>762</v>
      </c>
      <c r="D149" s="114">
        <v>47179</v>
      </c>
      <c r="E149" s="113" t="s">
        <v>433</v>
      </c>
      <c r="F149" s="115">
        <v>625</v>
      </c>
      <c r="G149" s="81" t="s">
        <v>70</v>
      </c>
      <c r="H149" s="81" t="s">
        <v>658</v>
      </c>
      <c r="I149" s="81" t="s">
        <v>658</v>
      </c>
      <c r="J149" s="81" t="s">
        <v>658</v>
      </c>
      <c r="K149" s="81" t="s">
        <v>70</v>
      </c>
      <c r="L149" s="81" t="s">
        <v>658</v>
      </c>
      <c r="M149" s="81" t="s">
        <v>70</v>
      </c>
      <c r="N149" s="81" t="s">
        <v>70</v>
      </c>
      <c r="O149" s="81" t="s">
        <v>70</v>
      </c>
      <c r="P149" s="137"/>
    </row>
    <row r="150" spans="1:18" x14ac:dyDescent="0.25">
      <c r="A150" s="136" t="s">
        <v>763</v>
      </c>
      <c r="B150" s="116" t="s">
        <v>764</v>
      </c>
      <c r="C150" s="113" t="s">
        <v>427</v>
      </c>
      <c r="D150" s="114">
        <v>46930</v>
      </c>
      <c r="E150" s="113" t="s">
        <v>433</v>
      </c>
      <c r="F150" s="115">
        <v>152.25</v>
      </c>
      <c r="G150" s="81" t="s">
        <v>70</v>
      </c>
      <c r="H150" s="81" t="s">
        <v>658</v>
      </c>
      <c r="I150" s="81" t="s">
        <v>658</v>
      </c>
      <c r="J150" s="81" t="s">
        <v>658</v>
      </c>
      <c r="K150" s="81" t="s">
        <v>658</v>
      </c>
      <c r="L150" s="81" t="s">
        <v>658</v>
      </c>
      <c r="M150" s="81" t="s">
        <v>70</v>
      </c>
      <c r="N150" s="81" t="s">
        <v>70</v>
      </c>
      <c r="O150" s="81" t="s">
        <v>70</v>
      </c>
      <c r="P150" s="137"/>
    </row>
    <row r="151" spans="1:18" x14ac:dyDescent="0.25">
      <c r="A151" s="136" t="s">
        <v>765</v>
      </c>
      <c r="B151" s="113" t="s">
        <v>766</v>
      </c>
      <c r="C151" s="113" t="s">
        <v>767</v>
      </c>
      <c r="D151" s="114">
        <v>46934</v>
      </c>
      <c r="E151" s="113" t="s">
        <v>433</v>
      </c>
      <c r="F151" s="115">
        <v>457.5</v>
      </c>
      <c r="G151" s="81" t="s">
        <v>70</v>
      </c>
      <c r="H151" s="81" t="s">
        <v>658</v>
      </c>
      <c r="I151" s="81" t="s">
        <v>658</v>
      </c>
      <c r="J151" s="81" t="s">
        <v>658</v>
      </c>
      <c r="K151" s="81" t="s">
        <v>658</v>
      </c>
      <c r="L151" s="81" t="s">
        <v>658</v>
      </c>
      <c r="M151" s="81" t="s">
        <v>70</v>
      </c>
      <c r="N151" s="81" t="s">
        <v>70</v>
      </c>
      <c r="O151" s="81" t="s">
        <v>70</v>
      </c>
      <c r="P151" s="137"/>
    </row>
    <row r="152" spans="1:18" x14ac:dyDescent="0.25">
      <c r="A152" s="138" t="s">
        <v>768</v>
      </c>
      <c r="B152" s="116" t="s">
        <v>769</v>
      </c>
      <c r="C152" s="113" t="s">
        <v>411</v>
      </c>
      <c r="D152" s="114">
        <v>47116</v>
      </c>
      <c r="E152" s="113" t="s">
        <v>404</v>
      </c>
      <c r="F152" s="115">
        <v>50</v>
      </c>
      <c r="G152" s="81" t="s">
        <v>70</v>
      </c>
      <c r="H152" s="81" t="s">
        <v>658</v>
      </c>
      <c r="I152" s="81" t="s">
        <v>658</v>
      </c>
      <c r="J152" s="81" t="s">
        <v>658</v>
      </c>
      <c r="K152" s="81" t="s">
        <v>658</v>
      </c>
      <c r="L152" s="81" t="s">
        <v>658</v>
      </c>
      <c r="M152" s="81" t="s">
        <v>70</v>
      </c>
      <c r="N152" s="81" t="s">
        <v>70</v>
      </c>
      <c r="O152" s="81" t="s">
        <v>70</v>
      </c>
      <c r="P152" s="137"/>
    </row>
    <row r="153" spans="1:18" x14ac:dyDescent="0.25">
      <c r="A153" s="136" t="s">
        <v>770</v>
      </c>
      <c r="B153" s="113" t="s">
        <v>771</v>
      </c>
      <c r="C153" s="113" t="s">
        <v>513</v>
      </c>
      <c r="D153" s="114">
        <v>47118</v>
      </c>
      <c r="E153" s="113" t="s">
        <v>404</v>
      </c>
      <c r="F153" s="115">
        <v>251.85</v>
      </c>
      <c r="G153" s="81" t="s">
        <v>70</v>
      </c>
      <c r="H153" s="81" t="s">
        <v>658</v>
      </c>
      <c r="I153" s="81" t="s">
        <v>658</v>
      </c>
      <c r="J153" s="81" t="s">
        <v>658</v>
      </c>
      <c r="K153" s="81" t="s">
        <v>658</v>
      </c>
      <c r="L153" s="81" t="s">
        <v>658</v>
      </c>
      <c r="M153" s="81" t="s">
        <v>70</v>
      </c>
      <c r="N153" s="81" t="s">
        <v>70</v>
      </c>
      <c r="O153" s="81" t="s">
        <v>70</v>
      </c>
      <c r="P153" s="137"/>
    </row>
    <row r="154" spans="1:18" x14ac:dyDescent="0.25">
      <c r="A154" s="138" t="s">
        <v>772</v>
      </c>
      <c r="B154" s="116" t="s">
        <v>773</v>
      </c>
      <c r="C154" s="113" t="s">
        <v>774</v>
      </c>
      <c r="D154" s="114">
        <v>47118</v>
      </c>
      <c r="E154" s="113" t="s">
        <v>433</v>
      </c>
      <c r="F154" s="115">
        <v>203</v>
      </c>
      <c r="G154" s="81" t="s">
        <v>70</v>
      </c>
      <c r="H154" s="81" t="s">
        <v>658</v>
      </c>
      <c r="I154" s="81" t="s">
        <v>658</v>
      </c>
      <c r="J154" s="81" t="s">
        <v>658</v>
      </c>
      <c r="K154" s="81" t="s">
        <v>658</v>
      </c>
      <c r="L154" s="81" t="s">
        <v>658</v>
      </c>
      <c r="M154" s="81" t="s">
        <v>70</v>
      </c>
      <c r="N154" s="81" t="s">
        <v>70</v>
      </c>
      <c r="O154" s="81" t="s">
        <v>70</v>
      </c>
      <c r="P154" s="137"/>
    </row>
    <row r="155" spans="1:18" x14ac:dyDescent="0.25">
      <c r="A155" s="136" t="s">
        <v>775</v>
      </c>
      <c r="B155" s="113" t="s">
        <v>776</v>
      </c>
      <c r="C155" s="113" t="s">
        <v>774</v>
      </c>
      <c r="D155" s="114">
        <v>47118</v>
      </c>
      <c r="E155" s="113" t="s">
        <v>433</v>
      </c>
      <c r="F155" s="115">
        <v>203</v>
      </c>
      <c r="G155" s="81" t="s">
        <v>70</v>
      </c>
      <c r="H155" s="81" t="s">
        <v>658</v>
      </c>
      <c r="I155" s="81" t="s">
        <v>658</v>
      </c>
      <c r="J155" s="81" t="s">
        <v>658</v>
      </c>
      <c r="K155" s="81" t="s">
        <v>658</v>
      </c>
      <c r="L155" s="81" t="s">
        <v>658</v>
      </c>
      <c r="M155" s="81" t="s">
        <v>70</v>
      </c>
      <c r="N155" s="81" t="s">
        <v>70</v>
      </c>
      <c r="O155" s="81" t="s">
        <v>70</v>
      </c>
      <c r="P155" s="137"/>
    </row>
    <row r="156" spans="1:18" x14ac:dyDescent="0.25">
      <c r="A156" s="136" t="s">
        <v>777</v>
      </c>
      <c r="B156" s="113" t="s">
        <v>778</v>
      </c>
      <c r="C156" s="113" t="s">
        <v>528</v>
      </c>
      <c r="D156" s="114">
        <v>46112</v>
      </c>
      <c r="E156" s="113" t="s">
        <v>433</v>
      </c>
      <c r="F156" s="115">
        <v>321.66000000000003</v>
      </c>
      <c r="G156" s="81" t="s">
        <v>70</v>
      </c>
      <c r="H156" s="81" t="s">
        <v>658</v>
      </c>
      <c r="I156" s="81" t="s">
        <v>70</v>
      </c>
      <c r="J156" s="81" t="s">
        <v>658</v>
      </c>
      <c r="K156" s="81" t="s">
        <v>70</v>
      </c>
      <c r="L156" s="81" t="s">
        <v>658</v>
      </c>
      <c r="M156" s="81" t="s">
        <v>658</v>
      </c>
      <c r="N156" s="81" t="s">
        <v>70</v>
      </c>
      <c r="O156" s="81" t="s">
        <v>658</v>
      </c>
      <c r="P156" s="137"/>
    </row>
    <row r="157" spans="1:18" x14ac:dyDescent="0.25">
      <c r="A157" s="136" t="s">
        <v>779</v>
      </c>
      <c r="B157" s="113" t="s">
        <v>780</v>
      </c>
      <c r="C157" s="113" t="s">
        <v>646</v>
      </c>
      <c r="D157" s="114">
        <v>46114</v>
      </c>
      <c r="E157" s="113" t="s">
        <v>404</v>
      </c>
      <c r="F157" s="115">
        <v>257.3</v>
      </c>
      <c r="G157" s="81" t="s">
        <v>70</v>
      </c>
      <c r="H157" s="81" t="s">
        <v>658</v>
      </c>
      <c r="I157" s="81" t="s">
        <v>70</v>
      </c>
      <c r="J157" s="81" t="s">
        <v>658</v>
      </c>
      <c r="K157" s="81" t="s">
        <v>70</v>
      </c>
      <c r="L157" s="81" t="s">
        <v>658</v>
      </c>
      <c r="M157" s="81" t="s">
        <v>658</v>
      </c>
      <c r="N157" s="81" t="s">
        <v>70</v>
      </c>
      <c r="O157" s="81" t="s">
        <v>658</v>
      </c>
      <c r="P157" s="137"/>
    </row>
    <row r="158" spans="1:18" x14ac:dyDescent="0.25">
      <c r="A158" s="136" t="s">
        <v>781</v>
      </c>
      <c r="B158" s="113" t="s">
        <v>782</v>
      </c>
      <c r="C158" s="113" t="s">
        <v>528</v>
      </c>
      <c r="D158" s="114">
        <v>46203</v>
      </c>
      <c r="E158" s="113" t="s">
        <v>404</v>
      </c>
      <c r="F158" s="115">
        <v>321.75</v>
      </c>
      <c r="G158" s="81" t="s">
        <v>70</v>
      </c>
      <c r="H158" s="81" t="s">
        <v>658</v>
      </c>
      <c r="I158" s="81" t="s">
        <v>70</v>
      </c>
      <c r="J158" s="81" t="s">
        <v>658</v>
      </c>
      <c r="K158" s="81" t="s">
        <v>70</v>
      </c>
      <c r="L158" s="81" t="s">
        <v>658</v>
      </c>
      <c r="M158" s="81" t="s">
        <v>658</v>
      </c>
      <c r="N158" s="81" t="s">
        <v>70</v>
      </c>
      <c r="O158" s="81" t="s">
        <v>658</v>
      </c>
      <c r="P158" s="137"/>
    </row>
    <row r="159" spans="1:18" x14ac:dyDescent="0.25">
      <c r="A159" s="136" t="s">
        <v>783</v>
      </c>
      <c r="B159" s="113" t="s">
        <v>784</v>
      </c>
      <c r="C159" s="113" t="s">
        <v>443</v>
      </c>
      <c r="D159" s="114">
        <v>46538</v>
      </c>
      <c r="E159" s="113" t="s">
        <v>433</v>
      </c>
      <c r="F159" s="115">
        <v>301.60000000000002</v>
      </c>
      <c r="G159" s="81" t="s">
        <v>70</v>
      </c>
      <c r="H159" s="81" t="s">
        <v>658</v>
      </c>
      <c r="I159" s="81" t="s">
        <v>70</v>
      </c>
      <c r="J159" s="81" t="s">
        <v>658</v>
      </c>
      <c r="K159" s="81" t="s">
        <v>70</v>
      </c>
      <c r="L159" s="81" t="s">
        <v>658</v>
      </c>
      <c r="M159" s="81" t="s">
        <v>658</v>
      </c>
      <c r="N159" s="81" t="s">
        <v>70</v>
      </c>
      <c r="O159" s="81" t="s">
        <v>658</v>
      </c>
      <c r="P159" s="137"/>
    </row>
    <row r="160" spans="1:18" x14ac:dyDescent="0.25">
      <c r="A160" s="136" t="s">
        <v>785</v>
      </c>
      <c r="B160" s="113" t="s">
        <v>786</v>
      </c>
      <c r="C160" s="113" t="s">
        <v>583</v>
      </c>
      <c r="D160" s="114">
        <v>46508</v>
      </c>
      <c r="E160" s="113" t="s">
        <v>433</v>
      </c>
      <c r="F160" s="115">
        <v>321.27</v>
      </c>
      <c r="G160" s="81" t="s">
        <v>70</v>
      </c>
      <c r="H160" s="81" t="s">
        <v>658</v>
      </c>
      <c r="I160" s="81" t="s">
        <v>70</v>
      </c>
      <c r="J160" s="81" t="s">
        <v>658</v>
      </c>
      <c r="K160" s="81" t="s">
        <v>70</v>
      </c>
      <c r="L160" s="81" t="s">
        <v>658</v>
      </c>
      <c r="M160" s="81" t="s">
        <v>658</v>
      </c>
      <c r="N160" s="81" t="s">
        <v>70</v>
      </c>
      <c r="O160" s="81" t="s">
        <v>658</v>
      </c>
      <c r="P160" s="137"/>
    </row>
    <row r="161" spans="1:16" x14ac:dyDescent="0.25">
      <c r="A161" s="136" t="s">
        <v>787</v>
      </c>
      <c r="B161" s="113" t="s">
        <v>788</v>
      </c>
      <c r="C161" s="113" t="s">
        <v>789</v>
      </c>
      <c r="D161" s="114">
        <v>46347</v>
      </c>
      <c r="E161" s="113" t="s">
        <v>433</v>
      </c>
      <c r="F161" s="115">
        <v>417.47</v>
      </c>
      <c r="G161" s="81" t="s">
        <v>70</v>
      </c>
      <c r="H161" s="81" t="s">
        <v>658</v>
      </c>
      <c r="I161" s="81" t="s">
        <v>70</v>
      </c>
      <c r="J161" s="81" t="s">
        <v>658</v>
      </c>
      <c r="K161" s="81" t="s">
        <v>70</v>
      </c>
      <c r="L161" s="81" t="s">
        <v>658</v>
      </c>
      <c r="M161" s="81" t="s">
        <v>658</v>
      </c>
      <c r="N161" s="81" t="s">
        <v>70</v>
      </c>
      <c r="O161" s="81" t="s">
        <v>658</v>
      </c>
      <c r="P161" s="137"/>
    </row>
    <row r="162" spans="1:16" x14ac:dyDescent="0.25">
      <c r="A162" s="136" t="s">
        <v>790</v>
      </c>
      <c r="B162" s="113" t="s">
        <v>791</v>
      </c>
      <c r="C162" s="113" t="s">
        <v>502</v>
      </c>
      <c r="D162" s="114">
        <v>46447</v>
      </c>
      <c r="E162" s="113" t="s">
        <v>408</v>
      </c>
      <c r="F162" s="115">
        <v>297.39999999999998</v>
      </c>
      <c r="G162" s="81" t="s">
        <v>70</v>
      </c>
      <c r="H162" s="81" t="s">
        <v>658</v>
      </c>
      <c r="I162" s="81" t="s">
        <v>70</v>
      </c>
      <c r="J162" s="81" t="s">
        <v>658</v>
      </c>
      <c r="K162" s="81" t="s">
        <v>70</v>
      </c>
      <c r="L162" s="81" t="s">
        <v>658</v>
      </c>
      <c r="M162" s="81" t="s">
        <v>658</v>
      </c>
      <c r="N162" s="81" t="s">
        <v>70</v>
      </c>
      <c r="O162" s="81" t="s">
        <v>658</v>
      </c>
      <c r="P162" s="137"/>
    </row>
    <row r="163" spans="1:16" x14ac:dyDescent="0.25">
      <c r="A163" s="136" t="s">
        <v>792</v>
      </c>
      <c r="B163" s="113" t="s">
        <v>793</v>
      </c>
      <c r="C163" s="113" t="s">
        <v>418</v>
      </c>
      <c r="D163" s="114">
        <v>46082</v>
      </c>
      <c r="E163" s="113" t="s">
        <v>404</v>
      </c>
      <c r="F163" s="115">
        <v>203.62</v>
      </c>
      <c r="G163" s="81" t="s">
        <v>70</v>
      </c>
      <c r="H163" s="81" t="s">
        <v>658</v>
      </c>
      <c r="I163" s="81" t="s">
        <v>70</v>
      </c>
      <c r="J163" s="81" t="s">
        <v>658</v>
      </c>
      <c r="K163" s="81" t="s">
        <v>70</v>
      </c>
      <c r="L163" s="81" t="s">
        <v>658</v>
      </c>
      <c r="M163" s="81" t="s">
        <v>658</v>
      </c>
      <c r="N163" s="81" t="s">
        <v>70</v>
      </c>
      <c r="O163" s="81" t="s">
        <v>658</v>
      </c>
      <c r="P163" s="137"/>
    </row>
    <row r="164" spans="1:16" x14ac:dyDescent="0.25">
      <c r="A164" s="136" t="s">
        <v>794</v>
      </c>
      <c r="B164" s="113" t="s">
        <v>795</v>
      </c>
      <c r="C164" s="113" t="s">
        <v>418</v>
      </c>
      <c r="D164" s="114">
        <v>46082</v>
      </c>
      <c r="E164" s="113" t="s">
        <v>404</v>
      </c>
      <c r="F164" s="115">
        <v>203.62</v>
      </c>
      <c r="G164" s="81" t="s">
        <v>70</v>
      </c>
      <c r="H164" s="81" t="s">
        <v>658</v>
      </c>
      <c r="I164" s="81" t="s">
        <v>70</v>
      </c>
      <c r="J164" s="81" t="s">
        <v>658</v>
      </c>
      <c r="K164" s="81" t="s">
        <v>70</v>
      </c>
      <c r="L164" s="81" t="s">
        <v>658</v>
      </c>
      <c r="M164" s="81" t="s">
        <v>658</v>
      </c>
      <c r="N164" s="81" t="s">
        <v>70</v>
      </c>
      <c r="O164" s="81" t="s">
        <v>658</v>
      </c>
      <c r="P164" s="137"/>
    </row>
    <row r="165" spans="1:16" x14ac:dyDescent="0.25">
      <c r="A165" s="136" t="s">
        <v>796</v>
      </c>
      <c r="B165" s="113" t="s">
        <v>797</v>
      </c>
      <c r="C165" s="113" t="s">
        <v>643</v>
      </c>
      <c r="D165" s="114">
        <v>46327</v>
      </c>
      <c r="E165" s="113" t="s">
        <v>433</v>
      </c>
      <c r="F165" s="115">
        <v>95.29</v>
      </c>
      <c r="G165" s="81" t="s">
        <v>70</v>
      </c>
      <c r="H165" s="81" t="s">
        <v>658</v>
      </c>
      <c r="I165" s="81" t="s">
        <v>70</v>
      </c>
      <c r="J165" s="81" t="s">
        <v>658</v>
      </c>
      <c r="K165" s="81" t="s">
        <v>70</v>
      </c>
      <c r="L165" s="81" t="s">
        <v>658</v>
      </c>
      <c r="M165" s="81" t="s">
        <v>658</v>
      </c>
      <c r="N165" s="81" t="s">
        <v>70</v>
      </c>
      <c r="O165" s="81" t="s">
        <v>658</v>
      </c>
      <c r="P165" s="137"/>
    </row>
    <row r="166" spans="1:16" x14ac:dyDescent="0.25">
      <c r="A166" s="136" t="s">
        <v>798</v>
      </c>
      <c r="B166" s="113" t="s">
        <v>799</v>
      </c>
      <c r="C166" s="113" t="s">
        <v>507</v>
      </c>
      <c r="D166" s="114">
        <v>46447</v>
      </c>
      <c r="E166" s="113" t="s">
        <v>404</v>
      </c>
      <c r="F166" s="115">
        <v>61.53</v>
      </c>
      <c r="G166" s="81" t="s">
        <v>70</v>
      </c>
      <c r="H166" s="81" t="s">
        <v>658</v>
      </c>
      <c r="I166" s="81" t="s">
        <v>70</v>
      </c>
      <c r="J166" s="81" t="s">
        <v>658</v>
      </c>
      <c r="K166" s="81" t="s">
        <v>70</v>
      </c>
      <c r="L166" s="81" t="s">
        <v>658</v>
      </c>
      <c r="M166" s="81" t="s">
        <v>658</v>
      </c>
      <c r="N166" s="81" t="s">
        <v>70</v>
      </c>
      <c r="O166" s="81" t="s">
        <v>658</v>
      </c>
      <c r="P166" s="137"/>
    </row>
    <row r="167" spans="1:16" x14ac:dyDescent="0.25">
      <c r="A167" s="136" t="s">
        <v>800</v>
      </c>
      <c r="B167" s="113" t="s">
        <v>801</v>
      </c>
      <c r="C167" s="113" t="s">
        <v>802</v>
      </c>
      <c r="D167" s="114">
        <v>46281</v>
      </c>
      <c r="E167" s="113" t="s">
        <v>433</v>
      </c>
      <c r="F167" s="115">
        <v>17.7</v>
      </c>
      <c r="G167" s="81" t="s">
        <v>70</v>
      </c>
      <c r="H167" s="81" t="s">
        <v>658</v>
      </c>
      <c r="I167" s="81" t="s">
        <v>70</v>
      </c>
      <c r="J167" s="81" t="s">
        <v>658</v>
      </c>
      <c r="K167" s="81" t="s">
        <v>70</v>
      </c>
      <c r="L167" s="81" t="s">
        <v>658</v>
      </c>
      <c r="M167" s="81" t="s">
        <v>658</v>
      </c>
      <c r="N167" s="81" t="s">
        <v>70</v>
      </c>
      <c r="O167" s="81" t="s">
        <v>658</v>
      </c>
      <c r="P167" s="137"/>
    </row>
    <row r="168" spans="1:16" x14ac:dyDescent="0.25">
      <c r="A168" s="136" t="s">
        <v>803</v>
      </c>
      <c r="B168" s="113" t="s">
        <v>804</v>
      </c>
      <c r="C168" s="113" t="s">
        <v>430</v>
      </c>
      <c r="D168" s="114">
        <v>46569</v>
      </c>
      <c r="E168" s="113" t="s">
        <v>433</v>
      </c>
      <c r="F168" s="115">
        <v>200.78</v>
      </c>
      <c r="G168" s="81" t="s">
        <v>70</v>
      </c>
      <c r="H168" s="81" t="s">
        <v>658</v>
      </c>
      <c r="I168" s="81" t="s">
        <v>70</v>
      </c>
      <c r="J168" s="81" t="s">
        <v>658</v>
      </c>
      <c r="K168" s="81" t="s">
        <v>70</v>
      </c>
      <c r="L168" s="81" t="s">
        <v>658</v>
      </c>
      <c r="M168" s="81" t="s">
        <v>658</v>
      </c>
      <c r="N168" s="81" t="s">
        <v>70</v>
      </c>
      <c r="O168" s="81" t="s">
        <v>658</v>
      </c>
      <c r="P168" s="137"/>
    </row>
    <row r="169" spans="1:16" x14ac:dyDescent="0.25">
      <c r="A169" s="136" t="s">
        <v>805</v>
      </c>
      <c r="B169" s="113" t="s">
        <v>806</v>
      </c>
      <c r="C169" s="113" t="s">
        <v>554</v>
      </c>
      <c r="D169" s="114">
        <v>46478</v>
      </c>
      <c r="E169" s="113" t="s">
        <v>433</v>
      </c>
      <c r="F169" s="115">
        <v>351.78</v>
      </c>
      <c r="G169" s="81" t="s">
        <v>70</v>
      </c>
      <c r="H169" s="81" t="s">
        <v>658</v>
      </c>
      <c r="I169" s="81" t="s">
        <v>70</v>
      </c>
      <c r="J169" s="81" t="s">
        <v>658</v>
      </c>
      <c r="K169" s="81" t="s">
        <v>70</v>
      </c>
      <c r="L169" s="81" t="s">
        <v>658</v>
      </c>
      <c r="M169" s="81" t="s">
        <v>658</v>
      </c>
      <c r="N169" s="81" t="s">
        <v>70</v>
      </c>
      <c r="O169" s="81" t="s">
        <v>658</v>
      </c>
      <c r="P169" s="137"/>
    </row>
    <row r="170" spans="1:16" x14ac:dyDescent="0.25">
      <c r="A170" s="136" t="s">
        <v>807</v>
      </c>
      <c r="B170" s="113" t="s">
        <v>808</v>
      </c>
      <c r="C170" s="113" t="s">
        <v>554</v>
      </c>
      <c r="D170" s="114">
        <v>46478</v>
      </c>
      <c r="E170" s="113" t="s">
        <v>404</v>
      </c>
      <c r="F170" s="115">
        <v>175.89</v>
      </c>
      <c r="G170" s="81" t="s">
        <v>70</v>
      </c>
      <c r="H170" s="81" t="s">
        <v>658</v>
      </c>
      <c r="I170" s="81" t="s">
        <v>70</v>
      </c>
      <c r="J170" s="81" t="s">
        <v>658</v>
      </c>
      <c r="K170" s="81" t="s">
        <v>70</v>
      </c>
      <c r="L170" s="81" t="s">
        <v>658</v>
      </c>
      <c r="M170" s="81" t="s">
        <v>658</v>
      </c>
      <c r="N170" s="81" t="s">
        <v>70</v>
      </c>
      <c r="O170" s="81" t="s">
        <v>658</v>
      </c>
      <c r="P170" s="137"/>
    </row>
    <row r="171" spans="1:16" x14ac:dyDescent="0.25">
      <c r="A171" s="136" t="s">
        <v>809</v>
      </c>
      <c r="B171" s="113" t="s">
        <v>810</v>
      </c>
      <c r="C171" s="113" t="s">
        <v>811</v>
      </c>
      <c r="D171" s="114">
        <v>46568</v>
      </c>
      <c r="E171" s="113" t="s">
        <v>433</v>
      </c>
      <c r="F171" s="115">
        <v>200.5</v>
      </c>
      <c r="G171" s="81" t="s">
        <v>70</v>
      </c>
      <c r="H171" s="81" t="s">
        <v>658</v>
      </c>
      <c r="I171" s="81" t="s">
        <v>70</v>
      </c>
      <c r="J171" s="81" t="s">
        <v>658</v>
      </c>
      <c r="K171" s="81" t="s">
        <v>70</v>
      </c>
      <c r="L171" s="81" t="s">
        <v>658</v>
      </c>
      <c r="M171" s="81" t="s">
        <v>658</v>
      </c>
      <c r="N171" s="81" t="s">
        <v>70</v>
      </c>
      <c r="O171" s="81" t="s">
        <v>658</v>
      </c>
      <c r="P171" s="137"/>
    </row>
    <row r="172" spans="1:16" x14ac:dyDescent="0.25">
      <c r="A172" s="136" t="s">
        <v>812</v>
      </c>
      <c r="B172" s="113" t="s">
        <v>813</v>
      </c>
      <c r="C172" s="113" t="s">
        <v>814</v>
      </c>
      <c r="D172" s="114">
        <v>46490</v>
      </c>
      <c r="E172" s="113" t="s">
        <v>404</v>
      </c>
      <c r="F172" s="115">
        <v>146</v>
      </c>
      <c r="G172" s="81" t="s">
        <v>70</v>
      </c>
      <c r="H172" s="81" t="s">
        <v>658</v>
      </c>
      <c r="I172" s="81" t="s">
        <v>70</v>
      </c>
      <c r="J172" s="81" t="s">
        <v>658</v>
      </c>
      <c r="K172" s="81" t="s">
        <v>70</v>
      </c>
      <c r="L172" s="81" t="s">
        <v>658</v>
      </c>
      <c r="M172" s="81" t="s">
        <v>658</v>
      </c>
      <c r="N172" s="81" t="s">
        <v>70</v>
      </c>
      <c r="O172" s="81" t="s">
        <v>658</v>
      </c>
      <c r="P172" s="137"/>
    </row>
    <row r="173" spans="1:16" x14ac:dyDescent="0.25">
      <c r="A173" s="136" t="s">
        <v>815</v>
      </c>
      <c r="B173" s="113" t="s">
        <v>816</v>
      </c>
      <c r="C173" s="113" t="s">
        <v>814</v>
      </c>
      <c r="D173" s="114">
        <v>46490</v>
      </c>
      <c r="E173" s="113" t="s">
        <v>433</v>
      </c>
      <c r="F173" s="115">
        <v>147</v>
      </c>
      <c r="G173" s="81" t="s">
        <v>70</v>
      </c>
      <c r="H173" s="81" t="s">
        <v>658</v>
      </c>
      <c r="I173" s="81" t="s">
        <v>70</v>
      </c>
      <c r="J173" s="81" t="s">
        <v>658</v>
      </c>
      <c r="K173" s="81" t="s">
        <v>70</v>
      </c>
      <c r="L173" s="81" t="s">
        <v>658</v>
      </c>
      <c r="M173" s="81" t="s">
        <v>658</v>
      </c>
      <c r="N173" s="81" t="s">
        <v>70</v>
      </c>
      <c r="O173" s="81" t="s">
        <v>658</v>
      </c>
      <c r="P173" s="137"/>
    </row>
    <row r="174" spans="1:16" x14ac:dyDescent="0.25">
      <c r="A174" s="136" t="s">
        <v>817</v>
      </c>
      <c r="B174" s="113" t="s">
        <v>818</v>
      </c>
      <c r="C174" s="113" t="s">
        <v>430</v>
      </c>
      <c r="D174" s="114">
        <v>46461</v>
      </c>
      <c r="E174" s="113" t="s">
        <v>404</v>
      </c>
      <c r="F174" s="115">
        <v>164.5</v>
      </c>
      <c r="G174" s="81" t="s">
        <v>70</v>
      </c>
      <c r="H174" s="81" t="s">
        <v>658</v>
      </c>
      <c r="I174" s="81" t="s">
        <v>70</v>
      </c>
      <c r="J174" s="81" t="s">
        <v>658</v>
      </c>
      <c r="K174" s="81" t="s">
        <v>70</v>
      </c>
      <c r="L174" s="81" t="s">
        <v>658</v>
      </c>
      <c r="M174" s="81" t="s">
        <v>658</v>
      </c>
      <c r="N174" s="81" t="s">
        <v>70</v>
      </c>
      <c r="O174" s="81" t="s">
        <v>658</v>
      </c>
      <c r="P174" s="137"/>
    </row>
    <row r="175" spans="1:16" x14ac:dyDescent="0.25">
      <c r="A175" s="136" t="s">
        <v>819</v>
      </c>
      <c r="B175" s="113" t="s">
        <v>820</v>
      </c>
      <c r="C175" s="113" t="s">
        <v>821</v>
      </c>
      <c r="D175" s="114">
        <v>46203</v>
      </c>
      <c r="E175" s="113" t="s">
        <v>404</v>
      </c>
      <c r="F175" s="115">
        <v>100.65</v>
      </c>
      <c r="G175" s="81" t="s">
        <v>70</v>
      </c>
      <c r="H175" s="81" t="s">
        <v>658</v>
      </c>
      <c r="I175" s="81" t="s">
        <v>70</v>
      </c>
      <c r="J175" s="81" t="s">
        <v>658</v>
      </c>
      <c r="K175" s="81" t="s">
        <v>70</v>
      </c>
      <c r="L175" s="81" t="s">
        <v>658</v>
      </c>
      <c r="M175" s="81" t="s">
        <v>658</v>
      </c>
      <c r="N175" s="81" t="s">
        <v>70</v>
      </c>
      <c r="O175" s="81" t="s">
        <v>658</v>
      </c>
      <c r="P175" s="137"/>
    </row>
    <row r="176" spans="1:16" x14ac:dyDescent="0.25">
      <c r="A176" s="136" t="s">
        <v>822</v>
      </c>
      <c r="B176" s="113" t="s">
        <v>823</v>
      </c>
      <c r="C176" s="113" t="s">
        <v>824</v>
      </c>
      <c r="D176" s="114">
        <v>46286</v>
      </c>
      <c r="E176" s="113" t="s">
        <v>404</v>
      </c>
      <c r="F176" s="115">
        <v>50.9</v>
      </c>
      <c r="G176" s="81" t="s">
        <v>70</v>
      </c>
      <c r="H176" s="81" t="s">
        <v>658</v>
      </c>
      <c r="I176" s="81" t="s">
        <v>70</v>
      </c>
      <c r="J176" s="81" t="s">
        <v>658</v>
      </c>
      <c r="K176" s="81" t="s">
        <v>70</v>
      </c>
      <c r="L176" s="81" t="s">
        <v>658</v>
      </c>
      <c r="M176" s="81" t="s">
        <v>658</v>
      </c>
      <c r="N176" s="81" t="s">
        <v>70</v>
      </c>
      <c r="O176" s="81" t="s">
        <v>658</v>
      </c>
      <c r="P176" s="137"/>
    </row>
    <row r="177" spans="1:16" x14ac:dyDescent="0.25">
      <c r="A177" s="136" t="s">
        <v>825</v>
      </c>
      <c r="B177" s="113" t="s">
        <v>826</v>
      </c>
      <c r="C177" s="113" t="s">
        <v>827</v>
      </c>
      <c r="D177" s="114">
        <v>46510</v>
      </c>
      <c r="E177" s="113" t="s">
        <v>404</v>
      </c>
      <c r="F177" s="115">
        <v>201.52</v>
      </c>
      <c r="G177" s="81" t="s">
        <v>70</v>
      </c>
      <c r="H177" s="81" t="s">
        <v>658</v>
      </c>
      <c r="I177" s="81" t="s">
        <v>70</v>
      </c>
      <c r="J177" s="81" t="s">
        <v>658</v>
      </c>
      <c r="K177" s="81" t="s">
        <v>70</v>
      </c>
      <c r="L177" s="81" t="s">
        <v>658</v>
      </c>
      <c r="M177" s="81" t="s">
        <v>658</v>
      </c>
      <c r="N177" s="81" t="s">
        <v>70</v>
      </c>
      <c r="O177" s="81" t="s">
        <v>658</v>
      </c>
      <c r="P177" s="137"/>
    </row>
    <row r="178" spans="1:16" x14ac:dyDescent="0.25">
      <c r="A178" s="136" t="s">
        <v>828</v>
      </c>
      <c r="B178" s="113" t="s">
        <v>829</v>
      </c>
      <c r="C178" s="113" t="s">
        <v>502</v>
      </c>
      <c r="D178" s="114">
        <v>46174</v>
      </c>
      <c r="E178" s="113" t="s">
        <v>433</v>
      </c>
      <c r="F178" s="115">
        <v>110.89</v>
      </c>
      <c r="G178" s="81" t="s">
        <v>70</v>
      </c>
      <c r="H178" s="81" t="s">
        <v>658</v>
      </c>
      <c r="I178" s="81" t="s">
        <v>70</v>
      </c>
      <c r="J178" s="81" t="s">
        <v>658</v>
      </c>
      <c r="K178" s="81" t="s">
        <v>70</v>
      </c>
      <c r="L178" s="81" t="s">
        <v>658</v>
      </c>
      <c r="M178" s="81" t="s">
        <v>658</v>
      </c>
      <c r="N178" s="81" t="s">
        <v>70</v>
      </c>
      <c r="O178" s="81" t="s">
        <v>658</v>
      </c>
      <c r="P178" s="137"/>
    </row>
    <row r="179" spans="1:16" x14ac:dyDescent="0.25">
      <c r="A179" s="136" t="s">
        <v>830</v>
      </c>
      <c r="B179" s="113" t="s">
        <v>831</v>
      </c>
      <c r="C179" s="113" t="s">
        <v>502</v>
      </c>
      <c r="D179" s="114">
        <v>46233</v>
      </c>
      <c r="E179" s="113" t="s">
        <v>433</v>
      </c>
      <c r="F179" s="115">
        <v>201.4</v>
      </c>
      <c r="G179" s="81" t="s">
        <v>70</v>
      </c>
      <c r="H179" s="81" t="s">
        <v>658</v>
      </c>
      <c r="I179" s="81" t="s">
        <v>70</v>
      </c>
      <c r="J179" s="81" t="s">
        <v>658</v>
      </c>
      <c r="K179" s="81" t="s">
        <v>70</v>
      </c>
      <c r="L179" s="81" t="s">
        <v>658</v>
      </c>
      <c r="M179" s="81" t="s">
        <v>658</v>
      </c>
      <c r="N179" s="81" t="s">
        <v>70</v>
      </c>
      <c r="O179" s="81" t="s">
        <v>658</v>
      </c>
      <c r="P179" s="137"/>
    </row>
    <row r="180" spans="1:16" x14ac:dyDescent="0.25">
      <c r="A180" s="136" t="s">
        <v>832</v>
      </c>
      <c r="B180" s="113" t="s">
        <v>833</v>
      </c>
      <c r="C180" s="113" t="s">
        <v>547</v>
      </c>
      <c r="D180" s="114">
        <v>46378</v>
      </c>
      <c r="E180" s="113" t="s">
        <v>433</v>
      </c>
      <c r="F180" s="115">
        <v>281.7</v>
      </c>
      <c r="G180" s="81" t="s">
        <v>70</v>
      </c>
      <c r="H180" s="81" t="s">
        <v>658</v>
      </c>
      <c r="I180" s="81" t="s">
        <v>70</v>
      </c>
      <c r="J180" s="81" t="s">
        <v>658</v>
      </c>
      <c r="K180" s="81" t="s">
        <v>70</v>
      </c>
      <c r="L180" s="81" t="s">
        <v>658</v>
      </c>
      <c r="M180" s="81" t="s">
        <v>658</v>
      </c>
      <c r="N180" s="81" t="s">
        <v>70</v>
      </c>
      <c r="O180" s="81" t="s">
        <v>658</v>
      </c>
      <c r="P180" s="137"/>
    </row>
    <row r="181" spans="1:16" x14ac:dyDescent="0.25">
      <c r="A181" s="136" t="s">
        <v>834</v>
      </c>
      <c r="B181" s="113" t="s">
        <v>835</v>
      </c>
      <c r="C181" s="113" t="s">
        <v>547</v>
      </c>
      <c r="D181" s="114">
        <v>46378</v>
      </c>
      <c r="E181" s="113" t="s">
        <v>404</v>
      </c>
      <c r="F181" s="115">
        <v>103.65</v>
      </c>
      <c r="G181" s="81" t="s">
        <v>70</v>
      </c>
      <c r="H181" s="81" t="s">
        <v>658</v>
      </c>
      <c r="I181" s="81" t="s">
        <v>70</v>
      </c>
      <c r="J181" s="81" t="s">
        <v>658</v>
      </c>
      <c r="K181" s="81" t="s">
        <v>70</v>
      </c>
      <c r="L181" s="81" t="s">
        <v>658</v>
      </c>
      <c r="M181" s="81" t="s">
        <v>658</v>
      </c>
      <c r="N181" s="81" t="s">
        <v>70</v>
      </c>
      <c r="O181" s="81" t="s">
        <v>658</v>
      </c>
      <c r="P181" s="137"/>
    </row>
    <row r="182" spans="1:16" x14ac:dyDescent="0.25">
      <c r="A182" s="136" t="s">
        <v>836</v>
      </c>
      <c r="B182" s="113" t="s">
        <v>837</v>
      </c>
      <c r="C182" s="113" t="s">
        <v>838</v>
      </c>
      <c r="D182" s="114">
        <v>46568</v>
      </c>
      <c r="E182" s="113" t="s">
        <v>404</v>
      </c>
      <c r="F182" s="115">
        <v>158.63</v>
      </c>
      <c r="G182" s="81" t="s">
        <v>70</v>
      </c>
      <c r="H182" s="81" t="s">
        <v>658</v>
      </c>
      <c r="I182" s="81" t="s">
        <v>70</v>
      </c>
      <c r="J182" s="81" t="s">
        <v>658</v>
      </c>
      <c r="K182" s="81" t="s">
        <v>70</v>
      </c>
      <c r="L182" s="81" t="s">
        <v>658</v>
      </c>
      <c r="M182" s="81" t="s">
        <v>658</v>
      </c>
      <c r="N182" s="81" t="s">
        <v>70</v>
      </c>
      <c r="O182" s="81" t="s">
        <v>658</v>
      </c>
      <c r="P182" s="137"/>
    </row>
    <row r="183" spans="1:16" x14ac:dyDescent="0.25">
      <c r="A183" s="136" t="s">
        <v>839</v>
      </c>
      <c r="B183" s="113" t="s">
        <v>840</v>
      </c>
      <c r="C183" s="113" t="s">
        <v>554</v>
      </c>
      <c r="D183" s="114">
        <v>46480</v>
      </c>
      <c r="E183" s="113" t="s">
        <v>433</v>
      </c>
      <c r="F183" s="115">
        <v>201.15</v>
      </c>
      <c r="G183" s="81" t="s">
        <v>70</v>
      </c>
      <c r="H183" s="81" t="s">
        <v>658</v>
      </c>
      <c r="I183" s="81" t="s">
        <v>70</v>
      </c>
      <c r="J183" s="81" t="s">
        <v>658</v>
      </c>
      <c r="K183" s="81" t="s">
        <v>70</v>
      </c>
      <c r="L183" s="81" t="s">
        <v>658</v>
      </c>
      <c r="M183" s="81" t="s">
        <v>658</v>
      </c>
      <c r="N183" s="81" t="s">
        <v>70</v>
      </c>
      <c r="O183" s="81" t="s">
        <v>658</v>
      </c>
      <c r="P183" s="137"/>
    </row>
    <row r="184" spans="1:16" x14ac:dyDescent="0.25">
      <c r="A184" s="136" t="s">
        <v>841</v>
      </c>
      <c r="B184" s="113" t="s">
        <v>842</v>
      </c>
      <c r="C184" s="113" t="s">
        <v>843</v>
      </c>
      <c r="D184" s="114">
        <v>46387</v>
      </c>
      <c r="E184" s="113" t="s">
        <v>404</v>
      </c>
      <c r="F184" s="115">
        <v>176.13</v>
      </c>
      <c r="G184" s="81" t="s">
        <v>70</v>
      </c>
      <c r="H184" s="81" t="s">
        <v>658</v>
      </c>
      <c r="I184" s="81" t="s">
        <v>70</v>
      </c>
      <c r="J184" s="81" t="s">
        <v>658</v>
      </c>
      <c r="K184" s="81" t="s">
        <v>70</v>
      </c>
      <c r="L184" s="81" t="s">
        <v>658</v>
      </c>
      <c r="M184" s="81" t="s">
        <v>658</v>
      </c>
      <c r="N184" s="81" t="s">
        <v>70</v>
      </c>
      <c r="O184" s="81" t="s">
        <v>658</v>
      </c>
      <c r="P184" s="137"/>
    </row>
    <row r="185" spans="1:16" x14ac:dyDescent="0.25">
      <c r="A185" s="136" t="s">
        <v>844</v>
      </c>
      <c r="B185" s="113" t="s">
        <v>845</v>
      </c>
      <c r="C185" s="113" t="s">
        <v>846</v>
      </c>
      <c r="D185" s="114">
        <v>46006</v>
      </c>
      <c r="E185" s="113" t="s">
        <v>404</v>
      </c>
      <c r="F185" s="115">
        <v>409.6</v>
      </c>
      <c r="G185" s="81" t="s">
        <v>70</v>
      </c>
      <c r="H185" s="81" t="s">
        <v>658</v>
      </c>
      <c r="I185" s="81" t="s">
        <v>70</v>
      </c>
      <c r="J185" s="81" t="s">
        <v>658</v>
      </c>
      <c r="K185" s="81" t="s">
        <v>70</v>
      </c>
      <c r="L185" s="81" t="s">
        <v>658</v>
      </c>
      <c r="M185" s="81" t="s">
        <v>658</v>
      </c>
      <c r="N185" s="81" t="s">
        <v>70</v>
      </c>
      <c r="O185" s="81" t="s">
        <v>658</v>
      </c>
      <c r="P185" s="137"/>
    </row>
    <row r="186" spans="1:16" x14ac:dyDescent="0.25">
      <c r="A186" s="136" t="s">
        <v>847</v>
      </c>
      <c r="B186" s="113" t="s">
        <v>848</v>
      </c>
      <c r="C186" s="113" t="s">
        <v>427</v>
      </c>
      <c r="D186" s="114">
        <v>46143</v>
      </c>
      <c r="E186" s="113" t="s">
        <v>404</v>
      </c>
      <c r="F186" s="115">
        <v>150.46</v>
      </c>
      <c r="G186" s="81" t="s">
        <v>70</v>
      </c>
      <c r="H186" s="81" t="s">
        <v>658</v>
      </c>
      <c r="I186" s="81" t="s">
        <v>70</v>
      </c>
      <c r="J186" s="81" t="s">
        <v>658</v>
      </c>
      <c r="K186" s="81" t="s">
        <v>70</v>
      </c>
      <c r="L186" s="81" t="s">
        <v>658</v>
      </c>
      <c r="M186" s="81" t="s">
        <v>658</v>
      </c>
      <c r="N186" s="81" t="s">
        <v>70</v>
      </c>
      <c r="O186" s="81" t="s">
        <v>658</v>
      </c>
      <c r="P186" s="137"/>
    </row>
    <row r="187" spans="1:16" x14ac:dyDescent="0.25">
      <c r="A187" s="136" t="s">
        <v>849</v>
      </c>
      <c r="B187" s="113" t="s">
        <v>850</v>
      </c>
      <c r="C187" s="113" t="s">
        <v>633</v>
      </c>
      <c r="D187" s="114">
        <v>46568</v>
      </c>
      <c r="E187" s="113" t="s">
        <v>408</v>
      </c>
      <c r="F187" s="115">
        <v>276.7</v>
      </c>
      <c r="G187" s="81" t="s">
        <v>70</v>
      </c>
      <c r="H187" s="81" t="s">
        <v>658</v>
      </c>
      <c r="I187" s="81" t="s">
        <v>70</v>
      </c>
      <c r="J187" s="81" t="s">
        <v>658</v>
      </c>
      <c r="K187" s="81" t="s">
        <v>70</v>
      </c>
      <c r="L187" s="81" t="s">
        <v>658</v>
      </c>
      <c r="M187" s="81" t="s">
        <v>658</v>
      </c>
      <c r="N187" s="81" t="s">
        <v>70</v>
      </c>
      <c r="O187" s="81" t="s">
        <v>658</v>
      </c>
      <c r="P187" s="137"/>
    </row>
    <row r="188" spans="1:16" x14ac:dyDescent="0.25">
      <c r="A188" s="136" t="s">
        <v>851</v>
      </c>
      <c r="B188" s="113" t="s">
        <v>852</v>
      </c>
      <c r="C188" s="113" t="s">
        <v>612</v>
      </c>
      <c r="D188" s="114">
        <v>46387</v>
      </c>
      <c r="E188" s="113" t="s">
        <v>404</v>
      </c>
      <c r="F188" s="115">
        <v>235.9</v>
      </c>
      <c r="G188" s="81" t="s">
        <v>70</v>
      </c>
      <c r="H188" s="81" t="s">
        <v>658</v>
      </c>
      <c r="I188" s="81" t="s">
        <v>70</v>
      </c>
      <c r="J188" s="81" t="s">
        <v>658</v>
      </c>
      <c r="K188" s="81" t="s">
        <v>70</v>
      </c>
      <c r="L188" s="81" t="s">
        <v>658</v>
      </c>
      <c r="M188" s="81" t="s">
        <v>658</v>
      </c>
      <c r="N188" s="81" t="s">
        <v>70</v>
      </c>
      <c r="O188" s="81" t="s">
        <v>658</v>
      </c>
      <c r="P188" s="137"/>
    </row>
    <row r="189" spans="1:16" x14ac:dyDescent="0.25">
      <c r="A189" s="136" t="s">
        <v>853</v>
      </c>
      <c r="B189" s="113" t="s">
        <v>854</v>
      </c>
      <c r="C189" s="113" t="s">
        <v>528</v>
      </c>
      <c r="D189" s="114">
        <v>46112</v>
      </c>
      <c r="E189" s="113" t="s">
        <v>404</v>
      </c>
      <c r="F189" s="115">
        <v>321.79000000000002</v>
      </c>
      <c r="G189" s="81" t="s">
        <v>70</v>
      </c>
      <c r="H189" s="81" t="s">
        <v>658</v>
      </c>
      <c r="I189" s="81" t="s">
        <v>70</v>
      </c>
      <c r="J189" s="81" t="s">
        <v>658</v>
      </c>
      <c r="K189" s="81" t="s">
        <v>70</v>
      </c>
      <c r="L189" s="81" t="s">
        <v>658</v>
      </c>
      <c r="M189" s="81" t="s">
        <v>658</v>
      </c>
      <c r="N189" s="81" t="s">
        <v>70</v>
      </c>
      <c r="O189" s="81" t="s">
        <v>658</v>
      </c>
      <c r="P189" s="137"/>
    </row>
    <row r="190" spans="1:16" x14ac:dyDescent="0.25">
      <c r="A190" s="136" t="s">
        <v>855</v>
      </c>
      <c r="B190" s="113" t="s">
        <v>856</v>
      </c>
      <c r="C190" s="113" t="s">
        <v>421</v>
      </c>
      <c r="D190" s="114">
        <v>46474</v>
      </c>
      <c r="E190" s="113" t="s">
        <v>408</v>
      </c>
      <c r="F190" s="115">
        <v>306.60000000000002</v>
      </c>
      <c r="G190" s="81" t="s">
        <v>70</v>
      </c>
      <c r="H190" s="81" t="s">
        <v>658</v>
      </c>
      <c r="I190" s="81" t="s">
        <v>70</v>
      </c>
      <c r="J190" s="81" t="s">
        <v>658</v>
      </c>
      <c r="K190" s="81" t="s">
        <v>70</v>
      </c>
      <c r="L190" s="81" t="s">
        <v>658</v>
      </c>
      <c r="M190" s="81" t="s">
        <v>658</v>
      </c>
      <c r="N190" s="81" t="s">
        <v>70</v>
      </c>
      <c r="O190" s="81" t="s">
        <v>658</v>
      </c>
      <c r="P190" s="137"/>
    </row>
    <row r="191" spans="1:16" x14ac:dyDescent="0.25">
      <c r="A191" s="136" t="s">
        <v>857</v>
      </c>
      <c r="B191" s="113" t="s">
        <v>858</v>
      </c>
      <c r="C191" s="113" t="s">
        <v>421</v>
      </c>
      <c r="D191" s="114">
        <v>46474</v>
      </c>
      <c r="E191" s="113" t="s">
        <v>404</v>
      </c>
      <c r="F191" s="115">
        <v>200.8</v>
      </c>
      <c r="G191" s="81" t="s">
        <v>70</v>
      </c>
      <c r="H191" s="81" t="s">
        <v>658</v>
      </c>
      <c r="I191" s="81" t="s">
        <v>70</v>
      </c>
      <c r="J191" s="81" t="s">
        <v>658</v>
      </c>
      <c r="K191" s="81" t="s">
        <v>70</v>
      </c>
      <c r="L191" s="81" t="s">
        <v>658</v>
      </c>
      <c r="M191" s="81" t="s">
        <v>658</v>
      </c>
      <c r="N191" s="81" t="s">
        <v>70</v>
      </c>
      <c r="O191" s="81" t="s">
        <v>658</v>
      </c>
      <c r="P191" s="137"/>
    </row>
    <row r="192" spans="1:16" x14ac:dyDescent="0.25">
      <c r="A192" s="136" t="s">
        <v>859</v>
      </c>
      <c r="B192" s="113" t="s">
        <v>860</v>
      </c>
      <c r="C192" s="113" t="s">
        <v>477</v>
      </c>
      <c r="D192" s="114">
        <v>46569</v>
      </c>
      <c r="E192" s="113" t="s">
        <v>433</v>
      </c>
      <c r="F192" s="115">
        <v>351.4</v>
      </c>
      <c r="G192" s="81" t="s">
        <v>70</v>
      </c>
      <c r="H192" s="81" t="s">
        <v>658</v>
      </c>
      <c r="I192" s="81" t="s">
        <v>70</v>
      </c>
      <c r="J192" s="81" t="s">
        <v>658</v>
      </c>
      <c r="K192" s="81" t="s">
        <v>70</v>
      </c>
      <c r="L192" s="81" t="s">
        <v>658</v>
      </c>
      <c r="M192" s="81" t="s">
        <v>658</v>
      </c>
      <c r="N192" s="81" t="s">
        <v>70</v>
      </c>
      <c r="O192" s="81" t="s">
        <v>658</v>
      </c>
      <c r="P192" s="137"/>
    </row>
    <row r="193" spans="1:16" x14ac:dyDescent="0.25">
      <c r="A193" s="136" t="s">
        <v>861</v>
      </c>
      <c r="B193" s="113" t="s">
        <v>862</v>
      </c>
      <c r="C193" s="113" t="s">
        <v>594</v>
      </c>
      <c r="D193" s="114">
        <v>46157</v>
      </c>
      <c r="E193" s="113" t="s">
        <v>404</v>
      </c>
      <c r="F193" s="115">
        <v>201.35</v>
      </c>
      <c r="G193" s="81" t="s">
        <v>70</v>
      </c>
      <c r="H193" s="81" t="s">
        <v>658</v>
      </c>
      <c r="I193" s="81" t="s">
        <v>70</v>
      </c>
      <c r="J193" s="81" t="s">
        <v>658</v>
      </c>
      <c r="K193" s="81" t="s">
        <v>70</v>
      </c>
      <c r="L193" s="81" t="s">
        <v>658</v>
      </c>
      <c r="M193" s="81" t="s">
        <v>658</v>
      </c>
      <c r="N193" s="81" t="s">
        <v>70</v>
      </c>
      <c r="O193" s="81" t="s">
        <v>658</v>
      </c>
      <c r="P193" s="137"/>
    </row>
    <row r="194" spans="1:16" x14ac:dyDescent="0.25">
      <c r="A194" s="136" t="s">
        <v>863</v>
      </c>
      <c r="B194" s="113" t="s">
        <v>864</v>
      </c>
      <c r="C194" s="113" t="s">
        <v>430</v>
      </c>
      <c r="D194" s="114">
        <v>46436</v>
      </c>
      <c r="E194" s="113" t="s">
        <v>433</v>
      </c>
      <c r="F194" s="115">
        <v>196.3</v>
      </c>
      <c r="G194" s="81" t="s">
        <v>70</v>
      </c>
      <c r="H194" s="81" t="s">
        <v>658</v>
      </c>
      <c r="I194" s="81" t="s">
        <v>70</v>
      </c>
      <c r="J194" s="81" t="s">
        <v>658</v>
      </c>
      <c r="K194" s="81" t="s">
        <v>70</v>
      </c>
      <c r="L194" s="81" t="s">
        <v>658</v>
      </c>
      <c r="M194" s="81" t="s">
        <v>658</v>
      </c>
      <c r="N194" s="81" t="s">
        <v>70</v>
      </c>
      <c r="O194" s="81" t="s">
        <v>658</v>
      </c>
      <c r="P194" s="137"/>
    </row>
    <row r="195" spans="1:16" x14ac:dyDescent="0.25">
      <c r="A195" s="136" t="s">
        <v>865</v>
      </c>
      <c r="B195" s="113" t="s">
        <v>866</v>
      </c>
      <c r="C195" s="113" t="s">
        <v>502</v>
      </c>
      <c r="D195" s="114">
        <v>46357</v>
      </c>
      <c r="E195" s="113" t="s">
        <v>433</v>
      </c>
      <c r="F195" s="115">
        <v>203.1</v>
      </c>
      <c r="G195" s="81" t="s">
        <v>70</v>
      </c>
      <c r="H195" s="81" t="s">
        <v>658</v>
      </c>
      <c r="I195" s="81" t="s">
        <v>70</v>
      </c>
      <c r="J195" s="81" t="s">
        <v>658</v>
      </c>
      <c r="K195" s="81" t="s">
        <v>70</v>
      </c>
      <c r="L195" s="81" t="s">
        <v>658</v>
      </c>
      <c r="M195" s="81" t="s">
        <v>658</v>
      </c>
      <c r="N195" s="81" t="s">
        <v>70</v>
      </c>
      <c r="O195" s="81" t="s">
        <v>658</v>
      </c>
      <c r="P195" s="137"/>
    </row>
    <row r="196" spans="1:16" x14ac:dyDescent="0.25">
      <c r="A196" s="136" t="s">
        <v>867</v>
      </c>
      <c r="B196" s="113" t="s">
        <v>868</v>
      </c>
      <c r="C196" s="113" t="s">
        <v>502</v>
      </c>
      <c r="D196" s="114">
        <v>46357</v>
      </c>
      <c r="E196" s="113" t="s">
        <v>404</v>
      </c>
      <c r="F196" s="115">
        <v>201.6</v>
      </c>
      <c r="G196" s="81" t="s">
        <v>70</v>
      </c>
      <c r="H196" s="81" t="s">
        <v>658</v>
      </c>
      <c r="I196" s="81" t="s">
        <v>70</v>
      </c>
      <c r="J196" s="81" t="s">
        <v>658</v>
      </c>
      <c r="K196" s="81" t="s">
        <v>70</v>
      </c>
      <c r="L196" s="81" t="s">
        <v>658</v>
      </c>
      <c r="M196" s="81" t="s">
        <v>658</v>
      </c>
      <c r="N196" s="81" t="s">
        <v>70</v>
      </c>
      <c r="O196" s="81" t="s">
        <v>658</v>
      </c>
      <c r="P196" s="137"/>
    </row>
    <row r="197" spans="1:16" x14ac:dyDescent="0.25">
      <c r="A197" s="136" t="s">
        <v>869</v>
      </c>
      <c r="B197" s="113" t="s">
        <v>870</v>
      </c>
      <c r="C197" s="113" t="s">
        <v>630</v>
      </c>
      <c r="D197" s="114">
        <v>46513</v>
      </c>
      <c r="E197" s="113" t="s">
        <v>415</v>
      </c>
      <c r="F197" s="115">
        <v>224.5</v>
      </c>
      <c r="G197" s="81" t="s">
        <v>70</v>
      </c>
      <c r="H197" s="81" t="s">
        <v>658</v>
      </c>
      <c r="I197" s="81" t="s">
        <v>70</v>
      </c>
      <c r="J197" s="81" t="s">
        <v>658</v>
      </c>
      <c r="K197" s="81" t="s">
        <v>70</v>
      </c>
      <c r="L197" s="81" t="s">
        <v>658</v>
      </c>
      <c r="M197" s="81" t="s">
        <v>658</v>
      </c>
      <c r="N197" s="81" t="s">
        <v>70</v>
      </c>
      <c r="O197" s="81" t="s">
        <v>658</v>
      </c>
      <c r="P197" s="137"/>
    </row>
    <row r="198" spans="1:16" x14ac:dyDescent="0.25">
      <c r="A198" s="136" t="s">
        <v>871</v>
      </c>
      <c r="B198" s="113" t="s">
        <v>872</v>
      </c>
      <c r="C198" s="113" t="s">
        <v>873</v>
      </c>
      <c r="D198" s="114">
        <v>46539</v>
      </c>
      <c r="E198" s="113" t="s">
        <v>415</v>
      </c>
      <c r="F198" s="115">
        <v>121.8</v>
      </c>
      <c r="G198" s="81" t="s">
        <v>70</v>
      </c>
      <c r="H198" s="81" t="s">
        <v>658</v>
      </c>
      <c r="I198" s="81" t="s">
        <v>70</v>
      </c>
      <c r="J198" s="81" t="s">
        <v>658</v>
      </c>
      <c r="K198" s="81" t="s">
        <v>70</v>
      </c>
      <c r="L198" s="81" t="s">
        <v>658</v>
      </c>
      <c r="M198" s="81" t="s">
        <v>658</v>
      </c>
      <c r="N198" s="81" t="s">
        <v>70</v>
      </c>
      <c r="O198" s="81" t="s">
        <v>658</v>
      </c>
      <c r="P198" s="137"/>
    </row>
    <row r="199" spans="1:16" x14ac:dyDescent="0.25">
      <c r="A199" s="136" t="s">
        <v>874</v>
      </c>
      <c r="B199" s="113" t="s">
        <v>875</v>
      </c>
      <c r="C199" s="113" t="s">
        <v>876</v>
      </c>
      <c r="D199" s="114">
        <v>46722</v>
      </c>
      <c r="E199" s="113" t="s">
        <v>408</v>
      </c>
      <c r="F199" s="115">
        <v>197.75</v>
      </c>
      <c r="G199" s="81" t="s">
        <v>70</v>
      </c>
      <c r="H199" s="81" t="s">
        <v>658</v>
      </c>
      <c r="I199" s="81" t="s">
        <v>658</v>
      </c>
      <c r="J199" s="81" t="s">
        <v>658</v>
      </c>
      <c r="K199" s="81" t="s">
        <v>70</v>
      </c>
      <c r="L199" s="81" t="s">
        <v>658</v>
      </c>
      <c r="M199" s="81" t="s">
        <v>658</v>
      </c>
      <c r="N199" s="81" t="s">
        <v>70</v>
      </c>
      <c r="O199" s="81" t="s">
        <v>658</v>
      </c>
      <c r="P199" s="137"/>
    </row>
    <row r="200" spans="1:16" x14ac:dyDescent="0.25">
      <c r="A200" s="136" t="s">
        <v>877</v>
      </c>
      <c r="B200" s="113" t="s">
        <v>878</v>
      </c>
      <c r="C200" s="113" t="s">
        <v>824</v>
      </c>
      <c r="D200" s="114">
        <v>46643</v>
      </c>
      <c r="E200" s="113" t="s">
        <v>433</v>
      </c>
      <c r="F200" s="115">
        <v>164.86</v>
      </c>
      <c r="G200" s="81" t="s">
        <v>70</v>
      </c>
      <c r="H200" s="81" t="s">
        <v>658</v>
      </c>
      <c r="I200" s="81" t="s">
        <v>658</v>
      </c>
      <c r="J200" s="81" t="s">
        <v>658</v>
      </c>
      <c r="K200" s="81" t="s">
        <v>70</v>
      </c>
      <c r="L200" s="81" t="s">
        <v>658</v>
      </c>
      <c r="M200" s="81" t="s">
        <v>658</v>
      </c>
      <c r="N200" s="81" t="s">
        <v>70</v>
      </c>
      <c r="O200" s="81" t="s">
        <v>658</v>
      </c>
      <c r="P200" s="137"/>
    </row>
    <row r="201" spans="1:16" x14ac:dyDescent="0.25">
      <c r="A201" s="136" t="s">
        <v>879</v>
      </c>
      <c r="B201" s="113" t="s">
        <v>880</v>
      </c>
      <c r="C201" s="113" t="s">
        <v>824</v>
      </c>
      <c r="D201" s="114">
        <v>46643</v>
      </c>
      <c r="E201" s="113" t="s">
        <v>404</v>
      </c>
      <c r="F201" s="115">
        <v>82.97</v>
      </c>
      <c r="G201" s="81" t="s">
        <v>70</v>
      </c>
      <c r="H201" s="81" t="s">
        <v>658</v>
      </c>
      <c r="I201" s="81" t="s">
        <v>658</v>
      </c>
      <c r="J201" s="81" t="s">
        <v>658</v>
      </c>
      <c r="K201" s="81" t="s">
        <v>70</v>
      </c>
      <c r="L201" s="81" t="s">
        <v>658</v>
      </c>
      <c r="M201" s="81" t="s">
        <v>658</v>
      </c>
      <c r="N201" s="81" t="s">
        <v>70</v>
      </c>
      <c r="O201" s="81" t="s">
        <v>658</v>
      </c>
      <c r="P201" s="137"/>
    </row>
    <row r="202" spans="1:16" x14ac:dyDescent="0.25">
      <c r="A202" s="136" t="s">
        <v>881</v>
      </c>
      <c r="B202" s="113" t="s">
        <v>882</v>
      </c>
      <c r="C202" s="113" t="s">
        <v>838</v>
      </c>
      <c r="D202" s="114">
        <v>46612</v>
      </c>
      <c r="E202" s="113" t="s">
        <v>433</v>
      </c>
      <c r="F202" s="115">
        <v>316.19</v>
      </c>
      <c r="G202" s="81" t="s">
        <v>70</v>
      </c>
      <c r="H202" s="81" t="s">
        <v>658</v>
      </c>
      <c r="I202" s="81" t="s">
        <v>658</v>
      </c>
      <c r="J202" s="81" t="s">
        <v>658</v>
      </c>
      <c r="K202" s="81" t="s">
        <v>70</v>
      </c>
      <c r="L202" s="81" t="s">
        <v>658</v>
      </c>
      <c r="M202" s="81" t="s">
        <v>658</v>
      </c>
      <c r="N202" s="81" t="s">
        <v>70</v>
      </c>
      <c r="O202" s="81" t="s">
        <v>658</v>
      </c>
      <c r="P202" s="137"/>
    </row>
    <row r="203" spans="1:16" x14ac:dyDescent="0.25">
      <c r="A203" s="136" t="s">
        <v>883</v>
      </c>
      <c r="B203" s="113" t="s">
        <v>884</v>
      </c>
      <c r="C203" s="113" t="s">
        <v>583</v>
      </c>
      <c r="D203" s="114">
        <v>46752</v>
      </c>
      <c r="E203" s="113" t="s">
        <v>433</v>
      </c>
      <c r="F203" s="115">
        <v>460</v>
      </c>
      <c r="G203" s="81" t="s">
        <v>70</v>
      </c>
      <c r="H203" s="81" t="s">
        <v>658</v>
      </c>
      <c r="I203" s="81" t="s">
        <v>658</v>
      </c>
      <c r="J203" s="81" t="s">
        <v>658</v>
      </c>
      <c r="K203" s="81" t="s">
        <v>70</v>
      </c>
      <c r="L203" s="81" t="s">
        <v>658</v>
      </c>
      <c r="M203" s="81" t="s">
        <v>658</v>
      </c>
      <c r="N203" s="81" t="s">
        <v>70</v>
      </c>
      <c r="O203" s="81" t="s">
        <v>658</v>
      </c>
      <c r="P203" s="137"/>
    </row>
    <row r="204" spans="1:16" x14ac:dyDescent="0.25">
      <c r="A204" s="136" t="s">
        <v>885</v>
      </c>
      <c r="B204" s="113" t="s">
        <v>886</v>
      </c>
      <c r="C204" s="113" t="s">
        <v>876</v>
      </c>
      <c r="D204" s="114">
        <v>46722</v>
      </c>
      <c r="E204" s="113" t="s">
        <v>408</v>
      </c>
      <c r="F204" s="115">
        <v>197.75</v>
      </c>
      <c r="G204" s="81" t="s">
        <v>70</v>
      </c>
      <c r="H204" s="81" t="s">
        <v>658</v>
      </c>
      <c r="I204" s="81" t="s">
        <v>658</v>
      </c>
      <c r="J204" s="81" t="s">
        <v>658</v>
      </c>
      <c r="K204" s="81" t="s">
        <v>70</v>
      </c>
      <c r="L204" s="81" t="s">
        <v>658</v>
      </c>
      <c r="M204" s="81" t="s">
        <v>658</v>
      </c>
      <c r="N204" s="81" t="s">
        <v>70</v>
      </c>
      <c r="O204" s="81" t="s">
        <v>658</v>
      </c>
      <c r="P204" s="137"/>
    </row>
    <row r="205" spans="1:16" x14ac:dyDescent="0.25">
      <c r="A205" s="136" t="s">
        <v>887</v>
      </c>
      <c r="B205" s="113" t="s">
        <v>888</v>
      </c>
      <c r="C205" s="113" t="s">
        <v>502</v>
      </c>
      <c r="D205" s="114">
        <v>46645</v>
      </c>
      <c r="E205" s="113" t="s">
        <v>404</v>
      </c>
      <c r="F205" s="115">
        <v>135.18</v>
      </c>
      <c r="G205" s="81" t="s">
        <v>70</v>
      </c>
      <c r="H205" s="81" t="s">
        <v>658</v>
      </c>
      <c r="I205" s="81" t="s">
        <v>658</v>
      </c>
      <c r="J205" s="81" t="s">
        <v>658</v>
      </c>
      <c r="K205" s="81" t="s">
        <v>70</v>
      </c>
      <c r="L205" s="81" t="s">
        <v>658</v>
      </c>
      <c r="M205" s="81" t="s">
        <v>658</v>
      </c>
      <c r="N205" s="81" t="s">
        <v>70</v>
      </c>
      <c r="O205" s="81" t="s">
        <v>658</v>
      </c>
      <c r="P205" s="137"/>
    </row>
    <row r="206" spans="1:16" x14ac:dyDescent="0.25">
      <c r="A206" s="136" t="s">
        <v>889</v>
      </c>
      <c r="B206" s="113" t="s">
        <v>890</v>
      </c>
      <c r="C206" s="113" t="s">
        <v>411</v>
      </c>
      <c r="D206" s="114">
        <v>46703</v>
      </c>
      <c r="E206" s="113" t="s">
        <v>433</v>
      </c>
      <c r="F206" s="115">
        <v>148.16</v>
      </c>
      <c r="G206" s="81" t="s">
        <v>70</v>
      </c>
      <c r="H206" s="81" t="s">
        <v>658</v>
      </c>
      <c r="I206" s="81" t="s">
        <v>658</v>
      </c>
      <c r="J206" s="81" t="s">
        <v>658</v>
      </c>
      <c r="K206" s="81" t="s">
        <v>70</v>
      </c>
      <c r="L206" s="81" t="s">
        <v>658</v>
      </c>
      <c r="M206" s="81" t="s">
        <v>658</v>
      </c>
      <c r="N206" s="81" t="s">
        <v>70</v>
      </c>
      <c r="O206" s="81" t="s">
        <v>658</v>
      </c>
      <c r="P206" s="137"/>
    </row>
    <row r="207" spans="1:16" x14ac:dyDescent="0.25">
      <c r="A207" s="136" t="s">
        <v>891</v>
      </c>
      <c r="B207" s="113" t="s">
        <v>892</v>
      </c>
      <c r="C207" s="113" t="s">
        <v>510</v>
      </c>
      <c r="D207" s="114">
        <v>46612</v>
      </c>
      <c r="E207" s="113" t="s">
        <v>404</v>
      </c>
      <c r="F207" s="115">
        <v>176.13</v>
      </c>
      <c r="G207" s="81" t="s">
        <v>70</v>
      </c>
      <c r="H207" s="81" t="s">
        <v>658</v>
      </c>
      <c r="I207" s="81" t="s">
        <v>658</v>
      </c>
      <c r="J207" s="81" t="s">
        <v>658</v>
      </c>
      <c r="K207" s="81" t="s">
        <v>70</v>
      </c>
      <c r="L207" s="81" t="s">
        <v>658</v>
      </c>
      <c r="M207" s="81" t="s">
        <v>658</v>
      </c>
      <c r="N207" s="81" t="s">
        <v>70</v>
      </c>
      <c r="O207" s="81" t="s">
        <v>658</v>
      </c>
      <c r="P207" s="137"/>
    </row>
    <row r="208" spans="1:16" x14ac:dyDescent="0.25">
      <c r="A208" s="136" t="s">
        <v>893</v>
      </c>
      <c r="B208" s="113" t="s">
        <v>894</v>
      </c>
      <c r="C208" s="113" t="s">
        <v>534</v>
      </c>
      <c r="D208" s="114">
        <v>46752</v>
      </c>
      <c r="E208" s="113" t="s">
        <v>404</v>
      </c>
      <c r="F208" s="115">
        <v>201.08</v>
      </c>
      <c r="G208" s="81" t="s">
        <v>70</v>
      </c>
      <c r="H208" s="81" t="s">
        <v>658</v>
      </c>
      <c r="I208" s="81" t="s">
        <v>658</v>
      </c>
      <c r="J208" s="81" t="s">
        <v>658</v>
      </c>
      <c r="K208" s="81" t="s">
        <v>70</v>
      </c>
      <c r="L208" s="81" t="s">
        <v>658</v>
      </c>
      <c r="M208" s="81" t="s">
        <v>658</v>
      </c>
      <c r="N208" s="81" t="s">
        <v>70</v>
      </c>
      <c r="O208" s="81" t="s">
        <v>658</v>
      </c>
      <c r="P208" s="137"/>
    </row>
    <row r="209" spans="1:16" x14ac:dyDescent="0.25">
      <c r="A209" s="136" t="s">
        <v>895</v>
      </c>
      <c r="B209" s="113" t="s">
        <v>896</v>
      </c>
      <c r="C209" s="113" t="s">
        <v>897</v>
      </c>
      <c r="D209" s="114">
        <v>46689</v>
      </c>
      <c r="E209" s="113" t="s">
        <v>433</v>
      </c>
      <c r="F209" s="115">
        <v>175.3</v>
      </c>
      <c r="G209" s="81" t="s">
        <v>70</v>
      </c>
      <c r="H209" s="81" t="s">
        <v>658</v>
      </c>
      <c r="I209" s="81" t="s">
        <v>658</v>
      </c>
      <c r="J209" s="81" t="s">
        <v>658</v>
      </c>
      <c r="K209" s="81" t="s">
        <v>70</v>
      </c>
      <c r="L209" s="81" t="s">
        <v>658</v>
      </c>
      <c r="M209" s="81" t="s">
        <v>658</v>
      </c>
      <c r="N209" s="81" t="s">
        <v>70</v>
      </c>
      <c r="O209" s="81" t="s">
        <v>658</v>
      </c>
      <c r="P209" s="137"/>
    </row>
    <row r="210" spans="1:16" x14ac:dyDescent="0.25">
      <c r="A210" s="136" t="s">
        <v>898</v>
      </c>
      <c r="B210" s="113" t="s">
        <v>899</v>
      </c>
      <c r="C210" s="113" t="s">
        <v>897</v>
      </c>
      <c r="D210" s="114">
        <v>46689</v>
      </c>
      <c r="E210" s="113" t="s">
        <v>404</v>
      </c>
      <c r="F210" s="115">
        <v>57.15</v>
      </c>
      <c r="G210" s="81" t="s">
        <v>70</v>
      </c>
      <c r="H210" s="81" t="s">
        <v>658</v>
      </c>
      <c r="I210" s="81" t="s">
        <v>658</v>
      </c>
      <c r="J210" s="81" t="s">
        <v>658</v>
      </c>
      <c r="K210" s="81" t="s">
        <v>70</v>
      </c>
      <c r="L210" s="81" t="s">
        <v>658</v>
      </c>
      <c r="M210" s="81" t="s">
        <v>658</v>
      </c>
      <c r="N210" s="81" t="s">
        <v>70</v>
      </c>
      <c r="O210" s="81" t="s">
        <v>658</v>
      </c>
      <c r="P210" s="137"/>
    </row>
    <row r="211" spans="1:16" x14ac:dyDescent="0.25">
      <c r="A211" s="136" t="s">
        <v>900</v>
      </c>
      <c r="B211" s="113" t="s">
        <v>901</v>
      </c>
      <c r="C211" s="113" t="s">
        <v>902</v>
      </c>
      <c r="D211" s="114">
        <v>46650</v>
      </c>
      <c r="E211" s="113" t="s">
        <v>433</v>
      </c>
      <c r="F211" s="115">
        <v>120.69</v>
      </c>
      <c r="G211" s="81" t="s">
        <v>70</v>
      </c>
      <c r="H211" s="81" t="s">
        <v>658</v>
      </c>
      <c r="I211" s="81" t="s">
        <v>658</v>
      </c>
      <c r="J211" s="81" t="s">
        <v>658</v>
      </c>
      <c r="K211" s="81" t="s">
        <v>70</v>
      </c>
      <c r="L211" s="81" t="s">
        <v>658</v>
      </c>
      <c r="M211" s="81" t="s">
        <v>658</v>
      </c>
      <c r="N211" s="81" t="s">
        <v>70</v>
      </c>
      <c r="O211" s="81" t="s">
        <v>658</v>
      </c>
      <c r="P211" s="137"/>
    </row>
    <row r="212" spans="1:16" x14ac:dyDescent="0.25">
      <c r="A212" s="136" t="s">
        <v>903</v>
      </c>
      <c r="B212" s="113" t="s">
        <v>904</v>
      </c>
      <c r="C212" s="113" t="s">
        <v>513</v>
      </c>
      <c r="D212" s="114">
        <v>46650</v>
      </c>
      <c r="E212" s="113" t="s">
        <v>404</v>
      </c>
      <c r="F212" s="115">
        <v>200.7</v>
      </c>
      <c r="G212" s="81" t="s">
        <v>70</v>
      </c>
      <c r="H212" s="81" t="s">
        <v>658</v>
      </c>
      <c r="I212" s="81" t="s">
        <v>658</v>
      </c>
      <c r="J212" s="81" t="s">
        <v>658</v>
      </c>
      <c r="K212" s="81" t="s">
        <v>70</v>
      </c>
      <c r="L212" s="81" t="s">
        <v>658</v>
      </c>
      <c r="M212" s="81" t="s">
        <v>658</v>
      </c>
      <c r="N212" s="81" t="s">
        <v>70</v>
      </c>
      <c r="O212" s="81" t="s">
        <v>658</v>
      </c>
      <c r="P212" s="137"/>
    </row>
    <row r="213" spans="1:16" x14ac:dyDescent="0.25">
      <c r="A213" s="136" t="s">
        <v>905</v>
      </c>
      <c r="B213" s="113" t="s">
        <v>906</v>
      </c>
      <c r="C213" s="113" t="s">
        <v>513</v>
      </c>
      <c r="D213" s="114">
        <v>46805</v>
      </c>
      <c r="E213" s="113" t="s">
        <v>433</v>
      </c>
      <c r="F213" s="115">
        <v>100</v>
      </c>
      <c r="G213" s="81" t="s">
        <v>70</v>
      </c>
      <c r="H213" s="81" t="s">
        <v>658</v>
      </c>
      <c r="I213" s="81" t="s">
        <v>658</v>
      </c>
      <c r="J213" s="81" t="s">
        <v>658</v>
      </c>
      <c r="K213" s="81" t="s">
        <v>658</v>
      </c>
      <c r="L213" s="81" t="s">
        <v>658</v>
      </c>
      <c r="M213" s="81" t="s">
        <v>658</v>
      </c>
      <c r="N213" s="81" t="s">
        <v>70</v>
      </c>
      <c r="O213" s="81" t="s">
        <v>658</v>
      </c>
      <c r="P213" s="137"/>
    </row>
    <row r="214" spans="1:16" x14ac:dyDescent="0.25">
      <c r="A214" s="136" t="s">
        <v>907</v>
      </c>
      <c r="B214" s="113" t="s">
        <v>908</v>
      </c>
      <c r="C214" s="113" t="s">
        <v>407</v>
      </c>
      <c r="D214" s="114">
        <v>46783</v>
      </c>
      <c r="E214" s="113" t="s">
        <v>404</v>
      </c>
      <c r="F214" s="115">
        <v>100.63</v>
      </c>
      <c r="G214" s="81" t="s">
        <v>70</v>
      </c>
      <c r="H214" s="81" t="s">
        <v>658</v>
      </c>
      <c r="I214" s="81" t="s">
        <v>658</v>
      </c>
      <c r="J214" s="81" t="s">
        <v>658</v>
      </c>
      <c r="K214" s="81" t="s">
        <v>658</v>
      </c>
      <c r="L214" s="81" t="s">
        <v>658</v>
      </c>
      <c r="M214" s="81" t="s">
        <v>658</v>
      </c>
      <c r="N214" s="81" t="s">
        <v>70</v>
      </c>
      <c r="O214" s="81" t="s">
        <v>658</v>
      </c>
      <c r="P214" s="137"/>
    </row>
    <row r="215" spans="1:16" x14ac:dyDescent="0.25">
      <c r="A215" s="136" t="s">
        <v>909</v>
      </c>
      <c r="B215" s="113" t="s">
        <v>910</v>
      </c>
      <c r="C215" s="113" t="s">
        <v>452</v>
      </c>
      <c r="D215" s="114">
        <v>46933</v>
      </c>
      <c r="E215" s="113" t="s">
        <v>404</v>
      </c>
      <c r="F215" s="115">
        <v>510</v>
      </c>
      <c r="G215" s="81" t="s">
        <v>70</v>
      </c>
      <c r="H215" s="81" t="s">
        <v>658</v>
      </c>
      <c r="I215" s="81" t="s">
        <v>658</v>
      </c>
      <c r="J215" s="81" t="s">
        <v>658</v>
      </c>
      <c r="K215" s="81" t="s">
        <v>658</v>
      </c>
      <c r="L215" s="81" t="s">
        <v>658</v>
      </c>
      <c r="M215" s="81" t="s">
        <v>658</v>
      </c>
      <c r="N215" s="81" t="s">
        <v>70</v>
      </c>
      <c r="O215" s="81" t="s">
        <v>658</v>
      </c>
      <c r="P215" s="137"/>
    </row>
    <row r="216" spans="1:16" x14ac:dyDescent="0.25">
      <c r="A216" s="136" t="s">
        <v>911</v>
      </c>
      <c r="B216" s="113" t="s">
        <v>912</v>
      </c>
      <c r="C216" s="113" t="s">
        <v>630</v>
      </c>
      <c r="D216" s="114">
        <v>46931</v>
      </c>
      <c r="E216" s="113" t="s">
        <v>433</v>
      </c>
      <c r="F216" s="115">
        <v>250</v>
      </c>
      <c r="G216" s="81" t="s">
        <v>70</v>
      </c>
      <c r="H216" s="81" t="s">
        <v>658</v>
      </c>
      <c r="I216" s="81" t="s">
        <v>658</v>
      </c>
      <c r="J216" s="81" t="s">
        <v>658</v>
      </c>
      <c r="K216" s="81" t="s">
        <v>658</v>
      </c>
      <c r="L216" s="81" t="s">
        <v>658</v>
      </c>
      <c r="M216" s="81" t="s">
        <v>658</v>
      </c>
      <c r="N216" s="81" t="s">
        <v>70</v>
      </c>
      <c r="O216" s="81" t="s">
        <v>658</v>
      </c>
      <c r="P216" s="137"/>
    </row>
    <row r="217" spans="1:16" x14ac:dyDescent="0.25">
      <c r="A217" s="136" t="s">
        <v>913</v>
      </c>
      <c r="B217" s="113" t="s">
        <v>914</v>
      </c>
      <c r="C217" s="113" t="s">
        <v>915</v>
      </c>
      <c r="D217" s="114">
        <v>46824</v>
      </c>
      <c r="E217" s="113" t="s">
        <v>433</v>
      </c>
      <c r="F217" s="115">
        <v>603.20000000000005</v>
      </c>
      <c r="G217" s="81" t="s">
        <v>70</v>
      </c>
      <c r="H217" s="81" t="s">
        <v>658</v>
      </c>
      <c r="I217" s="81" t="s">
        <v>658</v>
      </c>
      <c r="J217" s="81" t="s">
        <v>658</v>
      </c>
      <c r="K217" s="81" t="s">
        <v>658</v>
      </c>
      <c r="L217" s="81" t="s">
        <v>658</v>
      </c>
      <c r="M217" s="81" t="s">
        <v>658</v>
      </c>
      <c r="N217" s="81" t="s">
        <v>70</v>
      </c>
      <c r="O217" s="81" t="s">
        <v>658</v>
      </c>
      <c r="P217" s="137"/>
    </row>
    <row r="218" spans="1:16" x14ac:dyDescent="0.25">
      <c r="A218" s="136" t="s">
        <v>916</v>
      </c>
      <c r="B218" s="113" t="s">
        <v>917</v>
      </c>
      <c r="C218" s="113" t="s">
        <v>915</v>
      </c>
      <c r="D218" s="114">
        <v>46824</v>
      </c>
      <c r="E218" s="113" t="s">
        <v>404</v>
      </c>
      <c r="F218" s="115">
        <v>409.8</v>
      </c>
      <c r="G218" s="81" t="s">
        <v>70</v>
      </c>
      <c r="H218" s="81" t="s">
        <v>658</v>
      </c>
      <c r="I218" s="81" t="s">
        <v>658</v>
      </c>
      <c r="J218" s="81" t="s">
        <v>658</v>
      </c>
      <c r="K218" s="81" t="s">
        <v>658</v>
      </c>
      <c r="L218" s="81" t="s">
        <v>658</v>
      </c>
      <c r="M218" s="81" t="s">
        <v>658</v>
      </c>
      <c r="N218" s="81" t="s">
        <v>70</v>
      </c>
      <c r="O218" s="81" t="s">
        <v>658</v>
      </c>
      <c r="P218" s="137"/>
    </row>
    <row r="219" spans="1:16" x14ac:dyDescent="0.25">
      <c r="A219" s="136" t="s">
        <v>918</v>
      </c>
      <c r="B219" s="113" t="s">
        <v>919</v>
      </c>
      <c r="C219" s="113" t="s">
        <v>920</v>
      </c>
      <c r="D219" s="114">
        <v>46841</v>
      </c>
      <c r="E219" s="113" t="s">
        <v>404</v>
      </c>
      <c r="F219" s="115">
        <v>251.05</v>
      </c>
      <c r="G219" s="81" t="s">
        <v>70</v>
      </c>
      <c r="H219" s="81" t="s">
        <v>658</v>
      </c>
      <c r="I219" s="81" t="s">
        <v>658</v>
      </c>
      <c r="J219" s="81" t="s">
        <v>658</v>
      </c>
      <c r="K219" s="81" t="s">
        <v>658</v>
      </c>
      <c r="L219" s="81" t="s">
        <v>658</v>
      </c>
      <c r="M219" s="81" t="s">
        <v>658</v>
      </c>
      <c r="N219" s="81" t="s">
        <v>70</v>
      </c>
      <c r="O219" s="81" t="s">
        <v>658</v>
      </c>
      <c r="P219" s="137"/>
    </row>
    <row r="220" spans="1:16" x14ac:dyDescent="0.25">
      <c r="A220" s="136" t="s">
        <v>921</v>
      </c>
      <c r="B220" s="113" t="s">
        <v>922</v>
      </c>
      <c r="C220" s="113" t="s">
        <v>923</v>
      </c>
      <c r="D220" s="114">
        <v>46935</v>
      </c>
      <c r="E220" s="113" t="s">
        <v>408</v>
      </c>
      <c r="F220" s="115">
        <v>240</v>
      </c>
      <c r="G220" s="81" t="s">
        <v>70</v>
      </c>
      <c r="H220" s="81" t="s">
        <v>658</v>
      </c>
      <c r="I220" s="81" t="s">
        <v>658</v>
      </c>
      <c r="J220" s="81" t="s">
        <v>658</v>
      </c>
      <c r="K220" s="81" t="s">
        <v>658</v>
      </c>
      <c r="L220" s="81" t="s">
        <v>658</v>
      </c>
      <c r="M220" s="81" t="s">
        <v>658</v>
      </c>
      <c r="N220" s="81" t="s">
        <v>70</v>
      </c>
      <c r="O220" s="81" t="s">
        <v>658</v>
      </c>
      <c r="P220" s="137"/>
    </row>
    <row r="221" spans="1:16" x14ac:dyDescent="0.25">
      <c r="A221" s="136" t="s">
        <v>924</v>
      </c>
      <c r="B221" s="113" t="s">
        <v>925</v>
      </c>
      <c r="C221" s="113" t="s">
        <v>414</v>
      </c>
      <c r="D221" s="114">
        <v>46875</v>
      </c>
      <c r="E221" s="113" t="s">
        <v>404</v>
      </c>
      <c r="F221" s="115">
        <v>203.2</v>
      </c>
      <c r="G221" s="81" t="s">
        <v>70</v>
      </c>
      <c r="H221" s="81" t="s">
        <v>658</v>
      </c>
      <c r="I221" s="81" t="s">
        <v>658</v>
      </c>
      <c r="J221" s="81" t="s">
        <v>658</v>
      </c>
      <c r="K221" s="81" t="s">
        <v>658</v>
      </c>
      <c r="L221" s="81" t="s">
        <v>658</v>
      </c>
      <c r="M221" s="81" t="s">
        <v>658</v>
      </c>
      <c r="N221" s="81" t="s">
        <v>70</v>
      </c>
      <c r="O221" s="81" t="s">
        <v>658</v>
      </c>
      <c r="P221" s="137"/>
    </row>
    <row r="222" spans="1:16" x14ac:dyDescent="0.25">
      <c r="A222" s="136" t="s">
        <v>926</v>
      </c>
      <c r="B222" s="113" t="s">
        <v>927</v>
      </c>
      <c r="C222" s="113" t="s">
        <v>594</v>
      </c>
      <c r="D222" s="114">
        <v>47264</v>
      </c>
      <c r="E222" s="113" t="s">
        <v>404</v>
      </c>
      <c r="F222" s="115">
        <v>231.86</v>
      </c>
      <c r="G222" s="81" t="s">
        <v>70</v>
      </c>
      <c r="H222" s="81" t="s">
        <v>658</v>
      </c>
      <c r="I222" s="81" t="s">
        <v>658</v>
      </c>
      <c r="J222" s="81" t="s">
        <v>658</v>
      </c>
      <c r="K222" s="81" t="s">
        <v>658</v>
      </c>
      <c r="L222" s="81" t="s">
        <v>658</v>
      </c>
      <c r="M222" s="81" t="s">
        <v>658</v>
      </c>
      <c r="N222" s="81" t="s">
        <v>70</v>
      </c>
      <c r="O222" s="81" t="s">
        <v>658</v>
      </c>
      <c r="P222" s="137"/>
    </row>
    <row r="223" spans="1:16" x14ac:dyDescent="0.25">
      <c r="A223" s="136" t="s">
        <v>928</v>
      </c>
      <c r="B223" s="113" t="s">
        <v>929</v>
      </c>
      <c r="C223" s="113" t="s">
        <v>930</v>
      </c>
      <c r="D223" s="114">
        <v>47088</v>
      </c>
      <c r="E223" s="113" t="s">
        <v>415</v>
      </c>
      <c r="F223" s="115">
        <v>1350</v>
      </c>
      <c r="G223" s="81" t="s">
        <v>70</v>
      </c>
      <c r="H223" s="81" t="s">
        <v>658</v>
      </c>
      <c r="I223" s="81" t="s">
        <v>658</v>
      </c>
      <c r="J223" s="81" t="s">
        <v>658</v>
      </c>
      <c r="K223" s="81" t="s">
        <v>658</v>
      </c>
      <c r="L223" s="81" t="s">
        <v>658</v>
      </c>
      <c r="M223" s="81" t="s">
        <v>658</v>
      </c>
      <c r="N223" s="81" t="s">
        <v>70</v>
      </c>
      <c r="O223" s="81" t="s">
        <v>658</v>
      </c>
      <c r="P223" s="137"/>
    </row>
    <row r="224" spans="1:16" x14ac:dyDescent="0.25">
      <c r="A224" s="136" t="s">
        <v>931</v>
      </c>
      <c r="B224" s="113" t="s">
        <v>932</v>
      </c>
      <c r="C224" s="113" t="s">
        <v>516</v>
      </c>
      <c r="D224" s="114">
        <v>47144</v>
      </c>
      <c r="E224" s="113" t="s">
        <v>433</v>
      </c>
      <c r="F224" s="115">
        <v>522.75</v>
      </c>
      <c r="G224" s="81" t="s">
        <v>70</v>
      </c>
      <c r="H224" s="81" t="s">
        <v>658</v>
      </c>
      <c r="I224" s="81" t="s">
        <v>658</v>
      </c>
      <c r="J224" s="81" t="s">
        <v>658</v>
      </c>
      <c r="K224" s="81" t="s">
        <v>658</v>
      </c>
      <c r="L224" s="81" t="s">
        <v>658</v>
      </c>
      <c r="M224" s="81" t="s">
        <v>658</v>
      </c>
      <c r="N224" s="81" t="s">
        <v>70</v>
      </c>
      <c r="O224" s="81" t="s">
        <v>658</v>
      </c>
      <c r="P224" s="137"/>
    </row>
    <row r="225" spans="1:16" x14ac:dyDescent="0.25">
      <c r="A225" s="136" t="s">
        <v>933</v>
      </c>
      <c r="B225" s="113" t="s">
        <v>934</v>
      </c>
      <c r="C225" s="113" t="s">
        <v>516</v>
      </c>
      <c r="D225" s="114">
        <v>47144</v>
      </c>
      <c r="E225" s="113" t="s">
        <v>404</v>
      </c>
      <c r="F225" s="115">
        <v>522.75</v>
      </c>
      <c r="G225" s="81" t="s">
        <v>70</v>
      </c>
      <c r="H225" s="81" t="s">
        <v>658</v>
      </c>
      <c r="I225" s="81" t="s">
        <v>658</v>
      </c>
      <c r="J225" s="81" t="s">
        <v>658</v>
      </c>
      <c r="K225" s="81" t="s">
        <v>658</v>
      </c>
      <c r="L225" s="81" t="s">
        <v>658</v>
      </c>
      <c r="M225" s="81" t="s">
        <v>658</v>
      </c>
      <c r="N225" s="81" t="s">
        <v>70</v>
      </c>
      <c r="O225" s="81" t="s">
        <v>658</v>
      </c>
      <c r="P225" s="137"/>
    </row>
    <row r="226" spans="1:16" x14ac:dyDescent="0.25">
      <c r="A226" s="136" t="s">
        <v>935</v>
      </c>
      <c r="B226" s="113" t="s">
        <v>936</v>
      </c>
      <c r="C226" s="113" t="s">
        <v>424</v>
      </c>
      <c r="D226" s="114">
        <v>47118</v>
      </c>
      <c r="E226" s="113" t="s">
        <v>433</v>
      </c>
      <c r="F226" s="115">
        <v>291.39999999999998</v>
      </c>
      <c r="G226" s="81" t="s">
        <v>70</v>
      </c>
      <c r="H226" s="81" t="s">
        <v>658</v>
      </c>
      <c r="I226" s="81" t="s">
        <v>658</v>
      </c>
      <c r="J226" s="81" t="s">
        <v>658</v>
      </c>
      <c r="K226" s="81" t="s">
        <v>658</v>
      </c>
      <c r="L226" s="81" t="s">
        <v>658</v>
      </c>
      <c r="M226" s="81" t="s">
        <v>658</v>
      </c>
      <c r="N226" s="81" t="s">
        <v>70</v>
      </c>
      <c r="O226" s="81" t="s">
        <v>658</v>
      </c>
      <c r="P226" s="137"/>
    </row>
    <row r="227" spans="1:16" x14ac:dyDescent="0.25">
      <c r="A227" s="136" t="s">
        <v>937</v>
      </c>
      <c r="B227" s="113" t="s">
        <v>938</v>
      </c>
      <c r="C227" s="113" t="s">
        <v>463</v>
      </c>
      <c r="D227" s="114">
        <v>47069</v>
      </c>
      <c r="E227" s="113" t="s">
        <v>433</v>
      </c>
      <c r="F227" s="115">
        <v>201.5</v>
      </c>
      <c r="G227" s="81" t="s">
        <v>70</v>
      </c>
      <c r="H227" s="81" t="s">
        <v>658</v>
      </c>
      <c r="I227" s="81" t="s">
        <v>658</v>
      </c>
      <c r="J227" s="81" t="s">
        <v>658</v>
      </c>
      <c r="K227" s="81" t="s">
        <v>658</v>
      </c>
      <c r="L227" s="81" t="s">
        <v>658</v>
      </c>
      <c r="M227" s="81" t="s">
        <v>658</v>
      </c>
      <c r="N227" s="81" t="s">
        <v>70</v>
      </c>
      <c r="O227" s="81" t="s">
        <v>658</v>
      </c>
      <c r="P227" s="137"/>
    </row>
    <row r="228" spans="1:16" x14ac:dyDescent="0.25">
      <c r="A228" s="136" t="s">
        <v>939</v>
      </c>
      <c r="B228" s="113" t="s">
        <v>940</v>
      </c>
      <c r="C228" s="113" t="s">
        <v>633</v>
      </c>
      <c r="D228" s="114">
        <v>46943</v>
      </c>
      <c r="E228" s="113" t="s">
        <v>404</v>
      </c>
      <c r="F228" s="115">
        <v>264.24</v>
      </c>
      <c r="G228" s="81" t="s">
        <v>70</v>
      </c>
      <c r="H228" s="81" t="s">
        <v>658</v>
      </c>
      <c r="I228" s="81" t="s">
        <v>658</v>
      </c>
      <c r="J228" s="81" t="s">
        <v>658</v>
      </c>
      <c r="K228" s="81" t="s">
        <v>658</v>
      </c>
      <c r="L228" s="81" t="s">
        <v>658</v>
      </c>
      <c r="M228" s="81" t="s">
        <v>658</v>
      </c>
      <c r="N228" s="81" t="s">
        <v>70</v>
      </c>
      <c r="O228" s="81" t="s">
        <v>658</v>
      </c>
      <c r="P228" s="137"/>
    </row>
    <row r="229" spans="1:16" ht="15.75" thickBot="1" x14ac:dyDescent="0.3">
      <c r="A229" s="141" t="s">
        <v>941</v>
      </c>
      <c r="B229" s="142" t="s">
        <v>942</v>
      </c>
      <c r="C229" s="142" t="s">
        <v>588</v>
      </c>
      <c r="D229" s="143">
        <v>47300</v>
      </c>
      <c r="E229" s="142" t="s">
        <v>433</v>
      </c>
      <c r="F229" s="144">
        <v>512.5</v>
      </c>
      <c r="G229" s="145" t="s">
        <v>70</v>
      </c>
      <c r="H229" s="145" t="s">
        <v>658</v>
      </c>
      <c r="I229" s="145" t="s">
        <v>658</v>
      </c>
      <c r="J229" s="145" t="s">
        <v>658</v>
      </c>
      <c r="K229" s="145" t="s">
        <v>658</v>
      </c>
      <c r="L229" s="145" t="s">
        <v>658</v>
      </c>
      <c r="M229" s="145" t="s">
        <v>658</v>
      </c>
      <c r="N229" s="145" t="s">
        <v>70</v>
      </c>
      <c r="O229" s="145" t="s">
        <v>658</v>
      </c>
      <c r="P229" s="146"/>
    </row>
    <row r="230" spans="1:16" x14ac:dyDescent="0.25">
      <c r="A230" s="85"/>
      <c r="B230" s="16"/>
      <c r="C230" s="16"/>
      <c r="D230" s="151"/>
      <c r="E230" s="16"/>
      <c r="F230" s="152"/>
      <c r="G230" s="121"/>
      <c r="H230" s="121"/>
      <c r="I230" s="121"/>
      <c r="J230" s="121"/>
      <c r="K230" s="121"/>
      <c r="L230" s="121"/>
      <c r="M230" s="121"/>
      <c r="N230" s="122"/>
    </row>
    <row r="231" spans="1:16" x14ac:dyDescent="0.25">
      <c r="A231" s="85"/>
      <c r="B231" s="16"/>
      <c r="C231" s="16"/>
      <c r="D231" s="151"/>
      <c r="E231" s="16"/>
      <c r="F231" s="152"/>
      <c r="G231" s="121"/>
      <c r="H231" s="121"/>
      <c r="I231" s="121"/>
      <c r="J231" s="121"/>
      <c r="K231" s="121"/>
      <c r="L231" s="121"/>
      <c r="M231" s="121"/>
      <c r="N231" s="122"/>
    </row>
    <row r="232" spans="1:16" ht="30" x14ac:dyDescent="0.25">
      <c r="A232" s="34" t="s">
        <v>943</v>
      </c>
    </row>
    <row r="234" spans="1:16" ht="31.5" customHeight="1" thickBot="1" x14ac:dyDescent="0.3">
      <c r="A234" s="124" t="s">
        <v>391</v>
      </c>
      <c r="B234" s="125" t="s">
        <v>392</v>
      </c>
      <c r="C234" s="125" t="s">
        <v>393</v>
      </c>
      <c r="D234" s="158" t="s">
        <v>394</v>
      </c>
      <c r="E234" s="125" t="s">
        <v>395</v>
      </c>
      <c r="F234" s="159" t="s">
        <v>396</v>
      </c>
      <c r="G234" s="160" t="s">
        <v>944</v>
      </c>
      <c r="H234" s="125" t="s">
        <v>312</v>
      </c>
      <c r="I234" s="125" t="s">
        <v>313</v>
      </c>
      <c r="J234" s="125" t="s">
        <v>314</v>
      </c>
      <c r="K234" s="125" t="s">
        <v>315</v>
      </c>
      <c r="L234" s="125" t="s">
        <v>316</v>
      </c>
      <c r="M234" s="161" t="s">
        <v>213</v>
      </c>
    </row>
    <row r="235" spans="1:16" x14ac:dyDescent="0.25">
      <c r="A235" s="140" t="s">
        <v>945</v>
      </c>
      <c r="B235" s="135" t="s">
        <v>946</v>
      </c>
      <c r="C235" s="154" t="s">
        <v>947</v>
      </c>
      <c r="D235" s="155">
        <v>45626</v>
      </c>
      <c r="E235" s="135" t="s">
        <v>408</v>
      </c>
      <c r="F235" s="156">
        <v>3</v>
      </c>
      <c r="G235" s="157" t="s">
        <v>70</v>
      </c>
      <c r="H235" s="157" t="s">
        <v>658</v>
      </c>
      <c r="I235" s="157" t="s">
        <v>70</v>
      </c>
      <c r="J235" s="157" t="s">
        <v>70</v>
      </c>
      <c r="K235" s="157" t="s">
        <v>70</v>
      </c>
      <c r="L235" s="157" t="s">
        <v>70</v>
      </c>
      <c r="M235" s="137" t="s">
        <v>467</v>
      </c>
    </row>
    <row r="236" spans="1:16" x14ac:dyDescent="0.25">
      <c r="A236" s="136" t="s">
        <v>948</v>
      </c>
      <c r="B236" s="113" t="s">
        <v>949</v>
      </c>
      <c r="C236" s="112" t="s">
        <v>950</v>
      </c>
      <c r="D236" s="114">
        <v>45901</v>
      </c>
      <c r="E236" s="113" t="s">
        <v>408</v>
      </c>
      <c r="F236" s="115">
        <v>197.01</v>
      </c>
      <c r="G236" s="157" t="s">
        <v>70</v>
      </c>
      <c r="H236" s="157" t="s">
        <v>658</v>
      </c>
      <c r="I236" s="157" t="s">
        <v>70</v>
      </c>
      <c r="J236" s="157" t="s">
        <v>70</v>
      </c>
      <c r="K236" s="157" t="s">
        <v>70</v>
      </c>
      <c r="L236" s="157" t="s">
        <v>70</v>
      </c>
      <c r="M236" s="137"/>
    </row>
    <row r="237" spans="1:16" x14ac:dyDescent="0.25">
      <c r="A237" s="136" t="s">
        <v>844</v>
      </c>
      <c r="B237" s="113" t="s">
        <v>845</v>
      </c>
      <c r="C237" s="112" t="s">
        <v>846</v>
      </c>
      <c r="D237" s="114">
        <v>46006</v>
      </c>
      <c r="E237" s="113" t="s">
        <v>404</v>
      </c>
      <c r="F237" s="115">
        <v>409.6</v>
      </c>
      <c r="G237" s="157" t="s">
        <v>70</v>
      </c>
      <c r="H237" s="157" t="s">
        <v>658</v>
      </c>
      <c r="I237" s="157" t="s">
        <v>70</v>
      </c>
      <c r="J237" s="157" t="s">
        <v>70</v>
      </c>
      <c r="K237" s="157" t="s">
        <v>70</v>
      </c>
      <c r="L237" s="157" t="s">
        <v>70</v>
      </c>
      <c r="M237" s="137"/>
    </row>
    <row r="238" spans="1:16" x14ac:dyDescent="0.25">
      <c r="A238" s="138" t="s">
        <v>951</v>
      </c>
      <c r="B238" s="116" t="s">
        <v>952</v>
      </c>
      <c r="C238" s="112" t="s">
        <v>953</v>
      </c>
      <c r="D238" s="114">
        <v>46006</v>
      </c>
      <c r="E238" s="113" t="s">
        <v>404</v>
      </c>
      <c r="F238" s="115">
        <v>133</v>
      </c>
      <c r="G238" s="157" t="s">
        <v>70</v>
      </c>
      <c r="H238" s="157" t="s">
        <v>658</v>
      </c>
      <c r="I238" s="157" t="s">
        <v>70</v>
      </c>
      <c r="J238" s="157" t="s">
        <v>70</v>
      </c>
      <c r="K238" s="157" t="s">
        <v>70</v>
      </c>
      <c r="L238" s="157" t="s">
        <v>70</v>
      </c>
      <c r="M238" s="137"/>
    </row>
    <row r="239" spans="1:16" x14ac:dyDescent="0.25">
      <c r="A239" s="139" t="s">
        <v>777</v>
      </c>
      <c r="B239" s="117" t="s">
        <v>778</v>
      </c>
      <c r="C239" s="112" t="s">
        <v>528</v>
      </c>
      <c r="D239" s="114">
        <v>46112</v>
      </c>
      <c r="E239" s="113" t="s">
        <v>433</v>
      </c>
      <c r="F239" s="115">
        <v>320.8</v>
      </c>
      <c r="G239" s="157" t="s">
        <v>70</v>
      </c>
      <c r="H239" s="157" t="s">
        <v>658</v>
      </c>
      <c r="I239" s="157" t="s">
        <v>70</v>
      </c>
      <c r="J239" s="157" t="s">
        <v>70</v>
      </c>
      <c r="K239" s="157" t="s">
        <v>70</v>
      </c>
      <c r="L239" s="157" t="s">
        <v>70</v>
      </c>
      <c r="M239" s="137"/>
    </row>
    <row r="240" spans="1:16" x14ac:dyDescent="0.25">
      <c r="A240" s="136" t="s">
        <v>954</v>
      </c>
      <c r="B240" s="116" t="s">
        <v>955</v>
      </c>
      <c r="C240" s="112" t="s">
        <v>956</v>
      </c>
      <c r="D240" s="114">
        <v>46133</v>
      </c>
      <c r="E240" s="113" t="s">
        <v>404</v>
      </c>
      <c r="F240" s="115">
        <v>121</v>
      </c>
      <c r="G240" s="157" t="s">
        <v>70</v>
      </c>
      <c r="H240" s="157" t="s">
        <v>658</v>
      </c>
      <c r="I240" s="157" t="s">
        <v>70</v>
      </c>
      <c r="J240" s="157" t="s">
        <v>70</v>
      </c>
      <c r="K240" s="157" t="s">
        <v>70</v>
      </c>
      <c r="L240" s="157" t="s">
        <v>70</v>
      </c>
      <c r="M240" s="137"/>
    </row>
    <row r="241" spans="1:15" x14ac:dyDescent="0.25">
      <c r="A241" s="139" t="s">
        <v>957</v>
      </c>
      <c r="B241" s="117" t="s">
        <v>958</v>
      </c>
      <c r="C241" s="112" t="s">
        <v>427</v>
      </c>
      <c r="D241" s="114">
        <v>46143</v>
      </c>
      <c r="E241" s="113" t="s">
        <v>433</v>
      </c>
      <c r="F241" s="115">
        <v>509.88</v>
      </c>
      <c r="G241" s="157" t="s">
        <v>70</v>
      </c>
      <c r="H241" s="157" t="s">
        <v>658</v>
      </c>
      <c r="I241" s="157" t="s">
        <v>70</v>
      </c>
      <c r="J241" s="157" t="s">
        <v>70</v>
      </c>
      <c r="K241" s="157" t="s">
        <v>70</v>
      </c>
      <c r="L241" s="157" t="s">
        <v>70</v>
      </c>
      <c r="M241" s="137"/>
    </row>
    <row r="242" spans="1:15" x14ac:dyDescent="0.25">
      <c r="A242" s="139" t="s">
        <v>959</v>
      </c>
      <c r="B242" s="117" t="s">
        <v>960</v>
      </c>
      <c r="C242" s="112" t="s">
        <v>427</v>
      </c>
      <c r="D242" s="114">
        <v>46143</v>
      </c>
      <c r="E242" s="113" t="s">
        <v>404</v>
      </c>
      <c r="F242" s="115">
        <v>201.13</v>
      </c>
      <c r="G242" s="157" t="s">
        <v>70</v>
      </c>
      <c r="H242" s="157" t="s">
        <v>658</v>
      </c>
      <c r="I242" s="157" t="s">
        <v>70</v>
      </c>
      <c r="J242" s="157" t="s">
        <v>70</v>
      </c>
      <c r="K242" s="157" t="s">
        <v>70</v>
      </c>
      <c r="L242" s="157" t="s">
        <v>70</v>
      </c>
      <c r="M242" s="137"/>
    </row>
    <row r="243" spans="1:15" x14ac:dyDescent="0.25">
      <c r="A243" s="136" t="s">
        <v>830</v>
      </c>
      <c r="B243" s="113" t="s">
        <v>831</v>
      </c>
      <c r="C243" s="112" t="s">
        <v>502</v>
      </c>
      <c r="D243" s="114">
        <v>46143</v>
      </c>
      <c r="E243" s="113" t="s">
        <v>433</v>
      </c>
      <c r="F243" s="115">
        <v>201.4</v>
      </c>
      <c r="G243" s="157" t="s">
        <v>70</v>
      </c>
      <c r="H243" s="157" t="s">
        <v>658</v>
      </c>
      <c r="I243" s="157" t="s">
        <v>70</v>
      </c>
      <c r="J243" s="157" t="s">
        <v>70</v>
      </c>
      <c r="K243" s="157" t="s">
        <v>70</v>
      </c>
      <c r="L243" s="157" t="s">
        <v>70</v>
      </c>
      <c r="M243" s="137"/>
    </row>
    <row r="244" spans="1:15" x14ac:dyDescent="0.25">
      <c r="A244" s="136" t="s">
        <v>961</v>
      </c>
      <c r="B244" s="113" t="s">
        <v>962</v>
      </c>
      <c r="C244" s="112" t="s">
        <v>963</v>
      </c>
      <c r="D244" s="114">
        <v>46152</v>
      </c>
      <c r="E244" s="113" t="s">
        <v>404</v>
      </c>
      <c r="F244" s="115">
        <v>145.55000000000001</v>
      </c>
      <c r="G244" s="157" t="s">
        <v>70</v>
      </c>
      <c r="H244" s="157" t="s">
        <v>658</v>
      </c>
      <c r="I244" s="157" t="s">
        <v>70</v>
      </c>
      <c r="J244" s="157" t="s">
        <v>70</v>
      </c>
      <c r="K244" s="157" t="s">
        <v>70</v>
      </c>
      <c r="L244" s="157" t="s">
        <v>70</v>
      </c>
      <c r="M244" s="137"/>
      <c r="N244" s="121"/>
      <c r="O244" s="122"/>
    </row>
    <row r="245" spans="1:15" x14ac:dyDescent="0.25">
      <c r="A245" s="136" t="s">
        <v>964</v>
      </c>
      <c r="B245" s="113" t="s">
        <v>965</v>
      </c>
      <c r="C245" s="112" t="s">
        <v>427</v>
      </c>
      <c r="D245" s="114">
        <v>46157</v>
      </c>
      <c r="E245" s="113" t="s">
        <v>404</v>
      </c>
      <c r="F245" s="115">
        <v>418.6</v>
      </c>
      <c r="G245" s="157" t="s">
        <v>70</v>
      </c>
      <c r="H245" s="157" t="s">
        <v>658</v>
      </c>
      <c r="I245" s="157" t="s">
        <v>70</v>
      </c>
      <c r="J245" s="157" t="s">
        <v>70</v>
      </c>
      <c r="K245" s="157" t="s">
        <v>70</v>
      </c>
      <c r="L245" s="157" t="s">
        <v>70</v>
      </c>
      <c r="M245" s="137"/>
    </row>
    <row r="246" spans="1:15" x14ac:dyDescent="0.25">
      <c r="A246" s="136" t="s">
        <v>966</v>
      </c>
      <c r="B246" s="113" t="s">
        <v>967</v>
      </c>
      <c r="C246" s="112" t="s">
        <v>427</v>
      </c>
      <c r="D246" s="114">
        <v>46157</v>
      </c>
      <c r="E246" s="113" t="s">
        <v>404</v>
      </c>
      <c r="F246" s="115">
        <v>200.9</v>
      </c>
      <c r="G246" s="157" t="s">
        <v>70</v>
      </c>
      <c r="H246" s="157" t="s">
        <v>658</v>
      </c>
      <c r="I246" s="157" t="s">
        <v>70</v>
      </c>
      <c r="J246" s="157" t="s">
        <v>70</v>
      </c>
      <c r="K246" s="157" t="s">
        <v>70</v>
      </c>
      <c r="L246" s="157" t="s">
        <v>70</v>
      </c>
      <c r="M246" s="137"/>
    </row>
    <row r="247" spans="1:15" x14ac:dyDescent="0.25">
      <c r="A247" s="138" t="s">
        <v>861</v>
      </c>
      <c r="B247" s="116" t="s">
        <v>862</v>
      </c>
      <c r="C247" s="112" t="s">
        <v>594</v>
      </c>
      <c r="D247" s="114">
        <v>46157</v>
      </c>
      <c r="E247" s="113" t="s">
        <v>404</v>
      </c>
      <c r="F247" s="115">
        <v>201.35</v>
      </c>
      <c r="G247" s="157" t="s">
        <v>70</v>
      </c>
      <c r="H247" s="157" t="s">
        <v>658</v>
      </c>
      <c r="I247" s="157" t="s">
        <v>70</v>
      </c>
      <c r="J247" s="157" t="s">
        <v>70</v>
      </c>
      <c r="K247" s="157" t="s">
        <v>70</v>
      </c>
      <c r="L247" s="157" t="s">
        <v>70</v>
      </c>
      <c r="M247" s="137"/>
    </row>
    <row r="248" spans="1:15" x14ac:dyDescent="0.25">
      <c r="A248" s="139" t="s">
        <v>968</v>
      </c>
      <c r="B248" s="117" t="s">
        <v>969</v>
      </c>
      <c r="C248" s="112" t="s">
        <v>625</v>
      </c>
      <c r="D248" s="114">
        <v>46171</v>
      </c>
      <c r="E248" s="113" t="s">
        <v>404</v>
      </c>
      <c r="F248" s="115">
        <v>151.38999999999999</v>
      </c>
      <c r="G248" s="157" t="s">
        <v>70</v>
      </c>
      <c r="H248" s="157" t="s">
        <v>658</v>
      </c>
      <c r="I248" s="157" t="s">
        <v>70</v>
      </c>
      <c r="J248" s="157" t="s">
        <v>70</v>
      </c>
      <c r="K248" s="157" t="s">
        <v>70</v>
      </c>
      <c r="L248" s="157" t="s">
        <v>70</v>
      </c>
      <c r="M248" s="137"/>
    </row>
    <row r="249" spans="1:15" x14ac:dyDescent="0.25">
      <c r="A249" s="136" t="s">
        <v>828</v>
      </c>
      <c r="B249" s="116" t="s">
        <v>829</v>
      </c>
      <c r="C249" s="112" t="s">
        <v>502</v>
      </c>
      <c r="D249" s="114">
        <v>46174</v>
      </c>
      <c r="E249" s="113" t="s">
        <v>433</v>
      </c>
      <c r="F249" s="115">
        <v>110.5</v>
      </c>
      <c r="G249" s="157" t="s">
        <v>70</v>
      </c>
      <c r="H249" s="157" t="s">
        <v>658</v>
      </c>
      <c r="I249" s="157" t="s">
        <v>70</v>
      </c>
      <c r="J249" s="157" t="s">
        <v>70</v>
      </c>
      <c r="K249" s="157" t="s">
        <v>70</v>
      </c>
      <c r="L249" s="157" t="s">
        <v>70</v>
      </c>
      <c r="M249" s="137"/>
    </row>
    <row r="250" spans="1:15" x14ac:dyDescent="0.25">
      <c r="A250" s="136" t="s">
        <v>803</v>
      </c>
      <c r="B250" s="116" t="s">
        <v>804</v>
      </c>
      <c r="C250" s="112" t="s">
        <v>430</v>
      </c>
      <c r="D250" s="114">
        <v>46188</v>
      </c>
      <c r="E250" s="113" t="s">
        <v>433</v>
      </c>
      <c r="F250" s="115">
        <v>204.08</v>
      </c>
      <c r="G250" s="157" t="s">
        <v>70</v>
      </c>
      <c r="H250" s="157" t="s">
        <v>658</v>
      </c>
      <c r="I250" s="157" t="s">
        <v>70</v>
      </c>
      <c r="J250" s="157" t="s">
        <v>70</v>
      </c>
      <c r="K250" s="157" t="s">
        <v>70</v>
      </c>
      <c r="L250" s="157" t="s">
        <v>70</v>
      </c>
      <c r="M250" s="137"/>
    </row>
    <row r="251" spans="1:15" x14ac:dyDescent="0.25">
      <c r="A251" s="139" t="s">
        <v>800</v>
      </c>
      <c r="B251" s="117" t="s">
        <v>801</v>
      </c>
      <c r="C251" s="112" t="s">
        <v>802</v>
      </c>
      <c r="D251" s="114">
        <v>46195</v>
      </c>
      <c r="E251" s="113" t="s">
        <v>433</v>
      </c>
      <c r="F251" s="115">
        <v>17.7</v>
      </c>
      <c r="G251" s="157" t="s">
        <v>70</v>
      </c>
      <c r="H251" s="157" t="s">
        <v>658</v>
      </c>
      <c r="I251" s="157" t="s">
        <v>70</v>
      </c>
      <c r="J251" s="157" t="s">
        <v>70</v>
      </c>
      <c r="K251" s="157" t="s">
        <v>70</v>
      </c>
      <c r="L251" s="157" t="s">
        <v>70</v>
      </c>
      <c r="M251" s="137"/>
    </row>
    <row r="252" spans="1:15" x14ac:dyDescent="0.25">
      <c r="A252" s="136" t="s">
        <v>970</v>
      </c>
      <c r="B252" s="113" t="s">
        <v>971</v>
      </c>
      <c r="C252" s="112" t="s">
        <v>430</v>
      </c>
      <c r="D252" s="114">
        <v>46203</v>
      </c>
      <c r="E252" s="113" t="s">
        <v>404</v>
      </c>
      <c r="F252" s="115">
        <v>231.88</v>
      </c>
      <c r="G252" s="157" t="s">
        <v>70</v>
      </c>
      <c r="H252" s="157" t="s">
        <v>658</v>
      </c>
      <c r="I252" s="157" t="s">
        <v>70</v>
      </c>
      <c r="J252" s="157" t="s">
        <v>70</v>
      </c>
      <c r="K252" s="157" t="s">
        <v>70</v>
      </c>
      <c r="L252" s="157" t="s">
        <v>70</v>
      </c>
      <c r="M252" s="137"/>
    </row>
    <row r="253" spans="1:15" x14ac:dyDescent="0.25">
      <c r="A253" s="139" t="s">
        <v>972</v>
      </c>
      <c r="B253" s="117" t="s">
        <v>973</v>
      </c>
      <c r="C253" s="112" t="s">
        <v>974</v>
      </c>
      <c r="D253" s="114">
        <v>46203</v>
      </c>
      <c r="E253" s="113" t="s">
        <v>404</v>
      </c>
      <c r="F253" s="115">
        <v>122.6</v>
      </c>
      <c r="G253" s="157" t="s">
        <v>70</v>
      </c>
      <c r="H253" s="157" t="s">
        <v>658</v>
      </c>
      <c r="I253" s="157" t="s">
        <v>70</v>
      </c>
      <c r="J253" s="157" t="s">
        <v>70</v>
      </c>
      <c r="K253" s="157" t="s">
        <v>70</v>
      </c>
      <c r="L253" s="157" t="s">
        <v>70</v>
      </c>
      <c r="M253" s="137"/>
    </row>
    <row r="254" spans="1:15" x14ac:dyDescent="0.25">
      <c r="A254" s="136" t="s">
        <v>781</v>
      </c>
      <c r="B254" s="113" t="s">
        <v>782</v>
      </c>
      <c r="C254" s="112" t="s">
        <v>528</v>
      </c>
      <c r="D254" s="114">
        <v>46203</v>
      </c>
      <c r="E254" s="113" t="s">
        <v>404</v>
      </c>
      <c r="F254" s="115">
        <v>320.60000000000002</v>
      </c>
      <c r="G254" s="157" t="s">
        <v>70</v>
      </c>
      <c r="H254" s="157" t="s">
        <v>658</v>
      </c>
      <c r="I254" s="157" t="s">
        <v>70</v>
      </c>
      <c r="J254" s="157" t="s">
        <v>70</v>
      </c>
      <c r="K254" s="157" t="s">
        <v>70</v>
      </c>
      <c r="L254" s="157" t="s">
        <v>70</v>
      </c>
      <c r="M254" s="137"/>
    </row>
    <row r="255" spans="1:15" x14ac:dyDescent="0.25">
      <c r="A255" s="138" t="s">
        <v>975</v>
      </c>
      <c r="B255" s="116" t="s">
        <v>976</v>
      </c>
      <c r="C255" s="112" t="s">
        <v>977</v>
      </c>
      <c r="D255" s="114">
        <v>46204</v>
      </c>
      <c r="E255" s="113" t="s">
        <v>408</v>
      </c>
      <c r="F255" s="115">
        <v>295.3</v>
      </c>
      <c r="G255" s="157" t="s">
        <v>70</v>
      </c>
      <c r="H255" s="157" t="s">
        <v>658</v>
      </c>
      <c r="I255" s="157" t="s">
        <v>70</v>
      </c>
      <c r="J255" s="157" t="s">
        <v>70</v>
      </c>
      <c r="K255" s="157" t="s">
        <v>70</v>
      </c>
      <c r="L255" s="157" t="s">
        <v>70</v>
      </c>
      <c r="M255" s="137"/>
    </row>
    <row r="256" spans="1:15" x14ac:dyDescent="0.25">
      <c r="A256" s="136" t="s">
        <v>978</v>
      </c>
      <c r="B256" s="113" t="s">
        <v>979</v>
      </c>
      <c r="C256" s="112" t="s">
        <v>646</v>
      </c>
      <c r="D256" s="114">
        <v>46209</v>
      </c>
      <c r="E256" s="113" t="s">
        <v>404</v>
      </c>
      <c r="F256" s="115">
        <v>153.30000000000001</v>
      </c>
      <c r="G256" s="157" t="s">
        <v>70</v>
      </c>
      <c r="H256" s="157" t="s">
        <v>658</v>
      </c>
      <c r="I256" s="157" t="s">
        <v>70</v>
      </c>
      <c r="J256" s="157" t="s">
        <v>70</v>
      </c>
      <c r="K256" s="157" t="s">
        <v>70</v>
      </c>
      <c r="L256" s="157" t="s">
        <v>70</v>
      </c>
      <c r="M256" s="137"/>
    </row>
    <row r="257" spans="1:15" x14ac:dyDescent="0.25">
      <c r="A257" s="136" t="s">
        <v>853</v>
      </c>
      <c r="B257" s="116" t="s">
        <v>854</v>
      </c>
      <c r="C257" s="112" t="s">
        <v>528</v>
      </c>
      <c r="D257" s="114">
        <v>46226</v>
      </c>
      <c r="E257" s="113" t="s">
        <v>404</v>
      </c>
      <c r="F257" s="115">
        <v>321.02</v>
      </c>
      <c r="G257" s="157" t="s">
        <v>70</v>
      </c>
      <c r="H257" s="157" t="s">
        <v>658</v>
      </c>
      <c r="I257" s="157" t="s">
        <v>70</v>
      </c>
      <c r="J257" s="157" t="s">
        <v>70</v>
      </c>
      <c r="K257" s="157" t="s">
        <v>70</v>
      </c>
      <c r="L257" s="157" t="s">
        <v>70</v>
      </c>
      <c r="M257" s="137"/>
    </row>
    <row r="258" spans="1:15" x14ac:dyDescent="0.25">
      <c r="A258" s="136" t="s">
        <v>787</v>
      </c>
      <c r="B258" s="113" t="s">
        <v>788</v>
      </c>
      <c r="C258" s="112" t="s">
        <v>789</v>
      </c>
      <c r="D258" s="114">
        <v>46234</v>
      </c>
      <c r="E258" s="113" t="s">
        <v>433</v>
      </c>
      <c r="F258" s="115">
        <v>417.47</v>
      </c>
      <c r="G258" s="157" t="s">
        <v>70</v>
      </c>
      <c r="H258" s="157" t="s">
        <v>658</v>
      </c>
      <c r="I258" s="157" t="s">
        <v>70</v>
      </c>
      <c r="J258" s="157" t="s">
        <v>70</v>
      </c>
      <c r="K258" s="157" t="s">
        <v>70</v>
      </c>
      <c r="L258" s="157" t="s">
        <v>70</v>
      </c>
      <c r="M258" s="137"/>
    </row>
    <row r="259" spans="1:15" x14ac:dyDescent="0.25">
      <c r="A259" s="138" t="s">
        <v>980</v>
      </c>
      <c r="B259" s="116" t="s">
        <v>981</v>
      </c>
      <c r="C259" s="112" t="s">
        <v>430</v>
      </c>
      <c r="D259" s="114">
        <v>46279</v>
      </c>
      <c r="E259" s="113" t="s">
        <v>433</v>
      </c>
      <c r="F259" s="115">
        <v>85.54</v>
      </c>
      <c r="G259" s="157" t="s">
        <v>70</v>
      </c>
      <c r="H259" s="157" t="s">
        <v>658</v>
      </c>
      <c r="I259" s="157" t="s">
        <v>70</v>
      </c>
      <c r="J259" s="157" t="s">
        <v>70</v>
      </c>
      <c r="K259" s="157" t="s">
        <v>70</v>
      </c>
      <c r="L259" s="157" t="s">
        <v>70</v>
      </c>
      <c r="M259" s="137"/>
    </row>
    <row r="260" spans="1:15" x14ac:dyDescent="0.25">
      <c r="A260" s="139" t="s">
        <v>982</v>
      </c>
      <c r="B260" s="117" t="s">
        <v>983</v>
      </c>
      <c r="C260" s="112" t="s">
        <v>430</v>
      </c>
      <c r="D260" s="114">
        <v>46279</v>
      </c>
      <c r="E260" s="113" t="s">
        <v>404</v>
      </c>
      <c r="F260" s="115">
        <v>104.47</v>
      </c>
      <c r="G260" s="157" t="s">
        <v>70</v>
      </c>
      <c r="H260" s="157" t="s">
        <v>658</v>
      </c>
      <c r="I260" s="157" t="s">
        <v>70</v>
      </c>
      <c r="J260" s="157" t="s">
        <v>70</v>
      </c>
      <c r="K260" s="157" t="s">
        <v>70</v>
      </c>
      <c r="L260" s="157" t="s">
        <v>70</v>
      </c>
      <c r="M260" s="137"/>
    </row>
    <row r="261" spans="1:15" x14ac:dyDescent="0.25">
      <c r="A261" s="136" t="s">
        <v>984</v>
      </c>
      <c r="B261" s="113" t="s">
        <v>985</v>
      </c>
      <c r="C261" s="112" t="s">
        <v>897</v>
      </c>
      <c r="D261" s="114">
        <v>46282</v>
      </c>
      <c r="E261" s="113" t="s">
        <v>433</v>
      </c>
      <c r="F261" s="115">
        <v>218.1</v>
      </c>
      <c r="G261" s="157" t="s">
        <v>70</v>
      </c>
      <c r="H261" s="157" t="s">
        <v>658</v>
      </c>
      <c r="I261" s="157" t="s">
        <v>70</v>
      </c>
      <c r="J261" s="157" t="s">
        <v>70</v>
      </c>
      <c r="K261" s="157" t="s">
        <v>70</v>
      </c>
      <c r="L261" s="157" t="s">
        <v>70</v>
      </c>
      <c r="M261" s="137"/>
    </row>
    <row r="262" spans="1:15" x14ac:dyDescent="0.25">
      <c r="A262" s="136" t="s">
        <v>986</v>
      </c>
      <c r="B262" s="113" t="s">
        <v>987</v>
      </c>
      <c r="C262" s="112" t="s">
        <v>824</v>
      </c>
      <c r="D262" s="114">
        <v>46286</v>
      </c>
      <c r="E262" s="113" t="s">
        <v>433</v>
      </c>
      <c r="F262" s="115">
        <v>100.8</v>
      </c>
      <c r="G262" s="157" t="s">
        <v>70</v>
      </c>
      <c r="H262" s="157" t="s">
        <v>658</v>
      </c>
      <c r="I262" s="157" t="s">
        <v>70</v>
      </c>
      <c r="J262" s="157" t="s">
        <v>70</v>
      </c>
      <c r="K262" s="157" t="s">
        <v>70</v>
      </c>
      <c r="L262" s="157" t="s">
        <v>70</v>
      </c>
      <c r="M262" s="137"/>
    </row>
    <row r="263" spans="1:15" x14ac:dyDescent="0.25">
      <c r="A263" s="136" t="s">
        <v>822</v>
      </c>
      <c r="B263" s="113" t="s">
        <v>823</v>
      </c>
      <c r="C263" s="112" t="s">
        <v>824</v>
      </c>
      <c r="D263" s="114">
        <v>46286</v>
      </c>
      <c r="E263" s="113" t="s">
        <v>404</v>
      </c>
      <c r="F263" s="115">
        <v>50.9</v>
      </c>
      <c r="G263" s="157" t="s">
        <v>70</v>
      </c>
      <c r="H263" s="157" t="s">
        <v>658</v>
      </c>
      <c r="I263" s="157" t="s">
        <v>70</v>
      </c>
      <c r="J263" s="157" t="s">
        <v>70</v>
      </c>
      <c r="K263" s="157" t="s">
        <v>70</v>
      </c>
      <c r="L263" s="157" t="s">
        <v>70</v>
      </c>
      <c r="M263" s="137"/>
    </row>
    <row r="264" spans="1:15" x14ac:dyDescent="0.25">
      <c r="A264" s="138" t="s">
        <v>832</v>
      </c>
      <c r="B264" s="116" t="s">
        <v>833</v>
      </c>
      <c r="C264" s="112" t="s">
        <v>547</v>
      </c>
      <c r="D264" s="114">
        <v>46295</v>
      </c>
      <c r="E264" s="113" t="s">
        <v>433</v>
      </c>
      <c r="F264" s="115">
        <v>282</v>
      </c>
      <c r="G264" s="157" t="s">
        <v>70</v>
      </c>
      <c r="H264" s="157" t="s">
        <v>658</v>
      </c>
      <c r="I264" s="157" t="s">
        <v>70</v>
      </c>
      <c r="J264" s="157" t="s">
        <v>70</v>
      </c>
      <c r="K264" s="157" t="s">
        <v>70</v>
      </c>
      <c r="L264" s="157" t="s">
        <v>70</v>
      </c>
      <c r="M264" s="137"/>
    </row>
    <row r="265" spans="1:15" x14ac:dyDescent="0.25">
      <c r="A265" s="139" t="s">
        <v>834</v>
      </c>
      <c r="B265" s="117" t="s">
        <v>835</v>
      </c>
      <c r="C265" s="112" t="s">
        <v>547</v>
      </c>
      <c r="D265" s="114">
        <v>46295</v>
      </c>
      <c r="E265" s="113" t="s">
        <v>404</v>
      </c>
      <c r="F265" s="115">
        <v>103.8</v>
      </c>
      <c r="G265" s="157" t="s">
        <v>70</v>
      </c>
      <c r="H265" s="157" t="s">
        <v>658</v>
      </c>
      <c r="I265" s="157" t="s">
        <v>70</v>
      </c>
      <c r="J265" s="157" t="s">
        <v>70</v>
      </c>
      <c r="K265" s="157" t="s">
        <v>70</v>
      </c>
      <c r="L265" s="157" t="s">
        <v>70</v>
      </c>
      <c r="M265" s="137"/>
    </row>
    <row r="266" spans="1:15" x14ac:dyDescent="0.25">
      <c r="A266" s="136" t="s">
        <v>988</v>
      </c>
      <c r="B266" s="116" t="s">
        <v>989</v>
      </c>
      <c r="C266" s="112" t="s">
        <v>990</v>
      </c>
      <c r="D266" s="114">
        <v>46354</v>
      </c>
      <c r="E266" s="113" t="s">
        <v>433</v>
      </c>
      <c r="F266" s="115">
        <v>121.89</v>
      </c>
      <c r="G266" s="157" t="s">
        <v>70</v>
      </c>
      <c r="H266" s="157" t="s">
        <v>658</v>
      </c>
      <c r="I266" s="157" t="s">
        <v>70</v>
      </c>
      <c r="J266" s="157" t="s">
        <v>70</v>
      </c>
      <c r="K266" s="157" t="s">
        <v>70</v>
      </c>
      <c r="L266" s="157" t="s">
        <v>70</v>
      </c>
      <c r="M266" s="137"/>
    </row>
    <row r="267" spans="1:15" x14ac:dyDescent="0.25">
      <c r="A267" s="139" t="s">
        <v>991</v>
      </c>
      <c r="B267" s="117" t="s">
        <v>992</v>
      </c>
      <c r="C267" s="112" t="s">
        <v>421</v>
      </c>
      <c r="D267" s="114">
        <v>46357</v>
      </c>
      <c r="E267" s="113" t="s">
        <v>433</v>
      </c>
      <c r="F267" s="115">
        <v>178.2</v>
      </c>
      <c r="G267" s="157" t="s">
        <v>70</v>
      </c>
      <c r="H267" s="157" t="s">
        <v>658</v>
      </c>
      <c r="I267" s="157" t="s">
        <v>70</v>
      </c>
      <c r="J267" s="157" t="s">
        <v>70</v>
      </c>
      <c r="K267" s="157" t="s">
        <v>70</v>
      </c>
      <c r="L267" s="157" t="s">
        <v>70</v>
      </c>
      <c r="M267" s="137"/>
    </row>
    <row r="268" spans="1:15" x14ac:dyDescent="0.25">
      <c r="A268" s="139" t="s">
        <v>993</v>
      </c>
      <c r="B268" s="117" t="s">
        <v>994</v>
      </c>
      <c r="C268" s="112" t="s">
        <v>421</v>
      </c>
      <c r="D268" s="114">
        <v>46357</v>
      </c>
      <c r="E268" s="113" t="s">
        <v>433</v>
      </c>
      <c r="F268" s="115">
        <v>207.36</v>
      </c>
      <c r="G268" s="157" t="s">
        <v>70</v>
      </c>
      <c r="H268" s="157" t="s">
        <v>658</v>
      </c>
      <c r="I268" s="157" t="s">
        <v>70</v>
      </c>
      <c r="J268" s="157" t="s">
        <v>70</v>
      </c>
      <c r="K268" s="157" t="s">
        <v>70</v>
      </c>
      <c r="L268" s="157" t="s">
        <v>70</v>
      </c>
      <c r="M268" s="137"/>
    </row>
    <row r="269" spans="1:15" x14ac:dyDescent="0.25">
      <c r="A269" s="136" t="s">
        <v>865</v>
      </c>
      <c r="B269" s="113" t="s">
        <v>866</v>
      </c>
      <c r="C269" s="112" t="s">
        <v>502</v>
      </c>
      <c r="D269" s="114">
        <v>46357</v>
      </c>
      <c r="E269" s="113" t="s">
        <v>433</v>
      </c>
      <c r="F269" s="115">
        <v>203.1</v>
      </c>
      <c r="G269" s="157" t="s">
        <v>70</v>
      </c>
      <c r="H269" s="157" t="s">
        <v>658</v>
      </c>
      <c r="I269" s="157" t="s">
        <v>70</v>
      </c>
      <c r="J269" s="157" t="s">
        <v>70</v>
      </c>
      <c r="K269" s="157" t="s">
        <v>70</v>
      </c>
      <c r="L269" s="157" t="s">
        <v>70</v>
      </c>
      <c r="M269" s="137"/>
    </row>
    <row r="270" spans="1:15" x14ac:dyDescent="0.25">
      <c r="A270" s="136" t="s">
        <v>867</v>
      </c>
      <c r="B270" s="113" t="s">
        <v>868</v>
      </c>
      <c r="C270" s="112" t="s">
        <v>502</v>
      </c>
      <c r="D270" s="114">
        <v>46357</v>
      </c>
      <c r="E270" s="113" t="s">
        <v>404</v>
      </c>
      <c r="F270" s="115">
        <v>201.6</v>
      </c>
      <c r="G270" s="157" t="s">
        <v>70</v>
      </c>
      <c r="H270" s="157" t="s">
        <v>658</v>
      </c>
      <c r="I270" s="157" t="s">
        <v>70</v>
      </c>
      <c r="J270" s="157" t="s">
        <v>70</v>
      </c>
      <c r="K270" s="157" t="s">
        <v>70</v>
      </c>
      <c r="L270" s="157" t="s">
        <v>70</v>
      </c>
      <c r="M270" s="137"/>
      <c r="N270" s="121"/>
      <c r="O270" s="122"/>
    </row>
    <row r="271" spans="1:15" x14ac:dyDescent="0.25">
      <c r="A271" s="136" t="s">
        <v>995</v>
      </c>
      <c r="B271" s="113" t="s">
        <v>996</v>
      </c>
      <c r="C271" s="112" t="s">
        <v>523</v>
      </c>
      <c r="D271" s="114">
        <v>46357</v>
      </c>
      <c r="E271" s="113" t="s">
        <v>404</v>
      </c>
      <c r="F271" s="115">
        <v>522.12</v>
      </c>
      <c r="G271" s="157" t="s">
        <v>70</v>
      </c>
      <c r="H271" s="157" t="s">
        <v>658</v>
      </c>
      <c r="I271" s="157" t="s">
        <v>70</v>
      </c>
      <c r="J271" s="157" t="s">
        <v>70</v>
      </c>
      <c r="K271" s="157" t="s">
        <v>70</v>
      </c>
      <c r="L271" s="157" t="s">
        <v>70</v>
      </c>
      <c r="M271" s="137"/>
    </row>
    <row r="272" spans="1:15" x14ac:dyDescent="0.25">
      <c r="A272" s="136" t="s">
        <v>997</v>
      </c>
      <c r="B272" s="113" t="s">
        <v>998</v>
      </c>
      <c r="C272" s="112" t="s">
        <v>407</v>
      </c>
      <c r="D272" s="114">
        <v>46357</v>
      </c>
      <c r="E272" s="113" t="s">
        <v>404</v>
      </c>
      <c r="F272" s="115">
        <v>208.9</v>
      </c>
      <c r="G272" s="157" t="s">
        <v>70</v>
      </c>
      <c r="H272" s="157" t="s">
        <v>658</v>
      </c>
      <c r="I272" s="157" t="s">
        <v>70</v>
      </c>
      <c r="J272" s="157" t="s">
        <v>70</v>
      </c>
      <c r="K272" s="157" t="s">
        <v>70</v>
      </c>
      <c r="L272" s="157" t="s">
        <v>70</v>
      </c>
      <c r="M272" s="137"/>
    </row>
    <row r="273" spans="1:13" x14ac:dyDescent="0.25">
      <c r="A273" s="138" t="s">
        <v>999</v>
      </c>
      <c r="B273" s="116" t="s">
        <v>1000</v>
      </c>
      <c r="C273" s="112" t="s">
        <v>1001</v>
      </c>
      <c r="D273" s="114">
        <v>46371</v>
      </c>
      <c r="E273" s="113" t="s">
        <v>404</v>
      </c>
      <c r="F273" s="115">
        <v>100.83</v>
      </c>
      <c r="G273" s="157" t="s">
        <v>70</v>
      </c>
      <c r="H273" s="157" t="s">
        <v>658</v>
      </c>
      <c r="I273" s="157" t="s">
        <v>70</v>
      </c>
      <c r="J273" s="157" t="s">
        <v>70</v>
      </c>
      <c r="K273" s="157" t="s">
        <v>70</v>
      </c>
      <c r="L273" s="157" t="s">
        <v>70</v>
      </c>
      <c r="M273" s="137"/>
    </row>
    <row r="274" spans="1:13" x14ac:dyDescent="0.25">
      <c r="A274" s="139" t="s">
        <v>1002</v>
      </c>
      <c r="B274" s="117" t="s">
        <v>1003</v>
      </c>
      <c r="C274" s="112" t="s">
        <v>523</v>
      </c>
      <c r="D274" s="114">
        <v>46371</v>
      </c>
      <c r="E274" s="113" t="s">
        <v>404</v>
      </c>
      <c r="F274" s="115">
        <v>211.5</v>
      </c>
      <c r="G274" s="157" t="s">
        <v>70</v>
      </c>
      <c r="H274" s="157" t="s">
        <v>658</v>
      </c>
      <c r="I274" s="157" t="s">
        <v>70</v>
      </c>
      <c r="J274" s="157" t="s">
        <v>70</v>
      </c>
      <c r="K274" s="157" t="s">
        <v>70</v>
      </c>
      <c r="L274" s="157" t="s">
        <v>70</v>
      </c>
      <c r="M274" s="137"/>
    </row>
    <row r="275" spans="1:13" x14ac:dyDescent="0.25">
      <c r="A275" s="136" t="s">
        <v>1004</v>
      </c>
      <c r="B275" s="116" t="s">
        <v>1005</v>
      </c>
      <c r="C275" s="112" t="s">
        <v>583</v>
      </c>
      <c r="D275" s="114">
        <v>46376</v>
      </c>
      <c r="E275" s="113" t="s">
        <v>404</v>
      </c>
      <c r="F275" s="115">
        <v>300.89999999999998</v>
      </c>
      <c r="G275" s="157" t="s">
        <v>70</v>
      </c>
      <c r="H275" s="157" t="s">
        <v>658</v>
      </c>
      <c r="I275" s="157" t="s">
        <v>70</v>
      </c>
      <c r="J275" s="157" t="s">
        <v>70</v>
      </c>
      <c r="K275" s="157" t="s">
        <v>70</v>
      </c>
      <c r="L275" s="157" t="s">
        <v>70</v>
      </c>
      <c r="M275" s="137"/>
    </row>
    <row r="276" spans="1:13" x14ac:dyDescent="0.25">
      <c r="A276" s="136" t="s">
        <v>1006</v>
      </c>
      <c r="B276" s="116" t="s">
        <v>1007</v>
      </c>
      <c r="C276" s="112" t="s">
        <v>427</v>
      </c>
      <c r="D276" s="114">
        <v>46386</v>
      </c>
      <c r="E276" s="113" t="s">
        <v>404</v>
      </c>
      <c r="F276" s="115">
        <v>100.62</v>
      </c>
      <c r="G276" s="157" t="s">
        <v>70</v>
      </c>
      <c r="H276" s="157" t="s">
        <v>658</v>
      </c>
      <c r="I276" s="157" t="s">
        <v>70</v>
      </c>
      <c r="J276" s="157" t="s">
        <v>70</v>
      </c>
      <c r="K276" s="157" t="s">
        <v>70</v>
      </c>
      <c r="L276" s="157" t="s">
        <v>70</v>
      </c>
      <c r="M276" s="137"/>
    </row>
    <row r="277" spans="1:13" x14ac:dyDescent="0.25">
      <c r="A277" s="139" t="s">
        <v>1008</v>
      </c>
      <c r="B277" s="117" t="s">
        <v>1009</v>
      </c>
      <c r="C277" s="112" t="s">
        <v>876</v>
      </c>
      <c r="D277" s="114">
        <v>46386</v>
      </c>
      <c r="E277" s="113" t="s">
        <v>433</v>
      </c>
      <c r="F277" s="115">
        <v>121.29</v>
      </c>
      <c r="G277" s="157" t="s">
        <v>70</v>
      </c>
      <c r="H277" s="157" t="s">
        <v>658</v>
      </c>
      <c r="I277" s="157" t="s">
        <v>70</v>
      </c>
      <c r="J277" s="157" t="s">
        <v>70</v>
      </c>
      <c r="K277" s="157" t="s">
        <v>70</v>
      </c>
      <c r="L277" s="157" t="s">
        <v>70</v>
      </c>
      <c r="M277" s="137"/>
    </row>
    <row r="278" spans="1:13" x14ac:dyDescent="0.25">
      <c r="A278" s="136" t="s">
        <v>1010</v>
      </c>
      <c r="B278" s="113" t="s">
        <v>1011</v>
      </c>
      <c r="C278" s="112" t="s">
        <v>633</v>
      </c>
      <c r="D278" s="114">
        <v>46387</v>
      </c>
      <c r="E278" s="113" t="s">
        <v>433</v>
      </c>
      <c r="F278" s="115">
        <v>41.11</v>
      </c>
      <c r="G278" s="157" t="s">
        <v>70</v>
      </c>
      <c r="H278" s="157" t="s">
        <v>658</v>
      </c>
      <c r="I278" s="157" t="s">
        <v>70</v>
      </c>
      <c r="J278" s="157" t="s">
        <v>70</v>
      </c>
      <c r="K278" s="157" t="s">
        <v>70</v>
      </c>
      <c r="L278" s="157" t="s">
        <v>70</v>
      </c>
      <c r="M278" s="137"/>
    </row>
    <row r="279" spans="1:13" x14ac:dyDescent="0.25">
      <c r="A279" s="139" t="s">
        <v>1012</v>
      </c>
      <c r="B279" s="117" t="s">
        <v>1013</v>
      </c>
      <c r="C279" s="112" t="s">
        <v>633</v>
      </c>
      <c r="D279" s="114">
        <v>46387</v>
      </c>
      <c r="E279" s="113" t="s">
        <v>404</v>
      </c>
      <c r="F279" s="115">
        <v>41.11</v>
      </c>
      <c r="G279" s="157" t="s">
        <v>70</v>
      </c>
      <c r="H279" s="157" t="s">
        <v>658</v>
      </c>
      <c r="I279" s="157" t="s">
        <v>70</v>
      </c>
      <c r="J279" s="157" t="s">
        <v>70</v>
      </c>
      <c r="K279" s="157" t="s">
        <v>70</v>
      </c>
      <c r="L279" s="157" t="s">
        <v>70</v>
      </c>
      <c r="M279" s="137"/>
    </row>
    <row r="280" spans="1:13" x14ac:dyDescent="0.25">
      <c r="A280" s="136" t="s">
        <v>1014</v>
      </c>
      <c r="B280" s="113" t="s">
        <v>1015</v>
      </c>
      <c r="C280" s="112" t="s">
        <v>682</v>
      </c>
      <c r="D280" s="114">
        <v>46387</v>
      </c>
      <c r="E280" s="113" t="s">
        <v>433</v>
      </c>
      <c r="F280" s="115">
        <v>445.41</v>
      </c>
      <c r="G280" s="157" t="s">
        <v>70</v>
      </c>
      <c r="H280" s="157" t="s">
        <v>658</v>
      </c>
      <c r="I280" s="157" t="s">
        <v>70</v>
      </c>
      <c r="J280" s="157" t="s">
        <v>70</v>
      </c>
      <c r="K280" s="157" t="s">
        <v>70</v>
      </c>
      <c r="L280" s="157" t="s">
        <v>70</v>
      </c>
      <c r="M280" s="137"/>
    </row>
    <row r="281" spans="1:13" x14ac:dyDescent="0.25">
      <c r="A281" s="138" t="s">
        <v>1016</v>
      </c>
      <c r="B281" s="116" t="s">
        <v>1017</v>
      </c>
      <c r="C281" s="112" t="s">
        <v>682</v>
      </c>
      <c r="D281" s="114">
        <v>46387</v>
      </c>
      <c r="E281" s="113" t="s">
        <v>404</v>
      </c>
      <c r="F281" s="115">
        <v>174.24</v>
      </c>
      <c r="G281" s="157" t="s">
        <v>70</v>
      </c>
      <c r="H281" s="157" t="s">
        <v>658</v>
      </c>
      <c r="I281" s="157" t="s">
        <v>70</v>
      </c>
      <c r="J281" s="157" t="s">
        <v>70</v>
      </c>
      <c r="K281" s="157" t="s">
        <v>70</v>
      </c>
      <c r="L281" s="157" t="s">
        <v>70</v>
      </c>
      <c r="M281" s="137"/>
    </row>
    <row r="282" spans="1:13" x14ac:dyDescent="0.25">
      <c r="A282" s="136" t="s">
        <v>1018</v>
      </c>
      <c r="B282" s="113" t="s">
        <v>1019</v>
      </c>
      <c r="C282" s="112" t="s">
        <v>427</v>
      </c>
      <c r="D282" s="114">
        <v>46396</v>
      </c>
      <c r="E282" s="113" t="s">
        <v>433</v>
      </c>
      <c r="F282" s="115">
        <v>150.68</v>
      </c>
      <c r="G282" s="157" t="s">
        <v>70</v>
      </c>
      <c r="H282" s="157" t="s">
        <v>658</v>
      </c>
      <c r="I282" s="157" t="s">
        <v>70</v>
      </c>
      <c r="J282" s="157" t="s">
        <v>70</v>
      </c>
      <c r="K282" s="157" t="s">
        <v>70</v>
      </c>
      <c r="L282" s="157" t="s">
        <v>70</v>
      </c>
      <c r="M282" s="137"/>
    </row>
    <row r="283" spans="1:13" x14ac:dyDescent="0.25">
      <c r="A283" s="136" t="s">
        <v>1020</v>
      </c>
      <c r="B283" s="116" t="s">
        <v>1021</v>
      </c>
      <c r="C283" s="112" t="s">
        <v>499</v>
      </c>
      <c r="D283" s="114">
        <v>46402</v>
      </c>
      <c r="E283" s="113" t="s">
        <v>404</v>
      </c>
      <c r="F283" s="115">
        <v>404.3</v>
      </c>
      <c r="G283" s="157" t="s">
        <v>70</v>
      </c>
      <c r="H283" s="157" t="s">
        <v>658</v>
      </c>
      <c r="I283" s="157" t="s">
        <v>70</v>
      </c>
      <c r="J283" s="157" t="s">
        <v>70</v>
      </c>
      <c r="K283" s="157" t="s">
        <v>70</v>
      </c>
      <c r="L283" s="157" t="s">
        <v>70</v>
      </c>
      <c r="M283" s="137"/>
    </row>
    <row r="284" spans="1:13" x14ac:dyDescent="0.25">
      <c r="A284" s="136" t="s">
        <v>1022</v>
      </c>
      <c r="B284" s="113" t="s">
        <v>1023</v>
      </c>
      <c r="C284" s="112" t="s">
        <v>489</v>
      </c>
      <c r="D284" s="114">
        <v>46417</v>
      </c>
      <c r="E284" s="113" t="s">
        <v>404</v>
      </c>
      <c r="F284" s="115">
        <v>153.72</v>
      </c>
      <c r="G284" s="157" t="s">
        <v>70</v>
      </c>
      <c r="H284" s="157" t="s">
        <v>658</v>
      </c>
      <c r="I284" s="157" t="s">
        <v>70</v>
      </c>
      <c r="J284" s="157" t="s">
        <v>70</v>
      </c>
      <c r="K284" s="157" t="s">
        <v>70</v>
      </c>
      <c r="L284" s="157" t="s">
        <v>70</v>
      </c>
      <c r="M284" s="137"/>
    </row>
    <row r="285" spans="1:13" x14ac:dyDescent="0.25">
      <c r="A285" s="138" t="s">
        <v>863</v>
      </c>
      <c r="B285" s="116" t="s">
        <v>864</v>
      </c>
      <c r="C285" s="112" t="s">
        <v>430</v>
      </c>
      <c r="D285" s="114">
        <v>46436</v>
      </c>
      <c r="E285" s="113" t="s">
        <v>433</v>
      </c>
      <c r="F285" s="115">
        <v>196.3</v>
      </c>
      <c r="G285" s="157" t="s">
        <v>70</v>
      </c>
      <c r="H285" s="157" t="s">
        <v>658</v>
      </c>
      <c r="I285" s="157" t="s">
        <v>70</v>
      </c>
      <c r="J285" s="157" t="s">
        <v>70</v>
      </c>
      <c r="K285" s="157" t="s">
        <v>70</v>
      </c>
      <c r="L285" s="157" t="s">
        <v>70</v>
      </c>
      <c r="M285" s="137"/>
    </row>
    <row r="286" spans="1:13" x14ac:dyDescent="0.25">
      <c r="A286" s="139" t="s">
        <v>798</v>
      </c>
      <c r="B286" s="117" t="s">
        <v>799</v>
      </c>
      <c r="C286" s="112" t="s">
        <v>507</v>
      </c>
      <c r="D286" s="114">
        <v>46447</v>
      </c>
      <c r="E286" s="113" t="s">
        <v>404</v>
      </c>
      <c r="F286" s="115">
        <v>61.53</v>
      </c>
      <c r="G286" s="157" t="s">
        <v>70</v>
      </c>
      <c r="H286" s="157" t="s">
        <v>658</v>
      </c>
      <c r="I286" s="157" t="s">
        <v>70</v>
      </c>
      <c r="J286" s="157" t="s">
        <v>70</v>
      </c>
      <c r="K286" s="157" t="s">
        <v>70</v>
      </c>
      <c r="L286" s="157" t="s">
        <v>70</v>
      </c>
      <c r="M286" s="137"/>
    </row>
    <row r="287" spans="1:13" x14ac:dyDescent="0.25">
      <c r="A287" s="136" t="s">
        <v>790</v>
      </c>
      <c r="B287" s="113" t="s">
        <v>791</v>
      </c>
      <c r="C287" s="112" t="s">
        <v>502</v>
      </c>
      <c r="D287" s="114">
        <v>46447</v>
      </c>
      <c r="E287" s="113" t="s">
        <v>408</v>
      </c>
      <c r="F287" s="115">
        <v>304.60000000000002</v>
      </c>
      <c r="G287" s="157" t="s">
        <v>70</v>
      </c>
      <c r="H287" s="157" t="s">
        <v>658</v>
      </c>
      <c r="I287" s="157" t="s">
        <v>70</v>
      </c>
      <c r="J287" s="157" t="s">
        <v>70</v>
      </c>
      <c r="K287" s="157" t="s">
        <v>70</v>
      </c>
      <c r="L287" s="157" t="s">
        <v>70</v>
      </c>
      <c r="M287" s="137"/>
    </row>
    <row r="288" spans="1:13" x14ac:dyDescent="0.25">
      <c r="A288" s="136" t="s">
        <v>817</v>
      </c>
      <c r="B288" s="113" t="s">
        <v>818</v>
      </c>
      <c r="C288" s="112" t="s">
        <v>430</v>
      </c>
      <c r="D288" s="114">
        <v>46461</v>
      </c>
      <c r="E288" s="113" t="s">
        <v>404</v>
      </c>
      <c r="F288" s="115">
        <v>164.5</v>
      </c>
      <c r="G288" s="157" t="s">
        <v>70</v>
      </c>
      <c r="H288" s="157" t="s">
        <v>658</v>
      </c>
      <c r="I288" s="157" t="s">
        <v>70</v>
      </c>
      <c r="J288" s="157" t="s">
        <v>70</v>
      </c>
      <c r="K288" s="157" t="s">
        <v>70</v>
      </c>
      <c r="L288" s="157" t="s">
        <v>70</v>
      </c>
      <c r="M288" s="137"/>
    </row>
    <row r="289" spans="1:15" x14ac:dyDescent="0.25">
      <c r="A289" s="136" t="s">
        <v>855</v>
      </c>
      <c r="B289" s="116" t="s">
        <v>856</v>
      </c>
      <c r="C289" s="112" t="s">
        <v>421</v>
      </c>
      <c r="D289" s="114">
        <v>46474</v>
      </c>
      <c r="E289" s="113" t="s">
        <v>408</v>
      </c>
      <c r="F289" s="115">
        <v>501.76</v>
      </c>
      <c r="G289" s="157" t="s">
        <v>70</v>
      </c>
      <c r="H289" s="157" t="s">
        <v>658</v>
      </c>
      <c r="I289" s="157" t="s">
        <v>70</v>
      </c>
      <c r="J289" s="157" t="s">
        <v>70</v>
      </c>
      <c r="K289" s="157" t="s">
        <v>70</v>
      </c>
      <c r="L289" s="157" t="s">
        <v>70</v>
      </c>
      <c r="M289" s="137"/>
    </row>
    <row r="290" spans="1:15" x14ac:dyDescent="0.25">
      <c r="A290" s="136" t="s">
        <v>857</v>
      </c>
      <c r="B290" s="116" t="s">
        <v>858</v>
      </c>
      <c r="C290" s="112" t="s">
        <v>421</v>
      </c>
      <c r="D290" s="114">
        <v>46474</v>
      </c>
      <c r="E290" s="113" t="s">
        <v>404</v>
      </c>
      <c r="F290" s="115">
        <v>200.8</v>
      </c>
      <c r="G290" s="157" t="s">
        <v>70</v>
      </c>
      <c r="H290" s="157" t="s">
        <v>658</v>
      </c>
      <c r="I290" s="157" t="s">
        <v>70</v>
      </c>
      <c r="J290" s="157" t="s">
        <v>70</v>
      </c>
      <c r="K290" s="157" t="s">
        <v>70</v>
      </c>
      <c r="L290" s="157" t="s">
        <v>70</v>
      </c>
      <c r="M290" s="137"/>
    </row>
    <row r="291" spans="1:15" x14ac:dyDescent="0.25">
      <c r="A291" s="136" t="s">
        <v>805</v>
      </c>
      <c r="B291" s="113" t="s">
        <v>806</v>
      </c>
      <c r="C291" s="112" t="s">
        <v>554</v>
      </c>
      <c r="D291" s="114">
        <v>46478</v>
      </c>
      <c r="E291" s="113" t="s">
        <v>433</v>
      </c>
      <c r="F291" s="115">
        <v>351.78</v>
      </c>
      <c r="G291" s="157" t="s">
        <v>70</v>
      </c>
      <c r="H291" s="157" t="s">
        <v>658</v>
      </c>
      <c r="I291" s="157" t="s">
        <v>70</v>
      </c>
      <c r="J291" s="157" t="s">
        <v>70</v>
      </c>
      <c r="K291" s="157" t="s">
        <v>70</v>
      </c>
      <c r="L291" s="157" t="s">
        <v>70</v>
      </c>
      <c r="M291" s="137"/>
    </row>
    <row r="292" spans="1:15" x14ac:dyDescent="0.25">
      <c r="A292" s="139" t="s">
        <v>807</v>
      </c>
      <c r="B292" s="117" t="s">
        <v>808</v>
      </c>
      <c r="C292" s="112" t="s">
        <v>554</v>
      </c>
      <c r="D292" s="114">
        <v>46478</v>
      </c>
      <c r="E292" s="113" t="s">
        <v>404</v>
      </c>
      <c r="F292" s="115">
        <v>175.89</v>
      </c>
      <c r="G292" s="157" t="s">
        <v>70</v>
      </c>
      <c r="H292" s="157" t="s">
        <v>658</v>
      </c>
      <c r="I292" s="157" t="s">
        <v>70</v>
      </c>
      <c r="J292" s="157" t="s">
        <v>70</v>
      </c>
      <c r="K292" s="157" t="s">
        <v>70</v>
      </c>
      <c r="L292" s="157" t="s">
        <v>70</v>
      </c>
      <c r="M292" s="137"/>
    </row>
    <row r="293" spans="1:15" x14ac:dyDescent="0.25">
      <c r="A293" s="136" t="s">
        <v>1024</v>
      </c>
      <c r="B293" s="113" t="s">
        <v>1025</v>
      </c>
      <c r="C293" s="112" t="s">
        <v>427</v>
      </c>
      <c r="D293" s="114">
        <v>46478</v>
      </c>
      <c r="E293" s="113" t="s">
        <v>404</v>
      </c>
      <c r="F293" s="115">
        <v>200.78</v>
      </c>
      <c r="G293" s="157" t="s">
        <v>70</v>
      </c>
      <c r="H293" s="157" t="s">
        <v>658</v>
      </c>
      <c r="I293" s="157" t="s">
        <v>70</v>
      </c>
      <c r="J293" s="157" t="s">
        <v>70</v>
      </c>
      <c r="K293" s="157" t="s">
        <v>70</v>
      </c>
      <c r="L293" s="157" t="s">
        <v>70</v>
      </c>
      <c r="M293" s="137"/>
    </row>
    <row r="294" spans="1:15" x14ac:dyDescent="0.25">
      <c r="A294" s="138" t="s">
        <v>1026</v>
      </c>
      <c r="B294" s="116" t="s">
        <v>1027</v>
      </c>
      <c r="C294" s="112" t="s">
        <v>554</v>
      </c>
      <c r="D294" s="114">
        <v>46480</v>
      </c>
      <c r="E294" s="113" t="s">
        <v>404</v>
      </c>
      <c r="F294" s="115">
        <v>204.93</v>
      </c>
      <c r="G294" s="157" t="s">
        <v>70</v>
      </c>
      <c r="H294" s="157" t="s">
        <v>658</v>
      </c>
      <c r="I294" s="157" t="s">
        <v>70</v>
      </c>
      <c r="J294" s="157" t="s">
        <v>70</v>
      </c>
      <c r="K294" s="157" t="s">
        <v>70</v>
      </c>
      <c r="L294" s="157" t="s">
        <v>70</v>
      </c>
      <c r="M294" s="137"/>
      <c r="N294" s="121"/>
      <c r="O294" s="122"/>
    </row>
    <row r="295" spans="1:15" x14ac:dyDescent="0.25">
      <c r="A295" s="136" t="s">
        <v>1028</v>
      </c>
      <c r="B295" s="113" t="s">
        <v>1029</v>
      </c>
      <c r="C295" s="112" t="s">
        <v>824</v>
      </c>
      <c r="D295" s="114">
        <v>46480</v>
      </c>
      <c r="E295" s="113" t="s">
        <v>433</v>
      </c>
      <c r="F295" s="115">
        <v>244.24</v>
      </c>
      <c r="G295" s="157" t="s">
        <v>70</v>
      </c>
      <c r="H295" s="157" t="s">
        <v>658</v>
      </c>
      <c r="I295" s="157" t="s">
        <v>70</v>
      </c>
      <c r="J295" s="157" t="s">
        <v>70</v>
      </c>
      <c r="K295" s="157" t="s">
        <v>70</v>
      </c>
      <c r="L295" s="157" t="s">
        <v>70</v>
      </c>
      <c r="M295" s="137"/>
    </row>
    <row r="296" spans="1:15" x14ac:dyDescent="0.25">
      <c r="A296" s="139" t="s">
        <v>1030</v>
      </c>
      <c r="B296" s="117" t="s">
        <v>1031</v>
      </c>
      <c r="C296" s="112" t="s">
        <v>824</v>
      </c>
      <c r="D296" s="114">
        <v>46480</v>
      </c>
      <c r="E296" s="113" t="s">
        <v>404</v>
      </c>
      <c r="F296" s="115">
        <v>122.92</v>
      </c>
      <c r="G296" s="157" t="s">
        <v>70</v>
      </c>
      <c r="H296" s="157" t="s">
        <v>658</v>
      </c>
      <c r="I296" s="157" t="s">
        <v>70</v>
      </c>
      <c r="J296" s="157" t="s">
        <v>70</v>
      </c>
      <c r="K296" s="157" t="s">
        <v>70</v>
      </c>
      <c r="L296" s="157" t="s">
        <v>70</v>
      </c>
      <c r="M296" s="137"/>
    </row>
    <row r="297" spans="1:15" x14ac:dyDescent="0.25">
      <c r="A297" s="139" t="s">
        <v>1032</v>
      </c>
      <c r="B297" s="117" t="s">
        <v>1033</v>
      </c>
      <c r="C297" s="112" t="s">
        <v>554</v>
      </c>
      <c r="D297" s="114">
        <v>46480</v>
      </c>
      <c r="E297" s="113" t="s">
        <v>433</v>
      </c>
      <c r="F297" s="115">
        <v>125.61</v>
      </c>
      <c r="G297" s="157" t="s">
        <v>70</v>
      </c>
      <c r="H297" s="157" t="s">
        <v>658</v>
      </c>
      <c r="I297" s="157" t="s">
        <v>70</v>
      </c>
      <c r="J297" s="157" t="s">
        <v>70</v>
      </c>
      <c r="K297" s="157" t="s">
        <v>70</v>
      </c>
      <c r="L297" s="157" t="s">
        <v>70</v>
      </c>
      <c r="M297" s="137"/>
    </row>
    <row r="298" spans="1:15" x14ac:dyDescent="0.25">
      <c r="A298" s="136" t="s">
        <v>1034</v>
      </c>
      <c r="B298" s="113" t="s">
        <v>1035</v>
      </c>
      <c r="C298" s="112" t="s">
        <v>977</v>
      </c>
      <c r="D298" s="114">
        <v>46490</v>
      </c>
      <c r="E298" s="113" t="s">
        <v>404</v>
      </c>
      <c r="F298" s="115">
        <v>47.34</v>
      </c>
      <c r="G298" s="157" t="s">
        <v>70</v>
      </c>
      <c r="H298" s="157" t="s">
        <v>658</v>
      </c>
      <c r="I298" s="157" t="s">
        <v>70</v>
      </c>
      <c r="J298" s="157" t="s">
        <v>70</v>
      </c>
      <c r="K298" s="157" t="s">
        <v>70</v>
      </c>
      <c r="L298" s="157" t="s">
        <v>70</v>
      </c>
      <c r="M298" s="137"/>
    </row>
    <row r="299" spans="1:15" x14ac:dyDescent="0.25">
      <c r="A299" s="138" t="s">
        <v>869</v>
      </c>
      <c r="B299" s="116" t="s">
        <v>870</v>
      </c>
      <c r="C299" s="112" t="s">
        <v>630</v>
      </c>
      <c r="D299" s="114">
        <v>46492</v>
      </c>
      <c r="E299" s="113" t="s">
        <v>415</v>
      </c>
      <c r="F299" s="115">
        <v>224.5</v>
      </c>
      <c r="G299" s="157" t="s">
        <v>70</v>
      </c>
      <c r="H299" s="157" t="s">
        <v>658</v>
      </c>
      <c r="I299" s="157" t="s">
        <v>70</v>
      </c>
      <c r="J299" s="157" t="s">
        <v>70</v>
      </c>
      <c r="K299" s="157" t="s">
        <v>70</v>
      </c>
      <c r="L299" s="157" t="s">
        <v>70</v>
      </c>
      <c r="M299" s="137"/>
    </row>
    <row r="300" spans="1:15" x14ac:dyDescent="0.25">
      <c r="A300" s="136" t="s">
        <v>895</v>
      </c>
      <c r="B300" s="116" t="s">
        <v>896</v>
      </c>
      <c r="C300" s="112" t="s">
        <v>897</v>
      </c>
      <c r="D300" s="114">
        <v>46494</v>
      </c>
      <c r="E300" s="113" t="s">
        <v>433</v>
      </c>
      <c r="F300" s="115">
        <v>175.3</v>
      </c>
      <c r="G300" s="157" t="s">
        <v>70</v>
      </c>
      <c r="H300" s="157" t="s">
        <v>658</v>
      </c>
      <c r="I300" s="157" t="s">
        <v>70</v>
      </c>
      <c r="J300" s="157" t="s">
        <v>70</v>
      </c>
      <c r="K300" s="157" t="s">
        <v>70</v>
      </c>
      <c r="L300" s="157" t="s">
        <v>70</v>
      </c>
      <c r="M300" s="137"/>
    </row>
    <row r="301" spans="1:15" x14ac:dyDescent="0.25">
      <c r="A301" s="136" t="s">
        <v>898</v>
      </c>
      <c r="B301" s="113" t="s">
        <v>899</v>
      </c>
      <c r="C301" s="112" t="s">
        <v>897</v>
      </c>
      <c r="D301" s="114">
        <v>46494</v>
      </c>
      <c r="E301" s="113" t="s">
        <v>404</v>
      </c>
      <c r="F301" s="115">
        <v>57.15</v>
      </c>
      <c r="G301" s="157" t="s">
        <v>70</v>
      </c>
      <c r="H301" s="157" t="s">
        <v>658</v>
      </c>
      <c r="I301" s="157" t="s">
        <v>70</v>
      </c>
      <c r="J301" s="157" t="s">
        <v>70</v>
      </c>
      <c r="K301" s="157" t="s">
        <v>70</v>
      </c>
      <c r="L301" s="157" t="s">
        <v>70</v>
      </c>
      <c r="M301" s="137"/>
    </row>
    <row r="302" spans="1:15" x14ac:dyDescent="0.25">
      <c r="A302" s="136" t="s">
        <v>1036</v>
      </c>
      <c r="B302" s="113" t="s">
        <v>1037</v>
      </c>
      <c r="C302" s="112" t="s">
        <v>594</v>
      </c>
      <c r="D302" s="114">
        <v>46506</v>
      </c>
      <c r="E302" s="113" t="s">
        <v>433</v>
      </c>
      <c r="F302" s="115">
        <v>152.32</v>
      </c>
      <c r="G302" s="157" t="s">
        <v>70</v>
      </c>
      <c r="H302" s="157" t="s">
        <v>658</v>
      </c>
      <c r="I302" s="157" t="s">
        <v>70</v>
      </c>
      <c r="J302" s="157" t="s">
        <v>70</v>
      </c>
      <c r="K302" s="157" t="s">
        <v>70</v>
      </c>
      <c r="L302" s="157" t="s">
        <v>70</v>
      </c>
      <c r="M302" s="137"/>
    </row>
    <row r="303" spans="1:15" x14ac:dyDescent="0.25">
      <c r="A303" s="136" t="s">
        <v>1038</v>
      </c>
      <c r="B303" s="116" t="s">
        <v>1039</v>
      </c>
      <c r="C303" s="112" t="s">
        <v>427</v>
      </c>
      <c r="D303" s="114">
        <v>46507</v>
      </c>
      <c r="E303" s="113" t="s">
        <v>404</v>
      </c>
      <c r="F303" s="115">
        <v>180.36</v>
      </c>
      <c r="G303" s="157" t="s">
        <v>70</v>
      </c>
      <c r="H303" s="157" t="s">
        <v>658</v>
      </c>
      <c r="I303" s="157" t="s">
        <v>70</v>
      </c>
      <c r="J303" s="157" t="s">
        <v>70</v>
      </c>
      <c r="K303" s="157" t="s">
        <v>70</v>
      </c>
      <c r="L303" s="157" t="s">
        <v>70</v>
      </c>
      <c r="M303" s="137"/>
    </row>
    <row r="304" spans="1:15" x14ac:dyDescent="0.25">
      <c r="A304" s="136" t="s">
        <v>1040</v>
      </c>
      <c r="B304" s="116" t="s">
        <v>1041</v>
      </c>
      <c r="C304" s="112" t="s">
        <v>1042</v>
      </c>
      <c r="D304" s="114">
        <v>46507</v>
      </c>
      <c r="E304" s="113" t="s">
        <v>433</v>
      </c>
      <c r="F304" s="115">
        <v>151.9</v>
      </c>
      <c r="G304" s="157" t="s">
        <v>70</v>
      </c>
      <c r="H304" s="157" t="s">
        <v>658</v>
      </c>
      <c r="I304" s="157" t="s">
        <v>70</v>
      </c>
      <c r="J304" s="157" t="s">
        <v>70</v>
      </c>
      <c r="K304" s="157" t="s">
        <v>70</v>
      </c>
      <c r="L304" s="157" t="s">
        <v>70</v>
      </c>
      <c r="M304" s="137"/>
    </row>
    <row r="305" spans="1:13" x14ac:dyDescent="0.25">
      <c r="A305" s="136" t="s">
        <v>785</v>
      </c>
      <c r="B305" s="113" t="s">
        <v>1043</v>
      </c>
      <c r="C305" s="112" t="s">
        <v>583</v>
      </c>
      <c r="D305" s="114">
        <v>46508</v>
      </c>
      <c r="E305" s="113" t="s">
        <v>433</v>
      </c>
      <c r="F305" s="115">
        <v>321.27</v>
      </c>
      <c r="G305" s="157" t="s">
        <v>70</v>
      </c>
      <c r="H305" s="157" t="s">
        <v>658</v>
      </c>
      <c r="I305" s="157" t="s">
        <v>70</v>
      </c>
      <c r="J305" s="157" t="s">
        <v>70</v>
      </c>
      <c r="K305" s="157" t="s">
        <v>70</v>
      </c>
      <c r="L305" s="157" t="s">
        <v>70</v>
      </c>
      <c r="M305" s="137"/>
    </row>
    <row r="306" spans="1:13" x14ac:dyDescent="0.25">
      <c r="A306" s="136" t="s">
        <v>1044</v>
      </c>
      <c r="B306" s="113" t="s">
        <v>1045</v>
      </c>
      <c r="C306" s="112" t="s">
        <v>738</v>
      </c>
      <c r="D306" s="114">
        <v>46508</v>
      </c>
      <c r="E306" s="113" t="s">
        <v>404</v>
      </c>
      <c r="F306" s="115">
        <v>200.82</v>
      </c>
      <c r="G306" s="157" t="s">
        <v>70</v>
      </c>
      <c r="H306" s="157" t="s">
        <v>658</v>
      </c>
      <c r="I306" s="157" t="s">
        <v>70</v>
      </c>
      <c r="J306" s="157" t="s">
        <v>70</v>
      </c>
      <c r="K306" s="157" t="s">
        <v>70</v>
      </c>
      <c r="L306" s="157" t="s">
        <v>70</v>
      </c>
      <c r="M306" s="137"/>
    </row>
    <row r="307" spans="1:13" x14ac:dyDescent="0.25">
      <c r="A307" s="138" t="s">
        <v>1046</v>
      </c>
      <c r="B307" s="116" t="s">
        <v>1047</v>
      </c>
      <c r="C307" s="112" t="s">
        <v>489</v>
      </c>
      <c r="D307" s="114">
        <v>46508</v>
      </c>
      <c r="E307" s="113" t="s">
        <v>404</v>
      </c>
      <c r="F307" s="115">
        <v>153.69</v>
      </c>
      <c r="G307" s="157" t="s">
        <v>70</v>
      </c>
      <c r="H307" s="157" t="s">
        <v>658</v>
      </c>
      <c r="I307" s="157" t="s">
        <v>70</v>
      </c>
      <c r="J307" s="157" t="s">
        <v>70</v>
      </c>
      <c r="K307" s="157" t="s">
        <v>70</v>
      </c>
      <c r="L307" s="157" t="s">
        <v>70</v>
      </c>
      <c r="M307" s="137"/>
    </row>
    <row r="308" spans="1:13" x14ac:dyDescent="0.25">
      <c r="A308" s="136" t="s">
        <v>825</v>
      </c>
      <c r="B308" s="113" t="s">
        <v>826</v>
      </c>
      <c r="C308" s="112" t="s">
        <v>827</v>
      </c>
      <c r="D308" s="114">
        <v>46510</v>
      </c>
      <c r="E308" s="113" t="s">
        <v>404</v>
      </c>
      <c r="F308" s="115">
        <v>201.52</v>
      </c>
      <c r="G308" s="157" t="s">
        <v>70</v>
      </c>
      <c r="H308" s="157" t="s">
        <v>658</v>
      </c>
      <c r="I308" s="157" t="s">
        <v>70</v>
      </c>
      <c r="J308" s="157" t="s">
        <v>70</v>
      </c>
      <c r="K308" s="157" t="s">
        <v>70</v>
      </c>
      <c r="L308" s="157" t="s">
        <v>70</v>
      </c>
      <c r="M308" s="137"/>
    </row>
    <row r="309" spans="1:13" x14ac:dyDescent="0.25">
      <c r="A309" s="136" t="s">
        <v>1048</v>
      </c>
      <c r="B309" s="113" t="s">
        <v>1049</v>
      </c>
      <c r="C309" s="112" t="s">
        <v>846</v>
      </c>
      <c r="D309" s="114">
        <v>46512</v>
      </c>
      <c r="E309" s="113" t="s">
        <v>404</v>
      </c>
      <c r="F309" s="115">
        <v>307.45999999999998</v>
      </c>
      <c r="G309" s="157" t="s">
        <v>70</v>
      </c>
      <c r="H309" s="157" t="s">
        <v>658</v>
      </c>
      <c r="I309" s="157" t="s">
        <v>70</v>
      </c>
      <c r="J309" s="157" t="s">
        <v>70</v>
      </c>
      <c r="K309" s="157" t="s">
        <v>70</v>
      </c>
      <c r="L309" s="157" t="s">
        <v>70</v>
      </c>
      <c r="M309" s="137"/>
    </row>
    <row r="310" spans="1:13" x14ac:dyDescent="0.25">
      <c r="A310" s="136" t="s">
        <v>1050</v>
      </c>
      <c r="B310" s="113" t="s">
        <v>1051</v>
      </c>
      <c r="C310" s="112" t="s">
        <v>843</v>
      </c>
      <c r="D310" s="114">
        <v>46523</v>
      </c>
      <c r="E310" s="113" t="s">
        <v>433</v>
      </c>
      <c r="F310" s="115">
        <v>137.26</v>
      </c>
      <c r="G310" s="157" t="s">
        <v>70</v>
      </c>
      <c r="H310" s="157" t="s">
        <v>658</v>
      </c>
      <c r="I310" s="157" t="s">
        <v>70</v>
      </c>
      <c r="J310" s="157" t="s">
        <v>70</v>
      </c>
      <c r="K310" s="157" t="s">
        <v>70</v>
      </c>
      <c r="L310" s="157" t="s">
        <v>70</v>
      </c>
      <c r="M310" s="137"/>
    </row>
    <row r="311" spans="1:13" x14ac:dyDescent="0.25">
      <c r="A311" s="136" t="s">
        <v>924</v>
      </c>
      <c r="B311" s="113" t="s">
        <v>925</v>
      </c>
      <c r="C311" s="112" t="s">
        <v>414</v>
      </c>
      <c r="D311" s="114">
        <v>46538</v>
      </c>
      <c r="E311" s="113" t="s">
        <v>404</v>
      </c>
      <c r="F311" s="115">
        <v>203.2</v>
      </c>
      <c r="G311" s="157" t="s">
        <v>70</v>
      </c>
      <c r="H311" s="157" t="s">
        <v>658</v>
      </c>
      <c r="I311" s="157" t="s">
        <v>70</v>
      </c>
      <c r="J311" s="157" t="s">
        <v>70</v>
      </c>
      <c r="K311" s="157" t="s">
        <v>70</v>
      </c>
      <c r="L311" s="157" t="s">
        <v>70</v>
      </c>
      <c r="M311" s="137"/>
    </row>
    <row r="312" spans="1:13" x14ac:dyDescent="0.25">
      <c r="A312" s="136" t="s">
        <v>1052</v>
      </c>
      <c r="B312" s="116" t="s">
        <v>1053</v>
      </c>
      <c r="C312" s="112" t="s">
        <v>407</v>
      </c>
      <c r="D312" s="114">
        <v>46539</v>
      </c>
      <c r="E312" s="113" t="s">
        <v>404</v>
      </c>
      <c r="F312" s="115">
        <v>205.2</v>
      </c>
      <c r="G312" s="157" t="s">
        <v>70</v>
      </c>
      <c r="H312" s="157" t="s">
        <v>658</v>
      </c>
      <c r="I312" s="157" t="s">
        <v>70</v>
      </c>
      <c r="J312" s="157" t="s">
        <v>70</v>
      </c>
      <c r="K312" s="157" t="s">
        <v>70</v>
      </c>
      <c r="L312" s="157" t="s">
        <v>70</v>
      </c>
      <c r="M312" s="137"/>
    </row>
    <row r="313" spans="1:13" x14ac:dyDescent="0.25">
      <c r="A313" s="139" t="s">
        <v>1054</v>
      </c>
      <c r="B313" s="117" t="s">
        <v>1055</v>
      </c>
      <c r="C313" s="112" t="s">
        <v>427</v>
      </c>
      <c r="D313" s="114">
        <v>46539</v>
      </c>
      <c r="E313" s="113" t="s">
        <v>404</v>
      </c>
      <c r="F313" s="115">
        <v>156.6</v>
      </c>
      <c r="G313" s="157" t="s">
        <v>70</v>
      </c>
      <c r="H313" s="157" t="s">
        <v>658</v>
      </c>
      <c r="I313" s="157" t="s">
        <v>70</v>
      </c>
      <c r="J313" s="157" t="s">
        <v>70</v>
      </c>
      <c r="K313" s="157" t="s">
        <v>70</v>
      </c>
      <c r="L313" s="157" t="s">
        <v>70</v>
      </c>
      <c r="M313" s="137"/>
    </row>
    <row r="314" spans="1:13" x14ac:dyDescent="0.25">
      <c r="A314" s="136" t="s">
        <v>1056</v>
      </c>
      <c r="B314" s="113" t="s">
        <v>1057</v>
      </c>
      <c r="C314" s="112" t="s">
        <v>427</v>
      </c>
      <c r="D314" s="114">
        <v>46539</v>
      </c>
      <c r="E314" s="113" t="s">
        <v>404</v>
      </c>
      <c r="F314" s="115">
        <v>156.6</v>
      </c>
      <c r="G314" s="157" t="s">
        <v>70</v>
      </c>
      <c r="H314" s="157" t="s">
        <v>658</v>
      </c>
      <c r="I314" s="157" t="s">
        <v>70</v>
      </c>
      <c r="J314" s="157" t="s">
        <v>70</v>
      </c>
      <c r="K314" s="157" t="s">
        <v>70</v>
      </c>
      <c r="L314" s="157" t="s">
        <v>70</v>
      </c>
      <c r="M314" s="137"/>
    </row>
    <row r="315" spans="1:13" x14ac:dyDescent="0.25">
      <c r="A315" s="136" t="s">
        <v>1058</v>
      </c>
      <c r="B315" s="113" t="s">
        <v>1059</v>
      </c>
      <c r="C315" s="112" t="s">
        <v>1060</v>
      </c>
      <c r="D315" s="114">
        <v>46539</v>
      </c>
      <c r="E315" s="113" t="s">
        <v>433</v>
      </c>
      <c r="F315" s="115">
        <v>260</v>
      </c>
      <c r="G315" s="157" t="s">
        <v>70</v>
      </c>
      <c r="H315" s="157" t="s">
        <v>658</v>
      </c>
      <c r="I315" s="157" t="s">
        <v>70</v>
      </c>
      <c r="J315" s="157" t="s">
        <v>70</v>
      </c>
      <c r="K315" s="157" t="s">
        <v>70</v>
      </c>
      <c r="L315" s="157" t="s">
        <v>70</v>
      </c>
      <c r="M315" s="137"/>
    </row>
    <row r="316" spans="1:13" x14ac:dyDescent="0.25">
      <c r="A316" s="136" t="s">
        <v>1061</v>
      </c>
      <c r="B316" s="116" t="s">
        <v>1062</v>
      </c>
      <c r="C316" s="112" t="s">
        <v>411</v>
      </c>
      <c r="D316" s="114">
        <v>46539</v>
      </c>
      <c r="E316" s="113" t="s">
        <v>404</v>
      </c>
      <c r="F316" s="115">
        <v>201.6</v>
      </c>
      <c r="G316" s="157" t="s">
        <v>70</v>
      </c>
      <c r="H316" s="157" t="s">
        <v>658</v>
      </c>
      <c r="I316" s="157" t="s">
        <v>70</v>
      </c>
      <c r="J316" s="157" t="s">
        <v>70</v>
      </c>
      <c r="K316" s="157" t="s">
        <v>70</v>
      </c>
      <c r="L316" s="157" t="s">
        <v>70</v>
      </c>
      <c r="M316" s="137"/>
    </row>
    <row r="317" spans="1:13" x14ac:dyDescent="0.25">
      <c r="A317" s="136" t="s">
        <v>1063</v>
      </c>
      <c r="B317" s="116" t="s">
        <v>1064</v>
      </c>
      <c r="C317" s="112" t="s">
        <v>427</v>
      </c>
      <c r="D317" s="114">
        <v>46539</v>
      </c>
      <c r="E317" s="113" t="s">
        <v>404</v>
      </c>
      <c r="F317" s="115">
        <v>150.68</v>
      </c>
      <c r="G317" s="157" t="s">
        <v>70</v>
      </c>
      <c r="H317" s="157" t="s">
        <v>658</v>
      </c>
      <c r="I317" s="157" t="s">
        <v>70</v>
      </c>
      <c r="J317" s="157" t="s">
        <v>70</v>
      </c>
      <c r="K317" s="157" t="s">
        <v>70</v>
      </c>
      <c r="L317" s="157" t="s">
        <v>70</v>
      </c>
      <c r="M317" s="137"/>
    </row>
    <row r="318" spans="1:13" x14ac:dyDescent="0.25">
      <c r="A318" s="136" t="s">
        <v>871</v>
      </c>
      <c r="B318" s="113" t="s">
        <v>872</v>
      </c>
      <c r="C318" s="112" t="s">
        <v>873</v>
      </c>
      <c r="D318" s="114">
        <v>46539</v>
      </c>
      <c r="E318" s="113" t="s">
        <v>415</v>
      </c>
      <c r="F318" s="115">
        <v>121.8</v>
      </c>
      <c r="G318" s="157" t="s">
        <v>70</v>
      </c>
      <c r="H318" s="157" t="s">
        <v>658</v>
      </c>
      <c r="I318" s="157" t="s">
        <v>70</v>
      </c>
      <c r="J318" s="157" t="s">
        <v>70</v>
      </c>
      <c r="K318" s="157" t="s">
        <v>70</v>
      </c>
      <c r="L318" s="157" t="s">
        <v>70</v>
      </c>
      <c r="M318" s="137"/>
    </row>
    <row r="319" spans="1:13" x14ac:dyDescent="0.25">
      <c r="A319" s="136" t="s">
        <v>809</v>
      </c>
      <c r="B319" s="113" t="s">
        <v>810</v>
      </c>
      <c r="C319" s="112" t="s">
        <v>811</v>
      </c>
      <c r="D319" s="114">
        <v>46568</v>
      </c>
      <c r="E319" s="113" t="s">
        <v>433</v>
      </c>
      <c r="F319" s="115">
        <v>204.08</v>
      </c>
      <c r="G319" s="157" t="s">
        <v>70</v>
      </c>
      <c r="H319" s="157" t="s">
        <v>658</v>
      </c>
      <c r="I319" s="157" t="s">
        <v>70</v>
      </c>
      <c r="J319" s="157" t="s">
        <v>70</v>
      </c>
      <c r="K319" s="157" t="s">
        <v>70</v>
      </c>
      <c r="L319" s="157" t="s">
        <v>70</v>
      </c>
      <c r="M319" s="137"/>
    </row>
    <row r="320" spans="1:13" x14ac:dyDescent="0.25">
      <c r="A320" s="136" t="s">
        <v>1065</v>
      </c>
      <c r="B320" s="113" t="s">
        <v>1066</v>
      </c>
      <c r="C320" s="112" t="s">
        <v>902</v>
      </c>
      <c r="D320" s="114">
        <v>46568</v>
      </c>
      <c r="E320" s="113" t="s">
        <v>433</v>
      </c>
      <c r="F320" s="115">
        <v>251</v>
      </c>
      <c r="G320" s="157" t="s">
        <v>70</v>
      </c>
      <c r="H320" s="157" t="s">
        <v>658</v>
      </c>
      <c r="I320" s="157" t="s">
        <v>70</v>
      </c>
      <c r="J320" s="157" t="s">
        <v>70</v>
      </c>
      <c r="K320" s="157" t="s">
        <v>70</v>
      </c>
      <c r="L320" s="157" t="s">
        <v>70</v>
      </c>
      <c r="M320" s="137"/>
    </row>
    <row r="321" spans="1:15" x14ac:dyDescent="0.25">
      <c r="A321" s="136" t="s">
        <v>1067</v>
      </c>
      <c r="B321" s="113" t="s">
        <v>1068</v>
      </c>
      <c r="C321" s="112" t="s">
        <v>915</v>
      </c>
      <c r="D321" s="114">
        <v>46568</v>
      </c>
      <c r="E321" s="113" t="s">
        <v>433</v>
      </c>
      <c r="F321" s="115">
        <v>351.3</v>
      </c>
      <c r="G321" s="157" t="s">
        <v>70</v>
      </c>
      <c r="H321" s="157" t="s">
        <v>658</v>
      </c>
      <c r="I321" s="157" t="s">
        <v>70</v>
      </c>
      <c r="J321" s="157" t="s">
        <v>70</v>
      </c>
      <c r="K321" s="157" t="s">
        <v>70</v>
      </c>
      <c r="L321" s="157" t="s">
        <v>70</v>
      </c>
      <c r="M321" s="137"/>
    </row>
    <row r="322" spans="1:15" x14ac:dyDescent="0.25">
      <c r="A322" s="136" t="s">
        <v>849</v>
      </c>
      <c r="B322" s="113" t="s">
        <v>850</v>
      </c>
      <c r="C322" s="112" t="s">
        <v>633</v>
      </c>
      <c r="D322" s="114">
        <v>46568</v>
      </c>
      <c r="E322" s="113" t="s">
        <v>408</v>
      </c>
      <c r="F322" s="115">
        <v>253.29</v>
      </c>
      <c r="G322" s="157" t="s">
        <v>70</v>
      </c>
      <c r="H322" s="157" t="s">
        <v>658</v>
      </c>
      <c r="I322" s="157" t="s">
        <v>70</v>
      </c>
      <c r="J322" s="157" t="s">
        <v>70</v>
      </c>
      <c r="K322" s="157" t="s">
        <v>70</v>
      </c>
      <c r="L322" s="157" t="s">
        <v>70</v>
      </c>
      <c r="M322" s="137"/>
    </row>
    <row r="323" spans="1:15" x14ac:dyDescent="0.25">
      <c r="A323" s="136" t="s">
        <v>1069</v>
      </c>
      <c r="B323" s="113" t="s">
        <v>1070</v>
      </c>
      <c r="C323" s="112" t="s">
        <v>446</v>
      </c>
      <c r="D323" s="114">
        <v>46569</v>
      </c>
      <c r="E323" s="113" t="s">
        <v>433</v>
      </c>
      <c r="F323" s="115">
        <v>81</v>
      </c>
      <c r="G323" s="157" t="s">
        <v>70</v>
      </c>
      <c r="H323" s="157" t="s">
        <v>658</v>
      </c>
      <c r="I323" s="157" t="s">
        <v>70</v>
      </c>
      <c r="J323" s="157" t="s">
        <v>70</v>
      </c>
      <c r="K323" s="157" t="s">
        <v>70</v>
      </c>
      <c r="L323" s="157" t="s">
        <v>70</v>
      </c>
      <c r="M323" s="137"/>
    </row>
    <row r="324" spans="1:15" x14ac:dyDescent="0.25">
      <c r="A324" s="138" t="s">
        <v>1071</v>
      </c>
      <c r="B324" s="116" t="s">
        <v>1072</v>
      </c>
      <c r="C324" s="112" t="s">
        <v>418</v>
      </c>
      <c r="D324" s="114">
        <v>46569</v>
      </c>
      <c r="E324" s="113" t="s">
        <v>433</v>
      </c>
      <c r="F324" s="115">
        <v>403.42</v>
      </c>
      <c r="G324" s="157" t="s">
        <v>70</v>
      </c>
      <c r="H324" s="157" t="s">
        <v>658</v>
      </c>
      <c r="I324" s="157" t="s">
        <v>70</v>
      </c>
      <c r="J324" s="157" t="s">
        <v>70</v>
      </c>
      <c r="K324" s="157" t="s">
        <v>70</v>
      </c>
      <c r="L324" s="157" t="s">
        <v>70</v>
      </c>
      <c r="M324" s="137"/>
    </row>
    <row r="325" spans="1:15" x14ac:dyDescent="0.25">
      <c r="A325" s="136" t="s">
        <v>859</v>
      </c>
      <c r="B325" s="113" t="s">
        <v>860</v>
      </c>
      <c r="C325" s="112" t="s">
        <v>477</v>
      </c>
      <c r="D325" s="114">
        <v>46569</v>
      </c>
      <c r="E325" s="113" t="s">
        <v>433</v>
      </c>
      <c r="F325" s="115">
        <v>351.4</v>
      </c>
      <c r="G325" s="157" t="s">
        <v>70</v>
      </c>
      <c r="H325" s="157" t="s">
        <v>658</v>
      </c>
      <c r="I325" s="157" t="s">
        <v>70</v>
      </c>
      <c r="J325" s="157" t="s">
        <v>70</v>
      </c>
      <c r="K325" s="157" t="s">
        <v>70</v>
      </c>
      <c r="L325" s="157" t="s">
        <v>70</v>
      </c>
      <c r="M325" s="137"/>
    </row>
    <row r="326" spans="1:15" x14ac:dyDescent="0.25">
      <c r="A326" s="136" t="s">
        <v>1073</v>
      </c>
      <c r="B326" s="113" t="s">
        <v>1074</v>
      </c>
      <c r="C326" s="112" t="s">
        <v>1075</v>
      </c>
      <c r="D326" s="114">
        <v>46581</v>
      </c>
      <c r="E326" s="113" t="s">
        <v>433</v>
      </c>
      <c r="F326" s="115">
        <v>170.86</v>
      </c>
      <c r="G326" s="157" t="s">
        <v>70</v>
      </c>
      <c r="H326" s="157" t="s">
        <v>658</v>
      </c>
      <c r="I326" s="157" t="s">
        <v>70</v>
      </c>
      <c r="J326" s="157" t="s">
        <v>70</v>
      </c>
      <c r="K326" s="157" t="s">
        <v>70</v>
      </c>
      <c r="L326" s="157" t="s">
        <v>70</v>
      </c>
      <c r="M326" s="137"/>
    </row>
    <row r="327" spans="1:15" x14ac:dyDescent="0.25">
      <c r="A327" s="136" t="s">
        <v>1076</v>
      </c>
      <c r="B327" s="113" t="s">
        <v>1077</v>
      </c>
      <c r="C327" s="112" t="s">
        <v>1078</v>
      </c>
      <c r="D327" s="114">
        <v>46599</v>
      </c>
      <c r="E327" s="113" t="s">
        <v>433</v>
      </c>
      <c r="F327" s="115">
        <v>1025.57</v>
      </c>
      <c r="G327" s="157" t="s">
        <v>70</v>
      </c>
      <c r="H327" s="157" t="s">
        <v>658</v>
      </c>
      <c r="I327" s="157" t="s">
        <v>70</v>
      </c>
      <c r="J327" s="157" t="s">
        <v>70</v>
      </c>
      <c r="K327" s="157" t="s">
        <v>70</v>
      </c>
      <c r="L327" s="157" t="s">
        <v>70</v>
      </c>
      <c r="M327" s="137"/>
    </row>
    <row r="328" spans="1:15" x14ac:dyDescent="0.25">
      <c r="A328" s="136" t="s">
        <v>1079</v>
      </c>
      <c r="B328" s="113" t="s">
        <v>1080</v>
      </c>
      <c r="C328" s="112" t="s">
        <v>1078</v>
      </c>
      <c r="D328" s="114">
        <v>46599</v>
      </c>
      <c r="E328" s="113" t="s">
        <v>404</v>
      </c>
      <c r="F328" s="115">
        <v>510.99</v>
      </c>
      <c r="G328" s="157" t="s">
        <v>70</v>
      </c>
      <c r="H328" s="157" t="s">
        <v>658</v>
      </c>
      <c r="I328" s="157" t="s">
        <v>70</v>
      </c>
      <c r="J328" s="157" t="s">
        <v>70</v>
      </c>
      <c r="K328" s="157" t="s">
        <v>70</v>
      </c>
      <c r="L328" s="157" t="s">
        <v>70</v>
      </c>
      <c r="M328" s="137"/>
    </row>
    <row r="329" spans="1:15" x14ac:dyDescent="0.25">
      <c r="A329" s="136" t="s">
        <v>1081</v>
      </c>
      <c r="B329" s="113" t="s">
        <v>1082</v>
      </c>
      <c r="C329" s="112" t="s">
        <v>990</v>
      </c>
      <c r="D329" s="114">
        <v>46600</v>
      </c>
      <c r="E329" s="113" t="s">
        <v>404</v>
      </c>
      <c r="F329" s="115">
        <v>100.92</v>
      </c>
      <c r="G329" s="157" t="s">
        <v>70</v>
      </c>
      <c r="H329" s="157" t="s">
        <v>658</v>
      </c>
      <c r="I329" s="157" t="s">
        <v>70</v>
      </c>
      <c r="J329" s="157" t="s">
        <v>70</v>
      </c>
      <c r="K329" s="157" t="s">
        <v>70</v>
      </c>
      <c r="L329" s="157" t="s">
        <v>70</v>
      </c>
      <c r="M329" s="137"/>
    </row>
    <row r="330" spans="1:15" x14ac:dyDescent="0.25">
      <c r="A330" s="136" t="s">
        <v>1083</v>
      </c>
      <c r="B330" s="113" t="s">
        <v>1084</v>
      </c>
      <c r="C330" s="112" t="s">
        <v>554</v>
      </c>
      <c r="D330" s="114">
        <v>46622</v>
      </c>
      <c r="E330" s="113" t="s">
        <v>408</v>
      </c>
      <c r="F330" s="115">
        <v>396.8</v>
      </c>
      <c r="G330" s="157" t="s">
        <v>70</v>
      </c>
      <c r="H330" s="157" t="s">
        <v>658</v>
      </c>
      <c r="I330" s="157" t="s">
        <v>70</v>
      </c>
      <c r="J330" s="157" t="s">
        <v>70</v>
      </c>
      <c r="K330" s="157" t="s">
        <v>70</v>
      </c>
      <c r="L330" s="157" t="s">
        <v>70</v>
      </c>
      <c r="M330" s="137"/>
    </row>
    <row r="331" spans="1:15" x14ac:dyDescent="0.25">
      <c r="A331" s="136" t="s">
        <v>1085</v>
      </c>
      <c r="B331" s="116" t="s">
        <v>1086</v>
      </c>
      <c r="C331" s="112" t="s">
        <v>502</v>
      </c>
      <c r="D331" s="114">
        <v>46624</v>
      </c>
      <c r="E331" s="113" t="s">
        <v>433</v>
      </c>
      <c r="F331" s="115">
        <v>84.99</v>
      </c>
      <c r="G331" s="157" t="s">
        <v>70</v>
      </c>
      <c r="H331" s="157" t="s">
        <v>658</v>
      </c>
      <c r="I331" s="157" t="s">
        <v>70</v>
      </c>
      <c r="J331" s="157" t="s">
        <v>70</v>
      </c>
      <c r="K331" s="157" t="s">
        <v>70</v>
      </c>
      <c r="L331" s="157" t="s">
        <v>70</v>
      </c>
      <c r="M331" s="137"/>
    </row>
    <row r="332" spans="1:15" x14ac:dyDescent="0.25">
      <c r="A332" s="136" t="s">
        <v>1087</v>
      </c>
      <c r="B332" s="113" t="s">
        <v>1088</v>
      </c>
      <c r="C332" s="112" t="s">
        <v>414</v>
      </c>
      <c r="D332" s="114">
        <v>46629</v>
      </c>
      <c r="E332" s="113" t="s">
        <v>433</v>
      </c>
      <c r="F332" s="115">
        <v>50.42</v>
      </c>
      <c r="G332" s="157" t="s">
        <v>70</v>
      </c>
      <c r="H332" s="157" t="s">
        <v>658</v>
      </c>
      <c r="I332" s="157" t="s">
        <v>70</v>
      </c>
      <c r="J332" s="157" t="s">
        <v>70</v>
      </c>
      <c r="K332" s="157" t="s">
        <v>70</v>
      </c>
      <c r="L332" s="157" t="s">
        <v>70</v>
      </c>
      <c r="M332" s="137"/>
    </row>
    <row r="333" spans="1:15" x14ac:dyDescent="0.25">
      <c r="A333" s="139" t="s">
        <v>1089</v>
      </c>
      <c r="B333" s="117" t="s">
        <v>1090</v>
      </c>
      <c r="C333" s="112" t="s">
        <v>414</v>
      </c>
      <c r="D333" s="114">
        <v>46629</v>
      </c>
      <c r="E333" s="113" t="s">
        <v>404</v>
      </c>
      <c r="F333" s="115">
        <v>154</v>
      </c>
      <c r="G333" s="157" t="s">
        <v>70</v>
      </c>
      <c r="H333" s="157" t="s">
        <v>658</v>
      </c>
      <c r="I333" s="157" t="s">
        <v>70</v>
      </c>
      <c r="J333" s="157" t="s">
        <v>70</v>
      </c>
      <c r="K333" s="157" t="s">
        <v>70</v>
      </c>
      <c r="L333" s="157" t="s">
        <v>70</v>
      </c>
      <c r="M333" s="137"/>
    </row>
    <row r="334" spans="1:15" x14ac:dyDescent="0.25">
      <c r="A334" s="139" t="s">
        <v>1091</v>
      </c>
      <c r="B334" s="117" t="s">
        <v>1092</v>
      </c>
      <c r="C334" s="112" t="s">
        <v>762</v>
      </c>
      <c r="D334" s="114">
        <v>46630</v>
      </c>
      <c r="E334" s="113" t="s">
        <v>433</v>
      </c>
      <c r="F334" s="115">
        <v>250.88</v>
      </c>
      <c r="G334" s="157" t="s">
        <v>70</v>
      </c>
      <c r="H334" s="157" t="s">
        <v>658</v>
      </c>
      <c r="I334" s="157" t="s">
        <v>70</v>
      </c>
      <c r="J334" s="157" t="s">
        <v>70</v>
      </c>
      <c r="K334" s="157" t="s">
        <v>70</v>
      </c>
      <c r="L334" s="157" t="s">
        <v>70</v>
      </c>
      <c r="M334" s="137"/>
      <c r="N334" s="121"/>
      <c r="O334" s="122"/>
    </row>
    <row r="335" spans="1:15" x14ac:dyDescent="0.25">
      <c r="A335" s="136" t="s">
        <v>1093</v>
      </c>
      <c r="B335" s="113" t="s">
        <v>1094</v>
      </c>
      <c r="C335" s="112" t="s">
        <v>455</v>
      </c>
      <c r="D335" s="114">
        <v>46644</v>
      </c>
      <c r="E335" s="113" t="s">
        <v>404</v>
      </c>
      <c r="F335" s="115">
        <v>301.04000000000002</v>
      </c>
      <c r="G335" s="157" t="s">
        <v>70</v>
      </c>
      <c r="H335" s="157" t="s">
        <v>658</v>
      </c>
      <c r="I335" s="157" t="s">
        <v>70</v>
      </c>
      <c r="J335" s="157" t="s">
        <v>70</v>
      </c>
      <c r="K335" s="157" t="s">
        <v>70</v>
      </c>
      <c r="L335" s="157" t="s">
        <v>70</v>
      </c>
      <c r="M335" s="137"/>
      <c r="N335" s="121"/>
      <c r="O335" s="122"/>
    </row>
    <row r="336" spans="1:15" x14ac:dyDescent="0.25">
      <c r="A336" s="140" t="s">
        <v>1095</v>
      </c>
      <c r="B336" s="135" t="s">
        <v>1096</v>
      </c>
      <c r="C336" s="113" t="s">
        <v>669</v>
      </c>
      <c r="D336" s="114">
        <v>46646</v>
      </c>
      <c r="E336" s="113" t="s">
        <v>433</v>
      </c>
      <c r="F336" s="115">
        <v>195.7</v>
      </c>
      <c r="G336" s="157" t="s">
        <v>70</v>
      </c>
      <c r="H336" s="157" t="s">
        <v>658</v>
      </c>
      <c r="I336" s="157" t="s">
        <v>70</v>
      </c>
      <c r="J336" s="157" t="s">
        <v>70</v>
      </c>
      <c r="K336" s="157" t="s">
        <v>70</v>
      </c>
      <c r="L336" s="157" t="s">
        <v>70</v>
      </c>
      <c r="M336" s="137"/>
    </row>
    <row r="337" spans="1:15" x14ac:dyDescent="0.25">
      <c r="A337" s="136" t="s">
        <v>1097</v>
      </c>
      <c r="B337" s="116" t="s">
        <v>1098</v>
      </c>
      <c r="C337" s="113" t="s">
        <v>669</v>
      </c>
      <c r="D337" s="114">
        <v>46646</v>
      </c>
      <c r="E337" s="113" t="s">
        <v>404</v>
      </c>
      <c r="F337" s="115">
        <v>202.7</v>
      </c>
      <c r="G337" s="157" t="s">
        <v>70</v>
      </c>
      <c r="H337" s="157" t="s">
        <v>658</v>
      </c>
      <c r="I337" s="157" t="s">
        <v>70</v>
      </c>
      <c r="J337" s="157" t="s">
        <v>70</v>
      </c>
      <c r="K337" s="157" t="s">
        <v>70</v>
      </c>
      <c r="L337" s="157" t="s">
        <v>70</v>
      </c>
      <c r="M337" s="137"/>
    </row>
    <row r="338" spans="1:15" x14ac:dyDescent="0.25">
      <c r="A338" s="138" t="s">
        <v>1099</v>
      </c>
      <c r="B338" s="116" t="s">
        <v>1100</v>
      </c>
      <c r="C338" s="113" t="s">
        <v>1101</v>
      </c>
      <c r="D338" s="114">
        <v>46647</v>
      </c>
      <c r="E338" s="113" t="s">
        <v>408</v>
      </c>
      <c r="F338" s="115">
        <v>284.3</v>
      </c>
      <c r="G338" s="157" t="s">
        <v>70</v>
      </c>
      <c r="H338" s="157" t="s">
        <v>658</v>
      </c>
      <c r="I338" s="157" t="s">
        <v>70</v>
      </c>
      <c r="J338" s="157" t="s">
        <v>70</v>
      </c>
      <c r="K338" s="157" t="s">
        <v>70</v>
      </c>
      <c r="L338" s="157" t="s">
        <v>70</v>
      </c>
      <c r="M338" s="137"/>
    </row>
    <row r="339" spans="1:15" x14ac:dyDescent="0.25">
      <c r="A339" s="139" t="s">
        <v>1102</v>
      </c>
      <c r="B339" s="117" t="s">
        <v>1103</v>
      </c>
      <c r="C339" s="113" t="s">
        <v>811</v>
      </c>
      <c r="D339" s="114">
        <v>46647</v>
      </c>
      <c r="E339" s="113" t="s">
        <v>433</v>
      </c>
      <c r="F339" s="115">
        <v>54.47</v>
      </c>
      <c r="G339" s="157" t="s">
        <v>70</v>
      </c>
      <c r="H339" s="157" t="s">
        <v>658</v>
      </c>
      <c r="I339" s="157" t="s">
        <v>70</v>
      </c>
      <c r="J339" s="157" t="s">
        <v>70</v>
      </c>
      <c r="K339" s="157" t="s">
        <v>70</v>
      </c>
      <c r="L339" s="157" t="s">
        <v>70</v>
      </c>
      <c r="M339" s="137"/>
    </row>
    <row r="340" spans="1:15" x14ac:dyDescent="0.25">
      <c r="A340" s="138" t="s">
        <v>903</v>
      </c>
      <c r="B340" s="116" t="s">
        <v>904</v>
      </c>
      <c r="C340" s="113" t="s">
        <v>513</v>
      </c>
      <c r="D340" s="114">
        <v>46650</v>
      </c>
      <c r="E340" s="113" t="s">
        <v>404</v>
      </c>
      <c r="F340" s="115">
        <v>200.7</v>
      </c>
      <c r="G340" s="157" t="s">
        <v>70</v>
      </c>
      <c r="H340" s="157" t="s">
        <v>658</v>
      </c>
      <c r="I340" s="157" t="s">
        <v>70</v>
      </c>
      <c r="J340" s="157" t="s">
        <v>70</v>
      </c>
      <c r="K340" s="157" t="s">
        <v>70</v>
      </c>
      <c r="L340" s="157" t="s">
        <v>70</v>
      </c>
      <c r="M340" s="137"/>
    </row>
    <row r="341" spans="1:15" x14ac:dyDescent="0.25">
      <c r="A341" s="136" t="s">
        <v>1104</v>
      </c>
      <c r="B341" s="113" t="s">
        <v>1105</v>
      </c>
      <c r="C341" s="113" t="s">
        <v>609</v>
      </c>
      <c r="D341" s="114">
        <v>46653</v>
      </c>
      <c r="E341" s="113" t="s">
        <v>404</v>
      </c>
      <c r="F341" s="115">
        <v>150.52000000000001</v>
      </c>
      <c r="G341" s="157" t="s">
        <v>70</v>
      </c>
      <c r="H341" s="157" t="s">
        <v>658</v>
      </c>
      <c r="I341" s="157" t="s">
        <v>70</v>
      </c>
      <c r="J341" s="157" t="s">
        <v>70</v>
      </c>
      <c r="K341" s="157" t="s">
        <v>70</v>
      </c>
      <c r="L341" s="157" t="s">
        <v>70</v>
      </c>
      <c r="M341" s="137"/>
    </row>
    <row r="342" spans="1:15" x14ac:dyDescent="0.25">
      <c r="A342" s="136" t="s">
        <v>1106</v>
      </c>
      <c r="B342" s="113" t="s">
        <v>1107</v>
      </c>
      <c r="C342" s="113" t="s">
        <v>625</v>
      </c>
      <c r="D342" s="114">
        <v>46660</v>
      </c>
      <c r="E342" s="113" t="s">
        <v>433</v>
      </c>
      <c r="F342" s="115">
        <v>201.8</v>
      </c>
      <c r="G342" s="157" t="s">
        <v>70</v>
      </c>
      <c r="H342" s="157" t="s">
        <v>658</v>
      </c>
      <c r="I342" s="157" t="s">
        <v>70</v>
      </c>
      <c r="J342" s="157" t="s">
        <v>70</v>
      </c>
      <c r="K342" s="157" t="s">
        <v>70</v>
      </c>
      <c r="L342" s="157" t="s">
        <v>70</v>
      </c>
      <c r="M342" s="137"/>
    </row>
    <row r="343" spans="1:15" x14ac:dyDescent="0.25">
      <c r="A343" s="136" t="s">
        <v>1108</v>
      </c>
      <c r="B343" s="113" t="s">
        <v>1109</v>
      </c>
      <c r="C343" s="113" t="s">
        <v>873</v>
      </c>
      <c r="D343" s="114">
        <v>46661</v>
      </c>
      <c r="E343" s="113" t="s">
        <v>433</v>
      </c>
      <c r="F343" s="115">
        <v>508.61</v>
      </c>
      <c r="G343" s="157" t="s">
        <v>70</v>
      </c>
      <c r="H343" s="157" t="s">
        <v>658</v>
      </c>
      <c r="I343" s="157" t="s">
        <v>70</v>
      </c>
      <c r="J343" s="157" t="s">
        <v>70</v>
      </c>
      <c r="K343" s="157" t="s">
        <v>70</v>
      </c>
      <c r="L343" s="157" t="s">
        <v>70</v>
      </c>
      <c r="M343" s="137"/>
    </row>
    <row r="344" spans="1:15" x14ac:dyDescent="0.25">
      <c r="A344" s="139" t="s">
        <v>1110</v>
      </c>
      <c r="B344" s="117" t="s">
        <v>1111</v>
      </c>
      <c r="C344" s="112" t="s">
        <v>873</v>
      </c>
      <c r="D344" s="114">
        <v>46661</v>
      </c>
      <c r="E344" s="113" t="s">
        <v>404</v>
      </c>
      <c r="F344" s="115">
        <v>202.21</v>
      </c>
      <c r="G344" s="157" t="s">
        <v>70</v>
      </c>
      <c r="H344" s="157" t="s">
        <v>658</v>
      </c>
      <c r="I344" s="157" t="s">
        <v>70</v>
      </c>
      <c r="J344" s="157" t="s">
        <v>70</v>
      </c>
      <c r="K344" s="157" t="s">
        <v>70</v>
      </c>
      <c r="L344" s="157" t="s">
        <v>70</v>
      </c>
      <c r="M344" s="137"/>
    </row>
    <row r="345" spans="1:15" x14ac:dyDescent="0.25">
      <c r="A345" s="139" t="s">
        <v>1112</v>
      </c>
      <c r="B345" s="117" t="s">
        <v>1113</v>
      </c>
      <c r="C345" s="112" t="s">
        <v>455</v>
      </c>
      <c r="D345" s="114">
        <v>46671</v>
      </c>
      <c r="E345" s="113" t="s">
        <v>433</v>
      </c>
      <c r="F345" s="115">
        <v>222.95</v>
      </c>
      <c r="G345" s="157" t="s">
        <v>70</v>
      </c>
      <c r="H345" s="157" t="s">
        <v>658</v>
      </c>
      <c r="I345" s="157" t="s">
        <v>70</v>
      </c>
      <c r="J345" s="157" t="s">
        <v>70</v>
      </c>
      <c r="K345" s="157" t="s">
        <v>70</v>
      </c>
      <c r="L345" s="157" t="s">
        <v>70</v>
      </c>
      <c r="M345" s="137"/>
    </row>
    <row r="346" spans="1:15" x14ac:dyDescent="0.25">
      <c r="A346" s="136" t="s">
        <v>1114</v>
      </c>
      <c r="B346" s="113" t="s">
        <v>1115</v>
      </c>
      <c r="C346" s="112" t="s">
        <v>915</v>
      </c>
      <c r="D346" s="114">
        <v>46674</v>
      </c>
      <c r="E346" s="113" t="s">
        <v>433</v>
      </c>
      <c r="F346" s="115">
        <v>171.9</v>
      </c>
      <c r="G346" s="157" t="s">
        <v>70</v>
      </c>
      <c r="H346" s="157" t="s">
        <v>658</v>
      </c>
      <c r="I346" s="157" t="s">
        <v>70</v>
      </c>
      <c r="J346" s="157" t="s">
        <v>70</v>
      </c>
      <c r="K346" s="157" t="s">
        <v>70</v>
      </c>
      <c r="L346" s="157" t="s">
        <v>70</v>
      </c>
      <c r="M346" s="137"/>
    </row>
    <row r="347" spans="1:15" x14ac:dyDescent="0.25">
      <c r="A347" s="136" t="s">
        <v>1116</v>
      </c>
      <c r="B347" s="113" t="s">
        <v>1117</v>
      </c>
      <c r="C347" s="112" t="s">
        <v>915</v>
      </c>
      <c r="D347" s="114">
        <v>46674</v>
      </c>
      <c r="E347" s="113" t="s">
        <v>404</v>
      </c>
      <c r="F347" s="115">
        <v>162.4</v>
      </c>
      <c r="G347" s="157" t="s">
        <v>70</v>
      </c>
      <c r="H347" s="157" t="s">
        <v>658</v>
      </c>
      <c r="I347" s="157" t="s">
        <v>70</v>
      </c>
      <c r="J347" s="157" t="s">
        <v>70</v>
      </c>
      <c r="K347" s="157" t="s">
        <v>70</v>
      </c>
      <c r="L347" s="157" t="s">
        <v>70</v>
      </c>
      <c r="M347" s="137"/>
      <c r="N347" s="121"/>
      <c r="O347" s="122"/>
    </row>
    <row r="348" spans="1:15" x14ac:dyDescent="0.25">
      <c r="A348" s="136" t="s">
        <v>1118</v>
      </c>
      <c r="B348" s="113" t="s">
        <v>1119</v>
      </c>
      <c r="C348" s="112" t="s">
        <v>407</v>
      </c>
      <c r="D348" s="114">
        <v>46721</v>
      </c>
      <c r="E348" s="113" t="s">
        <v>433</v>
      </c>
      <c r="F348" s="115">
        <v>202.5</v>
      </c>
      <c r="G348" s="157" t="s">
        <v>70</v>
      </c>
      <c r="H348" s="157" t="s">
        <v>658</v>
      </c>
      <c r="I348" s="157" t="s">
        <v>70</v>
      </c>
      <c r="J348" s="157" t="s">
        <v>70</v>
      </c>
      <c r="K348" s="157" t="s">
        <v>70</v>
      </c>
      <c r="L348" s="157" t="s">
        <v>70</v>
      </c>
      <c r="M348" s="137"/>
    </row>
    <row r="349" spans="1:15" x14ac:dyDescent="0.25">
      <c r="A349" s="136" t="s">
        <v>1120</v>
      </c>
      <c r="B349" s="113" t="s">
        <v>1121</v>
      </c>
      <c r="C349" s="112" t="s">
        <v>470</v>
      </c>
      <c r="D349" s="114">
        <v>46722</v>
      </c>
      <c r="E349" s="113" t="s">
        <v>433</v>
      </c>
      <c r="F349" s="115">
        <v>201.74</v>
      </c>
      <c r="G349" s="157" t="s">
        <v>70</v>
      </c>
      <c r="H349" s="157" t="s">
        <v>658</v>
      </c>
      <c r="I349" s="157" t="s">
        <v>70</v>
      </c>
      <c r="J349" s="157" t="s">
        <v>70</v>
      </c>
      <c r="K349" s="157" t="s">
        <v>70</v>
      </c>
      <c r="L349" s="157" t="s">
        <v>70</v>
      </c>
      <c r="M349" s="137"/>
    </row>
    <row r="350" spans="1:15" x14ac:dyDescent="0.25">
      <c r="A350" s="138" t="s">
        <v>874</v>
      </c>
      <c r="B350" s="116" t="s">
        <v>875</v>
      </c>
      <c r="C350" s="112" t="s">
        <v>876</v>
      </c>
      <c r="D350" s="114">
        <v>46722</v>
      </c>
      <c r="E350" s="113" t="s">
        <v>408</v>
      </c>
      <c r="F350" s="115">
        <v>197.75</v>
      </c>
      <c r="G350" s="157" t="s">
        <v>70</v>
      </c>
      <c r="H350" s="157" t="s">
        <v>658</v>
      </c>
      <c r="I350" s="157" t="s">
        <v>70</v>
      </c>
      <c r="J350" s="157" t="s">
        <v>70</v>
      </c>
      <c r="K350" s="157" t="s">
        <v>70</v>
      </c>
      <c r="L350" s="157" t="s">
        <v>70</v>
      </c>
      <c r="M350" s="137"/>
    </row>
    <row r="351" spans="1:15" x14ac:dyDescent="0.25">
      <c r="A351" s="139" t="s">
        <v>885</v>
      </c>
      <c r="B351" s="117" t="s">
        <v>886</v>
      </c>
      <c r="C351" s="112" t="s">
        <v>876</v>
      </c>
      <c r="D351" s="114">
        <v>46722</v>
      </c>
      <c r="E351" s="113" t="s">
        <v>408</v>
      </c>
      <c r="F351" s="115">
        <v>197.75</v>
      </c>
      <c r="G351" s="157" t="s">
        <v>70</v>
      </c>
      <c r="H351" s="157" t="s">
        <v>658</v>
      </c>
      <c r="I351" s="157" t="s">
        <v>70</v>
      </c>
      <c r="J351" s="157" t="s">
        <v>70</v>
      </c>
      <c r="K351" s="157" t="s">
        <v>70</v>
      </c>
      <c r="L351" s="157" t="s">
        <v>70</v>
      </c>
      <c r="M351" s="137"/>
    </row>
    <row r="352" spans="1:15" x14ac:dyDescent="0.25">
      <c r="A352" s="136" t="s">
        <v>1122</v>
      </c>
      <c r="B352" s="116" t="s">
        <v>1123</v>
      </c>
      <c r="C352" s="112" t="s">
        <v>1124</v>
      </c>
      <c r="D352" s="114">
        <v>46722</v>
      </c>
      <c r="E352" s="113" t="s">
        <v>404</v>
      </c>
      <c r="F352" s="115">
        <v>301.19</v>
      </c>
      <c r="G352" s="157" t="s">
        <v>70</v>
      </c>
      <c r="H352" s="157" t="s">
        <v>658</v>
      </c>
      <c r="I352" s="157" t="s">
        <v>70</v>
      </c>
      <c r="J352" s="157" t="s">
        <v>70</v>
      </c>
      <c r="K352" s="157" t="s">
        <v>70</v>
      </c>
      <c r="L352" s="157" t="s">
        <v>70</v>
      </c>
      <c r="M352" s="137"/>
    </row>
    <row r="353" spans="1:13" x14ac:dyDescent="0.25">
      <c r="A353" s="136" t="s">
        <v>1125</v>
      </c>
      <c r="B353" s="116" t="s">
        <v>1126</v>
      </c>
      <c r="C353" s="112" t="s">
        <v>633</v>
      </c>
      <c r="D353" s="114">
        <v>46722</v>
      </c>
      <c r="E353" s="113" t="s">
        <v>404</v>
      </c>
      <c r="F353" s="115">
        <v>140.76</v>
      </c>
      <c r="G353" s="157" t="s">
        <v>70</v>
      </c>
      <c r="H353" s="157" t="s">
        <v>658</v>
      </c>
      <c r="I353" s="157" t="s">
        <v>70</v>
      </c>
      <c r="J353" s="157" t="s">
        <v>70</v>
      </c>
      <c r="K353" s="157" t="s">
        <v>70</v>
      </c>
      <c r="L353" s="157" t="s">
        <v>70</v>
      </c>
      <c r="M353" s="137"/>
    </row>
    <row r="354" spans="1:13" x14ac:dyDescent="0.25">
      <c r="A354" s="139" t="s">
        <v>1127</v>
      </c>
      <c r="B354" s="117" t="s">
        <v>1128</v>
      </c>
      <c r="C354" s="112" t="s">
        <v>1129</v>
      </c>
      <c r="D354" s="114">
        <v>46722</v>
      </c>
      <c r="E354" s="113" t="s">
        <v>433</v>
      </c>
      <c r="F354" s="115">
        <v>200.64</v>
      </c>
      <c r="G354" s="157" t="s">
        <v>70</v>
      </c>
      <c r="H354" s="157" t="s">
        <v>658</v>
      </c>
      <c r="I354" s="157" t="s">
        <v>70</v>
      </c>
      <c r="J354" s="157" t="s">
        <v>70</v>
      </c>
      <c r="K354" s="157" t="s">
        <v>70</v>
      </c>
      <c r="L354" s="157" t="s">
        <v>70</v>
      </c>
      <c r="M354" s="137"/>
    </row>
    <row r="355" spans="1:13" x14ac:dyDescent="0.25">
      <c r="A355" s="136" t="s">
        <v>1130</v>
      </c>
      <c r="B355" s="113" t="s">
        <v>1131</v>
      </c>
      <c r="C355" s="112" t="s">
        <v>1129</v>
      </c>
      <c r="D355" s="114">
        <v>46722</v>
      </c>
      <c r="E355" s="113" t="s">
        <v>404</v>
      </c>
      <c r="F355" s="115">
        <v>105.64</v>
      </c>
      <c r="G355" s="157" t="s">
        <v>70</v>
      </c>
      <c r="H355" s="157" t="s">
        <v>658</v>
      </c>
      <c r="I355" s="157" t="s">
        <v>70</v>
      </c>
      <c r="J355" s="157" t="s">
        <v>70</v>
      </c>
      <c r="K355" s="157" t="s">
        <v>70</v>
      </c>
      <c r="L355" s="157" t="s">
        <v>70</v>
      </c>
      <c r="M355" s="137"/>
    </row>
    <row r="356" spans="1:13" x14ac:dyDescent="0.25">
      <c r="A356" s="139" t="s">
        <v>1132</v>
      </c>
      <c r="B356" s="117" t="s">
        <v>1133</v>
      </c>
      <c r="C356" s="112" t="s">
        <v>1134</v>
      </c>
      <c r="D356" s="114">
        <v>46727</v>
      </c>
      <c r="E356" s="113" t="s">
        <v>433</v>
      </c>
      <c r="F356" s="115">
        <v>261.42</v>
      </c>
      <c r="G356" s="157" t="s">
        <v>70</v>
      </c>
      <c r="H356" s="157" t="s">
        <v>658</v>
      </c>
      <c r="I356" s="157" t="s">
        <v>70</v>
      </c>
      <c r="J356" s="157" t="s">
        <v>70</v>
      </c>
      <c r="K356" s="157" t="s">
        <v>70</v>
      </c>
      <c r="L356" s="157" t="s">
        <v>70</v>
      </c>
      <c r="M356" s="137"/>
    </row>
    <row r="357" spans="1:13" x14ac:dyDescent="0.25">
      <c r="A357" s="136" t="s">
        <v>1135</v>
      </c>
      <c r="B357" s="113" t="s">
        <v>1136</v>
      </c>
      <c r="C357" s="112" t="s">
        <v>1137</v>
      </c>
      <c r="D357" s="114">
        <v>46736</v>
      </c>
      <c r="E357" s="113" t="s">
        <v>408</v>
      </c>
      <c r="F357" s="115">
        <v>180</v>
      </c>
      <c r="G357" s="157" t="s">
        <v>70</v>
      </c>
      <c r="H357" s="157" t="s">
        <v>658</v>
      </c>
      <c r="I357" s="157" t="s">
        <v>70</v>
      </c>
      <c r="J357" s="157" t="s">
        <v>70</v>
      </c>
      <c r="K357" s="157" t="s">
        <v>70</v>
      </c>
      <c r="L357" s="157" t="s">
        <v>70</v>
      </c>
      <c r="M357" s="137"/>
    </row>
    <row r="358" spans="1:13" x14ac:dyDescent="0.25">
      <c r="A358" s="138" t="s">
        <v>1138</v>
      </c>
      <c r="B358" s="116" t="s">
        <v>1139</v>
      </c>
      <c r="C358" s="112" t="s">
        <v>1140</v>
      </c>
      <c r="D358" s="114">
        <v>46741</v>
      </c>
      <c r="E358" s="113" t="s">
        <v>433</v>
      </c>
      <c r="F358" s="115">
        <v>702.64</v>
      </c>
      <c r="G358" s="157" t="s">
        <v>70</v>
      </c>
      <c r="H358" s="157" t="s">
        <v>658</v>
      </c>
      <c r="I358" s="157" t="s">
        <v>70</v>
      </c>
      <c r="J358" s="157" t="s">
        <v>70</v>
      </c>
      <c r="K358" s="157" t="s">
        <v>70</v>
      </c>
      <c r="L358" s="157" t="s">
        <v>70</v>
      </c>
      <c r="M358" s="137"/>
    </row>
    <row r="359" spans="1:13" x14ac:dyDescent="0.25">
      <c r="A359" s="136" t="s">
        <v>1141</v>
      </c>
      <c r="B359" s="113" t="s">
        <v>1142</v>
      </c>
      <c r="C359" s="112" t="s">
        <v>1140</v>
      </c>
      <c r="D359" s="114">
        <v>46741</v>
      </c>
      <c r="E359" s="113" t="s">
        <v>408</v>
      </c>
      <c r="F359" s="115">
        <v>709</v>
      </c>
      <c r="G359" s="157" t="s">
        <v>70</v>
      </c>
      <c r="H359" s="157" t="s">
        <v>658</v>
      </c>
      <c r="I359" s="157" t="s">
        <v>70</v>
      </c>
      <c r="J359" s="157" t="s">
        <v>70</v>
      </c>
      <c r="K359" s="157" t="s">
        <v>70</v>
      </c>
      <c r="L359" s="157" t="s">
        <v>70</v>
      </c>
      <c r="M359" s="137"/>
    </row>
    <row r="360" spans="1:13" x14ac:dyDescent="0.25">
      <c r="A360" s="136" t="s">
        <v>1143</v>
      </c>
      <c r="B360" s="116" t="s">
        <v>1144</v>
      </c>
      <c r="C360" s="112" t="s">
        <v>547</v>
      </c>
      <c r="D360" s="114">
        <v>46752</v>
      </c>
      <c r="E360" s="113" t="s">
        <v>433</v>
      </c>
      <c r="F360" s="115">
        <v>200.3</v>
      </c>
      <c r="G360" s="157" t="s">
        <v>70</v>
      </c>
      <c r="H360" s="157" t="s">
        <v>658</v>
      </c>
      <c r="I360" s="157" t="s">
        <v>70</v>
      </c>
      <c r="J360" s="157" t="s">
        <v>70</v>
      </c>
      <c r="K360" s="157" t="s">
        <v>70</v>
      </c>
      <c r="L360" s="157" t="s">
        <v>70</v>
      </c>
      <c r="M360" s="137"/>
    </row>
    <row r="361" spans="1:13" x14ac:dyDescent="0.25">
      <c r="A361" s="136" t="s">
        <v>1145</v>
      </c>
      <c r="B361" s="113" t="s">
        <v>1146</v>
      </c>
      <c r="C361" s="112" t="s">
        <v>547</v>
      </c>
      <c r="D361" s="114">
        <v>46752</v>
      </c>
      <c r="E361" s="113" t="s">
        <v>404</v>
      </c>
      <c r="F361" s="115">
        <v>199.6</v>
      </c>
      <c r="G361" s="157" t="s">
        <v>70</v>
      </c>
      <c r="H361" s="157" t="s">
        <v>658</v>
      </c>
      <c r="I361" s="157" t="s">
        <v>70</v>
      </c>
      <c r="J361" s="157" t="s">
        <v>70</v>
      </c>
      <c r="K361" s="157" t="s">
        <v>70</v>
      </c>
      <c r="L361" s="157" t="s">
        <v>70</v>
      </c>
      <c r="M361" s="137"/>
    </row>
    <row r="362" spans="1:13" x14ac:dyDescent="0.25">
      <c r="A362" s="138" t="s">
        <v>883</v>
      </c>
      <c r="B362" s="116" t="s">
        <v>884</v>
      </c>
      <c r="C362" s="112" t="s">
        <v>583</v>
      </c>
      <c r="D362" s="114">
        <v>46752</v>
      </c>
      <c r="E362" s="113" t="s">
        <v>433</v>
      </c>
      <c r="F362" s="115">
        <v>460</v>
      </c>
      <c r="G362" s="157" t="s">
        <v>70</v>
      </c>
      <c r="H362" s="157" t="s">
        <v>658</v>
      </c>
      <c r="I362" s="157" t="s">
        <v>70</v>
      </c>
      <c r="J362" s="157" t="s">
        <v>70</v>
      </c>
      <c r="K362" s="157" t="s">
        <v>70</v>
      </c>
      <c r="L362" s="157" t="s">
        <v>70</v>
      </c>
      <c r="M362" s="137"/>
    </row>
    <row r="363" spans="1:13" x14ac:dyDescent="0.25">
      <c r="A363" s="139" t="s">
        <v>893</v>
      </c>
      <c r="B363" s="117" t="s">
        <v>894</v>
      </c>
      <c r="C363" s="112" t="s">
        <v>534</v>
      </c>
      <c r="D363" s="114">
        <v>46783</v>
      </c>
      <c r="E363" s="113" t="s">
        <v>404</v>
      </c>
      <c r="F363" s="115">
        <v>201.08</v>
      </c>
      <c r="G363" s="157" t="s">
        <v>70</v>
      </c>
      <c r="H363" s="157" t="s">
        <v>658</v>
      </c>
      <c r="I363" s="157" t="s">
        <v>658</v>
      </c>
      <c r="J363" s="157" t="s">
        <v>70</v>
      </c>
      <c r="K363" s="157" t="s">
        <v>70</v>
      </c>
      <c r="L363" s="157" t="s">
        <v>70</v>
      </c>
      <c r="M363" s="137"/>
    </row>
    <row r="364" spans="1:13" x14ac:dyDescent="0.25">
      <c r="A364" s="136" t="s">
        <v>907</v>
      </c>
      <c r="B364" s="113" t="s">
        <v>908</v>
      </c>
      <c r="C364" s="112" t="s">
        <v>407</v>
      </c>
      <c r="D364" s="114">
        <v>46783</v>
      </c>
      <c r="E364" s="113" t="s">
        <v>404</v>
      </c>
      <c r="F364" s="115">
        <v>100.63</v>
      </c>
      <c r="G364" s="157" t="s">
        <v>70</v>
      </c>
      <c r="H364" s="157" t="s">
        <v>658</v>
      </c>
      <c r="I364" s="157" t="s">
        <v>658</v>
      </c>
      <c r="J364" s="157" t="s">
        <v>70</v>
      </c>
      <c r="K364" s="157" t="s">
        <v>70</v>
      </c>
      <c r="L364" s="157" t="s">
        <v>70</v>
      </c>
      <c r="M364" s="137"/>
    </row>
    <row r="365" spans="1:13" x14ac:dyDescent="0.25">
      <c r="A365" s="136" t="s">
        <v>1147</v>
      </c>
      <c r="B365" s="113" t="s">
        <v>1148</v>
      </c>
      <c r="C365" s="112" t="s">
        <v>1149</v>
      </c>
      <c r="D365" s="114">
        <v>46784</v>
      </c>
      <c r="E365" s="113" t="s">
        <v>433</v>
      </c>
      <c r="F365" s="115">
        <v>728.72</v>
      </c>
      <c r="G365" s="157" t="s">
        <v>70</v>
      </c>
      <c r="H365" s="157" t="s">
        <v>658</v>
      </c>
      <c r="I365" s="157" t="s">
        <v>658</v>
      </c>
      <c r="J365" s="157" t="s">
        <v>70</v>
      </c>
      <c r="K365" s="157" t="s">
        <v>70</v>
      </c>
      <c r="L365" s="157" t="s">
        <v>70</v>
      </c>
      <c r="M365" s="137"/>
    </row>
    <row r="366" spans="1:13" x14ac:dyDescent="0.25">
      <c r="A366" s="136" t="s">
        <v>905</v>
      </c>
      <c r="B366" s="113" t="s">
        <v>906</v>
      </c>
      <c r="C366" s="112" t="s">
        <v>513</v>
      </c>
      <c r="D366" s="114">
        <v>46805</v>
      </c>
      <c r="E366" s="113" t="s">
        <v>433</v>
      </c>
      <c r="F366" s="115">
        <v>100</v>
      </c>
      <c r="G366" s="157" t="s">
        <v>70</v>
      </c>
      <c r="H366" s="157" t="s">
        <v>658</v>
      </c>
      <c r="I366" s="157" t="s">
        <v>658</v>
      </c>
      <c r="J366" s="157" t="s">
        <v>70</v>
      </c>
      <c r="K366" s="157" t="s">
        <v>70</v>
      </c>
      <c r="L366" s="157" t="s">
        <v>70</v>
      </c>
      <c r="M366" s="137"/>
    </row>
    <row r="367" spans="1:13" x14ac:dyDescent="0.25">
      <c r="A367" s="136" t="s">
        <v>1150</v>
      </c>
      <c r="B367" s="113" t="s">
        <v>1151</v>
      </c>
      <c r="C367" s="112" t="s">
        <v>1152</v>
      </c>
      <c r="D367" s="114">
        <v>46822</v>
      </c>
      <c r="E367" s="113" t="s">
        <v>433</v>
      </c>
      <c r="F367" s="115">
        <v>204.08</v>
      </c>
      <c r="G367" s="157" t="s">
        <v>70</v>
      </c>
      <c r="H367" s="157" t="s">
        <v>658</v>
      </c>
      <c r="I367" s="157" t="s">
        <v>658</v>
      </c>
      <c r="J367" s="157" t="s">
        <v>70</v>
      </c>
      <c r="K367" s="157" t="s">
        <v>70</v>
      </c>
      <c r="L367" s="157" t="s">
        <v>70</v>
      </c>
      <c r="M367" s="137"/>
    </row>
    <row r="368" spans="1:13" x14ac:dyDescent="0.25">
      <c r="A368" s="136" t="s">
        <v>1153</v>
      </c>
      <c r="B368" s="113" t="s">
        <v>1154</v>
      </c>
      <c r="C368" s="112" t="s">
        <v>1152</v>
      </c>
      <c r="D368" s="114">
        <v>46822</v>
      </c>
      <c r="E368" s="113" t="s">
        <v>404</v>
      </c>
      <c r="F368" s="115">
        <v>102.04</v>
      </c>
      <c r="G368" s="157" t="s">
        <v>70</v>
      </c>
      <c r="H368" s="157" t="s">
        <v>658</v>
      </c>
      <c r="I368" s="157" t="s">
        <v>658</v>
      </c>
      <c r="J368" s="157" t="s">
        <v>70</v>
      </c>
      <c r="K368" s="157" t="s">
        <v>70</v>
      </c>
      <c r="L368" s="157" t="s">
        <v>70</v>
      </c>
      <c r="M368" s="137"/>
    </row>
    <row r="369" spans="1:13" x14ac:dyDescent="0.25">
      <c r="A369" s="136" t="s">
        <v>1155</v>
      </c>
      <c r="B369" s="113" t="s">
        <v>1156</v>
      </c>
      <c r="C369" s="112" t="s">
        <v>1152</v>
      </c>
      <c r="D369" s="114">
        <v>46822</v>
      </c>
      <c r="E369" s="113" t="s">
        <v>433</v>
      </c>
      <c r="F369" s="115">
        <v>204.08</v>
      </c>
      <c r="G369" s="157" t="s">
        <v>70</v>
      </c>
      <c r="H369" s="157" t="s">
        <v>658</v>
      </c>
      <c r="I369" s="157" t="s">
        <v>658</v>
      </c>
      <c r="J369" s="157" t="s">
        <v>70</v>
      </c>
      <c r="K369" s="157" t="s">
        <v>70</v>
      </c>
      <c r="L369" s="157" t="s">
        <v>70</v>
      </c>
      <c r="M369" s="137"/>
    </row>
    <row r="370" spans="1:13" x14ac:dyDescent="0.25">
      <c r="A370" s="136" t="s">
        <v>1157</v>
      </c>
      <c r="B370" s="113" t="s">
        <v>1158</v>
      </c>
      <c r="C370" s="112" t="s">
        <v>1152</v>
      </c>
      <c r="D370" s="114">
        <v>46822</v>
      </c>
      <c r="E370" s="113" t="s">
        <v>404</v>
      </c>
      <c r="F370" s="115">
        <v>102.04</v>
      </c>
      <c r="G370" s="157" t="s">
        <v>70</v>
      </c>
      <c r="H370" s="157" t="s">
        <v>658</v>
      </c>
      <c r="I370" s="157" t="s">
        <v>658</v>
      </c>
      <c r="J370" s="157" t="s">
        <v>70</v>
      </c>
      <c r="K370" s="157" t="s">
        <v>70</v>
      </c>
      <c r="L370" s="157" t="s">
        <v>70</v>
      </c>
      <c r="M370" s="137"/>
    </row>
    <row r="371" spans="1:13" x14ac:dyDescent="0.25">
      <c r="A371" s="136" t="s">
        <v>1159</v>
      </c>
      <c r="B371" s="113" t="s">
        <v>1160</v>
      </c>
      <c r="C371" s="112" t="s">
        <v>1161</v>
      </c>
      <c r="D371" s="114">
        <v>46843</v>
      </c>
      <c r="E371" s="113" t="s">
        <v>404</v>
      </c>
      <c r="F371" s="115">
        <v>51.3</v>
      </c>
      <c r="G371" s="157" t="s">
        <v>70</v>
      </c>
      <c r="H371" s="157" t="s">
        <v>658</v>
      </c>
      <c r="I371" s="157" t="s">
        <v>658</v>
      </c>
      <c r="J371" s="157" t="s">
        <v>70</v>
      </c>
      <c r="K371" s="157" t="s">
        <v>70</v>
      </c>
      <c r="L371" s="157" t="s">
        <v>70</v>
      </c>
      <c r="M371" s="137"/>
    </row>
    <row r="372" spans="1:13" x14ac:dyDescent="0.25">
      <c r="A372" s="136" t="s">
        <v>1162</v>
      </c>
      <c r="B372" s="113" t="s">
        <v>1163</v>
      </c>
      <c r="C372" s="112" t="s">
        <v>414</v>
      </c>
      <c r="D372" s="114">
        <v>46874</v>
      </c>
      <c r="E372" s="113" t="s">
        <v>415</v>
      </c>
      <c r="F372" s="115">
        <v>102</v>
      </c>
      <c r="G372" s="157" t="s">
        <v>70</v>
      </c>
      <c r="H372" s="157" t="s">
        <v>658</v>
      </c>
      <c r="I372" s="157" t="s">
        <v>658</v>
      </c>
      <c r="J372" s="157" t="s">
        <v>70</v>
      </c>
      <c r="K372" s="157" t="s">
        <v>70</v>
      </c>
      <c r="L372" s="157" t="s">
        <v>70</v>
      </c>
      <c r="M372" s="137"/>
    </row>
    <row r="373" spans="1:13" x14ac:dyDescent="0.25">
      <c r="A373" s="136" t="s">
        <v>1164</v>
      </c>
      <c r="B373" s="113" t="s">
        <v>1165</v>
      </c>
      <c r="C373" s="112" t="s">
        <v>414</v>
      </c>
      <c r="D373" s="114">
        <v>46874</v>
      </c>
      <c r="E373" s="113" t="s">
        <v>415</v>
      </c>
      <c r="F373" s="115">
        <v>442</v>
      </c>
      <c r="G373" s="157" t="s">
        <v>70</v>
      </c>
      <c r="H373" s="157" t="s">
        <v>658</v>
      </c>
      <c r="I373" s="157" t="s">
        <v>658</v>
      </c>
      <c r="J373" s="157" t="s">
        <v>70</v>
      </c>
      <c r="K373" s="157" t="s">
        <v>70</v>
      </c>
      <c r="L373" s="157" t="s">
        <v>70</v>
      </c>
      <c r="M373" s="137"/>
    </row>
    <row r="374" spans="1:13" x14ac:dyDescent="0.25">
      <c r="A374" s="136" t="s">
        <v>1166</v>
      </c>
      <c r="B374" s="116" t="s">
        <v>1167</v>
      </c>
      <c r="C374" s="112" t="s">
        <v>1168</v>
      </c>
      <c r="D374" s="114">
        <v>46883</v>
      </c>
      <c r="E374" s="113" t="s">
        <v>404</v>
      </c>
      <c r="F374" s="115">
        <v>254.8</v>
      </c>
      <c r="G374" s="157" t="s">
        <v>70</v>
      </c>
      <c r="H374" s="157" t="s">
        <v>658</v>
      </c>
      <c r="I374" s="157" t="s">
        <v>658</v>
      </c>
      <c r="J374" s="157" t="s">
        <v>70</v>
      </c>
      <c r="K374" s="157" t="s">
        <v>70</v>
      </c>
      <c r="L374" s="157" t="s">
        <v>70</v>
      </c>
      <c r="M374" s="137"/>
    </row>
    <row r="375" spans="1:13" x14ac:dyDescent="0.25">
      <c r="A375" s="139" t="s">
        <v>1169</v>
      </c>
      <c r="B375" s="117" t="s">
        <v>1170</v>
      </c>
      <c r="C375" s="112" t="s">
        <v>1060</v>
      </c>
      <c r="D375" s="114">
        <v>46903</v>
      </c>
      <c r="E375" s="113" t="s">
        <v>404</v>
      </c>
      <c r="F375" s="115">
        <v>50</v>
      </c>
      <c r="G375" s="157" t="s">
        <v>70</v>
      </c>
      <c r="H375" s="157" t="s">
        <v>658</v>
      </c>
      <c r="I375" s="157" t="s">
        <v>658</v>
      </c>
      <c r="J375" s="157" t="s">
        <v>70</v>
      </c>
      <c r="K375" s="157" t="s">
        <v>70</v>
      </c>
      <c r="L375" s="157" t="s">
        <v>70</v>
      </c>
      <c r="M375" s="137"/>
    </row>
    <row r="376" spans="1:13" x14ac:dyDescent="0.25">
      <c r="A376" s="136" t="s">
        <v>1171</v>
      </c>
      <c r="B376" s="113" t="s">
        <v>1172</v>
      </c>
      <c r="C376" s="112" t="s">
        <v>1060</v>
      </c>
      <c r="D376" s="114">
        <v>46903</v>
      </c>
      <c r="E376" s="113" t="s">
        <v>404</v>
      </c>
      <c r="F376" s="115">
        <v>50</v>
      </c>
      <c r="G376" s="157" t="s">
        <v>70</v>
      </c>
      <c r="H376" s="157" t="s">
        <v>658</v>
      </c>
      <c r="I376" s="157" t="s">
        <v>658</v>
      </c>
      <c r="J376" s="157" t="s">
        <v>70</v>
      </c>
      <c r="K376" s="157" t="s">
        <v>70</v>
      </c>
      <c r="L376" s="157" t="s">
        <v>70</v>
      </c>
      <c r="M376" s="137"/>
    </row>
    <row r="377" spans="1:13" x14ac:dyDescent="0.25">
      <c r="A377" s="136" t="s">
        <v>1173</v>
      </c>
      <c r="B377" s="113" t="s">
        <v>1174</v>
      </c>
      <c r="C377" s="112" t="s">
        <v>427</v>
      </c>
      <c r="D377" s="114">
        <v>46935</v>
      </c>
      <c r="E377" s="113" t="s">
        <v>433</v>
      </c>
      <c r="F377" s="115">
        <v>200.75</v>
      </c>
      <c r="G377" s="157" t="s">
        <v>70</v>
      </c>
      <c r="H377" s="157" t="s">
        <v>658</v>
      </c>
      <c r="I377" s="157" t="s">
        <v>658</v>
      </c>
      <c r="J377" s="157" t="s">
        <v>70</v>
      </c>
      <c r="K377" s="157" t="s">
        <v>70</v>
      </c>
      <c r="L377" s="157" t="s">
        <v>70</v>
      </c>
      <c r="M377" s="137"/>
    </row>
    <row r="378" spans="1:13" x14ac:dyDescent="0.25">
      <c r="A378" s="136" t="s">
        <v>1175</v>
      </c>
      <c r="B378" s="113" t="s">
        <v>1176</v>
      </c>
      <c r="C378" s="112" t="s">
        <v>427</v>
      </c>
      <c r="D378" s="114">
        <v>46935</v>
      </c>
      <c r="E378" s="113" t="s">
        <v>433</v>
      </c>
      <c r="F378" s="115">
        <v>251.27</v>
      </c>
      <c r="G378" s="157" t="s">
        <v>70</v>
      </c>
      <c r="H378" s="157" t="s">
        <v>658</v>
      </c>
      <c r="I378" s="157" t="s">
        <v>658</v>
      </c>
      <c r="J378" s="157" t="s">
        <v>70</v>
      </c>
      <c r="K378" s="157" t="s">
        <v>70</v>
      </c>
      <c r="L378" s="157" t="s">
        <v>70</v>
      </c>
      <c r="M378" s="137"/>
    </row>
    <row r="379" spans="1:13" x14ac:dyDescent="0.25">
      <c r="A379" s="136" t="s">
        <v>1177</v>
      </c>
      <c r="B379" s="113" t="s">
        <v>1178</v>
      </c>
      <c r="C379" s="112" t="s">
        <v>463</v>
      </c>
      <c r="D379" s="114">
        <v>46905</v>
      </c>
      <c r="E379" s="113" t="s">
        <v>433</v>
      </c>
      <c r="F379" s="115">
        <v>203.9</v>
      </c>
      <c r="G379" s="157" t="s">
        <v>70</v>
      </c>
      <c r="H379" s="157" t="s">
        <v>658</v>
      </c>
      <c r="I379" s="157" t="s">
        <v>658</v>
      </c>
      <c r="J379" s="157" t="s">
        <v>658</v>
      </c>
      <c r="K379" s="157" t="s">
        <v>70</v>
      </c>
      <c r="L379" s="157" t="s">
        <v>70</v>
      </c>
      <c r="M379" s="137"/>
    </row>
    <row r="380" spans="1:13" x14ac:dyDescent="0.25">
      <c r="A380" s="136" t="s">
        <v>1179</v>
      </c>
      <c r="B380" s="116" t="s">
        <v>1180</v>
      </c>
      <c r="C380" s="112" t="s">
        <v>1181</v>
      </c>
      <c r="D380" s="114">
        <v>46934</v>
      </c>
      <c r="E380" s="113" t="s">
        <v>433</v>
      </c>
      <c r="F380" s="115">
        <v>200.8</v>
      </c>
      <c r="G380" s="157" t="s">
        <v>70</v>
      </c>
      <c r="H380" s="157" t="s">
        <v>658</v>
      </c>
      <c r="I380" s="157" t="s">
        <v>658</v>
      </c>
      <c r="J380" s="157" t="s">
        <v>658</v>
      </c>
      <c r="K380" s="157" t="s">
        <v>70</v>
      </c>
      <c r="L380" s="157" t="s">
        <v>70</v>
      </c>
      <c r="M380" s="137"/>
    </row>
    <row r="381" spans="1:13" x14ac:dyDescent="0.25">
      <c r="A381" s="136" t="s">
        <v>1182</v>
      </c>
      <c r="B381" s="116" t="s">
        <v>1183</v>
      </c>
      <c r="C381" s="112" t="s">
        <v>1181</v>
      </c>
      <c r="D381" s="114">
        <v>46934</v>
      </c>
      <c r="E381" s="113" t="s">
        <v>404</v>
      </c>
      <c r="F381" s="115">
        <v>209</v>
      </c>
      <c r="G381" s="157" t="s">
        <v>70</v>
      </c>
      <c r="H381" s="157" t="s">
        <v>658</v>
      </c>
      <c r="I381" s="157" t="s">
        <v>658</v>
      </c>
      <c r="J381" s="157" t="s">
        <v>658</v>
      </c>
      <c r="K381" s="157" t="s">
        <v>70</v>
      </c>
      <c r="L381" s="157" t="s">
        <v>70</v>
      </c>
      <c r="M381" s="137"/>
    </row>
    <row r="382" spans="1:13" x14ac:dyDescent="0.25">
      <c r="A382" s="136" t="s">
        <v>1184</v>
      </c>
      <c r="B382" s="113" t="s">
        <v>1185</v>
      </c>
      <c r="C382" s="112" t="s">
        <v>414</v>
      </c>
      <c r="D382" s="114">
        <v>46939</v>
      </c>
      <c r="E382" s="113" t="s">
        <v>415</v>
      </c>
      <c r="F382" s="115">
        <v>518.83000000000004</v>
      </c>
      <c r="G382" s="157" t="s">
        <v>70</v>
      </c>
      <c r="H382" s="157" t="s">
        <v>658</v>
      </c>
      <c r="I382" s="157" t="s">
        <v>658</v>
      </c>
      <c r="J382" s="157" t="s">
        <v>658</v>
      </c>
      <c r="K382" s="157" t="s">
        <v>70</v>
      </c>
      <c r="L382" s="157" t="s">
        <v>70</v>
      </c>
      <c r="M382" s="137"/>
    </row>
    <row r="383" spans="1:13" x14ac:dyDescent="0.25">
      <c r="A383" s="136" t="s">
        <v>1186</v>
      </c>
      <c r="B383" s="113" t="s">
        <v>1187</v>
      </c>
      <c r="C383" s="112" t="s">
        <v>657</v>
      </c>
      <c r="D383" s="114">
        <v>46990</v>
      </c>
      <c r="E383" s="113" t="s">
        <v>433</v>
      </c>
      <c r="F383" s="115">
        <v>302.16000000000003</v>
      </c>
      <c r="G383" s="157" t="s">
        <v>70</v>
      </c>
      <c r="H383" s="157" t="s">
        <v>658</v>
      </c>
      <c r="I383" s="157" t="s">
        <v>658</v>
      </c>
      <c r="J383" s="157" t="s">
        <v>658</v>
      </c>
      <c r="K383" s="157" t="s">
        <v>70</v>
      </c>
      <c r="L383" s="157" t="s">
        <v>70</v>
      </c>
      <c r="M383" s="137"/>
    </row>
    <row r="384" spans="1:13" x14ac:dyDescent="0.25">
      <c r="A384" s="136" t="s">
        <v>1188</v>
      </c>
      <c r="B384" s="113" t="s">
        <v>1189</v>
      </c>
      <c r="C384" s="112" t="s">
        <v>418</v>
      </c>
      <c r="D384" s="114">
        <v>47011</v>
      </c>
      <c r="E384" s="113" t="s">
        <v>433</v>
      </c>
      <c r="F384" s="115">
        <v>110</v>
      </c>
      <c r="G384" s="157" t="s">
        <v>70</v>
      </c>
      <c r="H384" s="157" t="s">
        <v>658</v>
      </c>
      <c r="I384" s="157" t="s">
        <v>658</v>
      </c>
      <c r="J384" s="157" t="s">
        <v>658</v>
      </c>
      <c r="K384" s="157" t="s">
        <v>70</v>
      </c>
      <c r="L384" s="157" t="s">
        <v>70</v>
      </c>
      <c r="M384" s="137"/>
    </row>
    <row r="385" spans="1:13" x14ac:dyDescent="0.25">
      <c r="A385" s="136" t="s">
        <v>1190</v>
      </c>
      <c r="B385" s="113" t="s">
        <v>1191</v>
      </c>
      <c r="C385" s="112" t="s">
        <v>418</v>
      </c>
      <c r="D385" s="114">
        <v>47011</v>
      </c>
      <c r="E385" s="113" t="s">
        <v>404</v>
      </c>
      <c r="F385" s="115">
        <v>82.08</v>
      </c>
      <c r="G385" s="157" t="s">
        <v>70</v>
      </c>
      <c r="H385" s="157" t="s">
        <v>658</v>
      </c>
      <c r="I385" s="157" t="s">
        <v>658</v>
      </c>
      <c r="J385" s="157" t="s">
        <v>658</v>
      </c>
      <c r="K385" s="157" t="s">
        <v>70</v>
      </c>
      <c r="L385" s="157" t="s">
        <v>70</v>
      </c>
      <c r="M385" s="137"/>
    </row>
    <row r="386" spans="1:13" x14ac:dyDescent="0.25">
      <c r="A386" s="138" t="s">
        <v>1192</v>
      </c>
      <c r="B386" s="116" t="s">
        <v>1193</v>
      </c>
      <c r="C386" s="112" t="s">
        <v>953</v>
      </c>
      <c r="D386" s="114">
        <v>47014</v>
      </c>
      <c r="E386" s="113" t="s">
        <v>404</v>
      </c>
      <c r="F386" s="115">
        <v>36.840000000000003</v>
      </c>
      <c r="G386" s="157" t="s">
        <v>70</v>
      </c>
      <c r="H386" s="157" t="s">
        <v>658</v>
      </c>
      <c r="I386" s="157" t="s">
        <v>658</v>
      </c>
      <c r="J386" s="157" t="s">
        <v>658</v>
      </c>
      <c r="K386" s="157" t="s">
        <v>70</v>
      </c>
      <c r="L386" s="157" t="s">
        <v>70</v>
      </c>
      <c r="M386" s="137"/>
    </row>
    <row r="387" spans="1:13" x14ac:dyDescent="0.25">
      <c r="A387" s="136" t="s">
        <v>931</v>
      </c>
      <c r="B387" s="113" t="s">
        <v>932</v>
      </c>
      <c r="C387" s="112" t="s">
        <v>516</v>
      </c>
      <c r="D387" s="114">
        <v>47054</v>
      </c>
      <c r="E387" s="113" t="s">
        <v>433</v>
      </c>
      <c r="F387" s="115">
        <v>522.75</v>
      </c>
      <c r="G387" s="157" t="s">
        <v>70</v>
      </c>
      <c r="H387" s="157" t="s">
        <v>658</v>
      </c>
      <c r="I387" s="157" t="s">
        <v>658</v>
      </c>
      <c r="J387" s="157" t="s">
        <v>658</v>
      </c>
      <c r="K387" s="157" t="s">
        <v>70</v>
      </c>
      <c r="L387" s="157" t="s">
        <v>70</v>
      </c>
      <c r="M387" s="137"/>
    </row>
    <row r="388" spans="1:13" x14ac:dyDescent="0.25">
      <c r="A388" s="136" t="s">
        <v>933</v>
      </c>
      <c r="B388" s="113" t="s">
        <v>934</v>
      </c>
      <c r="C388" s="112" t="s">
        <v>516</v>
      </c>
      <c r="D388" s="114">
        <v>47054</v>
      </c>
      <c r="E388" s="113" t="s">
        <v>404</v>
      </c>
      <c r="F388" s="115">
        <v>522.75</v>
      </c>
      <c r="G388" s="157" t="s">
        <v>70</v>
      </c>
      <c r="H388" s="157" t="s">
        <v>658</v>
      </c>
      <c r="I388" s="157" t="s">
        <v>658</v>
      </c>
      <c r="J388" s="157" t="s">
        <v>658</v>
      </c>
      <c r="K388" s="157" t="s">
        <v>70</v>
      </c>
      <c r="L388" s="157" t="s">
        <v>70</v>
      </c>
      <c r="M388" s="137"/>
    </row>
    <row r="389" spans="1:13" x14ac:dyDescent="0.25">
      <c r="A389" s="136" t="s">
        <v>1194</v>
      </c>
      <c r="B389" s="113" t="s">
        <v>1195</v>
      </c>
      <c r="C389" s="112" t="s">
        <v>470</v>
      </c>
      <c r="D389" s="114">
        <v>47088</v>
      </c>
      <c r="E389" s="113" t="s">
        <v>433</v>
      </c>
      <c r="F389" s="115">
        <v>201.5</v>
      </c>
      <c r="G389" s="157" t="s">
        <v>70</v>
      </c>
      <c r="H389" s="157" t="s">
        <v>658</v>
      </c>
      <c r="I389" s="157" t="s">
        <v>658</v>
      </c>
      <c r="J389" s="157" t="s">
        <v>658</v>
      </c>
      <c r="K389" s="157" t="s">
        <v>70</v>
      </c>
      <c r="L389" s="157" t="s">
        <v>70</v>
      </c>
      <c r="M389" s="137"/>
    </row>
    <row r="390" spans="1:13" x14ac:dyDescent="0.25">
      <c r="A390" s="136" t="s">
        <v>935</v>
      </c>
      <c r="B390" s="113" t="s">
        <v>936</v>
      </c>
      <c r="C390" s="112" t="s">
        <v>424</v>
      </c>
      <c r="D390" s="114">
        <v>47118</v>
      </c>
      <c r="E390" s="113" t="s">
        <v>433</v>
      </c>
      <c r="F390" s="115">
        <v>301.2</v>
      </c>
      <c r="G390" s="157" t="s">
        <v>70</v>
      </c>
      <c r="H390" s="157" t="s">
        <v>658</v>
      </c>
      <c r="I390" s="157" t="s">
        <v>658</v>
      </c>
      <c r="J390" s="157" t="s">
        <v>658</v>
      </c>
      <c r="K390" s="157" t="s">
        <v>70</v>
      </c>
      <c r="L390" s="157" t="s">
        <v>70</v>
      </c>
      <c r="M390" s="137"/>
    </row>
    <row r="391" spans="1:13" x14ac:dyDescent="0.25">
      <c r="A391" s="136" t="s">
        <v>1196</v>
      </c>
      <c r="B391" s="113" t="s">
        <v>1197</v>
      </c>
      <c r="C391" s="112" t="s">
        <v>594</v>
      </c>
      <c r="D391" s="114">
        <v>47189</v>
      </c>
      <c r="E391" s="113" t="s">
        <v>404</v>
      </c>
      <c r="F391" s="115">
        <v>102.77</v>
      </c>
      <c r="G391" s="157" t="s">
        <v>70</v>
      </c>
      <c r="H391" s="157" t="s">
        <v>658</v>
      </c>
      <c r="I391" s="157" t="s">
        <v>658</v>
      </c>
      <c r="J391" s="157" t="s">
        <v>658</v>
      </c>
      <c r="K391" s="157" t="s">
        <v>70</v>
      </c>
      <c r="L391" s="157" t="s">
        <v>70</v>
      </c>
      <c r="M391" s="137"/>
    </row>
    <row r="392" spans="1:13" x14ac:dyDescent="0.25">
      <c r="A392" s="136" t="s">
        <v>926</v>
      </c>
      <c r="B392" s="113" t="s">
        <v>927</v>
      </c>
      <c r="C392" s="112" t="s">
        <v>594</v>
      </c>
      <c r="D392" s="114">
        <v>47264</v>
      </c>
      <c r="E392" s="113" t="s">
        <v>404</v>
      </c>
      <c r="F392" s="115">
        <v>231.86</v>
      </c>
      <c r="G392" s="157" t="s">
        <v>70</v>
      </c>
      <c r="H392" s="157" t="s">
        <v>658</v>
      </c>
      <c r="I392" s="157" t="s">
        <v>658</v>
      </c>
      <c r="J392" s="157" t="s">
        <v>658</v>
      </c>
      <c r="K392" s="157" t="s">
        <v>70</v>
      </c>
      <c r="L392" s="157" t="s">
        <v>70</v>
      </c>
      <c r="M392" s="137"/>
    </row>
    <row r="393" spans="1:13" x14ac:dyDescent="0.25">
      <c r="A393" s="136" t="s">
        <v>1198</v>
      </c>
      <c r="B393" s="116" t="s">
        <v>1199</v>
      </c>
      <c r="C393" s="112" t="s">
        <v>1200</v>
      </c>
      <c r="D393" s="114">
        <v>47274</v>
      </c>
      <c r="E393" s="113" t="s">
        <v>433</v>
      </c>
      <c r="F393" s="115">
        <v>203.17</v>
      </c>
      <c r="G393" s="157" t="s">
        <v>70</v>
      </c>
      <c r="H393" s="157" t="s">
        <v>658</v>
      </c>
      <c r="I393" s="157" t="s">
        <v>658</v>
      </c>
      <c r="J393" s="157" t="s">
        <v>658</v>
      </c>
      <c r="K393" s="157" t="s">
        <v>70</v>
      </c>
      <c r="L393" s="157" t="s">
        <v>70</v>
      </c>
      <c r="M393" s="137"/>
    </row>
    <row r="394" spans="1:13" ht="15.75" thickBot="1" x14ac:dyDescent="0.3">
      <c r="A394" s="141" t="s">
        <v>1201</v>
      </c>
      <c r="B394" s="142" t="s">
        <v>1202</v>
      </c>
      <c r="C394" s="163" t="s">
        <v>1181</v>
      </c>
      <c r="D394" s="143">
        <v>47566</v>
      </c>
      <c r="E394" s="142" t="s">
        <v>433</v>
      </c>
      <c r="F394" s="144">
        <v>145.81</v>
      </c>
      <c r="G394" s="182" t="s">
        <v>70</v>
      </c>
      <c r="H394" s="182" t="s">
        <v>658</v>
      </c>
      <c r="I394" s="182" t="s">
        <v>658</v>
      </c>
      <c r="J394" s="182" t="s">
        <v>658</v>
      </c>
      <c r="K394" s="182" t="s">
        <v>70</v>
      </c>
      <c r="L394" s="182" t="s">
        <v>70</v>
      </c>
      <c r="M394" s="146"/>
    </row>
    <row r="396" spans="1:13" x14ac:dyDescent="0.25">
      <c r="A396" s="85"/>
      <c r="B396" s="16"/>
      <c r="C396" s="16"/>
      <c r="D396" s="151"/>
      <c r="E396" s="16"/>
      <c r="F396" s="152"/>
      <c r="G396" s="121"/>
      <c r="H396" s="121"/>
      <c r="I396" s="121"/>
      <c r="J396" s="121"/>
      <c r="K396" s="121"/>
      <c r="L396" s="121"/>
      <c r="M396" s="122"/>
    </row>
    <row r="397" spans="1:13" ht="30" customHeight="1" x14ac:dyDescent="0.25">
      <c r="A397" s="34" t="s">
        <v>1203</v>
      </c>
      <c r="B397" s="34"/>
    </row>
    <row r="399" spans="1:13" ht="34.5" customHeight="1" thickBot="1" x14ac:dyDescent="0.3">
      <c r="A399" s="124" t="s">
        <v>391</v>
      </c>
      <c r="B399" s="125" t="s">
        <v>392</v>
      </c>
      <c r="C399" s="125" t="s">
        <v>393</v>
      </c>
      <c r="D399" s="158" t="s">
        <v>394</v>
      </c>
      <c r="E399" s="125" t="s">
        <v>395</v>
      </c>
      <c r="F399" s="159" t="s">
        <v>396</v>
      </c>
      <c r="G399" s="160" t="s">
        <v>1204</v>
      </c>
      <c r="H399" s="125" t="s">
        <v>312</v>
      </c>
      <c r="I399" s="125" t="s">
        <v>313</v>
      </c>
      <c r="J399" s="125" t="s">
        <v>314</v>
      </c>
      <c r="K399" s="125" t="s">
        <v>315</v>
      </c>
      <c r="L399" s="125" t="s">
        <v>316</v>
      </c>
      <c r="M399" s="161" t="s">
        <v>213</v>
      </c>
    </row>
    <row r="400" spans="1:13" x14ac:dyDescent="0.25">
      <c r="A400" s="136" t="s">
        <v>1205</v>
      </c>
      <c r="B400" s="113" t="s">
        <v>1206</v>
      </c>
      <c r="C400" s="112" t="s">
        <v>1207</v>
      </c>
      <c r="D400" s="114">
        <v>46173</v>
      </c>
      <c r="E400" s="113" t="s">
        <v>415</v>
      </c>
      <c r="F400" s="115">
        <v>306.32</v>
      </c>
      <c r="G400" s="157" t="s">
        <v>70</v>
      </c>
      <c r="H400" s="157" t="s">
        <v>658</v>
      </c>
      <c r="I400" s="157" t="s">
        <v>658</v>
      </c>
      <c r="J400" s="157" t="s">
        <v>658</v>
      </c>
      <c r="K400" s="157" t="s">
        <v>70</v>
      </c>
      <c r="L400" s="157" t="s">
        <v>70</v>
      </c>
      <c r="M400" s="137"/>
    </row>
    <row r="401" spans="1:13" x14ac:dyDescent="0.25">
      <c r="A401" s="136" t="s">
        <v>1208</v>
      </c>
      <c r="B401" s="113" t="s">
        <v>1209</v>
      </c>
      <c r="C401" s="112" t="s">
        <v>427</v>
      </c>
      <c r="D401" s="114">
        <v>46387</v>
      </c>
      <c r="E401" s="113" t="s">
        <v>415</v>
      </c>
      <c r="F401" s="115">
        <v>204.71</v>
      </c>
      <c r="G401" s="157" t="s">
        <v>70</v>
      </c>
      <c r="H401" s="157" t="s">
        <v>658</v>
      </c>
      <c r="I401" s="157" t="s">
        <v>658</v>
      </c>
      <c r="J401" s="157" t="s">
        <v>658</v>
      </c>
      <c r="K401" s="157" t="s">
        <v>70</v>
      </c>
      <c r="L401" s="157" t="s">
        <v>70</v>
      </c>
      <c r="M401" s="137"/>
    </row>
    <row r="402" spans="1:13" x14ac:dyDescent="0.25">
      <c r="A402" s="136" t="s">
        <v>1210</v>
      </c>
      <c r="B402" s="116" t="s">
        <v>1211</v>
      </c>
      <c r="C402" s="112" t="s">
        <v>403</v>
      </c>
      <c r="D402" s="114">
        <v>46539</v>
      </c>
      <c r="E402" s="113" t="s">
        <v>415</v>
      </c>
      <c r="F402" s="115">
        <v>324.58</v>
      </c>
      <c r="G402" s="157" t="s">
        <v>70</v>
      </c>
      <c r="H402" s="157" t="s">
        <v>658</v>
      </c>
      <c r="I402" s="157" t="s">
        <v>658</v>
      </c>
      <c r="J402" s="157" t="s">
        <v>658</v>
      </c>
      <c r="K402" s="157" t="s">
        <v>70</v>
      </c>
      <c r="L402" s="157" t="s">
        <v>70</v>
      </c>
      <c r="M402" s="137"/>
    </row>
    <row r="403" spans="1:13" x14ac:dyDescent="0.25">
      <c r="A403" s="140" t="s">
        <v>1212</v>
      </c>
      <c r="B403" s="135" t="s">
        <v>1213</v>
      </c>
      <c r="C403" s="154" t="s">
        <v>1214</v>
      </c>
      <c r="D403" s="155">
        <v>45834</v>
      </c>
      <c r="E403" s="135" t="s">
        <v>404</v>
      </c>
      <c r="F403" s="156">
        <v>203</v>
      </c>
      <c r="G403" s="157" t="s">
        <v>70</v>
      </c>
      <c r="H403" s="157" t="s">
        <v>658</v>
      </c>
      <c r="I403" s="157" t="s">
        <v>658</v>
      </c>
      <c r="J403" s="157" t="s">
        <v>658</v>
      </c>
      <c r="K403" s="157" t="s">
        <v>70</v>
      </c>
      <c r="L403" s="157" t="s">
        <v>70</v>
      </c>
      <c r="M403" s="162"/>
    </row>
    <row r="404" spans="1:13" x14ac:dyDescent="0.25">
      <c r="A404" s="136" t="s">
        <v>1215</v>
      </c>
      <c r="B404" s="116" t="s">
        <v>1216</v>
      </c>
      <c r="C404" s="112" t="s">
        <v>977</v>
      </c>
      <c r="D404" s="114">
        <v>45957</v>
      </c>
      <c r="E404" s="113" t="s">
        <v>433</v>
      </c>
      <c r="F404" s="115">
        <v>202</v>
      </c>
      <c r="G404" s="157" t="s">
        <v>70</v>
      </c>
      <c r="H404" s="157" t="s">
        <v>658</v>
      </c>
      <c r="I404" s="157" t="s">
        <v>658</v>
      </c>
      <c r="J404" s="157" t="s">
        <v>658</v>
      </c>
      <c r="K404" s="157" t="s">
        <v>70</v>
      </c>
      <c r="L404" s="157" t="s">
        <v>70</v>
      </c>
      <c r="M404" s="137"/>
    </row>
    <row r="405" spans="1:13" x14ac:dyDescent="0.25">
      <c r="A405" s="138" t="s">
        <v>1217</v>
      </c>
      <c r="B405" s="116" t="s">
        <v>1218</v>
      </c>
      <c r="C405" s="112" t="s">
        <v>738</v>
      </c>
      <c r="D405" s="114">
        <v>46021</v>
      </c>
      <c r="E405" s="113" t="s">
        <v>433</v>
      </c>
      <c r="F405" s="115">
        <v>112.4</v>
      </c>
      <c r="G405" s="157" t="s">
        <v>70</v>
      </c>
      <c r="H405" s="157" t="s">
        <v>658</v>
      </c>
      <c r="I405" s="157" t="s">
        <v>658</v>
      </c>
      <c r="J405" s="157" t="s">
        <v>658</v>
      </c>
      <c r="K405" s="157" t="s">
        <v>70</v>
      </c>
      <c r="L405" s="157" t="s">
        <v>70</v>
      </c>
      <c r="M405" s="137"/>
    </row>
    <row r="406" spans="1:13" x14ac:dyDescent="0.25">
      <c r="A406" s="139" t="s">
        <v>1219</v>
      </c>
      <c r="B406" s="117" t="s">
        <v>1220</v>
      </c>
      <c r="C406" s="112" t="s">
        <v>953</v>
      </c>
      <c r="D406" s="114">
        <v>46071</v>
      </c>
      <c r="E406" s="113" t="s">
        <v>404</v>
      </c>
      <c r="F406" s="115">
        <v>100.45</v>
      </c>
      <c r="G406" s="157" t="s">
        <v>70</v>
      </c>
      <c r="H406" s="157" t="s">
        <v>658</v>
      </c>
      <c r="I406" s="157" t="s">
        <v>658</v>
      </c>
      <c r="J406" s="157" t="s">
        <v>658</v>
      </c>
      <c r="K406" s="157" t="s">
        <v>70</v>
      </c>
      <c r="L406" s="157" t="s">
        <v>70</v>
      </c>
      <c r="M406" s="137"/>
    </row>
    <row r="407" spans="1:13" x14ac:dyDescent="0.25">
      <c r="A407" s="136" t="s">
        <v>1221</v>
      </c>
      <c r="B407" s="113" t="s">
        <v>1222</v>
      </c>
      <c r="C407" s="112" t="s">
        <v>676</v>
      </c>
      <c r="D407" s="114">
        <v>46126</v>
      </c>
      <c r="E407" s="113" t="s">
        <v>404</v>
      </c>
      <c r="F407" s="115">
        <v>101</v>
      </c>
      <c r="G407" s="157" t="s">
        <v>70</v>
      </c>
      <c r="H407" s="157" t="s">
        <v>658</v>
      </c>
      <c r="I407" s="157" t="s">
        <v>658</v>
      </c>
      <c r="J407" s="157" t="s">
        <v>658</v>
      </c>
      <c r="K407" s="157" t="s">
        <v>70</v>
      </c>
      <c r="L407" s="157" t="s">
        <v>70</v>
      </c>
      <c r="M407" s="137"/>
    </row>
    <row r="408" spans="1:13" x14ac:dyDescent="0.25">
      <c r="A408" s="136" t="s">
        <v>1223</v>
      </c>
      <c r="B408" s="113" t="s">
        <v>1224</v>
      </c>
      <c r="C408" s="112" t="s">
        <v>676</v>
      </c>
      <c r="D408" s="114">
        <v>46126</v>
      </c>
      <c r="E408" s="113" t="s">
        <v>433</v>
      </c>
      <c r="F408" s="115">
        <v>305</v>
      </c>
      <c r="G408" s="157" t="s">
        <v>70</v>
      </c>
      <c r="H408" s="157" t="s">
        <v>658</v>
      </c>
      <c r="I408" s="157" t="s">
        <v>658</v>
      </c>
      <c r="J408" s="157" t="s">
        <v>658</v>
      </c>
      <c r="K408" s="157" t="s">
        <v>70</v>
      </c>
      <c r="L408" s="157" t="s">
        <v>70</v>
      </c>
      <c r="M408" s="137"/>
    </row>
    <row r="409" spans="1:13" x14ac:dyDescent="0.25">
      <c r="A409" s="136" t="s">
        <v>1225</v>
      </c>
      <c r="B409" s="113" t="s">
        <v>1226</v>
      </c>
      <c r="C409" s="112" t="s">
        <v>977</v>
      </c>
      <c r="D409" s="114">
        <v>46142</v>
      </c>
      <c r="E409" s="113" t="s">
        <v>404</v>
      </c>
      <c r="F409" s="115">
        <v>508.7</v>
      </c>
      <c r="G409" s="157" t="s">
        <v>70</v>
      </c>
      <c r="H409" s="157" t="s">
        <v>658</v>
      </c>
      <c r="I409" s="157" t="s">
        <v>658</v>
      </c>
      <c r="J409" s="157" t="s">
        <v>658</v>
      </c>
      <c r="K409" s="157" t="s">
        <v>70</v>
      </c>
      <c r="L409" s="157" t="s">
        <v>70</v>
      </c>
      <c r="M409" s="137"/>
    </row>
    <row r="410" spans="1:13" x14ac:dyDescent="0.25">
      <c r="A410" s="136" t="s">
        <v>1227</v>
      </c>
      <c r="B410" s="113" t="s">
        <v>1228</v>
      </c>
      <c r="C410" s="112" t="s">
        <v>843</v>
      </c>
      <c r="D410" s="114">
        <v>46142</v>
      </c>
      <c r="E410" s="113" t="s">
        <v>433</v>
      </c>
      <c r="F410" s="115">
        <v>200.92</v>
      </c>
      <c r="G410" s="157" t="s">
        <v>70</v>
      </c>
      <c r="H410" s="157" t="s">
        <v>658</v>
      </c>
      <c r="I410" s="157" t="s">
        <v>658</v>
      </c>
      <c r="J410" s="157" t="s">
        <v>658</v>
      </c>
      <c r="K410" s="157" t="s">
        <v>70</v>
      </c>
      <c r="L410" s="157" t="s">
        <v>70</v>
      </c>
      <c r="M410" s="153"/>
    </row>
    <row r="411" spans="1:13" x14ac:dyDescent="0.25">
      <c r="A411" s="136" t="s">
        <v>847</v>
      </c>
      <c r="B411" s="113" t="s">
        <v>848</v>
      </c>
      <c r="C411" s="112" t="s">
        <v>427</v>
      </c>
      <c r="D411" s="114">
        <v>46142</v>
      </c>
      <c r="E411" s="113" t="s">
        <v>404</v>
      </c>
      <c r="F411" s="115">
        <v>150.46</v>
      </c>
      <c r="G411" s="157" t="s">
        <v>70</v>
      </c>
      <c r="H411" s="157" t="s">
        <v>658</v>
      </c>
      <c r="I411" s="157" t="s">
        <v>658</v>
      </c>
      <c r="J411" s="157" t="s">
        <v>658</v>
      </c>
      <c r="K411" s="157" t="s">
        <v>70</v>
      </c>
      <c r="L411" s="157" t="s">
        <v>70</v>
      </c>
      <c r="M411" s="137"/>
    </row>
    <row r="412" spans="1:13" x14ac:dyDescent="0.25">
      <c r="A412" s="136" t="s">
        <v>1229</v>
      </c>
      <c r="B412" s="116" t="s">
        <v>1230</v>
      </c>
      <c r="C412" s="112" t="s">
        <v>523</v>
      </c>
      <c r="D412" s="114">
        <v>46143</v>
      </c>
      <c r="E412" s="113" t="s">
        <v>404</v>
      </c>
      <c r="F412" s="115">
        <v>50.18</v>
      </c>
      <c r="G412" s="157" t="s">
        <v>70</v>
      </c>
      <c r="H412" s="157" t="s">
        <v>658</v>
      </c>
      <c r="I412" s="157" t="s">
        <v>658</v>
      </c>
      <c r="J412" s="157" t="s">
        <v>658</v>
      </c>
      <c r="K412" s="157" t="s">
        <v>70</v>
      </c>
      <c r="L412" s="157" t="s">
        <v>70</v>
      </c>
      <c r="M412" s="137"/>
    </row>
    <row r="413" spans="1:13" x14ac:dyDescent="0.25">
      <c r="A413" s="136" t="s">
        <v>1231</v>
      </c>
      <c r="B413" s="113" t="s">
        <v>1232</v>
      </c>
      <c r="C413" s="112" t="s">
        <v>502</v>
      </c>
      <c r="D413" s="114">
        <v>46165</v>
      </c>
      <c r="E413" s="113" t="s">
        <v>404</v>
      </c>
      <c r="F413" s="115">
        <v>100.77</v>
      </c>
      <c r="G413" s="157" t="s">
        <v>70</v>
      </c>
      <c r="H413" s="157" t="s">
        <v>658</v>
      </c>
      <c r="I413" s="157" t="s">
        <v>658</v>
      </c>
      <c r="J413" s="157" t="s">
        <v>658</v>
      </c>
      <c r="K413" s="157" t="s">
        <v>70</v>
      </c>
      <c r="L413" s="157" t="s">
        <v>70</v>
      </c>
      <c r="M413" s="137"/>
    </row>
    <row r="414" spans="1:13" x14ac:dyDescent="0.25">
      <c r="A414" s="136" t="s">
        <v>1233</v>
      </c>
      <c r="B414" s="113" t="s">
        <v>1234</v>
      </c>
      <c r="C414" s="112" t="s">
        <v>1235</v>
      </c>
      <c r="D414" s="114">
        <v>46171</v>
      </c>
      <c r="E414" s="113" t="s">
        <v>404</v>
      </c>
      <c r="F414" s="115">
        <v>175.65</v>
      </c>
      <c r="G414" s="157" t="s">
        <v>70</v>
      </c>
      <c r="H414" s="157" t="s">
        <v>658</v>
      </c>
      <c r="I414" s="157" t="s">
        <v>658</v>
      </c>
      <c r="J414" s="157" t="s">
        <v>658</v>
      </c>
      <c r="K414" s="157" t="s">
        <v>70</v>
      </c>
      <c r="L414" s="157" t="s">
        <v>70</v>
      </c>
      <c r="M414" s="137"/>
    </row>
    <row r="415" spans="1:13" x14ac:dyDescent="0.25">
      <c r="A415" s="136" t="s">
        <v>1236</v>
      </c>
      <c r="B415" s="116" t="s">
        <v>1237</v>
      </c>
      <c r="C415" s="112" t="s">
        <v>897</v>
      </c>
      <c r="D415" s="114">
        <v>46171</v>
      </c>
      <c r="E415" s="113" t="s">
        <v>433</v>
      </c>
      <c r="F415" s="115">
        <v>384</v>
      </c>
      <c r="G415" s="157" t="s">
        <v>70</v>
      </c>
      <c r="H415" s="157" t="s">
        <v>658</v>
      </c>
      <c r="I415" s="157" t="s">
        <v>658</v>
      </c>
      <c r="J415" s="157" t="s">
        <v>658</v>
      </c>
      <c r="K415" s="157" t="s">
        <v>70</v>
      </c>
      <c r="L415" s="157" t="s">
        <v>70</v>
      </c>
      <c r="M415" s="137"/>
    </row>
    <row r="416" spans="1:13" x14ac:dyDescent="0.25">
      <c r="A416" s="136" t="s">
        <v>1238</v>
      </c>
      <c r="B416" s="113" t="s">
        <v>1239</v>
      </c>
      <c r="C416" s="112" t="s">
        <v>446</v>
      </c>
      <c r="D416" s="114">
        <v>46188</v>
      </c>
      <c r="E416" s="113" t="s">
        <v>404</v>
      </c>
      <c r="F416" s="115">
        <v>156.91</v>
      </c>
      <c r="G416" s="157" t="s">
        <v>70</v>
      </c>
      <c r="H416" s="157" t="s">
        <v>658</v>
      </c>
      <c r="I416" s="157" t="s">
        <v>658</v>
      </c>
      <c r="J416" s="157" t="s">
        <v>658</v>
      </c>
      <c r="K416" s="157" t="s">
        <v>70</v>
      </c>
      <c r="L416" s="157" t="s">
        <v>70</v>
      </c>
      <c r="M416" s="137"/>
    </row>
    <row r="417" spans="1:13" x14ac:dyDescent="0.25">
      <c r="A417" s="136" t="s">
        <v>1240</v>
      </c>
      <c r="B417" s="116" t="s">
        <v>1241</v>
      </c>
      <c r="C417" s="112" t="s">
        <v>407</v>
      </c>
      <c r="D417" s="114">
        <v>46188</v>
      </c>
      <c r="E417" s="113" t="s">
        <v>404</v>
      </c>
      <c r="F417" s="115">
        <v>101.2</v>
      </c>
      <c r="G417" s="157" t="s">
        <v>70</v>
      </c>
      <c r="H417" s="157" t="s">
        <v>658</v>
      </c>
      <c r="I417" s="157" t="s">
        <v>658</v>
      </c>
      <c r="J417" s="157" t="s">
        <v>658</v>
      </c>
      <c r="K417" s="157" t="s">
        <v>70</v>
      </c>
      <c r="L417" s="157" t="s">
        <v>70</v>
      </c>
      <c r="M417" s="137"/>
    </row>
    <row r="418" spans="1:13" x14ac:dyDescent="0.25">
      <c r="A418" s="136" t="s">
        <v>1242</v>
      </c>
      <c r="B418" s="113" t="s">
        <v>1243</v>
      </c>
      <c r="C418" s="112" t="s">
        <v>414</v>
      </c>
      <c r="D418" s="114">
        <v>46188</v>
      </c>
      <c r="E418" s="113" t="s">
        <v>404</v>
      </c>
      <c r="F418" s="115">
        <v>227.9</v>
      </c>
      <c r="G418" s="157" t="s">
        <v>70</v>
      </c>
      <c r="H418" s="157" t="s">
        <v>658</v>
      </c>
      <c r="I418" s="157" t="s">
        <v>658</v>
      </c>
      <c r="J418" s="157" t="s">
        <v>658</v>
      </c>
      <c r="K418" s="157" t="s">
        <v>70</v>
      </c>
      <c r="L418" s="157" t="s">
        <v>70</v>
      </c>
      <c r="M418" s="137"/>
    </row>
    <row r="419" spans="1:13" x14ac:dyDescent="0.25">
      <c r="A419" s="139" t="s">
        <v>1244</v>
      </c>
      <c r="B419" s="117" t="s">
        <v>1245</v>
      </c>
      <c r="C419" s="112" t="s">
        <v>427</v>
      </c>
      <c r="D419" s="114">
        <v>46203</v>
      </c>
      <c r="E419" s="113" t="s">
        <v>404</v>
      </c>
      <c r="F419" s="115">
        <v>301.38</v>
      </c>
      <c r="G419" s="157" t="s">
        <v>70</v>
      </c>
      <c r="H419" s="157" t="s">
        <v>658</v>
      </c>
      <c r="I419" s="157" t="s">
        <v>658</v>
      </c>
      <c r="J419" s="157" t="s">
        <v>658</v>
      </c>
      <c r="K419" s="157" t="s">
        <v>70</v>
      </c>
      <c r="L419" s="157" t="s">
        <v>70</v>
      </c>
      <c r="M419" s="137"/>
    </row>
    <row r="420" spans="1:13" x14ac:dyDescent="0.25">
      <c r="A420" s="136" t="s">
        <v>1246</v>
      </c>
      <c r="B420" s="116" t="s">
        <v>1247</v>
      </c>
      <c r="C420" s="112" t="s">
        <v>427</v>
      </c>
      <c r="D420" s="114">
        <v>46266</v>
      </c>
      <c r="E420" s="113" t="s">
        <v>404</v>
      </c>
      <c r="F420" s="115">
        <v>201.04</v>
      </c>
      <c r="G420" s="157" t="s">
        <v>70</v>
      </c>
      <c r="H420" s="157" t="s">
        <v>658</v>
      </c>
      <c r="I420" s="157" t="s">
        <v>658</v>
      </c>
      <c r="J420" s="157" t="s">
        <v>658</v>
      </c>
      <c r="K420" s="157" t="s">
        <v>70</v>
      </c>
      <c r="L420" s="157" t="s">
        <v>70</v>
      </c>
      <c r="M420" s="137"/>
    </row>
    <row r="421" spans="1:13" x14ac:dyDescent="0.25">
      <c r="A421" s="136" t="s">
        <v>1248</v>
      </c>
      <c r="B421" s="113" t="s">
        <v>1249</v>
      </c>
      <c r="C421" s="112" t="s">
        <v>1042</v>
      </c>
      <c r="D421" s="114">
        <v>46272</v>
      </c>
      <c r="E421" s="113" t="s">
        <v>404</v>
      </c>
      <c r="F421" s="115">
        <v>176.13</v>
      </c>
      <c r="G421" s="157" t="s">
        <v>70</v>
      </c>
      <c r="H421" s="157" t="s">
        <v>658</v>
      </c>
      <c r="I421" s="157" t="s">
        <v>658</v>
      </c>
      <c r="J421" s="157" t="s">
        <v>658</v>
      </c>
      <c r="K421" s="157" t="s">
        <v>70</v>
      </c>
      <c r="L421" s="157" t="s">
        <v>70</v>
      </c>
      <c r="M421" s="137"/>
    </row>
    <row r="422" spans="1:13" x14ac:dyDescent="0.25">
      <c r="A422" s="138" t="s">
        <v>1250</v>
      </c>
      <c r="B422" s="116" t="s">
        <v>1251</v>
      </c>
      <c r="C422" s="112" t="s">
        <v>534</v>
      </c>
      <c r="D422" s="114">
        <v>46295</v>
      </c>
      <c r="E422" s="113" t="s">
        <v>433</v>
      </c>
      <c r="F422" s="115">
        <v>70</v>
      </c>
      <c r="G422" s="157" t="s">
        <v>70</v>
      </c>
      <c r="H422" s="157" t="s">
        <v>658</v>
      </c>
      <c r="I422" s="157" t="s">
        <v>658</v>
      </c>
      <c r="J422" s="157" t="s">
        <v>658</v>
      </c>
      <c r="K422" s="157" t="s">
        <v>70</v>
      </c>
      <c r="L422" s="157" t="s">
        <v>70</v>
      </c>
      <c r="M422" s="137"/>
    </row>
    <row r="423" spans="1:13" x14ac:dyDescent="0.25">
      <c r="A423" s="136" t="s">
        <v>1252</v>
      </c>
      <c r="B423" s="113" t="s">
        <v>1253</v>
      </c>
      <c r="C423" s="112" t="s">
        <v>1254</v>
      </c>
      <c r="D423" s="114">
        <v>46357</v>
      </c>
      <c r="E423" s="113" t="s">
        <v>404</v>
      </c>
      <c r="F423" s="115">
        <v>101.41</v>
      </c>
      <c r="G423" s="157" t="s">
        <v>70</v>
      </c>
      <c r="H423" s="157" t="s">
        <v>658</v>
      </c>
      <c r="I423" s="157" t="s">
        <v>658</v>
      </c>
      <c r="J423" s="157" t="s">
        <v>658</v>
      </c>
      <c r="K423" s="157" t="s">
        <v>70</v>
      </c>
      <c r="L423" s="157" t="s">
        <v>70</v>
      </c>
      <c r="M423" s="137"/>
    </row>
    <row r="424" spans="1:13" x14ac:dyDescent="0.25">
      <c r="A424" s="136" t="s">
        <v>1255</v>
      </c>
      <c r="B424" s="113" t="s">
        <v>1256</v>
      </c>
      <c r="C424" s="112" t="s">
        <v>843</v>
      </c>
      <c r="D424" s="114">
        <v>46371</v>
      </c>
      <c r="E424" s="113" t="s">
        <v>404</v>
      </c>
      <c r="F424" s="115">
        <v>100.2</v>
      </c>
      <c r="G424" s="157" t="s">
        <v>70</v>
      </c>
      <c r="H424" s="157" t="s">
        <v>658</v>
      </c>
      <c r="I424" s="157" t="s">
        <v>658</v>
      </c>
      <c r="J424" s="157" t="s">
        <v>658</v>
      </c>
      <c r="K424" s="157" t="s">
        <v>70</v>
      </c>
      <c r="L424" s="157" t="s">
        <v>70</v>
      </c>
      <c r="M424" s="137"/>
    </row>
    <row r="425" spans="1:13" x14ac:dyDescent="0.25">
      <c r="A425" s="136" t="s">
        <v>1257</v>
      </c>
      <c r="B425" s="113" t="s">
        <v>1258</v>
      </c>
      <c r="C425" s="112" t="s">
        <v>1181</v>
      </c>
      <c r="D425" s="114">
        <v>46374</v>
      </c>
      <c r="E425" s="113" t="s">
        <v>404</v>
      </c>
      <c r="F425" s="115">
        <v>203.21</v>
      </c>
      <c r="G425" s="157" t="s">
        <v>70</v>
      </c>
      <c r="H425" s="157" t="s">
        <v>658</v>
      </c>
      <c r="I425" s="157" t="s">
        <v>658</v>
      </c>
      <c r="J425" s="157" t="s">
        <v>658</v>
      </c>
      <c r="K425" s="157" t="s">
        <v>70</v>
      </c>
      <c r="L425" s="157" t="s">
        <v>70</v>
      </c>
      <c r="M425" s="137"/>
    </row>
    <row r="426" spans="1:13" x14ac:dyDescent="0.25">
      <c r="A426" s="136" t="s">
        <v>1259</v>
      </c>
      <c r="B426" s="113" t="s">
        <v>1260</v>
      </c>
      <c r="C426" s="112" t="s">
        <v>421</v>
      </c>
      <c r="D426" s="114">
        <v>46386</v>
      </c>
      <c r="E426" s="113" t="s">
        <v>404</v>
      </c>
      <c r="F426" s="115">
        <v>201.6</v>
      </c>
      <c r="G426" s="157" t="s">
        <v>70</v>
      </c>
      <c r="H426" s="157" t="s">
        <v>658</v>
      </c>
      <c r="I426" s="157" t="s">
        <v>658</v>
      </c>
      <c r="J426" s="157" t="s">
        <v>658</v>
      </c>
      <c r="K426" s="157" t="s">
        <v>70</v>
      </c>
      <c r="L426" s="157" t="s">
        <v>70</v>
      </c>
      <c r="M426" s="137"/>
    </row>
    <row r="427" spans="1:13" x14ac:dyDescent="0.25">
      <c r="A427" s="136" t="s">
        <v>1261</v>
      </c>
      <c r="B427" s="116" t="s">
        <v>1262</v>
      </c>
      <c r="C427" s="112" t="s">
        <v>421</v>
      </c>
      <c r="D427" s="114">
        <v>46386</v>
      </c>
      <c r="E427" s="113" t="s">
        <v>433</v>
      </c>
      <c r="F427" s="115">
        <v>201.5</v>
      </c>
      <c r="G427" s="157" t="s">
        <v>70</v>
      </c>
      <c r="H427" s="157" t="s">
        <v>658</v>
      </c>
      <c r="I427" s="157" t="s">
        <v>658</v>
      </c>
      <c r="J427" s="157" t="s">
        <v>658</v>
      </c>
      <c r="K427" s="157" t="s">
        <v>70</v>
      </c>
      <c r="L427" s="157" t="s">
        <v>70</v>
      </c>
      <c r="M427" s="137"/>
    </row>
    <row r="428" spans="1:13" x14ac:dyDescent="0.25">
      <c r="A428" s="136" t="s">
        <v>1263</v>
      </c>
      <c r="B428" s="113" t="s">
        <v>1264</v>
      </c>
      <c r="C428" s="112" t="s">
        <v>1265</v>
      </c>
      <c r="D428" s="114">
        <v>46387</v>
      </c>
      <c r="E428" s="113" t="s">
        <v>433</v>
      </c>
      <c r="F428" s="115">
        <v>108.5</v>
      </c>
      <c r="G428" s="157" t="s">
        <v>70</v>
      </c>
      <c r="H428" s="157" t="s">
        <v>658</v>
      </c>
      <c r="I428" s="157" t="s">
        <v>658</v>
      </c>
      <c r="J428" s="157" t="s">
        <v>658</v>
      </c>
      <c r="K428" s="157" t="s">
        <v>70</v>
      </c>
      <c r="L428" s="157" t="s">
        <v>70</v>
      </c>
      <c r="M428" s="137"/>
    </row>
    <row r="429" spans="1:13" x14ac:dyDescent="0.25">
      <c r="A429" s="136" t="s">
        <v>1266</v>
      </c>
      <c r="B429" s="116" t="s">
        <v>1267</v>
      </c>
      <c r="C429" s="112" t="s">
        <v>1268</v>
      </c>
      <c r="D429" s="114">
        <v>46387</v>
      </c>
      <c r="E429" s="113" t="s">
        <v>404</v>
      </c>
      <c r="F429" s="115">
        <v>32.47</v>
      </c>
      <c r="G429" s="157" t="s">
        <v>70</v>
      </c>
      <c r="H429" s="157" t="s">
        <v>658</v>
      </c>
      <c r="I429" s="157" t="s">
        <v>658</v>
      </c>
      <c r="J429" s="157" t="s">
        <v>658</v>
      </c>
      <c r="K429" s="157" t="s">
        <v>70</v>
      </c>
      <c r="L429" s="157" t="s">
        <v>70</v>
      </c>
      <c r="M429" s="137"/>
    </row>
    <row r="430" spans="1:13" x14ac:dyDescent="0.25">
      <c r="A430" s="138" t="s">
        <v>1269</v>
      </c>
      <c r="B430" s="116" t="s">
        <v>1270</v>
      </c>
      <c r="C430" s="112" t="s">
        <v>1268</v>
      </c>
      <c r="D430" s="114">
        <v>46387</v>
      </c>
      <c r="E430" s="113" t="s">
        <v>433</v>
      </c>
      <c r="F430" s="115">
        <v>160.49</v>
      </c>
      <c r="G430" s="157" t="s">
        <v>70</v>
      </c>
      <c r="H430" s="157" t="s">
        <v>658</v>
      </c>
      <c r="I430" s="157" t="s">
        <v>658</v>
      </c>
      <c r="J430" s="157" t="s">
        <v>658</v>
      </c>
      <c r="K430" s="157" t="s">
        <v>70</v>
      </c>
      <c r="L430" s="157" t="s">
        <v>70</v>
      </c>
      <c r="M430" s="137"/>
    </row>
    <row r="431" spans="1:13" x14ac:dyDescent="0.25">
      <c r="A431" s="139" t="s">
        <v>1271</v>
      </c>
      <c r="B431" s="117" t="s">
        <v>1272</v>
      </c>
      <c r="C431" s="112" t="s">
        <v>427</v>
      </c>
      <c r="D431" s="114">
        <v>46387</v>
      </c>
      <c r="E431" s="113" t="s">
        <v>404</v>
      </c>
      <c r="F431" s="115">
        <v>256.33999999999997</v>
      </c>
      <c r="G431" s="157" t="s">
        <v>70</v>
      </c>
      <c r="H431" s="157" t="s">
        <v>658</v>
      </c>
      <c r="I431" s="157" t="s">
        <v>658</v>
      </c>
      <c r="J431" s="157" t="s">
        <v>658</v>
      </c>
      <c r="K431" s="157" t="s">
        <v>70</v>
      </c>
      <c r="L431" s="157" t="s">
        <v>70</v>
      </c>
      <c r="M431" s="137"/>
    </row>
    <row r="432" spans="1:13" x14ac:dyDescent="0.25">
      <c r="A432" s="136" t="s">
        <v>1273</v>
      </c>
      <c r="B432" s="113" t="s">
        <v>1274</v>
      </c>
      <c r="C432" s="112" t="s">
        <v>427</v>
      </c>
      <c r="D432" s="114">
        <v>46387</v>
      </c>
      <c r="E432" s="113" t="s">
        <v>404</v>
      </c>
      <c r="F432" s="115">
        <v>151.4</v>
      </c>
      <c r="G432" s="157" t="s">
        <v>70</v>
      </c>
      <c r="H432" s="157" t="s">
        <v>658</v>
      </c>
      <c r="I432" s="157" t="s">
        <v>658</v>
      </c>
      <c r="J432" s="157" t="s">
        <v>658</v>
      </c>
      <c r="K432" s="157" t="s">
        <v>70</v>
      </c>
      <c r="L432" s="157" t="s">
        <v>70</v>
      </c>
      <c r="M432" s="137"/>
    </row>
    <row r="433" spans="1:13" x14ac:dyDescent="0.25">
      <c r="A433" s="136" t="s">
        <v>1275</v>
      </c>
      <c r="B433" s="113" t="s">
        <v>1276</v>
      </c>
      <c r="C433" s="112" t="s">
        <v>523</v>
      </c>
      <c r="D433" s="114">
        <v>46387</v>
      </c>
      <c r="E433" s="113" t="s">
        <v>404</v>
      </c>
      <c r="F433" s="115">
        <v>202.65</v>
      </c>
      <c r="G433" s="157" t="s">
        <v>70</v>
      </c>
      <c r="H433" s="157" t="s">
        <v>658</v>
      </c>
      <c r="I433" s="157" t="s">
        <v>658</v>
      </c>
      <c r="J433" s="157" t="s">
        <v>658</v>
      </c>
      <c r="K433" s="157" t="s">
        <v>70</v>
      </c>
      <c r="L433" s="157" t="s">
        <v>70</v>
      </c>
      <c r="M433" s="137"/>
    </row>
    <row r="434" spans="1:13" x14ac:dyDescent="0.25">
      <c r="A434" s="136" t="s">
        <v>1277</v>
      </c>
      <c r="B434" s="113" t="s">
        <v>1278</v>
      </c>
      <c r="C434" s="112" t="s">
        <v>424</v>
      </c>
      <c r="D434" s="114">
        <v>46446</v>
      </c>
      <c r="E434" s="113" t="s">
        <v>404</v>
      </c>
      <c r="F434" s="115">
        <v>201.08</v>
      </c>
      <c r="G434" s="157" t="s">
        <v>70</v>
      </c>
      <c r="H434" s="157" t="s">
        <v>658</v>
      </c>
      <c r="I434" s="157" t="s">
        <v>658</v>
      </c>
      <c r="J434" s="157" t="s">
        <v>658</v>
      </c>
      <c r="K434" s="157" t="s">
        <v>70</v>
      </c>
      <c r="L434" s="157" t="s">
        <v>70</v>
      </c>
      <c r="M434" s="137"/>
    </row>
    <row r="435" spans="1:13" x14ac:dyDescent="0.25">
      <c r="A435" s="136" t="s">
        <v>1279</v>
      </c>
      <c r="B435" s="113" t="s">
        <v>1280</v>
      </c>
      <c r="C435" s="112" t="s">
        <v>1281</v>
      </c>
      <c r="D435" s="114">
        <v>46461</v>
      </c>
      <c r="E435" s="113" t="s">
        <v>404</v>
      </c>
      <c r="F435" s="115">
        <v>200.84</v>
      </c>
      <c r="G435" s="157" t="s">
        <v>70</v>
      </c>
      <c r="H435" s="157" t="s">
        <v>658</v>
      </c>
      <c r="I435" s="157" t="s">
        <v>658</v>
      </c>
      <c r="J435" s="157" t="s">
        <v>658</v>
      </c>
      <c r="K435" s="157" t="s">
        <v>70</v>
      </c>
      <c r="L435" s="157" t="s">
        <v>70</v>
      </c>
      <c r="M435" s="137"/>
    </row>
    <row r="436" spans="1:13" x14ac:dyDescent="0.25">
      <c r="A436" s="136" t="s">
        <v>1282</v>
      </c>
      <c r="B436" s="113" t="s">
        <v>1283</v>
      </c>
      <c r="C436" s="112" t="s">
        <v>443</v>
      </c>
      <c r="D436" s="114">
        <v>46490</v>
      </c>
      <c r="E436" s="113" t="s">
        <v>404</v>
      </c>
      <c r="F436" s="115">
        <v>256.58</v>
      </c>
      <c r="G436" s="157" t="s">
        <v>70</v>
      </c>
      <c r="H436" s="157" t="s">
        <v>658</v>
      </c>
      <c r="I436" s="157" t="s">
        <v>658</v>
      </c>
      <c r="J436" s="157" t="s">
        <v>658</v>
      </c>
      <c r="K436" s="157" t="s">
        <v>70</v>
      </c>
      <c r="L436" s="157" t="s">
        <v>70</v>
      </c>
      <c r="M436" s="153"/>
    </row>
    <row r="437" spans="1:13" x14ac:dyDescent="0.25">
      <c r="A437" s="136" t="s">
        <v>812</v>
      </c>
      <c r="B437" s="113" t="s">
        <v>813</v>
      </c>
      <c r="C437" s="112" t="s">
        <v>814</v>
      </c>
      <c r="D437" s="114">
        <v>46490</v>
      </c>
      <c r="E437" s="113" t="s">
        <v>404</v>
      </c>
      <c r="F437" s="115">
        <v>146</v>
      </c>
      <c r="G437" s="157" t="s">
        <v>70</v>
      </c>
      <c r="H437" s="157" t="s">
        <v>658</v>
      </c>
      <c r="I437" s="157" t="s">
        <v>658</v>
      </c>
      <c r="J437" s="157" t="s">
        <v>658</v>
      </c>
      <c r="K437" s="157" t="s">
        <v>70</v>
      </c>
      <c r="L437" s="157" t="s">
        <v>70</v>
      </c>
      <c r="M437" s="137"/>
    </row>
    <row r="438" spans="1:13" x14ac:dyDescent="0.25">
      <c r="A438" s="136" t="s">
        <v>815</v>
      </c>
      <c r="B438" s="116" t="s">
        <v>816</v>
      </c>
      <c r="C438" s="112" t="s">
        <v>814</v>
      </c>
      <c r="D438" s="114">
        <v>46490</v>
      </c>
      <c r="E438" s="113" t="s">
        <v>433</v>
      </c>
      <c r="F438" s="115">
        <v>147</v>
      </c>
      <c r="G438" s="157" t="s">
        <v>70</v>
      </c>
      <c r="H438" s="157" t="s">
        <v>658</v>
      </c>
      <c r="I438" s="157" t="s">
        <v>658</v>
      </c>
      <c r="J438" s="157" t="s">
        <v>658</v>
      </c>
      <c r="K438" s="157" t="s">
        <v>70</v>
      </c>
      <c r="L438" s="157" t="s">
        <v>70</v>
      </c>
      <c r="M438" s="137"/>
    </row>
    <row r="439" spans="1:13" x14ac:dyDescent="0.25">
      <c r="A439" s="136" t="s">
        <v>1284</v>
      </c>
      <c r="B439" s="113" t="s">
        <v>1285</v>
      </c>
      <c r="C439" s="112" t="s">
        <v>407</v>
      </c>
      <c r="D439" s="114">
        <v>46497</v>
      </c>
      <c r="E439" s="113" t="s">
        <v>404</v>
      </c>
      <c r="F439" s="115">
        <v>207.6</v>
      </c>
      <c r="G439" s="157" t="s">
        <v>70</v>
      </c>
      <c r="H439" s="157" t="s">
        <v>658</v>
      </c>
      <c r="I439" s="157" t="s">
        <v>658</v>
      </c>
      <c r="J439" s="157" t="s">
        <v>658</v>
      </c>
      <c r="K439" s="157" t="s">
        <v>70</v>
      </c>
      <c r="L439" s="157" t="s">
        <v>70</v>
      </c>
      <c r="M439" s="137"/>
    </row>
    <row r="440" spans="1:13" x14ac:dyDescent="0.25">
      <c r="A440" s="136" t="s">
        <v>1286</v>
      </c>
      <c r="B440" s="113" t="s">
        <v>1287</v>
      </c>
      <c r="C440" s="112" t="s">
        <v>430</v>
      </c>
      <c r="D440" s="114">
        <v>46517</v>
      </c>
      <c r="E440" s="113" t="s">
        <v>433</v>
      </c>
      <c r="F440" s="115">
        <v>208.7</v>
      </c>
      <c r="G440" s="157" t="s">
        <v>70</v>
      </c>
      <c r="H440" s="157" t="s">
        <v>658</v>
      </c>
      <c r="I440" s="157" t="s">
        <v>658</v>
      </c>
      <c r="J440" s="157" t="s">
        <v>658</v>
      </c>
      <c r="K440" s="157" t="s">
        <v>70</v>
      </c>
      <c r="L440" s="157" t="s">
        <v>70</v>
      </c>
      <c r="M440" s="137"/>
    </row>
    <row r="441" spans="1:13" x14ac:dyDescent="0.25">
      <c r="A441" s="136" t="s">
        <v>1288</v>
      </c>
      <c r="B441" s="116" t="s">
        <v>1289</v>
      </c>
      <c r="C441" s="112" t="s">
        <v>1290</v>
      </c>
      <c r="D441" s="114">
        <v>46541</v>
      </c>
      <c r="E441" s="113" t="s">
        <v>404</v>
      </c>
      <c r="F441" s="115">
        <v>516.55999999999995</v>
      </c>
      <c r="G441" s="157" t="s">
        <v>70</v>
      </c>
      <c r="H441" s="157" t="s">
        <v>658</v>
      </c>
      <c r="I441" s="157" t="s">
        <v>658</v>
      </c>
      <c r="J441" s="157" t="s">
        <v>658</v>
      </c>
      <c r="K441" s="157" t="s">
        <v>70</v>
      </c>
      <c r="L441" s="157" t="s">
        <v>70</v>
      </c>
      <c r="M441" s="137"/>
    </row>
    <row r="442" spans="1:13" x14ac:dyDescent="0.25">
      <c r="A442" s="136" t="s">
        <v>1291</v>
      </c>
      <c r="B442" s="113" t="s">
        <v>1292</v>
      </c>
      <c r="C442" s="112" t="s">
        <v>466</v>
      </c>
      <c r="D442" s="114">
        <v>46566</v>
      </c>
      <c r="E442" s="113" t="s">
        <v>404</v>
      </c>
      <c r="F442" s="115">
        <v>201.13</v>
      </c>
      <c r="G442" s="157" t="s">
        <v>70</v>
      </c>
      <c r="H442" s="157" t="s">
        <v>658</v>
      </c>
      <c r="I442" s="157" t="s">
        <v>658</v>
      </c>
      <c r="J442" s="157" t="s">
        <v>658</v>
      </c>
      <c r="K442" s="157" t="s">
        <v>70</v>
      </c>
      <c r="L442" s="157" t="s">
        <v>70</v>
      </c>
      <c r="M442" s="137"/>
    </row>
    <row r="443" spans="1:13" x14ac:dyDescent="0.25">
      <c r="A443" s="136" t="s">
        <v>1293</v>
      </c>
      <c r="B443" s="116" t="s">
        <v>1294</v>
      </c>
      <c r="C443" s="112" t="s">
        <v>802</v>
      </c>
      <c r="D443" s="114">
        <v>46568</v>
      </c>
      <c r="E443" s="113" t="s">
        <v>404</v>
      </c>
      <c r="F443" s="115">
        <v>204.9</v>
      </c>
      <c r="G443" s="157" t="s">
        <v>70</v>
      </c>
      <c r="H443" s="157" t="s">
        <v>658</v>
      </c>
      <c r="I443" s="157" t="s">
        <v>658</v>
      </c>
      <c r="J443" s="157" t="s">
        <v>658</v>
      </c>
      <c r="K443" s="157" t="s">
        <v>70</v>
      </c>
      <c r="L443" s="157" t="s">
        <v>70</v>
      </c>
      <c r="M443" s="137"/>
    </row>
    <row r="444" spans="1:13" x14ac:dyDescent="0.25">
      <c r="A444" s="136" t="s">
        <v>1295</v>
      </c>
      <c r="B444" s="113" t="s">
        <v>1296</v>
      </c>
      <c r="C444" s="112" t="s">
        <v>1297</v>
      </c>
      <c r="D444" s="114">
        <v>46568</v>
      </c>
      <c r="E444" s="113" t="s">
        <v>404</v>
      </c>
      <c r="F444" s="115">
        <v>261.02</v>
      </c>
      <c r="G444" s="157" t="s">
        <v>70</v>
      </c>
      <c r="H444" s="157" t="s">
        <v>658</v>
      </c>
      <c r="I444" s="157" t="s">
        <v>658</v>
      </c>
      <c r="J444" s="157" t="s">
        <v>658</v>
      </c>
      <c r="K444" s="157" t="s">
        <v>70</v>
      </c>
      <c r="L444" s="157" t="s">
        <v>70</v>
      </c>
      <c r="M444" s="137"/>
    </row>
    <row r="445" spans="1:13" x14ac:dyDescent="0.25">
      <c r="A445" s="139" t="s">
        <v>1298</v>
      </c>
      <c r="B445" s="117" t="s">
        <v>1299</v>
      </c>
      <c r="C445" s="112" t="s">
        <v>1300</v>
      </c>
      <c r="D445" s="114">
        <v>46568</v>
      </c>
      <c r="E445" s="113" t="s">
        <v>404</v>
      </c>
      <c r="F445" s="115">
        <v>305.3</v>
      </c>
      <c r="G445" s="157" t="s">
        <v>70</v>
      </c>
      <c r="H445" s="157" t="s">
        <v>658</v>
      </c>
      <c r="I445" s="157" t="s">
        <v>658</v>
      </c>
      <c r="J445" s="157" t="s">
        <v>658</v>
      </c>
      <c r="K445" s="157" t="s">
        <v>70</v>
      </c>
      <c r="L445" s="157" t="s">
        <v>70</v>
      </c>
      <c r="M445" s="137"/>
    </row>
    <row r="446" spans="1:13" x14ac:dyDescent="0.25">
      <c r="A446" s="136" t="s">
        <v>1301</v>
      </c>
      <c r="B446" s="116" t="s">
        <v>1302</v>
      </c>
      <c r="C446" s="112" t="s">
        <v>427</v>
      </c>
      <c r="D446" s="114">
        <v>46568</v>
      </c>
      <c r="E446" s="113" t="s">
        <v>404</v>
      </c>
      <c r="F446" s="115">
        <v>200.65</v>
      </c>
      <c r="G446" s="157" t="s">
        <v>70</v>
      </c>
      <c r="H446" s="157" t="s">
        <v>658</v>
      </c>
      <c r="I446" s="157" t="s">
        <v>658</v>
      </c>
      <c r="J446" s="157" t="s">
        <v>658</v>
      </c>
      <c r="K446" s="157" t="s">
        <v>70</v>
      </c>
      <c r="L446" s="157" t="s">
        <v>70</v>
      </c>
      <c r="M446" s="137"/>
    </row>
    <row r="447" spans="1:13" x14ac:dyDescent="0.25">
      <c r="A447" s="136" t="s">
        <v>1303</v>
      </c>
      <c r="B447" s="113" t="s">
        <v>1304</v>
      </c>
      <c r="C447" s="112" t="s">
        <v>516</v>
      </c>
      <c r="D447" s="114">
        <v>46569</v>
      </c>
      <c r="E447" s="113" t="s">
        <v>404</v>
      </c>
      <c r="F447" s="115">
        <v>222.81</v>
      </c>
      <c r="G447" s="157" t="s">
        <v>70</v>
      </c>
      <c r="H447" s="157" t="s">
        <v>658</v>
      </c>
      <c r="I447" s="157" t="s">
        <v>658</v>
      </c>
      <c r="J447" s="157" t="s">
        <v>658</v>
      </c>
      <c r="K447" s="157" t="s">
        <v>70</v>
      </c>
      <c r="L447" s="157" t="s">
        <v>70</v>
      </c>
      <c r="M447" s="137"/>
    </row>
    <row r="448" spans="1:13" x14ac:dyDescent="0.25">
      <c r="A448" s="138" t="s">
        <v>1305</v>
      </c>
      <c r="B448" s="116" t="s">
        <v>1306</v>
      </c>
      <c r="C448" s="112" t="s">
        <v>1307</v>
      </c>
      <c r="D448" s="114">
        <v>46569</v>
      </c>
      <c r="E448" s="113" t="s">
        <v>404</v>
      </c>
      <c r="F448" s="115">
        <v>100.65</v>
      </c>
      <c r="G448" s="157" t="s">
        <v>70</v>
      </c>
      <c r="H448" s="157" t="s">
        <v>658</v>
      </c>
      <c r="I448" s="157" t="s">
        <v>658</v>
      </c>
      <c r="J448" s="157" t="s">
        <v>658</v>
      </c>
      <c r="K448" s="157" t="s">
        <v>70</v>
      </c>
      <c r="L448" s="157" t="s">
        <v>70</v>
      </c>
      <c r="M448" s="137"/>
    </row>
    <row r="449" spans="1:13" x14ac:dyDescent="0.25">
      <c r="A449" s="136" t="s">
        <v>1308</v>
      </c>
      <c r="B449" s="113" t="s">
        <v>1309</v>
      </c>
      <c r="C449" s="112" t="s">
        <v>418</v>
      </c>
      <c r="D449" s="114">
        <v>46569</v>
      </c>
      <c r="E449" s="113" t="s">
        <v>404</v>
      </c>
      <c r="F449" s="115">
        <v>402.44</v>
      </c>
      <c r="G449" s="157" t="s">
        <v>70</v>
      </c>
      <c r="H449" s="157" t="s">
        <v>658</v>
      </c>
      <c r="I449" s="157" t="s">
        <v>658</v>
      </c>
      <c r="J449" s="157" t="s">
        <v>658</v>
      </c>
      <c r="K449" s="157" t="s">
        <v>70</v>
      </c>
      <c r="L449" s="157" t="s">
        <v>70</v>
      </c>
      <c r="M449" s="137"/>
    </row>
    <row r="450" spans="1:13" x14ac:dyDescent="0.25">
      <c r="A450" s="136" t="s">
        <v>1310</v>
      </c>
      <c r="B450" s="113" t="s">
        <v>1311</v>
      </c>
      <c r="C450" s="112" t="s">
        <v>692</v>
      </c>
      <c r="D450" s="114">
        <v>46569</v>
      </c>
      <c r="E450" s="113" t="s">
        <v>404</v>
      </c>
      <c r="F450" s="115">
        <v>201.5</v>
      </c>
      <c r="G450" s="157" t="s">
        <v>70</v>
      </c>
      <c r="H450" s="157" t="s">
        <v>658</v>
      </c>
      <c r="I450" s="157" t="s">
        <v>658</v>
      </c>
      <c r="J450" s="157" t="s">
        <v>658</v>
      </c>
      <c r="K450" s="157" t="s">
        <v>70</v>
      </c>
      <c r="L450" s="157" t="s">
        <v>70</v>
      </c>
      <c r="M450" s="137"/>
    </row>
    <row r="451" spans="1:13" x14ac:dyDescent="0.25">
      <c r="A451" s="136" t="s">
        <v>1312</v>
      </c>
      <c r="B451" s="113" t="s">
        <v>1313</v>
      </c>
      <c r="C451" s="112" t="s">
        <v>407</v>
      </c>
      <c r="D451" s="114">
        <v>46580</v>
      </c>
      <c r="E451" s="113" t="s">
        <v>433</v>
      </c>
      <c r="F451" s="115">
        <v>265.10000000000002</v>
      </c>
      <c r="G451" s="157" t="s">
        <v>70</v>
      </c>
      <c r="H451" s="157" t="s">
        <v>658</v>
      </c>
      <c r="I451" s="157" t="s">
        <v>658</v>
      </c>
      <c r="J451" s="157" t="s">
        <v>658</v>
      </c>
      <c r="K451" s="157" t="s">
        <v>70</v>
      </c>
      <c r="L451" s="157" t="s">
        <v>70</v>
      </c>
      <c r="M451" s="137"/>
    </row>
    <row r="452" spans="1:13" x14ac:dyDescent="0.25">
      <c r="A452" s="136" t="s">
        <v>1314</v>
      </c>
      <c r="B452" s="113" t="s">
        <v>1315</v>
      </c>
      <c r="C452" s="112" t="s">
        <v>762</v>
      </c>
      <c r="D452" s="114">
        <v>46595</v>
      </c>
      <c r="E452" s="113" t="s">
        <v>404</v>
      </c>
      <c r="F452" s="115">
        <v>174.08</v>
      </c>
      <c r="G452" s="157" t="s">
        <v>70</v>
      </c>
      <c r="H452" s="157" t="s">
        <v>658</v>
      </c>
      <c r="I452" s="157" t="s">
        <v>658</v>
      </c>
      <c r="J452" s="157" t="s">
        <v>658</v>
      </c>
      <c r="K452" s="157" t="s">
        <v>70</v>
      </c>
      <c r="L452" s="157" t="s">
        <v>70</v>
      </c>
      <c r="M452" s="137"/>
    </row>
    <row r="453" spans="1:13" x14ac:dyDescent="0.25">
      <c r="A453" s="136" t="s">
        <v>891</v>
      </c>
      <c r="B453" s="116" t="s">
        <v>892</v>
      </c>
      <c r="C453" s="112" t="s">
        <v>510</v>
      </c>
      <c r="D453" s="114">
        <v>46612</v>
      </c>
      <c r="E453" s="113" t="s">
        <v>404</v>
      </c>
      <c r="F453" s="115">
        <v>176.13</v>
      </c>
      <c r="G453" s="157" t="s">
        <v>70</v>
      </c>
      <c r="H453" s="157" t="s">
        <v>658</v>
      </c>
      <c r="I453" s="157" t="s">
        <v>658</v>
      </c>
      <c r="J453" s="157" t="s">
        <v>658</v>
      </c>
      <c r="K453" s="157" t="s">
        <v>70</v>
      </c>
      <c r="L453" s="157" t="s">
        <v>70</v>
      </c>
      <c r="M453" s="137"/>
    </row>
    <row r="454" spans="1:13" x14ac:dyDescent="0.25">
      <c r="A454" s="136" t="s">
        <v>1316</v>
      </c>
      <c r="B454" s="116" t="s">
        <v>1317</v>
      </c>
      <c r="C454" s="112" t="s">
        <v>811</v>
      </c>
      <c r="D454" s="114">
        <v>46630</v>
      </c>
      <c r="E454" s="113" t="s">
        <v>404</v>
      </c>
      <c r="F454" s="115">
        <v>258.83</v>
      </c>
      <c r="G454" s="157" t="s">
        <v>70</v>
      </c>
      <c r="H454" s="157" t="s">
        <v>658</v>
      </c>
      <c r="I454" s="157" t="s">
        <v>658</v>
      </c>
      <c r="J454" s="157" t="s">
        <v>658</v>
      </c>
      <c r="K454" s="157" t="s">
        <v>70</v>
      </c>
      <c r="L454" s="157" t="s">
        <v>70</v>
      </c>
      <c r="M454" s="137"/>
    </row>
    <row r="455" spans="1:13" x14ac:dyDescent="0.25">
      <c r="A455" s="138" t="s">
        <v>1318</v>
      </c>
      <c r="B455" s="116" t="s">
        <v>1319</v>
      </c>
      <c r="C455" s="112" t="s">
        <v>811</v>
      </c>
      <c r="D455" s="114">
        <v>46630</v>
      </c>
      <c r="E455" s="113" t="s">
        <v>433</v>
      </c>
      <c r="F455" s="115">
        <v>258.83</v>
      </c>
      <c r="G455" s="157" t="s">
        <v>70</v>
      </c>
      <c r="H455" s="157" t="s">
        <v>658</v>
      </c>
      <c r="I455" s="157" t="s">
        <v>658</v>
      </c>
      <c r="J455" s="157" t="s">
        <v>658</v>
      </c>
      <c r="K455" s="157" t="s">
        <v>70</v>
      </c>
      <c r="L455" s="157" t="s">
        <v>70</v>
      </c>
      <c r="M455" s="137"/>
    </row>
    <row r="456" spans="1:13" x14ac:dyDescent="0.25">
      <c r="A456" s="139" t="s">
        <v>1320</v>
      </c>
      <c r="B456" s="117" t="s">
        <v>1321</v>
      </c>
      <c r="C456" s="112" t="s">
        <v>1001</v>
      </c>
      <c r="D456" s="114">
        <v>46631</v>
      </c>
      <c r="E456" s="113" t="s">
        <v>404</v>
      </c>
      <c r="F456" s="115">
        <v>150.5</v>
      </c>
      <c r="G456" s="157" t="s">
        <v>70</v>
      </c>
      <c r="H456" s="157" t="s">
        <v>658</v>
      </c>
      <c r="I456" s="157" t="s">
        <v>658</v>
      </c>
      <c r="J456" s="157" t="s">
        <v>658</v>
      </c>
      <c r="K456" s="157" t="s">
        <v>70</v>
      </c>
      <c r="L456" s="157" t="s">
        <v>70</v>
      </c>
      <c r="M456" s="137"/>
    </row>
    <row r="457" spans="1:13" x14ac:dyDescent="0.25">
      <c r="A457" s="136" t="s">
        <v>879</v>
      </c>
      <c r="B457" s="113" t="s">
        <v>880</v>
      </c>
      <c r="C457" s="112" t="s">
        <v>824</v>
      </c>
      <c r="D457" s="114">
        <v>46643</v>
      </c>
      <c r="E457" s="113" t="s">
        <v>404</v>
      </c>
      <c r="F457" s="115">
        <v>82.97</v>
      </c>
      <c r="G457" s="157" t="s">
        <v>70</v>
      </c>
      <c r="H457" s="157" t="s">
        <v>658</v>
      </c>
      <c r="I457" s="157" t="s">
        <v>658</v>
      </c>
      <c r="J457" s="157" t="s">
        <v>658</v>
      </c>
      <c r="K457" s="157" t="s">
        <v>70</v>
      </c>
      <c r="L457" s="157" t="s">
        <v>70</v>
      </c>
      <c r="M457" s="137"/>
    </row>
    <row r="458" spans="1:13" x14ac:dyDescent="0.25">
      <c r="A458" s="136" t="s">
        <v>877</v>
      </c>
      <c r="B458" s="113" t="s">
        <v>878</v>
      </c>
      <c r="C458" s="112" t="s">
        <v>824</v>
      </c>
      <c r="D458" s="114">
        <v>46643</v>
      </c>
      <c r="E458" s="113" t="s">
        <v>433</v>
      </c>
      <c r="F458" s="115">
        <v>164.86</v>
      </c>
      <c r="G458" s="157" t="s">
        <v>70</v>
      </c>
      <c r="H458" s="157" t="s">
        <v>658</v>
      </c>
      <c r="I458" s="157" t="s">
        <v>658</v>
      </c>
      <c r="J458" s="157" t="s">
        <v>658</v>
      </c>
      <c r="K458" s="157" t="s">
        <v>70</v>
      </c>
      <c r="L458" s="157" t="s">
        <v>70</v>
      </c>
      <c r="M458" s="137"/>
    </row>
    <row r="459" spans="1:13" x14ac:dyDescent="0.25">
      <c r="A459" s="136" t="s">
        <v>887</v>
      </c>
      <c r="B459" s="113" t="s">
        <v>888</v>
      </c>
      <c r="C459" s="112" t="s">
        <v>502</v>
      </c>
      <c r="D459" s="114">
        <v>46645</v>
      </c>
      <c r="E459" s="113" t="s">
        <v>404</v>
      </c>
      <c r="F459" s="115">
        <v>135.18</v>
      </c>
      <c r="G459" s="157" t="s">
        <v>70</v>
      </c>
      <c r="H459" s="157" t="s">
        <v>658</v>
      </c>
      <c r="I459" s="157" t="s">
        <v>658</v>
      </c>
      <c r="J459" s="157" t="s">
        <v>658</v>
      </c>
      <c r="K459" s="157" t="s">
        <v>70</v>
      </c>
      <c r="L459" s="157" t="s">
        <v>70</v>
      </c>
      <c r="M459" s="137"/>
    </row>
    <row r="460" spans="1:13" x14ac:dyDescent="0.25">
      <c r="A460" s="136" t="s">
        <v>1322</v>
      </c>
      <c r="B460" s="113" t="s">
        <v>1323</v>
      </c>
      <c r="C460" s="112" t="s">
        <v>1324</v>
      </c>
      <c r="D460" s="114">
        <v>46647</v>
      </c>
      <c r="E460" s="113" t="s">
        <v>433</v>
      </c>
      <c r="F460" s="115">
        <v>101.3</v>
      </c>
      <c r="G460" s="157" t="s">
        <v>70</v>
      </c>
      <c r="H460" s="157" t="s">
        <v>658</v>
      </c>
      <c r="I460" s="157" t="s">
        <v>658</v>
      </c>
      <c r="J460" s="157" t="s">
        <v>658</v>
      </c>
      <c r="K460" s="157" t="s">
        <v>70</v>
      </c>
      <c r="L460" s="157" t="s">
        <v>70</v>
      </c>
      <c r="M460" s="137"/>
    </row>
    <row r="461" spans="1:13" x14ac:dyDescent="0.25">
      <c r="A461" s="136" t="s">
        <v>1325</v>
      </c>
      <c r="B461" s="113" t="s">
        <v>1326</v>
      </c>
      <c r="C461" s="112" t="s">
        <v>1001</v>
      </c>
      <c r="D461" s="114">
        <v>46647</v>
      </c>
      <c r="E461" s="113" t="s">
        <v>404</v>
      </c>
      <c r="F461" s="115">
        <v>102.59</v>
      </c>
      <c r="G461" s="157" t="s">
        <v>70</v>
      </c>
      <c r="H461" s="157" t="s">
        <v>658</v>
      </c>
      <c r="I461" s="157" t="s">
        <v>658</v>
      </c>
      <c r="J461" s="157" t="s">
        <v>658</v>
      </c>
      <c r="K461" s="157" t="s">
        <v>70</v>
      </c>
      <c r="L461" s="157" t="s">
        <v>70</v>
      </c>
      <c r="M461" s="137"/>
    </row>
    <row r="462" spans="1:13" x14ac:dyDescent="0.25">
      <c r="A462" s="136" t="s">
        <v>1327</v>
      </c>
      <c r="B462" s="113" t="s">
        <v>1328</v>
      </c>
      <c r="C462" s="112" t="s">
        <v>554</v>
      </c>
      <c r="D462" s="114">
        <v>46651</v>
      </c>
      <c r="E462" s="113" t="s">
        <v>404</v>
      </c>
      <c r="F462" s="115">
        <v>204.5</v>
      </c>
      <c r="G462" s="157" t="s">
        <v>70</v>
      </c>
      <c r="H462" s="157" t="s">
        <v>658</v>
      </c>
      <c r="I462" s="157" t="s">
        <v>658</v>
      </c>
      <c r="J462" s="157" t="s">
        <v>658</v>
      </c>
      <c r="K462" s="157" t="s">
        <v>70</v>
      </c>
      <c r="L462" s="157" t="s">
        <v>70</v>
      </c>
      <c r="M462" s="153"/>
    </row>
    <row r="463" spans="1:13" x14ac:dyDescent="0.25">
      <c r="A463" s="136" t="s">
        <v>1329</v>
      </c>
      <c r="B463" s="113" t="s">
        <v>1330</v>
      </c>
      <c r="C463" s="112" t="s">
        <v>762</v>
      </c>
      <c r="D463" s="114">
        <v>46653</v>
      </c>
      <c r="E463" s="113" t="s">
        <v>404</v>
      </c>
      <c r="F463" s="115">
        <v>202.56</v>
      </c>
      <c r="G463" s="157" t="s">
        <v>70</v>
      </c>
      <c r="H463" s="157" t="s">
        <v>658</v>
      </c>
      <c r="I463" s="157" t="s">
        <v>658</v>
      </c>
      <c r="J463" s="157" t="s">
        <v>658</v>
      </c>
      <c r="K463" s="157" t="s">
        <v>70</v>
      </c>
      <c r="L463" s="157" t="s">
        <v>70</v>
      </c>
      <c r="M463" s="137"/>
    </row>
    <row r="464" spans="1:13" x14ac:dyDescent="0.25">
      <c r="A464" s="136" t="s">
        <v>1331</v>
      </c>
      <c r="B464" s="116" t="s">
        <v>1332</v>
      </c>
      <c r="C464" s="112" t="s">
        <v>489</v>
      </c>
      <c r="D464" s="114">
        <v>46653</v>
      </c>
      <c r="E464" s="113" t="s">
        <v>433</v>
      </c>
      <c r="F464" s="115">
        <v>150.54</v>
      </c>
      <c r="G464" s="157" t="s">
        <v>70</v>
      </c>
      <c r="H464" s="157" t="s">
        <v>658</v>
      </c>
      <c r="I464" s="157" t="s">
        <v>658</v>
      </c>
      <c r="J464" s="157" t="s">
        <v>658</v>
      </c>
      <c r="K464" s="157" t="s">
        <v>70</v>
      </c>
      <c r="L464" s="157" t="s">
        <v>70</v>
      </c>
      <c r="M464" s="137"/>
    </row>
    <row r="465" spans="1:13" x14ac:dyDescent="0.25">
      <c r="A465" s="136" t="s">
        <v>1333</v>
      </c>
      <c r="B465" s="113" t="s">
        <v>1334</v>
      </c>
      <c r="C465" s="112" t="s">
        <v>977</v>
      </c>
      <c r="D465" s="114">
        <v>46655</v>
      </c>
      <c r="E465" s="113" t="s">
        <v>404</v>
      </c>
      <c r="F465" s="115">
        <v>306.39999999999998</v>
      </c>
      <c r="G465" s="157" t="s">
        <v>70</v>
      </c>
      <c r="H465" s="157" t="s">
        <v>658</v>
      </c>
      <c r="I465" s="157" t="s">
        <v>658</v>
      </c>
      <c r="J465" s="157" t="s">
        <v>658</v>
      </c>
      <c r="K465" s="157" t="s">
        <v>70</v>
      </c>
      <c r="L465" s="157" t="s">
        <v>70</v>
      </c>
      <c r="M465" s="137"/>
    </row>
    <row r="466" spans="1:13" x14ac:dyDescent="0.25">
      <c r="A466" s="136" t="s">
        <v>1335</v>
      </c>
      <c r="B466" s="113" t="s">
        <v>1336</v>
      </c>
      <c r="C466" s="112" t="s">
        <v>466</v>
      </c>
      <c r="D466" s="114">
        <v>46659</v>
      </c>
      <c r="E466" s="113" t="s">
        <v>404</v>
      </c>
      <c r="F466" s="115">
        <v>205.5</v>
      </c>
      <c r="G466" s="157" t="s">
        <v>70</v>
      </c>
      <c r="H466" s="157" t="s">
        <v>658</v>
      </c>
      <c r="I466" s="157" t="s">
        <v>658</v>
      </c>
      <c r="J466" s="157" t="s">
        <v>658</v>
      </c>
      <c r="K466" s="157" t="s">
        <v>70</v>
      </c>
      <c r="L466" s="157" t="s">
        <v>70</v>
      </c>
      <c r="M466" s="137"/>
    </row>
    <row r="467" spans="1:13" x14ac:dyDescent="0.25">
      <c r="A467" s="136" t="s">
        <v>1337</v>
      </c>
      <c r="B467" s="116" t="s">
        <v>1338</v>
      </c>
      <c r="C467" s="112" t="s">
        <v>507</v>
      </c>
      <c r="D467" s="114">
        <v>46661</v>
      </c>
      <c r="E467" s="113" t="s">
        <v>404</v>
      </c>
      <c r="F467" s="115">
        <v>31.23</v>
      </c>
      <c r="G467" s="157" t="s">
        <v>70</v>
      </c>
      <c r="H467" s="157" t="s">
        <v>658</v>
      </c>
      <c r="I467" s="157" t="s">
        <v>658</v>
      </c>
      <c r="J467" s="157" t="s">
        <v>658</v>
      </c>
      <c r="K467" s="157" t="s">
        <v>70</v>
      </c>
      <c r="L467" s="157" t="s">
        <v>70</v>
      </c>
      <c r="M467" s="137"/>
    </row>
    <row r="468" spans="1:13" x14ac:dyDescent="0.25">
      <c r="A468" s="136" t="s">
        <v>1339</v>
      </c>
      <c r="B468" s="116" t="s">
        <v>1340</v>
      </c>
      <c r="C468" s="112" t="s">
        <v>427</v>
      </c>
      <c r="D468" s="114">
        <v>46661</v>
      </c>
      <c r="E468" s="113" t="s">
        <v>408</v>
      </c>
      <c r="F468" s="115">
        <v>202.33</v>
      </c>
      <c r="G468" s="157" t="s">
        <v>70</v>
      </c>
      <c r="H468" s="157" t="s">
        <v>658</v>
      </c>
      <c r="I468" s="157" t="s">
        <v>658</v>
      </c>
      <c r="J468" s="157" t="s">
        <v>658</v>
      </c>
      <c r="K468" s="157" t="s">
        <v>70</v>
      </c>
      <c r="L468" s="157" t="s">
        <v>70</v>
      </c>
      <c r="M468" s="137"/>
    </row>
    <row r="469" spans="1:13" x14ac:dyDescent="0.25">
      <c r="A469" s="136" t="s">
        <v>1341</v>
      </c>
      <c r="B469" s="113" t="s">
        <v>1342</v>
      </c>
      <c r="C469" s="112" t="s">
        <v>977</v>
      </c>
      <c r="D469" s="114">
        <v>46670</v>
      </c>
      <c r="E469" s="113" t="s">
        <v>404</v>
      </c>
      <c r="F469" s="115">
        <v>200.59</v>
      </c>
      <c r="G469" s="157" t="s">
        <v>70</v>
      </c>
      <c r="H469" s="157" t="s">
        <v>658</v>
      </c>
      <c r="I469" s="157" t="s">
        <v>658</v>
      </c>
      <c r="J469" s="157" t="s">
        <v>658</v>
      </c>
      <c r="K469" s="157" t="s">
        <v>70</v>
      </c>
      <c r="L469" s="157" t="s">
        <v>70</v>
      </c>
      <c r="M469" s="137"/>
    </row>
    <row r="470" spans="1:13" x14ac:dyDescent="0.25">
      <c r="A470" s="136" t="s">
        <v>1343</v>
      </c>
      <c r="B470" s="116" t="s">
        <v>1344</v>
      </c>
      <c r="C470" s="112" t="s">
        <v>554</v>
      </c>
      <c r="D470" s="114">
        <v>46673</v>
      </c>
      <c r="E470" s="113" t="s">
        <v>404</v>
      </c>
      <c r="F470" s="115">
        <v>100.57</v>
      </c>
      <c r="G470" s="157" t="s">
        <v>70</v>
      </c>
      <c r="H470" s="157" t="s">
        <v>658</v>
      </c>
      <c r="I470" s="157" t="s">
        <v>658</v>
      </c>
      <c r="J470" s="157" t="s">
        <v>658</v>
      </c>
      <c r="K470" s="157" t="s">
        <v>70</v>
      </c>
      <c r="L470" s="157" t="s">
        <v>70</v>
      </c>
      <c r="M470" s="137"/>
    </row>
    <row r="471" spans="1:13" x14ac:dyDescent="0.25">
      <c r="A471" s="136" t="s">
        <v>1345</v>
      </c>
      <c r="B471" s="113" t="s">
        <v>1346</v>
      </c>
      <c r="C471" s="112" t="s">
        <v>977</v>
      </c>
      <c r="D471" s="114">
        <v>46689</v>
      </c>
      <c r="E471" s="113" t="s">
        <v>404</v>
      </c>
      <c r="F471" s="115">
        <v>200.86</v>
      </c>
      <c r="G471" s="157" t="s">
        <v>70</v>
      </c>
      <c r="H471" s="157" t="s">
        <v>658</v>
      </c>
      <c r="I471" s="157" t="s">
        <v>658</v>
      </c>
      <c r="J471" s="157" t="s">
        <v>658</v>
      </c>
      <c r="K471" s="157" t="s">
        <v>70</v>
      </c>
      <c r="L471" s="157" t="s">
        <v>70</v>
      </c>
      <c r="M471" s="137"/>
    </row>
    <row r="472" spans="1:13" x14ac:dyDescent="0.25">
      <c r="A472" s="139" t="s">
        <v>1347</v>
      </c>
      <c r="B472" s="117" t="s">
        <v>1348</v>
      </c>
      <c r="C472" s="112" t="s">
        <v>977</v>
      </c>
      <c r="D472" s="114">
        <v>46689</v>
      </c>
      <c r="E472" s="113" t="s">
        <v>433</v>
      </c>
      <c r="F472" s="115">
        <v>262.22000000000003</v>
      </c>
      <c r="G472" s="157" t="s">
        <v>70</v>
      </c>
      <c r="H472" s="157" t="s">
        <v>658</v>
      </c>
      <c r="I472" s="157" t="s">
        <v>658</v>
      </c>
      <c r="J472" s="157" t="s">
        <v>658</v>
      </c>
      <c r="K472" s="157" t="s">
        <v>70</v>
      </c>
      <c r="L472" s="157" t="s">
        <v>70</v>
      </c>
      <c r="M472" s="137"/>
    </row>
    <row r="473" spans="1:13" x14ac:dyDescent="0.25">
      <c r="A473" s="136" t="s">
        <v>889</v>
      </c>
      <c r="B473" s="116" t="s">
        <v>890</v>
      </c>
      <c r="C473" s="112" t="s">
        <v>411</v>
      </c>
      <c r="D473" s="114">
        <v>46703</v>
      </c>
      <c r="E473" s="113" t="s">
        <v>433</v>
      </c>
      <c r="F473" s="115">
        <v>148.16</v>
      </c>
      <c r="G473" s="157" t="s">
        <v>70</v>
      </c>
      <c r="H473" s="157" t="s">
        <v>658</v>
      </c>
      <c r="I473" s="157" t="s">
        <v>658</v>
      </c>
      <c r="J473" s="157" t="s">
        <v>658</v>
      </c>
      <c r="K473" s="157" t="s">
        <v>70</v>
      </c>
      <c r="L473" s="157" t="s">
        <v>70</v>
      </c>
      <c r="M473" s="137"/>
    </row>
    <row r="474" spans="1:13" x14ac:dyDescent="0.25">
      <c r="A474" s="136" t="s">
        <v>1349</v>
      </c>
      <c r="B474" s="113" t="s">
        <v>1350</v>
      </c>
      <c r="C474" s="112" t="s">
        <v>466</v>
      </c>
      <c r="D474" s="114">
        <v>46704</v>
      </c>
      <c r="E474" s="113" t="s">
        <v>404</v>
      </c>
      <c r="F474" s="115">
        <v>100.57</v>
      </c>
      <c r="G474" s="157" t="s">
        <v>70</v>
      </c>
      <c r="H474" s="157" t="s">
        <v>658</v>
      </c>
      <c r="I474" s="157" t="s">
        <v>658</v>
      </c>
      <c r="J474" s="157" t="s">
        <v>658</v>
      </c>
      <c r="K474" s="157" t="s">
        <v>70</v>
      </c>
      <c r="L474" s="157" t="s">
        <v>70</v>
      </c>
      <c r="M474" s="137"/>
    </row>
    <row r="475" spans="1:13" x14ac:dyDescent="0.25">
      <c r="A475" s="138" t="s">
        <v>1351</v>
      </c>
      <c r="B475" s="116" t="s">
        <v>1352</v>
      </c>
      <c r="C475" s="112" t="s">
        <v>407</v>
      </c>
      <c r="D475" s="114">
        <v>46722</v>
      </c>
      <c r="E475" s="113" t="s">
        <v>404</v>
      </c>
      <c r="F475" s="115">
        <v>411.04</v>
      </c>
      <c r="G475" s="157" t="s">
        <v>70</v>
      </c>
      <c r="H475" s="157" t="s">
        <v>658</v>
      </c>
      <c r="I475" s="157" t="s">
        <v>658</v>
      </c>
      <c r="J475" s="157" t="s">
        <v>658</v>
      </c>
      <c r="K475" s="157" t="s">
        <v>70</v>
      </c>
      <c r="L475" s="157" t="s">
        <v>70</v>
      </c>
      <c r="M475" s="137"/>
    </row>
    <row r="476" spans="1:13" x14ac:dyDescent="0.25">
      <c r="A476" s="136" t="s">
        <v>1353</v>
      </c>
      <c r="B476" s="113" t="s">
        <v>1354</v>
      </c>
      <c r="C476" s="112" t="s">
        <v>523</v>
      </c>
      <c r="D476" s="114">
        <v>46722</v>
      </c>
      <c r="E476" s="113" t="s">
        <v>404</v>
      </c>
      <c r="F476" s="115">
        <v>410.81</v>
      </c>
      <c r="G476" s="157" t="s">
        <v>70</v>
      </c>
      <c r="H476" s="157" t="s">
        <v>658</v>
      </c>
      <c r="I476" s="157" t="s">
        <v>658</v>
      </c>
      <c r="J476" s="157" t="s">
        <v>658</v>
      </c>
      <c r="K476" s="157" t="s">
        <v>70</v>
      </c>
      <c r="L476" s="157" t="s">
        <v>70</v>
      </c>
      <c r="M476" s="137"/>
    </row>
    <row r="477" spans="1:13" x14ac:dyDescent="0.25">
      <c r="A477" s="136" t="s">
        <v>1355</v>
      </c>
      <c r="B477" s="113" t="s">
        <v>1356</v>
      </c>
      <c r="C477" s="112" t="s">
        <v>1290</v>
      </c>
      <c r="D477" s="114">
        <v>46738</v>
      </c>
      <c r="E477" s="113" t="s">
        <v>404</v>
      </c>
      <c r="F477" s="115">
        <v>200.81</v>
      </c>
      <c r="G477" s="157" t="s">
        <v>70</v>
      </c>
      <c r="H477" s="157" t="s">
        <v>658</v>
      </c>
      <c r="I477" s="157" t="s">
        <v>658</v>
      </c>
      <c r="J477" s="157" t="s">
        <v>658</v>
      </c>
      <c r="K477" s="157" t="s">
        <v>70</v>
      </c>
      <c r="L477" s="157" t="s">
        <v>70</v>
      </c>
      <c r="M477" s="137"/>
    </row>
    <row r="478" spans="1:13" x14ac:dyDescent="0.25">
      <c r="A478" s="136" t="s">
        <v>1357</v>
      </c>
      <c r="B478" s="113" t="s">
        <v>1358</v>
      </c>
      <c r="C478" s="112" t="s">
        <v>947</v>
      </c>
      <c r="D478" s="114">
        <v>46751</v>
      </c>
      <c r="E478" s="113" t="s">
        <v>433</v>
      </c>
      <c r="F478" s="115">
        <v>301.2</v>
      </c>
      <c r="G478" s="157" t="s">
        <v>70</v>
      </c>
      <c r="H478" s="157" t="s">
        <v>658</v>
      </c>
      <c r="I478" s="157" t="s">
        <v>658</v>
      </c>
      <c r="J478" s="157" t="s">
        <v>658</v>
      </c>
      <c r="K478" s="157" t="s">
        <v>70</v>
      </c>
      <c r="L478" s="157" t="s">
        <v>70</v>
      </c>
      <c r="M478" s="137"/>
    </row>
    <row r="479" spans="1:13" x14ac:dyDescent="0.25">
      <c r="A479" s="136" t="s">
        <v>1359</v>
      </c>
      <c r="B479" s="113" t="s">
        <v>1360</v>
      </c>
      <c r="C479" s="112" t="s">
        <v>449</v>
      </c>
      <c r="D479" s="114">
        <v>46751</v>
      </c>
      <c r="E479" s="113" t="s">
        <v>404</v>
      </c>
      <c r="F479" s="115">
        <v>155</v>
      </c>
      <c r="G479" s="157" t="s">
        <v>70</v>
      </c>
      <c r="H479" s="157" t="s">
        <v>658</v>
      </c>
      <c r="I479" s="157" t="s">
        <v>658</v>
      </c>
      <c r="J479" s="157" t="s">
        <v>658</v>
      </c>
      <c r="K479" s="157" t="s">
        <v>70</v>
      </c>
      <c r="L479" s="157" t="s">
        <v>70</v>
      </c>
      <c r="M479" s="137"/>
    </row>
    <row r="480" spans="1:13" x14ac:dyDescent="0.25">
      <c r="A480" s="136" t="s">
        <v>1361</v>
      </c>
      <c r="B480" s="116" t="s">
        <v>1362</v>
      </c>
      <c r="C480" s="112" t="s">
        <v>583</v>
      </c>
      <c r="D480" s="114">
        <v>46752</v>
      </c>
      <c r="E480" s="113" t="s">
        <v>404</v>
      </c>
      <c r="F480" s="115">
        <v>460</v>
      </c>
      <c r="G480" s="157" t="s">
        <v>70</v>
      </c>
      <c r="H480" s="157" t="s">
        <v>658</v>
      </c>
      <c r="I480" s="157" t="s">
        <v>658</v>
      </c>
      <c r="J480" s="157" t="s">
        <v>658</v>
      </c>
      <c r="K480" s="157" t="s">
        <v>70</v>
      </c>
      <c r="L480" s="157" t="s">
        <v>70</v>
      </c>
      <c r="M480" s="137"/>
    </row>
    <row r="481" spans="1:13" x14ac:dyDescent="0.25">
      <c r="A481" s="136" t="s">
        <v>1363</v>
      </c>
      <c r="B481" s="113" t="s">
        <v>1364</v>
      </c>
      <c r="C481" s="112" t="s">
        <v>1365</v>
      </c>
      <c r="D481" s="114">
        <v>46752</v>
      </c>
      <c r="E481" s="113" t="s">
        <v>404</v>
      </c>
      <c r="F481" s="115">
        <v>150</v>
      </c>
      <c r="G481" s="157" t="s">
        <v>70</v>
      </c>
      <c r="H481" s="157" t="s">
        <v>658</v>
      </c>
      <c r="I481" s="157" t="s">
        <v>658</v>
      </c>
      <c r="J481" s="157" t="s">
        <v>658</v>
      </c>
      <c r="K481" s="157" t="s">
        <v>70</v>
      </c>
      <c r="L481" s="157" t="s">
        <v>70</v>
      </c>
      <c r="M481" s="137"/>
    </row>
    <row r="482" spans="1:13" x14ac:dyDescent="0.25">
      <c r="A482" s="136" t="s">
        <v>1366</v>
      </c>
      <c r="B482" s="116" t="s">
        <v>1367</v>
      </c>
      <c r="C482" s="112" t="s">
        <v>897</v>
      </c>
      <c r="D482" s="114">
        <v>46753</v>
      </c>
      <c r="E482" s="113" t="s">
        <v>404</v>
      </c>
      <c r="F482" s="115">
        <v>210.74</v>
      </c>
      <c r="G482" s="157" t="s">
        <v>70</v>
      </c>
      <c r="H482" s="157" t="s">
        <v>658</v>
      </c>
      <c r="I482" s="157" t="s">
        <v>658</v>
      </c>
      <c r="J482" s="157" t="s">
        <v>658</v>
      </c>
      <c r="K482" s="157" t="s">
        <v>70</v>
      </c>
      <c r="L482" s="157" t="s">
        <v>70</v>
      </c>
      <c r="M482" s="137"/>
    </row>
    <row r="483" spans="1:13" x14ac:dyDescent="0.25">
      <c r="A483" s="138" t="s">
        <v>1368</v>
      </c>
      <c r="B483" s="116" t="s">
        <v>1369</v>
      </c>
      <c r="C483" s="112" t="s">
        <v>873</v>
      </c>
      <c r="D483" s="114">
        <v>46812</v>
      </c>
      <c r="E483" s="113" t="s">
        <v>404</v>
      </c>
      <c r="F483" s="115">
        <v>50.6</v>
      </c>
      <c r="G483" s="157" t="s">
        <v>70</v>
      </c>
      <c r="H483" s="157" t="s">
        <v>658</v>
      </c>
      <c r="I483" s="157" t="s">
        <v>658</v>
      </c>
      <c r="J483" s="157" t="s">
        <v>658</v>
      </c>
      <c r="K483" s="157" t="s">
        <v>70</v>
      </c>
      <c r="L483" s="157" t="s">
        <v>70</v>
      </c>
      <c r="M483" s="137"/>
    </row>
    <row r="484" spans="1:13" x14ac:dyDescent="0.25">
      <c r="A484" s="139" t="s">
        <v>1370</v>
      </c>
      <c r="B484" s="117" t="s">
        <v>1371</v>
      </c>
      <c r="C484" s="112" t="s">
        <v>1372</v>
      </c>
      <c r="D484" s="114">
        <v>46813</v>
      </c>
      <c r="E484" s="113" t="s">
        <v>433</v>
      </c>
      <c r="F484" s="115">
        <v>188.2</v>
      </c>
      <c r="G484" s="157" t="s">
        <v>70</v>
      </c>
      <c r="H484" s="157" t="s">
        <v>658</v>
      </c>
      <c r="I484" s="157" t="s">
        <v>658</v>
      </c>
      <c r="J484" s="157" t="s">
        <v>658</v>
      </c>
      <c r="K484" s="157" t="s">
        <v>70</v>
      </c>
      <c r="L484" s="157" t="s">
        <v>70</v>
      </c>
      <c r="M484" s="137"/>
    </row>
    <row r="485" spans="1:13" x14ac:dyDescent="0.25">
      <c r="A485" s="136" t="s">
        <v>1373</v>
      </c>
      <c r="B485" s="113" t="s">
        <v>1374</v>
      </c>
      <c r="C485" s="112" t="s">
        <v>1365</v>
      </c>
      <c r="D485" s="114">
        <v>46829</v>
      </c>
      <c r="E485" s="113" t="s">
        <v>433</v>
      </c>
      <c r="F485" s="115">
        <v>121.63</v>
      </c>
      <c r="G485" s="157" t="s">
        <v>70</v>
      </c>
      <c r="H485" s="157" t="s">
        <v>658</v>
      </c>
      <c r="I485" s="157" t="s">
        <v>658</v>
      </c>
      <c r="J485" s="157" t="s">
        <v>658</v>
      </c>
      <c r="K485" s="157" t="s">
        <v>70</v>
      </c>
      <c r="L485" s="157" t="s">
        <v>70</v>
      </c>
      <c r="M485" s="137"/>
    </row>
    <row r="486" spans="1:13" x14ac:dyDescent="0.25">
      <c r="A486" s="136" t="s">
        <v>1375</v>
      </c>
      <c r="B486" s="113" t="s">
        <v>1376</v>
      </c>
      <c r="C486" s="112" t="s">
        <v>612</v>
      </c>
      <c r="D486" s="114">
        <v>46849</v>
      </c>
      <c r="E486" s="113" t="s">
        <v>404</v>
      </c>
      <c r="F486" s="115">
        <v>100.33</v>
      </c>
      <c r="G486" s="157" t="s">
        <v>70</v>
      </c>
      <c r="H486" s="157" t="s">
        <v>658</v>
      </c>
      <c r="I486" s="157" t="s">
        <v>658</v>
      </c>
      <c r="J486" s="157" t="s">
        <v>658</v>
      </c>
      <c r="K486" s="157" t="s">
        <v>70</v>
      </c>
      <c r="L486" s="157" t="s">
        <v>70</v>
      </c>
      <c r="M486" s="137"/>
    </row>
    <row r="487" spans="1:13" x14ac:dyDescent="0.25">
      <c r="A487" s="136" t="s">
        <v>1377</v>
      </c>
      <c r="B487" s="113" t="s">
        <v>1378</v>
      </c>
      <c r="C487" s="112" t="s">
        <v>1235</v>
      </c>
      <c r="D487" s="114">
        <v>46867</v>
      </c>
      <c r="E487" s="113" t="s">
        <v>404</v>
      </c>
      <c r="F487" s="115">
        <v>202.65</v>
      </c>
      <c r="G487" s="157" t="s">
        <v>70</v>
      </c>
      <c r="H487" s="157" t="s">
        <v>658</v>
      </c>
      <c r="I487" s="157" t="s">
        <v>658</v>
      </c>
      <c r="J487" s="157" t="s">
        <v>658</v>
      </c>
      <c r="K487" s="157" t="s">
        <v>70</v>
      </c>
      <c r="L487" s="157" t="s">
        <v>70</v>
      </c>
      <c r="M487" s="137"/>
    </row>
    <row r="488" spans="1:13" x14ac:dyDescent="0.25">
      <c r="A488" s="136" t="s">
        <v>1379</v>
      </c>
      <c r="B488" s="113" t="s">
        <v>1380</v>
      </c>
      <c r="C488" s="112" t="s">
        <v>1268</v>
      </c>
      <c r="D488" s="114">
        <v>46867</v>
      </c>
      <c r="E488" s="113" t="s">
        <v>404</v>
      </c>
      <c r="F488" s="115">
        <v>202.65</v>
      </c>
      <c r="G488" s="157" t="s">
        <v>70</v>
      </c>
      <c r="H488" s="157" t="s">
        <v>658</v>
      </c>
      <c r="I488" s="157" t="s">
        <v>658</v>
      </c>
      <c r="J488" s="157" t="s">
        <v>658</v>
      </c>
      <c r="K488" s="157" t="s">
        <v>70</v>
      </c>
      <c r="L488" s="157" t="s">
        <v>70</v>
      </c>
      <c r="M488" s="137"/>
    </row>
    <row r="489" spans="1:13" x14ac:dyDescent="0.25">
      <c r="A489" s="136" t="s">
        <v>1381</v>
      </c>
      <c r="B489" s="113" t="s">
        <v>1382</v>
      </c>
      <c r="C489" s="112" t="s">
        <v>977</v>
      </c>
      <c r="D489" s="114">
        <v>46905</v>
      </c>
      <c r="E489" s="113" t="s">
        <v>408</v>
      </c>
      <c r="F489" s="115">
        <v>238.3</v>
      </c>
      <c r="G489" s="157" t="s">
        <v>70</v>
      </c>
      <c r="H489" s="157" t="s">
        <v>658</v>
      </c>
      <c r="I489" s="157" t="s">
        <v>658</v>
      </c>
      <c r="J489" s="157" t="s">
        <v>658</v>
      </c>
      <c r="K489" s="157" t="s">
        <v>70</v>
      </c>
      <c r="L489" s="157" t="s">
        <v>70</v>
      </c>
      <c r="M489" s="153"/>
    </row>
    <row r="490" spans="1:13" x14ac:dyDescent="0.25">
      <c r="A490" s="136" t="s">
        <v>1383</v>
      </c>
      <c r="B490" s="113" t="s">
        <v>1384</v>
      </c>
      <c r="C490" s="112" t="s">
        <v>1385</v>
      </c>
      <c r="D490" s="114">
        <v>46905</v>
      </c>
      <c r="E490" s="113" t="s">
        <v>415</v>
      </c>
      <c r="F490" s="115">
        <v>600</v>
      </c>
      <c r="G490" s="157" t="s">
        <v>70</v>
      </c>
      <c r="H490" s="157" t="s">
        <v>658</v>
      </c>
      <c r="I490" s="157" t="s">
        <v>658</v>
      </c>
      <c r="J490" s="157" t="s">
        <v>658</v>
      </c>
      <c r="K490" s="157" t="s">
        <v>70</v>
      </c>
      <c r="L490" s="157" t="s">
        <v>70</v>
      </c>
      <c r="M490" s="137"/>
    </row>
    <row r="491" spans="1:13" x14ac:dyDescent="0.25">
      <c r="A491" s="136" t="s">
        <v>1386</v>
      </c>
      <c r="B491" s="116" t="s">
        <v>1387</v>
      </c>
      <c r="C491" s="112" t="s">
        <v>1281</v>
      </c>
      <c r="D491" s="114">
        <v>46949</v>
      </c>
      <c r="E491" s="113" t="s">
        <v>404</v>
      </c>
      <c r="F491" s="115">
        <v>245.8</v>
      </c>
      <c r="G491" s="157" t="s">
        <v>70</v>
      </c>
      <c r="H491" s="157" t="s">
        <v>658</v>
      </c>
      <c r="I491" s="157" t="s">
        <v>658</v>
      </c>
      <c r="J491" s="157" t="s">
        <v>658</v>
      </c>
      <c r="K491" s="157" t="s">
        <v>70</v>
      </c>
      <c r="L491" s="157" t="s">
        <v>70</v>
      </c>
      <c r="M491" s="137"/>
    </row>
    <row r="492" spans="1:13" x14ac:dyDescent="0.25">
      <c r="A492" s="136" t="s">
        <v>1388</v>
      </c>
      <c r="B492" s="113" t="s">
        <v>1389</v>
      </c>
      <c r="C492" s="112" t="s">
        <v>1281</v>
      </c>
      <c r="D492" s="114">
        <v>46949</v>
      </c>
      <c r="E492" s="113" t="s">
        <v>404</v>
      </c>
      <c r="F492" s="115">
        <v>245.8</v>
      </c>
      <c r="G492" s="157" t="s">
        <v>70</v>
      </c>
      <c r="H492" s="157" t="s">
        <v>658</v>
      </c>
      <c r="I492" s="157" t="s">
        <v>658</v>
      </c>
      <c r="J492" s="157" t="s">
        <v>658</v>
      </c>
      <c r="K492" s="157" t="s">
        <v>70</v>
      </c>
      <c r="L492" s="157" t="s">
        <v>70</v>
      </c>
      <c r="M492" s="137"/>
    </row>
    <row r="493" spans="1:13" x14ac:dyDescent="0.25">
      <c r="A493" s="136" t="s">
        <v>1390</v>
      </c>
      <c r="B493" s="113" t="s">
        <v>1391</v>
      </c>
      <c r="C493" s="112" t="s">
        <v>646</v>
      </c>
      <c r="D493" s="114">
        <v>47027</v>
      </c>
      <c r="E493" s="113" t="s">
        <v>404</v>
      </c>
      <c r="F493" s="115">
        <v>205.94</v>
      </c>
      <c r="G493" s="157" t="s">
        <v>70</v>
      </c>
      <c r="H493" s="157" t="s">
        <v>658</v>
      </c>
      <c r="I493" s="157" t="s">
        <v>658</v>
      </c>
      <c r="J493" s="157" t="s">
        <v>658</v>
      </c>
      <c r="K493" s="157" t="s">
        <v>70</v>
      </c>
      <c r="L493" s="157" t="s">
        <v>70</v>
      </c>
      <c r="M493" s="137"/>
    </row>
    <row r="494" spans="1:13" x14ac:dyDescent="0.25">
      <c r="A494" s="136" t="s">
        <v>1392</v>
      </c>
      <c r="B494" s="116" t="s">
        <v>1393</v>
      </c>
      <c r="C494" s="112" t="s">
        <v>1281</v>
      </c>
      <c r="D494" s="114">
        <v>47041</v>
      </c>
      <c r="E494" s="113" t="s">
        <v>404</v>
      </c>
      <c r="F494" s="115">
        <v>501.6</v>
      </c>
      <c r="G494" s="157" t="s">
        <v>70</v>
      </c>
      <c r="H494" s="157" t="s">
        <v>658</v>
      </c>
      <c r="I494" s="157" t="s">
        <v>658</v>
      </c>
      <c r="J494" s="157" t="s">
        <v>658</v>
      </c>
      <c r="K494" s="157" t="s">
        <v>70</v>
      </c>
      <c r="L494" s="157" t="s">
        <v>70</v>
      </c>
      <c r="M494" s="137"/>
    </row>
    <row r="495" spans="1:13" x14ac:dyDescent="0.25">
      <c r="A495" s="136" t="s">
        <v>928</v>
      </c>
      <c r="B495" s="116" t="s">
        <v>929</v>
      </c>
      <c r="C495" s="112" t="s">
        <v>930</v>
      </c>
      <c r="D495" s="114">
        <v>47088</v>
      </c>
      <c r="E495" s="113" t="s">
        <v>415</v>
      </c>
      <c r="F495" s="115">
        <v>1300</v>
      </c>
      <c r="G495" s="157" t="s">
        <v>70</v>
      </c>
      <c r="H495" s="157" t="s">
        <v>658</v>
      </c>
      <c r="I495" s="157" t="s">
        <v>658</v>
      </c>
      <c r="J495" s="157" t="s">
        <v>658</v>
      </c>
      <c r="K495" s="157" t="s">
        <v>70</v>
      </c>
      <c r="L495" s="157" t="s">
        <v>70</v>
      </c>
      <c r="M495" s="137"/>
    </row>
    <row r="496" spans="1:13" x14ac:dyDescent="0.25">
      <c r="A496" s="136" t="s">
        <v>1394</v>
      </c>
      <c r="B496" s="113" t="s">
        <v>1395</v>
      </c>
      <c r="C496" s="112" t="s">
        <v>418</v>
      </c>
      <c r="D496" s="114">
        <v>47209</v>
      </c>
      <c r="E496" s="113" t="s">
        <v>404</v>
      </c>
      <c r="F496" s="115">
        <v>553.65</v>
      </c>
      <c r="G496" s="157" t="s">
        <v>70</v>
      </c>
      <c r="H496" s="157" t="s">
        <v>658</v>
      </c>
      <c r="I496" s="157" t="s">
        <v>658</v>
      </c>
      <c r="J496" s="157" t="s">
        <v>658</v>
      </c>
      <c r="K496" s="157" t="s">
        <v>70</v>
      </c>
      <c r="L496" s="157" t="s">
        <v>70</v>
      </c>
      <c r="M496" s="137"/>
    </row>
    <row r="497" spans="1:13" x14ac:dyDescent="0.25">
      <c r="A497" s="136" t="s">
        <v>1396</v>
      </c>
      <c r="B497" s="116" t="s">
        <v>1397</v>
      </c>
      <c r="C497" s="112" t="s">
        <v>418</v>
      </c>
      <c r="D497" s="114">
        <v>47209</v>
      </c>
      <c r="E497" s="113" t="s">
        <v>433</v>
      </c>
      <c r="F497" s="115">
        <v>554.94000000000005</v>
      </c>
      <c r="G497" s="157" t="s">
        <v>70</v>
      </c>
      <c r="H497" s="157" t="s">
        <v>658</v>
      </c>
      <c r="I497" s="157" t="s">
        <v>658</v>
      </c>
      <c r="J497" s="157" t="s">
        <v>658</v>
      </c>
      <c r="K497" s="157" t="s">
        <v>70</v>
      </c>
      <c r="L497" s="157" t="s">
        <v>70</v>
      </c>
      <c r="M497" s="137"/>
    </row>
    <row r="498" spans="1:13" ht="15.75" thickBot="1" x14ac:dyDescent="0.3">
      <c r="A498" s="141" t="s">
        <v>1398</v>
      </c>
      <c r="B498" s="142" t="s">
        <v>1399</v>
      </c>
      <c r="C498" s="163" t="s">
        <v>802</v>
      </c>
      <c r="D498" s="143">
        <v>47422</v>
      </c>
      <c r="E498" s="142" t="s">
        <v>415</v>
      </c>
      <c r="F498" s="144">
        <v>453</v>
      </c>
      <c r="G498" s="182" t="s">
        <v>70</v>
      </c>
      <c r="H498" s="182" t="s">
        <v>658</v>
      </c>
      <c r="I498" s="182" t="s">
        <v>658</v>
      </c>
      <c r="J498" s="182" t="s">
        <v>658</v>
      </c>
      <c r="K498" s="182" t="s">
        <v>70</v>
      </c>
      <c r="L498" s="182" t="s">
        <v>70</v>
      </c>
      <c r="M498" s="146"/>
    </row>
    <row r="499" spans="1:13" x14ac:dyDescent="0.25">
      <c r="A499" s="85"/>
      <c r="B499" s="16"/>
      <c r="C499" s="16"/>
      <c r="D499" s="151"/>
      <c r="E499" s="16"/>
      <c r="F499" s="152"/>
      <c r="G499" s="121"/>
      <c r="H499" s="121"/>
      <c r="I499" s="121"/>
      <c r="J499" s="121"/>
      <c r="K499" s="121"/>
      <c r="L499" s="121"/>
      <c r="M499" s="122"/>
    </row>
    <row r="501" spans="1:13" ht="30" x14ac:dyDescent="0.25">
      <c r="A501" s="34" t="s">
        <v>1400</v>
      </c>
    </row>
    <row r="503" spans="1:13" ht="34.5" customHeight="1" thickBot="1" x14ac:dyDescent="0.3">
      <c r="A503" s="170" t="s">
        <v>391</v>
      </c>
      <c r="B503" s="171" t="s">
        <v>392</v>
      </c>
      <c r="C503" s="171" t="s">
        <v>393</v>
      </c>
      <c r="D503" s="172" t="s">
        <v>394</v>
      </c>
      <c r="E503" s="171" t="s">
        <v>395</v>
      </c>
      <c r="F503" s="173" t="s">
        <v>396</v>
      </c>
      <c r="G503" s="174" t="s">
        <v>1401</v>
      </c>
      <c r="H503" s="171" t="s">
        <v>312</v>
      </c>
      <c r="I503" s="171" t="s">
        <v>313</v>
      </c>
      <c r="J503" s="171" t="s">
        <v>314</v>
      </c>
      <c r="K503" s="171" t="s">
        <v>315</v>
      </c>
      <c r="L503" s="171" t="s">
        <v>316</v>
      </c>
      <c r="M503" s="175" t="s">
        <v>213</v>
      </c>
    </row>
    <row r="504" spans="1:13" x14ac:dyDescent="0.25">
      <c r="A504" s="176" t="s">
        <v>1402</v>
      </c>
      <c r="B504" s="177" t="s">
        <v>1403</v>
      </c>
      <c r="C504" s="177" t="s">
        <v>443</v>
      </c>
      <c r="D504" s="178">
        <v>46575</v>
      </c>
      <c r="E504" s="177" t="s">
        <v>415</v>
      </c>
      <c r="F504" s="179">
        <v>123.4</v>
      </c>
      <c r="G504" s="180" t="s">
        <v>70</v>
      </c>
      <c r="H504" s="180" t="s">
        <v>658</v>
      </c>
      <c r="I504" s="180" t="s">
        <v>658</v>
      </c>
      <c r="J504" s="180" t="s">
        <v>658</v>
      </c>
      <c r="K504" s="180" t="s">
        <v>658</v>
      </c>
      <c r="L504" s="180" t="s">
        <v>70</v>
      </c>
      <c r="M504" s="181"/>
    </row>
    <row r="505" spans="1:13" x14ac:dyDescent="0.25">
      <c r="A505" s="136" t="s">
        <v>1405</v>
      </c>
      <c r="B505" s="113" t="s">
        <v>1406</v>
      </c>
      <c r="C505" s="113" t="s">
        <v>1129</v>
      </c>
      <c r="D505" s="114">
        <v>46173</v>
      </c>
      <c r="E505" s="113" t="s">
        <v>415</v>
      </c>
      <c r="F505" s="115">
        <v>1104</v>
      </c>
      <c r="G505" s="81" t="s">
        <v>70</v>
      </c>
      <c r="H505" s="81" t="s">
        <v>658</v>
      </c>
      <c r="I505" s="81" t="s">
        <v>658</v>
      </c>
      <c r="J505" s="81" t="s">
        <v>658</v>
      </c>
      <c r="K505" s="81" t="s">
        <v>658</v>
      </c>
      <c r="L505" s="81" t="s">
        <v>70</v>
      </c>
      <c r="M505" s="137"/>
    </row>
    <row r="506" spans="1:13" x14ac:dyDescent="0.25">
      <c r="A506" s="136" t="s">
        <v>1407</v>
      </c>
      <c r="B506" s="113" t="s">
        <v>1408</v>
      </c>
      <c r="C506" s="113" t="s">
        <v>930</v>
      </c>
      <c r="D506" s="114">
        <v>46722</v>
      </c>
      <c r="E506" s="113" t="s">
        <v>415</v>
      </c>
      <c r="F506" s="115">
        <v>440</v>
      </c>
      <c r="G506" s="81" t="s">
        <v>70</v>
      </c>
      <c r="H506" s="81" t="s">
        <v>658</v>
      </c>
      <c r="I506" s="81" t="s">
        <v>658</v>
      </c>
      <c r="J506" s="81" t="s">
        <v>658</v>
      </c>
      <c r="K506" s="81" t="s">
        <v>658</v>
      </c>
      <c r="L506" s="81" t="s">
        <v>70</v>
      </c>
      <c r="M506" s="137"/>
    </row>
    <row r="507" spans="1:13" x14ac:dyDescent="0.25">
      <c r="A507" s="136" t="s">
        <v>1409</v>
      </c>
      <c r="B507" s="113" t="s">
        <v>1410</v>
      </c>
      <c r="C507" s="113" t="s">
        <v>427</v>
      </c>
      <c r="D507" s="114">
        <v>46739</v>
      </c>
      <c r="E507" s="113" t="s">
        <v>415</v>
      </c>
      <c r="F507" s="115">
        <v>311</v>
      </c>
      <c r="G507" s="81" t="s">
        <v>70</v>
      </c>
      <c r="H507" s="81" t="s">
        <v>658</v>
      </c>
      <c r="I507" s="81" t="s">
        <v>658</v>
      </c>
      <c r="J507" s="81" t="s">
        <v>658</v>
      </c>
      <c r="K507" s="81" t="s">
        <v>658</v>
      </c>
      <c r="L507" s="81" t="s">
        <v>70</v>
      </c>
      <c r="M507" s="137"/>
    </row>
    <row r="508" spans="1:13" x14ac:dyDescent="0.25">
      <c r="A508" s="136" t="s">
        <v>1411</v>
      </c>
      <c r="B508" s="113" t="s">
        <v>1412</v>
      </c>
      <c r="C508" s="113" t="s">
        <v>407</v>
      </c>
      <c r="D508" s="114">
        <v>46689</v>
      </c>
      <c r="E508" s="113" t="s">
        <v>415</v>
      </c>
      <c r="F508" s="115">
        <v>390</v>
      </c>
      <c r="G508" s="81" t="s">
        <v>70</v>
      </c>
      <c r="H508" s="81" t="s">
        <v>658</v>
      </c>
      <c r="I508" s="81" t="s">
        <v>658</v>
      </c>
      <c r="J508" s="81" t="s">
        <v>658</v>
      </c>
      <c r="K508" s="81" t="s">
        <v>658</v>
      </c>
      <c r="L508" s="81" t="s">
        <v>70</v>
      </c>
      <c r="M508" s="137"/>
    </row>
    <row r="509" spans="1:13" x14ac:dyDescent="0.25">
      <c r="A509" s="139" t="s">
        <v>1413</v>
      </c>
      <c r="B509" s="117" t="s">
        <v>1414</v>
      </c>
      <c r="C509" s="113" t="s">
        <v>930</v>
      </c>
      <c r="D509" s="114">
        <v>46784</v>
      </c>
      <c r="E509" s="113" t="s">
        <v>415</v>
      </c>
      <c r="F509" s="115">
        <v>440</v>
      </c>
      <c r="G509" s="81" t="s">
        <v>70</v>
      </c>
      <c r="H509" s="81" t="s">
        <v>658</v>
      </c>
      <c r="I509" s="81" t="s">
        <v>658</v>
      </c>
      <c r="J509" s="81" t="s">
        <v>658</v>
      </c>
      <c r="K509" s="81" t="s">
        <v>658</v>
      </c>
      <c r="L509" s="81" t="s">
        <v>70</v>
      </c>
      <c r="M509" s="137"/>
    </row>
    <row r="510" spans="1:13" x14ac:dyDescent="0.25">
      <c r="A510" s="136" t="s">
        <v>1415</v>
      </c>
      <c r="B510" s="113" t="s">
        <v>1416</v>
      </c>
      <c r="C510" s="113" t="s">
        <v>1324</v>
      </c>
      <c r="D510" s="114">
        <v>46809</v>
      </c>
      <c r="E510" s="113" t="s">
        <v>415</v>
      </c>
      <c r="F510" s="115">
        <v>570</v>
      </c>
      <c r="G510" s="81" t="s">
        <v>70</v>
      </c>
      <c r="H510" s="81" t="s">
        <v>658</v>
      </c>
      <c r="I510" s="81" t="s">
        <v>658</v>
      </c>
      <c r="J510" s="81" t="s">
        <v>658</v>
      </c>
      <c r="K510" s="81" t="s">
        <v>658</v>
      </c>
      <c r="L510" s="81" t="s">
        <v>70</v>
      </c>
      <c r="M510" s="137"/>
    </row>
    <row r="511" spans="1:13" x14ac:dyDescent="0.25">
      <c r="A511" s="136" t="s">
        <v>1417</v>
      </c>
      <c r="B511" s="113" t="s">
        <v>1418</v>
      </c>
      <c r="C511" s="113" t="s">
        <v>403</v>
      </c>
      <c r="D511" s="114">
        <v>47467</v>
      </c>
      <c r="E511" s="113" t="s">
        <v>415</v>
      </c>
      <c r="F511" s="115">
        <v>260.3</v>
      </c>
      <c r="G511" s="81" t="s">
        <v>70</v>
      </c>
      <c r="H511" s="81" t="s">
        <v>658</v>
      </c>
      <c r="I511" s="81" t="s">
        <v>658</v>
      </c>
      <c r="J511" s="81" t="s">
        <v>658</v>
      </c>
      <c r="K511" s="81" t="s">
        <v>658</v>
      </c>
      <c r="L511" s="81" t="s">
        <v>70</v>
      </c>
      <c r="M511" s="153"/>
    </row>
    <row r="512" spans="1:13" x14ac:dyDescent="0.25">
      <c r="A512" s="136" t="s">
        <v>1419</v>
      </c>
      <c r="B512" s="113" t="s">
        <v>1420</v>
      </c>
      <c r="C512" s="113" t="s">
        <v>554</v>
      </c>
      <c r="D512" s="114">
        <v>47696</v>
      </c>
      <c r="E512" s="113" t="s">
        <v>415</v>
      </c>
      <c r="F512" s="115">
        <v>452</v>
      </c>
      <c r="G512" s="81" t="s">
        <v>70</v>
      </c>
      <c r="H512" s="81" t="s">
        <v>658</v>
      </c>
      <c r="I512" s="81" t="s">
        <v>658</v>
      </c>
      <c r="J512" s="81" t="s">
        <v>658</v>
      </c>
      <c r="K512" s="81" t="s">
        <v>658</v>
      </c>
      <c r="L512" s="81" t="s">
        <v>70</v>
      </c>
      <c r="M512" s="137"/>
    </row>
    <row r="513" spans="1:13" x14ac:dyDescent="0.25">
      <c r="A513" s="136" t="s">
        <v>1421</v>
      </c>
      <c r="B513" s="113" t="s">
        <v>1422</v>
      </c>
      <c r="C513" s="113" t="s">
        <v>846</v>
      </c>
      <c r="D513" s="114">
        <v>47239</v>
      </c>
      <c r="E513" s="113" t="s">
        <v>415</v>
      </c>
      <c r="F513" s="115">
        <v>816</v>
      </c>
      <c r="G513" s="81" t="s">
        <v>70</v>
      </c>
      <c r="H513" s="81" t="s">
        <v>658</v>
      </c>
      <c r="I513" s="81" t="s">
        <v>658</v>
      </c>
      <c r="J513" s="81" t="s">
        <v>658</v>
      </c>
      <c r="K513" s="81" t="s">
        <v>658</v>
      </c>
      <c r="L513" s="81" t="s">
        <v>70</v>
      </c>
      <c r="M513" s="137"/>
    </row>
    <row r="514" spans="1:13" x14ac:dyDescent="0.25">
      <c r="A514" s="136" t="s">
        <v>1423</v>
      </c>
      <c r="B514" s="113" t="s">
        <v>1424</v>
      </c>
      <c r="C514" s="113" t="s">
        <v>977</v>
      </c>
      <c r="D514" s="114">
        <v>46569</v>
      </c>
      <c r="E514" s="113" t="s">
        <v>415</v>
      </c>
      <c r="F514" s="115">
        <v>660</v>
      </c>
      <c r="G514" s="81" t="s">
        <v>70</v>
      </c>
      <c r="H514" s="81" t="s">
        <v>658</v>
      </c>
      <c r="I514" s="81" t="s">
        <v>658</v>
      </c>
      <c r="J514" s="81" t="s">
        <v>658</v>
      </c>
      <c r="K514" s="81" t="s">
        <v>658</v>
      </c>
      <c r="L514" s="81" t="s">
        <v>70</v>
      </c>
      <c r="M514" s="137"/>
    </row>
    <row r="515" spans="1:13" ht="15.75" thickBot="1" x14ac:dyDescent="0.3">
      <c r="A515" s="141" t="s">
        <v>1425</v>
      </c>
      <c r="B515" s="142" t="s">
        <v>1426</v>
      </c>
      <c r="C515" s="142" t="s">
        <v>630</v>
      </c>
      <c r="D515" s="143">
        <v>46553</v>
      </c>
      <c r="E515" s="142" t="s">
        <v>1427</v>
      </c>
      <c r="F515" s="144">
        <v>132</v>
      </c>
      <c r="G515" s="145" t="s">
        <v>70</v>
      </c>
      <c r="H515" s="145" t="s">
        <v>658</v>
      </c>
      <c r="I515" s="145" t="s">
        <v>658</v>
      </c>
      <c r="J515" s="145" t="s">
        <v>658</v>
      </c>
      <c r="K515" s="145" t="s">
        <v>658</v>
      </c>
      <c r="L515" s="145" t="s">
        <v>70</v>
      </c>
      <c r="M515" s="146"/>
    </row>
    <row r="516" spans="1:13" x14ac:dyDescent="0.25">
      <c r="A516" s="85"/>
      <c r="B516" s="16"/>
      <c r="C516" s="16"/>
      <c r="D516" s="151"/>
      <c r="E516" s="16"/>
      <c r="F516" s="152"/>
      <c r="G516" s="121"/>
      <c r="H516" s="121"/>
      <c r="I516" s="121"/>
      <c r="J516" s="121"/>
      <c r="K516" s="121"/>
      <c r="L516" s="121"/>
      <c r="M516" s="122"/>
    </row>
    <row r="517" spans="1:13" x14ac:dyDescent="0.25">
      <c r="A517" s="85"/>
      <c r="B517" s="16"/>
      <c r="C517" s="16"/>
      <c r="D517" s="151"/>
      <c r="E517" s="16"/>
      <c r="F517" s="152"/>
      <c r="G517" s="121"/>
      <c r="H517" s="121"/>
      <c r="I517" s="121"/>
      <c r="J517" s="121"/>
      <c r="K517" s="121"/>
      <c r="L517" s="121"/>
      <c r="M517" s="122"/>
    </row>
    <row r="518" spans="1:13" x14ac:dyDescent="0.25">
      <c r="A518" s="85"/>
      <c r="B518" s="16"/>
      <c r="C518" s="16"/>
      <c r="D518" s="151"/>
      <c r="E518" s="16"/>
      <c r="F518" s="152"/>
      <c r="G518" s="121"/>
      <c r="H518" s="121"/>
      <c r="I518" s="121"/>
      <c r="J518" s="121"/>
      <c r="K518" s="121"/>
      <c r="L518" s="121"/>
      <c r="M518" s="122"/>
    </row>
    <row r="519" spans="1:13" ht="15.75" thickBot="1" x14ac:dyDescent="0.3">
      <c r="A519" s="85"/>
      <c r="B519" s="16"/>
      <c r="C519" s="16"/>
      <c r="D519" s="151"/>
      <c r="E519" s="16"/>
      <c r="F519" s="152"/>
      <c r="G519" s="121"/>
      <c r="H519" s="121"/>
      <c r="I519" s="121"/>
      <c r="J519" s="121"/>
      <c r="K519" s="121"/>
      <c r="L519" s="121"/>
      <c r="M519" s="122"/>
    </row>
    <row r="520" spans="1:13" ht="15.75" thickBot="1" x14ac:dyDescent="0.3">
      <c r="A520" s="123" t="s">
        <v>1428</v>
      </c>
    </row>
    <row r="521" spans="1:13" ht="15.75" thickBot="1" x14ac:dyDescent="0.3">
      <c r="A521" s="124" t="s">
        <v>1429</v>
      </c>
      <c r="B521" s="125" t="s">
        <v>1430</v>
      </c>
      <c r="C521" s="125" t="s">
        <v>312</v>
      </c>
      <c r="D521" s="125" t="s">
        <v>313</v>
      </c>
      <c r="E521" s="125" t="s">
        <v>314</v>
      </c>
      <c r="F521" s="125" t="s">
        <v>315</v>
      </c>
      <c r="G521" s="125" t="s">
        <v>316</v>
      </c>
      <c r="H521" s="257" t="s">
        <v>213</v>
      </c>
      <c r="I521" s="257"/>
      <c r="J521" s="257"/>
      <c r="K521" s="257"/>
      <c r="L521" s="261"/>
    </row>
    <row r="522" spans="1:13" x14ac:dyDescent="0.25">
      <c r="A522" s="194" t="s">
        <v>1431</v>
      </c>
      <c r="B522" s="195">
        <v>420</v>
      </c>
      <c r="C522" s="196" t="s">
        <v>318</v>
      </c>
      <c r="D522" s="196" t="s">
        <v>318</v>
      </c>
      <c r="E522" s="196" t="s">
        <v>318</v>
      </c>
      <c r="F522" s="196" t="s">
        <v>318</v>
      </c>
      <c r="G522" s="196" t="s">
        <v>318</v>
      </c>
      <c r="H522" s="272" t="s">
        <v>1643</v>
      </c>
      <c r="I522" s="272"/>
      <c r="J522" s="272"/>
      <c r="K522" s="272"/>
      <c r="L522" s="273"/>
    </row>
    <row r="523" spans="1:13" x14ac:dyDescent="0.25">
      <c r="A523" s="126" t="s">
        <v>1433</v>
      </c>
      <c r="B523" s="14">
        <v>420</v>
      </c>
      <c r="C523" s="127" t="s">
        <v>318</v>
      </c>
      <c r="D523" s="127" t="s">
        <v>318</v>
      </c>
      <c r="E523" s="127" t="s">
        <v>318</v>
      </c>
      <c r="F523" s="127" t="s">
        <v>318</v>
      </c>
      <c r="G523" s="127" t="s">
        <v>318</v>
      </c>
      <c r="H523" s="262" t="s">
        <v>1432</v>
      </c>
      <c r="I523" s="262"/>
      <c r="J523" s="262"/>
      <c r="K523" s="262"/>
      <c r="L523" s="263"/>
    </row>
    <row r="524" spans="1:13" x14ac:dyDescent="0.25">
      <c r="A524" s="126" t="s">
        <v>1434</v>
      </c>
      <c r="B524" s="14">
        <v>2</v>
      </c>
      <c r="C524" s="127" t="s">
        <v>318</v>
      </c>
      <c r="D524" s="127" t="s">
        <v>318</v>
      </c>
      <c r="E524" s="127" t="s">
        <v>318</v>
      </c>
      <c r="F524" s="127" t="s">
        <v>318</v>
      </c>
      <c r="G524" s="127" t="s">
        <v>318</v>
      </c>
      <c r="H524" s="274" t="s">
        <v>1432</v>
      </c>
      <c r="I524" s="262"/>
      <c r="J524" s="262"/>
      <c r="K524" s="262"/>
      <c r="L524" s="263"/>
    </row>
    <row r="525" spans="1:13" x14ac:dyDescent="0.25">
      <c r="A525" s="126" t="s">
        <v>1435</v>
      </c>
      <c r="B525" s="14">
        <v>1</v>
      </c>
      <c r="C525" s="127" t="s">
        <v>318</v>
      </c>
      <c r="D525" s="127" t="s">
        <v>318</v>
      </c>
      <c r="E525" s="127" t="s">
        <v>318</v>
      </c>
      <c r="F525" s="127" t="s">
        <v>318</v>
      </c>
      <c r="G525" s="127" t="s">
        <v>318</v>
      </c>
      <c r="H525" s="262" t="s">
        <v>1644</v>
      </c>
      <c r="I525" s="262"/>
      <c r="J525" s="262"/>
      <c r="K525" s="262"/>
      <c r="L525" s="263"/>
    </row>
    <row r="526" spans="1:13" x14ac:dyDescent="0.25">
      <c r="A526" s="126" t="s">
        <v>1437</v>
      </c>
      <c r="B526" s="14">
        <v>61</v>
      </c>
      <c r="C526" s="127" t="s">
        <v>318</v>
      </c>
      <c r="D526" s="127" t="s">
        <v>318</v>
      </c>
      <c r="E526" s="127" t="s">
        <v>318</v>
      </c>
      <c r="F526" s="127" t="s">
        <v>318</v>
      </c>
      <c r="G526" s="127" t="s">
        <v>318</v>
      </c>
      <c r="H526" s="262" t="s">
        <v>1436</v>
      </c>
      <c r="I526" s="262"/>
      <c r="J526" s="262"/>
      <c r="K526" s="262"/>
      <c r="L526" s="263"/>
    </row>
    <row r="527" spans="1:13" ht="15.75" thickBot="1" x14ac:dyDescent="0.3">
      <c r="A527" s="128" t="s">
        <v>1438</v>
      </c>
      <c r="B527" s="129">
        <v>420</v>
      </c>
      <c r="C527" s="130" t="s">
        <v>318</v>
      </c>
      <c r="D527" s="130" t="s">
        <v>318</v>
      </c>
      <c r="E527" s="130" t="s">
        <v>318</v>
      </c>
      <c r="F527" s="130" t="s">
        <v>318</v>
      </c>
      <c r="G527" s="130" t="s">
        <v>318</v>
      </c>
      <c r="H527" s="270" t="s">
        <v>1436</v>
      </c>
      <c r="I527" s="270"/>
      <c r="J527" s="270"/>
      <c r="K527" s="270"/>
      <c r="L527" s="271"/>
    </row>
    <row r="528" spans="1:13" x14ac:dyDescent="0.25">
      <c r="A528" s="14"/>
      <c r="B528" s="14"/>
      <c r="C528" s="127"/>
      <c r="D528" s="127"/>
      <c r="E528" s="127"/>
      <c r="F528" s="127"/>
      <c r="G528" s="127"/>
      <c r="H528" s="208"/>
      <c r="I528" s="208"/>
      <c r="J528" s="208"/>
      <c r="K528" s="208"/>
      <c r="L528" s="208"/>
    </row>
    <row r="529" spans="1:12" ht="15.75" thickBot="1" x14ac:dyDescent="0.3">
      <c r="G529"/>
    </row>
    <row r="530" spans="1:12" ht="15.75" thickBot="1" x14ac:dyDescent="0.3">
      <c r="A530" s="275" t="s">
        <v>1439</v>
      </c>
      <c r="B530" s="276"/>
      <c r="G530"/>
    </row>
    <row r="531" spans="1:12" ht="15.75" thickBot="1" x14ac:dyDescent="0.3">
      <c r="A531" s="236" t="s">
        <v>1429</v>
      </c>
      <c r="B531" s="234" t="s">
        <v>1430</v>
      </c>
      <c r="C531" s="234" t="s">
        <v>312</v>
      </c>
      <c r="D531" s="234" t="s">
        <v>313</v>
      </c>
      <c r="E531" s="234" t="s">
        <v>314</v>
      </c>
      <c r="F531" s="234" t="s">
        <v>315</v>
      </c>
      <c r="G531" s="235" t="s">
        <v>316</v>
      </c>
      <c r="H531" s="277" t="s">
        <v>213</v>
      </c>
      <c r="I531" s="278"/>
      <c r="J531" s="278"/>
      <c r="K531" s="278"/>
      <c r="L531" s="279"/>
    </row>
    <row r="532" spans="1:12" x14ac:dyDescent="0.25">
      <c r="A532" s="118" t="s">
        <v>1442</v>
      </c>
      <c r="B532" s="35">
        <v>217</v>
      </c>
      <c r="C532" s="35" t="s">
        <v>318</v>
      </c>
      <c r="D532" s="35" t="s">
        <v>318</v>
      </c>
      <c r="E532" s="35" t="s">
        <v>318</v>
      </c>
      <c r="F532" s="35" t="s">
        <v>318</v>
      </c>
      <c r="G532" s="35" t="s">
        <v>318</v>
      </c>
      <c r="H532" s="285" t="s">
        <v>1441</v>
      </c>
      <c r="I532" s="285"/>
      <c r="J532" s="285"/>
      <c r="K532" s="285"/>
      <c r="L532" s="286"/>
    </row>
    <row r="533" spans="1:12" x14ac:dyDescent="0.25">
      <c r="A533" s="118" t="s">
        <v>1443</v>
      </c>
      <c r="B533" s="35">
        <v>230</v>
      </c>
      <c r="C533" s="35" t="s">
        <v>318</v>
      </c>
      <c r="D533" s="35" t="s">
        <v>318</v>
      </c>
      <c r="E533" s="35" t="s">
        <v>318</v>
      </c>
      <c r="F533" s="35" t="s">
        <v>318</v>
      </c>
      <c r="G533" s="35" t="s">
        <v>318</v>
      </c>
      <c r="H533" s="287"/>
      <c r="I533" s="287"/>
      <c r="J533" s="287"/>
      <c r="K533" s="287"/>
      <c r="L533" s="288"/>
    </row>
    <row r="534" spans="1:12" x14ac:dyDescent="0.25">
      <c r="A534" s="118" t="s">
        <v>1444</v>
      </c>
      <c r="B534" s="35">
        <v>412</v>
      </c>
      <c r="C534" s="35" t="s">
        <v>318</v>
      </c>
      <c r="D534" s="35" t="s">
        <v>318</v>
      </c>
      <c r="E534" s="35" t="s">
        <v>318</v>
      </c>
      <c r="F534" s="35" t="s">
        <v>318</v>
      </c>
      <c r="G534" s="35" t="s">
        <v>318</v>
      </c>
      <c r="H534" s="287"/>
      <c r="I534" s="287"/>
      <c r="J534" s="287"/>
      <c r="K534" s="287"/>
      <c r="L534" s="288"/>
    </row>
    <row r="535" spans="1:12" x14ac:dyDescent="0.25">
      <c r="A535" s="118" t="s">
        <v>1445</v>
      </c>
      <c r="B535" s="35">
        <v>420</v>
      </c>
      <c r="C535" s="35" t="s">
        <v>318</v>
      </c>
      <c r="D535" s="35" t="s">
        <v>318</v>
      </c>
      <c r="E535" s="35" t="s">
        <v>318</v>
      </c>
      <c r="F535" s="35" t="s">
        <v>318</v>
      </c>
      <c r="G535" s="35" t="s">
        <v>318</v>
      </c>
      <c r="H535" s="287"/>
      <c r="I535" s="287"/>
      <c r="J535" s="287"/>
      <c r="K535" s="287"/>
      <c r="L535" s="288"/>
    </row>
    <row r="536" spans="1:12" x14ac:dyDescent="0.25">
      <c r="A536" s="118" t="s">
        <v>1446</v>
      </c>
      <c r="B536" s="35">
        <v>410</v>
      </c>
      <c r="F536" s="35" t="s">
        <v>318</v>
      </c>
      <c r="G536" s="35" t="s">
        <v>318</v>
      </c>
      <c r="H536" s="287"/>
      <c r="I536" s="287"/>
      <c r="J536" s="287"/>
      <c r="K536" s="287"/>
      <c r="L536" s="288"/>
    </row>
    <row r="537" spans="1:12" ht="15.75" thickBot="1" x14ac:dyDescent="0.3">
      <c r="A537" s="76" t="s">
        <v>1447</v>
      </c>
      <c r="B537" s="120">
        <v>560</v>
      </c>
      <c r="C537" s="238"/>
      <c r="D537" s="238"/>
      <c r="E537" s="238"/>
      <c r="F537" s="120" t="s">
        <v>318</v>
      </c>
      <c r="G537" s="120" t="s">
        <v>318</v>
      </c>
      <c r="H537" s="289"/>
      <c r="I537" s="289"/>
      <c r="J537" s="289"/>
      <c r="K537" s="289"/>
      <c r="L537" s="290"/>
    </row>
    <row r="538" spans="1:12" x14ac:dyDescent="0.25">
      <c r="A538"/>
      <c r="B538" s="35"/>
      <c r="F538" s="35"/>
      <c r="H538" s="237"/>
      <c r="I538" s="237"/>
      <c r="J538" s="237"/>
      <c r="K538" s="237"/>
      <c r="L538" s="237"/>
    </row>
    <row r="539" spans="1:12" ht="15.75" thickBot="1" x14ac:dyDescent="0.3"/>
    <row r="540" spans="1:12" ht="15.75" thickBot="1" x14ac:dyDescent="0.3">
      <c r="A540" s="259" t="s">
        <v>1646</v>
      </c>
      <c r="B540" s="260"/>
      <c r="C540" s="14"/>
      <c r="D540" s="14"/>
      <c r="E540" s="14"/>
      <c r="F540" s="14"/>
      <c r="G540"/>
    </row>
    <row r="541" spans="1:12" ht="15.75" thickBot="1" x14ac:dyDescent="0.3">
      <c r="A541" s="133" t="s">
        <v>1429</v>
      </c>
      <c r="B541" s="125" t="s">
        <v>1430</v>
      </c>
      <c r="C541" s="125" t="s">
        <v>312</v>
      </c>
      <c r="D541" s="125" t="s">
        <v>313</v>
      </c>
      <c r="E541" s="125" t="s">
        <v>314</v>
      </c>
      <c r="F541" s="125" t="s">
        <v>315</v>
      </c>
      <c r="G541" s="207" t="s">
        <v>316</v>
      </c>
      <c r="H541" s="256" t="s">
        <v>213</v>
      </c>
      <c r="I541" s="257"/>
      <c r="J541" s="257"/>
      <c r="K541" s="257"/>
      <c r="L541" s="261"/>
    </row>
    <row r="542" spans="1:12" ht="15.75" thickBot="1" x14ac:dyDescent="0.3">
      <c r="A542" s="239" t="s">
        <v>1440</v>
      </c>
      <c r="B542" s="240">
        <v>655</v>
      </c>
      <c r="C542" s="241"/>
      <c r="D542" s="241" t="s">
        <v>318</v>
      </c>
      <c r="E542" s="241" t="s">
        <v>318</v>
      </c>
      <c r="F542" s="241" t="s">
        <v>318</v>
      </c>
      <c r="G542" s="241" t="s">
        <v>318</v>
      </c>
      <c r="H542" s="283" t="s">
        <v>1647</v>
      </c>
      <c r="I542" s="257"/>
      <c r="J542" s="257"/>
      <c r="K542" s="257"/>
      <c r="L542" s="284"/>
    </row>
    <row r="543" spans="1:12" x14ac:dyDescent="0.25">
      <c r="A543" s="14"/>
      <c r="B543" s="14"/>
      <c r="C543" s="127"/>
      <c r="D543" s="127"/>
      <c r="E543" s="127"/>
      <c r="F543" s="127"/>
      <c r="G543" s="127"/>
      <c r="H543" s="208"/>
      <c r="I543" s="208"/>
      <c r="J543" s="208"/>
      <c r="K543" s="208"/>
      <c r="L543" s="208"/>
    </row>
    <row r="544" spans="1:12" ht="15.75" thickBot="1" x14ac:dyDescent="0.3">
      <c r="A544" s="192"/>
      <c r="B544" s="14"/>
      <c r="C544" s="14"/>
      <c r="D544" s="14"/>
      <c r="E544" s="14"/>
      <c r="F544" s="14"/>
      <c r="G544" s="85"/>
    </row>
    <row r="545" spans="1:12" ht="15.75" thickBot="1" x14ac:dyDescent="0.3">
      <c r="A545" s="131" t="s">
        <v>1449</v>
      </c>
      <c r="B545" s="132"/>
      <c r="C545" s="14"/>
      <c r="D545" s="14"/>
      <c r="E545" s="14"/>
      <c r="F545" s="14"/>
      <c r="G545"/>
    </row>
    <row r="546" spans="1:12" ht="15.75" thickBot="1" x14ac:dyDescent="0.3">
      <c r="A546" s="200" t="s">
        <v>1429</v>
      </c>
      <c r="B546" s="197" t="s">
        <v>1430</v>
      </c>
      <c r="C546" s="197" t="s">
        <v>312</v>
      </c>
      <c r="D546" s="197" t="s">
        <v>313</v>
      </c>
      <c r="E546" s="197" t="s">
        <v>314</v>
      </c>
      <c r="F546" s="197" t="s">
        <v>315</v>
      </c>
      <c r="G546" s="209" t="s">
        <v>316</v>
      </c>
      <c r="H546" s="280" t="s">
        <v>213</v>
      </c>
      <c r="I546" s="281"/>
      <c r="J546" s="281"/>
      <c r="K546" s="281"/>
      <c r="L546" s="282"/>
    </row>
    <row r="547" spans="1:12" x14ac:dyDescent="0.25">
      <c r="A547" s="194" t="s">
        <v>1450</v>
      </c>
      <c r="B547" s="195">
        <v>32</v>
      </c>
      <c r="C547" s="196" t="s">
        <v>318</v>
      </c>
      <c r="D547" s="196" t="s">
        <v>318</v>
      </c>
      <c r="E547" s="196" t="s">
        <v>318</v>
      </c>
      <c r="F547" s="196" t="s">
        <v>318</v>
      </c>
      <c r="G547" s="196" t="s">
        <v>318</v>
      </c>
      <c r="H547" s="272" t="s">
        <v>1451</v>
      </c>
      <c r="I547" s="272"/>
      <c r="J547" s="272"/>
      <c r="K547" s="272"/>
      <c r="L547" s="273"/>
    </row>
    <row r="548" spans="1:12" x14ac:dyDescent="0.25">
      <c r="A548" s="118" t="s">
        <v>1452</v>
      </c>
      <c r="B548" s="35">
        <v>20</v>
      </c>
      <c r="C548" s="127" t="s">
        <v>318</v>
      </c>
      <c r="D548" s="127" t="s">
        <v>318</v>
      </c>
      <c r="E548" s="127" t="s">
        <v>318</v>
      </c>
      <c r="F548" s="127" t="s">
        <v>318</v>
      </c>
      <c r="G548" s="127" t="s">
        <v>318</v>
      </c>
      <c r="H548" s="262" t="s">
        <v>1453</v>
      </c>
      <c r="I548" s="262"/>
      <c r="J548" s="262"/>
      <c r="K548" s="262"/>
      <c r="L548" s="263"/>
    </row>
    <row r="549" spans="1:12" x14ac:dyDescent="0.25">
      <c r="A549" s="118" t="s">
        <v>1454</v>
      </c>
      <c r="B549" s="35">
        <v>95.62</v>
      </c>
      <c r="C549" s="127" t="s">
        <v>318</v>
      </c>
      <c r="D549" s="127" t="s">
        <v>318</v>
      </c>
      <c r="E549" s="127" t="s">
        <v>318</v>
      </c>
      <c r="F549" s="127" t="s">
        <v>318</v>
      </c>
      <c r="G549" s="127" t="s">
        <v>318</v>
      </c>
      <c r="H549" s="262" t="s">
        <v>1436</v>
      </c>
      <c r="I549" s="262"/>
      <c r="J549" s="262"/>
      <c r="K549" s="262"/>
      <c r="L549" s="263"/>
    </row>
    <row r="550" spans="1:12" x14ac:dyDescent="0.25">
      <c r="A550" s="126" t="s">
        <v>1455</v>
      </c>
      <c r="B550" s="14">
        <v>50</v>
      </c>
      <c r="C550" s="127" t="s">
        <v>318</v>
      </c>
      <c r="D550" s="127" t="s">
        <v>318</v>
      </c>
      <c r="E550" s="127" t="s">
        <v>318</v>
      </c>
      <c r="F550" s="127" t="s">
        <v>318</v>
      </c>
      <c r="G550" s="127" t="s">
        <v>318</v>
      </c>
      <c r="H550" s="262" t="s">
        <v>1436</v>
      </c>
      <c r="I550" s="262"/>
      <c r="J550" s="262"/>
      <c r="K550" s="262"/>
      <c r="L550" s="263"/>
    </row>
    <row r="551" spans="1:12" x14ac:dyDescent="0.25">
      <c r="A551" s="126" t="s">
        <v>1456</v>
      </c>
      <c r="B551" s="14">
        <v>62</v>
      </c>
      <c r="C551" s="127" t="s">
        <v>318</v>
      </c>
      <c r="D551" s="127" t="s">
        <v>318</v>
      </c>
      <c r="E551" s="127" t="s">
        <v>318</v>
      </c>
      <c r="F551" s="127" t="s">
        <v>318</v>
      </c>
      <c r="G551" s="127" t="s">
        <v>318</v>
      </c>
      <c r="H551" s="262" t="s">
        <v>1453</v>
      </c>
      <c r="I551" s="262"/>
      <c r="J551" s="262"/>
      <c r="K551" s="262"/>
      <c r="L551" s="263"/>
    </row>
    <row r="552" spans="1:12" x14ac:dyDescent="0.25">
      <c r="A552" s="126" t="s">
        <v>1457</v>
      </c>
      <c r="B552" s="14">
        <v>18</v>
      </c>
      <c r="C552" s="127" t="s">
        <v>318</v>
      </c>
      <c r="D552" s="127" t="s">
        <v>318</v>
      </c>
      <c r="E552" s="127" t="s">
        <v>318</v>
      </c>
      <c r="F552" s="127" t="s">
        <v>318</v>
      </c>
      <c r="G552" s="127" t="s">
        <v>318</v>
      </c>
      <c r="H552" s="262" t="s">
        <v>1453</v>
      </c>
      <c r="I552" s="262"/>
      <c r="J552" s="262"/>
      <c r="K552" s="262"/>
      <c r="L552" s="263"/>
    </row>
    <row r="553" spans="1:12" x14ac:dyDescent="0.25">
      <c r="A553" s="126" t="s">
        <v>1458</v>
      </c>
      <c r="B553" s="14">
        <v>18</v>
      </c>
      <c r="C553" s="127" t="s">
        <v>318</v>
      </c>
      <c r="D553" s="127" t="s">
        <v>318</v>
      </c>
      <c r="E553" s="127" t="s">
        <v>318</v>
      </c>
      <c r="F553" s="127" t="s">
        <v>318</v>
      </c>
      <c r="G553" s="127" t="s">
        <v>318</v>
      </c>
      <c r="H553" s="262" t="s">
        <v>1453</v>
      </c>
      <c r="I553" s="262"/>
      <c r="J553" s="262"/>
      <c r="K553" s="262"/>
      <c r="L553" s="263"/>
    </row>
    <row r="554" spans="1:12" x14ac:dyDescent="0.25">
      <c r="A554" s="126" t="s">
        <v>1459</v>
      </c>
      <c r="B554" s="14">
        <v>38</v>
      </c>
      <c r="C554" s="127" t="s">
        <v>318</v>
      </c>
      <c r="D554" s="127" t="s">
        <v>318</v>
      </c>
      <c r="E554" s="127" t="s">
        <v>318</v>
      </c>
      <c r="F554" s="127" t="s">
        <v>318</v>
      </c>
      <c r="G554" s="127" t="s">
        <v>318</v>
      </c>
      <c r="H554" s="262" t="s">
        <v>1453</v>
      </c>
      <c r="I554" s="262"/>
      <c r="J554" s="262"/>
      <c r="K554" s="262"/>
      <c r="L554" s="263"/>
    </row>
    <row r="555" spans="1:12" x14ac:dyDescent="0.25">
      <c r="A555" s="126" t="s">
        <v>1460</v>
      </c>
      <c r="B555" s="14">
        <v>78</v>
      </c>
      <c r="C555" s="127" t="s">
        <v>318</v>
      </c>
      <c r="D555" s="127" t="s">
        <v>318</v>
      </c>
      <c r="E555" s="127" t="s">
        <v>318</v>
      </c>
      <c r="F555" s="127" t="s">
        <v>318</v>
      </c>
      <c r="G555" s="127" t="s">
        <v>318</v>
      </c>
      <c r="H555" s="262" t="s">
        <v>1453</v>
      </c>
      <c r="I555" s="262"/>
      <c r="J555" s="262"/>
      <c r="K555" s="262"/>
      <c r="L555" s="263"/>
    </row>
    <row r="556" spans="1:12" x14ac:dyDescent="0.25">
      <c r="A556" s="126" t="s">
        <v>1461</v>
      </c>
      <c r="B556" s="14">
        <v>2.73</v>
      </c>
      <c r="C556" s="127" t="s">
        <v>318</v>
      </c>
      <c r="D556" s="127" t="s">
        <v>318</v>
      </c>
      <c r="E556" s="127" t="s">
        <v>318</v>
      </c>
      <c r="F556" s="127" t="s">
        <v>318</v>
      </c>
      <c r="G556" s="127" t="s">
        <v>318</v>
      </c>
      <c r="H556" s="262" t="s">
        <v>1453</v>
      </c>
      <c r="I556" s="262"/>
      <c r="J556" s="262"/>
      <c r="K556" s="262"/>
      <c r="L556" s="263"/>
    </row>
    <row r="557" spans="1:12" x14ac:dyDescent="0.25">
      <c r="A557" s="126" t="s">
        <v>1462</v>
      </c>
      <c r="B557" s="14">
        <v>14</v>
      </c>
      <c r="C557" s="127" t="s">
        <v>318</v>
      </c>
      <c r="D557" s="127" t="s">
        <v>318</v>
      </c>
      <c r="E557" s="127" t="s">
        <v>318</v>
      </c>
      <c r="F557" s="127" t="s">
        <v>318</v>
      </c>
      <c r="G557" s="127" t="s">
        <v>318</v>
      </c>
      <c r="H557" s="262" t="s">
        <v>1453</v>
      </c>
      <c r="I557" s="262"/>
      <c r="J557" s="262"/>
      <c r="K557" s="262"/>
      <c r="L557" s="263"/>
    </row>
    <row r="558" spans="1:12" x14ac:dyDescent="0.25">
      <c r="A558" s="126" t="s">
        <v>1463</v>
      </c>
      <c r="B558" s="14">
        <v>17</v>
      </c>
      <c r="C558" s="127" t="s">
        <v>318</v>
      </c>
      <c r="D558" s="127" t="s">
        <v>318</v>
      </c>
      <c r="E558" s="127" t="s">
        <v>318</v>
      </c>
      <c r="F558" s="127" t="s">
        <v>318</v>
      </c>
      <c r="G558" s="127" t="s">
        <v>318</v>
      </c>
      <c r="H558" s="262" t="s">
        <v>1453</v>
      </c>
      <c r="I558" s="262"/>
      <c r="J558" s="262"/>
      <c r="K558" s="262"/>
      <c r="L558" s="263"/>
    </row>
    <row r="559" spans="1:12" x14ac:dyDescent="0.25">
      <c r="A559" s="118" t="s">
        <v>1464</v>
      </c>
      <c r="B559" s="14">
        <v>16</v>
      </c>
      <c r="C559" s="127" t="s">
        <v>318</v>
      </c>
      <c r="D559" s="127" t="s">
        <v>318</v>
      </c>
      <c r="E559" s="127" t="s">
        <v>318</v>
      </c>
      <c r="F559" s="127" t="s">
        <v>318</v>
      </c>
      <c r="G559" s="127" t="s">
        <v>318</v>
      </c>
      <c r="H559" s="262" t="s">
        <v>1453</v>
      </c>
      <c r="I559" s="262"/>
      <c r="J559" s="262"/>
      <c r="K559" s="262"/>
      <c r="L559" s="263"/>
    </row>
    <row r="560" spans="1:12" ht="15.75" thickBot="1" x14ac:dyDescent="0.3">
      <c r="A560" s="76" t="s">
        <v>1465</v>
      </c>
      <c r="B560" s="129">
        <v>4</v>
      </c>
      <c r="C560" s="130" t="s">
        <v>318</v>
      </c>
      <c r="D560" s="130" t="s">
        <v>318</v>
      </c>
      <c r="E560" s="130" t="s">
        <v>318</v>
      </c>
      <c r="F560" s="130" t="s">
        <v>318</v>
      </c>
      <c r="G560" s="130" t="s">
        <v>318</v>
      </c>
      <c r="H560" s="270" t="s">
        <v>1436</v>
      </c>
      <c r="I560" s="270"/>
      <c r="J560" s="270"/>
      <c r="K560" s="270"/>
      <c r="L560" s="271"/>
    </row>
    <row r="561" spans="1:12" x14ac:dyDescent="0.25">
      <c r="A561" s="14"/>
      <c r="B561" s="14"/>
      <c r="C561" s="127"/>
      <c r="D561" s="127"/>
      <c r="E561" s="127"/>
      <c r="F561" s="127"/>
      <c r="G561" s="127"/>
      <c r="H561" s="208"/>
      <c r="I561" s="208"/>
      <c r="J561" s="208"/>
      <c r="K561" s="208"/>
      <c r="L561" s="208"/>
    </row>
    <row r="562" spans="1:12" ht="15.75" thickBot="1" x14ac:dyDescent="0.3">
      <c r="G562"/>
    </row>
    <row r="563" spans="1:12" ht="15.75" thickBot="1" x14ac:dyDescent="0.3">
      <c r="A563" s="259" t="s">
        <v>1466</v>
      </c>
      <c r="B563" s="260"/>
      <c r="C563" s="14"/>
      <c r="D563" s="14"/>
      <c r="E563" s="14"/>
      <c r="F563" s="14"/>
      <c r="G563"/>
    </row>
    <row r="564" spans="1:12" ht="15.75" thickBot="1" x14ac:dyDescent="0.3">
      <c r="A564" s="133" t="s">
        <v>1429</v>
      </c>
      <c r="B564" s="125" t="s">
        <v>1430</v>
      </c>
      <c r="C564" s="125" t="s">
        <v>312</v>
      </c>
      <c r="D564" s="125" t="s">
        <v>313</v>
      </c>
      <c r="E564" s="125" t="s">
        <v>314</v>
      </c>
      <c r="F564" s="125" t="s">
        <v>315</v>
      </c>
      <c r="G564" s="207" t="s">
        <v>316</v>
      </c>
      <c r="H564" s="256" t="s">
        <v>213</v>
      </c>
      <c r="I564" s="257"/>
      <c r="J564" s="257"/>
      <c r="K564" s="257"/>
      <c r="L564" s="261"/>
    </row>
    <row r="565" spans="1:12" x14ac:dyDescent="0.25">
      <c r="A565" s="126" t="s">
        <v>1467</v>
      </c>
      <c r="B565" s="14">
        <v>17.5</v>
      </c>
      <c r="C565" s="14"/>
      <c r="D565" s="14" t="s">
        <v>318</v>
      </c>
      <c r="E565" s="14"/>
      <c r="F565" s="14"/>
      <c r="G565" s="14"/>
      <c r="H565" s="262" t="s">
        <v>1453</v>
      </c>
      <c r="I565" s="262"/>
      <c r="J565" s="262"/>
      <c r="K565" s="262"/>
      <c r="L565" s="263"/>
    </row>
    <row r="566" spans="1:12" x14ac:dyDescent="0.25">
      <c r="A566" s="126" t="s">
        <v>1468</v>
      </c>
      <c r="B566" s="14">
        <v>57</v>
      </c>
      <c r="C566" s="14"/>
      <c r="D566" s="14" t="s">
        <v>318</v>
      </c>
      <c r="E566" s="14"/>
      <c r="F566" s="14"/>
      <c r="G566" s="14"/>
      <c r="H566" s="262" t="s">
        <v>1453</v>
      </c>
      <c r="I566" s="262"/>
      <c r="J566" s="262"/>
      <c r="K566" s="262"/>
      <c r="L566" s="263"/>
    </row>
    <row r="567" spans="1:12" x14ac:dyDescent="0.25">
      <c r="A567" s="126" t="s">
        <v>1469</v>
      </c>
      <c r="B567" s="14">
        <v>61</v>
      </c>
      <c r="C567" s="14"/>
      <c r="D567" s="14" t="s">
        <v>318</v>
      </c>
      <c r="E567" s="14"/>
      <c r="F567" s="14"/>
      <c r="G567" s="14"/>
      <c r="H567" s="262" t="s">
        <v>1453</v>
      </c>
      <c r="I567" s="262"/>
      <c r="J567" s="262"/>
      <c r="K567" s="262"/>
      <c r="L567" s="263"/>
    </row>
    <row r="568" spans="1:12" ht="15.75" thickBot="1" x14ac:dyDescent="0.3">
      <c r="A568" s="128" t="s">
        <v>1470</v>
      </c>
      <c r="B568" s="129">
        <v>100</v>
      </c>
      <c r="C568" s="129" t="s">
        <v>318</v>
      </c>
      <c r="D568" s="129" t="s">
        <v>318</v>
      </c>
      <c r="E568" s="129" t="s">
        <v>318</v>
      </c>
      <c r="F568" s="129"/>
      <c r="G568" s="129"/>
      <c r="H568" s="270" t="s">
        <v>1471</v>
      </c>
      <c r="I568" s="270"/>
      <c r="J568" s="270"/>
      <c r="K568" s="270"/>
      <c r="L568" s="271"/>
    </row>
    <row r="569" spans="1:12" x14ac:dyDescent="0.25">
      <c r="B569" s="35"/>
      <c r="D569" s="134"/>
      <c r="G569"/>
      <c r="H569" s="208"/>
      <c r="I569" s="208"/>
      <c r="J569" s="208"/>
      <c r="K569" s="208"/>
      <c r="L569" s="208"/>
    </row>
    <row r="570" spans="1:12" ht="15.75" thickBot="1" x14ac:dyDescent="0.3">
      <c r="G570"/>
    </row>
    <row r="571" spans="1:12" ht="15.75" thickBot="1" x14ac:dyDescent="0.3">
      <c r="A571" s="186" t="s">
        <v>1472</v>
      </c>
      <c r="B571" s="187"/>
      <c r="C571" s="14"/>
      <c r="D571" s="14"/>
      <c r="E571" s="14"/>
      <c r="F571" s="14"/>
      <c r="G571"/>
    </row>
    <row r="572" spans="1:12" ht="15.75" thickBot="1" x14ac:dyDescent="0.3">
      <c r="A572" s="233" t="s">
        <v>1429</v>
      </c>
      <c r="B572" s="234" t="s">
        <v>1430</v>
      </c>
      <c r="C572" s="234" t="s">
        <v>312</v>
      </c>
      <c r="D572" s="234" t="s">
        <v>313</v>
      </c>
      <c r="E572" s="234" t="s">
        <v>314</v>
      </c>
      <c r="F572" s="234" t="s">
        <v>315</v>
      </c>
      <c r="G572" s="235" t="s">
        <v>316</v>
      </c>
      <c r="H572" s="277" t="s">
        <v>213</v>
      </c>
      <c r="I572" s="278"/>
      <c r="J572" s="278"/>
      <c r="K572" s="278"/>
      <c r="L572" s="279"/>
    </row>
    <row r="573" spans="1:12" x14ac:dyDescent="0.25">
      <c r="A573" s="126" t="s">
        <v>1473</v>
      </c>
      <c r="B573" s="14">
        <v>292</v>
      </c>
      <c r="C573" s="14" t="s">
        <v>318</v>
      </c>
      <c r="D573" s="14" t="s">
        <v>318</v>
      </c>
      <c r="E573" s="14" t="s">
        <v>318</v>
      </c>
      <c r="F573" s="14" t="s">
        <v>318</v>
      </c>
      <c r="G573" s="14" t="s">
        <v>318</v>
      </c>
      <c r="H573" s="262" t="s">
        <v>1474</v>
      </c>
      <c r="I573" s="262"/>
      <c r="J573" s="262"/>
      <c r="K573" s="262"/>
      <c r="L573" s="263"/>
    </row>
    <row r="574" spans="1:12" x14ac:dyDescent="0.25">
      <c r="A574" s="126" t="s">
        <v>1475</v>
      </c>
      <c r="B574" s="14">
        <v>568</v>
      </c>
      <c r="C574" s="14" t="s">
        <v>318</v>
      </c>
      <c r="D574" s="14" t="s">
        <v>318</v>
      </c>
      <c r="E574" s="14" t="s">
        <v>318</v>
      </c>
      <c r="F574" s="14" t="s">
        <v>318</v>
      </c>
      <c r="G574" s="14" t="s">
        <v>318</v>
      </c>
      <c r="H574" s="262" t="s">
        <v>1432</v>
      </c>
      <c r="I574" s="262"/>
      <c r="J574" s="262"/>
      <c r="K574" s="262"/>
      <c r="L574" s="263"/>
    </row>
    <row r="575" spans="1:12" x14ac:dyDescent="0.25">
      <c r="A575" s="126" t="s">
        <v>1476</v>
      </c>
      <c r="B575" s="14">
        <v>71</v>
      </c>
      <c r="C575" s="14" t="s">
        <v>318</v>
      </c>
      <c r="D575" s="14" t="s">
        <v>318</v>
      </c>
      <c r="E575" s="14" t="s">
        <v>318</v>
      </c>
      <c r="F575" s="14" t="s">
        <v>318</v>
      </c>
      <c r="G575" s="14" t="s">
        <v>318</v>
      </c>
      <c r="H575" s="262" t="s">
        <v>1432</v>
      </c>
      <c r="I575" s="262"/>
      <c r="J575" s="262"/>
      <c r="K575" s="262"/>
      <c r="L575" s="263"/>
    </row>
    <row r="576" spans="1:12" x14ac:dyDescent="0.25">
      <c r="A576" s="126" t="s">
        <v>1477</v>
      </c>
      <c r="B576" s="14">
        <v>145</v>
      </c>
      <c r="C576" s="14" t="s">
        <v>318</v>
      </c>
      <c r="D576" s="14" t="s">
        <v>318</v>
      </c>
      <c r="E576" s="14" t="s">
        <v>318</v>
      </c>
      <c r="F576" s="14" t="s">
        <v>318</v>
      </c>
      <c r="G576" s="14" t="s">
        <v>318</v>
      </c>
      <c r="H576" s="262" t="s">
        <v>1432</v>
      </c>
      <c r="I576" s="262"/>
      <c r="J576" s="262"/>
      <c r="K576" s="262"/>
      <c r="L576" s="263"/>
    </row>
    <row r="577" spans="1:12" x14ac:dyDescent="0.25">
      <c r="A577" s="118" t="s">
        <v>1478</v>
      </c>
      <c r="B577" s="14">
        <v>145</v>
      </c>
      <c r="C577" s="14" t="s">
        <v>318</v>
      </c>
      <c r="D577" s="14" t="s">
        <v>318</v>
      </c>
      <c r="E577" s="14" t="s">
        <v>318</v>
      </c>
      <c r="F577" s="14" t="s">
        <v>318</v>
      </c>
      <c r="G577" s="14" t="s">
        <v>318</v>
      </c>
      <c r="H577" s="262" t="s">
        <v>1432</v>
      </c>
      <c r="I577" s="262"/>
      <c r="J577" s="262"/>
      <c r="K577" s="262"/>
      <c r="L577" s="263"/>
    </row>
    <row r="578" spans="1:12" ht="15.75" thickBot="1" x14ac:dyDescent="0.3">
      <c r="A578" s="128" t="s">
        <v>1479</v>
      </c>
      <c r="B578" s="129">
        <v>75</v>
      </c>
      <c r="C578" s="129" t="s">
        <v>318</v>
      </c>
      <c r="D578" s="129" t="s">
        <v>318</v>
      </c>
      <c r="E578" s="129" t="s">
        <v>318</v>
      </c>
      <c r="F578" s="129" t="s">
        <v>318</v>
      </c>
      <c r="G578" s="129" t="s">
        <v>318</v>
      </c>
      <c r="H578" s="270" t="s">
        <v>1432</v>
      </c>
      <c r="I578" s="270"/>
      <c r="J578" s="270"/>
      <c r="K578" s="270"/>
      <c r="L578" s="271"/>
    </row>
    <row r="579" spans="1:12" x14ac:dyDescent="0.25">
      <c r="B579" s="35"/>
      <c r="D579" s="134"/>
      <c r="G579"/>
      <c r="H579" s="208"/>
      <c r="I579" s="208"/>
      <c r="J579" s="208"/>
      <c r="K579" s="208"/>
      <c r="L579" s="208"/>
    </row>
    <row r="580" spans="1:12" ht="15.75" thickBot="1" x14ac:dyDescent="0.3">
      <c r="B580" s="120"/>
      <c r="C580" s="127"/>
      <c r="D580" s="127"/>
      <c r="E580" s="127"/>
      <c r="F580" s="127"/>
      <c r="G580" s="127"/>
      <c r="H580" s="208"/>
      <c r="I580" s="208"/>
      <c r="J580" s="208"/>
      <c r="K580" s="208"/>
      <c r="L580" s="208"/>
    </row>
    <row r="581" spans="1:12" ht="15.75" thickBot="1" x14ac:dyDescent="0.3">
      <c r="A581" s="291" t="s">
        <v>1480</v>
      </c>
      <c r="B581" s="292"/>
      <c r="C581" s="14"/>
      <c r="D581" s="14"/>
      <c r="E581" s="14"/>
      <c r="F581" s="14"/>
      <c r="G581"/>
    </row>
    <row r="582" spans="1:12" ht="15.75" thickBot="1" x14ac:dyDescent="0.3">
      <c r="A582" s="184" t="s">
        <v>1429</v>
      </c>
      <c r="B582" s="185" t="s">
        <v>1430</v>
      </c>
      <c r="C582" s="185" t="s">
        <v>312</v>
      </c>
      <c r="D582" s="185" t="s">
        <v>313</v>
      </c>
      <c r="E582" s="185" t="s">
        <v>314</v>
      </c>
      <c r="F582" s="185" t="s">
        <v>315</v>
      </c>
      <c r="G582" s="185" t="s">
        <v>316</v>
      </c>
      <c r="H582" s="293" t="s">
        <v>213</v>
      </c>
      <c r="I582" s="293"/>
      <c r="J582" s="293"/>
      <c r="K582" s="293"/>
      <c r="L582" s="294"/>
    </row>
    <row r="583" spans="1:12" x14ac:dyDescent="0.25">
      <c r="A583" s="198" t="s">
        <v>1481</v>
      </c>
      <c r="B583" s="199">
        <v>11</v>
      </c>
      <c r="C583" s="195" t="s">
        <v>318</v>
      </c>
      <c r="D583" s="195" t="s">
        <v>318</v>
      </c>
      <c r="E583" s="195" t="s">
        <v>318</v>
      </c>
      <c r="F583" s="195" t="s">
        <v>318</v>
      </c>
      <c r="G583" s="195" t="s">
        <v>318</v>
      </c>
      <c r="H583" s="268" t="s">
        <v>1482</v>
      </c>
      <c r="I583" s="268"/>
      <c r="J583" s="268"/>
      <c r="K583" s="268"/>
      <c r="L583" s="269"/>
    </row>
    <row r="584" spans="1:12" x14ac:dyDescent="0.25">
      <c r="A584" s="118" t="s">
        <v>1483</v>
      </c>
      <c r="B584" s="35">
        <v>306.8</v>
      </c>
      <c r="C584" s="14" t="s">
        <v>318</v>
      </c>
      <c r="D584" s="14" t="s">
        <v>318</v>
      </c>
      <c r="E584" s="14" t="s">
        <v>318</v>
      </c>
      <c r="F584" s="14" t="s">
        <v>318</v>
      </c>
      <c r="G584" s="14" t="s">
        <v>318</v>
      </c>
      <c r="H584" s="266" t="s">
        <v>1645</v>
      </c>
      <c r="I584" s="266"/>
      <c r="J584" s="266"/>
      <c r="K584" s="266"/>
      <c r="L584" s="267"/>
    </row>
    <row r="585" spans="1:12" x14ac:dyDescent="0.25">
      <c r="A585" s="118" t="s">
        <v>1484</v>
      </c>
      <c r="B585" s="35">
        <v>150.86000000000001</v>
      </c>
      <c r="C585" s="14" t="s">
        <v>318</v>
      </c>
      <c r="D585" s="14" t="s">
        <v>318</v>
      </c>
      <c r="E585" s="14" t="s">
        <v>318</v>
      </c>
      <c r="F585" s="14" t="s">
        <v>318</v>
      </c>
      <c r="G585" s="14" t="s">
        <v>318</v>
      </c>
      <c r="H585" s="266" t="s">
        <v>1642</v>
      </c>
      <c r="I585" s="266"/>
      <c r="J585" s="266"/>
      <c r="K585" s="266"/>
      <c r="L585" s="267"/>
    </row>
    <row r="586" spans="1:12" ht="15.75" thickBot="1" x14ac:dyDescent="0.3">
      <c r="A586" s="119" t="s">
        <v>1485</v>
      </c>
      <c r="B586" s="120">
        <v>200</v>
      </c>
      <c r="C586" s="129" t="s">
        <v>318</v>
      </c>
      <c r="D586" s="129" t="s">
        <v>318</v>
      </c>
      <c r="E586" s="129" t="s">
        <v>318</v>
      </c>
      <c r="F586" s="129" t="s">
        <v>318</v>
      </c>
      <c r="G586" s="129" t="s">
        <v>318</v>
      </c>
      <c r="H586" s="264" t="s">
        <v>1486</v>
      </c>
      <c r="I586" s="264"/>
      <c r="J586" s="264"/>
      <c r="K586" s="264"/>
      <c r="L586" s="265"/>
    </row>
    <row r="589" spans="1:12" ht="15.75" thickBot="1" x14ac:dyDescent="0.3">
      <c r="A589" s="259" t="s">
        <v>1641</v>
      </c>
      <c r="B589" s="260"/>
      <c r="C589" s="14"/>
      <c r="D589" s="14"/>
      <c r="E589" s="14"/>
      <c r="F589" s="14"/>
      <c r="G589"/>
    </row>
    <row r="590" spans="1:12" ht="15.75" thickBot="1" x14ac:dyDescent="0.3">
      <c r="A590" s="133" t="s">
        <v>1429</v>
      </c>
      <c r="B590" s="125" t="s">
        <v>1430</v>
      </c>
      <c r="C590" s="125" t="s">
        <v>312</v>
      </c>
      <c r="D590" s="125" t="s">
        <v>313</v>
      </c>
      <c r="E590" s="125" t="s">
        <v>314</v>
      </c>
      <c r="F590" s="125" t="s">
        <v>315</v>
      </c>
      <c r="G590" s="207" t="s">
        <v>316</v>
      </c>
      <c r="H590" s="256" t="s">
        <v>213</v>
      </c>
      <c r="I590" s="257"/>
      <c r="J590" s="257"/>
      <c r="K590" s="257"/>
      <c r="L590" s="261"/>
    </row>
    <row r="591" spans="1:12" ht="15.75" thickBot="1" x14ac:dyDescent="0.3">
      <c r="A591" s="76" t="s">
        <v>1448</v>
      </c>
      <c r="B591" s="120">
        <v>70</v>
      </c>
      <c r="C591" s="130" t="s">
        <v>318</v>
      </c>
      <c r="D591" s="130" t="s">
        <v>318</v>
      </c>
      <c r="E591" s="130" t="s">
        <v>318</v>
      </c>
      <c r="F591" s="130" t="s">
        <v>318</v>
      </c>
      <c r="G591" s="130" t="s">
        <v>318</v>
      </c>
      <c r="H591" s="270" t="s">
        <v>1653</v>
      </c>
      <c r="I591" s="270"/>
      <c r="J591" s="270"/>
      <c r="K591" s="270"/>
      <c r="L591" s="271"/>
    </row>
  </sheetData>
  <mergeCells count="50">
    <mergeCell ref="H527:L527"/>
    <mergeCell ref="H556:L556"/>
    <mergeCell ref="H550:L550"/>
    <mergeCell ref="H551:L551"/>
    <mergeCell ref="H552:L552"/>
    <mergeCell ref="H553:L553"/>
    <mergeCell ref="H554:L554"/>
    <mergeCell ref="H549:L549"/>
    <mergeCell ref="H591:L591"/>
    <mergeCell ref="H532:L537"/>
    <mergeCell ref="A581:B581"/>
    <mergeCell ref="H582:L582"/>
    <mergeCell ref="H572:L572"/>
    <mergeCell ref="H573:L573"/>
    <mergeCell ref="H574:L574"/>
    <mergeCell ref="H575:L575"/>
    <mergeCell ref="H576:L576"/>
    <mergeCell ref="H567:L567"/>
    <mergeCell ref="H566:L566"/>
    <mergeCell ref="H565:L565"/>
    <mergeCell ref="H559:L559"/>
    <mergeCell ref="H560:L560"/>
    <mergeCell ref="H555:L555"/>
    <mergeCell ref="A563:B563"/>
    <mergeCell ref="A530:B530"/>
    <mergeCell ref="H531:L531"/>
    <mergeCell ref="H546:L546"/>
    <mergeCell ref="H547:L547"/>
    <mergeCell ref="H548:L548"/>
    <mergeCell ref="A540:B540"/>
    <mergeCell ref="H541:L541"/>
    <mergeCell ref="H542:L542"/>
    <mergeCell ref="H521:L521"/>
    <mergeCell ref="H522:L522"/>
    <mergeCell ref="H523:L523"/>
    <mergeCell ref="H525:L525"/>
    <mergeCell ref="H526:L526"/>
    <mergeCell ref="H524:L524"/>
    <mergeCell ref="A589:B589"/>
    <mergeCell ref="H590:L590"/>
    <mergeCell ref="H557:L557"/>
    <mergeCell ref="H558:L558"/>
    <mergeCell ref="H564:L564"/>
    <mergeCell ref="H586:L586"/>
    <mergeCell ref="H585:L585"/>
    <mergeCell ref="H584:L584"/>
    <mergeCell ref="H577:L577"/>
    <mergeCell ref="H583:L583"/>
    <mergeCell ref="H578:L578"/>
    <mergeCell ref="H568:L568"/>
  </mergeCells>
  <phoneticPr fontId="9" type="noConversion"/>
  <hyperlinks>
    <hyperlink ref="C1" location="Index!A1" display="Back" xr:uid="{00000000-0004-0000-0700-000000000000}"/>
    <hyperlink ref="H532" r:id="rId1" xr:uid="{28B1817E-8920-4591-81E6-FD64F62FDEA9}"/>
  </hyperlinks>
  <pageMargins left="0.7" right="0.7" top="0.75" bottom="0.75" header="0.3" footer="0.3"/>
  <pageSetup orientation="portrait" horizontalDpi="90" verticalDpi="90"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G51"/>
  <sheetViews>
    <sheetView zoomScale="85" zoomScaleNormal="85" workbookViewId="0">
      <selection activeCell="C1" sqref="C1"/>
    </sheetView>
  </sheetViews>
  <sheetFormatPr defaultColWidth="9.28515625" defaultRowHeight="15" x14ac:dyDescent="0.25"/>
  <cols>
    <col min="1" max="1" width="30.7109375" bestFit="1" customWidth="1"/>
    <col min="2" max="2" width="44.28515625" bestFit="1" customWidth="1"/>
    <col min="3" max="3" width="19.28515625" bestFit="1" customWidth="1"/>
    <col min="4" max="4" width="17.7109375" customWidth="1"/>
    <col min="5" max="5" width="18" customWidth="1"/>
    <col min="6" max="6" width="8.7109375" customWidth="1"/>
    <col min="9" max="9" width="9.5703125" customWidth="1"/>
  </cols>
  <sheetData>
    <row r="1" spans="1:7" x14ac:dyDescent="0.25">
      <c r="A1" t="s">
        <v>33</v>
      </c>
      <c r="B1" s="33">
        <v>45874</v>
      </c>
      <c r="C1" s="147" t="s">
        <v>34</v>
      </c>
    </row>
    <row r="2" spans="1:7" x14ac:dyDescent="0.25">
      <c r="A2" t="s">
        <v>35</v>
      </c>
      <c r="B2" s="16" t="s">
        <v>36</v>
      </c>
    </row>
    <row r="3" spans="1:7" x14ac:dyDescent="0.25">
      <c r="B3" s="16"/>
    </row>
    <row r="5" spans="1:7" ht="18.75" x14ac:dyDescent="0.25">
      <c r="A5" s="295" t="s">
        <v>433</v>
      </c>
      <c r="B5" s="295"/>
      <c r="C5" s="295"/>
      <c r="D5" s="295"/>
      <c r="E5" s="295"/>
      <c r="F5" s="295"/>
      <c r="G5" s="295"/>
    </row>
    <row r="6" spans="1:7" x14ac:dyDescent="0.25">
      <c r="A6" s="296" t="s">
        <v>1487</v>
      </c>
      <c r="B6" s="296"/>
      <c r="C6" s="296"/>
      <c r="D6" s="296"/>
      <c r="E6" s="296"/>
      <c r="F6" s="296"/>
      <c r="G6" s="296"/>
    </row>
    <row r="7" spans="1:7" x14ac:dyDescent="0.25">
      <c r="A7" s="296"/>
      <c r="B7" s="296"/>
      <c r="C7" s="296"/>
      <c r="D7" s="296"/>
      <c r="E7" s="296"/>
      <c r="F7" s="296"/>
      <c r="G7" s="296"/>
    </row>
    <row r="8" spans="1:7" x14ac:dyDescent="0.25">
      <c r="A8" s="210"/>
      <c r="B8" s="210"/>
      <c r="C8" s="210"/>
      <c r="D8" s="210"/>
      <c r="E8" s="210"/>
      <c r="F8" s="210"/>
      <c r="G8" s="210"/>
    </row>
    <row r="9" spans="1:7" x14ac:dyDescent="0.25">
      <c r="A9" s="36" t="s">
        <v>1488</v>
      </c>
      <c r="B9" s="64">
        <v>0.73</v>
      </c>
      <c r="D9" s="8"/>
      <c r="E9" s="8"/>
      <c r="F9" s="8"/>
    </row>
    <row r="10" spans="1:7" x14ac:dyDescent="0.25">
      <c r="A10" s="32"/>
      <c r="B10" s="32"/>
      <c r="C10" s="32"/>
    </row>
    <row r="11" spans="1:7" ht="18.75" x14ac:dyDescent="0.25">
      <c r="A11" s="295" t="s">
        <v>408</v>
      </c>
      <c r="B11" s="295"/>
      <c r="C11" s="295"/>
      <c r="D11" s="295"/>
      <c r="E11" s="295"/>
      <c r="F11" s="295"/>
      <c r="G11" s="295"/>
    </row>
    <row r="12" spans="1:7" ht="15" customHeight="1" x14ac:dyDescent="0.25">
      <c r="A12" s="296" t="s">
        <v>1655</v>
      </c>
      <c r="B12" s="296"/>
      <c r="C12" s="296"/>
      <c r="D12" s="296"/>
      <c r="E12" s="296"/>
      <c r="F12" s="296"/>
      <c r="G12" s="296"/>
    </row>
    <row r="13" spans="1:7" x14ac:dyDescent="0.25">
      <c r="A13" s="296"/>
      <c r="B13" s="296"/>
      <c r="C13" s="296"/>
      <c r="D13" s="296"/>
      <c r="E13" s="296"/>
      <c r="F13" s="296"/>
      <c r="G13" s="296"/>
    </row>
    <row r="14" spans="1:7" ht="15.75" thickBot="1" x14ac:dyDescent="0.3"/>
    <row r="15" spans="1:7" ht="15" customHeight="1" x14ac:dyDescent="0.25">
      <c r="A15" s="211" t="s">
        <v>1489</v>
      </c>
      <c r="B15" s="212" t="s">
        <v>1490</v>
      </c>
      <c r="C15" s="213" t="s">
        <v>1491</v>
      </c>
      <c r="D15" s="32"/>
      <c r="E15" s="58"/>
      <c r="F15" s="32"/>
      <c r="G15" s="32"/>
    </row>
    <row r="16" spans="1:7" ht="15.75" thickBot="1" x14ac:dyDescent="0.3">
      <c r="A16" s="61">
        <v>0.55000000000000004</v>
      </c>
      <c r="B16" s="62">
        <v>0.28000000000000003</v>
      </c>
      <c r="C16" s="63">
        <v>0.21</v>
      </c>
      <c r="D16" s="53"/>
      <c r="E16" s="32"/>
      <c r="F16" s="32"/>
      <c r="G16" s="32"/>
    </row>
    <row r="17" spans="1:7" ht="15.75" thickBot="1" x14ac:dyDescent="0.3"/>
    <row r="18" spans="1:7" x14ac:dyDescent="0.25">
      <c r="A18" s="65" t="s">
        <v>1492</v>
      </c>
      <c r="B18" s="205" t="s">
        <v>1493</v>
      </c>
      <c r="C18" s="66" t="s">
        <v>1494</v>
      </c>
    </row>
    <row r="19" spans="1:7" ht="15.75" thickBot="1" x14ac:dyDescent="0.3">
      <c r="A19" s="61">
        <v>0.36</v>
      </c>
      <c r="B19" s="62">
        <v>0.54</v>
      </c>
      <c r="C19" s="63">
        <v>0.48</v>
      </c>
    </row>
    <row r="21" spans="1:7" ht="18.75" x14ac:dyDescent="0.25">
      <c r="A21" s="295" t="s">
        <v>1495</v>
      </c>
      <c r="B21" s="295"/>
      <c r="C21" s="295"/>
      <c r="D21" s="295"/>
      <c r="E21" s="295"/>
      <c r="F21" s="295"/>
      <c r="G21" s="295"/>
    </row>
    <row r="22" spans="1:7" ht="15" customHeight="1" x14ac:dyDescent="0.25">
      <c r="A22" s="296" t="s">
        <v>1496</v>
      </c>
      <c r="B22" s="296"/>
      <c r="C22" s="296"/>
      <c r="D22" s="296"/>
      <c r="E22" s="296"/>
      <c r="F22" s="296"/>
      <c r="G22" s="296"/>
    </row>
    <row r="23" spans="1:7" x14ac:dyDescent="0.25">
      <c r="A23" s="296"/>
      <c r="B23" s="296"/>
      <c r="C23" s="296"/>
      <c r="D23" s="296"/>
      <c r="E23" s="296"/>
      <c r="F23" s="296"/>
      <c r="G23" s="296"/>
    </row>
    <row r="24" spans="1:7" x14ac:dyDescent="0.25">
      <c r="A24" s="210"/>
      <c r="B24" s="210"/>
      <c r="C24" s="210"/>
      <c r="D24" s="210"/>
      <c r="E24" s="210"/>
      <c r="F24" s="210"/>
      <c r="G24" s="210"/>
    </row>
    <row r="25" spans="1:7" x14ac:dyDescent="0.25">
      <c r="A25" t="s">
        <v>1497</v>
      </c>
      <c r="B25" s="100">
        <v>15.966666666666599</v>
      </c>
    </row>
    <row r="26" spans="1:7" ht="15" customHeight="1" x14ac:dyDescent="0.25">
      <c r="A26" t="s">
        <v>1498</v>
      </c>
      <c r="B26" s="100">
        <v>16.141666666666602</v>
      </c>
    </row>
    <row r="27" spans="1:7" x14ac:dyDescent="0.25">
      <c r="A27" t="s">
        <v>1499</v>
      </c>
      <c r="B27" s="100">
        <v>8.0971666495005206</v>
      </c>
    </row>
    <row r="28" spans="1:7" x14ac:dyDescent="0.25">
      <c r="A28" t="s">
        <v>1500</v>
      </c>
      <c r="B28" s="100">
        <v>7.9999998200000002</v>
      </c>
    </row>
    <row r="29" spans="1:7" x14ac:dyDescent="0.25">
      <c r="A29" t="s">
        <v>1501</v>
      </c>
      <c r="B29" s="100">
        <v>15.225833352406701</v>
      </c>
    </row>
    <row r="30" spans="1:7" x14ac:dyDescent="0.25">
      <c r="A30" t="s">
        <v>1502</v>
      </c>
      <c r="B30" s="100">
        <v>15.1919998009999</v>
      </c>
    </row>
    <row r="31" spans="1:7" x14ac:dyDescent="0.25">
      <c r="A31" t="s">
        <v>1503</v>
      </c>
      <c r="B31" s="100">
        <v>16.143833176294901</v>
      </c>
    </row>
    <row r="32" spans="1:7" x14ac:dyDescent="0.25">
      <c r="A32" t="s">
        <v>1504</v>
      </c>
      <c r="B32" s="100">
        <v>0</v>
      </c>
    </row>
    <row r="33" spans="1:2" x14ac:dyDescent="0.25">
      <c r="A33" t="s">
        <v>1505</v>
      </c>
      <c r="B33" s="100">
        <v>0</v>
      </c>
    </row>
    <row r="34" spans="1:2" x14ac:dyDescent="0.25">
      <c r="A34" t="s">
        <v>1506</v>
      </c>
      <c r="B34" s="100">
        <v>44.6666666666666</v>
      </c>
    </row>
    <row r="35" spans="1:2" x14ac:dyDescent="0.25">
      <c r="A35" t="s">
        <v>1507</v>
      </c>
      <c r="B35" s="100">
        <v>40.1666666666666</v>
      </c>
    </row>
    <row r="36" spans="1:2" x14ac:dyDescent="0.25">
      <c r="A36" t="s">
        <v>1508</v>
      </c>
      <c r="B36" s="100">
        <v>0</v>
      </c>
    </row>
    <row r="37" spans="1:2" x14ac:dyDescent="0.25">
      <c r="A37" t="s">
        <v>1509</v>
      </c>
      <c r="B37" s="100">
        <v>0</v>
      </c>
    </row>
    <row r="38" spans="1:2" x14ac:dyDescent="0.25">
      <c r="A38" t="s">
        <v>1510</v>
      </c>
      <c r="B38" s="100">
        <v>0</v>
      </c>
    </row>
    <row r="39" spans="1:2" x14ac:dyDescent="0.25">
      <c r="A39" t="s">
        <v>1511</v>
      </c>
      <c r="B39" s="100">
        <v>7.0333333333333297</v>
      </c>
    </row>
    <row r="40" spans="1:2" x14ac:dyDescent="0.25">
      <c r="A40" t="s">
        <v>1512</v>
      </c>
      <c r="B40" s="100">
        <v>7.3333333333333304</v>
      </c>
    </row>
    <row r="41" spans="1:2" x14ac:dyDescent="0.25">
      <c r="A41" t="s">
        <v>1513</v>
      </c>
      <c r="B41" s="100">
        <v>6.8333333333333304</v>
      </c>
    </row>
    <row r="42" spans="1:2" x14ac:dyDescent="0.25">
      <c r="A42" t="s">
        <v>1514</v>
      </c>
      <c r="B42" s="100">
        <v>13.345688879224999</v>
      </c>
    </row>
    <row r="43" spans="1:2" x14ac:dyDescent="0.25">
      <c r="A43" t="s">
        <v>1515</v>
      </c>
      <c r="B43" s="100">
        <v>20.501666132609</v>
      </c>
    </row>
    <row r="44" spans="1:2" x14ac:dyDescent="0.25">
      <c r="A44" t="s">
        <v>1516</v>
      </c>
      <c r="B44" s="100">
        <v>20.0000003</v>
      </c>
    </row>
    <row r="45" spans="1:2" x14ac:dyDescent="0.25">
      <c r="A45" t="s">
        <v>1517</v>
      </c>
      <c r="B45" s="100">
        <v>28.369666608174601</v>
      </c>
    </row>
    <row r="46" spans="1:2" x14ac:dyDescent="0.25">
      <c r="A46" t="s">
        <v>1518</v>
      </c>
      <c r="B46" s="100">
        <v>29.505999660491899</v>
      </c>
    </row>
    <row r="47" spans="1:2" x14ac:dyDescent="0.25">
      <c r="A47" t="s">
        <v>1519</v>
      </c>
      <c r="B47" s="100">
        <v>28.664000097910598</v>
      </c>
    </row>
    <row r="48" spans="1:2" x14ac:dyDescent="0.25">
      <c r="A48" t="s">
        <v>1520</v>
      </c>
      <c r="B48" s="100">
        <v>28.619999726613301</v>
      </c>
    </row>
    <row r="49" spans="1:2" x14ac:dyDescent="0.25">
      <c r="A49" t="s">
        <v>1521</v>
      </c>
      <c r="B49" s="100">
        <v>28.956666310628201</v>
      </c>
    </row>
    <row r="50" spans="1:2" x14ac:dyDescent="0.25">
      <c r="A50" t="s">
        <v>1522</v>
      </c>
      <c r="B50" s="100">
        <v>19.793333339691099</v>
      </c>
    </row>
    <row r="51" spans="1:2" x14ac:dyDescent="0.25">
      <c r="A51" t="s">
        <v>1523</v>
      </c>
      <c r="B51" s="100">
        <v>19.793333339691099</v>
      </c>
    </row>
  </sheetData>
  <mergeCells count="6">
    <mergeCell ref="A5:G5"/>
    <mergeCell ref="A11:G11"/>
    <mergeCell ref="A22:G23"/>
    <mergeCell ref="A21:G21"/>
    <mergeCell ref="A12:G13"/>
    <mergeCell ref="A6:G7"/>
  </mergeCells>
  <hyperlinks>
    <hyperlink ref="C1" location="Index!A1" display="Back" xr:uid="{00000000-0004-0000-0800-000000000000}"/>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K20"/>
  <sheetViews>
    <sheetView zoomScale="85" zoomScaleNormal="85" workbookViewId="0">
      <selection activeCell="E25" sqref="E25"/>
    </sheetView>
  </sheetViews>
  <sheetFormatPr defaultRowHeight="15" x14ac:dyDescent="0.25"/>
  <cols>
    <col min="1" max="1" width="56.140625" bestFit="1" customWidth="1"/>
    <col min="2" max="2" width="28.28515625" bestFit="1" customWidth="1"/>
    <col min="3" max="3" width="14.28515625" customWidth="1"/>
    <col min="5" max="5" width="14.5703125" customWidth="1"/>
    <col min="8" max="8" width="9.85546875" bestFit="1" customWidth="1"/>
  </cols>
  <sheetData>
    <row r="1" spans="1:11" x14ac:dyDescent="0.25">
      <c r="A1" t="s">
        <v>33</v>
      </c>
      <c r="B1" s="33">
        <v>45874</v>
      </c>
      <c r="C1" s="147" t="s">
        <v>34</v>
      </c>
    </row>
    <row r="2" spans="1:11" x14ac:dyDescent="0.25">
      <c r="A2" t="s">
        <v>35</v>
      </c>
      <c r="B2" s="16" t="s">
        <v>36</v>
      </c>
    </row>
    <row r="4" spans="1:11" ht="15.75" thickBot="1" x14ac:dyDescent="0.3"/>
    <row r="5" spans="1:11" ht="15.75" thickBot="1" x14ac:dyDescent="0.3">
      <c r="A5" t="s">
        <v>1524</v>
      </c>
      <c r="G5" s="165" t="s">
        <v>1525</v>
      </c>
      <c r="H5" s="167" t="s">
        <v>1526</v>
      </c>
      <c r="I5" s="167" t="s">
        <v>1525</v>
      </c>
      <c r="J5" s="167" t="s">
        <v>1525</v>
      </c>
      <c r="K5" s="189" t="s">
        <v>1525</v>
      </c>
    </row>
    <row r="6" spans="1:11" ht="30.75" thickBot="1" x14ac:dyDescent="0.3">
      <c r="A6" s="60" t="s">
        <v>1527</v>
      </c>
      <c r="B6" s="59" t="s">
        <v>1528</v>
      </c>
      <c r="C6" s="59" t="s">
        <v>1529</v>
      </c>
      <c r="D6" s="59" t="s">
        <v>1530</v>
      </c>
      <c r="E6" s="59" t="s">
        <v>1531</v>
      </c>
      <c r="F6" s="59" t="s">
        <v>1532</v>
      </c>
      <c r="G6" s="59">
        <v>2027</v>
      </c>
      <c r="H6" s="59" t="s">
        <v>1533</v>
      </c>
      <c r="I6" s="59">
        <v>2028</v>
      </c>
      <c r="J6" s="59">
        <v>2030</v>
      </c>
      <c r="K6" s="37">
        <v>2031</v>
      </c>
    </row>
    <row r="7" spans="1:11" x14ac:dyDescent="0.25">
      <c r="A7" s="54" t="s">
        <v>1534</v>
      </c>
      <c r="B7" s="42" t="s">
        <v>1535</v>
      </c>
      <c r="C7" s="42" t="s">
        <v>1536</v>
      </c>
      <c r="D7" s="42" t="s">
        <v>1404</v>
      </c>
      <c r="E7" s="42" t="s">
        <v>1537</v>
      </c>
      <c r="F7" s="42">
        <v>2016</v>
      </c>
      <c r="G7" s="42">
        <v>-54</v>
      </c>
      <c r="H7" s="42">
        <v>-56</v>
      </c>
      <c r="I7" s="42">
        <v>-54</v>
      </c>
      <c r="J7" s="42">
        <v>-54</v>
      </c>
      <c r="K7" s="42">
        <v>-54</v>
      </c>
    </row>
    <row r="8" spans="1:11" x14ac:dyDescent="0.25">
      <c r="A8" s="55" t="s">
        <v>1538</v>
      </c>
      <c r="B8" s="9" t="s">
        <v>1539</v>
      </c>
      <c r="C8" s="9" t="s">
        <v>1536</v>
      </c>
      <c r="D8" s="42" t="s">
        <v>1404</v>
      </c>
      <c r="E8" s="42" t="s">
        <v>1537</v>
      </c>
      <c r="F8" s="42">
        <v>2016</v>
      </c>
      <c r="G8" s="42">
        <v>-54</v>
      </c>
      <c r="H8" s="42">
        <v>0</v>
      </c>
      <c r="I8" s="42">
        <v>-54</v>
      </c>
      <c r="J8" s="42">
        <v>-54</v>
      </c>
      <c r="K8" s="42">
        <v>-54</v>
      </c>
    </row>
    <row r="9" spans="1:11" x14ac:dyDescent="0.25">
      <c r="A9" s="56" t="s">
        <v>1540</v>
      </c>
      <c r="B9" s="214" t="s">
        <v>1541</v>
      </c>
      <c r="C9" s="214" t="s">
        <v>1536</v>
      </c>
      <c r="D9" s="42" t="s">
        <v>1404</v>
      </c>
      <c r="E9" s="42" t="s">
        <v>1537</v>
      </c>
      <c r="F9" s="42">
        <v>2016</v>
      </c>
      <c r="G9" s="42">
        <v>-54</v>
      </c>
      <c r="H9" s="42">
        <v>0</v>
      </c>
      <c r="I9" s="42">
        <v>-54</v>
      </c>
      <c r="J9" s="42">
        <v>-54</v>
      </c>
      <c r="K9" s="42">
        <v>-54</v>
      </c>
    </row>
    <row r="10" spans="1:11" x14ac:dyDescent="0.25">
      <c r="A10" s="56" t="s">
        <v>1542</v>
      </c>
      <c r="B10" s="214" t="s">
        <v>1543</v>
      </c>
      <c r="C10" s="214" t="s">
        <v>1536</v>
      </c>
      <c r="D10" s="42" t="s">
        <v>1404</v>
      </c>
      <c r="E10" s="42" t="s">
        <v>1537</v>
      </c>
      <c r="F10" s="42">
        <v>2016</v>
      </c>
      <c r="G10" s="9">
        <v>-190</v>
      </c>
      <c r="H10" s="9">
        <v>-200</v>
      </c>
      <c r="I10" s="9">
        <v>-190</v>
      </c>
      <c r="J10" s="9">
        <v>-190</v>
      </c>
      <c r="K10" s="9">
        <v>-190</v>
      </c>
    </row>
    <row r="11" spans="1:11" x14ac:dyDescent="0.25">
      <c r="A11" s="56" t="s">
        <v>1544</v>
      </c>
      <c r="B11" s="214" t="s">
        <v>1545</v>
      </c>
      <c r="C11" s="214" t="s">
        <v>1536</v>
      </c>
      <c r="D11" s="42" t="s">
        <v>1404</v>
      </c>
      <c r="E11" s="42" t="s">
        <v>1537</v>
      </c>
      <c r="F11" s="42">
        <v>2016</v>
      </c>
      <c r="G11" s="9">
        <v>-190</v>
      </c>
      <c r="H11" s="9">
        <v>-200</v>
      </c>
      <c r="I11" s="9">
        <v>-190</v>
      </c>
      <c r="J11" s="9">
        <v>-190</v>
      </c>
      <c r="K11" s="9">
        <v>-190</v>
      </c>
    </row>
    <row r="12" spans="1:11" x14ac:dyDescent="0.25">
      <c r="A12" s="214" t="s">
        <v>1546</v>
      </c>
      <c r="B12" s="214" t="s">
        <v>1547</v>
      </c>
      <c r="C12" s="214" t="s">
        <v>1536</v>
      </c>
      <c r="D12" s="42" t="s">
        <v>1404</v>
      </c>
      <c r="E12" s="9" t="s">
        <v>1537</v>
      </c>
      <c r="F12" s="9">
        <v>2001</v>
      </c>
      <c r="G12" s="9">
        <v>-190</v>
      </c>
      <c r="H12" s="9">
        <v>0</v>
      </c>
      <c r="I12" s="9">
        <v>-190</v>
      </c>
      <c r="J12" s="9">
        <v>-190</v>
      </c>
      <c r="K12" s="9">
        <v>-190</v>
      </c>
    </row>
    <row r="13" spans="1:11" x14ac:dyDescent="0.25">
      <c r="A13" s="214" t="s">
        <v>1548</v>
      </c>
      <c r="B13" s="214" t="s">
        <v>1549</v>
      </c>
      <c r="C13" s="214" t="s">
        <v>1550</v>
      </c>
      <c r="D13" s="42" t="s">
        <v>1404</v>
      </c>
      <c r="E13" s="9" t="s">
        <v>1551</v>
      </c>
      <c r="F13" s="9">
        <v>2001</v>
      </c>
      <c r="G13" s="9">
        <v>-156</v>
      </c>
      <c r="H13" s="9">
        <v>-162</v>
      </c>
      <c r="I13" s="9">
        <v>-156</v>
      </c>
      <c r="J13" s="9">
        <v>0</v>
      </c>
      <c r="K13" s="9">
        <v>0</v>
      </c>
    </row>
    <row r="14" spans="1:11" x14ac:dyDescent="0.25">
      <c r="A14" s="214" t="s">
        <v>1552</v>
      </c>
      <c r="B14" s="214" t="s">
        <v>1553</v>
      </c>
      <c r="C14" s="214" t="s">
        <v>1550</v>
      </c>
      <c r="D14" s="42" t="s">
        <v>1404</v>
      </c>
      <c r="E14" s="9" t="s">
        <v>1551</v>
      </c>
      <c r="F14" s="9">
        <v>2001</v>
      </c>
      <c r="G14" s="9">
        <v>-135</v>
      </c>
      <c r="H14" s="9">
        <v>-179</v>
      </c>
      <c r="I14" s="9">
        <v>-135</v>
      </c>
      <c r="J14" s="9">
        <v>-135</v>
      </c>
      <c r="K14" s="9">
        <v>-135</v>
      </c>
    </row>
    <row r="15" spans="1:11" x14ac:dyDescent="0.25">
      <c r="A15" s="214" t="s">
        <v>1554</v>
      </c>
      <c r="B15" s="214" t="s">
        <v>1555</v>
      </c>
      <c r="C15" s="214" t="s">
        <v>1550</v>
      </c>
      <c r="D15" s="42" t="s">
        <v>1404</v>
      </c>
      <c r="E15" s="9" t="s">
        <v>1551</v>
      </c>
      <c r="F15" s="9">
        <v>2001</v>
      </c>
      <c r="G15" s="9">
        <v>-153</v>
      </c>
      <c r="H15" s="9">
        <v>-178</v>
      </c>
      <c r="I15" s="9">
        <v>-153</v>
      </c>
      <c r="J15" s="9">
        <v>0</v>
      </c>
      <c r="K15" s="9">
        <v>-153</v>
      </c>
    </row>
    <row r="16" spans="1:11" x14ac:dyDescent="0.25">
      <c r="A16" s="214" t="s">
        <v>1556</v>
      </c>
      <c r="B16" s="214" t="s">
        <v>1557</v>
      </c>
      <c r="C16" s="214" t="s">
        <v>1550</v>
      </c>
      <c r="D16" s="42" t="s">
        <v>1404</v>
      </c>
      <c r="E16" s="9" t="s">
        <v>1551</v>
      </c>
      <c r="F16" s="9">
        <v>2001</v>
      </c>
      <c r="G16" s="9">
        <v>-400</v>
      </c>
      <c r="H16" s="9">
        <v>-389</v>
      </c>
      <c r="I16" s="9">
        <v>-400</v>
      </c>
      <c r="J16" s="9">
        <v>-400</v>
      </c>
      <c r="K16" s="9">
        <v>0</v>
      </c>
    </row>
    <row r="17" spans="1:11" x14ac:dyDescent="0.25">
      <c r="A17" s="110" t="s">
        <v>1558</v>
      </c>
      <c r="B17" s="110" t="s">
        <v>1559</v>
      </c>
      <c r="C17" s="110" t="s">
        <v>1560</v>
      </c>
      <c r="D17" s="42" t="s">
        <v>1404</v>
      </c>
      <c r="E17" s="111" t="s">
        <v>1551</v>
      </c>
      <c r="F17" s="111">
        <v>2003</v>
      </c>
      <c r="G17" s="111">
        <v>-150</v>
      </c>
      <c r="H17" s="111">
        <v>0</v>
      </c>
      <c r="I17" s="111">
        <v>-150</v>
      </c>
      <c r="J17" s="111">
        <v>-150</v>
      </c>
      <c r="K17" s="111">
        <v>0</v>
      </c>
    </row>
    <row r="18" spans="1:11" x14ac:dyDescent="0.25">
      <c r="A18" s="110" t="s">
        <v>1561</v>
      </c>
      <c r="B18" s="110" t="s">
        <v>1562</v>
      </c>
      <c r="C18" s="110" t="s">
        <v>1560</v>
      </c>
      <c r="D18" s="42" t="s">
        <v>1404</v>
      </c>
      <c r="E18" s="111" t="s">
        <v>1551</v>
      </c>
      <c r="F18" s="111">
        <v>2003</v>
      </c>
      <c r="G18" s="111">
        <v>-152</v>
      </c>
      <c r="H18" s="111">
        <v>0</v>
      </c>
      <c r="I18" s="111">
        <v>0</v>
      </c>
      <c r="J18" s="111">
        <v>0</v>
      </c>
      <c r="K18" s="111">
        <v>0</v>
      </c>
    </row>
    <row r="19" spans="1:11" ht="15.75" thickBot="1" x14ac:dyDescent="0.3">
      <c r="A19" s="110" t="s">
        <v>1563</v>
      </c>
      <c r="B19" s="110" t="s">
        <v>1564</v>
      </c>
      <c r="C19" s="110" t="s">
        <v>1560</v>
      </c>
      <c r="D19" s="42" t="s">
        <v>1404</v>
      </c>
      <c r="E19" s="111" t="s">
        <v>1551</v>
      </c>
      <c r="F19" s="111">
        <v>2003</v>
      </c>
      <c r="G19" s="111">
        <v>-311</v>
      </c>
      <c r="H19" s="111">
        <v>0</v>
      </c>
      <c r="I19" s="111">
        <v>0</v>
      </c>
      <c r="J19" s="111">
        <v>0</v>
      </c>
      <c r="K19" s="111">
        <v>0</v>
      </c>
    </row>
    <row r="20" spans="1:11" ht="15.75" thickBot="1" x14ac:dyDescent="0.3">
      <c r="A20" s="67" t="s">
        <v>1565</v>
      </c>
      <c r="B20" s="43"/>
      <c r="C20" s="43"/>
      <c r="D20" s="43"/>
      <c r="E20" s="43"/>
      <c r="F20" s="43"/>
      <c r="G20" s="193">
        <f>SUM(G7:G19)</f>
        <v>-2189</v>
      </c>
      <c r="H20" s="193">
        <f t="shared" ref="H20:K20" si="0">SUM(H7:H19)</f>
        <v>-1364</v>
      </c>
      <c r="I20" s="193">
        <f t="shared" si="0"/>
        <v>-1726</v>
      </c>
      <c r="J20" s="193">
        <f t="shared" si="0"/>
        <v>-1417</v>
      </c>
      <c r="K20" s="193">
        <f t="shared" si="0"/>
        <v>-1020</v>
      </c>
    </row>
  </sheetData>
  <hyperlinks>
    <hyperlink ref="C1" location="Index!A1" display="Back" xr:uid="{00000000-0004-0000-0900-000000000000}"/>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D17"/>
  <sheetViews>
    <sheetView zoomScale="85" zoomScaleNormal="85" workbookViewId="0">
      <selection activeCell="C1" sqref="C1"/>
    </sheetView>
  </sheetViews>
  <sheetFormatPr defaultRowHeight="15" x14ac:dyDescent="0.25"/>
  <cols>
    <col min="1" max="1" width="19" bestFit="1" customWidth="1"/>
    <col min="2" max="2" width="28" customWidth="1"/>
    <col min="3" max="3" width="23.28515625" bestFit="1" customWidth="1"/>
  </cols>
  <sheetData>
    <row r="1" spans="1:4" x14ac:dyDescent="0.25">
      <c r="A1" t="s">
        <v>33</v>
      </c>
      <c r="B1" s="33">
        <v>45874</v>
      </c>
      <c r="C1" s="147" t="s">
        <v>34</v>
      </c>
    </row>
    <row r="2" spans="1:4" x14ac:dyDescent="0.25">
      <c r="A2" t="s">
        <v>35</v>
      </c>
      <c r="B2" s="16" t="s">
        <v>36</v>
      </c>
    </row>
    <row r="3" spans="1:4" x14ac:dyDescent="0.25">
      <c r="B3" s="16"/>
    </row>
    <row r="5" spans="1:4" ht="15.75" thickBot="1" x14ac:dyDescent="0.3">
      <c r="A5" s="27" t="s">
        <v>1566</v>
      </c>
    </row>
    <row r="6" spans="1:4" x14ac:dyDescent="0.25">
      <c r="A6" s="297" t="s">
        <v>1567</v>
      </c>
      <c r="B6" s="298"/>
      <c r="C6" s="299"/>
    </row>
    <row r="7" spans="1:4" x14ac:dyDescent="0.25">
      <c r="A7" s="28" t="s">
        <v>1568</v>
      </c>
      <c r="B7" s="9">
        <v>600</v>
      </c>
      <c r="C7" s="23" t="s">
        <v>1569</v>
      </c>
    </row>
    <row r="8" spans="1:4" x14ac:dyDescent="0.25">
      <c r="A8" s="28" t="s">
        <v>1570</v>
      </c>
      <c r="B8" s="9">
        <v>220</v>
      </c>
      <c r="C8" s="23" t="s">
        <v>1569</v>
      </c>
    </row>
    <row r="9" spans="1:4" x14ac:dyDescent="0.25">
      <c r="A9" s="28" t="s">
        <v>1571</v>
      </c>
      <c r="B9" s="9">
        <v>0</v>
      </c>
      <c r="C9" s="23"/>
    </row>
    <row r="10" spans="1:4" ht="15.75" thickBot="1" x14ac:dyDescent="0.3">
      <c r="A10" s="202" t="s">
        <v>1572</v>
      </c>
      <c r="B10" s="203">
        <v>0</v>
      </c>
      <c r="C10" s="204"/>
    </row>
    <row r="11" spans="1:4" ht="15.75" thickBot="1" x14ac:dyDescent="0.3"/>
    <row r="12" spans="1:4" ht="15" customHeight="1" x14ac:dyDescent="0.25">
      <c r="A12" s="297" t="s">
        <v>1573</v>
      </c>
      <c r="B12" s="298"/>
      <c r="C12" s="299"/>
      <c r="D12" s="191"/>
    </row>
    <row r="13" spans="1:4" x14ac:dyDescent="0.25">
      <c r="A13" s="28" t="s">
        <v>1568</v>
      </c>
      <c r="B13" s="9">
        <v>0</v>
      </c>
      <c r="C13" s="23"/>
      <c r="D13" s="191"/>
    </row>
    <row r="14" spans="1:4" x14ac:dyDescent="0.25">
      <c r="A14" s="28" t="s">
        <v>1570</v>
      </c>
      <c r="B14" s="9">
        <v>0</v>
      </c>
      <c r="C14" s="23"/>
      <c r="D14" s="191"/>
    </row>
    <row r="15" spans="1:4" x14ac:dyDescent="0.25">
      <c r="A15" s="28" t="s">
        <v>1571</v>
      </c>
      <c r="B15" s="9">
        <v>0</v>
      </c>
      <c r="C15" s="23"/>
    </row>
    <row r="16" spans="1:4" ht="15.75" thickBot="1" x14ac:dyDescent="0.3">
      <c r="A16" s="202" t="s">
        <v>1572</v>
      </c>
      <c r="B16" s="203">
        <v>0</v>
      </c>
      <c r="C16" s="204"/>
    </row>
    <row r="17" spans="1:1" x14ac:dyDescent="0.25">
      <c r="A17" s="57"/>
    </row>
  </sheetData>
  <mergeCells count="2">
    <mergeCell ref="A6:C6"/>
    <mergeCell ref="A12:C12"/>
  </mergeCells>
  <hyperlinks>
    <hyperlink ref="C1" location="Index!A1" display="Back" xr:uid="{00000000-0004-0000-0A00-000000000000}"/>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G9"/>
  <sheetViews>
    <sheetView zoomScale="85" zoomScaleNormal="85" workbookViewId="0">
      <selection activeCell="B17" sqref="B17"/>
    </sheetView>
  </sheetViews>
  <sheetFormatPr defaultRowHeight="15" x14ac:dyDescent="0.25"/>
  <cols>
    <col min="1" max="1" width="19" bestFit="1" customWidth="1"/>
    <col min="2" max="2" width="32.7109375" customWidth="1"/>
    <col min="3" max="3" width="23.28515625" bestFit="1" customWidth="1"/>
  </cols>
  <sheetData>
    <row r="1" spans="1:7" x14ac:dyDescent="0.25">
      <c r="A1" t="s">
        <v>33</v>
      </c>
      <c r="B1" s="33">
        <v>45874</v>
      </c>
      <c r="C1" s="147" t="s">
        <v>34</v>
      </c>
    </row>
    <row r="2" spans="1:7" x14ac:dyDescent="0.25">
      <c r="A2" t="s">
        <v>35</v>
      </c>
      <c r="B2" s="16" t="s">
        <v>36</v>
      </c>
    </row>
    <row r="5" spans="1:7" ht="15" customHeight="1" x14ac:dyDescent="0.25">
      <c r="A5" s="29" t="s">
        <v>1574</v>
      </c>
      <c r="B5" s="9" t="s">
        <v>1575</v>
      </c>
    </row>
    <row r="6" spans="1:7" ht="7.5" customHeight="1" x14ac:dyDescent="0.25">
      <c r="A6" s="300" t="s">
        <v>1654</v>
      </c>
      <c r="B6" s="301"/>
      <c r="C6" s="302"/>
      <c r="D6" s="302"/>
      <c r="E6" s="302"/>
      <c r="F6" s="302"/>
      <c r="G6" s="302"/>
    </row>
    <row r="7" spans="1:7" ht="7.5" customHeight="1" x14ac:dyDescent="0.25">
      <c r="A7" s="301"/>
      <c r="B7" s="301"/>
      <c r="C7" s="302"/>
      <c r="D7" s="302"/>
      <c r="E7" s="302"/>
      <c r="F7" s="302"/>
      <c r="G7" s="302"/>
    </row>
    <row r="8" spans="1:7" ht="7.5" customHeight="1" x14ac:dyDescent="0.25">
      <c r="A8" s="301"/>
      <c r="B8" s="301"/>
      <c r="C8" s="302"/>
      <c r="D8" s="302"/>
      <c r="E8" s="302"/>
      <c r="F8" s="302"/>
      <c r="G8" s="302"/>
    </row>
    <row r="9" spans="1:7" ht="7.5" customHeight="1" x14ac:dyDescent="0.25">
      <c r="A9" s="301"/>
      <c r="B9" s="301"/>
      <c r="C9" s="302"/>
      <c r="D9" s="302"/>
      <c r="E9" s="302"/>
      <c r="F9" s="302"/>
      <c r="G9" s="302"/>
    </row>
  </sheetData>
  <mergeCells count="1">
    <mergeCell ref="A6:G9"/>
  </mergeCells>
  <hyperlinks>
    <hyperlink ref="C1" location="Index!A1" display="Back"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N16"/>
  <sheetViews>
    <sheetView zoomScale="85" zoomScaleNormal="85" workbookViewId="0">
      <selection activeCell="P24" sqref="P24"/>
    </sheetView>
  </sheetViews>
  <sheetFormatPr defaultRowHeight="15" x14ac:dyDescent="0.25"/>
  <cols>
    <col min="1" max="1" width="19" bestFit="1" customWidth="1"/>
    <col min="2" max="2" width="28.28515625" bestFit="1" customWidth="1"/>
    <col min="3" max="13" width="8.7109375" customWidth="1"/>
  </cols>
  <sheetData>
    <row r="1" spans="1:14" x14ac:dyDescent="0.25">
      <c r="A1" t="s">
        <v>33</v>
      </c>
      <c r="B1" s="33">
        <v>45874</v>
      </c>
      <c r="C1" s="147" t="s">
        <v>34</v>
      </c>
    </row>
    <row r="2" spans="1:14" x14ac:dyDescent="0.25">
      <c r="A2" t="s">
        <v>35</v>
      </c>
      <c r="B2" s="16" t="s">
        <v>36</v>
      </c>
    </row>
    <row r="3" spans="1:14" x14ac:dyDescent="0.25">
      <c r="B3" s="16"/>
    </row>
    <row r="4" spans="1:14" x14ac:dyDescent="0.25">
      <c r="B4" s="16"/>
    </row>
    <row r="5" spans="1:14" ht="15.75" customHeight="1" x14ac:dyDescent="0.25">
      <c r="A5" t="s">
        <v>1576</v>
      </c>
      <c r="B5" s="11" t="s">
        <v>1577</v>
      </c>
      <c r="C5" s="11"/>
      <c r="D5" s="11"/>
      <c r="E5" s="11"/>
      <c r="F5" s="11"/>
      <c r="G5" s="11"/>
      <c r="H5" s="11"/>
      <c r="I5" s="11"/>
      <c r="J5" s="11"/>
      <c r="K5" s="11"/>
      <c r="L5" s="11"/>
      <c r="M5" s="11"/>
    </row>
    <row r="6" spans="1:14" ht="15.75" customHeight="1" x14ac:dyDescent="0.25">
      <c r="B6" s="11" t="s">
        <v>1578</v>
      </c>
      <c r="C6" s="11"/>
      <c r="D6" s="11"/>
      <c r="E6" s="11"/>
      <c r="F6" s="11"/>
      <c r="G6" s="11"/>
      <c r="H6" s="11"/>
      <c r="I6" s="11"/>
      <c r="J6" s="11"/>
      <c r="K6" s="11"/>
      <c r="L6" s="11"/>
      <c r="M6" s="11"/>
    </row>
    <row r="7" spans="1:14" ht="15.75" thickBot="1" x14ac:dyDescent="0.3">
      <c r="B7" s="15"/>
      <c r="C7" s="15"/>
      <c r="D7" s="15"/>
      <c r="E7" s="15"/>
      <c r="F7" s="15"/>
      <c r="G7" s="15"/>
      <c r="H7" s="15"/>
      <c r="I7" s="15"/>
      <c r="J7" s="15"/>
      <c r="K7" s="15"/>
      <c r="L7" s="15"/>
      <c r="M7" s="15"/>
    </row>
    <row r="8" spans="1:14" ht="15.75" thickBot="1" x14ac:dyDescent="0.3">
      <c r="B8" s="303" t="s">
        <v>1579</v>
      </c>
      <c r="C8" s="304"/>
      <c r="D8" s="304"/>
      <c r="E8" s="304"/>
      <c r="F8" s="304"/>
      <c r="G8" s="304"/>
      <c r="H8" s="304"/>
      <c r="I8" s="304"/>
      <c r="J8" s="304"/>
      <c r="K8" s="304"/>
      <c r="L8" s="304"/>
      <c r="M8" s="305"/>
    </row>
    <row r="9" spans="1:14" x14ac:dyDescent="0.25">
      <c r="A9" s="18" t="s">
        <v>1580</v>
      </c>
      <c r="B9" s="19" t="s">
        <v>1581</v>
      </c>
      <c r="C9" s="19" t="s">
        <v>1582</v>
      </c>
      <c r="D9" s="19" t="s">
        <v>1583</v>
      </c>
      <c r="E9" s="19" t="s">
        <v>1584</v>
      </c>
      <c r="F9" s="19" t="s">
        <v>1585</v>
      </c>
      <c r="G9" s="19" t="s">
        <v>1586</v>
      </c>
      <c r="H9" s="19" t="s">
        <v>1587</v>
      </c>
      <c r="I9" s="19" t="s">
        <v>1588</v>
      </c>
      <c r="J9" s="19" t="s">
        <v>1589</v>
      </c>
      <c r="K9" s="19" t="s">
        <v>1590</v>
      </c>
      <c r="L9" s="19" t="s">
        <v>1591</v>
      </c>
      <c r="M9" s="22" t="s">
        <v>1592</v>
      </c>
      <c r="N9" s="109" t="s">
        <v>1593</v>
      </c>
    </row>
    <row r="10" spans="1:14" x14ac:dyDescent="0.25">
      <c r="A10" s="20">
        <v>2025</v>
      </c>
      <c r="B10" s="92">
        <v>3.12</v>
      </c>
      <c r="C10" s="92">
        <v>2.91</v>
      </c>
      <c r="D10" s="92">
        <v>2.72</v>
      </c>
      <c r="E10" s="92">
        <v>2.79</v>
      </c>
      <c r="F10" s="92">
        <v>2.89</v>
      </c>
      <c r="G10" s="92">
        <v>2.95</v>
      </c>
      <c r="H10" s="92">
        <v>2.87</v>
      </c>
      <c r="I10" s="92">
        <v>2.9</v>
      </c>
      <c r="J10" s="92">
        <v>2.91</v>
      </c>
      <c r="K10" s="92">
        <v>3.02</v>
      </c>
      <c r="L10" s="92">
        <v>3</v>
      </c>
      <c r="M10" s="92">
        <v>3.17</v>
      </c>
      <c r="N10" s="91">
        <f>AVERAGE(B10:M10)</f>
        <v>2.9375</v>
      </c>
    </row>
    <row r="11" spans="1:14" x14ac:dyDescent="0.25">
      <c r="A11" s="20">
        <v>2026</v>
      </c>
      <c r="B11" s="93">
        <v>3.02</v>
      </c>
      <c r="C11" s="93">
        <v>2.81</v>
      </c>
      <c r="D11" s="93">
        <v>2.63</v>
      </c>
      <c r="E11" s="93">
        <v>2.7</v>
      </c>
      <c r="F11" s="93">
        <v>2.79</v>
      </c>
      <c r="G11" s="93">
        <v>2.86</v>
      </c>
      <c r="H11" s="93">
        <v>2.77</v>
      </c>
      <c r="I11" s="93">
        <v>2.81</v>
      </c>
      <c r="J11" s="93">
        <v>2.82</v>
      </c>
      <c r="K11" s="93">
        <v>2.92</v>
      </c>
      <c r="L11" s="93">
        <v>2.9</v>
      </c>
      <c r="M11" s="93">
        <v>3.06</v>
      </c>
      <c r="N11" s="91">
        <f t="shared" ref="N11:N16" si="0">AVERAGE(B11:M11)</f>
        <v>2.8408333333333329</v>
      </c>
    </row>
    <row r="12" spans="1:14" x14ac:dyDescent="0.25">
      <c r="A12" s="20">
        <v>2027</v>
      </c>
      <c r="B12" s="93">
        <v>2.94</v>
      </c>
      <c r="C12" s="93">
        <v>2.73</v>
      </c>
      <c r="D12" s="93">
        <v>2.56</v>
      </c>
      <c r="E12" s="93">
        <v>2.62</v>
      </c>
      <c r="F12" s="93">
        <v>2.71</v>
      </c>
      <c r="G12" s="93">
        <v>2.78</v>
      </c>
      <c r="H12" s="93">
        <v>2.69</v>
      </c>
      <c r="I12" s="93">
        <v>2.73</v>
      </c>
      <c r="J12" s="93">
        <v>2.74</v>
      </c>
      <c r="K12" s="93">
        <v>2.84</v>
      </c>
      <c r="L12" s="93">
        <v>2.82</v>
      </c>
      <c r="M12" s="93">
        <v>2.98</v>
      </c>
      <c r="N12" s="91">
        <f t="shared" si="0"/>
        <v>2.7616666666666672</v>
      </c>
    </row>
    <row r="13" spans="1:14" x14ac:dyDescent="0.25">
      <c r="A13" s="20">
        <v>2028</v>
      </c>
      <c r="B13" s="93">
        <v>3.12</v>
      </c>
      <c r="C13" s="93">
        <v>2.9</v>
      </c>
      <c r="D13" s="93">
        <v>2.71</v>
      </c>
      <c r="E13" s="93">
        <v>2.79</v>
      </c>
      <c r="F13" s="93">
        <v>2.88</v>
      </c>
      <c r="G13" s="93">
        <v>2.95</v>
      </c>
      <c r="H13" s="93">
        <v>2.86</v>
      </c>
      <c r="I13" s="93">
        <v>2.9</v>
      </c>
      <c r="J13" s="93">
        <v>2.91</v>
      </c>
      <c r="K13" s="93">
        <v>3.01</v>
      </c>
      <c r="L13" s="93">
        <v>3</v>
      </c>
      <c r="M13" s="93">
        <v>3.16</v>
      </c>
      <c r="N13" s="91">
        <f t="shared" si="0"/>
        <v>2.9324999999999997</v>
      </c>
    </row>
    <row r="14" spans="1:14" x14ac:dyDescent="0.25">
      <c r="A14" s="20">
        <v>2029</v>
      </c>
      <c r="B14" s="93">
        <v>3.37</v>
      </c>
      <c r="C14" s="93">
        <v>3.13</v>
      </c>
      <c r="D14" s="93">
        <v>2.93</v>
      </c>
      <c r="E14" s="93">
        <v>3.01</v>
      </c>
      <c r="F14" s="93">
        <v>3.11</v>
      </c>
      <c r="G14" s="93">
        <v>3.18</v>
      </c>
      <c r="H14" s="93">
        <v>3.09</v>
      </c>
      <c r="I14" s="93">
        <v>3.13</v>
      </c>
      <c r="J14" s="93">
        <v>3.14</v>
      </c>
      <c r="K14" s="93">
        <v>3.25</v>
      </c>
      <c r="L14" s="93">
        <v>3.23</v>
      </c>
      <c r="M14" s="93">
        <v>3.41</v>
      </c>
      <c r="N14" s="91">
        <f t="shared" si="0"/>
        <v>3.1650000000000005</v>
      </c>
    </row>
    <row r="15" spans="1:14" x14ac:dyDescent="0.25">
      <c r="A15" s="20">
        <v>2030</v>
      </c>
      <c r="B15" s="93">
        <v>3.65</v>
      </c>
      <c r="C15" s="93">
        <v>3.4</v>
      </c>
      <c r="D15" s="93">
        <v>3.18</v>
      </c>
      <c r="E15" s="93">
        <v>3.26</v>
      </c>
      <c r="F15" s="93">
        <v>3.37</v>
      </c>
      <c r="G15" s="93">
        <v>3.45</v>
      </c>
      <c r="H15" s="93">
        <v>3.35</v>
      </c>
      <c r="I15" s="93">
        <v>3.39</v>
      </c>
      <c r="J15" s="93">
        <v>3.4</v>
      </c>
      <c r="K15" s="93">
        <v>3.53</v>
      </c>
      <c r="L15" s="93">
        <v>3.51</v>
      </c>
      <c r="M15" s="93">
        <v>3.7</v>
      </c>
      <c r="N15" s="91">
        <f t="shared" si="0"/>
        <v>3.4324999999999997</v>
      </c>
    </row>
    <row r="16" spans="1:14" ht="15.75" thickBot="1" x14ac:dyDescent="0.3">
      <c r="A16" s="21">
        <v>2031</v>
      </c>
      <c r="B16" s="107">
        <v>3.9</v>
      </c>
      <c r="C16" s="107">
        <v>3.63</v>
      </c>
      <c r="D16" s="107">
        <v>3.39</v>
      </c>
      <c r="E16" s="107">
        <v>3.49</v>
      </c>
      <c r="F16" s="107">
        <v>3.61</v>
      </c>
      <c r="G16" s="107">
        <v>3.69</v>
      </c>
      <c r="H16" s="107">
        <v>3.58</v>
      </c>
      <c r="I16" s="107">
        <v>3.62</v>
      </c>
      <c r="J16" s="107">
        <v>3.64</v>
      </c>
      <c r="K16" s="107">
        <v>3.77</v>
      </c>
      <c r="L16" s="107">
        <v>3.75</v>
      </c>
      <c r="M16" s="107">
        <v>3.96</v>
      </c>
      <c r="N16" s="108">
        <f t="shared" si="0"/>
        <v>3.6691666666666669</v>
      </c>
    </row>
  </sheetData>
  <mergeCells count="1">
    <mergeCell ref="B8:M8"/>
  </mergeCells>
  <hyperlinks>
    <hyperlink ref="C1" location="Index!A1" display="Back"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6"/>
  <dimension ref="A1:L29"/>
  <sheetViews>
    <sheetView zoomScale="85" zoomScaleNormal="85" workbookViewId="0">
      <selection activeCell="O22" sqref="O22"/>
    </sheetView>
  </sheetViews>
  <sheetFormatPr defaultRowHeight="15" x14ac:dyDescent="0.25"/>
  <cols>
    <col min="1" max="1" width="18.42578125" customWidth="1"/>
    <col min="2" max="2" width="28.28515625" customWidth="1"/>
    <col min="3" max="3" width="14.7109375" customWidth="1"/>
    <col min="4" max="4" width="14" customWidth="1"/>
    <col min="5" max="5" width="14.7109375" customWidth="1"/>
    <col min="6" max="6" width="15.42578125" customWidth="1"/>
    <col min="7" max="7" width="16.42578125" customWidth="1"/>
    <col min="8" max="8" width="14.42578125" customWidth="1"/>
    <col min="9" max="9" width="16.7109375" customWidth="1"/>
    <col min="10" max="10" width="31.42578125" customWidth="1"/>
  </cols>
  <sheetData>
    <row r="1" spans="1:12" x14ac:dyDescent="0.25">
      <c r="A1" s="16" t="s">
        <v>33</v>
      </c>
      <c r="B1" s="33">
        <v>45874</v>
      </c>
      <c r="C1" s="147" t="s">
        <v>34</v>
      </c>
    </row>
    <row r="2" spans="1:12" x14ac:dyDescent="0.25">
      <c r="A2" t="s">
        <v>35</v>
      </c>
      <c r="B2" s="16" t="s">
        <v>36</v>
      </c>
    </row>
    <row r="3" spans="1:12" x14ac:dyDescent="0.25">
      <c r="B3" s="16"/>
    </row>
    <row r="4" spans="1:12" ht="15.75" thickBot="1" x14ac:dyDescent="0.3">
      <c r="B4" s="16"/>
    </row>
    <row r="5" spans="1:12" x14ac:dyDescent="0.25">
      <c r="A5" s="312" t="s">
        <v>1594</v>
      </c>
      <c r="B5" s="307"/>
      <c r="C5" s="307"/>
      <c r="D5" s="307"/>
      <c r="E5" s="307"/>
      <c r="F5" s="307"/>
      <c r="G5" s="307"/>
      <c r="H5" s="307"/>
      <c r="I5" s="307"/>
      <c r="J5" s="308"/>
    </row>
    <row r="6" spans="1:12" ht="15.75" x14ac:dyDescent="0.25">
      <c r="A6" s="47" t="s">
        <v>1580</v>
      </c>
      <c r="B6" s="47" t="s">
        <v>382</v>
      </c>
      <c r="C6" s="47" t="s">
        <v>383</v>
      </c>
      <c r="D6" s="47" t="s">
        <v>384</v>
      </c>
      <c r="E6" s="47" t="s">
        <v>386</v>
      </c>
      <c r="F6" s="47" t="s">
        <v>385</v>
      </c>
      <c r="G6" s="47" t="s">
        <v>387</v>
      </c>
      <c r="H6" s="47" t="s">
        <v>388</v>
      </c>
      <c r="I6" s="47" t="s">
        <v>389</v>
      </c>
      <c r="J6" s="47" t="s">
        <v>1595</v>
      </c>
    </row>
    <row r="7" spans="1:12" x14ac:dyDescent="0.25">
      <c r="A7" s="48">
        <v>2027</v>
      </c>
      <c r="B7" s="49">
        <v>27267.43000000004</v>
      </c>
      <c r="C7" s="49">
        <v>4134.2400000000016</v>
      </c>
      <c r="D7" s="49">
        <v>16443.579999999994</v>
      </c>
      <c r="E7" s="49">
        <v>6982.6300000000037</v>
      </c>
      <c r="F7" s="49">
        <v>36710.490000000034</v>
      </c>
      <c r="G7" s="49">
        <v>20420.400000000009</v>
      </c>
      <c r="H7" s="49">
        <v>10445.950000000004</v>
      </c>
      <c r="I7" s="49">
        <v>5319.6599999999971</v>
      </c>
      <c r="J7" s="52">
        <v>127724.38000000009</v>
      </c>
      <c r="K7" s="100"/>
    </row>
    <row r="8" spans="1:12" x14ac:dyDescent="0.25">
      <c r="A8" s="48">
        <v>2028</v>
      </c>
      <c r="B8" s="49">
        <v>29416.829999999976</v>
      </c>
      <c r="C8" s="49">
        <v>4213.6700000000028</v>
      </c>
      <c r="D8" s="49">
        <v>16874.29</v>
      </c>
      <c r="E8" s="49">
        <v>7072.260000000002</v>
      </c>
      <c r="F8" s="49">
        <v>38024.499999999935</v>
      </c>
      <c r="G8" s="49">
        <v>21259.510000000009</v>
      </c>
      <c r="H8" s="49">
        <v>11569.999999999998</v>
      </c>
      <c r="I8" s="49">
        <v>5459.22</v>
      </c>
      <c r="J8" s="52">
        <v>133890.27999999991</v>
      </c>
      <c r="K8" s="100"/>
    </row>
    <row r="9" spans="1:12" x14ac:dyDescent="0.25">
      <c r="A9" s="48">
        <v>2030</v>
      </c>
      <c r="B9" s="49">
        <v>29825.100000000002</v>
      </c>
      <c r="C9" s="49">
        <v>4343.3600000000015</v>
      </c>
      <c r="D9" s="49">
        <v>17283.280000000017</v>
      </c>
      <c r="E9" s="49">
        <v>7442.7900000000018</v>
      </c>
      <c r="F9" s="49">
        <v>39843.960000000021</v>
      </c>
      <c r="G9" s="49">
        <v>22112.189999999984</v>
      </c>
      <c r="H9" s="49">
        <v>11782.620000000003</v>
      </c>
      <c r="I9" s="49">
        <v>5922.12</v>
      </c>
      <c r="J9" s="52">
        <v>138555.42000000004</v>
      </c>
      <c r="K9" s="100"/>
    </row>
    <row r="10" spans="1:12" x14ac:dyDescent="0.25">
      <c r="A10" s="48">
        <v>2031</v>
      </c>
      <c r="B10" s="49">
        <v>30032.330000000009</v>
      </c>
      <c r="C10" s="49">
        <v>4428.7000000000007</v>
      </c>
      <c r="D10" s="49">
        <v>17493.729999999992</v>
      </c>
      <c r="E10" s="49">
        <v>7482.23</v>
      </c>
      <c r="F10" s="49">
        <v>40474.489999999918</v>
      </c>
      <c r="G10" s="49">
        <v>22481.000000000036</v>
      </c>
      <c r="H10" s="49">
        <v>11849.33</v>
      </c>
      <c r="I10" s="49">
        <v>5970.2100000000009</v>
      </c>
      <c r="J10" s="52">
        <v>140212.01999999999</v>
      </c>
      <c r="K10" s="100"/>
      <c r="L10" s="100"/>
    </row>
    <row r="11" spans="1:12" ht="15.75" thickBot="1" x14ac:dyDescent="0.3">
      <c r="B11" s="16"/>
    </row>
    <row r="12" spans="1:12" x14ac:dyDescent="0.25">
      <c r="A12" s="306" t="s">
        <v>1596</v>
      </c>
      <c r="B12" s="307"/>
      <c r="C12" s="307"/>
      <c r="D12" s="307"/>
      <c r="E12" s="307"/>
      <c r="F12" s="307"/>
      <c r="G12" s="307"/>
      <c r="H12" s="307"/>
      <c r="I12" s="307"/>
      <c r="J12" s="308"/>
    </row>
    <row r="13" spans="1:12" ht="15.75" x14ac:dyDescent="0.25">
      <c r="A13" s="47" t="s">
        <v>1597</v>
      </c>
      <c r="B13" s="47" t="s">
        <v>1598</v>
      </c>
      <c r="C13" s="47" t="s">
        <v>1599</v>
      </c>
      <c r="D13" s="47" t="s">
        <v>1600</v>
      </c>
      <c r="E13" s="47" t="s">
        <v>1601</v>
      </c>
      <c r="F13" s="47" t="s">
        <v>1602</v>
      </c>
      <c r="G13" s="47" t="s">
        <v>1603</v>
      </c>
      <c r="H13" s="47" t="s">
        <v>1604</v>
      </c>
      <c r="I13" s="47" t="s">
        <v>1605</v>
      </c>
      <c r="J13" s="47" t="s">
        <v>1606</v>
      </c>
    </row>
    <row r="14" spans="1:12" x14ac:dyDescent="0.25">
      <c r="A14" s="48">
        <v>2027</v>
      </c>
      <c r="B14" s="49">
        <v>23425.166021297191</v>
      </c>
      <c r="C14" s="49">
        <v>2910.0746265133112</v>
      </c>
      <c r="D14" s="49">
        <v>6958.8080414909309</v>
      </c>
      <c r="E14" s="49">
        <v>1953.6319741783477</v>
      </c>
      <c r="F14" s="49">
        <v>27794.292161458048</v>
      </c>
      <c r="G14" s="49">
        <v>15092.218333961726</v>
      </c>
      <c r="H14" s="49">
        <v>6444.8790702952792</v>
      </c>
      <c r="I14" s="49">
        <v>1998.3518985443304</v>
      </c>
      <c r="J14" s="52">
        <v>86577.422127739163</v>
      </c>
      <c r="K14" s="100"/>
      <c r="L14" s="100"/>
    </row>
    <row r="15" spans="1:12" x14ac:dyDescent="0.25">
      <c r="A15" s="48">
        <v>2028</v>
      </c>
      <c r="B15" s="49">
        <v>23440.036902681019</v>
      </c>
      <c r="C15" s="49">
        <v>2939.4464948464552</v>
      </c>
      <c r="D15" s="49">
        <v>7203.9919287515877</v>
      </c>
      <c r="E15" s="49">
        <v>1996.9663223309888</v>
      </c>
      <c r="F15" s="49">
        <v>28032.962279906154</v>
      </c>
      <c r="G15" s="49">
        <v>15287.491284603457</v>
      </c>
      <c r="H15" s="49">
        <v>6638.1939248127919</v>
      </c>
      <c r="I15" s="49">
        <v>2113.4374235932219</v>
      </c>
      <c r="J15" s="52">
        <v>87652.526561525665</v>
      </c>
      <c r="K15" s="100"/>
      <c r="L15" s="100"/>
    </row>
    <row r="16" spans="1:12" x14ac:dyDescent="0.25">
      <c r="A16" s="48">
        <v>2030</v>
      </c>
      <c r="B16" s="49">
        <v>24096.804542553506</v>
      </c>
      <c r="C16" s="49">
        <v>2998.9795022204607</v>
      </c>
      <c r="D16" s="49">
        <v>7688.6186605748135</v>
      </c>
      <c r="E16" s="49">
        <v>2089.2478533148169</v>
      </c>
      <c r="F16" s="49">
        <v>28459.523868246033</v>
      </c>
      <c r="G16" s="49">
        <v>15641.073842309039</v>
      </c>
      <c r="H16" s="49">
        <v>6650.8033684709408</v>
      </c>
      <c r="I16" s="49">
        <v>2140.9540890279113</v>
      </c>
      <c r="J16" s="52">
        <v>89766.005726717529</v>
      </c>
      <c r="K16" s="100"/>
      <c r="L16" s="100"/>
    </row>
    <row r="17" spans="1:12" x14ac:dyDescent="0.25">
      <c r="A17" s="48">
        <v>2031</v>
      </c>
      <c r="B17" s="49">
        <v>24297.11032887769</v>
      </c>
      <c r="C17" s="49">
        <v>3026.0566147561749</v>
      </c>
      <c r="D17" s="49">
        <v>7922.5138999304927</v>
      </c>
      <c r="E17" s="49">
        <v>2159.7222966322761</v>
      </c>
      <c r="F17" s="49">
        <v>27813.902800436903</v>
      </c>
      <c r="G17" s="49">
        <v>15457.802821517653</v>
      </c>
      <c r="H17" s="49">
        <v>6501.4970452385269</v>
      </c>
      <c r="I17" s="49">
        <v>2179.0934294797808</v>
      </c>
      <c r="J17" s="52">
        <v>89357.699236869492</v>
      </c>
      <c r="K17" s="100"/>
      <c r="L17" s="100"/>
    </row>
    <row r="18" spans="1:12" ht="15.75" thickBot="1" x14ac:dyDescent="0.3">
      <c r="A18" s="14"/>
      <c r="B18" s="17"/>
      <c r="C18" s="17"/>
      <c r="D18" s="17"/>
      <c r="E18" s="17"/>
      <c r="F18" s="17"/>
      <c r="G18" s="17"/>
      <c r="H18" s="17"/>
      <c r="I18" s="17"/>
      <c r="J18" s="17"/>
    </row>
    <row r="19" spans="1:12" ht="28.5" customHeight="1" x14ac:dyDescent="0.25">
      <c r="A19" s="309" t="s">
        <v>1607</v>
      </c>
      <c r="B19" s="310"/>
      <c r="C19" s="310"/>
      <c r="D19" s="310"/>
      <c r="E19" s="310"/>
      <c r="F19" s="310"/>
      <c r="G19" s="310"/>
      <c r="H19" s="310"/>
      <c r="I19" s="310"/>
      <c r="J19" s="311"/>
    </row>
    <row r="20" spans="1:12" ht="15.75" x14ac:dyDescent="0.25">
      <c r="A20" s="47" t="s">
        <v>1580</v>
      </c>
      <c r="B20" s="47" t="s">
        <v>382</v>
      </c>
      <c r="C20" s="47" t="s">
        <v>383</v>
      </c>
      <c r="D20" s="47" t="s">
        <v>384</v>
      </c>
      <c r="E20" s="47" t="s">
        <v>386</v>
      </c>
      <c r="F20" s="47" t="s">
        <v>385</v>
      </c>
      <c r="G20" s="47" t="s">
        <v>387</v>
      </c>
      <c r="H20" s="47" t="s">
        <v>388</v>
      </c>
      <c r="I20" s="47" t="s">
        <v>389</v>
      </c>
      <c r="J20" s="47" t="s">
        <v>1608</v>
      </c>
    </row>
    <row r="21" spans="1:12" x14ac:dyDescent="0.25">
      <c r="A21" s="48">
        <v>2027</v>
      </c>
      <c r="B21" s="49">
        <v>28437.820000000022</v>
      </c>
      <c r="C21" s="49">
        <v>3267.07</v>
      </c>
      <c r="D21" s="49">
        <v>15273.670000000036</v>
      </c>
      <c r="E21" s="49">
        <v>10554.360000000002</v>
      </c>
      <c r="F21" s="49">
        <v>32574.549999999974</v>
      </c>
      <c r="G21" s="49">
        <v>21902.550000000025</v>
      </c>
      <c r="H21" s="49">
        <v>9107.1500000000142</v>
      </c>
      <c r="I21" s="49">
        <v>4744.9799999999996</v>
      </c>
      <c r="J21" s="52">
        <v>125862.15000000005</v>
      </c>
    </row>
    <row r="22" spans="1:12" x14ac:dyDescent="0.25">
      <c r="A22" s="48">
        <v>2028</v>
      </c>
      <c r="B22" s="49">
        <v>32385.8</v>
      </c>
      <c r="C22" s="49">
        <v>3338.449999999998</v>
      </c>
      <c r="D22" s="49">
        <v>16743.870000000024</v>
      </c>
      <c r="E22" s="49">
        <v>12158.850000000004</v>
      </c>
      <c r="F22" s="49">
        <v>35486.030000000021</v>
      </c>
      <c r="G22" s="49">
        <v>24869.710000000025</v>
      </c>
      <c r="H22" s="49">
        <v>13259.080000000011</v>
      </c>
      <c r="I22" s="49">
        <v>7022.98</v>
      </c>
      <c r="J22" s="52">
        <v>145264.77000000011</v>
      </c>
    </row>
    <row r="23" spans="1:12" x14ac:dyDescent="0.25">
      <c r="A23" s="48">
        <v>2030</v>
      </c>
      <c r="B23" s="49">
        <v>35004.820000000007</v>
      </c>
      <c r="C23" s="49">
        <v>3430.61</v>
      </c>
      <c r="D23" s="49">
        <v>18915.930000000018</v>
      </c>
      <c r="E23" s="49">
        <v>12480.070000000005</v>
      </c>
      <c r="F23" s="49">
        <v>38184.960000000028</v>
      </c>
      <c r="G23" s="49">
        <v>28515.120000000032</v>
      </c>
      <c r="H23" s="49">
        <v>14972.220000000003</v>
      </c>
      <c r="I23" s="49">
        <v>7575.0900000000183</v>
      </c>
      <c r="J23" s="52">
        <v>159078.82000000012</v>
      </c>
    </row>
    <row r="24" spans="1:12" x14ac:dyDescent="0.25">
      <c r="A24" s="48">
        <v>2031</v>
      </c>
      <c r="B24" s="49">
        <v>36160.149999999994</v>
      </c>
      <c r="C24" s="49">
        <v>3501.3299999999981</v>
      </c>
      <c r="D24" s="49">
        <v>19921.749999999985</v>
      </c>
      <c r="E24" s="49">
        <v>12529.83</v>
      </c>
      <c r="F24" s="49">
        <v>39822.589999999975</v>
      </c>
      <c r="G24" s="49">
        <v>29324.919999999976</v>
      </c>
      <c r="H24" s="49">
        <v>15346.379999999997</v>
      </c>
      <c r="I24" s="49">
        <v>7900.5600000000131</v>
      </c>
      <c r="J24" s="52">
        <v>164507.50999999998</v>
      </c>
    </row>
    <row r="25" spans="1:12" x14ac:dyDescent="0.25">
      <c r="A25" s="96"/>
      <c r="B25" s="94"/>
      <c r="C25" s="94"/>
      <c r="D25" s="94"/>
      <c r="E25" s="94"/>
      <c r="F25" s="94"/>
      <c r="G25" s="94"/>
      <c r="H25" s="94"/>
      <c r="I25" s="94"/>
      <c r="J25" s="95"/>
    </row>
    <row r="26" spans="1:12" ht="15.75" thickBot="1" x14ac:dyDescent="0.3">
      <c r="A26" s="50"/>
      <c r="B26" s="51"/>
      <c r="C26" s="51"/>
      <c r="D26" s="51"/>
      <c r="E26" s="51"/>
      <c r="F26" s="51"/>
      <c r="G26" s="51"/>
      <c r="H26" s="51"/>
      <c r="I26" s="51"/>
      <c r="J26" s="51"/>
    </row>
    <row r="27" spans="1:12" s="27" customFormat="1" ht="28.5" customHeight="1" x14ac:dyDescent="0.25">
      <c r="A27" s="312" t="s">
        <v>1609</v>
      </c>
      <c r="B27" s="313"/>
      <c r="C27" s="313"/>
      <c r="D27" s="313"/>
      <c r="E27" s="313"/>
      <c r="F27" s="313"/>
      <c r="G27" s="313"/>
      <c r="H27" s="313"/>
      <c r="I27" s="313"/>
      <c r="J27" s="314"/>
    </row>
    <row r="28" spans="1:12" ht="15.75" x14ac:dyDescent="0.25">
      <c r="A28" s="227" t="s">
        <v>1580</v>
      </c>
      <c r="B28" s="228" t="s">
        <v>382</v>
      </c>
      <c r="C28" s="228" t="s">
        <v>383</v>
      </c>
      <c r="D28" s="228" t="s">
        <v>384</v>
      </c>
      <c r="E28" s="228" t="s">
        <v>386</v>
      </c>
      <c r="F28" s="228" t="s">
        <v>385</v>
      </c>
      <c r="G28" s="228" t="s">
        <v>387</v>
      </c>
      <c r="H28" s="228" t="s">
        <v>388</v>
      </c>
      <c r="I28" s="228" t="s">
        <v>389</v>
      </c>
      <c r="J28" s="228" t="s">
        <v>1608</v>
      </c>
    </row>
    <row r="29" spans="1:12" x14ac:dyDescent="0.25">
      <c r="A29" s="99">
        <v>2028</v>
      </c>
      <c r="B29" s="49">
        <v>18692.030000000017</v>
      </c>
      <c r="C29" s="49">
        <v>1655.0199999999988</v>
      </c>
      <c r="D29" s="49">
        <v>12512.730000000012</v>
      </c>
      <c r="E29" s="49">
        <v>10653.439999999999</v>
      </c>
      <c r="F29" s="49">
        <v>17226.909999999996</v>
      </c>
      <c r="G29" s="49">
        <v>14385.590000000018</v>
      </c>
      <c r="H29" s="49">
        <v>10086.879999999996</v>
      </c>
      <c r="I29" s="49">
        <v>5707.3600000000006</v>
      </c>
      <c r="J29" s="49">
        <v>90919.960000000036</v>
      </c>
    </row>
  </sheetData>
  <mergeCells count="4">
    <mergeCell ref="A12:J12"/>
    <mergeCell ref="A19:J19"/>
    <mergeCell ref="A27:J27"/>
    <mergeCell ref="A5:J5"/>
  </mergeCells>
  <hyperlinks>
    <hyperlink ref="C1" location="Index!A1" display="Back" xr:uid="{00000000-0004-0000-0D00-000000000000}"/>
  </hyperlinks>
  <pageMargins left="0.7" right="0.7" top="0.75" bottom="0.75" header="0.3" footer="0.3"/>
  <pageSetup orientation="portrait" horizontalDpi="90" verticalDpi="9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8"/>
  <dimension ref="A1:J31"/>
  <sheetViews>
    <sheetView zoomScale="85" zoomScaleNormal="85" workbookViewId="0">
      <selection activeCell="C1" sqref="C1"/>
    </sheetView>
  </sheetViews>
  <sheetFormatPr defaultColWidth="9.28515625" defaultRowHeight="15" x14ac:dyDescent="0.25"/>
  <cols>
    <col min="1" max="1" width="20.5703125" bestFit="1" customWidth="1"/>
    <col min="2" max="2" width="37" customWidth="1"/>
    <col min="3" max="3" width="11" customWidth="1"/>
    <col min="4" max="4" width="25.5703125" customWidth="1"/>
    <col min="5" max="5" width="27.7109375" customWidth="1"/>
    <col min="6" max="6" width="14.5703125" bestFit="1" customWidth="1"/>
    <col min="7" max="7" width="14.5703125" customWidth="1"/>
    <col min="8" max="8" width="14.5703125" bestFit="1" customWidth="1"/>
    <col min="9" max="10" width="11" customWidth="1"/>
  </cols>
  <sheetData>
    <row r="1" spans="1:10" x14ac:dyDescent="0.25">
      <c r="A1" t="s">
        <v>33</v>
      </c>
      <c r="B1" s="33">
        <v>46013</v>
      </c>
      <c r="C1" s="147" t="s">
        <v>34</v>
      </c>
    </row>
    <row r="2" spans="1:10" x14ac:dyDescent="0.25">
      <c r="A2" t="s">
        <v>35</v>
      </c>
      <c r="B2" s="16" t="s">
        <v>36</v>
      </c>
    </row>
    <row r="4" spans="1:10" s="332" customFormat="1" ht="62.25" customHeight="1" x14ac:dyDescent="0.25">
      <c r="A4" s="332" t="s">
        <v>1648</v>
      </c>
    </row>
    <row r="5" spans="1:10" x14ac:dyDescent="0.25">
      <c r="A5" s="27"/>
      <c r="B5" s="27"/>
      <c r="C5" s="27"/>
      <c r="D5" s="27"/>
      <c r="E5" s="27"/>
      <c r="F5" s="27"/>
      <c r="G5" s="27"/>
    </row>
    <row r="6" spans="1:10" s="266" customFormat="1" x14ac:dyDescent="0.25">
      <c r="A6" t="s">
        <v>1610</v>
      </c>
      <c r="B6" s="266" t="s">
        <v>1651</v>
      </c>
    </row>
    <row r="7" spans="1:10" ht="15.75" thickBot="1" x14ac:dyDescent="0.3"/>
    <row r="8" spans="1:10" ht="15" customHeight="1" x14ac:dyDescent="0.25">
      <c r="A8" s="341" t="s">
        <v>1580</v>
      </c>
      <c r="B8" s="316" t="s">
        <v>1611</v>
      </c>
      <c r="C8" s="316" t="s">
        <v>1612</v>
      </c>
      <c r="D8" s="318" t="s">
        <v>1613</v>
      </c>
      <c r="E8" s="319"/>
      <c r="F8" s="319"/>
      <c r="G8" s="320"/>
      <c r="H8" s="343" t="s">
        <v>1614</v>
      </c>
      <c r="I8" s="328" t="s">
        <v>1615</v>
      </c>
      <c r="J8" s="329"/>
    </row>
    <row r="9" spans="1:10" x14ac:dyDescent="0.25">
      <c r="A9" s="342"/>
      <c r="B9" s="317"/>
      <c r="C9" s="317"/>
      <c r="D9" s="215" t="s">
        <v>1616</v>
      </c>
      <c r="E9" s="105" t="s">
        <v>1617</v>
      </c>
      <c r="F9" s="215" t="s">
        <v>1618</v>
      </c>
      <c r="G9" s="215" t="s">
        <v>1619</v>
      </c>
      <c r="H9" s="344"/>
      <c r="I9" s="330"/>
      <c r="J9" s="331"/>
    </row>
    <row r="10" spans="1:10" x14ac:dyDescent="0.25">
      <c r="A10" s="86">
        <v>2030</v>
      </c>
      <c r="B10" s="242">
        <v>129170.34</v>
      </c>
      <c r="C10" s="242">
        <v>-820</v>
      </c>
      <c r="D10" s="87">
        <v>3302.86</v>
      </c>
      <c r="E10" s="87">
        <v>884.56</v>
      </c>
      <c r="F10" s="87">
        <v>1471.03</v>
      </c>
      <c r="G10" s="87">
        <v>7066.13</v>
      </c>
      <c r="H10" s="87">
        <v>47662.6</v>
      </c>
      <c r="I10" s="337">
        <v>59503</v>
      </c>
      <c r="J10" s="338"/>
    </row>
    <row r="11" spans="1:10" ht="15.75" thickBot="1" x14ac:dyDescent="0.3">
      <c r="A11" s="88">
        <v>2027</v>
      </c>
      <c r="B11" s="89">
        <v>111120.89</v>
      </c>
      <c r="C11" s="89">
        <v>-820</v>
      </c>
      <c r="D11" s="90">
        <v>3225.04</v>
      </c>
      <c r="E11" s="90">
        <v>801.5</v>
      </c>
      <c r="F11" s="90">
        <v>1471.03</v>
      </c>
      <c r="G11" s="90">
        <v>6702.01</v>
      </c>
      <c r="H11" s="90">
        <v>39948.19</v>
      </c>
      <c r="I11" s="339">
        <v>51346</v>
      </c>
      <c r="J11" s="340"/>
    </row>
    <row r="13" spans="1:10" s="266" customFormat="1" x14ac:dyDescent="0.25">
      <c r="A13" t="s">
        <v>1620</v>
      </c>
      <c r="B13" s="315" t="s">
        <v>1652</v>
      </c>
    </row>
    <row r="14" spans="1:10" ht="15.75" thickBot="1" x14ac:dyDescent="0.3"/>
    <row r="15" spans="1:10" ht="15" customHeight="1" x14ac:dyDescent="0.25">
      <c r="A15" s="341" t="s">
        <v>1580</v>
      </c>
      <c r="B15" s="316" t="s">
        <v>1611</v>
      </c>
      <c r="C15" s="316" t="s">
        <v>1612</v>
      </c>
      <c r="D15" s="323" t="s">
        <v>1613</v>
      </c>
      <c r="E15" s="324"/>
      <c r="F15" s="324"/>
      <c r="G15" s="325"/>
      <c r="H15" s="326" t="s">
        <v>1614</v>
      </c>
      <c r="I15" s="328" t="s">
        <v>1615</v>
      </c>
      <c r="J15" s="329"/>
    </row>
    <row r="16" spans="1:10" x14ac:dyDescent="0.25">
      <c r="A16" s="342"/>
      <c r="B16" s="317"/>
      <c r="C16" s="317"/>
      <c r="D16" s="229" t="s">
        <v>1616</v>
      </c>
      <c r="E16" s="105" t="s">
        <v>1617</v>
      </c>
      <c r="F16" s="229" t="s">
        <v>1618</v>
      </c>
      <c r="G16" s="229" t="s">
        <v>1619</v>
      </c>
      <c r="H16" s="327"/>
      <c r="I16" s="330"/>
      <c r="J16" s="331"/>
    </row>
    <row r="17" spans="1:10" ht="15.75" thickBot="1" x14ac:dyDescent="0.3">
      <c r="A17" s="88" t="s">
        <v>1640</v>
      </c>
      <c r="B17" s="89">
        <v>71735.570000000007</v>
      </c>
      <c r="C17" s="89">
        <v>0</v>
      </c>
      <c r="D17" s="232">
        <v>1055.49</v>
      </c>
      <c r="E17" s="232">
        <v>1019.58</v>
      </c>
      <c r="F17" s="232">
        <v>1576.13</v>
      </c>
      <c r="G17" s="232">
        <v>8026.52</v>
      </c>
      <c r="H17" s="232">
        <v>0</v>
      </c>
      <c r="I17" s="321">
        <v>10658</v>
      </c>
      <c r="J17" s="322"/>
    </row>
    <row r="19" spans="1:10" s="266" customFormat="1" x14ac:dyDescent="0.25">
      <c r="A19" t="s">
        <v>1638</v>
      </c>
      <c r="B19" s="266" t="s">
        <v>1649</v>
      </c>
    </row>
    <row r="20" spans="1:10" ht="15.75" thickBot="1" x14ac:dyDescent="0.3"/>
    <row r="21" spans="1:10" ht="15" customHeight="1" x14ac:dyDescent="0.25">
      <c r="A21" s="333" t="s">
        <v>1580</v>
      </c>
      <c r="B21" s="335" t="s">
        <v>1611</v>
      </c>
      <c r="C21" s="335" t="s">
        <v>1612</v>
      </c>
      <c r="D21" s="323" t="s">
        <v>1613</v>
      </c>
      <c r="E21" s="324"/>
      <c r="F21" s="324"/>
      <c r="G21" s="325"/>
      <c r="H21" s="326" t="s">
        <v>1614</v>
      </c>
      <c r="I21" s="328" t="s">
        <v>1615</v>
      </c>
      <c r="J21" s="329"/>
    </row>
    <row r="22" spans="1:10" x14ac:dyDescent="0.25">
      <c r="A22" s="334"/>
      <c r="B22" s="336"/>
      <c r="C22" s="336"/>
      <c r="D22" s="229" t="s">
        <v>1616</v>
      </c>
      <c r="E22" s="105" t="s">
        <v>1617</v>
      </c>
      <c r="F22" s="229" t="s">
        <v>1618</v>
      </c>
      <c r="G22" s="229" t="s">
        <v>1619</v>
      </c>
      <c r="H22" s="327"/>
      <c r="I22" s="330"/>
      <c r="J22" s="331"/>
    </row>
    <row r="23" spans="1:10" ht="15.75" thickBot="1" x14ac:dyDescent="0.3">
      <c r="A23" s="230">
        <v>2027</v>
      </c>
      <c r="B23" s="231">
        <v>106261.22</v>
      </c>
      <c r="C23" s="231">
        <v>-820</v>
      </c>
      <c r="D23" s="232">
        <v>3711.74</v>
      </c>
      <c r="E23" s="232">
        <v>2706.05</v>
      </c>
      <c r="F23" s="232">
        <v>630.46</v>
      </c>
      <c r="G23" s="232">
        <v>12146.73</v>
      </c>
      <c r="H23" s="232">
        <v>7278.28</v>
      </c>
      <c r="I23" s="321">
        <v>23767</v>
      </c>
      <c r="J23" s="322"/>
    </row>
    <row r="25" spans="1:10" s="266" customFormat="1" x14ac:dyDescent="0.25">
      <c r="A25" t="s">
        <v>1639</v>
      </c>
      <c r="B25" s="266" t="s">
        <v>1650</v>
      </c>
    </row>
    <row r="26" spans="1:10" ht="15.75" thickBot="1" x14ac:dyDescent="0.3"/>
    <row r="27" spans="1:10" ht="15" customHeight="1" x14ac:dyDescent="0.25">
      <c r="A27" s="333" t="s">
        <v>1580</v>
      </c>
      <c r="B27" s="335" t="s">
        <v>1611</v>
      </c>
      <c r="C27" s="335" t="s">
        <v>1612</v>
      </c>
      <c r="D27" s="323" t="s">
        <v>1613</v>
      </c>
      <c r="E27" s="324"/>
      <c r="F27" s="324"/>
      <c r="G27" s="325"/>
      <c r="H27" s="326" t="s">
        <v>1614</v>
      </c>
      <c r="I27" s="328" t="s">
        <v>1615</v>
      </c>
      <c r="J27" s="329"/>
    </row>
    <row r="28" spans="1:10" x14ac:dyDescent="0.25">
      <c r="A28" s="334"/>
      <c r="B28" s="336"/>
      <c r="C28" s="336"/>
      <c r="D28" s="229" t="s">
        <v>1616</v>
      </c>
      <c r="E28" s="105" t="s">
        <v>1617</v>
      </c>
      <c r="F28" s="229" t="s">
        <v>1618</v>
      </c>
      <c r="G28" s="229" t="s">
        <v>1619</v>
      </c>
      <c r="H28" s="327"/>
      <c r="I28" s="330"/>
      <c r="J28" s="331"/>
    </row>
    <row r="29" spans="1:10" ht="15.75" thickBot="1" x14ac:dyDescent="0.3">
      <c r="A29" s="230">
        <v>2027</v>
      </c>
      <c r="B29" s="231">
        <v>106261.22</v>
      </c>
      <c r="C29" s="231">
        <v>-820</v>
      </c>
      <c r="D29" s="232">
        <v>3711.74</v>
      </c>
      <c r="E29" s="232">
        <v>2706.05</v>
      </c>
      <c r="F29" s="232">
        <v>630.46</v>
      </c>
      <c r="G29" s="232">
        <v>12146.72</v>
      </c>
      <c r="H29" s="232">
        <v>7278.28</v>
      </c>
      <c r="I29" s="321">
        <v>23767</v>
      </c>
      <c r="J29" s="322"/>
    </row>
    <row r="31" spans="1:10" x14ac:dyDescent="0.25">
      <c r="A31" t="s">
        <v>1621</v>
      </c>
    </row>
  </sheetData>
  <mergeCells count="34">
    <mergeCell ref="A4:XFD4"/>
    <mergeCell ref="A27:A28"/>
    <mergeCell ref="B27:B28"/>
    <mergeCell ref="C27:C28"/>
    <mergeCell ref="A21:A22"/>
    <mergeCell ref="B21:B22"/>
    <mergeCell ref="C21:C22"/>
    <mergeCell ref="I10:J10"/>
    <mergeCell ref="I11:J11"/>
    <mergeCell ref="A15:A16"/>
    <mergeCell ref="B15:B16"/>
    <mergeCell ref="C15:C16"/>
    <mergeCell ref="H8:H9"/>
    <mergeCell ref="I8:J9"/>
    <mergeCell ref="A8:A9"/>
    <mergeCell ref="B8:B9"/>
    <mergeCell ref="I29:J29"/>
    <mergeCell ref="D15:G15"/>
    <mergeCell ref="H15:H16"/>
    <mergeCell ref="I15:J16"/>
    <mergeCell ref="I17:J17"/>
    <mergeCell ref="D21:G21"/>
    <mergeCell ref="H21:H22"/>
    <mergeCell ref="I21:J22"/>
    <mergeCell ref="I23:J23"/>
    <mergeCell ref="D27:G27"/>
    <mergeCell ref="H27:H28"/>
    <mergeCell ref="I27:J28"/>
    <mergeCell ref="B6:XFD6"/>
    <mergeCell ref="B13:XFD13"/>
    <mergeCell ref="B19:XFD19"/>
    <mergeCell ref="B25:XFD25"/>
    <mergeCell ref="C8:C9"/>
    <mergeCell ref="D8:G8"/>
  </mergeCells>
  <hyperlinks>
    <hyperlink ref="C1" location="Index!A1" display="Back" xr:uid="{CE995A58-A72D-4D4C-AC93-5DF4264C2E12}"/>
  </hyperlinks>
  <pageMargins left="0.7" right="0.7" top="0.75" bottom="0.75" header="0.3" footer="0.3"/>
  <pageSetup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10F7BE7970FB54CA36942BB851EA1F8" ma:contentTypeVersion="11" ma:contentTypeDescription="Create a new document." ma:contentTypeScope="" ma:versionID="a8ad79f77ea2f27acdd60f614675d6fc">
  <xsd:schema xmlns:xsd="http://www.w3.org/2001/XMLSchema" xmlns:xs="http://www.w3.org/2001/XMLSchema" xmlns:p="http://schemas.microsoft.com/office/2006/metadata/properties" xmlns:ns2="9baabf47-54a9-4eaa-a352-6da3babdf82a" xmlns:ns3="665171ce-a86d-484d-a781-ce3cee188bb9" targetNamespace="http://schemas.microsoft.com/office/2006/metadata/properties" ma:root="true" ma:fieldsID="c77867a3c10d639aa7cfd4f1a3d59b2c" ns2:_="" ns3:_="">
    <xsd:import namespace="9baabf47-54a9-4eaa-a352-6da3babdf82a"/>
    <xsd:import namespace="665171ce-a86d-484d-a781-ce3cee188b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aabf47-54a9-4eaa-a352-6da3babdf8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102f585-f336-4ab5-8023-668eed9f00b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65171ce-a86d-484d-a781-ce3cee188bb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230bd8-7265-4628-ae1d-a7c956d368a2}" ma:internalName="TaxCatchAll" ma:showField="CatchAllData" ma:web="665171ce-a86d-484d-a781-ce3cee188b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baabf47-54a9-4eaa-a352-6da3babdf82a">
      <Terms xmlns="http://schemas.microsoft.com/office/infopath/2007/PartnerControls"/>
    </lcf76f155ced4ddcb4097134ff3c332f>
    <TaxCatchAll xmlns="665171ce-a86d-484d-a781-ce3cee188bb9" xsi:nil="true"/>
  </documentManagement>
</p:properties>
</file>

<file path=customXml/itemProps1.xml><?xml version="1.0" encoding="utf-8"?>
<ds:datastoreItem xmlns:ds="http://schemas.openxmlformats.org/officeDocument/2006/customXml" ds:itemID="{BE080F49-237C-4ECE-B0B4-351F61B238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aabf47-54a9-4eaa-a352-6da3babdf82a"/>
    <ds:schemaRef ds:uri="665171ce-a86d-484d-a781-ce3cee188b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B3BEF83-4068-4839-B4BB-B395DBBA3C5A}">
  <ds:schemaRefs>
    <ds:schemaRef ds:uri="http://schemas.microsoft.com/sharepoint/v3/contenttype/forms"/>
  </ds:schemaRefs>
</ds:datastoreItem>
</file>

<file path=customXml/itemProps3.xml><?xml version="1.0" encoding="utf-8"?>
<ds:datastoreItem xmlns:ds="http://schemas.openxmlformats.org/officeDocument/2006/customXml" ds:itemID="{70DC86E7-FA41-4B76-B7EC-BD18E05FF000}">
  <ds:schemaRefs>
    <ds:schemaRef ds:uri="http://schemas.microsoft.com/office/2006/metadata/properties"/>
    <ds:schemaRef ds:uri="http://schemas.microsoft.com/office/infopath/2007/PartnerControls"/>
    <ds:schemaRef ds:uri="9baabf47-54a9-4eaa-a352-6da3babdf82a"/>
    <ds:schemaRef ds:uri="665171ce-a86d-484d-a781-ce3cee188b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Index</vt:lpstr>
      <vt:lpstr>Start Cases</vt:lpstr>
      <vt:lpstr>RPG Projects Removed or Moved</vt:lpstr>
      <vt:lpstr>Recently Approved RPG Projects</vt:lpstr>
      <vt:lpstr>Model Updates &amp; Corrections</vt:lpstr>
      <vt:lpstr>Transmission &amp; Gen Outages</vt:lpstr>
      <vt:lpstr>Temp. for Dynamic Ratings</vt:lpstr>
      <vt:lpstr>Gen Add. Ret. and Mothball</vt:lpstr>
      <vt:lpstr>Renewable Generation Dispatch</vt:lpstr>
      <vt:lpstr>Switchable Generation</vt:lpstr>
      <vt:lpstr>DC Tie Modeling &amp; Dispatch</vt:lpstr>
      <vt:lpstr>Reserve Requirement</vt:lpstr>
      <vt:lpstr>Fuel Price Assumptions</vt:lpstr>
      <vt:lpstr>Reliability Case-Load Forecast</vt:lpstr>
      <vt:lpstr>Sensitivity Analysis</vt:lpstr>
    </vt:vector>
  </TitlesOfParts>
  <Manager/>
  <Company>The Electric Reliability Council of Texas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Borkar, Sandeep</dc:creator>
  <cp:keywords/>
  <dc:description/>
  <cp:lastModifiedBy>Allen, Johanna</cp:lastModifiedBy>
  <cp:revision/>
  <dcterms:created xsi:type="dcterms:W3CDTF">2016-10-04T14:07:58Z</dcterms:created>
  <dcterms:modified xsi:type="dcterms:W3CDTF">2025-12-22T19:41:54Z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084cbda-52b8-46fb-a7b7-cb5bd465ed85_Enabled">
    <vt:lpwstr>true</vt:lpwstr>
  </property>
  <property fmtid="{D5CDD505-2E9C-101B-9397-08002B2CF9AE}" pid="3" name="MSIP_Label_7084cbda-52b8-46fb-a7b7-cb5bd465ed85_SetDate">
    <vt:lpwstr>2023-08-03T20:39:17Z</vt:lpwstr>
  </property>
  <property fmtid="{D5CDD505-2E9C-101B-9397-08002B2CF9AE}" pid="4" name="MSIP_Label_7084cbda-52b8-46fb-a7b7-cb5bd465ed85_Method">
    <vt:lpwstr>Standard</vt:lpwstr>
  </property>
  <property fmtid="{D5CDD505-2E9C-101B-9397-08002B2CF9AE}" pid="5" name="MSIP_Label_7084cbda-52b8-46fb-a7b7-cb5bd465ed85_Name">
    <vt:lpwstr>Internal</vt:lpwstr>
  </property>
  <property fmtid="{D5CDD505-2E9C-101B-9397-08002B2CF9AE}" pid="6" name="MSIP_Label_7084cbda-52b8-46fb-a7b7-cb5bd465ed85_SiteId">
    <vt:lpwstr>0afb747d-bff7-4596-a9fc-950ef9e0ec45</vt:lpwstr>
  </property>
  <property fmtid="{D5CDD505-2E9C-101B-9397-08002B2CF9AE}" pid="7" name="MSIP_Label_7084cbda-52b8-46fb-a7b7-cb5bd465ed85_ActionId">
    <vt:lpwstr>904ed65c-6843-41a6-92b9-f61b6c1f2e7c</vt:lpwstr>
  </property>
  <property fmtid="{D5CDD505-2E9C-101B-9397-08002B2CF9AE}" pid="8" name="MSIP_Label_7084cbda-52b8-46fb-a7b7-cb5bd465ed85_ContentBits">
    <vt:lpwstr>0</vt:lpwstr>
  </property>
  <property fmtid="{D5CDD505-2E9C-101B-9397-08002B2CF9AE}" pid="9" name="ContentTypeId">
    <vt:lpwstr>0x010100510F7BE7970FB54CA36942BB851EA1F8</vt:lpwstr>
  </property>
  <property fmtid="{D5CDD505-2E9C-101B-9397-08002B2CF9AE}" pid="10" name="MediaServiceImageTags">
    <vt:lpwstr/>
  </property>
</Properties>
</file>