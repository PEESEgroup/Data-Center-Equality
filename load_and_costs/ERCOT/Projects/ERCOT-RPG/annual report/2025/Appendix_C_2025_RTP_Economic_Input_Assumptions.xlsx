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2025 RTP\Economics\report\final_12192025\"/>
    </mc:Choice>
  </mc:AlternateContent>
  <xr:revisionPtr revIDLastSave="0" documentId="8_{6331285D-C043-4B09-AF0A-69AEE759C419}" xr6:coauthVersionLast="47" xr6:coauthVersionMax="47" xr10:uidLastSave="{00000000-0000-0000-0000-000000000000}"/>
  <bookViews>
    <workbookView xWindow="-108" yWindow="-108" windowWidth="23256" windowHeight="12456" tabRatio="931" firstSheet="7" activeTab="12" xr2:uid="{00000000-000D-0000-FFFF-FFFF00000000}"/>
  </bookViews>
  <sheets>
    <sheet name="Index" sheetId="1" r:id="rId1"/>
    <sheet name="Start Cases" sheetId="25" r:id="rId2"/>
    <sheet name="Recently Approved RPG Projects" sheetId="22" r:id="rId3"/>
    <sheet name="Model Updates &amp; Corrections" sheetId="5" r:id="rId4"/>
    <sheet name="Transmission &amp; Gen Outages" sheetId="6" r:id="rId5"/>
    <sheet name="Renewable Generation Dispatch" sheetId="24" r:id="rId6"/>
    <sheet name="Gen Add, Ret. and Mothball" sheetId="23" r:id="rId7"/>
    <sheet name="Switchable Generation" sheetId="9" r:id="rId8"/>
    <sheet name="DC Tie Modeling &amp; Dispatch" sheetId="10" r:id="rId9"/>
    <sheet name="Reserve Requirement" sheetId="11" r:id="rId10"/>
    <sheet name="Fuel Price Assumptions" sheetId="12" r:id="rId11"/>
    <sheet name="Emission Cost Assumptions" sheetId="13" r:id="rId12"/>
    <sheet name="Load Forecast Weather Year" sheetId="15" r:id="rId13"/>
  </sheets>
  <definedNames>
    <definedName name="_xlnm._FilterDatabase" localSheetId="6" hidden="1">'Gen Add, Ret. and Mothball'!$A$1:$O$617</definedName>
    <definedName name="_xlnm._FilterDatabase" localSheetId="3" hidden="1">'Model Updates &amp; Corrections'!$A$7:$E$23</definedName>
    <definedName name="_xlnm._FilterDatabase" localSheetId="2" hidden="1">'Recently Approved RPG Projects'!$A$5:$F$12</definedName>
    <definedName name="Load_Forecast__Economic__Weather_Year_Assumption">Index!$B$16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F38" i="9" l="1"/>
  <c r="E38" i="9"/>
  <c r="D38" i="9"/>
  <c r="C38" i="9"/>
  <c r="B38" i="9"/>
  <c r="F37" i="9"/>
  <c r="E37" i="9"/>
  <c r="D37" i="9"/>
  <c r="C37" i="9"/>
  <c r="B37" i="9"/>
  <c r="J39" i="9"/>
  <c r="I39" i="9"/>
  <c r="H39" i="9"/>
  <c r="F60" i="9"/>
  <c r="F61" i="9"/>
  <c r="F62" i="9"/>
  <c r="F63" i="9"/>
  <c r="F64" i="9"/>
  <c r="F65" i="9"/>
  <c r="F66" i="9"/>
  <c r="F67" i="9"/>
  <c r="F68" i="9"/>
  <c r="F59" i="9"/>
  <c r="F45" i="9"/>
  <c r="F46" i="9"/>
  <c r="F47" i="9"/>
  <c r="F48" i="9"/>
  <c r="F49" i="9"/>
  <c r="F50" i="9"/>
  <c r="F51" i="9"/>
  <c r="F52" i="9"/>
  <c r="F53" i="9"/>
  <c r="F44" i="9"/>
  <c r="G69" i="9"/>
  <c r="G54" i="9"/>
  <c r="B60" i="9"/>
  <c r="C60" i="9"/>
  <c r="D60" i="9"/>
  <c r="E60" i="9"/>
  <c r="B61" i="9"/>
  <c r="C61" i="9"/>
  <c r="D61" i="9"/>
  <c r="E61" i="9"/>
  <c r="B62" i="9"/>
  <c r="C62" i="9"/>
  <c r="D62" i="9"/>
  <c r="E62" i="9"/>
  <c r="B63" i="9"/>
  <c r="C63" i="9"/>
  <c r="D63" i="9"/>
  <c r="E63" i="9"/>
  <c r="B65" i="9"/>
  <c r="C65" i="9"/>
  <c r="D65" i="9"/>
  <c r="E65" i="9"/>
  <c r="B66" i="9"/>
  <c r="C66" i="9"/>
  <c r="D66" i="9"/>
  <c r="E66" i="9"/>
  <c r="B67" i="9"/>
  <c r="C67" i="9"/>
  <c r="D67" i="9"/>
  <c r="E67" i="9"/>
  <c r="B68" i="9"/>
  <c r="C68" i="9"/>
  <c r="D68" i="9"/>
  <c r="E68" i="9"/>
  <c r="E59" i="9"/>
  <c r="D59" i="9"/>
  <c r="C59" i="9"/>
  <c r="B59" i="9"/>
  <c r="E45" i="9"/>
  <c r="E46" i="9"/>
  <c r="E47" i="9"/>
  <c r="E48" i="9"/>
  <c r="E49" i="9"/>
  <c r="E50" i="9"/>
  <c r="E51" i="9"/>
  <c r="E52" i="9"/>
  <c r="E53" i="9"/>
  <c r="E44" i="9"/>
  <c r="D45" i="9"/>
  <c r="D46" i="9"/>
  <c r="D47" i="9"/>
  <c r="D48" i="9"/>
  <c r="D49" i="9"/>
  <c r="D50" i="9"/>
  <c r="D51" i="9"/>
  <c r="D52" i="9"/>
  <c r="D53" i="9"/>
  <c r="D44" i="9"/>
  <c r="C45" i="9"/>
  <c r="C46" i="9"/>
  <c r="C47" i="9"/>
  <c r="C48" i="9"/>
  <c r="C49" i="9"/>
  <c r="C50" i="9"/>
  <c r="C51" i="9"/>
  <c r="C52" i="9"/>
  <c r="C53" i="9"/>
  <c r="C44" i="9"/>
  <c r="B45" i="9"/>
  <c r="B46" i="9"/>
  <c r="B47" i="9"/>
  <c r="B48" i="9"/>
  <c r="B49" i="9"/>
  <c r="B50" i="9"/>
  <c r="B51" i="9"/>
  <c r="B52" i="9"/>
  <c r="B53" i="9"/>
  <c r="B44" i="9"/>
  <c r="H69" i="9"/>
  <c r="H54" i="9"/>
  <c r="N8" i="12"/>
  <c r="N9" i="12"/>
  <c r="N10" i="12"/>
  <c r="N11" i="12"/>
  <c r="N12" i="12"/>
  <c r="N13" i="12"/>
  <c r="N14" i="12"/>
  <c r="N7" i="12"/>
  <c r="G39" i="9" l="1"/>
  <c r="G23" i="9"/>
  <c r="H23" i="9"/>
  <c r="C3" i="1" l="1"/>
  <c r="C4" i="1"/>
  <c r="C6" i="1"/>
  <c r="C14" i="1" l="1"/>
  <c r="C13" i="1"/>
  <c r="C12" i="1"/>
  <c r="C11" i="1"/>
  <c r="C10" i="1"/>
  <c r="C9" i="1"/>
  <c r="C8" i="1"/>
  <c r="C5" i="1"/>
  <c r="D13" i="1" l="1"/>
  <c r="D16" i="1" l="1"/>
  <c r="D14" i="1" l="1"/>
  <c r="D10" i="1" l="1"/>
  <c r="D9" i="1"/>
  <c r="D3" i="1"/>
  <c r="D6" i="1" l="1"/>
  <c r="D5" i="1" l="1"/>
  <c r="D8" i="1"/>
  <c r="D4" i="1" l="1"/>
  <c r="C16" i="1" l="1"/>
</calcChain>
</file>

<file path=xl/sharedStrings.xml><?xml version="1.0" encoding="utf-8"?>
<sst xmlns="http://schemas.openxmlformats.org/spreadsheetml/2006/main" count="4870" uniqueCount="1475">
  <si>
    <t>RTP Scope Section Number</t>
  </si>
  <si>
    <t>Input Assumption</t>
  </si>
  <si>
    <t>Status</t>
  </si>
  <si>
    <t>Date</t>
  </si>
  <si>
    <t>Transmission Topology</t>
  </si>
  <si>
    <t>Start Cases</t>
  </si>
  <si>
    <t>Recently Approved RPG Projects</t>
  </si>
  <si>
    <t>Model Updates/Corrections</t>
  </si>
  <si>
    <t>3.1.3</t>
  </si>
  <si>
    <t>Transmission &amp; Generation Outages</t>
  </si>
  <si>
    <t>Generation</t>
  </si>
  <si>
    <t>3.2.1</t>
  </si>
  <si>
    <t>Generation Additions, Retirements and Mothballs</t>
  </si>
  <si>
    <t>3.2.2</t>
  </si>
  <si>
    <t>Renewable Generation Dispatch</t>
  </si>
  <si>
    <t>3.2.3</t>
  </si>
  <si>
    <t xml:space="preserve">Switchable Generation </t>
  </si>
  <si>
    <t>3.2.4</t>
  </si>
  <si>
    <t>DC Tie Modeling and Dispatch</t>
  </si>
  <si>
    <t>3.2.5</t>
  </si>
  <si>
    <t>Reserve Requirements</t>
  </si>
  <si>
    <t>3.2.6</t>
  </si>
  <si>
    <t>Fuel Price Assumptions</t>
  </si>
  <si>
    <t>Emission Cost Assumptions</t>
  </si>
  <si>
    <t>Demand</t>
  </si>
  <si>
    <t>Date Last Updated:</t>
  </si>
  <si>
    <t>Back</t>
  </si>
  <si>
    <t>Final</t>
  </si>
  <si>
    <t>RPG Project ID</t>
  </si>
  <si>
    <t>Project Name</t>
  </si>
  <si>
    <t>TDSP</t>
  </si>
  <si>
    <t>Approve Date</t>
  </si>
  <si>
    <t>23RPG032</t>
  </si>
  <si>
    <t>BEC</t>
  </si>
  <si>
    <t>24RPG010</t>
  </si>
  <si>
    <t>Delaware Basin Stages 3 and 4 Project</t>
  </si>
  <si>
    <t>Oncor</t>
  </si>
  <si>
    <t>24RPG015</t>
  </si>
  <si>
    <t>24RPG008</t>
  </si>
  <si>
    <t xml:space="preserve">Brownsville Area Improvements Transmission Project </t>
  </si>
  <si>
    <t>AEPSC</t>
  </si>
  <si>
    <t>24RPG038</t>
  </si>
  <si>
    <t>Bergheim Substation Upgrade Project</t>
  </si>
  <si>
    <t>LCRA TSC, PEC</t>
  </si>
  <si>
    <t>24RPG017</t>
  </si>
  <si>
    <t>Venus Switch to Sam Switch 345-kV Line Project</t>
  </si>
  <si>
    <t>24RPG007</t>
  </si>
  <si>
    <t>Notes:</t>
  </si>
  <si>
    <t>Model Corrections/Updates Made to the 2024 RTP Cases</t>
  </si>
  <si>
    <t>Transmission Changes</t>
  </si>
  <si>
    <t>TO</t>
  </si>
  <si>
    <t>Comments</t>
  </si>
  <si>
    <t>Generation Changes</t>
  </si>
  <si>
    <t>Phase Shifters</t>
  </si>
  <si>
    <t>Outaged Element</t>
  </si>
  <si>
    <t>Associated TO/RE</t>
  </si>
  <si>
    <t>Notes</t>
  </si>
  <si>
    <t>Spencer Unit 4</t>
  </si>
  <si>
    <t>City of Garland</t>
  </si>
  <si>
    <t>X</t>
  </si>
  <si>
    <t>(AS OF 10/24/2022, AVAILABLE 3/1 THROUGH 11/30)</t>
  </si>
  <si>
    <t>Spencer Unit 5</t>
  </si>
  <si>
    <t>Powerlane Plant STG 1</t>
  </si>
  <si>
    <t>GEUS</t>
  </si>
  <si>
    <t>(AS OF 10/1/2022, AVAILABLE 5/1 THROUGH 9/30)</t>
  </si>
  <si>
    <t>CHISHOLM GRID BAT</t>
  </si>
  <si>
    <t>Chisholm Grid, LLC/Able Grid</t>
  </si>
  <si>
    <t>NSO posted (EXT-OUT)</t>
  </si>
  <si>
    <t>Automated maintenance schedules modeled by UPLAN</t>
  </si>
  <si>
    <t>Battery Storage</t>
  </si>
  <si>
    <t>Fuel Oil</t>
  </si>
  <si>
    <t>Gas</t>
  </si>
  <si>
    <t>Solar</t>
  </si>
  <si>
    <t>Wind</t>
  </si>
  <si>
    <t>6.9(1) conditions met as of:</t>
  </si>
  <si>
    <t>New generators that met PG 6.9(1) requirements</t>
  </si>
  <si>
    <t xml:space="preserve">GINR Reference Number                     </t>
  </si>
  <si>
    <t>County</t>
  </si>
  <si>
    <t>Projected Date</t>
  </si>
  <si>
    <t>Fuel</t>
  </si>
  <si>
    <t xml:space="preserve">MW For Grid </t>
  </si>
  <si>
    <t>Changes From Last Report</t>
  </si>
  <si>
    <t>Meets Section 6.9 Requirements (1)(b) through (1)(d)</t>
  </si>
  <si>
    <t>23INR0372</t>
  </si>
  <si>
    <t>25INR0231</t>
  </si>
  <si>
    <t>22INR0525</t>
  </si>
  <si>
    <t>24INR0493</t>
  </si>
  <si>
    <t>24INR0631</t>
  </si>
  <si>
    <t>23INR0539</t>
  </si>
  <si>
    <t>24INR0610</t>
  </si>
  <si>
    <t>23INR0807</t>
  </si>
  <si>
    <t>22INR0602</t>
  </si>
  <si>
    <t>24INR0586</t>
  </si>
  <si>
    <t>24INR0614</t>
  </si>
  <si>
    <t>24INR0624</t>
  </si>
  <si>
    <t>24INR0660</t>
  </si>
  <si>
    <t>24INR0688</t>
  </si>
  <si>
    <t>20INR0162</t>
  </si>
  <si>
    <t>22INR0239</t>
  </si>
  <si>
    <t>22INR0437</t>
  </si>
  <si>
    <t>22INR0457</t>
  </si>
  <si>
    <t>23INR0181</t>
  </si>
  <si>
    <t>23INR0244</t>
  </si>
  <si>
    <t>24INR0126</t>
  </si>
  <si>
    <t>24INR0201</t>
  </si>
  <si>
    <t>24INR0305</t>
  </si>
  <si>
    <t>24INR0355</t>
  </si>
  <si>
    <t>24INR0364</t>
  </si>
  <si>
    <t>24INR0386</t>
  </si>
  <si>
    <t>24INR0498</t>
  </si>
  <si>
    <t>24INR0528</t>
  </si>
  <si>
    <t>24INR0584</t>
  </si>
  <si>
    <t>25INR0018</t>
  </si>
  <si>
    <t>25INR0046</t>
  </si>
  <si>
    <t>25INR0103</t>
  </si>
  <si>
    <t>25INR0282</t>
  </si>
  <si>
    <t>25INR0283</t>
  </si>
  <si>
    <t>25INR0319</t>
  </si>
  <si>
    <t>25INR0391</t>
  </si>
  <si>
    <t>25INR0392</t>
  </si>
  <si>
    <t>25INR0425</t>
  </si>
  <si>
    <t>25INR0492</t>
  </si>
  <si>
    <t>26INR0034</t>
  </si>
  <si>
    <t>26INR0226</t>
  </si>
  <si>
    <t>26INR0269</t>
  </si>
  <si>
    <t>26INR0296</t>
  </si>
  <si>
    <t>26INR0333</t>
  </si>
  <si>
    <t>26INR0447</t>
  </si>
  <si>
    <t>26INR0452</t>
  </si>
  <si>
    <t>26INR0453</t>
  </si>
  <si>
    <t>26INR0543</t>
  </si>
  <si>
    <t>24INR0188</t>
  </si>
  <si>
    <t>24INR0189</t>
  </si>
  <si>
    <t>23INR0618</t>
  </si>
  <si>
    <t>26INR0189</t>
  </si>
  <si>
    <t>23INR0059</t>
  </si>
  <si>
    <t>23INR0078</t>
  </si>
  <si>
    <t>24INR0044</t>
  </si>
  <si>
    <t>24INR0058</t>
  </si>
  <si>
    <t>24INR0578</t>
  </si>
  <si>
    <t>24INR0582</t>
  </si>
  <si>
    <t>25INR0578</t>
  </si>
  <si>
    <t>25INR0672</t>
  </si>
  <si>
    <t>26INR0524</t>
  </si>
  <si>
    <t>21INR0359</t>
  </si>
  <si>
    <t>Bosque</t>
  </si>
  <si>
    <t>23INR0021</t>
  </si>
  <si>
    <t>24INR0630</t>
  </si>
  <si>
    <t>24INR0629</t>
  </si>
  <si>
    <t>22INR0546</t>
  </si>
  <si>
    <t>24INR0405</t>
  </si>
  <si>
    <t>22INR0356</t>
  </si>
  <si>
    <t>22INR0511</t>
  </si>
  <si>
    <t>22INR0468</t>
  </si>
  <si>
    <t>23INR0103</t>
  </si>
  <si>
    <t>23INR0195</t>
  </si>
  <si>
    <t>23INR0299</t>
  </si>
  <si>
    <t>24INR0421</t>
  </si>
  <si>
    <t>19INR0110</t>
  </si>
  <si>
    <t>23INR0425</t>
  </si>
  <si>
    <t>23INR0401</t>
  </si>
  <si>
    <t>24INR0568</t>
  </si>
  <si>
    <t>21INR0443</t>
  </si>
  <si>
    <t>25INR0421</t>
  </si>
  <si>
    <t>20INR0255</t>
  </si>
  <si>
    <t>20INR0222</t>
  </si>
  <si>
    <t>24INR0315</t>
  </si>
  <si>
    <t>22INR0526</t>
  </si>
  <si>
    <t>23INR0469</t>
  </si>
  <si>
    <t>24INR0491</t>
  </si>
  <si>
    <t>20INR0203</t>
  </si>
  <si>
    <t>16INR0049</t>
  </si>
  <si>
    <t>25INR0271</t>
  </si>
  <si>
    <t>24INR0198</t>
  </si>
  <si>
    <t>24INR0298</t>
  </si>
  <si>
    <t>22INR0554</t>
  </si>
  <si>
    <t>23INR0225</t>
  </si>
  <si>
    <t>26INR0049</t>
  </si>
  <si>
    <t>26INR0109</t>
  </si>
  <si>
    <t>23INR0119</t>
  </si>
  <si>
    <t>23INR0118</t>
  </si>
  <si>
    <t>24INR0166</t>
  </si>
  <si>
    <t>23INR0249</t>
  </si>
  <si>
    <t>21INR0421</t>
  </si>
  <si>
    <t>23INR0079</t>
  </si>
  <si>
    <t>24INR0365</t>
  </si>
  <si>
    <t>23INR0344</t>
  </si>
  <si>
    <t>23INR0235</t>
  </si>
  <si>
    <t>25INR0389</t>
  </si>
  <si>
    <t>24INR0031</t>
  </si>
  <si>
    <t>24INR0093</t>
  </si>
  <si>
    <t>22INR0342</t>
  </si>
  <si>
    <t>21INR0393</t>
  </si>
  <si>
    <t>22INR0467</t>
  </si>
  <si>
    <t>24INR0472</t>
  </si>
  <si>
    <t>23INR0035</t>
  </si>
  <si>
    <t>22INR0388</t>
  </si>
  <si>
    <t>25INR0329</t>
  </si>
  <si>
    <t>23INR0392</t>
  </si>
  <si>
    <t>22INR0559</t>
  </si>
  <si>
    <t>23INR0361</t>
  </si>
  <si>
    <t>24INR0302</t>
  </si>
  <si>
    <t>23INR0093</t>
  </si>
  <si>
    <t>23INR0364</t>
  </si>
  <si>
    <t>23INR0351</t>
  </si>
  <si>
    <t>19INR0023</t>
  </si>
  <si>
    <t>19INR0022</t>
  </si>
  <si>
    <t>24INR0306</t>
  </si>
  <si>
    <t>23INR0354</t>
  </si>
  <si>
    <t>24INR0425</t>
  </si>
  <si>
    <t>21INR0268</t>
  </si>
  <si>
    <t>23INR0056</t>
  </si>
  <si>
    <t>23INR0287</t>
  </si>
  <si>
    <t>23INR0290</t>
  </si>
  <si>
    <t>24INR0460</t>
  </si>
  <si>
    <t>25INR0262</t>
  </si>
  <si>
    <t>25INR0300</t>
  </si>
  <si>
    <t>25INR0467</t>
  </si>
  <si>
    <t>23INR0358</t>
  </si>
  <si>
    <t>24INR0128</t>
  </si>
  <si>
    <t>23INR0029</t>
  </si>
  <si>
    <t>20INR0155</t>
  </si>
  <si>
    <t>23INR0084</t>
  </si>
  <si>
    <t>23INR0150</t>
  </si>
  <si>
    <t>25INR0102</t>
  </si>
  <si>
    <t>23INR0057</t>
  </si>
  <si>
    <t>22INR0517</t>
  </si>
  <si>
    <t>24INR0482</t>
  </si>
  <si>
    <t>22INR0540</t>
  </si>
  <si>
    <t>22INR0558</t>
  </si>
  <si>
    <t>24INR0456</t>
  </si>
  <si>
    <t>24INR0258</t>
  </si>
  <si>
    <t>20INR0242</t>
  </si>
  <si>
    <t>22INR0274</t>
  </si>
  <si>
    <t>23INR0202</t>
  </si>
  <si>
    <t>23INR0501</t>
  </si>
  <si>
    <t>23INR0350</t>
  </si>
  <si>
    <t>24INR0294</t>
  </si>
  <si>
    <t>25INR0081</t>
  </si>
  <si>
    <t>25INR0052</t>
  </si>
  <si>
    <t>24INR0059</t>
  </si>
  <si>
    <t>22INR0401</t>
  </si>
  <si>
    <t>23INR0061</t>
  </si>
  <si>
    <t>24INR0627</t>
  </si>
  <si>
    <t>25INR0208</t>
  </si>
  <si>
    <t>25INR0131</t>
  </si>
  <si>
    <t>23INR0286</t>
  </si>
  <si>
    <t>21INR0517</t>
  </si>
  <si>
    <t>23INR0494</t>
  </si>
  <si>
    <t>24INR0477</t>
  </si>
  <si>
    <t>19INR0042</t>
  </si>
  <si>
    <t>16INR0104</t>
  </si>
  <si>
    <t>25INR0061</t>
  </si>
  <si>
    <t>25INR0060</t>
  </si>
  <si>
    <t>24INR0124</t>
  </si>
  <si>
    <t>24INR0291</t>
  </si>
  <si>
    <t>26INR0023</t>
  </si>
  <si>
    <t>25INR0400</t>
  </si>
  <si>
    <t>23INR0086</t>
  </si>
  <si>
    <t>21INR0031</t>
  </si>
  <si>
    <t>25INR0109</t>
  </si>
  <si>
    <t>21INR0326</t>
  </si>
  <si>
    <t>24INR0207</t>
  </si>
  <si>
    <t>24INR0206</t>
  </si>
  <si>
    <t>23INR0031</t>
  </si>
  <si>
    <t>24INR0399</t>
  </si>
  <si>
    <t>24INR0116</t>
  </si>
  <si>
    <t>22INR0220</t>
  </si>
  <si>
    <t>24INR0533</t>
  </si>
  <si>
    <t>22INR0209</t>
  </si>
  <si>
    <t>27INR0004</t>
  </si>
  <si>
    <t>27INR0005</t>
  </si>
  <si>
    <t>27INR0007</t>
  </si>
  <si>
    <t>27INR0011</t>
  </si>
  <si>
    <t>27INR0012</t>
  </si>
  <si>
    <t>24INR0181</t>
  </si>
  <si>
    <t>27INR0127</t>
  </si>
  <si>
    <t>27INR0128</t>
  </si>
  <si>
    <t>26INR0405</t>
  </si>
  <si>
    <t>25INR0199</t>
  </si>
  <si>
    <t>26INR0521</t>
  </si>
  <si>
    <t>21INR0334</t>
  </si>
  <si>
    <t>23INR0089</t>
  </si>
  <si>
    <t>24INR0453</t>
  </si>
  <si>
    <t>24INR0455</t>
  </si>
  <si>
    <t>23INR0538</t>
  </si>
  <si>
    <t>26INR0669</t>
  </si>
  <si>
    <t>New generators that have a signed IA</t>
  </si>
  <si>
    <t>Projected COD</t>
  </si>
  <si>
    <t>IA Signed</t>
  </si>
  <si>
    <t>23INR0502</t>
  </si>
  <si>
    <t>24INR0066</t>
  </si>
  <si>
    <t>24INR0068</t>
  </si>
  <si>
    <t>24INR0285</t>
  </si>
  <si>
    <t>24INR0330</t>
  </si>
  <si>
    <t>25INR0169</t>
  </si>
  <si>
    <t>25INR0173</t>
  </si>
  <si>
    <t>25INR0175</t>
  </si>
  <si>
    <t>25INR0230</t>
  </si>
  <si>
    <t>25INR0233</t>
  </si>
  <si>
    <t>25INR0293</t>
  </si>
  <si>
    <t>25INR0313</t>
  </si>
  <si>
    <t>25INR0442</t>
  </si>
  <si>
    <t>25INR0480</t>
  </si>
  <si>
    <t>25INR0554</t>
  </si>
  <si>
    <t>26INR0156</t>
  </si>
  <si>
    <t>26INR0310</t>
  </si>
  <si>
    <t>26INR0375</t>
  </si>
  <si>
    <t>26INR0474</t>
  </si>
  <si>
    <t>27INR0048</t>
  </si>
  <si>
    <t>27INR0297</t>
  </si>
  <si>
    <t>24INR0154</t>
  </si>
  <si>
    <t>24INR0156</t>
  </si>
  <si>
    <t>24INR0161</t>
  </si>
  <si>
    <t>22INR0605</t>
  </si>
  <si>
    <t>27INR0243</t>
  </si>
  <si>
    <t>25INR0174</t>
  </si>
  <si>
    <t>26INR0431</t>
  </si>
  <si>
    <t>25INR0168</t>
  </si>
  <si>
    <t>26INR0155</t>
  </si>
  <si>
    <t>28INR0024</t>
  </si>
  <si>
    <t>25INR0229</t>
  </si>
  <si>
    <t>24INR0065</t>
  </si>
  <si>
    <t>25INR0164</t>
  </si>
  <si>
    <t>22INR0301</t>
  </si>
  <si>
    <t>25INR0382</t>
  </si>
  <si>
    <t>24INR0067</t>
  </si>
  <si>
    <t>26INR0021</t>
  </si>
  <si>
    <t>27INR0047</t>
  </si>
  <si>
    <t>22INR0426</t>
  </si>
  <si>
    <t>25INR0172</t>
  </si>
  <si>
    <t>25INR0330</t>
  </si>
  <si>
    <t>23INR0261</t>
  </si>
  <si>
    <t>24INR0356</t>
  </si>
  <si>
    <t>23INR0441</t>
  </si>
  <si>
    <t>25INR0166</t>
  </si>
  <si>
    <t>26INR0074</t>
  </si>
  <si>
    <t>24INR0484</t>
  </si>
  <si>
    <t>24INR0155</t>
  </si>
  <si>
    <t>24INR0490</t>
  </si>
  <si>
    <t>26INR0180</t>
  </si>
  <si>
    <t>24INR0543</t>
  </si>
  <si>
    <t>24INR0108</t>
  </si>
  <si>
    <t>25INR0235</t>
  </si>
  <si>
    <t>25INR0236</t>
  </si>
  <si>
    <t>25INR0237</t>
  </si>
  <si>
    <t>29INR0015</t>
  </si>
  <si>
    <t>20INR0086</t>
  </si>
  <si>
    <t>23INR0137</t>
  </si>
  <si>
    <t>23INR0487</t>
  </si>
  <si>
    <t>26INR0201</t>
  </si>
  <si>
    <t>20INR0247</t>
  </si>
  <si>
    <t>23INR0140</t>
  </si>
  <si>
    <t>24INR0304</t>
  </si>
  <si>
    <t>25INR0202</t>
  </si>
  <si>
    <t>25INR0225</t>
  </si>
  <si>
    <t>25INR0422</t>
  </si>
  <si>
    <t>25INR0447</t>
  </si>
  <si>
    <t>25INR0557</t>
  </si>
  <si>
    <t>26INR0309</t>
  </si>
  <si>
    <t>27INR0056</t>
  </si>
  <si>
    <t>27INR0080</t>
  </si>
  <si>
    <t>23INR0088</t>
  </si>
  <si>
    <t>26INR0359</t>
  </si>
  <si>
    <t>Borden</t>
  </si>
  <si>
    <t/>
  </si>
  <si>
    <t>22INR0281</t>
  </si>
  <si>
    <t>24INR0274</t>
  </si>
  <si>
    <t>23INR0248</t>
  </si>
  <si>
    <t>25INR0100</t>
  </si>
  <si>
    <t>24INR0042</t>
  </si>
  <si>
    <t>21INR0391</t>
  </si>
  <si>
    <t>16INR0112</t>
  </si>
  <si>
    <t>21INR0210</t>
  </si>
  <si>
    <t>24INR0313</t>
  </si>
  <si>
    <t>24INR0514</t>
  </si>
  <si>
    <t>22INR0307</t>
  </si>
  <si>
    <t>23INR0300</t>
  </si>
  <si>
    <t>21INR0263</t>
  </si>
  <si>
    <t>24INR0275</t>
  </si>
  <si>
    <t>20INR0050</t>
  </si>
  <si>
    <t>24INR0410</t>
  </si>
  <si>
    <t>24INR0382</t>
  </si>
  <si>
    <t>24INR0196</t>
  </si>
  <si>
    <t>23INR0040</t>
  </si>
  <si>
    <t>22INR0417</t>
  </si>
  <si>
    <t>21INR0256</t>
  </si>
  <si>
    <t>25INR0068</t>
  </si>
  <si>
    <t>23INR0058</t>
  </si>
  <si>
    <t>23INR0423</t>
  </si>
  <si>
    <t>23INR0385</t>
  </si>
  <si>
    <t>23INR0116</t>
  </si>
  <si>
    <t>22INR0499</t>
  </si>
  <si>
    <t>22INR0262</t>
  </si>
  <si>
    <t>23INR0340</t>
  </si>
  <si>
    <t>25INR0080</t>
  </si>
  <si>
    <t>26INR0113</t>
  </si>
  <si>
    <t>21INR0428</t>
  </si>
  <si>
    <t>24INR0403</t>
  </si>
  <si>
    <t>24INR0401</t>
  </si>
  <si>
    <t>22INR0257</t>
  </si>
  <si>
    <t>18INR0073</t>
  </si>
  <si>
    <t>23INR0289</t>
  </si>
  <si>
    <t>23INR0345</t>
  </si>
  <si>
    <t>22INR0279</t>
  </si>
  <si>
    <t>21INR0444</t>
  </si>
  <si>
    <t>23INR0324</t>
  </si>
  <si>
    <t>21INR0029</t>
  </si>
  <si>
    <t>21INR0033</t>
  </si>
  <si>
    <t>21INR0022</t>
  </si>
  <si>
    <t>21INR0362</t>
  </si>
  <si>
    <t>23INR0083</t>
  </si>
  <si>
    <t>23INR0082</t>
  </si>
  <si>
    <t>23INR0207</t>
  </si>
  <si>
    <t>21INR0520</t>
  </si>
  <si>
    <t>25INR0055</t>
  </si>
  <si>
    <t>24INR0106</t>
  </si>
  <si>
    <t>24INR0303</t>
  </si>
  <si>
    <t>21INR0207</t>
  </si>
  <si>
    <t>23INR0200</t>
  </si>
  <si>
    <t>23INR0342</t>
  </si>
  <si>
    <t>23INR0479</t>
  </si>
  <si>
    <t>24INR0422</t>
  </si>
  <si>
    <t>24INR0452</t>
  </si>
  <si>
    <t>24INR0454</t>
  </si>
  <si>
    <t>25INR0441</t>
  </si>
  <si>
    <t>26INR0290</t>
  </si>
  <si>
    <t>26INR0291</t>
  </si>
  <si>
    <t>25INR0253</t>
  </si>
  <si>
    <t>24INR0471</t>
  </si>
  <si>
    <t>25INR0384</t>
  </si>
  <si>
    <t>26INR0340</t>
  </si>
  <si>
    <t>26INR0077</t>
  </si>
  <si>
    <t>24INR0476</t>
  </si>
  <si>
    <t>24INR0271</t>
  </si>
  <si>
    <t>24INR0269</t>
  </si>
  <si>
    <t>24INR0326</t>
  </si>
  <si>
    <t>26INR0241</t>
  </si>
  <si>
    <t>25INR0460</t>
  </si>
  <si>
    <t>25INR0688</t>
  </si>
  <si>
    <t>26INR0242</t>
  </si>
  <si>
    <t>27INR0321</t>
  </si>
  <si>
    <t>26INR0314</t>
  </si>
  <si>
    <t>26INR0417</t>
  </si>
  <si>
    <t>27INR0118</t>
  </si>
  <si>
    <t>New generators that have completed FIS</t>
  </si>
  <si>
    <t>FIS Started/Completed</t>
  </si>
  <si>
    <t>25INR0374</t>
  </si>
  <si>
    <t>25INR0190</t>
  </si>
  <si>
    <t>25INR0301</t>
  </si>
  <si>
    <t>26INR0215</t>
  </si>
  <si>
    <t>23INR0422</t>
  </si>
  <si>
    <t>24INR0178</t>
  </si>
  <si>
    <t>23INR0495</t>
  </si>
  <si>
    <t>24INR0450</t>
  </si>
  <si>
    <t>25INR0167</t>
  </si>
  <si>
    <t>20INR0244</t>
  </si>
  <si>
    <t>25INR0222</t>
  </si>
  <si>
    <t>22INR0443</t>
  </si>
  <si>
    <t>25INR0431</t>
  </si>
  <si>
    <t>25INR0396</t>
  </si>
  <si>
    <t>24INR0570</t>
  </si>
  <si>
    <t>27INR0096</t>
  </si>
  <si>
    <t>26INR0432</t>
  </si>
  <si>
    <t>25INR0372</t>
  </si>
  <si>
    <t>27INR0102</t>
  </si>
  <si>
    <t>23INR0335</t>
  </si>
  <si>
    <t>26INR0285</t>
  </si>
  <si>
    <t>27INR0190</t>
  </si>
  <si>
    <t>24INR0461</t>
  </si>
  <si>
    <t>24INR0011</t>
  </si>
  <si>
    <t>27INR0085</t>
  </si>
  <si>
    <t>26INR0411</t>
  </si>
  <si>
    <t>23INR0360</t>
  </si>
  <si>
    <t>26INR0355</t>
  </si>
  <si>
    <t>23INR0318</t>
  </si>
  <si>
    <t>25INR0487</t>
  </si>
  <si>
    <t>25INR0420</t>
  </si>
  <si>
    <t>25INR0405</t>
  </si>
  <si>
    <t>25INR0371</t>
  </si>
  <si>
    <t>25INR0370</t>
  </si>
  <si>
    <t>25INR0369</t>
  </si>
  <si>
    <t>25INR0363</t>
  </si>
  <si>
    <t>25INR0311</t>
  </si>
  <si>
    <t>25INR0184</t>
  </si>
  <si>
    <t>25INR0142</t>
  </si>
  <si>
    <t>25INR0139</t>
  </si>
  <si>
    <t>25INR0138</t>
  </si>
  <si>
    <t>24INR0369</t>
  </si>
  <si>
    <t>24INR0331</t>
  </si>
  <si>
    <t>24INR0153</t>
  </si>
  <si>
    <t>23INR0474</t>
  </si>
  <si>
    <t>26INR0321</t>
  </si>
  <si>
    <t>24INR0110</t>
  </si>
  <si>
    <t>24INR0167</t>
  </si>
  <si>
    <t>25INR0482</t>
  </si>
  <si>
    <t>22INR0444</t>
  </si>
  <si>
    <t>25INR0281</t>
  </si>
  <si>
    <t>23INR0101</t>
  </si>
  <si>
    <t>23INR0439</t>
  </si>
  <si>
    <t>26INR0235</t>
  </si>
  <si>
    <t>26INR0253</t>
  </si>
  <si>
    <t>24INR0099</t>
  </si>
  <si>
    <t>21INR0320</t>
  </si>
  <si>
    <t>25INR0494</t>
  </si>
  <si>
    <t>24INR0150</t>
  </si>
  <si>
    <t>24INR0333</t>
  </si>
  <si>
    <t>24INR0368</t>
  </si>
  <si>
    <t>24INR0569</t>
  </si>
  <si>
    <t>24INR0118</t>
  </si>
  <si>
    <t>24INR0177</t>
  </si>
  <si>
    <t>24INR0255</t>
  </si>
  <si>
    <t>24INR0375</t>
  </si>
  <si>
    <t>25INR0440</t>
  </si>
  <si>
    <t>25INR0706</t>
  </si>
  <si>
    <t>26INR0138</t>
  </si>
  <si>
    <t>26INR0139</t>
  </si>
  <si>
    <t>26INR0231</t>
  </si>
  <si>
    <t>26INR0280</t>
  </si>
  <si>
    <t>26INR0324</t>
  </si>
  <si>
    <t>26INR0349</t>
  </si>
  <si>
    <t>26INR0472</t>
  </si>
  <si>
    <t>26INR0551</t>
  </si>
  <si>
    <t>25INR0471</t>
  </si>
  <si>
    <t>26INR0519</t>
  </si>
  <si>
    <t>24INR0567</t>
  </si>
  <si>
    <t>26INR0294</t>
  </si>
  <si>
    <t>26INR0183</t>
  </si>
  <si>
    <t>27INR0209</t>
  </si>
  <si>
    <t>25INR0133</t>
  </si>
  <si>
    <t>27INR0234</t>
  </si>
  <si>
    <t>27INR0218</t>
  </si>
  <si>
    <t>24INR0423</t>
  </si>
  <si>
    <t>24INR0340</t>
  </si>
  <si>
    <t>25INR0008</t>
  </si>
  <si>
    <t>26INR0408</t>
  </si>
  <si>
    <t>24INR0339</t>
  </si>
  <si>
    <t>27INR0324</t>
  </si>
  <si>
    <t>29INR0041</t>
  </si>
  <si>
    <t>26INR0529</t>
  </si>
  <si>
    <t>27INR0071</t>
  </si>
  <si>
    <t>26INR0597</t>
  </si>
  <si>
    <t>29INR0083</t>
  </si>
  <si>
    <t>26INR0537</t>
  </si>
  <si>
    <t>29INR0048</t>
  </si>
  <si>
    <t>26INR0345</t>
  </si>
  <si>
    <t>28INR0086</t>
  </si>
  <si>
    <t>27INR0084</t>
  </si>
  <si>
    <t>28INR0108</t>
  </si>
  <si>
    <t>28INR0105</t>
  </si>
  <si>
    <t>28INR0109</t>
  </si>
  <si>
    <t>28INR0090</t>
  </si>
  <si>
    <t>28INR0089</t>
  </si>
  <si>
    <t>27INR0272</t>
  </si>
  <si>
    <t>18INR0009</t>
  </si>
  <si>
    <t>28INR0087</t>
  </si>
  <si>
    <t>26INR0396</t>
  </si>
  <si>
    <t>22INR0497</t>
  </si>
  <si>
    <t>26INR0351</t>
  </si>
  <si>
    <t>26INR0350</t>
  </si>
  <si>
    <t>24INR0145</t>
  </si>
  <si>
    <t>26INR0261</t>
  </si>
  <si>
    <t>27INR0095</t>
  </si>
  <si>
    <t>24INR0411</t>
  </si>
  <si>
    <t>24INR0576</t>
  </si>
  <si>
    <t>24INR0479</t>
  </si>
  <si>
    <t>23INR0486</t>
  </si>
  <si>
    <t>27INR0181</t>
  </si>
  <si>
    <t>21INR0534</t>
  </si>
  <si>
    <t>22INR0543</t>
  </si>
  <si>
    <t>22INR0523</t>
  </si>
  <si>
    <t>22INR0586</t>
  </si>
  <si>
    <t>21INR0527</t>
  </si>
  <si>
    <t>26INR0111</t>
  </si>
  <si>
    <t>29INR0068</t>
  </si>
  <si>
    <t>27INR0497</t>
  </si>
  <si>
    <t>26INR0560</t>
  </si>
  <si>
    <t>27INR0320</t>
  </si>
  <si>
    <t>27INR0337</t>
  </si>
  <si>
    <t>27INR0489</t>
  </si>
  <si>
    <t>28INR0121</t>
  </si>
  <si>
    <t>28INR0413</t>
  </si>
  <si>
    <t>Tolivar Power Plant Phase 2</t>
  </si>
  <si>
    <t>Reeves</t>
  </si>
  <si>
    <t>29INR0166</t>
  </si>
  <si>
    <t>LOST PINES GAS RECIP</t>
  </si>
  <si>
    <t>Bastrop</t>
  </si>
  <si>
    <t>29INR0176</t>
  </si>
  <si>
    <t>SCHNEIDER GAS RICE</t>
  </si>
  <si>
    <t>Caldwell</t>
  </si>
  <si>
    <t>PG 6.9(1) Inactive Projects</t>
  </si>
  <si>
    <t>INR</t>
  </si>
  <si>
    <t>MW</t>
  </si>
  <si>
    <t>24INR0169</t>
  </si>
  <si>
    <t>23INR0232</t>
  </si>
  <si>
    <t>23INR0231</t>
  </si>
  <si>
    <t>21INR0274</t>
  </si>
  <si>
    <t>24INR0259</t>
  </si>
  <si>
    <t>23INR0117</t>
  </si>
  <si>
    <t>24INR0605</t>
  </si>
  <si>
    <t>23INR0156</t>
  </si>
  <si>
    <t>23INR0155</t>
  </si>
  <si>
    <t>24INR0075</t>
  </si>
  <si>
    <t>PG 6.9(1) Cancelled Projects</t>
  </si>
  <si>
    <t>21INR0017</t>
  </si>
  <si>
    <t>21INR0016</t>
  </si>
  <si>
    <t>18INR0058</t>
  </si>
  <si>
    <t>26INR0042</t>
  </si>
  <si>
    <t>18INR0068</t>
  </si>
  <si>
    <t>22INR0211</t>
  </si>
  <si>
    <t>25INR0160</t>
  </si>
  <si>
    <t>22INR0361</t>
  </si>
  <si>
    <t>21INR0226</t>
  </si>
  <si>
    <t>24INR0395</t>
  </si>
  <si>
    <t>20INR0035</t>
  </si>
  <si>
    <t>21INR0021</t>
  </si>
  <si>
    <t>24INR0057</t>
  </si>
  <si>
    <t>21INR0500</t>
  </si>
  <si>
    <t>23INR0411</t>
  </si>
  <si>
    <t>23INR0144</t>
  </si>
  <si>
    <t>17INR0022</t>
  </si>
  <si>
    <t>Retired Units</t>
  </si>
  <si>
    <t>Unit Name</t>
  </si>
  <si>
    <t>MW For Grid</t>
  </si>
  <si>
    <t>CALENERGY-FALCON SEABOARD STG 3 (FLCNS_UNIT3)</t>
  </si>
  <si>
    <t>TOS BATTERY STORAGE (DGR)</t>
  </si>
  <si>
    <t>DOW G37</t>
  </si>
  <si>
    <t>J T DEELY U1</t>
  </si>
  <si>
    <t>J T DEELY U2</t>
  </si>
  <si>
    <t>OCI_ALM1_ASTRO1</t>
  </si>
  <si>
    <t>Generation Resources Unavailable in Planning Studies Prior to NSO</t>
  </si>
  <si>
    <t>Sommers Unit #1</t>
  </si>
  <si>
    <t>Sommers Unit #2</t>
  </si>
  <si>
    <t>Spruce Unit #1</t>
  </si>
  <si>
    <t>Mothballed Units</t>
  </si>
  <si>
    <t>AMOC_AMOCO_5</t>
  </si>
  <si>
    <t>DOWGEN_DOW_G66</t>
  </si>
  <si>
    <t>Bayou Cogen</t>
  </si>
  <si>
    <t>DOW ST64</t>
  </si>
  <si>
    <t>R W MILLER STG 1</t>
  </si>
  <si>
    <t xml:space="preserve">Retirement Units back in service </t>
  </si>
  <si>
    <t>BARNEY M DAVIS STG 1</t>
  </si>
  <si>
    <t>Withdrawal of NSO</t>
  </si>
  <si>
    <t>MOUNTAIN CREEK STG 8</t>
  </si>
  <si>
    <t>PETRA NOVA</t>
  </si>
  <si>
    <t>GREGORY POWER PARTNERS GT1</t>
  </si>
  <si>
    <t>GREGORY POWER PARTNERS GT2</t>
  </si>
  <si>
    <t>GREGORY POWER PARTNERS STG</t>
  </si>
  <si>
    <t>Fuel Change - Coal to Gas</t>
  </si>
  <si>
    <t>Luminant’s Coleto Creek</t>
  </si>
  <si>
    <t>26INR0664</t>
  </si>
  <si>
    <t>SS Completed, FIS Started, No IA</t>
  </si>
  <si>
    <t>Upton</t>
  </si>
  <si>
    <t>WEST</t>
  </si>
  <si>
    <t>Nolan</t>
  </si>
  <si>
    <t>Brown</t>
  </si>
  <si>
    <t>NORTH</t>
  </si>
  <si>
    <t>Haskell</t>
  </si>
  <si>
    <t>Falls</t>
  </si>
  <si>
    <t>Milam</t>
  </si>
  <si>
    <t>Tom Green</t>
  </si>
  <si>
    <t>Jones</t>
  </si>
  <si>
    <t>Jackson</t>
  </si>
  <si>
    <t>Colorado</t>
  </si>
  <si>
    <t>Leon</t>
  </si>
  <si>
    <t>Matagorda</t>
  </si>
  <si>
    <t>Mitchell</t>
  </si>
  <si>
    <t>Palo Pinto</t>
  </si>
  <si>
    <t>Ector</t>
  </si>
  <si>
    <t>Comanche</t>
  </si>
  <si>
    <t>Lamar</t>
  </si>
  <si>
    <t>Wharton</t>
  </si>
  <si>
    <t>La Salle</t>
  </si>
  <si>
    <t>San Patricio</t>
  </si>
  <si>
    <t>Hunt</t>
  </si>
  <si>
    <t>Hale</t>
  </si>
  <si>
    <t>Grimes</t>
  </si>
  <si>
    <t>Zapata</t>
  </si>
  <si>
    <t>Castro</t>
  </si>
  <si>
    <t>Cameron</t>
  </si>
  <si>
    <t>Gonzales</t>
  </si>
  <si>
    <t>Victoria</t>
  </si>
  <si>
    <t>Navarro</t>
  </si>
  <si>
    <t>Hill</t>
  </si>
  <si>
    <t>Kaufman</t>
  </si>
  <si>
    <t>Hopkins</t>
  </si>
  <si>
    <t>Scurry</t>
  </si>
  <si>
    <t>Wilbarger</t>
  </si>
  <si>
    <t>Cooke</t>
  </si>
  <si>
    <t>Val Verde</t>
  </si>
  <si>
    <t>Starr</t>
  </si>
  <si>
    <t>Swisher</t>
  </si>
  <si>
    <t>Guadalupe</t>
  </si>
  <si>
    <t>Ellis</t>
  </si>
  <si>
    <t>Brazoria</t>
  </si>
  <si>
    <t>Webb</t>
  </si>
  <si>
    <t>Goliad</t>
  </si>
  <si>
    <t>Lampasas</t>
  </si>
  <si>
    <t>Jack</t>
  </si>
  <si>
    <t>Refugio</t>
  </si>
  <si>
    <t>McLennan</t>
  </si>
  <si>
    <t>Freestone</t>
  </si>
  <si>
    <t>Limestone</t>
  </si>
  <si>
    <t>Wilson</t>
  </si>
  <si>
    <t>Deaf Smith</t>
  </si>
  <si>
    <t>Pecos</t>
  </si>
  <si>
    <t>Travis</t>
  </si>
  <si>
    <t>Jim Wells</t>
  </si>
  <si>
    <t>Lee</t>
  </si>
  <si>
    <t>Ward</t>
  </si>
  <si>
    <t>Schleicher</t>
  </si>
  <si>
    <t>Atascosa</t>
  </si>
  <si>
    <t>Wichita</t>
  </si>
  <si>
    <t>Dickens</t>
  </si>
  <si>
    <t>Uvalde</t>
  </si>
  <si>
    <t>Madison</t>
  </si>
  <si>
    <t>Robertson</t>
  </si>
  <si>
    <t>Bell</t>
  </si>
  <si>
    <t>Gillespie</t>
  </si>
  <si>
    <t>Franklin</t>
  </si>
  <si>
    <t>Fisher</t>
  </si>
  <si>
    <t>Glasscock</t>
  </si>
  <si>
    <t>Live Oak</t>
  </si>
  <si>
    <t>Dallas</t>
  </si>
  <si>
    <t>Crane</t>
  </si>
  <si>
    <t>Knox</t>
  </si>
  <si>
    <t>Midland</t>
  </si>
  <si>
    <t>Nueces</t>
  </si>
  <si>
    <t>Bee</t>
  </si>
  <si>
    <t>Coryell</t>
  </si>
  <si>
    <t>Duval</t>
  </si>
  <si>
    <t>Austin</t>
  </si>
  <si>
    <t>Concho</t>
  </si>
  <si>
    <t>Grayson</t>
  </si>
  <si>
    <t>Maverick</t>
  </si>
  <si>
    <t>Wise</t>
  </si>
  <si>
    <t>Crockett</t>
  </si>
  <si>
    <t>Menard</t>
  </si>
  <si>
    <t>Waller</t>
  </si>
  <si>
    <t>Hidalgo</t>
  </si>
  <si>
    <t>Eastland</t>
  </si>
  <si>
    <t>Van Zandt</t>
  </si>
  <si>
    <t>Burnet</t>
  </si>
  <si>
    <t>SS Started, FIS Started, No IA</t>
  </si>
  <si>
    <t>Henderson</t>
  </si>
  <si>
    <t>Stonewall</t>
  </si>
  <si>
    <t>Hood</t>
  </si>
  <si>
    <t>Dimmit</t>
  </si>
  <si>
    <t>Coleman</t>
  </si>
  <si>
    <t>Rusk</t>
  </si>
  <si>
    <t>Callahan</t>
  </si>
  <si>
    <t>Childress</t>
  </si>
  <si>
    <t>Reagan</t>
  </si>
  <si>
    <t>Bexar</t>
  </si>
  <si>
    <t>Anderson</t>
  </si>
  <si>
    <t>Calhoun</t>
  </si>
  <si>
    <t>Harris</t>
  </si>
  <si>
    <t>Lubbock</t>
  </si>
  <si>
    <t>Galveston</t>
  </si>
  <si>
    <t>Willacy</t>
  </si>
  <si>
    <t>Angelina</t>
  </si>
  <si>
    <t>Hays</t>
  </si>
  <si>
    <t>Tarrant</t>
  </si>
  <si>
    <t>Sagewood BESS</t>
  </si>
  <si>
    <t>Collin</t>
  </si>
  <si>
    <t>Fort Bend</t>
  </si>
  <si>
    <t>Cherokee</t>
  </si>
  <si>
    <t>Throckmorton</t>
  </si>
  <si>
    <t>Erath</t>
  </si>
  <si>
    <t>Bandera</t>
  </si>
  <si>
    <t>Martin</t>
  </si>
  <si>
    <t>Fannin</t>
  </si>
  <si>
    <t>Johnson</t>
  </si>
  <si>
    <t>Smith</t>
  </si>
  <si>
    <t>Montague</t>
  </si>
  <si>
    <t>Motley</t>
  </si>
  <si>
    <t>Rains</t>
  </si>
  <si>
    <t>Eagle Pines Gas</t>
  </si>
  <si>
    <t>GAS</t>
  </si>
  <si>
    <t>Hays Energy Unit 3 Repower</t>
  </si>
  <si>
    <t>Midlothian Unit 2 repower</t>
  </si>
  <si>
    <t>TEXPO</t>
  </si>
  <si>
    <t>Midlothian 4 repower</t>
  </si>
  <si>
    <t>Midlothian Unit 3 repower</t>
  </si>
  <si>
    <t>Enchanted Rock NEWPP</t>
  </si>
  <si>
    <t>SS Completed, FIS Completed, IA</t>
  </si>
  <si>
    <t>Hays Energy Unit 2 Repower</t>
  </si>
  <si>
    <t>Cedar Bayou 5 (TEF - Due Diligence)</t>
  </si>
  <si>
    <t>Chambers</t>
  </si>
  <si>
    <t xml:space="preserve">Elmax Power Station </t>
  </si>
  <si>
    <t>SS Completed, FIS Started, IA</t>
  </si>
  <si>
    <t>Lamar Unit 1 Repower</t>
  </si>
  <si>
    <t>Calpine Guadalupe Peakers</t>
  </si>
  <si>
    <t>Remy Jade III Power Station</t>
  </si>
  <si>
    <t>NRG Greens Bayou 6 (TEF-Due Diligence)</t>
  </si>
  <si>
    <t>NRG Greens Bayou 9 345</t>
  </si>
  <si>
    <t>SS Completed, FIS Completed, No IA</t>
  </si>
  <si>
    <t>FRIENDSWOOD ENERGY GENCO</t>
  </si>
  <si>
    <t>NRG THW GT 138</t>
  </si>
  <si>
    <t>NRG THW GT 345 (TEF -Due Diligence)</t>
  </si>
  <si>
    <t>Wolf Hollow III</t>
  </si>
  <si>
    <t>Boling Generation (TEF-Due Diligience)</t>
  </si>
  <si>
    <t>BasRanch (TEF - Due Diligence)</t>
  </si>
  <si>
    <t>Pin Peaking Energy Center 1 (TEF- Due Diligence)</t>
  </si>
  <si>
    <t>Pin Peaking Energy Center 2 (TEF- Due Diligence)</t>
  </si>
  <si>
    <t>Graphic Packaging Gas</t>
  </si>
  <si>
    <t>TRIFECTA Gas</t>
  </si>
  <si>
    <t>Bastrop Peaking Generators (TEF-Due Diligence)</t>
  </si>
  <si>
    <t xml:space="preserve">Longleaf Power Station </t>
  </si>
  <si>
    <t>NET Power Demonstration plant</t>
  </si>
  <si>
    <t>Jack County III – 138 kV</t>
  </si>
  <si>
    <t>Jack County III – 345 kV (TEF -Due Diligence)</t>
  </si>
  <si>
    <t>Kodiak AGR1 (TEF- Due Diligence)</t>
  </si>
  <si>
    <t>Liatris Flexible Gas</t>
  </si>
  <si>
    <t>Sky Global West Houston</t>
  </si>
  <si>
    <t>Electric E - West Texas Generation</t>
  </si>
  <si>
    <t>Loving</t>
  </si>
  <si>
    <t>Comanche Creek generating station</t>
  </si>
  <si>
    <t>Fort Worth Power Core Bastrop Gas Plant</t>
  </si>
  <si>
    <t>Electric E - West Texas Generation 2</t>
  </si>
  <si>
    <t>Sandow Lakes Energy Station</t>
  </si>
  <si>
    <t>Aegle Power</t>
  </si>
  <si>
    <t xml:space="preserve">Bulldog Power (TEF - Due Diligence) </t>
  </si>
  <si>
    <t xml:space="preserve">Elk Unit 4 </t>
  </si>
  <si>
    <t xml:space="preserve">EMPower Odessa (TEF - Due Diligence) </t>
  </si>
  <si>
    <t>Tolivar Power Plant (TEF- Due Diligence)</t>
  </si>
  <si>
    <t xml:space="preserve">Perseus Gas </t>
  </si>
  <si>
    <t>Rock Island Generating (TEF -Due Diligence)</t>
  </si>
  <si>
    <t xml:space="preserve">LONE STAR INDUSTRIAL PARK GAS POWER PROJECT  </t>
  </si>
  <si>
    <t>Morris</t>
  </si>
  <si>
    <t xml:space="preserve">Jalisco Cogen </t>
  </si>
  <si>
    <t>Power Lane II Gas</t>
  </si>
  <si>
    <t>Black Mountain Somervell Gas Combined</t>
  </si>
  <si>
    <t>Somervell</t>
  </si>
  <si>
    <t xml:space="preserve">West Royal Natural Gas (TEF-Due Diligence) </t>
  </si>
  <si>
    <t>North Royal Thermal (TEF- Due Diligence)</t>
  </si>
  <si>
    <t xml:space="preserve">EmberYork </t>
  </si>
  <si>
    <t xml:space="preserve">EmberGreen </t>
  </si>
  <si>
    <t>Vast Sands Power I (TEF -Due Diligence)</t>
  </si>
  <si>
    <t>RAYBURN ENERGY STATION II Gas (TEF-Due Diligence)</t>
  </si>
  <si>
    <t>Vast Sands Power II (TEF-Due Diligence)</t>
  </si>
  <si>
    <t>Jalisco Peaker</t>
  </si>
  <si>
    <t xml:space="preserve">Homestead Power (TEF-Due Diligence) </t>
  </si>
  <si>
    <t>Rippling Curve Peaking Power</t>
  </si>
  <si>
    <t>Gregory Power Development</t>
  </si>
  <si>
    <t>Denver City - Mustang - Gas</t>
  </si>
  <si>
    <t>Yoakum</t>
  </si>
  <si>
    <t>LCRA</t>
  </si>
  <si>
    <t>http://www.ercot.com/gridinfo/resource</t>
  </si>
  <si>
    <t>Weather years used for analysis:</t>
  </si>
  <si>
    <t>Hydro</t>
  </si>
  <si>
    <t>Unit specific monthly capacity factors modeled based on historical dispatch levels during the last three years.</t>
  </si>
  <si>
    <t>Operational Resources (Switchable)</t>
  </si>
  <si>
    <t>Unavailable to ERCOT during summer 6/1-9/30</t>
  </si>
  <si>
    <t>UNIT NAME</t>
  </si>
  <si>
    <t>UNIT CODE</t>
  </si>
  <si>
    <t>COUNTY</t>
  </si>
  <si>
    <t>FUEL</t>
  </si>
  <si>
    <t>ZONE</t>
  </si>
  <si>
    <t>IN SERVICE</t>
  </si>
  <si>
    <t>ANTELOPE IC 1</t>
  </si>
  <si>
    <t>ANTLP_G1</t>
  </si>
  <si>
    <t>HALE</t>
  </si>
  <si>
    <t>ANTELOPE IC 2</t>
  </si>
  <si>
    <t>ANTLP_G2</t>
  </si>
  <si>
    <t>ANTELOPE IC 3</t>
  </si>
  <si>
    <t>ANTLP_G3</t>
  </si>
  <si>
    <t>ELK STATION CTG 1</t>
  </si>
  <si>
    <t>AEEC_ELK_1</t>
  </si>
  <si>
    <t>ELK STATION CTG 2</t>
  </si>
  <si>
    <t>AEEC_ELK_2</t>
  </si>
  <si>
    <t>ELK STATION CTG 3</t>
  </si>
  <si>
    <t>AEEC_ELK_3</t>
  </si>
  <si>
    <t>TENASKA GATEWAY STATION CTG 1</t>
  </si>
  <si>
    <t>TGCCS_CT1</t>
  </si>
  <si>
    <t>RUSK</t>
  </si>
  <si>
    <t>GAS-CC</t>
  </si>
  <si>
    <t>-</t>
  </si>
  <si>
    <t>TENASKA GATEWAY STATION CTG 2</t>
  </si>
  <si>
    <t>TGCCS_CT2</t>
  </si>
  <si>
    <t>TENASKA GATEWAY STATION CTG 3</t>
  </si>
  <si>
    <t>TGCCS_CT3</t>
  </si>
  <si>
    <t>TENASKA GATEWAY STATION STG 4</t>
  </si>
  <si>
    <t>TGCCS_UNIT4</t>
  </si>
  <si>
    <t>TENASKA KIAMICHI STATION 2CT101</t>
  </si>
  <si>
    <t>KMCHI_2CT101</t>
  </si>
  <si>
    <t>FANNIN</t>
  </si>
  <si>
    <t>TENASKA KIAMICHI STATION 2CT201</t>
  </si>
  <si>
    <t>KMCHI_2CT201</t>
  </si>
  <si>
    <t>TENASKA KIAMICHI STATION 2ST</t>
  </si>
  <si>
    <t>KMCHI_2ST</t>
  </si>
  <si>
    <t>Switchable Capacity Unavailable to ERCOT</t>
  </si>
  <si>
    <t>SWITCH_UNAVAIL</t>
  </si>
  <si>
    <t>Unavailable to ERCOT during winter 12/1-2/28</t>
  </si>
  <si>
    <t>2026/2027</t>
  </si>
  <si>
    <t>2027/2028</t>
  </si>
  <si>
    <t>2029/2030</t>
  </si>
  <si>
    <t>2030/2031</t>
  </si>
  <si>
    <t>Unavailable to ERCOT during Spring 3/1-5/30</t>
  </si>
  <si>
    <t>*unavailable for March</t>
  </si>
  <si>
    <t>Unavailable to ERCOT during Fall 10/1-11/30</t>
  </si>
  <si>
    <t>Economic Analysis</t>
  </si>
  <si>
    <t>DC Tie Dispatch - 8760-hour Assumptions</t>
  </si>
  <si>
    <t>DC_E</t>
  </si>
  <si>
    <t>Import + Export</t>
  </si>
  <si>
    <t>Mapped to hourly generation and demand profiles based on historical operational data.</t>
  </si>
  <si>
    <t>DC_N</t>
  </si>
  <si>
    <t>DC_L</t>
  </si>
  <si>
    <t>DC_R</t>
  </si>
  <si>
    <t>The reserve requirement used in the economic models are based on a review of ERCOT’s 2025 Responsive Reserve and Regulation Up requirements. Note that the MW contribution of load resources is not an input into the economic model.</t>
  </si>
  <si>
    <t>Source</t>
  </si>
  <si>
    <t>EIA 2025 AEO Reference Case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</si>
  <si>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</si>
  <si>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</si>
  <si>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</si>
  <si>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</si>
  <si>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</si>
  <si>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</si>
  <si>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</si>
  <si>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</si>
  <si>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</si>
  <si>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</si>
  <si>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</si>
  <si>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</si>
  <si>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</si>
  <si>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</si>
  <si>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EIA AEO</t>
  </si>
  <si>
    <t>Emission</t>
  </si>
  <si>
    <t>$/ton</t>
  </si>
  <si>
    <t>Nox (Seasonal)</t>
  </si>
  <si>
    <t xml:space="preserve">SO2 </t>
  </si>
  <si>
    <t>CO2</t>
  </si>
  <si>
    <t>Weather year assumption</t>
  </si>
  <si>
    <t>Base: 2013</t>
  </si>
  <si>
    <t>Note that the 2013 weather scenario is the base weather scenario used as the starting point in the economic analysis.</t>
  </si>
  <si>
    <t>Baylor</t>
  </si>
  <si>
    <t>Castro Solar</t>
  </si>
  <si>
    <t>Danish Fields III Solar</t>
  </si>
  <si>
    <t>Felix North Solar</t>
  </si>
  <si>
    <t>Oystercatcher Solar</t>
  </si>
  <si>
    <t>Austin Energy</t>
  </si>
  <si>
    <t>Long Point Storage</t>
  </si>
  <si>
    <t>TORMES SOLAR</t>
  </si>
  <si>
    <t>Bowstring BESS</t>
  </si>
  <si>
    <t>Hoyte Solar</t>
  </si>
  <si>
    <t>St. Gall II Energy Storage</t>
  </si>
  <si>
    <t>Walstrom BESS</t>
  </si>
  <si>
    <t xml:space="preserve">Blue Bird Solar </t>
  </si>
  <si>
    <t>Castor BESS</t>
  </si>
  <si>
    <t>Kildare</t>
  </si>
  <si>
    <t>Moonstone Solar Project</t>
  </si>
  <si>
    <t>Tehuacana Creek BESS SLF</t>
  </si>
  <si>
    <t>Blue Skies BESS</t>
  </si>
  <si>
    <t>Dawson</t>
  </si>
  <si>
    <t>Possum Kingdom BESS</t>
  </si>
  <si>
    <t>Portside Energy Center (Solar) SLF</t>
  </si>
  <si>
    <t>Wolf Spring Storage</t>
  </si>
  <si>
    <t>Concho Pearl Solar</t>
  </si>
  <si>
    <t>Fortissimo BESS</t>
  </si>
  <si>
    <t>Gregory BESS</t>
  </si>
  <si>
    <t>Longfellow BESS I</t>
  </si>
  <si>
    <t>Barrett Solar</t>
  </si>
  <si>
    <t>TOCE BESS 1</t>
  </si>
  <si>
    <t>Waterloo Solar 1</t>
  </si>
  <si>
    <t>Bronc Rodeo Solar Project</t>
  </si>
  <si>
    <t>Acker BESS</t>
  </si>
  <si>
    <t>Sol Marina Energy Center</t>
  </si>
  <si>
    <t>Windmill Ridge Storage</t>
  </si>
  <si>
    <t>Bigway Solar I</t>
  </si>
  <si>
    <t>King</t>
  </si>
  <si>
    <t>Funston Solar</t>
  </si>
  <si>
    <t>Bocanova Power II</t>
  </si>
  <si>
    <t>Chillingham Storage</t>
  </si>
  <si>
    <t>Gray</t>
  </si>
  <si>
    <t>Arroyo Solar</t>
  </si>
  <si>
    <t>Red Holly Solar</t>
  </si>
  <si>
    <t>Red Holly Storage</t>
  </si>
  <si>
    <t>Hickerson Solar</t>
  </si>
  <si>
    <t>Briggs Solar</t>
  </si>
  <si>
    <t>Donegal Solar</t>
  </si>
  <si>
    <t>Desert Willow BESS</t>
  </si>
  <si>
    <t>Tiger Solar</t>
  </si>
  <si>
    <t>Millers Branch Solar II</t>
  </si>
  <si>
    <t>Zeya BESS</t>
  </si>
  <si>
    <t>Dodd Solar I</t>
  </si>
  <si>
    <t>Cross Trails Storage</t>
  </si>
  <si>
    <t>SanPat Solar II</t>
  </si>
  <si>
    <t>Zeissel Solar</t>
  </si>
  <si>
    <t>TRAVIS KIMBRO BESS</t>
  </si>
  <si>
    <t>Chisme Solar</t>
  </si>
  <si>
    <t>Mystic Springs Renewable Energy Solar SLF</t>
  </si>
  <si>
    <t>Cartwheel BESS 1</t>
  </si>
  <si>
    <t>Pitts Dudik II</t>
  </si>
  <si>
    <t>Padrino Solar</t>
  </si>
  <si>
    <t>Dundee North Wind</t>
  </si>
  <si>
    <t>Maldives Solar</t>
  </si>
  <si>
    <t>Foard</t>
  </si>
  <si>
    <t xml:space="preserve">Van Zandt Energy Storage </t>
  </si>
  <si>
    <t>Clutch City Solar Phase II</t>
  </si>
  <si>
    <t xml:space="preserve">Zorro BESS </t>
  </si>
  <si>
    <t>Vault Solar</t>
  </si>
  <si>
    <t>Cape Rich BESS</t>
  </si>
  <si>
    <t>Willow Beach Wind</t>
  </si>
  <si>
    <t>Cold Creek Storage 2</t>
  </si>
  <si>
    <t>Andromeda Storage SLF</t>
  </si>
  <si>
    <t>Quantum Storage</t>
  </si>
  <si>
    <t>Mayberry II BESS</t>
  </si>
  <si>
    <t>Evelyn Battery Energy Storage System</t>
  </si>
  <si>
    <t>Crowded Star Solar II</t>
  </si>
  <si>
    <t>Clutch City Solar Phase I</t>
  </si>
  <si>
    <t>Hornet Solar</t>
  </si>
  <si>
    <t xml:space="preserve">Starling Solar </t>
  </si>
  <si>
    <t>Dori BQ Solar</t>
  </si>
  <si>
    <t>Nockenut Springs Solar 1</t>
  </si>
  <si>
    <t>Alila Solar</t>
  </si>
  <si>
    <t>Liberty Senate Solar 1</t>
  </si>
  <si>
    <t>Erath County Solar</t>
  </si>
  <si>
    <t>KEYS HOLLOW STORAGE SLF</t>
  </si>
  <si>
    <t>High Noon Storage</t>
  </si>
  <si>
    <t>Lupinus Storage 1</t>
  </si>
  <si>
    <t>Tehuacana Creek Solar SLF</t>
  </si>
  <si>
    <t>Picadillo BESS</t>
  </si>
  <si>
    <t>Leighton Solar SLF</t>
  </si>
  <si>
    <t>Soda Lake BESS 1</t>
  </si>
  <si>
    <t>Champaign BESS</t>
  </si>
  <si>
    <t>Hollow Branch Creek Storage</t>
  </si>
  <si>
    <t>Longfellow BESS II</t>
  </si>
  <si>
    <t>McGee Storage</t>
  </si>
  <si>
    <t>TEXAS GULF SULPHUR REPOWER</t>
  </si>
  <si>
    <t>First Capitol BESS</t>
  </si>
  <si>
    <t>Energy City BESS</t>
  </si>
  <si>
    <t>SOUTHERN SELECT ENERGY STORAGE</t>
  </si>
  <si>
    <t>Uva Creek Solar</t>
  </si>
  <si>
    <t>Big Rooter West Solar SLF</t>
  </si>
  <si>
    <t>ONCOR</t>
  </si>
  <si>
    <t>Potter</t>
  </si>
  <si>
    <t>Monte Alto I</t>
  </si>
  <si>
    <t>Equinox Solar 1</t>
  </si>
  <si>
    <t>Renegade Project</t>
  </si>
  <si>
    <t>Nabatoto Solar North</t>
  </si>
  <si>
    <t>Cachi BESS</t>
  </si>
  <si>
    <t>Noria Solar DCC</t>
  </si>
  <si>
    <t>MRG GOODY SOLAR</t>
  </si>
  <si>
    <t>Rocinante BESS</t>
  </si>
  <si>
    <t>BRP Charon BESS</t>
  </si>
  <si>
    <t>Platinum Storage</t>
  </si>
  <si>
    <t>Glasgow Solar</t>
  </si>
  <si>
    <t>Arroyo Storage</t>
  </si>
  <si>
    <t>MRG Goody Storage</t>
  </si>
  <si>
    <t>Anatole Renewable Energy Storage</t>
  </si>
  <si>
    <t>Hermes Storage</t>
  </si>
  <si>
    <t>Portside Energy Center (BESS) SLF</t>
  </si>
  <si>
    <t>OCI Cobb Creek Solar</t>
  </si>
  <si>
    <t>OCI Cobb Creek ESS</t>
  </si>
  <si>
    <t>Wizard BESS</t>
  </si>
  <si>
    <t>Thomas Cameron BESS</t>
  </si>
  <si>
    <t>Pledgor BESS</t>
  </si>
  <si>
    <t>Happy Dog Storage</t>
  </si>
  <si>
    <t>Shamrock Energy Storage (SLF)</t>
  </si>
  <si>
    <t>Ross Solar</t>
  </si>
  <si>
    <t>JackGard BESS</t>
  </si>
  <si>
    <t>Sherbino II BESS SLF</t>
  </si>
  <si>
    <t>Padua Grid BESS Unit 3</t>
  </si>
  <si>
    <t>Themisto Solar</t>
  </si>
  <si>
    <t>MIRAGE</t>
  </si>
  <si>
    <t>Nightfall Solar SLF</t>
  </si>
  <si>
    <t>21INR0344</t>
  </si>
  <si>
    <t>Lunis Creek Solar SLF</t>
  </si>
  <si>
    <t>Grandslam Solar</t>
  </si>
  <si>
    <t>SkySealy</t>
  </si>
  <si>
    <t>Atria Solar</t>
  </si>
  <si>
    <t>Lupinus Storage 2</t>
  </si>
  <si>
    <t>Cumulus Grid BESS</t>
  </si>
  <si>
    <t>Jack Barton BESS</t>
  </si>
  <si>
    <t>High Chap Solar</t>
  </si>
  <si>
    <t>Black Springs BESS</t>
  </si>
  <si>
    <t>Iron Belt Energy Storage</t>
  </si>
  <si>
    <t>Lupinus Storage 3</t>
  </si>
  <si>
    <t>Panther Creek 1 Repower</t>
  </si>
  <si>
    <t>Hill Valley BESS</t>
  </si>
  <si>
    <t>Forest Creek Wind Repower</t>
  </si>
  <si>
    <t>Buffalo Creek BESS</t>
  </si>
  <si>
    <t>Anole BESS</t>
  </si>
  <si>
    <t xml:space="preserve">Azalea Springs Solar </t>
  </si>
  <si>
    <t>Rockefeller Storage</t>
  </si>
  <si>
    <t>Corazon Solar Phase II</t>
  </si>
  <si>
    <t>Seine BESS</t>
  </si>
  <si>
    <t>Paradiso BESS</t>
  </si>
  <si>
    <t>Skull Creek Solar</t>
  </si>
  <si>
    <t>Hermes Solar</t>
  </si>
  <si>
    <t>Bordertown BESS</t>
  </si>
  <si>
    <t>Third Coast BESS</t>
  </si>
  <si>
    <t>Short Creek Solar</t>
  </si>
  <si>
    <t>Bar Candela Solar SLF</t>
  </si>
  <si>
    <t>Backbone Creek BESS</t>
  </si>
  <si>
    <t>Glory Bee Storage</t>
  </si>
  <si>
    <t>Sun Cactus Solar</t>
  </si>
  <si>
    <t>Camino Santiago Solar</t>
  </si>
  <si>
    <t>Rose Quartz BESS</t>
  </si>
  <si>
    <t>Canvasback BESS</t>
  </si>
  <si>
    <t>Legato BESS</t>
  </si>
  <si>
    <t>Olympic BESS</t>
  </si>
  <si>
    <t>Longfellow Solar I</t>
  </si>
  <si>
    <t>Anila BESS</t>
  </si>
  <si>
    <t>Lupinus Solar 3</t>
  </si>
  <si>
    <t>Gunnar BESS</t>
  </si>
  <si>
    <t>Cosper Solar</t>
  </si>
  <si>
    <t>Hornet Storage II SLF</t>
  </si>
  <si>
    <t>RIVERBEND STORAGE SLF</t>
  </si>
  <si>
    <t>McMurtre Storage</t>
  </si>
  <si>
    <t>Tyler BESS</t>
  </si>
  <si>
    <t>Rubicon Power BESS</t>
  </si>
  <si>
    <t>Brookview Road BESS</t>
  </si>
  <si>
    <t>Burksol BESS</t>
  </si>
  <si>
    <t>Hastings Park BESS</t>
  </si>
  <si>
    <t>Kerr</t>
  </si>
  <si>
    <t>Angus Solar</t>
  </si>
  <si>
    <t>Danish Fields II Solar</t>
  </si>
  <si>
    <t>Monarch Creek Wind</t>
  </si>
  <si>
    <t>Amsterdam Storage</t>
  </si>
  <si>
    <t>Lower Rio BESS</t>
  </si>
  <si>
    <t>Galactic Solar</t>
  </si>
  <si>
    <t>Cradle Solar</t>
  </si>
  <si>
    <t>Keys Hollow Solar Phase II SLF</t>
  </si>
  <si>
    <t xml:space="preserve">Marcelina Storage </t>
  </si>
  <si>
    <t>Camp Creek Solar SLF</t>
  </si>
  <si>
    <t>Coneflower Storage Project</t>
  </si>
  <si>
    <t>Brightside Solar Alt POI</t>
  </si>
  <si>
    <t>Berkman Storage</t>
  </si>
  <si>
    <t>East West BESS</t>
  </si>
  <si>
    <t>Dundee South A Wind</t>
  </si>
  <si>
    <t>DOS RIOS ENERGY STORAGE SLF</t>
  </si>
  <si>
    <t>Houston BESS</t>
  </si>
  <si>
    <t>Willis Storage</t>
  </si>
  <si>
    <t>Stoneridge BESS</t>
  </si>
  <si>
    <t>Purple Sage BESS 2</t>
  </si>
  <si>
    <t>Stewart Grady BESS</t>
  </si>
  <si>
    <t>Champion Wind Repower</t>
  </si>
  <si>
    <t>Cannibal Draw Storage</t>
  </si>
  <si>
    <t>Indigo Solar</t>
  </si>
  <si>
    <t>Nazareth Solar</t>
  </si>
  <si>
    <t xml:space="preserve">Sweetwater 1 repower </t>
  </si>
  <si>
    <t>Red Holly Storage 1</t>
  </si>
  <si>
    <t>Pine Forest Solar</t>
  </si>
  <si>
    <t xml:space="preserve">Armadillo Solar </t>
  </si>
  <si>
    <t>Fortuna Wind</t>
  </si>
  <si>
    <t>Solace Solar</t>
  </si>
  <si>
    <t>Erin Solar</t>
  </si>
  <si>
    <t>Aquilla Lake 3 Wind</t>
  </si>
  <si>
    <t xml:space="preserve">Limewood Storage </t>
  </si>
  <si>
    <t>Greater Bryant G Solar</t>
  </si>
  <si>
    <t>Fort Duncan BESS</t>
  </si>
  <si>
    <t>Smokey Willie Solar SLF</t>
  </si>
  <si>
    <t>SanPat Solar I</t>
  </si>
  <si>
    <t>Cibeles Solar</t>
  </si>
  <si>
    <t>Cartwheel BESS 2</t>
  </si>
  <si>
    <t>Austin Bayou Solar</t>
  </si>
  <si>
    <t>SOSA Storage</t>
  </si>
  <si>
    <t>Swift Air Solar</t>
  </si>
  <si>
    <t>Padrino BESS</t>
  </si>
  <si>
    <t>Lucy Solar</t>
  </si>
  <si>
    <t>Great Rock BESS</t>
  </si>
  <si>
    <t>Dundee South B Wind</t>
  </si>
  <si>
    <t>Meitner Wind</t>
  </si>
  <si>
    <t>Noor Solar</t>
  </si>
  <si>
    <t>Liberty</t>
  </si>
  <si>
    <t>Sol Marina Energy Center BESS</t>
  </si>
  <si>
    <t>Goldfinch Solar</t>
  </si>
  <si>
    <t>Eagle Claw Energy Center</t>
  </si>
  <si>
    <t>Dan Kearney BESS</t>
  </si>
  <si>
    <t>VERTUS ENERGY STORAGE</t>
  </si>
  <si>
    <t>Maddox Solar</t>
  </si>
  <si>
    <t>Millers Branch Solar III</t>
  </si>
  <si>
    <t xml:space="preserve">Big Sampson Wind </t>
  </si>
  <si>
    <t>Tyson Nick Solar</t>
  </si>
  <si>
    <t>Sibyl Power Station</t>
  </si>
  <si>
    <t>Yellow Viking Solar</t>
  </si>
  <si>
    <t>Shaw Solar</t>
  </si>
  <si>
    <t>Pinnington Storage</t>
  </si>
  <si>
    <t>Bird Dog BESS</t>
  </si>
  <si>
    <t>Two Rivers Solar</t>
  </si>
  <si>
    <t>Seven Flags BESS</t>
  </si>
  <si>
    <t>Louisa Energy Storage</t>
  </si>
  <si>
    <t>Desna BESS</t>
  </si>
  <si>
    <t>Lupinus Solar 1</t>
  </si>
  <si>
    <t>Stillhouse Solar</t>
  </si>
  <si>
    <t>OCI SunRoper</t>
  </si>
  <si>
    <t>Mitchell Plant Road Solar</t>
  </si>
  <si>
    <t xml:space="preserve">Bug Tussle Wind Project </t>
  </si>
  <si>
    <t>Buzios Solar</t>
  </si>
  <si>
    <t>Leon Solar Park</t>
  </si>
  <si>
    <t>Concho Pearl Storage</t>
  </si>
  <si>
    <t xml:space="preserve"> Augie BESS</t>
  </si>
  <si>
    <t xml:space="preserve">Staked Plains BESS </t>
  </si>
  <si>
    <t>Project Lynx BESS</t>
  </si>
  <si>
    <t>Purple Sage BESS 1</t>
  </si>
  <si>
    <t>Waterloo BESS 1</t>
  </si>
  <si>
    <t>Sunscape Renewable Energy Storage SLF</t>
  </si>
  <si>
    <t>Moccasin Solar</t>
  </si>
  <si>
    <t>GAMAY ENERGY STORAGE</t>
  </si>
  <si>
    <t>Sorghum BESS</t>
  </si>
  <si>
    <t>Avila BESS</t>
  </si>
  <si>
    <t>Peyton Creek Wind II</t>
  </si>
  <si>
    <t>Montezuma Storage</t>
  </si>
  <si>
    <t>Lamkin Solar</t>
  </si>
  <si>
    <t>Matagorda Solar</t>
  </si>
  <si>
    <t>Duffy Solar</t>
  </si>
  <si>
    <t>Tidwell Prairie Storage 1</t>
  </si>
  <si>
    <t>Hanson Solar</t>
  </si>
  <si>
    <t>Cantaloupe Solar</t>
  </si>
  <si>
    <t>Blevins Storage</t>
  </si>
  <si>
    <t>Starling Storage</t>
  </si>
  <si>
    <t>Briggs Storage</t>
  </si>
  <si>
    <t>KEYS HOLLOW SOLAR SLF</t>
  </si>
  <si>
    <t>BRP Bachman BESS</t>
  </si>
  <si>
    <t>High Noon Solar</t>
  </si>
  <si>
    <t>Callisto II Energy Center</t>
  </si>
  <si>
    <t>Lupinus Solar 2</t>
  </si>
  <si>
    <t>Yaupon Storage SLF</t>
  </si>
  <si>
    <t>APV Plumwood Storage</t>
  </si>
  <si>
    <t>Goldeneye BESS</t>
  </si>
  <si>
    <t>Austin Bayou Storage I</t>
  </si>
  <si>
    <t>Marcus Energy Storage</t>
  </si>
  <si>
    <t>Judkins BESS</t>
  </si>
  <si>
    <t>Rock Rose Energy BESS</t>
  </si>
  <si>
    <t>Brazos River BESS</t>
  </si>
  <si>
    <t>Cottonseed Energy Storage</t>
  </si>
  <si>
    <t>Tex-Bar ESS</t>
  </si>
  <si>
    <t>Liggett Switch BESS</t>
  </si>
  <si>
    <t>Adamstown Solar</t>
  </si>
  <si>
    <t>Anson Solar 2</t>
  </si>
  <si>
    <t>Water Valley Wind Energy</t>
  </si>
  <si>
    <t>Schoolhouse Solar</t>
  </si>
  <si>
    <t>Ion Solar</t>
  </si>
  <si>
    <t>Eval Storage</t>
  </si>
  <si>
    <t>LUBIO SOLAR</t>
  </si>
  <si>
    <t>Oriana Solar</t>
  </si>
  <si>
    <t>Miranda Solar Project</t>
  </si>
  <si>
    <t>McMullen</t>
  </si>
  <si>
    <t>Camp Creek Storage SLF</t>
  </si>
  <si>
    <t>Bufflehead BESS</t>
  </si>
  <si>
    <t>AP Greenport</t>
  </si>
  <si>
    <t>Pintail Pass BESS</t>
  </si>
  <si>
    <t>Erika Solar</t>
  </si>
  <si>
    <t>Crossroads Wind</t>
  </si>
  <si>
    <t>Dolce BESS</t>
  </si>
  <si>
    <t>Apache Hill BESS</t>
  </si>
  <si>
    <t>Fort Watt Storage</t>
  </si>
  <si>
    <t>Hornet Solar II SLF</t>
  </si>
  <si>
    <t>Meridian BESS</t>
  </si>
  <si>
    <t>Aldrin 345 BESS</t>
  </si>
  <si>
    <t>Farmersville West BESS  2</t>
  </si>
  <si>
    <t>Dios BESS</t>
  </si>
  <si>
    <t>Laurel Wind Energy Center</t>
  </si>
  <si>
    <t>Radian Storage SLF</t>
  </si>
  <si>
    <t>Century BESS</t>
  </si>
  <si>
    <t>Millsing BESS</t>
  </si>
  <si>
    <t>Fagus Solar Park 3 SLF</t>
  </si>
  <si>
    <t>Greyhound Solar - Phase E</t>
  </si>
  <si>
    <t>Quantum Solar</t>
  </si>
  <si>
    <t>Greyhound Solar</t>
  </si>
  <si>
    <t>Jungmann Solar</t>
  </si>
  <si>
    <t>Umbra (Stockyard) Solar</t>
  </si>
  <si>
    <t>Keys Hollow Storage Phase II SLF</t>
  </si>
  <si>
    <t>Larkspur Energy Storage</t>
  </si>
  <si>
    <t>Two Forks BESS</t>
  </si>
  <si>
    <t>Three W Solar</t>
  </si>
  <si>
    <t>Taormina Storage</t>
  </si>
  <si>
    <t>Regis Palacios BESS</t>
  </si>
  <si>
    <t>Adelite Storage</t>
  </si>
  <si>
    <t>Black &amp; Gold Energy Storage</t>
  </si>
  <si>
    <t>Star Dairy Solar</t>
  </si>
  <si>
    <t>Piedra BESS</t>
  </si>
  <si>
    <t>Wolf Spring Solar</t>
  </si>
  <si>
    <t>Longfellow Solar II</t>
  </si>
  <si>
    <t>City Breeze BESS</t>
  </si>
  <si>
    <t>Northington Solar</t>
  </si>
  <si>
    <t>HappyDogSolar</t>
  </si>
  <si>
    <t xml:space="preserve">Bell Creek BESS </t>
  </si>
  <si>
    <t>Russek Street BESS</t>
  </si>
  <si>
    <t>Cold Creek Solar 2</t>
  </si>
  <si>
    <t>McCamey's Castle Battery</t>
  </si>
  <si>
    <t>Solace Storage</t>
  </si>
  <si>
    <t>Avalon BESS</t>
  </si>
  <si>
    <t>Fagus Solar Park 2 SLF</t>
  </si>
  <si>
    <t>Cottonwood Bayou Storage</t>
  </si>
  <si>
    <t>Sequoia II Solar</t>
  </si>
  <si>
    <t xml:space="preserve">Lavaca Bay Solar </t>
  </si>
  <si>
    <t>Lane City Wind</t>
  </si>
  <si>
    <t>Dry Creek Solar I</t>
  </si>
  <si>
    <t>Headcamp Energy Storage Plant</t>
  </si>
  <si>
    <t>Big Elm Storage</t>
  </si>
  <si>
    <t>Citrus Flatts BESS</t>
  </si>
  <si>
    <t>Blarney Solar</t>
  </si>
  <si>
    <t xml:space="preserve">Hollow Branch Creek Solar </t>
  </si>
  <si>
    <t>Roadrunner Crossing BESS SLF</t>
  </si>
  <si>
    <t>Smokey Willie BESS SLF</t>
  </si>
  <si>
    <t>Austin Bayou Storage II</t>
  </si>
  <si>
    <t>Whiskey BESS</t>
  </si>
  <si>
    <t>Ross Storage</t>
  </si>
  <si>
    <t>Skipjack Energy Storage</t>
  </si>
  <si>
    <t>Jade Storage SLF</t>
  </si>
  <si>
    <t>Big Rooter West Storage SLF</t>
  </si>
  <si>
    <t xml:space="preserve">Giga Texas Data Center </t>
  </si>
  <si>
    <t>Amsterdam Solar</t>
  </si>
  <si>
    <t>Pink Solar</t>
  </si>
  <si>
    <t>Desert Vine Solar</t>
  </si>
  <si>
    <t>Blevins Solar</t>
  </si>
  <si>
    <t>Yaupon Solar SLF</t>
  </si>
  <si>
    <t>Pine Forest BESS</t>
  </si>
  <si>
    <t xml:space="preserve">Limewood Solar </t>
  </si>
  <si>
    <t xml:space="preserve">Hanson Storage </t>
  </si>
  <si>
    <t>Brizo BESS</t>
  </si>
  <si>
    <t>Yellow Cat Wind</t>
  </si>
  <si>
    <t>Possum Kingdom Solar</t>
  </si>
  <si>
    <t>Honeycomb Storage SLF</t>
  </si>
  <si>
    <t>SkySealy2</t>
  </si>
  <si>
    <t>Bynum Solar Project</t>
  </si>
  <si>
    <t>Mitchell Plant Road Storage</t>
  </si>
  <si>
    <t>Zeissel Storage SLF</t>
  </si>
  <si>
    <t>Rubicon Alpha Wind</t>
  </si>
  <si>
    <t>Argenta Solar</t>
  </si>
  <si>
    <t>Chisme Storage</t>
  </si>
  <si>
    <t>Two Brothers ESS</t>
  </si>
  <si>
    <t>Felix East Solar</t>
  </si>
  <si>
    <t>Anila Solar</t>
  </si>
  <si>
    <t>Amador Storage</t>
  </si>
  <si>
    <t>Emerald Hill Energy Storage</t>
  </si>
  <si>
    <t>Echols Creek Storage</t>
  </si>
  <si>
    <t>Weathervane Storage SLF</t>
  </si>
  <si>
    <t>Aldrin 138 BESS</t>
  </si>
  <si>
    <t xml:space="preserve">Millennium Energy Storage </t>
  </si>
  <si>
    <t>Laurel Storage Energy Center</t>
  </si>
  <si>
    <t>Mainland BESS</t>
  </si>
  <si>
    <t>Bigway Solar II</t>
  </si>
  <si>
    <t>SANDLAKE BESS</t>
  </si>
  <si>
    <t xml:space="preserve">Loma Pinta Wind </t>
  </si>
  <si>
    <t>Texana Solar</t>
  </si>
  <si>
    <t>Long Point Solar</t>
  </si>
  <si>
    <t>Orange Grove Solar</t>
  </si>
  <si>
    <t xml:space="preserve">Caliche Mound Solar </t>
  </si>
  <si>
    <t>Bottom Grass Solar</t>
  </si>
  <si>
    <t>Cantaloupe Storage</t>
  </si>
  <si>
    <t>El Patrimonio Solar</t>
  </si>
  <si>
    <t>Lumberjack Storage</t>
  </si>
  <si>
    <t>Hart Wind</t>
  </si>
  <si>
    <t>Honeycomb Solar SLF</t>
  </si>
  <si>
    <t>Bar Candela Storage SLF</t>
  </si>
  <si>
    <t>Mystic Springs Renewable Energy Storage SLF</t>
  </si>
  <si>
    <t>Meitner Solar</t>
  </si>
  <si>
    <t>Elio BESS</t>
  </si>
  <si>
    <t>Glory Bee Solar</t>
  </si>
  <si>
    <t>Bonham Solar 1</t>
  </si>
  <si>
    <t>Valhalla Solar</t>
  </si>
  <si>
    <t>Shepard Energy Storage</t>
  </si>
  <si>
    <t>Rogers Draw BESS</t>
  </si>
  <si>
    <t>Elan BESS</t>
  </si>
  <si>
    <t>Bocanova Power</t>
  </si>
  <si>
    <t>Pleiades Storage</t>
  </si>
  <si>
    <t>Grapefruit Solar</t>
  </si>
  <si>
    <t>Bologna BESS</t>
  </si>
  <si>
    <t>Honey Mesquite Wind Farm</t>
  </si>
  <si>
    <t>Cannibal Draw Solar</t>
  </si>
  <si>
    <t>Monte Alto 2 Wind</t>
  </si>
  <si>
    <t>Loraine Windpark Phase III</t>
  </si>
  <si>
    <t>Green Holly Solar</t>
  </si>
  <si>
    <t>Diamondback solar</t>
  </si>
  <si>
    <t>Carol Solar</t>
  </si>
  <si>
    <t>Dove Run Solar</t>
  </si>
  <si>
    <t>Bottom Grass BESS</t>
  </si>
  <si>
    <t>BRP Diran BESS</t>
  </si>
  <si>
    <t>Anson BAT</t>
  </si>
  <si>
    <t>Umbra (Stockyard) BESS</t>
  </si>
  <si>
    <t>Stoneridge Solar</t>
  </si>
  <si>
    <t>Gransolar Texas One</t>
  </si>
  <si>
    <t>Rocinante Solar</t>
  </si>
  <si>
    <t>Cuchillas Solar</t>
  </si>
  <si>
    <t>Payne Battlecreek</t>
  </si>
  <si>
    <t>Tierra Seca BESS</t>
  </si>
  <si>
    <t>Masroor Storage</t>
  </si>
  <si>
    <t>Dori BQ BESS</t>
  </si>
  <si>
    <t>Glasgow Storage</t>
  </si>
  <si>
    <t>Argenta Storage</t>
  </si>
  <si>
    <t>Crowned Heron BESS</t>
  </si>
  <si>
    <t>Piedra Solar</t>
  </si>
  <si>
    <t>Austin Bayou Storage III</t>
  </si>
  <si>
    <t>Bracero Pecan Storage</t>
  </si>
  <si>
    <t>Crowned Heron BESS 2</t>
  </si>
  <si>
    <t>Felix West Solar</t>
  </si>
  <si>
    <t>Blanquilla BESS</t>
  </si>
  <si>
    <t>Padua Grid BESS Unit 2</t>
  </si>
  <si>
    <t>Weathervane Solar SLF</t>
  </si>
  <si>
    <t>Houston IV BESS</t>
  </si>
  <si>
    <t>Hadrian Energy Storage</t>
  </si>
  <si>
    <t>Sunscape Renewable Energy Solar SLF</t>
  </si>
  <si>
    <t>Blue Summit Energy Storage</t>
  </si>
  <si>
    <t>Panther Creek 2 Repower</t>
  </si>
  <si>
    <t>Marick Rose BESS</t>
  </si>
  <si>
    <t>Pethrus BESS</t>
  </si>
  <si>
    <t>Misty Hollow BESS</t>
  </si>
  <si>
    <t>ARTIO ENERGY STORAGE</t>
  </si>
  <si>
    <t>Goby Energy Center</t>
  </si>
  <si>
    <t>Three Canes Solar SLF</t>
  </si>
  <si>
    <t>AEP</t>
  </si>
  <si>
    <t>SS Completed, FIS Not Started, IA</t>
  </si>
  <si>
    <t>2027 Sensitivity</t>
  </si>
  <si>
    <t>2030 Sensitivity</t>
  </si>
  <si>
    <t>Based on NMMS ratings</t>
  </si>
  <si>
    <t>Updated line ratings for Weatherford Switch (1592) - Flat Rock Tap (15015) 138-kV line</t>
  </si>
  <si>
    <t>Updated line ratings for Fisher Road Switch (1425) - Riley (6101) 345-kV line</t>
  </si>
  <si>
    <t>Updated line ratings for Wharton (43570) - Caney (44132) 138-kV line</t>
  </si>
  <si>
    <t>Updated line ratings for South Texas Project (5915) - WA Parish (44000) 345-kV line</t>
  </si>
  <si>
    <t>Updated line ratings for Georgetown (7343) - Rivery (7347) 138-kV line</t>
  </si>
  <si>
    <t>Updated line ratings for Cedar Crest (2486) - Buntin Drive (2985) 138-kV line</t>
  </si>
  <si>
    <t>Updated line ratings for Abilene Mulberry Creek (6235) - Bluff Creek (60040) 345-kV line</t>
  </si>
  <si>
    <t>Updated line ratings for Lon Hill (8452) - Saxet (78568) 138-kV line</t>
  </si>
  <si>
    <t>Updated line ratings for Angstrom (8249) - Static (8676) - Haber (81003) 345-kV lines</t>
  </si>
  <si>
    <t>CNP</t>
  </si>
  <si>
    <t>ONCOR/AEP</t>
  </si>
  <si>
    <t>LSTR/ONCOR</t>
  </si>
  <si>
    <t>Updated line ratings for Navarro (68091) - Big Brown (3380 &amp; 3381) 345-kV lines</t>
  </si>
  <si>
    <t>Based on 2024 RTP final summer peak reliability cases for years 2027 and 2030*</t>
  </si>
  <si>
    <t>Bypassed Edison series capacitors</t>
  </si>
  <si>
    <t>MOD 98739 (NOMCR)</t>
  </si>
  <si>
    <t>Changed POI for ElDora Solar (24INR0337) and BESS (24INR0338) to HICKL_RD (9063)</t>
  </si>
  <si>
    <t>Based on latest information in RIOO as of 8/1/2025</t>
  </si>
  <si>
    <t>Spruce Unit #2</t>
  </si>
  <si>
    <t>*765-kV case for 2030</t>
  </si>
  <si>
    <t>*Part of the San Antonio South Reliability II Project is accelerated to be in service by 2027. The project is already in 2030 RTP case.</t>
  </si>
  <si>
    <t>Load Forecast Weather Year</t>
  </si>
  <si>
    <t>Load forecast</t>
  </si>
  <si>
    <t>Natural Gas Price Forecast ($/MMBtu)</t>
  </si>
  <si>
    <t>Base/Sensitivity</t>
  </si>
  <si>
    <t>MOD Project 86882 (Tier 4)</t>
  </si>
  <si>
    <t>MOD Project 85973 (Tier 4)</t>
  </si>
  <si>
    <t>MOD Project 80630 (Tier 4)</t>
  </si>
  <si>
    <t>MOD Project 86043 (Tier 4)</t>
  </si>
  <si>
    <t>MOD Project 48816 (Tier 4)</t>
  </si>
  <si>
    <t>https://www.ercot.com/mp/data-products/data-product-details?id=PG3-1411-M</t>
  </si>
  <si>
    <t>NSO Posted</t>
  </si>
  <si>
    <t>NCGRD posted</t>
  </si>
  <si>
    <t>Updated line ratings for Bell County (132) - Fryers Creek (Boggy) (3493) 138-kV line based on the latest submission in MOD (MOD Project 87675)</t>
  </si>
  <si>
    <t>Updated line ratings for Bell County (132) - Salado (3640) 138-kV line based on the latest submission in MOD (MOD Project 87673)</t>
  </si>
  <si>
    <t>Updated line ratings for Temple Switch (3415) - Fryers Creek (Boggy) (3493) 138-kV line based on the latest submission in MOD (MOD Project 87677)</t>
  </si>
  <si>
    <t>Updated line ratings for Reiter (18545) - Yarbrough Sub (11111) 138-kV line based on the latest submission in MOD (MOD Project 81418)</t>
  </si>
  <si>
    <t>Updated line ratings for Westside (8485) - Mckenzie (8858) 138-kV line</t>
  </si>
  <si>
    <t>Delaware Basin Stage 5 Project</t>
  </si>
  <si>
    <t>ERCOT Permian Basin Reliability Plan Study (Project ID: Import A1)</t>
  </si>
  <si>
    <t>San Antonio South Reliability II Project *</t>
  </si>
  <si>
    <t>BRANDON (LP&amp;L) (DGR)</t>
  </si>
  <si>
    <t>NSO Posted (INDEFINITE MOTHBALL AS OF 10/2/2023)</t>
  </si>
  <si>
    <t>R MASSENGALE CTG 1 (LP&amp;L)</t>
  </si>
  <si>
    <t>R MASSENGALE CTG 2 (LP&amp;L)</t>
  </si>
  <si>
    <t>R MASSENGALE STG (LP&amp;L)</t>
  </si>
  <si>
    <t>RAY OLINGER STG 1</t>
  </si>
  <si>
    <t>NSO Posted (INDEFINITE MOTHBALL AS OF 4/5/22)</t>
  </si>
  <si>
    <t>TEXAS BIG SPRING WIND B</t>
  </si>
  <si>
    <t>NSO Posted (INDEFINITE MOTHBALL STATUS AS ON 1/1/24)</t>
  </si>
  <si>
    <t>TY COOKE CTG 1 (LP&amp;L)</t>
  </si>
  <si>
    <t>TY COOKE CTG 2 (LP&amp;L)</t>
  </si>
  <si>
    <t>WICHITA FALLS STG 4</t>
  </si>
  <si>
    <t>NSO Posted (INDEFINITE MOTHBALL STATUS AS ON 11/1/23)</t>
  </si>
  <si>
    <t>V H BRAUNIG STG 1</t>
  </si>
  <si>
    <t>2024 RTP listed under 'Prior to NSO' (INDEFINITE MOTHBALL AS OF 3/31/2025)</t>
  </si>
  <si>
    <t>V H BRAUNIG STG 2</t>
  </si>
  <si>
    <t>V H BRAUNIG STG 3</t>
  </si>
  <si>
    <t>2024 RTP listed under 'Prior to NSO' (RMR FROM 3/1/25 TO 3/1/27)</t>
  </si>
  <si>
    <t>Updated to reflect the most current information related to the Temple Area Project (24RPG001)</t>
  </si>
  <si>
    <t>Updated to reflect the most current information related to the  Wolf Switch to Reiter Switch 138-kV Line Project (25RPG008)</t>
  </si>
  <si>
    <t>BEPC</t>
  </si>
  <si>
    <t>EXT-OUT</t>
  </si>
  <si>
    <t>Notice of probability to return</t>
  </si>
  <si>
    <t>P.H. Robinson to WA Parish 345-kV Hardening Project</t>
  </si>
  <si>
    <t>New generators that have started FIS</t>
  </si>
  <si>
    <t>The peak and hourly profile information is included in Appendix D along with the case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</si>
</sst>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0.0%"/>
    <numFmt numFmtId="166" formatCode="[$-F800]dddd\,\ mmmm\ dd\,\ yyyy"/>
    <numFmt numFmtId="167" formatCode="m/yyyy"/>
    <numFmt numFmtId="168" formatCode="mm/dd/yyyy"/>
    <numFmt numFmtId="169" formatCode="0.0"/>
    <numFmt numFmtId="170" formatCode="&quot;*&quot;0"/>
  </numFmts>
  <fonts count="2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u/>
      <sz val="11"/>
      <color theme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rgb="FF454545"/>
      <name val="Andale WT"/>
      <family val="2"/>
    </font>
    <font>
      <u/>
      <sz val="11"/>
      <color theme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AEC7"/>
        <bgColor theme="1"/>
      </patternFill>
    </fill>
    <fill>
      <patternFill patternType="solid">
        <fgColor rgb="FF5B677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E7E6E6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0" fontId="15" fillId="0" borderId="0"/>
    <xf numFmtId="0" fontId="5" fillId="0" borderId="0"/>
    <xf numFmtId="0" fontId="10" fillId="0" borderId="0"/>
    <xf numFmtId="0" fontId="22" fillId="0" borderId="0" applyNumberFormat="0" applyFill="0" applyBorder="0" applyAlignment="0" applyProtection="0"/>
    <xf numFmtId="0" fontId="5" fillId="0" borderId="0"/>
    <xf numFmtId="0" fontId="23" fillId="8" borderId="0" applyNumberFormat="0" applyBorder="0" applyAlignment="0" applyProtection="0"/>
  </cellStyleXfs>
  <cellXfs count="335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165" fontId="8" fillId="0" borderId="0" xfId="2" applyNumberFormat="1" applyFont="1" applyAlignment="1">
      <alignment vertical="top" wrapText="1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" fontId="14" fillId="0" borderId="0" xfId="5" applyNumberFormat="1" applyFont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5" fontId="8" fillId="0" borderId="0" xfId="2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/>
    <xf numFmtId="165" fontId="8" fillId="0" borderId="0" xfId="2" applyNumberFormat="1" applyFont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/>
    <xf numFmtId="0" fontId="7" fillId="0" borderId="9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166" fontId="1" fillId="5" borderId="2" xfId="0" applyNumberFormat="1" applyFont="1" applyFill="1" applyBorder="1" applyAlignment="1">
      <alignment horizontal="center" vertical="center"/>
    </xf>
    <xf numFmtId="0" fontId="2" fillId="0" borderId="3" xfId="1" applyFill="1" applyBorder="1" applyAlignment="1">
      <alignment horizontal="center"/>
    </xf>
    <xf numFmtId="0" fontId="2" fillId="0" borderId="1" xfId="1" applyFill="1" applyBorder="1" applyAlignment="1">
      <alignment horizontal="left"/>
    </xf>
    <xf numFmtId="0" fontId="18" fillId="0" borderId="1" xfId="1" applyFont="1" applyFill="1" applyBorder="1" applyAlignment="1">
      <alignment horizontal="left"/>
    </xf>
    <xf numFmtId="0" fontId="18" fillId="0" borderId="3" xfId="1" applyFont="1" applyFill="1" applyBorder="1" applyAlignment="1">
      <alignment horizontal="center"/>
    </xf>
    <xf numFmtId="0" fontId="2" fillId="0" borderId="3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17" fillId="0" borderId="0" xfId="0" applyNumberFormat="1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4" xfId="6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5" fillId="0" borderId="0" xfId="7" applyNumberFormat="1" applyAlignment="1">
      <alignment horizontal="left"/>
    </xf>
    <xf numFmtId="49" fontId="0" fillId="0" borderId="0" xfId="0" applyNumberFormat="1"/>
    <xf numFmtId="0" fontId="21" fillId="0" borderId="0" xfId="0" applyFont="1" applyAlignment="1">
      <alignment horizontal="left" vertical="top"/>
    </xf>
    <xf numFmtId="0" fontId="5" fillId="0" borderId="22" xfId="6" applyFont="1" applyBorder="1" applyAlignment="1">
      <alignment horizontal="left" vertical="center" wrapText="1"/>
    </xf>
    <xf numFmtId="0" fontId="5" fillId="0" borderId="4" xfId="6" quotePrefix="1" applyFont="1" applyBorder="1" applyAlignment="1">
      <alignment horizontal="center" vertical="center"/>
    </xf>
    <xf numFmtId="0" fontId="22" fillId="0" borderId="0" xfId="9" applyAlignment="1">
      <alignment horizontal="center"/>
    </xf>
    <xf numFmtId="14" fontId="0" fillId="0" borderId="0" xfId="0" applyNumberFormat="1" applyAlignment="1">
      <alignment horizontal="right"/>
    </xf>
    <xf numFmtId="0" fontId="17" fillId="0" borderId="0" xfId="0" applyFont="1" applyAlignment="1">
      <alignment vertical="center"/>
    </xf>
    <xf numFmtId="0" fontId="12" fillId="0" borderId="0" xfId="0" applyFont="1"/>
    <xf numFmtId="169" fontId="12" fillId="0" borderId="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4" xfId="6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14" fillId="0" borderId="4" xfId="4" applyFont="1" applyBorder="1" applyAlignment="1">
      <alignment horizontal="center"/>
    </xf>
    <xf numFmtId="0" fontId="5" fillId="0" borderId="0" xfId="10"/>
    <xf numFmtId="0" fontId="15" fillId="0" borderId="0" xfId="6"/>
    <xf numFmtId="2" fontId="5" fillId="0" borderId="21" xfId="10" applyNumberFormat="1" applyBorder="1" applyAlignment="1">
      <alignment horizontal="right"/>
    </xf>
    <xf numFmtId="14" fontId="5" fillId="0" borderId="21" xfId="10" applyNumberFormat="1" applyBorder="1" applyAlignment="1">
      <alignment horizontal="center"/>
    </xf>
    <xf numFmtId="14" fontId="5" fillId="0" borderId="0" xfId="10" applyNumberFormat="1" applyAlignment="1">
      <alignment horizontal="center"/>
    </xf>
    <xf numFmtId="0" fontId="5" fillId="0" borderId="0" xfId="10" applyAlignment="1">
      <alignment vertical="top"/>
    </xf>
    <xf numFmtId="168" fontId="5" fillId="0" borderId="0" xfId="10" applyNumberFormat="1" applyAlignment="1">
      <alignment vertical="top"/>
    </xf>
    <xf numFmtId="4" fontId="5" fillId="0" borderId="0" xfId="10" applyNumberFormat="1" applyAlignment="1">
      <alignment vertical="top"/>
    </xf>
    <xf numFmtId="0" fontId="0" fillId="0" borderId="29" xfId="0" applyBorder="1" applyAlignment="1">
      <alignment horizontal="left" vertical="top"/>
    </xf>
    <xf numFmtId="0" fontId="0" fillId="0" borderId="7" xfId="0" applyBorder="1" applyAlignment="1">
      <alignment horizontal="center"/>
    </xf>
    <xf numFmtId="0" fontId="12" fillId="0" borderId="4" xfId="6" applyFont="1" applyBorder="1" applyAlignment="1">
      <alignment horizontal="center" vertical="center" wrapText="1"/>
    </xf>
    <xf numFmtId="0" fontId="12" fillId="0" borderId="5" xfId="6" applyFont="1" applyBorder="1" applyAlignment="1">
      <alignment horizontal="center" vertical="center" wrapText="1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2" fillId="0" borderId="6" xfId="6" applyFont="1" applyBorder="1" applyAlignment="1">
      <alignment horizontal="center" vertical="center" wrapText="1"/>
    </xf>
    <xf numFmtId="0" fontId="12" fillId="0" borderId="7" xfId="6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quotePrefix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15" xfId="0" applyNumberFormat="1" applyBorder="1" applyAlignment="1">
      <alignment horizontal="center"/>
    </xf>
    <xf numFmtId="170" fontId="0" fillId="0" borderId="17" xfId="0" applyNumberFormat="1" applyBorder="1" applyAlignment="1">
      <alignment horizontal="center"/>
    </xf>
    <xf numFmtId="14" fontId="0" fillId="0" borderId="0" xfId="0" applyNumberFormat="1"/>
    <xf numFmtId="0" fontId="5" fillId="0" borderId="21" xfId="10" applyBorder="1" applyAlignment="1">
      <alignment horizontal="center"/>
    </xf>
    <xf numFmtId="4" fontId="0" fillId="0" borderId="0" xfId="0" applyNumberFormat="1"/>
    <xf numFmtId="14" fontId="5" fillId="0" borderId="35" xfId="10" applyNumberFormat="1" applyBorder="1" applyAlignment="1">
      <alignment horizontal="center"/>
    </xf>
    <xf numFmtId="14" fontId="5" fillId="0" borderId="30" xfId="1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14" fontId="0" fillId="0" borderId="21" xfId="0" applyNumberForma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2" fillId="0" borderId="5" xfId="0" applyFont="1" applyBorder="1"/>
    <xf numFmtId="14" fontId="0" fillId="0" borderId="6" xfId="0" applyNumberFormat="1" applyBorder="1" applyAlignment="1">
      <alignment horizontal="center"/>
    </xf>
    <xf numFmtId="0" fontId="12" fillId="0" borderId="7" xfId="0" applyFont="1" applyBorder="1"/>
    <xf numFmtId="0" fontId="12" fillId="0" borderId="39" xfId="0" applyFont="1" applyBorder="1"/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167" fontId="7" fillId="0" borderId="25" xfId="0" applyNumberFormat="1" applyFont="1" applyBorder="1" applyAlignment="1">
      <alignment horizontal="center" vertical="center" wrapText="1"/>
    </xf>
    <xf numFmtId="1" fontId="7" fillId="0" borderId="25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6" fillId="0" borderId="24" xfId="10" applyFont="1" applyBorder="1" applyAlignment="1">
      <alignment horizontal="center" vertical="center" wrapText="1"/>
    </xf>
    <xf numFmtId="0" fontId="6" fillId="0" borderId="25" xfId="10" applyFont="1" applyBorder="1" applyAlignment="1">
      <alignment horizontal="center" vertical="center"/>
    </xf>
    <xf numFmtId="167" fontId="6" fillId="0" borderId="25" xfId="10" applyNumberFormat="1" applyFont="1" applyBorder="1" applyAlignment="1">
      <alignment horizontal="center" vertical="center" wrapText="1"/>
    </xf>
    <xf numFmtId="1" fontId="6" fillId="0" borderId="25" xfId="10" applyNumberFormat="1" applyFont="1" applyBorder="1" applyAlignment="1">
      <alignment horizontal="center" vertical="center" wrapText="1"/>
    </xf>
    <xf numFmtId="0" fontId="6" fillId="0" borderId="25" xfId="10" applyFont="1" applyBorder="1" applyAlignment="1">
      <alignment horizontal="center" vertical="center" wrapText="1"/>
    </xf>
    <xf numFmtId="0" fontId="6" fillId="0" borderId="40" xfId="10" applyFont="1" applyBorder="1" applyAlignment="1">
      <alignment horizontal="center" vertical="center" wrapText="1"/>
    </xf>
    <xf numFmtId="0" fontId="6" fillId="0" borderId="26" xfId="10" applyFont="1" applyBorder="1" applyAlignment="1">
      <alignment horizontal="center" vertical="center"/>
    </xf>
    <xf numFmtId="14" fontId="5" fillId="0" borderId="19" xfId="10" applyNumberFormat="1" applyBorder="1" applyAlignment="1">
      <alignment horizontal="center"/>
    </xf>
    <xf numFmtId="14" fontId="5" fillId="0" borderId="39" xfId="10" applyNumberFormat="1" applyBorder="1" applyAlignment="1">
      <alignment horizontal="left"/>
    </xf>
    <xf numFmtId="14" fontId="5" fillId="0" borderId="5" xfId="10" applyNumberFormat="1" applyBorder="1" applyAlignment="1">
      <alignment horizontal="left"/>
    </xf>
    <xf numFmtId="14" fontId="5" fillId="0" borderId="17" xfId="10" applyNumberFormat="1" applyBorder="1" applyAlignment="1">
      <alignment horizontal="left"/>
    </xf>
    <xf numFmtId="0" fontId="5" fillId="0" borderId="6" xfId="10" applyBorder="1" applyAlignment="1">
      <alignment horizontal="left"/>
    </xf>
    <xf numFmtId="14" fontId="5" fillId="0" borderId="6" xfId="10" applyNumberFormat="1" applyBorder="1" applyAlignment="1">
      <alignment horizontal="center"/>
    </xf>
    <xf numFmtId="0" fontId="5" fillId="0" borderId="6" xfId="10" applyBorder="1" applyAlignment="1">
      <alignment horizontal="center"/>
    </xf>
    <xf numFmtId="0" fontId="5" fillId="0" borderId="34" xfId="10" applyBorder="1" applyAlignment="1">
      <alignment horizontal="center"/>
    </xf>
    <xf numFmtId="14" fontId="5" fillId="0" borderId="7" xfId="10" applyNumberFormat="1" applyBorder="1" applyAlignment="1">
      <alignment horizontal="left"/>
    </xf>
    <xf numFmtId="0" fontId="7" fillId="0" borderId="42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9" fontId="12" fillId="0" borderId="21" xfId="0" applyNumberFormat="1" applyFont="1" applyBorder="1" applyAlignment="1">
      <alignment horizontal="center" vertical="center"/>
    </xf>
    <xf numFmtId="0" fontId="14" fillId="0" borderId="21" xfId="4" applyFont="1" applyBorder="1" applyAlignment="1">
      <alignment horizontal="center"/>
    </xf>
    <xf numFmtId="169" fontId="12" fillId="0" borderId="6" xfId="0" applyNumberFormat="1" applyFont="1" applyBorder="1" applyAlignment="1">
      <alignment horizontal="center" vertical="center"/>
    </xf>
    <xf numFmtId="0" fontId="14" fillId="0" borderId="6" xfId="4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7" fillId="0" borderId="6" xfId="4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14" fillId="0" borderId="19" xfId="4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6" xfId="0" quotePrefix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8" fillId="9" borderId="10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25" fillId="9" borderId="13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2" fontId="6" fillId="9" borderId="9" xfId="0" applyNumberFormat="1" applyFont="1" applyFill="1" applyBorder="1" applyAlignment="1">
      <alignment horizontal="center"/>
    </xf>
    <xf numFmtId="2" fontId="6" fillId="9" borderId="48" xfId="0" applyNumberFormat="1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14" fontId="26" fillId="0" borderId="21" xfId="0" applyNumberFormat="1" applyFont="1" applyBorder="1" applyAlignment="1">
      <alignment horizontal="center" vertical="center"/>
    </xf>
    <xf numFmtId="14" fontId="12" fillId="0" borderId="21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23" fillId="0" borderId="4" xfId="11" applyFill="1" applyBorder="1" applyAlignment="1">
      <alignment horizontal="center" vertical="center"/>
    </xf>
    <xf numFmtId="14" fontId="26" fillId="0" borderId="4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14" fontId="12" fillId="0" borderId="21" xfId="0" applyNumberFormat="1" applyFont="1" applyBorder="1" applyAlignment="1">
      <alignment horizontal="center" vertical="top"/>
    </xf>
    <xf numFmtId="4" fontId="0" fillId="0" borderId="21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12" fillId="0" borderId="4" xfId="0" applyNumberFormat="1" applyFont="1" applyBorder="1" applyAlignment="1">
      <alignment horizontal="center" vertical="top"/>
    </xf>
    <xf numFmtId="4" fontId="0" fillId="0" borderId="4" xfId="0" applyNumberForma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14" fontId="12" fillId="0" borderId="6" xfId="0" applyNumberFormat="1" applyFont="1" applyBorder="1" applyAlignment="1">
      <alignment horizontal="center" vertical="top"/>
    </xf>
    <xf numFmtId="4" fontId="0" fillId="0" borderId="6" xfId="0" applyNumberFormat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14" fontId="12" fillId="0" borderId="15" xfId="0" applyNumberFormat="1" applyFont="1" applyBorder="1" applyAlignment="1">
      <alignment horizontal="center" vertical="top"/>
    </xf>
    <xf numFmtId="4" fontId="0" fillId="0" borderId="15" xfId="0" applyNumberFormat="1" applyBorder="1" applyAlignment="1">
      <alignment horizontal="center" vertical="top"/>
    </xf>
    <xf numFmtId="0" fontId="5" fillId="0" borderId="28" xfId="10" applyBorder="1" applyAlignment="1">
      <alignment horizontal="center"/>
    </xf>
    <xf numFmtId="2" fontId="5" fillId="0" borderId="21" xfId="10" applyNumberFormat="1" applyBorder="1" applyAlignment="1">
      <alignment horizontal="center"/>
    </xf>
    <xf numFmtId="14" fontId="5" fillId="0" borderId="28" xfId="10" applyNumberFormat="1" applyBorder="1" applyAlignment="1">
      <alignment horizontal="center"/>
    </xf>
    <xf numFmtId="2" fontId="5" fillId="0" borderId="6" xfId="1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0" fontId="16" fillId="0" borderId="41" xfId="4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4" xfId="0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6" fillId="0" borderId="4" xfId="0" applyFont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4" fillId="0" borderId="0" xfId="4" applyFont="1" applyAlignment="1">
      <alignment horizontal="center"/>
    </xf>
    <xf numFmtId="0" fontId="5" fillId="0" borderId="0" xfId="10" applyAlignment="1">
      <alignment horizontal="center" vertical="center"/>
    </xf>
    <xf numFmtId="0" fontId="26" fillId="0" borderId="0" xfId="0" applyFont="1" applyAlignment="1">
      <alignment horizontal="center"/>
    </xf>
    <xf numFmtId="0" fontId="5" fillId="0" borderId="0" xfId="10" applyAlignment="1">
      <alignment horizontal="center"/>
    </xf>
    <xf numFmtId="2" fontId="5" fillId="0" borderId="0" xfId="10" applyNumberFormat="1" applyAlignment="1">
      <alignment horizontal="center"/>
    </xf>
    <xf numFmtId="0" fontId="5" fillId="0" borderId="0" xfId="10" applyAlignment="1">
      <alignment horizontal="left"/>
    </xf>
    <xf numFmtId="14" fontId="5" fillId="0" borderId="0" xfId="10" applyNumberFormat="1" applyAlignment="1">
      <alignment horizontal="left"/>
    </xf>
    <xf numFmtId="0" fontId="7" fillId="0" borderId="41" xfId="0" applyFont="1" applyBorder="1" applyAlignment="1">
      <alignment horizontal="center" wrapText="1"/>
    </xf>
    <xf numFmtId="0" fontId="6" fillId="0" borderId="50" xfId="10" applyFont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12" fillId="0" borderId="0" xfId="6" applyFont="1" applyAlignment="1">
      <alignment horizontal="left" vertical="center" wrapText="1"/>
    </xf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8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1" xfId="1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27" xfId="10" applyBorder="1" applyAlignment="1">
      <alignment horizontal="left" vertical="center"/>
    </xf>
    <xf numFmtId="0" fontId="5" fillId="0" borderId="21" xfId="10" applyBorder="1" applyAlignment="1">
      <alignment horizontal="left"/>
    </xf>
    <xf numFmtId="0" fontId="5" fillId="0" borderId="12" xfId="10" applyBorder="1" applyAlignment="1">
      <alignment horizontal="left" vertical="center"/>
    </xf>
    <xf numFmtId="0" fontId="5" fillId="0" borderId="12" xfId="10" applyBorder="1" applyAlignment="1">
      <alignment horizontal="left"/>
    </xf>
    <xf numFmtId="0" fontId="5" fillId="7" borderId="12" xfId="10" applyFill="1" applyBorder="1" applyAlignment="1">
      <alignment horizontal="left" vertical="top"/>
    </xf>
    <xf numFmtId="0" fontId="5" fillId="0" borderId="13" xfId="10" applyBorder="1" applyAlignment="1">
      <alignment horizontal="left"/>
    </xf>
    <xf numFmtId="0" fontId="5" fillId="0" borderId="19" xfId="10" applyBorder="1" applyAlignment="1">
      <alignment horizontal="left"/>
    </xf>
    <xf numFmtId="0" fontId="5" fillId="0" borderId="16" xfId="10" applyBorder="1" applyAlignment="1">
      <alignment horizontal="left" vertical="center"/>
    </xf>
    <xf numFmtId="0" fontId="5" fillId="0" borderId="13" xfId="10" applyBorder="1" applyAlignment="1">
      <alignment horizontal="left" vertical="center"/>
    </xf>
    <xf numFmtId="0" fontId="0" fillId="0" borderId="38" xfId="0" applyBorder="1" applyAlignment="1">
      <alignment horizontal="left"/>
    </xf>
    <xf numFmtId="0" fontId="5" fillId="0" borderId="16" xfId="10" applyBorder="1" applyAlignment="1">
      <alignment horizontal="left"/>
    </xf>
    <xf numFmtId="0" fontId="26" fillId="0" borderId="21" xfId="0" applyFont="1" applyBorder="1" applyAlignment="1">
      <alignment horizontal="left"/>
    </xf>
    <xf numFmtId="0" fontId="26" fillId="0" borderId="6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12" fillId="0" borderId="21" xfId="0" applyFont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12" fillId="0" borderId="4" xfId="0" applyFont="1" applyBorder="1" applyAlignment="1">
      <alignment horizontal="left" vertical="center" wrapText="1"/>
    </xf>
    <xf numFmtId="0" fontId="0" fillId="0" borderId="13" xfId="0" applyBorder="1" applyAlignment="1">
      <alignment horizontal="left"/>
    </xf>
    <xf numFmtId="0" fontId="12" fillId="0" borderId="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2" fillId="0" borderId="44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2" fillId="0" borderId="27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0" fillId="0" borderId="31" xfId="0" applyBorder="1" applyAlignment="1">
      <alignment horizontal="left" vertical="center"/>
    </xf>
    <xf numFmtId="0" fontId="14" fillId="0" borderId="21" xfId="4" applyFon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0" fontId="0" fillId="0" borderId="0" xfId="10" applyFont="1"/>
    <xf numFmtId="0" fontId="6" fillId="0" borderId="50" xfId="10" applyFont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2" fillId="0" borderId="0" xfId="1" applyAlignment="1">
      <alignment horizontal="left" wrapText="1"/>
    </xf>
    <xf numFmtId="0" fontId="7" fillId="0" borderId="14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6" fillId="0" borderId="4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14" fontId="2" fillId="0" borderId="20" xfId="1" applyNumberFormat="1" applyBorder="1" applyAlignment="1">
      <alignment horizontal="center" vertical="center" wrapText="1"/>
    </xf>
    <xf numFmtId="14" fontId="2" fillId="0" borderId="37" xfId="1" applyNumberFormat="1" applyBorder="1" applyAlignment="1">
      <alignment horizontal="center" vertical="center" wrapText="1"/>
    </xf>
    <xf numFmtId="14" fontId="2" fillId="0" borderId="32" xfId="1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5" fontId="20" fillId="0" borderId="4" xfId="2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6" fillId="9" borderId="42" xfId="0" applyFont="1" applyFill="1" applyBorder="1" applyAlignment="1">
      <alignment horizontal="center"/>
    </xf>
    <xf numFmtId="0" fontId="6" fillId="9" borderId="46" xfId="0" applyFont="1" applyFill="1" applyBorder="1" applyAlignment="1">
      <alignment horizontal="center"/>
    </xf>
    <xf numFmtId="0" fontId="6" fillId="9" borderId="43" xfId="0" applyFont="1" applyFill="1" applyBorder="1" applyAlignment="1">
      <alignment horizontal="center"/>
    </xf>
  </cellXfs>
  <cellStyles count="12">
    <cellStyle name="Bad" xfId="11" builtinId="27"/>
    <cellStyle name="Followed Hyperlink" xfId="9" builtinId="9"/>
    <cellStyle name="Hyperlink" xfId="1" builtinId="8"/>
    <cellStyle name="Normal" xfId="0" builtinId="0"/>
    <cellStyle name="Normal 12" xfId="3" xr:uid="{00000000-0005-0000-0000-000002000000}"/>
    <cellStyle name="Normal 2" xfId="6" xr:uid="{AB4B3DE6-2238-4575-978A-B0D21C1F5079}"/>
    <cellStyle name="Normal 2 2" xfId="8" xr:uid="{F8717772-3376-457A-BBD2-4F7A5FB6E949}"/>
    <cellStyle name="Normal 3" xfId="10" xr:uid="{BE9CA19A-64D1-4D37-9DEC-3753825FCDB2}"/>
    <cellStyle name="Normal 4" xfId="7" xr:uid="{DD9FF6C2-D098-4BC1-86F4-0D3B5CA30BE5}"/>
    <cellStyle name="Normal_Cancelled" xfId="4" xr:uid="{00000000-0005-0000-0000-000003000000}"/>
    <cellStyle name="Normal_Sheet1" xfId="5" xr:uid="{00000000-0005-0000-0000-000004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B6770"/>
      <color rgb="FF00AE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8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ercot.com/gridinfo/resource" TargetMode="External"/><Relationship Id="rId1" Type="http://schemas.openxmlformats.org/officeDocument/2006/relationships/hyperlink" Target="http://www.ercot.com/gridinfo/resourc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ercot.com/mp/data-products/data-product-details?id=PG3-1411-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/>
  </sheetViews>
  <sheetFormatPr defaultRowHeight="14.4"/>
  <cols>
    <col min="1" max="1" width="15.5546875" customWidth="1"/>
    <col min="2" max="2" width="50.109375" bestFit="1" customWidth="1"/>
    <col min="3" max="3" width="16.33203125" bestFit="1" customWidth="1"/>
    <col min="4" max="4" width="30.44140625" style="6" bestFit="1" customWidth="1"/>
  </cols>
  <sheetData>
    <row r="1" spans="1:4" ht="28.8">
      <c r="A1" s="35" t="s">
        <v>0</v>
      </c>
      <c r="B1" s="36" t="s">
        <v>1</v>
      </c>
      <c r="C1" s="36" t="s">
        <v>2</v>
      </c>
      <c r="D1" s="37" t="s">
        <v>3</v>
      </c>
    </row>
    <row r="2" spans="1:4">
      <c r="A2" s="290" t="s">
        <v>4</v>
      </c>
      <c r="B2" s="290"/>
      <c r="C2" s="290"/>
      <c r="D2" s="290"/>
    </row>
    <row r="3" spans="1:4">
      <c r="A3" s="38">
        <v>4.3</v>
      </c>
      <c r="B3" s="39" t="s">
        <v>5</v>
      </c>
      <c r="C3" s="43" t="str">
        <f>'Start Cases'!B2</f>
        <v>Final</v>
      </c>
      <c r="D3" s="245">
        <f>IF('Start Cases'!B1= "","N/A",'Start Cases'!B1)</f>
        <v>45711</v>
      </c>
    </row>
    <row r="4" spans="1:4">
      <c r="A4" s="38">
        <v>4.3</v>
      </c>
      <c r="B4" s="39" t="s">
        <v>6</v>
      </c>
      <c r="C4" s="43" t="str">
        <f>'Recently Approved RPG Projects'!C2</f>
        <v>Final</v>
      </c>
      <c r="D4" s="245">
        <f>'Recently Approved RPG Projects'!C1</f>
        <v>45973</v>
      </c>
    </row>
    <row r="5" spans="1:4">
      <c r="A5" s="38">
        <v>4.3</v>
      </c>
      <c r="B5" s="39" t="s">
        <v>7</v>
      </c>
      <c r="C5" s="43" t="str">
        <f>'Model Updates &amp; Corrections'!B2</f>
        <v>Final</v>
      </c>
      <c r="D5" s="245">
        <f>'Model Updates &amp; Corrections'!B1</f>
        <v>45941</v>
      </c>
    </row>
    <row r="6" spans="1:4">
      <c r="A6" s="38" t="s">
        <v>8</v>
      </c>
      <c r="B6" s="39" t="s">
        <v>9</v>
      </c>
      <c r="C6" s="43" t="str">
        <f>'Transmission &amp; Gen Outages'!B2</f>
        <v>Final</v>
      </c>
      <c r="D6" s="245">
        <f>IF('Transmission &amp; Gen Outages'!B1= "","N/A",'Transmission &amp; Gen Outages'!B1)</f>
        <v>45804</v>
      </c>
    </row>
    <row r="7" spans="1:4">
      <c r="A7" s="291" t="s">
        <v>10</v>
      </c>
      <c r="B7" s="291"/>
      <c r="C7" s="291"/>
      <c r="D7" s="291"/>
    </row>
    <row r="8" spans="1:4">
      <c r="A8" s="38" t="s">
        <v>11</v>
      </c>
      <c r="B8" s="39" t="s">
        <v>12</v>
      </c>
      <c r="C8" s="43" t="str">
        <f>'Gen Add, Ret. and Mothball'!B2</f>
        <v>Final</v>
      </c>
      <c r="D8" s="245">
        <f>'Gen Add, Ret. and Mothball'!B1</f>
        <v>45900</v>
      </c>
    </row>
    <row r="9" spans="1:4">
      <c r="A9" s="38" t="s">
        <v>13</v>
      </c>
      <c r="B9" s="39" t="s">
        <v>14</v>
      </c>
      <c r="C9" s="43" t="str">
        <f>'Renewable Generation Dispatch'!B2</f>
        <v>Final</v>
      </c>
      <c r="D9" s="245">
        <f>IF('Renewable Generation Dispatch'!B1= "","N/A",'Renewable Generation Dispatch'!B1)</f>
        <v>45711</v>
      </c>
    </row>
    <row r="10" spans="1:4">
      <c r="A10" s="38" t="s">
        <v>15</v>
      </c>
      <c r="B10" s="40" t="s">
        <v>16</v>
      </c>
      <c r="C10" s="43" t="str">
        <f>'Switchable Generation'!B2</f>
        <v>Final</v>
      </c>
      <c r="D10" s="245">
        <f>IF('Switchable Generation'!B1= "","N/A",'Switchable Generation'!B1)</f>
        <v>45800</v>
      </c>
    </row>
    <row r="11" spans="1:4">
      <c r="A11" s="38" t="s">
        <v>17</v>
      </c>
      <c r="B11" s="39" t="s">
        <v>18</v>
      </c>
      <c r="C11" s="43" t="str">
        <f>'DC Tie Modeling &amp; Dispatch'!B2</f>
        <v>Final</v>
      </c>
      <c r="D11" s="245">
        <f>IF('DC Tie Modeling &amp; Dispatch'!B1= "","N/A",'DC Tie Modeling &amp; Dispatch'!B1)</f>
        <v>45711</v>
      </c>
    </row>
    <row r="12" spans="1:4">
      <c r="A12" s="41" t="s">
        <v>19</v>
      </c>
      <c r="B12" s="40" t="s">
        <v>20</v>
      </c>
      <c r="C12" s="43" t="str">
        <f>'Reserve Requirement'!B2</f>
        <v>Final</v>
      </c>
      <c r="D12" s="245">
        <f>IF('Reserve Requirement'!B1= "","N/A",'Reserve Requirement'!B1)</f>
        <v>45721</v>
      </c>
    </row>
    <row r="13" spans="1:4">
      <c r="A13" s="38" t="s">
        <v>21</v>
      </c>
      <c r="B13" s="39" t="s">
        <v>22</v>
      </c>
      <c r="C13" s="43" t="str">
        <f>'Fuel Price Assumptions'!B2</f>
        <v>Final</v>
      </c>
      <c r="D13" s="245">
        <f>IF('Fuel Price Assumptions'!B1= "","N/A",'Fuel Price Assumptions'!B1)</f>
        <v>45859</v>
      </c>
    </row>
    <row r="14" spans="1:4">
      <c r="A14" s="38" t="s">
        <v>21</v>
      </c>
      <c r="B14" s="39" t="s">
        <v>23</v>
      </c>
      <c r="C14" s="43" t="str">
        <f>'Emission Cost Assumptions'!B2</f>
        <v>Final</v>
      </c>
      <c r="D14" s="245">
        <f>IF('Emission Cost Assumptions'!B1= "","N/A",'Emission Cost Assumptions'!B1)</f>
        <v>45839</v>
      </c>
    </row>
    <row r="15" spans="1:4">
      <c r="A15" s="290" t="s">
        <v>24</v>
      </c>
      <c r="B15" s="290"/>
      <c r="C15" s="290"/>
      <c r="D15" s="290"/>
    </row>
    <row r="16" spans="1:4">
      <c r="A16" s="42">
        <v>3.3</v>
      </c>
      <c r="B16" s="39" t="s">
        <v>1429</v>
      </c>
      <c r="C16" s="8" t="str">
        <f>'Load Forecast Weather Year'!B2</f>
        <v>Final</v>
      </c>
      <c r="D16" s="246">
        <f>IF('Load Forecast Weather Year'!B1= "","N/A",'Load Forecast Weather Year'!B1)</f>
        <v>45839</v>
      </c>
    </row>
  </sheetData>
  <mergeCells count="3">
    <mergeCell ref="A2:D2"/>
    <mergeCell ref="A7:D7"/>
    <mergeCell ref="A15:D15"/>
  </mergeCells>
  <hyperlinks>
    <hyperlink ref="A3" location="'Start Cases'!A1" display="3.1.1" xr:uid="{00000000-0004-0000-0000-000000000000}"/>
    <hyperlink ref="A4" location="'Recently approved RPG project'!A1" display="3.1.2" xr:uid="{00000000-0004-0000-0000-000001000000}"/>
    <hyperlink ref="A5" location="'Model updates &amp; corrections'!A1" display="3.1.2" xr:uid="{00000000-0004-0000-0000-000002000000}"/>
    <hyperlink ref="A5:B5" location="'Model updates &amp; corrections'!A1" display="3.1.2" xr:uid="{00000000-0004-0000-0000-000003000000}"/>
    <hyperlink ref="A4:B4" location="'Recently Approved RPG Projects'!A1" display="3.1.2" xr:uid="{00000000-0004-0000-0000-000004000000}"/>
    <hyperlink ref="A3:B3" location="'Start Cases'!A1" display="3.1.1" xr:uid="{00000000-0004-0000-0000-000005000000}"/>
    <hyperlink ref="A6:B6" location="'Transmission &amp; Gen Outages'!A1" display="3.1.3" xr:uid="{00000000-0004-0000-0000-000006000000}"/>
    <hyperlink ref="A8:B8" location="'Gen add, ret. and mothball'!A1" display="3.2.1" xr:uid="{00000000-0004-0000-0000-000007000000}"/>
    <hyperlink ref="A9:B9" location="'Renewable Generation Dispatch'!A1" display="3.2.2" xr:uid="{00000000-0004-0000-0000-000008000000}"/>
    <hyperlink ref="A10:B10" location="'Switchable Generation'!A1" display="3.2.3" xr:uid="{00000000-0004-0000-0000-000009000000}"/>
    <hyperlink ref="A11:B11" location="'DC Tie modeling &amp; dispatch'!A1" display="3.2.4" xr:uid="{00000000-0004-0000-0000-00000A000000}"/>
    <hyperlink ref="A12:B12" location="'Reserve Requirement'!A1" display="3.2.5" xr:uid="{00000000-0004-0000-0000-00000B000000}"/>
    <hyperlink ref="A13:B13" location="'Fuel Price Assumptions'!A1" display="3.2.6" xr:uid="{00000000-0004-0000-0000-00000C000000}"/>
    <hyperlink ref="A14:B14" location="'Emission Cost Assumptions'!A1" display="3.2.6" xr:uid="{00000000-0004-0000-0000-00000D000000}"/>
    <hyperlink ref="B10" location="'Switchable Generation'!A1" display="Switchable Generation " xr:uid="{00000000-0004-0000-0000-00000E000000}"/>
    <hyperlink ref="B4" location="'Recently Approved RPG Projects'!A1" display="Recently Approved RPG Projects" xr:uid="{00000000-0004-0000-0000-00000F000000}"/>
    <hyperlink ref="B5" location="'Model updates &amp; corrections'!A1" display="Model Updates/Corrections" xr:uid="{00000000-0004-0000-0000-000010000000}"/>
    <hyperlink ref="B9" location="'Renewable Generation Dispatch'!A1" display="Renewable Generation Dispatch" xr:uid="{00000000-0004-0000-0000-000011000000}"/>
    <hyperlink ref="B11" location="'DC Tie modeling &amp; dispatch'!A1" display="DC Tie Modeling and Dispatch" xr:uid="{00000000-0004-0000-0000-000012000000}"/>
    <hyperlink ref="B13" location="'Fuel Price Assumptions'!A1" display="Fuel Price Assumptions" xr:uid="{00000000-0004-0000-0000-000013000000}"/>
    <hyperlink ref="B16" location="'Load Forecast Weather Year'!A1" display="Load Forecast Weather Year" xr:uid="{00000000-0004-0000-0000-000014000000}"/>
    <hyperlink ref="A16" location="'Load Forecast Weather Year'!A1" display="'Load Forecast Weather Year'!A1" xr:uid="{00000000-0004-0000-0000-000015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" sqref="C1"/>
    </sheetView>
  </sheetViews>
  <sheetFormatPr defaultColWidth="9.109375" defaultRowHeight="14.4"/>
  <cols>
    <col min="1" max="1" width="41.5546875" bestFit="1" customWidth="1"/>
    <col min="2" max="2" width="10.6640625" style="10" bestFit="1" customWidth="1"/>
  </cols>
  <sheetData>
    <row r="1" spans="1:3">
      <c r="A1" t="s">
        <v>25</v>
      </c>
      <c r="B1" s="34">
        <v>45711</v>
      </c>
      <c r="C1" s="57" t="s">
        <v>26</v>
      </c>
    </row>
    <row r="2" spans="1:3">
      <c r="A2" t="s">
        <v>2</v>
      </c>
      <c r="B2" s="10" t="s">
        <v>27</v>
      </c>
    </row>
    <row r="5" spans="1:3">
      <c r="A5" s="7" t="s">
        <v>1421</v>
      </c>
      <c r="B5" s="18"/>
    </row>
    <row r="6" spans="1:3">
      <c r="A6" t="s">
        <v>1427</v>
      </c>
    </row>
  </sheetData>
  <hyperlinks>
    <hyperlink ref="C1" location="Index!A1" display="Back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D1" sqref="D1"/>
    </sheetView>
  </sheetViews>
  <sheetFormatPr defaultColWidth="9.109375" defaultRowHeight="14.4"/>
  <cols>
    <col min="1" max="1" width="13.88671875" bestFit="1" customWidth="1"/>
    <col min="2" max="2" width="79.109375" customWidth="1"/>
    <col min="3" max="3" width="21.33203125" customWidth="1"/>
    <col min="4" max="4" width="21.88671875" bestFit="1" customWidth="1"/>
    <col min="5" max="6" width="9.6640625" bestFit="1" customWidth="1"/>
  </cols>
  <sheetData>
    <row r="1" spans="1:6">
      <c r="B1" t="s">
        <v>25</v>
      </c>
      <c r="C1" s="52">
        <v>45973</v>
      </c>
      <c r="D1" s="29" t="s">
        <v>26</v>
      </c>
    </row>
    <row r="2" spans="1:6">
      <c r="B2" t="s">
        <v>2</v>
      </c>
      <c r="C2" s="14" t="s">
        <v>27</v>
      </c>
    </row>
    <row r="3" spans="1:6">
      <c r="C3" s="14"/>
    </row>
    <row r="4" spans="1:6" ht="15" thickBot="1"/>
    <row r="5" spans="1:6">
      <c r="A5" s="85" t="s">
        <v>28</v>
      </c>
      <c r="B5" s="86" t="s">
        <v>29</v>
      </c>
      <c r="C5" s="86" t="s">
        <v>30</v>
      </c>
      <c r="D5" s="86" t="s">
        <v>31</v>
      </c>
      <c r="E5" s="86">
        <v>2027</v>
      </c>
      <c r="F5" s="87">
        <v>2030</v>
      </c>
    </row>
    <row r="6" spans="1:6">
      <c r="A6" s="81" t="s">
        <v>32</v>
      </c>
      <c r="B6" s="79" t="s">
        <v>1448</v>
      </c>
      <c r="C6" s="79" t="s">
        <v>33</v>
      </c>
      <c r="D6" s="79">
        <v>2024</v>
      </c>
      <c r="E6" s="79" t="s">
        <v>59</v>
      </c>
      <c r="F6" s="80"/>
    </row>
    <row r="7" spans="1:6">
      <c r="A7" s="81" t="s">
        <v>34</v>
      </c>
      <c r="B7" s="79" t="s">
        <v>35</v>
      </c>
      <c r="C7" s="79" t="s">
        <v>36</v>
      </c>
      <c r="D7" s="79">
        <v>2024</v>
      </c>
      <c r="E7" s="79" t="s">
        <v>59</v>
      </c>
      <c r="F7" s="80" t="s">
        <v>59</v>
      </c>
    </row>
    <row r="8" spans="1:6">
      <c r="A8" s="81" t="s">
        <v>37</v>
      </c>
      <c r="B8" s="79" t="s">
        <v>1446</v>
      </c>
      <c r="C8" s="79" t="s">
        <v>36</v>
      </c>
      <c r="D8" s="79">
        <v>2025</v>
      </c>
      <c r="E8" s="79"/>
      <c r="F8" s="80" t="s">
        <v>59</v>
      </c>
    </row>
    <row r="9" spans="1:6">
      <c r="A9" s="81" t="s">
        <v>38</v>
      </c>
      <c r="B9" s="79" t="s">
        <v>39</v>
      </c>
      <c r="C9" s="79" t="s">
        <v>40</v>
      </c>
      <c r="D9" s="79">
        <v>2024</v>
      </c>
      <c r="E9" s="79" t="s">
        <v>59</v>
      </c>
      <c r="F9" s="80" t="s">
        <v>59</v>
      </c>
    </row>
    <row r="10" spans="1:6">
      <c r="A10" s="81" t="s">
        <v>41</v>
      </c>
      <c r="B10" s="79" t="s">
        <v>42</v>
      </c>
      <c r="C10" s="79" t="s">
        <v>43</v>
      </c>
      <c r="D10" s="79">
        <v>2025</v>
      </c>
      <c r="E10" s="79"/>
      <c r="F10" s="80" t="s">
        <v>59</v>
      </c>
    </row>
    <row r="11" spans="1:6">
      <c r="A11" s="81" t="s">
        <v>44</v>
      </c>
      <c r="B11" s="79" t="s">
        <v>45</v>
      </c>
      <c r="C11" s="79" t="s">
        <v>36</v>
      </c>
      <c r="D11" s="79">
        <v>2024</v>
      </c>
      <c r="E11" s="79" t="s">
        <v>59</v>
      </c>
      <c r="F11" s="80" t="s">
        <v>59</v>
      </c>
    </row>
    <row r="12" spans="1:6" ht="15" thickBot="1">
      <c r="A12" s="82" t="s">
        <v>46</v>
      </c>
      <c r="B12" s="83" t="s">
        <v>1472</v>
      </c>
      <c r="C12" s="83" t="s">
        <v>1417</v>
      </c>
      <c r="D12" s="83">
        <v>2025</v>
      </c>
      <c r="E12" s="83"/>
      <c r="F12" s="84" t="s">
        <v>59</v>
      </c>
    </row>
    <row r="14" spans="1:6" ht="28.8">
      <c r="A14" t="s">
        <v>47</v>
      </c>
      <c r="B14" s="1" t="s">
        <v>1428</v>
      </c>
    </row>
    <row r="15" spans="1:6">
      <c r="B15" s="244"/>
    </row>
  </sheetData>
  <sortState xmlns:xlrd2="http://schemas.microsoft.com/office/spreadsheetml/2017/richdata2" ref="B5:F12">
    <sortCondition ref="C5:C12"/>
    <sortCondition ref="B5:B12"/>
  </sortState>
  <hyperlinks>
    <hyperlink ref="D1" location="Index!A1" display="Back" xr:uid="{00000000-0004-0000-0200-000000000000}"/>
  </hyperlink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zoomScale="79" zoomScaleNormal="79" workbookViewId="0">
      <selection activeCell="C1" sqref="C1"/>
    </sheetView>
  </sheetViews>
  <sheetFormatPr defaultColWidth="9.109375" defaultRowHeight="14.4"/>
  <cols>
    <col min="1" max="1" width="75" style="9" customWidth="1"/>
    <col min="2" max="2" width="18.33203125" style="7" customWidth="1"/>
    <col min="3" max="4" width="9.6640625" style="7" bestFit="1" customWidth="1"/>
    <col min="5" max="5" width="52.33203125" style="9" customWidth="1"/>
    <col min="6" max="16384" width="9.109375" style="7"/>
  </cols>
  <sheetData>
    <row r="1" spans="1:5">
      <c r="A1" s="9" t="s">
        <v>25</v>
      </c>
      <c r="B1" s="34">
        <v>45941</v>
      </c>
      <c r="C1" s="30" t="s">
        <v>26</v>
      </c>
    </row>
    <row r="2" spans="1:5">
      <c r="A2" s="9" t="s">
        <v>2</v>
      </c>
      <c r="B2" s="7" t="s">
        <v>27</v>
      </c>
    </row>
    <row r="5" spans="1:5" ht="21.6" thickBot="1">
      <c r="A5" s="298" t="s">
        <v>48</v>
      </c>
      <c r="B5" s="298"/>
      <c r="C5" s="298"/>
      <c r="D5" s="298"/>
      <c r="E5" s="298"/>
    </row>
    <row r="6" spans="1:5">
      <c r="A6" s="299" t="s">
        <v>49</v>
      </c>
      <c r="B6" s="301" t="s">
        <v>50</v>
      </c>
      <c r="C6" s="294">
        <v>2027</v>
      </c>
      <c r="D6" s="294">
        <v>2030</v>
      </c>
      <c r="E6" s="303" t="s">
        <v>51</v>
      </c>
    </row>
    <row r="7" spans="1:5" ht="15" thickBot="1">
      <c r="A7" s="300"/>
      <c r="B7" s="302"/>
      <c r="C7" s="305"/>
      <c r="D7" s="305"/>
      <c r="E7" s="304"/>
    </row>
    <row r="8" spans="1:5">
      <c r="A8" s="113" t="s">
        <v>1420</v>
      </c>
      <c r="B8" s="65" t="s">
        <v>1419</v>
      </c>
      <c r="C8" s="48" t="s">
        <v>59</v>
      </c>
      <c r="D8" s="48" t="s">
        <v>59</v>
      </c>
      <c r="E8" s="217" t="s">
        <v>1407</v>
      </c>
    </row>
    <row r="9" spans="1:5" ht="15" customHeight="1">
      <c r="A9" s="114" t="s">
        <v>1408</v>
      </c>
      <c r="B9" s="48" t="s">
        <v>1034</v>
      </c>
      <c r="C9" s="48" t="s">
        <v>59</v>
      </c>
      <c r="D9" s="48" t="s">
        <v>59</v>
      </c>
      <c r="E9" s="217" t="s">
        <v>1407</v>
      </c>
    </row>
    <row r="10" spans="1:5">
      <c r="A10" s="115" t="s">
        <v>1409</v>
      </c>
      <c r="B10" s="51" t="s">
        <v>1418</v>
      </c>
      <c r="C10" s="48" t="s">
        <v>59</v>
      </c>
      <c r="D10" s="51" t="s">
        <v>59</v>
      </c>
      <c r="E10" s="217" t="s">
        <v>1407</v>
      </c>
    </row>
    <row r="11" spans="1:5">
      <c r="A11" s="115" t="s">
        <v>1445</v>
      </c>
      <c r="B11" s="51" t="s">
        <v>1403</v>
      </c>
      <c r="C11" s="51" t="s">
        <v>59</v>
      </c>
      <c r="D11" s="51" t="s">
        <v>59</v>
      </c>
      <c r="E11" s="232" t="s">
        <v>1433</v>
      </c>
    </row>
    <row r="12" spans="1:5">
      <c r="A12" s="114" t="s">
        <v>1410</v>
      </c>
      <c r="B12" s="48" t="s">
        <v>1417</v>
      </c>
      <c r="C12" s="51" t="s">
        <v>59</v>
      </c>
      <c r="D12" s="48" t="s">
        <v>59</v>
      </c>
      <c r="E12" s="217" t="s">
        <v>1407</v>
      </c>
    </row>
    <row r="13" spans="1:5" ht="28.8">
      <c r="A13" s="114" t="s">
        <v>1441</v>
      </c>
      <c r="B13" s="48" t="s">
        <v>1034</v>
      </c>
      <c r="C13" s="48" t="s">
        <v>59</v>
      </c>
      <c r="D13" s="48"/>
      <c r="E13" s="306" t="s">
        <v>1467</v>
      </c>
    </row>
    <row r="14" spans="1:5" ht="28.8">
      <c r="A14" s="114" t="s">
        <v>1442</v>
      </c>
      <c r="B14" s="51" t="s">
        <v>1034</v>
      </c>
      <c r="C14" s="56" t="s">
        <v>59</v>
      </c>
      <c r="D14" s="50"/>
      <c r="E14" s="307"/>
    </row>
    <row r="15" spans="1:5" ht="28.8">
      <c r="A15" s="106" t="s">
        <v>1443</v>
      </c>
      <c r="B15" s="48" t="s">
        <v>1034</v>
      </c>
      <c r="C15" s="48" t="s">
        <v>59</v>
      </c>
      <c r="D15" s="51" t="s">
        <v>59</v>
      </c>
      <c r="E15" s="308"/>
    </row>
    <row r="16" spans="1:5" ht="15" customHeight="1">
      <c r="A16" s="106" t="s">
        <v>1411</v>
      </c>
      <c r="B16" s="51" t="s">
        <v>1417</v>
      </c>
      <c r="C16" s="51" t="s">
        <v>59</v>
      </c>
      <c r="D16" s="48" t="s">
        <v>59</v>
      </c>
      <c r="E16" s="217" t="s">
        <v>1407</v>
      </c>
    </row>
    <row r="17" spans="1:5">
      <c r="A17" s="55" t="s">
        <v>1412</v>
      </c>
      <c r="B17" s="51" t="s">
        <v>847</v>
      </c>
      <c r="C17" s="48" t="s">
        <v>59</v>
      </c>
      <c r="D17" s="51" t="s">
        <v>59</v>
      </c>
      <c r="E17" s="217" t="s">
        <v>1434</v>
      </c>
    </row>
    <row r="18" spans="1:5" ht="43.2">
      <c r="A18" s="64" t="s">
        <v>1444</v>
      </c>
      <c r="B18" s="48" t="s">
        <v>1034</v>
      </c>
      <c r="C18" s="48" t="s">
        <v>59</v>
      </c>
      <c r="D18" s="51" t="s">
        <v>59</v>
      </c>
      <c r="E18" s="217" t="s">
        <v>1468</v>
      </c>
    </row>
    <row r="19" spans="1:5">
      <c r="A19" s="106" t="s">
        <v>1413</v>
      </c>
      <c r="B19" s="48" t="s">
        <v>1034</v>
      </c>
      <c r="C19" s="48" t="s">
        <v>59</v>
      </c>
      <c r="D19" s="51" t="s">
        <v>59</v>
      </c>
      <c r="E19" s="217" t="s">
        <v>1423</v>
      </c>
    </row>
    <row r="20" spans="1:5" ht="15" customHeight="1">
      <c r="A20" s="106" t="s">
        <v>1416</v>
      </c>
      <c r="B20" s="48" t="s">
        <v>1403</v>
      </c>
      <c r="C20" s="48" t="s">
        <v>59</v>
      </c>
      <c r="D20" s="51" t="s">
        <v>59</v>
      </c>
      <c r="E20" s="217" t="s">
        <v>1435</v>
      </c>
    </row>
    <row r="21" spans="1:5">
      <c r="A21" s="116" t="s">
        <v>1415</v>
      </c>
      <c r="B21" s="48" t="s">
        <v>847</v>
      </c>
      <c r="C21" s="48"/>
      <c r="D21" s="51" t="s">
        <v>59</v>
      </c>
      <c r="E21" s="217" t="s">
        <v>1436</v>
      </c>
    </row>
    <row r="22" spans="1:5" ht="15" customHeight="1">
      <c r="A22" s="116" t="s">
        <v>1414</v>
      </c>
      <c r="B22" s="48" t="s">
        <v>1403</v>
      </c>
      <c r="C22" s="48" t="s">
        <v>59</v>
      </c>
      <c r="D22" s="51"/>
      <c r="E22" s="217" t="s">
        <v>1437</v>
      </c>
    </row>
    <row r="23" spans="1:5" ht="29.4" thickBot="1">
      <c r="A23" s="107" t="s">
        <v>1422</v>
      </c>
      <c r="B23" s="100" t="s">
        <v>1403</v>
      </c>
      <c r="C23" s="100"/>
      <c r="D23" s="100" t="s">
        <v>59</v>
      </c>
      <c r="E23" s="243" t="s">
        <v>1447</v>
      </c>
    </row>
    <row r="24" spans="1:5">
      <c r="B24" s="8"/>
      <c r="C24" s="8"/>
      <c r="D24" s="8"/>
      <c r="E24" s="49"/>
    </row>
    <row r="25" spans="1:5" ht="15" thickBot="1">
      <c r="B25" s="8"/>
      <c r="C25" s="8"/>
      <c r="D25" s="8"/>
      <c r="E25" s="49"/>
    </row>
    <row r="26" spans="1:5">
      <c r="A26" s="292" t="s">
        <v>52</v>
      </c>
      <c r="B26" s="294" t="s">
        <v>50</v>
      </c>
      <c r="C26" s="294">
        <v>2027</v>
      </c>
      <c r="D26" s="294">
        <v>2030</v>
      </c>
      <c r="E26" s="296" t="s">
        <v>51</v>
      </c>
    </row>
    <row r="27" spans="1:5" ht="15" thickBot="1">
      <c r="A27" s="293"/>
      <c r="B27" s="295"/>
      <c r="C27" s="295"/>
      <c r="D27" s="295"/>
      <c r="E27" s="297"/>
    </row>
    <row r="28" spans="1:5" ht="15" customHeight="1" thickBot="1">
      <c r="A28" s="230" t="s">
        <v>1424</v>
      </c>
      <c r="B28" s="103" t="s">
        <v>940</v>
      </c>
      <c r="C28" s="103" t="s">
        <v>59</v>
      </c>
      <c r="D28" s="103" t="s">
        <v>59</v>
      </c>
      <c r="E28" s="233" t="s">
        <v>1425</v>
      </c>
    </row>
    <row r="29" spans="1:5" ht="15" thickBot="1"/>
    <row r="30" spans="1:5">
      <c r="A30" s="299" t="s">
        <v>53</v>
      </c>
      <c r="B30" s="301" t="s">
        <v>50</v>
      </c>
      <c r="C30" s="294">
        <v>2027</v>
      </c>
      <c r="D30" s="294">
        <v>2030</v>
      </c>
      <c r="E30" s="303" t="s">
        <v>51</v>
      </c>
    </row>
    <row r="31" spans="1:5" ht="15" thickBot="1">
      <c r="A31" s="300"/>
      <c r="B31" s="302"/>
      <c r="C31" s="305"/>
      <c r="D31" s="305"/>
      <c r="E31" s="304"/>
    </row>
    <row r="32" spans="1:5" ht="15" customHeight="1" thickBot="1">
      <c r="A32" s="101"/>
      <c r="B32" s="102"/>
      <c r="C32" s="103"/>
      <c r="D32" s="103"/>
      <c r="E32" s="104"/>
    </row>
  </sheetData>
  <sortState xmlns:xlrd2="http://schemas.microsoft.com/office/spreadsheetml/2017/richdata2" ref="A32:E34">
    <sortCondition ref="B32:B34"/>
    <sortCondition ref="A32:A34"/>
  </sortState>
  <mergeCells count="17">
    <mergeCell ref="A30:A31"/>
    <mergeCell ref="B30:B31"/>
    <mergeCell ref="E30:E31"/>
    <mergeCell ref="C30:C31"/>
    <mergeCell ref="D30:D31"/>
    <mergeCell ref="A26:A27"/>
    <mergeCell ref="B26:B27"/>
    <mergeCell ref="E26:E27"/>
    <mergeCell ref="A5:E5"/>
    <mergeCell ref="A6:A7"/>
    <mergeCell ref="B6:B7"/>
    <mergeCell ref="E6:E7"/>
    <mergeCell ref="C6:C7"/>
    <mergeCell ref="D6:D7"/>
    <mergeCell ref="C26:C27"/>
    <mergeCell ref="D26:D27"/>
    <mergeCell ref="E13:E15"/>
  </mergeCells>
  <hyperlinks>
    <hyperlink ref="C1" location="Index!A1" display="Back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C1" sqref="C1"/>
    </sheetView>
  </sheetViews>
  <sheetFormatPr defaultRowHeight="14.4"/>
  <cols>
    <col min="1" max="1" width="27.88671875" bestFit="1" customWidth="1"/>
    <col min="2" max="2" width="26.44140625" bestFit="1" customWidth="1"/>
    <col min="3" max="3" width="9.6640625" bestFit="1" customWidth="1"/>
    <col min="5" max="5" width="47.33203125" bestFit="1" customWidth="1"/>
    <col min="6" max="6" width="23.109375" bestFit="1" customWidth="1"/>
    <col min="12" max="12" width="9.44140625" customWidth="1"/>
  </cols>
  <sheetData>
    <row r="1" spans="1:6">
      <c r="A1" t="s">
        <v>25</v>
      </c>
      <c r="B1" s="34">
        <v>45804</v>
      </c>
      <c r="C1" s="29" t="s">
        <v>26</v>
      </c>
    </row>
    <row r="2" spans="1:6">
      <c r="A2" t="s">
        <v>2</v>
      </c>
      <c r="B2" t="s">
        <v>27</v>
      </c>
    </row>
    <row r="5" spans="1:6">
      <c r="A5" s="231" t="s">
        <v>54</v>
      </c>
      <c r="B5" s="231" t="s">
        <v>55</v>
      </c>
      <c r="C5" s="25">
        <v>2027</v>
      </c>
      <c r="D5" s="25">
        <v>2030</v>
      </c>
      <c r="E5" s="25" t="s">
        <v>56</v>
      </c>
    </row>
    <row r="6" spans="1:6">
      <c r="A6" s="48" t="s">
        <v>57</v>
      </c>
      <c r="B6" s="24" t="s">
        <v>58</v>
      </c>
      <c r="C6" s="28" t="s">
        <v>59</v>
      </c>
      <c r="D6" s="28" t="s">
        <v>59</v>
      </c>
      <c r="E6" s="48" t="s">
        <v>60</v>
      </c>
      <c r="F6" s="7"/>
    </row>
    <row r="7" spans="1:6" ht="13.95" customHeight="1">
      <c r="A7" s="48" t="s">
        <v>61</v>
      </c>
      <c r="B7" s="24" t="s">
        <v>58</v>
      </c>
      <c r="C7" s="28" t="s">
        <v>59</v>
      </c>
      <c r="D7" s="28" t="s">
        <v>59</v>
      </c>
      <c r="E7" s="48" t="s">
        <v>60</v>
      </c>
    </row>
    <row r="8" spans="1:6" ht="13.95" customHeight="1">
      <c r="A8" s="48" t="s">
        <v>639</v>
      </c>
      <c r="B8" s="24" t="s">
        <v>1469</v>
      </c>
      <c r="C8" s="28" t="s">
        <v>59</v>
      </c>
      <c r="D8" s="28" t="s">
        <v>59</v>
      </c>
      <c r="E8" s="48" t="s">
        <v>1470</v>
      </c>
    </row>
    <row r="9" spans="1:6">
      <c r="A9" s="48" t="s">
        <v>62</v>
      </c>
      <c r="B9" s="24" t="s">
        <v>63</v>
      </c>
      <c r="C9" s="28" t="s">
        <v>59</v>
      </c>
      <c r="D9" s="28" t="s">
        <v>59</v>
      </c>
      <c r="E9" s="48" t="s">
        <v>64</v>
      </c>
    </row>
    <row r="10" spans="1:6">
      <c r="A10" s="48" t="s">
        <v>65</v>
      </c>
      <c r="B10" s="24" t="s">
        <v>66</v>
      </c>
      <c r="C10" s="28" t="s">
        <v>59</v>
      </c>
      <c r="D10" s="28"/>
      <c r="E10" s="48" t="s">
        <v>67</v>
      </c>
    </row>
    <row r="11" spans="1:6">
      <c r="A11" s="1"/>
    </row>
    <row r="12" spans="1:6" ht="30" customHeight="1">
      <c r="A12" s="309" t="s">
        <v>68</v>
      </c>
      <c r="B12" s="309"/>
    </row>
  </sheetData>
  <mergeCells count="1">
    <mergeCell ref="A12:B12"/>
  </mergeCells>
  <hyperlinks>
    <hyperlink ref="C1" location="Index!A1" display="Back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C1" sqref="C1"/>
    </sheetView>
  </sheetViews>
  <sheetFormatPr defaultColWidth="9.109375" defaultRowHeight="14.4"/>
  <cols>
    <col min="1" max="1" width="30.109375" bestFit="1" customWidth="1"/>
    <col min="2" max="2" width="23.5546875" bestFit="1" customWidth="1"/>
    <col min="8" max="8" width="9.5546875" customWidth="1"/>
  </cols>
  <sheetData>
    <row r="1" spans="1:8">
      <c r="A1" t="s">
        <v>25</v>
      </c>
      <c r="B1" s="34">
        <v>45711</v>
      </c>
      <c r="C1" s="29" t="s">
        <v>26</v>
      </c>
    </row>
    <row r="2" spans="1:8">
      <c r="A2" t="s">
        <v>2</v>
      </c>
      <c r="B2" s="10" t="s">
        <v>27</v>
      </c>
    </row>
    <row r="3" spans="1:8">
      <c r="B3" s="10"/>
    </row>
    <row r="5" spans="1:8" ht="18">
      <c r="A5" s="311" t="s">
        <v>72</v>
      </c>
      <c r="B5" s="311"/>
      <c r="C5" s="311"/>
      <c r="D5" s="311"/>
      <c r="E5" s="311"/>
      <c r="F5" s="311"/>
    </row>
    <row r="6" spans="1:8" ht="15" customHeight="1">
      <c r="A6" s="312" t="s">
        <v>848</v>
      </c>
      <c r="B6" s="312"/>
      <c r="C6" s="312"/>
      <c r="D6" s="312"/>
      <c r="E6" s="312"/>
      <c r="F6" s="312"/>
    </row>
    <row r="7" spans="1:8">
      <c r="A7" t="s">
        <v>849</v>
      </c>
    </row>
    <row r="8" spans="1:8">
      <c r="A8" t="s">
        <v>1432</v>
      </c>
      <c r="B8">
        <v>2013</v>
      </c>
    </row>
    <row r="9" spans="1:8">
      <c r="A9" s="23"/>
      <c r="B9" s="23"/>
      <c r="C9" s="23"/>
      <c r="D9" s="23"/>
      <c r="E9" s="23"/>
      <c r="F9" s="23"/>
      <c r="G9" s="4"/>
      <c r="H9" s="4"/>
    </row>
    <row r="10" spans="1:8">
      <c r="A10" s="17"/>
      <c r="B10" s="17"/>
      <c r="C10" s="17"/>
    </row>
    <row r="11" spans="1:8" ht="18">
      <c r="A11" s="311" t="s">
        <v>73</v>
      </c>
      <c r="B11" s="311"/>
      <c r="C11" s="311"/>
      <c r="D11" s="311"/>
      <c r="E11" s="311"/>
      <c r="F11" s="311"/>
    </row>
    <row r="12" spans="1:8" ht="15" customHeight="1">
      <c r="A12" s="312" t="s">
        <v>848</v>
      </c>
      <c r="B12" s="312"/>
      <c r="C12" s="312"/>
      <c r="D12" s="312"/>
      <c r="E12" s="312"/>
      <c r="F12" s="312"/>
    </row>
    <row r="13" spans="1:8">
      <c r="A13" t="s">
        <v>849</v>
      </c>
    </row>
    <row r="14" spans="1:8">
      <c r="A14" t="s">
        <v>1432</v>
      </c>
      <c r="B14">
        <v>2013</v>
      </c>
    </row>
    <row r="15" spans="1:8">
      <c r="A15" s="5"/>
      <c r="B15" s="2"/>
      <c r="C15" s="2"/>
    </row>
    <row r="16" spans="1:8" ht="18">
      <c r="A16" s="311" t="s">
        <v>850</v>
      </c>
      <c r="B16" s="311"/>
      <c r="C16" s="311"/>
      <c r="D16" s="311"/>
      <c r="E16" s="311"/>
      <c r="F16" s="311"/>
    </row>
    <row r="17" spans="1:6" ht="15" customHeight="1">
      <c r="A17" s="310" t="s">
        <v>851</v>
      </c>
      <c r="B17" s="310"/>
      <c r="C17" s="310"/>
      <c r="D17" s="310"/>
      <c r="E17" s="310"/>
      <c r="F17" s="310"/>
    </row>
    <row r="18" spans="1:6">
      <c r="A18" s="310"/>
      <c r="B18" s="310"/>
      <c r="C18" s="310"/>
      <c r="D18" s="310"/>
      <c r="E18" s="310"/>
      <c r="F18" s="310"/>
    </row>
  </sheetData>
  <mergeCells count="6">
    <mergeCell ref="A17:F18"/>
    <mergeCell ref="A16:F16"/>
    <mergeCell ref="A5:F5"/>
    <mergeCell ref="A11:F11"/>
    <mergeCell ref="A6:F6"/>
    <mergeCell ref="A12:F12"/>
  </mergeCells>
  <hyperlinks>
    <hyperlink ref="C1" location="Index!A1" display="Back" xr:uid="{00000000-0004-0000-0600-000000000000}"/>
    <hyperlink ref="A6" r:id="rId1" xr:uid="{00000000-0004-0000-0600-000001000000}"/>
    <hyperlink ref="A12" r:id="rId2" xr:uid="{00000000-0004-0000-0600-000002000000}"/>
  </hyperlinks>
  <pageMargins left="0.7" right="0.7" top="0.75" bottom="0.75" header="0.3" footer="0.3"/>
  <pageSetup orientation="portrait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28"/>
  <sheetViews>
    <sheetView topLeftCell="A598" zoomScale="85" zoomScaleNormal="85" workbookViewId="0">
      <selection activeCell="C1" sqref="C1"/>
    </sheetView>
  </sheetViews>
  <sheetFormatPr defaultColWidth="9.109375" defaultRowHeight="14.4"/>
  <cols>
    <col min="1" max="1" width="40.5546875" style="1" customWidth="1"/>
    <col min="2" max="2" width="65.6640625" bestFit="1" customWidth="1"/>
    <col min="3" max="3" width="23" bestFit="1" customWidth="1"/>
    <col min="4" max="4" width="19.6640625" customWidth="1"/>
    <col min="5" max="5" width="32" customWidth="1"/>
    <col min="6" max="6" width="12.6640625" bestFit="1" customWidth="1"/>
    <col min="7" max="7" width="14.6640625" customWidth="1"/>
    <col min="8" max="8" width="43.44140625" customWidth="1"/>
    <col min="9" max="9" width="10.5546875" bestFit="1" customWidth="1"/>
    <col min="10" max="10" width="10.44140625" customWidth="1"/>
    <col min="11" max="11" width="9.6640625" customWidth="1"/>
    <col min="12" max="12" width="10.44140625" customWidth="1"/>
    <col min="13" max="13" width="37.33203125" bestFit="1" customWidth="1"/>
    <col min="15" max="15" width="11.44140625" bestFit="1" customWidth="1"/>
  </cols>
  <sheetData>
    <row r="1" spans="1:13">
      <c r="A1" s="1" t="s">
        <v>25</v>
      </c>
      <c r="B1" s="34">
        <v>45900</v>
      </c>
      <c r="C1" s="29" t="s">
        <v>26</v>
      </c>
    </row>
    <row r="2" spans="1:13">
      <c r="A2" s="1" t="s">
        <v>2</v>
      </c>
      <c r="B2" s="10" t="s">
        <v>27</v>
      </c>
    </row>
    <row r="3" spans="1:13">
      <c r="A3" s="1" t="s">
        <v>74</v>
      </c>
      <c r="B3" s="34">
        <v>45807</v>
      </c>
    </row>
    <row r="4" spans="1:13">
      <c r="B4" s="34"/>
    </row>
    <row r="5" spans="1:13" ht="15" thickBot="1"/>
    <row r="6" spans="1:13" ht="15" thickBot="1">
      <c r="A6" s="315" t="s">
        <v>75</v>
      </c>
      <c r="B6" s="316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66.75" customHeight="1" thickBot="1">
      <c r="A7" s="121" t="s">
        <v>76</v>
      </c>
      <c r="B7" s="122" t="s">
        <v>29</v>
      </c>
      <c r="C7" s="122" t="s">
        <v>77</v>
      </c>
      <c r="D7" s="123" t="s">
        <v>78</v>
      </c>
      <c r="E7" s="122" t="s">
        <v>79</v>
      </c>
      <c r="F7" s="124" t="s">
        <v>80</v>
      </c>
      <c r="G7" s="125" t="s">
        <v>81</v>
      </c>
      <c r="H7" s="125" t="s">
        <v>82</v>
      </c>
      <c r="I7" s="122">
        <v>2027</v>
      </c>
      <c r="J7" s="125" t="s">
        <v>1405</v>
      </c>
      <c r="K7" s="122">
        <v>2030</v>
      </c>
      <c r="L7" s="125" t="s">
        <v>1406</v>
      </c>
      <c r="M7" s="126" t="s">
        <v>51</v>
      </c>
    </row>
    <row r="8" spans="1:13">
      <c r="A8" s="247" t="s">
        <v>83</v>
      </c>
      <c r="B8" s="251" t="s">
        <v>985</v>
      </c>
      <c r="C8" s="65" t="s">
        <v>686</v>
      </c>
      <c r="D8" s="177">
        <v>45807</v>
      </c>
      <c r="E8" s="65" t="s">
        <v>69</v>
      </c>
      <c r="F8" s="185">
        <v>58.29</v>
      </c>
      <c r="G8" s="65"/>
      <c r="H8" s="176">
        <v>45499</v>
      </c>
      <c r="I8" s="65" t="s">
        <v>59</v>
      </c>
      <c r="J8" s="65" t="s">
        <v>59</v>
      </c>
      <c r="K8" s="177" t="s">
        <v>59</v>
      </c>
      <c r="L8" s="177" t="s">
        <v>59</v>
      </c>
      <c r="M8" s="152"/>
    </row>
    <row r="9" spans="1:13">
      <c r="A9" s="248" t="s">
        <v>84</v>
      </c>
      <c r="B9" s="252" t="s">
        <v>1246</v>
      </c>
      <c r="C9" s="48" t="s">
        <v>746</v>
      </c>
      <c r="D9" s="179">
        <v>46341</v>
      </c>
      <c r="E9" s="48" t="s">
        <v>69</v>
      </c>
      <c r="F9" s="186">
        <v>201.15</v>
      </c>
      <c r="G9" s="48"/>
      <c r="H9" s="178">
        <v>45490</v>
      </c>
      <c r="I9" s="48" t="s">
        <v>59</v>
      </c>
      <c r="J9" s="48" t="s">
        <v>59</v>
      </c>
      <c r="K9" s="179" t="s">
        <v>59</v>
      </c>
      <c r="L9" s="179" t="s">
        <v>59</v>
      </c>
      <c r="M9" s="153"/>
    </row>
    <row r="10" spans="1:13">
      <c r="A10" s="248" t="s">
        <v>85</v>
      </c>
      <c r="B10" s="252" t="s">
        <v>945</v>
      </c>
      <c r="C10" s="48" t="s">
        <v>705</v>
      </c>
      <c r="D10" s="179">
        <v>45869</v>
      </c>
      <c r="E10" s="48" t="s">
        <v>69</v>
      </c>
      <c r="F10" s="186">
        <v>100.24</v>
      </c>
      <c r="G10" s="48"/>
      <c r="H10" s="178">
        <v>45597</v>
      </c>
      <c r="I10" s="48" t="s">
        <v>59</v>
      </c>
      <c r="J10" s="48" t="s">
        <v>59</v>
      </c>
      <c r="K10" s="179" t="s">
        <v>59</v>
      </c>
      <c r="L10" s="179" t="s">
        <v>59</v>
      </c>
      <c r="M10" s="153"/>
    </row>
    <row r="11" spans="1:13">
      <c r="A11" s="248" t="s">
        <v>86</v>
      </c>
      <c r="B11" s="252" t="s">
        <v>1387</v>
      </c>
      <c r="C11" s="48" t="s">
        <v>765</v>
      </c>
      <c r="D11" s="179">
        <v>46112</v>
      </c>
      <c r="E11" s="48" t="s">
        <v>69</v>
      </c>
      <c r="F11" s="186">
        <v>154.19999999999999</v>
      </c>
      <c r="G11" s="48"/>
      <c r="H11" s="178">
        <v>45575</v>
      </c>
      <c r="I11" s="48" t="s">
        <v>59</v>
      </c>
      <c r="J11" s="48" t="s">
        <v>59</v>
      </c>
      <c r="K11" s="179" t="s">
        <v>59</v>
      </c>
      <c r="L11" s="179" t="s">
        <v>59</v>
      </c>
      <c r="M11" s="153"/>
    </row>
    <row r="12" spans="1:13">
      <c r="A12" s="248" t="s">
        <v>87</v>
      </c>
      <c r="B12" s="252" t="s">
        <v>1254</v>
      </c>
      <c r="C12" s="48" t="s">
        <v>655</v>
      </c>
      <c r="D12" s="179">
        <v>45852</v>
      </c>
      <c r="E12" s="48" t="s">
        <v>69</v>
      </c>
      <c r="F12" s="186">
        <v>160.25</v>
      </c>
      <c r="G12" s="48"/>
      <c r="H12" s="178">
        <v>45497</v>
      </c>
      <c r="I12" s="48" t="s">
        <v>59</v>
      </c>
      <c r="J12" s="48" t="s">
        <v>59</v>
      </c>
      <c r="K12" s="179" t="s">
        <v>59</v>
      </c>
      <c r="L12" s="179" t="s">
        <v>59</v>
      </c>
      <c r="M12" s="187"/>
    </row>
    <row r="13" spans="1:13">
      <c r="A13" s="248" t="s">
        <v>88</v>
      </c>
      <c r="B13" s="252" t="s">
        <v>959</v>
      </c>
      <c r="C13" s="48" t="s">
        <v>673</v>
      </c>
      <c r="D13" s="179">
        <v>45607</v>
      </c>
      <c r="E13" s="48" t="s">
        <v>69</v>
      </c>
      <c r="F13" s="186">
        <v>9.9</v>
      </c>
      <c r="G13" s="48"/>
      <c r="H13" s="178">
        <v>45352</v>
      </c>
      <c r="I13" s="48" t="s">
        <v>59</v>
      </c>
      <c r="J13" s="48" t="s">
        <v>59</v>
      </c>
      <c r="K13" s="179" t="s">
        <v>59</v>
      </c>
      <c r="L13" s="179" t="s">
        <v>59</v>
      </c>
      <c r="M13" s="153"/>
    </row>
    <row r="14" spans="1:13">
      <c r="A14" s="248" t="s">
        <v>89</v>
      </c>
      <c r="B14" s="252" t="s">
        <v>1255</v>
      </c>
      <c r="C14" s="48" t="s">
        <v>762</v>
      </c>
      <c r="D14" s="179">
        <v>45653</v>
      </c>
      <c r="E14" s="48" t="s">
        <v>69</v>
      </c>
      <c r="F14" s="186">
        <v>9.8800000000000008</v>
      </c>
      <c r="G14" s="48"/>
      <c r="H14" s="178">
        <v>45385</v>
      </c>
      <c r="I14" s="48" t="s">
        <v>59</v>
      </c>
      <c r="J14" s="48" t="s">
        <v>59</v>
      </c>
      <c r="K14" s="179" t="s">
        <v>59</v>
      </c>
      <c r="L14" s="179" t="s">
        <v>59</v>
      </c>
      <c r="M14" s="153"/>
    </row>
    <row r="15" spans="1:13">
      <c r="A15" s="248" t="s">
        <v>90</v>
      </c>
      <c r="B15" s="252" t="s">
        <v>1006</v>
      </c>
      <c r="C15" s="48" t="s">
        <v>739</v>
      </c>
      <c r="D15" s="179">
        <v>45677</v>
      </c>
      <c r="E15" s="48" t="s">
        <v>69</v>
      </c>
      <c r="F15" s="186">
        <v>9.9499999999999993</v>
      </c>
      <c r="G15" s="48"/>
      <c r="H15" s="178">
        <v>45411</v>
      </c>
      <c r="I15" s="48" t="s">
        <v>59</v>
      </c>
      <c r="J15" s="48" t="s">
        <v>59</v>
      </c>
      <c r="K15" s="179" t="s">
        <v>59</v>
      </c>
      <c r="L15" s="179" t="s">
        <v>59</v>
      </c>
      <c r="M15" s="153"/>
    </row>
    <row r="16" spans="1:13">
      <c r="A16" s="248" t="s">
        <v>91</v>
      </c>
      <c r="B16" s="252" t="s">
        <v>1268</v>
      </c>
      <c r="C16" s="48" t="s">
        <v>665</v>
      </c>
      <c r="D16" s="179">
        <v>45618</v>
      </c>
      <c r="E16" s="48" t="s">
        <v>69</v>
      </c>
      <c r="F16" s="186">
        <v>9.9</v>
      </c>
      <c r="G16" s="48"/>
      <c r="H16" s="178">
        <v>45352</v>
      </c>
      <c r="I16" s="48" t="s">
        <v>59</v>
      </c>
      <c r="J16" s="48" t="s">
        <v>59</v>
      </c>
      <c r="K16" s="179" t="s">
        <v>59</v>
      </c>
      <c r="L16" s="179" t="s">
        <v>59</v>
      </c>
      <c r="M16" s="153"/>
    </row>
    <row r="17" spans="1:13">
      <c r="A17" s="248" t="s">
        <v>92</v>
      </c>
      <c r="B17" s="252" t="s">
        <v>1223</v>
      </c>
      <c r="C17" s="48" t="s">
        <v>668</v>
      </c>
      <c r="D17" s="179">
        <v>45351</v>
      </c>
      <c r="E17" s="48" t="s">
        <v>69</v>
      </c>
      <c r="F17" s="186">
        <v>9.9499999999999993</v>
      </c>
      <c r="G17" s="48"/>
      <c r="H17" s="178">
        <v>45231</v>
      </c>
      <c r="I17" s="48" t="s">
        <v>59</v>
      </c>
      <c r="J17" s="48" t="s">
        <v>59</v>
      </c>
      <c r="K17" s="179" t="s">
        <v>59</v>
      </c>
      <c r="L17" s="179" t="s">
        <v>59</v>
      </c>
      <c r="M17" s="153"/>
    </row>
    <row r="18" spans="1:13">
      <c r="A18" s="248" t="s">
        <v>93</v>
      </c>
      <c r="B18" s="252" t="s">
        <v>1279</v>
      </c>
      <c r="C18" s="48" t="s">
        <v>752</v>
      </c>
      <c r="D18" s="179">
        <v>45646</v>
      </c>
      <c r="E18" s="48" t="s">
        <v>69</v>
      </c>
      <c r="F18" s="186">
        <v>9.9</v>
      </c>
      <c r="G18" s="48"/>
      <c r="H18" s="178">
        <v>45295</v>
      </c>
      <c r="I18" s="48" t="s">
        <v>59</v>
      </c>
      <c r="J18" s="48" t="s">
        <v>59</v>
      </c>
      <c r="K18" s="179" t="s">
        <v>59</v>
      </c>
      <c r="L18" s="179" t="s">
        <v>59</v>
      </c>
      <c r="M18" s="153"/>
    </row>
    <row r="19" spans="1:13">
      <c r="A19" s="248" t="s">
        <v>94</v>
      </c>
      <c r="B19" s="252" t="s">
        <v>1333</v>
      </c>
      <c r="C19" s="48" t="s">
        <v>758</v>
      </c>
      <c r="D19" s="179">
        <v>45464</v>
      </c>
      <c r="E19" s="48" t="s">
        <v>69</v>
      </c>
      <c r="F19" s="186">
        <v>9.9</v>
      </c>
      <c r="G19" s="48"/>
      <c r="H19" s="178">
        <v>45295</v>
      </c>
      <c r="I19" s="48" t="s">
        <v>59</v>
      </c>
      <c r="J19" s="48" t="s">
        <v>59</v>
      </c>
      <c r="K19" s="179" t="s">
        <v>59</v>
      </c>
      <c r="L19" s="179" t="s">
        <v>59</v>
      </c>
      <c r="M19" s="153"/>
    </row>
    <row r="20" spans="1:13">
      <c r="A20" s="248" t="s">
        <v>95</v>
      </c>
      <c r="B20" s="252" t="s">
        <v>1228</v>
      </c>
      <c r="C20" s="48" t="s">
        <v>723</v>
      </c>
      <c r="D20" s="179">
        <v>45653</v>
      </c>
      <c r="E20" s="48" t="s">
        <v>69</v>
      </c>
      <c r="F20" s="186">
        <v>9.8800000000000008</v>
      </c>
      <c r="G20" s="48"/>
      <c r="H20" s="178">
        <v>45434</v>
      </c>
      <c r="I20" s="48" t="s">
        <v>59</v>
      </c>
      <c r="J20" s="48" t="s">
        <v>59</v>
      </c>
      <c r="K20" s="179" t="s">
        <v>59</v>
      </c>
      <c r="L20" s="179" t="s">
        <v>59</v>
      </c>
      <c r="M20" s="153"/>
    </row>
    <row r="21" spans="1:13">
      <c r="A21" s="248" t="s">
        <v>96</v>
      </c>
      <c r="B21" s="252" t="s">
        <v>1335</v>
      </c>
      <c r="C21" s="48" t="s">
        <v>583</v>
      </c>
      <c r="D21" s="179">
        <v>45566</v>
      </c>
      <c r="E21" s="48" t="s">
        <v>69</v>
      </c>
      <c r="F21" s="186">
        <v>9.99</v>
      </c>
      <c r="G21" s="48"/>
      <c r="H21" s="178">
        <v>45399</v>
      </c>
      <c r="I21" s="48" t="s">
        <v>59</v>
      </c>
      <c r="J21" s="48" t="s">
        <v>59</v>
      </c>
      <c r="K21" s="179" t="s">
        <v>59</v>
      </c>
      <c r="L21" s="179" t="s">
        <v>59</v>
      </c>
      <c r="M21" s="153"/>
    </row>
    <row r="22" spans="1:13">
      <c r="A22" s="248" t="s">
        <v>97</v>
      </c>
      <c r="B22" s="252" t="s">
        <v>1366</v>
      </c>
      <c r="C22" s="48" t="s">
        <v>690</v>
      </c>
      <c r="D22" s="179">
        <v>46752</v>
      </c>
      <c r="E22" s="48" t="s">
        <v>72</v>
      </c>
      <c r="F22" s="186">
        <v>203.8</v>
      </c>
      <c r="G22" s="48"/>
      <c r="H22" s="178">
        <v>45700</v>
      </c>
      <c r="I22" s="48" t="s">
        <v>59</v>
      </c>
      <c r="J22" s="48" t="s">
        <v>59</v>
      </c>
      <c r="K22" s="179" t="s">
        <v>59</v>
      </c>
      <c r="L22" s="179" t="s">
        <v>59</v>
      </c>
      <c r="M22" s="153"/>
    </row>
    <row r="23" spans="1:13">
      <c r="A23" s="248" t="s">
        <v>98</v>
      </c>
      <c r="B23" s="252" t="s">
        <v>1084</v>
      </c>
      <c r="C23" s="48" t="s">
        <v>710</v>
      </c>
      <c r="D23" s="179">
        <v>46539</v>
      </c>
      <c r="E23" s="48" t="s">
        <v>69</v>
      </c>
      <c r="F23" s="186">
        <v>206.8</v>
      </c>
      <c r="G23" s="48"/>
      <c r="H23" s="178">
        <v>45700</v>
      </c>
      <c r="I23" s="48" t="s">
        <v>59</v>
      </c>
      <c r="J23" s="48" t="s">
        <v>59</v>
      </c>
      <c r="K23" s="179" t="s">
        <v>59</v>
      </c>
      <c r="L23" s="179" t="s">
        <v>59</v>
      </c>
      <c r="M23" s="153"/>
    </row>
    <row r="24" spans="1:13">
      <c r="A24" s="248" t="s">
        <v>99</v>
      </c>
      <c r="B24" s="252" t="s">
        <v>942</v>
      </c>
      <c r="C24" s="48" t="s">
        <v>682</v>
      </c>
      <c r="D24" s="179">
        <v>46477</v>
      </c>
      <c r="E24" s="48" t="s">
        <v>72</v>
      </c>
      <c r="F24" s="186">
        <v>382.12</v>
      </c>
      <c r="G24" s="48"/>
      <c r="H24" s="178">
        <v>45701</v>
      </c>
      <c r="I24" s="48" t="s">
        <v>59</v>
      </c>
      <c r="J24" s="48" t="s">
        <v>59</v>
      </c>
      <c r="K24" s="179" t="s">
        <v>59</v>
      </c>
      <c r="L24" s="179" t="s">
        <v>59</v>
      </c>
      <c r="M24" s="153"/>
    </row>
    <row r="25" spans="1:13">
      <c r="A25" s="248" t="s">
        <v>100</v>
      </c>
      <c r="B25" s="252" t="s">
        <v>1371</v>
      </c>
      <c r="C25" s="48" t="s">
        <v>661</v>
      </c>
      <c r="D25" s="179">
        <v>46235</v>
      </c>
      <c r="E25" s="48" t="s">
        <v>69</v>
      </c>
      <c r="F25" s="186">
        <v>150.6</v>
      </c>
      <c r="G25" s="48"/>
      <c r="H25" s="178">
        <v>45700</v>
      </c>
      <c r="I25" s="48" t="s">
        <v>59</v>
      </c>
      <c r="J25" s="48" t="s">
        <v>59</v>
      </c>
      <c r="K25" s="179" t="s">
        <v>59</v>
      </c>
      <c r="L25" s="179" t="s">
        <v>59</v>
      </c>
      <c r="M25" s="153"/>
    </row>
    <row r="26" spans="1:13">
      <c r="A26" s="248" t="s">
        <v>101</v>
      </c>
      <c r="B26" s="252" t="s">
        <v>1211</v>
      </c>
      <c r="C26" s="48" t="s">
        <v>680</v>
      </c>
      <c r="D26" s="179">
        <v>46522</v>
      </c>
      <c r="E26" s="48" t="s">
        <v>69</v>
      </c>
      <c r="F26" s="186">
        <v>63.6</v>
      </c>
      <c r="G26" s="48"/>
      <c r="H26" s="178">
        <v>45700</v>
      </c>
      <c r="I26" s="48" t="s">
        <v>59</v>
      </c>
      <c r="J26" s="48" t="s">
        <v>59</v>
      </c>
      <c r="K26" s="179" t="s">
        <v>59</v>
      </c>
      <c r="L26" s="179" t="s">
        <v>59</v>
      </c>
      <c r="M26" s="153"/>
    </row>
    <row r="27" spans="1:13">
      <c r="A27" s="248" t="s">
        <v>102</v>
      </c>
      <c r="B27" s="252" t="s">
        <v>981</v>
      </c>
      <c r="C27" s="48" t="s">
        <v>661</v>
      </c>
      <c r="D27" s="179">
        <v>46568</v>
      </c>
      <c r="E27" s="48" t="s">
        <v>72</v>
      </c>
      <c r="F27" s="186">
        <v>255</v>
      </c>
      <c r="G27" s="48"/>
      <c r="H27" s="178">
        <v>45700</v>
      </c>
      <c r="I27" s="48" t="s">
        <v>59</v>
      </c>
      <c r="J27" s="48" t="s">
        <v>59</v>
      </c>
      <c r="K27" s="179" t="s">
        <v>59</v>
      </c>
      <c r="L27" s="179" t="s">
        <v>59</v>
      </c>
      <c r="M27" s="153"/>
    </row>
    <row r="28" spans="1:13">
      <c r="A28" s="248" t="s">
        <v>103</v>
      </c>
      <c r="B28" s="252" t="s">
        <v>1018</v>
      </c>
      <c r="C28" s="48" t="s">
        <v>683</v>
      </c>
      <c r="D28" s="179">
        <v>46882</v>
      </c>
      <c r="E28" s="48" t="s">
        <v>69</v>
      </c>
      <c r="F28" s="186">
        <v>94</v>
      </c>
      <c r="G28" s="48"/>
      <c r="H28" s="178">
        <v>45700</v>
      </c>
      <c r="I28" s="180" t="s">
        <v>365</v>
      </c>
      <c r="J28" s="180" t="s">
        <v>365</v>
      </c>
      <c r="K28" s="179" t="s">
        <v>59</v>
      </c>
      <c r="L28" s="179" t="s">
        <v>59</v>
      </c>
      <c r="M28" s="153"/>
    </row>
    <row r="29" spans="1:13">
      <c r="A29" s="248" t="s">
        <v>104</v>
      </c>
      <c r="B29" s="252" t="s">
        <v>1092</v>
      </c>
      <c r="C29" s="48" t="s">
        <v>712</v>
      </c>
      <c r="D29" s="179">
        <v>47179</v>
      </c>
      <c r="E29" s="48" t="s">
        <v>72</v>
      </c>
      <c r="F29" s="186">
        <v>625</v>
      </c>
      <c r="G29" s="48"/>
      <c r="H29" s="178">
        <v>45700</v>
      </c>
      <c r="I29" s="48" t="s">
        <v>365</v>
      </c>
      <c r="J29" s="48" t="s">
        <v>365</v>
      </c>
      <c r="K29" s="179" t="s">
        <v>59</v>
      </c>
      <c r="L29" s="179" t="s">
        <v>59</v>
      </c>
      <c r="M29" s="153"/>
    </row>
    <row r="30" spans="1:13">
      <c r="A30" s="248" t="s">
        <v>105</v>
      </c>
      <c r="B30" s="252" t="s">
        <v>1048</v>
      </c>
      <c r="C30" s="48" t="s">
        <v>670</v>
      </c>
      <c r="D30" s="179">
        <v>46144</v>
      </c>
      <c r="E30" s="48" t="s">
        <v>69</v>
      </c>
      <c r="F30" s="186">
        <v>52.29</v>
      </c>
      <c r="G30" s="48"/>
      <c r="H30" s="178">
        <v>45700</v>
      </c>
      <c r="I30" s="48" t="s">
        <v>59</v>
      </c>
      <c r="J30" s="48" t="s">
        <v>59</v>
      </c>
      <c r="K30" s="179" t="s">
        <v>59</v>
      </c>
      <c r="L30" s="179" t="s">
        <v>59</v>
      </c>
      <c r="M30" s="153"/>
    </row>
    <row r="31" spans="1:13">
      <c r="A31" s="248" t="s">
        <v>106</v>
      </c>
      <c r="B31" s="252" t="s">
        <v>1049</v>
      </c>
      <c r="C31" s="48" t="s">
        <v>744</v>
      </c>
      <c r="D31" s="179">
        <v>46477</v>
      </c>
      <c r="E31" s="48" t="s">
        <v>69</v>
      </c>
      <c r="F31" s="186">
        <v>207.82</v>
      </c>
      <c r="G31" s="48"/>
      <c r="H31" s="178">
        <v>45700</v>
      </c>
      <c r="I31" s="48" t="s">
        <v>59</v>
      </c>
      <c r="J31" s="48" t="s">
        <v>59</v>
      </c>
      <c r="K31" s="179" t="s">
        <v>59</v>
      </c>
      <c r="L31" s="179" t="s">
        <v>59</v>
      </c>
      <c r="M31" s="153"/>
    </row>
    <row r="32" spans="1:13">
      <c r="A32" s="248" t="s">
        <v>107</v>
      </c>
      <c r="B32" s="252" t="s">
        <v>992</v>
      </c>
      <c r="C32" s="48" t="s">
        <v>683</v>
      </c>
      <c r="D32" s="179">
        <v>46057</v>
      </c>
      <c r="E32" s="48" t="s">
        <v>72</v>
      </c>
      <c r="F32" s="186">
        <v>30.23</v>
      </c>
      <c r="G32" s="48"/>
      <c r="H32" s="178">
        <v>45700</v>
      </c>
      <c r="I32" s="48" t="s">
        <v>59</v>
      </c>
      <c r="J32" s="48" t="s">
        <v>59</v>
      </c>
      <c r="K32" s="179" t="s">
        <v>59</v>
      </c>
      <c r="L32" s="179" t="s">
        <v>59</v>
      </c>
      <c r="M32" s="153"/>
    </row>
    <row r="33" spans="1:13">
      <c r="A33" s="248" t="s">
        <v>108</v>
      </c>
      <c r="B33" s="252" t="s">
        <v>1270</v>
      </c>
      <c r="C33" s="48" t="s">
        <v>737</v>
      </c>
      <c r="D33" s="179">
        <v>46568</v>
      </c>
      <c r="E33" s="48" t="s">
        <v>69</v>
      </c>
      <c r="F33" s="186">
        <v>254.58</v>
      </c>
      <c r="G33" s="48"/>
      <c r="H33" s="178">
        <v>45701</v>
      </c>
      <c r="I33" s="48" t="s">
        <v>59</v>
      </c>
      <c r="J33" s="48" t="s">
        <v>59</v>
      </c>
      <c r="K33" s="179" t="s">
        <v>59</v>
      </c>
      <c r="L33" s="179" t="s">
        <v>59</v>
      </c>
      <c r="M33" s="153"/>
    </row>
    <row r="34" spans="1:13">
      <c r="A34" s="248" t="s">
        <v>109</v>
      </c>
      <c r="B34" s="252" t="s">
        <v>1247</v>
      </c>
      <c r="C34" s="48" t="s">
        <v>762</v>
      </c>
      <c r="D34" s="179">
        <v>46629</v>
      </c>
      <c r="E34" s="48" t="s">
        <v>69</v>
      </c>
      <c r="F34" s="186">
        <v>205.4</v>
      </c>
      <c r="G34" s="48"/>
      <c r="H34" s="178">
        <v>45700</v>
      </c>
      <c r="I34" s="48" t="s">
        <v>59</v>
      </c>
      <c r="J34" s="48" t="s">
        <v>59</v>
      </c>
      <c r="K34" s="179" t="s">
        <v>59</v>
      </c>
      <c r="L34" s="179" t="s">
        <v>59</v>
      </c>
      <c r="M34" s="153"/>
    </row>
    <row r="35" spans="1:13">
      <c r="A35" s="248" t="s">
        <v>110</v>
      </c>
      <c r="B35" s="252" t="s">
        <v>1389</v>
      </c>
      <c r="C35" s="48" t="s">
        <v>727</v>
      </c>
      <c r="D35" s="179">
        <v>46157</v>
      </c>
      <c r="E35" s="48" t="s">
        <v>69</v>
      </c>
      <c r="F35" s="186">
        <v>200.78</v>
      </c>
      <c r="G35" s="48"/>
      <c r="H35" s="178">
        <v>45701</v>
      </c>
      <c r="I35" s="48" t="s">
        <v>59</v>
      </c>
      <c r="J35" s="48" t="s">
        <v>59</v>
      </c>
      <c r="K35" s="179" t="s">
        <v>59</v>
      </c>
      <c r="L35" s="179" t="s">
        <v>59</v>
      </c>
      <c r="M35" s="153"/>
    </row>
    <row r="36" spans="1:13">
      <c r="A36" s="248" t="s">
        <v>111</v>
      </c>
      <c r="B36" s="252" t="s">
        <v>1392</v>
      </c>
      <c r="C36" s="48" t="s">
        <v>756</v>
      </c>
      <c r="D36" s="179">
        <v>46176</v>
      </c>
      <c r="E36" s="48" t="s">
        <v>69</v>
      </c>
      <c r="F36" s="186">
        <v>164.6</v>
      </c>
      <c r="G36" s="24"/>
      <c r="H36" s="178">
        <v>45700</v>
      </c>
      <c r="I36" s="48" t="s">
        <v>59</v>
      </c>
      <c r="J36" s="48" t="s">
        <v>59</v>
      </c>
      <c r="K36" s="179" t="s">
        <v>59</v>
      </c>
      <c r="L36" s="179" t="s">
        <v>59</v>
      </c>
      <c r="M36" s="153"/>
    </row>
    <row r="37" spans="1:13">
      <c r="A37" s="248" t="s">
        <v>112</v>
      </c>
      <c r="B37" s="252" t="s">
        <v>1313</v>
      </c>
      <c r="C37" s="48" t="s">
        <v>682</v>
      </c>
      <c r="D37" s="179">
        <v>46478</v>
      </c>
      <c r="E37" s="48" t="s">
        <v>73</v>
      </c>
      <c r="F37" s="186">
        <v>262</v>
      </c>
      <c r="G37" s="24"/>
      <c r="H37" s="178">
        <v>45700</v>
      </c>
      <c r="I37" s="48" t="s">
        <v>59</v>
      </c>
      <c r="J37" s="48" t="s">
        <v>59</v>
      </c>
      <c r="K37" s="179" t="s">
        <v>59</v>
      </c>
      <c r="L37" s="179" t="s">
        <v>59</v>
      </c>
      <c r="M37" s="153"/>
    </row>
    <row r="38" spans="1:13">
      <c r="A38" s="248" t="s">
        <v>113</v>
      </c>
      <c r="B38" s="252" t="s">
        <v>952</v>
      </c>
      <c r="C38" s="48" t="s">
        <v>683</v>
      </c>
      <c r="D38" s="179">
        <v>46752</v>
      </c>
      <c r="E38" s="48" t="s">
        <v>69</v>
      </c>
      <c r="F38" s="186">
        <v>306.26</v>
      </c>
      <c r="G38" s="24"/>
      <c r="H38" s="178">
        <v>45700</v>
      </c>
      <c r="I38" s="48" t="s">
        <v>59</v>
      </c>
      <c r="J38" s="48" t="s">
        <v>59</v>
      </c>
      <c r="K38" s="179" t="s">
        <v>59</v>
      </c>
      <c r="L38" s="179" t="s">
        <v>59</v>
      </c>
      <c r="M38" s="153"/>
    </row>
    <row r="39" spans="1:13">
      <c r="A39" s="248" t="s">
        <v>114</v>
      </c>
      <c r="B39" s="252" t="s">
        <v>1350</v>
      </c>
      <c r="C39" s="48" t="s">
        <v>694</v>
      </c>
      <c r="D39" s="179">
        <v>46604</v>
      </c>
      <c r="E39" s="48" t="s">
        <v>69</v>
      </c>
      <c r="F39" s="186">
        <v>317.2</v>
      </c>
      <c r="G39" s="24"/>
      <c r="H39" s="178">
        <v>45700</v>
      </c>
      <c r="I39" s="48" t="s">
        <v>59</v>
      </c>
      <c r="J39" s="48" t="s">
        <v>59</v>
      </c>
      <c r="K39" s="179" t="s">
        <v>59</v>
      </c>
      <c r="L39" s="179" t="s">
        <v>59</v>
      </c>
      <c r="M39" s="153"/>
    </row>
    <row r="40" spans="1:13">
      <c r="A40" s="248" t="s">
        <v>115</v>
      </c>
      <c r="B40" s="252" t="s">
        <v>1248</v>
      </c>
      <c r="C40" s="48" t="s">
        <v>691</v>
      </c>
      <c r="D40" s="179">
        <v>46539</v>
      </c>
      <c r="E40" s="48" t="s">
        <v>72</v>
      </c>
      <c r="F40" s="186">
        <v>208.95</v>
      </c>
      <c r="G40" s="188"/>
      <c r="H40" s="178">
        <v>45700</v>
      </c>
      <c r="I40" s="48" t="s">
        <v>59</v>
      </c>
      <c r="J40" s="48" t="s">
        <v>59</v>
      </c>
      <c r="K40" s="179" t="s">
        <v>59</v>
      </c>
      <c r="L40" s="179" t="s">
        <v>59</v>
      </c>
      <c r="M40" s="153"/>
    </row>
    <row r="41" spans="1:13">
      <c r="A41" s="248" t="s">
        <v>116</v>
      </c>
      <c r="B41" s="252" t="s">
        <v>1107</v>
      </c>
      <c r="C41" s="48" t="s">
        <v>691</v>
      </c>
      <c r="D41" s="179">
        <v>46539</v>
      </c>
      <c r="E41" s="48" t="s">
        <v>69</v>
      </c>
      <c r="F41" s="186">
        <v>207.96</v>
      </c>
      <c r="G41" s="188"/>
      <c r="H41" s="178">
        <v>45700</v>
      </c>
      <c r="I41" s="48" t="s">
        <v>59</v>
      </c>
      <c r="J41" s="48" t="s">
        <v>59</v>
      </c>
      <c r="K41" s="179" t="s">
        <v>59</v>
      </c>
      <c r="L41" s="179" t="s">
        <v>59</v>
      </c>
      <c r="M41" s="153"/>
    </row>
    <row r="42" spans="1:13">
      <c r="A42" s="248" t="s">
        <v>117</v>
      </c>
      <c r="B42" s="252" t="s">
        <v>1276</v>
      </c>
      <c r="C42" s="48" t="s">
        <v>671</v>
      </c>
      <c r="D42" s="179">
        <v>46583</v>
      </c>
      <c r="E42" s="48" t="s">
        <v>72</v>
      </c>
      <c r="F42" s="186">
        <v>129.81</v>
      </c>
      <c r="G42" s="188"/>
      <c r="H42" s="178">
        <v>45700</v>
      </c>
      <c r="I42" s="48" t="s">
        <v>59</v>
      </c>
      <c r="J42" s="48" t="s">
        <v>59</v>
      </c>
      <c r="K42" s="179" t="s">
        <v>59</v>
      </c>
      <c r="L42" s="179" t="s">
        <v>59</v>
      </c>
      <c r="M42" s="153"/>
    </row>
    <row r="43" spans="1:13">
      <c r="A43" s="248" t="s">
        <v>118</v>
      </c>
      <c r="B43" s="252" t="s">
        <v>1195</v>
      </c>
      <c r="C43" s="48" t="s">
        <v>764</v>
      </c>
      <c r="D43" s="179">
        <v>46537</v>
      </c>
      <c r="E43" s="48" t="s">
        <v>69</v>
      </c>
      <c r="F43" s="186">
        <v>156</v>
      </c>
      <c r="G43" s="188"/>
      <c r="H43" s="178">
        <v>45701</v>
      </c>
      <c r="I43" s="48" t="s">
        <v>59</v>
      </c>
      <c r="J43" s="48" t="s">
        <v>59</v>
      </c>
      <c r="K43" s="179" t="s">
        <v>59</v>
      </c>
      <c r="L43" s="179" t="s">
        <v>59</v>
      </c>
      <c r="M43" s="153"/>
    </row>
    <row r="44" spans="1:13">
      <c r="A44" s="248" t="s">
        <v>119</v>
      </c>
      <c r="B44" s="252" t="s">
        <v>1135</v>
      </c>
      <c r="C44" s="48" t="s">
        <v>764</v>
      </c>
      <c r="D44" s="179">
        <v>46537</v>
      </c>
      <c r="E44" s="48" t="s">
        <v>69</v>
      </c>
      <c r="F44" s="186">
        <v>156</v>
      </c>
      <c r="G44" s="188"/>
      <c r="H44" s="178">
        <v>45701</v>
      </c>
      <c r="I44" s="48" t="s">
        <v>59</v>
      </c>
      <c r="J44" s="48" t="s">
        <v>59</v>
      </c>
      <c r="K44" s="179" t="s">
        <v>59</v>
      </c>
      <c r="L44" s="179" t="s">
        <v>59</v>
      </c>
      <c r="M44" s="153"/>
    </row>
    <row r="45" spans="1:13">
      <c r="A45" s="248" t="s">
        <v>120</v>
      </c>
      <c r="B45" s="252" t="s">
        <v>1250</v>
      </c>
      <c r="C45" s="48" t="s">
        <v>694</v>
      </c>
      <c r="D45" s="179">
        <v>46722</v>
      </c>
      <c r="E45" s="48" t="s">
        <v>69</v>
      </c>
      <c r="F45" s="186">
        <v>362</v>
      </c>
      <c r="G45" s="188"/>
      <c r="H45" s="178">
        <v>45700</v>
      </c>
      <c r="I45" s="48" t="s">
        <v>59</v>
      </c>
      <c r="J45" s="48" t="s">
        <v>59</v>
      </c>
      <c r="K45" s="179" t="s">
        <v>59</v>
      </c>
      <c r="L45" s="179" t="s">
        <v>59</v>
      </c>
      <c r="M45" s="153"/>
    </row>
    <row r="46" spans="1:13">
      <c r="A46" s="248" t="s">
        <v>121</v>
      </c>
      <c r="B46" s="252" t="s">
        <v>1395</v>
      </c>
      <c r="C46" s="48" t="s">
        <v>687</v>
      </c>
      <c r="D46" s="179">
        <v>46204</v>
      </c>
      <c r="E46" s="48" t="s">
        <v>69</v>
      </c>
      <c r="F46" s="186">
        <v>154</v>
      </c>
      <c r="G46" s="188"/>
      <c r="H46" s="178">
        <v>45701</v>
      </c>
      <c r="I46" s="48" t="s">
        <v>59</v>
      </c>
      <c r="J46" s="48" t="s">
        <v>59</v>
      </c>
      <c r="K46" s="179" t="s">
        <v>59</v>
      </c>
      <c r="L46" s="179" t="s">
        <v>59</v>
      </c>
      <c r="M46" s="153"/>
    </row>
    <row r="47" spans="1:13">
      <c r="A47" s="248" t="s">
        <v>122</v>
      </c>
      <c r="B47" s="252" t="s">
        <v>1386</v>
      </c>
      <c r="C47" s="48" t="s">
        <v>583</v>
      </c>
      <c r="D47" s="179">
        <v>46478</v>
      </c>
      <c r="E47" s="48" t="s">
        <v>69</v>
      </c>
      <c r="F47" s="186">
        <v>232</v>
      </c>
      <c r="G47" s="188"/>
      <c r="H47" s="178">
        <v>45700</v>
      </c>
      <c r="I47" s="48" t="s">
        <v>59</v>
      </c>
      <c r="J47" s="48" t="s">
        <v>59</v>
      </c>
      <c r="K47" s="179" t="s">
        <v>59</v>
      </c>
      <c r="L47" s="179" t="s">
        <v>59</v>
      </c>
      <c r="M47" s="153"/>
    </row>
    <row r="48" spans="1:13">
      <c r="A48" s="248" t="s">
        <v>123</v>
      </c>
      <c r="B48" s="252" t="s">
        <v>1029</v>
      </c>
      <c r="C48" s="48" t="s">
        <v>694</v>
      </c>
      <c r="D48" s="179">
        <v>46143</v>
      </c>
      <c r="E48" s="48" t="s">
        <v>69</v>
      </c>
      <c r="F48" s="186">
        <v>257.48</v>
      </c>
      <c r="G48" s="188"/>
      <c r="H48" s="178">
        <v>45700</v>
      </c>
      <c r="I48" s="48" t="s">
        <v>59</v>
      </c>
      <c r="J48" s="48" t="s">
        <v>59</v>
      </c>
      <c r="K48" s="179" t="s">
        <v>59</v>
      </c>
      <c r="L48" s="179" t="s">
        <v>59</v>
      </c>
      <c r="M48" s="153"/>
    </row>
    <row r="49" spans="1:13">
      <c r="A49" s="248" t="s">
        <v>124</v>
      </c>
      <c r="B49" s="252" t="s">
        <v>1198</v>
      </c>
      <c r="C49" s="48" t="s">
        <v>745</v>
      </c>
      <c r="D49" s="179">
        <v>46539</v>
      </c>
      <c r="E49" s="48" t="s">
        <v>72</v>
      </c>
      <c r="F49" s="186">
        <v>806.8</v>
      </c>
      <c r="G49" s="188"/>
      <c r="H49" s="178">
        <v>45700</v>
      </c>
      <c r="I49" s="48" t="s">
        <v>59</v>
      </c>
      <c r="J49" s="48" t="s">
        <v>59</v>
      </c>
      <c r="K49" s="179" t="s">
        <v>59</v>
      </c>
      <c r="L49" s="179" t="s">
        <v>59</v>
      </c>
      <c r="M49" s="153"/>
    </row>
    <row r="50" spans="1:13">
      <c r="A50" s="248" t="s">
        <v>125</v>
      </c>
      <c r="B50" s="252" t="s">
        <v>1061</v>
      </c>
      <c r="C50" s="48" t="s">
        <v>705</v>
      </c>
      <c r="D50" s="179">
        <v>46061</v>
      </c>
      <c r="E50" s="48" t="s">
        <v>69</v>
      </c>
      <c r="F50" s="186">
        <v>77.37</v>
      </c>
      <c r="G50" s="188"/>
      <c r="H50" s="178">
        <v>45700</v>
      </c>
      <c r="I50" s="48" t="s">
        <v>59</v>
      </c>
      <c r="J50" s="48" t="s">
        <v>59</v>
      </c>
      <c r="K50" s="179" t="s">
        <v>59</v>
      </c>
      <c r="L50" s="179" t="s">
        <v>59</v>
      </c>
      <c r="M50" s="153"/>
    </row>
    <row r="51" spans="1:13">
      <c r="A51" s="248" t="s">
        <v>126</v>
      </c>
      <c r="B51" s="252" t="s">
        <v>1170</v>
      </c>
      <c r="C51" s="48" t="s">
        <v>758</v>
      </c>
      <c r="D51" s="179">
        <v>46054</v>
      </c>
      <c r="E51" s="48" t="s">
        <v>69</v>
      </c>
      <c r="F51" s="186">
        <v>207.3</v>
      </c>
      <c r="G51" s="188"/>
      <c r="H51" s="178">
        <v>45702</v>
      </c>
      <c r="I51" s="48" t="s">
        <v>59</v>
      </c>
      <c r="J51" s="48" t="s">
        <v>59</v>
      </c>
      <c r="K51" s="179" t="s">
        <v>59</v>
      </c>
      <c r="L51" s="179" t="s">
        <v>59</v>
      </c>
      <c r="M51" s="153"/>
    </row>
    <row r="52" spans="1:13">
      <c r="A52" s="248" t="s">
        <v>127</v>
      </c>
      <c r="B52" s="252" t="s">
        <v>1361</v>
      </c>
      <c r="C52" s="48" t="s">
        <v>721</v>
      </c>
      <c r="D52" s="179">
        <v>46371</v>
      </c>
      <c r="E52" s="48" t="s">
        <v>73</v>
      </c>
      <c r="F52" s="186">
        <v>180.48</v>
      </c>
      <c r="G52" s="188"/>
      <c r="H52" s="178">
        <v>45700</v>
      </c>
      <c r="I52" s="48" t="s">
        <v>59</v>
      </c>
      <c r="J52" s="48" t="s">
        <v>59</v>
      </c>
      <c r="K52" s="179" t="s">
        <v>59</v>
      </c>
      <c r="L52" s="179" t="s">
        <v>59</v>
      </c>
      <c r="M52" s="153"/>
    </row>
    <row r="53" spans="1:13">
      <c r="A53" s="248" t="s">
        <v>128</v>
      </c>
      <c r="B53" s="252" t="s">
        <v>1362</v>
      </c>
      <c r="C53" s="48" t="s">
        <v>721</v>
      </c>
      <c r="D53" s="179">
        <v>46853</v>
      </c>
      <c r="E53" s="48" t="s">
        <v>72</v>
      </c>
      <c r="F53" s="186">
        <v>149.5</v>
      </c>
      <c r="G53" s="188"/>
      <c r="H53" s="178">
        <v>45700</v>
      </c>
      <c r="I53" s="48" t="s">
        <v>365</v>
      </c>
      <c r="J53" s="48" t="s">
        <v>365</v>
      </c>
      <c r="K53" s="179" t="s">
        <v>59</v>
      </c>
      <c r="L53" s="179" t="s">
        <v>59</v>
      </c>
      <c r="M53" s="153"/>
    </row>
    <row r="54" spans="1:13">
      <c r="A54" s="248" t="s">
        <v>129</v>
      </c>
      <c r="B54" s="252" t="s">
        <v>1138</v>
      </c>
      <c r="C54" s="48" t="s">
        <v>721</v>
      </c>
      <c r="D54" s="179">
        <v>46853</v>
      </c>
      <c r="E54" s="48" t="s">
        <v>69</v>
      </c>
      <c r="F54" s="186">
        <v>98.6</v>
      </c>
      <c r="G54" s="188"/>
      <c r="H54" s="178">
        <v>45700</v>
      </c>
      <c r="I54" s="48" t="s">
        <v>365</v>
      </c>
      <c r="J54" s="48" t="s">
        <v>365</v>
      </c>
      <c r="K54" s="179" t="s">
        <v>59</v>
      </c>
      <c r="L54" s="179" t="s">
        <v>59</v>
      </c>
      <c r="M54" s="153"/>
    </row>
    <row r="55" spans="1:13">
      <c r="A55" s="248" t="s">
        <v>130</v>
      </c>
      <c r="B55" s="252" t="s">
        <v>1402</v>
      </c>
      <c r="C55" s="48" t="s">
        <v>682</v>
      </c>
      <c r="D55" s="179">
        <v>46456</v>
      </c>
      <c r="E55" s="48" t="s">
        <v>72</v>
      </c>
      <c r="F55" s="186">
        <v>333</v>
      </c>
      <c r="G55" s="48"/>
      <c r="H55" s="178">
        <v>45700</v>
      </c>
      <c r="I55" s="48" t="s">
        <v>59</v>
      </c>
      <c r="J55" s="48" t="s">
        <v>59</v>
      </c>
      <c r="K55" s="179" t="s">
        <v>59</v>
      </c>
      <c r="L55" s="179" t="s">
        <v>59</v>
      </c>
      <c r="M55" s="153"/>
    </row>
    <row r="56" spans="1:13">
      <c r="A56" s="248" t="s">
        <v>131</v>
      </c>
      <c r="B56" s="252" t="s">
        <v>1020</v>
      </c>
      <c r="C56" s="48" t="s">
        <v>682</v>
      </c>
      <c r="D56" s="179">
        <v>46456</v>
      </c>
      <c r="E56" s="48" t="s">
        <v>72</v>
      </c>
      <c r="F56" s="186">
        <v>505.5</v>
      </c>
      <c r="G56" s="188"/>
      <c r="H56" s="178">
        <v>45700</v>
      </c>
      <c r="I56" s="48" t="s">
        <v>59</v>
      </c>
      <c r="J56" s="48" t="s">
        <v>59</v>
      </c>
      <c r="K56" s="179" t="s">
        <v>59</v>
      </c>
      <c r="L56" s="179" t="s">
        <v>59</v>
      </c>
      <c r="M56" s="153"/>
    </row>
    <row r="57" spans="1:13">
      <c r="A57" s="248" t="s">
        <v>132</v>
      </c>
      <c r="B57" s="252" t="s">
        <v>951</v>
      </c>
      <c r="C57" s="48" t="s">
        <v>682</v>
      </c>
      <c r="D57" s="179">
        <v>46456</v>
      </c>
      <c r="E57" s="48" t="s">
        <v>69</v>
      </c>
      <c r="F57" s="186">
        <v>419</v>
      </c>
      <c r="G57" s="188"/>
      <c r="H57" s="178">
        <v>45700</v>
      </c>
      <c r="I57" s="48" t="s">
        <v>59</v>
      </c>
      <c r="J57" s="48" t="s">
        <v>59</v>
      </c>
      <c r="K57" s="179" t="s">
        <v>59</v>
      </c>
      <c r="L57" s="179" t="s">
        <v>59</v>
      </c>
      <c r="M57" s="153"/>
    </row>
    <row r="58" spans="1:13">
      <c r="A58" s="248" t="s">
        <v>133</v>
      </c>
      <c r="B58" s="252" t="s">
        <v>1251</v>
      </c>
      <c r="C58" s="48" t="s">
        <v>764</v>
      </c>
      <c r="D58" s="179">
        <v>45626</v>
      </c>
      <c r="E58" s="48" t="s">
        <v>69</v>
      </c>
      <c r="F58" s="186">
        <v>9.9</v>
      </c>
      <c r="G58" s="188"/>
      <c r="H58" s="178">
        <v>45371</v>
      </c>
      <c r="I58" s="48" t="s">
        <v>59</v>
      </c>
      <c r="J58" s="48" t="s">
        <v>59</v>
      </c>
      <c r="K58" s="179" t="s">
        <v>59</v>
      </c>
      <c r="L58" s="179" t="s">
        <v>59</v>
      </c>
      <c r="M58" s="153"/>
    </row>
    <row r="59" spans="1:13">
      <c r="A59" s="248" t="s">
        <v>134</v>
      </c>
      <c r="B59" s="252" t="s">
        <v>1300</v>
      </c>
      <c r="C59" s="48" t="s">
        <v>694</v>
      </c>
      <c r="D59" s="179">
        <v>46482</v>
      </c>
      <c r="E59" s="48" t="s">
        <v>69</v>
      </c>
      <c r="F59" s="186">
        <v>154</v>
      </c>
      <c r="G59" s="188"/>
      <c r="H59" s="178">
        <v>45712</v>
      </c>
      <c r="I59" s="48" t="s">
        <v>59</v>
      </c>
      <c r="J59" s="48" t="s">
        <v>59</v>
      </c>
      <c r="K59" s="179" t="s">
        <v>59</v>
      </c>
      <c r="L59" s="179" t="s">
        <v>59</v>
      </c>
      <c r="M59" s="153"/>
    </row>
    <row r="60" spans="1:13">
      <c r="A60" s="248" t="s">
        <v>135</v>
      </c>
      <c r="B60" s="252" t="s">
        <v>978</v>
      </c>
      <c r="C60" s="48" t="s">
        <v>657</v>
      </c>
      <c r="D60" s="179">
        <v>46645</v>
      </c>
      <c r="E60" s="48" t="s">
        <v>72</v>
      </c>
      <c r="F60" s="186">
        <v>309.60000000000002</v>
      </c>
      <c r="G60" s="188"/>
      <c r="H60" s="178">
        <v>45740</v>
      </c>
      <c r="I60" s="48" t="s">
        <v>59</v>
      </c>
      <c r="J60" s="48" t="s">
        <v>59</v>
      </c>
      <c r="K60" s="179" t="s">
        <v>59</v>
      </c>
      <c r="L60" s="179" t="s">
        <v>59</v>
      </c>
      <c r="M60" s="153"/>
    </row>
    <row r="61" spans="1:13">
      <c r="A61" s="248" t="s">
        <v>136</v>
      </c>
      <c r="B61" s="252" t="s">
        <v>1177</v>
      </c>
      <c r="C61" s="48" t="s">
        <v>769</v>
      </c>
      <c r="D61" s="179">
        <v>46141</v>
      </c>
      <c r="E61" s="48" t="s">
        <v>72</v>
      </c>
      <c r="F61" s="186">
        <v>124.65</v>
      </c>
      <c r="G61" s="188"/>
      <c r="H61" s="178">
        <v>45742</v>
      </c>
      <c r="I61" s="48" t="s">
        <v>59</v>
      </c>
      <c r="J61" s="48" t="s">
        <v>59</v>
      </c>
      <c r="K61" s="179" t="s">
        <v>59</v>
      </c>
      <c r="L61" s="179" t="s">
        <v>59</v>
      </c>
      <c r="M61" s="153"/>
    </row>
    <row r="62" spans="1:13">
      <c r="A62" s="248" t="s">
        <v>137</v>
      </c>
      <c r="B62" s="252" t="s">
        <v>982</v>
      </c>
      <c r="C62" s="48" t="s">
        <v>657</v>
      </c>
      <c r="D62" s="179">
        <v>46113</v>
      </c>
      <c r="E62" s="48" t="s">
        <v>72</v>
      </c>
      <c r="F62" s="186">
        <v>178</v>
      </c>
      <c r="G62" s="188"/>
      <c r="H62" s="178">
        <v>45734</v>
      </c>
      <c r="I62" s="48" t="s">
        <v>59</v>
      </c>
      <c r="J62" s="48" t="s">
        <v>59</v>
      </c>
      <c r="K62" s="179" t="s">
        <v>59</v>
      </c>
      <c r="L62" s="179" t="s">
        <v>59</v>
      </c>
      <c r="M62" s="153"/>
    </row>
    <row r="63" spans="1:13">
      <c r="A63" s="248" t="s">
        <v>138</v>
      </c>
      <c r="B63" s="252" t="s">
        <v>1212</v>
      </c>
      <c r="C63" s="48" t="s">
        <v>657</v>
      </c>
      <c r="D63" s="179">
        <v>46645</v>
      </c>
      <c r="E63" s="48" t="s">
        <v>69</v>
      </c>
      <c r="F63" s="186">
        <v>70.39</v>
      </c>
      <c r="G63" s="188"/>
      <c r="H63" s="178">
        <v>45740</v>
      </c>
      <c r="I63" s="48" t="s">
        <v>59</v>
      </c>
      <c r="J63" s="48" t="s">
        <v>59</v>
      </c>
      <c r="K63" s="179" t="s">
        <v>59</v>
      </c>
      <c r="L63" s="179" t="s">
        <v>59</v>
      </c>
      <c r="M63" s="153"/>
    </row>
    <row r="64" spans="1:13">
      <c r="A64" s="248" t="s">
        <v>139</v>
      </c>
      <c r="B64" s="252" t="s">
        <v>1078</v>
      </c>
      <c r="C64" s="48" t="s">
        <v>721</v>
      </c>
      <c r="D64" s="179">
        <v>45901</v>
      </c>
      <c r="E64" s="48" t="s">
        <v>73</v>
      </c>
      <c r="F64" s="186">
        <v>149.16</v>
      </c>
      <c r="G64" s="188"/>
      <c r="H64" s="178">
        <v>45464</v>
      </c>
      <c r="I64" s="48" t="s">
        <v>59</v>
      </c>
      <c r="J64" s="48" t="s">
        <v>59</v>
      </c>
      <c r="K64" s="179" t="s">
        <v>59</v>
      </c>
      <c r="L64" s="179" t="s">
        <v>59</v>
      </c>
      <c r="M64" s="153"/>
    </row>
    <row r="65" spans="1:13">
      <c r="A65" s="248" t="s">
        <v>140</v>
      </c>
      <c r="B65" s="252" t="s">
        <v>1396</v>
      </c>
      <c r="C65" s="48" t="s">
        <v>721</v>
      </c>
      <c r="D65" s="179">
        <v>45901</v>
      </c>
      <c r="E65" s="48" t="s">
        <v>73</v>
      </c>
      <c r="F65" s="186">
        <v>123.42</v>
      </c>
      <c r="G65" s="188"/>
      <c r="H65" s="178">
        <v>45464</v>
      </c>
      <c r="I65" s="48" t="s">
        <v>59</v>
      </c>
      <c r="J65" s="48" t="s">
        <v>59</v>
      </c>
      <c r="K65" s="179" t="s">
        <v>59</v>
      </c>
      <c r="L65" s="179" t="s">
        <v>59</v>
      </c>
      <c r="M65" s="153"/>
    </row>
    <row r="66" spans="1:13">
      <c r="A66" s="248" t="s">
        <v>141</v>
      </c>
      <c r="B66" s="252" t="s">
        <v>1080</v>
      </c>
      <c r="C66" s="48" t="s">
        <v>721</v>
      </c>
      <c r="D66" s="179">
        <v>46006</v>
      </c>
      <c r="E66" s="48" t="s">
        <v>73</v>
      </c>
      <c r="F66" s="186">
        <v>125.1</v>
      </c>
      <c r="G66" s="188"/>
      <c r="H66" s="178">
        <v>45681</v>
      </c>
      <c r="I66" s="48" t="s">
        <v>59</v>
      </c>
      <c r="J66" s="48" t="s">
        <v>59</v>
      </c>
      <c r="K66" s="179" t="s">
        <v>59</v>
      </c>
      <c r="L66" s="179" t="s">
        <v>59</v>
      </c>
      <c r="M66" s="153"/>
    </row>
    <row r="67" spans="1:13">
      <c r="A67" s="248" t="s">
        <v>142</v>
      </c>
      <c r="B67" s="252" t="s">
        <v>1284</v>
      </c>
      <c r="C67" s="48" t="s">
        <v>751</v>
      </c>
      <c r="D67" s="179">
        <v>45926</v>
      </c>
      <c r="E67" s="48" t="s">
        <v>72</v>
      </c>
      <c r="F67" s="186">
        <v>166.57</v>
      </c>
      <c r="G67" s="188"/>
      <c r="H67" s="178">
        <v>45645</v>
      </c>
      <c r="I67" s="48" t="s">
        <v>59</v>
      </c>
      <c r="J67" s="48" t="s">
        <v>59</v>
      </c>
      <c r="K67" s="179" t="s">
        <v>59</v>
      </c>
      <c r="L67" s="179" t="s">
        <v>59</v>
      </c>
      <c r="M67" s="153"/>
    </row>
    <row r="68" spans="1:13">
      <c r="A68" s="248" t="s">
        <v>143</v>
      </c>
      <c r="B68" s="252" t="s">
        <v>1257</v>
      </c>
      <c r="C68" s="48" t="s">
        <v>751</v>
      </c>
      <c r="D68" s="179">
        <v>46113</v>
      </c>
      <c r="E68" s="48" t="s">
        <v>72</v>
      </c>
      <c r="F68" s="186">
        <v>186.83</v>
      </c>
      <c r="G68" s="188"/>
      <c r="H68" s="178">
        <v>45645</v>
      </c>
      <c r="I68" s="48" t="s">
        <v>59</v>
      </c>
      <c r="J68" s="48" t="s">
        <v>59</v>
      </c>
      <c r="K68" s="179" t="s">
        <v>59</v>
      </c>
      <c r="L68" s="179" t="s">
        <v>59</v>
      </c>
      <c r="M68" s="153"/>
    </row>
    <row r="69" spans="1:13">
      <c r="A69" s="248" t="s">
        <v>144</v>
      </c>
      <c r="B69" s="252" t="s">
        <v>977</v>
      </c>
      <c r="C69" s="48" t="s">
        <v>145</v>
      </c>
      <c r="D69" s="179">
        <v>46082</v>
      </c>
      <c r="E69" s="48" t="s">
        <v>72</v>
      </c>
      <c r="F69" s="186">
        <v>311.10000000000002</v>
      </c>
      <c r="G69" s="188"/>
      <c r="H69" s="178">
        <v>45687</v>
      </c>
      <c r="I69" s="48" t="s">
        <v>59</v>
      </c>
      <c r="J69" s="48" t="s">
        <v>59</v>
      </c>
      <c r="K69" s="179" t="s">
        <v>59</v>
      </c>
      <c r="L69" s="179" t="s">
        <v>59</v>
      </c>
      <c r="M69" s="153"/>
    </row>
    <row r="70" spans="1:13">
      <c r="A70" s="248" t="s">
        <v>146</v>
      </c>
      <c r="B70" s="252" t="s">
        <v>1010</v>
      </c>
      <c r="C70" s="48" t="s">
        <v>691</v>
      </c>
      <c r="D70" s="179">
        <v>45821</v>
      </c>
      <c r="E70" s="48" t="s">
        <v>72</v>
      </c>
      <c r="F70" s="186">
        <v>602.37</v>
      </c>
      <c r="G70" s="188"/>
      <c r="H70" s="178">
        <v>44552</v>
      </c>
      <c r="I70" s="48" t="s">
        <v>59</v>
      </c>
      <c r="J70" s="48" t="s">
        <v>59</v>
      </c>
      <c r="K70" s="179" t="s">
        <v>59</v>
      </c>
      <c r="L70" s="179" t="s">
        <v>59</v>
      </c>
      <c r="M70" s="153"/>
    </row>
    <row r="71" spans="1:13">
      <c r="A71" s="248" t="s">
        <v>147</v>
      </c>
      <c r="B71" s="252" t="s">
        <v>1004</v>
      </c>
      <c r="C71" s="48" t="s">
        <v>686</v>
      </c>
      <c r="D71" s="179">
        <v>45850</v>
      </c>
      <c r="E71" s="48" t="s">
        <v>69</v>
      </c>
      <c r="F71" s="186">
        <v>160.35</v>
      </c>
      <c r="G71" s="188"/>
      <c r="H71" s="178">
        <v>45411</v>
      </c>
      <c r="I71" s="48" t="s">
        <v>59</v>
      </c>
      <c r="J71" s="48" t="s">
        <v>59</v>
      </c>
      <c r="K71" s="179" t="s">
        <v>59</v>
      </c>
      <c r="L71" s="179" t="s">
        <v>59</v>
      </c>
      <c r="M71" s="153"/>
    </row>
    <row r="72" spans="1:13">
      <c r="A72" s="248" t="s">
        <v>148</v>
      </c>
      <c r="B72" s="252" t="s">
        <v>1301</v>
      </c>
      <c r="C72" s="48" t="s">
        <v>686</v>
      </c>
      <c r="D72" s="179">
        <v>46181</v>
      </c>
      <c r="E72" s="48" t="s">
        <v>69</v>
      </c>
      <c r="F72" s="186">
        <v>160.80000000000001</v>
      </c>
      <c r="G72" s="188"/>
      <c r="H72" s="178">
        <v>45385</v>
      </c>
      <c r="I72" s="48" t="s">
        <v>59</v>
      </c>
      <c r="J72" s="48" t="s">
        <v>59</v>
      </c>
      <c r="K72" s="179" t="s">
        <v>59</v>
      </c>
      <c r="L72" s="179" t="s">
        <v>59</v>
      </c>
      <c r="M72" s="153"/>
    </row>
    <row r="73" spans="1:13">
      <c r="A73" s="248" t="s">
        <v>149</v>
      </c>
      <c r="B73" s="252" t="s">
        <v>784</v>
      </c>
      <c r="C73" s="48" t="s">
        <v>756</v>
      </c>
      <c r="D73" s="179">
        <v>45814</v>
      </c>
      <c r="E73" s="48" t="s">
        <v>71</v>
      </c>
      <c r="F73" s="186">
        <v>30</v>
      </c>
      <c r="G73" s="188"/>
      <c r="H73" s="178">
        <v>45413</v>
      </c>
      <c r="I73" s="48" t="s">
        <v>59</v>
      </c>
      <c r="J73" s="48" t="s">
        <v>59</v>
      </c>
      <c r="K73" s="179" t="s">
        <v>59</v>
      </c>
      <c r="L73" s="179" t="s">
        <v>59</v>
      </c>
      <c r="M73" s="153"/>
    </row>
    <row r="74" spans="1:13">
      <c r="A74" s="248" t="s">
        <v>150</v>
      </c>
      <c r="B74" s="252" t="s">
        <v>1383</v>
      </c>
      <c r="C74" s="48" t="s">
        <v>765</v>
      </c>
      <c r="D74" s="179">
        <v>45930</v>
      </c>
      <c r="E74" s="48" t="s">
        <v>69</v>
      </c>
      <c r="F74" s="186">
        <v>154.19999999999999</v>
      </c>
      <c r="G74" s="188"/>
      <c r="H74" s="178">
        <v>45413</v>
      </c>
      <c r="I74" s="48" t="s">
        <v>59</v>
      </c>
      <c r="J74" s="48" t="s">
        <v>59</v>
      </c>
      <c r="K74" s="179" t="s">
        <v>59</v>
      </c>
      <c r="L74" s="179" t="s">
        <v>59</v>
      </c>
      <c r="M74" s="153"/>
    </row>
    <row r="75" spans="1:13">
      <c r="A75" s="248" t="s">
        <v>151</v>
      </c>
      <c r="B75" s="252" t="s">
        <v>1261</v>
      </c>
      <c r="C75" s="48" t="s">
        <v>659</v>
      </c>
      <c r="D75" s="179">
        <v>45838</v>
      </c>
      <c r="E75" s="48" t="s">
        <v>72</v>
      </c>
      <c r="F75" s="186">
        <v>40.21</v>
      </c>
      <c r="G75" s="188"/>
      <c r="H75" s="178">
        <v>45418</v>
      </c>
      <c r="I75" s="48" t="s">
        <v>59</v>
      </c>
      <c r="J75" s="48" t="s">
        <v>59</v>
      </c>
      <c r="K75" s="179" t="s">
        <v>59</v>
      </c>
      <c r="L75" s="179" t="s">
        <v>59</v>
      </c>
      <c r="M75" s="153"/>
    </row>
    <row r="76" spans="1:13">
      <c r="A76" s="248" t="s">
        <v>152</v>
      </c>
      <c r="B76" s="252" t="s">
        <v>1374</v>
      </c>
      <c r="C76" s="48" t="s">
        <v>659</v>
      </c>
      <c r="D76" s="179">
        <v>45838</v>
      </c>
      <c r="E76" s="48" t="s">
        <v>72</v>
      </c>
      <c r="F76" s="186">
        <v>50.8</v>
      </c>
      <c r="G76" s="188"/>
      <c r="H76" s="178">
        <v>45415</v>
      </c>
      <c r="I76" s="48" t="s">
        <v>59</v>
      </c>
      <c r="J76" s="48" t="s">
        <v>59</v>
      </c>
      <c r="K76" s="179" t="s">
        <v>59</v>
      </c>
      <c r="L76" s="179" t="s">
        <v>59</v>
      </c>
      <c r="M76" s="153"/>
    </row>
    <row r="77" spans="1:13">
      <c r="A77" s="248" t="s">
        <v>153</v>
      </c>
      <c r="B77" s="252" t="s">
        <v>1120</v>
      </c>
      <c r="C77" s="48" t="s">
        <v>739</v>
      </c>
      <c r="D77" s="179">
        <v>45847</v>
      </c>
      <c r="E77" s="48" t="s">
        <v>69</v>
      </c>
      <c r="F77" s="186">
        <v>60.37</v>
      </c>
      <c r="G77" s="188"/>
      <c r="H77" s="178">
        <v>45412</v>
      </c>
      <c r="I77" s="48" t="s">
        <v>59</v>
      </c>
      <c r="J77" s="48" t="s">
        <v>59</v>
      </c>
      <c r="K77" s="179" t="s">
        <v>59</v>
      </c>
      <c r="L77" s="179" t="s">
        <v>59</v>
      </c>
      <c r="M77" s="153"/>
    </row>
    <row r="78" spans="1:13">
      <c r="A78" s="248" t="s">
        <v>154</v>
      </c>
      <c r="B78" s="252" t="s">
        <v>1113</v>
      </c>
      <c r="C78" s="48" t="s">
        <v>713</v>
      </c>
      <c r="D78" s="179">
        <v>45747</v>
      </c>
      <c r="E78" s="48" t="s">
        <v>69</v>
      </c>
      <c r="F78" s="186">
        <v>103.27</v>
      </c>
      <c r="G78" s="188"/>
      <c r="H78" s="178">
        <v>45385</v>
      </c>
      <c r="I78" s="48" t="s">
        <v>59</v>
      </c>
      <c r="J78" s="48" t="s">
        <v>59</v>
      </c>
      <c r="K78" s="179" t="s">
        <v>59</v>
      </c>
      <c r="L78" s="179" t="s">
        <v>59</v>
      </c>
      <c r="M78" s="153"/>
    </row>
    <row r="79" spans="1:13">
      <c r="A79" s="248" t="s">
        <v>155</v>
      </c>
      <c r="B79" s="252" t="s">
        <v>980</v>
      </c>
      <c r="C79" s="48" t="s">
        <v>693</v>
      </c>
      <c r="D79" s="179">
        <v>45775</v>
      </c>
      <c r="E79" s="48" t="s">
        <v>69</v>
      </c>
      <c r="F79" s="186">
        <v>154.4</v>
      </c>
      <c r="G79" s="188"/>
      <c r="H79" s="181">
        <v>45413</v>
      </c>
      <c r="I79" s="48" t="s">
        <v>59</v>
      </c>
      <c r="J79" s="48" t="s">
        <v>59</v>
      </c>
      <c r="K79" s="179" t="s">
        <v>59</v>
      </c>
      <c r="L79" s="179" t="s">
        <v>59</v>
      </c>
      <c r="M79" s="153"/>
    </row>
    <row r="80" spans="1:13">
      <c r="A80" s="248" t="s">
        <v>156</v>
      </c>
      <c r="B80" s="252" t="s">
        <v>1082</v>
      </c>
      <c r="C80" s="48" t="s">
        <v>723</v>
      </c>
      <c r="D80" s="179">
        <v>45838</v>
      </c>
      <c r="E80" s="48" t="s">
        <v>69</v>
      </c>
      <c r="F80" s="186">
        <v>247.1</v>
      </c>
      <c r="G80" s="188"/>
      <c r="H80" s="178">
        <v>45412</v>
      </c>
      <c r="I80" s="48" t="s">
        <v>59</v>
      </c>
      <c r="J80" s="48" t="s">
        <v>59</v>
      </c>
      <c r="K80" s="179" t="s">
        <v>59</v>
      </c>
      <c r="L80" s="179" t="s">
        <v>59</v>
      </c>
      <c r="M80" s="153"/>
    </row>
    <row r="81" spans="1:13">
      <c r="A81" s="248" t="s">
        <v>157</v>
      </c>
      <c r="B81" s="252" t="s">
        <v>1158</v>
      </c>
      <c r="C81" s="48" t="s">
        <v>668</v>
      </c>
      <c r="D81" s="179">
        <v>45735</v>
      </c>
      <c r="E81" s="48" t="s">
        <v>72</v>
      </c>
      <c r="F81" s="186">
        <v>146.5</v>
      </c>
      <c r="G81" s="188"/>
      <c r="H81" s="178">
        <v>45413</v>
      </c>
      <c r="I81" s="48" t="s">
        <v>59</v>
      </c>
      <c r="J81" s="48" t="s">
        <v>59</v>
      </c>
      <c r="K81" s="179" t="s">
        <v>59</v>
      </c>
      <c r="L81" s="179" t="s">
        <v>59</v>
      </c>
      <c r="M81" s="153"/>
    </row>
    <row r="82" spans="1:13">
      <c r="A82" s="248" t="s">
        <v>158</v>
      </c>
      <c r="B82" s="252" t="s">
        <v>1083</v>
      </c>
      <c r="C82" s="48" t="s">
        <v>760</v>
      </c>
      <c r="D82" s="179">
        <v>45835</v>
      </c>
      <c r="E82" s="48" t="s">
        <v>72</v>
      </c>
      <c r="F82" s="186">
        <v>181</v>
      </c>
      <c r="G82" s="188"/>
      <c r="H82" s="178">
        <v>45413</v>
      </c>
      <c r="I82" s="48" t="s">
        <v>59</v>
      </c>
      <c r="J82" s="48" t="s">
        <v>59</v>
      </c>
      <c r="K82" s="179" t="s">
        <v>59</v>
      </c>
      <c r="L82" s="179" t="s">
        <v>59</v>
      </c>
      <c r="M82" s="153"/>
    </row>
    <row r="83" spans="1:13">
      <c r="A83" s="248" t="s">
        <v>159</v>
      </c>
      <c r="B83" s="252" t="s">
        <v>1126</v>
      </c>
      <c r="C83" s="48" t="s">
        <v>788</v>
      </c>
      <c r="D83" s="179">
        <v>46421</v>
      </c>
      <c r="E83" s="48" t="s">
        <v>69</v>
      </c>
      <c r="F83" s="186">
        <v>170.85</v>
      </c>
      <c r="G83" s="188"/>
      <c r="H83" s="178">
        <v>45393</v>
      </c>
      <c r="I83" s="48" t="s">
        <v>59</v>
      </c>
      <c r="J83" s="48" t="s">
        <v>59</v>
      </c>
      <c r="K83" s="179" t="s">
        <v>59</v>
      </c>
      <c r="L83" s="179" t="s">
        <v>59</v>
      </c>
      <c r="M83" s="153"/>
    </row>
    <row r="84" spans="1:13">
      <c r="A84" s="248" t="s">
        <v>160</v>
      </c>
      <c r="B84" s="252" t="s">
        <v>1290</v>
      </c>
      <c r="C84" s="48" t="s">
        <v>705</v>
      </c>
      <c r="D84" s="179">
        <v>45987</v>
      </c>
      <c r="E84" s="48" t="s">
        <v>69</v>
      </c>
      <c r="F84" s="186">
        <v>152.88</v>
      </c>
      <c r="G84" s="188"/>
      <c r="H84" s="178">
        <v>45393</v>
      </c>
      <c r="I84" s="48" t="s">
        <v>59</v>
      </c>
      <c r="J84" s="48" t="s">
        <v>59</v>
      </c>
      <c r="K84" s="179" t="s">
        <v>59</v>
      </c>
      <c r="L84" s="179" t="s">
        <v>59</v>
      </c>
      <c r="M84" s="153"/>
    </row>
    <row r="85" spans="1:13">
      <c r="A85" s="248" t="s">
        <v>161</v>
      </c>
      <c r="B85" s="252" t="s">
        <v>1058</v>
      </c>
      <c r="C85" s="48" t="s">
        <v>736</v>
      </c>
      <c r="D85" s="179">
        <v>45838</v>
      </c>
      <c r="E85" s="48" t="s">
        <v>69</v>
      </c>
      <c r="F85" s="186">
        <v>99.33</v>
      </c>
      <c r="G85" s="188"/>
      <c r="H85" s="178">
        <v>45418</v>
      </c>
      <c r="I85" s="48" t="s">
        <v>59</v>
      </c>
      <c r="J85" s="48" t="s">
        <v>59</v>
      </c>
      <c r="K85" s="179" t="s">
        <v>59</v>
      </c>
      <c r="L85" s="179" t="s">
        <v>59</v>
      </c>
      <c r="M85" s="153"/>
    </row>
    <row r="86" spans="1:13">
      <c r="A86" s="248" t="s">
        <v>162</v>
      </c>
      <c r="B86" s="252" t="s">
        <v>1285</v>
      </c>
      <c r="C86" s="48" t="s">
        <v>694</v>
      </c>
      <c r="D86" s="179">
        <v>45994</v>
      </c>
      <c r="E86" s="48" t="s">
        <v>69</v>
      </c>
      <c r="F86" s="186">
        <v>153.03</v>
      </c>
      <c r="G86" s="188"/>
      <c r="H86" s="178">
        <v>45411</v>
      </c>
      <c r="I86" s="48" t="s">
        <v>59</v>
      </c>
      <c r="J86" s="48" t="s">
        <v>59</v>
      </c>
      <c r="K86" s="179" t="s">
        <v>59</v>
      </c>
      <c r="L86" s="179" t="s">
        <v>59</v>
      </c>
      <c r="M86" s="153"/>
    </row>
    <row r="87" spans="1:13">
      <c r="A87" s="248" t="s">
        <v>163</v>
      </c>
      <c r="B87" s="252" t="s">
        <v>1330</v>
      </c>
      <c r="C87" s="48" t="s">
        <v>694</v>
      </c>
      <c r="D87" s="179">
        <v>46569</v>
      </c>
      <c r="E87" s="48" t="s">
        <v>69</v>
      </c>
      <c r="F87" s="186">
        <v>207</v>
      </c>
      <c r="G87" s="188"/>
      <c r="H87" s="178">
        <v>45418</v>
      </c>
      <c r="I87" s="48" t="s">
        <v>59</v>
      </c>
      <c r="J87" s="48" t="s">
        <v>59</v>
      </c>
      <c r="K87" s="179" t="s">
        <v>59</v>
      </c>
      <c r="L87" s="179" t="s">
        <v>59</v>
      </c>
      <c r="M87" s="153"/>
    </row>
    <row r="88" spans="1:13">
      <c r="A88" s="248" t="s">
        <v>164</v>
      </c>
      <c r="B88" s="252" t="s">
        <v>1038</v>
      </c>
      <c r="C88" s="48" t="s">
        <v>704</v>
      </c>
      <c r="D88" s="179">
        <v>46093</v>
      </c>
      <c r="E88" s="48" t="s">
        <v>72</v>
      </c>
      <c r="F88" s="186">
        <v>515.66</v>
      </c>
      <c r="G88" s="188"/>
      <c r="H88" s="178">
        <v>45412</v>
      </c>
      <c r="I88" s="48" t="s">
        <v>59</v>
      </c>
      <c r="J88" s="48" t="s">
        <v>59</v>
      </c>
      <c r="K88" s="179" t="s">
        <v>59</v>
      </c>
      <c r="L88" s="179" t="s">
        <v>59</v>
      </c>
      <c r="M88" s="153"/>
    </row>
    <row r="89" spans="1:13">
      <c r="A89" s="248" t="s">
        <v>165</v>
      </c>
      <c r="B89" s="252" t="s">
        <v>1174</v>
      </c>
      <c r="C89" s="48" t="s">
        <v>670</v>
      </c>
      <c r="D89" s="179">
        <v>45877</v>
      </c>
      <c r="E89" s="48" t="s">
        <v>72</v>
      </c>
      <c r="F89" s="186">
        <v>90.5</v>
      </c>
      <c r="G89" s="188"/>
      <c r="H89" s="178">
        <v>45401</v>
      </c>
      <c r="I89" s="48" t="s">
        <v>59</v>
      </c>
      <c r="J89" s="48" t="s">
        <v>59</v>
      </c>
      <c r="K89" s="179" t="s">
        <v>59</v>
      </c>
      <c r="L89" s="179" t="s">
        <v>59</v>
      </c>
      <c r="M89" s="153"/>
    </row>
    <row r="90" spans="1:13">
      <c r="A90" s="248" t="s">
        <v>166</v>
      </c>
      <c r="B90" s="252" t="s">
        <v>1075</v>
      </c>
      <c r="C90" s="48" t="s">
        <v>667</v>
      </c>
      <c r="D90" s="179">
        <v>45945</v>
      </c>
      <c r="E90" s="48" t="s">
        <v>69</v>
      </c>
      <c r="F90" s="186">
        <v>120.68</v>
      </c>
      <c r="G90" s="188"/>
      <c r="H90" s="178">
        <v>45401</v>
      </c>
      <c r="I90" s="48" t="s">
        <v>59</v>
      </c>
      <c r="J90" s="48" t="s">
        <v>59</v>
      </c>
      <c r="K90" s="179" t="s">
        <v>59</v>
      </c>
      <c r="L90" s="179" t="s">
        <v>59</v>
      </c>
      <c r="M90" s="153"/>
    </row>
    <row r="91" spans="1:13">
      <c r="A91" s="248" t="s">
        <v>167</v>
      </c>
      <c r="B91" s="252" t="s">
        <v>1309</v>
      </c>
      <c r="C91" s="48" t="s">
        <v>685</v>
      </c>
      <c r="D91" s="179">
        <v>45959</v>
      </c>
      <c r="E91" s="48" t="s">
        <v>69</v>
      </c>
      <c r="F91" s="186">
        <v>200.74</v>
      </c>
      <c r="G91" s="188"/>
      <c r="H91" s="178">
        <v>45435</v>
      </c>
      <c r="I91" s="48" t="s">
        <v>59</v>
      </c>
      <c r="J91" s="48" t="s">
        <v>59</v>
      </c>
      <c r="K91" s="179" t="s">
        <v>59</v>
      </c>
      <c r="L91" s="179" t="s">
        <v>59</v>
      </c>
      <c r="M91" s="153"/>
    </row>
    <row r="92" spans="1:13">
      <c r="A92" s="248" t="s">
        <v>168</v>
      </c>
      <c r="B92" s="252" t="s">
        <v>1291</v>
      </c>
      <c r="C92" s="48" t="s">
        <v>717</v>
      </c>
      <c r="D92" s="179">
        <v>46249</v>
      </c>
      <c r="E92" s="48" t="s">
        <v>69</v>
      </c>
      <c r="F92" s="186">
        <v>100.8</v>
      </c>
      <c r="G92" s="188"/>
      <c r="H92" s="178">
        <v>45427</v>
      </c>
      <c r="I92" s="48" t="s">
        <v>59</v>
      </c>
      <c r="J92" s="48" t="s">
        <v>59</v>
      </c>
      <c r="K92" s="179" t="s">
        <v>59</v>
      </c>
      <c r="L92" s="179" t="s">
        <v>59</v>
      </c>
      <c r="M92" s="153"/>
    </row>
    <row r="93" spans="1:13">
      <c r="A93" s="248" t="s">
        <v>169</v>
      </c>
      <c r="B93" s="252" t="s">
        <v>1105</v>
      </c>
      <c r="C93" s="48" t="s">
        <v>739</v>
      </c>
      <c r="D93" s="179">
        <v>46265</v>
      </c>
      <c r="E93" s="48" t="s">
        <v>69</v>
      </c>
      <c r="F93" s="186">
        <v>150</v>
      </c>
      <c r="G93" s="188"/>
      <c r="H93" s="178">
        <v>45418</v>
      </c>
      <c r="I93" s="48" t="s">
        <v>59</v>
      </c>
      <c r="J93" s="48" t="s">
        <v>59</v>
      </c>
      <c r="K93" s="179" t="s">
        <v>59</v>
      </c>
      <c r="L93" s="179" t="s">
        <v>59</v>
      </c>
      <c r="M93" s="153"/>
    </row>
    <row r="94" spans="1:13">
      <c r="A94" s="248" t="s">
        <v>170</v>
      </c>
      <c r="B94" s="252" t="s">
        <v>1143</v>
      </c>
      <c r="C94" s="48" t="s">
        <v>685</v>
      </c>
      <c r="D94" s="179">
        <v>45992</v>
      </c>
      <c r="E94" s="48" t="s">
        <v>72</v>
      </c>
      <c r="F94" s="186">
        <v>301.51</v>
      </c>
      <c r="G94" s="188"/>
      <c r="H94" s="178">
        <v>45434</v>
      </c>
      <c r="I94" s="48" t="s">
        <v>59</v>
      </c>
      <c r="J94" s="48" t="s">
        <v>59</v>
      </c>
      <c r="K94" s="179" t="s">
        <v>59</v>
      </c>
      <c r="L94" s="179" t="s">
        <v>59</v>
      </c>
      <c r="M94" s="153"/>
    </row>
    <row r="95" spans="1:13">
      <c r="A95" s="248" t="s">
        <v>171</v>
      </c>
      <c r="B95" s="252" t="s">
        <v>1140</v>
      </c>
      <c r="C95" s="48" t="s">
        <v>678</v>
      </c>
      <c r="D95" s="179">
        <v>46387</v>
      </c>
      <c r="E95" s="48" t="s">
        <v>72</v>
      </c>
      <c r="F95" s="186">
        <v>203</v>
      </c>
      <c r="G95" s="188"/>
      <c r="H95" s="178">
        <v>45373</v>
      </c>
      <c r="I95" s="48" t="s">
        <v>59</v>
      </c>
      <c r="J95" s="48" t="s">
        <v>59</v>
      </c>
      <c r="K95" s="179" t="s">
        <v>59</v>
      </c>
      <c r="L95" s="179" t="s">
        <v>59</v>
      </c>
      <c r="M95" s="153"/>
    </row>
    <row r="96" spans="1:13">
      <c r="A96" s="248" t="s">
        <v>172</v>
      </c>
      <c r="B96" s="252" t="s">
        <v>1275</v>
      </c>
      <c r="C96" s="48" t="s">
        <v>665</v>
      </c>
      <c r="D96" s="179">
        <v>46218</v>
      </c>
      <c r="E96" s="48" t="s">
        <v>69</v>
      </c>
      <c r="F96" s="186">
        <v>143.1</v>
      </c>
      <c r="G96" s="188"/>
      <c r="H96" s="178">
        <v>45437</v>
      </c>
      <c r="I96" s="48" t="s">
        <v>59</v>
      </c>
      <c r="J96" s="48" t="s">
        <v>59</v>
      </c>
      <c r="K96" s="179" t="s">
        <v>59</v>
      </c>
      <c r="L96" s="179" t="s">
        <v>59</v>
      </c>
      <c r="M96" s="153"/>
    </row>
    <row r="97" spans="1:13">
      <c r="A97" s="248" t="s">
        <v>173</v>
      </c>
      <c r="B97" s="252" t="s">
        <v>1265</v>
      </c>
      <c r="C97" s="48" t="s">
        <v>688</v>
      </c>
      <c r="D97" s="179">
        <v>46568</v>
      </c>
      <c r="E97" s="48" t="s">
        <v>69</v>
      </c>
      <c r="F97" s="186">
        <v>309.8</v>
      </c>
      <c r="G97" s="188"/>
      <c r="H97" s="178">
        <v>45418</v>
      </c>
      <c r="I97" s="48" t="s">
        <v>59</v>
      </c>
      <c r="J97" s="48" t="s">
        <v>59</v>
      </c>
      <c r="K97" s="179" t="s">
        <v>59</v>
      </c>
      <c r="L97" s="179" t="s">
        <v>59</v>
      </c>
      <c r="M97" s="153"/>
    </row>
    <row r="98" spans="1:13">
      <c r="A98" s="248" t="s">
        <v>174</v>
      </c>
      <c r="B98" s="252" t="s">
        <v>1022</v>
      </c>
      <c r="C98" s="48" t="s">
        <v>702</v>
      </c>
      <c r="D98" s="179">
        <v>46507</v>
      </c>
      <c r="E98" s="48" t="s">
        <v>72</v>
      </c>
      <c r="F98" s="186">
        <v>183</v>
      </c>
      <c r="G98" s="188"/>
      <c r="H98" s="178">
        <v>45701</v>
      </c>
      <c r="I98" s="48" t="s">
        <v>59</v>
      </c>
      <c r="J98" s="48" t="s">
        <v>59</v>
      </c>
      <c r="K98" s="179" t="s">
        <v>59</v>
      </c>
      <c r="L98" s="179" t="s">
        <v>59</v>
      </c>
      <c r="M98" s="153"/>
    </row>
    <row r="99" spans="1:13">
      <c r="A99" s="248" t="s">
        <v>175</v>
      </c>
      <c r="B99" s="252" t="s">
        <v>1045</v>
      </c>
      <c r="C99" s="48" t="s">
        <v>771</v>
      </c>
      <c r="D99" s="179">
        <v>45902</v>
      </c>
      <c r="E99" s="48" t="s">
        <v>69</v>
      </c>
      <c r="F99" s="186">
        <v>309.52999999999997</v>
      </c>
      <c r="G99" s="188"/>
      <c r="H99" s="178">
        <v>45504</v>
      </c>
      <c r="I99" s="48" t="s">
        <v>59</v>
      </c>
      <c r="J99" s="48" t="s">
        <v>59</v>
      </c>
      <c r="K99" s="179" t="s">
        <v>59</v>
      </c>
      <c r="L99" s="179" t="s">
        <v>59</v>
      </c>
      <c r="M99" s="153"/>
    </row>
    <row r="100" spans="1:13">
      <c r="A100" s="248" t="s">
        <v>176</v>
      </c>
      <c r="B100" s="252" t="s">
        <v>1042</v>
      </c>
      <c r="C100" s="48" t="s">
        <v>670</v>
      </c>
      <c r="D100" s="179">
        <v>46144</v>
      </c>
      <c r="E100" s="48" t="s">
        <v>72</v>
      </c>
      <c r="F100" s="186">
        <v>170.82</v>
      </c>
      <c r="G100" s="188"/>
      <c r="H100" s="178">
        <v>45700</v>
      </c>
      <c r="I100" s="48" t="s">
        <v>59</v>
      </c>
      <c r="J100" s="48" t="s">
        <v>59</v>
      </c>
      <c r="K100" s="179" t="s">
        <v>59</v>
      </c>
      <c r="L100" s="179" t="s">
        <v>59</v>
      </c>
      <c r="M100" s="153"/>
    </row>
    <row r="101" spans="1:13">
      <c r="A101" s="248" t="s">
        <v>177</v>
      </c>
      <c r="B101" s="253" t="s">
        <v>803</v>
      </c>
      <c r="C101" s="48" t="s">
        <v>701</v>
      </c>
      <c r="D101" s="179">
        <v>46143</v>
      </c>
      <c r="E101" s="48" t="s">
        <v>71</v>
      </c>
      <c r="F101" s="186">
        <v>229.5</v>
      </c>
      <c r="G101" s="188"/>
      <c r="H101" s="178">
        <v>45700</v>
      </c>
      <c r="I101" s="48" t="s">
        <v>59</v>
      </c>
      <c r="J101" s="48" t="s">
        <v>59</v>
      </c>
      <c r="K101" s="179" t="s">
        <v>59</v>
      </c>
      <c r="L101" s="179" t="s">
        <v>59</v>
      </c>
      <c r="M101" s="153"/>
    </row>
    <row r="102" spans="1:13">
      <c r="A102" s="248" t="s">
        <v>178</v>
      </c>
      <c r="B102" s="252" t="s">
        <v>804</v>
      </c>
      <c r="C102" s="48" t="s">
        <v>701</v>
      </c>
      <c r="D102" s="179">
        <v>46143</v>
      </c>
      <c r="E102" s="48" t="s">
        <v>71</v>
      </c>
      <c r="F102" s="186">
        <v>229.5</v>
      </c>
      <c r="G102" s="188"/>
      <c r="H102" s="178">
        <v>45700</v>
      </c>
      <c r="I102" s="48" t="s">
        <v>59</v>
      </c>
      <c r="J102" s="48" t="s">
        <v>59</v>
      </c>
      <c r="K102" s="179" t="s">
        <v>59</v>
      </c>
      <c r="L102" s="179" t="s">
        <v>59</v>
      </c>
      <c r="M102" s="153"/>
    </row>
    <row r="103" spans="1:13">
      <c r="A103" s="248" t="s">
        <v>179</v>
      </c>
      <c r="B103" s="252" t="s">
        <v>1210</v>
      </c>
      <c r="C103" s="48" t="s">
        <v>658</v>
      </c>
      <c r="D103" s="179">
        <v>45866</v>
      </c>
      <c r="E103" s="48" t="s">
        <v>69</v>
      </c>
      <c r="F103" s="186">
        <v>181.33</v>
      </c>
      <c r="G103" s="188"/>
      <c r="H103" s="178">
        <v>45504</v>
      </c>
      <c r="I103" s="48" t="s">
        <v>59</v>
      </c>
      <c r="J103" s="48" t="s">
        <v>59</v>
      </c>
      <c r="K103" s="179" t="s">
        <v>59</v>
      </c>
      <c r="L103" s="179" t="s">
        <v>59</v>
      </c>
      <c r="M103" s="153"/>
    </row>
    <row r="104" spans="1:13">
      <c r="A104" s="248" t="s">
        <v>180</v>
      </c>
      <c r="B104" s="252" t="s">
        <v>1307</v>
      </c>
      <c r="C104" s="48" t="s">
        <v>658</v>
      </c>
      <c r="D104" s="179">
        <v>45960</v>
      </c>
      <c r="E104" s="48" t="s">
        <v>72</v>
      </c>
      <c r="F104" s="186">
        <v>271.58</v>
      </c>
      <c r="G104" s="188"/>
      <c r="H104" s="178">
        <v>45504</v>
      </c>
      <c r="I104" s="48" t="s">
        <v>59</v>
      </c>
      <c r="J104" s="48" t="s">
        <v>59</v>
      </c>
      <c r="K104" s="179" t="s">
        <v>59</v>
      </c>
      <c r="L104" s="179" t="s">
        <v>59</v>
      </c>
      <c r="M104" s="153"/>
    </row>
    <row r="105" spans="1:13">
      <c r="A105" s="248" t="s">
        <v>181</v>
      </c>
      <c r="B105" s="252" t="s">
        <v>1185</v>
      </c>
      <c r="C105" s="48" t="s">
        <v>717</v>
      </c>
      <c r="D105" s="179">
        <v>45902</v>
      </c>
      <c r="E105" s="48" t="s">
        <v>72</v>
      </c>
      <c r="F105" s="186">
        <v>210.8</v>
      </c>
      <c r="G105" s="188"/>
      <c r="H105" s="178">
        <v>45596</v>
      </c>
      <c r="I105" s="48" t="s">
        <v>59</v>
      </c>
      <c r="J105" s="48" t="s">
        <v>59</v>
      </c>
      <c r="K105" s="179" t="s">
        <v>59</v>
      </c>
      <c r="L105" s="179" t="s">
        <v>59</v>
      </c>
      <c r="M105" s="153"/>
    </row>
    <row r="106" spans="1:13">
      <c r="A106" s="248" t="s">
        <v>182</v>
      </c>
      <c r="B106" s="252" t="s">
        <v>1310</v>
      </c>
      <c r="C106" s="48" t="s">
        <v>717</v>
      </c>
      <c r="D106" s="179">
        <v>46022</v>
      </c>
      <c r="E106" s="48" t="s">
        <v>72</v>
      </c>
      <c r="F106" s="186">
        <v>204.6</v>
      </c>
      <c r="G106" s="188"/>
      <c r="H106" s="178">
        <v>45701</v>
      </c>
      <c r="I106" s="48" t="s">
        <v>59</v>
      </c>
      <c r="J106" s="48" t="s">
        <v>59</v>
      </c>
      <c r="K106" s="179" t="s">
        <v>59</v>
      </c>
      <c r="L106" s="179" t="s">
        <v>59</v>
      </c>
      <c r="M106" s="153"/>
    </row>
    <row r="107" spans="1:13">
      <c r="A107" s="248" t="s">
        <v>183</v>
      </c>
      <c r="B107" s="252" t="s">
        <v>1144</v>
      </c>
      <c r="C107" s="48" t="s">
        <v>682</v>
      </c>
      <c r="D107" s="179">
        <v>46387</v>
      </c>
      <c r="E107" s="48" t="s">
        <v>72</v>
      </c>
      <c r="F107" s="186">
        <v>200.09</v>
      </c>
      <c r="G107" s="188"/>
      <c r="H107" s="178">
        <v>45700</v>
      </c>
      <c r="I107" s="48" t="s">
        <v>59</v>
      </c>
      <c r="J107" s="48" t="s">
        <v>59</v>
      </c>
      <c r="K107" s="179" t="s">
        <v>59</v>
      </c>
      <c r="L107" s="179" t="s">
        <v>59</v>
      </c>
      <c r="M107" s="153"/>
    </row>
    <row r="108" spans="1:13">
      <c r="A108" s="248" t="s">
        <v>184</v>
      </c>
      <c r="B108" s="252" t="s">
        <v>972</v>
      </c>
      <c r="C108" s="48" t="s">
        <v>717</v>
      </c>
      <c r="D108" s="179">
        <v>45853</v>
      </c>
      <c r="E108" s="48" t="s">
        <v>69</v>
      </c>
      <c r="F108" s="186">
        <v>153.93</v>
      </c>
      <c r="G108" s="188"/>
      <c r="H108" s="178">
        <v>45600</v>
      </c>
      <c r="I108" s="48" t="s">
        <v>59</v>
      </c>
      <c r="J108" s="48" t="s">
        <v>59</v>
      </c>
      <c r="K108" s="179" t="s">
        <v>59</v>
      </c>
      <c r="L108" s="179" t="s">
        <v>59</v>
      </c>
      <c r="M108" s="153"/>
    </row>
    <row r="109" spans="1:13">
      <c r="A109" s="248" t="s">
        <v>185</v>
      </c>
      <c r="B109" s="252" t="s">
        <v>1050</v>
      </c>
      <c r="C109" s="48" t="s">
        <v>717</v>
      </c>
      <c r="D109" s="179">
        <v>46021</v>
      </c>
      <c r="E109" s="48" t="s">
        <v>69</v>
      </c>
      <c r="F109" s="186">
        <v>100.42</v>
      </c>
      <c r="G109" s="188"/>
      <c r="H109" s="178">
        <v>45688</v>
      </c>
      <c r="I109" s="48" t="s">
        <v>59</v>
      </c>
      <c r="J109" s="48" t="s">
        <v>59</v>
      </c>
      <c r="K109" s="179" t="s">
        <v>59</v>
      </c>
      <c r="L109" s="179" t="s">
        <v>59</v>
      </c>
      <c r="M109" s="153"/>
    </row>
    <row r="110" spans="1:13">
      <c r="A110" s="248" t="s">
        <v>186</v>
      </c>
      <c r="B110" s="252" t="s">
        <v>1089</v>
      </c>
      <c r="C110" s="48" t="s">
        <v>717</v>
      </c>
      <c r="D110" s="179">
        <v>46021</v>
      </c>
      <c r="E110" s="48" t="s">
        <v>72</v>
      </c>
      <c r="F110" s="186">
        <v>100.36</v>
      </c>
      <c r="G110" s="188"/>
      <c r="H110" s="178">
        <v>45688</v>
      </c>
      <c r="I110" s="48" t="s">
        <v>59</v>
      </c>
      <c r="J110" s="48" t="s">
        <v>59</v>
      </c>
      <c r="K110" s="179" t="s">
        <v>59</v>
      </c>
      <c r="L110" s="179" t="s">
        <v>59</v>
      </c>
      <c r="M110" s="153"/>
    </row>
    <row r="111" spans="1:13">
      <c r="A111" s="248" t="s">
        <v>187</v>
      </c>
      <c r="B111" s="252" t="s">
        <v>944</v>
      </c>
      <c r="C111" s="48" t="s">
        <v>659</v>
      </c>
      <c r="D111" s="179">
        <v>46371</v>
      </c>
      <c r="E111" s="48" t="s">
        <v>72</v>
      </c>
      <c r="F111" s="186">
        <v>206.75</v>
      </c>
      <c r="G111" s="188"/>
      <c r="H111" s="178">
        <v>45701</v>
      </c>
      <c r="I111" s="48" t="s">
        <v>59</v>
      </c>
      <c r="J111" s="48" t="s">
        <v>59</v>
      </c>
      <c r="K111" s="179" t="s">
        <v>59</v>
      </c>
      <c r="L111" s="179" t="s">
        <v>59</v>
      </c>
      <c r="M111" s="153"/>
    </row>
    <row r="112" spans="1:13">
      <c r="A112" s="248" t="s">
        <v>188</v>
      </c>
      <c r="B112" s="252" t="s">
        <v>1134</v>
      </c>
      <c r="C112" s="48" t="s">
        <v>659</v>
      </c>
      <c r="D112" s="179">
        <v>45901</v>
      </c>
      <c r="E112" s="48" t="s">
        <v>69</v>
      </c>
      <c r="F112" s="186">
        <v>101.9</v>
      </c>
      <c r="G112" s="188"/>
      <c r="H112" s="178">
        <v>45685</v>
      </c>
      <c r="I112" s="48" t="s">
        <v>59</v>
      </c>
      <c r="J112" s="48" t="s">
        <v>59</v>
      </c>
      <c r="K112" s="179" t="s">
        <v>59</v>
      </c>
      <c r="L112" s="179" t="s">
        <v>59</v>
      </c>
      <c r="M112" s="153"/>
    </row>
    <row r="113" spans="1:13">
      <c r="A113" s="248" t="s">
        <v>189</v>
      </c>
      <c r="B113" s="252" t="s">
        <v>1373</v>
      </c>
      <c r="C113" s="48" t="s">
        <v>659</v>
      </c>
      <c r="D113" s="179">
        <v>45904</v>
      </c>
      <c r="E113" s="48" t="s">
        <v>72</v>
      </c>
      <c r="F113" s="186">
        <v>201.6</v>
      </c>
      <c r="G113" s="188"/>
      <c r="H113" s="178">
        <v>45491</v>
      </c>
      <c r="I113" s="48" t="s">
        <v>59</v>
      </c>
      <c r="J113" s="48" t="s">
        <v>59</v>
      </c>
      <c r="K113" s="179" t="s">
        <v>59</v>
      </c>
      <c r="L113" s="179" t="s">
        <v>59</v>
      </c>
      <c r="M113" s="153"/>
    </row>
    <row r="114" spans="1:13">
      <c r="A114" s="248" t="s">
        <v>190</v>
      </c>
      <c r="B114" s="252" t="s">
        <v>1236</v>
      </c>
      <c r="C114" s="48" t="s">
        <v>681</v>
      </c>
      <c r="D114" s="179">
        <v>45918</v>
      </c>
      <c r="E114" s="48" t="s">
        <v>72</v>
      </c>
      <c r="F114" s="186">
        <v>181</v>
      </c>
      <c r="G114" s="188"/>
      <c r="H114" s="178">
        <v>45498</v>
      </c>
      <c r="I114" s="48" t="s">
        <v>59</v>
      </c>
      <c r="J114" s="48" t="s">
        <v>59</v>
      </c>
      <c r="K114" s="179" t="s">
        <v>59</v>
      </c>
      <c r="L114" s="179" t="s">
        <v>59</v>
      </c>
      <c r="M114" s="153"/>
    </row>
    <row r="115" spans="1:13">
      <c r="A115" s="248" t="s">
        <v>191</v>
      </c>
      <c r="B115" s="252" t="s">
        <v>1205</v>
      </c>
      <c r="C115" s="48" t="s">
        <v>665</v>
      </c>
      <c r="D115" s="179">
        <v>46258</v>
      </c>
      <c r="E115" s="48" t="s">
        <v>72</v>
      </c>
      <c r="F115" s="186">
        <v>101</v>
      </c>
      <c r="G115" s="188"/>
      <c r="H115" s="178">
        <v>45700</v>
      </c>
      <c r="I115" s="48" t="s">
        <v>59</v>
      </c>
      <c r="J115" s="48" t="s">
        <v>59</v>
      </c>
      <c r="K115" s="179" t="s">
        <v>59</v>
      </c>
      <c r="L115" s="179" t="s">
        <v>59</v>
      </c>
      <c r="M115" s="153"/>
    </row>
    <row r="116" spans="1:13">
      <c r="A116" s="248" t="s">
        <v>192</v>
      </c>
      <c r="B116" s="252" t="s">
        <v>1339</v>
      </c>
      <c r="C116" s="48" t="s">
        <v>707</v>
      </c>
      <c r="D116" s="179">
        <v>45833</v>
      </c>
      <c r="E116" s="48" t="s">
        <v>72</v>
      </c>
      <c r="F116" s="186">
        <v>130.6</v>
      </c>
      <c r="G116" s="188"/>
      <c r="H116" s="178">
        <v>45503</v>
      </c>
      <c r="I116" s="48" t="s">
        <v>59</v>
      </c>
      <c r="J116" s="48" t="s">
        <v>59</v>
      </c>
      <c r="K116" s="179" t="s">
        <v>59</v>
      </c>
      <c r="L116" s="179" t="s">
        <v>59</v>
      </c>
      <c r="M116" s="153"/>
    </row>
    <row r="117" spans="1:13">
      <c r="A117" s="248" t="s">
        <v>193</v>
      </c>
      <c r="B117" s="252" t="s">
        <v>1179</v>
      </c>
      <c r="C117" s="48" t="s">
        <v>722</v>
      </c>
      <c r="D117" s="179">
        <v>46111</v>
      </c>
      <c r="E117" s="48" t="s">
        <v>69</v>
      </c>
      <c r="F117" s="186">
        <v>60.4</v>
      </c>
      <c r="G117" s="188"/>
      <c r="H117" s="178">
        <v>45338</v>
      </c>
      <c r="I117" s="48" t="s">
        <v>59</v>
      </c>
      <c r="J117" s="48" t="s">
        <v>59</v>
      </c>
      <c r="K117" s="179" t="s">
        <v>59</v>
      </c>
      <c r="L117" s="179" t="s">
        <v>59</v>
      </c>
      <c r="M117" s="153"/>
    </row>
    <row r="118" spans="1:13">
      <c r="A118" s="248" t="s">
        <v>194</v>
      </c>
      <c r="B118" s="252" t="s">
        <v>1326</v>
      </c>
      <c r="C118" s="48" t="s">
        <v>741</v>
      </c>
      <c r="D118" s="179">
        <v>46022</v>
      </c>
      <c r="E118" s="48" t="s">
        <v>69</v>
      </c>
      <c r="F118" s="186">
        <v>102.58</v>
      </c>
      <c r="G118" s="188"/>
      <c r="H118" s="178">
        <v>45691</v>
      </c>
      <c r="I118" s="48" t="s">
        <v>59</v>
      </c>
      <c r="J118" s="48" t="s">
        <v>59</v>
      </c>
      <c r="K118" s="179" t="s">
        <v>59</v>
      </c>
      <c r="L118" s="179" t="s">
        <v>59</v>
      </c>
      <c r="M118" s="153"/>
    </row>
    <row r="119" spans="1:13">
      <c r="A119" s="248" t="s">
        <v>195</v>
      </c>
      <c r="B119" s="252" t="s">
        <v>1011</v>
      </c>
      <c r="C119" s="48" t="s">
        <v>680</v>
      </c>
      <c r="D119" s="179">
        <v>46522</v>
      </c>
      <c r="E119" s="48" t="s">
        <v>72</v>
      </c>
      <c r="F119" s="186">
        <v>123</v>
      </c>
      <c r="G119" s="188"/>
      <c r="H119" s="178">
        <v>45700</v>
      </c>
      <c r="I119" s="48" t="s">
        <v>59</v>
      </c>
      <c r="J119" s="48" t="s">
        <v>59</v>
      </c>
      <c r="K119" s="179" t="s">
        <v>59</v>
      </c>
      <c r="L119" s="179" t="s">
        <v>59</v>
      </c>
      <c r="M119" s="153"/>
    </row>
    <row r="120" spans="1:13">
      <c r="A120" s="248" t="s">
        <v>196</v>
      </c>
      <c r="B120" s="252" t="s">
        <v>1040</v>
      </c>
      <c r="C120" s="48" t="s">
        <v>692</v>
      </c>
      <c r="D120" s="179">
        <v>45851</v>
      </c>
      <c r="E120" s="48" t="s">
        <v>69</v>
      </c>
      <c r="F120" s="186">
        <v>205.46</v>
      </c>
      <c r="G120" s="188"/>
      <c r="H120" s="178">
        <v>45503</v>
      </c>
      <c r="I120" s="48" t="s">
        <v>59</v>
      </c>
      <c r="J120" s="48" t="s">
        <v>59</v>
      </c>
      <c r="K120" s="179" t="s">
        <v>59</v>
      </c>
      <c r="L120" s="179" t="s">
        <v>59</v>
      </c>
      <c r="M120" s="153"/>
    </row>
    <row r="121" spans="1:13">
      <c r="A121" s="248" t="s">
        <v>197</v>
      </c>
      <c r="B121" s="252" t="s">
        <v>1194</v>
      </c>
      <c r="C121" s="48" t="s">
        <v>727</v>
      </c>
      <c r="D121" s="179">
        <v>46095</v>
      </c>
      <c r="E121" s="48" t="s">
        <v>69</v>
      </c>
      <c r="F121" s="186">
        <v>125.36</v>
      </c>
      <c r="G121" s="188"/>
      <c r="H121" s="178">
        <v>45700</v>
      </c>
      <c r="I121" s="48" t="s">
        <v>59</v>
      </c>
      <c r="J121" s="48" t="s">
        <v>59</v>
      </c>
      <c r="K121" s="179" t="s">
        <v>59</v>
      </c>
      <c r="L121" s="179" t="s">
        <v>59</v>
      </c>
      <c r="M121" s="153"/>
    </row>
    <row r="122" spans="1:13">
      <c r="A122" s="248" t="s">
        <v>198</v>
      </c>
      <c r="B122" s="252" t="s">
        <v>1315</v>
      </c>
      <c r="C122" s="48" t="s">
        <v>728</v>
      </c>
      <c r="D122" s="179">
        <v>46203</v>
      </c>
      <c r="E122" s="48" t="s">
        <v>69</v>
      </c>
      <c r="F122" s="186">
        <v>61.47</v>
      </c>
      <c r="G122" s="188"/>
      <c r="H122" s="178">
        <v>45702</v>
      </c>
      <c r="I122" s="48" t="s">
        <v>59</v>
      </c>
      <c r="J122" s="48" t="s">
        <v>59</v>
      </c>
      <c r="K122" s="179" t="s">
        <v>59</v>
      </c>
      <c r="L122" s="179" t="s">
        <v>59</v>
      </c>
      <c r="M122" s="153"/>
    </row>
    <row r="123" spans="1:13">
      <c r="A123" s="248" t="s">
        <v>199</v>
      </c>
      <c r="B123" s="252" t="s">
        <v>1346</v>
      </c>
      <c r="C123" s="48" t="s">
        <v>728</v>
      </c>
      <c r="D123" s="179">
        <v>46203</v>
      </c>
      <c r="E123" s="48" t="s">
        <v>72</v>
      </c>
      <c r="F123" s="186">
        <v>61.1</v>
      </c>
      <c r="G123" s="188"/>
      <c r="H123" s="178">
        <v>45702</v>
      </c>
      <c r="I123" s="48" t="s">
        <v>59</v>
      </c>
      <c r="J123" s="48" t="s">
        <v>59</v>
      </c>
      <c r="K123" s="179" t="s">
        <v>59</v>
      </c>
      <c r="L123" s="179" t="s">
        <v>59</v>
      </c>
      <c r="M123" s="153"/>
    </row>
    <row r="124" spans="1:13">
      <c r="A124" s="248" t="s">
        <v>200</v>
      </c>
      <c r="B124" s="252" t="s">
        <v>1091</v>
      </c>
      <c r="C124" s="48" t="s">
        <v>662</v>
      </c>
      <c r="D124" s="179">
        <v>46116</v>
      </c>
      <c r="E124" s="48" t="s">
        <v>69</v>
      </c>
      <c r="F124" s="186">
        <v>102.82</v>
      </c>
      <c r="G124" s="188"/>
      <c r="H124" s="178">
        <v>45686</v>
      </c>
      <c r="I124" s="48" t="s">
        <v>59</v>
      </c>
      <c r="J124" s="48" t="s">
        <v>59</v>
      </c>
      <c r="K124" s="179" t="s">
        <v>59</v>
      </c>
      <c r="L124" s="179" t="s">
        <v>59</v>
      </c>
      <c r="M124" s="153"/>
    </row>
    <row r="125" spans="1:13">
      <c r="A125" s="248" t="s">
        <v>201</v>
      </c>
      <c r="B125" s="252" t="s">
        <v>1242</v>
      </c>
      <c r="C125" s="48" t="s">
        <v>673</v>
      </c>
      <c r="D125" s="179">
        <v>45930</v>
      </c>
      <c r="E125" s="48" t="s">
        <v>69</v>
      </c>
      <c r="F125" s="186">
        <v>207.25</v>
      </c>
      <c r="G125" s="188"/>
      <c r="H125" s="178">
        <v>45597</v>
      </c>
      <c r="I125" s="48" t="s">
        <v>59</v>
      </c>
      <c r="J125" s="48" t="s">
        <v>59</v>
      </c>
      <c r="K125" s="179" t="s">
        <v>59</v>
      </c>
      <c r="L125" s="179" t="s">
        <v>59</v>
      </c>
      <c r="M125" s="153"/>
    </row>
    <row r="126" spans="1:13">
      <c r="A126" s="248" t="s">
        <v>202</v>
      </c>
      <c r="B126" s="252" t="s">
        <v>1014</v>
      </c>
      <c r="C126" s="48" t="s">
        <v>673</v>
      </c>
      <c r="D126" s="179">
        <v>46515</v>
      </c>
      <c r="E126" s="48" t="s">
        <v>72</v>
      </c>
      <c r="F126" s="186">
        <v>256.5</v>
      </c>
      <c r="G126" s="188"/>
      <c r="H126" s="178">
        <v>45700</v>
      </c>
      <c r="I126" s="48" t="s">
        <v>59</v>
      </c>
      <c r="J126" s="48" t="s">
        <v>59</v>
      </c>
      <c r="K126" s="179" t="s">
        <v>59</v>
      </c>
      <c r="L126" s="179" t="s">
        <v>59</v>
      </c>
      <c r="M126" s="153"/>
    </row>
    <row r="127" spans="1:13">
      <c r="A127" s="248" t="s">
        <v>203</v>
      </c>
      <c r="B127" s="252" t="s">
        <v>1378</v>
      </c>
      <c r="C127" s="48" t="s">
        <v>689</v>
      </c>
      <c r="D127" s="179">
        <v>45903</v>
      </c>
      <c r="E127" s="48" t="s">
        <v>69</v>
      </c>
      <c r="F127" s="186">
        <v>102.7</v>
      </c>
      <c r="G127" s="188"/>
      <c r="H127" s="178">
        <v>45595</v>
      </c>
      <c r="I127" s="48" t="s">
        <v>59</v>
      </c>
      <c r="J127" s="48" t="s">
        <v>59</v>
      </c>
      <c r="K127" s="179" t="s">
        <v>59</v>
      </c>
      <c r="L127" s="179" t="s">
        <v>59</v>
      </c>
      <c r="M127" s="153"/>
    </row>
    <row r="128" spans="1:13">
      <c r="A128" s="248" t="s">
        <v>204</v>
      </c>
      <c r="B128" s="252" t="s">
        <v>1181</v>
      </c>
      <c r="C128" s="48" t="s">
        <v>695</v>
      </c>
      <c r="D128" s="179">
        <v>46003</v>
      </c>
      <c r="E128" s="48" t="s">
        <v>69</v>
      </c>
      <c r="F128" s="186">
        <v>102.7</v>
      </c>
      <c r="G128" s="188"/>
      <c r="H128" s="178">
        <v>45672</v>
      </c>
      <c r="I128" s="48" t="s">
        <v>59</v>
      </c>
      <c r="J128" s="48" t="s">
        <v>59</v>
      </c>
      <c r="K128" s="179" t="s">
        <v>59</v>
      </c>
      <c r="L128" s="179" t="s">
        <v>59</v>
      </c>
      <c r="M128" s="153"/>
    </row>
    <row r="129" spans="1:13">
      <c r="A129" s="248" t="s">
        <v>205</v>
      </c>
      <c r="B129" s="252" t="s">
        <v>1363</v>
      </c>
      <c r="C129" s="48" t="s">
        <v>759</v>
      </c>
      <c r="D129" s="179">
        <v>46539</v>
      </c>
      <c r="E129" s="48" t="s">
        <v>73</v>
      </c>
      <c r="F129" s="186">
        <v>307.89999999999998</v>
      </c>
      <c r="G129" s="188"/>
      <c r="H129" s="178">
        <v>45700</v>
      </c>
      <c r="I129" s="48" t="s">
        <v>59</v>
      </c>
      <c r="J129" s="48" t="s">
        <v>59</v>
      </c>
      <c r="K129" s="179" t="s">
        <v>59</v>
      </c>
      <c r="L129" s="179" t="s">
        <v>59</v>
      </c>
      <c r="M129" s="153"/>
    </row>
    <row r="130" spans="1:13">
      <c r="A130" s="248" t="s">
        <v>206</v>
      </c>
      <c r="B130" s="252" t="s">
        <v>1036</v>
      </c>
      <c r="C130" s="48" t="s">
        <v>759</v>
      </c>
      <c r="D130" s="179">
        <v>46752</v>
      </c>
      <c r="E130" s="48" t="s">
        <v>73</v>
      </c>
      <c r="F130" s="186">
        <v>141.5</v>
      </c>
      <c r="G130" s="188"/>
      <c r="H130" s="178">
        <v>45700</v>
      </c>
      <c r="I130" s="48" t="s">
        <v>59</v>
      </c>
      <c r="J130" s="48" t="s">
        <v>59</v>
      </c>
      <c r="K130" s="179" t="s">
        <v>59</v>
      </c>
      <c r="L130" s="179" t="s">
        <v>59</v>
      </c>
      <c r="M130" s="153"/>
    </row>
    <row r="131" spans="1:13">
      <c r="A131" s="248" t="s">
        <v>207</v>
      </c>
      <c r="B131" s="252" t="s">
        <v>1047</v>
      </c>
      <c r="C131" s="48" t="s">
        <v>679</v>
      </c>
      <c r="D131" s="179">
        <v>46017</v>
      </c>
      <c r="E131" s="48" t="s">
        <v>69</v>
      </c>
      <c r="F131" s="186">
        <v>183.76</v>
      </c>
      <c r="G131" s="188"/>
      <c r="H131" s="178">
        <v>45467</v>
      </c>
      <c r="I131" s="48" t="s">
        <v>59</v>
      </c>
      <c r="J131" s="48" t="s">
        <v>59</v>
      </c>
      <c r="K131" s="179" t="s">
        <v>59</v>
      </c>
      <c r="L131" s="179" t="s">
        <v>59</v>
      </c>
      <c r="M131" s="153"/>
    </row>
    <row r="132" spans="1:13">
      <c r="A132" s="248" t="s">
        <v>208</v>
      </c>
      <c r="B132" s="252" t="s">
        <v>1090</v>
      </c>
      <c r="C132" s="48" t="s">
        <v>690</v>
      </c>
      <c r="D132" s="179">
        <v>46249</v>
      </c>
      <c r="E132" s="48" t="s">
        <v>69</v>
      </c>
      <c r="F132" s="186">
        <v>100</v>
      </c>
      <c r="G132" s="188"/>
      <c r="H132" s="178">
        <v>45701</v>
      </c>
      <c r="I132" s="48" t="s">
        <v>59</v>
      </c>
      <c r="J132" s="48" t="s">
        <v>59</v>
      </c>
      <c r="K132" s="179" t="s">
        <v>59</v>
      </c>
      <c r="L132" s="179" t="s">
        <v>59</v>
      </c>
      <c r="M132" s="153"/>
    </row>
    <row r="133" spans="1:13">
      <c r="A133" s="248" t="s">
        <v>209</v>
      </c>
      <c r="B133" s="252" t="s">
        <v>1323</v>
      </c>
      <c r="C133" s="48" t="s">
        <v>681</v>
      </c>
      <c r="D133" s="179">
        <v>46484</v>
      </c>
      <c r="E133" s="48" t="s">
        <v>69</v>
      </c>
      <c r="F133" s="186">
        <v>152</v>
      </c>
      <c r="G133" s="188"/>
      <c r="H133" s="178">
        <v>45701</v>
      </c>
      <c r="I133" s="48" t="s">
        <v>59</v>
      </c>
      <c r="J133" s="48" t="s">
        <v>59</v>
      </c>
      <c r="K133" s="179" t="s">
        <v>59</v>
      </c>
      <c r="L133" s="179" t="s">
        <v>59</v>
      </c>
      <c r="M133" s="153"/>
    </row>
    <row r="134" spans="1:13">
      <c r="A134" s="248" t="s">
        <v>210</v>
      </c>
      <c r="B134" s="252" t="s">
        <v>1260</v>
      </c>
      <c r="C134" s="48" t="s">
        <v>668</v>
      </c>
      <c r="D134" s="179">
        <v>46112</v>
      </c>
      <c r="E134" s="48" t="s">
        <v>72</v>
      </c>
      <c r="F134" s="186">
        <v>587.76</v>
      </c>
      <c r="G134" s="188"/>
      <c r="H134" s="178">
        <v>45600</v>
      </c>
      <c r="I134" s="48" t="s">
        <v>59</v>
      </c>
      <c r="J134" s="48" t="s">
        <v>59</v>
      </c>
      <c r="K134" s="179" t="s">
        <v>59</v>
      </c>
      <c r="L134" s="179" t="s">
        <v>59</v>
      </c>
      <c r="M134" s="153"/>
    </row>
    <row r="135" spans="1:13">
      <c r="A135" s="248" t="s">
        <v>211</v>
      </c>
      <c r="B135" s="252" t="s">
        <v>1340</v>
      </c>
      <c r="C135" s="48" t="s">
        <v>704</v>
      </c>
      <c r="D135" s="179">
        <v>46305</v>
      </c>
      <c r="E135" s="48" t="s">
        <v>72</v>
      </c>
      <c r="F135" s="186">
        <v>408.21</v>
      </c>
      <c r="G135" s="188"/>
      <c r="H135" s="178">
        <v>45700</v>
      </c>
      <c r="I135" s="48" t="s">
        <v>59</v>
      </c>
      <c r="J135" s="48" t="s">
        <v>59</v>
      </c>
      <c r="K135" s="179" t="s">
        <v>59</v>
      </c>
      <c r="L135" s="179" t="s">
        <v>59</v>
      </c>
      <c r="M135" s="153"/>
    </row>
    <row r="136" spans="1:13">
      <c r="A136" s="248" t="s">
        <v>212</v>
      </c>
      <c r="B136" s="252" t="s">
        <v>1201</v>
      </c>
      <c r="C136" s="48" t="s">
        <v>705</v>
      </c>
      <c r="D136" s="179">
        <v>45911</v>
      </c>
      <c r="E136" s="48" t="s">
        <v>69</v>
      </c>
      <c r="F136" s="186">
        <v>164.28</v>
      </c>
      <c r="G136" s="188"/>
      <c r="H136" s="178">
        <v>45504</v>
      </c>
      <c r="I136" s="48" t="s">
        <v>59</v>
      </c>
      <c r="J136" s="48" t="s">
        <v>59</v>
      </c>
      <c r="K136" s="179" t="s">
        <v>59</v>
      </c>
      <c r="L136" s="179" t="s">
        <v>59</v>
      </c>
      <c r="M136" s="153"/>
    </row>
    <row r="137" spans="1:13">
      <c r="A137" s="248" t="s">
        <v>213</v>
      </c>
      <c r="B137" s="252" t="s">
        <v>983</v>
      </c>
      <c r="C137" s="48" t="s">
        <v>758</v>
      </c>
      <c r="D137" s="179">
        <v>46174</v>
      </c>
      <c r="E137" s="48" t="s">
        <v>69</v>
      </c>
      <c r="F137" s="186">
        <v>255.33</v>
      </c>
      <c r="G137" s="188"/>
      <c r="H137" s="178">
        <v>45700</v>
      </c>
      <c r="I137" s="48" t="s">
        <v>59</v>
      </c>
      <c r="J137" s="48" t="s">
        <v>59</v>
      </c>
      <c r="K137" s="179" t="s">
        <v>59</v>
      </c>
      <c r="L137" s="179" t="s">
        <v>59</v>
      </c>
      <c r="M137" s="153"/>
    </row>
    <row r="138" spans="1:13">
      <c r="A138" s="248" t="s">
        <v>214</v>
      </c>
      <c r="B138" s="252" t="s">
        <v>1007</v>
      </c>
      <c r="C138" s="48" t="s">
        <v>758</v>
      </c>
      <c r="D138" s="179">
        <v>45890</v>
      </c>
      <c r="E138" s="48" t="s">
        <v>69</v>
      </c>
      <c r="F138" s="186">
        <v>221.3</v>
      </c>
      <c r="G138" s="188"/>
      <c r="H138" s="178">
        <v>45476</v>
      </c>
      <c r="I138" s="48" t="s">
        <v>59</v>
      </c>
      <c r="J138" s="48" t="s">
        <v>59</v>
      </c>
      <c r="K138" s="179" t="s">
        <v>59</v>
      </c>
      <c r="L138" s="179" t="s">
        <v>59</v>
      </c>
      <c r="M138" s="153"/>
    </row>
    <row r="139" spans="1:13">
      <c r="A139" s="248" t="s">
        <v>215</v>
      </c>
      <c r="B139" s="252" t="s">
        <v>1354</v>
      </c>
      <c r="C139" s="48" t="s">
        <v>758</v>
      </c>
      <c r="D139" s="179">
        <v>46569</v>
      </c>
      <c r="E139" s="48" t="s">
        <v>69</v>
      </c>
      <c r="F139" s="186">
        <v>256.37</v>
      </c>
      <c r="G139" s="188"/>
      <c r="H139" s="178">
        <v>45700</v>
      </c>
      <c r="I139" s="48" t="s">
        <v>59</v>
      </c>
      <c r="J139" s="48" t="s">
        <v>59</v>
      </c>
      <c r="K139" s="179" t="s">
        <v>59</v>
      </c>
      <c r="L139" s="179" t="s">
        <v>59</v>
      </c>
      <c r="M139" s="153"/>
    </row>
    <row r="140" spans="1:13">
      <c r="A140" s="248" t="s">
        <v>216</v>
      </c>
      <c r="B140" s="252" t="s">
        <v>1054</v>
      </c>
      <c r="C140" s="48" t="s">
        <v>758</v>
      </c>
      <c r="D140" s="179">
        <v>45951</v>
      </c>
      <c r="E140" s="48" t="s">
        <v>69</v>
      </c>
      <c r="F140" s="186">
        <v>150.82</v>
      </c>
      <c r="G140" s="188"/>
      <c r="H140" s="178">
        <v>45503</v>
      </c>
      <c r="I140" s="48" t="s">
        <v>59</v>
      </c>
      <c r="J140" s="48" t="s">
        <v>59</v>
      </c>
      <c r="K140" s="179" t="s">
        <v>59</v>
      </c>
      <c r="L140" s="179" t="s">
        <v>59</v>
      </c>
      <c r="M140" s="153"/>
    </row>
    <row r="141" spans="1:13">
      <c r="A141" s="248" t="s">
        <v>217</v>
      </c>
      <c r="B141" s="252" t="s">
        <v>1357</v>
      </c>
      <c r="C141" s="48" t="s">
        <v>694</v>
      </c>
      <c r="D141" s="179">
        <v>45895</v>
      </c>
      <c r="E141" s="48" t="s">
        <v>69</v>
      </c>
      <c r="F141" s="186">
        <v>150.46</v>
      </c>
      <c r="G141" s="188"/>
      <c r="H141" s="178">
        <v>45598</v>
      </c>
      <c r="I141" s="48" t="s">
        <v>59</v>
      </c>
      <c r="J141" s="48" t="s">
        <v>59</v>
      </c>
      <c r="K141" s="179" t="s">
        <v>59</v>
      </c>
      <c r="L141" s="179" t="s">
        <v>59</v>
      </c>
      <c r="M141" s="153"/>
    </row>
    <row r="142" spans="1:13">
      <c r="A142" s="248" t="s">
        <v>218</v>
      </c>
      <c r="B142" s="252" t="s">
        <v>948</v>
      </c>
      <c r="C142" s="48" t="s">
        <v>694</v>
      </c>
      <c r="D142" s="179">
        <v>46022</v>
      </c>
      <c r="E142" s="48" t="s">
        <v>69</v>
      </c>
      <c r="F142" s="186">
        <v>205.39</v>
      </c>
      <c r="G142" s="188"/>
      <c r="H142" s="178">
        <v>45587</v>
      </c>
      <c r="I142" s="48" t="s">
        <v>59</v>
      </c>
      <c r="J142" s="48" t="s">
        <v>59</v>
      </c>
      <c r="K142" s="179" t="s">
        <v>59</v>
      </c>
      <c r="L142" s="179" t="s">
        <v>59</v>
      </c>
      <c r="M142" s="153"/>
    </row>
    <row r="143" spans="1:13">
      <c r="A143" s="248" t="s">
        <v>219</v>
      </c>
      <c r="B143" s="252" t="s">
        <v>1183</v>
      </c>
      <c r="C143" s="48" t="s">
        <v>694</v>
      </c>
      <c r="D143" s="179">
        <v>46112</v>
      </c>
      <c r="E143" s="48" t="s">
        <v>69</v>
      </c>
      <c r="F143" s="186">
        <v>205.46</v>
      </c>
      <c r="G143" s="188"/>
      <c r="H143" s="178">
        <v>45595</v>
      </c>
      <c r="I143" s="48" t="s">
        <v>59</v>
      </c>
      <c r="J143" s="48" t="s">
        <v>59</v>
      </c>
      <c r="K143" s="179" t="s">
        <v>59</v>
      </c>
      <c r="L143" s="179" t="s">
        <v>59</v>
      </c>
      <c r="M143" s="153"/>
    </row>
    <row r="144" spans="1:13">
      <c r="A144" s="248" t="s">
        <v>220</v>
      </c>
      <c r="B144" s="252" t="s">
        <v>787</v>
      </c>
      <c r="C144" s="48" t="s">
        <v>788</v>
      </c>
      <c r="D144" s="179">
        <v>46736</v>
      </c>
      <c r="E144" s="48" t="s">
        <v>71</v>
      </c>
      <c r="F144" s="186">
        <v>721</v>
      </c>
      <c r="G144" s="188"/>
      <c r="H144" s="178">
        <v>45700</v>
      </c>
      <c r="I144" s="48" t="s">
        <v>59</v>
      </c>
      <c r="J144" s="48" t="s">
        <v>59</v>
      </c>
      <c r="K144" s="179" t="s">
        <v>59</v>
      </c>
      <c r="L144" s="179" t="s">
        <v>59</v>
      </c>
      <c r="M144" s="153"/>
    </row>
    <row r="145" spans="1:13">
      <c r="A145" s="248" t="s">
        <v>221</v>
      </c>
      <c r="B145" s="252" t="s">
        <v>1202</v>
      </c>
      <c r="C145" s="48" t="s">
        <v>665</v>
      </c>
      <c r="D145" s="179">
        <v>45853</v>
      </c>
      <c r="E145" s="48" t="s">
        <v>73</v>
      </c>
      <c r="F145" s="186">
        <v>241.2</v>
      </c>
      <c r="G145" s="188"/>
      <c r="H145" s="178">
        <v>45468</v>
      </c>
      <c r="I145" s="48" t="s">
        <v>59</v>
      </c>
      <c r="J145" s="48" t="s">
        <v>59</v>
      </c>
      <c r="K145" s="179" t="s">
        <v>59</v>
      </c>
      <c r="L145" s="179" t="s">
        <v>59</v>
      </c>
      <c r="M145" s="153"/>
    </row>
    <row r="146" spans="1:13">
      <c r="A146" s="248" t="s">
        <v>222</v>
      </c>
      <c r="B146" s="252" t="s">
        <v>1287</v>
      </c>
      <c r="C146" s="48" t="s">
        <v>665</v>
      </c>
      <c r="D146" s="179">
        <v>46387</v>
      </c>
      <c r="E146" s="48" t="s">
        <v>72</v>
      </c>
      <c r="F146" s="186">
        <v>243.46</v>
      </c>
      <c r="G146" s="188"/>
      <c r="H146" s="178">
        <v>45705</v>
      </c>
      <c r="I146" s="48" t="s">
        <v>59</v>
      </c>
      <c r="J146" s="48" t="s">
        <v>59</v>
      </c>
      <c r="K146" s="179" t="s">
        <v>59</v>
      </c>
      <c r="L146" s="179" t="s">
        <v>59</v>
      </c>
      <c r="M146" s="153"/>
    </row>
    <row r="147" spans="1:13">
      <c r="A147" s="248" t="s">
        <v>223</v>
      </c>
      <c r="B147" s="252" t="s">
        <v>1122</v>
      </c>
      <c r="C147" s="48" t="s">
        <v>694</v>
      </c>
      <c r="D147" s="179">
        <v>46022</v>
      </c>
      <c r="E147" s="48" t="s">
        <v>72</v>
      </c>
      <c r="F147" s="186">
        <v>200.85</v>
      </c>
      <c r="G147" s="188"/>
      <c r="H147" s="178">
        <v>45700</v>
      </c>
      <c r="I147" s="48" t="s">
        <v>59</v>
      </c>
      <c r="J147" s="48" t="s">
        <v>59</v>
      </c>
      <c r="K147" s="179" t="s">
        <v>59</v>
      </c>
      <c r="L147" s="179" t="s">
        <v>59</v>
      </c>
      <c r="M147" s="153"/>
    </row>
    <row r="148" spans="1:13">
      <c r="A148" s="248" t="s">
        <v>224</v>
      </c>
      <c r="B148" s="252" t="s">
        <v>1156</v>
      </c>
      <c r="C148" s="48" t="s">
        <v>694</v>
      </c>
      <c r="D148" s="179">
        <v>46539</v>
      </c>
      <c r="E148" s="48" t="s">
        <v>72</v>
      </c>
      <c r="F148" s="186">
        <v>753.4</v>
      </c>
      <c r="G148" s="188"/>
      <c r="H148" s="178">
        <v>45700</v>
      </c>
      <c r="I148" s="48" t="s">
        <v>59</v>
      </c>
      <c r="J148" s="48" t="s">
        <v>59</v>
      </c>
      <c r="K148" s="179" t="s">
        <v>59</v>
      </c>
      <c r="L148" s="179" t="s">
        <v>59</v>
      </c>
      <c r="M148" s="153"/>
    </row>
    <row r="149" spans="1:13">
      <c r="A149" s="248" t="s">
        <v>225</v>
      </c>
      <c r="B149" s="252" t="s">
        <v>1206</v>
      </c>
      <c r="C149" s="48" t="s">
        <v>665</v>
      </c>
      <c r="D149" s="179">
        <v>46752</v>
      </c>
      <c r="E149" s="48" t="s">
        <v>72</v>
      </c>
      <c r="F149" s="186">
        <v>502.46</v>
      </c>
      <c r="G149" s="188"/>
      <c r="H149" s="178">
        <v>45070</v>
      </c>
      <c r="I149" s="48"/>
      <c r="J149" s="48"/>
      <c r="K149" s="179" t="s">
        <v>59</v>
      </c>
      <c r="L149" s="179" t="s">
        <v>59</v>
      </c>
      <c r="M149" s="153"/>
    </row>
    <row r="150" spans="1:13">
      <c r="A150" s="248" t="s">
        <v>226</v>
      </c>
      <c r="B150" s="252" t="s">
        <v>1288</v>
      </c>
      <c r="C150" s="48" t="s">
        <v>671</v>
      </c>
      <c r="D150" s="179">
        <v>45838</v>
      </c>
      <c r="E150" s="48" t="s">
        <v>73</v>
      </c>
      <c r="F150" s="186">
        <v>199.5</v>
      </c>
      <c r="G150" s="188"/>
      <c r="H150" s="178">
        <v>45505</v>
      </c>
      <c r="I150" s="48" t="s">
        <v>59</v>
      </c>
      <c r="J150" s="48" t="s">
        <v>59</v>
      </c>
      <c r="K150" s="179" t="s">
        <v>59</v>
      </c>
      <c r="L150" s="179" t="s">
        <v>59</v>
      </c>
      <c r="M150" s="153"/>
    </row>
    <row r="151" spans="1:13">
      <c r="A151" s="248" t="s">
        <v>227</v>
      </c>
      <c r="B151" s="252" t="s">
        <v>799</v>
      </c>
      <c r="C151" s="48" t="s">
        <v>756</v>
      </c>
      <c r="D151" s="179">
        <v>46143</v>
      </c>
      <c r="E151" s="48" t="s">
        <v>71</v>
      </c>
      <c r="F151" s="186">
        <v>456</v>
      </c>
      <c r="G151" s="188"/>
      <c r="H151" s="178">
        <v>45700</v>
      </c>
      <c r="I151" s="48" t="s">
        <v>59</v>
      </c>
      <c r="J151" s="48" t="s">
        <v>59</v>
      </c>
      <c r="K151" s="179" t="s">
        <v>59</v>
      </c>
      <c r="L151" s="179" t="s">
        <v>59</v>
      </c>
      <c r="M151" s="153"/>
    </row>
    <row r="152" spans="1:13">
      <c r="A152" s="248" t="s">
        <v>228</v>
      </c>
      <c r="B152" s="252" t="s">
        <v>946</v>
      </c>
      <c r="C152" s="48" t="s">
        <v>731</v>
      </c>
      <c r="D152" s="179">
        <v>45827</v>
      </c>
      <c r="E152" s="48" t="s">
        <v>69</v>
      </c>
      <c r="F152" s="186">
        <v>205.31</v>
      </c>
      <c r="G152" s="188"/>
      <c r="H152" s="178">
        <v>45505</v>
      </c>
      <c r="I152" s="48" t="s">
        <v>59</v>
      </c>
      <c r="J152" s="48" t="s">
        <v>59</v>
      </c>
      <c r="K152" s="179" t="s">
        <v>59</v>
      </c>
      <c r="L152" s="179" t="s">
        <v>59</v>
      </c>
      <c r="M152" s="153"/>
    </row>
    <row r="153" spans="1:13">
      <c r="A153" s="248" t="s">
        <v>229</v>
      </c>
      <c r="B153" s="252" t="s">
        <v>1216</v>
      </c>
      <c r="C153" s="48" t="s">
        <v>756</v>
      </c>
      <c r="D153" s="179">
        <v>46204</v>
      </c>
      <c r="E153" s="48" t="s">
        <v>69</v>
      </c>
      <c r="F153" s="186">
        <v>406.06</v>
      </c>
      <c r="G153" s="188"/>
      <c r="H153" s="178">
        <v>45700</v>
      </c>
      <c r="I153" s="48" t="s">
        <v>59</v>
      </c>
      <c r="J153" s="48" t="s">
        <v>59</v>
      </c>
      <c r="K153" s="179" t="s">
        <v>59</v>
      </c>
      <c r="L153" s="179" t="s">
        <v>59</v>
      </c>
      <c r="M153" s="153"/>
    </row>
    <row r="154" spans="1:13">
      <c r="A154" s="248" t="s">
        <v>230</v>
      </c>
      <c r="B154" s="252" t="s">
        <v>797</v>
      </c>
      <c r="C154" s="48" t="s">
        <v>756</v>
      </c>
      <c r="D154" s="179">
        <v>45856</v>
      </c>
      <c r="E154" s="48" t="s">
        <v>71</v>
      </c>
      <c r="F154" s="186">
        <v>143.69999999999999</v>
      </c>
      <c r="G154" s="188"/>
      <c r="H154" s="178">
        <v>45593</v>
      </c>
      <c r="I154" s="48" t="s">
        <v>59</v>
      </c>
      <c r="J154" s="48" t="s">
        <v>59</v>
      </c>
      <c r="K154" s="179" t="s">
        <v>59</v>
      </c>
      <c r="L154" s="179" t="s">
        <v>59</v>
      </c>
      <c r="M154" s="153"/>
    </row>
    <row r="155" spans="1:13">
      <c r="A155" s="248" t="s">
        <v>231</v>
      </c>
      <c r="B155" s="252" t="s">
        <v>987</v>
      </c>
      <c r="C155" s="48" t="s">
        <v>725</v>
      </c>
      <c r="D155" s="179">
        <v>46934</v>
      </c>
      <c r="E155" s="48" t="s">
        <v>72</v>
      </c>
      <c r="F155" s="186">
        <v>457.5</v>
      </c>
      <c r="G155" s="188"/>
      <c r="H155" s="178">
        <v>45700</v>
      </c>
      <c r="I155" s="48" t="s">
        <v>365</v>
      </c>
      <c r="J155" s="48" t="s">
        <v>365</v>
      </c>
      <c r="K155" s="179" t="s">
        <v>59</v>
      </c>
      <c r="L155" s="179" t="s">
        <v>59</v>
      </c>
      <c r="M155" s="153"/>
    </row>
    <row r="156" spans="1:13">
      <c r="A156" s="248" t="s">
        <v>232</v>
      </c>
      <c r="B156" s="252" t="s">
        <v>1230</v>
      </c>
      <c r="C156" s="48" t="s">
        <v>661</v>
      </c>
      <c r="D156" s="179">
        <v>46022</v>
      </c>
      <c r="E156" s="48" t="s">
        <v>72</v>
      </c>
      <c r="F156" s="186">
        <v>200.8</v>
      </c>
      <c r="G156" s="188"/>
      <c r="H156" s="178">
        <v>45700</v>
      </c>
      <c r="I156" s="48" t="s">
        <v>59</v>
      </c>
      <c r="J156" s="48" t="s">
        <v>59</v>
      </c>
      <c r="K156" s="179" t="s">
        <v>59</v>
      </c>
      <c r="L156" s="179" t="s">
        <v>59</v>
      </c>
      <c r="M156" s="153"/>
    </row>
    <row r="157" spans="1:13">
      <c r="A157" s="248" t="s">
        <v>233</v>
      </c>
      <c r="B157" s="252" t="s">
        <v>1008</v>
      </c>
      <c r="C157" s="48" t="s">
        <v>661</v>
      </c>
      <c r="D157" s="179">
        <v>46128</v>
      </c>
      <c r="E157" s="48" t="s">
        <v>72</v>
      </c>
      <c r="F157" s="186">
        <v>190.18</v>
      </c>
      <c r="G157" s="188"/>
      <c r="H157" s="178">
        <v>45700</v>
      </c>
      <c r="I157" s="48" t="s">
        <v>59</v>
      </c>
      <c r="J157" s="48" t="s">
        <v>59</v>
      </c>
      <c r="K157" s="179" t="s">
        <v>59</v>
      </c>
      <c r="L157" s="179" t="s">
        <v>59</v>
      </c>
      <c r="M157" s="153"/>
    </row>
    <row r="158" spans="1:13">
      <c r="A158" s="248" t="s">
        <v>234</v>
      </c>
      <c r="B158" s="252" t="s">
        <v>1016</v>
      </c>
      <c r="C158" s="48" t="s">
        <v>768</v>
      </c>
      <c r="D158" s="179">
        <v>46261</v>
      </c>
      <c r="E158" s="48" t="s">
        <v>72</v>
      </c>
      <c r="F158" s="186">
        <v>207.4</v>
      </c>
      <c r="G158" s="188"/>
      <c r="H158" s="178">
        <v>45700</v>
      </c>
      <c r="I158" s="48" t="s">
        <v>59</v>
      </c>
      <c r="J158" s="48" t="s">
        <v>59</v>
      </c>
      <c r="K158" s="179" t="s">
        <v>59</v>
      </c>
      <c r="L158" s="179" t="s">
        <v>59</v>
      </c>
      <c r="M158" s="153"/>
    </row>
    <row r="159" spans="1:13">
      <c r="A159" s="248" t="s">
        <v>235</v>
      </c>
      <c r="B159" s="252" t="s">
        <v>1023</v>
      </c>
      <c r="C159" s="48" t="s">
        <v>724</v>
      </c>
      <c r="D159" s="179">
        <v>46008</v>
      </c>
      <c r="E159" s="48" t="s">
        <v>69</v>
      </c>
      <c r="F159" s="186">
        <v>203.87</v>
      </c>
      <c r="G159" s="188"/>
      <c r="H159" s="178">
        <v>45597</v>
      </c>
      <c r="I159" s="48" t="s">
        <v>59</v>
      </c>
      <c r="J159" s="48" t="s">
        <v>59</v>
      </c>
      <c r="K159" s="179" t="s">
        <v>59</v>
      </c>
      <c r="L159" s="179" t="s">
        <v>59</v>
      </c>
      <c r="M159" s="153"/>
    </row>
    <row r="160" spans="1:13">
      <c r="A160" s="248" t="s">
        <v>236</v>
      </c>
      <c r="B160" s="252" t="s">
        <v>1151</v>
      </c>
      <c r="C160" s="48" t="s">
        <v>734</v>
      </c>
      <c r="D160" s="179">
        <v>45815</v>
      </c>
      <c r="E160" s="48" t="s">
        <v>69</v>
      </c>
      <c r="F160" s="186">
        <v>101.52</v>
      </c>
      <c r="G160" s="188"/>
      <c r="H160" s="178">
        <v>45504</v>
      </c>
      <c r="I160" s="48" t="s">
        <v>59</v>
      </c>
      <c r="J160" s="48" t="s">
        <v>59</v>
      </c>
      <c r="K160" s="179" t="s">
        <v>59</v>
      </c>
      <c r="L160" s="179" t="s">
        <v>59</v>
      </c>
      <c r="M160" s="153"/>
    </row>
    <row r="161" spans="1:13">
      <c r="A161" s="248" t="s">
        <v>237</v>
      </c>
      <c r="B161" s="252" t="s">
        <v>1292</v>
      </c>
      <c r="C161" s="48" t="s">
        <v>679</v>
      </c>
      <c r="D161" s="179">
        <v>46092</v>
      </c>
      <c r="E161" s="48" t="s">
        <v>69</v>
      </c>
      <c r="F161" s="186">
        <v>101.2</v>
      </c>
      <c r="G161" s="188"/>
      <c r="H161" s="178">
        <v>45701</v>
      </c>
      <c r="I161" s="48" t="s">
        <v>59</v>
      </c>
      <c r="J161" s="48" t="s">
        <v>59</v>
      </c>
      <c r="K161" s="179" t="s">
        <v>59</v>
      </c>
      <c r="L161" s="179" t="s">
        <v>59</v>
      </c>
      <c r="M161" s="153"/>
    </row>
    <row r="162" spans="1:13">
      <c r="A162" s="248" t="s">
        <v>238</v>
      </c>
      <c r="B162" s="252" t="s">
        <v>1153</v>
      </c>
      <c r="C162" s="48" t="s">
        <v>673</v>
      </c>
      <c r="D162" s="179">
        <v>46539</v>
      </c>
      <c r="E162" s="48" t="s">
        <v>72</v>
      </c>
      <c r="F162" s="186">
        <v>308.88</v>
      </c>
      <c r="G162" s="188"/>
      <c r="H162" s="178">
        <v>45701</v>
      </c>
      <c r="I162" s="48" t="s">
        <v>59</v>
      </c>
      <c r="J162" s="48" t="s">
        <v>59</v>
      </c>
      <c r="K162" s="179" t="s">
        <v>59</v>
      </c>
      <c r="L162" s="179" t="s">
        <v>59</v>
      </c>
      <c r="M162" s="153"/>
    </row>
    <row r="163" spans="1:13">
      <c r="A163" s="248" t="s">
        <v>239</v>
      </c>
      <c r="B163" s="252" t="s">
        <v>986</v>
      </c>
      <c r="C163" s="48" t="s">
        <v>673</v>
      </c>
      <c r="D163" s="179">
        <v>46631</v>
      </c>
      <c r="E163" s="48" t="s">
        <v>72</v>
      </c>
      <c r="F163" s="186">
        <v>256.23</v>
      </c>
      <c r="G163" s="188"/>
      <c r="H163" s="178">
        <v>45701</v>
      </c>
      <c r="I163" s="48" t="s">
        <v>59</v>
      </c>
      <c r="J163" s="48" t="s">
        <v>59</v>
      </c>
      <c r="K163" s="179" t="s">
        <v>59</v>
      </c>
      <c r="L163" s="179" t="s">
        <v>59</v>
      </c>
      <c r="M163" s="153"/>
    </row>
    <row r="164" spans="1:13">
      <c r="A164" s="248" t="s">
        <v>240</v>
      </c>
      <c r="B164" s="252" t="s">
        <v>1376</v>
      </c>
      <c r="C164" s="48" t="s">
        <v>695</v>
      </c>
      <c r="D164" s="179">
        <v>46631</v>
      </c>
      <c r="E164" s="48" t="s">
        <v>72</v>
      </c>
      <c r="F164" s="186">
        <v>305.60000000000002</v>
      </c>
      <c r="G164" s="188"/>
      <c r="H164" s="178">
        <v>45701</v>
      </c>
      <c r="I164" s="48" t="s">
        <v>59</v>
      </c>
      <c r="J164" s="48" t="s">
        <v>59</v>
      </c>
      <c r="K164" s="179" t="s">
        <v>59</v>
      </c>
      <c r="L164" s="179" t="s">
        <v>59</v>
      </c>
      <c r="M164" s="153"/>
    </row>
    <row r="165" spans="1:13">
      <c r="A165" s="248" t="s">
        <v>241</v>
      </c>
      <c r="B165" s="252" t="s">
        <v>1234</v>
      </c>
      <c r="C165" s="48" t="s">
        <v>679</v>
      </c>
      <c r="D165" s="179">
        <v>47118</v>
      </c>
      <c r="E165" s="48" t="s">
        <v>69</v>
      </c>
      <c r="F165" s="186">
        <v>255</v>
      </c>
      <c r="G165" s="188"/>
      <c r="H165" s="178">
        <v>45702</v>
      </c>
      <c r="I165" s="48" t="s">
        <v>365</v>
      </c>
      <c r="J165" s="48" t="s">
        <v>365</v>
      </c>
      <c r="K165" s="179" t="s">
        <v>59</v>
      </c>
      <c r="L165" s="179" t="s">
        <v>59</v>
      </c>
      <c r="M165" s="153"/>
    </row>
    <row r="166" spans="1:13">
      <c r="A166" s="248" t="s">
        <v>242</v>
      </c>
      <c r="B166" s="252" t="s">
        <v>1041</v>
      </c>
      <c r="C166" s="48" t="s">
        <v>727</v>
      </c>
      <c r="D166" s="179">
        <v>46308</v>
      </c>
      <c r="E166" s="48" t="s">
        <v>72</v>
      </c>
      <c r="F166" s="186">
        <v>145</v>
      </c>
      <c r="G166" s="188"/>
      <c r="H166" s="178">
        <v>45700</v>
      </c>
      <c r="I166" s="48" t="s">
        <v>59</v>
      </c>
      <c r="J166" s="48" t="s">
        <v>59</v>
      </c>
      <c r="K166" s="179" t="s">
        <v>59</v>
      </c>
      <c r="L166" s="179" t="s">
        <v>59</v>
      </c>
      <c r="M166" s="153"/>
    </row>
    <row r="167" spans="1:13">
      <c r="A167" s="248" t="s">
        <v>243</v>
      </c>
      <c r="B167" s="252" t="s">
        <v>1137</v>
      </c>
      <c r="C167" s="48" t="s">
        <v>654</v>
      </c>
      <c r="D167" s="179">
        <v>45786</v>
      </c>
      <c r="E167" s="48" t="s">
        <v>73</v>
      </c>
      <c r="F167" s="186">
        <v>124.6</v>
      </c>
      <c r="G167" s="188"/>
      <c r="H167" s="178">
        <v>45502</v>
      </c>
      <c r="I167" s="48" t="s">
        <v>59</v>
      </c>
      <c r="J167" s="48" t="s">
        <v>59</v>
      </c>
      <c r="K167" s="179" t="s">
        <v>59</v>
      </c>
      <c r="L167" s="179" t="s">
        <v>59</v>
      </c>
      <c r="M167" s="153"/>
    </row>
    <row r="168" spans="1:13">
      <c r="A168" s="248" t="s">
        <v>244</v>
      </c>
      <c r="B168" s="252" t="s">
        <v>1076</v>
      </c>
      <c r="C168" s="48" t="s">
        <v>364</v>
      </c>
      <c r="D168" s="179">
        <v>46234</v>
      </c>
      <c r="E168" s="48" t="s">
        <v>69</v>
      </c>
      <c r="F168" s="186">
        <v>401.9</v>
      </c>
      <c r="G168" s="188"/>
      <c r="H168" s="178">
        <v>45701</v>
      </c>
      <c r="I168" s="48" t="s">
        <v>59</v>
      </c>
      <c r="J168" s="48" t="s">
        <v>59</v>
      </c>
      <c r="K168" s="179" t="s">
        <v>59</v>
      </c>
      <c r="L168" s="179" t="s">
        <v>59</v>
      </c>
      <c r="M168" s="153"/>
    </row>
    <row r="169" spans="1:13">
      <c r="A169" s="248" t="s">
        <v>245</v>
      </c>
      <c r="B169" s="252" t="s">
        <v>1157</v>
      </c>
      <c r="C169" s="48" t="s">
        <v>715</v>
      </c>
      <c r="D169" s="179">
        <v>46660</v>
      </c>
      <c r="E169" s="48" t="s">
        <v>69</v>
      </c>
      <c r="F169" s="186">
        <v>157.36000000000001</v>
      </c>
      <c r="G169" s="188"/>
      <c r="H169" s="178">
        <v>45701</v>
      </c>
      <c r="I169" s="48" t="s">
        <v>59</v>
      </c>
      <c r="J169" s="48" t="s">
        <v>59</v>
      </c>
      <c r="K169" s="179" t="s">
        <v>59</v>
      </c>
      <c r="L169" s="179" t="s">
        <v>59</v>
      </c>
      <c r="M169" s="153"/>
    </row>
    <row r="170" spans="1:13">
      <c r="A170" s="248" t="s">
        <v>246</v>
      </c>
      <c r="B170" s="252" t="s">
        <v>1289</v>
      </c>
      <c r="C170" s="48" t="s">
        <v>749</v>
      </c>
      <c r="D170" s="179">
        <v>46023</v>
      </c>
      <c r="E170" s="48" t="s">
        <v>72</v>
      </c>
      <c r="F170" s="186">
        <v>201.06</v>
      </c>
      <c r="G170" s="188"/>
      <c r="H170" s="178">
        <v>45594</v>
      </c>
      <c r="I170" s="48" t="s">
        <v>59</v>
      </c>
      <c r="J170" s="48" t="s">
        <v>59</v>
      </c>
      <c r="K170" s="179" t="s">
        <v>59</v>
      </c>
      <c r="L170" s="179" t="s">
        <v>59</v>
      </c>
      <c r="M170" s="153"/>
    </row>
    <row r="171" spans="1:13">
      <c r="A171" s="248" t="s">
        <v>247</v>
      </c>
      <c r="B171" s="252" t="s">
        <v>1207</v>
      </c>
      <c r="C171" s="48" t="s">
        <v>716</v>
      </c>
      <c r="D171" s="179">
        <v>45869</v>
      </c>
      <c r="E171" s="48" t="s">
        <v>69</v>
      </c>
      <c r="F171" s="186">
        <v>204</v>
      </c>
      <c r="G171" s="188"/>
      <c r="H171" s="178">
        <v>45600</v>
      </c>
      <c r="I171" s="48" t="s">
        <v>59</v>
      </c>
      <c r="J171" s="48" t="s">
        <v>59</v>
      </c>
      <c r="K171" s="179" t="s">
        <v>59</v>
      </c>
      <c r="L171" s="179" t="s">
        <v>59</v>
      </c>
      <c r="M171" s="153"/>
    </row>
    <row r="172" spans="1:13">
      <c r="A172" s="248" t="s">
        <v>248</v>
      </c>
      <c r="B172" s="252" t="s">
        <v>991</v>
      </c>
      <c r="C172" s="48" t="s">
        <v>685</v>
      </c>
      <c r="D172" s="179">
        <v>45930</v>
      </c>
      <c r="E172" s="48" t="s">
        <v>69</v>
      </c>
      <c r="F172" s="186">
        <v>154.19999999999999</v>
      </c>
      <c r="G172" s="188"/>
      <c r="H172" s="178">
        <v>45600</v>
      </c>
      <c r="I172" s="48" t="s">
        <v>59</v>
      </c>
      <c r="J172" s="48" t="s">
        <v>59</v>
      </c>
      <c r="K172" s="179" t="s">
        <v>59</v>
      </c>
      <c r="L172" s="179" t="s">
        <v>59</v>
      </c>
      <c r="M172" s="153"/>
    </row>
    <row r="173" spans="1:13">
      <c r="A173" s="248" t="s">
        <v>249</v>
      </c>
      <c r="B173" s="252" t="s">
        <v>961</v>
      </c>
      <c r="C173" s="48" t="s">
        <v>776</v>
      </c>
      <c r="D173" s="179">
        <v>46082</v>
      </c>
      <c r="E173" s="48" t="s">
        <v>72</v>
      </c>
      <c r="F173" s="186">
        <v>125.81</v>
      </c>
      <c r="G173" s="188"/>
      <c r="H173" s="178">
        <v>45757</v>
      </c>
      <c r="I173" s="48" t="s">
        <v>59</v>
      </c>
      <c r="J173" s="48" t="s">
        <v>59</v>
      </c>
      <c r="K173" s="179" t="s">
        <v>59</v>
      </c>
      <c r="L173" s="179" t="s">
        <v>59</v>
      </c>
      <c r="M173" s="153"/>
    </row>
    <row r="174" spans="1:13">
      <c r="A174" s="248" t="s">
        <v>250</v>
      </c>
      <c r="B174" s="252" t="s">
        <v>1338</v>
      </c>
      <c r="C174" s="48" t="s">
        <v>694</v>
      </c>
      <c r="D174" s="179">
        <v>46113</v>
      </c>
      <c r="E174" s="48" t="s">
        <v>72</v>
      </c>
      <c r="F174" s="186">
        <v>120.7</v>
      </c>
      <c r="G174" s="188"/>
      <c r="H174" s="178">
        <v>45700</v>
      </c>
      <c r="I174" s="48" t="s">
        <v>59</v>
      </c>
      <c r="J174" s="48" t="s">
        <v>59</v>
      </c>
      <c r="K174" s="179" t="s">
        <v>59</v>
      </c>
      <c r="L174" s="179" t="s">
        <v>59</v>
      </c>
      <c r="M174" s="153"/>
    </row>
    <row r="175" spans="1:13">
      <c r="A175" s="248" t="s">
        <v>251</v>
      </c>
      <c r="B175" s="252" t="s">
        <v>1173</v>
      </c>
      <c r="C175" s="48" t="s">
        <v>736</v>
      </c>
      <c r="D175" s="179">
        <v>45934</v>
      </c>
      <c r="E175" s="48" t="s">
        <v>73</v>
      </c>
      <c r="F175" s="186">
        <v>265.39999999999998</v>
      </c>
      <c r="G175" s="188"/>
      <c r="H175" s="178">
        <v>45596</v>
      </c>
      <c r="I175" s="48" t="s">
        <v>59</v>
      </c>
      <c r="J175" s="48" t="s">
        <v>59</v>
      </c>
      <c r="K175" s="179" t="s">
        <v>59</v>
      </c>
      <c r="L175" s="179" t="s">
        <v>59</v>
      </c>
      <c r="M175" s="153"/>
    </row>
    <row r="176" spans="1:13">
      <c r="A176" s="248" t="s">
        <v>252</v>
      </c>
      <c r="B176" s="252" t="s">
        <v>1382</v>
      </c>
      <c r="C176" s="48" t="s">
        <v>728</v>
      </c>
      <c r="D176" s="179">
        <v>46569</v>
      </c>
      <c r="E176" s="48" t="s">
        <v>69</v>
      </c>
      <c r="F176" s="186">
        <v>192</v>
      </c>
      <c r="G176" s="188"/>
      <c r="H176" s="178">
        <v>45700</v>
      </c>
      <c r="I176" s="48" t="s">
        <v>59</v>
      </c>
      <c r="J176" s="48" t="s">
        <v>59</v>
      </c>
      <c r="K176" s="179" t="s">
        <v>59</v>
      </c>
      <c r="L176" s="179" t="s">
        <v>59</v>
      </c>
      <c r="M176" s="153"/>
    </row>
    <row r="177" spans="1:13">
      <c r="A177" s="248" t="s">
        <v>253</v>
      </c>
      <c r="B177" s="252" t="s">
        <v>1321</v>
      </c>
      <c r="C177" s="48" t="s">
        <v>728</v>
      </c>
      <c r="D177" s="179">
        <v>46569</v>
      </c>
      <c r="E177" s="48" t="s">
        <v>72</v>
      </c>
      <c r="F177" s="186">
        <v>310</v>
      </c>
      <c r="G177" s="188"/>
      <c r="H177" s="178">
        <v>45700</v>
      </c>
      <c r="I177" s="48" t="s">
        <v>59</v>
      </c>
      <c r="J177" s="48" t="s">
        <v>59</v>
      </c>
      <c r="K177" s="179" t="s">
        <v>59</v>
      </c>
      <c r="L177" s="179" t="s">
        <v>59</v>
      </c>
      <c r="M177" s="153"/>
    </row>
    <row r="178" spans="1:13">
      <c r="A178" s="248" t="s">
        <v>254</v>
      </c>
      <c r="B178" s="252" t="s">
        <v>1215</v>
      </c>
      <c r="C178" s="48" t="s">
        <v>683</v>
      </c>
      <c r="D178" s="179">
        <v>46882</v>
      </c>
      <c r="E178" s="48" t="s">
        <v>72</v>
      </c>
      <c r="F178" s="186">
        <v>182</v>
      </c>
      <c r="G178" s="188"/>
      <c r="H178" s="178">
        <v>45700</v>
      </c>
      <c r="I178" s="48" t="s">
        <v>365</v>
      </c>
      <c r="J178" s="48" t="s">
        <v>365</v>
      </c>
      <c r="K178" s="179" t="s">
        <v>59</v>
      </c>
      <c r="L178" s="179" t="s">
        <v>59</v>
      </c>
      <c r="M178" s="153"/>
    </row>
    <row r="179" spans="1:13">
      <c r="A179" s="248" t="s">
        <v>255</v>
      </c>
      <c r="B179" s="252" t="s">
        <v>1320</v>
      </c>
      <c r="C179" s="48" t="s">
        <v>657</v>
      </c>
      <c r="D179" s="179">
        <v>46569</v>
      </c>
      <c r="E179" s="48" t="s">
        <v>73</v>
      </c>
      <c r="F179" s="186">
        <v>225.6</v>
      </c>
      <c r="G179" s="188"/>
      <c r="H179" s="178">
        <v>45701</v>
      </c>
      <c r="I179" s="48" t="s">
        <v>59</v>
      </c>
      <c r="J179" s="48" t="s">
        <v>59</v>
      </c>
      <c r="K179" s="179" t="s">
        <v>59</v>
      </c>
      <c r="L179" s="179" t="s">
        <v>59</v>
      </c>
      <c r="M179" s="153"/>
    </row>
    <row r="180" spans="1:13">
      <c r="A180" s="248" t="s">
        <v>256</v>
      </c>
      <c r="B180" s="252" t="s">
        <v>1190</v>
      </c>
      <c r="C180" s="48" t="s">
        <v>664</v>
      </c>
      <c r="D180" s="179">
        <v>46204</v>
      </c>
      <c r="E180" s="48" t="s">
        <v>72</v>
      </c>
      <c r="F180" s="186">
        <v>210.11</v>
      </c>
      <c r="G180" s="188"/>
      <c r="H180" s="178">
        <v>45700</v>
      </c>
      <c r="I180" s="48" t="s">
        <v>59</v>
      </c>
      <c r="J180" s="48" t="s">
        <v>59</v>
      </c>
      <c r="K180" s="179" t="s">
        <v>59</v>
      </c>
      <c r="L180" s="179" t="s">
        <v>59</v>
      </c>
      <c r="M180" s="153"/>
    </row>
    <row r="181" spans="1:13">
      <c r="A181" s="248" t="s">
        <v>257</v>
      </c>
      <c r="B181" s="252" t="s">
        <v>995</v>
      </c>
      <c r="C181" s="48" t="s">
        <v>686</v>
      </c>
      <c r="D181" s="179">
        <v>46569</v>
      </c>
      <c r="E181" s="48" t="s">
        <v>72</v>
      </c>
      <c r="F181" s="186">
        <v>184</v>
      </c>
      <c r="G181" s="188"/>
      <c r="H181" s="178">
        <v>45490</v>
      </c>
      <c r="I181" s="48" t="s">
        <v>59</v>
      </c>
      <c r="J181" s="48" t="s">
        <v>59</v>
      </c>
      <c r="K181" s="179" t="s">
        <v>59</v>
      </c>
      <c r="L181" s="179" t="s">
        <v>59</v>
      </c>
      <c r="M181" s="153"/>
    </row>
    <row r="182" spans="1:13">
      <c r="A182" s="248" t="s">
        <v>258</v>
      </c>
      <c r="B182" s="252" t="s">
        <v>1208</v>
      </c>
      <c r="C182" s="48" t="s">
        <v>748</v>
      </c>
      <c r="D182" s="179">
        <v>46494</v>
      </c>
      <c r="E182" s="48" t="s">
        <v>72</v>
      </c>
      <c r="F182" s="186">
        <v>400.58</v>
      </c>
      <c r="G182" s="188"/>
      <c r="H182" s="178">
        <v>45700</v>
      </c>
      <c r="I182" s="48" t="s">
        <v>59</v>
      </c>
      <c r="J182" s="48" t="s">
        <v>59</v>
      </c>
      <c r="K182" s="179" t="s">
        <v>59</v>
      </c>
      <c r="L182" s="179" t="s">
        <v>59</v>
      </c>
      <c r="M182" s="153"/>
    </row>
    <row r="183" spans="1:13">
      <c r="A183" s="248" t="s">
        <v>259</v>
      </c>
      <c r="B183" s="252" t="s">
        <v>1139</v>
      </c>
      <c r="C183" s="48" t="s">
        <v>720</v>
      </c>
      <c r="D183" s="179">
        <v>46251</v>
      </c>
      <c r="E183" s="48" t="s">
        <v>72</v>
      </c>
      <c r="F183" s="186">
        <v>150</v>
      </c>
      <c r="G183" s="188"/>
      <c r="H183" s="178">
        <v>45700</v>
      </c>
      <c r="I183" s="48" t="s">
        <v>59</v>
      </c>
      <c r="J183" s="48" t="s">
        <v>59</v>
      </c>
      <c r="K183" s="179" t="s">
        <v>59</v>
      </c>
      <c r="L183" s="179" t="s">
        <v>59</v>
      </c>
      <c r="M183" s="153"/>
    </row>
    <row r="184" spans="1:13">
      <c r="A184" s="249" t="s">
        <v>260</v>
      </c>
      <c r="B184" s="252" t="s">
        <v>1096</v>
      </c>
      <c r="C184" s="48" t="s">
        <v>730</v>
      </c>
      <c r="D184" s="179">
        <v>46675</v>
      </c>
      <c r="E184" s="48" t="s">
        <v>72</v>
      </c>
      <c r="F184" s="186">
        <v>120.63</v>
      </c>
      <c r="G184" s="188"/>
      <c r="H184" s="178">
        <v>45700</v>
      </c>
      <c r="I184" s="48" t="s">
        <v>59</v>
      </c>
      <c r="J184" s="48" t="s">
        <v>59</v>
      </c>
      <c r="K184" s="179" t="s">
        <v>59</v>
      </c>
      <c r="L184" s="179" t="s">
        <v>59</v>
      </c>
      <c r="M184" s="153"/>
    </row>
    <row r="185" spans="1:13">
      <c r="A185" s="248" t="s">
        <v>261</v>
      </c>
      <c r="B185" s="252" t="s">
        <v>1368</v>
      </c>
      <c r="C185" s="48" t="s">
        <v>730</v>
      </c>
      <c r="D185" s="179">
        <v>46675</v>
      </c>
      <c r="E185" s="48" t="s">
        <v>72</v>
      </c>
      <c r="F185" s="186">
        <v>120.86</v>
      </c>
      <c r="G185" s="188"/>
      <c r="H185" s="178">
        <v>45700</v>
      </c>
      <c r="I185" s="48" t="s">
        <v>59</v>
      </c>
      <c r="J185" s="48" t="s">
        <v>59</v>
      </c>
      <c r="K185" s="179" t="s">
        <v>59</v>
      </c>
      <c r="L185" s="179" t="s">
        <v>59</v>
      </c>
      <c r="M185" s="153"/>
    </row>
    <row r="186" spans="1:13">
      <c r="A186" s="248" t="s">
        <v>262</v>
      </c>
      <c r="B186" s="252" t="s">
        <v>1381</v>
      </c>
      <c r="C186" s="48" t="s">
        <v>682</v>
      </c>
      <c r="D186" s="179">
        <v>46462</v>
      </c>
      <c r="E186" s="48" t="s">
        <v>69</v>
      </c>
      <c r="F186" s="186">
        <v>101</v>
      </c>
      <c r="G186" s="188"/>
      <c r="H186" s="178">
        <v>45700</v>
      </c>
      <c r="I186" s="48" t="s">
        <v>59</v>
      </c>
      <c r="J186" s="48" t="s">
        <v>59</v>
      </c>
      <c r="K186" s="179" t="s">
        <v>59</v>
      </c>
      <c r="L186" s="179" t="s">
        <v>59</v>
      </c>
      <c r="M186" s="153"/>
    </row>
    <row r="187" spans="1:13">
      <c r="A187" s="248" t="s">
        <v>263</v>
      </c>
      <c r="B187" s="252" t="s">
        <v>1046</v>
      </c>
      <c r="C187" s="48" t="s">
        <v>682</v>
      </c>
      <c r="D187" s="179">
        <v>46462</v>
      </c>
      <c r="E187" s="48" t="s">
        <v>72</v>
      </c>
      <c r="F187" s="186">
        <v>203.5</v>
      </c>
      <c r="G187" s="188"/>
      <c r="H187" s="178">
        <v>45700</v>
      </c>
      <c r="I187" s="48" t="s">
        <v>59</v>
      </c>
      <c r="J187" s="48" t="s">
        <v>59</v>
      </c>
      <c r="K187" s="179" t="s">
        <v>59</v>
      </c>
      <c r="L187" s="179" t="s">
        <v>59</v>
      </c>
      <c r="M187" s="153"/>
    </row>
    <row r="188" spans="1:13">
      <c r="A188" s="248" t="s">
        <v>264</v>
      </c>
      <c r="B188" s="252" t="s">
        <v>1146</v>
      </c>
      <c r="C188" s="48" t="s">
        <v>657</v>
      </c>
      <c r="D188" s="179">
        <v>46112</v>
      </c>
      <c r="E188" s="48" t="s">
        <v>72</v>
      </c>
      <c r="F188" s="186">
        <v>374.4</v>
      </c>
      <c r="G188" s="188"/>
      <c r="H188" s="178">
        <v>45450</v>
      </c>
      <c r="I188" s="48" t="s">
        <v>59</v>
      </c>
      <c r="J188" s="48" t="s">
        <v>59</v>
      </c>
      <c r="K188" s="179" t="s">
        <v>59</v>
      </c>
      <c r="L188" s="179" t="s">
        <v>59</v>
      </c>
      <c r="M188" s="153"/>
    </row>
    <row r="189" spans="1:13">
      <c r="A189" s="248" t="s">
        <v>265</v>
      </c>
      <c r="B189" s="252" t="s">
        <v>1189</v>
      </c>
      <c r="C189" s="48" t="s">
        <v>775</v>
      </c>
      <c r="D189" s="179">
        <v>46203</v>
      </c>
      <c r="E189" s="48" t="s">
        <v>72</v>
      </c>
      <c r="F189" s="186">
        <v>252</v>
      </c>
      <c r="G189" s="188"/>
      <c r="H189" s="178">
        <v>45699</v>
      </c>
      <c r="I189" s="48" t="s">
        <v>59</v>
      </c>
      <c r="J189" s="48" t="s">
        <v>59</v>
      </c>
      <c r="K189" s="179" t="s">
        <v>59</v>
      </c>
      <c r="L189" s="179" t="s">
        <v>59</v>
      </c>
      <c r="M189" s="153"/>
    </row>
    <row r="190" spans="1:13">
      <c r="A190" s="248" t="s">
        <v>266</v>
      </c>
      <c r="B190" s="252" t="s">
        <v>1345</v>
      </c>
      <c r="C190" s="48" t="s">
        <v>678</v>
      </c>
      <c r="D190" s="179">
        <v>45961</v>
      </c>
      <c r="E190" s="48" t="s">
        <v>73</v>
      </c>
      <c r="F190" s="186">
        <v>163.4</v>
      </c>
      <c r="G190" s="188"/>
      <c r="H190" s="178">
        <v>45596</v>
      </c>
      <c r="I190" s="48" t="s">
        <v>59</v>
      </c>
      <c r="J190" s="48" t="s">
        <v>59</v>
      </c>
      <c r="K190" s="179" t="s">
        <v>59</v>
      </c>
      <c r="L190" s="179" t="s">
        <v>59</v>
      </c>
      <c r="M190" s="153"/>
    </row>
    <row r="191" spans="1:13">
      <c r="A191" s="248" t="s">
        <v>267</v>
      </c>
      <c r="B191" s="252" t="s">
        <v>1204</v>
      </c>
      <c r="C191" s="48" t="s">
        <v>669</v>
      </c>
      <c r="D191" s="179">
        <v>46607</v>
      </c>
      <c r="E191" s="48" t="s">
        <v>72</v>
      </c>
      <c r="F191" s="186">
        <v>101.5</v>
      </c>
      <c r="G191" s="188"/>
      <c r="H191" s="178">
        <v>45770</v>
      </c>
      <c r="I191" s="48" t="s">
        <v>59</v>
      </c>
      <c r="J191" s="48" t="s">
        <v>59</v>
      </c>
      <c r="K191" s="179" t="s">
        <v>59</v>
      </c>
      <c r="L191" s="179" t="s">
        <v>59</v>
      </c>
      <c r="M191" s="153"/>
    </row>
    <row r="192" spans="1:13">
      <c r="A192" s="248" t="s">
        <v>268</v>
      </c>
      <c r="B192" s="252" t="s">
        <v>1390</v>
      </c>
      <c r="C192" s="48" t="s">
        <v>753</v>
      </c>
      <c r="D192" s="179">
        <v>46265</v>
      </c>
      <c r="E192" s="48" t="s">
        <v>69</v>
      </c>
      <c r="F192" s="186">
        <v>150.94</v>
      </c>
      <c r="G192" s="188"/>
      <c r="H192" s="178">
        <v>45771</v>
      </c>
      <c r="I192" s="48" t="s">
        <v>59</v>
      </c>
      <c r="J192" s="48" t="s">
        <v>59</v>
      </c>
      <c r="K192" s="179" t="s">
        <v>59</v>
      </c>
      <c r="L192" s="179" t="s">
        <v>59</v>
      </c>
      <c r="M192" s="153"/>
    </row>
    <row r="193" spans="1:13">
      <c r="A193" s="248" t="s">
        <v>269</v>
      </c>
      <c r="B193" s="252" t="s">
        <v>938</v>
      </c>
      <c r="C193" s="48" t="s">
        <v>687</v>
      </c>
      <c r="D193" s="179">
        <v>46599</v>
      </c>
      <c r="E193" s="48" t="s">
        <v>72</v>
      </c>
      <c r="F193" s="186">
        <v>100.54</v>
      </c>
      <c r="G193" s="188"/>
      <c r="H193" s="178">
        <v>45750</v>
      </c>
      <c r="I193" s="48" t="s">
        <v>59</v>
      </c>
      <c r="J193" s="48" t="s">
        <v>59</v>
      </c>
      <c r="K193" s="179" t="s">
        <v>59</v>
      </c>
      <c r="L193" s="179" t="s">
        <v>59</v>
      </c>
      <c r="M193" s="153"/>
    </row>
    <row r="194" spans="1:13">
      <c r="A194" s="248" t="s">
        <v>270</v>
      </c>
      <c r="B194" s="252" t="s">
        <v>994</v>
      </c>
      <c r="C194" s="48" t="s">
        <v>687</v>
      </c>
      <c r="D194" s="179">
        <v>46599</v>
      </c>
      <c r="E194" s="48" t="s">
        <v>73</v>
      </c>
      <c r="F194" s="186">
        <v>307.72000000000003</v>
      </c>
      <c r="G194" s="188"/>
      <c r="H194" s="178">
        <v>45750</v>
      </c>
      <c r="I194" s="48" t="s">
        <v>59</v>
      </c>
      <c r="J194" s="48" t="s">
        <v>59</v>
      </c>
      <c r="K194" s="179" t="s">
        <v>59</v>
      </c>
      <c r="L194" s="179" t="s">
        <v>59</v>
      </c>
      <c r="M194" s="153"/>
    </row>
    <row r="195" spans="1:13">
      <c r="A195" s="248" t="s">
        <v>271</v>
      </c>
      <c r="B195" s="252" t="s">
        <v>1130</v>
      </c>
      <c r="C195" s="48" t="s">
        <v>935</v>
      </c>
      <c r="D195" s="179">
        <v>46599</v>
      </c>
      <c r="E195" s="48" t="s">
        <v>73</v>
      </c>
      <c r="F195" s="186">
        <v>307.23</v>
      </c>
      <c r="G195" s="188"/>
      <c r="H195" s="178">
        <v>45750</v>
      </c>
      <c r="I195" s="48" t="s">
        <v>59</v>
      </c>
      <c r="J195" s="48" t="s">
        <v>59</v>
      </c>
      <c r="K195" s="179" t="s">
        <v>59</v>
      </c>
      <c r="L195" s="179" t="s">
        <v>59</v>
      </c>
      <c r="M195" s="153"/>
    </row>
    <row r="196" spans="1:13">
      <c r="A196" s="248" t="s">
        <v>272</v>
      </c>
      <c r="B196" s="252" t="s">
        <v>1324</v>
      </c>
      <c r="C196" s="48" t="s">
        <v>687</v>
      </c>
      <c r="D196" s="179">
        <v>46599</v>
      </c>
      <c r="E196" s="48" t="s">
        <v>72</v>
      </c>
      <c r="F196" s="186">
        <v>301.44</v>
      </c>
      <c r="G196" s="188"/>
      <c r="H196" s="178">
        <v>45750</v>
      </c>
      <c r="I196" s="48" t="s">
        <v>59</v>
      </c>
      <c r="J196" s="48" t="s">
        <v>59</v>
      </c>
      <c r="K196" s="179" t="s">
        <v>59</v>
      </c>
      <c r="L196" s="179" t="s">
        <v>59</v>
      </c>
      <c r="M196" s="153"/>
    </row>
    <row r="197" spans="1:13">
      <c r="A197" s="248" t="s">
        <v>273</v>
      </c>
      <c r="B197" s="252" t="s">
        <v>1162</v>
      </c>
      <c r="C197" s="48" t="s">
        <v>935</v>
      </c>
      <c r="D197" s="179">
        <v>46599</v>
      </c>
      <c r="E197" s="48" t="s">
        <v>73</v>
      </c>
      <c r="F197" s="186">
        <v>300.27</v>
      </c>
      <c r="G197" s="188"/>
      <c r="H197" s="178">
        <v>45750</v>
      </c>
      <c r="I197" s="48" t="s">
        <v>59</v>
      </c>
      <c r="J197" s="48" t="s">
        <v>59</v>
      </c>
      <c r="K197" s="179" t="s">
        <v>59</v>
      </c>
      <c r="L197" s="179" t="s">
        <v>59</v>
      </c>
      <c r="M197" s="153"/>
    </row>
    <row r="198" spans="1:13">
      <c r="A198" s="248" t="s">
        <v>274</v>
      </c>
      <c r="B198" s="252" t="s">
        <v>1388</v>
      </c>
      <c r="C198" s="48" t="s">
        <v>687</v>
      </c>
      <c r="D198" s="179">
        <v>46599</v>
      </c>
      <c r="E198" s="48" t="s">
        <v>72</v>
      </c>
      <c r="F198" s="186">
        <v>200.95</v>
      </c>
      <c r="G198" s="188"/>
      <c r="H198" s="178">
        <v>45750</v>
      </c>
      <c r="I198" s="48" t="s">
        <v>59</v>
      </c>
      <c r="J198" s="48" t="s">
        <v>59</v>
      </c>
      <c r="K198" s="179" t="s">
        <v>59</v>
      </c>
      <c r="L198" s="179" t="s">
        <v>59</v>
      </c>
      <c r="M198" s="153"/>
    </row>
    <row r="199" spans="1:13">
      <c r="A199" s="248" t="s">
        <v>275</v>
      </c>
      <c r="B199" s="252" t="s">
        <v>1317</v>
      </c>
      <c r="C199" s="48" t="s">
        <v>729</v>
      </c>
      <c r="D199" s="179">
        <v>45992</v>
      </c>
      <c r="E199" s="48" t="s">
        <v>72</v>
      </c>
      <c r="F199" s="186">
        <v>56</v>
      </c>
      <c r="G199" s="188"/>
      <c r="H199" s="178">
        <v>45775</v>
      </c>
      <c r="I199" s="48" t="s">
        <v>59</v>
      </c>
      <c r="J199" s="48" t="s">
        <v>59</v>
      </c>
      <c r="K199" s="179" t="s">
        <v>59</v>
      </c>
      <c r="L199" s="179" t="s">
        <v>59</v>
      </c>
      <c r="M199" s="153"/>
    </row>
    <row r="200" spans="1:13">
      <c r="A200" s="248" t="s">
        <v>276</v>
      </c>
      <c r="B200" s="252" t="s">
        <v>968</v>
      </c>
      <c r="C200" s="48" t="s">
        <v>969</v>
      </c>
      <c r="D200" s="179">
        <v>47118</v>
      </c>
      <c r="E200" s="48" t="s">
        <v>72</v>
      </c>
      <c r="F200" s="186">
        <v>203</v>
      </c>
      <c r="G200" s="188"/>
      <c r="H200" s="178">
        <v>45735</v>
      </c>
      <c r="I200" s="48" t="s">
        <v>365</v>
      </c>
      <c r="J200" s="48" t="s">
        <v>365</v>
      </c>
      <c r="K200" s="179" t="s">
        <v>59</v>
      </c>
      <c r="L200" s="179" t="s">
        <v>59</v>
      </c>
      <c r="M200" s="153"/>
    </row>
    <row r="201" spans="1:13">
      <c r="A201" s="248" t="s">
        <v>277</v>
      </c>
      <c r="B201" s="252" t="s">
        <v>1334</v>
      </c>
      <c r="C201" s="48" t="s">
        <v>969</v>
      </c>
      <c r="D201" s="179">
        <v>47118</v>
      </c>
      <c r="E201" s="48" t="s">
        <v>72</v>
      </c>
      <c r="F201" s="186">
        <v>203</v>
      </c>
      <c r="G201" s="188"/>
      <c r="H201" s="178">
        <v>45735</v>
      </c>
      <c r="I201" s="48" t="s">
        <v>365</v>
      </c>
      <c r="J201" s="48" t="s">
        <v>365</v>
      </c>
      <c r="K201" s="179" t="s">
        <v>59</v>
      </c>
      <c r="L201" s="179" t="s">
        <v>59</v>
      </c>
      <c r="M201" s="153"/>
    </row>
    <row r="202" spans="1:13">
      <c r="A202" s="248" t="s">
        <v>278</v>
      </c>
      <c r="B202" s="252" t="s">
        <v>1081</v>
      </c>
      <c r="C202" s="48" t="s">
        <v>765</v>
      </c>
      <c r="D202" s="179">
        <v>46174</v>
      </c>
      <c r="E202" s="48" t="s">
        <v>69</v>
      </c>
      <c r="F202" s="186">
        <v>251.4</v>
      </c>
      <c r="G202" s="188"/>
      <c r="H202" s="178">
        <v>45778</v>
      </c>
      <c r="I202" s="48" t="s">
        <v>59</v>
      </c>
      <c r="J202" s="48" t="s">
        <v>59</v>
      </c>
      <c r="K202" s="179" t="s">
        <v>59</v>
      </c>
      <c r="L202" s="179" t="s">
        <v>59</v>
      </c>
      <c r="M202" s="153"/>
    </row>
    <row r="203" spans="1:13">
      <c r="A203" s="248" t="s">
        <v>271</v>
      </c>
      <c r="B203" s="252" t="s">
        <v>1130</v>
      </c>
      <c r="C203" s="48" t="s">
        <v>935</v>
      </c>
      <c r="D203" s="179">
        <v>46599</v>
      </c>
      <c r="E203" s="48" t="s">
        <v>73</v>
      </c>
      <c r="F203" s="186">
        <v>307.23</v>
      </c>
      <c r="G203" s="188"/>
      <c r="H203" s="178">
        <v>45750</v>
      </c>
      <c r="I203" s="48" t="s">
        <v>59</v>
      </c>
      <c r="J203" s="48" t="s">
        <v>59</v>
      </c>
      <c r="K203" s="179" t="s">
        <v>59</v>
      </c>
      <c r="L203" s="179" t="s">
        <v>59</v>
      </c>
      <c r="M203" s="153"/>
    </row>
    <row r="204" spans="1:13">
      <c r="A204" s="248" t="s">
        <v>269</v>
      </c>
      <c r="B204" s="252" t="s">
        <v>938</v>
      </c>
      <c r="C204" s="48" t="s">
        <v>687</v>
      </c>
      <c r="D204" s="179">
        <v>46599</v>
      </c>
      <c r="E204" s="48" t="s">
        <v>72</v>
      </c>
      <c r="F204" s="186">
        <v>100.54</v>
      </c>
      <c r="G204" s="188"/>
      <c r="H204" s="178">
        <v>45750</v>
      </c>
      <c r="I204" s="48" t="s">
        <v>59</v>
      </c>
      <c r="J204" s="48" t="s">
        <v>59</v>
      </c>
      <c r="K204" s="179" t="s">
        <v>59</v>
      </c>
      <c r="L204" s="179" t="s">
        <v>59</v>
      </c>
      <c r="M204" s="153"/>
    </row>
    <row r="205" spans="1:13">
      <c r="A205" s="248" t="s">
        <v>270</v>
      </c>
      <c r="B205" s="252" t="s">
        <v>994</v>
      </c>
      <c r="C205" s="48" t="s">
        <v>687</v>
      </c>
      <c r="D205" s="179">
        <v>46599</v>
      </c>
      <c r="E205" s="48" t="s">
        <v>73</v>
      </c>
      <c r="F205" s="186">
        <v>307.72000000000003</v>
      </c>
      <c r="G205" s="188"/>
      <c r="H205" s="178">
        <v>45750</v>
      </c>
      <c r="I205" s="48" t="s">
        <v>59</v>
      </c>
      <c r="J205" s="48" t="s">
        <v>59</v>
      </c>
      <c r="K205" s="179" t="s">
        <v>59</v>
      </c>
      <c r="L205" s="179" t="s">
        <v>59</v>
      </c>
      <c r="M205" s="153"/>
    </row>
    <row r="206" spans="1:13">
      <c r="A206" s="248" t="s">
        <v>267</v>
      </c>
      <c r="B206" s="252" t="s">
        <v>1204</v>
      </c>
      <c r="C206" s="48" t="s">
        <v>669</v>
      </c>
      <c r="D206" s="179">
        <v>46607</v>
      </c>
      <c r="E206" s="48" t="s">
        <v>72</v>
      </c>
      <c r="F206" s="186">
        <v>101.5</v>
      </c>
      <c r="G206" s="188"/>
      <c r="H206" s="178">
        <v>45770</v>
      </c>
      <c r="I206" s="48" t="s">
        <v>59</v>
      </c>
      <c r="J206" s="48" t="s">
        <v>59</v>
      </c>
      <c r="K206" s="179" t="s">
        <v>59</v>
      </c>
      <c r="L206" s="179" t="s">
        <v>59</v>
      </c>
      <c r="M206" s="153"/>
    </row>
    <row r="207" spans="1:13">
      <c r="A207" s="248" t="s">
        <v>274</v>
      </c>
      <c r="B207" s="252" t="s">
        <v>1388</v>
      </c>
      <c r="C207" s="48" t="s">
        <v>687</v>
      </c>
      <c r="D207" s="179">
        <v>46599</v>
      </c>
      <c r="E207" s="48" t="s">
        <v>72</v>
      </c>
      <c r="F207" s="186">
        <v>200.95</v>
      </c>
      <c r="G207" s="188"/>
      <c r="H207" s="178">
        <v>45750</v>
      </c>
      <c r="I207" s="48" t="s">
        <v>59</v>
      </c>
      <c r="J207" s="48" t="s">
        <v>59</v>
      </c>
      <c r="K207" s="179" t="s">
        <v>59</v>
      </c>
      <c r="L207" s="179" t="s">
        <v>59</v>
      </c>
      <c r="M207" s="153"/>
    </row>
    <row r="208" spans="1:13">
      <c r="A208" s="248" t="s">
        <v>279</v>
      </c>
      <c r="B208" s="252" t="s">
        <v>1352</v>
      </c>
      <c r="C208" s="48" t="s">
        <v>702</v>
      </c>
      <c r="D208" s="179">
        <v>46265</v>
      </c>
      <c r="E208" s="48" t="s">
        <v>72</v>
      </c>
      <c r="F208" s="186">
        <v>138.4</v>
      </c>
      <c r="G208" s="188"/>
      <c r="H208" s="178">
        <v>45786</v>
      </c>
      <c r="I208" s="48" t="s">
        <v>59</v>
      </c>
      <c r="J208" s="48" t="s">
        <v>59</v>
      </c>
      <c r="K208" s="179" t="s">
        <v>59</v>
      </c>
      <c r="L208" s="179" t="s">
        <v>59</v>
      </c>
      <c r="M208" s="153"/>
    </row>
    <row r="209" spans="1:13">
      <c r="A209" s="248" t="s">
        <v>276</v>
      </c>
      <c r="B209" s="252" t="s">
        <v>968</v>
      </c>
      <c r="C209" s="48" t="s">
        <v>969</v>
      </c>
      <c r="D209" s="179">
        <v>47118</v>
      </c>
      <c r="E209" s="48" t="s">
        <v>72</v>
      </c>
      <c r="F209" s="186">
        <v>203</v>
      </c>
      <c r="G209" s="188"/>
      <c r="H209" s="178">
        <v>45735</v>
      </c>
      <c r="I209" s="48" t="s">
        <v>365</v>
      </c>
      <c r="J209" s="48" t="s">
        <v>365</v>
      </c>
      <c r="K209" s="179" t="s">
        <v>59</v>
      </c>
      <c r="L209" s="179" t="s">
        <v>59</v>
      </c>
      <c r="M209" s="153"/>
    </row>
    <row r="210" spans="1:13">
      <c r="A210" s="248" t="s">
        <v>273</v>
      </c>
      <c r="B210" s="252" t="s">
        <v>1162</v>
      </c>
      <c r="C210" s="48" t="s">
        <v>935</v>
      </c>
      <c r="D210" s="179">
        <v>46599</v>
      </c>
      <c r="E210" s="48" t="s">
        <v>73</v>
      </c>
      <c r="F210" s="186">
        <v>300.27</v>
      </c>
      <c r="G210" s="188"/>
      <c r="H210" s="178">
        <v>45750</v>
      </c>
      <c r="I210" s="48" t="s">
        <v>59</v>
      </c>
      <c r="J210" s="48" t="s">
        <v>59</v>
      </c>
      <c r="K210" s="179" t="s">
        <v>59</v>
      </c>
      <c r="L210" s="179" t="s">
        <v>59</v>
      </c>
      <c r="M210" s="153"/>
    </row>
    <row r="211" spans="1:13">
      <c r="A211" s="248" t="s">
        <v>277</v>
      </c>
      <c r="B211" s="252" t="s">
        <v>1334</v>
      </c>
      <c r="C211" s="48" t="s">
        <v>969</v>
      </c>
      <c r="D211" s="179">
        <v>47118</v>
      </c>
      <c r="E211" s="48" t="s">
        <v>72</v>
      </c>
      <c r="F211" s="186">
        <v>203</v>
      </c>
      <c r="G211" s="188"/>
      <c r="H211" s="178">
        <v>45735</v>
      </c>
      <c r="I211" s="48" t="s">
        <v>365</v>
      </c>
      <c r="J211" s="48" t="s">
        <v>365</v>
      </c>
      <c r="K211" s="179" t="s">
        <v>59</v>
      </c>
      <c r="L211" s="179" t="s">
        <v>59</v>
      </c>
      <c r="M211" s="153"/>
    </row>
    <row r="212" spans="1:13">
      <c r="A212" s="248" t="s">
        <v>272</v>
      </c>
      <c r="B212" s="252" t="s">
        <v>1324</v>
      </c>
      <c r="C212" s="48" t="s">
        <v>687</v>
      </c>
      <c r="D212" s="179">
        <v>46599</v>
      </c>
      <c r="E212" s="48" t="s">
        <v>72</v>
      </c>
      <c r="F212" s="186">
        <v>301.44</v>
      </c>
      <c r="G212" s="188"/>
      <c r="H212" s="178">
        <v>45750</v>
      </c>
      <c r="I212" s="48" t="s">
        <v>59</v>
      </c>
      <c r="J212" s="48" t="s">
        <v>59</v>
      </c>
      <c r="K212" s="179" t="s">
        <v>59</v>
      </c>
      <c r="L212" s="179" t="s">
        <v>59</v>
      </c>
      <c r="M212" s="153"/>
    </row>
    <row r="213" spans="1:13">
      <c r="A213" s="248" t="s">
        <v>275</v>
      </c>
      <c r="B213" s="252" t="s">
        <v>1317</v>
      </c>
      <c r="C213" s="48" t="s">
        <v>729</v>
      </c>
      <c r="D213" s="179">
        <v>45992</v>
      </c>
      <c r="E213" s="48" t="s">
        <v>72</v>
      </c>
      <c r="F213" s="186">
        <v>56</v>
      </c>
      <c r="G213" s="188"/>
      <c r="H213" s="178">
        <v>45775</v>
      </c>
      <c r="I213" s="48" t="s">
        <v>59</v>
      </c>
      <c r="J213" s="48" t="s">
        <v>59</v>
      </c>
      <c r="K213" s="179" t="s">
        <v>59</v>
      </c>
      <c r="L213" s="179" t="s">
        <v>59</v>
      </c>
      <c r="M213" s="153"/>
    </row>
    <row r="214" spans="1:13">
      <c r="A214" s="248" t="s">
        <v>280</v>
      </c>
      <c r="B214" s="252" t="s">
        <v>1172</v>
      </c>
      <c r="C214" s="48" t="s">
        <v>657</v>
      </c>
      <c r="D214" s="179">
        <v>46296</v>
      </c>
      <c r="E214" s="48" t="s">
        <v>72</v>
      </c>
      <c r="F214" s="186">
        <v>133</v>
      </c>
      <c r="G214" s="188"/>
      <c r="H214" s="178">
        <v>45791</v>
      </c>
      <c r="I214" s="48" t="s">
        <v>59</v>
      </c>
      <c r="J214" s="48" t="s">
        <v>59</v>
      </c>
      <c r="K214" s="179" t="s">
        <v>59</v>
      </c>
      <c r="L214" s="179" t="s">
        <v>59</v>
      </c>
      <c r="M214" s="153"/>
    </row>
    <row r="215" spans="1:13">
      <c r="A215" s="248" t="s">
        <v>281</v>
      </c>
      <c r="B215" s="252" t="s">
        <v>1065</v>
      </c>
      <c r="C215" s="48" t="s">
        <v>714</v>
      </c>
      <c r="D215" s="179">
        <v>46203</v>
      </c>
      <c r="E215" s="48" t="s">
        <v>72</v>
      </c>
      <c r="F215" s="186">
        <v>180.87</v>
      </c>
      <c r="G215" s="188"/>
      <c r="H215" s="178">
        <v>45791</v>
      </c>
      <c r="I215" s="48" t="s">
        <v>59</v>
      </c>
      <c r="J215" s="48" t="s">
        <v>59</v>
      </c>
      <c r="K215" s="179" t="s">
        <v>59</v>
      </c>
      <c r="L215" s="179" t="s">
        <v>59</v>
      </c>
      <c r="M215" s="153"/>
    </row>
    <row r="216" spans="1:13">
      <c r="A216" s="248" t="s">
        <v>282</v>
      </c>
      <c r="B216" s="252" t="s">
        <v>979</v>
      </c>
      <c r="C216" s="48" t="s">
        <v>713</v>
      </c>
      <c r="D216" s="179">
        <v>46447</v>
      </c>
      <c r="E216" s="48" t="s">
        <v>72</v>
      </c>
      <c r="F216" s="186">
        <v>201.68</v>
      </c>
      <c r="G216" s="188"/>
      <c r="H216" s="178">
        <v>45791</v>
      </c>
      <c r="I216" s="48" t="s">
        <v>59</v>
      </c>
      <c r="J216" s="48" t="s">
        <v>59</v>
      </c>
      <c r="K216" s="179" t="s">
        <v>59</v>
      </c>
      <c r="L216" s="179" t="s">
        <v>59</v>
      </c>
      <c r="M216" s="153"/>
    </row>
    <row r="217" spans="1:13">
      <c r="A217" s="248" t="s">
        <v>283</v>
      </c>
      <c r="B217" s="252" t="s">
        <v>960</v>
      </c>
      <c r="C217" s="48" t="s">
        <v>705</v>
      </c>
      <c r="D217" s="179">
        <v>46053</v>
      </c>
      <c r="E217" s="48" t="s">
        <v>69</v>
      </c>
      <c r="F217" s="186">
        <v>54.99</v>
      </c>
      <c r="G217" s="188"/>
      <c r="H217" s="178">
        <v>45776</v>
      </c>
      <c r="I217" s="48" t="s">
        <v>59</v>
      </c>
      <c r="J217" s="48" t="s">
        <v>59</v>
      </c>
      <c r="K217" s="179" t="s">
        <v>59</v>
      </c>
      <c r="L217" s="179" t="s">
        <v>59</v>
      </c>
      <c r="M217" s="153"/>
    </row>
    <row r="218" spans="1:13">
      <c r="A218" s="248" t="s">
        <v>284</v>
      </c>
      <c r="B218" s="252" t="s">
        <v>1026</v>
      </c>
      <c r="C218" s="48" t="s">
        <v>705</v>
      </c>
      <c r="D218" s="179">
        <v>46053</v>
      </c>
      <c r="E218" s="48" t="s">
        <v>69</v>
      </c>
      <c r="F218" s="186">
        <v>105.75</v>
      </c>
      <c r="G218" s="188"/>
      <c r="H218" s="178">
        <v>45776</v>
      </c>
      <c r="I218" s="48" t="s">
        <v>59</v>
      </c>
      <c r="J218" s="48" t="s">
        <v>59</v>
      </c>
      <c r="K218" s="179" t="s">
        <v>59</v>
      </c>
      <c r="L218" s="179" t="s">
        <v>59</v>
      </c>
      <c r="M218" s="153"/>
    </row>
    <row r="219" spans="1:13">
      <c r="A219" s="248" t="s">
        <v>368</v>
      </c>
      <c r="B219" s="252" t="s">
        <v>1149</v>
      </c>
      <c r="C219" s="48" t="s">
        <v>717</v>
      </c>
      <c r="D219" s="179">
        <v>47116</v>
      </c>
      <c r="E219" s="48" t="s">
        <v>69</v>
      </c>
      <c r="F219" s="186">
        <v>50</v>
      </c>
      <c r="G219" s="188"/>
      <c r="H219" s="178">
        <v>45799</v>
      </c>
      <c r="I219" s="48" t="s">
        <v>365</v>
      </c>
      <c r="J219" s="48" t="s">
        <v>365</v>
      </c>
      <c r="K219" s="179" t="s">
        <v>59</v>
      </c>
      <c r="L219" s="179" t="s">
        <v>59</v>
      </c>
      <c r="M219" s="153"/>
    </row>
    <row r="220" spans="1:13">
      <c r="A220" s="248" t="s">
        <v>387</v>
      </c>
      <c r="B220" s="252" t="s">
        <v>1074</v>
      </c>
      <c r="C220" s="48" t="s">
        <v>694</v>
      </c>
      <c r="D220" s="179">
        <v>46930</v>
      </c>
      <c r="E220" s="48" t="s">
        <v>72</v>
      </c>
      <c r="F220" s="186">
        <v>152.25</v>
      </c>
      <c r="G220" s="188"/>
      <c r="H220" s="178">
        <v>45805</v>
      </c>
      <c r="I220" s="48" t="s">
        <v>365</v>
      </c>
      <c r="J220" s="48" t="s">
        <v>365</v>
      </c>
      <c r="K220" s="179" t="s">
        <v>59</v>
      </c>
      <c r="L220" s="179" t="s">
        <v>59</v>
      </c>
      <c r="M220" s="153"/>
    </row>
    <row r="221" spans="1:13">
      <c r="A221" s="248" t="s">
        <v>391</v>
      </c>
      <c r="B221" s="252" t="s">
        <v>1209</v>
      </c>
      <c r="C221" s="48" t="s">
        <v>583</v>
      </c>
      <c r="D221" s="179">
        <v>46935</v>
      </c>
      <c r="E221" s="48" t="s">
        <v>72</v>
      </c>
      <c r="F221" s="186">
        <v>307</v>
      </c>
      <c r="G221" s="188"/>
      <c r="H221" s="178">
        <v>45805</v>
      </c>
      <c r="I221" s="48" t="s">
        <v>365</v>
      </c>
      <c r="J221" s="48" t="s">
        <v>365</v>
      </c>
      <c r="K221" s="179" t="s">
        <v>59</v>
      </c>
      <c r="L221" s="179" t="s">
        <v>59</v>
      </c>
      <c r="M221" s="153"/>
    </row>
    <row r="222" spans="1:13">
      <c r="A222" s="248" t="s">
        <v>285</v>
      </c>
      <c r="B222" s="252" t="s">
        <v>1295</v>
      </c>
      <c r="C222" s="48" t="s">
        <v>740</v>
      </c>
      <c r="D222" s="179">
        <v>46022</v>
      </c>
      <c r="E222" s="48" t="s">
        <v>69</v>
      </c>
      <c r="F222" s="186">
        <v>151.4</v>
      </c>
      <c r="G222" s="188"/>
      <c r="H222" s="178">
        <v>45775</v>
      </c>
      <c r="I222" s="48" t="s">
        <v>59</v>
      </c>
      <c r="J222" s="48" t="s">
        <v>59</v>
      </c>
      <c r="K222" s="179" t="s">
        <v>59</v>
      </c>
      <c r="L222" s="179" t="s">
        <v>59</v>
      </c>
      <c r="M222" s="153"/>
    </row>
    <row r="223" spans="1:13">
      <c r="A223" s="248" t="s">
        <v>286</v>
      </c>
      <c r="B223" s="252" t="s">
        <v>1258</v>
      </c>
      <c r="C223" s="48" t="s">
        <v>668</v>
      </c>
      <c r="D223" s="179">
        <v>45926</v>
      </c>
      <c r="E223" s="48" t="s">
        <v>72</v>
      </c>
      <c r="F223" s="186">
        <v>150.71</v>
      </c>
      <c r="G223" s="188"/>
      <c r="H223" s="178">
        <v>45600</v>
      </c>
      <c r="I223" s="48" t="s">
        <v>59</v>
      </c>
      <c r="J223" s="48" t="s">
        <v>59</v>
      </c>
      <c r="K223" s="179" t="s">
        <v>59</v>
      </c>
      <c r="L223" s="182" t="s">
        <v>59</v>
      </c>
      <c r="M223" s="154"/>
    </row>
    <row r="224" spans="1:13" ht="15" thickBot="1">
      <c r="A224" s="250" t="s">
        <v>285</v>
      </c>
      <c r="B224" s="254" t="s">
        <v>1295</v>
      </c>
      <c r="C224" s="100" t="s">
        <v>740</v>
      </c>
      <c r="D224" s="184">
        <v>46022</v>
      </c>
      <c r="E224" s="100" t="s">
        <v>69</v>
      </c>
      <c r="F224" s="189">
        <v>151.4</v>
      </c>
      <c r="G224" s="190"/>
      <c r="H224" s="183">
        <v>45775</v>
      </c>
      <c r="I224" s="100" t="s">
        <v>59</v>
      </c>
      <c r="J224" s="100" t="s">
        <v>59</v>
      </c>
      <c r="K224" s="184" t="s">
        <v>59</v>
      </c>
      <c r="L224" s="184" t="s">
        <v>59</v>
      </c>
      <c r="M224" s="191"/>
    </row>
    <row r="225" spans="1:13">
      <c r="A225"/>
      <c r="C225" s="53"/>
      <c r="D225" s="58"/>
      <c r="E225" s="53"/>
      <c r="G225" s="59"/>
      <c r="K225" s="43"/>
      <c r="L225" s="43"/>
      <c r="M225" s="60"/>
    </row>
    <row r="226" spans="1:13" s="70" customFormat="1" ht="16.2" thickBot="1"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</row>
    <row r="227" spans="1:13" s="70" customFormat="1" ht="16.2" thickBot="1">
      <c r="A227" s="242" t="s">
        <v>287</v>
      </c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</row>
    <row r="228" spans="1:13" s="70" customFormat="1" ht="29.4" thickBot="1">
      <c r="A228" s="127" t="s">
        <v>76</v>
      </c>
      <c r="B228" s="128" t="s">
        <v>29</v>
      </c>
      <c r="C228" s="128" t="s">
        <v>77</v>
      </c>
      <c r="D228" s="129" t="s">
        <v>288</v>
      </c>
      <c r="E228" s="128" t="s">
        <v>79</v>
      </c>
      <c r="F228" s="130" t="s">
        <v>80</v>
      </c>
      <c r="G228" s="130" t="s">
        <v>81</v>
      </c>
      <c r="H228" s="131" t="s">
        <v>289</v>
      </c>
      <c r="I228" s="128">
        <v>2027</v>
      </c>
      <c r="J228" s="131" t="s">
        <v>1405</v>
      </c>
      <c r="K228" s="128">
        <v>2030</v>
      </c>
      <c r="L228" s="132" t="s">
        <v>1406</v>
      </c>
      <c r="M228" s="133" t="s">
        <v>51</v>
      </c>
    </row>
    <row r="229" spans="1:13" s="70" customFormat="1" ht="15.6">
      <c r="A229" s="255" t="s">
        <v>290</v>
      </c>
      <c r="B229" s="256" t="s">
        <v>1269</v>
      </c>
      <c r="C229" s="192" t="s">
        <v>659</v>
      </c>
      <c r="D229" s="193">
        <v>46203</v>
      </c>
      <c r="E229" s="192" t="s">
        <v>69</v>
      </c>
      <c r="F229" s="194">
        <v>231.88</v>
      </c>
      <c r="G229" s="105"/>
      <c r="H229" s="72" t="s">
        <v>785</v>
      </c>
      <c r="I229" s="72" t="s">
        <v>59</v>
      </c>
      <c r="J229" s="72" t="s">
        <v>59</v>
      </c>
      <c r="K229" s="72" t="s">
        <v>59</v>
      </c>
      <c r="L229" s="72" t="s">
        <v>59</v>
      </c>
      <c r="M229" s="120"/>
    </row>
    <row r="230" spans="1:13" s="70" customFormat="1" ht="15.6">
      <c r="A230" s="257" t="s">
        <v>291</v>
      </c>
      <c r="B230" s="256" t="s">
        <v>1263</v>
      </c>
      <c r="C230" s="195" t="s">
        <v>696</v>
      </c>
      <c r="D230" s="196">
        <v>46822</v>
      </c>
      <c r="E230" s="195" t="s">
        <v>69</v>
      </c>
      <c r="F230" s="197">
        <v>102.04</v>
      </c>
      <c r="G230" s="66"/>
      <c r="H230" s="72" t="s">
        <v>790</v>
      </c>
      <c r="I230" s="72" t="s">
        <v>365</v>
      </c>
      <c r="J230" s="72" t="s">
        <v>365</v>
      </c>
      <c r="K230" s="72" t="s">
        <v>59</v>
      </c>
      <c r="L230" s="72" t="s">
        <v>59</v>
      </c>
      <c r="M230" s="117"/>
    </row>
    <row r="231" spans="1:13" s="70" customFormat="1" ht="15.6">
      <c r="A231" s="257" t="s">
        <v>292</v>
      </c>
      <c r="B231" s="256" t="s">
        <v>1017</v>
      </c>
      <c r="C231" s="195" t="s">
        <v>696</v>
      </c>
      <c r="D231" s="196">
        <v>46822</v>
      </c>
      <c r="E231" s="195" t="s">
        <v>69</v>
      </c>
      <c r="F231" s="197">
        <v>102.04</v>
      </c>
      <c r="G231" s="66"/>
      <c r="H231" s="72" t="s">
        <v>790</v>
      </c>
      <c r="I231" s="72" t="s">
        <v>365</v>
      </c>
      <c r="J231" s="72" t="s">
        <v>365</v>
      </c>
      <c r="K231" s="72" t="s">
        <v>59</v>
      </c>
      <c r="L231" s="72" t="s">
        <v>59</v>
      </c>
      <c r="M231" s="117"/>
    </row>
    <row r="232" spans="1:13" s="70" customFormat="1" ht="15.6">
      <c r="A232" s="258" t="s">
        <v>293</v>
      </c>
      <c r="B232" s="256" t="s">
        <v>1219</v>
      </c>
      <c r="C232" s="195" t="s">
        <v>788</v>
      </c>
      <c r="D232" s="196">
        <v>46508</v>
      </c>
      <c r="E232" s="195" t="s">
        <v>69</v>
      </c>
      <c r="F232" s="197">
        <v>200.82</v>
      </c>
      <c r="G232" s="66"/>
      <c r="H232" s="72" t="s">
        <v>785</v>
      </c>
      <c r="I232" s="72" t="s">
        <v>59</v>
      </c>
      <c r="J232" s="72" t="s">
        <v>59</v>
      </c>
      <c r="K232" s="72" t="s">
        <v>59</v>
      </c>
      <c r="L232" s="72" t="s">
        <v>59</v>
      </c>
      <c r="M232" s="117"/>
    </row>
    <row r="233" spans="1:13" s="70" customFormat="1" ht="15.6">
      <c r="A233" s="259" t="s">
        <v>294</v>
      </c>
      <c r="B233" s="256" t="s">
        <v>988</v>
      </c>
      <c r="C233" s="195" t="s">
        <v>706</v>
      </c>
      <c r="D233" s="196">
        <v>47014</v>
      </c>
      <c r="E233" s="195" t="s">
        <v>69</v>
      </c>
      <c r="F233" s="197">
        <v>36.840000000000003</v>
      </c>
      <c r="G233" s="66"/>
      <c r="H233" s="72" t="s">
        <v>790</v>
      </c>
      <c r="I233" s="72" t="s">
        <v>365</v>
      </c>
      <c r="J233" s="72" t="s">
        <v>365</v>
      </c>
      <c r="K233" s="72" t="s">
        <v>59</v>
      </c>
      <c r="L233" s="72" t="s">
        <v>59</v>
      </c>
      <c r="M233" s="117"/>
    </row>
    <row r="234" spans="1:13" s="70" customFormat="1" ht="15.6">
      <c r="A234" s="259" t="s">
        <v>295</v>
      </c>
      <c r="B234" s="256" t="s">
        <v>1272</v>
      </c>
      <c r="C234" s="195" t="s">
        <v>701</v>
      </c>
      <c r="D234" s="196">
        <v>46295</v>
      </c>
      <c r="E234" s="195" t="s">
        <v>69</v>
      </c>
      <c r="F234" s="197">
        <v>100.4</v>
      </c>
      <c r="G234" s="66"/>
      <c r="H234" s="72" t="s">
        <v>785</v>
      </c>
      <c r="I234" s="72" t="s">
        <v>59</v>
      </c>
      <c r="J234" s="72" t="s">
        <v>59</v>
      </c>
      <c r="K234" s="72" t="s">
        <v>59</v>
      </c>
      <c r="L234" s="72" t="s">
        <v>59</v>
      </c>
      <c r="M234" s="117"/>
    </row>
    <row r="235" spans="1:13" s="70" customFormat="1" ht="15.6">
      <c r="A235" s="259" t="s">
        <v>296</v>
      </c>
      <c r="B235" s="256" t="s">
        <v>956</v>
      </c>
      <c r="C235" s="195" t="s">
        <v>713</v>
      </c>
      <c r="D235" s="196">
        <v>46646</v>
      </c>
      <c r="E235" s="195" t="s">
        <v>69</v>
      </c>
      <c r="F235" s="197">
        <v>202.7</v>
      </c>
      <c r="G235" s="66"/>
      <c r="H235" s="72" t="s">
        <v>790</v>
      </c>
      <c r="I235" s="72" t="s">
        <v>59</v>
      </c>
      <c r="J235" s="72" t="s">
        <v>59</v>
      </c>
      <c r="K235" s="72" t="s">
        <v>59</v>
      </c>
      <c r="L235" s="72" t="s">
        <v>59</v>
      </c>
      <c r="M235" s="117"/>
    </row>
    <row r="236" spans="1:13" s="70" customFormat="1" ht="15.6">
      <c r="A236" s="257" t="s">
        <v>297</v>
      </c>
      <c r="B236" s="256" t="s">
        <v>1191</v>
      </c>
      <c r="C236" s="195" t="s">
        <v>732</v>
      </c>
      <c r="D236" s="196">
        <v>46674</v>
      </c>
      <c r="E236" s="195" t="s">
        <v>69</v>
      </c>
      <c r="F236" s="197">
        <v>162.4</v>
      </c>
      <c r="G236" s="66"/>
      <c r="H236" s="72" t="s">
        <v>790</v>
      </c>
      <c r="I236" s="72" t="s">
        <v>59</v>
      </c>
      <c r="J236" s="72" t="s">
        <v>59</v>
      </c>
      <c r="K236" s="72" t="s">
        <v>59</v>
      </c>
      <c r="L236" s="72" t="s">
        <v>59</v>
      </c>
      <c r="M236" s="117"/>
    </row>
    <row r="237" spans="1:13" s="70" customFormat="1" ht="15.6">
      <c r="A237" s="257" t="s">
        <v>298</v>
      </c>
      <c r="B237" s="256" t="s">
        <v>1161</v>
      </c>
      <c r="C237" s="195" t="s">
        <v>664</v>
      </c>
      <c r="D237" s="196">
        <v>46376</v>
      </c>
      <c r="E237" s="195" t="s">
        <v>69</v>
      </c>
      <c r="F237" s="197">
        <v>300.89999999999998</v>
      </c>
      <c r="G237" s="66"/>
      <c r="H237" s="72" t="s">
        <v>790</v>
      </c>
      <c r="I237" s="72" t="s">
        <v>59</v>
      </c>
      <c r="J237" s="72" t="s">
        <v>59</v>
      </c>
      <c r="K237" s="72" t="s">
        <v>59</v>
      </c>
      <c r="L237" s="72" t="s">
        <v>59</v>
      </c>
      <c r="M237" s="117"/>
    </row>
    <row r="238" spans="1:13" s="70" customFormat="1" ht="15.6">
      <c r="A238" s="257" t="s">
        <v>299</v>
      </c>
      <c r="B238" s="256" t="s">
        <v>1053</v>
      </c>
      <c r="C238" s="195" t="s">
        <v>683</v>
      </c>
      <c r="D238" s="196">
        <v>46357</v>
      </c>
      <c r="E238" s="195" t="s">
        <v>69</v>
      </c>
      <c r="F238" s="197">
        <v>201.6</v>
      </c>
      <c r="G238" s="66"/>
      <c r="H238" s="72" t="s">
        <v>785</v>
      </c>
      <c r="I238" s="72" t="s">
        <v>59</v>
      </c>
      <c r="J238" s="72" t="s">
        <v>59</v>
      </c>
      <c r="K238" s="72" t="s">
        <v>59</v>
      </c>
      <c r="L238" s="72" t="s">
        <v>59</v>
      </c>
      <c r="M238" s="117"/>
    </row>
    <row r="239" spans="1:13" s="70" customFormat="1" ht="15.6">
      <c r="A239" s="257" t="s">
        <v>300</v>
      </c>
      <c r="B239" s="256" t="s">
        <v>962</v>
      </c>
      <c r="C239" s="195" t="s">
        <v>671</v>
      </c>
      <c r="D239" s="196">
        <v>46539</v>
      </c>
      <c r="E239" s="195" t="s">
        <v>69</v>
      </c>
      <c r="F239" s="197">
        <v>205.2</v>
      </c>
      <c r="G239" s="66"/>
      <c r="H239" s="72" t="s">
        <v>785</v>
      </c>
      <c r="I239" s="72" t="s">
        <v>59</v>
      </c>
      <c r="J239" s="72" t="s">
        <v>59</v>
      </c>
      <c r="K239" s="72" t="s">
        <v>59</v>
      </c>
      <c r="L239" s="72" t="s">
        <v>59</v>
      </c>
      <c r="M239" s="117"/>
    </row>
    <row r="240" spans="1:13" s="70" customFormat="1" ht="15.6">
      <c r="A240" s="258" t="s">
        <v>301</v>
      </c>
      <c r="B240" s="256" t="s">
        <v>1193</v>
      </c>
      <c r="C240" s="195" t="s">
        <v>757</v>
      </c>
      <c r="D240" s="196">
        <v>46883</v>
      </c>
      <c r="E240" s="195" t="s">
        <v>69</v>
      </c>
      <c r="F240" s="197">
        <v>254.8</v>
      </c>
      <c r="G240" s="66"/>
      <c r="H240" s="72" t="s">
        <v>785</v>
      </c>
      <c r="I240" s="72" t="s">
        <v>365</v>
      </c>
      <c r="J240" s="72" t="s">
        <v>365</v>
      </c>
      <c r="K240" s="72" t="s">
        <v>59</v>
      </c>
      <c r="L240" s="72" t="s">
        <v>59</v>
      </c>
      <c r="M240" s="117"/>
    </row>
    <row r="241" spans="1:13" s="70" customFormat="1" ht="15.6">
      <c r="A241" s="259" t="s">
        <v>302</v>
      </c>
      <c r="B241" s="256" t="s">
        <v>1057</v>
      </c>
      <c r="C241" s="195" t="s">
        <v>659</v>
      </c>
      <c r="D241" s="196">
        <v>46279</v>
      </c>
      <c r="E241" s="195" t="s">
        <v>69</v>
      </c>
      <c r="F241" s="197">
        <v>104.47</v>
      </c>
      <c r="G241" s="66"/>
      <c r="H241" s="72" t="s">
        <v>790</v>
      </c>
      <c r="I241" s="72" t="s">
        <v>59</v>
      </c>
      <c r="J241" s="72" t="s">
        <v>59</v>
      </c>
      <c r="K241" s="72" t="s">
        <v>59</v>
      </c>
      <c r="L241" s="72" t="s">
        <v>59</v>
      </c>
      <c r="M241" s="117"/>
    </row>
    <row r="242" spans="1:13" s="70" customFormat="1" ht="15.6">
      <c r="A242" s="257" t="s">
        <v>303</v>
      </c>
      <c r="B242" s="256" t="s">
        <v>1278</v>
      </c>
      <c r="C242" s="195" t="s">
        <v>694</v>
      </c>
      <c r="D242" s="196">
        <v>46157</v>
      </c>
      <c r="E242" s="195" t="s">
        <v>69</v>
      </c>
      <c r="F242" s="197">
        <v>200.9</v>
      </c>
      <c r="G242" s="66"/>
      <c r="H242" s="72" t="s">
        <v>785</v>
      </c>
      <c r="I242" s="72" t="s">
        <v>59</v>
      </c>
      <c r="J242" s="72" t="s">
        <v>59</v>
      </c>
      <c r="K242" s="72" t="s">
        <v>59</v>
      </c>
      <c r="L242" s="72" t="s">
        <v>59</v>
      </c>
      <c r="M242" s="117"/>
    </row>
    <row r="243" spans="1:13" s="70" customFormat="1" ht="15.6">
      <c r="A243" s="257" t="s">
        <v>304</v>
      </c>
      <c r="B243" s="256" t="s">
        <v>1169</v>
      </c>
      <c r="C243" s="195" t="s">
        <v>694</v>
      </c>
      <c r="D243" s="196">
        <v>46478</v>
      </c>
      <c r="E243" s="195" t="s">
        <v>69</v>
      </c>
      <c r="F243" s="197">
        <v>200.78</v>
      </c>
      <c r="G243" s="66"/>
      <c r="H243" s="72" t="s">
        <v>785</v>
      </c>
      <c r="I243" s="72" t="s">
        <v>59</v>
      </c>
      <c r="J243" s="72" t="s">
        <v>59</v>
      </c>
      <c r="K243" s="72" t="s">
        <v>59</v>
      </c>
      <c r="L243" s="72" t="s">
        <v>59</v>
      </c>
      <c r="M243" s="117"/>
    </row>
    <row r="244" spans="1:13" s="70" customFormat="1" ht="15.6">
      <c r="A244" s="259" t="s">
        <v>305</v>
      </c>
      <c r="B244" s="256" t="s">
        <v>1299</v>
      </c>
      <c r="C244" s="195" t="s">
        <v>699</v>
      </c>
      <c r="D244" s="196">
        <v>46599</v>
      </c>
      <c r="E244" s="195" t="s">
        <v>69</v>
      </c>
      <c r="F244" s="197">
        <v>510.99</v>
      </c>
      <c r="G244" s="66"/>
      <c r="H244" s="72" t="s">
        <v>790</v>
      </c>
      <c r="I244" s="72" t="s">
        <v>59</v>
      </c>
      <c r="J244" s="72" t="s">
        <v>59</v>
      </c>
      <c r="K244" s="72" t="s">
        <v>59</v>
      </c>
      <c r="L244" s="72" t="s">
        <v>59</v>
      </c>
      <c r="M244" s="117"/>
    </row>
    <row r="245" spans="1:13" s="70" customFormat="1" ht="15.6">
      <c r="A245" s="259" t="s">
        <v>306</v>
      </c>
      <c r="B245" s="256" t="s">
        <v>1005</v>
      </c>
      <c r="C245" s="195" t="s">
        <v>657</v>
      </c>
      <c r="D245" s="196">
        <v>46203</v>
      </c>
      <c r="E245" s="195" t="s">
        <v>69</v>
      </c>
      <c r="F245" s="197">
        <v>321.06</v>
      </c>
      <c r="G245" s="66"/>
      <c r="H245" s="72" t="s">
        <v>785</v>
      </c>
      <c r="I245" s="72" t="s">
        <v>59</v>
      </c>
      <c r="J245" s="72" t="s">
        <v>59</v>
      </c>
      <c r="K245" s="72" t="s">
        <v>59</v>
      </c>
      <c r="L245" s="72" t="s">
        <v>59</v>
      </c>
      <c r="M245" s="117"/>
    </row>
    <row r="246" spans="1:13" s="70" customFormat="1" ht="15.6">
      <c r="A246" s="257" t="s">
        <v>307</v>
      </c>
      <c r="B246" s="256" t="s">
        <v>1283</v>
      </c>
      <c r="C246" s="195" t="s">
        <v>765</v>
      </c>
      <c r="D246" s="196">
        <v>46357</v>
      </c>
      <c r="E246" s="195" t="s">
        <v>69</v>
      </c>
      <c r="F246" s="197">
        <v>522.12</v>
      </c>
      <c r="G246" s="66"/>
      <c r="H246" s="72" t="s">
        <v>785</v>
      </c>
      <c r="I246" s="72" t="s">
        <v>59</v>
      </c>
      <c r="J246" s="72" t="s">
        <v>59</v>
      </c>
      <c r="K246" s="72" t="s">
        <v>59</v>
      </c>
      <c r="L246" s="72" t="s">
        <v>59</v>
      </c>
      <c r="M246" s="117"/>
    </row>
    <row r="247" spans="1:13" s="70" customFormat="1" ht="15.6">
      <c r="A247" s="257" t="s">
        <v>308</v>
      </c>
      <c r="B247" s="256" t="s">
        <v>1200</v>
      </c>
      <c r="C247" s="195" t="s">
        <v>671</v>
      </c>
      <c r="D247" s="196">
        <v>46357</v>
      </c>
      <c r="E247" s="195" t="s">
        <v>69</v>
      </c>
      <c r="F247" s="197">
        <v>208.9</v>
      </c>
      <c r="G247" s="66"/>
      <c r="H247" s="72" t="s">
        <v>785</v>
      </c>
      <c r="I247" s="72" t="s">
        <v>59</v>
      </c>
      <c r="J247" s="72" t="s">
        <v>59</v>
      </c>
      <c r="K247" s="72" t="s">
        <v>59</v>
      </c>
      <c r="L247" s="72" t="s">
        <v>59</v>
      </c>
      <c r="M247" s="117"/>
    </row>
    <row r="248" spans="1:13" s="70" customFormat="1" ht="15.6">
      <c r="A248" s="257" t="s">
        <v>309</v>
      </c>
      <c r="B248" s="256" t="s">
        <v>1197</v>
      </c>
      <c r="C248" s="195" t="s">
        <v>727</v>
      </c>
      <c r="D248" s="196">
        <v>47054</v>
      </c>
      <c r="E248" s="195" t="s">
        <v>69</v>
      </c>
      <c r="F248" s="197">
        <v>522.75</v>
      </c>
      <c r="G248" s="66"/>
      <c r="H248" s="72" t="s">
        <v>790</v>
      </c>
      <c r="I248" s="72" t="s">
        <v>365</v>
      </c>
      <c r="J248" s="72" t="s">
        <v>365</v>
      </c>
      <c r="K248" s="72" t="s">
        <v>59</v>
      </c>
      <c r="L248" s="72" t="s">
        <v>59</v>
      </c>
      <c r="M248" s="117"/>
    </row>
    <row r="249" spans="1:13" s="70" customFormat="1" ht="15.6">
      <c r="A249" s="257" t="s">
        <v>310</v>
      </c>
      <c r="B249" s="256" t="s">
        <v>825</v>
      </c>
      <c r="C249" s="195" t="s">
        <v>583</v>
      </c>
      <c r="D249" s="196">
        <v>46492</v>
      </c>
      <c r="E249" s="195" t="s">
        <v>71</v>
      </c>
      <c r="F249" s="197">
        <v>224.5</v>
      </c>
      <c r="G249" s="66"/>
      <c r="H249" s="72" t="s">
        <v>785</v>
      </c>
      <c r="I249" s="72" t="s">
        <v>59</v>
      </c>
      <c r="J249" s="72" t="s">
        <v>59</v>
      </c>
      <c r="K249" s="72" t="s">
        <v>59</v>
      </c>
      <c r="L249" s="72" t="s">
        <v>59</v>
      </c>
      <c r="M249" s="117"/>
    </row>
    <row r="250" spans="1:13" s="70" customFormat="1" ht="15.6">
      <c r="A250" s="257" t="s">
        <v>311</v>
      </c>
      <c r="B250" s="256" t="s">
        <v>1217</v>
      </c>
      <c r="C250" s="195" t="s">
        <v>719</v>
      </c>
      <c r="D250" s="196">
        <v>46480</v>
      </c>
      <c r="E250" s="195" t="s">
        <v>72</v>
      </c>
      <c r="F250" s="197">
        <v>244.24</v>
      </c>
      <c r="G250" s="66"/>
      <c r="H250" s="72" t="s">
        <v>785</v>
      </c>
      <c r="I250" s="72" t="s">
        <v>59</v>
      </c>
      <c r="J250" s="72" t="s">
        <v>59</v>
      </c>
      <c r="K250" s="72" t="s">
        <v>59</v>
      </c>
      <c r="L250" s="72" t="s">
        <v>59</v>
      </c>
      <c r="M250" s="117"/>
    </row>
    <row r="251" spans="1:13" s="70" customFormat="1" ht="15.6">
      <c r="A251" s="257" t="s">
        <v>312</v>
      </c>
      <c r="B251" s="256" t="s">
        <v>950</v>
      </c>
      <c r="C251" s="195" t="s">
        <v>703</v>
      </c>
      <c r="D251" s="196">
        <v>47566</v>
      </c>
      <c r="E251" s="195" t="s">
        <v>72</v>
      </c>
      <c r="F251" s="197">
        <v>145.81</v>
      </c>
      <c r="G251" s="66"/>
      <c r="H251" s="72" t="s">
        <v>785</v>
      </c>
      <c r="I251" s="72" t="s">
        <v>365</v>
      </c>
      <c r="J251" s="72" t="s">
        <v>365</v>
      </c>
      <c r="K251" s="72" t="s">
        <v>59</v>
      </c>
      <c r="L251" s="72" t="s">
        <v>59</v>
      </c>
      <c r="M251" s="117"/>
    </row>
    <row r="252" spans="1:13" s="70" customFormat="1" ht="15.6">
      <c r="A252" s="257" t="s">
        <v>313</v>
      </c>
      <c r="B252" s="256" t="s">
        <v>1237</v>
      </c>
      <c r="C252" s="195" t="s">
        <v>1238</v>
      </c>
      <c r="D252" s="196">
        <v>46727</v>
      </c>
      <c r="E252" s="195" t="s">
        <v>72</v>
      </c>
      <c r="F252" s="197">
        <v>261.42</v>
      </c>
      <c r="G252" s="66"/>
      <c r="H252" s="72" t="s">
        <v>785</v>
      </c>
      <c r="I252" s="72" t="s">
        <v>59</v>
      </c>
      <c r="J252" s="72" t="s">
        <v>59</v>
      </c>
      <c r="K252" s="72" t="s">
        <v>59</v>
      </c>
      <c r="L252" s="72" t="s">
        <v>59</v>
      </c>
      <c r="M252" s="117"/>
    </row>
    <row r="253" spans="1:13" s="70" customFormat="1" ht="15.6">
      <c r="A253" s="257" t="s">
        <v>314</v>
      </c>
      <c r="B253" s="256" t="s">
        <v>1097</v>
      </c>
      <c r="C253" s="195" t="s">
        <v>659</v>
      </c>
      <c r="D253" s="196">
        <v>46436</v>
      </c>
      <c r="E253" s="195" t="s">
        <v>72</v>
      </c>
      <c r="F253" s="197">
        <v>196.3</v>
      </c>
      <c r="G253" s="66"/>
      <c r="H253" s="72" t="s">
        <v>785</v>
      </c>
      <c r="I253" s="72" t="s">
        <v>59</v>
      </c>
      <c r="J253" s="72" t="s">
        <v>59</v>
      </c>
      <c r="K253" s="72" t="s">
        <v>59</v>
      </c>
      <c r="L253" s="72" t="s">
        <v>59</v>
      </c>
      <c r="M253" s="117"/>
    </row>
    <row r="254" spans="1:13" s="70" customFormat="1" ht="15.6">
      <c r="A254" s="257" t="s">
        <v>315</v>
      </c>
      <c r="B254" s="256" t="s">
        <v>1112</v>
      </c>
      <c r="C254" s="195" t="s">
        <v>756</v>
      </c>
      <c r="D254" s="196">
        <v>46538</v>
      </c>
      <c r="E254" s="195" t="s">
        <v>69</v>
      </c>
      <c r="F254" s="197">
        <v>203.2</v>
      </c>
      <c r="G254" s="66"/>
      <c r="H254" s="72" t="s">
        <v>790</v>
      </c>
      <c r="I254" s="72" t="s">
        <v>59</v>
      </c>
      <c r="J254" s="72" t="s">
        <v>59</v>
      </c>
      <c r="K254" s="72" t="s">
        <v>59</v>
      </c>
      <c r="L254" s="72" t="s">
        <v>59</v>
      </c>
      <c r="M254" s="117"/>
    </row>
    <row r="255" spans="1:13" s="70" customFormat="1" ht="15.6">
      <c r="A255" s="257" t="s">
        <v>316</v>
      </c>
      <c r="B255" s="256" t="s">
        <v>957</v>
      </c>
      <c r="C255" s="195" t="s">
        <v>732</v>
      </c>
      <c r="D255" s="196">
        <v>46674</v>
      </c>
      <c r="E255" s="195" t="s">
        <v>72</v>
      </c>
      <c r="F255" s="197">
        <v>171.9</v>
      </c>
      <c r="G255" s="66"/>
      <c r="H255" s="72" t="s">
        <v>790</v>
      </c>
      <c r="I255" s="72" t="s">
        <v>59</v>
      </c>
      <c r="J255" s="72" t="s">
        <v>59</v>
      </c>
      <c r="K255" s="72" t="s">
        <v>59</v>
      </c>
      <c r="L255" s="72" t="s">
        <v>59</v>
      </c>
      <c r="M255" s="117"/>
    </row>
    <row r="256" spans="1:13" s="70" customFormat="1" ht="15.6">
      <c r="A256" s="257" t="s">
        <v>317</v>
      </c>
      <c r="B256" s="256" t="s">
        <v>1033</v>
      </c>
      <c r="C256" s="195" t="s">
        <v>716</v>
      </c>
      <c r="D256" s="196">
        <v>46569</v>
      </c>
      <c r="E256" s="195" t="s">
        <v>72</v>
      </c>
      <c r="F256" s="197">
        <v>403.42</v>
      </c>
      <c r="G256" s="66"/>
      <c r="H256" s="72" t="s">
        <v>785</v>
      </c>
      <c r="I256" s="72" t="s">
        <v>59</v>
      </c>
      <c r="J256" s="72" t="s">
        <v>59</v>
      </c>
      <c r="K256" s="72" t="s">
        <v>59</v>
      </c>
      <c r="L256" s="72" t="s">
        <v>59</v>
      </c>
      <c r="M256" s="117"/>
    </row>
    <row r="257" spans="1:13" s="70" customFormat="1" ht="15.6">
      <c r="A257" s="257" t="s">
        <v>318</v>
      </c>
      <c r="B257" s="256" t="s">
        <v>1384</v>
      </c>
      <c r="C257" s="195" t="s">
        <v>701</v>
      </c>
      <c r="D257" s="196">
        <v>46295</v>
      </c>
      <c r="E257" s="195" t="s">
        <v>72</v>
      </c>
      <c r="F257" s="197">
        <v>300.93</v>
      </c>
      <c r="G257" s="66"/>
      <c r="H257" s="72" t="s">
        <v>785</v>
      </c>
      <c r="I257" s="72" t="s">
        <v>59</v>
      </c>
      <c r="J257" s="72" t="s">
        <v>59</v>
      </c>
      <c r="K257" s="72" t="s">
        <v>59</v>
      </c>
      <c r="L257" s="72" t="s">
        <v>59</v>
      </c>
      <c r="M257" s="117"/>
    </row>
    <row r="258" spans="1:13" s="70" customFormat="1" ht="15.6">
      <c r="A258" s="257" t="s">
        <v>319</v>
      </c>
      <c r="B258" s="256" t="s">
        <v>1059</v>
      </c>
      <c r="C258" s="195" t="s">
        <v>699</v>
      </c>
      <c r="D258" s="196">
        <v>46599</v>
      </c>
      <c r="E258" s="195" t="s">
        <v>72</v>
      </c>
      <c r="F258" s="197">
        <v>1025.57</v>
      </c>
      <c r="G258" s="66"/>
      <c r="H258" s="72" t="s">
        <v>790</v>
      </c>
      <c r="I258" s="72" t="s">
        <v>59</v>
      </c>
      <c r="J258" s="72" t="s">
        <v>59</v>
      </c>
      <c r="K258" s="72" t="s">
        <v>59</v>
      </c>
      <c r="L258" s="72" t="s">
        <v>59</v>
      </c>
      <c r="M258" s="117"/>
    </row>
    <row r="259" spans="1:13" s="70" customFormat="1" ht="15.6">
      <c r="A259" s="257" t="s">
        <v>320</v>
      </c>
      <c r="B259" s="256" t="s">
        <v>1062</v>
      </c>
      <c r="C259" s="195" t="s">
        <v>753</v>
      </c>
      <c r="D259" s="196">
        <v>46157</v>
      </c>
      <c r="E259" s="195" t="s">
        <v>69</v>
      </c>
      <c r="F259" s="197">
        <v>201.35</v>
      </c>
      <c r="G259" s="66"/>
      <c r="H259" s="72" t="s">
        <v>790</v>
      </c>
      <c r="I259" s="72" t="s">
        <v>59</v>
      </c>
      <c r="J259" s="72" t="s">
        <v>59</v>
      </c>
      <c r="K259" s="72" t="s">
        <v>59</v>
      </c>
      <c r="L259" s="72" t="s">
        <v>59</v>
      </c>
      <c r="M259" s="117"/>
    </row>
    <row r="260" spans="1:13" s="70" customFormat="1" ht="15.6">
      <c r="A260" s="257" t="s">
        <v>321</v>
      </c>
      <c r="B260" s="256" t="s">
        <v>1052</v>
      </c>
      <c r="C260" s="195" t="s">
        <v>683</v>
      </c>
      <c r="D260" s="196">
        <v>46357</v>
      </c>
      <c r="E260" s="195" t="s">
        <v>72</v>
      </c>
      <c r="F260" s="197">
        <v>203.1</v>
      </c>
      <c r="G260" s="66"/>
      <c r="H260" s="72" t="s">
        <v>785</v>
      </c>
      <c r="I260" s="72" t="s">
        <v>59</v>
      </c>
      <c r="J260" s="72" t="s">
        <v>59</v>
      </c>
      <c r="K260" s="72" t="s">
        <v>59</v>
      </c>
      <c r="L260" s="72" t="s">
        <v>59</v>
      </c>
      <c r="M260" s="117"/>
    </row>
    <row r="261" spans="1:13" s="70" customFormat="1" ht="15.6">
      <c r="A261" s="257" t="s">
        <v>322</v>
      </c>
      <c r="B261" s="256" t="s">
        <v>1123</v>
      </c>
      <c r="C261" s="195" t="s">
        <v>696</v>
      </c>
      <c r="D261" s="196">
        <v>46822</v>
      </c>
      <c r="E261" s="195" t="s">
        <v>72</v>
      </c>
      <c r="F261" s="197">
        <v>204.08</v>
      </c>
      <c r="G261" s="66"/>
      <c r="H261" s="72" t="s">
        <v>790</v>
      </c>
      <c r="I261" s="72" t="s">
        <v>365</v>
      </c>
      <c r="J261" s="72" t="s">
        <v>365</v>
      </c>
      <c r="K261" s="72" t="s">
        <v>59</v>
      </c>
      <c r="L261" s="72" t="s">
        <v>59</v>
      </c>
      <c r="M261" s="117"/>
    </row>
    <row r="262" spans="1:13" s="70" customFormat="1" ht="15.6">
      <c r="A262" s="257" t="s">
        <v>323</v>
      </c>
      <c r="B262" s="256" t="s">
        <v>1271</v>
      </c>
      <c r="C262" s="195" t="s">
        <v>670</v>
      </c>
      <c r="D262" s="196">
        <v>46480</v>
      </c>
      <c r="E262" s="195" t="s">
        <v>72</v>
      </c>
      <c r="F262" s="197">
        <v>125.61</v>
      </c>
      <c r="G262" s="66"/>
      <c r="H262" s="72" t="s">
        <v>785</v>
      </c>
      <c r="I262" s="72" t="s">
        <v>59</v>
      </c>
      <c r="J262" s="72" t="s">
        <v>59</v>
      </c>
      <c r="K262" s="72" t="s">
        <v>59</v>
      </c>
      <c r="L262" s="72" t="s">
        <v>59</v>
      </c>
      <c r="M262" s="117"/>
    </row>
    <row r="263" spans="1:13" s="70" customFormat="1" ht="15.6">
      <c r="A263" s="257" t="s">
        <v>324</v>
      </c>
      <c r="B263" s="256" t="s">
        <v>1145</v>
      </c>
      <c r="C263" s="195" t="s">
        <v>698</v>
      </c>
      <c r="D263" s="196">
        <v>46204</v>
      </c>
      <c r="E263" s="195" t="s">
        <v>73</v>
      </c>
      <c r="F263" s="197">
        <v>295.3</v>
      </c>
      <c r="G263" s="66"/>
      <c r="H263" s="72" t="s">
        <v>785</v>
      </c>
      <c r="I263" s="72" t="s">
        <v>59</v>
      </c>
      <c r="J263" s="72" t="s">
        <v>59</v>
      </c>
      <c r="K263" s="72" t="s">
        <v>59</v>
      </c>
      <c r="L263" s="72" t="s">
        <v>59</v>
      </c>
      <c r="M263" s="117"/>
    </row>
    <row r="264" spans="1:13" s="70" customFormat="1" ht="15.6">
      <c r="A264" s="257" t="s">
        <v>325</v>
      </c>
      <c r="B264" s="256" t="s">
        <v>1277</v>
      </c>
      <c r="C264" s="195" t="s">
        <v>659</v>
      </c>
      <c r="D264" s="196">
        <v>46279</v>
      </c>
      <c r="E264" s="195" t="s">
        <v>72</v>
      </c>
      <c r="F264" s="197">
        <v>85.54</v>
      </c>
      <c r="G264" s="66"/>
      <c r="H264" s="72" t="s">
        <v>785</v>
      </c>
      <c r="I264" s="72" t="s">
        <v>59</v>
      </c>
      <c r="J264" s="72" t="s">
        <v>59</v>
      </c>
      <c r="K264" s="72" t="s">
        <v>59</v>
      </c>
      <c r="L264" s="72" t="s">
        <v>59</v>
      </c>
      <c r="M264" s="117"/>
    </row>
    <row r="265" spans="1:13" s="70" customFormat="1" ht="15.6">
      <c r="A265" s="257" t="s">
        <v>326</v>
      </c>
      <c r="B265" s="256" t="s">
        <v>1213</v>
      </c>
      <c r="C265" s="195" t="s">
        <v>696</v>
      </c>
      <c r="D265" s="196">
        <v>46822</v>
      </c>
      <c r="E265" s="195" t="s">
        <v>72</v>
      </c>
      <c r="F265" s="197">
        <v>204.08</v>
      </c>
      <c r="G265" s="66"/>
      <c r="H265" s="72" t="s">
        <v>790</v>
      </c>
      <c r="I265" s="72" t="s">
        <v>365</v>
      </c>
      <c r="J265" s="72" t="s">
        <v>365</v>
      </c>
      <c r="K265" s="72" t="s">
        <v>59</v>
      </c>
      <c r="L265" s="72" t="s">
        <v>59</v>
      </c>
      <c r="M265" s="117"/>
    </row>
    <row r="266" spans="1:13" s="70" customFormat="1" ht="15.6">
      <c r="A266" s="257" t="s">
        <v>327</v>
      </c>
      <c r="B266" s="256" t="s">
        <v>1244</v>
      </c>
      <c r="C266" s="195" t="s">
        <v>681</v>
      </c>
      <c r="D266" s="196">
        <v>46568</v>
      </c>
      <c r="E266" s="195" t="s">
        <v>73</v>
      </c>
      <c r="F266" s="197">
        <v>253.29</v>
      </c>
      <c r="G266" s="66"/>
      <c r="H266" s="72" t="s">
        <v>790</v>
      </c>
      <c r="I266" s="72" t="s">
        <v>59</v>
      </c>
      <c r="J266" s="72" t="s">
        <v>59</v>
      </c>
      <c r="K266" s="72" t="s">
        <v>59</v>
      </c>
      <c r="L266" s="72" t="s">
        <v>59</v>
      </c>
      <c r="M266" s="117"/>
    </row>
    <row r="267" spans="1:13" s="70" customFormat="1" ht="15.6">
      <c r="A267" s="257" t="s">
        <v>328</v>
      </c>
      <c r="B267" s="256" t="s">
        <v>1394</v>
      </c>
      <c r="C267" s="195" t="s">
        <v>727</v>
      </c>
      <c r="D267" s="196">
        <v>47054</v>
      </c>
      <c r="E267" s="195" t="s">
        <v>72</v>
      </c>
      <c r="F267" s="197">
        <v>522.75</v>
      </c>
      <c r="G267" s="66"/>
      <c r="H267" s="72" t="s">
        <v>790</v>
      </c>
      <c r="I267" s="72" t="s">
        <v>365</v>
      </c>
      <c r="J267" s="72" t="s">
        <v>365</v>
      </c>
      <c r="K267" s="72" t="s">
        <v>59</v>
      </c>
      <c r="L267" s="72" t="s">
        <v>59</v>
      </c>
      <c r="M267" s="117"/>
    </row>
    <row r="268" spans="1:13" s="70" customFormat="1" ht="15.6">
      <c r="A268" s="257" t="s">
        <v>329</v>
      </c>
      <c r="B268" s="256" t="s">
        <v>1235</v>
      </c>
      <c r="C268" s="195" t="s">
        <v>684</v>
      </c>
      <c r="D268" s="196">
        <v>46647</v>
      </c>
      <c r="E268" s="195" t="s">
        <v>72</v>
      </c>
      <c r="F268" s="197">
        <v>54.47</v>
      </c>
      <c r="G268" s="66"/>
      <c r="H268" s="72" t="s">
        <v>785</v>
      </c>
      <c r="I268" s="72" t="s">
        <v>59</v>
      </c>
      <c r="J268" s="72" t="s">
        <v>59</v>
      </c>
      <c r="K268" s="72" t="s">
        <v>59</v>
      </c>
      <c r="L268" s="72" t="s">
        <v>59</v>
      </c>
      <c r="M268" s="117"/>
    </row>
    <row r="269" spans="1:13" s="70" customFormat="1" ht="15.6">
      <c r="A269" s="257" t="s">
        <v>330</v>
      </c>
      <c r="B269" s="256" t="s">
        <v>1273</v>
      </c>
      <c r="C269" s="195" t="s">
        <v>713</v>
      </c>
      <c r="D269" s="196">
        <v>46646</v>
      </c>
      <c r="E269" s="195" t="s">
        <v>72</v>
      </c>
      <c r="F269" s="197">
        <v>195.7</v>
      </c>
      <c r="G269" s="66"/>
      <c r="H269" s="72" t="s">
        <v>790</v>
      </c>
      <c r="I269" s="72" t="s">
        <v>59</v>
      </c>
      <c r="J269" s="72" t="s">
        <v>59</v>
      </c>
      <c r="K269" s="72" t="s">
        <v>59</v>
      </c>
      <c r="L269" s="72" t="s">
        <v>59</v>
      </c>
      <c r="M269" s="117"/>
    </row>
    <row r="270" spans="1:13" s="70" customFormat="1" ht="15.6">
      <c r="A270" s="257" t="s">
        <v>331</v>
      </c>
      <c r="B270" s="256" t="s">
        <v>998</v>
      </c>
      <c r="C270" s="195" t="s">
        <v>694</v>
      </c>
      <c r="D270" s="196">
        <v>46935</v>
      </c>
      <c r="E270" s="195" t="s">
        <v>72</v>
      </c>
      <c r="F270" s="197">
        <v>251.27</v>
      </c>
      <c r="G270" s="66"/>
      <c r="H270" s="72" t="s">
        <v>790</v>
      </c>
      <c r="I270" s="72" t="s">
        <v>365</v>
      </c>
      <c r="J270" s="72" t="s">
        <v>365</v>
      </c>
      <c r="K270" s="72" t="s">
        <v>59</v>
      </c>
      <c r="L270" s="72" t="s">
        <v>59</v>
      </c>
      <c r="M270" s="117"/>
    </row>
    <row r="271" spans="1:13" s="70" customFormat="1" ht="15.6">
      <c r="A271" s="257" t="s">
        <v>332</v>
      </c>
      <c r="B271" s="256" t="s">
        <v>984</v>
      </c>
      <c r="C271" s="195" t="s">
        <v>744</v>
      </c>
      <c r="D271" s="196">
        <v>46660</v>
      </c>
      <c r="E271" s="195" t="s">
        <v>72</v>
      </c>
      <c r="F271" s="197">
        <v>201.8</v>
      </c>
      <c r="G271" s="66"/>
      <c r="H271" s="72" t="s">
        <v>785</v>
      </c>
      <c r="I271" s="72" t="s">
        <v>59</v>
      </c>
      <c r="J271" s="72" t="s">
        <v>59</v>
      </c>
      <c r="K271" s="72" t="s">
        <v>59</v>
      </c>
      <c r="L271" s="72" t="s">
        <v>59</v>
      </c>
      <c r="M271" s="117"/>
    </row>
    <row r="272" spans="1:13" s="70" customFormat="1" ht="15.6">
      <c r="A272" s="257" t="s">
        <v>333</v>
      </c>
      <c r="B272" s="256" t="s">
        <v>1154</v>
      </c>
      <c r="C272" s="195" t="s">
        <v>700</v>
      </c>
      <c r="D272" s="196">
        <v>46568</v>
      </c>
      <c r="E272" s="195" t="s">
        <v>72</v>
      </c>
      <c r="F272" s="197">
        <v>251</v>
      </c>
      <c r="G272" s="66"/>
      <c r="H272" s="72" t="s">
        <v>785</v>
      </c>
      <c r="I272" s="72" t="s">
        <v>59</v>
      </c>
      <c r="J272" s="72" t="s">
        <v>59</v>
      </c>
      <c r="K272" s="72" t="s">
        <v>59</v>
      </c>
      <c r="L272" s="72" t="s">
        <v>59</v>
      </c>
      <c r="M272" s="117"/>
    </row>
    <row r="273" spans="1:13" s="70" customFormat="1" ht="15.6">
      <c r="A273" s="257" t="s">
        <v>334</v>
      </c>
      <c r="B273" s="256" t="s">
        <v>1188</v>
      </c>
      <c r="C273" s="195" t="s">
        <v>670</v>
      </c>
      <c r="D273" s="196">
        <v>46622</v>
      </c>
      <c r="E273" s="195" t="s">
        <v>73</v>
      </c>
      <c r="F273" s="197">
        <v>396.8</v>
      </c>
      <c r="G273" s="66"/>
      <c r="H273" s="72" t="s">
        <v>790</v>
      </c>
      <c r="I273" s="72" t="s">
        <v>59</v>
      </c>
      <c r="J273" s="72" t="s">
        <v>59</v>
      </c>
      <c r="K273" s="72" t="s">
        <v>59</v>
      </c>
      <c r="L273" s="72" t="s">
        <v>59</v>
      </c>
      <c r="M273" s="117"/>
    </row>
    <row r="274" spans="1:13" s="70" customFormat="1" ht="15.6">
      <c r="A274" s="257" t="s">
        <v>335</v>
      </c>
      <c r="B274" s="256" t="s">
        <v>993</v>
      </c>
      <c r="C274" s="195" t="s">
        <v>683</v>
      </c>
      <c r="D274" s="196">
        <v>46143</v>
      </c>
      <c r="E274" s="195" t="s">
        <v>72</v>
      </c>
      <c r="F274" s="197">
        <v>201.4</v>
      </c>
      <c r="G274" s="66"/>
      <c r="H274" s="72" t="s">
        <v>790</v>
      </c>
      <c r="I274" s="72" t="s">
        <v>59</v>
      </c>
      <c r="J274" s="72" t="s">
        <v>59</v>
      </c>
      <c r="K274" s="72" t="s">
        <v>59</v>
      </c>
      <c r="L274" s="72" t="s">
        <v>59</v>
      </c>
      <c r="M274" s="117"/>
    </row>
    <row r="275" spans="1:13" s="70" customFormat="1" ht="15.6">
      <c r="A275" s="257" t="s">
        <v>336</v>
      </c>
      <c r="B275" s="256" t="s">
        <v>1325</v>
      </c>
      <c r="C275" s="195" t="s">
        <v>703</v>
      </c>
      <c r="D275" s="196">
        <v>46934</v>
      </c>
      <c r="E275" s="195" t="s">
        <v>72</v>
      </c>
      <c r="F275" s="197">
        <v>200.8</v>
      </c>
      <c r="G275" s="66"/>
      <c r="H275" s="72" t="s">
        <v>785</v>
      </c>
      <c r="I275" s="72" t="s">
        <v>365</v>
      </c>
      <c r="J275" s="72" t="s">
        <v>365</v>
      </c>
      <c r="K275" s="72" t="s">
        <v>59</v>
      </c>
      <c r="L275" s="72" t="s">
        <v>59</v>
      </c>
      <c r="M275" s="117"/>
    </row>
    <row r="276" spans="1:13" s="70" customFormat="1" ht="15.6">
      <c r="A276" s="257" t="s">
        <v>337</v>
      </c>
      <c r="B276" s="256" t="s">
        <v>1104</v>
      </c>
      <c r="C276" s="195" t="s">
        <v>719</v>
      </c>
      <c r="D276" s="196">
        <v>46286</v>
      </c>
      <c r="E276" s="195" t="s">
        <v>72</v>
      </c>
      <c r="F276" s="197">
        <v>100.8</v>
      </c>
      <c r="G276" s="66"/>
      <c r="H276" s="72" t="s">
        <v>785</v>
      </c>
      <c r="I276" s="72" t="s">
        <v>59</v>
      </c>
      <c r="J276" s="72" t="s">
        <v>59</v>
      </c>
      <c r="K276" s="72" t="s">
        <v>59</v>
      </c>
      <c r="L276" s="72" t="s">
        <v>59</v>
      </c>
      <c r="M276" s="117"/>
    </row>
    <row r="277" spans="1:13" s="70" customFormat="1" ht="15.6">
      <c r="A277" s="257" t="s">
        <v>338</v>
      </c>
      <c r="B277" s="256" t="s">
        <v>1071</v>
      </c>
      <c r="C277" s="195" t="s">
        <v>719</v>
      </c>
      <c r="D277" s="196">
        <v>46480</v>
      </c>
      <c r="E277" s="195" t="s">
        <v>69</v>
      </c>
      <c r="F277" s="197">
        <v>122.92</v>
      </c>
      <c r="G277" s="66"/>
      <c r="H277" s="72" t="s">
        <v>785</v>
      </c>
      <c r="I277" s="72" t="s">
        <v>59</v>
      </c>
      <c r="J277" s="72" t="s">
        <v>59</v>
      </c>
      <c r="K277" s="72" t="s">
        <v>59</v>
      </c>
      <c r="L277" s="72" t="s">
        <v>59</v>
      </c>
      <c r="M277" s="117"/>
    </row>
    <row r="278" spans="1:13" s="70" customFormat="1" ht="15.6">
      <c r="A278" s="257" t="s">
        <v>339</v>
      </c>
      <c r="B278" s="256" t="s">
        <v>1077</v>
      </c>
      <c r="C278" s="195" t="s">
        <v>719</v>
      </c>
      <c r="D278" s="196">
        <v>46286</v>
      </c>
      <c r="E278" s="195" t="s">
        <v>69</v>
      </c>
      <c r="F278" s="197">
        <v>50.9</v>
      </c>
      <c r="G278" s="66"/>
      <c r="H278" s="72" t="s">
        <v>785</v>
      </c>
      <c r="I278" s="72" t="s">
        <v>59</v>
      </c>
      <c r="J278" s="72" t="s">
        <v>59</v>
      </c>
      <c r="K278" s="72" t="s">
        <v>59</v>
      </c>
      <c r="L278" s="72" t="s">
        <v>59</v>
      </c>
      <c r="M278" s="117"/>
    </row>
    <row r="279" spans="1:13" s="70" customFormat="1" ht="15.6">
      <c r="A279" s="257" t="s">
        <v>340</v>
      </c>
      <c r="B279" s="256" t="s">
        <v>1001</v>
      </c>
      <c r="C279" s="195" t="s">
        <v>682</v>
      </c>
      <c r="D279" s="196">
        <v>46653</v>
      </c>
      <c r="E279" s="195" t="s">
        <v>69</v>
      </c>
      <c r="F279" s="197">
        <v>150.52000000000001</v>
      </c>
      <c r="G279" s="66"/>
      <c r="H279" s="72" t="s">
        <v>785</v>
      </c>
      <c r="I279" s="72" t="s">
        <v>59</v>
      </c>
      <c r="J279" s="72" t="s">
        <v>59</v>
      </c>
      <c r="K279" s="72" t="s">
        <v>59</v>
      </c>
      <c r="L279" s="72" t="s">
        <v>59</v>
      </c>
      <c r="M279" s="117"/>
    </row>
    <row r="280" spans="1:13" s="70" customFormat="1" ht="15.6">
      <c r="A280" s="257" t="s">
        <v>341</v>
      </c>
      <c r="B280" s="256" t="s">
        <v>1055</v>
      </c>
      <c r="C280" s="195" t="s">
        <v>697</v>
      </c>
      <c r="D280" s="196">
        <v>46510</v>
      </c>
      <c r="E280" s="195" t="s">
        <v>69</v>
      </c>
      <c r="F280" s="197">
        <v>201.52</v>
      </c>
      <c r="G280" s="66"/>
      <c r="H280" s="72" t="s">
        <v>785</v>
      </c>
      <c r="I280" s="72" t="s">
        <v>59</v>
      </c>
      <c r="J280" s="72" t="s">
        <v>59</v>
      </c>
      <c r="K280" s="72" t="s">
        <v>59</v>
      </c>
      <c r="L280" s="72" t="s">
        <v>59</v>
      </c>
      <c r="M280" s="117"/>
    </row>
    <row r="281" spans="1:13" s="70" customFormat="1" ht="15.6">
      <c r="A281" s="257" t="s">
        <v>342</v>
      </c>
      <c r="B281" s="256" t="s">
        <v>1182</v>
      </c>
      <c r="C281" s="195" t="s">
        <v>753</v>
      </c>
      <c r="D281" s="196">
        <v>47189</v>
      </c>
      <c r="E281" s="195" t="s">
        <v>69</v>
      </c>
      <c r="F281" s="197">
        <v>102.77</v>
      </c>
      <c r="G281" s="66"/>
      <c r="H281" s="72" t="s">
        <v>790</v>
      </c>
      <c r="I281" s="72" t="s">
        <v>365</v>
      </c>
      <c r="J281" s="72" t="s">
        <v>365</v>
      </c>
      <c r="K281" s="72" t="s">
        <v>59</v>
      </c>
      <c r="L281" s="72" t="s">
        <v>59</v>
      </c>
      <c r="M281" s="117"/>
    </row>
    <row r="282" spans="1:13" s="70" customFormat="1" ht="15.6">
      <c r="A282" s="257" t="s">
        <v>343</v>
      </c>
      <c r="B282" s="256" t="s">
        <v>1221</v>
      </c>
      <c r="C282" s="195" t="s">
        <v>694</v>
      </c>
      <c r="D282" s="196">
        <v>46539</v>
      </c>
      <c r="E282" s="195" t="s">
        <v>69</v>
      </c>
      <c r="F282" s="197">
        <v>150.68</v>
      </c>
      <c r="G282" s="66"/>
      <c r="H282" s="72" t="s">
        <v>785</v>
      </c>
      <c r="I282" s="72" t="s">
        <v>59</v>
      </c>
      <c r="J282" s="72" t="s">
        <v>59</v>
      </c>
      <c r="K282" s="72" t="s">
        <v>59</v>
      </c>
      <c r="L282" s="72" t="s">
        <v>59</v>
      </c>
      <c r="M282" s="117"/>
    </row>
    <row r="283" spans="1:13" s="70" customFormat="1" ht="15.6">
      <c r="A283" s="257" t="s">
        <v>344</v>
      </c>
      <c r="B283" s="256" t="s">
        <v>1297</v>
      </c>
      <c r="C283" s="195" t="s">
        <v>694</v>
      </c>
      <c r="D283" s="196">
        <v>46539</v>
      </c>
      <c r="E283" s="195" t="s">
        <v>69</v>
      </c>
      <c r="F283" s="197">
        <v>150.68</v>
      </c>
      <c r="G283" s="66"/>
      <c r="H283" s="72" t="s">
        <v>785</v>
      </c>
      <c r="I283" s="72" t="s">
        <v>59</v>
      </c>
      <c r="J283" s="72" t="s">
        <v>59</v>
      </c>
      <c r="K283" s="72" t="s">
        <v>59</v>
      </c>
      <c r="L283" s="72" t="s">
        <v>59</v>
      </c>
      <c r="M283" s="117"/>
    </row>
    <row r="284" spans="1:13" s="70" customFormat="1" ht="15.6">
      <c r="A284" s="258" t="s">
        <v>345</v>
      </c>
      <c r="B284" s="256" t="s">
        <v>1385</v>
      </c>
      <c r="C284" s="195" t="s">
        <v>694</v>
      </c>
      <c r="D284" s="196">
        <v>46539</v>
      </c>
      <c r="E284" s="195" t="s">
        <v>69</v>
      </c>
      <c r="F284" s="197">
        <v>150.68</v>
      </c>
      <c r="G284" s="66"/>
      <c r="H284" s="72" t="s">
        <v>785</v>
      </c>
      <c r="I284" s="72" t="s">
        <v>59</v>
      </c>
      <c r="J284" s="72" t="s">
        <v>59</v>
      </c>
      <c r="K284" s="72" t="s">
        <v>59</v>
      </c>
      <c r="L284" s="72" t="s">
        <v>59</v>
      </c>
      <c r="M284" s="117"/>
    </row>
    <row r="285" spans="1:13" s="70" customFormat="1" ht="15.6">
      <c r="A285" s="258" t="s">
        <v>346</v>
      </c>
      <c r="B285" s="256" t="s">
        <v>970</v>
      </c>
      <c r="C285" s="195" t="s">
        <v>661</v>
      </c>
      <c r="D285" s="196">
        <v>46569</v>
      </c>
      <c r="E285" s="195" t="s">
        <v>72</v>
      </c>
      <c r="F285" s="197">
        <v>351.4</v>
      </c>
      <c r="G285" s="66"/>
      <c r="H285" s="72" t="s">
        <v>790</v>
      </c>
      <c r="I285" s="72" t="s">
        <v>59</v>
      </c>
      <c r="J285" s="72" t="s">
        <v>59</v>
      </c>
      <c r="K285" s="72" t="s">
        <v>59</v>
      </c>
      <c r="L285" s="72" t="s">
        <v>59</v>
      </c>
      <c r="M285" s="117"/>
    </row>
    <row r="286" spans="1:13" s="70" customFormat="1" ht="15.6">
      <c r="A286" s="258" t="s">
        <v>347</v>
      </c>
      <c r="B286" s="256" t="s">
        <v>974</v>
      </c>
      <c r="C286" s="195" t="s">
        <v>679</v>
      </c>
      <c r="D286" s="196">
        <v>46805</v>
      </c>
      <c r="E286" s="195" t="s">
        <v>72</v>
      </c>
      <c r="F286" s="197">
        <v>100</v>
      </c>
      <c r="G286" s="66"/>
      <c r="H286" s="72" t="s">
        <v>790</v>
      </c>
      <c r="I286" s="72" t="s">
        <v>365</v>
      </c>
      <c r="J286" s="72" t="s">
        <v>365</v>
      </c>
      <c r="K286" s="72" t="s">
        <v>59</v>
      </c>
      <c r="L286" s="72" t="s">
        <v>59</v>
      </c>
      <c r="M286" s="117"/>
    </row>
    <row r="287" spans="1:13" s="70" customFormat="1" ht="15.6">
      <c r="A287" s="258" t="s">
        <v>348</v>
      </c>
      <c r="B287" s="256" t="s">
        <v>1370</v>
      </c>
      <c r="C287" s="195" t="s">
        <v>671</v>
      </c>
      <c r="D287" s="196">
        <v>46783</v>
      </c>
      <c r="E287" s="195" t="s">
        <v>69</v>
      </c>
      <c r="F287" s="197">
        <v>100.63</v>
      </c>
      <c r="G287" s="66"/>
      <c r="H287" s="72" t="s">
        <v>790</v>
      </c>
      <c r="I287" s="72" t="s">
        <v>365</v>
      </c>
      <c r="J287" s="72" t="s">
        <v>365</v>
      </c>
      <c r="K287" s="72" t="s">
        <v>59</v>
      </c>
      <c r="L287" s="72" t="s">
        <v>59</v>
      </c>
      <c r="M287" s="117"/>
    </row>
    <row r="288" spans="1:13" s="70" customFormat="1" ht="15.6">
      <c r="A288" s="258" t="s">
        <v>349</v>
      </c>
      <c r="B288" s="256" t="s">
        <v>1127</v>
      </c>
      <c r="C288" s="195" t="s">
        <v>722</v>
      </c>
      <c r="D288" s="196">
        <v>45883</v>
      </c>
      <c r="E288" s="195" t="s">
        <v>72</v>
      </c>
      <c r="F288" s="197">
        <v>50</v>
      </c>
      <c r="G288" s="66"/>
      <c r="H288" s="72" t="s">
        <v>1404</v>
      </c>
      <c r="I288" s="72" t="s">
        <v>59</v>
      </c>
      <c r="J288" s="72" t="s">
        <v>59</v>
      </c>
      <c r="K288" s="72" t="s">
        <v>59</v>
      </c>
      <c r="L288" s="72" t="s">
        <v>59</v>
      </c>
      <c r="M288" s="117"/>
    </row>
    <row r="289" spans="1:13" s="70" customFormat="1" ht="15.6">
      <c r="A289" s="258" t="s">
        <v>350</v>
      </c>
      <c r="B289" s="256" t="s">
        <v>1224</v>
      </c>
      <c r="C289" s="195" t="s">
        <v>765</v>
      </c>
      <c r="D289" s="196">
        <v>46371</v>
      </c>
      <c r="E289" s="195" t="s">
        <v>69</v>
      </c>
      <c r="F289" s="197">
        <v>211.5</v>
      </c>
      <c r="G289" s="66"/>
      <c r="H289" s="72" t="s">
        <v>785</v>
      </c>
      <c r="I289" s="72" t="s">
        <v>59</v>
      </c>
      <c r="J289" s="72" t="s">
        <v>59</v>
      </c>
      <c r="K289" s="72" t="s">
        <v>59</v>
      </c>
      <c r="L289" s="72" t="s">
        <v>59</v>
      </c>
      <c r="M289" s="117"/>
    </row>
    <row r="290" spans="1:13" s="70" customFormat="1" ht="15.6">
      <c r="A290" s="258" t="s">
        <v>351</v>
      </c>
      <c r="B290" s="256" t="s">
        <v>1231</v>
      </c>
      <c r="C290" s="195" t="s">
        <v>660</v>
      </c>
      <c r="D290" s="196">
        <v>46736</v>
      </c>
      <c r="E290" s="195" t="s">
        <v>73</v>
      </c>
      <c r="F290" s="197">
        <v>180</v>
      </c>
      <c r="G290" s="66"/>
      <c r="H290" s="72" t="s">
        <v>790</v>
      </c>
      <c r="I290" s="20" t="s">
        <v>59</v>
      </c>
      <c r="J290" s="99" t="s">
        <v>59</v>
      </c>
      <c r="K290" s="72" t="s">
        <v>59</v>
      </c>
      <c r="L290" s="72" t="s">
        <v>59</v>
      </c>
      <c r="M290" s="117"/>
    </row>
    <row r="291" spans="1:13" s="70" customFormat="1" ht="15.6">
      <c r="A291" s="258" t="s">
        <v>352</v>
      </c>
      <c r="B291" s="256" t="s">
        <v>1086</v>
      </c>
      <c r="C291" s="195" t="s">
        <v>996</v>
      </c>
      <c r="D291" s="196">
        <v>46722</v>
      </c>
      <c r="E291" s="195" t="s">
        <v>69</v>
      </c>
      <c r="F291" s="197">
        <v>301.19</v>
      </c>
      <c r="G291" s="66"/>
      <c r="H291" s="72" t="s">
        <v>790</v>
      </c>
      <c r="I291" s="72" t="s">
        <v>59</v>
      </c>
      <c r="J291" s="72" t="s">
        <v>59</v>
      </c>
      <c r="K291" s="72" t="s">
        <v>59</v>
      </c>
      <c r="L291" s="72" t="s">
        <v>59</v>
      </c>
      <c r="M291" s="117"/>
    </row>
    <row r="292" spans="1:13" s="70" customFormat="1" ht="15.6">
      <c r="A292" s="258" t="s">
        <v>353</v>
      </c>
      <c r="B292" s="256" t="s">
        <v>1073</v>
      </c>
      <c r="C292" s="195" t="s">
        <v>698</v>
      </c>
      <c r="D292" s="196">
        <v>46490</v>
      </c>
      <c r="E292" s="195" t="s">
        <v>69</v>
      </c>
      <c r="F292" s="197">
        <v>47.34</v>
      </c>
      <c r="G292" s="66"/>
      <c r="H292" s="72" t="s">
        <v>785</v>
      </c>
      <c r="I292" s="72" t="s">
        <v>59</v>
      </c>
      <c r="J292" s="72" t="s">
        <v>59</v>
      </c>
      <c r="K292" s="72" t="s">
        <v>59</v>
      </c>
      <c r="L292" s="72" t="s">
        <v>59</v>
      </c>
      <c r="M292" s="117"/>
    </row>
    <row r="293" spans="1:13" s="70" customFormat="1" ht="15.6">
      <c r="A293" s="258" t="s">
        <v>354</v>
      </c>
      <c r="B293" s="256" t="s">
        <v>1129</v>
      </c>
      <c r="C293" s="195" t="s">
        <v>1115</v>
      </c>
      <c r="D293" s="196">
        <v>46203</v>
      </c>
      <c r="E293" s="195" t="s">
        <v>69</v>
      </c>
      <c r="F293" s="197">
        <v>123.5</v>
      </c>
      <c r="G293" s="66"/>
      <c r="H293" s="72" t="s">
        <v>790</v>
      </c>
      <c r="I293" s="72" t="s">
        <v>59</v>
      </c>
      <c r="J293" s="72" t="s">
        <v>59</v>
      </c>
      <c r="K293" s="72" t="s">
        <v>59</v>
      </c>
      <c r="L293" s="72" t="s">
        <v>59</v>
      </c>
      <c r="M293" s="117"/>
    </row>
    <row r="294" spans="1:13" s="70" customFormat="1" ht="15.6">
      <c r="A294" s="258" t="s">
        <v>355</v>
      </c>
      <c r="B294" s="256" t="s">
        <v>1160</v>
      </c>
      <c r="C294" s="195" t="s">
        <v>732</v>
      </c>
      <c r="D294" s="196">
        <v>46568</v>
      </c>
      <c r="E294" s="195" t="s">
        <v>72</v>
      </c>
      <c r="F294" s="197">
        <v>351.3</v>
      </c>
      <c r="G294" s="66"/>
      <c r="H294" s="72" t="s">
        <v>790</v>
      </c>
      <c r="I294" s="72" t="s">
        <v>59</v>
      </c>
      <c r="J294" s="72" t="s">
        <v>59</v>
      </c>
      <c r="K294" s="72" t="s">
        <v>59</v>
      </c>
      <c r="L294" s="72" t="s">
        <v>59</v>
      </c>
      <c r="M294" s="117"/>
    </row>
    <row r="295" spans="1:13" s="70" customFormat="1" ht="15.6">
      <c r="A295" s="258" t="s">
        <v>356</v>
      </c>
      <c r="B295" s="256" t="s">
        <v>963</v>
      </c>
      <c r="C295" s="195" t="s">
        <v>586</v>
      </c>
      <c r="D295" s="196">
        <v>46722</v>
      </c>
      <c r="E295" s="195" t="s">
        <v>72</v>
      </c>
      <c r="F295" s="197">
        <v>200.64</v>
      </c>
      <c r="G295" s="66"/>
      <c r="H295" s="72" t="s">
        <v>790</v>
      </c>
      <c r="I295" s="72" t="s">
        <v>59</v>
      </c>
      <c r="J295" s="72" t="s">
        <v>59</v>
      </c>
      <c r="K295" s="72" t="s">
        <v>59</v>
      </c>
      <c r="L295" s="72" t="s">
        <v>59</v>
      </c>
      <c r="M295" s="117"/>
    </row>
    <row r="296" spans="1:13" s="70" customFormat="1" ht="15.6">
      <c r="A296" s="258" t="s">
        <v>357</v>
      </c>
      <c r="B296" s="256" t="s">
        <v>1196</v>
      </c>
      <c r="C296" s="195" t="s">
        <v>586</v>
      </c>
      <c r="D296" s="196">
        <v>46722</v>
      </c>
      <c r="E296" s="195" t="s">
        <v>69</v>
      </c>
      <c r="F296" s="197">
        <v>105.64</v>
      </c>
      <c r="G296" s="66"/>
      <c r="H296" s="72" t="s">
        <v>790</v>
      </c>
      <c r="I296" s="72" t="s">
        <v>59</v>
      </c>
      <c r="J296" s="72" t="s">
        <v>59</v>
      </c>
      <c r="K296" s="72" t="s">
        <v>59</v>
      </c>
      <c r="L296" s="72" t="s">
        <v>59</v>
      </c>
      <c r="M296" s="117"/>
    </row>
    <row r="297" spans="1:13" s="70" customFormat="1" ht="15.6">
      <c r="A297" s="258" t="s">
        <v>358</v>
      </c>
      <c r="B297" s="256" t="s">
        <v>1281</v>
      </c>
      <c r="C297" s="195" t="s">
        <v>652</v>
      </c>
      <c r="D297" s="196">
        <v>46006</v>
      </c>
      <c r="E297" s="195" t="s">
        <v>69</v>
      </c>
      <c r="F297" s="197">
        <v>409.6</v>
      </c>
      <c r="G297" s="66"/>
      <c r="H297" s="72" t="s">
        <v>790</v>
      </c>
      <c r="I297" s="72" t="s">
        <v>59</v>
      </c>
      <c r="J297" s="72" t="s">
        <v>59</v>
      </c>
      <c r="K297" s="72" t="s">
        <v>59</v>
      </c>
      <c r="L297" s="72" t="s">
        <v>59</v>
      </c>
      <c r="M297" s="117"/>
    </row>
    <row r="298" spans="1:13" s="70" customFormat="1" ht="15.6">
      <c r="A298" s="258" t="s">
        <v>359</v>
      </c>
      <c r="B298" s="256" t="s">
        <v>1282</v>
      </c>
      <c r="C298" s="195" t="s">
        <v>657</v>
      </c>
      <c r="D298" s="196">
        <v>46226</v>
      </c>
      <c r="E298" s="195" t="s">
        <v>69</v>
      </c>
      <c r="F298" s="197">
        <v>321.02</v>
      </c>
      <c r="G298" s="66"/>
      <c r="H298" s="72" t="s">
        <v>790</v>
      </c>
      <c r="I298" s="72" t="s">
        <v>59</v>
      </c>
      <c r="J298" s="72" t="s">
        <v>59</v>
      </c>
      <c r="K298" s="72" t="s">
        <v>59</v>
      </c>
      <c r="L298" s="72" t="s">
        <v>59</v>
      </c>
      <c r="M298" s="117"/>
    </row>
    <row r="299" spans="1:13" s="70" customFormat="1" ht="15.6">
      <c r="A299" s="258" t="s">
        <v>360</v>
      </c>
      <c r="B299" s="256" t="s">
        <v>1253</v>
      </c>
      <c r="C299" s="195" t="s">
        <v>705</v>
      </c>
      <c r="D299" s="196">
        <v>46474</v>
      </c>
      <c r="E299" s="195" t="s">
        <v>73</v>
      </c>
      <c r="F299" s="197">
        <v>501.76</v>
      </c>
      <c r="G299" s="66"/>
      <c r="H299" s="72" t="s">
        <v>790</v>
      </c>
      <c r="I299" s="72" t="s">
        <v>59</v>
      </c>
      <c r="J299" s="72" t="s">
        <v>59</v>
      </c>
      <c r="K299" s="72" t="s">
        <v>59</v>
      </c>
      <c r="L299" s="72" t="s">
        <v>59</v>
      </c>
      <c r="M299" s="117"/>
    </row>
    <row r="300" spans="1:13" s="70" customFormat="1" ht="15.6">
      <c r="A300" s="258" t="s">
        <v>361</v>
      </c>
      <c r="B300" s="256" t="s">
        <v>1332</v>
      </c>
      <c r="C300" s="195" t="s">
        <v>705</v>
      </c>
      <c r="D300" s="196">
        <v>46474</v>
      </c>
      <c r="E300" s="195" t="s">
        <v>69</v>
      </c>
      <c r="F300" s="197">
        <v>200.8</v>
      </c>
      <c r="G300" s="66"/>
      <c r="H300" s="72" t="s">
        <v>790</v>
      </c>
      <c r="I300" s="72" t="s">
        <v>59</v>
      </c>
      <c r="J300" s="72" t="s">
        <v>59</v>
      </c>
      <c r="K300" s="72" t="s">
        <v>59</v>
      </c>
      <c r="L300" s="72" t="s">
        <v>59</v>
      </c>
      <c r="M300" s="117"/>
    </row>
    <row r="301" spans="1:13" s="70" customFormat="1" ht="15.6">
      <c r="A301" s="258" t="s">
        <v>362</v>
      </c>
      <c r="B301" s="256" t="s">
        <v>1013</v>
      </c>
      <c r="C301" s="195" t="s">
        <v>692</v>
      </c>
      <c r="D301" s="196">
        <v>47274</v>
      </c>
      <c r="E301" s="195" t="s">
        <v>72</v>
      </c>
      <c r="F301" s="197">
        <v>203.17</v>
      </c>
      <c r="G301" s="66"/>
      <c r="H301" s="72" t="s">
        <v>790</v>
      </c>
      <c r="I301" s="72" t="s">
        <v>365</v>
      </c>
      <c r="J301" s="72" t="s">
        <v>365</v>
      </c>
      <c r="K301" s="72" t="s">
        <v>59</v>
      </c>
      <c r="L301" s="72" t="s">
        <v>59</v>
      </c>
      <c r="M301" s="117"/>
    </row>
    <row r="302" spans="1:13" s="70" customFormat="1" ht="15.6">
      <c r="A302" s="258" t="s">
        <v>363</v>
      </c>
      <c r="B302" s="256" t="s">
        <v>1032</v>
      </c>
      <c r="C302" s="195" t="s">
        <v>364</v>
      </c>
      <c r="D302" s="196">
        <v>46990</v>
      </c>
      <c r="E302" s="195" t="s">
        <v>72</v>
      </c>
      <c r="F302" s="197">
        <v>302.16000000000003</v>
      </c>
      <c r="G302" s="66"/>
      <c r="H302" s="72" t="s">
        <v>790</v>
      </c>
      <c r="I302" s="72" t="s">
        <v>365</v>
      </c>
      <c r="J302" s="72" t="s">
        <v>365</v>
      </c>
      <c r="K302" s="72" t="s">
        <v>59</v>
      </c>
      <c r="L302" s="72" t="s">
        <v>59</v>
      </c>
      <c r="M302" s="117"/>
    </row>
    <row r="303" spans="1:13" s="70" customFormat="1" ht="15.6">
      <c r="A303" s="258" t="s">
        <v>366</v>
      </c>
      <c r="B303" s="256" t="s">
        <v>1305</v>
      </c>
      <c r="C303" s="195" t="s">
        <v>674</v>
      </c>
      <c r="D303" s="196">
        <v>46507</v>
      </c>
      <c r="E303" s="195" t="s">
        <v>72</v>
      </c>
      <c r="F303" s="197">
        <v>151.9</v>
      </c>
      <c r="G303" s="66"/>
      <c r="H303" s="72" t="s">
        <v>790</v>
      </c>
      <c r="I303" s="72" t="s">
        <v>59</v>
      </c>
      <c r="J303" s="72" t="s">
        <v>59</v>
      </c>
      <c r="K303" s="72" t="s">
        <v>59</v>
      </c>
      <c r="L303" s="72" t="s">
        <v>59</v>
      </c>
      <c r="M303" s="117"/>
    </row>
    <row r="304" spans="1:13" s="70" customFormat="1" ht="15.6">
      <c r="A304" s="258" t="s">
        <v>367</v>
      </c>
      <c r="B304" s="256" t="s">
        <v>1240</v>
      </c>
      <c r="C304" s="195" t="s">
        <v>764</v>
      </c>
      <c r="D304" s="196">
        <v>46209</v>
      </c>
      <c r="E304" s="195" t="s">
        <v>69</v>
      </c>
      <c r="F304" s="197">
        <v>153.30000000000001</v>
      </c>
      <c r="G304" s="66"/>
      <c r="H304" s="72" t="s">
        <v>785</v>
      </c>
      <c r="I304" s="72" t="s">
        <v>59</v>
      </c>
      <c r="J304" s="72" t="s">
        <v>59</v>
      </c>
      <c r="K304" s="72" t="s">
        <v>59</v>
      </c>
      <c r="L304" s="72" t="s">
        <v>59</v>
      </c>
      <c r="M304" s="117"/>
    </row>
    <row r="305" spans="1:13" s="70" customFormat="1" ht="15.6">
      <c r="A305" s="258" t="s">
        <v>369</v>
      </c>
      <c r="B305" s="256" t="s">
        <v>1220</v>
      </c>
      <c r="C305" s="195" t="s">
        <v>717</v>
      </c>
      <c r="D305" s="196">
        <v>46539</v>
      </c>
      <c r="E305" s="195" t="s">
        <v>69</v>
      </c>
      <c r="F305" s="197">
        <v>201.6</v>
      </c>
      <c r="G305" s="66"/>
      <c r="H305" s="72" t="s">
        <v>785</v>
      </c>
      <c r="I305" s="72" t="s">
        <v>59</v>
      </c>
      <c r="J305" s="72" t="s">
        <v>59</v>
      </c>
      <c r="K305" s="72" t="s">
        <v>59</v>
      </c>
      <c r="L305" s="72" t="s">
        <v>59</v>
      </c>
      <c r="M305" s="117"/>
    </row>
    <row r="306" spans="1:13" s="70" customFormat="1" ht="15.6">
      <c r="A306" s="258" t="s">
        <v>370</v>
      </c>
      <c r="B306" s="256" t="s">
        <v>1308</v>
      </c>
      <c r="C306" s="195" t="s">
        <v>659</v>
      </c>
      <c r="D306" s="196">
        <v>46188</v>
      </c>
      <c r="E306" s="195" t="s">
        <v>72</v>
      </c>
      <c r="F306" s="197">
        <v>204.08</v>
      </c>
      <c r="G306" s="66"/>
      <c r="H306" s="72" t="s">
        <v>790</v>
      </c>
      <c r="I306" s="72" t="s">
        <v>59</v>
      </c>
      <c r="J306" s="72" t="s">
        <v>59</v>
      </c>
      <c r="K306" s="72" t="s">
        <v>59</v>
      </c>
      <c r="L306" s="72" t="s">
        <v>59</v>
      </c>
      <c r="M306" s="117"/>
    </row>
    <row r="307" spans="1:13" s="70" customFormat="1" ht="15.6">
      <c r="A307" s="258" t="s">
        <v>371</v>
      </c>
      <c r="B307" s="256" t="s">
        <v>1068</v>
      </c>
      <c r="C307" s="195" t="s">
        <v>711</v>
      </c>
      <c r="D307" s="196">
        <v>46354</v>
      </c>
      <c r="E307" s="195" t="s">
        <v>72</v>
      </c>
      <c r="F307" s="197">
        <v>121.89</v>
      </c>
      <c r="G307" s="66"/>
      <c r="H307" s="72" t="s">
        <v>790</v>
      </c>
      <c r="I307" s="72" t="s">
        <v>59</v>
      </c>
      <c r="J307" s="72" t="s">
        <v>59</v>
      </c>
      <c r="K307" s="72" t="s">
        <v>59</v>
      </c>
      <c r="L307" s="72" t="s">
        <v>59</v>
      </c>
      <c r="M307" s="117"/>
    </row>
    <row r="308" spans="1:13" s="70" customFormat="1" ht="15.6">
      <c r="A308" s="258" t="s">
        <v>372</v>
      </c>
      <c r="B308" s="256" t="s">
        <v>1336</v>
      </c>
      <c r="C308" s="195" t="s">
        <v>672</v>
      </c>
      <c r="D308" s="196">
        <v>45901</v>
      </c>
      <c r="E308" s="195" t="s">
        <v>73</v>
      </c>
      <c r="F308" s="197">
        <v>197.01</v>
      </c>
      <c r="G308" s="66"/>
      <c r="H308" s="72" t="s">
        <v>790</v>
      </c>
      <c r="I308" s="72" t="s">
        <v>59</v>
      </c>
      <c r="J308" s="72" t="s">
        <v>59</v>
      </c>
      <c r="K308" s="72" t="s">
        <v>59</v>
      </c>
      <c r="L308" s="72" t="s">
        <v>59</v>
      </c>
      <c r="M308" s="117"/>
    </row>
    <row r="309" spans="1:13" s="70" customFormat="1" ht="15.6">
      <c r="A309" s="258" t="s">
        <v>373</v>
      </c>
      <c r="B309" s="256" t="s">
        <v>1229</v>
      </c>
      <c r="C309" s="195" t="s">
        <v>712</v>
      </c>
      <c r="D309" s="196">
        <v>46630</v>
      </c>
      <c r="E309" s="195" t="s">
        <v>72</v>
      </c>
      <c r="F309" s="197">
        <v>251.28</v>
      </c>
      <c r="G309" s="66"/>
      <c r="H309" s="72" t="s">
        <v>790</v>
      </c>
      <c r="I309" s="72" t="s">
        <v>59</v>
      </c>
      <c r="J309" s="72" t="s">
        <v>59</v>
      </c>
      <c r="K309" s="72" t="s">
        <v>59</v>
      </c>
      <c r="L309" s="72" t="s">
        <v>59</v>
      </c>
      <c r="M309" s="117"/>
    </row>
    <row r="310" spans="1:13" s="70" customFormat="1" ht="15.6">
      <c r="A310" s="258" t="s">
        <v>374</v>
      </c>
      <c r="B310" s="256" t="s">
        <v>1094</v>
      </c>
      <c r="C310" s="195" t="s">
        <v>742</v>
      </c>
      <c r="D310" s="196">
        <v>46133</v>
      </c>
      <c r="E310" s="195" t="s">
        <v>69</v>
      </c>
      <c r="F310" s="197">
        <v>121</v>
      </c>
      <c r="G310" s="66"/>
      <c r="H310" s="72" t="s">
        <v>785</v>
      </c>
      <c r="I310" s="72" t="s">
        <v>59</v>
      </c>
      <c r="J310" s="72" t="s">
        <v>59</v>
      </c>
      <c r="K310" s="72" t="s">
        <v>59</v>
      </c>
      <c r="L310" s="72" t="s">
        <v>59</v>
      </c>
      <c r="M310" s="117"/>
    </row>
    <row r="311" spans="1:13" s="70" customFormat="1" ht="15.6">
      <c r="A311" s="258" t="s">
        <v>375</v>
      </c>
      <c r="B311" s="256" t="s">
        <v>1355</v>
      </c>
      <c r="C311" s="195" t="s">
        <v>718</v>
      </c>
      <c r="D311" s="196">
        <v>46152</v>
      </c>
      <c r="E311" s="195" t="s">
        <v>69</v>
      </c>
      <c r="F311" s="197">
        <v>145.55000000000001</v>
      </c>
      <c r="G311" s="66"/>
      <c r="H311" s="72" t="s">
        <v>790</v>
      </c>
      <c r="I311" s="72" t="s">
        <v>59</v>
      </c>
      <c r="J311" s="72" t="s">
        <v>59</v>
      </c>
      <c r="K311" s="72" t="s">
        <v>59</v>
      </c>
      <c r="L311" s="72" t="s">
        <v>59</v>
      </c>
      <c r="M311" s="117"/>
    </row>
    <row r="312" spans="1:13" s="70" customFormat="1" ht="15.6">
      <c r="A312" s="258" t="s">
        <v>376</v>
      </c>
      <c r="B312" s="256" t="s">
        <v>1306</v>
      </c>
      <c r="C312" s="195" t="s">
        <v>677</v>
      </c>
      <c r="D312" s="196">
        <v>46386</v>
      </c>
      <c r="E312" s="195" t="s">
        <v>72</v>
      </c>
      <c r="F312" s="197">
        <v>121.29</v>
      </c>
      <c r="G312" s="66"/>
      <c r="H312" s="72" t="s">
        <v>790</v>
      </c>
      <c r="I312" s="72" t="s">
        <v>59</v>
      </c>
      <c r="J312" s="72" t="s">
        <v>59</v>
      </c>
      <c r="K312" s="72" t="s">
        <v>59</v>
      </c>
      <c r="L312" s="72" t="s">
        <v>59</v>
      </c>
      <c r="M312" s="117"/>
    </row>
    <row r="313" spans="1:13" s="70" customFormat="1" ht="15.6">
      <c r="A313" s="258" t="s">
        <v>377</v>
      </c>
      <c r="B313" s="256" t="s">
        <v>1150</v>
      </c>
      <c r="C313" s="195" t="s">
        <v>726</v>
      </c>
      <c r="D313" s="196">
        <v>46195</v>
      </c>
      <c r="E313" s="195" t="s">
        <v>72</v>
      </c>
      <c r="F313" s="197">
        <v>17.7</v>
      </c>
      <c r="G313" s="66"/>
      <c r="H313" s="72" t="s">
        <v>785</v>
      </c>
      <c r="I313" s="72" t="s">
        <v>59</v>
      </c>
      <c r="J313" s="72" t="s">
        <v>59</v>
      </c>
      <c r="K313" s="72" t="s">
        <v>59</v>
      </c>
      <c r="L313" s="72" t="s">
        <v>59</v>
      </c>
      <c r="M313" s="117"/>
    </row>
    <row r="314" spans="1:13" s="70" customFormat="1" ht="15.6">
      <c r="A314" s="258" t="s">
        <v>378</v>
      </c>
      <c r="B314" s="256" t="s">
        <v>1118</v>
      </c>
      <c r="C314" s="195" t="s">
        <v>767</v>
      </c>
      <c r="D314" s="196">
        <v>46647</v>
      </c>
      <c r="E314" s="195" t="s">
        <v>73</v>
      </c>
      <c r="F314" s="197">
        <v>287</v>
      </c>
      <c r="G314" s="66"/>
      <c r="H314" s="72" t="s">
        <v>790</v>
      </c>
      <c r="I314" s="72" t="s">
        <v>59</v>
      </c>
      <c r="J314" s="72" t="s">
        <v>59</v>
      </c>
      <c r="K314" s="72" t="s">
        <v>59</v>
      </c>
      <c r="L314" s="72" t="s">
        <v>59</v>
      </c>
      <c r="M314" s="117"/>
    </row>
    <row r="315" spans="1:13" s="70" customFormat="1" ht="15.6">
      <c r="A315" s="258" t="s">
        <v>379</v>
      </c>
      <c r="B315" s="256" t="s">
        <v>1021</v>
      </c>
      <c r="C315" s="195" t="s">
        <v>770</v>
      </c>
      <c r="D315" s="196">
        <v>46371</v>
      </c>
      <c r="E315" s="195" t="s">
        <v>69</v>
      </c>
      <c r="F315" s="197">
        <v>100.83</v>
      </c>
      <c r="G315" s="66"/>
      <c r="H315" s="72" t="s">
        <v>785</v>
      </c>
      <c r="I315" s="72" t="s">
        <v>59</v>
      </c>
      <c r="J315" s="72" t="s">
        <v>59</v>
      </c>
      <c r="K315" s="72" t="s">
        <v>59</v>
      </c>
      <c r="L315" s="72" t="s">
        <v>59</v>
      </c>
      <c r="M315" s="117"/>
    </row>
    <row r="316" spans="1:13" s="70" customFormat="1" ht="15.6">
      <c r="A316" s="258" t="s">
        <v>380</v>
      </c>
      <c r="B316" s="256" t="s">
        <v>936</v>
      </c>
      <c r="C316" s="195" t="s">
        <v>678</v>
      </c>
      <c r="D316" s="196">
        <v>46671</v>
      </c>
      <c r="E316" s="195" t="s">
        <v>72</v>
      </c>
      <c r="F316" s="197">
        <v>222.95</v>
      </c>
      <c r="G316" s="66"/>
      <c r="H316" s="72" t="s">
        <v>790</v>
      </c>
      <c r="I316" s="72" t="s">
        <v>59</v>
      </c>
      <c r="J316" s="72" t="s">
        <v>59</v>
      </c>
      <c r="K316" s="72" t="s">
        <v>59</v>
      </c>
      <c r="L316" s="72" t="s">
        <v>59</v>
      </c>
      <c r="M316" s="117"/>
    </row>
    <row r="317" spans="1:13" s="70" customFormat="1" ht="15.6">
      <c r="A317" s="258" t="s">
        <v>381</v>
      </c>
      <c r="B317" s="256" t="s">
        <v>794</v>
      </c>
      <c r="C317" s="195" t="s">
        <v>756</v>
      </c>
      <c r="D317" s="196">
        <v>46874</v>
      </c>
      <c r="E317" s="195" t="s">
        <v>71</v>
      </c>
      <c r="F317" s="197">
        <v>455</v>
      </c>
      <c r="G317" s="66"/>
      <c r="H317" s="72" t="s">
        <v>790</v>
      </c>
      <c r="I317" s="72" t="s">
        <v>365</v>
      </c>
      <c r="J317" s="72" t="s">
        <v>365</v>
      </c>
      <c r="K317" s="72" t="s">
        <v>59</v>
      </c>
      <c r="L317" s="72" t="s">
        <v>59</v>
      </c>
      <c r="M317" s="117"/>
    </row>
    <row r="318" spans="1:13" s="70" customFormat="1" ht="15.6">
      <c r="A318" s="258" t="s">
        <v>382</v>
      </c>
      <c r="B318" s="256" t="s">
        <v>793</v>
      </c>
      <c r="C318" s="195" t="s">
        <v>756</v>
      </c>
      <c r="D318" s="196">
        <v>46874</v>
      </c>
      <c r="E318" s="195" t="s">
        <v>71</v>
      </c>
      <c r="F318" s="197">
        <v>102</v>
      </c>
      <c r="G318" s="66"/>
      <c r="H318" s="72" t="s">
        <v>785</v>
      </c>
      <c r="I318" s="72" t="s">
        <v>365</v>
      </c>
      <c r="J318" s="72" t="s">
        <v>365</v>
      </c>
      <c r="K318" s="72" t="s">
        <v>59</v>
      </c>
      <c r="L318" s="72" t="s">
        <v>59</v>
      </c>
      <c r="M318" s="117"/>
    </row>
    <row r="319" spans="1:13" s="70" customFormat="1" ht="15.6">
      <c r="A319" s="258" t="s">
        <v>383</v>
      </c>
      <c r="B319" s="256" t="s">
        <v>1380</v>
      </c>
      <c r="C319" s="195" t="s">
        <v>756</v>
      </c>
      <c r="D319" s="196">
        <v>46629</v>
      </c>
      <c r="E319" s="195" t="s">
        <v>69</v>
      </c>
      <c r="F319" s="197">
        <v>154</v>
      </c>
      <c r="G319" s="66"/>
      <c r="H319" s="72" t="s">
        <v>790</v>
      </c>
      <c r="I319" s="72" t="s">
        <v>59</v>
      </c>
      <c r="J319" s="72" t="s">
        <v>59</v>
      </c>
      <c r="K319" s="72" t="s">
        <v>59</v>
      </c>
      <c r="L319" s="72" t="s">
        <v>59</v>
      </c>
      <c r="M319" s="117"/>
    </row>
    <row r="320" spans="1:13" s="70" customFormat="1" ht="15.6">
      <c r="A320" s="258" t="s">
        <v>384</v>
      </c>
      <c r="B320" s="256" t="s">
        <v>1012</v>
      </c>
      <c r="C320" s="195" t="s">
        <v>756</v>
      </c>
      <c r="D320" s="196">
        <v>46629</v>
      </c>
      <c r="E320" s="195" t="s">
        <v>72</v>
      </c>
      <c r="F320" s="197">
        <v>50.42</v>
      </c>
      <c r="G320" s="66"/>
      <c r="H320" s="72" t="s">
        <v>790</v>
      </c>
      <c r="I320" s="72" t="s">
        <v>59</v>
      </c>
      <c r="J320" s="72" t="s">
        <v>59</v>
      </c>
      <c r="K320" s="72" t="s">
        <v>59</v>
      </c>
      <c r="L320" s="72" t="s">
        <v>59</v>
      </c>
      <c r="M320" s="117"/>
    </row>
    <row r="321" spans="1:13" s="70" customFormat="1" ht="15.6">
      <c r="A321" s="258" t="s">
        <v>385</v>
      </c>
      <c r="B321" s="256" t="s">
        <v>1119</v>
      </c>
      <c r="C321" s="195" t="s">
        <v>694</v>
      </c>
      <c r="D321" s="196">
        <v>46143</v>
      </c>
      <c r="E321" s="195" t="s">
        <v>69</v>
      </c>
      <c r="F321" s="197">
        <v>201.13</v>
      </c>
      <c r="G321" s="66"/>
      <c r="H321" s="72" t="s">
        <v>790</v>
      </c>
      <c r="I321" s="72" t="s">
        <v>59</v>
      </c>
      <c r="J321" s="72" t="s">
        <v>59</v>
      </c>
      <c r="K321" s="72" t="s">
        <v>59</v>
      </c>
      <c r="L321" s="72" t="s">
        <v>59</v>
      </c>
      <c r="M321" s="117"/>
    </row>
    <row r="322" spans="1:13" s="70" customFormat="1" ht="15.6">
      <c r="A322" s="258" t="s">
        <v>386</v>
      </c>
      <c r="B322" s="256" t="s">
        <v>1304</v>
      </c>
      <c r="C322" s="195" t="s">
        <v>694</v>
      </c>
      <c r="D322" s="196">
        <v>46143</v>
      </c>
      <c r="E322" s="195" t="s">
        <v>72</v>
      </c>
      <c r="F322" s="197">
        <v>509.88</v>
      </c>
      <c r="G322" s="66"/>
      <c r="H322" s="72" t="s">
        <v>790</v>
      </c>
      <c r="I322" s="72" t="s">
        <v>59</v>
      </c>
      <c r="J322" s="72" t="s">
        <v>59</v>
      </c>
      <c r="K322" s="72" t="s">
        <v>59</v>
      </c>
      <c r="L322" s="72" t="s">
        <v>59</v>
      </c>
      <c r="M322" s="117"/>
    </row>
    <row r="323" spans="1:13" s="70" customFormat="1" ht="15.6">
      <c r="A323" s="258" t="s">
        <v>388</v>
      </c>
      <c r="B323" s="256" t="s">
        <v>1147</v>
      </c>
      <c r="C323" s="195" t="s">
        <v>671</v>
      </c>
      <c r="D323" s="196">
        <v>46721</v>
      </c>
      <c r="E323" s="195" t="s">
        <v>72</v>
      </c>
      <c r="F323" s="197">
        <v>202.5</v>
      </c>
      <c r="G323" s="66"/>
      <c r="H323" s="72" t="s">
        <v>785</v>
      </c>
      <c r="I323" s="72" t="s">
        <v>59</v>
      </c>
      <c r="J323" s="72" t="s">
        <v>59</v>
      </c>
      <c r="K323" s="72" t="s">
        <v>59</v>
      </c>
      <c r="L323" s="72" t="s">
        <v>59</v>
      </c>
      <c r="M323" s="117"/>
    </row>
    <row r="324" spans="1:13" s="70" customFormat="1" ht="15.6">
      <c r="A324" s="258" t="s">
        <v>389</v>
      </c>
      <c r="B324" s="256" t="s">
        <v>1239</v>
      </c>
      <c r="C324" s="195" t="s">
        <v>716</v>
      </c>
      <c r="D324" s="196">
        <v>47011</v>
      </c>
      <c r="E324" s="195" t="s">
        <v>69</v>
      </c>
      <c r="F324" s="197">
        <v>82.08</v>
      </c>
      <c r="G324" s="66"/>
      <c r="H324" s="72" t="s">
        <v>785</v>
      </c>
      <c r="I324" s="72" t="s">
        <v>365</v>
      </c>
      <c r="J324" s="72" t="s">
        <v>365</v>
      </c>
      <c r="K324" s="72" t="s">
        <v>59</v>
      </c>
      <c r="L324" s="72" t="s">
        <v>59</v>
      </c>
      <c r="M324" s="117"/>
    </row>
    <row r="325" spans="1:13" s="70" customFormat="1" ht="15.6">
      <c r="A325" s="258" t="s">
        <v>390</v>
      </c>
      <c r="B325" s="256" t="s">
        <v>1125</v>
      </c>
      <c r="C325" s="195" t="s">
        <v>716</v>
      </c>
      <c r="D325" s="196">
        <v>47011</v>
      </c>
      <c r="E325" s="195" t="s">
        <v>72</v>
      </c>
      <c r="F325" s="197">
        <v>110</v>
      </c>
      <c r="G325" s="66"/>
      <c r="H325" s="72" t="s">
        <v>785</v>
      </c>
      <c r="I325" s="72" t="s">
        <v>365</v>
      </c>
      <c r="J325" s="72" t="s">
        <v>365</v>
      </c>
      <c r="K325" s="72" t="s">
        <v>59</v>
      </c>
      <c r="L325" s="72" t="s">
        <v>59</v>
      </c>
      <c r="M325" s="117"/>
    </row>
    <row r="326" spans="1:13" s="70" customFormat="1" ht="15.6">
      <c r="A326" s="258" t="s">
        <v>392</v>
      </c>
      <c r="B326" s="256" t="s">
        <v>1148</v>
      </c>
      <c r="C326" s="195" t="s">
        <v>683</v>
      </c>
      <c r="D326" s="196">
        <v>46447</v>
      </c>
      <c r="E326" s="195" t="s">
        <v>73</v>
      </c>
      <c r="F326" s="197">
        <v>304.60000000000002</v>
      </c>
      <c r="G326" s="66"/>
      <c r="H326" s="72" t="s">
        <v>790</v>
      </c>
      <c r="I326" s="72" t="s">
        <v>59</v>
      </c>
      <c r="J326" s="72" t="s">
        <v>59</v>
      </c>
      <c r="K326" s="72" t="s">
        <v>59</v>
      </c>
      <c r="L326" s="72" t="s">
        <v>59</v>
      </c>
      <c r="M326" s="117"/>
    </row>
    <row r="327" spans="1:13" s="70" customFormat="1" ht="15.6">
      <c r="A327" s="258" t="s">
        <v>393</v>
      </c>
      <c r="B327" s="256" t="s">
        <v>1286</v>
      </c>
      <c r="C327" s="195" t="s">
        <v>750</v>
      </c>
      <c r="D327" s="196">
        <v>46234</v>
      </c>
      <c r="E327" s="195" t="s">
        <v>72</v>
      </c>
      <c r="F327" s="197">
        <v>425.02</v>
      </c>
      <c r="G327" s="66"/>
      <c r="H327" s="72" t="s">
        <v>790</v>
      </c>
      <c r="I327" s="72" t="s">
        <v>59</v>
      </c>
      <c r="J327" s="72" t="s">
        <v>59</v>
      </c>
      <c r="K327" s="72" t="s">
        <v>59</v>
      </c>
      <c r="L327" s="72" t="s">
        <v>59</v>
      </c>
      <c r="M327" s="117"/>
    </row>
    <row r="328" spans="1:13" s="70" customFormat="1" ht="15.6">
      <c r="A328" s="258" t="s">
        <v>394</v>
      </c>
      <c r="B328" s="256" t="s">
        <v>1264</v>
      </c>
      <c r="C328" s="195" t="s">
        <v>652</v>
      </c>
      <c r="D328" s="196">
        <v>46512</v>
      </c>
      <c r="E328" s="195" t="s">
        <v>69</v>
      </c>
      <c r="F328" s="197">
        <v>307.45999999999998</v>
      </c>
      <c r="G328" s="66"/>
      <c r="H328" s="72" t="s">
        <v>790</v>
      </c>
      <c r="I328" s="72" t="s">
        <v>59</v>
      </c>
      <c r="J328" s="72" t="s">
        <v>59</v>
      </c>
      <c r="K328" s="72" t="s">
        <v>59</v>
      </c>
      <c r="L328" s="72" t="s">
        <v>59</v>
      </c>
      <c r="M328" s="117"/>
    </row>
    <row r="329" spans="1:13" s="70" customFormat="1" ht="15.6">
      <c r="A329" s="258" t="s">
        <v>395</v>
      </c>
      <c r="B329" s="256" t="s">
        <v>1349</v>
      </c>
      <c r="C329" s="195" t="s">
        <v>973</v>
      </c>
      <c r="D329" s="196">
        <v>46741</v>
      </c>
      <c r="E329" s="195" t="s">
        <v>72</v>
      </c>
      <c r="F329" s="197">
        <v>702.64</v>
      </c>
      <c r="G329" s="66"/>
      <c r="H329" s="72" t="s">
        <v>790</v>
      </c>
      <c r="I329" s="72" t="s">
        <v>59</v>
      </c>
      <c r="J329" s="72" t="s">
        <v>59</v>
      </c>
      <c r="K329" s="72" t="s">
        <v>59</v>
      </c>
      <c r="L329" s="72" t="s">
        <v>59</v>
      </c>
      <c r="M329" s="117"/>
    </row>
    <row r="330" spans="1:13" s="70" customFormat="1" ht="15.6">
      <c r="A330" s="258" t="s">
        <v>396</v>
      </c>
      <c r="B330" s="256" t="s">
        <v>1163</v>
      </c>
      <c r="C330" s="195" t="s">
        <v>973</v>
      </c>
      <c r="D330" s="196">
        <v>46741</v>
      </c>
      <c r="E330" s="195" t="s">
        <v>73</v>
      </c>
      <c r="F330" s="197">
        <v>709</v>
      </c>
      <c r="G330" s="66"/>
      <c r="H330" s="72" t="s">
        <v>790</v>
      </c>
      <c r="I330" s="72" t="s">
        <v>59</v>
      </c>
      <c r="J330" s="72" t="s">
        <v>59</v>
      </c>
      <c r="K330" s="72" t="s">
        <v>59</v>
      </c>
      <c r="L330" s="72" t="s">
        <v>59</v>
      </c>
      <c r="M330" s="117"/>
    </row>
    <row r="331" spans="1:13" s="70" customFormat="1" ht="15.6">
      <c r="A331" s="258" t="s">
        <v>397</v>
      </c>
      <c r="B331" s="256" t="s">
        <v>1039</v>
      </c>
      <c r="C331" s="195" t="s">
        <v>664</v>
      </c>
      <c r="D331" s="196">
        <v>46508</v>
      </c>
      <c r="E331" s="195" t="s">
        <v>72</v>
      </c>
      <c r="F331" s="197">
        <v>451.35</v>
      </c>
      <c r="G331" s="66"/>
      <c r="H331" s="72" t="s">
        <v>790</v>
      </c>
      <c r="I331" s="72" t="s">
        <v>59</v>
      </c>
      <c r="J331" s="72" t="s">
        <v>59</v>
      </c>
      <c r="K331" s="72" t="s">
        <v>59</v>
      </c>
      <c r="L331" s="72" t="s">
        <v>59</v>
      </c>
      <c r="M331" s="117"/>
    </row>
    <row r="332" spans="1:13" s="70" customFormat="1" ht="15.6">
      <c r="A332" s="258" t="s">
        <v>398</v>
      </c>
      <c r="B332" s="256" t="s">
        <v>1051</v>
      </c>
      <c r="C332" s="195" t="s">
        <v>681</v>
      </c>
      <c r="D332" s="196">
        <v>46387</v>
      </c>
      <c r="E332" s="195" t="s">
        <v>69</v>
      </c>
      <c r="F332" s="197">
        <v>41.11</v>
      </c>
      <c r="G332" s="66"/>
      <c r="H332" s="72" t="s">
        <v>790</v>
      </c>
      <c r="I332" s="72" t="s">
        <v>59</v>
      </c>
      <c r="J332" s="72" t="s">
        <v>59</v>
      </c>
      <c r="K332" s="72" t="s">
        <v>59</v>
      </c>
      <c r="L332" s="72" t="s">
        <v>59</v>
      </c>
      <c r="M332" s="117"/>
    </row>
    <row r="333" spans="1:13" s="70" customFormat="1" ht="15.6">
      <c r="A333" s="258" t="s">
        <v>399</v>
      </c>
      <c r="B333" s="256" t="s">
        <v>955</v>
      </c>
      <c r="C333" s="195" t="s">
        <v>681</v>
      </c>
      <c r="D333" s="196">
        <v>46387</v>
      </c>
      <c r="E333" s="195" t="s">
        <v>72</v>
      </c>
      <c r="F333" s="197">
        <v>41.11</v>
      </c>
      <c r="G333" s="66"/>
      <c r="H333" s="72" t="s">
        <v>790</v>
      </c>
      <c r="I333" s="72" t="s">
        <v>59</v>
      </c>
      <c r="J333" s="72" t="s">
        <v>59</v>
      </c>
      <c r="K333" s="72" t="s">
        <v>59</v>
      </c>
      <c r="L333" s="72" t="s">
        <v>59</v>
      </c>
      <c r="M333" s="117"/>
    </row>
    <row r="334" spans="1:13" s="70" customFormat="1" ht="15.6">
      <c r="A334" s="258" t="s">
        <v>400</v>
      </c>
      <c r="B334" s="256" t="s">
        <v>1085</v>
      </c>
      <c r="C334" s="195" t="s">
        <v>695</v>
      </c>
      <c r="D334" s="196">
        <v>46905</v>
      </c>
      <c r="E334" s="195" t="s">
        <v>72</v>
      </c>
      <c r="F334" s="197">
        <v>203.9</v>
      </c>
      <c r="G334" s="66"/>
      <c r="H334" s="72" t="s">
        <v>790</v>
      </c>
      <c r="I334" s="72" t="s">
        <v>365</v>
      </c>
      <c r="J334" s="72" t="s">
        <v>365</v>
      </c>
      <c r="K334" s="72" t="s">
        <v>59</v>
      </c>
      <c r="L334" s="72" t="s">
        <v>59</v>
      </c>
      <c r="M334" s="117"/>
    </row>
    <row r="335" spans="1:13" s="70" customFormat="1" ht="15.6">
      <c r="A335" s="258" t="s">
        <v>401</v>
      </c>
      <c r="B335" s="256" t="s">
        <v>1141</v>
      </c>
      <c r="C335" s="195" t="s">
        <v>654</v>
      </c>
      <c r="D335" s="196">
        <v>45626</v>
      </c>
      <c r="E335" s="195" t="s">
        <v>73</v>
      </c>
      <c r="F335" s="197">
        <v>41</v>
      </c>
      <c r="G335" s="20"/>
      <c r="H335" s="72" t="s">
        <v>785</v>
      </c>
      <c r="I335" s="72" t="s">
        <v>59</v>
      </c>
      <c r="J335" s="72" t="s">
        <v>59</v>
      </c>
      <c r="K335" s="72" t="s">
        <v>59</v>
      </c>
      <c r="L335" s="72" t="s">
        <v>59</v>
      </c>
      <c r="M335" s="117"/>
    </row>
    <row r="336" spans="1:13" s="70" customFormat="1" ht="15.6">
      <c r="A336" s="258" t="s">
        <v>402</v>
      </c>
      <c r="B336" s="256" t="s">
        <v>1088</v>
      </c>
      <c r="C336" s="195" t="s">
        <v>754</v>
      </c>
      <c r="D336" s="196">
        <v>46523</v>
      </c>
      <c r="E336" s="195" t="s">
        <v>72</v>
      </c>
      <c r="F336" s="197">
        <v>137.26</v>
      </c>
      <c r="G336" s="66"/>
      <c r="H336" s="72" t="s">
        <v>790</v>
      </c>
      <c r="I336" s="72" t="s">
        <v>59</v>
      </c>
      <c r="J336" s="72" t="s">
        <v>59</v>
      </c>
      <c r="K336" s="72" t="s">
        <v>59</v>
      </c>
      <c r="L336" s="72" t="s">
        <v>59</v>
      </c>
      <c r="M336" s="117"/>
    </row>
    <row r="337" spans="1:13" s="70" customFormat="1" ht="15.6">
      <c r="A337" s="258" t="s">
        <v>403</v>
      </c>
      <c r="B337" s="256" t="s">
        <v>789</v>
      </c>
      <c r="C337" s="195" t="s">
        <v>756</v>
      </c>
      <c r="D337" s="196">
        <v>46939</v>
      </c>
      <c r="E337" s="195" t="s">
        <v>71</v>
      </c>
      <c r="F337" s="197">
        <v>518.83000000000004</v>
      </c>
      <c r="G337" s="66"/>
      <c r="H337" s="72" t="s">
        <v>790</v>
      </c>
      <c r="I337" s="72" t="s">
        <v>365</v>
      </c>
      <c r="J337" s="72" t="s">
        <v>365</v>
      </c>
      <c r="K337" s="72" t="s">
        <v>59</v>
      </c>
      <c r="L337" s="72" t="s">
        <v>59</v>
      </c>
      <c r="M337" s="117"/>
    </row>
    <row r="338" spans="1:13" s="70" customFormat="1" ht="15.6">
      <c r="A338" s="258" t="s">
        <v>404</v>
      </c>
      <c r="B338" s="256" t="s">
        <v>1009</v>
      </c>
      <c r="C338" s="195" t="s">
        <v>694</v>
      </c>
      <c r="D338" s="196">
        <v>46935</v>
      </c>
      <c r="E338" s="195" t="s">
        <v>72</v>
      </c>
      <c r="F338" s="197">
        <v>200.75</v>
      </c>
      <c r="G338" s="66"/>
      <c r="H338" s="72" t="s">
        <v>790</v>
      </c>
      <c r="I338" s="72" t="s">
        <v>365</v>
      </c>
      <c r="J338" s="72" t="s">
        <v>365</v>
      </c>
      <c r="K338" s="72" t="s">
        <v>59</v>
      </c>
      <c r="L338" s="72" t="s">
        <v>59</v>
      </c>
      <c r="M338" s="117"/>
    </row>
    <row r="339" spans="1:13" s="70" customFormat="1" ht="15.6">
      <c r="A339" s="258" t="s">
        <v>405</v>
      </c>
      <c r="B339" s="256" t="s">
        <v>941</v>
      </c>
      <c r="C339" s="195" t="s">
        <v>694</v>
      </c>
      <c r="D339" s="196">
        <v>46386</v>
      </c>
      <c r="E339" s="195" t="s">
        <v>69</v>
      </c>
      <c r="F339" s="197">
        <v>100.62</v>
      </c>
      <c r="G339" s="66"/>
      <c r="H339" s="72" t="s">
        <v>790</v>
      </c>
      <c r="I339" s="72" t="s">
        <v>59</v>
      </c>
      <c r="J339" s="72" t="s">
        <v>59</v>
      </c>
      <c r="K339" s="72" t="s">
        <v>59</v>
      </c>
      <c r="L339" s="72" t="s">
        <v>59</v>
      </c>
      <c r="M339" s="117"/>
    </row>
    <row r="340" spans="1:13" s="70" customFormat="1" ht="15.6">
      <c r="A340" s="258" t="s">
        <v>406</v>
      </c>
      <c r="B340" s="256" t="s">
        <v>1344</v>
      </c>
      <c r="C340" s="195" t="s">
        <v>766</v>
      </c>
      <c r="D340" s="196">
        <v>46843</v>
      </c>
      <c r="E340" s="195" t="s">
        <v>69</v>
      </c>
      <c r="F340" s="197">
        <v>51.3</v>
      </c>
      <c r="G340" s="66"/>
      <c r="H340" s="72" t="s">
        <v>790</v>
      </c>
      <c r="I340" s="72" t="s">
        <v>365</v>
      </c>
      <c r="J340" s="72" t="s">
        <v>365</v>
      </c>
      <c r="K340" s="72" t="s">
        <v>59</v>
      </c>
      <c r="L340" s="72" t="s">
        <v>59</v>
      </c>
      <c r="M340" s="117"/>
    </row>
    <row r="341" spans="1:13" s="70" customFormat="1" ht="15.6">
      <c r="A341" s="258" t="s">
        <v>407</v>
      </c>
      <c r="B341" s="256" t="s">
        <v>1142</v>
      </c>
      <c r="C341" s="195" t="s">
        <v>953</v>
      </c>
      <c r="D341" s="196">
        <v>46903</v>
      </c>
      <c r="E341" s="195" t="s">
        <v>69</v>
      </c>
      <c r="F341" s="197">
        <v>50</v>
      </c>
      <c r="G341" s="66"/>
      <c r="H341" s="72" t="s">
        <v>790</v>
      </c>
      <c r="I341" s="72" t="s">
        <v>365</v>
      </c>
      <c r="J341" s="72" t="s">
        <v>365</v>
      </c>
      <c r="K341" s="72" t="s">
        <v>59</v>
      </c>
      <c r="L341" s="72" t="s">
        <v>59</v>
      </c>
      <c r="M341" s="117"/>
    </row>
    <row r="342" spans="1:13" s="70" customFormat="1" ht="15.6">
      <c r="A342" s="258" t="s">
        <v>408</v>
      </c>
      <c r="B342" s="256" t="s">
        <v>976</v>
      </c>
      <c r="C342" s="195" t="s">
        <v>953</v>
      </c>
      <c r="D342" s="196">
        <v>46903</v>
      </c>
      <c r="E342" s="195" t="s">
        <v>69</v>
      </c>
      <c r="F342" s="197">
        <v>50</v>
      </c>
      <c r="G342" s="66"/>
      <c r="H342" s="72" t="s">
        <v>790</v>
      </c>
      <c r="I342" s="72" t="s">
        <v>365</v>
      </c>
      <c r="J342" s="72" t="s">
        <v>365</v>
      </c>
      <c r="K342" s="72" t="s">
        <v>59</v>
      </c>
      <c r="L342" s="72" t="s">
        <v>59</v>
      </c>
      <c r="M342" s="117"/>
    </row>
    <row r="343" spans="1:13" s="70" customFormat="1" ht="15.6">
      <c r="A343" s="258" t="s">
        <v>409</v>
      </c>
      <c r="B343" s="256" t="s">
        <v>975</v>
      </c>
      <c r="C343" s="195" t="s">
        <v>953</v>
      </c>
      <c r="D343" s="196">
        <v>46539</v>
      </c>
      <c r="E343" s="195" t="s">
        <v>72</v>
      </c>
      <c r="F343" s="197">
        <v>260</v>
      </c>
      <c r="G343" s="66"/>
      <c r="H343" s="72" t="s">
        <v>790</v>
      </c>
      <c r="I343" s="72" t="s">
        <v>59</v>
      </c>
      <c r="J343" s="72" t="s">
        <v>59</v>
      </c>
      <c r="K343" s="72" t="s">
        <v>59</v>
      </c>
      <c r="L343" s="72" t="s">
        <v>59</v>
      </c>
      <c r="M343" s="117"/>
    </row>
    <row r="344" spans="1:13" s="70" customFormat="1" ht="15.6">
      <c r="A344" s="258" t="s">
        <v>410</v>
      </c>
      <c r="B344" s="256" t="s">
        <v>939</v>
      </c>
      <c r="C344" s="195" t="s">
        <v>693</v>
      </c>
      <c r="D344" s="196">
        <v>46282</v>
      </c>
      <c r="E344" s="195" t="s">
        <v>72</v>
      </c>
      <c r="F344" s="197">
        <v>218.1</v>
      </c>
      <c r="G344" s="66"/>
      <c r="H344" s="72" t="s">
        <v>790</v>
      </c>
      <c r="I344" s="72" t="s">
        <v>59</v>
      </c>
      <c r="J344" s="72" t="s">
        <v>59</v>
      </c>
      <c r="K344" s="72" t="s">
        <v>59</v>
      </c>
      <c r="L344" s="72" t="s">
        <v>59</v>
      </c>
      <c r="M344" s="117"/>
    </row>
    <row r="345" spans="1:13" s="70" customFormat="1" ht="15.6">
      <c r="A345" s="258" t="s">
        <v>411</v>
      </c>
      <c r="B345" s="256" t="s">
        <v>1369</v>
      </c>
      <c r="C345" s="195" t="s">
        <v>663</v>
      </c>
      <c r="D345" s="196">
        <v>46661</v>
      </c>
      <c r="E345" s="195" t="s">
        <v>69</v>
      </c>
      <c r="F345" s="197">
        <v>202.21</v>
      </c>
      <c r="G345" s="66"/>
      <c r="H345" s="72" t="s">
        <v>790</v>
      </c>
      <c r="I345" s="72" t="s">
        <v>59</v>
      </c>
      <c r="J345" s="72" t="s">
        <v>59</v>
      </c>
      <c r="K345" s="72" t="s">
        <v>59</v>
      </c>
      <c r="L345" s="72" t="s">
        <v>59</v>
      </c>
      <c r="M345" s="117"/>
    </row>
    <row r="346" spans="1:13" s="70" customFormat="1" ht="15.6">
      <c r="A346" s="258" t="s">
        <v>412</v>
      </c>
      <c r="B346" s="256" t="s">
        <v>1341</v>
      </c>
      <c r="C346" s="195" t="s">
        <v>663</v>
      </c>
      <c r="D346" s="196">
        <v>46661</v>
      </c>
      <c r="E346" s="195" t="s">
        <v>72</v>
      </c>
      <c r="F346" s="197">
        <v>508.61</v>
      </c>
      <c r="G346" s="66"/>
      <c r="H346" s="72" t="s">
        <v>790</v>
      </c>
      <c r="I346" s="72" t="s">
        <v>59</v>
      </c>
      <c r="J346" s="72" t="s">
        <v>59</v>
      </c>
      <c r="K346" s="72" t="s">
        <v>59</v>
      </c>
      <c r="L346" s="72" t="s">
        <v>59</v>
      </c>
      <c r="M346" s="117"/>
    </row>
    <row r="347" spans="1:13" s="70" customFormat="1" ht="15.6">
      <c r="A347" s="258" t="s">
        <v>413</v>
      </c>
      <c r="B347" s="256" t="s">
        <v>1343</v>
      </c>
      <c r="C347" s="195" t="s">
        <v>753</v>
      </c>
      <c r="D347" s="196">
        <v>46506</v>
      </c>
      <c r="E347" s="195" t="s">
        <v>72</v>
      </c>
      <c r="F347" s="197">
        <v>152.32</v>
      </c>
      <c r="G347" s="66"/>
      <c r="H347" s="72" t="s">
        <v>785</v>
      </c>
      <c r="I347" s="72" t="s">
        <v>59</v>
      </c>
      <c r="J347" s="72" t="s">
        <v>59</v>
      </c>
      <c r="K347" s="72" t="s">
        <v>59</v>
      </c>
      <c r="L347" s="72" t="s">
        <v>59</v>
      </c>
      <c r="M347" s="117"/>
    </row>
    <row r="348" spans="1:13" s="70" customFormat="1" ht="15.6">
      <c r="A348" s="258" t="s">
        <v>414</v>
      </c>
      <c r="B348" s="256" t="s">
        <v>1176</v>
      </c>
      <c r="C348" s="195" t="s">
        <v>833</v>
      </c>
      <c r="D348" s="196">
        <v>46581</v>
      </c>
      <c r="E348" s="195" t="s">
        <v>72</v>
      </c>
      <c r="F348" s="197">
        <v>288.99</v>
      </c>
      <c r="G348" s="66"/>
      <c r="H348" s="72" t="s">
        <v>790</v>
      </c>
      <c r="I348" s="72" t="s">
        <v>59</v>
      </c>
      <c r="J348" s="72" t="s">
        <v>59</v>
      </c>
      <c r="K348" s="72" t="s">
        <v>59</v>
      </c>
      <c r="L348" s="72" t="s">
        <v>59</v>
      </c>
      <c r="M348" s="117"/>
    </row>
    <row r="349" spans="1:13" s="70" customFormat="1" ht="15.6">
      <c r="A349" s="258" t="s">
        <v>415</v>
      </c>
      <c r="B349" s="256" t="s">
        <v>1266</v>
      </c>
      <c r="C349" s="195" t="s">
        <v>683</v>
      </c>
      <c r="D349" s="196">
        <v>46174</v>
      </c>
      <c r="E349" s="195" t="s">
        <v>72</v>
      </c>
      <c r="F349" s="197">
        <v>110.5</v>
      </c>
      <c r="G349" s="66"/>
      <c r="H349" s="72" t="s">
        <v>790</v>
      </c>
      <c r="I349" s="72" t="s">
        <v>59</v>
      </c>
      <c r="J349" s="72" t="s">
        <v>59</v>
      </c>
      <c r="K349" s="72" t="s">
        <v>59</v>
      </c>
      <c r="L349" s="72" t="s">
        <v>59</v>
      </c>
      <c r="M349" s="117"/>
    </row>
    <row r="350" spans="1:13" s="70" customFormat="1" ht="15.6">
      <c r="A350" s="258" t="s">
        <v>416</v>
      </c>
      <c r="B350" s="256" t="s">
        <v>1377</v>
      </c>
      <c r="C350" s="195" t="s">
        <v>683</v>
      </c>
      <c r="D350" s="196">
        <v>46624</v>
      </c>
      <c r="E350" s="195" t="s">
        <v>72</v>
      </c>
      <c r="F350" s="197">
        <v>84.99</v>
      </c>
      <c r="G350" s="66"/>
      <c r="H350" s="72" t="s">
        <v>790</v>
      </c>
      <c r="I350" s="72" t="s">
        <v>59</v>
      </c>
      <c r="J350" s="72" t="s">
        <v>59</v>
      </c>
      <c r="K350" s="72" t="s">
        <v>59</v>
      </c>
      <c r="L350" s="72" t="s">
        <v>59</v>
      </c>
      <c r="M350" s="117"/>
    </row>
    <row r="351" spans="1:13" s="70" customFormat="1" ht="15.6">
      <c r="A351" s="258" t="s">
        <v>417</v>
      </c>
      <c r="B351" s="256" t="s">
        <v>1243</v>
      </c>
      <c r="C351" s="195" t="s">
        <v>684</v>
      </c>
      <c r="D351" s="196">
        <v>46568</v>
      </c>
      <c r="E351" s="195" t="s">
        <v>72</v>
      </c>
      <c r="F351" s="197">
        <v>204.08</v>
      </c>
      <c r="G351" s="66"/>
      <c r="H351" s="72" t="s">
        <v>790</v>
      </c>
      <c r="I351" s="72" t="s">
        <v>59</v>
      </c>
      <c r="J351" s="72" t="s">
        <v>59</v>
      </c>
      <c r="K351" s="72" t="s">
        <v>59</v>
      </c>
      <c r="L351" s="72" t="s">
        <v>59</v>
      </c>
      <c r="M351" s="117"/>
    </row>
    <row r="352" spans="1:13" s="70" customFormat="1" ht="15.6">
      <c r="A352" s="258" t="s">
        <v>418</v>
      </c>
      <c r="B352" s="256" t="s">
        <v>1259</v>
      </c>
      <c r="C352" s="195" t="s">
        <v>657</v>
      </c>
      <c r="D352" s="196">
        <v>46112</v>
      </c>
      <c r="E352" s="195" t="s">
        <v>72</v>
      </c>
      <c r="F352" s="197">
        <v>374.4</v>
      </c>
      <c r="G352" s="66"/>
      <c r="H352" s="72" t="s">
        <v>785</v>
      </c>
      <c r="I352" s="72" t="s">
        <v>59</v>
      </c>
      <c r="J352" s="72" t="s">
        <v>59</v>
      </c>
      <c r="K352" s="72" t="s">
        <v>59</v>
      </c>
      <c r="L352" s="72" t="s">
        <v>59</v>
      </c>
      <c r="M352" s="117"/>
    </row>
    <row r="353" spans="1:13" s="70" customFormat="1" ht="15.6">
      <c r="A353" s="258" t="s">
        <v>419</v>
      </c>
      <c r="B353" s="256" t="s">
        <v>1087</v>
      </c>
      <c r="C353" s="195" t="s">
        <v>711</v>
      </c>
      <c r="D353" s="196">
        <v>46600</v>
      </c>
      <c r="E353" s="195" t="s">
        <v>69</v>
      </c>
      <c r="F353" s="197">
        <v>100.92</v>
      </c>
      <c r="G353" s="66"/>
      <c r="H353" s="72" t="s">
        <v>790</v>
      </c>
      <c r="I353" s="72" t="s">
        <v>59</v>
      </c>
      <c r="J353" s="72" t="s">
        <v>59</v>
      </c>
      <c r="K353" s="72" t="s">
        <v>59</v>
      </c>
      <c r="L353" s="72" t="s">
        <v>59</v>
      </c>
      <c r="M353" s="117"/>
    </row>
    <row r="354" spans="1:13" s="70" customFormat="1" ht="15.6">
      <c r="A354" s="258" t="s">
        <v>420</v>
      </c>
      <c r="B354" s="256" t="s">
        <v>1312</v>
      </c>
      <c r="C354" s="195" t="s">
        <v>681</v>
      </c>
      <c r="D354" s="196">
        <v>46722</v>
      </c>
      <c r="E354" s="195" t="s">
        <v>69</v>
      </c>
      <c r="F354" s="197">
        <v>140.76</v>
      </c>
      <c r="G354" s="66"/>
      <c r="H354" s="72" t="s">
        <v>790</v>
      </c>
      <c r="I354" s="72" t="s">
        <v>59</v>
      </c>
      <c r="J354" s="72" t="s">
        <v>59</v>
      </c>
      <c r="K354" s="72" t="s">
        <v>59</v>
      </c>
      <c r="L354" s="72" t="s">
        <v>59</v>
      </c>
      <c r="M354" s="117"/>
    </row>
    <row r="355" spans="1:13" s="70" customFormat="1" ht="15.6">
      <c r="A355" s="258" t="s">
        <v>421</v>
      </c>
      <c r="B355" s="256" t="s">
        <v>1267</v>
      </c>
      <c r="C355" s="195" t="s">
        <v>753</v>
      </c>
      <c r="D355" s="196">
        <v>47264</v>
      </c>
      <c r="E355" s="195" t="s">
        <v>69</v>
      </c>
      <c r="F355" s="197">
        <v>231.86</v>
      </c>
      <c r="G355" s="66"/>
      <c r="H355" s="72" t="s">
        <v>790</v>
      </c>
      <c r="I355" s="72" t="s">
        <v>365</v>
      </c>
      <c r="J355" s="72" t="s">
        <v>365</v>
      </c>
      <c r="K355" s="72" t="s">
        <v>59</v>
      </c>
      <c r="L355" s="72" t="s">
        <v>59</v>
      </c>
      <c r="M355" s="117"/>
    </row>
    <row r="356" spans="1:13" s="70" customFormat="1" ht="15.6">
      <c r="A356" s="258" t="s">
        <v>422</v>
      </c>
      <c r="B356" s="256" t="s">
        <v>1294</v>
      </c>
      <c r="C356" s="195" t="s">
        <v>664</v>
      </c>
      <c r="D356" s="196">
        <v>46752</v>
      </c>
      <c r="E356" s="195" t="s">
        <v>72</v>
      </c>
      <c r="F356" s="197">
        <v>460</v>
      </c>
      <c r="G356" s="66"/>
      <c r="H356" s="72" t="s">
        <v>785</v>
      </c>
      <c r="I356" s="72" t="s">
        <v>59</v>
      </c>
      <c r="J356" s="72" t="s">
        <v>59</v>
      </c>
      <c r="K356" s="72" t="s">
        <v>59</v>
      </c>
      <c r="L356" s="72" t="s">
        <v>59</v>
      </c>
      <c r="M356" s="117"/>
    </row>
    <row r="357" spans="1:13" s="70" customFormat="1" ht="15.6">
      <c r="A357" s="258" t="s">
        <v>423</v>
      </c>
      <c r="B357" s="256" t="s">
        <v>1102</v>
      </c>
      <c r="C357" s="195" t="s">
        <v>705</v>
      </c>
      <c r="D357" s="196">
        <v>46357</v>
      </c>
      <c r="E357" s="195" t="s">
        <v>72</v>
      </c>
      <c r="F357" s="197">
        <v>178.2</v>
      </c>
      <c r="G357" s="66"/>
      <c r="H357" s="72" t="s">
        <v>790</v>
      </c>
      <c r="I357" s="72" t="s">
        <v>59</v>
      </c>
      <c r="J357" s="72" t="s">
        <v>59</v>
      </c>
      <c r="K357" s="72" t="s">
        <v>59</v>
      </c>
      <c r="L357" s="72" t="s">
        <v>59</v>
      </c>
      <c r="M357" s="117"/>
    </row>
    <row r="358" spans="1:13" s="70" customFormat="1" ht="15.6">
      <c r="A358" s="258" t="s">
        <v>424</v>
      </c>
      <c r="B358" s="256" t="s">
        <v>1274</v>
      </c>
      <c r="C358" s="195" t="s">
        <v>705</v>
      </c>
      <c r="D358" s="196">
        <v>46357</v>
      </c>
      <c r="E358" s="195" t="s">
        <v>72</v>
      </c>
      <c r="F358" s="197">
        <v>207.36</v>
      </c>
      <c r="G358" s="66"/>
      <c r="H358" s="72" t="s">
        <v>790</v>
      </c>
      <c r="I358" s="72" t="s">
        <v>59</v>
      </c>
      <c r="J358" s="72" t="s">
        <v>59</v>
      </c>
      <c r="K358" s="72" t="s">
        <v>59</v>
      </c>
      <c r="L358" s="72" t="s">
        <v>59</v>
      </c>
      <c r="M358" s="117"/>
    </row>
    <row r="359" spans="1:13" s="70" customFormat="1" ht="15.6">
      <c r="A359" s="258" t="s">
        <v>425</v>
      </c>
      <c r="B359" s="256" t="s">
        <v>1252</v>
      </c>
      <c r="C359" s="195" t="s">
        <v>662</v>
      </c>
      <c r="D359" s="196">
        <v>46783</v>
      </c>
      <c r="E359" s="195" t="s">
        <v>69</v>
      </c>
      <c r="F359" s="197">
        <v>201.08</v>
      </c>
      <c r="G359" s="66"/>
      <c r="H359" s="72" t="s">
        <v>790</v>
      </c>
      <c r="I359" s="72" t="s">
        <v>365</v>
      </c>
      <c r="J359" s="72" t="s">
        <v>365</v>
      </c>
      <c r="K359" s="72" t="s">
        <v>59</v>
      </c>
      <c r="L359" s="72" t="s">
        <v>59</v>
      </c>
      <c r="M359" s="117"/>
    </row>
    <row r="360" spans="1:13" s="70" customFormat="1" ht="15.6">
      <c r="A360" s="258" t="s">
        <v>426</v>
      </c>
      <c r="B360" s="256" t="s">
        <v>1280</v>
      </c>
      <c r="C360" s="195" t="s">
        <v>710</v>
      </c>
      <c r="D360" s="196">
        <v>46387</v>
      </c>
      <c r="E360" s="195" t="s">
        <v>72</v>
      </c>
      <c r="F360" s="197">
        <v>445.41</v>
      </c>
      <c r="G360" s="66"/>
      <c r="H360" s="72" t="s">
        <v>790</v>
      </c>
      <c r="I360" s="72" t="s">
        <v>59</v>
      </c>
      <c r="J360" s="72" t="s">
        <v>59</v>
      </c>
      <c r="K360" s="72" t="s">
        <v>59</v>
      </c>
      <c r="L360" s="72" t="s">
        <v>59</v>
      </c>
      <c r="M360" s="117"/>
    </row>
    <row r="361" spans="1:13" s="70" customFormat="1" ht="15.6">
      <c r="A361" s="258" t="s">
        <v>427</v>
      </c>
      <c r="B361" s="256" t="s">
        <v>1003</v>
      </c>
      <c r="C361" s="195" t="s">
        <v>710</v>
      </c>
      <c r="D361" s="196">
        <v>46387</v>
      </c>
      <c r="E361" s="195" t="s">
        <v>69</v>
      </c>
      <c r="F361" s="197">
        <v>174.24</v>
      </c>
      <c r="G361" s="66"/>
      <c r="H361" s="72" t="s">
        <v>790</v>
      </c>
      <c r="I361" s="72" t="s">
        <v>59</v>
      </c>
      <c r="J361" s="72" t="s">
        <v>59</v>
      </c>
      <c r="K361" s="72" t="s">
        <v>59</v>
      </c>
      <c r="L361" s="72" t="s">
        <v>59</v>
      </c>
      <c r="M361" s="117"/>
    </row>
    <row r="362" spans="1:13" s="70" customFormat="1" ht="15.6">
      <c r="A362" s="258" t="s">
        <v>428</v>
      </c>
      <c r="B362" s="256" t="s">
        <v>1298</v>
      </c>
      <c r="C362" s="195" t="s">
        <v>741</v>
      </c>
      <c r="D362" s="196">
        <v>46417</v>
      </c>
      <c r="E362" s="195" t="s">
        <v>69</v>
      </c>
      <c r="F362" s="197">
        <v>153.72</v>
      </c>
      <c r="G362" s="66"/>
      <c r="H362" s="72" t="s">
        <v>785</v>
      </c>
      <c r="I362" s="72" t="s">
        <v>59</v>
      </c>
      <c r="J362" s="72" t="s">
        <v>59</v>
      </c>
      <c r="K362" s="72" t="s">
        <v>59</v>
      </c>
      <c r="L362" s="72" t="s">
        <v>59</v>
      </c>
      <c r="M362" s="117"/>
    </row>
    <row r="363" spans="1:13" s="70" customFormat="1" ht="15.6">
      <c r="A363" s="258" t="s">
        <v>429</v>
      </c>
      <c r="B363" s="256" t="s">
        <v>1027</v>
      </c>
      <c r="C363" s="195" t="s">
        <v>744</v>
      </c>
      <c r="D363" s="196">
        <v>46171</v>
      </c>
      <c r="E363" s="195" t="s">
        <v>69</v>
      </c>
      <c r="F363" s="197">
        <v>151.38999999999999</v>
      </c>
      <c r="G363" s="66"/>
      <c r="H363" s="72" t="s">
        <v>785</v>
      </c>
      <c r="I363" s="72" t="s">
        <v>59</v>
      </c>
      <c r="J363" s="72" t="s">
        <v>59</v>
      </c>
      <c r="K363" s="72" t="s">
        <v>59</v>
      </c>
      <c r="L363" s="72" t="s">
        <v>59</v>
      </c>
      <c r="M363" s="117"/>
    </row>
    <row r="364" spans="1:13" s="70" customFormat="1" ht="15.6">
      <c r="A364" s="258" t="s">
        <v>430</v>
      </c>
      <c r="B364" s="256" t="s">
        <v>999</v>
      </c>
      <c r="C364" s="195" t="s">
        <v>741</v>
      </c>
      <c r="D364" s="196">
        <v>46508</v>
      </c>
      <c r="E364" s="195" t="s">
        <v>69</v>
      </c>
      <c r="F364" s="197">
        <v>153.69</v>
      </c>
      <c r="G364" s="66"/>
      <c r="H364" s="72" t="s">
        <v>785</v>
      </c>
      <c r="I364" s="72" t="s">
        <v>59</v>
      </c>
      <c r="J364" s="72" t="s">
        <v>59</v>
      </c>
      <c r="K364" s="72" t="s">
        <v>59</v>
      </c>
      <c r="L364" s="72" t="s">
        <v>59</v>
      </c>
      <c r="M364" s="117"/>
    </row>
    <row r="365" spans="1:13" s="70" customFormat="1" ht="15.6">
      <c r="A365" s="258" t="s">
        <v>432</v>
      </c>
      <c r="B365" s="256" t="s">
        <v>1103</v>
      </c>
      <c r="C365" s="195" t="s">
        <v>703</v>
      </c>
      <c r="D365" s="196">
        <v>46934</v>
      </c>
      <c r="E365" s="195" t="s">
        <v>69</v>
      </c>
      <c r="F365" s="197">
        <v>209</v>
      </c>
      <c r="G365" s="66"/>
      <c r="H365" s="72" t="s">
        <v>785</v>
      </c>
      <c r="I365" s="72" t="s">
        <v>365</v>
      </c>
      <c r="J365" s="72" t="s">
        <v>365</v>
      </c>
      <c r="K365" s="72" t="s">
        <v>59</v>
      </c>
      <c r="L365" s="72" t="s">
        <v>59</v>
      </c>
      <c r="M365" s="117"/>
    </row>
    <row r="366" spans="1:13" s="70" customFormat="1" ht="15.6">
      <c r="A366" s="258" t="s">
        <v>436</v>
      </c>
      <c r="B366" s="256" t="s">
        <v>1293</v>
      </c>
      <c r="C366" s="195" t="s">
        <v>685</v>
      </c>
      <c r="D366" s="196">
        <v>46569</v>
      </c>
      <c r="E366" s="195" t="s">
        <v>72</v>
      </c>
      <c r="F366" s="197">
        <v>81</v>
      </c>
      <c r="G366" s="66"/>
      <c r="H366" s="72" t="s">
        <v>785</v>
      </c>
      <c r="I366" s="72" t="s">
        <v>59</v>
      </c>
      <c r="J366" s="72" t="s">
        <v>59</v>
      </c>
      <c r="K366" s="72" t="s">
        <v>59</v>
      </c>
      <c r="L366" s="72" t="s">
        <v>59</v>
      </c>
      <c r="M366" s="117"/>
    </row>
    <row r="367" spans="1:13" s="70" customFormat="1" ht="15.6">
      <c r="A367" s="258" t="s">
        <v>437</v>
      </c>
      <c r="B367" s="256" t="s">
        <v>966</v>
      </c>
      <c r="C367" s="195" t="s">
        <v>693</v>
      </c>
      <c r="D367" s="196">
        <v>46494</v>
      </c>
      <c r="E367" s="195" t="s">
        <v>72</v>
      </c>
      <c r="F367" s="197">
        <v>175.3</v>
      </c>
      <c r="G367" s="66"/>
      <c r="H367" s="72" t="s">
        <v>785</v>
      </c>
      <c r="I367" s="72" t="s">
        <v>59</v>
      </c>
      <c r="J367" s="72" t="s">
        <v>59</v>
      </c>
      <c r="K367" s="72" t="s">
        <v>59</v>
      </c>
      <c r="L367" s="72" t="s">
        <v>59</v>
      </c>
      <c r="M367" s="117"/>
    </row>
    <row r="368" spans="1:13" s="70" customFormat="1" ht="15.6">
      <c r="A368" s="258" t="s">
        <v>438</v>
      </c>
      <c r="B368" s="256" t="s">
        <v>965</v>
      </c>
      <c r="C368" s="195" t="s">
        <v>678</v>
      </c>
      <c r="D368" s="196">
        <v>46644</v>
      </c>
      <c r="E368" s="195" t="s">
        <v>69</v>
      </c>
      <c r="F368" s="197">
        <v>301.04000000000002</v>
      </c>
      <c r="G368" s="66"/>
      <c r="H368" s="72" t="s">
        <v>785</v>
      </c>
      <c r="I368" s="72" t="s">
        <v>59</v>
      </c>
      <c r="J368" s="72" t="s">
        <v>59</v>
      </c>
      <c r="K368" s="72" t="s">
        <v>59</v>
      </c>
      <c r="L368" s="72" t="s">
        <v>59</v>
      </c>
      <c r="M368" s="117"/>
    </row>
    <row r="369" spans="1:13" s="70" customFormat="1" ht="15.6">
      <c r="A369" s="258" t="s">
        <v>439</v>
      </c>
      <c r="B369" s="256" t="s">
        <v>1303</v>
      </c>
      <c r="C369" s="195" t="s">
        <v>706</v>
      </c>
      <c r="D369" s="196">
        <v>46006</v>
      </c>
      <c r="E369" s="195" t="s">
        <v>69</v>
      </c>
      <c r="F369" s="197">
        <v>133</v>
      </c>
      <c r="G369" s="66"/>
      <c r="H369" s="72" t="s">
        <v>785</v>
      </c>
      <c r="I369" s="72" t="s">
        <v>59</v>
      </c>
      <c r="J369" s="72" t="s">
        <v>59</v>
      </c>
      <c r="K369" s="72" t="s">
        <v>59</v>
      </c>
      <c r="L369" s="72" t="s">
        <v>59</v>
      </c>
      <c r="M369" s="117"/>
    </row>
    <row r="370" spans="1:13" s="70" customFormat="1" ht="15.6">
      <c r="A370" s="258" t="s">
        <v>440</v>
      </c>
      <c r="B370" s="256" t="s">
        <v>1166</v>
      </c>
      <c r="C370" s="195" t="s">
        <v>693</v>
      </c>
      <c r="D370" s="196">
        <v>46494</v>
      </c>
      <c r="E370" s="195" t="s">
        <v>69</v>
      </c>
      <c r="F370" s="197">
        <v>57.15</v>
      </c>
      <c r="G370" s="66"/>
      <c r="H370" s="72" t="s">
        <v>785</v>
      </c>
      <c r="I370" s="72" t="s">
        <v>59</v>
      </c>
      <c r="J370" s="72" t="s">
        <v>59</v>
      </c>
      <c r="K370" s="72" t="s">
        <v>59</v>
      </c>
      <c r="L370" s="72" t="s">
        <v>59</v>
      </c>
      <c r="M370" s="117"/>
    </row>
    <row r="371" spans="1:13" s="70" customFormat="1" ht="15.6">
      <c r="A371" s="258" t="s">
        <v>431</v>
      </c>
      <c r="B371" s="256" t="s">
        <v>1031</v>
      </c>
      <c r="C371" s="195" t="s">
        <v>758</v>
      </c>
      <c r="D371" s="196">
        <v>46402</v>
      </c>
      <c r="E371" s="195" t="s">
        <v>69</v>
      </c>
      <c r="F371" s="197">
        <v>404.3</v>
      </c>
      <c r="G371" s="66"/>
      <c r="H371" s="72" t="s">
        <v>785</v>
      </c>
      <c r="I371" s="72" t="s">
        <v>59</v>
      </c>
      <c r="J371" s="72" t="s">
        <v>59</v>
      </c>
      <c r="K371" s="72" t="s">
        <v>59</v>
      </c>
      <c r="L371" s="72" t="s">
        <v>59</v>
      </c>
      <c r="M371" s="117"/>
    </row>
    <row r="372" spans="1:13" s="70" customFormat="1" ht="15.6">
      <c r="A372" s="258" t="s">
        <v>433</v>
      </c>
      <c r="B372" s="256" t="s">
        <v>1131</v>
      </c>
      <c r="C372" s="195" t="s">
        <v>659</v>
      </c>
      <c r="D372" s="196">
        <v>46461</v>
      </c>
      <c r="E372" s="195" t="s">
        <v>69</v>
      </c>
      <c r="F372" s="197">
        <v>164.5</v>
      </c>
      <c r="G372" s="66"/>
      <c r="H372" s="72" t="s">
        <v>785</v>
      </c>
      <c r="I372" s="72" t="s">
        <v>59</v>
      </c>
      <c r="J372" s="72" t="s">
        <v>59</v>
      </c>
      <c r="K372" s="72" t="s">
        <v>59</v>
      </c>
      <c r="L372" s="72" t="s">
        <v>59</v>
      </c>
      <c r="M372" s="117"/>
    </row>
    <row r="373" spans="1:13" s="70" customFormat="1" ht="15.6">
      <c r="A373" s="258" t="s">
        <v>434</v>
      </c>
      <c r="B373" s="256" t="s">
        <v>1347</v>
      </c>
      <c r="C373" s="195" t="s">
        <v>701</v>
      </c>
      <c r="D373" s="196">
        <v>46752</v>
      </c>
      <c r="E373" s="195" t="s">
        <v>69</v>
      </c>
      <c r="F373" s="197">
        <v>199.6</v>
      </c>
      <c r="G373" s="66"/>
      <c r="H373" s="72" t="s">
        <v>785</v>
      </c>
      <c r="I373" s="72" t="s">
        <v>59</v>
      </c>
      <c r="J373" s="72" t="s">
        <v>59</v>
      </c>
      <c r="K373" s="72" t="s">
        <v>59</v>
      </c>
      <c r="L373" s="72" t="s">
        <v>59</v>
      </c>
      <c r="M373" s="117"/>
    </row>
    <row r="374" spans="1:13" s="70" customFormat="1" ht="15.6">
      <c r="A374" s="258" t="s">
        <v>442</v>
      </c>
      <c r="B374" s="256" t="s">
        <v>1225</v>
      </c>
      <c r="C374" s="195" t="s">
        <v>694</v>
      </c>
      <c r="D374" s="196">
        <v>46507</v>
      </c>
      <c r="E374" s="195" t="s">
        <v>69</v>
      </c>
      <c r="F374" s="197">
        <v>180.36</v>
      </c>
      <c r="G374" s="66"/>
      <c r="H374" s="72" t="s">
        <v>785</v>
      </c>
      <c r="I374" s="72" t="s">
        <v>59</v>
      </c>
      <c r="J374" s="72" t="s">
        <v>59</v>
      </c>
      <c r="K374" s="72" t="s">
        <v>59</v>
      </c>
      <c r="L374" s="72" t="s">
        <v>59</v>
      </c>
      <c r="M374" s="117"/>
    </row>
    <row r="375" spans="1:13" s="70" customFormat="1" ht="15.6">
      <c r="A375" s="258" t="s">
        <v>443</v>
      </c>
      <c r="B375" s="256" t="s">
        <v>1199</v>
      </c>
      <c r="C375" s="195" t="s">
        <v>694</v>
      </c>
      <c r="D375" s="196">
        <v>46157</v>
      </c>
      <c r="E375" s="195" t="s">
        <v>69</v>
      </c>
      <c r="F375" s="197">
        <v>418.6</v>
      </c>
      <c r="G375" s="66"/>
      <c r="H375" s="72" t="s">
        <v>785</v>
      </c>
      <c r="I375" s="72" t="s">
        <v>59</v>
      </c>
      <c r="J375" s="72" t="s">
        <v>59</v>
      </c>
      <c r="K375" s="72" t="s">
        <v>59</v>
      </c>
      <c r="L375" s="72" t="s">
        <v>59</v>
      </c>
      <c r="M375" s="117"/>
    </row>
    <row r="376" spans="1:13" s="70" customFormat="1" ht="15.6">
      <c r="A376" s="257" t="s">
        <v>435</v>
      </c>
      <c r="B376" s="256" t="s">
        <v>1093</v>
      </c>
      <c r="C376" s="195" t="s">
        <v>701</v>
      </c>
      <c r="D376" s="196">
        <v>46752</v>
      </c>
      <c r="E376" s="195" t="s">
        <v>72</v>
      </c>
      <c r="F376" s="197">
        <v>200.3</v>
      </c>
      <c r="G376" s="66"/>
      <c r="H376" s="72" t="s">
        <v>785</v>
      </c>
      <c r="I376" s="72" t="s">
        <v>59</v>
      </c>
      <c r="J376" s="72" t="s">
        <v>59</v>
      </c>
      <c r="K376" s="72" t="s">
        <v>59</v>
      </c>
      <c r="L376" s="72" t="s">
        <v>59</v>
      </c>
      <c r="M376" s="117"/>
    </row>
    <row r="377" spans="1:13" s="70" customFormat="1" ht="15.6">
      <c r="A377" s="258" t="s">
        <v>441</v>
      </c>
      <c r="B377" s="256" t="s">
        <v>827</v>
      </c>
      <c r="C377" s="195" t="s">
        <v>663</v>
      </c>
      <c r="D377" s="196">
        <v>46539</v>
      </c>
      <c r="E377" s="195" t="s">
        <v>71</v>
      </c>
      <c r="F377" s="197">
        <v>121.8</v>
      </c>
      <c r="G377" s="66"/>
      <c r="H377" s="72" t="s">
        <v>785</v>
      </c>
      <c r="I377" s="72" t="s">
        <v>59</v>
      </c>
      <c r="J377" s="72" t="s">
        <v>59</v>
      </c>
      <c r="K377" s="72" t="s">
        <v>59</v>
      </c>
      <c r="L377" s="72" t="s">
        <v>59</v>
      </c>
      <c r="M377" s="117"/>
    </row>
    <row r="378" spans="1:13" s="70" customFormat="1" ht="16.2" thickBot="1">
      <c r="A378" s="260" t="s">
        <v>444</v>
      </c>
      <c r="B378" s="261" t="s">
        <v>1359</v>
      </c>
      <c r="C378" s="198" t="s">
        <v>739</v>
      </c>
      <c r="D378" s="199">
        <v>47118</v>
      </c>
      <c r="E378" s="198" t="s">
        <v>72</v>
      </c>
      <c r="F378" s="200">
        <v>301.2</v>
      </c>
      <c r="G378" s="118"/>
      <c r="H378" s="134" t="s">
        <v>790</v>
      </c>
      <c r="I378" s="134" t="s">
        <v>365</v>
      </c>
      <c r="J378" s="134" t="s">
        <v>365</v>
      </c>
      <c r="K378" s="134" t="s">
        <v>59</v>
      </c>
      <c r="L378" s="134" t="s">
        <v>59</v>
      </c>
      <c r="M378" s="119"/>
    </row>
    <row r="379" spans="1:13" s="70" customFormat="1" ht="15.6">
      <c r="A379" s="69"/>
      <c r="B379" s="69"/>
      <c r="C379" s="74"/>
      <c r="D379" s="75"/>
      <c r="E379" s="74"/>
      <c r="F379" s="76"/>
      <c r="G379" s="73"/>
      <c r="H379" s="73"/>
      <c r="I379" s="73"/>
      <c r="J379" s="73"/>
      <c r="K379" s="73"/>
      <c r="L379" s="73"/>
      <c r="M379" s="73"/>
    </row>
    <row r="380" spans="1:13" s="70" customFormat="1" ht="16.2" thickBot="1"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</row>
    <row r="381" spans="1:13" s="70" customFormat="1" ht="16.2" thickBot="1">
      <c r="A381" s="242" t="s">
        <v>445</v>
      </c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</row>
    <row r="382" spans="1:13" s="70" customFormat="1" ht="29.4" thickBot="1">
      <c r="A382" s="127" t="s">
        <v>76</v>
      </c>
      <c r="B382" s="128" t="s">
        <v>29</v>
      </c>
      <c r="C382" s="128" t="s">
        <v>77</v>
      </c>
      <c r="D382" s="129" t="s">
        <v>288</v>
      </c>
      <c r="E382" s="128" t="s">
        <v>79</v>
      </c>
      <c r="F382" s="130" t="s">
        <v>80</v>
      </c>
      <c r="G382" s="131" t="s">
        <v>81</v>
      </c>
      <c r="H382" s="131" t="s">
        <v>446</v>
      </c>
      <c r="I382" s="128">
        <v>2027</v>
      </c>
      <c r="J382" s="131" t="s">
        <v>1405</v>
      </c>
      <c r="K382" s="128">
        <v>2030</v>
      </c>
      <c r="L382" s="131" t="s">
        <v>1406</v>
      </c>
      <c r="M382" s="133" t="s">
        <v>51</v>
      </c>
    </row>
    <row r="383" spans="1:13" s="70" customFormat="1" ht="15.6">
      <c r="A383" s="255" t="s">
        <v>447</v>
      </c>
      <c r="B383" s="256" t="s">
        <v>1249</v>
      </c>
      <c r="C383" s="192" t="s">
        <v>145</v>
      </c>
      <c r="D383" s="193">
        <v>46661</v>
      </c>
      <c r="E383" s="192" t="s">
        <v>69</v>
      </c>
      <c r="F383" s="194">
        <v>31.23</v>
      </c>
      <c r="G383" s="72"/>
      <c r="H383" s="72" t="s">
        <v>796</v>
      </c>
      <c r="I383" s="72" t="s">
        <v>59</v>
      </c>
      <c r="J383" s="72"/>
      <c r="K383" s="72" t="s">
        <v>59</v>
      </c>
      <c r="L383" s="97"/>
      <c r="M383" s="135"/>
    </row>
    <row r="384" spans="1:13" s="70" customFormat="1" ht="15.6">
      <c r="A384" s="257" t="s">
        <v>448</v>
      </c>
      <c r="B384" s="256" t="s">
        <v>958</v>
      </c>
      <c r="C384" s="195" t="s">
        <v>774</v>
      </c>
      <c r="D384" s="196">
        <v>46867</v>
      </c>
      <c r="E384" s="195" t="s">
        <v>69</v>
      </c>
      <c r="F384" s="197">
        <v>202.65</v>
      </c>
      <c r="G384" s="72"/>
      <c r="H384" s="72" t="s">
        <v>796</v>
      </c>
      <c r="I384" s="72" t="s">
        <v>365</v>
      </c>
      <c r="J384" s="72"/>
      <c r="K384" s="72" t="s">
        <v>59</v>
      </c>
      <c r="L384" s="97"/>
      <c r="M384" s="136"/>
    </row>
    <row r="385" spans="1:13" s="70" customFormat="1" ht="15.6">
      <c r="A385" s="258" t="s">
        <v>449</v>
      </c>
      <c r="B385" s="256" t="s">
        <v>997</v>
      </c>
      <c r="C385" s="195" t="s">
        <v>668</v>
      </c>
      <c r="D385" s="196">
        <v>46490</v>
      </c>
      <c r="E385" s="195" t="s">
        <v>69</v>
      </c>
      <c r="F385" s="197">
        <v>256.58</v>
      </c>
      <c r="G385" s="72"/>
      <c r="H385" s="72" t="s">
        <v>796</v>
      </c>
      <c r="I385" s="72" t="s">
        <v>59</v>
      </c>
      <c r="J385" s="72"/>
      <c r="K385" s="72" t="s">
        <v>59</v>
      </c>
      <c r="L385" s="97"/>
      <c r="M385" s="136"/>
    </row>
    <row r="386" spans="1:13" s="70" customFormat="1" ht="15.6">
      <c r="A386" s="259" t="s">
        <v>450</v>
      </c>
      <c r="B386" s="256" t="s">
        <v>1060</v>
      </c>
      <c r="C386" s="195" t="s">
        <v>698</v>
      </c>
      <c r="D386" s="196">
        <v>46670</v>
      </c>
      <c r="E386" s="195" t="s">
        <v>69</v>
      </c>
      <c r="F386" s="197">
        <v>200.59</v>
      </c>
      <c r="G386" s="72"/>
      <c r="H386" s="72" t="s">
        <v>796</v>
      </c>
      <c r="I386" s="72" t="s">
        <v>59</v>
      </c>
      <c r="J386" s="72"/>
      <c r="K386" s="72" t="s">
        <v>59</v>
      </c>
      <c r="L386" s="97"/>
      <c r="M386" s="136"/>
    </row>
    <row r="387" spans="1:13" s="70" customFormat="1" ht="15.6">
      <c r="A387" s="257" t="s">
        <v>451</v>
      </c>
      <c r="B387" s="256" t="s">
        <v>1379</v>
      </c>
      <c r="C387" s="195" t="s">
        <v>771</v>
      </c>
      <c r="D387" s="196">
        <v>45834</v>
      </c>
      <c r="E387" s="195" t="s">
        <v>69</v>
      </c>
      <c r="F387" s="197">
        <v>203</v>
      </c>
      <c r="G387" s="72"/>
      <c r="H387" s="72" t="s">
        <v>796</v>
      </c>
      <c r="I387" s="72" t="s">
        <v>59</v>
      </c>
      <c r="J387" s="72"/>
      <c r="K387" s="72" t="s">
        <v>59</v>
      </c>
      <c r="L387" s="97"/>
      <c r="M387" s="136"/>
    </row>
    <row r="388" spans="1:13" s="70" customFormat="1" ht="15.6">
      <c r="A388" s="257" t="s">
        <v>452</v>
      </c>
      <c r="B388" s="256" t="s">
        <v>1072</v>
      </c>
      <c r="C388" s="195" t="s">
        <v>693</v>
      </c>
      <c r="D388" s="196">
        <v>46753</v>
      </c>
      <c r="E388" s="195" t="s">
        <v>69</v>
      </c>
      <c r="F388" s="197">
        <v>210.74</v>
      </c>
      <c r="G388" s="72"/>
      <c r="H388" s="72" t="s">
        <v>796</v>
      </c>
      <c r="I388" s="72" t="s">
        <v>365</v>
      </c>
      <c r="J388" s="72"/>
      <c r="K388" s="72" t="s">
        <v>59</v>
      </c>
      <c r="L388" s="97"/>
      <c r="M388" s="136"/>
    </row>
    <row r="389" spans="1:13" s="70" customFormat="1" ht="15.6">
      <c r="A389" s="257" t="s">
        <v>453</v>
      </c>
      <c r="B389" s="256" t="s">
        <v>1155</v>
      </c>
      <c r="C389" s="195" t="s">
        <v>685</v>
      </c>
      <c r="D389" s="196">
        <v>46188</v>
      </c>
      <c r="E389" s="195" t="s">
        <v>69</v>
      </c>
      <c r="F389" s="197">
        <v>156.91</v>
      </c>
      <c r="G389" s="72"/>
      <c r="H389" s="72" t="s">
        <v>796</v>
      </c>
      <c r="I389" s="72" t="s">
        <v>59</v>
      </c>
      <c r="J389" s="72"/>
      <c r="K389" s="72" t="s">
        <v>59</v>
      </c>
      <c r="L389" s="97"/>
      <c r="M389" s="136"/>
    </row>
    <row r="390" spans="1:13" s="70" customFormat="1" ht="15.6">
      <c r="A390" s="257" t="s">
        <v>454</v>
      </c>
      <c r="B390" s="256" t="s">
        <v>1296</v>
      </c>
      <c r="C390" s="195" t="s">
        <v>754</v>
      </c>
      <c r="D390" s="196">
        <v>46371</v>
      </c>
      <c r="E390" s="195" t="s">
        <v>69</v>
      </c>
      <c r="F390" s="197">
        <v>100.2</v>
      </c>
      <c r="G390" s="72"/>
      <c r="H390" s="72" t="s">
        <v>796</v>
      </c>
      <c r="I390" s="72" t="s">
        <v>59</v>
      </c>
      <c r="J390" s="72"/>
      <c r="K390" s="72" t="s">
        <v>59</v>
      </c>
      <c r="L390" s="97"/>
      <c r="M390" s="136"/>
    </row>
    <row r="391" spans="1:13" s="70" customFormat="1" ht="15.6">
      <c r="A391" s="257" t="s">
        <v>455</v>
      </c>
      <c r="B391" s="256" t="s">
        <v>1159</v>
      </c>
      <c r="C391" s="195" t="s">
        <v>683</v>
      </c>
      <c r="D391" s="196">
        <v>46165</v>
      </c>
      <c r="E391" s="195" t="s">
        <v>69</v>
      </c>
      <c r="F391" s="197">
        <v>100.77</v>
      </c>
      <c r="G391" s="72"/>
      <c r="H391" s="72" t="s">
        <v>796</v>
      </c>
      <c r="I391" s="72" t="s">
        <v>59</v>
      </c>
      <c r="J391" s="72"/>
      <c r="K391" s="72" t="s">
        <v>59</v>
      </c>
      <c r="L391" s="97"/>
      <c r="M391" s="136"/>
    </row>
    <row r="392" spans="1:13" s="70" customFormat="1" ht="15.6">
      <c r="A392" s="257" t="s">
        <v>456</v>
      </c>
      <c r="B392" s="256" t="s">
        <v>1203</v>
      </c>
      <c r="C392" s="195" t="s">
        <v>663</v>
      </c>
      <c r="D392" s="196">
        <v>46812</v>
      </c>
      <c r="E392" s="195" t="s">
        <v>69</v>
      </c>
      <c r="F392" s="197">
        <v>50.6</v>
      </c>
      <c r="G392" s="72"/>
      <c r="H392" s="72" t="s">
        <v>796</v>
      </c>
      <c r="I392" s="72" t="s">
        <v>365</v>
      </c>
      <c r="J392" s="72"/>
      <c r="K392" s="72" t="s">
        <v>59</v>
      </c>
      <c r="L392" s="97"/>
      <c r="M392" s="136"/>
    </row>
    <row r="393" spans="1:13" s="70" customFormat="1" ht="15.6">
      <c r="A393" s="257" t="s">
        <v>457</v>
      </c>
      <c r="B393" s="256" t="s">
        <v>1101</v>
      </c>
      <c r="C393" s="195" t="s">
        <v>727</v>
      </c>
      <c r="D393" s="196">
        <v>46569</v>
      </c>
      <c r="E393" s="195" t="s">
        <v>69</v>
      </c>
      <c r="F393" s="197">
        <v>222.81</v>
      </c>
      <c r="G393" s="72"/>
      <c r="H393" s="72" t="s">
        <v>796</v>
      </c>
      <c r="I393" s="72" t="s">
        <v>59</v>
      </c>
      <c r="J393" s="72"/>
      <c r="K393" s="72" t="s">
        <v>59</v>
      </c>
      <c r="L393" s="97"/>
      <c r="M393" s="136"/>
    </row>
    <row r="394" spans="1:13" s="70" customFormat="1" ht="15.6">
      <c r="A394" s="257" t="s">
        <v>458</v>
      </c>
      <c r="B394" s="256" t="s">
        <v>943</v>
      </c>
      <c r="C394" s="195" t="s">
        <v>673</v>
      </c>
      <c r="D394" s="196">
        <v>46751</v>
      </c>
      <c r="E394" s="195" t="s">
        <v>69</v>
      </c>
      <c r="F394" s="197">
        <v>155</v>
      </c>
      <c r="G394" s="72"/>
      <c r="H394" s="72" t="s">
        <v>796</v>
      </c>
      <c r="I394" s="72" t="s">
        <v>59</v>
      </c>
      <c r="J394" s="72"/>
      <c r="K394" s="72" t="s">
        <v>59</v>
      </c>
      <c r="L394" s="97"/>
      <c r="M394" s="136"/>
    </row>
    <row r="395" spans="1:13" s="70" customFormat="1" ht="15.6">
      <c r="A395" s="257" t="s">
        <v>459</v>
      </c>
      <c r="B395" s="256" t="s">
        <v>1331</v>
      </c>
      <c r="C395" s="195" t="s">
        <v>770</v>
      </c>
      <c r="D395" s="196">
        <v>46647</v>
      </c>
      <c r="E395" s="195" t="s">
        <v>69</v>
      </c>
      <c r="F395" s="197">
        <v>102.59</v>
      </c>
      <c r="G395" s="72"/>
      <c r="H395" s="72" t="s">
        <v>796</v>
      </c>
      <c r="I395" s="72" t="s">
        <v>59</v>
      </c>
      <c r="J395" s="72"/>
      <c r="K395" s="72" t="s">
        <v>59</v>
      </c>
      <c r="L395" s="97"/>
      <c r="M395" s="136"/>
    </row>
    <row r="396" spans="1:13" s="70" customFormat="1" ht="15.6">
      <c r="A396" s="257" t="s">
        <v>460</v>
      </c>
      <c r="B396" s="256" t="s">
        <v>1136</v>
      </c>
      <c r="C396" s="195" t="s">
        <v>770</v>
      </c>
      <c r="D396" s="196">
        <v>46631</v>
      </c>
      <c r="E396" s="195" t="s">
        <v>69</v>
      </c>
      <c r="F396" s="197">
        <v>150.5</v>
      </c>
      <c r="G396" s="72"/>
      <c r="H396" s="72" t="s">
        <v>796</v>
      </c>
      <c r="I396" s="72" t="s">
        <v>59</v>
      </c>
      <c r="J396" s="72"/>
      <c r="K396" s="72" t="s">
        <v>59</v>
      </c>
      <c r="L396" s="97"/>
      <c r="M396" s="136"/>
    </row>
    <row r="397" spans="1:13" s="70" customFormat="1" ht="15.6">
      <c r="A397" s="257" t="s">
        <v>461</v>
      </c>
      <c r="B397" s="256" t="s">
        <v>1222</v>
      </c>
      <c r="C397" s="195" t="s">
        <v>694</v>
      </c>
      <c r="D397" s="196">
        <v>46266</v>
      </c>
      <c r="E397" s="195" t="s">
        <v>69</v>
      </c>
      <c r="F397" s="197">
        <v>201.04</v>
      </c>
      <c r="G397" s="72"/>
      <c r="H397" s="72" t="s">
        <v>796</v>
      </c>
      <c r="I397" s="72" t="s">
        <v>59</v>
      </c>
      <c r="J397" s="72"/>
      <c r="K397" s="72" t="s">
        <v>59</v>
      </c>
      <c r="L397" s="97"/>
      <c r="M397" s="136"/>
    </row>
    <row r="398" spans="1:13" s="70" customFormat="1" ht="15.6">
      <c r="A398" s="257" t="s">
        <v>462</v>
      </c>
      <c r="B398" s="256" t="s">
        <v>1111</v>
      </c>
      <c r="C398" s="195" t="s">
        <v>694</v>
      </c>
      <c r="D398" s="196">
        <v>46203</v>
      </c>
      <c r="E398" s="195" t="s">
        <v>69</v>
      </c>
      <c r="F398" s="197">
        <v>301.38</v>
      </c>
      <c r="G398" s="72"/>
      <c r="H398" s="72" t="s">
        <v>796</v>
      </c>
      <c r="I398" s="72" t="s">
        <v>59</v>
      </c>
      <c r="J398" s="72"/>
      <c r="K398" s="72" t="s">
        <v>59</v>
      </c>
      <c r="L398" s="97"/>
      <c r="M398" s="136"/>
    </row>
    <row r="399" spans="1:13" s="70" customFormat="1" ht="15.6">
      <c r="A399" s="258" t="s">
        <v>463</v>
      </c>
      <c r="B399" s="256" t="s">
        <v>1302</v>
      </c>
      <c r="C399" s="195" t="s">
        <v>716</v>
      </c>
      <c r="D399" s="196">
        <v>46569</v>
      </c>
      <c r="E399" s="195" t="s">
        <v>69</v>
      </c>
      <c r="F399" s="197">
        <v>402.44</v>
      </c>
      <c r="G399" s="72"/>
      <c r="H399" s="72" t="s">
        <v>796</v>
      </c>
      <c r="I399" s="72" t="s">
        <v>59</v>
      </c>
      <c r="J399" s="72"/>
      <c r="K399" s="72" t="s">
        <v>59</v>
      </c>
      <c r="L399" s="97"/>
      <c r="M399" s="136"/>
    </row>
    <row r="400" spans="1:13" s="70" customFormat="1" ht="15.6">
      <c r="A400" s="258" t="s">
        <v>464</v>
      </c>
      <c r="B400" s="256" t="s">
        <v>1356</v>
      </c>
      <c r="C400" s="195" t="s">
        <v>765</v>
      </c>
      <c r="D400" s="196">
        <v>46387</v>
      </c>
      <c r="E400" s="195" t="s">
        <v>69</v>
      </c>
      <c r="F400" s="197">
        <v>202.65</v>
      </c>
      <c r="G400" s="72"/>
      <c r="H400" s="72" t="s">
        <v>796</v>
      </c>
      <c r="I400" s="72" t="s">
        <v>59</v>
      </c>
      <c r="J400" s="72"/>
      <c r="K400" s="72" t="s">
        <v>59</v>
      </c>
      <c r="L400" s="97"/>
      <c r="M400" s="136"/>
    </row>
    <row r="401" spans="1:15" s="70" customFormat="1" ht="15.6">
      <c r="A401" s="258" t="s">
        <v>465</v>
      </c>
      <c r="B401" s="256" t="s">
        <v>1226</v>
      </c>
      <c r="C401" s="195" t="s">
        <v>671</v>
      </c>
      <c r="D401" s="196">
        <v>46497</v>
      </c>
      <c r="E401" s="195" t="s">
        <v>69</v>
      </c>
      <c r="F401" s="197">
        <v>207.6</v>
      </c>
      <c r="G401" s="72"/>
      <c r="H401" s="72" t="s">
        <v>796</v>
      </c>
      <c r="I401" s="72" t="s">
        <v>59</v>
      </c>
      <c r="J401" s="72"/>
      <c r="K401" s="72" t="s">
        <v>59</v>
      </c>
      <c r="L401" s="97"/>
      <c r="M401" s="136"/>
    </row>
    <row r="402" spans="1:15" s="70" customFormat="1" ht="15.6">
      <c r="A402" s="258" t="s">
        <v>466</v>
      </c>
      <c r="B402" s="256" t="s">
        <v>1214</v>
      </c>
      <c r="C402" s="195" t="s">
        <v>671</v>
      </c>
      <c r="D402" s="196">
        <v>46722</v>
      </c>
      <c r="E402" s="195" t="s">
        <v>69</v>
      </c>
      <c r="F402" s="197">
        <v>411.04</v>
      </c>
      <c r="G402" s="72"/>
      <c r="H402" s="72" t="s">
        <v>796</v>
      </c>
      <c r="I402" s="72" t="s">
        <v>59</v>
      </c>
      <c r="J402" s="72"/>
      <c r="K402" s="72" t="s">
        <v>59</v>
      </c>
      <c r="L402" s="97"/>
      <c r="M402" s="136"/>
    </row>
    <row r="403" spans="1:15" s="70" customFormat="1" ht="15.6">
      <c r="A403" s="258" t="s">
        <v>467</v>
      </c>
      <c r="B403" s="256" t="s">
        <v>1079</v>
      </c>
      <c r="C403" s="195" t="s">
        <v>676</v>
      </c>
      <c r="D403" s="196">
        <v>46949</v>
      </c>
      <c r="E403" s="195" t="s">
        <v>69</v>
      </c>
      <c r="F403" s="197">
        <v>245.8</v>
      </c>
      <c r="G403" s="72"/>
      <c r="H403" s="72" t="s">
        <v>796</v>
      </c>
      <c r="I403" s="72" t="s">
        <v>365</v>
      </c>
      <c r="J403" s="72"/>
      <c r="K403" s="72" t="s">
        <v>59</v>
      </c>
      <c r="L403" s="97"/>
      <c r="M403" s="136"/>
    </row>
    <row r="404" spans="1:15" s="70" customFormat="1" ht="15.6">
      <c r="A404" s="258" t="s">
        <v>468</v>
      </c>
      <c r="B404" s="256" t="s">
        <v>1256</v>
      </c>
      <c r="C404" s="195" t="s">
        <v>676</v>
      </c>
      <c r="D404" s="196">
        <v>47041</v>
      </c>
      <c r="E404" s="195" t="s">
        <v>69</v>
      </c>
      <c r="F404" s="197">
        <v>501.6</v>
      </c>
      <c r="G404" s="72"/>
      <c r="H404" s="72" t="s">
        <v>796</v>
      </c>
      <c r="I404" s="72" t="s">
        <v>365</v>
      </c>
      <c r="J404" s="72"/>
      <c r="K404" s="72" t="s">
        <v>59</v>
      </c>
      <c r="L404" s="97"/>
      <c r="M404" s="136"/>
    </row>
    <row r="405" spans="1:15" s="70" customFormat="1" ht="15.6">
      <c r="A405" s="258" t="s">
        <v>469</v>
      </c>
      <c r="B405" s="256" t="s">
        <v>1192</v>
      </c>
      <c r="C405" s="195" t="s">
        <v>738</v>
      </c>
      <c r="D405" s="196">
        <v>46738</v>
      </c>
      <c r="E405" s="195" t="s">
        <v>69</v>
      </c>
      <c r="F405" s="197">
        <v>200.81</v>
      </c>
      <c r="G405" s="72"/>
      <c r="H405" s="72" t="s">
        <v>796</v>
      </c>
      <c r="I405" s="72" t="s">
        <v>59</v>
      </c>
      <c r="J405" s="72"/>
      <c r="K405" s="72" t="s">
        <v>59</v>
      </c>
      <c r="L405" s="97"/>
      <c r="M405" s="136"/>
    </row>
    <row r="406" spans="1:15" ht="15.6">
      <c r="A406" s="258" t="s">
        <v>470</v>
      </c>
      <c r="B406" s="256" t="s">
        <v>1178</v>
      </c>
      <c r="C406" s="195" t="s">
        <v>698</v>
      </c>
      <c r="D406" s="196">
        <v>46142</v>
      </c>
      <c r="E406" s="195" t="s">
        <v>69</v>
      </c>
      <c r="F406" s="197">
        <v>508.7</v>
      </c>
      <c r="G406" s="72"/>
      <c r="H406" s="72" t="s">
        <v>796</v>
      </c>
      <c r="I406" s="72" t="s">
        <v>59</v>
      </c>
      <c r="J406" s="72"/>
      <c r="K406" s="72" t="s">
        <v>59</v>
      </c>
      <c r="L406" s="97"/>
      <c r="M406" s="136"/>
      <c r="O406" s="70"/>
    </row>
    <row r="407" spans="1:15" ht="15.6">
      <c r="A407" s="258" t="s">
        <v>471</v>
      </c>
      <c r="B407" s="256" t="s">
        <v>1168</v>
      </c>
      <c r="C407" s="195" t="s">
        <v>676</v>
      </c>
      <c r="D407" s="196">
        <v>46461</v>
      </c>
      <c r="E407" s="195" t="s">
        <v>69</v>
      </c>
      <c r="F407" s="197">
        <v>200.84</v>
      </c>
      <c r="G407" s="72"/>
      <c r="H407" s="72" t="s">
        <v>796</v>
      </c>
      <c r="I407" s="72" t="s">
        <v>59</v>
      </c>
      <c r="J407" s="72"/>
      <c r="K407" s="72" t="s">
        <v>59</v>
      </c>
      <c r="L407" s="97"/>
      <c r="M407" s="136"/>
      <c r="O407" s="70"/>
    </row>
    <row r="408" spans="1:15" ht="15.6">
      <c r="A408" s="258" t="s">
        <v>472</v>
      </c>
      <c r="B408" s="256" t="s">
        <v>1227</v>
      </c>
      <c r="C408" s="195" t="s">
        <v>715</v>
      </c>
      <c r="D408" s="196">
        <v>46569</v>
      </c>
      <c r="E408" s="195" t="s">
        <v>69</v>
      </c>
      <c r="F408" s="197">
        <v>201.5</v>
      </c>
      <c r="G408" s="72"/>
      <c r="H408" s="72" t="s">
        <v>796</v>
      </c>
      <c r="I408" s="72" t="s">
        <v>59</v>
      </c>
      <c r="J408" s="72"/>
      <c r="K408" s="72" t="s">
        <v>59</v>
      </c>
      <c r="L408" s="97"/>
      <c r="M408" s="136"/>
      <c r="O408" s="70"/>
    </row>
    <row r="409" spans="1:15" ht="15.6">
      <c r="A409" s="258" t="s">
        <v>473</v>
      </c>
      <c r="B409" s="256" t="s">
        <v>1044</v>
      </c>
      <c r="C409" s="195" t="s">
        <v>765</v>
      </c>
      <c r="D409" s="196">
        <v>46722</v>
      </c>
      <c r="E409" s="195" t="s">
        <v>69</v>
      </c>
      <c r="F409" s="197">
        <v>410.81</v>
      </c>
      <c r="G409" s="72"/>
      <c r="H409" s="72" t="s">
        <v>796</v>
      </c>
      <c r="I409" s="72" t="s">
        <v>59</v>
      </c>
      <c r="J409" s="72"/>
      <c r="K409" s="72" t="s">
        <v>59</v>
      </c>
      <c r="L409" s="97"/>
      <c r="M409" s="136"/>
      <c r="O409" s="70"/>
    </row>
    <row r="410" spans="1:15" ht="15.6">
      <c r="A410" s="258" t="s">
        <v>474</v>
      </c>
      <c r="B410" s="256" t="s">
        <v>1358</v>
      </c>
      <c r="C410" s="195" t="s">
        <v>721</v>
      </c>
      <c r="D410" s="196">
        <v>46659</v>
      </c>
      <c r="E410" s="195" t="s">
        <v>69</v>
      </c>
      <c r="F410" s="197">
        <v>205.5</v>
      </c>
      <c r="G410" s="72"/>
      <c r="H410" s="72" t="s">
        <v>796</v>
      </c>
      <c r="I410" s="72" t="s">
        <v>59</v>
      </c>
      <c r="J410" s="72"/>
      <c r="K410" s="72" t="s">
        <v>59</v>
      </c>
      <c r="L410" s="97"/>
      <c r="M410" s="136"/>
      <c r="O410" s="70"/>
    </row>
    <row r="411" spans="1:15" ht="15.6">
      <c r="A411" s="258" t="s">
        <v>475</v>
      </c>
      <c r="B411" s="256" t="s">
        <v>1124</v>
      </c>
      <c r="C411" s="195" t="s">
        <v>703</v>
      </c>
      <c r="D411" s="196">
        <v>46374</v>
      </c>
      <c r="E411" s="195" t="s">
        <v>69</v>
      </c>
      <c r="F411" s="197">
        <v>203.21</v>
      </c>
      <c r="G411" s="72"/>
      <c r="H411" s="72" t="s">
        <v>796</v>
      </c>
      <c r="I411" s="72" t="s">
        <v>59</v>
      </c>
      <c r="J411" s="72"/>
      <c r="K411" s="72" t="s">
        <v>59</v>
      </c>
      <c r="L411" s="97"/>
      <c r="M411" s="136"/>
      <c r="O411" s="70"/>
    </row>
    <row r="412" spans="1:15" ht="15.6">
      <c r="A412" s="258" t="s">
        <v>476</v>
      </c>
      <c r="B412" s="256" t="s">
        <v>1397</v>
      </c>
      <c r="C412" s="195" t="s">
        <v>765</v>
      </c>
      <c r="D412" s="196">
        <v>46143</v>
      </c>
      <c r="E412" s="195" t="s">
        <v>69</v>
      </c>
      <c r="F412" s="197">
        <v>50.18</v>
      </c>
      <c r="G412" s="72"/>
      <c r="H412" s="72" t="s">
        <v>796</v>
      </c>
      <c r="I412" s="72" t="s">
        <v>59</v>
      </c>
      <c r="J412" s="72"/>
      <c r="K412" s="72" t="s">
        <v>59</v>
      </c>
      <c r="L412" s="97"/>
      <c r="M412" s="136"/>
      <c r="O412" s="70"/>
    </row>
    <row r="413" spans="1:15" ht="15.6">
      <c r="A413" s="258" t="s">
        <v>477</v>
      </c>
      <c r="B413" s="256" t="s">
        <v>1132</v>
      </c>
      <c r="C413" s="195" t="s">
        <v>756</v>
      </c>
      <c r="D413" s="196">
        <v>46188</v>
      </c>
      <c r="E413" s="195" t="s">
        <v>69</v>
      </c>
      <c r="F413" s="197">
        <v>227.9</v>
      </c>
      <c r="G413" s="72"/>
      <c r="H413" s="72" t="s">
        <v>796</v>
      </c>
      <c r="I413" s="72" t="s">
        <v>59</v>
      </c>
      <c r="J413" s="72"/>
      <c r="K413" s="72" t="s">
        <v>59</v>
      </c>
      <c r="L413" s="97"/>
      <c r="M413" s="136"/>
      <c r="O413" s="70"/>
    </row>
    <row r="414" spans="1:15" ht="15.6">
      <c r="A414" s="258" t="s">
        <v>478</v>
      </c>
      <c r="B414" s="256" t="s">
        <v>1056</v>
      </c>
      <c r="C414" s="195" t="s">
        <v>665</v>
      </c>
      <c r="D414" s="196">
        <v>46849</v>
      </c>
      <c r="E414" s="195" t="s">
        <v>69</v>
      </c>
      <c r="F414" s="197">
        <v>100.33</v>
      </c>
      <c r="G414" s="72"/>
      <c r="H414" s="72" t="s">
        <v>796</v>
      </c>
      <c r="I414" s="72" t="s">
        <v>365</v>
      </c>
      <c r="J414" s="72"/>
      <c r="K414" s="72" t="s">
        <v>59</v>
      </c>
      <c r="L414" s="97"/>
      <c r="M414" s="136"/>
      <c r="O414" s="70"/>
    </row>
    <row r="415" spans="1:15" ht="15.6">
      <c r="A415" s="258" t="s">
        <v>479</v>
      </c>
      <c r="B415" s="256" t="s">
        <v>1109</v>
      </c>
      <c r="C415" s="195" t="s">
        <v>674</v>
      </c>
      <c r="D415" s="196">
        <v>46272</v>
      </c>
      <c r="E415" s="195" t="s">
        <v>69</v>
      </c>
      <c r="F415" s="197">
        <v>176.13</v>
      </c>
      <c r="G415" s="72"/>
      <c r="H415" s="72" t="s">
        <v>796</v>
      </c>
      <c r="I415" s="72" t="s">
        <v>59</v>
      </c>
      <c r="J415" s="72"/>
      <c r="K415" s="72" t="s">
        <v>59</v>
      </c>
      <c r="L415" s="97"/>
      <c r="M415" s="136"/>
      <c r="O415" s="70"/>
    </row>
    <row r="416" spans="1:15" ht="15.6">
      <c r="A416" s="258" t="s">
        <v>480</v>
      </c>
      <c r="B416" s="256" t="s">
        <v>1133</v>
      </c>
      <c r="C416" s="195" t="s">
        <v>776</v>
      </c>
      <c r="D416" s="196">
        <v>46612</v>
      </c>
      <c r="E416" s="195" t="s">
        <v>69</v>
      </c>
      <c r="F416" s="197">
        <v>176.13</v>
      </c>
      <c r="G416" s="72"/>
      <c r="H416" s="72" t="s">
        <v>796</v>
      </c>
      <c r="I416" s="72" t="s">
        <v>59</v>
      </c>
      <c r="J416" s="72"/>
      <c r="K416" s="72" t="s">
        <v>59</v>
      </c>
      <c r="L416" s="97"/>
      <c r="M416" s="136"/>
      <c r="O416" s="70"/>
    </row>
    <row r="417" spans="1:15" ht="15.6">
      <c r="A417" s="258" t="s">
        <v>481</v>
      </c>
      <c r="B417" s="256" t="s">
        <v>1328</v>
      </c>
      <c r="C417" s="195" t="s">
        <v>670</v>
      </c>
      <c r="D417" s="196">
        <v>46673</v>
      </c>
      <c r="E417" s="195" t="s">
        <v>69</v>
      </c>
      <c r="F417" s="197">
        <v>100.57</v>
      </c>
      <c r="G417" s="72"/>
      <c r="H417" s="72" t="s">
        <v>796</v>
      </c>
      <c r="I417" s="72" t="s">
        <v>59</v>
      </c>
      <c r="J417" s="72"/>
      <c r="K417" s="72" t="s">
        <v>59</v>
      </c>
      <c r="L417" s="97"/>
      <c r="M417" s="136"/>
      <c r="O417" s="70"/>
    </row>
    <row r="418" spans="1:15" ht="15.6">
      <c r="A418" s="258" t="s">
        <v>482</v>
      </c>
      <c r="B418" s="256" t="s">
        <v>1327</v>
      </c>
      <c r="C418" s="195" t="s">
        <v>723</v>
      </c>
      <c r="D418" s="196">
        <v>46568</v>
      </c>
      <c r="E418" s="195" t="s">
        <v>69</v>
      </c>
      <c r="F418" s="197">
        <v>261.02</v>
      </c>
      <c r="G418" s="72"/>
      <c r="H418" s="72" t="s">
        <v>796</v>
      </c>
      <c r="I418" s="72" t="s">
        <v>59</v>
      </c>
      <c r="J418" s="72"/>
      <c r="K418" s="72" t="s">
        <v>59</v>
      </c>
      <c r="L418" s="97"/>
      <c r="M418" s="136"/>
      <c r="O418" s="70"/>
    </row>
    <row r="419" spans="1:15" ht="15.6">
      <c r="A419" s="258" t="s">
        <v>483</v>
      </c>
      <c r="B419" s="256" t="s">
        <v>1108</v>
      </c>
      <c r="C419" s="195" t="s">
        <v>658</v>
      </c>
      <c r="D419" s="196">
        <v>46752</v>
      </c>
      <c r="E419" s="195" t="s">
        <v>69</v>
      </c>
      <c r="F419" s="197">
        <v>150</v>
      </c>
      <c r="G419" s="72"/>
      <c r="H419" s="72" t="s">
        <v>796</v>
      </c>
      <c r="I419" s="72" t="s">
        <v>59</v>
      </c>
      <c r="J419" s="72"/>
      <c r="K419" s="72" t="s">
        <v>59</v>
      </c>
      <c r="L419" s="97"/>
      <c r="M419" s="136"/>
      <c r="O419" s="70"/>
    </row>
    <row r="420" spans="1:15" ht="15.6">
      <c r="A420" s="258" t="s">
        <v>484</v>
      </c>
      <c r="B420" s="256" t="s">
        <v>1100</v>
      </c>
      <c r="C420" s="195" t="s">
        <v>735</v>
      </c>
      <c r="D420" s="196">
        <v>46867</v>
      </c>
      <c r="E420" s="195" t="s">
        <v>69</v>
      </c>
      <c r="F420" s="197">
        <v>202.65</v>
      </c>
      <c r="G420" s="72"/>
      <c r="H420" s="72" t="s">
        <v>796</v>
      </c>
      <c r="I420" s="72" t="s">
        <v>365</v>
      </c>
      <c r="J420" s="72"/>
      <c r="K420" s="72" t="s">
        <v>59</v>
      </c>
      <c r="L420" s="97"/>
      <c r="M420" s="136"/>
      <c r="O420" s="70"/>
    </row>
    <row r="421" spans="1:15" ht="15.6">
      <c r="A421" s="258" t="s">
        <v>485</v>
      </c>
      <c r="B421" s="256" t="s">
        <v>763</v>
      </c>
      <c r="C421" s="195" t="s">
        <v>721</v>
      </c>
      <c r="D421" s="196">
        <v>46704</v>
      </c>
      <c r="E421" s="195" t="s">
        <v>69</v>
      </c>
      <c r="F421" s="197">
        <v>100.57</v>
      </c>
      <c r="G421" s="72"/>
      <c r="H421" s="72" t="s">
        <v>796</v>
      </c>
      <c r="I421" s="72" t="s">
        <v>59</v>
      </c>
      <c r="J421" s="72"/>
      <c r="K421" s="72" t="s">
        <v>59</v>
      </c>
      <c r="L421" s="97"/>
      <c r="M421" s="136"/>
      <c r="O421" s="70"/>
    </row>
    <row r="422" spans="1:15" ht="15.6">
      <c r="A422" s="258" t="s">
        <v>486</v>
      </c>
      <c r="B422" s="256" t="s">
        <v>1245</v>
      </c>
      <c r="C422" s="195" t="s">
        <v>666</v>
      </c>
      <c r="D422" s="196">
        <v>46569</v>
      </c>
      <c r="E422" s="195" t="s">
        <v>69</v>
      </c>
      <c r="F422" s="197">
        <v>100.65</v>
      </c>
      <c r="G422" s="72"/>
      <c r="H422" s="72" t="s">
        <v>796</v>
      </c>
      <c r="I422" s="72" t="s">
        <v>59</v>
      </c>
      <c r="J422" s="72"/>
      <c r="K422" s="72" t="s">
        <v>59</v>
      </c>
      <c r="L422" s="97"/>
      <c r="M422" s="136"/>
      <c r="O422" s="70"/>
    </row>
    <row r="423" spans="1:15" ht="15.6">
      <c r="A423" s="258" t="s">
        <v>487</v>
      </c>
      <c r="B423" s="256" t="s">
        <v>1024</v>
      </c>
      <c r="C423" s="195" t="s">
        <v>721</v>
      </c>
      <c r="D423" s="196">
        <v>46566</v>
      </c>
      <c r="E423" s="195" t="s">
        <v>69</v>
      </c>
      <c r="F423" s="197">
        <v>201.13</v>
      </c>
      <c r="G423" s="72"/>
      <c r="H423" s="72" t="s">
        <v>796</v>
      </c>
      <c r="I423" s="72" t="s">
        <v>59</v>
      </c>
      <c r="J423" s="72"/>
      <c r="K423" s="72" t="s">
        <v>59</v>
      </c>
      <c r="L423" s="97"/>
      <c r="M423" s="136"/>
      <c r="O423" s="70"/>
    </row>
    <row r="424" spans="1:15" ht="15.6">
      <c r="A424" s="258" t="s">
        <v>488</v>
      </c>
      <c r="B424" s="256" t="s">
        <v>1095</v>
      </c>
      <c r="C424" s="195" t="s">
        <v>768</v>
      </c>
      <c r="D424" s="196">
        <v>46126</v>
      </c>
      <c r="E424" s="195" t="s">
        <v>69</v>
      </c>
      <c r="F424" s="197">
        <v>101</v>
      </c>
      <c r="G424" s="72"/>
      <c r="H424" s="72" t="s">
        <v>796</v>
      </c>
      <c r="I424" s="72" t="s">
        <v>59</v>
      </c>
      <c r="J424" s="72"/>
      <c r="K424" s="72" t="s">
        <v>59</v>
      </c>
      <c r="L424" s="97"/>
      <c r="M424" s="136"/>
      <c r="O424" s="70"/>
    </row>
    <row r="425" spans="1:15" ht="15.6">
      <c r="A425" s="258" t="s">
        <v>489</v>
      </c>
      <c r="B425" s="256" t="s">
        <v>1322</v>
      </c>
      <c r="C425" s="195" t="s">
        <v>655</v>
      </c>
      <c r="D425" s="196">
        <v>46490</v>
      </c>
      <c r="E425" s="195" t="s">
        <v>69</v>
      </c>
      <c r="F425" s="197">
        <v>146</v>
      </c>
      <c r="G425" s="72"/>
      <c r="H425" s="72" t="s">
        <v>796</v>
      </c>
      <c r="I425" s="72" t="s">
        <v>59</v>
      </c>
      <c r="J425" s="72"/>
      <c r="K425" s="72" t="s">
        <v>59</v>
      </c>
      <c r="L425" s="97"/>
      <c r="M425" s="136"/>
      <c r="O425" s="70"/>
    </row>
    <row r="426" spans="1:15" ht="15.6">
      <c r="A426" s="258" t="s">
        <v>490</v>
      </c>
      <c r="B426" s="256" t="s">
        <v>1019</v>
      </c>
      <c r="C426" s="195" t="s">
        <v>719</v>
      </c>
      <c r="D426" s="196">
        <v>46643</v>
      </c>
      <c r="E426" s="195" t="s">
        <v>69</v>
      </c>
      <c r="F426" s="197">
        <v>82.97</v>
      </c>
      <c r="G426" s="72"/>
      <c r="H426" s="72" t="s">
        <v>796</v>
      </c>
      <c r="I426" s="72" t="s">
        <v>59</v>
      </c>
      <c r="J426" s="72"/>
      <c r="K426" s="72" t="s">
        <v>59</v>
      </c>
      <c r="L426" s="97"/>
      <c r="M426" s="136"/>
      <c r="O426" s="70"/>
    </row>
    <row r="427" spans="1:15" ht="15.6">
      <c r="A427" s="258" t="s">
        <v>491</v>
      </c>
      <c r="B427" s="256" t="s">
        <v>1241</v>
      </c>
      <c r="C427" s="195" t="s">
        <v>706</v>
      </c>
      <c r="D427" s="196">
        <v>46071</v>
      </c>
      <c r="E427" s="195" t="s">
        <v>69</v>
      </c>
      <c r="F427" s="197">
        <v>100.45</v>
      </c>
      <c r="G427" s="72"/>
      <c r="H427" s="72" t="s">
        <v>796</v>
      </c>
      <c r="I427" s="72" t="s">
        <v>59</v>
      </c>
      <c r="J427" s="72"/>
      <c r="K427" s="72" t="s">
        <v>59</v>
      </c>
      <c r="L427" s="97"/>
      <c r="M427" s="136"/>
      <c r="O427" s="70"/>
    </row>
    <row r="428" spans="1:15" ht="15.6">
      <c r="A428" s="258" t="s">
        <v>492</v>
      </c>
      <c r="B428" s="256" t="s">
        <v>967</v>
      </c>
      <c r="C428" s="195" t="s">
        <v>694</v>
      </c>
      <c r="D428" s="196">
        <v>46387</v>
      </c>
      <c r="E428" s="195" t="s">
        <v>69</v>
      </c>
      <c r="F428" s="197">
        <v>151.4</v>
      </c>
      <c r="G428" s="72"/>
      <c r="H428" s="72" t="s">
        <v>796</v>
      </c>
      <c r="I428" s="72" t="s">
        <v>59</v>
      </c>
      <c r="J428" s="72"/>
      <c r="K428" s="72" t="s">
        <v>59</v>
      </c>
      <c r="L428" s="97"/>
      <c r="M428" s="136"/>
      <c r="O428" s="70"/>
    </row>
    <row r="429" spans="1:15" ht="15.6">
      <c r="A429" s="257" t="s">
        <v>493</v>
      </c>
      <c r="B429" s="256" t="s">
        <v>949</v>
      </c>
      <c r="C429" s="195" t="s">
        <v>662</v>
      </c>
      <c r="D429" s="196">
        <v>46295</v>
      </c>
      <c r="E429" s="195" t="s">
        <v>72</v>
      </c>
      <c r="F429" s="197">
        <v>70</v>
      </c>
      <c r="G429" s="72"/>
      <c r="H429" s="72" t="s">
        <v>796</v>
      </c>
      <c r="I429" s="72" t="s">
        <v>59</v>
      </c>
      <c r="J429" s="72"/>
      <c r="K429" s="72" t="s">
        <v>59</v>
      </c>
      <c r="L429" s="97"/>
      <c r="M429" s="136"/>
      <c r="O429" s="70"/>
    </row>
    <row r="430" spans="1:15" ht="15.6">
      <c r="A430" s="257" t="s">
        <v>494</v>
      </c>
      <c r="B430" s="256" t="s">
        <v>1186</v>
      </c>
      <c r="C430" s="195" t="s">
        <v>671</v>
      </c>
      <c r="D430" s="196">
        <v>46580</v>
      </c>
      <c r="E430" s="195" t="s">
        <v>72</v>
      </c>
      <c r="F430" s="197">
        <v>265.10000000000002</v>
      </c>
      <c r="G430" s="72"/>
      <c r="H430" s="72" t="s">
        <v>796</v>
      </c>
      <c r="I430" s="72" t="s">
        <v>59</v>
      </c>
      <c r="J430" s="72"/>
      <c r="K430" s="72" t="s">
        <v>59</v>
      </c>
      <c r="L430" s="97"/>
      <c r="M430" s="136"/>
      <c r="O430" s="70"/>
    </row>
    <row r="431" spans="1:15" ht="15.6">
      <c r="A431" s="257" t="s">
        <v>495</v>
      </c>
      <c r="B431" s="256" t="s">
        <v>1000</v>
      </c>
      <c r="C431" s="195" t="s">
        <v>667</v>
      </c>
      <c r="D431" s="196">
        <v>46387</v>
      </c>
      <c r="E431" s="195" t="s">
        <v>72</v>
      </c>
      <c r="F431" s="197">
        <v>108.5</v>
      </c>
      <c r="G431" s="72"/>
      <c r="H431" s="72" t="s">
        <v>796</v>
      </c>
      <c r="I431" s="72" t="s">
        <v>59</v>
      </c>
      <c r="J431" s="72"/>
      <c r="K431" s="72" t="s">
        <v>59</v>
      </c>
      <c r="L431" s="97"/>
      <c r="M431" s="136"/>
      <c r="O431" s="70"/>
    </row>
    <row r="432" spans="1:15" ht="15.6">
      <c r="A432" s="257" t="s">
        <v>496</v>
      </c>
      <c r="B432" s="256" t="s">
        <v>1015</v>
      </c>
      <c r="C432" s="195" t="s">
        <v>698</v>
      </c>
      <c r="D432" s="196">
        <v>45957</v>
      </c>
      <c r="E432" s="195" t="s">
        <v>72</v>
      </c>
      <c r="F432" s="197">
        <v>202</v>
      </c>
      <c r="G432" s="72"/>
      <c r="H432" s="72" t="s">
        <v>796</v>
      </c>
      <c r="I432" s="72" t="s">
        <v>59</v>
      </c>
      <c r="J432" s="72"/>
      <c r="K432" s="72" t="s">
        <v>59</v>
      </c>
      <c r="L432" s="97"/>
      <c r="M432" s="136"/>
      <c r="O432" s="70"/>
    </row>
    <row r="433" spans="1:15" ht="15.6">
      <c r="A433" s="257" t="s">
        <v>497</v>
      </c>
      <c r="B433" s="256" t="s">
        <v>1106</v>
      </c>
      <c r="C433" s="195" t="s">
        <v>717</v>
      </c>
      <c r="D433" s="196">
        <v>46703</v>
      </c>
      <c r="E433" s="195" t="s">
        <v>72</v>
      </c>
      <c r="F433" s="197">
        <v>148.16</v>
      </c>
      <c r="G433" s="72"/>
      <c r="H433" s="72" t="s">
        <v>796</v>
      </c>
      <c r="I433" s="72" t="s">
        <v>59</v>
      </c>
      <c r="J433" s="72"/>
      <c r="K433" s="72" t="s">
        <v>59</v>
      </c>
      <c r="L433" s="97"/>
      <c r="M433" s="136"/>
      <c r="O433" s="70"/>
    </row>
    <row r="434" spans="1:15" ht="15.6">
      <c r="A434" s="257" t="s">
        <v>498</v>
      </c>
      <c r="B434" s="256" t="s">
        <v>1070</v>
      </c>
      <c r="C434" s="195" t="s">
        <v>788</v>
      </c>
      <c r="D434" s="196">
        <v>46021</v>
      </c>
      <c r="E434" s="195" t="s">
        <v>72</v>
      </c>
      <c r="F434" s="197">
        <v>112.4</v>
      </c>
      <c r="G434" s="72"/>
      <c r="H434" s="72" t="s">
        <v>796</v>
      </c>
      <c r="I434" s="72" t="s">
        <v>59</v>
      </c>
      <c r="J434" s="72"/>
      <c r="K434" s="72" t="s">
        <v>59</v>
      </c>
      <c r="L434" s="97"/>
      <c r="M434" s="136"/>
      <c r="O434" s="70"/>
    </row>
    <row r="435" spans="1:15" ht="15.6">
      <c r="A435" s="257" t="s">
        <v>499</v>
      </c>
      <c r="B435" s="256" t="s">
        <v>1152</v>
      </c>
      <c r="C435" s="195" t="s">
        <v>754</v>
      </c>
      <c r="D435" s="196">
        <v>46142</v>
      </c>
      <c r="E435" s="195" t="s">
        <v>72</v>
      </c>
      <c r="F435" s="197">
        <v>200.92</v>
      </c>
      <c r="G435" s="72"/>
      <c r="H435" s="72" t="s">
        <v>796</v>
      </c>
      <c r="I435" s="72" t="s">
        <v>59</v>
      </c>
      <c r="J435" s="72"/>
      <c r="K435" s="72" t="s">
        <v>59</v>
      </c>
      <c r="L435" s="97"/>
      <c r="M435" s="136"/>
      <c r="O435" s="70"/>
    </row>
    <row r="436" spans="1:15" ht="15.6">
      <c r="A436" s="257" t="s">
        <v>500</v>
      </c>
      <c r="B436" s="256" t="s">
        <v>1164</v>
      </c>
      <c r="C436" s="195" t="s">
        <v>1165</v>
      </c>
      <c r="D436" s="196">
        <v>46813</v>
      </c>
      <c r="E436" s="195" t="s">
        <v>72</v>
      </c>
      <c r="F436" s="197">
        <v>188.2</v>
      </c>
      <c r="G436" s="72"/>
      <c r="H436" s="72" t="s">
        <v>796</v>
      </c>
      <c r="I436" s="72" t="s">
        <v>365</v>
      </c>
      <c r="J436" s="72"/>
      <c r="K436" s="72" t="s">
        <v>59</v>
      </c>
      <c r="L436" s="97"/>
      <c r="M436" s="136"/>
      <c r="O436" s="70"/>
    </row>
    <row r="437" spans="1:15" ht="15.6">
      <c r="A437" s="257" t="s">
        <v>501</v>
      </c>
      <c r="B437" s="256" t="s">
        <v>1167</v>
      </c>
      <c r="C437" s="195" t="s">
        <v>741</v>
      </c>
      <c r="D437" s="196">
        <v>46653</v>
      </c>
      <c r="E437" s="195" t="s">
        <v>72</v>
      </c>
      <c r="F437" s="197">
        <v>150.54</v>
      </c>
      <c r="G437" s="72"/>
      <c r="H437" s="72" t="s">
        <v>796</v>
      </c>
      <c r="I437" s="72" t="s">
        <v>59</v>
      </c>
      <c r="J437" s="72"/>
      <c r="K437" s="72" t="s">
        <v>59</v>
      </c>
      <c r="L437" s="97"/>
      <c r="M437" s="136"/>
      <c r="O437" s="70"/>
    </row>
    <row r="438" spans="1:15" ht="15.6">
      <c r="A438" s="257" t="s">
        <v>502</v>
      </c>
      <c r="B438" s="256" t="s">
        <v>1180</v>
      </c>
      <c r="C438" s="195" t="s">
        <v>659</v>
      </c>
      <c r="D438" s="196">
        <v>46517</v>
      </c>
      <c r="E438" s="195" t="s">
        <v>72</v>
      </c>
      <c r="F438" s="197">
        <v>219.35</v>
      </c>
      <c r="G438" s="72"/>
      <c r="H438" s="72" t="s">
        <v>796</v>
      </c>
      <c r="I438" s="72" t="s">
        <v>59</v>
      </c>
      <c r="J438" s="72"/>
      <c r="K438" s="72" t="s">
        <v>59</v>
      </c>
      <c r="L438" s="97"/>
      <c r="M438" s="136"/>
      <c r="O438" s="70"/>
    </row>
    <row r="439" spans="1:15" ht="15.6">
      <c r="A439" s="257" t="s">
        <v>503</v>
      </c>
      <c r="B439" s="256" t="s">
        <v>1233</v>
      </c>
      <c r="C439" s="195" t="s">
        <v>693</v>
      </c>
      <c r="D439" s="196">
        <v>46171</v>
      </c>
      <c r="E439" s="195" t="s">
        <v>72</v>
      </c>
      <c r="F439" s="197">
        <v>384</v>
      </c>
      <c r="G439" s="72"/>
      <c r="H439" s="72" t="s">
        <v>796</v>
      </c>
      <c r="I439" s="72" t="s">
        <v>59</v>
      </c>
      <c r="J439" s="72"/>
      <c r="K439" s="72" t="s">
        <v>59</v>
      </c>
      <c r="L439" s="97"/>
      <c r="M439" s="136"/>
      <c r="O439" s="70"/>
    </row>
    <row r="440" spans="1:15" ht="15.6">
      <c r="A440" s="257" t="s">
        <v>504</v>
      </c>
      <c r="B440" s="256" t="s">
        <v>1002</v>
      </c>
      <c r="C440" s="195" t="s">
        <v>694</v>
      </c>
      <c r="D440" s="196">
        <v>46661</v>
      </c>
      <c r="E440" s="195" t="s">
        <v>73</v>
      </c>
      <c r="F440" s="197">
        <v>202.33</v>
      </c>
      <c r="G440" s="72"/>
      <c r="H440" s="72" t="s">
        <v>796</v>
      </c>
      <c r="I440" s="72" t="s">
        <v>59</v>
      </c>
      <c r="J440" s="72"/>
      <c r="K440" s="72" t="s">
        <v>59</v>
      </c>
      <c r="L440" s="97"/>
      <c r="M440" s="136"/>
      <c r="O440" s="70"/>
    </row>
    <row r="441" spans="1:15" ht="15.6">
      <c r="A441" s="257" t="s">
        <v>505</v>
      </c>
      <c r="B441" s="256" t="s">
        <v>1184</v>
      </c>
      <c r="C441" s="195" t="s">
        <v>719</v>
      </c>
      <c r="D441" s="196">
        <v>46643</v>
      </c>
      <c r="E441" s="195" t="s">
        <v>72</v>
      </c>
      <c r="F441" s="197">
        <v>164.86</v>
      </c>
      <c r="G441" s="72"/>
      <c r="H441" s="72" t="s">
        <v>796</v>
      </c>
      <c r="I441" s="72" t="s">
        <v>59</v>
      </c>
      <c r="J441" s="72"/>
      <c r="K441" s="72" t="s">
        <v>59</v>
      </c>
      <c r="L441" s="97"/>
      <c r="M441" s="136"/>
      <c r="O441" s="70"/>
    </row>
    <row r="442" spans="1:15" ht="15.6">
      <c r="A442" s="257" t="s">
        <v>506</v>
      </c>
      <c r="B442" s="256" t="s">
        <v>989</v>
      </c>
      <c r="C442" s="195" t="s">
        <v>655</v>
      </c>
      <c r="D442" s="196">
        <v>46490</v>
      </c>
      <c r="E442" s="195" t="s">
        <v>72</v>
      </c>
      <c r="F442" s="197">
        <v>147</v>
      </c>
      <c r="G442" s="72"/>
      <c r="H442" s="72" t="s">
        <v>796</v>
      </c>
      <c r="I442" s="72" t="s">
        <v>59</v>
      </c>
      <c r="J442" s="72"/>
      <c r="K442" s="72" t="s">
        <v>59</v>
      </c>
      <c r="L442" s="97"/>
      <c r="M442" s="136"/>
      <c r="O442" s="70"/>
    </row>
    <row r="443" spans="1:15" ht="15.6">
      <c r="A443" s="257" t="s">
        <v>507</v>
      </c>
      <c r="B443" s="256" t="s">
        <v>1351</v>
      </c>
      <c r="C443" s="195" t="s">
        <v>768</v>
      </c>
      <c r="D443" s="196">
        <v>46126</v>
      </c>
      <c r="E443" s="195" t="s">
        <v>72</v>
      </c>
      <c r="F443" s="197">
        <v>305</v>
      </c>
      <c r="G443" s="72"/>
      <c r="H443" s="72" t="s">
        <v>796</v>
      </c>
      <c r="I443" s="72" t="s">
        <v>59</v>
      </c>
      <c r="J443" s="72"/>
      <c r="K443" s="72" t="s">
        <v>59</v>
      </c>
      <c r="L443" s="97"/>
      <c r="M443" s="136"/>
      <c r="O443" s="70"/>
    </row>
    <row r="444" spans="1:15" ht="15.6">
      <c r="A444" s="262" t="s">
        <v>508</v>
      </c>
      <c r="B444" s="256" t="s">
        <v>1393</v>
      </c>
      <c r="C444" s="195" t="s">
        <v>671</v>
      </c>
      <c r="D444" s="196">
        <v>46188</v>
      </c>
      <c r="E444" s="195" t="s">
        <v>69</v>
      </c>
      <c r="F444" s="197">
        <v>101.2</v>
      </c>
      <c r="G444" s="72"/>
      <c r="H444" s="72" t="s">
        <v>796</v>
      </c>
      <c r="I444" s="72" t="s">
        <v>59</v>
      </c>
      <c r="J444" s="72"/>
      <c r="K444" s="72" t="s">
        <v>59</v>
      </c>
      <c r="L444" s="97"/>
      <c r="M444" s="137"/>
      <c r="O444" s="70"/>
    </row>
    <row r="445" spans="1:15" ht="15.6">
      <c r="A445" s="262" t="s">
        <v>509</v>
      </c>
      <c r="B445" s="256" t="s">
        <v>1314</v>
      </c>
      <c r="C445" s="195" t="s">
        <v>698</v>
      </c>
      <c r="D445" s="196">
        <v>46689</v>
      </c>
      <c r="E445" s="195" t="s">
        <v>72</v>
      </c>
      <c r="F445" s="197">
        <v>262.22000000000003</v>
      </c>
      <c r="G445" s="72"/>
      <c r="H445" s="72" t="s">
        <v>796</v>
      </c>
      <c r="I445" s="72" t="s">
        <v>59</v>
      </c>
      <c r="J445" s="72"/>
      <c r="K445" s="72" t="s">
        <v>59</v>
      </c>
      <c r="L445" s="97"/>
      <c r="M445" s="137"/>
      <c r="O445" s="70"/>
    </row>
    <row r="446" spans="1:15" ht="15.6">
      <c r="A446" s="262" t="s">
        <v>510</v>
      </c>
      <c r="B446" s="256" t="s">
        <v>1187</v>
      </c>
      <c r="C446" s="195" t="s">
        <v>705</v>
      </c>
      <c r="D446" s="196">
        <v>46386</v>
      </c>
      <c r="E446" s="195" t="s">
        <v>72</v>
      </c>
      <c r="F446" s="197">
        <v>201.5</v>
      </c>
      <c r="G446" s="72"/>
      <c r="H446" s="72" t="s">
        <v>796</v>
      </c>
      <c r="I446" s="72" t="s">
        <v>59</v>
      </c>
      <c r="J446" s="72"/>
      <c r="K446" s="72" t="s">
        <v>59</v>
      </c>
      <c r="L446" s="97"/>
      <c r="M446" s="137"/>
      <c r="O446" s="70"/>
    </row>
    <row r="447" spans="1:15" ht="15.6">
      <c r="A447" s="262" t="s">
        <v>511</v>
      </c>
      <c r="B447" s="256" t="s">
        <v>1318</v>
      </c>
      <c r="C447" s="195" t="s">
        <v>705</v>
      </c>
      <c r="D447" s="196">
        <v>46386</v>
      </c>
      <c r="E447" s="195" t="s">
        <v>69</v>
      </c>
      <c r="F447" s="197">
        <v>201.6</v>
      </c>
      <c r="G447" s="72"/>
      <c r="H447" s="72" t="s">
        <v>796</v>
      </c>
      <c r="I447" s="72" t="s">
        <v>59</v>
      </c>
      <c r="J447" s="72"/>
      <c r="K447" s="72" t="s">
        <v>59</v>
      </c>
      <c r="L447" s="97"/>
      <c r="M447" s="137"/>
      <c r="O447" s="70"/>
    </row>
    <row r="448" spans="1:15" ht="15.6">
      <c r="A448" s="262" t="s">
        <v>512</v>
      </c>
      <c r="B448" s="256" t="s">
        <v>954</v>
      </c>
      <c r="C448" s="195" t="s">
        <v>698</v>
      </c>
      <c r="D448" s="196">
        <v>46689</v>
      </c>
      <c r="E448" s="195" t="s">
        <v>69</v>
      </c>
      <c r="F448" s="197">
        <v>200.86</v>
      </c>
      <c r="G448" s="72"/>
      <c r="H448" s="72" t="s">
        <v>796</v>
      </c>
      <c r="I448" s="72" t="s">
        <v>59</v>
      </c>
      <c r="J448" s="72"/>
      <c r="K448" s="72" t="s">
        <v>59</v>
      </c>
      <c r="L448" s="97"/>
      <c r="M448" s="137"/>
      <c r="O448" s="70"/>
    </row>
    <row r="449" spans="1:15" ht="15.6">
      <c r="A449" s="262" t="s">
        <v>513</v>
      </c>
      <c r="B449" s="256" t="s">
        <v>964</v>
      </c>
      <c r="C449" s="195" t="s">
        <v>658</v>
      </c>
      <c r="D449" s="196">
        <v>46829</v>
      </c>
      <c r="E449" s="195" t="s">
        <v>72</v>
      </c>
      <c r="F449" s="197">
        <v>121.63</v>
      </c>
      <c r="G449" s="72"/>
      <c r="H449" s="72" t="s">
        <v>796</v>
      </c>
      <c r="I449" s="72" t="s">
        <v>365</v>
      </c>
      <c r="J449" s="72"/>
      <c r="K449" s="72" t="s">
        <v>59</v>
      </c>
      <c r="L449" s="97"/>
      <c r="M449" s="137"/>
      <c r="O449" s="70"/>
    </row>
    <row r="450" spans="1:15" ht="15.6">
      <c r="A450" s="262" t="s">
        <v>514</v>
      </c>
      <c r="B450" s="256" t="s">
        <v>971</v>
      </c>
      <c r="C450" s="195" t="s">
        <v>694</v>
      </c>
      <c r="D450" s="196">
        <v>46142</v>
      </c>
      <c r="E450" s="195" t="s">
        <v>69</v>
      </c>
      <c r="F450" s="197">
        <v>150.46</v>
      </c>
      <c r="G450" s="72"/>
      <c r="H450" s="72" t="s">
        <v>796</v>
      </c>
      <c r="I450" s="72" t="s">
        <v>59</v>
      </c>
      <c r="J450" s="72"/>
      <c r="K450" s="72" t="s">
        <v>59</v>
      </c>
      <c r="L450" s="97"/>
      <c r="M450" s="137"/>
      <c r="O450" s="70"/>
    </row>
    <row r="451" spans="1:15" ht="15.6">
      <c r="A451" s="262" t="s">
        <v>515</v>
      </c>
      <c r="B451" s="256" t="s">
        <v>1391</v>
      </c>
      <c r="C451" s="195" t="s">
        <v>774</v>
      </c>
      <c r="D451" s="196">
        <v>46387</v>
      </c>
      <c r="E451" s="195" t="s">
        <v>72</v>
      </c>
      <c r="F451" s="197">
        <v>160.49</v>
      </c>
      <c r="G451" s="72"/>
      <c r="H451" s="72" t="s">
        <v>796</v>
      </c>
      <c r="I451" s="72" t="s">
        <v>59</v>
      </c>
      <c r="J451" s="72"/>
      <c r="K451" s="72" t="s">
        <v>59</v>
      </c>
      <c r="L451" s="97"/>
      <c r="M451" s="137"/>
      <c r="O451" s="70"/>
    </row>
    <row r="452" spans="1:15" ht="15.6">
      <c r="A452" s="262" t="s">
        <v>516</v>
      </c>
      <c r="B452" s="256" t="s">
        <v>1329</v>
      </c>
      <c r="C452" s="195" t="s">
        <v>774</v>
      </c>
      <c r="D452" s="196">
        <v>46387</v>
      </c>
      <c r="E452" s="195" t="s">
        <v>69</v>
      </c>
      <c r="F452" s="197">
        <v>122.69</v>
      </c>
      <c r="G452" s="72"/>
      <c r="H452" s="72" t="s">
        <v>796</v>
      </c>
      <c r="I452" s="72" t="s">
        <v>59</v>
      </c>
      <c r="J452" s="72"/>
      <c r="K452" s="72" t="s">
        <v>59</v>
      </c>
      <c r="L452" s="97"/>
      <c r="M452" s="137"/>
      <c r="O452" s="70"/>
    </row>
    <row r="453" spans="1:15" ht="15.6">
      <c r="A453" s="262" t="s">
        <v>517</v>
      </c>
      <c r="B453" s="256" t="s">
        <v>1030</v>
      </c>
      <c r="C453" s="195" t="s">
        <v>726</v>
      </c>
      <c r="D453" s="196">
        <v>46568</v>
      </c>
      <c r="E453" s="195" t="s">
        <v>69</v>
      </c>
      <c r="F453" s="197">
        <v>204.9</v>
      </c>
      <c r="G453" s="72"/>
      <c r="H453" s="72" t="s">
        <v>796</v>
      </c>
      <c r="I453" s="72" t="s">
        <v>59</v>
      </c>
      <c r="J453" s="72"/>
      <c r="K453" s="72" t="s">
        <v>59</v>
      </c>
      <c r="L453" s="97"/>
      <c r="M453" s="137"/>
      <c r="O453" s="70"/>
    </row>
    <row r="454" spans="1:15" ht="15.6">
      <c r="A454" s="262" t="s">
        <v>518</v>
      </c>
      <c r="B454" s="256" t="s">
        <v>1398</v>
      </c>
      <c r="C454" s="195" t="s">
        <v>712</v>
      </c>
      <c r="D454" s="196">
        <v>46595</v>
      </c>
      <c r="E454" s="195" t="s">
        <v>69</v>
      </c>
      <c r="F454" s="197">
        <v>174.08</v>
      </c>
      <c r="G454" s="72"/>
      <c r="H454" s="72" t="s">
        <v>796</v>
      </c>
      <c r="I454" s="72" t="s">
        <v>59</v>
      </c>
      <c r="J454" s="72"/>
      <c r="K454" s="72" t="s">
        <v>59</v>
      </c>
      <c r="L454" s="97"/>
      <c r="M454" s="137"/>
      <c r="O454" s="70"/>
    </row>
    <row r="455" spans="1:15" ht="15.6">
      <c r="A455" s="262" t="s">
        <v>519</v>
      </c>
      <c r="B455" s="256" t="s">
        <v>1399</v>
      </c>
      <c r="C455" s="195" t="s">
        <v>676</v>
      </c>
      <c r="D455" s="196">
        <v>46949</v>
      </c>
      <c r="E455" s="195" t="s">
        <v>69</v>
      </c>
      <c r="F455" s="197">
        <v>245.8</v>
      </c>
      <c r="G455" s="72"/>
      <c r="H455" s="72" t="s">
        <v>796</v>
      </c>
      <c r="I455" s="72" t="s">
        <v>365</v>
      </c>
      <c r="J455" s="72"/>
      <c r="K455" s="72" t="s">
        <v>59</v>
      </c>
      <c r="L455" s="97"/>
      <c r="M455" s="137"/>
      <c r="O455" s="70"/>
    </row>
    <row r="456" spans="1:15" ht="15.6">
      <c r="A456" s="262" t="s">
        <v>520</v>
      </c>
      <c r="B456" s="256" t="s">
        <v>1400</v>
      </c>
      <c r="C456" s="195" t="s">
        <v>764</v>
      </c>
      <c r="D456" s="196">
        <v>47027</v>
      </c>
      <c r="E456" s="195" t="s">
        <v>69</v>
      </c>
      <c r="F456" s="197">
        <v>205.94</v>
      </c>
      <c r="G456" s="72"/>
      <c r="H456" s="72" t="s">
        <v>796</v>
      </c>
      <c r="I456" s="72" t="s">
        <v>365</v>
      </c>
      <c r="J456" s="72"/>
      <c r="K456" s="72" t="s">
        <v>59</v>
      </c>
      <c r="L456" s="97"/>
      <c r="M456" s="137"/>
      <c r="O456" s="70"/>
    </row>
    <row r="457" spans="1:15" ht="15.6">
      <c r="A457" s="262" t="s">
        <v>521</v>
      </c>
      <c r="B457" s="256" t="s">
        <v>1360</v>
      </c>
      <c r="C457" s="195" t="s">
        <v>712</v>
      </c>
      <c r="D457" s="196">
        <v>46653</v>
      </c>
      <c r="E457" s="195" t="s">
        <v>69</v>
      </c>
      <c r="F457" s="197">
        <v>202.56</v>
      </c>
      <c r="G457" s="72"/>
      <c r="H457" s="72" t="s">
        <v>796</v>
      </c>
      <c r="I457" s="72" t="s">
        <v>59</v>
      </c>
      <c r="J457" s="72"/>
      <c r="K457" s="72" t="s">
        <v>59</v>
      </c>
      <c r="L457" s="97"/>
      <c r="M457" s="137"/>
      <c r="O457" s="70"/>
    </row>
    <row r="458" spans="1:15" ht="15.6">
      <c r="A458" s="262" t="s">
        <v>522</v>
      </c>
      <c r="B458" s="256" t="s">
        <v>1114</v>
      </c>
      <c r="C458" s="195" t="s">
        <v>694</v>
      </c>
      <c r="D458" s="196">
        <v>46387</v>
      </c>
      <c r="E458" s="195" t="s">
        <v>69</v>
      </c>
      <c r="F458" s="197">
        <v>256.33999999999997</v>
      </c>
      <c r="G458" s="72"/>
      <c r="H458" s="72" t="s">
        <v>796</v>
      </c>
      <c r="I458" s="72" t="s">
        <v>59</v>
      </c>
      <c r="J458" s="72"/>
      <c r="K458" s="72" t="s">
        <v>59</v>
      </c>
      <c r="L458" s="97"/>
      <c r="M458" s="137"/>
      <c r="O458" s="70"/>
    </row>
    <row r="459" spans="1:15" ht="15.6">
      <c r="A459" s="262" t="s">
        <v>523</v>
      </c>
      <c r="B459" s="256" t="s">
        <v>1110</v>
      </c>
      <c r="C459" s="195" t="s">
        <v>773</v>
      </c>
      <c r="D459" s="196">
        <v>46568</v>
      </c>
      <c r="E459" s="195" t="s">
        <v>69</v>
      </c>
      <c r="F459" s="197">
        <v>305.3</v>
      </c>
      <c r="G459" s="72"/>
      <c r="H459" s="72" t="s">
        <v>796</v>
      </c>
      <c r="I459" s="72" t="s">
        <v>59</v>
      </c>
      <c r="J459" s="72"/>
      <c r="K459" s="72" t="s">
        <v>59</v>
      </c>
      <c r="L459" s="97"/>
      <c r="M459" s="137"/>
      <c r="O459" s="70"/>
    </row>
    <row r="460" spans="1:15" ht="15.6">
      <c r="A460" s="262" t="s">
        <v>524</v>
      </c>
      <c r="B460" s="256" t="s">
        <v>814</v>
      </c>
      <c r="C460" s="195" t="s">
        <v>731</v>
      </c>
      <c r="D460" s="196">
        <v>46539</v>
      </c>
      <c r="E460" s="195" t="s">
        <v>71</v>
      </c>
      <c r="F460" s="197">
        <v>324.58</v>
      </c>
      <c r="G460" s="72"/>
      <c r="H460" s="72" t="s">
        <v>796</v>
      </c>
      <c r="I460" s="72" t="s">
        <v>59</v>
      </c>
      <c r="J460" s="72" t="s">
        <v>59</v>
      </c>
      <c r="K460" s="72" t="s">
        <v>59</v>
      </c>
      <c r="L460" s="97" t="s">
        <v>59</v>
      </c>
      <c r="M460" s="137"/>
      <c r="O460" s="70"/>
    </row>
    <row r="461" spans="1:15" ht="15.6">
      <c r="A461" s="262" t="s">
        <v>525</v>
      </c>
      <c r="B461" s="256" t="s">
        <v>800</v>
      </c>
      <c r="C461" s="195" t="s">
        <v>746</v>
      </c>
      <c r="D461" s="196">
        <v>46173</v>
      </c>
      <c r="E461" s="195" t="s">
        <v>71</v>
      </c>
      <c r="F461" s="197">
        <v>306.32</v>
      </c>
      <c r="G461" s="72"/>
      <c r="H461" s="72" t="s">
        <v>796</v>
      </c>
      <c r="I461" s="72" t="s">
        <v>59</v>
      </c>
      <c r="J461" s="72" t="s">
        <v>59</v>
      </c>
      <c r="K461" s="72" t="s">
        <v>59</v>
      </c>
      <c r="L461" s="97" t="s">
        <v>59</v>
      </c>
      <c r="M461" s="137"/>
      <c r="O461" s="70"/>
    </row>
    <row r="462" spans="1:15" ht="15.6">
      <c r="A462" s="262" t="s">
        <v>526</v>
      </c>
      <c r="B462" s="256" t="s">
        <v>808</v>
      </c>
      <c r="C462" s="195" t="s">
        <v>760</v>
      </c>
      <c r="D462" s="196">
        <v>46905</v>
      </c>
      <c r="E462" s="195" t="s">
        <v>71</v>
      </c>
      <c r="F462" s="197">
        <v>600</v>
      </c>
      <c r="G462" s="72"/>
      <c r="H462" s="72" t="s">
        <v>796</v>
      </c>
      <c r="I462" s="72" t="s">
        <v>365</v>
      </c>
      <c r="J462" s="72" t="s">
        <v>365</v>
      </c>
      <c r="K462" s="72" t="s">
        <v>59</v>
      </c>
      <c r="L462" s="97" t="s">
        <v>59</v>
      </c>
      <c r="M462" s="137"/>
      <c r="O462" s="70"/>
    </row>
    <row r="463" spans="1:15" ht="15.6">
      <c r="A463" s="262" t="s">
        <v>534</v>
      </c>
      <c r="B463" s="256" t="s">
        <v>802</v>
      </c>
      <c r="C463" s="195" t="s">
        <v>709</v>
      </c>
      <c r="D463" s="196">
        <v>47088</v>
      </c>
      <c r="E463" s="195" t="s">
        <v>71</v>
      </c>
      <c r="F463" s="197">
        <v>1390</v>
      </c>
      <c r="G463" s="72"/>
      <c r="H463" s="72" t="s">
        <v>796</v>
      </c>
      <c r="I463" s="72" t="s">
        <v>365</v>
      </c>
      <c r="J463" s="72" t="s">
        <v>365</v>
      </c>
      <c r="K463" s="72" t="s">
        <v>59</v>
      </c>
      <c r="L463" s="97" t="s">
        <v>59</v>
      </c>
      <c r="M463" s="137"/>
      <c r="O463" s="70"/>
    </row>
    <row r="464" spans="1:15" ht="15.6">
      <c r="A464" s="262" t="s">
        <v>535</v>
      </c>
      <c r="B464" s="256" t="s">
        <v>813</v>
      </c>
      <c r="C464" s="195" t="s">
        <v>694</v>
      </c>
      <c r="D464" s="196">
        <v>46387</v>
      </c>
      <c r="E464" s="195" t="s">
        <v>71</v>
      </c>
      <c r="F464" s="197">
        <v>204.71</v>
      </c>
      <c r="G464" s="72"/>
      <c r="H464" s="72" t="s">
        <v>796</v>
      </c>
      <c r="I464" s="72" t="s">
        <v>59</v>
      </c>
      <c r="J464" s="72" t="s">
        <v>59</v>
      </c>
      <c r="K464" s="72" t="s">
        <v>59</v>
      </c>
      <c r="L464" s="97" t="s">
        <v>59</v>
      </c>
      <c r="M464" s="137"/>
      <c r="O464" s="70"/>
    </row>
    <row r="465" spans="1:15" ht="15.6">
      <c r="A465" s="262" t="s">
        <v>527</v>
      </c>
      <c r="B465" s="256" t="s">
        <v>806</v>
      </c>
      <c r="C465" s="201" t="s">
        <v>726</v>
      </c>
      <c r="D465" s="202">
        <v>47422</v>
      </c>
      <c r="E465" s="201" t="s">
        <v>71</v>
      </c>
      <c r="F465" s="203">
        <v>453</v>
      </c>
      <c r="G465" s="72"/>
      <c r="H465" s="72" t="s">
        <v>796</v>
      </c>
      <c r="I465" s="72" t="s">
        <v>365</v>
      </c>
      <c r="J465" s="72"/>
      <c r="K465" s="72" t="s">
        <v>59</v>
      </c>
      <c r="L465" s="97" t="s">
        <v>59</v>
      </c>
      <c r="M465" s="137"/>
      <c r="O465" s="70"/>
    </row>
    <row r="466" spans="1:15" ht="15.6">
      <c r="A466" s="262" t="s">
        <v>528</v>
      </c>
      <c r="B466" s="256" t="s">
        <v>1401</v>
      </c>
      <c r="C466" s="201" t="s">
        <v>694</v>
      </c>
      <c r="D466" s="202">
        <v>46568</v>
      </c>
      <c r="E466" s="201" t="s">
        <v>69</v>
      </c>
      <c r="F466" s="203">
        <v>200.65</v>
      </c>
      <c r="G466" s="72"/>
      <c r="H466" s="72" t="s">
        <v>796</v>
      </c>
      <c r="I466" s="72" t="s">
        <v>59</v>
      </c>
      <c r="J466" s="72"/>
      <c r="K466" s="72" t="s">
        <v>59</v>
      </c>
      <c r="L466" s="97"/>
      <c r="M466" s="137"/>
      <c r="O466" s="70"/>
    </row>
    <row r="467" spans="1:15" ht="15.6">
      <c r="A467" s="262" t="s">
        <v>529</v>
      </c>
      <c r="B467" s="256" t="s">
        <v>1098</v>
      </c>
      <c r="C467" s="201" t="s">
        <v>747</v>
      </c>
      <c r="D467" s="202">
        <v>46357</v>
      </c>
      <c r="E467" s="201" t="s">
        <v>69</v>
      </c>
      <c r="F467" s="203">
        <v>101.41</v>
      </c>
      <c r="G467" s="72"/>
      <c r="H467" s="72" t="s">
        <v>796</v>
      </c>
      <c r="I467" s="72" t="s">
        <v>59</v>
      </c>
      <c r="J467" s="72"/>
      <c r="K467" s="72" t="s">
        <v>59</v>
      </c>
      <c r="L467" s="97"/>
      <c r="M467" s="137"/>
      <c r="O467" s="70"/>
    </row>
    <row r="468" spans="1:15" ht="15.6">
      <c r="A468" s="262" t="s">
        <v>530</v>
      </c>
      <c r="B468" s="256" t="s">
        <v>1171</v>
      </c>
      <c r="C468" s="201" t="s">
        <v>733</v>
      </c>
      <c r="D468" s="202">
        <v>46647</v>
      </c>
      <c r="E468" s="201" t="s">
        <v>72</v>
      </c>
      <c r="F468" s="203">
        <v>101.3</v>
      </c>
      <c r="G468" s="72"/>
      <c r="H468" s="72" t="s">
        <v>796</v>
      </c>
      <c r="I468" s="72" t="s">
        <v>59</v>
      </c>
      <c r="J468" s="72"/>
      <c r="K468" s="72" t="s">
        <v>59</v>
      </c>
      <c r="L468" s="97"/>
      <c r="M468" s="137"/>
      <c r="O468" s="70"/>
    </row>
    <row r="469" spans="1:15" ht="15.6">
      <c r="A469" s="262" t="s">
        <v>531</v>
      </c>
      <c r="B469" s="256" t="s">
        <v>1063</v>
      </c>
      <c r="C469" s="201" t="s">
        <v>654</v>
      </c>
      <c r="D469" s="202">
        <v>46751</v>
      </c>
      <c r="E469" s="201" t="s">
        <v>72</v>
      </c>
      <c r="F469" s="203">
        <v>301.2</v>
      </c>
      <c r="G469" s="72"/>
      <c r="H469" s="72" t="s">
        <v>796</v>
      </c>
      <c r="I469" s="72" t="s">
        <v>59</v>
      </c>
      <c r="J469" s="72"/>
      <c r="K469" s="72" t="s">
        <v>59</v>
      </c>
      <c r="L469" s="97"/>
      <c r="M469" s="137"/>
      <c r="O469" s="70"/>
    </row>
    <row r="470" spans="1:15" ht="15.6">
      <c r="A470" s="262" t="s">
        <v>532</v>
      </c>
      <c r="B470" s="256" t="s">
        <v>1025</v>
      </c>
      <c r="C470" s="201" t="s">
        <v>664</v>
      </c>
      <c r="D470" s="202">
        <v>46752</v>
      </c>
      <c r="E470" s="201" t="s">
        <v>69</v>
      </c>
      <c r="F470" s="203">
        <v>460</v>
      </c>
      <c r="G470" s="72"/>
      <c r="H470" s="72" t="s">
        <v>796</v>
      </c>
      <c r="I470" s="72" t="s">
        <v>59</v>
      </c>
      <c r="J470" s="72"/>
      <c r="K470" s="72" t="s">
        <v>59</v>
      </c>
      <c r="L470" s="97"/>
      <c r="M470" s="137"/>
      <c r="O470" s="70"/>
    </row>
    <row r="471" spans="1:15" ht="15.6">
      <c r="A471" s="262" t="s">
        <v>533</v>
      </c>
      <c r="B471" s="256" t="s">
        <v>1348</v>
      </c>
      <c r="C471" s="201" t="s">
        <v>684</v>
      </c>
      <c r="D471" s="202">
        <v>46630</v>
      </c>
      <c r="E471" s="201" t="s">
        <v>69</v>
      </c>
      <c r="F471" s="203">
        <v>258.83</v>
      </c>
      <c r="G471" s="72"/>
      <c r="H471" s="72" t="s">
        <v>796</v>
      </c>
      <c r="I471" s="72" t="s">
        <v>59</v>
      </c>
      <c r="J471" s="72"/>
      <c r="K471" s="72" t="s">
        <v>59</v>
      </c>
      <c r="L471" s="97"/>
      <c r="M471" s="137"/>
      <c r="O471" s="70"/>
    </row>
    <row r="472" spans="1:15" ht="16.2" thickBot="1">
      <c r="A472" s="263" t="s">
        <v>536</v>
      </c>
      <c r="B472" s="138" t="s">
        <v>990</v>
      </c>
      <c r="C472" s="140" t="s">
        <v>684</v>
      </c>
      <c r="D472" s="139">
        <v>46630</v>
      </c>
      <c r="E472" s="140" t="s">
        <v>72</v>
      </c>
      <c r="F472" s="140">
        <v>258.83</v>
      </c>
      <c r="G472" s="140"/>
      <c r="H472" s="139" t="s">
        <v>796</v>
      </c>
      <c r="I472" s="140" t="s">
        <v>59</v>
      </c>
      <c r="J472" s="140"/>
      <c r="K472" s="140" t="s">
        <v>59</v>
      </c>
      <c r="L472" s="141"/>
      <c r="M472" s="142"/>
      <c r="O472" s="70"/>
    </row>
    <row r="473" spans="1:15" ht="15.6">
      <c r="A473" s="54"/>
      <c r="B473" s="54"/>
      <c r="C473" s="53"/>
      <c r="O473" s="70"/>
    </row>
    <row r="474" spans="1:15" ht="16.2" thickBot="1"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O474" s="70"/>
    </row>
    <row r="475" spans="1:15" ht="16.2" thickBot="1">
      <c r="A475" s="289" t="s">
        <v>1473</v>
      </c>
      <c r="B475" s="288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O475" s="70"/>
    </row>
    <row r="476" spans="1:15" ht="29.4" thickBot="1">
      <c r="A476" s="127" t="s">
        <v>76</v>
      </c>
      <c r="B476" s="128" t="s">
        <v>29</v>
      </c>
      <c r="C476" s="128" t="s">
        <v>77</v>
      </c>
      <c r="D476" s="129" t="s">
        <v>288</v>
      </c>
      <c r="E476" s="128" t="s">
        <v>79</v>
      </c>
      <c r="F476" s="130" t="s">
        <v>80</v>
      </c>
      <c r="G476" s="131" t="s">
        <v>81</v>
      </c>
      <c r="H476" s="131" t="s">
        <v>446</v>
      </c>
      <c r="I476" s="128">
        <v>2027</v>
      </c>
      <c r="J476" s="131" t="s">
        <v>1405</v>
      </c>
      <c r="K476" s="128">
        <v>2030</v>
      </c>
      <c r="L476" s="131" t="s">
        <v>1406</v>
      </c>
      <c r="M476" s="133" t="s">
        <v>51</v>
      </c>
      <c r="O476" s="70"/>
    </row>
    <row r="477" spans="1:15" ht="15.6">
      <c r="A477" s="255" t="s">
        <v>537</v>
      </c>
      <c r="B477" s="256" t="s">
        <v>828</v>
      </c>
      <c r="C477" s="204" t="s">
        <v>829</v>
      </c>
      <c r="D477" s="72">
        <v>46884</v>
      </c>
      <c r="E477" s="95" t="s">
        <v>71</v>
      </c>
      <c r="F477" s="205">
        <v>166</v>
      </c>
      <c r="G477" s="72"/>
      <c r="H477" s="72" t="s">
        <v>651</v>
      </c>
      <c r="I477" s="72" t="s">
        <v>365</v>
      </c>
      <c r="J477" s="72"/>
      <c r="K477" s="72" t="s">
        <v>59</v>
      </c>
      <c r="L477" s="97"/>
      <c r="M477" s="135"/>
      <c r="O477" s="70"/>
    </row>
    <row r="478" spans="1:15" ht="15.6">
      <c r="A478" s="257" t="s">
        <v>538</v>
      </c>
      <c r="B478" s="256" t="s">
        <v>842</v>
      </c>
      <c r="C478" s="204" t="s">
        <v>731</v>
      </c>
      <c r="D478" s="202">
        <v>47467</v>
      </c>
      <c r="E478" s="95" t="s">
        <v>71</v>
      </c>
      <c r="F478" s="197">
        <v>260.3</v>
      </c>
      <c r="G478" s="72"/>
      <c r="H478" s="72" t="s">
        <v>651</v>
      </c>
      <c r="I478" s="72" t="s">
        <v>365</v>
      </c>
      <c r="J478" s="72"/>
      <c r="K478" s="72" t="s">
        <v>59</v>
      </c>
      <c r="L478" s="97"/>
      <c r="M478" s="136"/>
      <c r="O478" s="70"/>
    </row>
    <row r="479" spans="1:15" ht="15.6">
      <c r="A479" s="257" t="s">
        <v>539</v>
      </c>
      <c r="B479" s="256" t="s">
        <v>815</v>
      </c>
      <c r="C479" s="204" t="s">
        <v>816</v>
      </c>
      <c r="D479" s="202">
        <v>46852</v>
      </c>
      <c r="E479" s="95" t="s">
        <v>71</v>
      </c>
      <c r="F479" s="197">
        <v>44.4</v>
      </c>
      <c r="G479" s="72"/>
      <c r="H479" s="72" t="s">
        <v>651</v>
      </c>
      <c r="I479" s="72" t="s">
        <v>365</v>
      </c>
      <c r="J479" s="72"/>
      <c r="K479" s="72" t="s">
        <v>59</v>
      </c>
      <c r="L479" s="97"/>
      <c r="M479" s="136"/>
      <c r="O479" s="70"/>
    </row>
    <row r="480" spans="1:15" ht="15.6">
      <c r="A480" s="257" t="s">
        <v>540</v>
      </c>
      <c r="B480" s="256" t="s">
        <v>820</v>
      </c>
      <c r="C480" s="204" t="s">
        <v>659</v>
      </c>
      <c r="D480" s="202">
        <v>46844</v>
      </c>
      <c r="E480" s="95" t="s">
        <v>71</v>
      </c>
      <c r="F480" s="197">
        <v>1291.5999999999999</v>
      </c>
      <c r="G480" s="72"/>
      <c r="H480" s="72" t="s">
        <v>651</v>
      </c>
      <c r="I480" s="72" t="s">
        <v>365</v>
      </c>
      <c r="J480" s="72"/>
      <c r="K480" s="72" t="s">
        <v>59</v>
      </c>
      <c r="L480" s="97"/>
      <c r="M480" s="136"/>
      <c r="O480" s="70"/>
    </row>
    <row r="481" spans="1:15" ht="15.6">
      <c r="A481" s="257" t="s">
        <v>541</v>
      </c>
      <c r="B481" s="256" t="s">
        <v>819</v>
      </c>
      <c r="C481" s="204" t="s">
        <v>726</v>
      </c>
      <c r="D481" s="202">
        <v>47015</v>
      </c>
      <c r="E481" s="95" t="s">
        <v>71</v>
      </c>
      <c r="F481" s="197">
        <v>44.4</v>
      </c>
      <c r="G481" s="72"/>
      <c r="H481" s="72" t="s">
        <v>651</v>
      </c>
      <c r="I481" s="72" t="s">
        <v>365</v>
      </c>
      <c r="J481" s="72"/>
      <c r="K481" s="72" t="s">
        <v>59</v>
      </c>
      <c r="L481" s="97"/>
      <c r="M481" s="136"/>
      <c r="O481" s="70"/>
    </row>
    <row r="482" spans="1:15" ht="15.6">
      <c r="A482" s="257" t="s">
        <v>542</v>
      </c>
      <c r="B482" s="256" t="s">
        <v>845</v>
      </c>
      <c r="C482" s="204" t="s">
        <v>846</v>
      </c>
      <c r="D482" s="202">
        <v>47418</v>
      </c>
      <c r="E482" s="95" t="s">
        <v>71</v>
      </c>
      <c r="F482" s="197">
        <v>472.1</v>
      </c>
      <c r="G482" s="72"/>
      <c r="H482" s="72" t="s">
        <v>651</v>
      </c>
      <c r="I482" s="72" t="s">
        <v>365</v>
      </c>
      <c r="J482" s="72"/>
      <c r="K482" s="72" t="s">
        <v>59</v>
      </c>
      <c r="L482" s="97"/>
      <c r="M482" s="136"/>
      <c r="O482" s="70"/>
    </row>
    <row r="483" spans="1:15" ht="15.6">
      <c r="A483" s="257" t="s">
        <v>543</v>
      </c>
      <c r="B483" s="256" t="s">
        <v>817</v>
      </c>
      <c r="C483" s="204" t="s">
        <v>705</v>
      </c>
      <c r="D483" s="202">
        <v>46295</v>
      </c>
      <c r="E483" s="95" t="s">
        <v>71</v>
      </c>
      <c r="F483" s="197">
        <v>107</v>
      </c>
      <c r="G483" s="72"/>
      <c r="H483" s="72" t="s">
        <v>651</v>
      </c>
      <c r="I483" s="72" t="s">
        <v>59</v>
      </c>
      <c r="J483" s="72"/>
      <c r="K483" s="72" t="s">
        <v>59</v>
      </c>
      <c r="L483" s="97"/>
      <c r="M483" s="136"/>
      <c r="O483" s="70"/>
    </row>
    <row r="484" spans="1:15" ht="15.6">
      <c r="A484" s="257" t="s">
        <v>544</v>
      </c>
      <c r="B484" s="256" t="s">
        <v>843</v>
      </c>
      <c r="C484" s="204" t="s">
        <v>756</v>
      </c>
      <c r="D484" s="202">
        <v>47119</v>
      </c>
      <c r="E484" s="95" t="s">
        <v>71</v>
      </c>
      <c r="F484" s="197">
        <v>208</v>
      </c>
      <c r="G484" s="72"/>
      <c r="H484" s="72" t="s">
        <v>651</v>
      </c>
      <c r="I484" s="72" t="s">
        <v>365</v>
      </c>
      <c r="J484" s="72"/>
      <c r="K484" s="72" t="s">
        <v>59</v>
      </c>
      <c r="L484" s="97"/>
      <c r="M484" s="136"/>
      <c r="O484" s="70"/>
    </row>
    <row r="485" spans="1:15" ht="15.6">
      <c r="A485" s="257" t="s">
        <v>545</v>
      </c>
      <c r="B485" s="256" t="s">
        <v>809</v>
      </c>
      <c r="C485" s="204" t="s">
        <v>756</v>
      </c>
      <c r="D485" s="202">
        <v>46573</v>
      </c>
      <c r="E485" s="95" t="s">
        <v>71</v>
      </c>
      <c r="F485" s="197">
        <v>25.5</v>
      </c>
      <c r="G485" s="72"/>
      <c r="H485" s="72" t="s">
        <v>651</v>
      </c>
      <c r="I485" s="72" t="s">
        <v>59</v>
      </c>
      <c r="J485" s="72"/>
      <c r="K485" s="72" t="s">
        <v>59</v>
      </c>
      <c r="L485" s="97"/>
      <c r="M485" s="136"/>
      <c r="O485" s="70"/>
    </row>
    <row r="486" spans="1:15" ht="15.6">
      <c r="A486" s="257" t="s">
        <v>546</v>
      </c>
      <c r="B486" s="256" t="s">
        <v>834</v>
      </c>
      <c r="C486" s="204" t="s">
        <v>652</v>
      </c>
      <c r="D486" s="202">
        <v>47239</v>
      </c>
      <c r="E486" s="95" t="s">
        <v>71</v>
      </c>
      <c r="F486" s="197">
        <v>889.6</v>
      </c>
      <c r="G486" s="72"/>
      <c r="H486" s="72" t="s">
        <v>651</v>
      </c>
      <c r="I486" s="72" t="s">
        <v>365</v>
      </c>
      <c r="J486" s="72"/>
      <c r="K486" s="72" t="s">
        <v>59</v>
      </c>
      <c r="L486" s="97"/>
      <c r="M486" s="136"/>
      <c r="O486" s="70"/>
    </row>
    <row r="487" spans="1:15" ht="15.6">
      <c r="A487" s="259" t="s">
        <v>547</v>
      </c>
      <c r="B487" s="256" t="s">
        <v>821</v>
      </c>
      <c r="C487" s="204" t="s">
        <v>679</v>
      </c>
      <c r="D487" s="202">
        <v>46598</v>
      </c>
      <c r="E487" s="95" t="s">
        <v>71</v>
      </c>
      <c r="F487" s="197">
        <v>1536.4</v>
      </c>
      <c r="G487" s="72"/>
      <c r="H487" s="72" t="s">
        <v>651</v>
      </c>
      <c r="I487" s="72" t="s">
        <v>59</v>
      </c>
      <c r="J487" s="72"/>
      <c r="K487" s="72" t="s">
        <v>59</v>
      </c>
      <c r="L487" s="97"/>
      <c r="M487" s="136"/>
      <c r="O487" s="70"/>
    </row>
    <row r="488" spans="1:15" ht="15.6">
      <c r="A488" s="258" t="s">
        <v>548</v>
      </c>
      <c r="B488" s="256" t="s">
        <v>839</v>
      </c>
      <c r="C488" s="204" t="s">
        <v>733</v>
      </c>
      <c r="D488" s="202">
        <v>46809</v>
      </c>
      <c r="E488" s="95" t="s">
        <v>71</v>
      </c>
      <c r="F488" s="197">
        <v>570</v>
      </c>
      <c r="G488" s="72"/>
      <c r="H488" s="72" t="s">
        <v>651</v>
      </c>
      <c r="I488" s="72" t="s">
        <v>365</v>
      </c>
      <c r="J488" s="72"/>
      <c r="K488" s="72" t="s">
        <v>59</v>
      </c>
      <c r="L488" s="97"/>
      <c r="M488" s="136"/>
      <c r="O488" s="70"/>
    </row>
    <row r="489" spans="1:15" ht="15.6">
      <c r="A489" s="258" t="s">
        <v>549</v>
      </c>
      <c r="B489" s="256" t="s">
        <v>838</v>
      </c>
      <c r="C489" s="204" t="s">
        <v>709</v>
      </c>
      <c r="D489" s="202">
        <v>46722</v>
      </c>
      <c r="E489" s="95" t="s">
        <v>71</v>
      </c>
      <c r="F489" s="197">
        <v>440</v>
      </c>
      <c r="G489" s="72"/>
      <c r="H489" s="72" t="s">
        <v>651</v>
      </c>
      <c r="I489" s="72" t="s">
        <v>59</v>
      </c>
      <c r="J489" s="72"/>
      <c r="K489" s="72" t="s">
        <v>59</v>
      </c>
      <c r="L489" s="97"/>
      <c r="M489" s="136"/>
      <c r="O489" s="70"/>
    </row>
    <row r="490" spans="1:15" ht="15.6">
      <c r="A490" s="258" t="s">
        <v>550</v>
      </c>
      <c r="B490" s="256" t="s">
        <v>840</v>
      </c>
      <c r="C490" s="204" t="s">
        <v>709</v>
      </c>
      <c r="D490" s="202">
        <v>46784</v>
      </c>
      <c r="E490" s="95" t="s">
        <v>71</v>
      </c>
      <c r="F490" s="197">
        <v>440</v>
      </c>
      <c r="G490" s="72"/>
      <c r="H490" s="72" t="s">
        <v>651</v>
      </c>
      <c r="I490" s="72" t="s">
        <v>365</v>
      </c>
      <c r="J490" s="72"/>
      <c r="K490" s="72" t="s">
        <v>59</v>
      </c>
      <c r="L490" s="97"/>
      <c r="M490" s="136"/>
      <c r="O490" s="70"/>
    </row>
    <row r="491" spans="1:15" ht="15.6">
      <c r="A491" s="258" t="s">
        <v>551</v>
      </c>
      <c r="B491" s="256" t="s">
        <v>837</v>
      </c>
      <c r="C491" s="204" t="s">
        <v>671</v>
      </c>
      <c r="D491" s="202">
        <v>46753</v>
      </c>
      <c r="E491" s="95" t="s">
        <v>71</v>
      </c>
      <c r="F491" s="197">
        <v>900</v>
      </c>
      <c r="G491" s="72"/>
      <c r="H491" s="72" t="s">
        <v>651</v>
      </c>
      <c r="I491" s="72" t="s">
        <v>365</v>
      </c>
      <c r="J491" s="72"/>
      <c r="K491" s="72" t="s">
        <v>59</v>
      </c>
      <c r="L491" s="97"/>
      <c r="M491" s="136"/>
      <c r="O491" s="70"/>
    </row>
    <row r="492" spans="1:15" ht="15.6">
      <c r="A492" s="258" t="s">
        <v>552</v>
      </c>
      <c r="B492" s="256" t="s">
        <v>836</v>
      </c>
      <c r="C492" s="204" t="s">
        <v>731</v>
      </c>
      <c r="D492" s="202">
        <v>46753</v>
      </c>
      <c r="E492" s="95" t="s">
        <v>71</v>
      </c>
      <c r="F492" s="197">
        <v>900</v>
      </c>
      <c r="G492" s="72"/>
      <c r="H492" s="72" t="s">
        <v>651</v>
      </c>
      <c r="I492" s="72" t="s">
        <v>365</v>
      </c>
      <c r="J492" s="72"/>
      <c r="K492" s="72" t="s">
        <v>59</v>
      </c>
      <c r="L492" s="97"/>
      <c r="M492" s="136"/>
      <c r="O492" s="70"/>
    </row>
    <row r="493" spans="1:15" ht="15.6">
      <c r="A493" s="258" t="s">
        <v>553</v>
      </c>
      <c r="B493" s="256" t="s">
        <v>824</v>
      </c>
      <c r="C493" s="204" t="s">
        <v>668</v>
      </c>
      <c r="D493" s="202">
        <v>46575</v>
      </c>
      <c r="E493" s="95" t="s">
        <v>71</v>
      </c>
      <c r="F493" s="197">
        <v>123.4</v>
      </c>
      <c r="G493" s="72"/>
      <c r="H493" s="72" t="s">
        <v>651</v>
      </c>
      <c r="I493" s="72" t="s">
        <v>59</v>
      </c>
      <c r="J493" s="72"/>
      <c r="K493" s="72" t="s">
        <v>59</v>
      </c>
      <c r="L493" s="97"/>
      <c r="M493" s="136"/>
      <c r="O493" s="70"/>
    </row>
    <row r="494" spans="1:15" ht="15.6">
      <c r="A494" s="264" t="s">
        <v>554</v>
      </c>
      <c r="B494" s="256" t="s">
        <v>777</v>
      </c>
      <c r="C494" s="204" t="s">
        <v>766</v>
      </c>
      <c r="D494" s="202">
        <v>47056</v>
      </c>
      <c r="E494" s="95" t="s">
        <v>71</v>
      </c>
      <c r="F494" s="197">
        <v>1174</v>
      </c>
      <c r="G494" s="72"/>
      <c r="H494" s="72" t="s">
        <v>651</v>
      </c>
      <c r="I494" s="72" t="s">
        <v>365</v>
      </c>
      <c r="J494" s="72"/>
      <c r="K494" s="72" t="s">
        <v>59</v>
      </c>
      <c r="L494" s="97"/>
      <c r="M494" s="136"/>
      <c r="O494" s="70"/>
    </row>
    <row r="495" spans="1:15" ht="15.6">
      <c r="A495" s="258" t="s">
        <v>555</v>
      </c>
      <c r="B495" s="256" t="s">
        <v>835</v>
      </c>
      <c r="C495" s="204" t="s">
        <v>670</v>
      </c>
      <c r="D495" s="202">
        <v>47239</v>
      </c>
      <c r="E495" s="95" t="s">
        <v>71</v>
      </c>
      <c r="F495" s="197">
        <v>479</v>
      </c>
      <c r="G495" s="72"/>
      <c r="H495" s="72" t="s">
        <v>651</v>
      </c>
      <c r="I495" s="72" t="s">
        <v>365</v>
      </c>
      <c r="J495" s="72"/>
      <c r="K495" s="72" t="s">
        <v>59</v>
      </c>
      <c r="L495" s="97"/>
      <c r="M495" s="136"/>
      <c r="O495" s="70"/>
    </row>
    <row r="496" spans="1:15" ht="15.6">
      <c r="A496" s="265" t="s">
        <v>556</v>
      </c>
      <c r="B496" s="256" t="s">
        <v>812</v>
      </c>
      <c r="C496" s="204" t="s">
        <v>583</v>
      </c>
      <c r="D496" s="202">
        <v>46553</v>
      </c>
      <c r="E496" s="95" t="s">
        <v>70</v>
      </c>
      <c r="F496" s="197">
        <v>132</v>
      </c>
      <c r="G496" s="72"/>
      <c r="H496" s="72" t="s">
        <v>651</v>
      </c>
      <c r="I496" s="72" t="s">
        <v>59</v>
      </c>
      <c r="J496" s="72"/>
      <c r="K496" s="72" t="s">
        <v>59</v>
      </c>
      <c r="L496" s="97"/>
      <c r="M496" s="136"/>
      <c r="O496" s="70"/>
    </row>
    <row r="497" spans="1:15" ht="15.6">
      <c r="A497" s="265" t="s">
        <v>557</v>
      </c>
      <c r="B497" s="256" t="s">
        <v>781</v>
      </c>
      <c r="C497" s="204" t="s">
        <v>687</v>
      </c>
      <c r="D497" s="202">
        <v>46691</v>
      </c>
      <c r="E497" s="95" t="s">
        <v>71</v>
      </c>
      <c r="F497" s="197">
        <v>680</v>
      </c>
      <c r="G497" s="72"/>
      <c r="H497" s="72" t="s">
        <v>651</v>
      </c>
      <c r="I497" s="72" t="s">
        <v>59</v>
      </c>
      <c r="J497" s="72"/>
      <c r="K497" s="72" t="s">
        <v>59</v>
      </c>
      <c r="L497" s="97"/>
      <c r="M497" s="136"/>
      <c r="O497" s="70"/>
    </row>
    <row r="498" spans="1:15" ht="15.6">
      <c r="A498" s="265" t="s">
        <v>558</v>
      </c>
      <c r="B498" s="256" t="s">
        <v>811</v>
      </c>
      <c r="C498" s="204" t="s">
        <v>698</v>
      </c>
      <c r="D498" s="202">
        <v>46569</v>
      </c>
      <c r="E498" s="95" t="s">
        <v>71</v>
      </c>
      <c r="F498" s="197">
        <v>660</v>
      </c>
      <c r="G498" s="72"/>
      <c r="H498" s="72" t="s">
        <v>651</v>
      </c>
      <c r="I498" s="72" t="s">
        <v>59</v>
      </c>
      <c r="J498" s="72"/>
      <c r="K498" s="72" t="s">
        <v>59</v>
      </c>
      <c r="L498" s="97"/>
      <c r="M498" s="136"/>
      <c r="O498" s="70"/>
    </row>
    <row r="499" spans="1:15" ht="15.6">
      <c r="A499" s="265" t="s">
        <v>559</v>
      </c>
      <c r="B499" s="256" t="s">
        <v>810</v>
      </c>
      <c r="C499" s="204" t="s">
        <v>698</v>
      </c>
      <c r="D499" s="202">
        <v>46143</v>
      </c>
      <c r="E499" s="95" t="s">
        <v>71</v>
      </c>
      <c r="F499" s="197">
        <v>660</v>
      </c>
      <c r="G499" s="72"/>
      <c r="H499" s="72" t="s">
        <v>651</v>
      </c>
      <c r="I499" s="72" t="s">
        <v>59</v>
      </c>
      <c r="J499" s="72"/>
      <c r="K499" s="72" t="s">
        <v>59</v>
      </c>
      <c r="L499" s="97"/>
      <c r="M499" s="136"/>
      <c r="O499" s="70"/>
    </row>
    <row r="500" spans="1:15" ht="15.6">
      <c r="A500" s="265" t="s">
        <v>560</v>
      </c>
      <c r="B500" s="256" t="s">
        <v>792</v>
      </c>
      <c r="C500" s="204" t="s">
        <v>692</v>
      </c>
      <c r="D500" s="202">
        <v>46530</v>
      </c>
      <c r="E500" s="95" t="s">
        <v>71</v>
      </c>
      <c r="F500" s="197">
        <v>459</v>
      </c>
      <c r="G500" s="72"/>
      <c r="H500" s="72" t="s">
        <v>651</v>
      </c>
      <c r="I500" s="72" t="s">
        <v>59</v>
      </c>
      <c r="J500" s="72"/>
      <c r="K500" s="72" t="s">
        <v>59</v>
      </c>
      <c r="L500" s="97"/>
      <c r="M500" s="136"/>
      <c r="O500" s="70"/>
    </row>
    <row r="501" spans="1:15" ht="15.6">
      <c r="A501" s="265" t="s">
        <v>561</v>
      </c>
      <c r="B501" s="256" t="s">
        <v>807</v>
      </c>
      <c r="C501" s="204" t="s">
        <v>586</v>
      </c>
      <c r="D501" s="202">
        <v>46173</v>
      </c>
      <c r="E501" s="95" t="s">
        <v>71</v>
      </c>
      <c r="F501" s="197">
        <v>1104</v>
      </c>
      <c r="G501" s="72"/>
      <c r="H501" s="72" t="s">
        <v>651</v>
      </c>
      <c r="I501" s="72" t="s">
        <v>59</v>
      </c>
      <c r="J501" s="72"/>
      <c r="K501" s="72" t="s">
        <v>59</v>
      </c>
      <c r="L501" s="97"/>
      <c r="M501" s="136"/>
      <c r="O501" s="70"/>
    </row>
    <row r="502" spans="1:15" ht="15.6">
      <c r="A502" s="265" t="s">
        <v>562</v>
      </c>
      <c r="B502" s="256" t="s">
        <v>822</v>
      </c>
      <c r="C502" s="204" t="s">
        <v>694</v>
      </c>
      <c r="D502" s="202">
        <v>46739</v>
      </c>
      <c r="E502" s="95" t="s">
        <v>71</v>
      </c>
      <c r="F502" s="197">
        <v>300.75</v>
      </c>
      <c r="G502" s="72"/>
      <c r="H502" s="72" t="s">
        <v>651</v>
      </c>
      <c r="I502" s="72" t="s">
        <v>59</v>
      </c>
      <c r="J502" s="72"/>
      <c r="K502" s="72" t="s">
        <v>59</v>
      </c>
      <c r="L502" s="97"/>
      <c r="M502" s="136"/>
      <c r="O502" s="70"/>
    </row>
    <row r="503" spans="1:15" ht="15.6">
      <c r="A503" s="265" t="s">
        <v>564</v>
      </c>
      <c r="B503" s="256" t="s">
        <v>801</v>
      </c>
      <c r="C503" s="204" t="s">
        <v>671</v>
      </c>
      <c r="D503" s="202">
        <v>46689</v>
      </c>
      <c r="E503" s="95" t="s">
        <v>71</v>
      </c>
      <c r="F503" s="197">
        <v>400</v>
      </c>
      <c r="G503" s="72"/>
      <c r="H503" s="72" t="s">
        <v>651</v>
      </c>
      <c r="I503" s="72" t="s">
        <v>59</v>
      </c>
      <c r="J503" s="72"/>
      <c r="K503" s="72" t="s">
        <v>59</v>
      </c>
      <c r="L503" s="97"/>
      <c r="M503" s="136"/>
      <c r="O503" s="70"/>
    </row>
    <row r="504" spans="1:15" ht="15.6">
      <c r="A504" s="265" t="s">
        <v>565</v>
      </c>
      <c r="B504" s="256" t="s">
        <v>798</v>
      </c>
      <c r="C504" s="204" t="s">
        <v>756</v>
      </c>
      <c r="D504" s="202">
        <v>46178</v>
      </c>
      <c r="E504" s="95" t="s">
        <v>71</v>
      </c>
      <c r="F504" s="197">
        <v>466</v>
      </c>
      <c r="G504" s="72"/>
      <c r="H504" s="72" t="s">
        <v>651</v>
      </c>
      <c r="I504" s="72" t="s">
        <v>59</v>
      </c>
      <c r="J504" s="72"/>
      <c r="K504" s="72" t="s">
        <v>59</v>
      </c>
      <c r="L504" s="97"/>
      <c r="M504" s="136"/>
      <c r="O504" s="70"/>
    </row>
    <row r="505" spans="1:15" ht="15.6">
      <c r="A505" s="265" t="s">
        <v>566</v>
      </c>
      <c r="B505" s="256" t="s">
        <v>791</v>
      </c>
      <c r="C505" s="204" t="s">
        <v>670</v>
      </c>
      <c r="D505" s="202">
        <v>46739</v>
      </c>
      <c r="E505" s="95" t="s">
        <v>71</v>
      </c>
      <c r="F505" s="197">
        <v>634</v>
      </c>
      <c r="G505" s="95"/>
      <c r="H505" s="72" t="s">
        <v>651</v>
      </c>
      <c r="I505" s="72" t="s">
        <v>59</v>
      </c>
      <c r="J505" s="72"/>
      <c r="K505" s="72" t="s">
        <v>59</v>
      </c>
      <c r="L505" s="97"/>
      <c r="M505" s="136"/>
      <c r="O505" s="70"/>
    </row>
    <row r="506" spans="1:15" ht="15.6">
      <c r="A506" s="265" t="s">
        <v>567</v>
      </c>
      <c r="B506" s="256" t="s">
        <v>823</v>
      </c>
      <c r="C506" s="204" t="s">
        <v>675</v>
      </c>
      <c r="D506" s="202">
        <v>46446</v>
      </c>
      <c r="E506" s="95" t="s">
        <v>71</v>
      </c>
      <c r="F506" s="197">
        <v>210</v>
      </c>
      <c r="G506" s="72"/>
      <c r="H506" s="72" t="s">
        <v>651</v>
      </c>
      <c r="I506" s="72" t="s">
        <v>59</v>
      </c>
      <c r="J506" s="72"/>
      <c r="K506" s="72" t="s">
        <v>59</v>
      </c>
      <c r="L506" s="97"/>
      <c r="M506" s="136"/>
      <c r="O506" s="70"/>
    </row>
    <row r="507" spans="1:15" ht="15.6">
      <c r="A507" s="265" t="s">
        <v>568</v>
      </c>
      <c r="B507" s="256" t="s">
        <v>780</v>
      </c>
      <c r="C507" s="204" t="s">
        <v>693</v>
      </c>
      <c r="D507" s="202">
        <v>46084</v>
      </c>
      <c r="E507" s="95" t="s">
        <v>71</v>
      </c>
      <c r="F507" s="197">
        <v>274</v>
      </c>
      <c r="G507" s="95"/>
      <c r="H507" s="72" t="s">
        <v>651</v>
      </c>
      <c r="I507" s="72" t="s">
        <v>59</v>
      </c>
      <c r="J507" s="72"/>
      <c r="K507" s="72" t="s">
        <v>59</v>
      </c>
      <c r="L507" s="97"/>
      <c r="M507" s="136"/>
      <c r="O507" s="70"/>
    </row>
    <row r="508" spans="1:15" ht="15.6">
      <c r="A508" s="265" t="s">
        <v>569</v>
      </c>
      <c r="B508" s="256" t="s">
        <v>783</v>
      </c>
      <c r="C508" s="204" t="s">
        <v>693</v>
      </c>
      <c r="D508" s="202">
        <v>46084</v>
      </c>
      <c r="E508" s="95" t="s">
        <v>71</v>
      </c>
      <c r="F508" s="197">
        <v>273</v>
      </c>
      <c r="G508" s="95"/>
      <c r="H508" s="72" t="s">
        <v>651</v>
      </c>
      <c r="I508" s="72" t="s">
        <v>59</v>
      </c>
      <c r="J508" s="72"/>
      <c r="K508" s="72" t="s">
        <v>59</v>
      </c>
      <c r="L508" s="97"/>
      <c r="M508" s="136"/>
      <c r="O508" s="70"/>
    </row>
    <row r="509" spans="1:15" ht="15.6">
      <c r="A509" s="265" t="s">
        <v>570</v>
      </c>
      <c r="B509" s="256" t="s">
        <v>782</v>
      </c>
      <c r="C509" s="204" t="s">
        <v>693</v>
      </c>
      <c r="D509" s="202">
        <v>46084</v>
      </c>
      <c r="E509" s="95" t="s">
        <v>71</v>
      </c>
      <c r="F509" s="197">
        <v>276</v>
      </c>
      <c r="G509" s="95"/>
      <c r="H509" s="72" t="s">
        <v>651</v>
      </c>
      <c r="I509" s="72" t="s">
        <v>59</v>
      </c>
      <c r="J509" s="72"/>
      <c r="K509" s="72" t="s">
        <v>59</v>
      </c>
      <c r="L509" s="97"/>
      <c r="M509" s="136"/>
      <c r="O509" s="70"/>
    </row>
    <row r="510" spans="1:15" ht="15.6">
      <c r="A510" s="265" t="s">
        <v>571</v>
      </c>
      <c r="B510" s="256" t="s">
        <v>786</v>
      </c>
      <c r="C510" s="204" t="s">
        <v>761</v>
      </c>
      <c r="D510" s="202">
        <v>46084</v>
      </c>
      <c r="E510" s="95" t="s">
        <v>71</v>
      </c>
      <c r="F510" s="197">
        <v>258</v>
      </c>
      <c r="G510" s="95"/>
      <c r="H510" s="72" t="s">
        <v>651</v>
      </c>
      <c r="I510" s="72" t="s">
        <v>59</v>
      </c>
      <c r="J510" s="72"/>
      <c r="K510" s="72" t="s">
        <v>59</v>
      </c>
      <c r="L510" s="97"/>
      <c r="M510" s="136"/>
      <c r="O510" s="70"/>
    </row>
    <row r="511" spans="1:15" ht="15.6">
      <c r="A511" s="265" t="s">
        <v>572</v>
      </c>
      <c r="B511" s="256" t="s">
        <v>779</v>
      </c>
      <c r="C511" s="204" t="s">
        <v>761</v>
      </c>
      <c r="D511" s="202">
        <v>46084</v>
      </c>
      <c r="E511" s="95" t="s">
        <v>71</v>
      </c>
      <c r="F511" s="197">
        <v>260</v>
      </c>
      <c r="G511" s="95"/>
      <c r="H511" s="72" t="s">
        <v>651</v>
      </c>
      <c r="I511" s="72" t="s">
        <v>59</v>
      </c>
      <c r="J511" s="72"/>
      <c r="K511" s="72" t="s">
        <v>59</v>
      </c>
      <c r="L511" s="97"/>
      <c r="M511" s="136"/>
      <c r="O511" s="70"/>
    </row>
    <row r="512" spans="1:15" ht="15.6">
      <c r="A512" s="265" t="s">
        <v>573</v>
      </c>
      <c r="B512" s="256" t="s">
        <v>805</v>
      </c>
      <c r="C512" s="204" t="s">
        <v>700</v>
      </c>
      <c r="D512" s="202">
        <v>46119</v>
      </c>
      <c r="E512" s="95" t="s">
        <v>71</v>
      </c>
      <c r="F512" s="197">
        <v>43.36</v>
      </c>
      <c r="G512" s="72"/>
      <c r="H512" s="72" t="s">
        <v>651</v>
      </c>
      <c r="I512" s="72" t="s">
        <v>59</v>
      </c>
      <c r="J512" s="72"/>
      <c r="K512" s="72" t="s">
        <v>59</v>
      </c>
      <c r="L512" s="97"/>
      <c r="M512" s="136"/>
      <c r="O512" s="70"/>
    </row>
    <row r="513" spans="1:15" ht="15.6">
      <c r="A513" s="265" t="s">
        <v>574</v>
      </c>
      <c r="B513" s="256" t="s">
        <v>844</v>
      </c>
      <c r="C513" s="204" t="s">
        <v>673</v>
      </c>
      <c r="D513" s="196">
        <v>47106</v>
      </c>
      <c r="E513" s="95" t="s">
        <v>71</v>
      </c>
      <c r="F513" s="197">
        <v>1100</v>
      </c>
      <c r="G513" s="72"/>
      <c r="H513" s="72" t="s">
        <v>651</v>
      </c>
      <c r="I513" s="72" t="s">
        <v>365</v>
      </c>
      <c r="J513" s="72"/>
      <c r="K513" s="72" t="s">
        <v>59</v>
      </c>
      <c r="L513" s="97"/>
      <c r="M513" s="136"/>
      <c r="O513" s="70"/>
    </row>
    <row r="514" spans="1:15" ht="15.6">
      <c r="A514" s="265" t="s">
        <v>575</v>
      </c>
      <c r="B514" s="256" t="s">
        <v>832</v>
      </c>
      <c r="C514" s="95" t="s">
        <v>833</v>
      </c>
      <c r="D514" s="206">
        <v>46568</v>
      </c>
      <c r="E514" s="202" t="s">
        <v>71</v>
      </c>
      <c r="F514" s="197">
        <v>495.3</v>
      </c>
      <c r="G514" s="71"/>
      <c r="H514" s="72" t="s">
        <v>743</v>
      </c>
      <c r="I514" s="72" t="s">
        <v>59</v>
      </c>
      <c r="J514" s="72"/>
      <c r="K514" s="72" t="s">
        <v>59</v>
      </c>
      <c r="L514" s="97"/>
      <c r="M514" s="137"/>
      <c r="O514" s="70"/>
    </row>
    <row r="515" spans="1:15" ht="15.6">
      <c r="A515" s="265" t="s">
        <v>576</v>
      </c>
      <c r="B515" s="256" t="s">
        <v>818</v>
      </c>
      <c r="C515" s="95" t="s">
        <v>586</v>
      </c>
      <c r="D515" s="206">
        <v>47389</v>
      </c>
      <c r="E515" s="202" t="s">
        <v>71</v>
      </c>
      <c r="F515" s="95">
        <v>506.38</v>
      </c>
      <c r="G515" s="71"/>
      <c r="H515" s="72" t="s">
        <v>743</v>
      </c>
      <c r="I515" s="72" t="s">
        <v>365</v>
      </c>
      <c r="J515" s="72"/>
      <c r="K515" s="72" t="s">
        <v>59</v>
      </c>
      <c r="L515" s="97"/>
      <c r="M515" s="137"/>
      <c r="O515" s="70"/>
    </row>
    <row r="516" spans="1:15" ht="15.6">
      <c r="A516" s="265" t="s">
        <v>577</v>
      </c>
      <c r="B516" s="256" t="s">
        <v>826</v>
      </c>
      <c r="C516" s="95" t="s">
        <v>727</v>
      </c>
      <c r="D516" s="206">
        <v>47118</v>
      </c>
      <c r="E516" s="202" t="s">
        <v>71</v>
      </c>
      <c r="F516" s="95">
        <v>1056.8</v>
      </c>
      <c r="G516" s="71"/>
      <c r="H516" s="72" t="s">
        <v>651</v>
      </c>
      <c r="I516" s="72" t="s">
        <v>365</v>
      </c>
      <c r="J516" s="72"/>
      <c r="K516" s="72" t="s">
        <v>59</v>
      </c>
      <c r="L516" s="97"/>
      <c r="M516" s="137"/>
      <c r="O516" s="70"/>
    </row>
    <row r="517" spans="1:15" ht="15.6">
      <c r="A517" s="265" t="s">
        <v>578</v>
      </c>
      <c r="B517" s="256" t="s">
        <v>830</v>
      </c>
      <c r="C517" s="95" t="s">
        <v>727</v>
      </c>
      <c r="D517" s="206">
        <v>47269</v>
      </c>
      <c r="E517" s="202" t="s">
        <v>71</v>
      </c>
      <c r="F517" s="95">
        <v>167.8</v>
      </c>
      <c r="G517" s="71"/>
      <c r="H517" s="72" t="s">
        <v>651</v>
      </c>
      <c r="I517" s="72" t="s">
        <v>365</v>
      </c>
      <c r="J517" s="72"/>
      <c r="K517" s="72" t="s">
        <v>59</v>
      </c>
      <c r="L517" s="97"/>
      <c r="M517" s="137"/>
      <c r="O517" s="70"/>
    </row>
    <row r="518" spans="1:15" ht="15.6">
      <c r="A518" s="265" t="s">
        <v>579</v>
      </c>
      <c r="B518" s="256" t="s">
        <v>831</v>
      </c>
      <c r="C518" s="95" t="s">
        <v>674</v>
      </c>
      <c r="D518" s="206">
        <v>46539</v>
      </c>
      <c r="E518" s="202" t="s">
        <v>71</v>
      </c>
      <c r="F518" s="95">
        <v>105</v>
      </c>
      <c r="G518" s="71"/>
      <c r="H518" s="72" t="s">
        <v>743</v>
      </c>
      <c r="I518" s="72" t="s">
        <v>59</v>
      </c>
      <c r="J518" s="72"/>
      <c r="K518" s="72" t="s">
        <v>59</v>
      </c>
      <c r="L518" s="97"/>
      <c r="M518" s="137"/>
      <c r="O518" s="70"/>
    </row>
    <row r="519" spans="1:15" ht="15.6">
      <c r="A519" s="265" t="s">
        <v>580</v>
      </c>
      <c r="B519" s="256" t="s">
        <v>841</v>
      </c>
      <c r="C519" s="95" t="s">
        <v>727</v>
      </c>
      <c r="D519" s="206">
        <v>47269</v>
      </c>
      <c r="E519" s="202" t="s">
        <v>71</v>
      </c>
      <c r="F519" s="95">
        <v>183.6</v>
      </c>
      <c r="G519" s="71"/>
      <c r="H519" s="72" t="s">
        <v>651</v>
      </c>
      <c r="I519" s="72" t="s">
        <v>365</v>
      </c>
      <c r="J519" s="72"/>
      <c r="K519" s="72" t="s">
        <v>59</v>
      </c>
      <c r="L519" s="97"/>
      <c r="M519" s="137"/>
      <c r="O519" s="70"/>
    </row>
    <row r="520" spans="1:15" ht="15.6">
      <c r="A520" s="265" t="s">
        <v>581</v>
      </c>
      <c r="B520" s="266" t="s">
        <v>582</v>
      </c>
      <c r="C520" s="95" t="s">
        <v>583</v>
      </c>
      <c r="D520" s="206">
        <v>46598</v>
      </c>
      <c r="E520" s="202" t="s">
        <v>71</v>
      </c>
      <c r="F520" s="95">
        <v>224.5</v>
      </c>
      <c r="G520" s="71"/>
      <c r="H520" s="72" t="s">
        <v>743</v>
      </c>
      <c r="I520" s="72" t="s">
        <v>59</v>
      </c>
      <c r="J520" s="72"/>
      <c r="K520" s="72" t="s">
        <v>59</v>
      </c>
      <c r="L520" s="97"/>
      <c r="M520" s="137"/>
      <c r="O520" s="70"/>
    </row>
    <row r="521" spans="1:15" ht="15.6">
      <c r="A521" s="265" t="s">
        <v>584</v>
      </c>
      <c r="B521" s="266" t="s">
        <v>585</v>
      </c>
      <c r="C521" s="95" t="s">
        <v>586</v>
      </c>
      <c r="D521" s="206">
        <v>47332</v>
      </c>
      <c r="E521" s="202" t="s">
        <v>71</v>
      </c>
      <c r="F521" s="95">
        <v>113.02</v>
      </c>
      <c r="G521" s="71"/>
      <c r="H521" s="72" t="s">
        <v>651</v>
      </c>
      <c r="I521" s="72" t="s">
        <v>365</v>
      </c>
      <c r="J521" s="72"/>
      <c r="K521" s="72" t="s">
        <v>59</v>
      </c>
      <c r="L521" s="98"/>
      <c r="M521" s="137"/>
      <c r="O521" s="70"/>
    </row>
    <row r="522" spans="1:15" ht="16.2" thickBot="1">
      <c r="A522" s="263" t="s">
        <v>587</v>
      </c>
      <c r="B522" s="267" t="s">
        <v>588</v>
      </c>
      <c r="C522" s="140" t="s">
        <v>589</v>
      </c>
      <c r="D522" s="139">
        <v>47332</v>
      </c>
      <c r="E522" s="140" t="s">
        <v>71</v>
      </c>
      <c r="F522" s="207">
        <v>113.02</v>
      </c>
      <c r="G522" s="138"/>
      <c r="H522" s="139" t="s">
        <v>743</v>
      </c>
      <c r="I522" s="140" t="s">
        <v>365</v>
      </c>
      <c r="J522" s="140"/>
      <c r="K522" s="140" t="s">
        <v>59</v>
      </c>
      <c r="L522" s="141"/>
      <c r="M522" s="142"/>
      <c r="O522" s="70"/>
    </row>
    <row r="523" spans="1:15" ht="15.6">
      <c r="A523" s="235"/>
      <c r="B523" s="236"/>
      <c r="C523" s="237"/>
      <c r="D523" s="73"/>
      <c r="E523" s="237"/>
      <c r="F523" s="238"/>
      <c r="G523" s="239"/>
      <c r="H523" s="73"/>
      <c r="I523" s="237"/>
      <c r="J523" s="237"/>
      <c r="K523" s="237"/>
      <c r="L523" s="237"/>
      <c r="M523" s="240"/>
      <c r="O523" s="70"/>
    </row>
    <row r="524" spans="1:15" ht="15" thickBot="1">
      <c r="A524"/>
    </row>
    <row r="525" spans="1:15" ht="15" thickBot="1">
      <c r="A525" s="241" t="s">
        <v>590</v>
      </c>
      <c r="H525" s="96"/>
      <c r="K525" s="96"/>
      <c r="L525" s="96"/>
    </row>
    <row r="526" spans="1:15" ht="15" thickBot="1">
      <c r="A526" s="143" t="s">
        <v>591</v>
      </c>
      <c r="B526" s="144" t="s">
        <v>29</v>
      </c>
      <c r="C526" s="144" t="s">
        <v>79</v>
      </c>
      <c r="D526" s="144" t="s">
        <v>77</v>
      </c>
      <c r="E526" s="145" t="s">
        <v>592</v>
      </c>
    </row>
    <row r="527" spans="1:15">
      <c r="A527" s="268" t="s">
        <v>593</v>
      </c>
      <c r="B527" s="269" t="s">
        <v>1218</v>
      </c>
      <c r="C527" s="209" t="s">
        <v>69</v>
      </c>
      <c r="D527" s="209" t="s">
        <v>659</v>
      </c>
      <c r="E527" s="159">
        <v>102.04</v>
      </c>
    </row>
    <row r="528" spans="1:15">
      <c r="A528" s="270" t="s">
        <v>594</v>
      </c>
      <c r="B528" s="271" t="s">
        <v>1043</v>
      </c>
      <c r="C528" s="211" t="s">
        <v>69</v>
      </c>
      <c r="D528" s="211" t="s">
        <v>680</v>
      </c>
      <c r="E528" s="44">
        <v>33.17</v>
      </c>
    </row>
    <row r="529" spans="1:13">
      <c r="A529" s="270" t="s">
        <v>595</v>
      </c>
      <c r="B529" s="271" t="s">
        <v>1375</v>
      </c>
      <c r="C529" s="211" t="s">
        <v>72</v>
      </c>
      <c r="D529" s="211" t="s">
        <v>680</v>
      </c>
      <c r="E529" s="44">
        <v>95.29</v>
      </c>
    </row>
    <row r="530" spans="1:13">
      <c r="A530" s="270" t="s">
        <v>596</v>
      </c>
      <c r="B530" s="271" t="s">
        <v>1367</v>
      </c>
      <c r="C530" s="211" t="s">
        <v>72</v>
      </c>
      <c r="D530" s="211" t="s">
        <v>1035</v>
      </c>
      <c r="E530" s="44">
        <v>223.2</v>
      </c>
    </row>
    <row r="531" spans="1:13">
      <c r="A531" s="270" t="s">
        <v>597</v>
      </c>
      <c r="B531" s="271" t="s">
        <v>1319</v>
      </c>
      <c r="C531" s="211" t="s">
        <v>69</v>
      </c>
      <c r="D531" s="211" t="s">
        <v>725</v>
      </c>
      <c r="E531" s="44">
        <v>207.94</v>
      </c>
      <c r="J531" s="53"/>
      <c r="K531" s="53"/>
      <c r="L531" s="53"/>
    </row>
    <row r="532" spans="1:13">
      <c r="A532" s="270" t="s">
        <v>598</v>
      </c>
      <c r="B532" s="271" t="s">
        <v>1342</v>
      </c>
      <c r="C532" s="211" t="s">
        <v>69</v>
      </c>
      <c r="D532" s="211" t="s">
        <v>583</v>
      </c>
      <c r="E532" s="44">
        <v>251.05</v>
      </c>
      <c r="J532" s="53"/>
      <c r="K532" s="53"/>
      <c r="L532" s="53"/>
    </row>
    <row r="533" spans="1:13">
      <c r="A533" s="270" t="s">
        <v>599</v>
      </c>
      <c r="B533" s="271" t="s">
        <v>1028</v>
      </c>
      <c r="C533" s="211" t="s">
        <v>71</v>
      </c>
      <c r="D533" s="211" t="s">
        <v>671</v>
      </c>
      <c r="E533" s="44">
        <v>94</v>
      </c>
      <c r="J533" s="53"/>
      <c r="K533" s="53"/>
      <c r="L533" s="53"/>
    </row>
    <row r="534" spans="1:13">
      <c r="A534" s="270" t="s">
        <v>600</v>
      </c>
      <c r="B534" s="271" t="s">
        <v>1372</v>
      </c>
      <c r="C534" s="211" t="s">
        <v>69</v>
      </c>
      <c r="D534" s="211" t="s">
        <v>719</v>
      </c>
      <c r="E534" s="44">
        <v>72.98</v>
      </c>
      <c r="J534" s="53"/>
      <c r="K534" s="53"/>
      <c r="L534" s="53"/>
    </row>
    <row r="535" spans="1:13">
      <c r="A535" s="270" t="s">
        <v>601</v>
      </c>
      <c r="B535" s="271" t="s">
        <v>1262</v>
      </c>
      <c r="C535" s="211" t="s">
        <v>72</v>
      </c>
      <c r="D535" s="211" t="s">
        <v>719</v>
      </c>
      <c r="E535" s="44">
        <v>207.84</v>
      </c>
      <c r="J535" s="53"/>
      <c r="K535" s="53"/>
      <c r="L535" s="53"/>
    </row>
    <row r="536" spans="1:13" ht="15" thickBot="1">
      <c r="A536" s="272" t="s">
        <v>602</v>
      </c>
      <c r="B536" s="273" t="s">
        <v>947</v>
      </c>
      <c r="C536" s="212" t="s">
        <v>72</v>
      </c>
      <c r="D536" s="212" t="s">
        <v>772</v>
      </c>
      <c r="E536" s="78">
        <v>1004</v>
      </c>
      <c r="J536" s="53"/>
      <c r="K536" s="53"/>
      <c r="L536" s="53"/>
    </row>
    <row r="537" spans="1:13">
      <c r="A537" s="19"/>
      <c r="B537" s="1"/>
      <c r="C537" s="19"/>
      <c r="D537" s="19"/>
      <c r="E537" s="47"/>
      <c r="F537" s="67"/>
      <c r="K537" s="53"/>
      <c r="L537" s="53"/>
      <c r="M537" s="53"/>
    </row>
    <row r="538" spans="1:13" ht="15" thickBot="1">
      <c r="A538" s="45"/>
      <c r="B538" s="45"/>
      <c r="C538" s="45"/>
      <c r="D538" s="45"/>
      <c r="E538" s="45"/>
      <c r="F538" s="45"/>
      <c r="K538" s="53"/>
      <c r="L538" s="53"/>
      <c r="M538" s="53"/>
    </row>
    <row r="539" spans="1:13" ht="15" thickBot="1">
      <c r="A539" s="241" t="s">
        <v>603</v>
      </c>
      <c r="K539" s="53"/>
      <c r="L539" s="53"/>
      <c r="M539" s="53"/>
    </row>
    <row r="540" spans="1:13" ht="15" thickBot="1">
      <c r="A540" s="143" t="s">
        <v>591</v>
      </c>
      <c r="B540" s="144" t="s">
        <v>29</v>
      </c>
      <c r="C540" s="144" t="s">
        <v>79</v>
      </c>
      <c r="D540" s="144" t="s">
        <v>77</v>
      </c>
      <c r="E540" s="145" t="s">
        <v>592</v>
      </c>
      <c r="J540" s="53"/>
      <c r="K540" s="53"/>
      <c r="L540" s="53"/>
    </row>
    <row r="541" spans="1:13">
      <c r="A541" s="274" t="s">
        <v>1066</v>
      </c>
      <c r="B541" s="269" t="s">
        <v>1067</v>
      </c>
      <c r="C541" s="209" t="s">
        <v>72</v>
      </c>
      <c r="D541" s="209" t="s">
        <v>662</v>
      </c>
      <c r="E541" s="213">
        <v>617.12</v>
      </c>
      <c r="J541" s="53"/>
      <c r="K541" s="53"/>
      <c r="L541" s="53"/>
    </row>
    <row r="542" spans="1:13">
      <c r="A542" s="275" t="s">
        <v>376</v>
      </c>
      <c r="B542" s="271" t="s">
        <v>1306</v>
      </c>
      <c r="C542" s="211" t="s">
        <v>72</v>
      </c>
      <c r="D542" s="211" t="s">
        <v>677</v>
      </c>
      <c r="E542" s="187">
        <v>121.29</v>
      </c>
      <c r="J542" s="53"/>
      <c r="K542" s="53"/>
      <c r="L542" s="53"/>
    </row>
    <row r="543" spans="1:13">
      <c r="A543" s="275" t="s">
        <v>563</v>
      </c>
      <c r="B543" s="271" t="s">
        <v>795</v>
      </c>
      <c r="C543" s="211" t="s">
        <v>71</v>
      </c>
      <c r="D543" s="211" t="s">
        <v>756</v>
      </c>
      <c r="E543" s="187">
        <v>455</v>
      </c>
      <c r="J543" s="53"/>
      <c r="K543" s="53"/>
      <c r="L543" s="53"/>
    </row>
    <row r="544" spans="1:13">
      <c r="A544" s="275" t="s">
        <v>386</v>
      </c>
      <c r="B544" s="271" t="s">
        <v>1304</v>
      </c>
      <c r="C544" s="211" t="s">
        <v>72</v>
      </c>
      <c r="D544" s="211" t="s">
        <v>694</v>
      </c>
      <c r="E544" s="187">
        <v>509.88</v>
      </c>
      <c r="J544" s="53"/>
      <c r="K544" s="53"/>
      <c r="L544" s="53"/>
    </row>
    <row r="545" spans="1:12">
      <c r="A545" s="275" t="s">
        <v>385</v>
      </c>
      <c r="B545" s="271" t="s">
        <v>1119</v>
      </c>
      <c r="C545" s="211" t="s">
        <v>69</v>
      </c>
      <c r="D545" s="211" t="s">
        <v>694</v>
      </c>
      <c r="E545" s="187">
        <v>201.13</v>
      </c>
      <c r="J545" s="53"/>
      <c r="K545" s="53"/>
      <c r="L545" s="53"/>
    </row>
    <row r="546" spans="1:12">
      <c r="A546" s="275" t="s">
        <v>398</v>
      </c>
      <c r="B546" s="271" t="s">
        <v>1051</v>
      </c>
      <c r="C546" s="211" t="s">
        <v>69</v>
      </c>
      <c r="D546" s="211" t="s">
        <v>681</v>
      </c>
      <c r="E546" s="187">
        <v>41.11</v>
      </c>
      <c r="J546" s="53"/>
      <c r="K546" s="53"/>
      <c r="L546" s="53"/>
    </row>
    <row r="547" spans="1:12">
      <c r="A547" s="275" t="s">
        <v>399</v>
      </c>
      <c r="B547" s="271" t="s">
        <v>955</v>
      </c>
      <c r="C547" s="211" t="s">
        <v>72</v>
      </c>
      <c r="D547" s="211" t="s">
        <v>681</v>
      </c>
      <c r="E547" s="187">
        <v>41.11</v>
      </c>
      <c r="J547" s="53"/>
      <c r="K547" s="53"/>
      <c r="L547" s="53"/>
    </row>
    <row r="548" spans="1:12">
      <c r="A548" s="275" t="s">
        <v>604</v>
      </c>
      <c r="B548" s="271" t="s">
        <v>937</v>
      </c>
      <c r="C548" s="211" t="s">
        <v>72</v>
      </c>
      <c r="D548" s="211" t="s">
        <v>671</v>
      </c>
      <c r="E548" s="187">
        <v>201</v>
      </c>
      <c r="J548" s="53"/>
      <c r="K548" s="53"/>
      <c r="L548" s="53"/>
    </row>
    <row r="549" spans="1:12">
      <c r="A549" s="275" t="s">
        <v>605</v>
      </c>
      <c r="B549" s="271" t="s">
        <v>1117</v>
      </c>
      <c r="C549" s="211" t="s">
        <v>72</v>
      </c>
      <c r="D549" s="211" t="s">
        <v>671</v>
      </c>
      <c r="E549" s="187">
        <v>201</v>
      </c>
      <c r="J549" s="53"/>
      <c r="K549" s="53"/>
      <c r="L549" s="53"/>
    </row>
    <row r="550" spans="1:12">
      <c r="A550" s="275" t="s">
        <v>606</v>
      </c>
      <c r="B550" s="271" t="s">
        <v>1337</v>
      </c>
      <c r="C550" s="211" t="s">
        <v>72</v>
      </c>
      <c r="D550" s="211" t="s">
        <v>671</v>
      </c>
      <c r="E550" s="187">
        <v>152.34</v>
      </c>
      <c r="J550" s="53"/>
      <c r="K550" s="53"/>
      <c r="L550" s="53"/>
    </row>
    <row r="551" spans="1:12">
      <c r="A551" s="275" t="s">
        <v>607</v>
      </c>
      <c r="B551" s="271" t="s">
        <v>1353</v>
      </c>
      <c r="C551" s="211" t="s">
        <v>72</v>
      </c>
      <c r="D551" s="211" t="s">
        <v>694</v>
      </c>
      <c r="E551" s="187">
        <v>306.8</v>
      </c>
      <c r="J551" s="53"/>
      <c r="K551" s="53"/>
      <c r="L551" s="53"/>
    </row>
    <row r="552" spans="1:12">
      <c r="A552" s="275" t="s">
        <v>608</v>
      </c>
      <c r="B552" s="271" t="s">
        <v>1364</v>
      </c>
      <c r="C552" s="211" t="s">
        <v>73</v>
      </c>
      <c r="D552" s="211" t="s">
        <v>666</v>
      </c>
      <c r="E552" s="187">
        <v>100</v>
      </c>
      <c r="J552" s="53"/>
      <c r="K552" s="53"/>
      <c r="L552" s="53"/>
    </row>
    <row r="553" spans="1:12">
      <c r="A553" s="275" t="s">
        <v>609</v>
      </c>
      <c r="B553" s="271" t="s">
        <v>1232</v>
      </c>
      <c r="C553" s="211" t="s">
        <v>72</v>
      </c>
      <c r="D553" s="211" t="s">
        <v>708</v>
      </c>
      <c r="E553" s="187">
        <v>150.84</v>
      </c>
      <c r="J553" s="53"/>
      <c r="K553" s="53"/>
      <c r="L553" s="53"/>
    </row>
    <row r="554" spans="1:12">
      <c r="A554" s="275" t="s">
        <v>610</v>
      </c>
      <c r="B554" s="271" t="s">
        <v>1099</v>
      </c>
      <c r="C554" s="211" t="s">
        <v>69</v>
      </c>
      <c r="D554" s="211" t="s">
        <v>755</v>
      </c>
      <c r="E554" s="187">
        <v>150.5</v>
      </c>
      <c r="J554" s="53"/>
      <c r="K554" s="53"/>
      <c r="L554" s="53"/>
    </row>
    <row r="555" spans="1:12">
      <c r="A555" s="275" t="s">
        <v>611</v>
      </c>
      <c r="B555" s="271" t="s">
        <v>1175</v>
      </c>
      <c r="C555" s="211" t="s">
        <v>71</v>
      </c>
      <c r="D555" s="211" t="s">
        <v>765</v>
      </c>
      <c r="E555" s="187">
        <v>312</v>
      </c>
      <c r="J555" s="53"/>
      <c r="K555" s="53"/>
      <c r="L555" s="53"/>
    </row>
    <row r="556" spans="1:12">
      <c r="A556" s="275" t="s">
        <v>612</v>
      </c>
      <c r="B556" s="271" t="s">
        <v>1037</v>
      </c>
      <c r="C556" s="211" t="s">
        <v>72</v>
      </c>
      <c r="D556" s="211" t="s">
        <v>690</v>
      </c>
      <c r="E556" s="187">
        <v>200</v>
      </c>
      <c r="J556" s="53"/>
      <c r="K556" s="53"/>
      <c r="L556" s="53"/>
    </row>
    <row r="557" spans="1:12">
      <c r="A557" s="275" t="s">
        <v>613</v>
      </c>
      <c r="B557" s="271" t="s">
        <v>1128</v>
      </c>
      <c r="C557" s="211" t="s">
        <v>69</v>
      </c>
      <c r="D557" s="211" t="s">
        <v>758</v>
      </c>
      <c r="E557" s="187">
        <v>150.86000000000001</v>
      </c>
    </row>
    <row r="558" spans="1:12">
      <c r="A558" s="275" t="s">
        <v>614</v>
      </c>
      <c r="B558" s="271" t="s">
        <v>1116</v>
      </c>
      <c r="C558" s="211" t="s">
        <v>72</v>
      </c>
      <c r="D558" s="211" t="s">
        <v>145</v>
      </c>
      <c r="E558" s="187">
        <v>112</v>
      </c>
    </row>
    <row r="559" spans="1:12">
      <c r="A559" s="275" t="s">
        <v>615</v>
      </c>
      <c r="B559" s="271" t="s">
        <v>1365</v>
      </c>
      <c r="C559" s="211" t="s">
        <v>72</v>
      </c>
      <c r="D559" s="211" t="s">
        <v>953</v>
      </c>
      <c r="E559" s="187">
        <v>413.6</v>
      </c>
    </row>
    <row r="560" spans="1:12">
      <c r="A560" s="275" t="s">
        <v>616</v>
      </c>
      <c r="B560" s="271" t="s">
        <v>1311</v>
      </c>
      <c r="C560" s="211" t="s">
        <v>69</v>
      </c>
      <c r="D560" s="211" t="s">
        <v>748</v>
      </c>
      <c r="E560" s="187">
        <v>101.39</v>
      </c>
    </row>
    <row r="561" spans="1:8">
      <c r="A561" s="275" t="s">
        <v>617</v>
      </c>
      <c r="B561" s="271" t="s">
        <v>1069</v>
      </c>
      <c r="C561" s="211" t="s">
        <v>71</v>
      </c>
      <c r="D561" s="211" t="s">
        <v>731</v>
      </c>
      <c r="E561" s="187">
        <v>149.4</v>
      </c>
    </row>
    <row r="562" spans="1:8">
      <c r="A562" s="275" t="s">
        <v>618</v>
      </c>
      <c r="B562" s="271" t="s">
        <v>1316</v>
      </c>
      <c r="C562" s="211" t="s">
        <v>71</v>
      </c>
      <c r="D562" s="211" t="s">
        <v>731</v>
      </c>
      <c r="E562" s="187">
        <v>150</v>
      </c>
    </row>
    <row r="563" spans="1:8">
      <c r="A563" s="275" t="s">
        <v>619</v>
      </c>
      <c r="B563" s="271" t="s">
        <v>1121</v>
      </c>
      <c r="C563" s="211" t="s">
        <v>72</v>
      </c>
      <c r="D563" s="211" t="s">
        <v>733</v>
      </c>
      <c r="E563" s="187">
        <v>205.2</v>
      </c>
    </row>
    <row r="564" spans="1:8" ht="15" thickBot="1">
      <c r="A564" s="276" t="s">
        <v>620</v>
      </c>
      <c r="B564" s="273" t="s">
        <v>1064</v>
      </c>
      <c r="C564" s="212" t="s">
        <v>71</v>
      </c>
      <c r="D564" s="212" t="s">
        <v>756</v>
      </c>
      <c r="E564" s="214">
        <v>11</v>
      </c>
    </row>
    <row r="565" spans="1:8">
      <c r="A565" s="46"/>
      <c r="B565" s="46"/>
      <c r="C565" s="46"/>
      <c r="D565" s="46"/>
      <c r="E565" s="46"/>
    </row>
    <row r="566" spans="1:8" ht="15" thickBot="1">
      <c r="A566" s="19"/>
      <c r="B566" s="19"/>
      <c r="C566" s="19"/>
      <c r="D566" s="19"/>
      <c r="E566" s="47"/>
      <c r="F566" s="46"/>
      <c r="H566" s="77"/>
    </row>
    <row r="567" spans="1:8" ht="15" thickBot="1">
      <c r="A567" s="241" t="s">
        <v>621</v>
      </c>
      <c r="H567" s="77"/>
    </row>
    <row r="568" spans="1:8" ht="15" thickBot="1">
      <c r="A568" s="143" t="s">
        <v>622</v>
      </c>
      <c r="B568" s="122" t="s">
        <v>623</v>
      </c>
      <c r="C568" s="122">
        <v>2027</v>
      </c>
      <c r="D568" s="122">
        <v>2030</v>
      </c>
      <c r="E568" s="126" t="s">
        <v>51</v>
      </c>
      <c r="H568" s="77"/>
    </row>
    <row r="569" spans="1:8" ht="28.8">
      <c r="A569" s="277" t="s">
        <v>624</v>
      </c>
      <c r="B569" s="146">
        <v>62</v>
      </c>
      <c r="C569" s="65" t="s">
        <v>59</v>
      </c>
      <c r="D569" s="286" t="s">
        <v>59</v>
      </c>
      <c r="E569" s="287">
        <v>45665</v>
      </c>
    </row>
    <row r="570" spans="1:8">
      <c r="A570" s="278" t="s">
        <v>625</v>
      </c>
      <c r="B570" s="61">
        <v>2</v>
      </c>
      <c r="C570" s="20" t="s">
        <v>59</v>
      </c>
      <c r="D570" s="68" t="s">
        <v>59</v>
      </c>
      <c r="E570" s="215">
        <v>45597</v>
      </c>
    </row>
    <row r="571" spans="1:8">
      <c r="A571" s="278" t="s">
        <v>626</v>
      </c>
      <c r="B571" s="61">
        <v>61</v>
      </c>
      <c r="C571" s="20" t="s">
        <v>59</v>
      </c>
      <c r="D571" s="68" t="s">
        <v>59</v>
      </c>
      <c r="E571" s="215">
        <v>45111</v>
      </c>
    </row>
    <row r="572" spans="1:8">
      <c r="A572" s="278" t="s">
        <v>627</v>
      </c>
      <c r="B572" s="61">
        <v>420</v>
      </c>
      <c r="C572" s="20" t="s">
        <v>59</v>
      </c>
      <c r="D572" s="68" t="s">
        <v>59</v>
      </c>
      <c r="E572" s="215">
        <v>45114</v>
      </c>
    </row>
    <row r="573" spans="1:8">
      <c r="A573" s="278" t="s">
        <v>628</v>
      </c>
      <c r="B573" s="61">
        <v>420</v>
      </c>
      <c r="C573" s="20" t="s">
        <v>59</v>
      </c>
      <c r="D573" s="68" t="s">
        <v>59</v>
      </c>
      <c r="E573" s="215">
        <v>45114</v>
      </c>
    </row>
    <row r="574" spans="1:8" ht="15" thickBot="1">
      <c r="A574" s="279" t="s">
        <v>629</v>
      </c>
      <c r="B574" s="148">
        <v>1</v>
      </c>
      <c r="C574" s="21" t="s">
        <v>59</v>
      </c>
      <c r="D574" s="149" t="s">
        <v>59</v>
      </c>
      <c r="E574" s="78"/>
    </row>
    <row r="575" spans="1:8">
      <c r="A575" s="43"/>
      <c r="B575" s="8"/>
      <c r="C575" s="16"/>
      <c r="D575" s="16"/>
      <c r="E575" s="8"/>
    </row>
    <row r="576" spans="1:8" ht="15" thickBot="1">
      <c r="A576" s="43"/>
      <c r="B576" s="8"/>
      <c r="C576" s="16"/>
      <c r="D576" s="16"/>
      <c r="E576" s="8"/>
    </row>
    <row r="577" spans="1:5" ht="15" thickBot="1">
      <c r="A577" s="313" t="s">
        <v>630</v>
      </c>
      <c r="B577" s="314"/>
      <c r="C577" s="16"/>
      <c r="D577" s="16"/>
      <c r="E577" s="8"/>
    </row>
    <row r="578" spans="1:5" ht="15" thickBot="1">
      <c r="A578" s="143" t="s">
        <v>622</v>
      </c>
      <c r="B578" s="122" t="s">
        <v>623</v>
      </c>
      <c r="C578" s="122">
        <v>2027</v>
      </c>
      <c r="D578" s="122">
        <v>2030</v>
      </c>
      <c r="E578" s="126" t="s">
        <v>51</v>
      </c>
    </row>
    <row r="579" spans="1:5">
      <c r="A579" s="277" t="s">
        <v>631</v>
      </c>
      <c r="B579" s="99">
        <v>420</v>
      </c>
      <c r="C579" s="99" t="s">
        <v>59</v>
      </c>
      <c r="D579" s="147" t="s">
        <v>59</v>
      </c>
      <c r="E579" s="317" t="s">
        <v>1438</v>
      </c>
    </row>
    <row r="580" spans="1:5">
      <c r="A580" s="278" t="s">
        <v>632</v>
      </c>
      <c r="B580" s="20">
        <v>410</v>
      </c>
      <c r="C580" s="20"/>
      <c r="D580" s="68" t="s">
        <v>59</v>
      </c>
      <c r="E580" s="318"/>
    </row>
    <row r="581" spans="1:5">
      <c r="A581" s="278" t="s">
        <v>633</v>
      </c>
      <c r="B581" s="20">
        <v>560</v>
      </c>
      <c r="C581" s="24"/>
      <c r="D581" s="68" t="s">
        <v>59</v>
      </c>
      <c r="E581" s="318"/>
    </row>
    <row r="582" spans="1:5" ht="15" thickBot="1">
      <c r="A582" s="279" t="s">
        <v>1426</v>
      </c>
      <c r="B582" s="21">
        <v>922</v>
      </c>
      <c r="C582" s="150" t="s">
        <v>59</v>
      </c>
      <c r="D582" s="149" t="s">
        <v>59</v>
      </c>
      <c r="E582" s="319"/>
    </row>
    <row r="583" spans="1:5">
      <c r="A583" s="108"/>
      <c r="B583" s="43"/>
      <c r="C583" s="16"/>
      <c r="D583" s="234"/>
      <c r="E583" s="8"/>
    </row>
    <row r="584" spans="1:5" ht="15" thickBot="1">
      <c r="A584" s="43"/>
      <c r="B584" s="16"/>
      <c r="C584" s="16"/>
      <c r="D584" s="16"/>
      <c r="E584" s="43"/>
    </row>
    <row r="585" spans="1:5" ht="15" thickBot="1">
      <c r="A585" s="216" t="s">
        <v>634</v>
      </c>
      <c r="B585" s="11"/>
      <c r="C585" s="8"/>
      <c r="D585" s="8"/>
      <c r="E585" s="43"/>
    </row>
    <row r="586" spans="1:5" ht="15" thickBot="1">
      <c r="A586" s="143" t="s">
        <v>622</v>
      </c>
      <c r="B586" s="122" t="s">
        <v>623</v>
      </c>
      <c r="C586" s="122">
        <v>2027</v>
      </c>
      <c r="D586" s="122">
        <v>2030</v>
      </c>
      <c r="E586" s="126" t="s">
        <v>51</v>
      </c>
    </row>
    <row r="587" spans="1:5" ht="28.8">
      <c r="A587" s="280" t="s">
        <v>1449</v>
      </c>
      <c r="B587" s="151">
        <v>25</v>
      </c>
      <c r="C587" s="151" t="s">
        <v>59</v>
      </c>
      <c r="D587" s="151" t="s">
        <v>59</v>
      </c>
      <c r="E587" s="213" t="s">
        <v>1450</v>
      </c>
    </row>
    <row r="588" spans="1:5" ht="28.8">
      <c r="A588" s="281" t="s">
        <v>1451</v>
      </c>
      <c r="B588" s="24">
        <v>20</v>
      </c>
      <c r="C588" s="24" t="s">
        <v>59</v>
      </c>
      <c r="D588" s="24" t="s">
        <v>59</v>
      </c>
      <c r="E588" s="213" t="s">
        <v>1450</v>
      </c>
    </row>
    <row r="589" spans="1:5" ht="28.8">
      <c r="A589" s="281" t="s">
        <v>1452</v>
      </c>
      <c r="B589" s="24">
        <v>20</v>
      </c>
      <c r="C589" s="24" t="s">
        <v>59</v>
      </c>
      <c r="D589" s="24" t="s">
        <v>59</v>
      </c>
      <c r="E589" s="213" t="s">
        <v>1450</v>
      </c>
    </row>
    <row r="590" spans="1:5" ht="28.8">
      <c r="A590" s="281" t="s">
        <v>1453</v>
      </c>
      <c r="B590" s="24">
        <v>59</v>
      </c>
      <c r="C590" s="24" t="s">
        <v>59</v>
      </c>
      <c r="D590" s="24" t="s">
        <v>59</v>
      </c>
      <c r="E590" s="213" t="s">
        <v>1450</v>
      </c>
    </row>
    <row r="591" spans="1:5" ht="28.8">
      <c r="A591" s="281" t="s">
        <v>1454</v>
      </c>
      <c r="B591" s="24">
        <v>78</v>
      </c>
      <c r="C591" s="24" t="s">
        <v>59</v>
      </c>
      <c r="D591" s="24" t="s">
        <v>59</v>
      </c>
      <c r="E591" s="213" t="s">
        <v>1455</v>
      </c>
    </row>
    <row r="592" spans="1:5" ht="28.8">
      <c r="A592" s="114" t="s">
        <v>1456</v>
      </c>
      <c r="B592" s="48">
        <v>7</v>
      </c>
      <c r="C592" s="24" t="s">
        <v>59</v>
      </c>
      <c r="D592" s="24" t="s">
        <v>59</v>
      </c>
      <c r="E592" s="213" t="s">
        <v>1457</v>
      </c>
    </row>
    <row r="593" spans="1:5" ht="28.8">
      <c r="A593" s="114" t="s">
        <v>1458</v>
      </c>
      <c r="B593" s="48">
        <v>19</v>
      </c>
      <c r="C593" s="24" t="s">
        <v>59</v>
      </c>
      <c r="D593" s="24" t="s">
        <v>59</v>
      </c>
      <c r="E593" s="213" t="s">
        <v>1450</v>
      </c>
    </row>
    <row r="594" spans="1:5" ht="28.8">
      <c r="A594" s="114" t="s">
        <v>1459</v>
      </c>
      <c r="B594" s="48">
        <v>27</v>
      </c>
      <c r="C594" s="24" t="s">
        <v>59</v>
      </c>
      <c r="D594" s="24" t="s">
        <v>59</v>
      </c>
      <c r="E594" s="213" t="s">
        <v>1450</v>
      </c>
    </row>
    <row r="595" spans="1:5" ht="28.8">
      <c r="A595" s="114" t="s">
        <v>1460</v>
      </c>
      <c r="B595" s="48">
        <v>20</v>
      </c>
      <c r="C595" s="24" t="s">
        <v>59</v>
      </c>
      <c r="D595" s="24" t="s">
        <v>59</v>
      </c>
      <c r="E595" s="217" t="s">
        <v>1461</v>
      </c>
    </row>
    <row r="596" spans="1:5">
      <c r="A596" s="114" t="s">
        <v>635</v>
      </c>
      <c r="B596" s="48">
        <v>32</v>
      </c>
      <c r="C596" s="24" t="s">
        <v>59</v>
      </c>
      <c r="D596" s="24" t="s">
        <v>59</v>
      </c>
      <c r="E596" s="217" t="s">
        <v>1471</v>
      </c>
    </row>
    <row r="597" spans="1:5" ht="43.2">
      <c r="A597" s="114" t="s">
        <v>1462</v>
      </c>
      <c r="B597" s="48">
        <v>225</v>
      </c>
      <c r="C597" s="24" t="s">
        <v>59</v>
      </c>
      <c r="D597" s="24" t="s">
        <v>59</v>
      </c>
      <c r="E597" s="218" t="s">
        <v>1463</v>
      </c>
    </row>
    <row r="598" spans="1:5" ht="43.2">
      <c r="A598" s="114" t="s">
        <v>1464</v>
      </c>
      <c r="B598" s="48">
        <v>240</v>
      </c>
      <c r="C598" s="24" t="s">
        <v>59</v>
      </c>
      <c r="D598" s="24" t="s">
        <v>59</v>
      </c>
      <c r="E598" s="218" t="s">
        <v>1463</v>
      </c>
    </row>
    <row r="599" spans="1:5" ht="28.8">
      <c r="A599" s="114" t="s">
        <v>1465</v>
      </c>
      <c r="B599" s="48">
        <v>420</v>
      </c>
      <c r="C599" s="8"/>
      <c r="D599" s="24" t="s">
        <v>59</v>
      </c>
      <c r="E599" s="218" t="s">
        <v>1466</v>
      </c>
    </row>
    <row r="600" spans="1:5">
      <c r="A600" s="114" t="s">
        <v>636</v>
      </c>
      <c r="B600" s="48">
        <v>105</v>
      </c>
      <c r="C600" s="24" t="s">
        <v>59</v>
      </c>
      <c r="D600" s="24" t="s">
        <v>59</v>
      </c>
      <c r="E600" s="217" t="s">
        <v>1439</v>
      </c>
    </row>
    <row r="601" spans="1:5">
      <c r="A601" s="114" t="s">
        <v>637</v>
      </c>
      <c r="B601" s="48">
        <v>4</v>
      </c>
      <c r="C601" s="24" t="s">
        <v>59</v>
      </c>
      <c r="D601" s="24" t="s">
        <v>59</v>
      </c>
      <c r="E601" s="218" t="s">
        <v>1439</v>
      </c>
    </row>
    <row r="602" spans="1:5" ht="15" thickBot="1">
      <c r="A602" s="282" t="s">
        <v>638</v>
      </c>
      <c r="B602" s="100">
        <v>50</v>
      </c>
      <c r="C602" s="155" t="s">
        <v>59</v>
      </c>
      <c r="D602" s="155" t="s">
        <v>59</v>
      </c>
      <c r="E602" s="220" t="s">
        <v>1439</v>
      </c>
    </row>
    <row r="603" spans="1:5">
      <c r="A603" s="108"/>
      <c r="B603" s="43"/>
      <c r="C603" s="43"/>
      <c r="D603" s="43"/>
      <c r="E603" s="43"/>
    </row>
    <row r="604" spans="1:5" ht="15" thickBot="1">
      <c r="A604" s="108"/>
      <c r="B604" s="43"/>
      <c r="C604" s="43"/>
      <c r="D604" s="43"/>
      <c r="E604" s="43"/>
    </row>
    <row r="605" spans="1:5" ht="15" thickBot="1">
      <c r="A605" s="219" t="s">
        <v>640</v>
      </c>
      <c r="B605" s="43"/>
      <c r="C605" s="43"/>
      <c r="D605" s="43"/>
      <c r="E605" s="43"/>
    </row>
    <row r="606" spans="1:5" ht="15" thickBot="1">
      <c r="A606" s="143" t="s">
        <v>622</v>
      </c>
      <c r="B606" s="122" t="s">
        <v>623</v>
      </c>
      <c r="C606" s="122">
        <v>2027</v>
      </c>
      <c r="D606" s="122">
        <v>2030</v>
      </c>
      <c r="E606" s="126" t="s">
        <v>51</v>
      </c>
    </row>
    <row r="607" spans="1:5">
      <c r="A607" s="283" t="s">
        <v>641</v>
      </c>
      <c r="B607" s="99">
        <v>292</v>
      </c>
      <c r="C607" s="147" t="s">
        <v>59</v>
      </c>
      <c r="D607" s="147" t="s">
        <v>59</v>
      </c>
      <c r="E607" s="159" t="s">
        <v>642</v>
      </c>
    </row>
    <row r="608" spans="1:5">
      <c r="A608" s="278" t="s">
        <v>643</v>
      </c>
      <c r="B608" s="20">
        <v>568</v>
      </c>
      <c r="C608" s="68" t="s">
        <v>59</v>
      </c>
      <c r="D608" s="68" t="s">
        <v>59</v>
      </c>
      <c r="E608" s="44" t="s">
        <v>1440</v>
      </c>
    </row>
    <row r="609" spans="1:5">
      <c r="A609" s="284" t="s">
        <v>644</v>
      </c>
      <c r="B609" s="20">
        <v>71</v>
      </c>
      <c r="C609" s="68" t="s">
        <v>59</v>
      </c>
      <c r="D609" s="68" t="s">
        <v>59</v>
      </c>
      <c r="E609" s="44" t="s">
        <v>1440</v>
      </c>
    </row>
    <row r="610" spans="1:5">
      <c r="A610" s="278" t="s">
        <v>645</v>
      </c>
      <c r="B610" s="20">
        <v>145</v>
      </c>
      <c r="C610" s="68" t="s">
        <v>59</v>
      </c>
      <c r="D610" s="68" t="s">
        <v>59</v>
      </c>
      <c r="E610" s="44" t="s">
        <v>1440</v>
      </c>
    </row>
    <row r="611" spans="1:5">
      <c r="A611" s="278" t="s">
        <v>646</v>
      </c>
      <c r="B611" s="20">
        <v>145</v>
      </c>
      <c r="C611" s="68" t="s">
        <v>59</v>
      </c>
      <c r="D611" s="68" t="s">
        <v>59</v>
      </c>
      <c r="E611" s="44" t="s">
        <v>1440</v>
      </c>
    </row>
    <row r="612" spans="1:5" ht="15" thickBot="1">
      <c r="A612" s="279" t="s">
        <v>647</v>
      </c>
      <c r="B612" s="156">
        <v>75</v>
      </c>
      <c r="C612" s="156" t="s">
        <v>59</v>
      </c>
      <c r="D612" s="156" t="s">
        <v>59</v>
      </c>
      <c r="E612" s="220" t="s">
        <v>1440</v>
      </c>
    </row>
    <row r="613" spans="1:5">
      <c r="A613" s="108"/>
      <c r="B613" s="108"/>
      <c r="C613" s="108"/>
      <c r="D613" s="108"/>
      <c r="E613" s="108"/>
    </row>
    <row r="614" spans="1:5" ht="15" thickBot="1">
      <c r="A614" s="108"/>
      <c r="B614" s="43"/>
      <c r="C614" s="43"/>
      <c r="D614" s="43"/>
      <c r="E614" s="43"/>
    </row>
    <row r="615" spans="1:5" ht="15" thickBot="1">
      <c r="A615" s="219" t="s">
        <v>648</v>
      </c>
      <c r="B615" s="43"/>
      <c r="C615" s="43"/>
      <c r="D615" s="43"/>
      <c r="E615" s="43"/>
    </row>
    <row r="616" spans="1:5" ht="15" thickBot="1">
      <c r="A616" s="143" t="s">
        <v>622</v>
      </c>
      <c r="B616" s="122" t="s">
        <v>623</v>
      </c>
      <c r="C616" s="122">
        <v>2027</v>
      </c>
      <c r="D616" s="122">
        <v>2030</v>
      </c>
      <c r="E616" s="126" t="s">
        <v>51</v>
      </c>
    </row>
    <row r="617" spans="1:5" ht="15" thickBot="1">
      <c r="A617" s="285" t="s">
        <v>649</v>
      </c>
      <c r="B617" s="157">
        <v>655</v>
      </c>
      <c r="C617" s="158" t="s">
        <v>59</v>
      </c>
      <c r="D617" s="158" t="s">
        <v>59</v>
      </c>
      <c r="E617" s="221" t="s">
        <v>650</v>
      </c>
    </row>
    <row r="626" spans="9:9">
      <c r="I626" s="96"/>
    </row>
    <row r="628" spans="9:9">
      <c r="I628" s="96"/>
    </row>
  </sheetData>
  <mergeCells count="3">
    <mergeCell ref="A577:B577"/>
    <mergeCell ref="A6:B6"/>
    <mergeCell ref="E579:E582"/>
  </mergeCells>
  <phoneticPr fontId="24" type="noConversion"/>
  <conditionalFormatting sqref="H566:H568">
    <cfRule type="duplicateValues" dxfId="0" priority="13"/>
  </conditionalFormatting>
  <hyperlinks>
    <hyperlink ref="E579" r:id="rId1" xr:uid="{33CE00B6-EAB8-427F-9EA7-D579C9F2EEF3}"/>
    <hyperlink ref="C1" location="Index!A1" display="Back" xr:uid="{DA8FAE5E-8A60-4951-9EDC-F4DCF3F899CC}"/>
  </hyperlinks>
  <pageMargins left="0.7" right="0.7" top="0.75" bottom="0.75" header="0.3" footer="0.3"/>
  <pageSetup orientation="portrait" horizontalDpi="90" verticalDpi="9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86"/>
  <sheetViews>
    <sheetView topLeftCell="A40" workbookViewId="0">
      <selection activeCell="C1" sqref="C1"/>
    </sheetView>
  </sheetViews>
  <sheetFormatPr defaultRowHeight="14.4"/>
  <cols>
    <col min="1" max="1" width="49.109375" bestFit="1" customWidth="1"/>
    <col min="2" max="2" width="17" bestFit="1" customWidth="1"/>
    <col min="3" max="3" width="9.109375" customWidth="1"/>
    <col min="7" max="7" width="9.6640625" customWidth="1"/>
    <col min="8" max="8" width="10.44140625" customWidth="1"/>
    <col min="9" max="9" width="9.88671875" bestFit="1" customWidth="1"/>
    <col min="10" max="10" width="9.5546875" customWidth="1"/>
    <col min="18" max="18" width="26.5546875" customWidth="1"/>
    <col min="27" max="27" width="11" customWidth="1"/>
    <col min="29" max="29" width="12.5546875" customWidth="1"/>
    <col min="35" max="35" width="24.109375" bestFit="1" customWidth="1"/>
  </cols>
  <sheetData>
    <row r="1" spans="1:14">
      <c r="A1" t="s">
        <v>25</v>
      </c>
      <c r="B1" s="34">
        <v>45800</v>
      </c>
      <c r="C1" s="29" t="s">
        <v>26</v>
      </c>
    </row>
    <row r="2" spans="1:14">
      <c r="A2" t="s">
        <v>2</v>
      </c>
      <c r="B2" t="s">
        <v>27</v>
      </c>
    </row>
    <row r="5" spans="1:14">
      <c r="A5" s="13" t="s">
        <v>852</v>
      </c>
    </row>
    <row r="7" spans="1:14">
      <c r="A7" s="13" t="s">
        <v>853</v>
      </c>
    </row>
    <row r="8" spans="1:14" ht="15" thickBot="1"/>
    <row r="9" spans="1:14" ht="29.4" thickBot="1">
      <c r="A9" s="143" t="s">
        <v>854</v>
      </c>
      <c r="B9" s="144" t="s">
        <v>855</v>
      </c>
      <c r="C9" s="144" t="s">
        <v>856</v>
      </c>
      <c r="D9" s="144" t="s">
        <v>857</v>
      </c>
      <c r="E9" s="144" t="s">
        <v>858</v>
      </c>
      <c r="F9" s="144" t="s">
        <v>859</v>
      </c>
      <c r="G9" s="144">
        <v>2027</v>
      </c>
      <c r="H9" s="145">
        <v>2030</v>
      </c>
      <c r="I9" s="43"/>
      <c r="J9" s="43"/>
      <c r="K9" s="43"/>
      <c r="L9" s="43"/>
      <c r="M9" s="43"/>
      <c r="N9" s="43"/>
    </row>
    <row r="10" spans="1:14">
      <c r="A10" s="208" t="s">
        <v>860</v>
      </c>
      <c r="B10" s="99" t="s">
        <v>861</v>
      </c>
      <c r="C10" s="99" t="s">
        <v>862</v>
      </c>
      <c r="D10" s="99" t="s">
        <v>778</v>
      </c>
      <c r="E10" s="99" t="s">
        <v>653</v>
      </c>
      <c r="F10" s="99">
        <v>2016</v>
      </c>
      <c r="G10" s="99">
        <v>54</v>
      </c>
      <c r="H10" s="159">
        <v>54</v>
      </c>
      <c r="I10" s="43"/>
      <c r="J10" s="43"/>
      <c r="K10" s="43"/>
      <c r="L10" s="43"/>
      <c r="M10" s="43"/>
      <c r="N10" s="43"/>
    </row>
    <row r="11" spans="1:14">
      <c r="A11" s="210" t="s">
        <v>863</v>
      </c>
      <c r="B11" s="20" t="s">
        <v>864</v>
      </c>
      <c r="C11" s="20" t="s">
        <v>862</v>
      </c>
      <c r="D11" s="20" t="s">
        <v>778</v>
      </c>
      <c r="E11" s="20" t="s">
        <v>653</v>
      </c>
      <c r="F11" s="20">
        <v>2016</v>
      </c>
      <c r="G11" s="20">
        <v>54</v>
      </c>
      <c r="H11" s="44">
        <v>54</v>
      </c>
      <c r="I11" s="43"/>
      <c r="J11" s="43"/>
      <c r="K11" s="43"/>
      <c r="L11" s="43"/>
      <c r="M11" s="43"/>
      <c r="N11" s="43"/>
    </row>
    <row r="12" spans="1:14">
      <c r="A12" s="210" t="s">
        <v>865</v>
      </c>
      <c r="B12" s="20" t="s">
        <v>866</v>
      </c>
      <c r="C12" s="20" t="s">
        <v>862</v>
      </c>
      <c r="D12" s="20" t="s">
        <v>778</v>
      </c>
      <c r="E12" s="20" t="s">
        <v>653</v>
      </c>
      <c r="F12" s="20">
        <v>2016</v>
      </c>
      <c r="G12" s="20">
        <v>54</v>
      </c>
      <c r="H12" s="44">
        <v>54</v>
      </c>
      <c r="I12" s="43"/>
      <c r="J12" s="43"/>
      <c r="K12" s="43"/>
      <c r="L12" s="43"/>
      <c r="M12" s="43"/>
      <c r="N12" s="43"/>
    </row>
    <row r="13" spans="1:14">
      <c r="A13" s="210" t="s">
        <v>867</v>
      </c>
      <c r="B13" s="20" t="s">
        <v>868</v>
      </c>
      <c r="C13" s="20" t="s">
        <v>862</v>
      </c>
      <c r="D13" s="20" t="s">
        <v>778</v>
      </c>
      <c r="E13" s="20" t="s">
        <v>653</v>
      </c>
      <c r="F13" s="20">
        <v>2016</v>
      </c>
      <c r="G13" s="20">
        <v>190</v>
      </c>
      <c r="H13" s="44">
        <v>190</v>
      </c>
      <c r="I13" s="43"/>
      <c r="J13" s="43"/>
      <c r="K13" s="43"/>
      <c r="L13" s="43"/>
      <c r="M13" s="43"/>
      <c r="N13" s="43"/>
    </row>
    <row r="14" spans="1:14">
      <c r="A14" s="210" t="s">
        <v>869</v>
      </c>
      <c r="B14" s="20" t="s">
        <v>870</v>
      </c>
      <c r="C14" s="20" t="s">
        <v>862</v>
      </c>
      <c r="D14" s="20" t="s">
        <v>778</v>
      </c>
      <c r="E14" s="20" t="s">
        <v>653</v>
      </c>
      <c r="F14" s="20">
        <v>2016</v>
      </c>
      <c r="G14" s="20">
        <v>190</v>
      </c>
      <c r="H14" s="44">
        <v>190</v>
      </c>
      <c r="I14" s="43"/>
      <c r="J14" s="43"/>
      <c r="K14" s="43"/>
      <c r="L14" s="43"/>
      <c r="M14" s="43"/>
      <c r="N14" s="43"/>
    </row>
    <row r="15" spans="1:14">
      <c r="A15" s="222" t="s">
        <v>871</v>
      </c>
      <c r="B15" s="20" t="s">
        <v>872</v>
      </c>
      <c r="C15" s="20" t="s">
        <v>862</v>
      </c>
      <c r="D15" s="20" t="s">
        <v>778</v>
      </c>
      <c r="E15" s="20" t="s">
        <v>653</v>
      </c>
      <c r="F15" s="20">
        <v>2016</v>
      </c>
      <c r="G15" s="20">
        <v>190</v>
      </c>
      <c r="H15" s="44">
        <v>190</v>
      </c>
      <c r="I15" s="43"/>
      <c r="J15" s="43"/>
      <c r="K15" s="43"/>
      <c r="L15" s="43"/>
      <c r="M15" s="43"/>
      <c r="N15" s="43"/>
    </row>
    <row r="16" spans="1:14">
      <c r="A16" s="222" t="s">
        <v>873</v>
      </c>
      <c r="B16" s="20" t="s">
        <v>874</v>
      </c>
      <c r="C16" s="62" t="s">
        <v>875</v>
      </c>
      <c r="D16" s="20" t="s">
        <v>876</v>
      </c>
      <c r="E16" s="62" t="s">
        <v>656</v>
      </c>
      <c r="F16" s="62">
        <v>2001</v>
      </c>
      <c r="G16" s="62">
        <v>156</v>
      </c>
      <c r="H16" s="63" t="s">
        <v>877</v>
      </c>
      <c r="I16" s="43"/>
      <c r="J16" s="43"/>
      <c r="K16" s="43"/>
      <c r="L16" s="43"/>
      <c r="M16" s="43"/>
      <c r="N16" s="43"/>
    </row>
    <row r="17" spans="1:14">
      <c r="A17" s="222" t="s">
        <v>878</v>
      </c>
      <c r="B17" s="20" t="s">
        <v>879</v>
      </c>
      <c r="C17" s="62" t="s">
        <v>875</v>
      </c>
      <c r="D17" s="20" t="s">
        <v>876</v>
      </c>
      <c r="E17" s="62" t="s">
        <v>656</v>
      </c>
      <c r="F17" s="62">
        <v>2001</v>
      </c>
      <c r="G17" s="62">
        <v>135</v>
      </c>
      <c r="H17" s="63">
        <v>135</v>
      </c>
      <c r="I17" s="43"/>
      <c r="J17" s="43"/>
      <c r="K17" s="43"/>
      <c r="L17" s="43"/>
      <c r="M17" s="43"/>
      <c r="N17" s="43"/>
    </row>
    <row r="18" spans="1:14">
      <c r="A18" s="222" t="s">
        <v>880</v>
      </c>
      <c r="B18" s="20" t="s">
        <v>881</v>
      </c>
      <c r="C18" s="20" t="s">
        <v>875</v>
      </c>
      <c r="D18" s="20" t="s">
        <v>876</v>
      </c>
      <c r="E18" s="20" t="s">
        <v>656</v>
      </c>
      <c r="F18" s="62">
        <v>2001</v>
      </c>
      <c r="G18" s="20">
        <v>153</v>
      </c>
      <c r="H18" s="44" t="s">
        <v>877</v>
      </c>
      <c r="I18" s="43"/>
      <c r="J18" s="43"/>
      <c r="K18" s="43"/>
      <c r="L18" s="43"/>
      <c r="M18" s="43"/>
      <c r="N18" s="43"/>
    </row>
    <row r="19" spans="1:14">
      <c r="A19" s="222" t="s">
        <v>882</v>
      </c>
      <c r="B19" s="223" t="s">
        <v>883</v>
      </c>
      <c r="C19" s="20" t="s">
        <v>875</v>
      </c>
      <c r="D19" s="20" t="s">
        <v>876</v>
      </c>
      <c r="E19" s="20" t="s">
        <v>656</v>
      </c>
      <c r="F19" s="62">
        <v>2001</v>
      </c>
      <c r="G19" s="20">
        <v>400</v>
      </c>
      <c r="H19" s="44">
        <v>400</v>
      </c>
      <c r="I19" s="43"/>
      <c r="J19" s="43"/>
      <c r="K19" s="43"/>
      <c r="L19" s="43"/>
      <c r="M19" s="43"/>
      <c r="N19" s="43"/>
    </row>
    <row r="20" spans="1:14">
      <c r="A20" s="222" t="s">
        <v>884</v>
      </c>
      <c r="B20" s="20" t="s">
        <v>885</v>
      </c>
      <c r="C20" s="20" t="s">
        <v>886</v>
      </c>
      <c r="D20" s="20" t="s">
        <v>876</v>
      </c>
      <c r="E20" s="20" t="s">
        <v>656</v>
      </c>
      <c r="F20" s="20">
        <v>2003</v>
      </c>
      <c r="G20" s="20">
        <v>150</v>
      </c>
      <c r="H20" s="44">
        <v>150</v>
      </c>
      <c r="I20" s="43"/>
      <c r="J20" s="43"/>
      <c r="K20" s="43"/>
      <c r="L20" s="43"/>
      <c r="M20" s="43"/>
      <c r="N20" s="43"/>
    </row>
    <row r="21" spans="1:14">
      <c r="A21" s="222" t="s">
        <v>887</v>
      </c>
      <c r="B21" s="224" t="s">
        <v>888</v>
      </c>
      <c r="C21" s="20" t="s">
        <v>886</v>
      </c>
      <c r="D21" s="20" t="s">
        <v>876</v>
      </c>
      <c r="E21" s="20" t="s">
        <v>656</v>
      </c>
      <c r="F21" s="20">
        <v>2003</v>
      </c>
      <c r="G21" s="20">
        <v>152</v>
      </c>
      <c r="H21" s="44">
        <v>152</v>
      </c>
      <c r="I21" s="43"/>
      <c r="J21" s="43"/>
      <c r="K21" s="43"/>
      <c r="L21" s="43"/>
      <c r="M21" s="43"/>
      <c r="N21" s="43"/>
    </row>
    <row r="22" spans="1:14" ht="15" thickBot="1">
      <c r="A22" s="222" t="s">
        <v>889</v>
      </c>
      <c r="B22" s="223" t="s">
        <v>890</v>
      </c>
      <c r="C22" s="20" t="s">
        <v>886</v>
      </c>
      <c r="D22" s="20" t="s">
        <v>876</v>
      </c>
      <c r="E22" s="20" t="s">
        <v>656</v>
      </c>
      <c r="F22" s="20">
        <v>2003</v>
      </c>
      <c r="G22" s="20">
        <v>311</v>
      </c>
      <c r="H22" s="44">
        <v>311</v>
      </c>
      <c r="I22" s="43"/>
      <c r="J22" s="43"/>
      <c r="K22" s="43"/>
      <c r="L22" s="43"/>
      <c r="M22" s="43"/>
      <c r="N22" s="43"/>
    </row>
    <row r="23" spans="1:14" ht="15" thickBot="1">
      <c r="A23" s="225" t="s">
        <v>891</v>
      </c>
      <c r="B23" s="160" t="s">
        <v>892</v>
      </c>
      <c r="C23" s="160"/>
      <c r="D23" s="160" t="s">
        <v>778</v>
      </c>
      <c r="E23" s="160"/>
      <c r="F23" s="160"/>
      <c r="G23" s="160">
        <f>SUM(G10:G22)</f>
        <v>2189</v>
      </c>
      <c r="H23" s="161">
        <f>SUM(H10:H22)</f>
        <v>1880</v>
      </c>
      <c r="I23" s="43"/>
      <c r="J23" s="43"/>
      <c r="K23" s="43"/>
      <c r="L23" s="43"/>
      <c r="M23" s="43"/>
      <c r="N23" s="43"/>
    </row>
    <row r="24" spans="1:1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 spans="1:14">
      <c r="A25" s="226" t="s">
        <v>893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ht="15" thickBo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spans="1:14" ht="29.4" thickBot="1">
      <c r="A27" s="143" t="s">
        <v>854</v>
      </c>
      <c r="B27" s="144" t="s">
        <v>855</v>
      </c>
      <c r="C27" s="144" t="s">
        <v>856</v>
      </c>
      <c r="D27" s="144" t="s">
        <v>857</v>
      </c>
      <c r="E27" s="144" t="s">
        <v>858</v>
      </c>
      <c r="F27" s="144" t="s">
        <v>859</v>
      </c>
      <c r="G27" s="144" t="s">
        <v>894</v>
      </c>
      <c r="H27" s="144" t="s">
        <v>895</v>
      </c>
      <c r="I27" s="144" t="s">
        <v>896</v>
      </c>
      <c r="J27" s="145" t="s">
        <v>897</v>
      </c>
      <c r="K27" s="45"/>
      <c r="L27" s="43"/>
      <c r="M27" s="43"/>
      <c r="N27" s="43"/>
    </row>
    <row r="28" spans="1:14">
      <c r="A28" s="208" t="s">
        <v>860</v>
      </c>
      <c r="B28" s="99" t="s">
        <v>861</v>
      </c>
      <c r="C28" s="99" t="s">
        <v>862</v>
      </c>
      <c r="D28" s="99" t="s">
        <v>778</v>
      </c>
      <c r="E28" s="99" t="s">
        <v>653</v>
      </c>
      <c r="F28" s="99">
        <v>2016</v>
      </c>
      <c r="G28" s="99">
        <v>56</v>
      </c>
      <c r="H28" s="99">
        <v>56</v>
      </c>
      <c r="I28" s="162">
        <v>56</v>
      </c>
      <c r="J28" s="159">
        <v>56</v>
      </c>
      <c r="K28" s="43"/>
      <c r="L28" s="43"/>
      <c r="M28" s="43"/>
      <c r="N28" s="43"/>
    </row>
    <row r="29" spans="1:14">
      <c r="A29" s="210" t="s">
        <v>863</v>
      </c>
      <c r="B29" s="20" t="s">
        <v>864</v>
      </c>
      <c r="C29" s="62" t="s">
        <v>862</v>
      </c>
      <c r="D29" s="62" t="s">
        <v>778</v>
      </c>
      <c r="E29" s="62" t="s">
        <v>653</v>
      </c>
      <c r="F29" s="62">
        <v>2016</v>
      </c>
      <c r="G29" s="62" t="s">
        <v>877</v>
      </c>
      <c r="H29" s="62" t="s">
        <v>877</v>
      </c>
      <c r="I29" s="88">
        <v>56</v>
      </c>
      <c r="J29" s="63">
        <v>56</v>
      </c>
      <c r="K29" s="43"/>
      <c r="L29" s="43"/>
      <c r="M29" s="43"/>
      <c r="N29" s="43"/>
    </row>
    <row r="30" spans="1:14">
      <c r="A30" s="210" t="s">
        <v>867</v>
      </c>
      <c r="B30" s="20" t="s">
        <v>868</v>
      </c>
      <c r="C30" s="62" t="s">
        <v>862</v>
      </c>
      <c r="D30" s="62" t="s">
        <v>778</v>
      </c>
      <c r="E30" s="62" t="s">
        <v>653</v>
      </c>
      <c r="F30" s="62">
        <v>2016</v>
      </c>
      <c r="G30" s="62">
        <v>200</v>
      </c>
      <c r="H30" s="62">
        <v>200</v>
      </c>
      <c r="I30" s="88">
        <v>200</v>
      </c>
      <c r="J30" s="63">
        <v>200</v>
      </c>
      <c r="K30" s="43"/>
      <c r="L30" s="43"/>
      <c r="M30" s="43"/>
      <c r="N30" s="43"/>
    </row>
    <row r="31" spans="1:14">
      <c r="A31" s="210" t="s">
        <v>869</v>
      </c>
      <c r="B31" s="20" t="s">
        <v>870</v>
      </c>
      <c r="C31" s="62" t="s">
        <v>862</v>
      </c>
      <c r="D31" s="62" t="s">
        <v>778</v>
      </c>
      <c r="E31" s="62" t="s">
        <v>653</v>
      </c>
      <c r="F31" s="62">
        <v>2016</v>
      </c>
      <c r="G31" s="62">
        <v>200</v>
      </c>
      <c r="H31" s="62">
        <v>200</v>
      </c>
      <c r="I31" s="88">
        <v>200</v>
      </c>
      <c r="J31" s="63">
        <v>200</v>
      </c>
      <c r="K31" s="43"/>
      <c r="L31" s="43"/>
      <c r="M31" s="43"/>
      <c r="N31" s="43"/>
    </row>
    <row r="32" spans="1:14">
      <c r="A32" s="210" t="s">
        <v>873</v>
      </c>
      <c r="B32" s="20" t="s">
        <v>874</v>
      </c>
      <c r="C32" s="62" t="s">
        <v>875</v>
      </c>
      <c r="D32" s="62" t="s">
        <v>876</v>
      </c>
      <c r="E32" s="62" t="s">
        <v>656</v>
      </c>
      <c r="F32" s="62">
        <v>2001</v>
      </c>
      <c r="G32" s="62" t="s">
        <v>877</v>
      </c>
      <c r="H32" s="62">
        <v>162</v>
      </c>
      <c r="I32" s="88">
        <v>162</v>
      </c>
      <c r="J32" s="63" t="s">
        <v>877</v>
      </c>
      <c r="K32" s="43"/>
      <c r="L32" s="43"/>
      <c r="M32" s="43"/>
      <c r="N32" s="43"/>
    </row>
    <row r="33" spans="1:28">
      <c r="A33" s="210" t="s">
        <v>878</v>
      </c>
      <c r="B33" s="20" t="s">
        <v>879</v>
      </c>
      <c r="C33" s="62" t="s">
        <v>875</v>
      </c>
      <c r="D33" s="62" t="s">
        <v>876</v>
      </c>
      <c r="E33" s="62" t="s">
        <v>656</v>
      </c>
      <c r="F33" s="62">
        <v>2001</v>
      </c>
      <c r="G33" s="62">
        <v>179</v>
      </c>
      <c r="H33" s="62">
        <v>179</v>
      </c>
      <c r="I33" s="88">
        <v>179</v>
      </c>
      <c r="J33" s="63">
        <v>179</v>
      </c>
      <c r="K33" s="43"/>
      <c r="L33" s="43"/>
      <c r="M33" s="43"/>
      <c r="N33" s="43"/>
    </row>
    <row r="34" spans="1:28">
      <c r="A34" s="210" t="s">
        <v>880</v>
      </c>
      <c r="B34" s="20" t="s">
        <v>881</v>
      </c>
      <c r="C34" s="62" t="s">
        <v>875</v>
      </c>
      <c r="D34" s="62" t="s">
        <v>876</v>
      </c>
      <c r="E34" s="62" t="s">
        <v>656</v>
      </c>
      <c r="F34" s="62">
        <v>2001</v>
      </c>
      <c r="G34" s="62" t="s">
        <v>877</v>
      </c>
      <c r="H34" s="62" t="s">
        <v>877</v>
      </c>
      <c r="I34" s="88">
        <v>178</v>
      </c>
      <c r="J34" s="63" t="s">
        <v>877</v>
      </c>
      <c r="K34" s="43"/>
      <c r="L34" s="43"/>
      <c r="M34" s="43"/>
      <c r="N34" s="43"/>
    </row>
    <row r="35" spans="1:28">
      <c r="A35" s="210" t="s">
        <v>882</v>
      </c>
      <c r="B35" s="20" t="s">
        <v>883</v>
      </c>
      <c r="C35" s="62" t="s">
        <v>875</v>
      </c>
      <c r="D35" s="62" t="s">
        <v>876</v>
      </c>
      <c r="E35" s="62" t="s">
        <v>656</v>
      </c>
      <c r="F35" s="62">
        <v>2001</v>
      </c>
      <c r="G35" s="62">
        <v>389</v>
      </c>
      <c r="H35" s="62">
        <v>389</v>
      </c>
      <c r="I35" s="88">
        <v>389</v>
      </c>
      <c r="J35" s="63">
        <v>389</v>
      </c>
      <c r="K35" s="43"/>
      <c r="L35" s="43"/>
      <c r="M35" s="43"/>
      <c r="N35" s="43"/>
    </row>
    <row r="36" spans="1:28">
      <c r="A36" s="210" t="s">
        <v>884</v>
      </c>
      <c r="B36" s="20" t="s">
        <v>885</v>
      </c>
      <c r="C36" s="62" t="s">
        <v>886</v>
      </c>
      <c r="D36" s="62" t="s">
        <v>876</v>
      </c>
      <c r="E36" s="62" t="s">
        <v>656</v>
      </c>
      <c r="F36" s="62">
        <v>2003</v>
      </c>
      <c r="G36" s="62">
        <v>185</v>
      </c>
      <c r="H36" s="62">
        <v>185</v>
      </c>
      <c r="I36" s="88">
        <v>185</v>
      </c>
      <c r="J36" s="63">
        <v>185</v>
      </c>
      <c r="K36" s="43"/>
      <c r="L36" s="43"/>
      <c r="M36" s="43"/>
      <c r="N36" s="43"/>
    </row>
    <row r="37" spans="1:28">
      <c r="A37" s="210" t="s">
        <v>887</v>
      </c>
      <c r="B37" s="20" t="str">
        <f t="shared" ref="B37:B38" si="0">VLOOKUP(A37,$A$10:$B$22,2,0)</f>
        <v>KMCHI_2CT201</v>
      </c>
      <c r="C37" s="20" t="str">
        <f t="shared" ref="C37" si="1">VLOOKUP(A37,$A$10:$C$22,3,0)</f>
        <v>FANNIN</v>
      </c>
      <c r="D37" s="20" t="str">
        <f t="shared" ref="D37" si="2">VLOOKUP(A37,$A$10:$D$22,4,0)</f>
        <v>GAS-CC</v>
      </c>
      <c r="E37" s="20" t="str">
        <f t="shared" ref="E37" si="3">VLOOKUP(A37,$A$10:$E$22,5,0)</f>
        <v>NORTH</v>
      </c>
      <c r="F37" s="20">
        <f t="shared" ref="F37" si="4">VLOOKUP(A37,$A$10:$F$22,6,0)</f>
        <v>2003</v>
      </c>
      <c r="G37" s="62" t="s">
        <v>877</v>
      </c>
      <c r="H37" s="88" t="s">
        <v>877</v>
      </c>
      <c r="I37" s="88">
        <v>152</v>
      </c>
      <c r="J37" s="63">
        <v>152</v>
      </c>
      <c r="K37" s="43"/>
      <c r="L37" s="43"/>
      <c r="M37" s="43"/>
      <c r="N37" s="43"/>
    </row>
    <row r="38" spans="1:28" ht="15" thickBot="1">
      <c r="A38" s="210" t="s">
        <v>889</v>
      </c>
      <c r="B38" s="62" t="str">
        <f t="shared" si="0"/>
        <v>KMCHI_2ST</v>
      </c>
      <c r="C38" s="62" t="str">
        <f t="shared" ref="C38" si="5">VLOOKUP(A38,$A$10:$C$22,3,0)</f>
        <v>FANNIN</v>
      </c>
      <c r="D38" s="62" t="str">
        <f t="shared" ref="D38" si="6">VLOOKUP(A38,$A$10:$D$22,4,0)</f>
        <v>GAS-CC</v>
      </c>
      <c r="E38" s="62" t="str">
        <f t="shared" ref="E38" si="7">VLOOKUP(A38,$A$10:$E$22,5,0)</f>
        <v>NORTH</v>
      </c>
      <c r="F38" s="62">
        <f t="shared" ref="F38" si="8">VLOOKUP(A38,$A$10:$F$22,6,0)</f>
        <v>2003</v>
      </c>
      <c r="G38" s="62" t="s">
        <v>877</v>
      </c>
      <c r="H38" s="88" t="s">
        <v>877</v>
      </c>
      <c r="I38" s="88">
        <v>311</v>
      </c>
      <c r="J38" s="63">
        <v>311</v>
      </c>
      <c r="K38" s="43"/>
      <c r="L38" s="43"/>
      <c r="M38" s="43"/>
      <c r="N38" s="43"/>
    </row>
    <row r="39" spans="1:28" ht="15" thickBot="1">
      <c r="A39" s="225" t="s">
        <v>891</v>
      </c>
      <c r="B39" s="160" t="s">
        <v>892</v>
      </c>
      <c r="C39" s="160"/>
      <c r="D39" s="160" t="s">
        <v>778</v>
      </c>
      <c r="E39" s="160"/>
      <c r="F39" s="160"/>
      <c r="G39" s="160">
        <f>SUM(G28:G36)</f>
        <v>1209</v>
      </c>
      <c r="H39" s="160">
        <f>SUM(H28:H36)</f>
        <v>1371</v>
      </c>
      <c r="I39" s="163">
        <f>SUM(I28:I36)</f>
        <v>1605</v>
      </c>
      <c r="J39" s="164">
        <f>SUM(J28:J36)</f>
        <v>1265</v>
      </c>
      <c r="K39" s="89"/>
      <c r="L39" s="43"/>
      <c r="M39" s="43"/>
      <c r="N39" s="43"/>
    </row>
    <row r="40" spans="1:28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spans="1:28">
      <c r="A41" s="226" t="s">
        <v>898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</row>
    <row r="42" spans="1:28" ht="15" thickBo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AA42" s="94"/>
      <c r="AB42" s="94"/>
    </row>
    <row r="43" spans="1:28" ht="29.4" thickBot="1">
      <c r="A43" s="143" t="s">
        <v>854</v>
      </c>
      <c r="B43" s="144" t="s">
        <v>855</v>
      </c>
      <c r="C43" s="144" t="s">
        <v>856</v>
      </c>
      <c r="D43" s="144" t="s">
        <v>857</v>
      </c>
      <c r="E43" s="144" t="s">
        <v>858</v>
      </c>
      <c r="F43" s="144" t="s">
        <v>859</v>
      </c>
      <c r="G43" s="144">
        <v>2027</v>
      </c>
      <c r="H43" s="145">
        <v>2030</v>
      </c>
      <c r="I43" s="43"/>
      <c r="J43" s="43"/>
      <c r="K43" s="43"/>
      <c r="L43" s="43"/>
      <c r="M43" s="43"/>
      <c r="N43" s="43"/>
      <c r="AA43" s="94"/>
      <c r="AB43" s="94"/>
    </row>
    <row r="44" spans="1:28">
      <c r="A44" s="208" t="s">
        <v>860</v>
      </c>
      <c r="B44" s="99" t="str">
        <f>VLOOKUP(A44,$A$10:$B$22,2,0)</f>
        <v>ANTLP_G1</v>
      </c>
      <c r="C44" s="99" t="str">
        <f>VLOOKUP(A44,$A$10:$C$22,3,0)</f>
        <v>HALE</v>
      </c>
      <c r="D44" s="99" t="str">
        <f>VLOOKUP(A44,$A$10:$D$22,4,0)</f>
        <v>GAS</v>
      </c>
      <c r="E44" s="99" t="str">
        <f>VLOOKUP(A44,$A$10:$E$22,5,0)</f>
        <v>WEST</v>
      </c>
      <c r="F44" s="99">
        <f>VLOOKUP(A44,$A$10:$F$22,6,0)</f>
        <v>2016</v>
      </c>
      <c r="G44" s="99">
        <v>56</v>
      </c>
      <c r="H44" s="159">
        <v>56</v>
      </c>
      <c r="I44" s="43"/>
      <c r="J44" s="43"/>
      <c r="K44" s="43"/>
      <c r="L44" s="43"/>
      <c r="M44" s="43"/>
      <c r="N44" s="43"/>
      <c r="AA44" s="94"/>
      <c r="AB44" s="94"/>
    </row>
    <row r="45" spans="1:28">
      <c r="A45" s="210" t="s">
        <v>863</v>
      </c>
      <c r="B45" s="20" t="str">
        <f t="shared" ref="B45:B53" si="9">VLOOKUP(A45,$A$10:$B$22,2,0)</f>
        <v>ANTLP_G2</v>
      </c>
      <c r="C45" s="20" t="str">
        <f t="shared" ref="C45:C53" si="10">VLOOKUP(A45,$A$10:$C$22,3,0)</f>
        <v>HALE</v>
      </c>
      <c r="D45" s="20" t="str">
        <f t="shared" ref="D45:D53" si="11">VLOOKUP(A45,$A$10:$D$22,4,0)</f>
        <v>GAS</v>
      </c>
      <c r="E45" s="20" t="str">
        <f t="shared" ref="E45:E53" si="12">VLOOKUP(A45,$A$10:$E$22,5,0)</f>
        <v>WEST</v>
      </c>
      <c r="F45" s="20">
        <f t="shared" ref="F45:F53" si="13">VLOOKUP(A45,$A$10:$F$22,6,0)</f>
        <v>2016</v>
      </c>
      <c r="G45" s="20" t="s">
        <v>877</v>
      </c>
      <c r="H45" s="44">
        <v>56</v>
      </c>
      <c r="I45" s="43"/>
      <c r="J45" s="43"/>
      <c r="K45" s="43"/>
      <c r="L45" s="43"/>
      <c r="M45" s="43"/>
      <c r="N45" s="43"/>
      <c r="AA45" s="94"/>
      <c r="AB45" s="94"/>
    </row>
    <row r="46" spans="1:28">
      <c r="A46" s="210" t="s">
        <v>867</v>
      </c>
      <c r="B46" s="20" t="str">
        <f t="shared" si="9"/>
        <v>AEEC_ELK_1</v>
      </c>
      <c r="C46" s="20" t="str">
        <f t="shared" si="10"/>
        <v>HALE</v>
      </c>
      <c r="D46" s="20" t="str">
        <f t="shared" si="11"/>
        <v>GAS</v>
      </c>
      <c r="E46" s="20" t="str">
        <f t="shared" si="12"/>
        <v>WEST</v>
      </c>
      <c r="F46" s="20">
        <f t="shared" si="13"/>
        <v>2016</v>
      </c>
      <c r="G46" s="20">
        <v>195</v>
      </c>
      <c r="H46" s="44">
        <v>195</v>
      </c>
      <c r="I46" s="43"/>
      <c r="J46" s="43"/>
      <c r="K46" s="43"/>
      <c r="L46" s="43"/>
      <c r="M46" s="43"/>
      <c r="N46" s="43"/>
      <c r="AA46" s="94"/>
      <c r="AB46" s="94"/>
    </row>
    <row r="47" spans="1:28">
      <c r="A47" s="210" t="s">
        <v>869</v>
      </c>
      <c r="B47" s="20" t="str">
        <f t="shared" si="9"/>
        <v>AEEC_ELK_2</v>
      </c>
      <c r="C47" s="20" t="str">
        <f t="shared" si="10"/>
        <v>HALE</v>
      </c>
      <c r="D47" s="20" t="str">
        <f t="shared" si="11"/>
        <v>GAS</v>
      </c>
      <c r="E47" s="20" t="str">
        <f t="shared" si="12"/>
        <v>WEST</v>
      </c>
      <c r="F47" s="20">
        <f t="shared" si="13"/>
        <v>2016</v>
      </c>
      <c r="G47" s="20">
        <v>195</v>
      </c>
      <c r="H47" s="44">
        <v>195</v>
      </c>
      <c r="I47" s="43"/>
      <c r="J47" s="43"/>
      <c r="K47" s="43"/>
      <c r="L47" s="43"/>
      <c r="M47" s="43"/>
      <c r="N47" s="43"/>
      <c r="AA47" s="94"/>
      <c r="AB47" s="94"/>
    </row>
    <row r="48" spans="1:28">
      <c r="A48" s="210" t="s">
        <v>873</v>
      </c>
      <c r="B48" s="20" t="str">
        <f t="shared" si="9"/>
        <v>TGCCS_CT1</v>
      </c>
      <c r="C48" s="20" t="str">
        <f t="shared" si="10"/>
        <v>RUSK</v>
      </c>
      <c r="D48" s="20" t="str">
        <f t="shared" si="11"/>
        <v>GAS-CC</v>
      </c>
      <c r="E48" s="20" t="str">
        <f t="shared" si="12"/>
        <v>NORTH</v>
      </c>
      <c r="F48" s="20">
        <f t="shared" si="13"/>
        <v>2001</v>
      </c>
      <c r="G48" s="20" t="s">
        <v>877</v>
      </c>
      <c r="H48" s="44">
        <v>162</v>
      </c>
      <c r="I48" s="43"/>
      <c r="J48" s="43"/>
      <c r="K48" s="43"/>
      <c r="L48" s="43"/>
      <c r="M48" s="43"/>
      <c r="N48" s="43"/>
      <c r="AA48" s="94"/>
      <c r="AB48" s="94"/>
    </row>
    <row r="49" spans="1:28">
      <c r="A49" s="222" t="s">
        <v>878</v>
      </c>
      <c r="B49" s="20" t="str">
        <f t="shared" si="9"/>
        <v>TGCCS_CT2</v>
      </c>
      <c r="C49" s="20" t="str">
        <f t="shared" si="10"/>
        <v>RUSK</v>
      </c>
      <c r="D49" s="20" t="str">
        <f t="shared" si="11"/>
        <v>GAS-CC</v>
      </c>
      <c r="E49" s="20" t="str">
        <f t="shared" si="12"/>
        <v>NORTH</v>
      </c>
      <c r="F49" s="20">
        <f t="shared" si="13"/>
        <v>2001</v>
      </c>
      <c r="G49" s="90">
        <v>179</v>
      </c>
      <c r="H49" s="91">
        <v>179</v>
      </c>
      <c r="I49" s="43"/>
      <c r="J49" s="43"/>
      <c r="K49" s="43"/>
      <c r="L49" s="43"/>
      <c r="M49" s="43"/>
      <c r="N49" s="43"/>
      <c r="AA49" s="94"/>
      <c r="AB49" s="94"/>
    </row>
    <row r="50" spans="1:28">
      <c r="A50" s="222" t="s">
        <v>880</v>
      </c>
      <c r="B50" s="20" t="str">
        <f t="shared" si="9"/>
        <v>TGCCS_CT3</v>
      </c>
      <c r="C50" s="20" t="str">
        <f t="shared" si="10"/>
        <v>RUSK</v>
      </c>
      <c r="D50" s="20" t="str">
        <f t="shared" si="11"/>
        <v>GAS-CC</v>
      </c>
      <c r="E50" s="20" t="str">
        <f t="shared" si="12"/>
        <v>NORTH</v>
      </c>
      <c r="F50" s="20">
        <f t="shared" si="13"/>
        <v>2001</v>
      </c>
      <c r="G50" s="92">
        <v>179</v>
      </c>
      <c r="H50" s="63">
        <v>179</v>
      </c>
      <c r="I50" s="43"/>
      <c r="J50" s="43"/>
      <c r="K50" s="43"/>
      <c r="L50" s="43"/>
      <c r="M50" s="43"/>
      <c r="N50" s="43"/>
      <c r="AA50" s="94"/>
      <c r="AB50" s="94"/>
    </row>
    <row r="51" spans="1:28">
      <c r="A51" s="222" t="s">
        <v>882</v>
      </c>
      <c r="B51" s="20" t="str">
        <f t="shared" si="9"/>
        <v>TGCCS_UNIT4</v>
      </c>
      <c r="C51" s="20" t="str">
        <f t="shared" si="10"/>
        <v>RUSK</v>
      </c>
      <c r="D51" s="20" t="str">
        <f t="shared" si="11"/>
        <v>GAS-CC</v>
      </c>
      <c r="E51" s="20" t="str">
        <f t="shared" si="12"/>
        <v>NORTH</v>
      </c>
      <c r="F51" s="20">
        <f t="shared" si="13"/>
        <v>2001</v>
      </c>
      <c r="G51" s="92">
        <v>400</v>
      </c>
      <c r="H51" s="93">
        <v>400</v>
      </c>
      <c r="I51" s="43"/>
      <c r="J51" s="43"/>
      <c r="K51" s="43"/>
      <c r="L51" s="43"/>
      <c r="M51" s="43"/>
      <c r="N51" s="43"/>
      <c r="AA51" s="94"/>
      <c r="AB51" s="94"/>
    </row>
    <row r="52" spans="1:28">
      <c r="A52" s="222" t="s">
        <v>884</v>
      </c>
      <c r="B52" s="20" t="str">
        <f t="shared" si="9"/>
        <v>KMCHI_2CT101</v>
      </c>
      <c r="C52" s="20" t="str">
        <f t="shared" si="10"/>
        <v>FANNIN</v>
      </c>
      <c r="D52" s="20" t="str">
        <f t="shared" si="11"/>
        <v>GAS-CC</v>
      </c>
      <c r="E52" s="20" t="str">
        <f t="shared" si="12"/>
        <v>NORTH</v>
      </c>
      <c r="F52" s="20">
        <f t="shared" si="13"/>
        <v>2003</v>
      </c>
      <c r="G52" s="20">
        <v>159</v>
      </c>
      <c r="H52" s="44">
        <v>159</v>
      </c>
      <c r="I52" s="43"/>
      <c r="J52" s="43"/>
      <c r="K52" s="43"/>
      <c r="L52" s="43"/>
      <c r="M52" s="43"/>
      <c r="N52" s="43"/>
      <c r="AA52" s="94"/>
      <c r="AB52" s="94"/>
    </row>
    <row r="53" spans="1:28" ht="15" thickBot="1">
      <c r="A53" s="222" t="s">
        <v>887</v>
      </c>
      <c r="B53" s="20" t="str">
        <f t="shared" si="9"/>
        <v>KMCHI_2CT201</v>
      </c>
      <c r="C53" s="20" t="str">
        <f t="shared" si="10"/>
        <v>FANNIN</v>
      </c>
      <c r="D53" s="20" t="str">
        <f t="shared" si="11"/>
        <v>GAS-CC</v>
      </c>
      <c r="E53" s="20" t="str">
        <f t="shared" si="12"/>
        <v>NORTH</v>
      </c>
      <c r="F53" s="20">
        <f t="shared" si="13"/>
        <v>2003</v>
      </c>
      <c r="G53" s="20" t="s">
        <v>877</v>
      </c>
      <c r="H53" s="44">
        <v>152</v>
      </c>
      <c r="I53" s="43"/>
      <c r="J53" s="43"/>
      <c r="K53" s="43"/>
      <c r="L53" s="43"/>
      <c r="M53" s="43"/>
      <c r="N53" s="43"/>
      <c r="AA53" s="94"/>
      <c r="AB53" s="94"/>
    </row>
    <row r="54" spans="1:28" ht="15" thickBot="1">
      <c r="A54" s="225" t="s">
        <v>891</v>
      </c>
      <c r="B54" s="160" t="s">
        <v>892</v>
      </c>
      <c r="C54" s="160"/>
      <c r="D54" s="160" t="s">
        <v>778</v>
      </c>
      <c r="E54" s="160"/>
      <c r="F54" s="160"/>
      <c r="G54" s="160">
        <f>SUM(G44:G53)</f>
        <v>1363</v>
      </c>
      <c r="H54" s="161">
        <f>SUM(H44:H53)</f>
        <v>1733</v>
      </c>
      <c r="I54" s="14" t="s">
        <v>899</v>
      </c>
      <c r="K54" s="43"/>
      <c r="L54" s="43"/>
      <c r="M54" s="43"/>
      <c r="N54" s="43"/>
      <c r="AA54" s="94"/>
      <c r="AB54" s="94"/>
    </row>
    <row r="55" spans="1:28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AA55" s="94"/>
      <c r="AB55" s="94"/>
    </row>
    <row r="56" spans="1:28">
      <c r="A56" s="226" t="s">
        <v>900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AA56" s="94"/>
      <c r="AB56" s="94"/>
    </row>
    <row r="57" spans="1:28" ht="15" thickBo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AA57" s="94"/>
      <c r="AB57" s="94"/>
    </row>
    <row r="58" spans="1:28" ht="29.4" thickBot="1">
      <c r="A58" s="143" t="s">
        <v>854</v>
      </c>
      <c r="B58" s="144" t="s">
        <v>855</v>
      </c>
      <c r="C58" s="144" t="s">
        <v>856</v>
      </c>
      <c r="D58" s="144" t="s">
        <v>857</v>
      </c>
      <c r="E58" s="144" t="s">
        <v>858</v>
      </c>
      <c r="F58" s="144" t="s">
        <v>859</v>
      </c>
      <c r="G58" s="144">
        <v>2027</v>
      </c>
      <c r="H58" s="145">
        <v>2030</v>
      </c>
      <c r="I58" s="43"/>
      <c r="J58" s="43"/>
      <c r="K58" s="43"/>
      <c r="L58" s="43"/>
      <c r="M58" s="43"/>
      <c r="N58" s="43"/>
      <c r="AA58" s="94"/>
      <c r="AB58" s="94"/>
    </row>
    <row r="59" spans="1:28">
      <c r="A59" s="208" t="s">
        <v>860</v>
      </c>
      <c r="B59" s="99" t="str">
        <f>VLOOKUP(A59,$A$10:$B$22,2,0)</f>
        <v>ANTLP_G1</v>
      </c>
      <c r="C59" s="99" t="str">
        <f>VLOOKUP(A59,$A$10:$C$22,3,0)</f>
        <v>HALE</v>
      </c>
      <c r="D59" s="99" t="str">
        <f>VLOOKUP(A59,$A$10:$D$22,4,0)</f>
        <v>GAS</v>
      </c>
      <c r="E59" s="99" t="str">
        <f>VLOOKUP(A59,$A$10:$E$22,5,0)</f>
        <v>WEST</v>
      </c>
      <c r="F59" s="99">
        <f t="shared" ref="F59:F68" si="14">VLOOKUP(A59,$A$10:$F$22,6,0)</f>
        <v>2016</v>
      </c>
      <c r="G59" s="99">
        <v>56</v>
      </c>
      <c r="H59" s="159">
        <v>56</v>
      </c>
      <c r="I59" s="43"/>
      <c r="J59" s="43"/>
      <c r="K59" s="43"/>
      <c r="L59" s="43"/>
      <c r="M59" s="43"/>
      <c r="N59" s="43"/>
      <c r="AA59" s="94"/>
      <c r="AB59" s="94"/>
    </row>
    <row r="60" spans="1:28">
      <c r="A60" s="210" t="s">
        <v>863</v>
      </c>
      <c r="B60" s="20" t="str">
        <f t="shared" ref="B60:B68" si="15">VLOOKUP(A60,$A$10:$B$22,2,0)</f>
        <v>ANTLP_G2</v>
      </c>
      <c r="C60" s="20" t="str">
        <f t="shared" ref="C60:C68" si="16">VLOOKUP(A60,$A$10:$C$22,3,0)</f>
        <v>HALE</v>
      </c>
      <c r="D60" s="20" t="str">
        <f t="shared" ref="D60:D68" si="17">VLOOKUP(A60,$A$10:$D$22,4,0)</f>
        <v>GAS</v>
      </c>
      <c r="E60" s="20" t="str">
        <f t="shared" ref="E60:E68" si="18">VLOOKUP(A60,$A$10:$E$22,5,0)</f>
        <v>WEST</v>
      </c>
      <c r="F60" s="20">
        <f t="shared" si="14"/>
        <v>2016</v>
      </c>
      <c r="G60" s="20">
        <v>56</v>
      </c>
      <c r="H60" s="44">
        <v>56</v>
      </c>
      <c r="I60" s="43"/>
      <c r="J60" s="43"/>
      <c r="K60" s="43"/>
      <c r="L60" s="43"/>
      <c r="M60" s="43"/>
      <c r="N60" s="43"/>
      <c r="AA60" s="94"/>
      <c r="AB60" s="94"/>
    </row>
    <row r="61" spans="1:28">
      <c r="A61" s="210" t="s">
        <v>865</v>
      </c>
      <c r="B61" s="20" t="str">
        <f t="shared" si="15"/>
        <v>ANTLP_G3</v>
      </c>
      <c r="C61" s="20" t="str">
        <f t="shared" si="16"/>
        <v>HALE</v>
      </c>
      <c r="D61" s="20" t="str">
        <f t="shared" si="17"/>
        <v>GAS</v>
      </c>
      <c r="E61" s="20" t="str">
        <f t="shared" si="18"/>
        <v>WEST</v>
      </c>
      <c r="F61" s="20">
        <f t="shared" si="14"/>
        <v>2016</v>
      </c>
      <c r="G61" s="20">
        <v>54</v>
      </c>
      <c r="H61" s="44">
        <v>54</v>
      </c>
      <c r="I61" s="43"/>
      <c r="J61" s="43"/>
      <c r="K61" s="43"/>
      <c r="L61" s="43"/>
      <c r="M61" s="43"/>
      <c r="N61" s="43"/>
      <c r="AA61" s="94"/>
      <c r="AB61" s="94"/>
    </row>
    <row r="62" spans="1:28">
      <c r="A62" s="210" t="s">
        <v>867</v>
      </c>
      <c r="B62" s="20" t="str">
        <f t="shared" si="15"/>
        <v>AEEC_ELK_1</v>
      </c>
      <c r="C62" s="20" t="str">
        <f t="shared" si="16"/>
        <v>HALE</v>
      </c>
      <c r="D62" s="20" t="str">
        <f t="shared" si="17"/>
        <v>GAS</v>
      </c>
      <c r="E62" s="20" t="str">
        <f t="shared" si="18"/>
        <v>WEST</v>
      </c>
      <c r="F62" s="20">
        <f t="shared" si="14"/>
        <v>2016</v>
      </c>
      <c r="G62" s="20">
        <v>190</v>
      </c>
      <c r="H62" s="44">
        <v>190</v>
      </c>
      <c r="I62" s="43"/>
      <c r="J62" s="43"/>
      <c r="K62" s="43"/>
      <c r="L62" s="43"/>
      <c r="M62" s="43"/>
      <c r="N62" s="43"/>
      <c r="AA62" s="94"/>
      <c r="AB62" s="94"/>
    </row>
    <row r="63" spans="1:28">
      <c r="A63" s="210" t="s">
        <v>869</v>
      </c>
      <c r="B63" s="20" t="str">
        <f t="shared" si="15"/>
        <v>AEEC_ELK_2</v>
      </c>
      <c r="C63" s="20" t="str">
        <f t="shared" si="16"/>
        <v>HALE</v>
      </c>
      <c r="D63" s="20" t="str">
        <f t="shared" si="17"/>
        <v>GAS</v>
      </c>
      <c r="E63" s="20" t="str">
        <f t="shared" si="18"/>
        <v>WEST</v>
      </c>
      <c r="F63" s="20">
        <f t="shared" si="14"/>
        <v>2016</v>
      </c>
      <c r="G63" s="20">
        <v>190</v>
      </c>
      <c r="H63" s="44">
        <v>190</v>
      </c>
      <c r="I63" s="43"/>
      <c r="J63" s="43"/>
      <c r="K63" s="43"/>
      <c r="L63" s="43"/>
      <c r="M63" s="43"/>
      <c r="N63" s="43"/>
      <c r="AA63" s="94"/>
      <c r="AB63" s="94"/>
    </row>
    <row r="64" spans="1:28">
      <c r="A64" s="222" t="s">
        <v>871</v>
      </c>
      <c r="B64" s="20" t="s">
        <v>872</v>
      </c>
      <c r="C64" s="20" t="s">
        <v>862</v>
      </c>
      <c r="D64" s="20" t="s">
        <v>778</v>
      </c>
      <c r="E64" s="20" t="s">
        <v>653</v>
      </c>
      <c r="F64" s="20">
        <f t="shared" si="14"/>
        <v>2016</v>
      </c>
      <c r="G64" s="20">
        <v>190</v>
      </c>
      <c r="H64" s="44">
        <v>190</v>
      </c>
      <c r="I64" s="43"/>
      <c r="J64" s="43"/>
      <c r="K64" s="43"/>
      <c r="L64" s="43"/>
      <c r="M64" s="43"/>
      <c r="N64" s="43"/>
      <c r="AA64" s="94"/>
      <c r="AB64" s="94"/>
    </row>
    <row r="65" spans="1:35">
      <c r="A65" s="210" t="s">
        <v>873</v>
      </c>
      <c r="B65" s="20" t="str">
        <f t="shared" si="15"/>
        <v>TGCCS_CT1</v>
      </c>
      <c r="C65" s="20" t="str">
        <f t="shared" si="16"/>
        <v>RUSK</v>
      </c>
      <c r="D65" s="20" t="str">
        <f t="shared" si="17"/>
        <v>GAS-CC</v>
      </c>
      <c r="E65" s="20" t="str">
        <f t="shared" si="18"/>
        <v>NORTH</v>
      </c>
      <c r="F65" s="20">
        <f t="shared" si="14"/>
        <v>2001</v>
      </c>
      <c r="G65" s="20">
        <v>162</v>
      </c>
      <c r="H65" s="44" t="s">
        <v>877</v>
      </c>
      <c r="I65" s="43"/>
      <c r="J65" s="43"/>
      <c r="K65" s="43"/>
      <c r="L65" s="43"/>
      <c r="M65" s="43"/>
      <c r="N65" s="43"/>
      <c r="AA65" s="94"/>
      <c r="AB65" s="94"/>
    </row>
    <row r="66" spans="1:35">
      <c r="A66" s="222" t="s">
        <v>878</v>
      </c>
      <c r="B66" s="20" t="str">
        <f t="shared" si="15"/>
        <v>TGCCS_CT2</v>
      </c>
      <c r="C66" s="20" t="str">
        <f t="shared" si="16"/>
        <v>RUSK</v>
      </c>
      <c r="D66" s="20" t="str">
        <f t="shared" si="17"/>
        <v>GAS-CC</v>
      </c>
      <c r="E66" s="20" t="str">
        <f t="shared" si="18"/>
        <v>NORTH</v>
      </c>
      <c r="F66" s="20">
        <f t="shared" si="14"/>
        <v>2001</v>
      </c>
      <c r="G66" s="20" t="s">
        <v>877</v>
      </c>
      <c r="H66" s="44">
        <v>135</v>
      </c>
      <c r="I66" s="43"/>
      <c r="J66" s="43"/>
      <c r="K66" s="43"/>
      <c r="L66" s="43"/>
      <c r="M66" s="43"/>
      <c r="N66" s="43"/>
      <c r="AA66" s="94"/>
      <c r="AB66" s="94"/>
    </row>
    <row r="67" spans="1:35">
      <c r="A67" s="222" t="s">
        <v>884</v>
      </c>
      <c r="B67" s="20" t="str">
        <f t="shared" si="15"/>
        <v>KMCHI_2CT101</v>
      </c>
      <c r="C67" s="20" t="str">
        <f t="shared" si="16"/>
        <v>FANNIN</v>
      </c>
      <c r="D67" s="20" t="str">
        <f t="shared" si="17"/>
        <v>GAS-CC</v>
      </c>
      <c r="E67" s="20" t="str">
        <f t="shared" si="18"/>
        <v>NORTH</v>
      </c>
      <c r="F67" s="20">
        <f t="shared" si="14"/>
        <v>2003</v>
      </c>
      <c r="G67" s="20">
        <v>149</v>
      </c>
      <c r="H67" s="44">
        <v>149</v>
      </c>
      <c r="I67" s="43"/>
      <c r="J67" s="43"/>
      <c r="K67" s="43"/>
      <c r="L67" s="43"/>
      <c r="M67" s="43"/>
      <c r="N67" s="43"/>
      <c r="AA67" s="94"/>
      <c r="AB67" s="94"/>
    </row>
    <row r="68" spans="1:35" ht="15" thickBot="1">
      <c r="A68" s="222" t="s">
        <v>887</v>
      </c>
      <c r="B68" s="20" t="str">
        <f t="shared" si="15"/>
        <v>KMCHI_2CT201</v>
      </c>
      <c r="C68" s="20" t="str">
        <f t="shared" si="16"/>
        <v>FANNIN</v>
      </c>
      <c r="D68" s="20" t="str">
        <f t="shared" si="17"/>
        <v>GAS-CC</v>
      </c>
      <c r="E68" s="20" t="str">
        <f t="shared" si="18"/>
        <v>NORTH</v>
      </c>
      <c r="F68" s="20">
        <f t="shared" si="14"/>
        <v>2003</v>
      </c>
      <c r="G68" s="20" t="s">
        <v>877</v>
      </c>
      <c r="H68" s="44">
        <v>152</v>
      </c>
      <c r="I68" s="43"/>
      <c r="J68" s="43"/>
      <c r="K68" s="43"/>
      <c r="L68" s="43"/>
      <c r="M68" s="43"/>
      <c r="N68" s="43"/>
      <c r="AA68" s="94"/>
      <c r="AB68" s="94"/>
    </row>
    <row r="69" spans="1:35" ht="15" thickBot="1">
      <c r="A69" s="225" t="s">
        <v>891</v>
      </c>
      <c r="B69" s="160" t="s">
        <v>892</v>
      </c>
      <c r="C69" s="160"/>
      <c r="D69" s="160" t="s">
        <v>778</v>
      </c>
      <c r="E69" s="160"/>
      <c r="F69" s="160"/>
      <c r="G69" s="160">
        <f>SUM(G59:G68)</f>
        <v>1047</v>
      </c>
      <c r="H69" s="161">
        <f>SUM(H59:H68)</f>
        <v>1172</v>
      </c>
      <c r="I69" s="43"/>
      <c r="J69" s="43"/>
      <c r="K69" s="43"/>
      <c r="L69" s="43"/>
      <c r="M69" s="43"/>
      <c r="N69" s="43"/>
      <c r="AA69" s="94"/>
      <c r="AB69" s="94"/>
    </row>
    <row r="70" spans="1:3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AA70" s="94"/>
      <c r="AB70" s="94"/>
    </row>
    <row r="71" spans="1:3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AA71" s="94"/>
      <c r="AB71" s="94"/>
    </row>
    <row r="72" spans="1:3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AA72" s="94"/>
      <c r="AB72" s="94"/>
    </row>
    <row r="73" spans="1:3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AA73" s="94"/>
      <c r="AB73" s="94"/>
    </row>
    <row r="74" spans="1:3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AA74" s="94"/>
      <c r="AB74" s="94"/>
    </row>
    <row r="75" spans="1:3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AA75" s="94"/>
      <c r="AB75" s="94"/>
    </row>
    <row r="76" spans="1:3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AA76" s="94"/>
      <c r="AB76" s="94"/>
      <c r="AI76" s="94"/>
    </row>
    <row r="77" spans="1:3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AA77" s="94"/>
      <c r="AB77" s="94"/>
      <c r="AI77" s="94"/>
    </row>
    <row r="78" spans="1:3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AA78" s="94"/>
      <c r="AB78" s="94"/>
      <c r="AI78" s="94"/>
    </row>
    <row r="79" spans="1:3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AA79" s="94"/>
      <c r="AB79" s="94"/>
      <c r="AI79" s="94"/>
    </row>
    <row r="80" spans="1:3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AA80" s="94"/>
      <c r="AB80" s="94"/>
      <c r="AI80" s="94"/>
    </row>
    <row r="81" spans="1:3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AA81" s="94"/>
      <c r="AB81" s="94"/>
      <c r="AI81" s="94"/>
    </row>
    <row r="82" spans="1:3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AA82" s="94"/>
      <c r="AB82" s="94"/>
      <c r="AI82" s="94"/>
    </row>
    <row r="83" spans="1:3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AA83" s="94"/>
      <c r="AB83" s="94"/>
      <c r="AI83" s="94"/>
    </row>
    <row r="84" spans="1:3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AA84" s="94"/>
      <c r="AB84" s="94"/>
      <c r="AI84" s="94"/>
    </row>
    <row r="85" spans="1:3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AA85" s="94"/>
      <c r="AB85" s="94"/>
      <c r="AI85" s="94"/>
    </row>
    <row r="86" spans="1:3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AA86" s="94"/>
      <c r="AB86" s="94"/>
      <c r="AI86" s="94"/>
    </row>
    <row r="87" spans="1:3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AA87" s="94"/>
      <c r="AB87" s="94"/>
      <c r="AI87" s="94"/>
    </row>
    <row r="88" spans="1:3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AA88" s="94"/>
      <c r="AB88" s="94"/>
      <c r="AI88" s="94"/>
    </row>
    <row r="89" spans="1:3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AA89" s="94"/>
      <c r="AB89" s="94"/>
      <c r="AI89" s="94"/>
    </row>
    <row r="90" spans="1:3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AA90" s="94"/>
      <c r="AB90" s="94"/>
      <c r="AI90" s="94"/>
    </row>
    <row r="91" spans="1:3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AA91" s="94"/>
      <c r="AB91" s="94"/>
      <c r="AI91" s="94"/>
    </row>
    <row r="92" spans="1:3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AA92" s="94"/>
      <c r="AB92" s="94"/>
      <c r="AI92" s="94"/>
    </row>
    <row r="93" spans="1:3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AA93" s="94"/>
      <c r="AB93" s="94"/>
      <c r="AI93" s="94"/>
    </row>
    <row r="94" spans="1:3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AA94" s="94"/>
      <c r="AB94" s="94"/>
      <c r="AI94" s="94"/>
    </row>
    <row r="95" spans="1:3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AA95" s="94"/>
      <c r="AB95" s="94"/>
      <c r="AI95" s="94"/>
    </row>
    <row r="96" spans="1:3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AA96" s="94"/>
      <c r="AB96" s="94"/>
      <c r="AI96" s="94"/>
    </row>
    <row r="97" spans="1:3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AA97" s="94"/>
      <c r="AB97" s="94"/>
      <c r="AI97" s="94"/>
    </row>
    <row r="98" spans="1:3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AA98" s="94"/>
      <c r="AB98" s="94"/>
      <c r="AI98" s="94"/>
    </row>
    <row r="99" spans="1:3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AA99" s="94"/>
      <c r="AB99" s="94"/>
      <c r="AI99" s="94"/>
    </row>
    <row r="100" spans="1:3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AA100" s="94"/>
      <c r="AB100" s="94"/>
      <c r="AI100" s="94"/>
    </row>
    <row r="101" spans="1:3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AA101" s="94"/>
      <c r="AB101" s="94"/>
    </row>
    <row r="102" spans="1:3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AA102" s="94"/>
      <c r="AB102" s="94"/>
    </row>
    <row r="103" spans="1:3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AA103" s="94"/>
      <c r="AB103" s="94"/>
    </row>
    <row r="104" spans="1:3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AA104" s="94"/>
      <c r="AB104" s="94"/>
    </row>
    <row r="105" spans="1:3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AA105" s="94"/>
      <c r="AB105" s="94"/>
    </row>
    <row r="106" spans="1:3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AA106" s="94"/>
      <c r="AB106" s="94"/>
    </row>
    <row r="107" spans="1:3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AA107" s="94"/>
      <c r="AB107" s="94"/>
    </row>
    <row r="108" spans="1:3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AA108" s="94"/>
      <c r="AB108" s="94"/>
    </row>
    <row r="109" spans="1:3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AA109" s="94"/>
      <c r="AB109" s="94"/>
    </row>
    <row r="110" spans="1:3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AA110" s="94"/>
      <c r="AB110" s="94"/>
    </row>
    <row r="111" spans="1:3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AA111" s="94"/>
      <c r="AB111" s="94"/>
    </row>
    <row r="112" spans="1:3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AA112" s="94"/>
      <c r="AB112" s="94"/>
    </row>
    <row r="113" spans="1:28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AA113" s="94"/>
      <c r="AB113" s="94"/>
    </row>
    <row r="114" spans="1:28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AA114" s="94"/>
      <c r="AB114" s="94"/>
    </row>
    <row r="115" spans="1:28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AA115" s="94"/>
      <c r="AB115" s="94"/>
    </row>
    <row r="116" spans="1:28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AA116" s="94"/>
      <c r="AB116" s="94"/>
    </row>
    <row r="117" spans="1:28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AA117" s="94"/>
      <c r="AB117" s="94"/>
    </row>
    <row r="118" spans="1:2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AA118" s="94"/>
      <c r="AB118" s="94"/>
    </row>
    <row r="119" spans="1:28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AA119" s="94"/>
      <c r="AB119" s="94"/>
    </row>
    <row r="120" spans="1:28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AA120" s="94"/>
      <c r="AB120" s="94"/>
    </row>
    <row r="121" spans="1:28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AA121" s="94"/>
      <c r="AB121" s="94"/>
    </row>
    <row r="122" spans="1:28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AA122" s="94"/>
      <c r="AB122" s="94"/>
    </row>
    <row r="123" spans="1:28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AA123" s="94"/>
      <c r="AB123" s="94"/>
    </row>
    <row r="124" spans="1:28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AA124" s="94"/>
      <c r="AB124" s="94"/>
    </row>
    <row r="125" spans="1:28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AA125" s="94"/>
      <c r="AB125" s="94"/>
    </row>
    <row r="126" spans="1:28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AA126" s="94"/>
      <c r="AB126" s="94"/>
    </row>
    <row r="127" spans="1:28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AA127" s="94"/>
      <c r="AB127" s="94"/>
    </row>
    <row r="128" spans="1: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AA128" s="94"/>
      <c r="AB128" s="94"/>
    </row>
    <row r="129" spans="1:28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AA129" s="94"/>
      <c r="AB129" s="94"/>
    </row>
    <row r="130" spans="1:28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AA130" s="94"/>
      <c r="AB130" s="94"/>
    </row>
    <row r="131" spans="1:28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AA131" s="94"/>
      <c r="AB131" s="94"/>
    </row>
    <row r="132" spans="1:28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AA132" s="94"/>
      <c r="AB132" s="94"/>
    </row>
    <row r="133" spans="1:28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AA133" s="94"/>
      <c r="AB133" s="94"/>
    </row>
    <row r="134" spans="1:28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AA134" s="94"/>
      <c r="AB134" s="94"/>
    </row>
    <row r="135" spans="1:28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AA135" s="94"/>
      <c r="AB135" s="94"/>
    </row>
    <row r="136" spans="1:28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AA136" s="94"/>
      <c r="AB136" s="94"/>
    </row>
    <row r="137" spans="1:28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AA137" s="94"/>
      <c r="AB137" s="94"/>
    </row>
    <row r="138" spans="1:2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AA138" s="94"/>
      <c r="AB138" s="94"/>
    </row>
    <row r="139" spans="1:28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AA139" s="94"/>
      <c r="AB139" s="94"/>
    </row>
    <row r="140" spans="1:28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AA140" s="94"/>
      <c r="AB140" s="94"/>
    </row>
    <row r="141" spans="1:28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AA141" s="94"/>
      <c r="AB141" s="94"/>
    </row>
    <row r="142" spans="1:28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AA142" s="94"/>
      <c r="AB142" s="94"/>
    </row>
    <row r="143" spans="1:28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AA143" s="94"/>
      <c r="AB143" s="94"/>
    </row>
    <row r="144" spans="1:28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AA144" s="94"/>
      <c r="AB144" s="94"/>
    </row>
    <row r="145" spans="1:28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AA145" s="94"/>
      <c r="AB145" s="94"/>
    </row>
    <row r="146" spans="1:28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AA146" s="94"/>
      <c r="AB146" s="94"/>
    </row>
    <row r="147" spans="1:28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AA147" s="94"/>
      <c r="AB147" s="94"/>
    </row>
    <row r="148" spans="1:2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AA148" s="94"/>
      <c r="AB148" s="94"/>
    </row>
    <row r="149" spans="1:28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AA149" s="94"/>
      <c r="AB149" s="94"/>
    </row>
    <row r="150" spans="1:28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AA150" s="94"/>
      <c r="AB150" s="94"/>
    </row>
    <row r="151" spans="1:28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AA151" s="94"/>
      <c r="AB151" s="94"/>
    </row>
    <row r="152" spans="1:28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AA152" s="94"/>
      <c r="AB152" s="94"/>
    </row>
    <row r="153" spans="1:28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AA153" s="94"/>
      <c r="AB153" s="94"/>
    </row>
    <row r="154" spans="1:28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AA154" s="94"/>
      <c r="AB154" s="94"/>
    </row>
    <row r="155" spans="1:28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AA155" s="94"/>
      <c r="AB155" s="94"/>
    </row>
    <row r="156" spans="1:28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AA156" s="94"/>
      <c r="AB156" s="94"/>
    </row>
    <row r="157" spans="1:28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AA157" s="94"/>
      <c r="AB157" s="94"/>
    </row>
    <row r="158" spans="1:2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AA158" s="94"/>
      <c r="AB158" s="94"/>
    </row>
    <row r="159" spans="1:28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AA159" s="94"/>
      <c r="AB159" s="94"/>
    </row>
    <row r="160" spans="1:28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AA160" s="94"/>
      <c r="AB160" s="94"/>
    </row>
    <row r="161" spans="1:28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AA161" s="94"/>
      <c r="AB161" s="94"/>
    </row>
    <row r="162" spans="1:28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AA162" s="94"/>
      <c r="AB162" s="94"/>
    </row>
    <row r="163" spans="1:28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AA163" s="94"/>
      <c r="AB163" s="94"/>
    </row>
    <row r="164" spans="1:28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AA164" s="94"/>
      <c r="AB164" s="94"/>
    </row>
    <row r="165" spans="1:28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AA165" s="94"/>
      <c r="AB165" s="94"/>
    </row>
    <row r="166" spans="1:28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AA166" s="94"/>
      <c r="AB166" s="94"/>
    </row>
    <row r="167" spans="1:28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AA167" s="94"/>
      <c r="AB167" s="94"/>
    </row>
    <row r="168" spans="1:2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AA168" s="94"/>
      <c r="AB168" s="94"/>
    </row>
    <row r="169" spans="1:28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AA169" s="94"/>
      <c r="AB169" s="94"/>
    </row>
    <row r="170" spans="1:28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AA170" s="94"/>
      <c r="AB170" s="94"/>
    </row>
    <row r="171" spans="1:28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AA171" s="94"/>
      <c r="AB171" s="94"/>
    </row>
    <row r="172" spans="1:28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AA172" s="94"/>
      <c r="AB172" s="94"/>
    </row>
    <row r="173" spans="1:28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AA173" s="94"/>
      <c r="AB173" s="94"/>
    </row>
    <row r="174" spans="1:28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AA174" s="94"/>
      <c r="AB174" s="94"/>
    </row>
    <row r="175" spans="1:28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AA175" s="94"/>
      <c r="AB175" s="94"/>
    </row>
    <row r="176" spans="1:28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AA176" s="94"/>
      <c r="AB176" s="94"/>
    </row>
    <row r="177" spans="1:28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AA177" s="94"/>
      <c r="AB177" s="94"/>
    </row>
    <row r="178" spans="1:2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AA178" s="94"/>
      <c r="AB178" s="94"/>
    </row>
    <row r="179" spans="1:28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AA179" s="94"/>
      <c r="AB179" s="94"/>
    </row>
    <row r="180" spans="1:28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AA180" s="94"/>
      <c r="AB180" s="94"/>
    </row>
    <row r="181" spans="1:28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AA181" s="94"/>
      <c r="AB181" s="94"/>
    </row>
    <row r="182" spans="1:28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AA182" s="94"/>
      <c r="AB182" s="94"/>
    </row>
    <row r="183" spans="1:28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AA183" s="94"/>
      <c r="AB183" s="94"/>
    </row>
    <row r="184" spans="1:28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AA184" s="94"/>
      <c r="AB184" s="94"/>
    </row>
    <row r="185" spans="1:28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AA185" s="94"/>
      <c r="AB185" s="94"/>
    </row>
    <row r="186" spans="1:28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AA186" s="94"/>
      <c r="AB186" s="94"/>
    </row>
    <row r="187" spans="1:28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AA187" s="94"/>
      <c r="AB187" s="94"/>
    </row>
    <row r="188" spans="1:2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AA188" s="94"/>
      <c r="AB188" s="94"/>
    </row>
    <row r="189" spans="1:28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AA189" s="94"/>
      <c r="AB189" s="94"/>
    </row>
    <row r="190" spans="1:28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AA190" s="94"/>
      <c r="AB190" s="94"/>
    </row>
    <row r="191" spans="1:28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AA191" s="94"/>
      <c r="AB191" s="94"/>
    </row>
    <row r="192" spans="1:28">
      <c r="AA192" s="94"/>
      <c r="AB192" s="94"/>
    </row>
    <row r="193" spans="27:28">
      <c r="AA193" s="94"/>
      <c r="AB193" s="94"/>
    </row>
    <row r="194" spans="27:28">
      <c r="AA194" s="94"/>
      <c r="AB194" s="94"/>
    </row>
    <row r="195" spans="27:28">
      <c r="AA195" s="94"/>
      <c r="AB195" s="94"/>
    </row>
    <row r="196" spans="27:28">
      <c r="AA196" s="94"/>
      <c r="AB196" s="94"/>
    </row>
    <row r="197" spans="27:28">
      <c r="AA197" s="94"/>
      <c r="AB197" s="94"/>
    </row>
    <row r="198" spans="27:28">
      <c r="AA198" s="94"/>
      <c r="AB198" s="94"/>
    </row>
    <row r="199" spans="27:28">
      <c r="AA199" s="94"/>
      <c r="AB199" s="94"/>
    </row>
    <row r="200" spans="27:28">
      <c r="AA200" s="94"/>
      <c r="AB200" s="94"/>
    </row>
    <row r="201" spans="27:28">
      <c r="AA201" s="94"/>
      <c r="AB201" s="94"/>
    </row>
    <row r="202" spans="27:28">
      <c r="AA202" s="94"/>
      <c r="AB202" s="94"/>
    </row>
    <row r="203" spans="27:28">
      <c r="AA203" s="94"/>
      <c r="AB203" s="94"/>
    </row>
    <row r="204" spans="27:28">
      <c r="AA204" s="94"/>
      <c r="AB204" s="94"/>
    </row>
    <row r="205" spans="27:28">
      <c r="AA205" s="94"/>
      <c r="AB205" s="94"/>
    </row>
    <row r="206" spans="27:28">
      <c r="AA206" s="94"/>
      <c r="AB206" s="94"/>
    </row>
    <row r="207" spans="27:28">
      <c r="AA207" s="94"/>
      <c r="AB207" s="94"/>
    </row>
    <row r="208" spans="27:28">
      <c r="AA208" s="94"/>
      <c r="AB208" s="94"/>
    </row>
    <row r="209" spans="27:28">
      <c r="AA209" s="94"/>
      <c r="AB209" s="94"/>
    </row>
    <row r="210" spans="27:28">
      <c r="AA210" s="94"/>
      <c r="AB210" s="94"/>
    </row>
    <row r="211" spans="27:28">
      <c r="AA211" s="94"/>
      <c r="AB211" s="94"/>
    </row>
    <row r="212" spans="27:28">
      <c r="AA212" s="94"/>
      <c r="AB212" s="94"/>
    </row>
    <row r="213" spans="27:28">
      <c r="AA213" s="94"/>
      <c r="AB213" s="94"/>
    </row>
    <row r="214" spans="27:28">
      <c r="AA214" s="94"/>
      <c r="AB214" s="94"/>
    </row>
    <row r="215" spans="27:28">
      <c r="AA215" s="94"/>
      <c r="AB215" s="94"/>
    </row>
    <row r="216" spans="27:28">
      <c r="AA216" s="94"/>
      <c r="AB216" s="94"/>
    </row>
    <row r="217" spans="27:28">
      <c r="AA217" s="94"/>
      <c r="AB217" s="94"/>
    </row>
    <row r="218" spans="27:28">
      <c r="AA218" s="94"/>
      <c r="AB218" s="94"/>
    </row>
    <row r="219" spans="27:28">
      <c r="AA219" s="94"/>
      <c r="AB219" s="94"/>
    </row>
    <row r="220" spans="27:28">
      <c r="AA220" s="94"/>
      <c r="AB220" s="94"/>
    </row>
    <row r="221" spans="27:28">
      <c r="AA221" s="94"/>
      <c r="AB221" s="94"/>
    </row>
    <row r="222" spans="27:28">
      <c r="AA222" s="94"/>
      <c r="AB222" s="94"/>
    </row>
    <row r="223" spans="27:28">
      <c r="AA223" s="94"/>
      <c r="AB223" s="94"/>
    </row>
    <row r="224" spans="27:28">
      <c r="AA224" s="94"/>
      <c r="AB224" s="94"/>
    </row>
    <row r="225" spans="27:28">
      <c r="AA225" s="94"/>
      <c r="AB225" s="94"/>
    </row>
    <row r="226" spans="27:28">
      <c r="AA226" s="94"/>
      <c r="AB226" s="94"/>
    </row>
    <row r="227" spans="27:28">
      <c r="AA227" s="94"/>
      <c r="AB227" s="94"/>
    </row>
    <row r="228" spans="27:28">
      <c r="AA228" s="94"/>
      <c r="AB228" s="94"/>
    </row>
    <row r="229" spans="27:28">
      <c r="AA229" s="94"/>
      <c r="AB229" s="94"/>
    </row>
    <row r="230" spans="27:28">
      <c r="AA230" s="94"/>
      <c r="AB230" s="94"/>
    </row>
    <row r="231" spans="27:28">
      <c r="AA231" s="94"/>
      <c r="AB231" s="94"/>
    </row>
    <row r="232" spans="27:28">
      <c r="AA232" s="94"/>
      <c r="AB232" s="94"/>
    </row>
    <row r="233" spans="27:28">
      <c r="AA233" s="94"/>
      <c r="AB233" s="94"/>
    </row>
    <row r="234" spans="27:28">
      <c r="AA234" s="94"/>
      <c r="AB234" s="94"/>
    </row>
    <row r="235" spans="27:28">
      <c r="AA235" s="94"/>
      <c r="AB235" s="94"/>
    </row>
    <row r="236" spans="27:28">
      <c r="AA236" s="94"/>
      <c r="AB236" s="94"/>
    </row>
    <row r="237" spans="27:28">
      <c r="AA237" s="94"/>
      <c r="AB237" s="94"/>
    </row>
    <row r="238" spans="27:28">
      <c r="AA238" s="94"/>
      <c r="AB238" s="94"/>
    </row>
    <row r="239" spans="27:28">
      <c r="AA239" s="94"/>
      <c r="AB239" s="94"/>
    </row>
    <row r="240" spans="27:28">
      <c r="AA240" s="94"/>
      <c r="AB240" s="94"/>
    </row>
    <row r="241" spans="27:28">
      <c r="AA241" s="94"/>
      <c r="AB241" s="94"/>
    </row>
    <row r="242" spans="27:28">
      <c r="AA242" s="94"/>
      <c r="AB242" s="94"/>
    </row>
    <row r="243" spans="27:28">
      <c r="AA243" s="94"/>
      <c r="AB243" s="94"/>
    </row>
    <row r="244" spans="27:28">
      <c r="AA244" s="94"/>
      <c r="AB244" s="94"/>
    </row>
    <row r="245" spans="27:28">
      <c r="AA245" s="94"/>
      <c r="AB245" s="94"/>
    </row>
    <row r="246" spans="27:28">
      <c r="AA246" s="94"/>
      <c r="AB246" s="94"/>
    </row>
    <row r="247" spans="27:28">
      <c r="AA247" s="94"/>
      <c r="AB247" s="94"/>
    </row>
    <row r="248" spans="27:28">
      <c r="AA248" s="94"/>
      <c r="AB248" s="94"/>
    </row>
    <row r="249" spans="27:28">
      <c r="AA249" s="94"/>
      <c r="AB249" s="94"/>
    </row>
    <row r="250" spans="27:28">
      <c r="AA250" s="94"/>
      <c r="AB250" s="94"/>
    </row>
    <row r="251" spans="27:28">
      <c r="AA251" s="94"/>
      <c r="AB251" s="94"/>
    </row>
    <row r="252" spans="27:28">
      <c r="AA252" s="94"/>
      <c r="AB252" s="94"/>
    </row>
    <row r="253" spans="27:28">
      <c r="AA253" s="94"/>
      <c r="AB253" s="94"/>
    </row>
    <row r="254" spans="27:28">
      <c r="AA254" s="94"/>
      <c r="AB254" s="94"/>
    </row>
    <row r="255" spans="27:28">
      <c r="AA255" s="94"/>
      <c r="AB255" s="94"/>
    </row>
    <row r="256" spans="27:28">
      <c r="AA256" s="94"/>
      <c r="AB256" s="94"/>
    </row>
    <row r="257" spans="27:28">
      <c r="AA257" s="94"/>
      <c r="AB257" s="94"/>
    </row>
    <row r="258" spans="27:28">
      <c r="AA258" s="94"/>
      <c r="AB258" s="94"/>
    </row>
    <row r="259" spans="27:28">
      <c r="AA259" s="94"/>
      <c r="AB259" s="94"/>
    </row>
    <row r="260" spans="27:28">
      <c r="AA260" s="94"/>
      <c r="AB260" s="94"/>
    </row>
    <row r="261" spans="27:28">
      <c r="AA261" s="94"/>
      <c r="AB261" s="94"/>
    </row>
    <row r="262" spans="27:28">
      <c r="AA262" s="94"/>
      <c r="AB262" s="94"/>
    </row>
    <row r="263" spans="27:28">
      <c r="AA263" s="94"/>
      <c r="AB263" s="94"/>
    </row>
    <row r="264" spans="27:28">
      <c r="AA264" s="94"/>
      <c r="AB264" s="94"/>
    </row>
    <row r="265" spans="27:28">
      <c r="AA265" s="94"/>
      <c r="AB265" s="94"/>
    </row>
    <row r="266" spans="27:28">
      <c r="AA266" s="94"/>
      <c r="AB266" s="94"/>
    </row>
    <row r="267" spans="27:28">
      <c r="AA267" s="94"/>
      <c r="AB267" s="94"/>
    </row>
    <row r="268" spans="27:28">
      <c r="AA268" s="94"/>
      <c r="AB268" s="94"/>
    </row>
    <row r="269" spans="27:28">
      <c r="AA269" s="94"/>
      <c r="AB269" s="94"/>
    </row>
    <row r="270" spans="27:28">
      <c r="AA270" s="94"/>
      <c r="AB270" s="94"/>
    </row>
    <row r="271" spans="27:28">
      <c r="AA271" s="94"/>
      <c r="AB271" s="94"/>
    </row>
    <row r="272" spans="27:28">
      <c r="AA272" s="94"/>
      <c r="AB272" s="94"/>
    </row>
    <row r="273" spans="27:28">
      <c r="AA273" s="94"/>
      <c r="AB273" s="94"/>
    </row>
    <row r="274" spans="27:28">
      <c r="AA274" s="94"/>
      <c r="AB274" s="94"/>
    </row>
    <row r="275" spans="27:28">
      <c r="AA275" s="94"/>
      <c r="AB275" s="94"/>
    </row>
    <row r="276" spans="27:28">
      <c r="AA276" s="94"/>
      <c r="AB276" s="94"/>
    </row>
    <row r="277" spans="27:28">
      <c r="AA277" s="94"/>
      <c r="AB277" s="94"/>
    </row>
    <row r="278" spans="27:28">
      <c r="AA278" s="94"/>
      <c r="AB278" s="94"/>
    </row>
    <row r="279" spans="27:28">
      <c r="AA279" s="94"/>
      <c r="AB279" s="94"/>
    </row>
    <row r="280" spans="27:28">
      <c r="AA280" s="94"/>
      <c r="AB280" s="94"/>
    </row>
    <row r="281" spans="27:28">
      <c r="AA281" s="94"/>
      <c r="AB281" s="94"/>
    </row>
    <row r="282" spans="27:28">
      <c r="AA282" s="94"/>
      <c r="AB282" s="94"/>
    </row>
    <row r="283" spans="27:28">
      <c r="AA283" s="94"/>
      <c r="AB283" s="94"/>
    </row>
    <row r="284" spans="27:28">
      <c r="AA284" s="94"/>
      <c r="AB284" s="94"/>
    </row>
    <row r="285" spans="27:28">
      <c r="AA285" s="94"/>
      <c r="AB285" s="94"/>
    </row>
    <row r="286" spans="27:28">
      <c r="AA286" s="94"/>
      <c r="AB286" s="94"/>
    </row>
    <row r="287" spans="27:28">
      <c r="AA287" s="94"/>
      <c r="AB287" s="94"/>
    </row>
    <row r="288" spans="27:28">
      <c r="AA288" s="94"/>
      <c r="AB288" s="94"/>
    </row>
    <row r="289" spans="27:28">
      <c r="AA289" s="94"/>
      <c r="AB289" s="94"/>
    </row>
    <row r="290" spans="27:28">
      <c r="AA290" s="94"/>
      <c r="AB290" s="94"/>
    </row>
    <row r="291" spans="27:28">
      <c r="AA291" s="94"/>
      <c r="AB291" s="94"/>
    </row>
    <row r="292" spans="27:28">
      <c r="AA292" s="94"/>
      <c r="AB292" s="94"/>
    </row>
    <row r="293" spans="27:28">
      <c r="AA293" s="94"/>
      <c r="AB293" s="94"/>
    </row>
    <row r="294" spans="27:28">
      <c r="AA294" s="94"/>
      <c r="AB294" s="94"/>
    </row>
    <row r="295" spans="27:28">
      <c r="AA295" s="94"/>
      <c r="AB295" s="94"/>
    </row>
    <row r="296" spans="27:28">
      <c r="AA296" s="94"/>
      <c r="AB296" s="94"/>
    </row>
    <row r="297" spans="27:28">
      <c r="AA297" s="94"/>
      <c r="AB297" s="94"/>
    </row>
    <row r="298" spans="27:28">
      <c r="AA298" s="94"/>
      <c r="AB298" s="94"/>
    </row>
    <row r="299" spans="27:28">
      <c r="AA299" s="94"/>
      <c r="AB299" s="94"/>
    </row>
    <row r="300" spans="27:28">
      <c r="AA300" s="94"/>
      <c r="AB300" s="94"/>
    </row>
    <row r="301" spans="27:28">
      <c r="AA301" s="94"/>
      <c r="AB301" s="94"/>
    </row>
    <row r="302" spans="27:28">
      <c r="AA302" s="94"/>
      <c r="AB302" s="94"/>
    </row>
    <row r="303" spans="27:28">
      <c r="AA303" s="94"/>
      <c r="AB303" s="94"/>
    </row>
    <row r="304" spans="27:28">
      <c r="AA304" s="94"/>
      <c r="AB304" s="94"/>
    </row>
    <row r="305" spans="27:28">
      <c r="AA305" s="94"/>
      <c r="AB305" s="94"/>
    </row>
    <row r="306" spans="27:28">
      <c r="AA306" s="94"/>
      <c r="AB306" s="94"/>
    </row>
    <row r="307" spans="27:28">
      <c r="AA307" s="94"/>
      <c r="AB307" s="94"/>
    </row>
    <row r="308" spans="27:28">
      <c r="AA308" s="94"/>
      <c r="AB308" s="94"/>
    </row>
    <row r="309" spans="27:28">
      <c r="AA309" s="94"/>
      <c r="AB309" s="94"/>
    </row>
    <row r="310" spans="27:28">
      <c r="AA310" s="94"/>
      <c r="AB310" s="94"/>
    </row>
    <row r="311" spans="27:28">
      <c r="AA311" s="94"/>
      <c r="AB311" s="94"/>
    </row>
    <row r="312" spans="27:28">
      <c r="AA312" s="94"/>
      <c r="AB312" s="94"/>
    </row>
    <row r="313" spans="27:28">
      <c r="AA313" s="94"/>
      <c r="AB313" s="94"/>
    </row>
    <row r="314" spans="27:28">
      <c r="AA314" s="94"/>
      <c r="AB314" s="94"/>
    </row>
    <row r="315" spans="27:28">
      <c r="AA315" s="94"/>
      <c r="AB315" s="94"/>
    </row>
    <row r="316" spans="27:28">
      <c r="AA316" s="94"/>
      <c r="AB316" s="94"/>
    </row>
    <row r="317" spans="27:28">
      <c r="AA317" s="94"/>
      <c r="AB317" s="94"/>
    </row>
    <row r="318" spans="27:28">
      <c r="AA318" s="94"/>
      <c r="AB318" s="94"/>
    </row>
    <row r="319" spans="27:28">
      <c r="AA319" s="94"/>
      <c r="AB319" s="94"/>
    </row>
    <row r="320" spans="27:28">
      <c r="AA320" s="94"/>
      <c r="AB320" s="94"/>
    </row>
    <row r="321" spans="27:28">
      <c r="AA321" s="94"/>
      <c r="AB321" s="94"/>
    </row>
    <row r="322" spans="27:28">
      <c r="AA322" s="94"/>
      <c r="AB322" s="94"/>
    </row>
    <row r="323" spans="27:28">
      <c r="AA323" s="94"/>
      <c r="AB323" s="94"/>
    </row>
    <row r="324" spans="27:28">
      <c r="AA324" s="94"/>
      <c r="AB324" s="94"/>
    </row>
    <row r="325" spans="27:28">
      <c r="AA325" s="94"/>
      <c r="AB325" s="94"/>
    </row>
    <row r="326" spans="27:28">
      <c r="AA326" s="94"/>
      <c r="AB326" s="94"/>
    </row>
    <row r="327" spans="27:28">
      <c r="AA327" s="94"/>
      <c r="AB327" s="94"/>
    </row>
    <row r="328" spans="27:28">
      <c r="AA328" s="94"/>
      <c r="AB328" s="94"/>
    </row>
    <row r="329" spans="27:28">
      <c r="AA329" s="94"/>
      <c r="AB329" s="94"/>
    </row>
    <row r="330" spans="27:28">
      <c r="AA330" s="94"/>
      <c r="AB330" s="94"/>
    </row>
    <row r="331" spans="27:28">
      <c r="AA331" s="94"/>
      <c r="AB331" s="94"/>
    </row>
    <row r="332" spans="27:28">
      <c r="AA332" s="94"/>
      <c r="AB332" s="94"/>
    </row>
    <row r="333" spans="27:28">
      <c r="AA333" s="94"/>
      <c r="AB333" s="94"/>
    </row>
    <row r="334" spans="27:28">
      <c r="AA334" s="94"/>
      <c r="AB334" s="94"/>
    </row>
    <row r="335" spans="27:28">
      <c r="AA335" s="94"/>
      <c r="AB335" s="94"/>
    </row>
    <row r="336" spans="27:28">
      <c r="AA336" s="94"/>
      <c r="AB336" s="94"/>
    </row>
    <row r="337" spans="27:28">
      <c r="AA337" s="94"/>
      <c r="AB337" s="94"/>
    </row>
    <row r="338" spans="27:28">
      <c r="AA338" s="94"/>
      <c r="AB338" s="94"/>
    </row>
    <row r="339" spans="27:28">
      <c r="AA339" s="94"/>
      <c r="AB339" s="94"/>
    </row>
    <row r="340" spans="27:28">
      <c r="AA340" s="94"/>
      <c r="AB340" s="94"/>
    </row>
    <row r="341" spans="27:28">
      <c r="AA341" s="94"/>
      <c r="AB341" s="94"/>
    </row>
    <row r="342" spans="27:28">
      <c r="AA342" s="94"/>
      <c r="AB342" s="94"/>
    </row>
    <row r="343" spans="27:28">
      <c r="AA343" s="94"/>
      <c r="AB343" s="94"/>
    </row>
    <row r="344" spans="27:28">
      <c r="AA344" s="94"/>
      <c r="AB344" s="94"/>
    </row>
    <row r="345" spans="27:28">
      <c r="AA345" s="94"/>
      <c r="AB345" s="94"/>
    </row>
    <row r="346" spans="27:28">
      <c r="AA346" s="94"/>
      <c r="AB346" s="94"/>
    </row>
    <row r="347" spans="27:28">
      <c r="AA347" s="94"/>
      <c r="AB347" s="94"/>
    </row>
    <row r="348" spans="27:28">
      <c r="AA348" s="94"/>
      <c r="AB348" s="94"/>
    </row>
    <row r="349" spans="27:28">
      <c r="AA349" s="94"/>
      <c r="AB349" s="94"/>
    </row>
    <row r="350" spans="27:28">
      <c r="AA350" s="94"/>
      <c r="AB350" s="94"/>
    </row>
    <row r="351" spans="27:28">
      <c r="AA351" s="94"/>
      <c r="AB351" s="94"/>
    </row>
    <row r="352" spans="27:28">
      <c r="AA352" s="94"/>
      <c r="AB352" s="94"/>
    </row>
    <row r="353" spans="27:28">
      <c r="AA353" s="94"/>
      <c r="AB353" s="94"/>
    </row>
    <row r="354" spans="27:28">
      <c r="AA354" s="94"/>
      <c r="AB354" s="94"/>
    </row>
    <row r="355" spans="27:28">
      <c r="AA355" s="94"/>
      <c r="AB355" s="94"/>
    </row>
    <row r="356" spans="27:28">
      <c r="AA356" s="94"/>
      <c r="AB356" s="94"/>
    </row>
    <row r="357" spans="27:28">
      <c r="AA357" s="94"/>
      <c r="AB357" s="94"/>
    </row>
    <row r="358" spans="27:28">
      <c r="AA358" s="94"/>
      <c r="AB358" s="94"/>
    </row>
    <row r="359" spans="27:28">
      <c r="AA359" s="94"/>
      <c r="AB359" s="94"/>
    </row>
    <row r="360" spans="27:28">
      <c r="AA360" s="94"/>
      <c r="AB360" s="94"/>
    </row>
    <row r="361" spans="27:28">
      <c r="AA361" s="94"/>
      <c r="AB361" s="94"/>
    </row>
    <row r="362" spans="27:28">
      <c r="AA362" s="94"/>
      <c r="AB362" s="94"/>
    </row>
    <row r="363" spans="27:28">
      <c r="AA363" s="94"/>
      <c r="AB363" s="94"/>
    </row>
    <row r="364" spans="27:28">
      <c r="AA364" s="94"/>
      <c r="AB364" s="94"/>
    </row>
    <row r="365" spans="27:28">
      <c r="AA365" s="94"/>
      <c r="AB365" s="94"/>
    </row>
    <row r="366" spans="27:28">
      <c r="AA366" s="94"/>
      <c r="AB366" s="94"/>
    </row>
    <row r="367" spans="27:28">
      <c r="AA367" s="94"/>
      <c r="AB367" s="94"/>
    </row>
    <row r="368" spans="27:28">
      <c r="AA368" s="94"/>
      <c r="AB368" s="94"/>
    </row>
    <row r="369" spans="27:28">
      <c r="AA369" s="94"/>
      <c r="AB369" s="94"/>
    </row>
    <row r="370" spans="27:28">
      <c r="AA370" s="94"/>
      <c r="AB370" s="94"/>
    </row>
    <row r="371" spans="27:28">
      <c r="AA371" s="94"/>
      <c r="AB371" s="94"/>
    </row>
    <row r="372" spans="27:28">
      <c r="AA372" s="94"/>
      <c r="AB372" s="94"/>
    </row>
    <row r="373" spans="27:28">
      <c r="AA373" s="94"/>
      <c r="AB373" s="94"/>
    </row>
    <row r="374" spans="27:28">
      <c r="AA374" s="94"/>
      <c r="AB374" s="94"/>
    </row>
    <row r="375" spans="27:28">
      <c r="AA375" s="94"/>
      <c r="AB375" s="94"/>
    </row>
    <row r="376" spans="27:28">
      <c r="AA376" s="94"/>
      <c r="AB376" s="94"/>
    </row>
    <row r="377" spans="27:28">
      <c r="AA377" s="94"/>
      <c r="AB377" s="94"/>
    </row>
    <row r="378" spans="27:28">
      <c r="AA378" s="94"/>
      <c r="AB378" s="94"/>
    </row>
    <row r="379" spans="27:28">
      <c r="AA379" s="94"/>
      <c r="AB379" s="94"/>
    </row>
    <row r="380" spans="27:28">
      <c r="AA380" s="94"/>
      <c r="AB380" s="94"/>
    </row>
    <row r="381" spans="27:28">
      <c r="AA381" s="94"/>
      <c r="AB381" s="94"/>
    </row>
    <row r="382" spans="27:28">
      <c r="AA382" s="94"/>
      <c r="AB382" s="94"/>
    </row>
    <row r="383" spans="27:28">
      <c r="AA383" s="94"/>
      <c r="AB383" s="94"/>
    </row>
    <row r="384" spans="27:28">
      <c r="AA384" s="94"/>
      <c r="AB384" s="94"/>
    </row>
    <row r="385" spans="27:28">
      <c r="AA385" s="94"/>
      <c r="AB385" s="94"/>
    </row>
    <row r="386" spans="27:28">
      <c r="AA386" s="94"/>
      <c r="AB386" s="94"/>
    </row>
  </sheetData>
  <phoneticPr fontId="24" type="noConversion"/>
  <hyperlinks>
    <hyperlink ref="C1" location="Index!A1" display="Back" xr:uid="{00000000-0004-0000-0700-000000000000}"/>
  </hyperlinks>
  <pageMargins left="0.7" right="0.7" top="0.75" bottom="0.75" header="0.3" footer="0.3"/>
  <pageSetup orientation="portrait" r:id="rId1"/>
  <ignoredErrors>
    <ignoredError sqref="G2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C1" sqref="C1"/>
    </sheetView>
  </sheetViews>
  <sheetFormatPr defaultRowHeight="14.4"/>
  <cols>
    <col min="1" max="1" width="17.88671875" bestFit="1" customWidth="1"/>
    <col min="2" max="2" width="14.6640625" bestFit="1" customWidth="1"/>
    <col min="3" max="5" width="13.6640625" customWidth="1"/>
  </cols>
  <sheetData>
    <row r="1" spans="1:5">
      <c r="A1" t="s">
        <v>25</v>
      </c>
      <c r="B1" s="34">
        <v>45711</v>
      </c>
      <c r="C1" s="29" t="s">
        <v>26</v>
      </c>
    </row>
    <row r="2" spans="1:5">
      <c r="A2" t="s">
        <v>2</v>
      </c>
      <c r="B2" s="10" t="s">
        <v>27</v>
      </c>
    </row>
    <row r="3" spans="1:5">
      <c r="B3" s="10"/>
    </row>
    <row r="4" spans="1:5">
      <c r="B4" s="10"/>
    </row>
    <row r="5" spans="1:5" ht="15" thickBot="1">
      <c r="A5" s="13" t="s">
        <v>901</v>
      </c>
    </row>
    <row r="6" spans="1:5" ht="45" customHeight="1" thickBot="1">
      <c r="A6" s="322" t="s">
        <v>902</v>
      </c>
      <c r="B6" s="323"/>
      <c r="C6" s="323"/>
      <c r="D6" s="323"/>
      <c r="E6" s="324"/>
    </row>
    <row r="7" spans="1:5" ht="45" customHeight="1">
      <c r="A7" s="27" t="s">
        <v>903</v>
      </c>
      <c r="B7" s="31" t="s">
        <v>904</v>
      </c>
      <c r="C7" s="320" t="s">
        <v>905</v>
      </c>
      <c r="D7" s="320"/>
      <c r="E7" s="321"/>
    </row>
    <row r="8" spans="1:5" ht="45" customHeight="1">
      <c r="A8" s="32" t="s">
        <v>906</v>
      </c>
      <c r="B8" s="12" t="s">
        <v>904</v>
      </c>
      <c r="C8" s="325" t="s">
        <v>905</v>
      </c>
      <c r="D8" s="325"/>
      <c r="E8" s="326"/>
    </row>
    <row r="9" spans="1:5" ht="45" customHeight="1">
      <c r="A9" s="32" t="s">
        <v>907</v>
      </c>
      <c r="B9" s="12" t="s">
        <v>904</v>
      </c>
      <c r="C9" s="325" t="s">
        <v>905</v>
      </c>
      <c r="D9" s="325"/>
      <c r="E9" s="326"/>
    </row>
    <row r="10" spans="1:5" ht="45" customHeight="1" thickBot="1">
      <c r="A10" s="33" t="s">
        <v>908</v>
      </c>
      <c r="B10" s="15" t="s">
        <v>904</v>
      </c>
      <c r="C10" s="327" t="s">
        <v>905</v>
      </c>
      <c r="D10" s="327"/>
      <c r="E10" s="328"/>
    </row>
  </sheetData>
  <mergeCells count="5">
    <mergeCell ref="C7:E7"/>
    <mergeCell ref="A6:E6"/>
    <mergeCell ref="C8:E8"/>
    <mergeCell ref="C9:E9"/>
    <mergeCell ref="C10:E10"/>
  </mergeCells>
  <hyperlinks>
    <hyperlink ref="C1" location="Index!A1" display="Back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selection activeCell="J15" sqref="J15"/>
    </sheetView>
  </sheetViews>
  <sheetFormatPr defaultRowHeight="14.4"/>
  <cols>
    <col min="1" max="1" width="18.109375" customWidth="1"/>
    <col min="2" max="2" width="9.6640625" bestFit="1" customWidth="1"/>
    <col min="3" max="3" width="9.109375" customWidth="1"/>
  </cols>
  <sheetData>
    <row r="1" spans="1:7">
      <c r="A1" t="s">
        <v>25</v>
      </c>
      <c r="B1" s="34">
        <v>45721</v>
      </c>
      <c r="C1" s="29" t="s">
        <v>26</v>
      </c>
    </row>
    <row r="2" spans="1:7">
      <c r="A2" t="s">
        <v>2</v>
      </c>
      <c r="B2" s="10" t="s">
        <v>27</v>
      </c>
    </row>
    <row r="5" spans="1:7">
      <c r="A5" s="26" t="s">
        <v>901</v>
      </c>
      <c r="B5" s="20">
        <v>1801</v>
      </c>
    </row>
    <row r="6" spans="1:7" ht="15" customHeight="1">
      <c r="A6" s="329" t="s">
        <v>909</v>
      </c>
      <c r="B6" s="330"/>
      <c r="C6" s="331"/>
      <c r="D6" s="331"/>
      <c r="E6" s="331"/>
      <c r="F6" s="331"/>
      <c r="G6" s="331"/>
    </row>
    <row r="7" spans="1:7" ht="15" customHeight="1">
      <c r="A7" s="330"/>
      <c r="B7" s="330"/>
      <c r="C7" s="331"/>
      <c r="D7" s="331"/>
      <c r="E7" s="331"/>
      <c r="F7" s="331"/>
      <c r="G7" s="331"/>
    </row>
    <row r="8" spans="1:7" ht="15" customHeight="1">
      <c r="A8" s="330"/>
      <c r="B8" s="330"/>
      <c r="C8" s="331"/>
      <c r="D8" s="331"/>
      <c r="E8" s="331"/>
      <c r="F8" s="331"/>
      <c r="G8" s="331"/>
    </row>
    <row r="9" spans="1:7" ht="15" customHeight="1">
      <c r="A9" s="330"/>
      <c r="B9" s="330"/>
      <c r="C9" s="331"/>
      <c r="D9" s="331"/>
      <c r="E9" s="331"/>
      <c r="F9" s="331"/>
      <c r="G9" s="331"/>
    </row>
    <row r="11" spans="1:7" ht="15" customHeight="1"/>
  </sheetData>
  <mergeCells count="1">
    <mergeCell ref="A6:G9"/>
  </mergeCells>
  <hyperlinks>
    <hyperlink ref="C1" location="Index!A1" display="Back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"/>
  <sheetViews>
    <sheetView workbookViewId="0">
      <selection activeCell="O28" sqref="O28"/>
    </sheetView>
  </sheetViews>
  <sheetFormatPr defaultRowHeight="14.4"/>
  <cols>
    <col min="1" max="1" width="18.109375" customWidth="1"/>
    <col min="2" max="2" width="11.5546875" customWidth="1"/>
    <col min="3" max="13" width="8.6640625" customWidth="1"/>
  </cols>
  <sheetData>
    <row r="1" spans="1:14">
      <c r="A1" t="s">
        <v>25</v>
      </c>
      <c r="B1" s="34">
        <v>45859</v>
      </c>
      <c r="C1" s="29" t="s">
        <v>26</v>
      </c>
    </row>
    <row r="2" spans="1:14">
      <c r="A2" t="s">
        <v>2</v>
      </c>
      <c r="B2" s="10" t="s">
        <v>27</v>
      </c>
    </row>
    <row r="3" spans="1:14" ht="15.75" customHeight="1">
      <c r="A3" t="s">
        <v>910</v>
      </c>
      <c r="B3" s="7" t="s">
        <v>911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4" ht="15" thickBo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ht="15" thickBot="1">
      <c r="B5" s="332" t="s">
        <v>1431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4"/>
    </row>
    <row r="6" spans="1:14">
      <c r="A6" s="173" t="s">
        <v>912</v>
      </c>
      <c r="B6" s="172" t="s">
        <v>913</v>
      </c>
      <c r="C6" s="165" t="s">
        <v>914</v>
      </c>
      <c r="D6" s="165" t="s">
        <v>915</v>
      </c>
      <c r="E6" s="165" t="s">
        <v>916</v>
      </c>
      <c r="F6" s="165" t="s">
        <v>917</v>
      </c>
      <c r="G6" s="165" t="s">
        <v>918</v>
      </c>
      <c r="H6" s="165" t="s">
        <v>919</v>
      </c>
      <c r="I6" s="165" t="s">
        <v>920</v>
      </c>
      <c r="J6" s="165" t="s">
        <v>921</v>
      </c>
      <c r="K6" s="165" t="s">
        <v>922</v>
      </c>
      <c r="L6" s="175" t="s">
        <v>923</v>
      </c>
      <c r="M6" s="166" t="s">
        <v>924</v>
      </c>
      <c r="N6" s="174" t="s">
        <v>925</v>
      </c>
    </row>
    <row r="7" spans="1:14">
      <c r="A7" s="167">
        <v>2025</v>
      </c>
      <c r="B7" s="109">
        <v>3.1245888113117326</v>
      </c>
      <c r="C7" s="109">
        <v>2.9082924127881706</v>
      </c>
      <c r="D7" s="109">
        <v>2.7184180376442191</v>
      </c>
      <c r="E7" s="109">
        <v>2.7921720807497068</v>
      </c>
      <c r="F7" s="109">
        <v>2.8874513940810389</v>
      </c>
      <c r="G7" s="109">
        <v>2.9540663797407096</v>
      </c>
      <c r="H7" s="109">
        <v>2.8656950557579086</v>
      </c>
      <c r="I7" s="109">
        <v>2.9021233216115325</v>
      </c>
      <c r="J7" s="109">
        <v>2.9143290028271918</v>
      </c>
      <c r="K7" s="109">
        <v>3.0189807991077178</v>
      </c>
      <c r="L7" s="109">
        <v>3.0033759301591134</v>
      </c>
      <c r="M7" s="109">
        <v>3.1702507742209525</v>
      </c>
      <c r="N7" s="168">
        <f t="shared" ref="N7:N14" si="0">AVERAGE(B7:M7)</f>
        <v>2.9383119999999998</v>
      </c>
    </row>
    <row r="8" spans="1:14">
      <c r="A8" s="167">
        <v>2026</v>
      </c>
      <c r="B8" s="109">
        <v>3.0206578170968394</v>
      </c>
      <c r="C8" s="109">
        <v>2.8115559331482101</v>
      </c>
      <c r="D8" s="109">
        <v>2.6279972154479525</v>
      </c>
      <c r="E8" s="109">
        <v>2.6992980298279288</v>
      </c>
      <c r="F8" s="109">
        <v>2.7914081345495427</v>
      </c>
      <c r="G8" s="109">
        <v>2.8558073529171604</v>
      </c>
      <c r="H8" s="109">
        <v>2.7703754619657928</v>
      </c>
      <c r="I8" s="109">
        <v>2.805592040101025</v>
      </c>
      <c r="J8" s="109">
        <v>2.8173917323496815</v>
      </c>
      <c r="K8" s="109">
        <v>2.9185625697294926</v>
      </c>
      <c r="L8" s="109">
        <v>2.903476754532393</v>
      </c>
      <c r="M8" s="109">
        <v>3.0648009583339793</v>
      </c>
      <c r="N8" s="168">
        <f t="shared" si="0"/>
        <v>2.8405769999999997</v>
      </c>
    </row>
    <row r="9" spans="1:14">
      <c r="A9" s="167">
        <v>2027</v>
      </c>
      <c r="B9" s="109">
        <v>2.9374481545775657</v>
      </c>
      <c r="C9" s="109">
        <v>2.7341063726494403</v>
      </c>
      <c r="D9" s="109">
        <v>2.5556041227377082</v>
      </c>
      <c r="E9" s="109">
        <v>2.6249408229872038</v>
      </c>
      <c r="F9" s="109">
        <v>2.7145135828016524</v>
      </c>
      <c r="G9" s="109">
        <v>2.77713880439395</v>
      </c>
      <c r="H9" s="109">
        <v>2.6940602944757508</v>
      </c>
      <c r="I9" s="109">
        <v>2.7283067661775</v>
      </c>
      <c r="J9" s="109">
        <v>2.7397814138599412</v>
      </c>
      <c r="K9" s="109">
        <v>2.838165311524993</v>
      </c>
      <c r="L9" s="109">
        <v>2.8234950632895908</v>
      </c>
      <c r="M9" s="109">
        <v>2.9803752905247012</v>
      </c>
      <c r="N9" s="168">
        <f t="shared" si="0"/>
        <v>2.7623279999999997</v>
      </c>
    </row>
    <row r="10" spans="1:14">
      <c r="A10" s="167">
        <v>2028</v>
      </c>
      <c r="B10" s="109">
        <v>3.1185061870020263</v>
      </c>
      <c r="C10" s="109">
        <v>2.9026308517962991</v>
      </c>
      <c r="D10" s="109">
        <v>2.7131261043249104</v>
      </c>
      <c r="E10" s="109">
        <v>2.7867365707351515</v>
      </c>
      <c r="F10" s="109">
        <v>2.8818304042153802</v>
      </c>
      <c r="G10" s="109">
        <v>2.9483157107538505</v>
      </c>
      <c r="H10" s="109">
        <v>2.8601164188674302</v>
      </c>
      <c r="I10" s="109">
        <v>2.8964737699643224</v>
      </c>
      <c r="J10" s="109">
        <v>2.9086556904300842</v>
      </c>
      <c r="K10" s="109">
        <v>3.0131037614851319</v>
      </c>
      <c r="L10" s="109">
        <v>2.997529270471337</v>
      </c>
      <c r="M10" s="109">
        <v>3.164079259954073</v>
      </c>
      <c r="N10" s="168">
        <f t="shared" si="0"/>
        <v>2.9325920000000001</v>
      </c>
    </row>
    <row r="11" spans="1:14">
      <c r="A11" s="167">
        <v>2029</v>
      </c>
      <c r="B11" s="109">
        <v>3.365123637489027</v>
      </c>
      <c r="C11" s="109">
        <v>3.1321764667315981</v>
      </c>
      <c r="D11" s="109">
        <v>2.927685320364684</v>
      </c>
      <c r="E11" s="109">
        <v>3.0071170436417276</v>
      </c>
      <c r="F11" s="109">
        <v>3.1097310798612283</v>
      </c>
      <c r="G11" s="109">
        <v>3.1814741719579591</v>
      </c>
      <c r="H11" s="109">
        <v>3.0862999109050677</v>
      </c>
      <c r="I11" s="109">
        <v>3.1255324710592158</v>
      </c>
      <c r="J11" s="109">
        <v>3.1386777611600363</v>
      </c>
      <c r="K11" s="109">
        <v>3.2513857860029729</v>
      </c>
      <c r="L11" s="109">
        <v>3.2345796343683126</v>
      </c>
      <c r="M11" s="109">
        <v>3.4143007164581651</v>
      </c>
      <c r="N11" s="168">
        <f t="shared" si="0"/>
        <v>3.164507</v>
      </c>
    </row>
    <row r="12" spans="1:14">
      <c r="A12" s="167">
        <v>2030</v>
      </c>
      <c r="B12" s="109">
        <v>3.6498383079969288</v>
      </c>
      <c r="C12" s="109">
        <v>3.3971820614037491</v>
      </c>
      <c r="D12" s="109">
        <v>3.175389432050884</v>
      </c>
      <c r="E12" s="109">
        <v>3.2615416742024061</v>
      </c>
      <c r="F12" s="109">
        <v>3.3728376266481765</v>
      </c>
      <c r="G12" s="109">
        <v>3.4506507218199745</v>
      </c>
      <c r="H12" s="109">
        <v>3.3474240052570901</v>
      </c>
      <c r="I12" s="109">
        <v>3.3899759339221092</v>
      </c>
      <c r="J12" s="109">
        <v>3.4042334140471211</v>
      </c>
      <c r="K12" s="109">
        <v>3.5264773821758433</v>
      </c>
      <c r="L12" s="109">
        <v>3.5082493042048486</v>
      </c>
      <c r="M12" s="109">
        <v>3.7031761362708644</v>
      </c>
      <c r="N12" s="168">
        <f t="shared" si="0"/>
        <v>3.4322479999999991</v>
      </c>
    </row>
    <row r="13" spans="1:14">
      <c r="A13" s="167">
        <v>2031</v>
      </c>
      <c r="B13" s="109">
        <v>3.902025825989917</v>
      </c>
      <c r="C13" s="109">
        <v>3.6319121617368499</v>
      </c>
      <c r="D13" s="109">
        <v>3.3947946527631294</v>
      </c>
      <c r="E13" s="109">
        <v>3.4868996298810528</v>
      </c>
      <c r="F13" s="109">
        <v>3.605885635321354</v>
      </c>
      <c r="G13" s="109">
        <v>3.6890752676662455</v>
      </c>
      <c r="H13" s="109">
        <v>3.578716046251428</v>
      </c>
      <c r="I13" s="109">
        <v>3.6242081230463885</v>
      </c>
      <c r="J13" s="109">
        <v>3.6394507313393207</v>
      </c>
      <c r="K13" s="109">
        <v>3.7701412114256962</v>
      </c>
      <c r="L13" s="109">
        <v>3.7506536547180089</v>
      </c>
      <c r="M13" s="109">
        <v>3.9590490598606065</v>
      </c>
      <c r="N13" s="168">
        <f t="shared" si="0"/>
        <v>3.6694009999999992</v>
      </c>
    </row>
    <row r="14" spans="1:14" ht="15" thickBot="1">
      <c r="A14" s="169">
        <v>2032</v>
      </c>
      <c r="B14" s="170">
        <v>4.5735858320324443</v>
      </c>
      <c r="C14" s="170">
        <v>4.2569841274415259</v>
      </c>
      <c r="D14" s="170">
        <v>3.979057397088861</v>
      </c>
      <c r="E14" s="170">
        <v>4.0870141449915574</v>
      </c>
      <c r="F14" s="170">
        <v>4.2264782933493761</v>
      </c>
      <c r="G14" s="170">
        <v>4.3239853168371205</v>
      </c>
      <c r="H14" s="170">
        <v>4.1946326692623463</v>
      </c>
      <c r="I14" s="170">
        <v>4.2479541815171711</v>
      </c>
      <c r="J14" s="170">
        <v>4.2658201261419961</v>
      </c>
      <c r="K14" s="170">
        <v>4.4190031533078731</v>
      </c>
      <c r="L14" s="170">
        <v>4.396161681407416</v>
      </c>
      <c r="M14" s="170">
        <v>4.6404230766223096</v>
      </c>
      <c r="N14" s="171">
        <f t="shared" si="0"/>
        <v>4.3009250000000003</v>
      </c>
    </row>
  </sheetData>
  <mergeCells count="1">
    <mergeCell ref="B5:M5"/>
  </mergeCells>
  <hyperlinks>
    <hyperlink ref="C1" location="Index!A1" display="Back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C23" sqref="C23"/>
    </sheetView>
  </sheetViews>
  <sheetFormatPr defaultRowHeight="14.4"/>
  <cols>
    <col min="1" max="1" width="17.88671875" bestFit="1" customWidth="1"/>
    <col min="2" max="2" width="15.109375" customWidth="1"/>
  </cols>
  <sheetData>
    <row r="1" spans="1:3">
      <c r="A1" t="s">
        <v>25</v>
      </c>
      <c r="B1" s="34">
        <v>45839</v>
      </c>
      <c r="C1" s="29" t="s">
        <v>26</v>
      </c>
    </row>
    <row r="2" spans="1:3">
      <c r="A2" t="s">
        <v>2</v>
      </c>
      <c r="B2" s="10" t="s">
        <v>27</v>
      </c>
    </row>
    <row r="3" spans="1:3">
      <c r="A3" t="s">
        <v>910</v>
      </c>
      <c r="B3" t="s">
        <v>926</v>
      </c>
    </row>
    <row r="5" spans="1:3" ht="15" thickBot="1"/>
    <row r="6" spans="1:3">
      <c r="A6" s="227" t="s">
        <v>927</v>
      </c>
      <c r="B6" s="112" t="s">
        <v>928</v>
      </c>
    </row>
    <row r="7" spans="1:3">
      <c r="A7" s="228" t="s">
        <v>929</v>
      </c>
      <c r="B7" s="110">
        <v>166</v>
      </c>
    </row>
    <row r="8" spans="1:3">
      <c r="A8" s="228" t="s">
        <v>930</v>
      </c>
      <c r="B8" s="110">
        <v>0</v>
      </c>
    </row>
    <row r="9" spans="1:3" ht="15" thickBot="1">
      <c r="A9" s="229" t="s">
        <v>931</v>
      </c>
      <c r="B9" s="111">
        <v>0</v>
      </c>
    </row>
  </sheetData>
  <hyperlinks>
    <hyperlink ref="C1" location="Index!A1" display="Back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tabSelected="1" zoomScaleNormal="100" workbookViewId="0">
      <selection activeCell="I18" sqref="I18"/>
    </sheetView>
  </sheetViews>
  <sheetFormatPr defaultRowHeight="14.4"/>
  <cols>
    <col min="1" max="1" width="24.109375" bestFit="1" customWidth="1"/>
    <col min="2" max="2" width="11.44140625" customWidth="1"/>
    <col min="3" max="3" width="9.109375" customWidth="1"/>
  </cols>
  <sheetData>
    <row r="1" spans="1:3">
      <c r="A1" t="s">
        <v>25</v>
      </c>
      <c r="B1" s="34">
        <v>45839</v>
      </c>
      <c r="C1" s="29" t="s">
        <v>26</v>
      </c>
    </row>
    <row r="2" spans="1:3">
      <c r="A2" t="s">
        <v>2</v>
      </c>
      <c r="B2" s="10" t="s">
        <v>27</v>
      </c>
    </row>
    <row r="5" spans="1:3">
      <c r="A5" s="3" t="s">
        <v>1430</v>
      </c>
    </row>
    <row r="6" spans="1:3">
      <c r="A6" t="s">
        <v>932</v>
      </c>
      <c r="B6" s="10" t="s">
        <v>933</v>
      </c>
    </row>
    <row r="7" spans="1:3">
      <c r="A7" t="s">
        <v>1474</v>
      </c>
      <c r="B7" s="10"/>
    </row>
    <row r="8" spans="1:3">
      <c r="B8" s="10"/>
    </row>
    <row r="9" spans="1:3">
      <c r="A9" t="s">
        <v>934</v>
      </c>
    </row>
    <row r="14" spans="1:3">
      <c r="B14" s="22"/>
      <c r="C14" s="22"/>
    </row>
  </sheetData>
  <hyperlinks>
    <hyperlink ref="C1" location="Index!A1" display="Back" xr:uid="{00000000-0004-0000-0C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BD63C24B4204491F524BA1B3470F6" ma:contentTypeVersion="4" ma:contentTypeDescription="Create a new document." ma:contentTypeScope="" ma:versionID="78605d5d97d083aa47f06063e223faff">
  <xsd:schema xmlns:xsd="http://www.w3.org/2001/XMLSchema" xmlns:xs="http://www.w3.org/2001/XMLSchema" xmlns:p="http://schemas.microsoft.com/office/2006/metadata/properties" xmlns:ns2="55e4f016-3c75-44a6-9b06-d4609cfad88d" targetNamespace="http://schemas.microsoft.com/office/2006/metadata/properties" ma:root="true" ma:fieldsID="dfba32666a419c34eb28609658663621" ns2:_="">
    <xsd:import namespace="55e4f016-3c75-44a6-9b06-d4609cfad8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4f016-3c75-44a6-9b06-d4609cfad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517F9-8486-4366-A64B-6F0EE541F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e4f016-3c75-44a6-9b06-d4609cfad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ADEDE8-81E2-47A8-BEA1-A3158FF94290}">
  <ds:schemaRefs>
    <ds:schemaRef ds:uri="http://schemas.microsoft.com/office/2006/documentManagement/types"/>
    <ds:schemaRef ds:uri="55e4f016-3c75-44a6-9b06-d4609cfad88d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E73F726-CE70-4650-AE00-1E2D3A5101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Index</vt:lpstr>
      <vt:lpstr>Start Cases</vt:lpstr>
      <vt:lpstr>Recently Approved RPG Projects</vt:lpstr>
      <vt:lpstr>Model Updates &amp; Corrections</vt:lpstr>
      <vt:lpstr>Transmission &amp; Gen Outages</vt:lpstr>
      <vt:lpstr>Renewable Generation Dispatch</vt:lpstr>
      <vt:lpstr>Gen Add, Ret. and Mothball</vt:lpstr>
      <vt:lpstr>Switchable Generation</vt:lpstr>
      <vt:lpstr>DC Tie Modeling &amp; Dispatch</vt:lpstr>
      <vt:lpstr>Reserve Requirement</vt:lpstr>
      <vt:lpstr>Fuel Price Assumptions</vt:lpstr>
      <vt:lpstr>Emission Cost Assumptions</vt:lpstr>
      <vt:lpstr>Load Forecast Weather Year</vt:lpstr>
      <vt:lpstr>Load_Forecast__Economic__Weather_Year_Assumption</vt:lpstr>
    </vt:vector>
  </TitlesOfParts>
  <Manager/>
  <Company>The Electric Reliability Council of Texas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Borkar, Sandeep</dc:creator>
  <cp:keywords/>
  <dc:description/>
  <cp:lastModifiedBy>Du, Pengwei</cp:lastModifiedBy>
  <cp:revision/>
  <dcterms:created xsi:type="dcterms:W3CDTF">2016-10-04T14:07:58Z</dcterms:created>
  <dcterms:modified xsi:type="dcterms:W3CDTF">2025-12-19T16:39:54Z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2023-07-26T14:28:31Z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47524be8-1879-485f-9cd1-b7e565c6a5d1</vt:lpwstr>
  </property>
  <property fmtid="{D5CDD505-2E9C-101B-9397-08002B2CF9AE}" pid="8" name="MSIP_Label_7084cbda-52b8-46fb-a7b7-cb5bd465ed85_ContentBits">
    <vt:lpwstr>0</vt:lpwstr>
  </property>
  <property fmtid="{D5CDD505-2E9C-101B-9397-08002B2CF9AE}" pid="9" name="ContentTypeId">
    <vt:lpwstr>0x010100A4BBD63C24B4204491F524BA1B3470F6</vt:lpwstr>
  </property>
</Properties>
</file>