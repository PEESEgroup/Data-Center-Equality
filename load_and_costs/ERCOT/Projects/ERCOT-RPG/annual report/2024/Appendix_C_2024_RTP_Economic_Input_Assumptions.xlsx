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P:\2024 RTP\Economics\"/>
    </mc:Choice>
  </mc:AlternateContent>
  <xr:revisionPtr revIDLastSave="0" documentId="13_ncr:1_{4123CBCD-DFF0-4DEC-9070-7F5F4D424463}" xr6:coauthVersionLast="47" xr6:coauthVersionMax="47" xr10:uidLastSave="{00000000-0000-0000-0000-000000000000}"/>
  <bookViews>
    <workbookView xWindow="-120" yWindow="-120" windowWidth="29040" windowHeight="15720" tabRatio="928" activeTab="3" xr2:uid="{00000000-000D-0000-FFFF-FFFF00000000}"/>
  </bookViews>
  <sheets>
    <sheet name="Index" sheetId="1" r:id="rId1"/>
    <sheet name="Start Cases" sheetId="25" r:id="rId2"/>
    <sheet name="Recently Approved RPG Projects" sheetId="22" r:id="rId3"/>
    <sheet name="Model Updates &amp; Corrections" sheetId="5" r:id="rId4"/>
    <sheet name="Transmission &amp; Gen Outages" sheetId="6" r:id="rId5"/>
    <sheet name="Gen Add, Ret. and Mothball" sheetId="23" r:id="rId6"/>
    <sheet name="Renewable Generation Dispatch" sheetId="24" r:id="rId7"/>
    <sheet name="Switchable Generation" sheetId="9" r:id="rId8"/>
    <sheet name="DC Tie Modeling &amp; Dispatch" sheetId="10" r:id="rId9"/>
    <sheet name="Reserve Requirement" sheetId="11" r:id="rId10"/>
    <sheet name="Fuel Price Assumptions" sheetId="12" r:id="rId11"/>
    <sheet name="Emission Cost Assumptions" sheetId="13" r:id="rId12"/>
    <sheet name="Economic Case-Load Forecast" sheetId="15" r:id="rId13"/>
  </sheets>
  <externalReferences>
    <externalReference r:id="rId14"/>
    <externalReference r:id="rId15"/>
  </externalReferences>
  <definedNames>
    <definedName name="_xlnm._FilterDatabase" localSheetId="5" hidden="1">'Gen Add, Ret. and Mothball'!$A$7:$K$117</definedName>
    <definedName name="_xlnm._FilterDatabase" localSheetId="3" hidden="1">'Model Updates &amp; Corrections'!$A$7:$E$27</definedName>
    <definedName name="_xlnm._FilterDatabase" localSheetId="2" hidden="1">'Recently Approved RPG Projects'!$A$5:$F$28</definedName>
    <definedName name="Load_Forecast__Economic__Weather_Year_Assumption">Index!$B$16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8" i="12" l="1"/>
  <c r="N9" i="12"/>
  <c r="N10" i="12"/>
  <c r="N11" i="12"/>
  <c r="N12" i="12"/>
  <c r="N7" i="12"/>
  <c r="M12" i="12"/>
  <c r="L12" i="12"/>
  <c r="K12" i="12"/>
  <c r="J12" i="12"/>
  <c r="I12" i="12"/>
  <c r="H12" i="12"/>
  <c r="G12" i="12"/>
  <c r="F12" i="12"/>
  <c r="E12" i="12"/>
  <c r="D12" i="12"/>
  <c r="C12" i="12"/>
  <c r="B12" i="12"/>
  <c r="M11" i="12"/>
  <c r="L11" i="12"/>
  <c r="K11" i="12"/>
  <c r="J11" i="12"/>
  <c r="I11" i="12"/>
  <c r="H11" i="12"/>
  <c r="G11" i="12"/>
  <c r="F11" i="12"/>
  <c r="E11" i="12"/>
  <c r="D11" i="12"/>
  <c r="C11" i="12"/>
  <c r="B11" i="12"/>
  <c r="M10" i="12"/>
  <c r="L10" i="12"/>
  <c r="K10" i="12"/>
  <c r="J10" i="12"/>
  <c r="I10" i="12"/>
  <c r="H10" i="12"/>
  <c r="G10" i="12"/>
  <c r="F10" i="12"/>
  <c r="E10" i="12"/>
  <c r="D10" i="12"/>
  <c r="C10" i="12"/>
  <c r="B10" i="12"/>
  <c r="M9" i="12"/>
  <c r="L9" i="12"/>
  <c r="K9" i="12"/>
  <c r="J9" i="12"/>
  <c r="I9" i="12"/>
  <c r="H9" i="12"/>
  <c r="G9" i="12"/>
  <c r="F9" i="12"/>
  <c r="E9" i="12"/>
  <c r="D9" i="12"/>
  <c r="C9" i="12"/>
  <c r="B9" i="12"/>
  <c r="M8" i="12"/>
  <c r="L8" i="12"/>
  <c r="K8" i="12"/>
  <c r="J8" i="12"/>
  <c r="I8" i="12"/>
  <c r="H8" i="12"/>
  <c r="G8" i="12"/>
  <c r="F8" i="12"/>
  <c r="E8" i="12"/>
  <c r="D8" i="12"/>
  <c r="C8" i="12"/>
  <c r="B8" i="12"/>
  <c r="M7" i="12"/>
  <c r="L7" i="12"/>
  <c r="K7" i="12"/>
  <c r="J7" i="12"/>
  <c r="I7" i="12"/>
  <c r="H7" i="12"/>
  <c r="G7" i="12"/>
  <c r="F7" i="12"/>
  <c r="E7" i="12"/>
  <c r="D7" i="12"/>
  <c r="C7" i="12"/>
  <c r="B7" i="12"/>
  <c r="G26" i="9" l="1"/>
  <c r="H19" i="9"/>
  <c r="G19" i="9"/>
  <c r="C24" i="22"/>
  <c r="B24" i="22"/>
  <c r="C23" i="22"/>
  <c r="B23" i="22"/>
  <c r="C22" i="22"/>
  <c r="B22" i="22"/>
  <c r="C21" i="22"/>
  <c r="B21" i="22"/>
  <c r="C20" i="22"/>
  <c r="B20" i="22"/>
  <c r="C19" i="22"/>
  <c r="B19" i="22"/>
  <c r="C18" i="22"/>
  <c r="B18" i="22"/>
  <c r="C17" i="22"/>
  <c r="B17" i="22"/>
  <c r="C16" i="22"/>
  <c r="B16" i="22"/>
  <c r="C15" i="22"/>
  <c r="B15" i="22"/>
  <c r="C14" i="22"/>
  <c r="B14" i="22"/>
  <c r="C13" i="22"/>
  <c r="B13" i="22"/>
  <c r="C12" i="22"/>
  <c r="B12" i="22"/>
  <c r="C11" i="22"/>
  <c r="B11" i="22"/>
  <c r="C10" i="22"/>
  <c r="B10" i="22"/>
  <c r="C9" i="22"/>
  <c r="B9" i="22"/>
  <c r="C8" i="22"/>
  <c r="B8" i="22"/>
  <c r="C7" i="22"/>
  <c r="B7" i="22"/>
  <c r="C6" i="22"/>
  <c r="B6" i="22"/>
  <c r="C3" i="1" l="1"/>
  <c r="C4" i="1"/>
  <c r="C6" i="1"/>
  <c r="C14" i="1" l="1"/>
  <c r="C13" i="1"/>
  <c r="C12" i="1"/>
  <c r="C11" i="1"/>
  <c r="C10" i="1"/>
  <c r="C9" i="1"/>
  <c r="C8" i="1"/>
  <c r="C5" i="1"/>
  <c r="D13" i="1" l="1"/>
  <c r="D16" i="1" l="1"/>
  <c r="D12" i="1"/>
  <c r="D14" i="1" l="1"/>
  <c r="D11" i="1" l="1"/>
  <c r="D10" i="1"/>
  <c r="D9" i="1"/>
  <c r="D3" i="1"/>
  <c r="D6" i="1" l="1"/>
  <c r="D5" i="1" l="1"/>
  <c r="D8" i="1"/>
  <c r="D4" i="1" l="1"/>
  <c r="C16" i="1" l="1"/>
</calcChain>
</file>

<file path=xl/sharedStrings.xml><?xml version="1.0" encoding="utf-8"?>
<sst xmlns="http://schemas.openxmlformats.org/spreadsheetml/2006/main" count="1237" uniqueCount="549">
  <si>
    <t>Transmission Topology</t>
  </si>
  <si>
    <t>Start Cases</t>
  </si>
  <si>
    <t>3.1.3</t>
  </si>
  <si>
    <t>Transmission &amp; Generation Outages</t>
  </si>
  <si>
    <t>Generation</t>
  </si>
  <si>
    <t>3.2.1</t>
  </si>
  <si>
    <t>3.2.2</t>
  </si>
  <si>
    <t>3.2.3</t>
  </si>
  <si>
    <t>3.2.4</t>
  </si>
  <si>
    <t>3.2.5</t>
  </si>
  <si>
    <t>Reserve Requirements</t>
  </si>
  <si>
    <t>3.2.6</t>
  </si>
  <si>
    <t>Emission Cost Assumptions</t>
  </si>
  <si>
    <t>Demand</t>
  </si>
  <si>
    <t>RTP Scope Section Number</t>
  </si>
  <si>
    <t>Input Assumption</t>
  </si>
  <si>
    <t>Date Last Updated:</t>
  </si>
  <si>
    <t>Back</t>
  </si>
  <si>
    <t>Status</t>
  </si>
  <si>
    <t>Solar</t>
  </si>
  <si>
    <t>Wind</t>
  </si>
  <si>
    <t>Hydro</t>
  </si>
  <si>
    <t>UNIT NAME</t>
  </si>
  <si>
    <t>UNIT CODE</t>
  </si>
  <si>
    <t>COUNTY</t>
  </si>
  <si>
    <t>FUEL</t>
  </si>
  <si>
    <t>ZONE</t>
  </si>
  <si>
    <t>IN SERVICE</t>
  </si>
  <si>
    <t>Operational Resources (Switchable)</t>
  </si>
  <si>
    <t>Date</t>
  </si>
  <si>
    <t>DC_E</t>
  </si>
  <si>
    <t>DC_N</t>
  </si>
  <si>
    <t>Generation Additions, Retirements and Mothballs</t>
  </si>
  <si>
    <t>Transmission Changes</t>
  </si>
  <si>
    <t>TO</t>
  </si>
  <si>
    <t>Comments</t>
  </si>
  <si>
    <t>Generation Changes</t>
  </si>
  <si>
    <t>Source</t>
  </si>
  <si>
    <t xml:space="preserve">Switchable Generation </t>
  </si>
  <si>
    <t xml:space="preserve">SO2 </t>
  </si>
  <si>
    <t>$/ton</t>
  </si>
  <si>
    <t>CO2</t>
  </si>
  <si>
    <t>Weather year assumption</t>
  </si>
  <si>
    <t>Load forecast (economic)</t>
  </si>
  <si>
    <t>Average</t>
  </si>
  <si>
    <t xml:space="preserve">GINR Reference Number                     </t>
  </si>
  <si>
    <t>Project Name</t>
  </si>
  <si>
    <t>County</t>
  </si>
  <si>
    <t>Projected Date</t>
  </si>
  <si>
    <t>Fuel</t>
  </si>
  <si>
    <t xml:space="preserve">MW For Grid </t>
  </si>
  <si>
    <t>Changes From Last Report</t>
  </si>
  <si>
    <t>Meets Section 6.9 Requirements (1)(b) through (1)(d)</t>
  </si>
  <si>
    <t>Unit Name</t>
  </si>
  <si>
    <t>MW For Grid</t>
  </si>
  <si>
    <t>Year</t>
  </si>
  <si>
    <t>Emission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</si>
  <si>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</si>
  <si>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</si>
  <si>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</si>
  <si>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</si>
  <si>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</si>
  <si>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</si>
  <si>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</si>
  <si>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</si>
  <si>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</si>
  <si>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</si>
  <si>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</si>
  <si>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</si>
  <si>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Economic Analysis</t>
  </si>
  <si>
    <t>Phase Shifters</t>
  </si>
  <si>
    <t>X</t>
  </si>
  <si>
    <t>TDSP</t>
  </si>
  <si>
    <t>Approve Date</t>
  </si>
  <si>
    <t>Base</t>
  </si>
  <si>
    <t>Unit specific monthly capacity factors modeled based on historical dispatch levels during the last three years.</t>
  </si>
  <si>
    <t>The peak and hourly profile information will be posted along with the case information</t>
  </si>
  <si>
    <t>Outaged Element</t>
  </si>
  <si>
    <t>Associated TO/RE</t>
  </si>
  <si>
    <t>Notes</t>
  </si>
  <si>
    <t>Base: 2013</t>
  </si>
  <si>
    <t>Note that the 2013 weather scenario is the base weather scenario used as the starting point in the economic analysis.</t>
  </si>
  <si>
    <t>Recently Approved RPG Projects</t>
  </si>
  <si>
    <t>Model Updates/Corrections</t>
  </si>
  <si>
    <t>Renewable Generation Dispatch</t>
  </si>
  <si>
    <t>DC Tie Modeling and Dispatch</t>
  </si>
  <si>
    <t>Fuel Price Assumptions</t>
  </si>
  <si>
    <t>Load Forecast (Economic) Weather Year Assumption</t>
  </si>
  <si>
    <t>DC_L</t>
  </si>
  <si>
    <t>DC_R</t>
  </si>
  <si>
    <t>6.9(1) conditions met as of:</t>
  </si>
  <si>
    <t>Retired Units</t>
  </si>
  <si>
    <t>Mothballed Units</t>
  </si>
  <si>
    <t>Weather years used for analysis:</t>
  </si>
  <si>
    <t>DC Tie Dispatch - 8760-hour Assumptions</t>
  </si>
  <si>
    <t>Import + Export</t>
  </si>
  <si>
    <t>Mapped to hourly generation and demand profiles based on historical operational data.</t>
  </si>
  <si>
    <t>New generators that met PG 6.9(1) requirements</t>
  </si>
  <si>
    <t>http://www.ercot.com/gridinfo/resource</t>
  </si>
  <si>
    <t>INR</t>
  </si>
  <si>
    <t>Inactive Date</t>
  </si>
  <si>
    <t>MW</t>
  </si>
  <si>
    <t>PG 6.9(1) Inactive Projects</t>
  </si>
  <si>
    <t>PG 6.9(1) Cancelled Projects</t>
  </si>
  <si>
    <t>EIA AEO</t>
  </si>
  <si>
    <t>Final</t>
  </si>
  <si>
    <t>RPG Project ID</t>
  </si>
  <si>
    <t>CNP</t>
  </si>
  <si>
    <t>21INR0389</t>
  </si>
  <si>
    <t>22INR0366</t>
  </si>
  <si>
    <t>22INR0397</t>
  </si>
  <si>
    <t>Buckeye Corpus Fuels Solar</t>
  </si>
  <si>
    <t>Wharton</t>
  </si>
  <si>
    <t>Bosque</t>
  </si>
  <si>
    <t>Webb</t>
  </si>
  <si>
    <t>Hill</t>
  </si>
  <si>
    <t>Milam</t>
  </si>
  <si>
    <t>Bell</t>
  </si>
  <si>
    <t>Brazoria</t>
  </si>
  <si>
    <t>Lamar</t>
  </si>
  <si>
    <t>Navarro</t>
  </si>
  <si>
    <t>Falls</t>
  </si>
  <si>
    <t>Hopkins</t>
  </si>
  <si>
    <t>Val Verde</t>
  </si>
  <si>
    <t>Guadalupe</t>
  </si>
  <si>
    <t>Bexar</t>
  </si>
  <si>
    <t>Nueces</t>
  </si>
  <si>
    <t>Cameron</t>
  </si>
  <si>
    <t>Crockett</t>
  </si>
  <si>
    <t>Harris</t>
  </si>
  <si>
    <t>Hunt</t>
  </si>
  <si>
    <t>Pecos</t>
  </si>
  <si>
    <t>Kaufman</t>
  </si>
  <si>
    <t>Hidalgo</t>
  </si>
  <si>
    <t>Fort Bend</t>
  </si>
  <si>
    <t>GAS</t>
  </si>
  <si>
    <t>Automated maintenance schedules modeled by UPLAN</t>
  </si>
  <si>
    <t>City of Garland</t>
  </si>
  <si>
    <t>GEUS</t>
  </si>
  <si>
    <t>R MASSENGALE CTG 1 (LP&amp;L)</t>
  </si>
  <si>
    <t>R MASSENGALE CTG 2 (LP&amp;L)</t>
  </si>
  <si>
    <t>R MASSENGALE STG (LP&amp;L)</t>
  </si>
  <si>
    <t>TY COOKE CTG 1 (LP&amp;L)</t>
  </si>
  <si>
    <t>TY COOKE CTG 2 (LP&amp;L)</t>
  </si>
  <si>
    <t>22RPG047</t>
  </si>
  <si>
    <t>Nox (Seasonal)</t>
  </si>
  <si>
    <t>Spencer Unit 4</t>
  </si>
  <si>
    <t>Spencer Unit 5</t>
  </si>
  <si>
    <t>Powerlane Plant STG 1</t>
  </si>
  <si>
    <t>19INR0099b</t>
  </si>
  <si>
    <t>19INR0099a</t>
  </si>
  <si>
    <t>Kontiki 1 Wind (ERIK)</t>
  </si>
  <si>
    <t>Kontiki 2 Wind (ERNEST)</t>
  </si>
  <si>
    <t>WIND</t>
  </si>
  <si>
    <t>Glasscock</t>
  </si>
  <si>
    <t>Deer Park Shell Energy Unit 1</t>
  </si>
  <si>
    <t>Deer Park Shell Energy Unit 2</t>
  </si>
  <si>
    <t>Deer Park Shell Energy Unit 3</t>
  </si>
  <si>
    <t>Deer Park Shell Energy Unit 4</t>
  </si>
  <si>
    <t>Delilah Solar 3</t>
  </si>
  <si>
    <t>ANTELOPE IC 1</t>
  </si>
  <si>
    <t>ANTLP_G1</t>
  </si>
  <si>
    <t>HALE</t>
  </si>
  <si>
    <t>WEST</t>
  </si>
  <si>
    <t>ANTELOPE IC 2</t>
  </si>
  <si>
    <t>ANTLP_G2</t>
  </si>
  <si>
    <t>ANTELOPE IC 3</t>
  </si>
  <si>
    <t>ANTLP_G3</t>
  </si>
  <si>
    <t>ELK STATION CTG 1</t>
  </si>
  <si>
    <t>AEEC_ELK_1</t>
  </si>
  <si>
    <t>ELK STATION CTG 2</t>
  </si>
  <si>
    <t>AEEC_ELK_2</t>
  </si>
  <si>
    <t>TENASKA KIAMICHI STATION 2CT101</t>
  </si>
  <si>
    <t>KMCHI_2CT101</t>
  </si>
  <si>
    <t>FANNIN</t>
  </si>
  <si>
    <t>GAS-CC</t>
  </si>
  <si>
    <t>NORTH</t>
  </si>
  <si>
    <t>-</t>
  </si>
  <si>
    <t>Unavailable to ERCOT during summer 6/1-9/30</t>
  </si>
  <si>
    <t>2025/2026</t>
  </si>
  <si>
    <t>2027/2028</t>
  </si>
  <si>
    <t>Switchable Capacity Unavailable to ERCOT</t>
  </si>
  <si>
    <t>SWITCH_UNAVAIL</t>
  </si>
  <si>
    <t>EIA 2023 AEO Reference Case</t>
  </si>
  <si>
    <t>23INR0042</t>
  </si>
  <si>
    <t>23INR0060</t>
  </si>
  <si>
    <t>Delialh Solar 4</t>
  </si>
  <si>
    <t>SOLAR</t>
  </si>
  <si>
    <t>NSO posted</t>
  </si>
  <si>
    <t>Unavailable to ERCOT during winter 12/1-2/28</t>
  </si>
  <si>
    <t>Model Corrections/Updates Made to the 2022 RTP Cases</t>
  </si>
  <si>
    <t>Based on 2023 RTP final summer peak reliability cases for years 2026 and 2029</t>
  </si>
  <si>
    <t>21INR0505</t>
  </si>
  <si>
    <t xml:space="preserve">Ramsey Storage </t>
  </si>
  <si>
    <t>Other</t>
  </si>
  <si>
    <t>22INR0267</t>
  </si>
  <si>
    <t>Shaula II Solar</t>
  </si>
  <si>
    <t>DeWitt</t>
  </si>
  <si>
    <t>23INR0555</t>
  </si>
  <si>
    <t>Farmersville West BESS 1</t>
  </si>
  <si>
    <t>Collin</t>
  </si>
  <si>
    <t>22INR0251</t>
  </si>
  <si>
    <t>Shaula I Solar</t>
  </si>
  <si>
    <t>23INR0507</t>
  </si>
  <si>
    <t>Bay City BESS</t>
  </si>
  <si>
    <t>Matagorda</t>
  </si>
  <si>
    <t>23INR0483</t>
  </si>
  <si>
    <t>Rio Nogales CT1 Rotor Replacement</t>
  </si>
  <si>
    <t>Gas</t>
  </si>
  <si>
    <t>20INR0208</t>
  </si>
  <si>
    <t>Signal Solar</t>
  </si>
  <si>
    <t>23INR0367</t>
  </si>
  <si>
    <t>Fewell Solar</t>
  </si>
  <si>
    <t>Limestone</t>
  </si>
  <si>
    <t>23INR0554</t>
  </si>
  <si>
    <t>Hamilton BESS</t>
  </si>
  <si>
    <t>21INR0012</t>
  </si>
  <si>
    <t>Air Products GCA</t>
  </si>
  <si>
    <t>Galveston</t>
  </si>
  <si>
    <t>22INR0260</t>
  </si>
  <si>
    <t>Eliza Storage</t>
  </si>
  <si>
    <t>24INR0070</t>
  </si>
  <si>
    <t>Sypert Branch Solar Project</t>
  </si>
  <si>
    <t>24INR0265</t>
  </si>
  <si>
    <t>Ironman BESS</t>
  </si>
  <si>
    <t>23INR0565</t>
  </si>
  <si>
    <t>Garden City East BESS</t>
  </si>
  <si>
    <t>23INR0159</t>
  </si>
  <si>
    <t>Five Wells Storage</t>
  </si>
  <si>
    <t>23INR0515</t>
  </si>
  <si>
    <t>Santa Rosa BESS</t>
  </si>
  <si>
    <t>23INR0688</t>
  </si>
  <si>
    <t>Midway_BESS</t>
  </si>
  <si>
    <t>Ector</t>
  </si>
  <si>
    <t>22INR0422</t>
  </si>
  <si>
    <t>Ferdinand Grid BESS</t>
  </si>
  <si>
    <t>23INR0030</t>
  </si>
  <si>
    <t>Langer Solar</t>
  </si>
  <si>
    <t>23INR0543</t>
  </si>
  <si>
    <t>Continental BESS</t>
  </si>
  <si>
    <t>Starr</t>
  </si>
  <si>
    <t>23INR0514</t>
  </si>
  <si>
    <t>North Mercedes BESS</t>
  </si>
  <si>
    <t>21INR0511</t>
  </si>
  <si>
    <t>Wolf Ridge Repower</t>
  </si>
  <si>
    <t>Cooke</t>
  </si>
  <si>
    <t>23INR0508</t>
  </si>
  <si>
    <t>Los Fresnos BESS</t>
  </si>
  <si>
    <t>22INR0502</t>
  </si>
  <si>
    <t>Shamrock</t>
  </si>
  <si>
    <t>24INR0010</t>
  </si>
  <si>
    <t>Pinnington Solar</t>
  </si>
  <si>
    <t>Jack</t>
  </si>
  <si>
    <t>24INR0436</t>
  </si>
  <si>
    <t>Carambola BESS</t>
  </si>
  <si>
    <t>23INR0219</t>
  </si>
  <si>
    <t>Dogfish BESS</t>
  </si>
  <si>
    <t>21INR0515</t>
  </si>
  <si>
    <t>Roadrunner Crossing Wind II SLF</t>
  </si>
  <si>
    <t>Eastland</t>
  </si>
  <si>
    <t>25INR0223</t>
  </si>
  <si>
    <t>Uhland Maxwell</t>
  </si>
  <si>
    <t>Caldwell</t>
  </si>
  <si>
    <t>23INR0556</t>
  </si>
  <si>
    <t>IEP Orchard BESS</t>
  </si>
  <si>
    <t>24INR0273</t>
  </si>
  <si>
    <t>Al Pastor BESS</t>
  </si>
  <si>
    <t>Dawson</t>
  </si>
  <si>
    <t>23INR0509</t>
  </si>
  <si>
    <t>Garceno BESS</t>
  </si>
  <si>
    <t>22INR0261</t>
  </si>
  <si>
    <t>Dorado Solar</t>
  </si>
  <si>
    <t>Callahan</t>
  </si>
  <si>
    <t>19INR0054</t>
  </si>
  <si>
    <t>Monte Cristo 1 Wind</t>
  </si>
  <si>
    <t>24INR0586</t>
  </si>
  <si>
    <t>Judkins BESS</t>
  </si>
  <si>
    <t>23INR0296</t>
  </si>
  <si>
    <t>Trojan Solar</t>
  </si>
  <si>
    <t>24INR0138</t>
  </si>
  <si>
    <t>Midpoint Storage</t>
  </si>
  <si>
    <t>23INR0381</t>
  </si>
  <si>
    <t>Soportar ESS</t>
  </si>
  <si>
    <t>23INR0513</t>
  </si>
  <si>
    <t>Elsa BESS</t>
  </si>
  <si>
    <t>23INR0620</t>
  </si>
  <si>
    <t>Falfurrias BESS</t>
  </si>
  <si>
    <t>Brooks</t>
  </si>
  <si>
    <t>25INR0105</t>
  </si>
  <si>
    <t>Diver Solar</t>
  </si>
  <si>
    <t>23INR0523</t>
  </si>
  <si>
    <t>Damon_Storage</t>
  </si>
  <si>
    <t>25INR0328</t>
  </si>
  <si>
    <t>Longbow BESS</t>
  </si>
  <si>
    <t>22INR0555</t>
  </si>
  <si>
    <t>Guevara Storage</t>
  </si>
  <si>
    <t>Rockwall</t>
  </si>
  <si>
    <t>23INR0477</t>
  </si>
  <si>
    <t>North Alamo BESS</t>
  </si>
  <si>
    <t>23INR0470</t>
  </si>
  <si>
    <t>BoCo BESS</t>
  </si>
  <si>
    <t>Borden</t>
  </si>
  <si>
    <t>24INR0295</t>
  </si>
  <si>
    <t>Lucky Bluff BESS</t>
  </si>
  <si>
    <t>Erath</t>
  </si>
  <si>
    <t>23INR0331</t>
  </si>
  <si>
    <t>Talitha BESS</t>
  </si>
  <si>
    <t>Jim Wells</t>
  </si>
  <si>
    <t>24INR0587</t>
  </si>
  <si>
    <t>Lufkin South BESS</t>
  </si>
  <si>
    <t>Angelina</t>
  </si>
  <si>
    <t>24INR0139</t>
  </si>
  <si>
    <t>Midpoint Solar</t>
  </si>
  <si>
    <t>21INR0368</t>
  </si>
  <si>
    <t>Eliza Solar</t>
  </si>
  <si>
    <t>21INR0302</t>
  </si>
  <si>
    <t>Aureola Solar</t>
  </si>
  <si>
    <t>22INR0353</t>
  </si>
  <si>
    <t>Carina BESS</t>
  </si>
  <si>
    <t>20INR0248</t>
  </si>
  <si>
    <t>Second Division Solar</t>
  </si>
  <si>
    <t>23INR0387</t>
  </si>
  <si>
    <t>Pioneer DJ Wind</t>
  </si>
  <si>
    <t>Midland</t>
  </si>
  <si>
    <t>23INR0091</t>
  </si>
  <si>
    <t>Cascade Solar</t>
  </si>
  <si>
    <t>24INR0312</t>
  </si>
  <si>
    <t>Wigeon Whistle BESS</t>
  </si>
  <si>
    <t>24INR0281</t>
  </si>
  <si>
    <t>Red Egret BESS</t>
  </si>
  <si>
    <t>23INR0510</t>
  </si>
  <si>
    <t>Rio Grande City BESS</t>
  </si>
  <si>
    <t>24INR0614</t>
  </si>
  <si>
    <t>Russek Street BESS</t>
  </si>
  <si>
    <t>Reagan</t>
  </si>
  <si>
    <t>23INR0070</t>
  </si>
  <si>
    <t>Chillingham Solar</t>
  </si>
  <si>
    <t>24INR0397</t>
  </si>
  <si>
    <t>Destiny Storage</t>
  </si>
  <si>
    <t>21INR0379</t>
  </si>
  <si>
    <t>Ash Creek Solar</t>
  </si>
  <si>
    <t>24INR0632</t>
  </si>
  <si>
    <t>Cedro Hill Wind Repower</t>
  </si>
  <si>
    <t>23INR0403</t>
  </si>
  <si>
    <t>Connolly Storage</t>
  </si>
  <si>
    <t>Wise</t>
  </si>
  <si>
    <t>24INR0605</t>
  </si>
  <si>
    <t>TEXAS GULF SULPHUR REPOWER</t>
  </si>
  <si>
    <t>20INR0217</t>
  </si>
  <si>
    <t>CAROL wind</t>
  </si>
  <si>
    <t>Potter</t>
  </si>
  <si>
    <t>23INR0336</t>
  </si>
  <si>
    <t>Bypass Battery Storage</t>
  </si>
  <si>
    <t>22INR0354</t>
  </si>
  <si>
    <t>XE MURAT Solar</t>
  </si>
  <si>
    <t>25INR0232</t>
  </si>
  <si>
    <t>Isaac Solar</t>
  </si>
  <si>
    <t>24INR0141</t>
  </si>
  <si>
    <t>Gaia Solar</t>
  </si>
  <si>
    <t>24INR0140</t>
  </si>
  <si>
    <t>Gaia Storage</t>
  </si>
  <si>
    <t>24INR0329</t>
  </si>
  <si>
    <t>XE Murat Storage</t>
  </si>
  <si>
    <t>24INR0337</t>
  </si>
  <si>
    <t>Eldora Solar</t>
  </si>
  <si>
    <t>21INR0304</t>
  </si>
  <si>
    <t>Halo Solar</t>
  </si>
  <si>
    <t>24INR0039</t>
  </si>
  <si>
    <t>SP Jaguar BESS</t>
  </si>
  <si>
    <t>McLennan</t>
  </si>
  <si>
    <t>23INR0026</t>
  </si>
  <si>
    <t xml:space="preserve">Baker Branch Solar </t>
  </si>
  <si>
    <t>24INR0015</t>
  </si>
  <si>
    <t>Five Wells Solar</t>
  </si>
  <si>
    <t>23INR0349</t>
  </si>
  <si>
    <t>Tokio Solar</t>
  </si>
  <si>
    <t>26INR0042</t>
  </si>
  <si>
    <t>Valhalla Solar</t>
  </si>
  <si>
    <t>23INR0062</t>
  </si>
  <si>
    <t>Noria Storage</t>
  </si>
  <si>
    <t>24INR0109</t>
  </si>
  <si>
    <t>Oriana BESS</t>
  </si>
  <si>
    <t>Victoria</t>
  </si>
  <si>
    <t>LIBRA BESS</t>
  </si>
  <si>
    <t>23INR0511</t>
  </si>
  <si>
    <t>Mayberry BESS</t>
  </si>
  <si>
    <t>23INR0408</t>
  </si>
  <si>
    <t>TECO GTG2</t>
  </si>
  <si>
    <t>23INR0512</t>
  </si>
  <si>
    <t>West Harlingen BESS</t>
  </si>
  <si>
    <t>25INR0162</t>
  </si>
  <si>
    <t>SOHO II BESS</t>
  </si>
  <si>
    <t>23INR0418</t>
  </si>
  <si>
    <t>Angelo Storage</t>
  </si>
  <si>
    <t>Tom Green</t>
  </si>
  <si>
    <t>21INR0240</t>
  </si>
  <si>
    <t>La Casa Wind</t>
  </si>
  <si>
    <t>Stephens</t>
  </si>
  <si>
    <t>21INR0303</t>
  </si>
  <si>
    <t>Mandorla Solar</t>
  </si>
  <si>
    <t>Hollywood Solar</t>
  </si>
  <si>
    <t>14INR0033</t>
  </si>
  <si>
    <t>Goodnight Wind</t>
  </si>
  <si>
    <t>Armstrong</t>
  </si>
  <si>
    <t>19INR0203</t>
  </si>
  <si>
    <t>Angelo Solar</t>
  </si>
  <si>
    <t>23INR0114</t>
  </si>
  <si>
    <t>True North Solar</t>
  </si>
  <si>
    <t>23INR0525</t>
  </si>
  <si>
    <t>Pyron Wind Repower</t>
  </si>
  <si>
    <t>Nolan</t>
  </si>
  <si>
    <t>20INR0040</t>
  </si>
  <si>
    <t>Montgomery Ranch Wind</t>
  </si>
  <si>
    <t>Foard</t>
  </si>
  <si>
    <t>24INR0038</t>
  </si>
  <si>
    <t xml:space="preserve">SP Jaguar Solar </t>
  </si>
  <si>
    <t>23INR0460</t>
  </si>
  <si>
    <t>GULF STAR STORAGE</t>
  </si>
  <si>
    <t>21INR0450</t>
  </si>
  <si>
    <t>Danish Fields Storage</t>
  </si>
  <si>
    <t>24INR0338</t>
  </si>
  <si>
    <t>Eldora BESS</t>
  </si>
  <si>
    <t>21INR0424</t>
  </si>
  <si>
    <t>Tierra Bonita Solar</t>
  </si>
  <si>
    <t>20INR0210</t>
  </si>
  <si>
    <t>Hopkins Solar</t>
  </si>
  <si>
    <t>24INR0427</t>
  </si>
  <si>
    <t>CPS AvR CT1 Rotor Replacement</t>
  </si>
  <si>
    <t>21INR0325</t>
  </si>
  <si>
    <t xml:space="preserve">Sheep Creek Wind </t>
  </si>
  <si>
    <t>24INR0100</t>
  </si>
  <si>
    <t>Sheep Creek Storage</t>
  </si>
  <si>
    <t>23INR0637</t>
  </si>
  <si>
    <t>Goodnight Wind II</t>
  </si>
  <si>
    <t>19INR0134</t>
  </si>
  <si>
    <t>Cottonwood Bayou Solar</t>
  </si>
  <si>
    <t>24INR0023</t>
  </si>
  <si>
    <t>Compadre Solar</t>
  </si>
  <si>
    <t>24INR0208</t>
  </si>
  <si>
    <t>Eastbell Milam Solar II</t>
  </si>
  <si>
    <t>23INR0044</t>
  </si>
  <si>
    <t>Parliament Solar</t>
  </si>
  <si>
    <t>Waller</t>
  </si>
  <si>
    <t>MIRAGE</t>
  </si>
  <si>
    <t>17INR0022</t>
  </si>
  <si>
    <t>The reserve requirement used in the economic models are based on a review of ERCOT’s 2024 Responsive Reserve and Regulation Up requirements. Note that the MW contribution of load resources is not an input into the economic model.</t>
  </si>
  <si>
    <t>Generation Resources Unavailable in Planning Studies Prior to NSO</t>
  </si>
  <si>
    <t>https://mis.ercot.com/secure/data-products/grid/generation?id=PG3-1411-M</t>
  </si>
  <si>
    <t>DOW_DOW_ST64</t>
  </si>
  <si>
    <t>CHISHOLM GRID BAT</t>
  </si>
  <si>
    <t>Chisholm Grid, LLC/Able Grid</t>
  </si>
  <si>
    <t>Notice of probability</t>
  </si>
  <si>
    <t>TEXAS BIG SPRING WIND B</t>
  </si>
  <si>
    <t xml:space="preserve">Retirement Units back in service </t>
  </si>
  <si>
    <t>NCGRD posted</t>
  </si>
  <si>
    <t>Rescinded NSO on 10/27/2023</t>
  </si>
  <si>
    <t>22RPG026</t>
  </si>
  <si>
    <t>22RPG042</t>
  </si>
  <si>
    <t>23RPG001</t>
  </si>
  <si>
    <t>23RPG004</t>
  </si>
  <si>
    <t>23RPG006</t>
  </si>
  <si>
    <t>23RPG012</t>
  </si>
  <si>
    <t>23RPG013</t>
  </si>
  <si>
    <t>23RPG015</t>
  </si>
  <si>
    <t>23RPG016</t>
  </si>
  <si>
    <t>23RPG018</t>
  </si>
  <si>
    <t>23RPG019</t>
  </si>
  <si>
    <t>23RPG021</t>
  </si>
  <si>
    <t>23RPG023</t>
  </si>
  <si>
    <t>23RPG026</t>
  </si>
  <si>
    <t>23RPG027</t>
  </si>
  <si>
    <t>23RPG028</t>
  </si>
  <si>
    <t>23RPG029</t>
  </si>
  <si>
    <t>23RPG034</t>
  </si>
  <si>
    <t>TENASKA KIAMICHI STATION 2CT201</t>
  </si>
  <si>
    <t>TENASKA KIAMICHI STATION 2ST</t>
  </si>
  <si>
    <t>KMCHI_2CT201</t>
  </si>
  <si>
    <t>KMCHI_2ST</t>
  </si>
  <si>
    <t>Changed POI for Maleza Solar (21INR0220) to JULIA__POI_5 (44220)</t>
  </si>
  <si>
    <t>Updated capacity of Roadrunner Crossing Wind I (19INR0117) TO 126.9 MW</t>
  </si>
  <si>
    <t>Updated unit size for Gulf Star Solar (23INR0111) to 451.63 MW</t>
  </si>
  <si>
    <t>Based on latest information in RIOO as of 2/1/2024</t>
  </si>
  <si>
    <t>COLETO CREEK</t>
  </si>
  <si>
    <t>J K SPRUCE U1</t>
  </si>
  <si>
    <t>BARNEY M DAVIS STG 1</t>
  </si>
  <si>
    <t>GREGORY POWER PARTNERS GT1</t>
  </si>
  <si>
    <t>GREGORY POWER PARTNERS GT2</t>
  </si>
  <si>
    <t>GREGORY POWER PARTNERS STG</t>
  </si>
  <si>
    <t>MOUNTAIN CREEK STG 8</t>
  </si>
  <si>
    <t>O W SOMMERS STG 1</t>
  </si>
  <si>
    <t>O W SOMMERS STG 2</t>
  </si>
  <si>
    <t>V H BRAUNIG STG 1</t>
  </si>
  <si>
    <t>V H BRAUNIG STG 2</t>
  </si>
  <si>
    <t>V H BRAUNIG STG 3</t>
  </si>
  <si>
    <t>TOS BATTERY STORAGE (DGR)</t>
  </si>
  <si>
    <t>J T DEELY U1</t>
  </si>
  <si>
    <t>J T DEELY U2</t>
  </si>
  <si>
    <t>OCI ALAMO 1 (ASTRO)</t>
  </si>
  <si>
    <t>DOW G37</t>
  </si>
  <si>
    <t>RAY OLINGER STG 1</t>
  </si>
  <si>
    <t>CALENERGY-FALCON SEABOARD STG 3</t>
  </si>
  <si>
    <t>BRANDON (LP&amp;L) (DGR)</t>
  </si>
  <si>
    <t>WICHITA FALLS STG 4</t>
  </si>
  <si>
    <t>AMOCO OIL COGEN 5</t>
  </si>
  <si>
    <t>W A PARISH - PETRA NOVA (PNPI_GT2)</t>
  </si>
  <si>
    <t>Updated unit size for Padua Grid BESS (22INR0368) to 51.1 MW</t>
  </si>
  <si>
    <t>CPS</t>
  </si>
  <si>
    <t>LST</t>
  </si>
  <si>
    <t>23RPG032</t>
  </si>
  <si>
    <t>San Antonio South Reliability II Project</t>
  </si>
  <si>
    <t>BEC</t>
  </si>
  <si>
    <t>24RPG002</t>
  </si>
  <si>
    <t xml:space="preserve">Rockhound 345/138-kV Switch and Grey Well Draw to Buffalo 2nd 138-kV Circuit Project </t>
  </si>
  <si>
    <t>24RPG005</t>
  </si>
  <si>
    <t xml:space="preserve">Montfort Switch to Shankle Switch 138-kV Line Project </t>
  </si>
  <si>
    <t>24RPG006</t>
  </si>
  <si>
    <t>Prairieland 345/138-kV Switch and Prairieland Switch to Quartz Sand Switch/Hog Mountain Pod 138-kV Line Project</t>
  </si>
  <si>
    <t>Oncor</t>
  </si>
  <si>
    <t>24RPG009</t>
  </si>
  <si>
    <t>Sonora to Uvalde to Campwood to Bandera Area Transmission Project</t>
  </si>
  <si>
    <t>AEPSC, LCRA, BEC</t>
  </si>
  <si>
    <t xml:space="preserve"> TPIT Project 76686 (Tier 4)</t>
  </si>
  <si>
    <t>Added the Tier 4 Project that adds bus Hog Mountain 138 kV POD</t>
  </si>
  <si>
    <t>Backed out RTP placeholder project 2023-NC6 Telico Area Upgrades</t>
  </si>
  <si>
    <t>Replaced by RPG-approved Montfort Switch to Shankle Switch 138-kV Line Tier 3 Project (24RPG005)</t>
  </si>
  <si>
    <t>Added missing P7 contingencies associated with ERCOT RPG approved LRGV project Option 2</t>
  </si>
  <si>
    <t>AEP/STEC</t>
  </si>
  <si>
    <t>P7 contingencies missing in SSWG contingency database</t>
  </si>
  <si>
    <t>21INR0499</t>
  </si>
  <si>
    <t>Neptune Solar</t>
  </si>
  <si>
    <t>Jackson</t>
  </si>
  <si>
    <t>Eastside 345/138-kV Switching Station Project</t>
  </si>
  <si>
    <t>Omicron Reliability Project</t>
  </si>
  <si>
    <t>24RPG003</t>
  </si>
  <si>
    <t>24RPG004</t>
  </si>
  <si>
    <t>Updated Elmaton POI reconfiguration</t>
  </si>
  <si>
    <t>Based on CNP's feedback</t>
  </si>
  <si>
    <t>Updated P7 contingency definitions for King - Rothwood 345-kV circuits 74 and 75 to include split bus configuration</t>
  </si>
  <si>
    <t>Added missing Teal - Limmer second 345-kV circuit and associated contingencies of RPG-approved Tier 3 project 'East Hutto Area 345/138 kV Project (22RPG027)</t>
  </si>
  <si>
    <t>Oncor/LCRA</t>
  </si>
  <si>
    <t>The second circuit was not added during the 2023 RTP case conditioning process</t>
  </si>
  <si>
    <t>Updated DLRs for Pawnee (5725) - Spruce (5400) and Pawnee (5725) - Tango (8689) 345-kV lines based on TSP input</t>
  </si>
  <si>
    <t>Based on CPS's feedback to ERCOT Operations</t>
  </si>
  <si>
    <t>STEC</t>
  </si>
  <si>
    <t>Based on comments from STEC</t>
  </si>
  <si>
    <t>Updated line ratings for Big Hill (76003) - Bakersfield (76002) 345-kV double circuit</t>
  </si>
  <si>
    <t>CPS/STEC</t>
  </si>
  <si>
    <t>Updated ratings on Howard (5231) - Miguel (5901) 345-kV line based on latest submission in MOD</t>
  </si>
  <si>
    <t>MOD Project 75255 (Tier 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</si>
</sst>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_);_(* \(#,##0\);_(* &quot;-&quot;??_);_(@_)"/>
    <numFmt numFmtId="165" formatCode="0.0%"/>
    <numFmt numFmtId="166" formatCode="[$-F800]dddd\,\ mmmm\ dd\,\ yyyy"/>
    <numFmt numFmtId="167" formatCode="m/yyyy"/>
    <numFmt numFmtId="168" formatCode="mm/dd/yyyy"/>
    <numFmt numFmtId="169" formatCode="0.0"/>
    <numFmt numFmtId="170" formatCode="mmm\ d\,\ yyyy\ h:mm:ss\ AM/PM"/>
  </numFmts>
  <fonts count="23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name val="Arial"/>
      <family val="2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2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name val="Calibri"/>
      <family val="2"/>
    </font>
    <font>
      <u/>
      <sz val="11"/>
      <color theme="8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Calibri"/>
      <family val="2"/>
      <scheme val="minor"/>
    </font>
    <font>
      <sz val="10"/>
      <color rgb="FF454545"/>
      <name val="Andale WT"/>
      <family val="2"/>
    </font>
    <font>
      <u/>
      <sz val="11"/>
      <color theme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AEC7"/>
        <bgColor theme="1"/>
      </patternFill>
    </fill>
    <fill>
      <patternFill patternType="solid">
        <fgColor rgb="FF5B677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33">
    <border>
      <left/>
      <right/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/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0">
    <xf numFmtId="0" fontId="0" fillId="0" borderId="0"/>
    <xf numFmtId="0" fontId="2" fillId="0" borderId="0" applyNumberFormat="0" applyFill="0" applyBorder="0" applyAlignment="0" applyProtection="0"/>
    <xf numFmtId="9" fontId="5" fillId="0" borderId="0" applyFont="0" applyFill="0" applyBorder="0" applyAlignment="0" applyProtection="0"/>
    <xf numFmtId="0" fontId="10" fillId="0" borderId="0"/>
    <xf numFmtId="0" fontId="13" fillId="0" borderId="0"/>
    <xf numFmtId="0" fontId="13" fillId="0" borderId="0"/>
    <xf numFmtId="0" fontId="15" fillId="0" borderId="0"/>
    <xf numFmtId="0" fontId="5" fillId="0" borderId="0"/>
    <xf numFmtId="0" fontId="10" fillId="0" borderId="0"/>
    <xf numFmtId="0" fontId="22" fillId="0" borderId="0" applyNumberFormat="0" applyFill="0" applyBorder="0" applyAlignment="0" applyProtection="0"/>
  </cellStyleXfs>
  <cellXfs count="222">
    <xf numFmtId="0" fontId="0" fillId="0" borderId="0" xfId="0"/>
    <xf numFmtId="0" fontId="0" fillId="0" borderId="0" xfId="0" applyAlignment="1">
      <alignment wrapText="1"/>
    </xf>
    <xf numFmtId="0" fontId="3" fillId="0" borderId="0" xfId="0" applyFont="1"/>
    <xf numFmtId="0" fontId="4" fillId="0" borderId="0" xfId="0" applyFont="1"/>
    <xf numFmtId="165" fontId="8" fillId="0" borderId="0" xfId="2" applyNumberFormat="1" applyFont="1" applyAlignment="1">
      <alignment vertical="top" wrapText="1"/>
    </xf>
    <xf numFmtId="0" fontId="3" fillId="0" borderId="0" xfId="0" applyFont="1" applyFill="1" applyBorder="1" applyAlignment="1">
      <alignment horizontal="left"/>
    </xf>
    <xf numFmtId="0" fontId="0" fillId="0" borderId="4" xfId="0" applyBorder="1"/>
    <xf numFmtId="166" fontId="0" fillId="0" borderId="0" xfId="0" applyNumberFormat="1"/>
    <xf numFmtId="0" fontId="0" fillId="0" borderId="0" xfId="0" applyAlignment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/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vertical="center"/>
    </xf>
    <xf numFmtId="0" fontId="0" fillId="0" borderId="0" xfId="0"/>
    <xf numFmtId="0" fontId="0" fillId="0" borderId="0" xfId="0" applyAlignment="1">
      <alignment horizontal="left"/>
    </xf>
    <xf numFmtId="1" fontId="14" fillId="0" borderId="0" xfId="5" applyNumberFormat="1" applyFont="1" applyFill="1" applyBorder="1" applyAlignment="1">
      <alignment horizontal="center"/>
    </xf>
    <xf numFmtId="0" fontId="6" fillId="3" borderId="13" xfId="0" applyFont="1" applyFill="1" applyBorder="1" applyAlignment="1">
      <alignment vertical="center"/>
    </xf>
    <xf numFmtId="0" fontId="6" fillId="3" borderId="14" xfId="0" applyFont="1" applyFill="1" applyBorder="1" applyAlignment="1">
      <alignment vertical="center"/>
    </xf>
    <xf numFmtId="0" fontId="6" fillId="3" borderId="10" xfId="0" applyFont="1" applyFill="1" applyBorder="1" applyAlignment="1">
      <alignment vertical="center"/>
    </xf>
    <xf numFmtId="0" fontId="6" fillId="3" borderId="12" xfId="0" applyFont="1" applyFill="1" applyBorder="1" applyAlignment="1">
      <alignment vertical="center"/>
    </xf>
    <xf numFmtId="2" fontId="0" fillId="0" borderId="6" xfId="0" applyNumberFormat="1" applyBorder="1" applyAlignment="1">
      <alignment vertical="center"/>
    </xf>
    <xf numFmtId="2" fontId="0" fillId="0" borderId="8" xfId="0" applyNumberFormat="1" applyBorder="1" applyAlignment="1">
      <alignment vertical="center"/>
    </xf>
    <xf numFmtId="0" fontId="0" fillId="0" borderId="0" xfId="0" applyAlignment="1">
      <alignment vertical="center" wrapText="1"/>
    </xf>
    <xf numFmtId="0" fontId="0" fillId="0" borderId="4" xfId="0" applyBorder="1" applyAlignment="1">
      <alignment horizontal="center" vertical="center" wrapText="1"/>
    </xf>
    <xf numFmtId="0" fontId="7" fillId="0" borderId="16" xfId="0" applyFont="1" applyFill="1" applyBorder="1" applyAlignment="1">
      <alignment horizontal="center" vertical="center" wrapText="1"/>
    </xf>
    <xf numFmtId="0" fontId="6" fillId="0" borderId="0" xfId="0" applyFont="1"/>
    <xf numFmtId="0" fontId="7" fillId="0" borderId="16" xfId="0" applyFont="1" applyFill="1" applyBorder="1" applyAlignment="1">
      <alignment vertical="center" wrapText="1"/>
    </xf>
    <xf numFmtId="0" fontId="7" fillId="0" borderId="15" xfId="0" applyFont="1" applyFill="1" applyBorder="1" applyAlignment="1">
      <alignment vertical="center" wrapText="1"/>
    </xf>
    <xf numFmtId="0" fontId="0" fillId="0" borderId="0" xfId="0" applyAlignment="1">
      <alignment horizontal="left" vertical="center"/>
    </xf>
    <xf numFmtId="0" fontId="0" fillId="0" borderId="4" xfId="0" applyBorder="1" applyAlignment="1"/>
    <xf numFmtId="0" fontId="0" fillId="0" borderId="14" xfId="0" applyBorder="1" applyAlignment="1">
      <alignment wrapText="1"/>
    </xf>
    <xf numFmtId="0" fontId="6" fillId="0" borderId="4" xfId="0" applyFont="1" applyBorder="1"/>
    <xf numFmtId="0" fontId="0" fillId="0" borderId="7" xfId="0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/>
    </xf>
    <xf numFmtId="167" fontId="7" fillId="0" borderId="4" xfId="0" applyNumberFormat="1" applyFont="1" applyFill="1" applyBorder="1" applyAlignment="1">
      <alignment horizontal="center" vertical="center" wrapText="1"/>
    </xf>
    <xf numFmtId="1" fontId="7" fillId="0" borderId="4" xfId="0" applyNumberFormat="1" applyFont="1" applyFill="1" applyBorder="1" applyAlignment="1">
      <alignment horizontal="center" vertical="center" wrapText="1"/>
    </xf>
    <xf numFmtId="0" fontId="0" fillId="0" borderId="4" xfId="0" applyFont="1" applyFill="1" applyBorder="1" applyAlignment="1">
      <alignment wrapText="1"/>
    </xf>
    <xf numFmtId="0" fontId="0" fillId="0" borderId="0" xfId="0" applyFont="1" applyFill="1" applyBorder="1"/>
    <xf numFmtId="0" fontId="0" fillId="0" borderId="0" xfId="0" applyFill="1" applyBorder="1"/>
    <xf numFmtId="0" fontId="12" fillId="0" borderId="0" xfId="0" applyFont="1" applyFill="1" applyBorder="1" applyAlignment="1">
      <alignment horizontal="center" vertical="center"/>
    </xf>
    <xf numFmtId="165" fontId="8" fillId="0" borderId="0" xfId="2" applyNumberFormat="1" applyFont="1" applyAlignment="1">
      <alignment horizontal="left" vertical="top" wrapText="1"/>
    </xf>
    <xf numFmtId="0" fontId="0" fillId="0" borderId="0" xfId="0" applyAlignment="1">
      <alignment horizontal="left" wrapText="1"/>
    </xf>
    <xf numFmtId="0" fontId="7" fillId="0" borderId="0" xfId="0" applyFont="1" applyFill="1" applyBorder="1" applyAlignment="1">
      <alignment wrapText="1"/>
    </xf>
    <xf numFmtId="0" fontId="12" fillId="0" borderId="0" xfId="0" applyFont="1" applyFill="1" applyBorder="1" applyAlignment="1">
      <alignment horizontal="left" vertical="center" wrapText="1"/>
    </xf>
    <xf numFmtId="0" fontId="16" fillId="0" borderId="0" xfId="4" applyFont="1" applyFill="1" applyBorder="1" applyAlignment="1">
      <alignment wrapText="1"/>
    </xf>
    <xf numFmtId="0" fontId="7" fillId="0" borderId="5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0" fillId="0" borderId="7" xfId="0" applyBorder="1" applyAlignment="1">
      <alignment horizontal="center"/>
    </xf>
    <xf numFmtId="164" fontId="0" fillId="0" borderId="0" xfId="0" applyNumberFormat="1"/>
    <xf numFmtId="165" fontId="8" fillId="0" borderId="0" xfId="2" applyNumberFormat="1" applyFont="1" applyAlignment="1">
      <alignment vertical="center" wrapText="1"/>
    </xf>
    <xf numFmtId="0" fontId="12" fillId="0" borderId="4" xfId="0" applyFont="1" applyFill="1" applyBorder="1" applyAlignment="1">
      <alignment horizontal="left" vertical="center" wrapText="1"/>
    </xf>
    <xf numFmtId="0" fontId="12" fillId="0" borderId="4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0" fontId="17" fillId="0" borderId="4" xfId="0" applyFont="1" applyBorder="1" applyAlignment="1">
      <alignment vertical="center"/>
    </xf>
    <xf numFmtId="0" fontId="12" fillId="0" borderId="4" xfId="0" applyFont="1" applyBorder="1"/>
    <xf numFmtId="0" fontId="6" fillId="0" borderId="18" xfId="0" applyFont="1" applyBorder="1"/>
    <xf numFmtId="0" fontId="7" fillId="0" borderId="10" xfId="0" applyFont="1" applyFill="1" applyBorder="1" applyAlignment="1">
      <alignment horizontal="center" vertical="center" wrapText="1"/>
    </xf>
    <xf numFmtId="0" fontId="7" fillId="0" borderId="12" xfId="0" applyFont="1" applyFill="1" applyBorder="1" applyAlignment="1">
      <alignment horizontal="center" vertical="center" wrapText="1"/>
    </xf>
    <xf numFmtId="2" fontId="6" fillId="0" borderId="17" xfId="0" applyNumberFormat="1" applyFont="1" applyBorder="1" applyAlignment="1">
      <alignment horizontal="center"/>
    </xf>
    <xf numFmtId="0" fontId="6" fillId="4" borderId="4" xfId="0" applyFont="1" applyFill="1" applyBorder="1" applyAlignment="1">
      <alignment horizontal="center" vertical="center"/>
    </xf>
    <xf numFmtId="0" fontId="2" fillId="0" borderId="0" xfId="1" applyAlignment="1">
      <alignment horizontal="center"/>
    </xf>
    <xf numFmtId="0" fontId="2" fillId="0" borderId="0" xfId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7" fillId="0" borderId="13" xfId="0" applyFont="1" applyFill="1" applyBorder="1" applyAlignment="1">
      <alignment horizontal="center" vertical="center" wrapText="1"/>
    </xf>
    <xf numFmtId="0" fontId="7" fillId="0" borderId="14" xfId="0" applyFont="1" applyFill="1" applyBorder="1" applyAlignment="1">
      <alignment horizontal="center" vertical="center" wrapText="1"/>
    </xf>
    <xf numFmtId="14" fontId="0" fillId="0" borderId="0" xfId="0" applyNumberFormat="1" applyFill="1" applyAlignment="1">
      <alignment horizontal="left"/>
    </xf>
    <xf numFmtId="0" fontId="1" fillId="5" borderId="0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/>
    </xf>
    <xf numFmtId="166" fontId="1" fillId="5" borderId="2" xfId="0" applyNumberFormat="1" applyFont="1" applyFill="1" applyBorder="1" applyAlignment="1">
      <alignment horizontal="center" vertical="center"/>
    </xf>
    <xf numFmtId="0" fontId="2" fillId="0" borderId="3" xfId="1" applyFont="1" applyFill="1" applyBorder="1" applyAlignment="1">
      <alignment horizontal="center"/>
    </xf>
    <xf numFmtId="0" fontId="2" fillId="0" borderId="1" xfId="1" applyFont="1" applyFill="1" applyBorder="1" applyAlignment="1">
      <alignment horizontal="left"/>
    </xf>
    <xf numFmtId="166" fontId="0" fillId="0" borderId="0" xfId="0" applyNumberFormat="1" applyFill="1"/>
    <xf numFmtId="0" fontId="2" fillId="0" borderId="3" xfId="1" applyFill="1" applyBorder="1" applyAlignment="1">
      <alignment horizontal="center"/>
    </xf>
    <xf numFmtId="0" fontId="2" fillId="0" borderId="1" xfId="1" applyFill="1" applyBorder="1" applyAlignment="1">
      <alignment horizontal="left"/>
    </xf>
    <xf numFmtId="0" fontId="18" fillId="0" borderId="1" xfId="1" applyFont="1" applyFill="1" applyBorder="1" applyAlignment="1">
      <alignment horizontal="left"/>
    </xf>
    <xf numFmtId="166" fontId="0" fillId="0" borderId="0" xfId="0" applyNumberFormat="1" applyFill="1" applyAlignment="1">
      <alignment horizontal="right"/>
    </xf>
    <xf numFmtId="0" fontId="18" fillId="0" borderId="3" xfId="1" applyFont="1" applyFill="1" applyBorder="1" applyAlignment="1">
      <alignment horizontal="center"/>
    </xf>
    <xf numFmtId="0" fontId="2" fillId="0" borderId="3" xfId="1" applyFill="1" applyBorder="1" applyAlignment="1">
      <alignment horizontal="center" vertical="center"/>
    </xf>
    <xf numFmtId="166" fontId="0" fillId="0" borderId="0" xfId="0" applyNumberFormat="1" applyFill="1" applyAlignment="1">
      <alignment horizontal="right" vertical="center"/>
    </xf>
    <xf numFmtId="0" fontId="0" fillId="0" borderId="0" xfId="0" applyFill="1" applyAlignment="1">
      <alignment horizontal="center"/>
    </xf>
    <xf numFmtId="0" fontId="0" fillId="0" borderId="0" xfId="0" applyFill="1" applyAlignment="1">
      <alignment horizontal="center" vertical="center"/>
    </xf>
    <xf numFmtId="0" fontId="0" fillId="0" borderId="6" xfId="0" applyBorder="1" applyAlignment="1">
      <alignment horizontal="center"/>
    </xf>
    <xf numFmtId="0" fontId="6" fillId="0" borderId="0" xfId="0" applyFont="1" applyAlignment="1"/>
    <xf numFmtId="0" fontId="7" fillId="0" borderId="0" xfId="0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horizontal="center" vertical="center" wrapText="1"/>
    </xf>
    <xf numFmtId="14" fontId="17" fillId="0" borderId="0" xfId="0" applyNumberFormat="1" applyFont="1" applyBorder="1" applyAlignment="1">
      <alignment vertical="center"/>
    </xf>
    <xf numFmtId="14" fontId="17" fillId="0" borderId="4" xfId="0" applyNumberFormat="1" applyFont="1" applyFill="1" applyBorder="1" applyAlignment="1">
      <alignment vertical="center"/>
    </xf>
    <xf numFmtId="14" fontId="17" fillId="0" borderId="0" xfId="0" applyNumberFormat="1" applyFont="1" applyFill="1" applyBorder="1" applyAlignment="1">
      <alignment vertical="center"/>
    </xf>
    <xf numFmtId="0" fontId="0" fillId="0" borderId="4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 wrapText="1"/>
    </xf>
    <xf numFmtId="0" fontId="0" fillId="0" borderId="13" xfId="0" applyFill="1" applyBorder="1" applyAlignment="1">
      <alignment vertical="center" wrapText="1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center" vertical="center" wrapText="1"/>
    </xf>
    <xf numFmtId="0" fontId="0" fillId="0" borderId="0" xfId="0" applyFill="1" applyAlignment="1">
      <alignment vertical="center"/>
    </xf>
    <xf numFmtId="0" fontId="16" fillId="7" borderId="4" xfId="0" applyNumberFormat="1" applyFont="1" applyFill="1" applyBorder="1" applyAlignment="1">
      <alignment horizontal="center" vertical="center"/>
    </xf>
    <xf numFmtId="2" fontId="0" fillId="0" borderId="4" xfId="0" applyNumberFormat="1" applyBorder="1"/>
    <xf numFmtId="0" fontId="5" fillId="0" borderId="4" xfId="6" applyFont="1" applyBorder="1" applyAlignment="1">
      <alignment horizontal="center" wrapText="1"/>
    </xf>
    <xf numFmtId="0" fontId="5" fillId="0" borderId="4" xfId="6" applyFont="1" applyBorder="1" applyAlignment="1">
      <alignment horizontal="center" vertical="center"/>
    </xf>
    <xf numFmtId="0" fontId="0" fillId="0" borderId="19" xfId="0" applyFill="1" applyBorder="1" applyAlignment="1">
      <alignment vertical="center" wrapText="1"/>
    </xf>
    <xf numFmtId="0" fontId="0" fillId="0" borderId="18" xfId="0" applyFill="1" applyBorder="1" applyAlignment="1">
      <alignment horizontal="center" vertical="center"/>
    </xf>
    <xf numFmtId="0" fontId="0" fillId="0" borderId="20" xfId="0" applyFill="1" applyBorder="1" applyAlignment="1">
      <alignment horizontal="center" vertical="center" wrapText="1"/>
    </xf>
    <xf numFmtId="14" fontId="5" fillId="0" borderId="0" xfId="7" applyNumberFormat="1" applyFont="1" applyAlignment="1">
      <alignment horizontal="left"/>
    </xf>
    <xf numFmtId="0" fontId="10" fillId="0" borderId="0" xfId="0" applyFont="1" applyAlignment="1">
      <alignment horizontal="left"/>
    </xf>
    <xf numFmtId="0" fontId="0" fillId="0" borderId="4" xfId="0" applyFill="1" applyBorder="1" applyAlignment="1">
      <alignment vertical="center" wrapText="1"/>
    </xf>
    <xf numFmtId="0" fontId="0" fillId="0" borderId="4" xfId="0" applyBorder="1" applyAlignment="1">
      <alignment horizontal="center" vertical="center"/>
    </xf>
    <xf numFmtId="49" fontId="0" fillId="0" borderId="0" xfId="0" applyNumberFormat="1"/>
    <xf numFmtId="0" fontId="21" fillId="0" borderId="0" xfId="0" applyFont="1" applyBorder="1" applyAlignment="1">
      <alignment horizontal="left" vertical="top"/>
    </xf>
    <xf numFmtId="49" fontId="0" fillId="0" borderId="4" xfId="0" applyNumberFormat="1" applyBorder="1"/>
    <xf numFmtId="49" fontId="0" fillId="0" borderId="4" xfId="0" applyNumberFormat="1" applyFill="1" applyBorder="1"/>
    <xf numFmtId="14" fontId="0" fillId="0" borderId="4" xfId="0" applyNumberFormat="1" applyBorder="1" applyAlignment="1">
      <alignment horizontal="right"/>
    </xf>
    <xf numFmtId="0" fontId="0" fillId="0" borderId="18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0" fontId="5" fillId="0" borderId="25" xfId="6" applyFont="1" applyBorder="1" applyAlignment="1">
      <alignment horizontal="left" vertical="center" wrapText="1"/>
    </xf>
    <xf numFmtId="0" fontId="12" fillId="0" borderId="4" xfId="0" applyFont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5" fillId="0" borderId="4" xfId="6" quotePrefix="1" applyFont="1" applyBorder="1" applyAlignment="1">
      <alignment horizontal="center" vertical="center"/>
    </xf>
    <xf numFmtId="0" fontId="22" fillId="0" borderId="0" xfId="9" applyAlignment="1">
      <alignment horizontal="center"/>
    </xf>
    <xf numFmtId="0" fontId="12" fillId="0" borderId="26" xfId="6" applyFont="1" applyBorder="1" applyAlignment="1">
      <alignment horizontal="center" vertical="center" wrapText="1"/>
    </xf>
    <xf numFmtId="0" fontId="0" fillId="0" borderId="0" xfId="0" applyBorder="1"/>
    <xf numFmtId="49" fontId="0" fillId="0" borderId="0" xfId="0" applyNumberFormat="1" applyFill="1" applyBorder="1"/>
    <xf numFmtId="14" fontId="0" fillId="0" borderId="0" xfId="0" applyNumberFormat="1" applyBorder="1" applyAlignment="1">
      <alignment horizontal="right"/>
    </xf>
    <xf numFmtId="49" fontId="0" fillId="0" borderId="0" xfId="0" applyNumberFormat="1" applyBorder="1"/>
    <xf numFmtId="0" fontId="17" fillId="0" borderId="0" xfId="0" applyFont="1" applyBorder="1" applyAlignment="1">
      <alignment vertical="center"/>
    </xf>
    <xf numFmtId="0" fontId="0" fillId="0" borderId="0" xfId="0" applyBorder="1" applyAlignment="1">
      <alignment horizontal="center"/>
    </xf>
    <xf numFmtId="0" fontId="12" fillId="0" borderId="0" xfId="0" applyFont="1" applyBorder="1"/>
    <xf numFmtId="168" fontId="0" fillId="0" borderId="4" xfId="0" applyNumberFormat="1" applyBorder="1"/>
    <xf numFmtId="0" fontId="0" fillId="0" borderId="4" xfId="0" applyBorder="1" applyAlignment="1">
      <alignment vertical="center"/>
    </xf>
    <xf numFmtId="0" fontId="0" fillId="0" borderId="4" xfId="0" applyBorder="1" applyAlignment="1">
      <alignment horizontal="center" wrapText="1"/>
    </xf>
    <xf numFmtId="0" fontId="0" fillId="0" borderId="4" xfId="0" applyBorder="1" applyAlignment="1">
      <alignment wrapText="1"/>
    </xf>
    <xf numFmtId="169" fontId="12" fillId="0" borderId="4" xfId="0" applyNumberFormat="1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3" xfId="0" applyBorder="1"/>
    <xf numFmtId="0" fontId="0" fillId="0" borderId="18" xfId="0" applyBorder="1" applyAlignment="1"/>
    <xf numFmtId="0" fontId="0" fillId="0" borderId="18" xfId="0" applyBorder="1" applyAlignment="1">
      <alignment horizontal="center"/>
    </xf>
    <xf numFmtId="0" fontId="0" fillId="0" borderId="20" xfId="0" applyBorder="1" applyAlignment="1">
      <alignment horizontal="center"/>
    </xf>
    <xf numFmtId="0" fontId="10" fillId="0" borderId="4" xfId="0" applyFont="1" applyBorder="1" applyAlignment="1">
      <alignment horizontal="left"/>
    </xf>
    <xf numFmtId="0" fontId="0" fillId="0" borderId="7" xfId="0" applyBorder="1"/>
    <xf numFmtId="0" fontId="0" fillId="0" borderId="8" xfId="0" quotePrefix="1" applyBorder="1" applyAlignment="1">
      <alignment horizontal="center"/>
    </xf>
    <xf numFmtId="0" fontId="5" fillId="0" borderId="4" xfId="6" applyFont="1" applyBorder="1" applyAlignment="1">
      <alignment horizontal="left" vertical="center" wrapText="1"/>
    </xf>
    <xf numFmtId="0" fontId="0" fillId="0" borderId="0" xfId="0" applyFill="1" applyBorder="1" applyAlignment="1">
      <alignment vertical="center" wrapText="1"/>
    </xf>
    <xf numFmtId="0" fontId="0" fillId="0" borderId="27" xfId="0" applyFill="1" applyBorder="1" applyAlignment="1">
      <alignment vertical="center" wrapText="1"/>
    </xf>
    <xf numFmtId="0" fontId="0" fillId="0" borderId="24" xfId="0" applyBorder="1" applyAlignment="1">
      <alignment vertical="center" wrapText="1"/>
    </xf>
    <xf numFmtId="0" fontId="0" fillId="0" borderId="24" xfId="0" applyBorder="1" applyAlignment="1">
      <alignment vertical="center"/>
    </xf>
    <xf numFmtId="0" fontId="0" fillId="0" borderId="24" xfId="0" applyBorder="1" applyAlignment="1">
      <alignment horizontal="center" vertical="center"/>
    </xf>
    <xf numFmtId="0" fontId="0" fillId="0" borderId="4" xfId="0" applyBorder="1" applyAlignment="1">
      <alignment horizontal="right"/>
    </xf>
    <xf numFmtId="0" fontId="12" fillId="0" borderId="4" xfId="0" applyFont="1" applyFill="1" applyBorder="1" applyAlignment="1">
      <alignment horizontal="right" vertical="center" wrapText="1"/>
    </xf>
    <xf numFmtId="0" fontId="12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0" fillId="0" borderId="4" xfId="0" applyBorder="1" applyAlignment="1">
      <alignment vertical="center" wrapText="1"/>
    </xf>
    <xf numFmtId="0" fontId="0" fillId="0" borderId="4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4" xfId="0" applyBorder="1" applyAlignment="1">
      <alignment horizontal="left" vertical="top"/>
    </xf>
    <xf numFmtId="14" fontId="12" fillId="0" borderId="4" xfId="0" applyNumberFormat="1" applyFont="1" applyBorder="1" applyAlignment="1">
      <alignment horizontal="left" vertical="top"/>
    </xf>
    <xf numFmtId="4" fontId="0" fillId="0" borderId="4" xfId="0" applyNumberFormat="1" applyBorder="1" applyAlignment="1">
      <alignment horizontal="left" vertical="top"/>
    </xf>
    <xf numFmtId="3" fontId="0" fillId="0" borderId="4" xfId="0" applyNumberFormat="1" applyBorder="1" applyAlignment="1">
      <alignment horizontal="left" vertical="top"/>
    </xf>
    <xf numFmtId="170" fontId="0" fillId="0" borderId="4" xfId="0" applyNumberFormat="1" applyBorder="1" applyAlignment="1">
      <alignment horizontal="left" vertical="top"/>
    </xf>
    <xf numFmtId="2" fontId="0" fillId="0" borderId="4" xfId="0" applyNumberFormat="1" applyBorder="1" applyAlignment="1">
      <alignment horizontal="left" vertical="top"/>
    </xf>
    <xf numFmtId="0" fontId="0" fillId="0" borderId="18" xfId="0" applyBorder="1" applyAlignment="1">
      <alignment horizontal="left" vertical="top"/>
    </xf>
    <xf numFmtId="14" fontId="12" fillId="0" borderId="18" xfId="0" applyNumberFormat="1" applyFont="1" applyBorder="1" applyAlignment="1">
      <alignment horizontal="left" vertical="top"/>
    </xf>
    <xf numFmtId="4" fontId="0" fillId="0" borderId="18" xfId="0" applyNumberFormat="1" applyBorder="1" applyAlignment="1">
      <alignment horizontal="left" vertical="top"/>
    </xf>
    <xf numFmtId="14" fontId="0" fillId="0" borderId="4" xfId="0" applyNumberFormat="1" applyBorder="1" applyAlignment="1">
      <alignment horizontal="center"/>
    </xf>
    <xf numFmtId="14" fontId="0" fillId="0" borderId="18" xfId="0" applyNumberFormat="1" applyBorder="1" applyAlignment="1">
      <alignment horizontal="center"/>
    </xf>
    <xf numFmtId="14" fontId="12" fillId="0" borderId="4" xfId="0" applyNumberFormat="1" applyFont="1" applyBorder="1" applyAlignment="1">
      <alignment horizontal="center"/>
    </xf>
    <xf numFmtId="14" fontId="12" fillId="0" borderId="18" xfId="0" applyNumberFormat="1" applyFont="1" applyBorder="1" applyAlignment="1">
      <alignment horizontal="center"/>
    </xf>
    <xf numFmtId="0" fontId="0" fillId="0" borderId="0" xfId="0" applyAlignment="1">
      <alignment horizontal="left" vertical="top"/>
    </xf>
    <xf numFmtId="0" fontId="12" fillId="0" borderId="0" xfId="0" applyFont="1" applyAlignment="1">
      <alignment horizontal="right" vertical="center"/>
    </xf>
    <xf numFmtId="0" fontId="0" fillId="0" borderId="0" xfId="0" applyAlignment="1">
      <alignment horizontal="right"/>
    </xf>
    <xf numFmtId="0" fontId="0" fillId="8" borderId="4" xfId="0" applyFill="1" applyBorder="1" applyAlignment="1">
      <alignment horizontal="center"/>
    </xf>
    <xf numFmtId="14" fontId="0" fillId="8" borderId="0" xfId="0" applyNumberFormat="1" applyFill="1" applyAlignment="1">
      <alignment horizontal="left"/>
    </xf>
    <xf numFmtId="0" fontId="7" fillId="0" borderId="0" xfId="0" applyFont="1" applyFill="1" applyBorder="1" applyAlignment="1"/>
    <xf numFmtId="0" fontId="12" fillId="0" borderId="4" xfId="0" applyFont="1" applyBorder="1" applyAlignment="1">
      <alignment horizontal="right" vertical="center"/>
    </xf>
    <xf numFmtId="0" fontId="14" fillId="0" borderId="4" xfId="4" applyFont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6" fillId="0" borderId="0" xfId="0" applyFont="1" applyAlignment="1">
      <alignment wrapText="1"/>
    </xf>
    <xf numFmtId="0" fontId="0" fillId="0" borderId="4" xfId="0" applyFill="1" applyBorder="1" applyAlignment="1">
      <alignment horizontal="center" wrapText="1"/>
    </xf>
    <xf numFmtId="0" fontId="6" fillId="0" borderId="29" xfId="0" applyFont="1" applyFill="1" applyBorder="1" applyAlignment="1">
      <alignment horizontal="center"/>
    </xf>
    <xf numFmtId="0" fontId="6" fillId="0" borderId="30" xfId="0" applyFont="1" applyFill="1" applyBorder="1" applyAlignment="1">
      <alignment horizontal="center"/>
    </xf>
    <xf numFmtId="0" fontId="6" fillId="0" borderId="31" xfId="0" applyFont="1" applyFill="1" applyBorder="1" applyAlignment="1">
      <alignment horizontal="center"/>
    </xf>
    <xf numFmtId="0" fontId="6" fillId="0" borderId="32" xfId="0" applyFont="1" applyFill="1" applyBorder="1" applyAlignment="1">
      <alignment horizontal="center"/>
    </xf>
    <xf numFmtId="0" fontId="10" fillId="0" borderId="13" xfId="0" applyFont="1" applyBorder="1" applyAlignment="1">
      <alignment horizontal="left"/>
    </xf>
    <xf numFmtId="0" fontId="10" fillId="0" borderId="28" xfId="0" applyFont="1" applyBorder="1" applyAlignment="1">
      <alignment horizontal="left"/>
    </xf>
    <xf numFmtId="0" fontId="10" fillId="0" borderId="0" xfId="0" applyFont="1" applyBorder="1" applyAlignment="1">
      <alignment horizontal="left"/>
    </xf>
    <xf numFmtId="0" fontId="0" fillId="0" borderId="8" xfId="0" applyBorder="1" applyAlignment="1">
      <alignment horizontal="center"/>
    </xf>
    <xf numFmtId="0" fontId="0" fillId="0" borderId="4" xfId="0" applyBorder="1" applyAlignment="1">
      <alignment horizontal="left" vertical="center" wrapText="1"/>
    </xf>
    <xf numFmtId="0" fontId="0" fillId="0" borderId="26" xfId="0" applyBorder="1" applyAlignment="1">
      <alignment horizontal="center" vertical="center" wrapText="1"/>
    </xf>
    <xf numFmtId="0" fontId="19" fillId="6" borderId="0" xfId="0" applyFont="1" applyFill="1" applyBorder="1" applyAlignment="1">
      <alignment horizontal="center"/>
    </xf>
    <xf numFmtId="0" fontId="19" fillId="6" borderId="0" xfId="0" applyFont="1" applyFill="1" applyBorder="1" applyAlignment="1">
      <alignment horizontal="center" wrapText="1"/>
    </xf>
    <xf numFmtId="0" fontId="6" fillId="0" borderId="10" xfId="0" applyFont="1" applyFill="1" applyBorder="1" applyAlignment="1">
      <alignment horizontal="center" vertical="center" wrapText="1"/>
    </xf>
    <xf numFmtId="0" fontId="6" fillId="0" borderId="19" xfId="0" applyFont="1" applyFill="1" applyBorder="1" applyAlignment="1">
      <alignment horizontal="center" vertical="center" wrapText="1"/>
    </xf>
    <xf numFmtId="0" fontId="6" fillId="0" borderId="11" xfId="0" applyFont="1" applyFill="1" applyBorder="1" applyAlignment="1">
      <alignment horizontal="center" vertical="center"/>
    </xf>
    <xf numFmtId="0" fontId="6" fillId="0" borderId="18" xfId="0" applyFont="1" applyFill="1" applyBorder="1" applyAlignment="1">
      <alignment horizontal="center" vertical="center"/>
    </xf>
    <xf numFmtId="0" fontId="6" fillId="0" borderId="12" xfId="0" applyFont="1" applyFill="1" applyBorder="1" applyAlignment="1">
      <alignment horizontal="center" vertical="center" wrapText="1"/>
    </xf>
    <xf numFmtId="0" fontId="6" fillId="0" borderId="20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Fill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14" xfId="0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center" vertical="center"/>
    </xf>
    <xf numFmtId="0" fontId="2" fillId="0" borderId="4" xfId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9" fillId="2" borderId="0" xfId="0" applyFont="1" applyFill="1" applyAlignment="1">
      <alignment horizontal="center" vertical="center"/>
    </xf>
    <xf numFmtId="0" fontId="2" fillId="0" borderId="0" xfId="1" applyAlignment="1">
      <alignment horizontal="left" wrapText="1"/>
    </xf>
    <xf numFmtId="0" fontId="0" fillId="0" borderId="11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7" fillId="0" borderId="9" xfId="0" applyFont="1" applyFill="1" applyBorder="1" applyAlignment="1">
      <alignment horizontal="center" vertical="center" wrapText="1"/>
    </xf>
    <xf numFmtId="0" fontId="7" fillId="0" borderId="21" xfId="0" applyFont="1" applyFill="1" applyBorder="1" applyAlignment="1">
      <alignment horizontal="center" vertical="center" wrapText="1"/>
    </xf>
    <xf numFmtId="0" fontId="7" fillId="0" borderId="23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165" fontId="20" fillId="0" borderId="4" xfId="2" applyNumberFormat="1" applyFont="1" applyBorder="1" applyAlignment="1">
      <alignment horizontal="left" vertical="center" wrapText="1"/>
    </xf>
    <xf numFmtId="0" fontId="15" fillId="0" borderId="4" xfId="0" applyFont="1" applyBorder="1" applyAlignment="1">
      <alignment horizontal="left" vertical="center" wrapText="1"/>
    </xf>
    <xf numFmtId="0" fontId="15" fillId="0" borderId="4" xfId="0" applyFont="1" applyBorder="1" applyAlignment="1">
      <alignment vertical="center" wrapText="1"/>
    </xf>
  </cellXfs>
  <cellStyles count="10">
    <cellStyle name="Followed Hyperlink" xfId="9" builtinId="9"/>
    <cellStyle name="Hyperlink" xfId="1" builtinId="8"/>
    <cellStyle name="Normal" xfId="0" builtinId="0"/>
    <cellStyle name="Normal 12" xfId="3" xr:uid="{00000000-0005-0000-0000-000002000000}"/>
    <cellStyle name="Normal 2" xfId="6" xr:uid="{AB4B3DE6-2238-4575-978A-B0D21C1F5079}"/>
    <cellStyle name="Normal 2 2" xfId="8" xr:uid="{F8717772-3376-457A-BBD2-4F7A5FB6E949}"/>
    <cellStyle name="Normal 4" xfId="7" xr:uid="{DD9FF6C2-D098-4BC1-86F4-0D3B5CA30BE5}"/>
    <cellStyle name="Normal_Cancelled" xfId="4" xr:uid="{00000000-0005-0000-0000-000003000000}"/>
    <cellStyle name="Normal_Sheet1" xfId="5" xr:uid="{00000000-0005-0000-0000-000004000000}"/>
    <cellStyle name="Percent" xfId="2" builtinId="5"/>
  </cellStyles>
  <dxfs count="0"/>
  <tableStyles count="0" defaultTableStyle="TableStyleMedium2" defaultPivotStyle="PivotStyleLight16"/>
  <colors>
    <mruColors>
      <color rgb="FF5B6770"/>
      <color rgb="FF00AEC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CHEN\AppData\Roaming\Microsoft\Excel\Newly%20Approved%20RPG%20Project%20(version%202)%20(version%201).xlsb" TargetMode="External"/><Relationship Id="rId1" Type="http://schemas.openxmlformats.org/officeDocument/2006/relationships/externalLinkPath" Target="file:///C:\Users\MCHEN\AppData\Roaming\Microsoft\Excel\Newly%20Approved%20RPG%20Project%20(version%202)%20(version%201).xlsb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P:\2024%20RTP\Economics\Nature_GAS_price\2023%20analysis%20of%20Gas%20Prices%2001.30.2024%20(extended%20to%202030).xlsx" TargetMode="External"/><Relationship Id="rId1" Type="http://schemas.openxmlformats.org/officeDocument/2006/relationships/externalLinkPath" Target="Nature_GAS_price/2023%20analysis%20of%20Gas%20Prices%2001.30.2024%20(extended%20to%202030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otes"/>
      <sheetName val="2023"/>
      <sheetName val="Sheet1"/>
      <sheetName val="2022"/>
      <sheetName val="2022Selected"/>
    </sheetNames>
    <sheetDataSet>
      <sheetData sheetId="0"/>
      <sheetData sheetId="1">
        <row r="2">
          <cell r="A2" t="str">
            <v>RPG Project Number</v>
          </cell>
          <cell r="B2" t="str">
            <v>Should Include in Resilience case?</v>
          </cell>
          <cell r="C2" t="str">
            <v>in CaseInfoUpdate approved RPG?</v>
          </cell>
          <cell r="D2" t="str">
            <v>Ying folder or project status</v>
          </cell>
          <cell r="E2" t="str">
            <v>In Case -MC comments</v>
          </cell>
          <cell r="G2" t="str">
            <v>Effective Year</v>
          </cell>
          <cell r="H2" t="str">
            <v>Aux checked/edited?</v>
          </cell>
          <cell r="I2" t="str">
            <v>aux applied</v>
          </cell>
          <cell r="J2" t="str">
            <v>Project Title</v>
          </cell>
          <cell r="K2" t="str">
            <v>Submitted 
Entity</v>
          </cell>
          <cell r="L2" t="str">
            <v>County</v>
          </cell>
          <cell r="M2" t="str">
            <v>Weather Zone</v>
          </cell>
          <cell r="N2" t="str">
            <v>$M in RPG Submittal</v>
          </cell>
          <cell r="O2" t="str">
            <v>$M in Final Approval 
(if different)</v>
          </cell>
          <cell r="P2" t="str">
            <v>Original Submittal</v>
          </cell>
          <cell r="Q2" t="str">
            <v>Final 
Classification 
(if different)</v>
          </cell>
          <cell r="R2" t="str">
            <v>Received at ERCOT System Planning</v>
          </cell>
          <cell r="S2" t="str">
            <v>Submitted to RPG for comment</v>
          </cell>
          <cell r="T2" t="str">
            <v>End of Comment Period</v>
          </cell>
          <cell r="U2" t="str">
            <v>End of Study Mode</v>
          </cell>
          <cell r="V2" t="str">
            <v>End of RPG Review</v>
          </cell>
          <cell r="W2" t="str">
            <v>TAC
Approval</v>
          </cell>
          <cell r="X2" t="str">
            <v>R&amp;M Committee Approval</v>
          </cell>
          <cell r="Y2" t="str">
            <v>Board Approval</v>
          </cell>
          <cell r="Z2" t="str">
            <v>Acceptance / Endorsement Letter</v>
          </cell>
          <cell r="AA2" t="str">
            <v>End of ERCOT Independent Review</v>
          </cell>
          <cell r="AB2" t="str">
            <v>Expected
In-Service Date</v>
          </cell>
          <cell r="AC2" t="str">
            <v>CCN Needed?</v>
          </cell>
          <cell r="AD2" t="str">
            <v>RPG Engineer</v>
          </cell>
          <cell r="AE2" t="str">
            <v>New Transmission Lines</v>
          </cell>
          <cell r="AF2" t="str">
            <v xml:space="preserve">Existing Circuit or Replacement </v>
          </cell>
        </row>
        <row r="3">
          <cell r="A3" t="str">
            <v>23RPG001</v>
          </cell>
          <cell r="B3" t="str">
            <v>Y</v>
          </cell>
          <cell r="C3" t="e">
            <v>#N/A</v>
          </cell>
          <cell r="E3" t="str">
            <v>Partial</v>
          </cell>
          <cell r="F3" t="str">
            <v>idv from MOD73061</v>
          </cell>
          <cell r="G3">
            <v>46356</v>
          </cell>
          <cell r="H3" t="str">
            <v>Mingwei, done</v>
          </cell>
          <cell r="I3" t="str">
            <v>Y</v>
          </cell>
          <cell r="J3" t="str">
            <v>Bessel to Falfurrias 138 kV Line Rebuild Project</v>
          </cell>
          <cell r="K3" t="str">
            <v xml:space="preserve">AEPSC </v>
          </cell>
          <cell r="L3" t="str">
            <v>Nueces, Kleberg, Brooks, Jim Wells</v>
          </cell>
          <cell r="M3" t="str">
            <v>Southern</v>
          </cell>
          <cell r="N3">
            <v>84.76</v>
          </cell>
          <cell r="P3" t="str">
            <v>Tier 3</v>
          </cell>
          <cell r="Q3" t="str">
            <v>Tier 4</v>
          </cell>
          <cell r="R3">
            <v>44956</v>
          </cell>
          <cell r="S3">
            <v>44956</v>
          </cell>
          <cell r="T3">
            <v>44977</v>
          </cell>
          <cell r="V3">
            <v>44978</v>
          </cell>
          <cell r="W3" t="str">
            <v>N/A</v>
          </cell>
          <cell r="X3" t="str">
            <v>N/A</v>
          </cell>
          <cell r="Y3" t="str">
            <v>N/A</v>
          </cell>
          <cell r="Z3" t="str">
            <v>N/A</v>
          </cell>
          <cell r="AA3" t="str">
            <v>N/A</v>
          </cell>
          <cell r="AB3" t="str">
            <v>4/30/2026
11/30/2026</v>
          </cell>
          <cell r="AC3" t="str">
            <v>No</v>
          </cell>
          <cell r="AD3" t="str">
            <v>Ben</v>
          </cell>
          <cell r="AE3">
            <v>0</v>
          </cell>
          <cell r="AF3">
            <v>47.1</v>
          </cell>
        </row>
        <row r="4">
          <cell r="A4" t="str">
            <v>23RPG002</v>
          </cell>
          <cell r="B4" t="str">
            <v>Y</v>
          </cell>
          <cell r="C4" t="e">
            <v>#N/A</v>
          </cell>
          <cell r="E4" t="str">
            <v>Y</v>
          </cell>
          <cell r="J4" t="str">
            <v>Hamlin to Roby 69 kV Line Rebuild Project</v>
          </cell>
          <cell r="K4" t="str">
            <v xml:space="preserve">AEPSC </v>
          </cell>
          <cell r="L4" t="str">
            <v>Jones, Fisher</v>
          </cell>
          <cell r="M4" t="str">
            <v>West, Far West</v>
          </cell>
          <cell r="N4">
            <v>33</v>
          </cell>
          <cell r="P4" t="str">
            <v>Tier 3</v>
          </cell>
          <cell r="Q4" t="str">
            <v>Tier 4</v>
          </cell>
          <cell r="R4">
            <v>44963</v>
          </cell>
          <cell r="S4">
            <v>44963</v>
          </cell>
          <cell r="T4">
            <v>44984</v>
          </cell>
          <cell r="V4">
            <v>44985</v>
          </cell>
          <cell r="W4" t="str">
            <v>N/A</v>
          </cell>
          <cell r="X4" t="str">
            <v>N/A</v>
          </cell>
          <cell r="Y4" t="str">
            <v>N/A</v>
          </cell>
          <cell r="Z4" t="str">
            <v>N/A</v>
          </cell>
          <cell r="AA4" t="str">
            <v>N/A</v>
          </cell>
          <cell r="AB4">
            <v>46327</v>
          </cell>
          <cell r="AC4" t="str">
            <v>No</v>
          </cell>
          <cell r="AD4" t="str">
            <v>Ben</v>
          </cell>
          <cell r="AE4">
            <v>0</v>
          </cell>
          <cell r="AF4">
            <v>22.5</v>
          </cell>
        </row>
        <row r="5">
          <cell r="A5" t="str">
            <v>23RPG003</v>
          </cell>
          <cell r="B5" t="str">
            <v>N</v>
          </cell>
          <cell r="C5" t="e">
            <v>#N/A</v>
          </cell>
          <cell r="E5" t="str">
            <v>N</v>
          </cell>
          <cell r="F5" t="str">
            <v>no acceptence leeter issued as ERCOT can not confirm the load</v>
          </cell>
          <cell r="J5" t="str">
            <v>Eagle Ford Large Load Interconnection Project</v>
          </cell>
          <cell r="K5" t="str">
            <v>GVEC</v>
          </cell>
          <cell r="L5" t="str">
            <v>DeWitt</v>
          </cell>
          <cell r="M5" t="str">
            <v>Sorth Central</v>
          </cell>
          <cell r="N5">
            <v>35.15</v>
          </cell>
          <cell r="P5" t="str">
            <v>Tier 3</v>
          </cell>
          <cell r="R5">
            <v>44963</v>
          </cell>
          <cell r="S5">
            <v>44965</v>
          </cell>
          <cell r="T5">
            <v>44986</v>
          </cell>
          <cell r="V5">
            <v>44987</v>
          </cell>
          <cell r="W5" t="str">
            <v>N/A</v>
          </cell>
          <cell r="X5" t="str">
            <v>N/A</v>
          </cell>
          <cell r="Y5" t="str">
            <v>N/A</v>
          </cell>
          <cell r="Z5" t="str">
            <v>N/A</v>
          </cell>
          <cell r="AA5" t="str">
            <v>N/A</v>
          </cell>
          <cell r="AB5">
            <v>45995</v>
          </cell>
          <cell r="AC5" t="str">
            <v>No</v>
          </cell>
          <cell r="AD5" t="str">
            <v>Ying</v>
          </cell>
          <cell r="AE5">
            <v>0</v>
          </cell>
          <cell r="AF5">
            <v>0</v>
          </cell>
        </row>
        <row r="6">
          <cell r="A6" t="str">
            <v>23RPG004</v>
          </cell>
          <cell r="B6" t="str">
            <v>Y</v>
          </cell>
          <cell r="C6" t="e">
            <v>#N/A</v>
          </cell>
          <cell r="E6" t="str">
            <v>N</v>
          </cell>
          <cell r="F6" t="str">
            <v>idv from TSP submission</v>
          </cell>
          <cell r="G6">
            <v>45838</v>
          </cell>
          <cell r="H6" t="str">
            <v>Mingwei, done</v>
          </cell>
          <cell r="I6" t="str">
            <v>Y</v>
          </cell>
          <cell r="J6" t="str">
            <v>Lockhart to Luling 69-kV Transmission Line Overhaul Project</v>
          </cell>
          <cell r="K6" t="str">
            <v>LCRA</v>
          </cell>
          <cell r="L6" t="str">
            <v>Caldwell</v>
          </cell>
          <cell r="M6" t="str">
            <v>Sorth Central</v>
          </cell>
          <cell r="N6">
            <v>33.5</v>
          </cell>
          <cell r="P6" t="str">
            <v>Tier 3</v>
          </cell>
          <cell r="Q6" t="str">
            <v>Tier 4</v>
          </cell>
          <cell r="R6">
            <v>44981</v>
          </cell>
          <cell r="S6">
            <v>44981</v>
          </cell>
          <cell r="T6">
            <v>45002</v>
          </cell>
          <cell r="V6">
            <v>45003</v>
          </cell>
          <cell r="W6" t="str">
            <v>N/A</v>
          </cell>
          <cell r="X6" t="str">
            <v>N/A</v>
          </cell>
          <cell r="Y6" t="str">
            <v>N/A</v>
          </cell>
          <cell r="Z6" t="str">
            <v>N/A</v>
          </cell>
          <cell r="AA6" t="str">
            <v>N/A</v>
          </cell>
          <cell r="AB6">
            <v>45838</v>
          </cell>
          <cell r="AC6" t="str">
            <v>No</v>
          </cell>
          <cell r="AD6" t="str">
            <v>Ying</v>
          </cell>
          <cell r="AE6">
            <v>0</v>
          </cell>
          <cell r="AF6">
            <v>15.8</v>
          </cell>
        </row>
        <row r="7">
          <cell r="A7" t="str">
            <v>23RPG005</v>
          </cell>
          <cell r="B7" t="str">
            <v>Y</v>
          </cell>
          <cell r="C7" t="e">
            <v>#N/A</v>
          </cell>
          <cell r="E7" t="str">
            <v>Y</v>
          </cell>
          <cell r="J7" t="str">
            <v>La Palma to Stewart Road Rebuild and Conversion to 138-kV Project</v>
          </cell>
          <cell r="K7" t="str">
            <v xml:space="preserve">AEPSC </v>
          </cell>
          <cell r="L7" t="str">
            <v>Cameron, Hidalgo</v>
          </cell>
          <cell r="M7" t="str">
            <v>Southern</v>
          </cell>
          <cell r="N7">
            <v>71.5</v>
          </cell>
          <cell r="P7" t="str">
            <v>Tier 3</v>
          </cell>
          <cell r="Q7" t="str">
            <v>Tier 4</v>
          </cell>
          <cell r="R7">
            <v>44984</v>
          </cell>
          <cell r="S7">
            <v>44986</v>
          </cell>
          <cell r="T7">
            <v>45007</v>
          </cell>
          <cell r="V7">
            <v>45008</v>
          </cell>
          <cell r="W7" t="str">
            <v>N/A</v>
          </cell>
          <cell r="X7" t="str">
            <v>N/A</v>
          </cell>
          <cell r="Y7" t="str">
            <v>N/A</v>
          </cell>
          <cell r="Z7" t="str">
            <v>N/A</v>
          </cell>
          <cell r="AA7" t="str">
            <v>N/A</v>
          </cell>
          <cell r="AB7">
            <v>46387</v>
          </cell>
          <cell r="AC7" t="str">
            <v>No</v>
          </cell>
          <cell r="AD7" t="str">
            <v>Ben</v>
          </cell>
          <cell r="AE7">
            <v>0</v>
          </cell>
          <cell r="AF7">
            <v>38.799999999999997</v>
          </cell>
        </row>
        <row r="8">
          <cell r="A8" t="str">
            <v>23RPG006</v>
          </cell>
          <cell r="B8" t="str">
            <v>Y</v>
          </cell>
          <cell r="C8" t="e">
            <v>#N/A</v>
          </cell>
          <cell r="E8" t="str">
            <v>N</v>
          </cell>
          <cell r="F8" t="str">
            <v>idv from RPG submission and MOD, prj in 24RTPv4 case</v>
          </cell>
          <cell r="G8">
            <v>46007</v>
          </cell>
          <cell r="H8" t="str">
            <v>Mingwei, done</v>
          </cell>
          <cell r="I8" t="str">
            <v>Y</v>
          </cell>
          <cell r="J8" t="str">
            <v>North Lake 138 kV Switch Rebuild</v>
          </cell>
          <cell r="K8" t="str">
            <v>Oncor</v>
          </cell>
          <cell r="L8" t="str">
            <v>Dallas</v>
          </cell>
          <cell r="M8" t="str">
            <v>North Central</v>
          </cell>
          <cell r="N8">
            <v>34.11</v>
          </cell>
          <cell r="P8" t="str">
            <v>Tier 3</v>
          </cell>
          <cell r="Q8" t="str">
            <v>Tier 4</v>
          </cell>
          <cell r="R8">
            <v>44988</v>
          </cell>
          <cell r="S8">
            <v>44991</v>
          </cell>
          <cell r="T8">
            <v>45012</v>
          </cell>
          <cell r="V8">
            <v>45013</v>
          </cell>
          <cell r="W8" t="str">
            <v>N/A</v>
          </cell>
          <cell r="X8" t="str">
            <v>N/A</v>
          </cell>
          <cell r="Y8" t="str">
            <v>N/A</v>
          </cell>
          <cell r="Z8" t="str">
            <v>N/A</v>
          </cell>
          <cell r="AA8" t="str">
            <v>N/A</v>
          </cell>
          <cell r="AB8">
            <v>45047</v>
          </cell>
          <cell r="AC8" t="str">
            <v>No</v>
          </cell>
          <cell r="AD8" t="str">
            <v>Tanzila</v>
          </cell>
          <cell r="AE8">
            <v>0</v>
          </cell>
          <cell r="AF8">
            <v>0</v>
          </cell>
        </row>
        <row r="9">
          <cell r="A9" t="str">
            <v>23RPG007</v>
          </cell>
          <cell r="B9" t="str">
            <v>Y</v>
          </cell>
          <cell r="C9" t="str">
            <v>23RPG007</v>
          </cell>
          <cell r="J9" t="str">
            <v xml:space="preserve">Asherton - Uvalde 138-kV Conversion Project </v>
          </cell>
          <cell r="K9" t="str">
            <v xml:space="preserve">AEPSC </v>
          </cell>
          <cell r="L9" t="str">
            <v>Dimmit, Uvalde, and Zavala</v>
          </cell>
          <cell r="M9" t="str">
            <v>Southern, West</v>
          </cell>
          <cell r="N9">
            <v>56</v>
          </cell>
          <cell r="P9" t="str">
            <v>Tier 3</v>
          </cell>
          <cell r="R9">
            <v>45028</v>
          </cell>
          <cell r="S9">
            <v>45028</v>
          </cell>
          <cell r="T9">
            <v>45049</v>
          </cell>
          <cell r="U9">
            <v>45064</v>
          </cell>
          <cell r="V9">
            <v>45065</v>
          </cell>
          <cell r="W9" t="str">
            <v>N/A</v>
          </cell>
          <cell r="X9" t="str">
            <v>N/A</v>
          </cell>
          <cell r="Y9" t="str">
            <v>N/A</v>
          </cell>
          <cell r="Z9">
            <v>45086</v>
          </cell>
          <cell r="AA9" t="str">
            <v>N/A</v>
          </cell>
          <cell r="AB9">
            <v>45808</v>
          </cell>
          <cell r="AC9" t="str">
            <v>No</v>
          </cell>
          <cell r="AD9" t="str">
            <v>Tanzila</v>
          </cell>
          <cell r="AE9">
            <v>0</v>
          </cell>
          <cell r="AF9">
            <v>0.61</v>
          </cell>
        </row>
        <row r="10">
          <cell r="A10" t="str">
            <v>23RPG008</v>
          </cell>
          <cell r="B10" t="str">
            <v>Y</v>
          </cell>
          <cell r="C10" t="str">
            <v>23RPG008</v>
          </cell>
          <cell r="J10" t="str">
            <v xml:space="preserve">Fort Stockton Plant to Lynx 138-kV Line Rebuild Project </v>
          </cell>
          <cell r="K10" t="str">
            <v xml:space="preserve">AEPSC </v>
          </cell>
          <cell r="L10" t="str">
            <v>Pecos</v>
          </cell>
          <cell r="M10" t="str">
            <v>Far West</v>
          </cell>
          <cell r="N10">
            <v>44.9</v>
          </cell>
          <cell r="P10" t="str">
            <v>Tier 3</v>
          </cell>
          <cell r="Q10" t="str">
            <v>Tier 4</v>
          </cell>
          <cell r="R10">
            <v>45030</v>
          </cell>
          <cell r="S10">
            <v>45030</v>
          </cell>
          <cell r="T10">
            <v>45051</v>
          </cell>
          <cell r="U10">
            <v>45064</v>
          </cell>
          <cell r="V10">
            <v>45065</v>
          </cell>
          <cell r="W10" t="str">
            <v>N/A</v>
          </cell>
          <cell r="X10" t="str">
            <v>N/A</v>
          </cell>
          <cell r="Y10" t="str">
            <v>N/A</v>
          </cell>
          <cell r="Z10" t="str">
            <v>N/A</v>
          </cell>
          <cell r="AA10" t="str">
            <v>N/A</v>
          </cell>
          <cell r="AB10">
            <v>45808</v>
          </cell>
          <cell r="AC10" t="str">
            <v>No</v>
          </cell>
          <cell r="AD10" t="str">
            <v>Ying</v>
          </cell>
          <cell r="AE10">
            <v>0</v>
          </cell>
          <cell r="AF10">
            <v>37</v>
          </cell>
        </row>
        <row r="11">
          <cell r="A11" t="str">
            <v>23RPG009</v>
          </cell>
          <cell r="B11" t="str">
            <v>Y</v>
          </cell>
          <cell r="C11" t="str">
            <v>23RPG009</v>
          </cell>
          <cell r="J11" t="str">
            <v>Spraberry to Polecat 138-kV Line Rebuild Project</v>
          </cell>
          <cell r="K11" t="str">
            <v>ONCOR</v>
          </cell>
          <cell r="L11" t="str">
            <v>Midland, Glasscock</v>
          </cell>
          <cell r="M11" t="str">
            <v>Far West</v>
          </cell>
          <cell r="N11">
            <v>56.9</v>
          </cell>
          <cell r="P11" t="str">
            <v>Tier 3</v>
          </cell>
          <cell r="R11">
            <v>45040</v>
          </cell>
          <cell r="S11">
            <v>45040</v>
          </cell>
          <cell r="T11">
            <v>45061</v>
          </cell>
          <cell r="V11">
            <v>45062</v>
          </cell>
          <cell r="W11" t="str">
            <v>N/A</v>
          </cell>
          <cell r="X11" t="str">
            <v>N/A</v>
          </cell>
          <cell r="Y11" t="str">
            <v>N/A</v>
          </cell>
          <cell r="Z11">
            <v>45072</v>
          </cell>
          <cell r="AA11" t="str">
            <v>N/A</v>
          </cell>
          <cell r="AB11" t="str">
            <v>Summer 2024</v>
          </cell>
          <cell r="AC11" t="str">
            <v>No</v>
          </cell>
          <cell r="AD11" t="str">
            <v>Ying</v>
          </cell>
          <cell r="AE11">
            <v>0</v>
          </cell>
          <cell r="AF11">
            <v>32.4</v>
          </cell>
        </row>
        <row r="12">
          <cell r="A12" t="str">
            <v>23RPG010</v>
          </cell>
          <cell r="B12" t="str">
            <v>Y</v>
          </cell>
          <cell r="C12" t="e">
            <v>#N/A</v>
          </cell>
          <cell r="E12" t="str">
            <v>Partial-topo in, need con</v>
          </cell>
          <cell r="F12" t="str">
            <v>con files from TSP submission</v>
          </cell>
          <cell r="G12">
            <v>45627</v>
          </cell>
          <cell r="H12" t="str">
            <v>Mingwei,done</v>
          </cell>
          <cell r="I12" t="str">
            <v>Y-con only</v>
          </cell>
          <cell r="J12" t="str">
            <v>Big Spring West to Stanton East 138-kV Line Rebuild Project</v>
          </cell>
          <cell r="K12" t="str">
            <v>ONCOR</v>
          </cell>
          <cell r="L12" t="str">
            <v>Martin, Howard</v>
          </cell>
          <cell r="M12" t="str">
            <v>Far West</v>
          </cell>
          <cell r="N12">
            <v>52</v>
          </cell>
          <cell r="P12" t="str">
            <v>Tier 3</v>
          </cell>
          <cell r="R12">
            <v>45041</v>
          </cell>
          <cell r="S12">
            <v>45042</v>
          </cell>
          <cell r="T12">
            <v>45063</v>
          </cell>
          <cell r="V12">
            <v>45064</v>
          </cell>
          <cell r="W12" t="str">
            <v>N/A</v>
          </cell>
          <cell r="X12" t="str">
            <v>N/A</v>
          </cell>
          <cell r="Y12" t="str">
            <v>N/A</v>
          </cell>
          <cell r="Z12">
            <v>45072</v>
          </cell>
          <cell r="AA12" t="str">
            <v>N/A</v>
          </cell>
          <cell r="AB12" t="str">
            <v>Summer 2024</v>
          </cell>
          <cell r="AC12" t="str">
            <v>No</v>
          </cell>
          <cell r="AD12" t="str">
            <v>Ying</v>
          </cell>
          <cell r="AE12">
            <v>0</v>
          </cell>
          <cell r="AF12">
            <v>17.600000000000001</v>
          </cell>
        </row>
        <row r="13">
          <cell r="A13" t="str">
            <v>23RPG011</v>
          </cell>
          <cell r="B13" t="str">
            <v>Y</v>
          </cell>
          <cell r="C13" t="str">
            <v>23RPG011</v>
          </cell>
          <cell r="J13" t="str">
            <v xml:space="preserve">Morgan Creek to McDonald Road 138-kV Line Project </v>
          </cell>
          <cell r="K13" t="str">
            <v>ONCOR</v>
          </cell>
          <cell r="L13" t="str">
            <v>Howard, Mitchell</v>
          </cell>
          <cell r="M13" t="str">
            <v>Far West</v>
          </cell>
          <cell r="N13">
            <v>40.200000000000003</v>
          </cell>
          <cell r="P13" t="str">
            <v>Tier 3</v>
          </cell>
          <cell r="R13">
            <v>45049</v>
          </cell>
          <cell r="S13">
            <v>45050</v>
          </cell>
          <cell r="T13">
            <v>45071</v>
          </cell>
          <cell r="V13">
            <v>45072</v>
          </cell>
          <cell r="W13" t="str">
            <v>N/A</v>
          </cell>
          <cell r="X13" t="str">
            <v>N/A</v>
          </cell>
          <cell r="Y13" t="str">
            <v>N/A</v>
          </cell>
          <cell r="Z13">
            <v>45091</v>
          </cell>
          <cell r="AA13" t="str">
            <v>N/A</v>
          </cell>
          <cell r="AB13" t="str">
            <v>Summer 2024</v>
          </cell>
          <cell r="AC13" t="str">
            <v>No</v>
          </cell>
          <cell r="AD13" t="str">
            <v>Ying</v>
          </cell>
          <cell r="AE13">
            <v>0</v>
          </cell>
          <cell r="AF13">
            <v>28</v>
          </cell>
        </row>
        <row r="14">
          <cell r="A14" t="str">
            <v>23RPG012</v>
          </cell>
          <cell r="B14" t="str">
            <v>Y</v>
          </cell>
          <cell r="C14" t="e">
            <v>#N/A</v>
          </cell>
          <cell r="E14" t="str">
            <v>N</v>
          </cell>
          <cell r="F14" t="str">
            <v>files from TSP submission, prj in 24RTP V4 case</v>
          </cell>
          <cell r="G14" t="str">
            <v>b4 2025 sum</v>
          </cell>
          <cell r="H14" t="str">
            <v>Tyler</v>
          </cell>
          <cell r="I14" t="str">
            <v>Y</v>
          </cell>
          <cell r="J14" t="str">
            <v xml:space="preserve">Stone Lake Area Upgrades Project </v>
          </cell>
          <cell r="K14" t="str">
            <v>CNP</v>
          </cell>
          <cell r="L14" t="str">
            <v>Harris</v>
          </cell>
          <cell r="M14" t="str">
            <v>Coast</v>
          </cell>
          <cell r="N14">
            <v>74.378</v>
          </cell>
          <cell r="P14" t="str">
            <v>Tier 3</v>
          </cell>
          <cell r="R14">
            <v>45049</v>
          </cell>
          <cell r="S14">
            <v>45050</v>
          </cell>
          <cell r="T14">
            <v>45071</v>
          </cell>
          <cell r="V14">
            <v>45072</v>
          </cell>
          <cell r="W14" t="str">
            <v>N/A</v>
          </cell>
          <cell r="X14" t="str">
            <v>N/A</v>
          </cell>
          <cell r="Y14" t="str">
            <v>N/A</v>
          </cell>
          <cell r="Z14">
            <v>45082</v>
          </cell>
          <cell r="AA14" t="str">
            <v>N/A</v>
          </cell>
          <cell r="AB14" t="str">
            <v>Summer 2024
Summer 2025</v>
          </cell>
          <cell r="AC14" t="str">
            <v>No</v>
          </cell>
          <cell r="AD14" t="str">
            <v>Ying</v>
          </cell>
          <cell r="AE14">
            <v>0</v>
          </cell>
          <cell r="AF14">
            <v>8.2100000000000009</v>
          </cell>
        </row>
        <row r="15">
          <cell r="A15" t="str">
            <v>23RPG013</v>
          </cell>
          <cell r="B15" t="str">
            <v>Y</v>
          </cell>
          <cell r="C15" t="e">
            <v>#N/A</v>
          </cell>
          <cell r="D15" t="str">
            <v>Y</v>
          </cell>
          <cell r="E15" t="str">
            <v>N</v>
          </cell>
          <cell r="H15" t="str">
            <v xml:space="preserve">Y.cowpen(38044)-toyahcrk(18669) and rockdraw(18668)-silverleaf(38150) 345kv tie lines rating are 668/750/800(maybe to reflect TXs ratings)(same as in 24RTP), not same as approved 1793 rating. </v>
          </cell>
          <cell r="I15" t="str">
            <v>Y</v>
          </cell>
          <cell r="J15" t="str">
            <v xml:space="preserve">Silverleaf and Cowpen 345/138-kV Stations Project </v>
          </cell>
          <cell r="K15" t="str">
            <v>TNMP</v>
          </cell>
          <cell r="L15" t="str">
            <v>Reeves, Ward</v>
          </cell>
          <cell r="M15" t="str">
            <v>Far West</v>
          </cell>
          <cell r="N15">
            <v>299</v>
          </cell>
          <cell r="O15">
            <v>273.10000000000002</v>
          </cell>
          <cell r="P15" t="str">
            <v>Tier 1</v>
          </cell>
          <cell r="R15">
            <v>45057</v>
          </cell>
          <cell r="S15">
            <v>45064</v>
          </cell>
          <cell r="T15">
            <v>45086</v>
          </cell>
          <cell r="U15">
            <v>45117</v>
          </cell>
          <cell r="V15">
            <v>45267</v>
          </cell>
          <cell r="W15">
            <v>45264</v>
          </cell>
          <cell r="X15">
            <v>45278</v>
          </cell>
          <cell r="Y15">
            <v>45279</v>
          </cell>
          <cell r="AA15">
            <v>45257</v>
          </cell>
          <cell r="AB15">
            <v>46539</v>
          </cell>
          <cell r="AC15" t="str">
            <v>Yes</v>
          </cell>
          <cell r="AD15" t="str">
            <v>Ying</v>
          </cell>
          <cell r="AE15">
            <v>18.5</v>
          </cell>
          <cell r="AF15">
            <v>0</v>
          </cell>
        </row>
        <row r="16">
          <cell r="A16" t="str">
            <v>23RPG014</v>
          </cell>
          <cell r="B16" t="str">
            <v>Y</v>
          </cell>
          <cell r="C16" t="str">
            <v>23RPG014</v>
          </cell>
          <cell r="J16" t="str">
            <v xml:space="preserve">Lamesa to Jim Payne POI to Paul Davis Tap 138-kV Line Rebuild Project </v>
          </cell>
          <cell r="K16" t="str">
            <v>ONCOR</v>
          </cell>
          <cell r="L16" t="str">
            <v>Dawson, Martin</v>
          </cell>
          <cell r="M16" t="str">
            <v>Far West</v>
          </cell>
          <cell r="N16">
            <v>36.799999999999997</v>
          </cell>
          <cell r="P16" t="str">
            <v>Tier 3</v>
          </cell>
          <cell r="R16">
            <v>45069</v>
          </cell>
          <cell r="S16">
            <v>45072</v>
          </cell>
          <cell r="T16">
            <v>45096</v>
          </cell>
          <cell r="V16">
            <v>45097</v>
          </cell>
          <cell r="W16" t="str">
            <v>N/A</v>
          </cell>
          <cell r="X16" t="str">
            <v>N/A</v>
          </cell>
          <cell r="Y16" t="str">
            <v>N/A</v>
          </cell>
          <cell r="Z16">
            <v>45114</v>
          </cell>
          <cell r="AA16" t="str">
            <v>N/A</v>
          </cell>
          <cell r="AB16" t="str">
            <v>Summer 2024</v>
          </cell>
          <cell r="AC16" t="str">
            <v>No</v>
          </cell>
          <cell r="AD16" t="str">
            <v>Ben</v>
          </cell>
          <cell r="AE16">
            <v>0</v>
          </cell>
          <cell r="AF16">
            <v>19.7</v>
          </cell>
        </row>
        <row r="17">
          <cell r="A17" t="str">
            <v>23RPG015</v>
          </cell>
          <cell r="B17" t="str">
            <v>Y</v>
          </cell>
          <cell r="C17" t="e">
            <v>#N/A</v>
          </cell>
          <cell r="E17" t="str">
            <v>N</v>
          </cell>
          <cell r="F17" t="str">
            <v>files from TSP submission, prj NOT in 24RTP V4 case</v>
          </cell>
          <cell r="G17">
            <v>45427</v>
          </cell>
          <cell r="H17" t="str">
            <v>Tyler</v>
          </cell>
          <cell r="I17" t="str">
            <v>Y</v>
          </cell>
          <cell r="J17" t="str">
            <v xml:space="preserve">Cuero Substation Upgrade Project </v>
          </cell>
          <cell r="K17" t="str">
            <v>LCRA</v>
          </cell>
          <cell r="L17" t="str">
            <v>DeWitt</v>
          </cell>
          <cell r="M17" t="str">
            <v>Sorth Central</v>
          </cell>
          <cell r="N17">
            <v>25.9</v>
          </cell>
          <cell r="P17" t="str">
            <v>Tier 3</v>
          </cell>
          <cell r="Q17" t="str">
            <v>Tier 4</v>
          </cell>
          <cell r="R17">
            <v>45078</v>
          </cell>
          <cell r="S17">
            <v>45079</v>
          </cell>
          <cell r="T17">
            <v>45100</v>
          </cell>
          <cell r="V17">
            <v>45101</v>
          </cell>
          <cell r="W17" t="str">
            <v>N/A</v>
          </cell>
          <cell r="X17" t="str">
            <v>N/A</v>
          </cell>
          <cell r="Y17" t="str">
            <v>N/A</v>
          </cell>
          <cell r="Z17" t="str">
            <v>N/A</v>
          </cell>
          <cell r="AA17" t="str">
            <v>N/A</v>
          </cell>
          <cell r="AB17">
            <v>45427</v>
          </cell>
          <cell r="AC17" t="str">
            <v>No</v>
          </cell>
          <cell r="AD17" t="str">
            <v>Tanzila</v>
          </cell>
          <cell r="AE17">
            <v>0</v>
          </cell>
          <cell r="AF17">
            <v>0</v>
          </cell>
        </row>
        <row r="18">
          <cell r="A18" t="str">
            <v>23RPG016</v>
          </cell>
          <cell r="B18" t="str">
            <v>Y</v>
          </cell>
          <cell r="C18" t="e">
            <v>#N/A</v>
          </cell>
          <cell r="E18" t="str">
            <v>N</v>
          </cell>
          <cell r="F18" t="str">
            <v>files from TSP submission, prj in 24RTP V4 case</v>
          </cell>
          <cell r="G18">
            <v>45650</v>
          </cell>
          <cell r="H18" t="str">
            <v xml:space="preserve">Tyler </v>
          </cell>
          <cell r="I18" t="str">
            <v>Y</v>
          </cell>
          <cell r="J18" t="str">
            <v>Tributary Switch – Vincent Rebuild Project</v>
          </cell>
          <cell r="K18" t="str">
            <v>ONCOR</v>
          </cell>
          <cell r="L18" t="str">
            <v>Howard</v>
          </cell>
          <cell r="M18" t="str">
            <v>Far West</v>
          </cell>
          <cell r="N18">
            <v>29.3</v>
          </cell>
          <cell r="P18" t="str">
            <v>Tier 3</v>
          </cell>
          <cell r="R18">
            <v>45106</v>
          </cell>
          <cell r="S18">
            <v>45107</v>
          </cell>
          <cell r="T18">
            <v>45131</v>
          </cell>
          <cell r="V18">
            <v>45132</v>
          </cell>
          <cell r="W18" t="str">
            <v>N/A</v>
          </cell>
          <cell r="X18" t="str">
            <v>N/A</v>
          </cell>
          <cell r="Y18" t="str">
            <v>N/A</v>
          </cell>
          <cell r="Z18">
            <v>45141</v>
          </cell>
          <cell r="AA18" t="str">
            <v>N/A</v>
          </cell>
          <cell r="AB18">
            <v>45657</v>
          </cell>
          <cell r="AC18" t="str">
            <v>No</v>
          </cell>
          <cell r="AD18" t="str">
            <v>Caleb/Abishek</v>
          </cell>
          <cell r="AE18">
            <v>0</v>
          </cell>
          <cell r="AF18">
            <v>11.2</v>
          </cell>
        </row>
        <row r="19">
          <cell r="A19" t="str">
            <v>23RPG017</v>
          </cell>
          <cell r="B19" t="str">
            <v>Y</v>
          </cell>
          <cell r="C19" t="str">
            <v>23RPG017</v>
          </cell>
          <cell r="J19" t="str">
            <v>Watermill 345/138-kV Switch Project</v>
          </cell>
          <cell r="K19" t="str">
            <v>ONCOR</v>
          </cell>
          <cell r="L19" t="str">
            <v>Dallas</v>
          </cell>
          <cell r="M19" t="str">
            <v>North Central</v>
          </cell>
          <cell r="N19">
            <v>74.900000000000006</v>
          </cell>
          <cell r="P19" t="str">
            <v>Tier 3</v>
          </cell>
          <cell r="R19">
            <v>45110</v>
          </cell>
          <cell r="S19">
            <v>45112</v>
          </cell>
          <cell r="T19">
            <v>45133</v>
          </cell>
          <cell r="V19">
            <v>45134</v>
          </cell>
          <cell r="W19" t="str">
            <v>N/A</v>
          </cell>
          <cell r="X19" t="str">
            <v>N/A</v>
          </cell>
          <cell r="Y19" t="str">
            <v>N/A</v>
          </cell>
          <cell r="Z19">
            <v>45138</v>
          </cell>
          <cell r="AA19" t="str">
            <v>N/A</v>
          </cell>
          <cell r="AB19">
            <v>45778</v>
          </cell>
          <cell r="AC19" t="str">
            <v>No</v>
          </cell>
          <cell r="AD19" t="str">
            <v>Ying</v>
          </cell>
          <cell r="AE19">
            <v>0</v>
          </cell>
          <cell r="AF19">
            <v>0</v>
          </cell>
        </row>
        <row r="20">
          <cell r="A20" t="str">
            <v>23RPG018</v>
          </cell>
          <cell r="B20" t="str">
            <v>Y</v>
          </cell>
          <cell r="C20" t="e">
            <v>#N/A</v>
          </cell>
          <cell r="D20" t="str">
            <v>? - not in case, RPG recommend but not endors option 1, same as TSP's preferred option 1. use it or not?</v>
          </cell>
          <cell r="E20" t="str">
            <v>in Oct TIPT? Y</v>
          </cell>
          <cell r="H20" t="str">
            <v>Y</v>
          </cell>
          <cell r="I20" t="str">
            <v>Y</v>
          </cell>
          <cell r="J20" t="str">
            <v xml:space="preserve">Arlington Reliability Enhancement Project </v>
          </cell>
          <cell r="K20" t="str">
            <v>ONCOR</v>
          </cell>
          <cell r="L20" t="str">
            <v>Tarrant, Dallas</v>
          </cell>
          <cell r="M20" t="str">
            <v>North Central</v>
          </cell>
          <cell r="N20">
            <v>72</v>
          </cell>
          <cell r="P20" t="str">
            <v>Tier 2</v>
          </cell>
          <cell r="R20">
            <v>45135</v>
          </cell>
          <cell r="S20">
            <v>45139</v>
          </cell>
          <cell r="T20">
            <v>45160</v>
          </cell>
          <cell r="V20">
            <v>45280</v>
          </cell>
          <cell r="W20" t="str">
            <v>N/A</v>
          </cell>
          <cell r="X20" t="str">
            <v>N/A</v>
          </cell>
          <cell r="Y20" t="str">
            <v>N/A</v>
          </cell>
          <cell r="Z20" t="str">
            <v>N/A</v>
          </cell>
          <cell r="AA20">
            <v>45280</v>
          </cell>
          <cell r="AB20">
            <v>46143</v>
          </cell>
          <cell r="AC20" t="str">
            <v>Yes</v>
          </cell>
          <cell r="AD20" t="str">
            <v>Caleb/Abishek</v>
          </cell>
          <cell r="AE20">
            <v>3</v>
          </cell>
          <cell r="AF20">
            <v>0</v>
          </cell>
        </row>
        <row r="21">
          <cell r="A21" t="str">
            <v>23RPG019</v>
          </cell>
          <cell r="B21" t="str">
            <v>Y</v>
          </cell>
          <cell r="C21" t="e">
            <v>#N/A</v>
          </cell>
          <cell r="D21" t="str">
            <v>Y</v>
          </cell>
          <cell r="E21" t="str">
            <v>N</v>
          </cell>
          <cell r="F21" t="str">
            <v>remove Estile caps last year, prj seems to be partially in 24RTPv4. check idvs from TSP submisstion and MOD</v>
          </cell>
          <cell r="G21">
            <v>45792</v>
          </cell>
          <cell r="H21" t="str">
            <v>Tyler to check:  Ying's file available</v>
          </cell>
          <cell r="I21" t="str">
            <v>Y</v>
          </cell>
          <cell r="J21" t="str">
            <v>Stanton Loop South Dynamic Reactive Power Project</v>
          </cell>
          <cell r="K21" t="str">
            <v>ONCOR</v>
          </cell>
          <cell r="L21" t="str">
            <v>Reagan, Upton</v>
          </cell>
          <cell r="M21" t="str">
            <v>Far West</v>
          </cell>
          <cell r="N21">
            <v>96.9</v>
          </cell>
          <cell r="P21" t="str">
            <v>Tier 3</v>
          </cell>
          <cell r="R21">
            <v>45140</v>
          </cell>
          <cell r="S21">
            <v>45141</v>
          </cell>
          <cell r="T21">
            <v>45162</v>
          </cell>
          <cell r="V21">
            <v>45163</v>
          </cell>
          <cell r="W21" t="str">
            <v>N/A</v>
          </cell>
          <cell r="X21" t="str">
            <v>N/A</v>
          </cell>
          <cell r="Y21" t="str">
            <v>N/A</v>
          </cell>
          <cell r="Z21">
            <v>45182</v>
          </cell>
          <cell r="AA21" t="str">
            <v>N/A</v>
          </cell>
          <cell r="AB21" t="str">
            <v>Summer 2025</v>
          </cell>
          <cell r="AC21" t="str">
            <v>No</v>
          </cell>
          <cell r="AD21" t="str">
            <v>Ying</v>
          </cell>
          <cell r="AE21">
            <v>0.2</v>
          </cell>
          <cell r="AF21">
            <v>0</v>
          </cell>
        </row>
        <row r="22">
          <cell r="A22" t="str">
            <v>23RPG020</v>
          </cell>
          <cell r="B22" t="str">
            <v>Y</v>
          </cell>
          <cell r="C22" t="e">
            <v>#N/A</v>
          </cell>
          <cell r="E22" t="str">
            <v>Y</v>
          </cell>
          <cell r="J22" t="str">
            <v xml:space="preserve">Hackberry Switch to DFW D East 2 138-kV Double-Circuit Line Section Project </v>
          </cell>
          <cell r="K22" t="str">
            <v>ONCOR</v>
          </cell>
          <cell r="L22" t="str">
            <v>Dallas</v>
          </cell>
          <cell r="M22" t="str">
            <v>North Central</v>
          </cell>
          <cell r="N22">
            <v>80</v>
          </cell>
          <cell r="P22" t="str">
            <v>Tier 3</v>
          </cell>
          <cell r="R22">
            <v>45145</v>
          </cell>
          <cell r="S22">
            <v>45146</v>
          </cell>
          <cell r="T22">
            <v>45167</v>
          </cell>
          <cell r="V22">
            <v>45168</v>
          </cell>
          <cell r="W22" t="str">
            <v>N/A</v>
          </cell>
          <cell r="X22" t="str">
            <v>N/A</v>
          </cell>
          <cell r="Y22" t="str">
            <v>N/A</v>
          </cell>
          <cell r="Z22">
            <v>45184</v>
          </cell>
          <cell r="AA22" t="str">
            <v>N/A</v>
          </cell>
          <cell r="AB22">
            <v>45992</v>
          </cell>
          <cell r="AC22" t="str">
            <v>No</v>
          </cell>
          <cell r="AD22" t="str">
            <v>Abishek</v>
          </cell>
          <cell r="AE22">
            <v>0</v>
          </cell>
          <cell r="AF22">
            <v>5.5</v>
          </cell>
        </row>
        <row r="23">
          <cell r="A23" t="str">
            <v>23RPG021</v>
          </cell>
          <cell r="B23" t="str">
            <v>Y</v>
          </cell>
          <cell r="C23" t="e">
            <v>#N/A</v>
          </cell>
          <cell r="E23" t="str">
            <v>N</v>
          </cell>
          <cell r="F23" t="str">
            <v>files from TSP submission, prj NOT in 24RTP V4 case</v>
          </cell>
          <cell r="G23" t="str">
            <v>b4 2026 sum</v>
          </cell>
          <cell r="H23" t="str">
            <v>Tyler to check</v>
          </cell>
          <cell r="I23" t="str">
            <v>Y</v>
          </cell>
          <cell r="J23" t="str">
            <v>West Columbia to Big Creek ckt 89 Reconductor Project</v>
          </cell>
          <cell r="K23" t="str">
            <v>CNP</v>
          </cell>
          <cell r="L23" t="str">
            <v>Fort Bend, Brazoria</v>
          </cell>
          <cell r="M23" t="str">
            <v>Coast</v>
          </cell>
          <cell r="N23">
            <v>64.17</v>
          </cell>
          <cell r="P23" t="str">
            <v>Tier 3</v>
          </cell>
          <cell r="Q23" t="str">
            <v>Tier 4</v>
          </cell>
          <cell r="R23">
            <v>45147</v>
          </cell>
          <cell r="S23">
            <v>45148</v>
          </cell>
          <cell r="T23">
            <v>45169</v>
          </cell>
          <cell r="V23">
            <v>45170</v>
          </cell>
          <cell r="W23" t="str">
            <v>N/A</v>
          </cell>
          <cell r="X23" t="str">
            <v>N/A</v>
          </cell>
          <cell r="Y23" t="str">
            <v>N/A</v>
          </cell>
          <cell r="Z23" t="str">
            <v>N/A</v>
          </cell>
          <cell r="AA23" t="str">
            <v>N/A</v>
          </cell>
          <cell r="AB23" t="str">
            <v>Summer 2026</v>
          </cell>
          <cell r="AC23" t="str">
            <v>No</v>
          </cell>
          <cell r="AD23" t="str">
            <v>Caleb</v>
          </cell>
          <cell r="AE23">
            <v>0</v>
          </cell>
          <cell r="AF23">
            <v>12.06</v>
          </cell>
        </row>
        <row r="24">
          <cell r="A24" t="str">
            <v>23RPG022</v>
          </cell>
          <cell r="B24" t="str">
            <v>Y</v>
          </cell>
          <cell r="C24" t="str">
            <v>23RPG022</v>
          </cell>
          <cell r="J24" t="str">
            <v>McLennan County Transmission Project</v>
          </cell>
          <cell r="K24" t="str">
            <v>ONCOR</v>
          </cell>
          <cell r="L24" t="str">
            <v>McLennan</v>
          </cell>
          <cell r="M24" t="str">
            <v>North Central</v>
          </cell>
          <cell r="N24">
            <v>42.31</v>
          </cell>
          <cell r="P24" t="str">
            <v>Tier 3</v>
          </cell>
          <cell r="R24">
            <v>45148</v>
          </cell>
          <cell r="S24">
            <v>45149</v>
          </cell>
          <cell r="T24">
            <v>45170</v>
          </cell>
          <cell r="V24">
            <v>45171</v>
          </cell>
          <cell r="W24" t="str">
            <v>N/A</v>
          </cell>
          <cell r="X24" t="str">
            <v>N/A</v>
          </cell>
          <cell r="Y24" t="str">
            <v>N/A</v>
          </cell>
          <cell r="Z24">
            <v>45184</v>
          </cell>
          <cell r="AA24" t="str">
            <v>N/A</v>
          </cell>
          <cell r="AB24">
            <v>46357</v>
          </cell>
          <cell r="AC24" t="str">
            <v>No</v>
          </cell>
          <cell r="AD24" t="str">
            <v>Caleb</v>
          </cell>
          <cell r="AE24">
            <v>0.4</v>
          </cell>
          <cell r="AF24">
            <v>3.5</v>
          </cell>
        </row>
        <row r="25">
          <cell r="A25" t="str">
            <v>23RPG023</v>
          </cell>
          <cell r="B25" t="str">
            <v>Y~</v>
          </cell>
          <cell r="C25" t="e">
            <v>#N/A</v>
          </cell>
          <cell r="D25" t="str">
            <v>received study files(includeing p1,p7.1 con) from Tanzila - study finished and will recommend to TAC/R&amp;M, Board in Jan/Feb</v>
          </cell>
          <cell r="H25" t="str">
            <v>Y</v>
          </cell>
          <cell r="I25" t="str">
            <v>Y</v>
          </cell>
          <cell r="J25" t="str">
            <v>Pecos County Transmission Improvement Projet</v>
          </cell>
          <cell r="K25" t="str">
            <v>TNMP</v>
          </cell>
          <cell r="L25" t="str">
            <v>Pecos</v>
          </cell>
          <cell r="M25" t="str">
            <v>Far West</v>
          </cell>
          <cell r="N25">
            <v>108</v>
          </cell>
          <cell r="O25">
            <v>114.8</v>
          </cell>
          <cell r="P25" t="str">
            <v>Tier 1</v>
          </cell>
          <cell r="R25">
            <v>45149</v>
          </cell>
          <cell r="S25">
            <v>45149</v>
          </cell>
          <cell r="T25">
            <v>45170</v>
          </cell>
          <cell r="U25">
            <v>45190</v>
          </cell>
          <cell r="V25">
            <v>45340</v>
          </cell>
          <cell r="W25" t="str">
            <v/>
          </cell>
          <cell r="X25" t="str">
            <v/>
          </cell>
          <cell r="Y25" t="str">
            <v/>
          </cell>
          <cell r="Z25" t="str">
            <v/>
          </cell>
          <cell r="AA25">
            <v>45340</v>
          </cell>
          <cell r="AB25">
            <v>46143</v>
          </cell>
          <cell r="AC25" t="str">
            <v>Yes</v>
          </cell>
          <cell r="AD25" t="str">
            <v>Tanzila</v>
          </cell>
          <cell r="AE25">
            <v>28.6</v>
          </cell>
          <cell r="AF25">
            <v>0</v>
          </cell>
        </row>
        <row r="26">
          <cell r="A26" t="str">
            <v>23RPG024</v>
          </cell>
          <cell r="B26" t="str">
            <v>Y</v>
          </cell>
          <cell r="C26" t="str">
            <v>23RPG024</v>
          </cell>
          <cell r="J26" t="str">
            <v>Big Foot to Dilley Switch 138-kV Conversion Project</v>
          </cell>
          <cell r="K26" t="str">
            <v xml:space="preserve">AEPSC </v>
          </cell>
          <cell r="L26" t="str">
            <v>Frio</v>
          </cell>
          <cell r="M26" t="str">
            <v>Southern</v>
          </cell>
          <cell r="N26">
            <v>53.1</v>
          </cell>
          <cell r="P26" t="str">
            <v>Tier 3</v>
          </cell>
          <cell r="R26">
            <v>45167</v>
          </cell>
          <cell r="S26">
            <v>45175</v>
          </cell>
          <cell r="T26">
            <v>45196</v>
          </cell>
          <cell r="V26">
            <v>45197</v>
          </cell>
          <cell r="W26" t="str">
            <v>N/A</v>
          </cell>
          <cell r="X26" t="str">
            <v>N/A</v>
          </cell>
          <cell r="Y26" t="str">
            <v>N/A</v>
          </cell>
          <cell r="Z26" t="str">
            <v/>
          </cell>
          <cell r="AA26" t="str">
            <v>N/A</v>
          </cell>
          <cell r="AB26">
            <v>46264</v>
          </cell>
          <cell r="AC26" t="str">
            <v>No</v>
          </cell>
          <cell r="AD26" t="str">
            <v>Ying</v>
          </cell>
          <cell r="AE26">
            <v>0</v>
          </cell>
          <cell r="AF26">
            <v>34.590000000000003</v>
          </cell>
        </row>
        <row r="27">
          <cell r="A27" t="str">
            <v>23RPG025</v>
          </cell>
          <cell r="B27" t="str">
            <v>Y</v>
          </cell>
          <cell r="C27" t="str">
            <v>23RPG025</v>
          </cell>
          <cell r="J27" t="str">
            <v>Britmoore to Bellaire Ckt 24 Upgrade Project</v>
          </cell>
          <cell r="K27" t="str">
            <v>CNP</v>
          </cell>
          <cell r="L27" t="str">
            <v>Harris</v>
          </cell>
          <cell r="M27" t="str">
            <v>Coast</v>
          </cell>
          <cell r="N27">
            <v>90.1</v>
          </cell>
          <cell r="P27" t="str">
            <v>Tier 3</v>
          </cell>
          <cell r="R27">
            <v>45169</v>
          </cell>
          <cell r="S27">
            <v>45175</v>
          </cell>
          <cell r="T27">
            <v>45196</v>
          </cell>
          <cell r="V27">
            <v>45197</v>
          </cell>
          <cell r="W27" t="str">
            <v>N/A</v>
          </cell>
          <cell r="X27" t="str">
            <v>N/A</v>
          </cell>
          <cell r="Y27" t="str">
            <v>N/A</v>
          </cell>
          <cell r="Z27" t="str">
            <v/>
          </cell>
          <cell r="AA27" t="str">
            <v>N/A</v>
          </cell>
          <cell r="AB27" t="str">
            <v>Summer 2025</v>
          </cell>
          <cell r="AC27" t="str">
            <v>No</v>
          </cell>
          <cell r="AD27" t="str">
            <v>Caleb</v>
          </cell>
          <cell r="AE27">
            <v>0</v>
          </cell>
          <cell r="AF27">
            <v>9.3000000000000007</v>
          </cell>
        </row>
        <row r="28">
          <cell r="A28" t="str">
            <v>23RPG026</v>
          </cell>
          <cell r="B28" t="str">
            <v>Y</v>
          </cell>
          <cell r="C28" t="e">
            <v>#N/A</v>
          </cell>
          <cell r="D28" t="str">
            <v>Check w/ Ying - Part of 23RPG029, used?</v>
          </cell>
          <cell r="H28" t="str">
            <v>part of 029</v>
          </cell>
          <cell r="I28" t="str">
            <v>N/A</v>
          </cell>
          <cell r="J28" t="str">
            <v>Synchronous Condensers Project</v>
          </cell>
          <cell r="K28" t="str">
            <v>WETT</v>
          </cell>
          <cell r="L28" t="str">
            <v>Dickens, Glasscock, Broden</v>
          </cell>
          <cell r="M28" t="str">
            <v>North, Far West</v>
          </cell>
          <cell r="N28">
            <v>468</v>
          </cell>
          <cell r="P28" t="str">
            <v>Tier 1</v>
          </cell>
          <cell r="R28">
            <v>45170</v>
          </cell>
          <cell r="S28">
            <v>45176</v>
          </cell>
          <cell r="T28">
            <v>45197</v>
          </cell>
          <cell r="V28">
            <v>45250</v>
          </cell>
          <cell r="W28">
            <v>45264</v>
          </cell>
          <cell r="X28">
            <v>45278</v>
          </cell>
          <cell r="Y28">
            <v>45279</v>
          </cell>
          <cell r="Z28">
            <v>45279</v>
          </cell>
          <cell r="AA28">
            <v>45257</v>
          </cell>
          <cell r="AB28">
            <v>46661</v>
          </cell>
          <cell r="AC28" t="str">
            <v>No</v>
          </cell>
          <cell r="AD28" t="str">
            <v>Ben</v>
          </cell>
          <cell r="AE28">
            <v>0</v>
          </cell>
          <cell r="AF28">
            <v>0</v>
          </cell>
        </row>
        <row r="29">
          <cell r="A29" t="str">
            <v>23RPG027</v>
          </cell>
          <cell r="B29" t="str">
            <v>Y</v>
          </cell>
          <cell r="C29" t="e">
            <v>#N/A</v>
          </cell>
          <cell r="D29" t="str">
            <v>Check w/ Ying - Part of 23RPG029, used?</v>
          </cell>
          <cell r="H29" t="str">
            <v>part of 029</v>
          </cell>
          <cell r="I29" t="str">
            <v>N/A</v>
          </cell>
          <cell r="J29" t="str">
            <v>Bakersfield Dynamic Reactive Substation Upgrade</v>
          </cell>
          <cell r="K29" t="str">
            <v>LCRA</v>
          </cell>
          <cell r="L29" t="str">
            <v>Pecos</v>
          </cell>
          <cell r="M29" t="str">
            <v>Far West</v>
          </cell>
          <cell r="N29">
            <v>145</v>
          </cell>
          <cell r="P29" t="str">
            <v>Tier 1</v>
          </cell>
          <cell r="R29">
            <v>45175</v>
          </cell>
          <cell r="S29">
            <v>45176</v>
          </cell>
          <cell r="T29">
            <v>45197</v>
          </cell>
          <cell r="V29">
            <v>45250</v>
          </cell>
          <cell r="W29">
            <v>45264</v>
          </cell>
          <cell r="X29">
            <v>45278</v>
          </cell>
          <cell r="Y29">
            <v>45279</v>
          </cell>
          <cell r="Z29">
            <v>45279</v>
          </cell>
          <cell r="AA29">
            <v>45257</v>
          </cell>
          <cell r="AB29">
            <v>46508</v>
          </cell>
          <cell r="AC29" t="str">
            <v>No</v>
          </cell>
          <cell r="AD29" t="str">
            <v>Ben</v>
          </cell>
          <cell r="AE29">
            <v>0</v>
          </cell>
          <cell r="AF29">
            <v>0</v>
          </cell>
        </row>
        <row r="30">
          <cell r="A30" t="str">
            <v>23RPG028</v>
          </cell>
          <cell r="B30" t="str">
            <v>Y</v>
          </cell>
          <cell r="C30" t="e">
            <v>#N/A</v>
          </cell>
          <cell r="J30" t="str">
            <v>Rio Medina Project</v>
          </cell>
          <cell r="K30" t="str">
            <v>STEC</v>
          </cell>
          <cell r="L30" t="str">
            <v>Medina</v>
          </cell>
          <cell r="M30" t="str">
            <v>Sorth Central</v>
          </cell>
          <cell r="N30">
            <v>38</v>
          </cell>
          <cell r="P30" t="str">
            <v>Tier 2</v>
          </cell>
          <cell r="R30">
            <v>45156</v>
          </cell>
          <cell r="S30">
            <v>45180</v>
          </cell>
          <cell r="T30">
            <v>45201</v>
          </cell>
          <cell r="V30">
            <v>45321</v>
          </cell>
          <cell r="W30" t="str">
            <v>N/A</v>
          </cell>
          <cell r="X30" t="str">
            <v>N/A</v>
          </cell>
          <cell r="Y30" t="str">
            <v>N/A</v>
          </cell>
          <cell r="AA30">
            <v>45321</v>
          </cell>
          <cell r="AB30">
            <v>46388</v>
          </cell>
          <cell r="AC30" t="str">
            <v>Yes</v>
          </cell>
          <cell r="AD30" t="str">
            <v>Abishek</v>
          </cell>
          <cell r="AE30">
            <v>13</v>
          </cell>
          <cell r="AF30">
            <v>0</v>
          </cell>
        </row>
        <row r="31">
          <cell r="A31" t="str">
            <v>23RPG029</v>
          </cell>
          <cell r="B31" t="str">
            <v>Y</v>
          </cell>
          <cell r="C31" t="e">
            <v>#N/A</v>
          </cell>
          <cell r="D31" t="str">
            <v>Y</v>
          </cell>
          <cell r="I31" t="str">
            <v>Y</v>
          </cell>
          <cell r="J31" t="str">
            <v>West Texas Synchronous Condenser Project</v>
          </cell>
          <cell r="K31" t="str">
            <v>ONCOR</v>
          </cell>
          <cell r="L31" t="str">
            <v>Ector, Scurry</v>
          </cell>
          <cell r="M31" t="str">
            <v>Far West</v>
          </cell>
          <cell r="N31">
            <v>280</v>
          </cell>
          <cell r="P31" t="str">
            <v>Tier 1</v>
          </cell>
          <cell r="R31">
            <v>45196</v>
          </cell>
          <cell r="S31">
            <v>45198</v>
          </cell>
          <cell r="T31">
            <v>45219</v>
          </cell>
          <cell r="V31">
            <v>45250</v>
          </cell>
          <cell r="W31">
            <v>45264</v>
          </cell>
          <cell r="X31">
            <v>45278</v>
          </cell>
          <cell r="Y31">
            <v>45279</v>
          </cell>
          <cell r="Z31">
            <v>45279</v>
          </cell>
          <cell r="AA31">
            <v>45257</v>
          </cell>
          <cell r="AB31">
            <v>46508</v>
          </cell>
          <cell r="AC31" t="str">
            <v>No</v>
          </cell>
          <cell r="AD31" t="str">
            <v>Ben</v>
          </cell>
          <cell r="AE31">
            <v>0</v>
          </cell>
          <cell r="AF31">
            <v>0</v>
          </cell>
        </row>
        <row r="32">
          <cell r="A32" t="str">
            <v>23RPG030</v>
          </cell>
          <cell r="B32" t="str">
            <v>Y</v>
          </cell>
          <cell r="C32" t="str">
            <v>23RPG030</v>
          </cell>
          <cell r="J32" t="str">
            <v>Walleye Creek 345/138-kV Switch Project</v>
          </cell>
          <cell r="K32" t="str">
            <v>ONCOR</v>
          </cell>
          <cell r="L32" t="str">
            <v>Milam</v>
          </cell>
          <cell r="M32" t="str">
            <v>Sorth Central</v>
          </cell>
          <cell r="N32">
            <v>74</v>
          </cell>
          <cell r="P32" t="str">
            <v>Tier 3</v>
          </cell>
          <cell r="R32">
            <v>45201</v>
          </cell>
          <cell r="S32">
            <v>45202</v>
          </cell>
          <cell r="T32">
            <v>45223</v>
          </cell>
          <cell r="V32">
            <v>45224</v>
          </cell>
          <cell r="W32" t="str">
            <v>N/A</v>
          </cell>
          <cell r="X32" t="str">
            <v>N/A</v>
          </cell>
          <cell r="Y32" t="str">
            <v>N/A</v>
          </cell>
          <cell r="Z32">
            <v>45229</v>
          </cell>
          <cell r="AA32" t="str">
            <v>N/A</v>
          </cell>
          <cell r="AB32">
            <v>45778</v>
          </cell>
          <cell r="AC32" t="str">
            <v>No</v>
          </cell>
          <cell r="AD32" t="str">
            <v>Ying</v>
          </cell>
          <cell r="AF32">
            <v>1.5</v>
          </cell>
        </row>
        <row r="33">
          <cell r="A33" t="str">
            <v>23RPG031</v>
          </cell>
          <cell r="B33" t="str">
            <v>Y</v>
          </cell>
          <cell r="C33" t="str">
            <v>23RPG031</v>
          </cell>
          <cell r="J33" t="str">
            <v>345 kV Jeanetta Autotransformer Upgrades Project</v>
          </cell>
          <cell r="K33" t="str">
            <v>CNP</v>
          </cell>
          <cell r="L33" t="str">
            <v>Harris</v>
          </cell>
          <cell r="M33" t="str">
            <v>Coast</v>
          </cell>
          <cell r="N33">
            <v>47.08</v>
          </cell>
          <cell r="P33" t="str">
            <v>Tier 3</v>
          </cell>
          <cell r="R33">
            <v>45202</v>
          </cell>
          <cell r="S33">
            <v>45203</v>
          </cell>
          <cell r="T33">
            <v>45224</v>
          </cell>
          <cell r="V33">
            <v>45225</v>
          </cell>
          <cell r="W33" t="str">
            <v>N/A</v>
          </cell>
          <cell r="X33" t="str">
            <v>N/A</v>
          </cell>
          <cell r="Y33" t="str">
            <v>N/A</v>
          </cell>
          <cell r="AA33" t="str">
            <v>N/A</v>
          </cell>
          <cell r="AB33" t="str">
            <v>Summer 2025</v>
          </cell>
          <cell r="AC33" t="str">
            <v>No</v>
          </cell>
          <cell r="AD33" t="str">
            <v>Caleb</v>
          </cell>
          <cell r="AE33">
            <v>0</v>
          </cell>
          <cell r="AF33">
            <v>0</v>
          </cell>
        </row>
        <row r="34">
          <cell r="A34" t="str">
            <v>23RPG032</v>
          </cell>
          <cell r="B34" t="str">
            <v>N</v>
          </cell>
          <cell r="C34" t="e">
            <v>#N/A</v>
          </cell>
          <cell r="J34" t="str">
            <v>San Miguel to Marion 345-KV Project</v>
          </cell>
          <cell r="K34" t="str">
            <v>BEC</v>
          </cell>
          <cell r="L34" t="str">
            <v>Guadalupe, Wilson, Atascosa</v>
          </cell>
          <cell r="M34" t="str">
            <v>South Central, Southern</v>
          </cell>
          <cell r="N34">
            <v>258.5</v>
          </cell>
          <cell r="P34" t="str">
            <v>Tier 1</v>
          </cell>
          <cell r="R34">
            <v>45202</v>
          </cell>
          <cell r="S34">
            <v>45204</v>
          </cell>
          <cell r="T34">
            <v>45225</v>
          </cell>
          <cell r="V34">
            <v>45375</v>
          </cell>
          <cell r="W34" t="str">
            <v/>
          </cell>
          <cell r="X34" t="str">
            <v/>
          </cell>
          <cell r="Y34" t="str">
            <v/>
          </cell>
          <cell r="AA34">
            <v>45375</v>
          </cell>
          <cell r="AB34" t="str">
            <v>2027</v>
          </cell>
          <cell r="AC34" t="str">
            <v>No</v>
          </cell>
          <cell r="AD34" t="str">
            <v>Caleb</v>
          </cell>
          <cell r="AE34">
            <v>0</v>
          </cell>
          <cell r="AF34">
            <v>77.3</v>
          </cell>
        </row>
        <row r="35">
          <cell r="A35" t="str">
            <v>23RPG033</v>
          </cell>
          <cell r="B35" t="str">
            <v>Y</v>
          </cell>
          <cell r="C35" t="e">
            <v>#N/A</v>
          </cell>
          <cell r="E35" t="str">
            <v>Y</v>
          </cell>
          <cell r="F35" t="str">
            <v>Topology need to be checked, refer to 24RTPv4 case, bus3083</v>
          </cell>
          <cell r="H35" t="str">
            <v>The upgrad is in the case. There were also additional lines added from a preliminary project that came from ONCOR</v>
          </cell>
          <cell r="J35" t="str">
            <v>Watermill to Seagoville 138 kV Line Project</v>
          </cell>
          <cell r="K35" t="str">
            <v>Oncor</v>
          </cell>
          <cell r="L35" t="str">
            <v>Dallas</v>
          </cell>
          <cell r="M35" t="str">
            <v>North Central</v>
          </cell>
          <cell r="N35">
            <v>33</v>
          </cell>
          <cell r="P35" t="str">
            <v>Tier 3</v>
          </cell>
          <cell r="R35">
            <v>45218</v>
          </cell>
          <cell r="S35">
            <v>45219</v>
          </cell>
          <cell r="T35">
            <v>45240</v>
          </cell>
          <cell r="V35">
            <v>45241</v>
          </cell>
          <cell r="W35" t="str">
            <v>N/A</v>
          </cell>
          <cell r="X35" t="str">
            <v>N/A</v>
          </cell>
          <cell r="Y35" t="str">
            <v>N/A</v>
          </cell>
          <cell r="Z35">
            <v>45250</v>
          </cell>
          <cell r="AA35" t="str">
            <v>N/A</v>
          </cell>
          <cell r="AB35">
            <v>45992</v>
          </cell>
          <cell r="AC35" t="str">
            <v>No</v>
          </cell>
          <cell r="AD35" t="str">
            <v>Tanzila</v>
          </cell>
          <cell r="AE35">
            <v>0</v>
          </cell>
          <cell r="AF35">
            <v>15.8</v>
          </cell>
        </row>
        <row r="36">
          <cell r="A36" t="str">
            <v>23RPG034</v>
          </cell>
          <cell r="B36" t="str">
            <v>Y~</v>
          </cell>
          <cell r="C36" t="e">
            <v>#N/A</v>
          </cell>
          <cell r="I36" t="str">
            <v>Y-Ying file</v>
          </cell>
          <cell r="J36" t="str">
            <v xml:space="preserve">West Texas 345-kV Infrastructure Rebuild Project </v>
          </cell>
          <cell r="K36" t="str">
            <v>Oncor</v>
          </cell>
          <cell r="L36" t="str">
            <v>Scurry, Mitchell, Howard, Glasscock, Martin, Midland, Ector</v>
          </cell>
          <cell r="M36" t="str">
            <v>West, Far West</v>
          </cell>
          <cell r="N36">
            <v>1120</v>
          </cell>
          <cell r="P36" t="str">
            <v>Tier 1</v>
          </cell>
          <cell r="R36">
            <v>45233</v>
          </cell>
          <cell r="S36">
            <v>45233</v>
          </cell>
          <cell r="T36">
            <v>45258</v>
          </cell>
          <cell r="V36">
            <v>45408</v>
          </cell>
          <cell r="X36" t="str">
            <v/>
          </cell>
          <cell r="AA36">
            <v>45408</v>
          </cell>
          <cell r="AB36" t="str">
            <v>Summer 2028</v>
          </cell>
          <cell r="AC36" t="str">
            <v>YES</v>
          </cell>
          <cell r="AD36" t="str">
            <v>Ben</v>
          </cell>
          <cell r="AE36">
            <v>94.4</v>
          </cell>
          <cell r="AF36">
            <v>204.7</v>
          </cell>
        </row>
        <row r="37">
          <cell r="A37" t="str">
            <v>22RPG022</v>
          </cell>
          <cell r="B37" t="str">
            <v>Y</v>
          </cell>
          <cell r="C37" t="str">
            <v>22RPG022</v>
          </cell>
          <cell r="J37" t="str">
            <v xml:space="preserve">Hondo Creek to Pearson 69 kV Transmission Line Rebuild Project </v>
          </cell>
          <cell r="K37" t="str">
            <v>STEC</v>
          </cell>
          <cell r="L37" t="str">
            <v>Medina</v>
          </cell>
          <cell r="M37" t="str">
            <v>South Central</v>
          </cell>
          <cell r="N37" t="str">
            <v>28 + 9.5</v>
          </cell>
          <cell r="P37" t="str">
            <v>Tier 2</v>
          </cell>
          <cell r="R37">
            <v>44775</v>
          </cell>
          <cell r="S37">
            <v>44776</v>
          </cell>
          <cell r="T37">
            <v>44797</v>
          </cell>
          <cell r="V37">
            <v>44901</v>
          </cell>
          <cell r="W37" t="str">
            <v>N/A</v>
          </cell>
          <cell r="Y37" t="str">
            <v>N/A</v>
          </cell>
          <cell r="Z37">
            <v>44903</v>
          </cell>
          <cell r="AA37">
            <v>44901</v>
          </cell>
          <cell r="AB37" t="str">
            <v>Dec 2023,
Jun 2024</v>
          </cell>
          <cell r="AC37" t="str">
            <v>May be</v>
          </cell>
          <cell r="AD37" t="str">
            <v>Ying</v>
          </cell>
          <cell r="AE37">
            <v>1.7</v>
          </cell>
          <cell r="AF37">
            <v>29</v>
          </cell>
        </row>
        <row r="38">
          <cell r="A38" t="str">
            <v>22RPG023</v>
          </cell>
          <cell r="B38" t="str">
            <v>Y</v>
          </cell>
          <cell r="C38" t="str">
            <v>22RPG023</v>
          </cell>
          <cell r="J38" t="str">
            <v xml:space="preserve">Hill Country Autotransformer Replacement Project </v>
          </cell>
          <cell r="K38" t="str">
            <v>CPS</v>
          </cell>
          <cell r="L38" t="str">
            <v>Bexar</v>
          </cell>
          <cell r="M38" t="str">
            <v>South Central</v>
          </cell>
          <cell r="N38">
            <v>6.9</v>
          </cell>
          <cell r="P38" t="str">
            <v>Tier 3</v>
          </cell>
          <cell r="R38">
            <v>44777</v>
          </cell>
          <cell r="S38">
            <v>44781</v>
          </cell>
          <cell r="T38">
            <v>44802</v>
          </cell>
          <cell r="V38">
            <v>44803</v>
          </cell>
          <cell r="W38" t="str">
            <v>N/A</v>
          </cell>
          <cell r="Y38" t="str">
            <v>N/A</v>
          </cell>
          <cell r="Z38">
            <v>44811</v>
          </cell>
          <cell r="AA38" t="str">
            <v>N/A</v>
          </cell>
          <cell r="AB38">
            <v>46143</v>
          </cell>
          <cell r="AC38" t="str">
            <v>No</v>
          </cell>
          <cell r="AD38" t="str">
            <v>Ben</v>
          </cell>
          <cell r="AE38">
            <v>0</v>
          </cell>
          <cell r="AF38">
            <v>0</v>
          </cell>
        </row>
        <row r="39">
          <cell r="A39" t="str">
            <v>22RPG025</v>
          </cell>
          <cell r="B39" t="str">
            <v>Y</v>
          </cell>
          <cell r="C39" t="e">
            <v>#N/A</v>
          </cell>
          <cell r="E39" t="str">
            <v>Y</v>
          </cell>
          <cell r="J39" t="str">
            <v>Yucca Drive – Courtney Creek 69 kV Line Conversion to 138 kV project</v>
          </cell>
          <cell r="K39" t="str">
            <v>Oncor</v>
          </cell>
          <cell r="L39" t="str">
            <v>Pecos</v>
          </cell>
          <cell r="M39" t="str">
            <v>Far West</v>
          </cell>
          <cell r="N39">
            <v>65</v>
          </cell>
          <cell r="P39" t="str">
            <v>Tier 3</v>
          </cell>
          <cell r="R39">
            <v>44796</v>
          </cell>
          <cell r="S39">
            <v>44797</v>
          </cell>
          <cell r="T39">
            <v>44819</v>
          </cell>
          <cell r="V39">
            <v>44820</v>
          </cell>
          <cell r="W39" t="str">
            <v>N/A</v>
          </cell>
          <cell r="Y39" t="str">
            <v>N/A</v>
          </cell>
          <cell r="Z39">
            <v>44839</v>
          </cell>
          <cell r="AA39" t="str">
            <v>N/A</v>
          </cell>
          <cell r="AB39" t="str">
            <v>Sum 2024</v>
          </cell>
          <cell r="AC39" t="str">
            <v>No</v>
          </cell>
          <cell r="AD39" t="str">
            <v>Ben</v>
          </cell>
          <cell r="AE39">
            <v>0</v>
          </cell>
          <cell r="AF39">
            <v>43</v>
          </cell>
        </row>
        <row r="40">
          <cell r="A40" t="str">
            <v>22RPG027</v>
          </cell>
          <cell r="B40" t="str">
            <v>Y</v>
          </cell>
          <cell r="C40" t="e">
            <v>#N/A</v>
          </cell>
          <cell r="E40" t="str">
            <v>Y-case has more (RR_345 777777)</v>
          </cell>
          <cell r="J40" t="str">
            <v>East Hutto Area 345/138 kV Project</v>
          </cell>
          <cell r="K40" t="str">
            <v>Oncor, LCRA</v>
          </cell>
          <cell r="L40" t="str">
            <v>Williamson</v>
          </cell>
          <cell r="M40" t="str">
            <v>South Central</v>
          </cell>
          <cell r="N40" t="str">
            <v>61.6 
(35.6 Oncor + 26.0 LCRA</v>
          </cell>
          <cell r="P40" t="str">
            <v>Tier 3</v>
          </cell>
          <cell r="R40">
            <v>44799</v>
          </cell>
          <cell r="S40">
            <v>44802</v>
          </cell>
          <cell r="T40">
            <v>44824</v>
          </cell>
          <cell r="V40">
            <v>44825</v>
          </cell>
          <cell r="W40" t="str">
            <v>N/A</v>
          </cell>
          <cell r="Y40" t="str">
            <v>N/A</v>
          </cell>
          <cell r="Z40">
            <v>44831</v>
          </cell>
          <cell r="AA40" t="str">
            <v>N/A</v>
          </cell>
          <cell r="AB40">
            <v>45261</v>
          </cell>
          <cell r="AC40" t="str">
            <v>No</v>
          </cell>
          <cell r="AD40" t="str">
            <v>Ying</v>
          </cell>
          <cell r="AE40">
            <v>0.3</v>
          </cell>
          <cell r="AF40">
            <v>0</v>
          </cell>
        </row>
        <row r="41">
          <cell r="A41" t="str">
            <v>22RPG032</v>
          </cell>
          <cell r="B41" t="str">
            <v>Y</v>
          </cell>
          <cell r="C41" t="e">
            <v>#N/A</v>
          </cell>
          <cell r="E41" t="str">
            <v>Y</v>
          </cell>
          <cell r="J41" t="str">
            <v>Tesoro 345/138 kV Switch Project</v>
          </cell>
          <cell r="K41" t="str">
            <v>Oncor</v>
          </cell>
          <cell r="L41" t="str">
            <v>Ector, Midland</v>
          </cell>
          <cell r="M41" t="str">
            <v>Far West</v>
          </cell>
          <cell r="N41">
            <v>50.2</v>
          </cell>
          <cell r="P41" t="str">
            <v>Tier 3</v>
          </cell>
          <cell r="R41">
            <v>44845</v>
          </cell>
          <cell r="S41">
            <v>44848</v>
          </cell>
          <cell r="T41">
            <v>44869</v>
          </cell>
          <cell r="V41">
            <v>44872</v>
          </cell>
          <cell r="W41" t="str">
            <v>N/A</v>
          </cell>
          <cell r="Y41" t="str">
            <v>N/A</v>
          </cell>
          <cell r="Z41">
            <v>44895</v>
          </cell>
          <cell r="AA41" t="str">
            <v>N/A</v>
          </cell>
          <cell r="AB41" t="str">
            <v>Sum 2023</v>
          </cell>
          <cell r="AC41" t="str">
            <v>No</v>
          </cell>
          <cell r="AD41" t="str">
            <v>Ying</v>
          </cell>
          <cell r="AE41">
            <v>0</v>
          </cell>
          <cell r="AF41">
            <v>0</v>
          </cell>
        </row>
        <row r="42">
          <cell r="A42" t="str">
            <v>22RPG047</v>
          </cell>
          <cell r="B42" t="str">
            <v>Y</v>
          </cell>
          <cell r="C42" t="e">
            <v>#N/A</v>
          </cell>
          <cell r="D42" t="str">
            <v>Y</v>
          </cell>
          <cell r="E42" t="str">
            <v>remove Estile cap?</v>
          </cell>
          <cell r="H42" t="str">
            <v>Y</v>
          </cell>
          <cell r="I42" t="str">
            <v>Y,andTPIT73434</v>
          </cell>
          <cell r="J42" t="str">
            <v>Peck to Driver 138 kV Line Project</v>
          </cell>
          <cell r="K42" t="str">
            <v>Oncor</v>
          </cell>
          <cell r="L42" t="str">
            <v>Glasscock</v>
          </cell>
          <cell r="M42" t="str">
            <v>Far West</v>
          </cell>
          <cell r="N42">
            <v>36.200000000000003</v>
          </cell>
          <cell r="P42" t="str">
            <v>Tier 2</v>
          </cell>
          <cell r="R42">
            <v>44922</v>
          </cell>
          <cell r="S42">
            <v>44922</v>
          </cell>
          <cell r="T42">
            <v>44945</v>
          </cell>
          <cell r="V42">
            <v>45058</v>
          </cell>
          <cell r="W42" t="str">
            <v>N/A</v>
          </cell>
          <cell r="Y42" t="str">
            <v>N/A</v>
          </cell>
          <cell r="Z42">
            <v>45065</v>
          </cell>
          <cell r="AA42">
            <v>45058</v>
          </cell>
          <cell r="AB42" t="str">
            <v>Sum 2024</v>
          </cell>
          <cell r="AC42" t="str">
            <v>Yes</v>
          </cell>
          <cell r="AD42" t="str">
            <v>Ying</v>
          </cell>
          <cell r="AE42">
            <v>4.0999999999999996</v>
          </cell>
          <cell r="AF42">
            <v>4</v>
          </cell>
        </row>
        <row r="43">
          <cell r="A43" t="str">
            <v>22RPG048</v>
          </cell>
          <cell r="B43" t="str">
            <v>Y</v>
          </cell>
          <cell r="C43" t="e">
            <v>#N/A</v>
          </cell>
          <cell r="D43" t="str">
            <v>Already in 2023RTP Final Case</v>
          </cell>
          <cell r="H43" t="str">
            <v>N/A</v>
          </cell>
          <cell r="I43" t="str">
            <v>N/A</v>
          </cell>
          <cell r="J43" t="str">
            <v>San Antonio South Reliability Project</v>
          </cell>
          <cell r="K43" t="str">
            <v>CPS</v>
          </cell>
          <cell r="L43" t="str">
            <v>Bexar, Atascosa</v>
          </cell>
          <cell r="M43" t="str">
            <v>South Central, Southern</v>
          </cell>
          <cell r="N43">
            <v>281</v>
          </cell>
          <cell r="O43">
            <v>329.1</v>
          </cell>
          <cell r="P43" t="str">
            <v>Tier 1</v>
          </cell>
          <cell r="R43">
            <v>44924</v>
          </cell>
          <cell r="S43">
            <v>44924</v>
          </cell>
          <cell r="T43">
            <v>44950</v>
          </cell>
          <cell r="V43">
            <v>45100</v>
          </cell>
          <cell r="W43">
            <v>45132</v>
          </cell>
          <cell r="Y43">
            <v>45169</v>
          </cell>
          <cell r="Z43">
            <v>45182</v>
          </cell>
          <cell r="AA43">
            <v>45100</v>
          </cell>
          <cell r="AB43">
            <v>46539</v>
          </cell>
          <cell r="AC43" t="str">
            <v>Yes</v>
          </cell>
          <cell r="AD43" t="str">
            <v>Caleb/Tanzila</v>
          </cell>
          <cell r="AE43">
            <v>50</v>
          </cell>
          <cell r="AF43">
            <v>20</v>
          </cell>
        </row>
        <row r="44">
          <cell r="A44" t="str">
            <v>22RPG021</v>
          </cell>
          <cell r="B44" t="str">
            <v>Y</v>
          </cell>
          <cell r="C44" t="str">
            <v>22RPG021</v>
          </cell>
          <cell r="J44" t="str">
            <v xml:space="preserve">Tawakoni Area Transmission Project </v>
          </cell>
          <cell r="K44" t="str">
            <v>REC</v>
          </cell>
          <cell r="L44" t="str">
            <v>Hunt</v>
          </cell>
          <cell r="M44" t="str">
            <v>North Central</v>
          </cell>
          <cell r="N44">
            <v>27.5</v>
          </cell>
          <cell r="O44">
            <v>42.4</v>
          </cell>
          <cell r="P44" t="str">
            <v>Tier 2</v>
          </cell>
          <cell r="R44">
            <v>44770</v>
          </cell>
          <cell r="S44">
            <v>44774</v>
          </cell>
          <cell r="T44">
            <v>44795</v>
          </cell>
          <cell r="V44">
            <v>44910</v>
          </cell>
          <cell r="W44" t="str">
            <v>N/A</v>
          </cell>
          <cell r="Y44" t="str">
            <v>N/A</v>
          </cell>
          <cell r="Z44" t="str">
            <v>N/A</v>
          </cell>
          <cell r="AA44">
            <v>44910</v>
          </cell>
          <cell r="AB44">
            <v>45444</v>
          </cell>
          <cell r="AC44" t="str">
            <v>Yes</v>
          </cell>
          <cell r="AD44" t="str">
            <v>Tanzila</v>
          </cell>
          <cell r="AE44">
            <v>8</v>
          </cell>
          <cell r="AF44">
            <v>0</v>
          </cell>
        </row>
        <row r="45">
          <cell r="A45" t="str">
            <v>22RPG024</v>
          </cell>
          <cell r="B45" t="str">
            <v>Y</v>
          </cell>
          <cell r="C45" t="e">
            <v>#N/A</v>
          </cell>
          <cell r="E45" t="str">
            <v>Y</v>
          </cell>
          <cell r="J45" t="str">
            <v>Wolf - Odessa EHV 138 kV Line Rebuild project</v>
          </cell>
          <cell r="K45" t="str">
            <v>Oncor</v>
          </cell>
          <cell r="L45" t="str">
            <v>Ward, Winkler, Ector</v>
          </cell>
          <cell r="M45" t="str">
            <v>Far West</v>
          </cell>
          <cell r="N45">
            <v>60.77</v>
          </cell>
          <cell r="P45" t="str">
            <v>Tier 3</v>
          </cell>
          <cell r="Q45" t="str">
            <v>Tier 4</v>
          </cell>
          <cell r="R45">
            <v>44792</v>
          </cell>
          <cell r="S45">
            <v>44795</v>
          </cell>
          <cell r="T45">
            <v>44817</v>
          </cell>
          <cell r="V45">
            <v>44818</v>
          </cell>
          <cell r="W45" t="str">
            <v>N/A</v>
          </cell>
          <cell r="Y45" t="str">
            <v>N/A</v>
          </cell>
          <cell r="Z45" t="str">
            <v>N/A</v>
          </cell>
          <cell r="AA45" t="str">
            <v>N/A</v>
          </cell>
          <cell r="AB45">
            <v>45261</v>
          </cell>
          <cell r="AC45" t="str">
            <v>No</v>
          </cell>
          <cell r="AD45" t="str">
            <v>Tanzila</v>
          </cell>
          <cell r="AE45">
            <v>0</v>
          </cell>
          <cell r="AF45">
            <v>41.9</v>
          </cell>
        </row>
        <row r="46">
          <cell r="A46" t="str">
            <v>22RPG026</v>
          </cell>
          <cell r="B46" t="str">
            <v>Y</v>
          </cell>
          <cell r="C46" t="e">
            <v>#N/A</v>
          </cell>
          <cell r="D46" t="str">
            <v>? - not in case, RPG recommend but not endors option 3, not TSP's preferred option 1. use it or not?</v>
          </cell>
          <cell r="E46" t="str">
            <v>it was in TIPT 73053(option3)( included it in last year's case?)</v>
          </cell>
          <cell r="H46" t="str">
            <v>Y</v>
          </cell>
          <cell r="I46" t="str">
            <v>Y</v>
          </cell>
          <cell r="J46" t="str">
            <v xml:space="preserve">Wimberley Loop project </v>
          </cell>
          <cell r="K46" t="str">
            <v>PEC</v>
          </cell>
          <cell r="L46" t="str">
            <v>Blanco, Hays</v>
          </cell>
          <cell r="M46" t="str">
            <v>South Central</v>
          </cell>
          <cell r="N46">
            <v>77.319999999999993</v>
          </cell>
          <cell r="O46">
            <v>61.93</v>
          </cell>
          <cell r="P46" t="str">
            <v>Tier 2</v>
          </cell>
          <cell r="R46">
            <v>44799</v>
          </cell>
          <cell r="S46">
            <v>44802</v>
          </cell>
          <cell r="T46">
            <v>44824</v>
          </cell>
          <cell r="V46">
            <v>44960</v>
          </cell>
          <cell r="W46" t="str">
            <v>N/A</v>
          </cell>
          <cell r="Y46" t="str">
            <v>N/A</v>
          </cell>
          <cell r="Z46" t="str">
            <v>N/A</v>
          </cell>
          <cell r="AA46">
            <v>44960</v>
          </cell>
          <cell r="AB46">
            <v>46508</v>
          </cell>
          <cell r="AC46" t="str">
            <v>Yes</v>
          </cell>
          <cell r="AD46" t="str">
            <v>Caleb/Ben</v>
          </cell>
          <cell r="AE46">
            <v>13.44</v>
          </cell>
          <cell r="AF46">
            <v>0</v>
          </cell>
        </row>
        <row r="47">
          <cell r="A47" t="str">
            <v>22RPG028</v>
          </cell>
          <cell r="B47" t="str">
            <v>Y</v>
          </cell>
          <cell r="C47" t="e">
            <v>#N/A</v>
          </cell>
          <cell r="E47" t="str">
            <v>Y</v>
          </cell>
          <cell r="J47" t="str">
            <v>Ballinger to Santa Anna 69 kV Transmission Line Rebuild Project</v>
          </cell>
          <cell r="K47" t="str">
            <v>AEPSC</v>
          </cell>
          <cell r="L47" t="str">
            <v>Coleman, Runnels</v>
          </cell>
          <cell r="M47" t="str">
            <v>West</v>
          </cell>
          <cell r="N47">
            <v>64.8</v>
          </cell>
          <cell r="P47" t="str">
            <v>Tier 3</v>
          </cell>
          <cell r="Q47" t="str">
            <v>Tier 4</v>
          </cell>
          <cell r="R47">
            <v>44802</v>
          </cell>
          <cell r="S47">
            <v>44802</v>
          </cell>
          <cell r="T47">
            <v>44824</v>
          </cell>
          <cell r="V47">
            <v>44825</v>
          </cell>
          <cell r="W47" t="str">
            <v>N/A</v>
          </cell>
          <cell r="Y47" t="str">
            <v>N/A</v>
          </cell>
          <cell r="Z47" t="str">
            <v>N/A</v>
          </cell>
          <cell r="AA47" t="str">
            <v>N/A</v>
          </cell>
          <cell r="AB47">
            <v>45962</v>
          </cell>
          <cell r="AC47" t="str">
            <v>No</v>
          </cell>
          <cell r="AD47" t="str">
            <v>Tanzila</v>
          </cell>
          <cell r="AE47">
            <v>0</v>
          </cell>
          <cell r="AF47">
            <v>39.4</v>
          </cell>
        </row>
        <row r="48">
          <cell r="A48" t="str">
            <v>22RPG029</v>
          </cell>
          <cell r="B48" t="str">
            <v>Y</v>
          </cell>
          <cell r="C48" t="e">
            <v>#N/A</v>
          </cell>
          <cell r="E48" t="str">
            <v>Y</v>
          </cell>
          <cell r="J48" t="str">
            <v>Fairland – Lago Vista Transmission Line Upgrade Project</v>
          </cell>
          <cell r="K48" t="str">
            <v>LCRA</v>
          </cell>
          <cell r="L48" t="str">
            <v>Burnet, Travis</v>
          </cell>
          <cell r="M48" t="str">
            <v>South Central</v>
          </cell>
          <cell r="N48">
            <v>26.9</v>
          </cell>
          <cell r="P48" t="str">
            <v>Tier 3</v>
          </cell>
          <cell r="Q48" t="str">
            <v>Tier 4</v>
          </cell>
          <cell r="R48">
            <v>44812</v>
          </cell>
          <cell r="S48">
            <v>44818</v>
          </cell>
          <cell r="T48">
            <v>44839</v>
          </cell>
          <cell r="V48">
            <v>44840</v>
          </cell>
          <cell r="W48" t="str">
            <v>N/A</v>
          </cell>
          <cell r="Y48" t="str">
            <v>N/A</v>
          </cell>
          <cell r="Z48" t="str">
            <v>N/A</v>
          </cell>
          <cell r="AA48" t="str">
            <v>N/A</v>
          </cell>
          <cell r="AB48">
            <v>45047</v>
          </cell>
          <cell r="AC48" t="str">
            <v>No</v>
          </cell>
          <cell r="AD48" t="str">
            <v>Ben</v>
          </cell>
          <cell r="AE48">
            <v>0</v>
          </cell>
          <cell r="AF48">
            <v>21</v>
          </cell>
        </row>
        <row r="49">
          <cell r="A49" t="str">
            <v>22RPG030</v>
          </cell>
          <cell r="B49" t="str">
            <v>Y</v>
          </cell>
          <cell r="C49" t="e">
            <v>#N/A</v>
          </cell>
          <cell r="E49" t="str">
            <v>Y</v>
          </cell>
          <cell r="J49" t="str">
            <v xml:space="preserve">CTEC Buchanan – Pitsburg Transmission Line Overhaul Project </v>
          </cell>
          <cell r="K49" t="str">
            <v>LCRA</v>
          </cell>
          <cell r="L49" t="str">
            <v>Llano</v>
          </cell>
          <cell r="M49" t="str">
            <v>West</v>
          </cell>
          <cell r="N49">
            <v>32.9</v>
          </cell>
          <cell r="P49" t="str">
            <v>Tier 3</v>
          </cell>
          <cell r="Q49" t="str">
            <v>Tier 4</v>
          </cell>
          <cell r="R49">
            <v>44812</v>
          </cell>
          <cell r="S49">
            <v>44818</v>
          </cell>
          <cell r="T49">
            <v>44839</v>
          </cell>
          <cell r="V49">
            <v>44840</v>
          </cell>
          <cell r="W49" t="str">
            <v>N/A</v>
          </cell>
          <cell r="Y49" t="str">
            <v>N/A</v>
          </cell>
          <cell r="Z49" t="str">
            <v>N/A</v>
          </cell>
          <cell r="AA49" t="str">
            <v>N/A</v>
          </cell>
          <cell r="AB49">
            <v>45078</v>
          </cell>
          <cell r="AC49" t="str">
            <v>No</v>
          </cell>
          <cell r="AD49" t="str">
            <v>Caleb</v>
          </cell>
          <cell r="AE49">
            <v>0</v>
          </cell>
          <cell r="AF49">
            <v>14.5</v>
          </cell>
        </row>
        <row r="50">
          <cell r="A50" t="str">
            <v>22RPG031</v>
          </cell>
          <cell r="B50" t="str">
            <v>Y</v>
          </cell>
          <cell r="C50" t="str">
            <v>22RPG031</v>
          </cell>
          <cell r="J50" t="str">
            <v>Lakeway - Marble Falls Transmission Line Strom Hardening Project</v>
          </cell>
          <cell r="K50" t="str">
            <v>LCRA, PEC</v>
          </cell>
          <cell r="L50" t="str">
            <v>Burnet, Travis</v>
          </cell>
          <cell r="M50" t="str">
            <v>South Central</v>
          </cell>
          <cell r="N50">
            <v>94.19</v>
          </cell>
          <cell r="P50" t="str">
            <v>Tier 3</v>
          </cell>
          <cell r="Q50" t="str">
            <v>Tier 4</v>
          </cell>
          <cell r="R50">
            <v>44840</v>
          </cell>
          <cell r="S50">
            <v>44846</v>
          </cell>
          <cell r="T50">
            <v>44867</v>
          </cell>
          <cell r="V50">
            <v>44868</v>
          </cell>
          <cell r="W50" t="str">
            <v>N/A</v>
          </cell>
          <cell r="Y50" t="str">
            <v>N/A</v>
          </cell>
          <cell r="Z50" t="str">
            <v>N/A</v>
          </cell>
          <cell r="AA50" t="str">
            <v>N/A</v>
          </cell>
          <cell r="AB50">
            <v>45792</v>
          </cell>
          <cell r="AC50" t="str">
            <v>No</v>
          </cell>
          <cell r="AD50" t="str">
            <v>Ben</v>
          </cell>
          <cell r="AE50">
            <v>0</v>
          </cell>
          <cell r="AF50">
            <v>24.3</v>
          </cell>
        </row>
        <row r="51">
          <cell r="A51" t="str">
            <v>22RPG033</v>
          </cell>
          <cell r="B51" t="str">
            <v>Y</v>
          </cell>
          <cell r="C51" t="e">
            <v>#N/A</v>
          </cell>
          <cell r="E51" t="str">
            <v>Y</v>
          </cell>
          <cell r="J51" t="str">
            <v xml:space="preserve">Mountain Top-Blanco-Devils Hill Line Rebuild and Voltage Upgrade Project </v>
          </cell>
          <cell r="K51" t="str">
            <v>PEC</v>
          </cell>
          <cell r="L51" t="str">
            <v>Blanco, Comal</v>
          </cell>
          <cell r="M51" t="str">
            <v>South Central</v>
          </cell>
          <cell r="N51">
            <v>37</v>
          </cell>
          <cell r="P51" t="str">
            <v>Tier 3</v>
          </cell>
          <cell r="Q51" t="str">
            <v>Tier 4</v>
          </cell>
          <cell r="R51">
            <v>44855</v>
          </cell>
          <cell r="S51">
            <v>44855</v>
          </cell>
          <cell r="T51">
            <v>44876</v>
          </cell>
          <cell r="V51">
            <v>44879</v>
          </cell>
          <cell r="W51" t="str">
            <v>N/A</v>
          </cell>
          <cell r="Y51" t="str">
            <v>N/A</v>
          </cell>
          <cell r="Z51" t="str">
            <v>N/A</v>
          </cell>
          <cell r="AA51" t="str">
            <v>N/A</v>
          </cell>
          <cell r="AB51">
            <v>46204</v>
          </cell>
          <cell r="AC51" t="str">
            <v>No</v>
          </cell>
          <cell r="AD51" t="str">
            <v>Caleb/Ben</v>
          </cell>
          <cell r="AE51">
            <v>0</v>
          </cell>
          <cell r="AF51">
            <v>22.5</v>
          </cell>
        </row>
        <row r="52">
          <cell r="A52" t="str">
            <v>22RPG034</v>
          </cell>
          <cell r="B52" t="str">
            <v>Y</v>
          </cell>
          <cell r="C52" t="e">
            <v>#N/A</v>
          </cell>
          <cell r="E52" t="str">
            <v>Y</v>
          </cell>
          <cell r="J52" t="str">
            <v>Temple – Minerva 69 kV Line Rebuild project</v>
          </cell>
          <cell r="K52" t="str">
            <v>Oncor</v>
          </cell>
          <cell r="L52" t="str">
            <v>Bell, Milam</v>
          </cell>
          <cell r="M52" t="str">
            <v>North Central, South Central</v>
          </cell>
          <cell r="N52">
            <v>54.92</v>
          </cell>
          <cell r="P52" t="str">
            <v>Tier 3</v>
          </cell>
          <cell r="Q52" t="str">
            <v>Tier 4</v>
          </cell>
          <cell r="R52">
            <v>44858</v>
          </cell>
          <cell r="S52">
            <v>44861</v>
          </cell>
          <cell r="T52">
            <v>44882</v>
          </cell>
          <cell r="V52">
            <v>44883</v>
          </cell>
          <cell r="W52" t="str">
            <v>N/A</v>
          </cell>
          <cell r="Y52" t="str">
            <v>N/A</v>
          </cell>
          <cell r="Z52" t="str">
            <v>N/A</v>
          </cell>
          <cell r="AA52" t="str">
            <v>N/A</v>
          </cell>
          <cell r="AB52">
            <v>45992</v>
          </cell>
          <cell r="AC52" t="str">
            <v>No</v>
          </cell>
          <cell r="AD52" t="str">
            <v>Tanzila</v>
          </cell>
          <cell r="AE52">
            <v>0</v>
          </cell>
          <cell r="AF52">
            <v>33.5</v>
          </cell>
        </row>
        <row r="53">
          <cell r="A53" t="str">
            <v>22RPG035</v>
          </cell>
          <cell r="B53" t="str">
            <v>Y</v>
          </cell>
          <cell r="C53" t="e">
            <v>#N/A</v>
          </cell>
          <cell r="E53" t="str">
            <v>Y</v>
          </cell>
          <cell r="J53" t="str">
            <v>Palestine - Crockett 69 kV Line Rebuild project</v>
          </cell>
          <cell r="K53" t="str">
            <v>Oncor</v>
          </cell>
          <cell r="L53" t="str">
            <v>Anderson, Houston</v>
          </cell>
          <cell r="M53" t="str">
            <v>East</v>
          </cell>
          <cell r="N53">
            <v>50.89</v>
          </cell>
          <cell r="P53" t="str">
            <v>Tier 3</v>
          </cell>
          <cell r="Q53" t="str">
            <v>Tier 4</v>
          </cell>
          <cell r="R53">
            <v>44858</v>
          </cell>
          <cell r="S53">
            <v>44861</v>
          </cell>
          <cell r="T53">
            <v>44882</v>
          </cell>
          <cell r="V53">
            <v>44883</v>
          </cell>
          <cell r="W53" t="str">
            <v>N/A</v>
          </cell>
          <cell r="Y53" t="str">
            <v>N/A</v>
          </cell>
          <cell r="Z53" t="str">
            <v>N/A</v>
          </cell>
          <cell r="AA53" t="str">
            <v>N/A</v>
          </cell>
          <cell r="AB53">
            <v>45901</v>
          </cell>
          <cell r="AC53" t="str">
            <v>No</v>
          </cell>
          <cell r="AD53" t="str">
            <v>Tanzila</v>
          </cell>
          <cell r="AE53">
            <v>0</v>
          </cell>
          <cell r="AF53">
            <v>28</v>
          </cell>
        </row>
        <row r="54">
          <cell r="A54" t="str">
            <v>22RPG036</v>
          </cell>
          <cell r="B54" t="str">
            <v>Y</v>
          </cell>
          <cell r="C54" t="e">
            <v>#N/A</v>
          </cell>
          <cell r="E54" t="str">
            <v>Y</v>
          </cell>
          <cell r="J54" t="str">
            <v>Taylor Switch – Holland 69 kV Line Section Rebuild</v>
          </cell>
          <cell r="K54" t="str">
            <v>Oncor</v>
          </cell>
          <cell r="L54" t="str">
            <v>Bell, Williamson</v>
          </cell>
          <cell r="M54" t="str">
            <v>North Central, South Central</v>
          </cell>
          <cell r="N54">
            <v>60.8</v>
          </cell>
          <cell r="P54" t="str">
            <v>Tier 3</v>
          </cell>
          <cell r="Q54" t="str">
            <v>Tier 4</v>
          </cell>
          <cell r="R54">
            <v>44859</v>
          </cell>
          <cell r="S54">
            <v>44861</v>
          </cell>
          <cell r="T54">
            <v>44882</v>
          </cell>
          <cell r="V54">
            <v>44883</v>
          </cell>
          <cell r="W54" t="str">
            <v>N/A</v>
          </cell>
          <cell r="Y54" t="str">
            <v>N/A</v>
          </cell>
          <cell r="Z54" t="str">
            <v>N/A</v>
          </cell>
          <cell r="AA54" t="str">
            <v>N/A</v>
          </cell>
          <cell r="AB54">
            <v>46266</v>
          </cell>
          <cell r="AC54" t="str">
            <v>No</v>
          </cell>
          <cell r="AD54" t="str">
            <v>Ying</v>
          </cell>
          <cell r="AE54">
            <v>0</v>
          </cell>
          <cell r="AF54">
            <v>23.9</v>
          </cell>
        </row>
        <row r="55">
          <cell r="A55" t="str">
            <v>22RPG037</v>
          </cell>
          <cell r="B55" t="str">
            <v>Y</v>
          </cell>
          <cell r="C55" t="str">
            <v>22RPG037</v>
          </cell>
          <cell r="J55" t="str">
            <v xml:space="preserve">West Columbia to Burke 138 kV ckt 02 Rebuild Project </v>
          </cell>
          <cell r="K55" t="str">
            <v>CNP</v>
          </cell>
          <cell r="L55" t="str">
            <v>Brazoria, Fort Bend</v>
          </cell>
          <cell r="M55" t="str">
            <v>Coast</v>
          </cell>
          <cell r="N55">
            <v>43.22</v>
          </cell>
          <cell r="P55" t="str">
            <v>Tier 3</v>
          </cell>
          <cell r="Q55" t="str">
            <v>Tier 4</v>
          </cell>
          <cell r="R55">
            <v>44861</v>
          </cell>
          <cell r="S55">
            <v>44865</v>
          </cell>
          <cell r="T55">
            <v>44886</v>
          </cell>
          <cell r="V55">
            <v>44887</v>
          </cell>
          <cell r="W55" t="str">
            <v>N/A</v>
          </cell>
          <cell r="Y55" t="str">
            <v>N/A</v>
          </cell>
          <cell r="Z55" t="str">
            <v>N/A</v>
          </cell>
          <cell r="AA55" t="str">
            <v>N/A</v>
          </cell>
          <cell r="AB55" t="str">
            <v>Sum 2023</v>
          </cell>
          <cell r="AC55" t="str">
            <v>No</v>
          </cell>
          <cell r="AD55" t="str">
            <v>Ying</v>
          </cell>
          <cell r="AE55">
            <v>0</v>
          </cell>
          <cell r="AF55">
            <v>6.45</v>
          </cell>
        </row>
        <row r="56">
          <cell r="A56" t="str">
            <v>22RPG038</v>
          </cell>
          <cell r="B56" t="str">
            <v>Y</v>
          </cell>
          <cell r="C56" t="str">
            <v>22RPG038</v>
          </cell>
          <cell r="J56" t="str">
            <v xml:space="preserve">Clute Substation Addition Project </v>
          </cell>
          <cell r="K56" t="str">
            <v>CNP</v>
          </cell>
          <cell r="L56" t="str">
            <v>Brazoria</v>
          </cell>
          <cell r="M56" t="str">
            <v>Coast</v>
          </cell>
          <cell r="N56">
            <v>46.2</v>
          </cell>
          <cell r="P56" t="str">
            <v>Tier 3</v>
          </cell>
          <cell r="R56">
            <v>44866</v>
          </cell>
          <cell r="S56">
            <v>44869</v>
          </cell>
          <cell r="T56">
            <v>44894</v>
          </cell>
          <cell r="V56">
            <v>44896</v>
          </cell>
          <cell r="W56" t="str">
            <v>N/A</v>
          </cell>
          <cell r="Y56" t="str">
            <v>N/A</v>
          </cell>
          <cell r="Z56" t="str">
            <v>N/A</v>
          </cell>
          <cell r="AA56" t="str">
            <v>N/A</v>
          </cell>
          <cell r="AB56" t="str">
            <v>Sum 2025</v>
          </cell>
          <cell r="AC56" t="str">
            <v>No</v>
          </cell>
          <cell r="AD56" t="str">
            <v>Ben</v>
          </cell>
          <cell r="AE56">
            <v>0</v>
          </cell>
          <cell r="AF56">
            <v>0</v>
          </cell>
        </row>
        <row r="57">
          <cell r="A57" t="str">
            <v>22RPG039</v>
          </cell>
          <cell r="B57" t="str">
            <v>Y</v>
          </cell>
          <cell r="C57" t="e">
            <v>#N/A</v>
          </cell>
          <cell r="E57" t="str">
            <v>Y(MOD62445)</v>
          </cell>
          <cell r="J57" t="str">
            <v xml:space="preserve">Eagle Mountain 345/138 kV Switch Rebuild Project </v>
          </cell>
          <cell r="K57" t="str">
            <v>Oncor</v>
          </cell>
          <cell r="L57" t="str">
            <v>Tarrant</v>
          </cell>
          <cell r="M57" t="str">
            <v>North Central</v>
          </cell>
          <cell r="N57">
            <v>57</v>
          </cell>
          <cell r="P57" t="str">
            <v>Tier 3</v>
          </cell>
          <cell r="Q57" t="str">
            <v>Tier 4</v>
          </cell>
          <cell r="R57">
            <v>44868</v>
          </cell>
          <cell r="S57">
            <v>44873</v>
          </cell>
          <cell r="T57">
            <v>44896</v>
          </cell>
          <cell r="V57">
            <v>44897</v>
          </cell>
          <cell r="W57" t="str">
            <v>N/A</v>
          </cell>
          <cell r="Y57" t="str">
            <v>N/A</v>
          </cell>
          <cell r="Z57" t="str">
            <v>N/A</v>
          </cell>
          <cell r="AA57" t="str">
            <v>N/A</v>
          </cell>
          <cell r="AB57">
            <v>45413</v>
          </cell>
          <cell r="AC57" t="str">
            <v>No</v>
          </cell>
          <cell r="AD57" t="str">
            <v>Ying</v>
          </cell>
          <cell r="AE57">
            <v>0</v>
          </cell>
          <cell r="AF57">
            <v>0</v>
          </cell>
        </row>
        <row r="58">
          <cell r="A58" t="str">
            <v>22RPG040</v>
          </cell>
          <cell r="B58" t="str">
            <v>Y</v>
          </cell>
          <cell r="C58" t="str">
            <v>22RPG040</v>
          </cell>
          <cell r="J58" t="str">
            <v xml:space="preserve">Dupont to Joslin 138 kV Line Rebuild Project </v>
          </cell>
          <cell r="K58" t="str">
            <v>AEPSC</v>
          </cell>
          <cell r="L58" t="str">
            <v>Calhoun, Victoria</v>
          </cell>
          <cell r="M58" t="str">
            <v>Coast</v>
          </cell>
          <cell r="N58">
            <v>46.4</v>
          </cell>
          <cell r="P58" t="str">
            <v>Tier 3</v>
          </cell>
          <cell r="Q58" t="str">
            <v>Tier 4</v>
          </cell>
          <cell r="R58">
            <v>44875</v>
          </cell>
          <cell r="S58">
            <v>44879</v>
          </cell>
          <cell r="T58">
            <v>44902</v>
          </cell>
          <cell r="V58">
            <v>44903</v>
          </cell>
          <cell r="W58" t="str">
            <v>N/A</v>
          </cell>
          <cell r="Y58" t="str">
            <v>N/A</v>
          </cell>
          <cell r="Z58" t="str">
            <v>N/A</v>
          </cell>
          <cell r="AA58" t="str">
            <v>N/A</v>
          </cell>
          <cell r="AB58">
            <v>45778</v>
          </cell>
          <cell r="AC58" t="str">
            <v>No</v>
          </cell>
          <cell r="AD58" t="str">
            <v>Ying</v>
          </cell>
          <cell r="AE58">
            <v>0</v>
          </cell>
          <cell r="AF58">
            <v>32.6</v>
          </cell>
        </row>
        <row r="59">
          <cell r="A59" t="str">
            <v>22RPG041</v>
          </cell>
          <cell r="B59" t="str">
            <v>Y</v>
          </cell>
          <cell r="C59" t="e">
            <v>#N/A</v>
          </cell>
          <cell r="E59" t="str">
            <v>Y</v>
          </cell>
          <cell r="J59" t="str">
            <v xml:space="preserve">Sienna to Dewalt to Missouri City 138 kV ckt 02 Line Rebuild Project </v>
          </cell>
          <cell r="K59" t="str">
            <v>CNP</v>
          </cell>
          <cell r="L59" t="str">
            <v>Fort Bend</v>
          </cell>
          <cell r="M59" t="str">
            <v>Coast</v>
          </cell>
          <cell r="N59">
            <v>56.03</v>
          </cell>
          <cell r="P59" t="str">
            <v>Tier 3</v>
          </cell>
          <cell r="Q59" t="str">
            <v>Tier 4</v>
          </cell>
          <cell r="R59">
            <v>44882</v>
          </cell>
          <cell r="S59">
            <v>44886</v>
          </cell>
          <cell r="T59">
            <v>44909</v>
          </cell>
          <cell r="V59">
            <v>44910</v>
          </cell>
          <cell r="W59" t="str">
            <v>N/A</v>
          </cell>
          <cell r="Y59" t="str">
            <v>N/A</v>
          </cell>
          <cell r="Z59" t="str">
            <v>N/A</v>
          </cell>
          <cell r="AA59" t="str">
            <v>N/A</v>
          </cell>
          <cell r="AB59" t="str">
            <v>Sum 2024</v>
          </cell>
          <cell r="AC59" t="str">
            <v>No</v>
          </cell>
          <cell r="AD59" t="str">
            <v>Ben</v>
          </cell>
          <cell r="AE59">
            <v>0</v>
          </cell>
          <cell r="AF59">
            <v>9.08</v>
          </cell>
        </row>
        <row r="60">
          <cell r="A60" t="str">
            <v>22RPG042</v>
          </cell>
          <cell r="B60" t="str">
            <v>Y</v>
          </cell>
          <cell r="C60" t="e">
            <v>#N/A</v>
          </cell>
          <cell r="E60" t="str">
            <v>N</v>
          </cell>
          <cell r="F60" t="str">
            <v>idv from MOD</v>
          </cell>
          <cell r="G60">
            <v>46173</v>
          </cell>
          <cell r="H60" t="str">
            <v>Aux file created</v>
          </cell>
          <cell r="I60" t="str">
            <v>Y</v>
          </cell>
          <cell r="J60" t="str">
            <v>Carver to Maxwell 138 kV Line Rebuild Project</v>
          </cell>
          <cell r="K60" t="str">
            <v>AEPSC</v>
          </cell>
          <cell r="L60" t="str">
            <v>Sutton, Val Verde</v>
          </cell>
          <cell r="M60" t="str">
            <v>West</v>
          </cell>
          <cell r="N60">
            <v>69.099999999999994</v>
          </cell>
          <cell r="P60" t="str">
            <v>Tier 3</v>
          </cell>
          <cell r="Q60" t="str">
            <v>Tier 4</v>
          </cell>
          <cell r="R60">
            <v>44895</v>
          </cell>
          <cell r="S60">
            <v>44897</v>
          </cell>
          <cell r="T60">
            <v>44922</v>
          </cell>
          <cell r="V60">
            <v>44923</v>
          </cell>
          <cell r="W60" t="str">
            <v>N/A</v>
          </cell>
          <cell r="Y60" t="str">
            <v>N/A</v>
          </cell>
          <cell r="Z60" t="str">
            <v>N/A</v>
          </cell>
          <cell r="AA60" t="str">
            <v>N/A</v>
          </cell>
          <cell r="AB60">
            <v>46327</v>
          </cell>
          <cell r="AC60" t="str">
            <v>No</v>
          </cell>
          <cell r="AD60" t="str">
            <v>Ben</v>
          </cell>
          <cell r="AE60">
            <v>0</v>
          </cell>
          <cell r="AF60">
            <v>59.8</v>
          </cell>
        </row>
      </sheetData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art"/>
      <sheetName val="Source Data"/>
      <sheetName val="Base Forecast"/>
      <sheetName val="Low Price Sensitivity"/>
      <sheetName val="High Price Sensitivity"/>
    </sheetNames>
    <sheetDataSet>
      <sheetData sheetId="0" refreshError="1"/>
      <sheetData sheetId="1">
        <row r="6">
          <cell r="B6">
            <v>1.0490526806996927</v>
          </cell>
          <cell r="C6">
            <v>0.99736929898704696</v>
          </cell>
          <cell r="D6">
            <v>0.93424134813632753</v>
          </cell>
          <cell r="E6">
            <v>0.95841509433651473</v>
          </cell>
          <cell r="F6">
            <v>0.9832616584971523</v>
          </cell>
          <cell r="G6">
            <v>0.99968209826584198</v>
          </cell>
          <cell r="H6">
            <v>0.97660921677481227</v>
          </cell>
          <cell r="I6">
            <v>0.99062691406733816</v>
          </cell>
          <cell r="J6">
            <v>0.99004341693106079</v>
          </cell>
          <cell r="K6">
            <v>1.028322720731131</v>
          </cell>
          <cell r="L6">
            <v>1.0241628086400618</v>
          </cell>
          <cell r="M6">
            <v>1.0682127439330198</v>
          </cell>
        </row>
        <row r="11">
          <cell r="C11">
            <v>2023</v>
          </cell>
          <cell r="D11">
            <v>2024</v>
          </cell>
          <cell r="E11">
            <v>2025</v>
          </cell>
          <cell r="F11">
            <v>2026</v>
          </cell>
          <cell r="G11">
            <v>2027</v>
          </cell>
          <cell r="H11">
            <v>2028</v>
          </cell>
          <cell r="I11">
            <v>2029</v>
          </cell>
          <cell r="J11">
            <v>2030</v>
          </cell>
        </row>
        <row r="12">
          <cell r="C12">
            <v>5.4840799999999996</v>
          </cell>
          <cell r="D12">
            <v>4.3442369999999997</v>
          </cell>
          <cell r="E12">
            <v>3.8034059999999998</v>
          </cell>
          <cell r="F12">
            <v>3.4125000000000001</v>
          </cell>
          <cell r="G12">
            <v>3.244545</v>
          </cell>
          <cell r="H12">
            <v>3.252955</v>
          </cell>
          <cell r="I12">
            <v>3.3542079999999999</v>
          </cell>
          <cell r="J12">
            <v>3.5351439999999998</v>
          </cell>
        </row>
        <row r="13">
          <cell r="C13">
            <v>4.8383390000000004</v>
          </cell>
          <cell r="D13">
            <v>3.684005</v>
          </cell>
          <cell r="E13">
            <v>3.1834440000000002</v>
          </cell>
          <cell r="F13">
            <v>2.9215460000000002</v>
          </cell>
          <cell r="G13">
            <v>2.8298299999999998</v>
          </cell>
          <cell r="H13">
            <v>2.8177189999999999</v>
          </cell>
          <cell r="I13">
            <v>2.9336009999999999</v>
          </cell>
          <cell r="J13">
            <v>3.115211</v>
          </cell>
        </row>
        <row r="14">
          <cell r="C14">
            <v>6.5245519999999999</v>
          </cell>
          <cell r="D14">
            <v>6.1361400000000001</v>
          </cell>
          <cell r="E14">
            <v>5.9557209999999996</v>
          </cell>
          <cell r="F14">
            <v>5.6810450000000001</v>
          </cell>
          <cell r="G14">
            <v>5.5333860000000001</v>
          </cell>
          <cell r="H14">
            <v>5.6622529999999998</v>
          </cell>
          <cell r="I14">
            <v>5.8660240000000003</v>
          </cell>
          <cell r="J14">
            <v>6.0259840000000002</v>
          </cell>
        </row>
      </sheetData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Custom 8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mis.ercot.com/secure/data-products/grid/generation?id=PG3-1411-M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.bin"/><Relationship Id="rId2" Type="http://schemas.openxmlformats.org/officeDocument/2006/relationships/hyperlink" Target="http://www.ercot.com/gridinfo/resource" TargetMode="External"/><Relationship Id="rId1" Type="http://schemas.openxmlformats.org/officeDocument/2006/relationships/hyperlink" Target="http://www.ercot.com/gridinfo/resource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showGridLines="0" workbookViewId="0">
      <selection activeCell="B5" sqref="B5"/>
    </sheetView>
  </sheetViews>
  <sheetFormatPr defaultRowHeight="15"/>
  <cols>
    <col min="1" max="1" width="15.5703125" customWidth="1"/>
    <col min="2" max="2" width="50.140625" bestFit="1" customWidth="1"/>
    <col min="3" max="3" width="16.28515625" bestFit="1" customWidth="1"/>
    <col min="4" max="4" width="30.42578125" style="7" bestFit="1" customWidth="1"/>
  </cols>
  <sheetData>
    <row r="1" spans="1:4" ht="30">
      <c r="A1" s="68" t="s">
        <v>14</v>
      </c>
      <c r="B1" s="69" t="s">
        <v>15</v>
      </c>
      <c r="C1" s="69" t="s">
        <v>18</v>
      </c>
      <c r="D1" s="70" t="s">
        <v>29</v>
      </c>
    </row>
    <row r="2" spans="1:4">
      <c r="A2" s="187" t="s">
        <v>0</v>
      </c>
      <c r="B2" s="187"/>
      <c r="C2" s="187"/>
      <c r="D2" s="187"/>
    </row>
    <row r="3" spans="1:4">
      <c r="A3" s="71">
        <v>4.3</v>
      </c>
      <c r="B3" s="72" t="s">
        <v>1</v>
      </c>
      <c r="C3" s="81" t="str">
        <f>'Start Cases'!B2</f>
        <v>Final</v>
      </c>
      <c r="D3" s="73">
        <f>IF('Start Cases'!B1= "","N/A",'Start Cases'!B1)</f>
        <v>45345</v>
      </c>
    </row>
    <row r="4" spans="1:4">
      <c r="A4" s="74">
        <v>4.3</v>
      </c>
      <c r="B4" s="75" t="s">
        <v>82</v>
      </c>
      <c r="C4" s="81" t="str">
        <f>'Recently Approved RPG Projects'!C2</f>
        <v>Final</v>
      </c>
      <c r="D4" s="73">
        <f>'Recently Approved RPG Projects'!C1</f>
        <v>45511</v>
      </c>
    </row>
    <row r="5" spans="1:4">
      <c r="A5" s="71">
        <v>4.3</v>
      </c>
      <c r="B5" s="75" t="s">
        <v>83</v>
      </c>
      <c r="C5" s="81" t="str">
        <f>'Model Updates &amp; Corrections'!B2</f>
        <v>Final</v>
      </c>
      <c r="D5" s="73">
        <f>'Model Updates &amp; Corrections'!B1</f>
        <v>45515</v>
      </c>
    </row>
    <row r="6" spans="1:4">
      <c r="A6" s="71" t="s">
        <v>2</v>
      </c>
      <c r="B6" s="72" t="s">
        <v>3</v>
      </c>
      <c r="C6" s="81" t="str">
        <f>'Transmission &amp; Gen Outages'!B2</f>
        <v>Final</v>
      </c>
      <c r="D6" s="73">
        <f>IF('Transmission &amp; Gen Outages'!B1= "","N/A",'Transmission &amp; Gen Outages'!B1)</f>
        <v>45345</v>
      </c>
    </row>
    <row r="7" spans="1:4" s="14" customFormat="1">
      <c r="A7" s="188" t="s">
        <v>4</v>
      </c>
      <c r="B7" s="188"/>
      <c r="C7" s="188"/>
      <c r="D7" s="188"/>
    </row>
    <row r="8" spans="1:4">
      <c r="A8" s="71" t="s">
        <v>5</v>
      </c>
      <c r="B8" s="72" t="s">
        <v>32</v>
      </c>
      <c r="C8" s="81" t="str">
        <f>'Gen Add, Ret. and Mothball'!B2</f>
        <v>Final</v>
      </c>
      <c r="D8" s="73">
        <f>'Gen Add, Ret. and Mothball'!B1</f>
        <v>45345</v>
      </c>
    </row>
    <row r="9" spans="1:4">
      <c r="A9" s="71" t="s">
        <v>6</v>
      </c>
      <c r="B9" s="75" t="s">
        <v>84</v>
      </c>
      <c r="C9" s="81" t="str">
        <f>'Renewable Generation Dispatch'!B2</f>
        <v>Final</v>
      </c>
      <c r="D9" s="73">
        <f>IF('Renewable Generation Dispatch'!B1= "","N/A",'Renewable Generation Dispatch'!B1)</f>
        <v>45345</v>
      </c>
    </row>
    <row r="10" spans="1:4">
      <c r="A10" s="71" t="s">
        <v>7</v>
      </c>
      <c r="B10" s="76" t="s">
        <v>38</v>
      </c>
      <c r="C10" s="81" t="str">
        <f>'Switchable Generation'!B2</f>
        <v>Final</v>
      </c>
      <c r="D10" s="77">
        <f>IF('Switchable Generation'!B1= "","N/A",'Switchable Generation'!B1)</f>
        <v>45345</v>
      </c>
    </row>
    <row r="11" spans="1:4">
      <c r="A11" s="71" t="s">
        <v>8</v>
      </c>
      <c r="B11" s="75" t="s">
        <v>85</v>
      </c>
      <c r="C11" s="81" t="str">
        <f>'DC Tie Modeling &amp; Dispatch'!B2</f>
        <v>Final</v>
      </c>
      <c r="D11" s="73">
        <f>IF('DC Tie Modeling &amp; Dispatch'!B1= "","N/A",'DC Tie Modeling &amp; Dispatch'!B1)</f>
        <v>45345</v>
      </c>
    </row>
    <row r="12" spans="1:4">
      <c r="A12" s="78" t="s">
        <v>9</v>
      </c>
      <c r="B12" s="76" t="s">
        <v>10</v>
      </c>
      <c r="C12" s="81" t="str">
        <f>'Reserve Requirement'!B2</f>
        <v>Final</v>
      </c>
      <c r="D12" s="73">
        <f>IF('Reserve Requirement'!B1= "","N/A",'Reserve Requirement'!B1)</f>
        <v>45345</v>
      </c>
    </row>
    <row r="13" spans="1:4">
      <c r="A13" s="71" t="s">
        <v>11</v>
      </c>
      <c r="B13" s="75" t="s">
        <v>86</v>
      </c>
      <c r="C13" s="81" t="str">
        <f>'Fuel Price Assumptions'!B2</f>
        <v>Final</v>
      </c>
      <c r="D13" s="73">
        <f>IF('Fuel Price Assumptions'!B1= "","N/A",'Fuel Price Assumptions'!B1)</f>
        <v>45321</v>
      </c>
    </row>
    <row r="14" spans="1:4">
      <c r="A14" s="71" t="s">
        <v>11</v>
      </c>
      <c r="B14" s="72" t="s">
        <v>12</v>
      </c>
      <c r="C14" s="81" t="str">
        <f>'Emission Cost Assumptions'!B2</f>
        <v>Final</v>
      </c>
      <c r="D14" s="73">
        <f>IF('Emission Cost Assumptions'!B1= "","N/A",'Emission Cost Assumptions'!B1)</f>
        <v>45352</v>
      </c>
    </row>
    <row r="15" spans="1:4">
      <c r="A15" s="187" t="s">
        <v>13</v>
      </c>
      <c r="B15" s="187"/>
      <c r="C15" s="187"/>
      <c r="D15" s="187"/>
    </row>
    <row r="16" spans="1:4">
      <c r="A16" s="79">
        <v>3.3</v>
      </c>
      <c r="B16" s="76" t="s">
        <v>87</v>
      </c>
      <c r="C16" s="82" t="str">
        <f>'Economic Case-Load Forecast'!B2</f>
        <v>Final</v>
      </c>
      <c r="D16" s="80">
        <f>IF('Economic Case-Load Forecast'!B1= "","N/A",'Economic Case-Load Forecast'!B1)</f>
        <v>45418</v>
      </c>
    </row>
  </sheetData>
  <mergeCells count="3">
    <mergeCell ref="A2:D2"/>
    <mergeCell ref="A7:D7"/>
    <mergeCell ref="A15:D15"/>
  </mergeCells>
  <hyperlinks>
    <hyperlink ref="A3" location="'Start Cases'!A1" display="3.1.1" xr:uid="{00000000-0004-0000-0000-000000000000}"/>
    <hyperlink ref="A4" location="'Recently approved RPG project'!A1" display="3.1.2" xr:uid="{00000000-0004-0000-0000-000001000000}"/>
    <hyperlink ref="A5" location="'Model updates &amp; corrections'!A1" display="3.1.2" xr:uid="{00000000-0004-0000-0000-000002000000}"/>
    <hyperlink ref="A5:B5" location="'Model updates &amp; corrections'!A1" display="3.1.2" xr:uid="{00000000-0004-0000-0000-000003000000}"/>
    <hyperlink ref="A4:B4" location="'Recently Approved RPG Projects'!A1" display="3.1.2" xr:uid="{00000000-0004-0000-0000-000004000000}"/>
    <hyperlink ref="A3:B3" location="'Start Cases'!A1" display="3.1.1" xr:uid="{00000000-0004-0000-0000-000005000000}"/>
    <hyperlink ref="A6:B6" location="'Transmission &amp; Gen Outages'!A1" display="3.1.3" xr:uid="{00000000-0004-0000-0000-000006000000}"/>
    <hyperlink ref="A8:B8" location="'Gen add, ret. and mothball'!A1" display="3.2.1" xr:uid="{00000000-0004-0000-0000-000007000000}"/>
    <hyperlink ref="A9:B9" location="'Renewable Generation Dispatch'!A1" display="3.2.2" xr:uid="{00000000-0004-0000-0000-000008000000}"/>
    <hyperlink ref="A10:B10" location="'Switchable Generation'!A1" display="3.2.3" xr:uid="{00000000-0004-0000-0000-000009000000}"/>
    <hyperlink ref="A11:B11" location="'DC Tie modeling &amp; dispatch'!A1" display="3.2.4" xr:uid="{00000000-0004-0000-0000-00000A000000}"/>
    <hyperlink ref="A12:B12" location="'Reserve Requirement'!A1" display="3.2.5" xr:uid="{00000000-0004-0000-0000-00000B000000}"/>
    <hyperlink ref="A13:B13" location="'Fuel Price Assumptions'!A1" display="3.2.6" xr:uid="{00000000-0004-0000-0000-00000C000000}"/>
    <hyperlink ref="A14:B14" location="'Emission Cost Assumptions'!A1" display="3.2.6" xr:uid="{00000000-0004-0000-0000-00000D000000}"/>
    <hyperlink ref="B10" location="'Switchable Generation'!A1" display="Switchable Generation " xr:uid="{00000000-0004-0000-0000-00000E000000}"/>
    <hyperlink ref="B4" location="'Recently Approved RPG Projects'!A1" display="Recently Approved RPG Projects" xr:uid="{00000000-0004-0000-0000-00000F000000}"/>
    <hyperlink ref="B5" location="'Model updates &amp; corrections'!A1" display="Model Updates/Corrections" xr:uid="{00000000-0004-0000-0000-000010000000}"/>
    <hyperlink ref="B9" location="'Renewable Generation Dispatch'!A1" display="Renewable Generation Dispatch" xr:uid="{00000000-0004-0000-0000-000011000000}"/>
    <hyperlink ref="B11" location="'DC Tie modeling &amp; dispatch'!A1" display="DC Tie Modeling and Dispatch" xr:uid="{00000000-0004-0000-0000-000012000000}"/>
    <hyperlink ref="B13" location="'Fuel Price Assumptions'!A1" display="Fuel Price Assumptions" xr:uid="{00000000-0004-0000-0000-000013000000}"/>
    <hyperlink ref="B16" location="'Economic Case-Load Forecast'!A1" display="Load Forecast (Economic) Weather Year Assumption" xr:uid="{00000000-0004-0000-0000-000014000000}"/>
    <hyperlink ref="A16" location="'Economic Case-Load Forecast'!A1" display="3.3.1" xr:uid="{00000000-0004-0000-0000-000015000000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workbookViewId="0">
      <selection activeCell="C18" sqref="C18"/>
    </sheetView>
  </sheetViews>
  <sheetFormatPr defaultColWidth="9.140625" defaultRowHeight="15"/>
  <cols>
    <col min="1" max="1" width="41.5703125" style="14" bestFit="1" customWidth="1"/>
    <col min="2" max="2" width="10.7109375" style="15" bestFit="1" customWidth="1"/>
    <col min="3" max="16384" width="9.140625" style="14"/>
  </cols>
  <sheetData>
    <row r="1" spans="1:3">
      <c r="A1" s="14" t="s">
        <v>16</v>
      </c>
      <c r="B1" s="67">
        <v>45345</v>
      </c>
      <c r="C1" s="118" t="s">
        <v>17</v>
      </c>
    </row>
    <row r="2" spans="1:3">
      <c r="A2" s="14" t="s">
        <v>18</v>
      </c>
      <c r="B2" s="15" t="s">
        <v>105</v>
      </c>
    </row>
    <row r="5" spans="1:3">
      <c r="A5" s="9" t="s">
        <v>191</v>
      </c>
      <c r="B5" s="43"/>
    </row>
  </sheetData>
  <hyperlinks>
    <hyperlink ref="C1" location="Index!A1" display="Back" xr:uid="{00000000-0004-0000-01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5"/>
  <sheetViews>
    <sheetView workbookViewId="0">
      <selection activeCell="A5" sqref="A5"/>
    </sheetView>
  </sheetViews>
  <sheetFormatPr defaultColWidth="9.140625" defaultRowHeight="15"/>
  <cols>
    <col min="1" max="1" width="13.85546875" style="14" bestFit="1" customWidth="1"/>
    <col min="2" max="2" width="79.140625" style="14" customWidth="1"/>
    <col min="3" max="3" width="21.28515625" style="14" customWidth="1"/>
    <col min="4" max="4" width="21.85546875" style="14" bestFit="1" customWidth="1"/>
    <col min="5" max="6" width="9.7109375" style="14" bestFit="1" customWidth="1"/>
    <col min="7" max="16384" width="9.140625" style="14"/>
  </cols>
  <sheetData>
    <row r="1" spans="1:6">
      <c r="B1" s="14" t="s">
        <v>16</v>
      </c>
      <c r="C1" s="103">
        <v>45511</v>
      </c>
      <c r="D1" s="62" t="s">
        <v>17</v>
      </c>
    </row>
    <row r="2" spans="1:6">
      <c r="B2" s="14" t="s">
        <v>18</v>
      </c>
      <c r="C2" s="29" t="s">
        <v>105</v>
      </c>
    </row>
    <row r="3" spans="1:6">
      <c r="C3" s="29"/>
    </row>
    <row r="4" spans="1:6" ht="15.75" thickBot="1"/>
    <row r="5" spans="1:6" ht="15.75" thickBot="1">
      <c r="A5" s="177" t="s">
        <v>106</v>
      </c>
      <c r="B5" s="178" t="s">
        <v>46</v>
      </c>
      <c r="C5" s="179" t="s">
        <v>72</v>
      </c>
      <c r="D5" s="179" t="s">
        <v>73</v>
      </c>
      <c r="E5" s="179">
        <v>2026</v>
      </c>
      <c r="F5" s="180">
        <v>2029</v>
      </c>
    </row>
    <row r="6" spans="1:6">
      <c r="A6" s="119" t="s">
        <v>456</v>
      </c>
      <c r="B6" s="119" t="str">
        <f>VLOOKUP(A6,'[1]2023'!$A$2:$AF$60, 10,FALSE)</f>
        <v xml:space="preserve">Wimberley Loop project </v>
      </c>
      <c r="C6" s="119" t="str">
        <f>VLOOKUP(A6,'[1]2023'!$A$2:$AF$60, 11,FALSE)</f>
        <v>PEC</v>
      </c>
      <c r="D6" s="119">
        <v>2023</v>
      </c>
      <c r="E6" s="119"/>
      <c r="F6" s="119" t="s">
        <v>71</v>
      </c>
    </row>
    <row r="7" spans="1:6">
      <c r="A7" s="119" t="s">
        <v>457</v>
      </c>
      <c r="B7" s="119" t="str">
        <f>VLOOKUP(A7,'[1]2023'!$A$2:$AF$60, 10,FALSE)</f>
        <v>Carver to Maxwell 138 kV Line Rebuild Project</v>
      </c>
      <c r="C7" s="119" t="str">
        <f>VLOOKUP(A7,'[1]2023'!$A$2:$AF$60, 11,FALSE)</f>
        <v>AEPSC</v>
      </c>
      <c r="D7" s="119">
        <v>2022</v>
      </c>
      <c r="E7" s="119" t="s">
        <v>71</v>
      </c>
      <c r="F7" s="119" t="s">
        <v>71</v>
      </c>
    </row>
    <row r="8" spans="1:6">
      <c r="A8" s="119" t="s">
        <v>144</v>
      </c>
      <c r="B8" s="119" t="str">
        <f>VLOOKUP(A8,'[1]2023'!$A$2:$AF$60, 10,FALSE)</f>
        <v>Peck to Driver 138 kV Line Project</v>
      </c>
      <c r="C8" s="119" t="str">
        <f>VLOOKUP(A8,'[1]2023'!$A$2:$AF$60, 11,FALSE)</f>
        <v>Oncor</v>
      </c>
      <c r="D8" s="119">
        <v>2023</v>
      </c>
      <c r="E8" s="119" t="s">
        <v>71</v>
      </c>
      <c r="F8" s="119" t="s">
        <v>71</v>
      </c>
    </row>
    <row r="9" spans="1:6">
      <c r="A9" s="119" t="s">
        <v>458</v>
      </c>
      <c r="B9" s="119" t="str">
        <f>VLOOKUP(A9,'[1]2023'!$A$2:$AF$60, 10,FALSE)</f>
        <v>Bessel to Falfurrias 138 kV Line Rebuild Project</v>
      </c>
      <c r="C9" s="119" t="str">
        <f>VLOOKUP(A9,'[1]2023'!$A$2:$AF$60, 11,FALSE)</f>
        <v xml:space="preserve">AEPSC </v>
      </c>
      <c r="D9" s="119">
        <v>2023</v>
      </c>
      <c r="E9" s="119" t="s">
        <v>71</v>
      </c>
      <c r="F9" s="119" t="s">
        <v>71</v>
      </c>
    </row>
    <row r="10" spans="1:6">
      <c r="A10" s="119" t="s">
        <v>459</v>
      </c>
      <c r="B10" s="119" t="str">
        <f>VLOOKUP(A10,'[1]2023'!$A$2:$AF$60, 10,FALSE)</f>
        <v>Lockhart to Luling 69-kV Transmission Line Overhaul Project</v>
      </c>
      <c r="C10" s="119" t="str">
        <f>VLOOKUP(A10,'[1]2023'!$A$2:$AF$60, 11,FALSE)</f>
        <v>LCRA</v>
      </c>
      <c r="D10" s="119">
        <v>2023</v>
      </c>
      <c r="E10" s="119" t="s">
        <v>71</v>
      </c>
      <c r="F10" s="119" t="s">
        <v>71</v>
      </c>
    </row>
    <row r="11" spans="1:6">
      <c r="A11" s="119" t="s">
        <v>460</v>
      </c>
      <c r="B11" s="119" t="str">
        <f>VLOOKUP(A11,'[1]2023'!$A$2:$AF$60, 10,FALSE)</f>
        <v>North Lake 138 kV Switch Rebuild</v>
      </c>
      <c r="C11" s="119" t="str">
        <f>VLOOKUP(A11,'[1]2023'!$A$2:$AF$60, 11,FALSE)</f>
        <v>Oncor</v>
      </c>
      <c r="D11" s="119">
        <v>2023</v>
      </c>
      <c r="E11" s="119" t="s">
        <v>71</v>
      </c>
      <c r="F11" s="119" t="s">
        <v>71</v>
      </c>
    </row>
    <row r="12" spans="1:6">
      <c r="A12" s="119" t="s">
        <v>461</v>
      </c>
      <c r="B12" s="119" t="str">
        <f>VLOOKUP(A12,'[1]2023'!$A$2:$AF$60, 10,FALSE)</f>
        <v xml:space="preserve">Stone Lake Area Upgrades Project </v>
      </c>
      <c r="C12" s="119" t="str">
        <f>VLOOKUP(A12,'[1]2023'!$A$2:$AF$60, 11,FALSE)</f>
        <v>CNP</v>
      </c>
      <c r="D12" s="119">
        <v>2023</v>
      </c>
      <c r="E12" s="119" t="s">
        <v>71</v>
      </c>
      <c r="F12" s="119" t="s">
        <v>71</v>
      </c>
    </row>
    <row r="13" spans="1:6">
      <c r="A13" s="119" t="s">
        <v>462</v>
      </c>
      <c r="B13" s="119" t="str">
        <f>VLOOKUP(A13,'[1]2023'!$A$2:$AF$60, 10,FALSE)</f>
        <v xml:space="preserve">Silverleaf and Cowpen 345/138-kV Stations Project </v>
      </c>
      <c r="C13" s="119" t="str">
        <f>VLOOKUP(A13,'[1]2023'!$A$2:$AF$60, 11,FALSE)</f>
        <v>TNMP</v>
      </c>
      <c r="D13" s="119">
        <v>2023</v>
      </c>
      <c r="E13" s="119"/>
      <c r="F13" s="119" t="s">
        <v>71</v>
      </c>
    </row>
    <row r="14" spans="1:6">
      <c r="A14" s="119" t="s">
        <v>463</v>
      </c>
      <c r="B14" s="119" t="str">
        <f>VLOOKUP(A14,'[1]2023'!$A$2:$AF$60, 10,FALSE)</f>
        <v xml:space="preserve">Cuero Substation Upgrade Project </v>
      </c>
      <c r="C14" s="119" t="str">
        <f>VLOOKUP(A14,'[1]2023'!$A$2:$AF$60, 11,FALSE)</f>
        <v>LCRA</v>
      </c>
      <c r="D14" s="119">
        <v>2023</v>
      </c>
      <c r="E14" s="119" t="s">
        <v>71</v>
      </c>
      <c r="F14" s="119" t="s">
        <v>71</v>
      </c>
    </row>
    <row r="15" spans="1:6">
      <c r="A15" s="119" t="s">
        <v>464</v>
      </c>
      <c r="B15" s="119" t="str">
        <f>VLOOKUP(A15,'[1]2023'!$A$2:$AF$60, 10,FALSE)</f>
        <v>Tributary Switch – Vincent Rebuild Project</v>
      </c>
      <c r="C15" s="119" t="str">
        <f>VLOOKUP(A15,'[1]2023'!$A$2:$AF$60, 11,FALSE)</f>
        <v>ONCOR</v>
      </c>
      <c r="D15" s="119">
        <v>2023</v>
      </c>
      <c r="E15" s="119" t="s">
        <v>71</v>
      </c>
      <c r="F15" s="119" t="s">
        <v>71</v>
      </c>
    </row>
    <row r="16" spans="1:6">
      <c r="A16" s="119" t="s">
        <v>465</v>
      </c>
      <c r="B16" s="119" t="str">
        <f>VLOOKUP(A16,'[1]2023'!$A$2:$AF$60, 10,FALSE)</f>
        <v xml:space="preserve">Arlington Reliability Enhancement Project </v>
      </c>
      <c r="C16" s="119" t="str">
        <f>VLOOKUP(A16,'[1]2023'!$A$2:$AF$60, 11,FALSE)</f>
        <v>ONCOR</v>
      </c>
      <c r="D16" s="119">
        <v>2023</v>
      </c>
      <c r="E16" s="119" t="s">
        <v>71</v>
      </c>
      <c r="F16" s="119" t="s">
        <v>71</v>
      </c>
    </row>
    <row r="17" spans="1:6">
      <c r="A17" s="119" t="s">
        <v>466</v>
      </c>
      <c r="B17" s="119" t="str">
        <f>VLOOKUP(A17,'[1]2023'!$A$2:$AF$60, 10,FALSE)</f>
        <v>Stanton Loop South Dynamic Reactive Power Project</v>
      </c>
      <c r="C17" s="119" t="str">
        <f>VLOOKUP(A17,'[1]2023'!$A$2:$AF$60, 11,FALSE)</f>
        <v>ONCOR</v>
      </c>
      <c r="D17" s="119">
        <v>2023</v>
      </c>
      <c r="E17" s="119" t="s">
        <v>71</v>
      </c>
      <c r="F17" s="119" t="s">
        <v>71</v>
      </c>
    </row>
    <row r="18" spans="1:6">
      <c r="A18" s="119" t="s">
        <v>467</v>
      </c>
      <c r="B18" s="119" t="str">
        <f>VLOOKUP(A18,'[1]2023'!$A$2:$AF$60, 10,FALSE)</f>
        <v>West Columbia to Big Creek ckt 89 Reconductor Project</v>
      </c>
      <c r="C18" s="119" t="str">
        <f>VLOOKUP(A18,'[1]2023'!$A$2:$AF$60, 11,FALSE)</f>
        <v>CNP</v>
      </c>
      <c r="D18" s="119">
        <v>2023</v>
      </c>
      <c r="E18" s="119" t="s">
        <v>71</v>
      </c>
      <c r="F18" s="119" t="s">
        <v>71</v>
      </c>
    </row>
    <row r="19" spans="1:6">
      <c r="A19" s="119" t="s">
        <v>468</v>
      </c>
      <c r="B19" s="119" t="str">
        <f>VLOOKUP(A19,'[1]2023'!$A$2:$AF$60, 10,FALSE)</f>
        <v>Pecos County Transmission Improvement Projet</v>
      </c>
      <c r="C19" s="119" t="str">
        <f>VLOOKUP(A19,'[1]2023'!$A$2:$AF$60, 11,FALSE)</f>
        <v>TNMP</v>
      </c>
      <c r="D19" s="119">
        <v>2024</v>
      </c>
      <c r="E19" s="119"/>
      <c r="F19" s="119" t="s">
        <v>71</v>
      </c>
    </row>
    <row r="20" spans="1:6">
      <c r="A20" s="119" t="s">
        <v>469</v>
      </c>
      <c r="B20" s="119" t="str">
        <f>VLOOKUP(A20,'[1]2023'!$A$2:$AF$60, 10,FALSE)</f>
        <v>Synchronous Condensers Project</v>
      </c>
      <c r="C20" s="119" t="str">
        <f>VLOOKUP(A20,'[1]2023'!$A$2:$AF$60, 11,FALSE)</f>
        <v>WETT</v>
      </c>
      <c r="D20" s="119">
        <v>2023</v>
      </c>
      <c r="E20" s="119"/>
      <c r="F20" s="119" t="s">
        <v>71</v>
      </c>
    </row>
    <row r="21" spans="1:6">
      <c r="A21" s="119" t="s">
        <v>470</v>
      </c>
      <c r="B21" s="119" t="str">
        <f>VLOOKUP(A21,'[1]2023'!$A$2:$AF$60, 10,FALSE)</f>
        <v>Bakersfield Dynamic Reactive Substation Upgrade</v>
      </c>
      <c r="C21" s="119" t="str">
        <f>VLOOKUP(A21,'[1]2023'!$A$2:$AF$60, 11,FALSE)</f>
        <v>LCRA</v>
      </c>
      <c r="D21" s="119">
        <v>2023</v>
      </c>
      <c r="E21" s="119"/>
      <c r="F21" s="119" t="s">
        <v>71</v>
      </c>
    </row>
    <row r="22" spans="1:6">
      <c r="A22" s="119" t="s">
        <v>471</v>
      </c>
      <c r="B22" s="119" t="str">
        <f>VLOOKUP(A22,'[1]2023'!$A$2:$AF$60, 10,FALSE)</f>
        <v>Rio Medina Project</v>
      </c>
      <c r="C22" s="119" t="str">
        <f>VLOOKUP(A22,'[1]2023'!$A$2:$AF$60, 11,FALSE)</f>
        <v>STEC</v>
      </c>
      <c r="D22" s="119">
        <v>2024</v>
      </c>
      <c r="E22" s="119"/>
      <c r="F22" s="119" t="s">
        <v>71</v>
      </c>
    </row>
    <row r="23" spans="1:6">
      <c r="A23" s="119" t="s">
        <v>472</v>
      </c>
      <c r="B23" s="119" t="str">
        <f>VLOOKUP(A23,'[1]2023'!$A$2:$AF$60, 10,FALSE)</f>
        <v>West Texas Synchronous Condenser Project</v>
      </c>
      <c r="C23" s="119" t="str">
        <f>VLOOKUP(A23,'[1]2023'!$A$2:$AF$60, 11,FALSE)</f>
        <v>ONCOR</v>
      </c>
      <c r="D23" s="119">
        <v>2023</v>
      </c>
      <c r="E23" s="119"/>
      <c r="F23" s="119" t="s">
        <v>71</v>
      </c>
    </row>
    <row r="24" spans="1:6">
      <c r="A24" s="119" t="s">
        <v>473</v>
      </c>
      <c r="B24" s="119" t="str">
        <f>VLOOKUP(A24,'[1]2023'!$A$2:$AF$60, 10,FALSE)</f>
        <v xml:space="preserve">West Texas 345-kV Infrastructure Rebuild Project </v>
      </c>
      <c r="C24" s="119" t="str">
        <f>VLOOKUP(A24,'[1]2023'!$A$2:$AF$60, 11,FALSE)</f>
        <v>Oncor</v>
      </c>
      <c r="D24" s="119">
        <v>2024</v>
      </c>
      <c r="E24" s="119"/>
      <c r="F24" s="119" t="s">
        <v>71</v>
      </c>
    </row>
    <row r="25" spans="1:6">
      <c r="A25" s="119" t="s">
        <v>508</v>
      </c>
      <c r="B25" s="119" t="s">
        <v>509</v>
      </c>
      <c r="C25" s="119" t="s">
        <v>510</v>
      </c>
      <c r="D25" s="119">
        <v>2024</v>
      </c>
      <c r="E25" s="119"/>
      <c r="F25" s="119" t="s">
        <v>71</v>
      </c>
    </row>
    <row r="26" spans="1:6" ht="30">
      <c r="A26" s="119" t="s">
        <v>511</v>
      </c>
      <c r="B26" s="119" t="s">
        <v>512</v>
      </c>
      <c r="C26" s="119" t="s">
        <v>517</v>
      </c>
      <c r="D26" s="119">
        <v>2024</v>
      </c>
      <c r="E26" s="119" t="s">
        <v>71</v>
      </c>
      <c r="F26" s="119" t="s">
        <v>71</v>
      </c>
    </row>
    <row r="27" spans="1:6">
      <c r="A27" s="119" t="s">
        <v>513</v>
      </c>
      <c r="B27" s="119" t="s">
        <v>514</v>
      </c>
      <c r="C27" s="119" t="s">
        <v>517</v>
      </c>
      <c r="D27" s="119">
        <v>2024</v>
      </c>
      <c r="E27" s="119" t="s">
        <v>71</v>
      </c>
      <c r="F27" s="119" t="s">
        <v>71</v>
      </c>
    </row>
    <row r="28" spans="1:6" ht="30">
      <c r="A28" s="119" t="s">
        <v>515</v>
      </c>
      <c r="B28" s="119" t="s">
        <v>516</v>
      </c>
      <c r="C28" s="119" t="s">
        <v>517</v>
      </c>
      <c r="D28" s="119">
        <v>2024</v>
      </c>
      <c r="E28" s="119" t="s">
        <v>71</v>
      </c>
      <c r="F28" s="119" t="s">
        <v>71</v>
      </c>
    </row>
    <row r="29" spans="1:6">
      <c r="A29" s="119" t="s">
        <v>518</v>
      </c>
      <c r="B29" s="119" t="s">
        <v>519</v>
      </c>
      <c r="C29" s="119" t="s">
        <v>520</v>
      </c>
      <c r="D29" s="119">
        <v>2024</v>
      </c>
      <c r="E29" s="119"/>
      <c r="F29" s="119" t="s">
        <v>71</v>
      </c>
    </row>
    <row r="30" spans="1:6">
      <c r="A30" s="119" t="s">
        <v>533</v>
      </c>
      <c r="B30" s="119" t="s">
        <v>531</v>
      </c>
      <c r="C30" s="119" t="s">
        <v>506</v>
      </c>
      <c r="D30" s="119">
        <v>2024</v>
      </c>
      <c r="E30" s="119"/>
      <c r="F30" s="119" t="s">
        <v>71</v>
      </c>
    </row>
    <row r="31" spans="1:6">
      <c r="A31" s="119" t="s">
        <v>534</v>
      </c>
      <c r="B31" s="119" t="s">
        <v>532</v>
      </c>
      <c r="C31" s="119" t="s">
        <v>506</v>
      </c>
      <c r="D31" s="119">
        <v>2024</v>
      </c>
      <c r="E31" s="119"/>
      <c r="F31" s="119" t="s">
        <v>71</v>
      </c>
    </row>
    <row r="32" spans="1:6">
      <c r="A32" s="119" t="s">
        <v>508</v>
      </c>
      <c r="B32" s="119" t="s">
        <v>509</v>
      </c>
      <c r="C32" s="119" t="s">
        <v>510</v>
      </c>
      <c r="D32" s="119">
        <v>2024</v>
      </c>
      <c r="E32" s="119"/>
      <c r="F32" s="119" t="s">
        <v>71</v>
      </c>
    </row>
    <row r="33" spans="1:6">
      <c r="A33" s="119"/>
      <c r="B33" s="119"/>
      <c r="C33" s="119"/>
      <c r="D33" s="119"/>
      <c r="E33" s="119"/>
      <c r="F33" s="119"/>
    </row>
    <row r="34" spans="1:6">
      <c r="A34" s="119"/>
      <c r="B34" s="119"/>
      <c r="C34" s="119"/>
      <c r="D34" s="119"/>
      <c r="E34" s="119"/>
      <c r="F34" s="119"/>
    </row>
    <row r="35" spans="1:6">
      <c r="A35" s="119"/>
      <c r="B35" s="119"/>
      <c r="C35" s="119"/>
      <c r="D35" s="119"/>
      <c r="E35" s="119"/>
      <c r="F35" s="119"/>
    </row>
  </sheetData>
  <sortState xmlns:xlrd2="http://schemas.microsoft.com/office/spreadsheetml/2017/richdata2" ref="B5:F14">
    <sortCondition ref="C5:C14"/>
    <sortCondition ref="B5:B14"/>
  </sortState>
  <hyperlinks>
    <hyperlink ref="D1" location="Index!A1" display="Back" xr:uid="{00000000-0004-0000-0200-000000000000}"/>
  </hyperlinks>
  <pageMargins left="0.7" right="0.7" top="0.75" bottom="0.75" header="0.3" footer="0.3"/>
  <pageSetup orientation="portrait" horizontalDpi="90" verticalDpi="9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0"/>
  <sheetViews>
    <sheetView tabSelected="1" workbookViewId="0"/>
  </sheetViews>
  <sheetFormatPr defaultColWidth="9.140625" defaultRowHeight="15"/>
  <cols>
    <col min="1" max="1" width="75" style="23" customWidth="1"/>
    <col min="2" max="2" width="18.28515625" style="9" customWidth="1"/>
    <col min="3" max="4" width="9.7109375" style="9" bestFit="1" customWidth="1"/>
    <col min="5" max="5" width="52.28515625" style="23" customWidth="1"/>
    <col min="6" max="16384" width="9.140625" style="9"/>
  </cols>
  <sheetData>
    <row r="1" spans="1:5">
      <c r="A1" s="23" t="s">
        <v>16</v>
      </c>
      <c r="B1" s="67">
        <v>45515</v>
      </c>
      <c r="C1" s="63" t="s">
        <v>17</v>
      </c>
    </row>
    <row r="2" spans="1:5">
      <c r="A2" s="23" t="s">
        <v>18</v>
      </c>
      <c r="B2" s="9" t="s">
        <v>105</v>
      </c>
    </row>
    <row r="5" spans="1:5" ht="21.75" thickBot="1">
      <c r="A5" s="195" t="s">
        <v>190</v>
      </c>
      <c r="B5" s="195"/>
      <c r="C5" s="195"/>
      <c r="D5" s="195"/>
      <c r="E5" s="195"/>
    </row>
    <row r="6" spans="1:5">
      <c r="A6" s="196" t="s">
        <v>33</v>
      </c>
      <c r="B6" s="198" t="s">
        <v>34</v>
      </c>
      <c r="C6" s="201">
        <v>2026</v>
      </c>
      <c r="D6" s="201">
        <v>2029</v>
      </c>
      <c r="E6" s="193" t="s">
        <v>35</v>
      </c>
    </row>
    <row r="7" spans="1:5" ht="15.75" thickBot="1">
      <c r="A7" s="197"/>
      <c r="B7" s="199"/>
      <c r="C7" s="202"/>
      <c r="D7" s="202"/>
      <c r="E7" s="200"/>
    </row>
    <row r="8" spans="1:5">
      <c r="A8" s="142" t="s">
        <v>522</v>
      </c>
      <c r="B8" s="145" t="s">
        <v>517</v>
      </c>
      <c r="C8" s="145" t="s">
        <v>71</v>
      </c>
      <c r="D8" s="145" t="s">
        <v>71</v>
      </c>
      <c r="E8" s="186" t="s">
        <v>521</v>
      </c>
    </row>
    <row r="9" spans="1:5" ht="30">
      <c r="A9" s="92" t="s">
        <v>523</v>
      </c>
      <c r="B9" s="90" t="s">
        <v>517</v>
      </c>
      <c r="C9" s="90" t="s">
        <v>71</v>
      </c>
      <c r="D9" s="90" t="s">
        <v>71</v>
      </c>
      <c r="E9" s="91" t="s">
        <v>524</v>
      </c>
    </row>
    <row r="10" spans="1:5" ht="30">
      <c r="A10" s="100" t="s">
        <v>525</v>
      </c>
      <c r="B10" s="101" t="s">
        <v>526</v>
      </c>
      <c r="C10" s="101"/>
      <c r="D10" s="101" t="s">
        <v>71</v>
      </c>
      <c r="E10" s="102" t="s">
        <v>527</v>
      </c>
    </row>
    <row r="11" spans="1:5">
      <c r="A11" s="100" t="s">
        <v>535</v>
      </c>
      <c r="B11" s="101" t="s">
        <v>107</v>
      </c>
      <c r="C11" s="101" t="s">
        <v>71</v>
      </c>
      <c r="D11" s="101" t="s">
        <v>71</v>
      </c>
      <c r="E11" s="102" t="s">
        <v>536</v>
      </c>
    </row>
    <row r="12" spans="1:5" ht="30">
      <c r="A12" s="92" t="s">
        <v>537</v>
      </c>
      <c r="B12" s="90" t="s">
        <v>107</v>
      </c>
      <c r="C12" s="90" t="s">
        <v>71</v>
      </c>
      <c r="D12" s="90" t="s">
        <v>71</v>
      </c>
      <c r="E12" s="102" t="s">
        <v>536</v>
      </c>
    </row>
    <row r="13" spans="1:5" ht="30">
      <c r="A13" s="92" t="s">
        <v>538</v>
      </c>
      <c r="B13" s="90" t="s">
        <v>539</v>
      </c>
      <c r="C13" s="90" t="s">
        <v>71</v>
      </c>
      <c r="D13" s="90" t="s">
        <v>71</v>
      </c>
      <c r="E13" s="91" t="s">
        <v>540</v>
      </c>
    </row>
    <row r="14" spans="1:5" ht="30">
      <c r="A14" s="150" t="s">
        <v>541</v>
      </c>
      <c r="B14" s="112" t="s">
        <v>506</v>
      </c>
      <c r="C14" s="112" t="s">
        <v>71</v>
      </c>
      <c r="D14" s="106"/>
      <c r="E14" s="102" t="s">
        <v>542</v>
      </c>
    </row>
    <row r="15" spans="1:5">
      <c r="A15" s="114" t="s">
        <v>545</v>
      </c>
      <c r="B15" s="112" t="s">
        <v>543</v>
      </c>
      <c r="C15" s="98" t="s">
        <v>71</v>
      </c>
      <c r="D15" s="99" t="s">
        <v>71</v>
      </c>
      <c r="E15" s="91" t="s">
        <v>544</v>
      </c>
    </row>
    <row r="16" spans="1:5" ht="30">
      <c r="A16" s="114" t="s">
        <v>547</v>
      </c>
      <c r="B16" s="112" t="s">
        <v>546</v>
      </c>
      <c r="C16" s="117"/>
      <c r="D16" s="99" t="s">
        <v>71</v>
      </c>
      <c r="E16" s="91" t="s">
        <v>548</v>
      </c>
    </row>
    <row r="17" spans="1:5">
      <c r="A17" s="140"/>
      <c r="B17" s="106"/>
      <c r="C17" s="117"/>
      <c r="D17" s="99"/>
      <c r="E17" s="91"/>
    </row>
    <row r="18" spans="1:5">
      <c r="A18" s="105"/>
      <c r="B18" s="106"/>
      <c r="C18" s="90"/>
      <c r="D18" s="90"/>
      <c r="E18" s="91"/>
    </row>
    <row r="19" spans="1:5">
      <c r="A19" s="105"/>
      <c r="B19" s="106"/>
      <c r="C19" s="90"/>
      <c r="D19" s="90"/>
      <c r="E19" s="91"/>
    </row>
    <row r="20" spans="1:5">
      <c r="A20" s="105"/>
      <c r="B20" s="106"/>
      <c r="C20" s="90"/>
      <c r="D20" s="90"/>
      <c r="E20" s="91"/>
    </row>
    <row r="21" spans="1:5">
      <c r="A21" s="105"/>
      <c r="B21" s="106"/>
      <c r="C21" s="90"/>
      <c r="D21" s="90"/>
      <c r="E21" s="91"/>
    </row>
    <row r="22" spans="1:5">
      <c r="A22" s="105"/>
      <c r="B22" s="106"/>
      <c r="C22" s="90"/>
      <c r="D22" s="90"/>
      <c r="E22" s="91"/>
    </row>
    <row r="23" spans="1:5">
      <c r="A23" s="105"/>
      <c r="B23" s="106"/>
      <c r="C23" s="90"/>
      <c r="D23" s="90"/>
      <c r="E23" s="91"/>
    </row>
    <row r="24" spans="1:5">
      <c r="A24" s="105"/>
      <c r="B24" s="106"/>
      <c r="C24" s="90"/>
      <c r="D24" s="90"/>
      <c r="E24" s="91"/>
    </row>
    <row r="25" spans="1:5">
      <c r="A25" s="105"/>
      <c r="B25" s="106"/>
      <c r="C25" s="90"/>
      <c r="D25" s="90"/>
      <c r="E25" s="91"/>
    </row>
    <row r="26" spans="1:5">
      <c r="A26" s="105"/>
      <c r="B26" s="106"/>
      <c r="C26" s="90"/>
      <c r="D26" s="90"/>
      <c r="E26" s="91"/>
    </row>
    <row r="27" spans="1:5">
      <c r="A27" s="105"/>
      <c r="B27" s="106"/>
      <c r="C27" s="90"/>
      <c r="D27" s="90"/>
      <c r="E27" s="91"/>
    </row>
    <row r="28" spans="1:5">
      <c r="A28" s="141"/>
      <c r="B28" s="132"/>
      <c r="C28" s="116"/>
      <c r="D28" s="116"/>
      <c r="E28" s="113"/>
    </row>
    <row r="29" spans="1:5" ht="15.75" thickBot="1">
      <c r="A29" s="93"/>
      <c r="B29" s="116"/>
      <c r="C29" s="116"/>
      <c r="D29" s="82"/>
      <c r="E29" s="94"/>
    </row>
    <row r="30" spans="1:5">
      <c r="A30" s="189" t="s">
        <v>36</v>
      </c>
      <c r="B30" s="191" t="s">
        <v>34</v>
      </c>
      <c r="C30" s="201">
        <v>2026</v>
      </c>
      <c r="D30" s="201">
        <v>2029</v>
      </c>
      <c r="E30" s="193" t="s">
        <v>35</v>
      </c>
    </row>
    <row r="31" spans="1:5" ht="15.75" thickBot="1">
      <c r="A31" s="190"/>
      <c r="B31" s="192"/>
      <c r="C31" s="202"/>
      <c r="D31" s="202"/>
      <c r="E31" s="194"/>
    </row>
    <row r="32" spans="1:5">
      <c r="A32" s="130" t="s">
        <v>478</v>
      </c>
      <c r="B32" s="106" t="s">
        <v>107</v>
      </c>
      <c r="C32" s="106" t="s">
        <v>71</v>
      </c>
      <c r="D32" s="106" t="s">
        <v>71</v>
      </c>
      <c r="E32" s="152" t="s">
        <v>481</v>
      </c>
    </row>
    <row r="33" spans="1:5">
      <c r="A33" s="130" t="s">
        <v>479</v>
      </c>
      <c r="B33" s="106" t="s">
        <v>507</v>
      </c>
      <c r="C33" s="106" t="s">
        <v>71</v>
      </c>
      <c r="D33" s="106" t="s">
        <v>71</v>
      </c>
      <c r="E33" s="152" t="s">
        <v>481</v>
      </c>
    </row>
    <row r="34" spans="1:5">
      <c r="A34" s="150" t="s">
        <v>480</v>
      </c>
      <c r="B34" s="106" t="s">
        <v>107</v>
      </c>
      <c r="C34" s="106" t="s">
        <v>71</v>
      </c>
      <c r="D34" s="106" t="s">
        <v>71</v>
      </c>
      <c r="E34" s="152" t="s">
        <v>481</v>
      </c>
    </row>
    <row r="35" spans="1:5">
      <c r="A35" s="150" t="s">
        <v>505</v>
      </c>
      <c r="B35" s="106" t="s">
        <v>506</v>
      </c>
      <c r="C35" s="106" t="s">
        <v>71</v>
      </c>
      <c r="D35" s="106" t="s">
        <v>71</v>
      </c>
      <c r="E35" s="185" t="s">
        <v>481</v>
      </c>
    </row>
    <row r="36" spans="1:5">
      <c r="A36" s="150"/>
      <c r="B36" s="106"/>
      <c r="C36" s="106"/>
      <c r="D36" s="106"/>
      <c r="E36" s="151"/>
    </row>
    <row r="37" spans="1:5" ht="15.75" thickBot="1">
      <c r="A37" s="93"/>
      <c r="B37" s="95"/>
      <c r="C37" s="95"/>
      <c r="D37" s="95"/>
      <c r="E37" s="93"/>
    </row>
    <row r="38" spans="1:5">
      <c r="A38" s="189" t="s">
        <v>70</v>
      </c>
      <c r="B38" s="191" t="s">
        <v>34</v>
      </c>
      <c r="C38" s="201">
        <v>2026</v>
      </c>
      <c r="D38" s="201">
        <v>2029</v>
      </c>
      <c r="E38" s="193" t="s">
        <v>35</v>
      </c>
    </row>
    <row r="39" spans="1:5" ht="15.75" thickBot="1">
      <c r="A39" s="203"/>
      <c r="B39" s="204"/>
      <c r="C39" s="202"/>
      <c r="D39" s="202"/>
      <c r="E39" s="200"/>
    </row>
    <row r="40" spans="1:5">
      <c r="A40" s="143"/>
      <c r="B40" s="144"/>
      <c r="C40" s="145"/>
      <c r="D40" s="145"/>
      <c r="E40" s="143"/>
    </row>
  </sheetData>
  <autoFilter ref="A7:E27" xr:uid="{00000000-0001-0000-0300-000000000000}"/>
  <sortState xmlns:xlrd2="http://schemas.microsoft.com/office/spreadsheetml/2017/richdata2" ref="A40:E42">
    <sortCondition ref="B40:B42"/>
    <sortCondition ref="A40:A42"/>
  </sortState>
  <mergeCells count="16">
    <mergeCell ref="A38:A39"/>
    <mergeCell ref="B38:B39"/>
    <mergeCell ref="E38:E39"/>
    <mergeCell ref="C38:C39"/>
    <mergeCell ref="D38:D39"/>
    <mergeCell ref="A30:A31"/>
    <mergeCell ref="B30:B31"/>
    <mergeCell ref="E30:E31"/>
    <mergeCell ref="A5:E5"/>
    <mergeCell ref="A6:A7"/>
    <mergeCell ref="B6:B7"/>
    <mergeCell ref="E6:E7"/>
    <mergeCell ref="C6:C7"/>
    <mergeCell ref="D6:D7"/>
    <mergeCell ref="C30:C31"/>
    <mergeCell ref="D30:D31"/>
  </mergeCells>
  <hyperlinks>
    <hyperlink ref="C1" location="Index!A1" display="Back" xr:uid="{00000000-0004-0000-0300-000000000000}"/>
  </hyperlink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1"/>
  <sheetViews>
    <sheetView workbookViewId="0">
      <selection activeCell="B1" sqref="B1"/>
    </sheetView>
  </sheetViews>
  <sheetFormatPr defaultRowHeight="15"/>
  <cols>
    <col min="1" max="1" width="27.85546875" bestFit="1" customWidth="1"/>
    <col min="2" max="2" width="26.42578125" bestFit="1" customWidth="1"/>
    <col min="3" max="3" width="9.7109375" bestFit="1" customWidth="1"/>
    <col min="5" max="5" width="21.140625" customWidth="1"/>
    <col min="12" max="12" width="9.42578125" customWidth="1"/>
  </cols>
  <sheetData>
    <row r="1" spans="1:6">
      <c r="A1" t="s">
        <v>16</v>
      </c>
      <c r="B1" s="67">
        <v>45345</v>
      </c>
      <c r="C1" s="62" t="s">
        <v>17</v>
      </c>
    </row>
    <row r="2" spans="1:6">
      <c r="A2" t="s">
        <v>18</v>
      </c>
      <c r="B2" t="s">
        <v>105</v>
      </c>
    </row>
    <row r="3" spans="1:6" s="14" customFormat="1"/>
    <row r="4" spans="1:6">
      <c r="A4" s="14"/>
      <c r="B4" s="14"/>
      <c r="C4" s="14"/>
      <c r="D4" s="14"/>
      <c r="E4" s="14"/>
    </row>
    <row r="5" spans="1:6">
      <c r="A5" s="32" t="s">
        <v>77</v>
      </c>
      <c r="B5" s="32" t="s">
        <v>78</v>
      </c>
      <c r="C5" s="54">
        <v>2026</v>
      </c>
      <c r="D5" s="54">
        <v>2029</v>
      </c>
      <c r="E5" s="54" t="s">
        <v>79</v>
      </c>
    </row>
    <row r="6" spans="1:6" s="14" customFormat="1">
      <c r="A6" s="128" t="s">
        <v>146</v>
      </c>
      <c r="B6" s="53" t="s">
        <v>137</v>
      </c>
      <c r="C6" s="61" t="s">
        <v>71</v>
      </c>
      <c r="D6" s="61" t="s">
        <v>71</v>
      </c>
      <c r="E6" s="106" t="s">
        <v>188</v>
      </c>
      <c r="F6" s="9"/>
    </row>
    <row r="7" spans="1:6" s="14" customFormat="1" ht="13.9" customHeight="1">
      <c r="A7" s="128" t="s">
        <v>147</v>
      </c>
      <c r="B7" s="53" t="s">
        <v>137</v>
      </c>
      <c r="C7" s="61" t="s">
        <v>71</v>
      </c>
      <c r="D7" s="61" t="s">
        <v>71</v>
      </c>
      <c r="E7" s="106" t="s">
        <v>188</v>
      </c>
    </row>
    <row r="8" spans="1:6">
      <c r="A8" s="128" t="s">
        <v>148</v>
      </c>
      <c r="B8" s="53" t="s">
        <v>138</v>
      </c>
      <c r="C8" s="61" t="s">
        <v>71</v>
      </c>
      <c r="D8" s="61" t="s">
        <v>71</v>
      </c>
      <c r="E8" s="106" t="s">
        <v>188</v>
      </c>
    </row>
    <row r="9" spans="1:6" s="14" customFormat="1">
      <c r="A9" s="128" t="s">
        <v>449</v>
      </c>
      <c r="B9" s="53" t="s">
        <v>450</v>
      </c>
      <c r="C9" s="61" t="s">
        <v>71</v>
      </c>
      <c r="D9" s="61"/>
      <c r="E9" s="106" t="s">
        <v>188</v>
      </c>
    </row>
    <row r="10" spans="1:6">
      <c r="A10" s="1"/>
    </row>
    <row r="11" spans="1:6" ht="30">
      <c r="A11" s="1" t="s">
        <v>136</v>
      </c>
    </row>
  </sheetData>
  <hyperlinks>
    <hyperlink ref="C1" location="Index!A1" display="Back" xr:uid="{00000000-0004-0000-0400-000000000000}"/>
  </hyperlink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84"/>
  <sheetViews>
    <sheetView topLeftCell="A105" workbookViewId="0">
      <selection activeCell="B135" sqref="B135"/>
    </sheetView>
  </sheetViews>
  <sheetFormatPr defaultColWidth="9.140625" defaultRowHeight="15"/>
  <cols>
    <col min="1" max="1" width="40.5703125" style="1" customWidth="1"/>
    <col min="2" max="2" width="33.42578125" style="14" customWidth="1"/>
    <col min="3" max="3" width="23" style="14" bestFit="1" customWidth="1"/>
    <col min="4" max="4" width="12.5703125" style="14" customWidth="1"/>
    <col min="5" max="5" width="27.28515625" style="14" customWidth="1"/>
    <col min="6" max="6" width="12.7109375" style="14" bestFit="1" customWidth="1"/>
    <col min="7" max="7" width="14.7109375" style="14" customWidth="1"/>
    <col min="8" max="8" width="17" style="14" customWidth="1"/>
    <col min="9" max="9" width="10.5703125" style="14" bestFit="1" customWidth="1"/>
    <col min="10" max="10" width="9.5703125" style="14" bestFit="1" customWidth="1"/>
    <col min="11" max="11" width="23.140625" style="14" customWidth="1"/>
    <col min="12" max="16384" width="9.140625" style="14"/>
  </cols>
  <sheetData>
    <row r="1" spans="1:11">
      <c r="A1" s="1" t="s">
        <v>16</v>
      </c>
      <c r="B1" s="67">
        <v>45345</v>
      </c>
      <c r="C1" s="62" t="s">
        <v>17</v>
      </c>
    </row>
    <row r="2" spans="1:11">
      <c r="A2" s="1" t="s">
        <v>18</v>
      </c>
      <c r="B2" s="15" t="s">
        <v>105</v>
      </c>
    </row>
    <row r="3" spans="1:11">
      <c r="A3" s="1" t="s">
        <v>90</v>
      </c>
      <c r="B3" s="67">
        <v>45511</v>
      </c>
    </row>
    <row r="4" spans="1:11">
      <c r="B4" s="67"/>
    </row>
    <row r="6" spans="1:11">
      <c r="A6" s="84" t="s">
        <v>97</v>
      </c>
    </row>
    <row r="7" spans="1:11" ht="66.75" customHeight="1">
      <c r="A7" s="34" t="s">
        <v>45</v>
      </c>
      <c r="B7" s="35" t="s">
        <v>46</v>
      </c>
      <c r="C7" s="35" t="s">
        <v>47</v>
      </c>
      <c r="D7" s="36" t="s">
        <v>48</v>
      </c>
      <c r="E7" s="35" t="s">
        <v>49</v>
      </c>
      <c r="F7" s="37" t="s">
        <v>50</v>
      </c>
      <c r="G7" s="34" t="s">
        <v>51</v>
      </c>
      <c r="H7" s="34" t="s">
        <v>52</v>
      </c>
      <c r="I7" s="35">
        <v>2026</v>
      </c>
      <c r="J7" s="35">
        <v>2029</v>
      </c>
      <c r="K7" s="35" t="s">
        <v>35</v>
      </c>
    </row>
    <row r="8" spans="1:11">
      <c r="A8" s="153" t="s">
        <v>192</v>
      </c>
      <c r="B8" s="153" t="s">
        <v>193</v>
      </c>
      <c r="C8" s="153" t="s">
        <v>112</v>
      </c>
      <c r="D8" s="154">
        <v>46022</v>
      </c>
      <c r="E8" s="153" t="s">
        <v>194</v>
      </c>
      <c r="F8" s="155">
        <v>510.4</v>
      </c>
      <c r="G8" s="6"/>
      <c r="H8" s="162">
        <v>45156</v>
      </c>
      <c r="I8" s="48" t="s">
        <v>71</v>
      </c>
      <c r="J8" s="164" t="s">
        <v>71</v>
      </c>
      <c r="K8" s="38"/>
    </row>
    <row r="9" spans="1:11">
      <c r="A9" s="153" t="s">
        <v>195</v>
      </c>
      <c r="B9" s="153" t="s">
        <v>196</v>
      </c>
      <c r="C9" s="153" t="s">
        <v>197</v>
      </c>
      <c r="D9" s="154">
        <v>46172</v>
      </c>
      <c r="E9" s="153" t="s">
        <v>19</v>
      </c>
      <c r="F9" s="155">
        <v>205.2</v>
      </c>
      <c r="G9" s="6"/>
      <c r="H9" s="162">
        <v>45012</v>
      </c>
      <c r="I9" s="48" t="s">
        <v>71</v>
      </c>
      <c r="J9" s="164" t="s">
        <v>71</v>
      </c>
      <c r="K9" s="38"/>
    </row>
    <row r="10" spans="1:11">
      <c r="A10" s="153" t="s">
        <v>198</v>
      </c>
      <c r="B10" s="153" t="s">
        <v>199</v>
      </c>
      <c r="C10" s="153" t="s">
        <v>200</v>
      </c>
      <c r="D10" s="154">
        <v>45391</v>
      </c>
      <c r="E10" s="153" t="s">
        <v>194</v>
      </c>
      <c r="F10" s="155">
        <v>9.9</v>
      </c>
      <c r="G10" s="6"/>
      <c r="H10" s="162">
        <v>45203</v>
      </c>
      <c r="I10" s="48" t="s">
        <v>71</v>
      </c>
      <c r="J10" s="164" t="s">
        <v>71</v>
      </c>
      <c r="K10" s="38"/>
    </row>
    <row r="11" spans="1:11">
      <c r="A11" s="153" t="s">
        <v>201</v>
      </c>
      <c r="B11" s="153" t="s">
        <v>202</v>
      </c>
      <c r="C11" s="153" t="s">
        <v>197</v>
      </c>
      <c r="D11" s="154">
        <v>45960</v>
      </c>
      <c r="E11" s="153" t="s">
        <v>19</v>
      </c>
      <c r="F11" s="155">
        <v>205.2</v>
      </c>
      <c r="G11" s="6"/>
      <c r="H11" s="162">
        <v>45012</v>
      </c>
      <c r="I11" s="48" t="s">
        <v>71</v>
      </c>
      <c r="J11" s="164" t="s">
        <v>71</v>
      </c>
      <c r="K11" s="38"/>
    </row>
    <row r="12" spans="1:11">
      <c r="A12" s="153" t="s">
        <v>203</v>
      </c>
      <c r="B12" s="153" t="s">
        <v>204</v>
      </c>
      <c r="C12" s="153" t="s">
        <v>205</v>
      </c>
      <c r="D12" s="154">
        <v>45233</v>
      </c>
      <c r="E12" s="153" t="s">
        <v>194</v>
      </c>
      <c r="F12" s="155">
        <v>9.99</v>
      </c>
      <c r="G12" s="6"/>
      <c r="H12" s="162">
        <v>45049</v>
      </c>
      <c r="I12" s="48" t="s">
        <v>71</v>
      </c>
      <c r="J12" s="164" t="s">
        <v>71</v>
      </c>
      <c r="K12" s="38"/>
    </row>
    <row r="13" spans="1:11">
      <c r="A13" s="153" t="s">
        <v>206</v>
      </c>
      <c r="B13" s="153" t="s">
        <v>207</v>
      </c>
      <c r="C13" s="153" t="s">
        <v>124</v>
      </c>
      <c r="D13" s="154">
        <v>45085</v>
      </c>
      <c r="E13" s="153" t="s">
        <v>208</v>
      </c>
      <c r="F13" s="155">
        <v>3.1</v>
      </c>
      <c r="G13" s="6"/>
      <c r="H13" s="162">
        <v>45212</v>
      </c>
      <c r="I13" s="48" t="s">
        <v>71</v>
      </c>
      <c r="J13" s="164" t="s">
        <v>71</v>
      </c>
      <c r="K13" s="38"/>
    </row>
    <row r="14" spans="1:11">
      <c r="A14" s="153" t="s">
        <v>209</v>
      </c>
      <c r="B14" s="153" t="s">
        <v>210</v>
      </c>
      <c r="C14" s="153" t="s">
        <v>130</v>
      </c>
      <c r="D14" s="154">
        <v>45731</v>
      </c>
      <c r="E14" s="153" t="s">
        <v>19</v>
      </c>
      <c r="F14" s="155">
        <v>51.79</v>
      </c>
      <c r="G14" s="6"/>
      <c r="H14" s="162">
        <v>45089</v>
      </c>
      <c r="I14" s="48" t="s">
        <v>71</v>
      </c>
      <c r="J14" s="164" t="s">
        <v>71</v>
      </c>
      <c r="K14" s="38"/>
    </row>
    <row r="15" spans="1:11">
      <c r="A15" s="153" t="s">
        <v>211</v>
      </c>
      <c r="B15" s="153" t="s">
        <v>212</v>
      </c>
      <c r="C15" s="153" t="s">
        <v>213</v>
      </c>
      <c r="D15" s="154">
        <v>45909</v>
      </c>
      <c r="E15" s="153" t="s">
        <v>19</v>
      </c>
      <c r="F15" s="155">
        <v>203.5</v>
      </c>
      <c r="G15" s="6"/>
      <c r="H15" s="162">
        <v>45166</v>
      </c>
      <c r="I15" s="48" t="s">
        <v>71</v>
      </c>
      <c r="J15" s="164" t="s">
        <v>71</v>
      </c>
      <c r="K15" s="38"/>
    </row>
    <row r="16" spans="1:11">
      <c r="A16" s="153" t="s">
        <v>214</v>
      </c>
      <c r="B16" s="153" t="s">
        <v>215</v>
      </c>
      <c r="C16" s="153" t="s">
        <v>123</v>
      </c>
      <c r="D16" s="154">
        <v>45404</v>
      </c>
      <c r="E16" s="153" t="s">
        <v>194</v>
      </c>
      <c r="F16" s="155">
        <v>9.9499999999999993</v>
      </c>
      <c r="G16" s="6"/>
      <c r="H16" s="162">
        <v>45049</v>
      </c>
      <c r="I16" s="48" t="s">
        <v>71</v>
      </c>
      <c r="J16" s="164" t="s">
        <v>71</v>
      </c>
      <c r="K16" s="38"/>
    </row>
    <row r="17" spans="1:11">
      <c r="A17" s="153" t="s">
        <v>216</v>
      </c>
      <c r="B17" s="153" t="s">
        <v>217</v>
      </c>
      <c r="C17" s="153" t="s">
        <v>218</v>
      </c>
      <c r="D17" s="154">
        <v>45359</v>
      </c>
      <c r="E17" s="153" t="s">
        <v>208</v>
      </c>
      <c r="F17" s="156">
        <v>60</v>
      </c>
      <c r="G17" s="6"/>
      <c r="H17" s="162">
        <v>44998</v>
      </c>
      <c r="I17" s="48" t="s">
        <v>71</v>
      </c>
      <c r="J17" s="164" t="s">
        <v>71</v>
      </c>
      <c r="K17" s="38"/>
    </row>
    <row r="18" spans="1:11">
      <c r="A18" s="153" t="s">
        <v>219</v>
      </c>
      <c r="B18" s="153" t="s">
        <v>220</v>
      </c>
      <c r="C18" s="153" t="s">
        <v>132</v>
      </c>
      <c r="D18" s="154">
        <v>45597</v>
      </c>
      <c r="E18" s="153" t="s">
        <v>194</v>
      </c>
      <c r="F18" s="155">
        <v>100.2</v>
      </c>
      <c r="G18" s="6"/>
      <c r="H18" s="162">
        <v>44974</v>
      </c>
      <c r="I18" s="48" t="s">
        <v>71</v>
      </c>
      <c r="J18" s="164" t="s">
        <v>71</v>
      </c>
      <c r="K18" s="38"/>
    </row>
    <row r="19" spans="1:11">
      <c r="A19" s="153" t="s">
        <v>221</v>
      </c>
      <c r="B19" s="153" t="s">
        <v>222</v>
      </c>
      <c r="C19" s="153" t="s">
        <v>116</v>
      </c>
      <c r="D19" s="154">
        <v>45809</v>
      </c>
      <c r="E19" s="153" t="s">
        <v>19</v>
      </c>
      <c r="F19" s="155">
        <v>261.77999999999997</v>
      </c>
      <c r="G19" s="6"/>
      <c r="H19" s="162">
        <v>45217</v>
      </c>
      <c r="I19" s="48" t="s">
        <v>71</v>
      </c>
      <c r="J19" s="164" t="s">
        <v>71</v>
      </c>
      <c r="K19" s="38"/>
    </row>
    <row r="20" spans="1:11">
      <c r="A20" s="153" t="s">
        <v>223</v>
      </c>
      <c r="B20" s="153" t="s">
        <v>224</v>
      </c>
      <c r="C20" s="153" t="s">
        <v>118</v>
      </c>
      <c r="D20" s="154">
        <v>45670</v>
      </c>
      <c r="E20" s="153" t="s">
        <v>194</v>
      </c>
      <c r="F20" s="155">
        <v>304.2</v>
      </c>
      <c r="G20" s="6"/>
      <c r="H20" s="162">
        <v>45163</v>
      </c>
      <c r="I20" s="48" t="s">
        <v>71</v>
      </c>
      <c r="J20" s="164" t="s">
        <v>71</v>
      </c>
      <c r="K20" s="38"/>
    </row>
    <row r="21" spans="1:11">
      <c r="A21" s="153" t="s">
        <v>225</v>
      </c>
      <c r="B21" s="153" t="s">
        <v>226</v>
      </c>
      <c r="C21" s="153" t="s">
        <v>154</v>
      </c>
      <c r="D21" s="154">
        <v>45329</v>
      </c>
      <c r="E21" s="153" t="s">
        <v>194</v>
      </c>
      <c r="F21" s="155">
        <v>9.9499999999999993</v>
      </c>
      <c r="G21" s="6"/>
      <c r="H21" s="162">
        <v>45078</v>
      </c>
      <c r="I21" s="48" t="s">
        <v>71</v>
      </c>
      <c r="J21" s="164" t="s">
        <v>71</v>
      </c>
      <c r="K21" s="38"/>
    </row>
    <row r="22" spans="1:11">
      <c r="A22" s="153" t="s">
        <v>227</v>
      </c>
      <c r="B22" s="153" t="s">
        <v>228</v>
      </c>
      <c r="C22" s="153" t="s">
        <v>117</v>
      </c>
      <c r="D22" s="154">
        <v>45290</v>
      </c>
      <c r="E22" s="153" t="s">
        <v>194</v>
      </c>
      <c r="F22" s="155">
        <v>220.8</v>
      </c>
      <c r="G22" s="6"/>
      <c r="H22" s="162">
        <v>44984</v>
      </c>
      <c r="I22" s="48" t="s">
        <v>71</v>
      </c>
      <c r="J22" s="164" t="s">
        <v>71</v>
      </c>
      <c r="K22" s="6"/>
    </row>
    <row r="23" spans="1:11">
      <c r="A23" s="153" t="s">
        <v>229</v>
      </c>
      <c r="B23" s="153" t="s">
        <v>230</v>
      </c>
      <c r="C23" s="153" t="s">
        <v>127</v>
      </c>
      <c r="D23" s="154">
        <v>45271</v>
      </c>
      <c r="E23" s="153" t="s">
        <v>194</v>
      </c>
      <c r="F23" s="155">
        <v>9.99</v>
      </c>
      <c r="G23" s="6"/>
      <c r="H23" s="162">
        <v>45163</v>
      </c>
      <c r="I23" s="48" t="s">
        <v>71</v>
      </c>
      <c r="J23" s="164" t="s">
        <v>71</v>
      </c>
      <c r="K23" s="6"/>
    </row>
    <row r="24" spans="1:11">
      <c r="A24" s="153" t="s">
        <v>231</v>
      </c>
      <c r="B24" s="153" t="s">
        <v>232</v>
      </c>
      <c r="C24" s="153" t="s">
        <v>233</v>
      </c>
      <c r="D24" s="154">
        <v>45352</v>
      </c>
      <c r="E24" s="153" t="s">
        <v>194</v>
      </c>
      <c r="F24" s="155">
        <v>9.9499999999999993</v>
      </c>
      <c r="G24" s="6"/>
      <c r="H24" s="162">
        <v>45231</v>
      </c>
      <c r="I24" s="48" t="s">
        <v>71</v>
      </c>
      <c r="J24" s="164" t="s">
        <v>71</v>
      </c>
      <c r="K24" s="6"/>
    </row>
    <row r="25" spans="1:11">
      <c r="A25" s="153" t="s">
        <v>234</v>
      </c>
      <c r="B25" s="153" t="s">
        <v>235</v>
      </c>
      <c r="C25" s="153" t="s">
        <v>125</v>
      </c>
      <c r="D25" s="154">
        <v>46173</v>
      </c>
      <c r="E25" s="153" t="s">
        <v>194</v>
      </c>
      <c r="F25" s="155">
        <v>202.65</v>
      </c>
      <c r="G25" s="6"/>
      <c r="H25" s="162">
        <v>45156</v>
      </c>
      <c r="I25" s="48" t="s">
        <v>71</v>
      </c>
      <c r="J25" s="164" t="s">
        <v>71</v>
      </c>
      <c r="K25" s="6"/>
    </row>
    <row r="26" spans="1:11">
      <c r="A26" s="153" t="s">
        <v>236</v>
      </c>
      <c r="B26" s="153" t="s">
        <v>237</v>
      </c>
      <c r="C26" s="153" t="s">
        <v>113</v>
      </c>
      <c r="D26" s="154">
        <v>46447</v>
      </c>
      <c r="E26" s="153" t="s">
        <v>19</v>
      </c>
      <c r="F26" s="155">
        <v>249.8</v>
      </c>
      <c r="G26" s="6"/>
      <c r="H26" s="162">
        <v>45296</v>
      </c>
      <c r="I26" s="48"/>
      <c r="J26" s="164" t="s">
        <v>71</v>
      </c>
      <c r="K26" s="6"/>
    </row>
    <row r="27" spans="1:11">
      <c r="A27" s="153" t="s">
        <v>238</v>
      </c>
      <c r="B27" s="153" t="s">
        <v>239</v>
      </c>
      <c r="C27" s="153" t="s">
        <v>240</v>
      </c>
      <c r="D27" s="154">
        <v>45380</v>
      </c>
      <c r="E27" s="153" t="s">
        <v>194</v>
      </c>
      <c r="F27" s="155">
        <v>9.8000000000000007</v>
      </c>
      <c r="G27" s="6"/>
      <c r="H27" s="162">
        <v>45082</v>
      </c>
      <c r="I27" s="48" t="s">
        <v>71</v>
      </c>
      <c r="J27" s="164" t="s">
        <v>71</v>
      </c>
      <c r="K27" s="6"/>
    </row>
    <row r="28" spans="1:11">
      <c r="A28" s="153" t="s">
        <v>241</v>
      </c>
      <c r="B28" s="153" t="s">
        <v>242</v>
      </c>
      <c r="C28" s="153" t="s">
        <v>133</v>
      </c>
      <c r="D28" s="154">
        <v>45271</v>
      </c>
      <c r="E28" s="153" t="s">
        <v>194</v>
      </c>
      <c r="F28" s="155">
        <v>9.99</v>
      </c>
      <c r="G28" s="6"/>
      <c r="H28" s="162">
        <v>45078</v>
      </c>
      <c r="I28" s="48" t="s">
        <v>71</v>
      </c>
      <c r="J28" s="164" t="s">
        <v>71</v>
      </c>
      <c r="K28" s="6"/>
    </row>
    <row r="29" spans="1:11">
      <c r="A29" s="153" t="s">
        <v>243</v>
      </c>
      <c r="B29" s="153" t="s">
        <v>244</v>
      </c>
      <c r="C29" s="153" t="s">
        <v>245</v>
      </c>
      <c r="D29" s="154">
        <v>45384</v>
      </c>
      <c r="E29" s="153" t="s">
        <v>20</v>
      </c>
      <c r="F29" s="155">
        <v>121.5</v>
      </c>
      <c r="G29" s="6"/>
      <c r="H29" s="162">
        <v>45016</v>
      </c>
      <c r="I29" s="48" t="s">
        <v>71</v>
      </c>
      <c r="J29" s="164" t="s">
        <v>71</v>
      </c>
      <c r="K29" s="6"/>
    </row>
    <row r="30" spans="1:11">
      <c r="A30" s="153" t="s">
        <v>246</v>
      </c>
      <c r="B30" s="153" t="s">
        <v>247</v>
      </c>
      <c r="C30" s="153" t="s">
        <v>127</v>
      </c>
      <c r="D30" s="154">
        <v>45268</v>
      </c>
      <c r="E30" s="153" t="s">
        <v>194</v>
      </c>
      <c r="F30" s="155">
        <v>9.99</v>
      </c>
      <c r="G30" s="6"/>
      <c r="H30" s="162">
        <v>44981</v>
      </c>
      <c r="I30" s="48" t="s">
        <v>71</v>
      </c>
      <c r="J30" s="164" t="s">
        <v>71</v>
      </c>
      <c r="K30" s="6"/>
    </row>
    <row r="31" spans="1:11">
      <c r="A31" s="153" t="s">
        <v>248</v>
      </c>
      <c r="B31" s="153" t="s">
        <v>249</v>
      </c>
      <c r="C31" s="153" t="s">
        <v>128</v>
      </c>
      <c r="D31" s="154">
        <v>45401</v>
      </c>
      <c r="E31" s="153" t="s">
        <v>20</v>
      </c>
      <c r="F31" s="155">
        <v>223.92</v>
      </c>
      <c r="G31" s="6"/>
      <c r="H31" s="162">
        <v>45044</v>
      </c>
      <c r="I31" s="48" t="s">
        <v>71</v>
      </c>
      <c r="J31" s="164" t="s">
        <v>71</v>
      </c>
      <c r="K31" s="6"/>
    </row>
    <row r="32" spans="1:11">
      <c r="A32" s="153" t="s">
        <v>250</v>
      </c>
      <c r="B32" s="153" t="s">
        <v>251</v>
      </c>
      <c r="C32" s="153" t="s">
        <v>252</v>
      </c>
      <c r="D32" s="154">
        <v>45945</v>
      </c>
      <c r="E32" s="153" t="s">
        <v>19</v>
      </c>
      <c r="F32" s="155">
        <v>666.1</v>
      </c>
      <c r="G32" s="6"/>
      <c r="H32" s="162">
        <v>45245</v>
      </c>
      <c r="I32" s="48" t="s">
        <v>71</v>
      </c>
      <c r="J32" s="164" t="s">
        <v>71</v>
      </c>
      <c r="K32" s="6"/>
    </row>
    <row r="33" spans="1:11">
      <c r="A33" s="153" t="s">
        <v>253</v>
      </c>
      <c r="B33" s="153" t="s">
        <v>254</v>
      </c>
      <c r="C33" s="153" t="s">
        <v>133</v>
      </c>
      <c r="D33" s="154">
        <v>46173</v>
      </c>
      <c r="E33" s="153" t="s">
        <v>194</v>
      </c>
      <c r="F33" s="155">
        <v>97.43</v>
      </c>
      <c r="G33" s="6"/>
      <c r="H33" s="162">
        <v>45146</v>
      </c>
      <c r="I33" s="48" t="s">
        <v>71</v>
      </c>
      <c r="J33" s="164" t="s">
        <v>71</v>
      </c>
      <c r="K33" s="6"/>
    </row>
    <row r="34" spans="1:11">
      <c r="A34" s="153" t="s">
        <v>255</v>
      </c>
      <c r="B34" s="153" t="s">
        <v>256</v>
      </c>
      <c r="C34" s="153" t="s">
        <v>131</v>
      </c>
      <c r="D34" s="154">
        <v>45657</v>
      </c>
      <c r="E34" s="153" t="s">
        <v>194</v>
      </c>
      <c r="F34" s="156">
        <v>75</v>
      </c>
      <c r="G34" s="6"/>
      <c r="H34" s="162">
        <v>45139</v>
      </c>
      <c r="I34" s="48" t="s">
        <v>71</v>
      </c>
      <c r="J34" s="164" t="s">
        <v>71</v>
      </c>
      <c r="K34" s="6"/>
    </row>
    <row r="35" spans="1:11">
      <c r="A35" s="153" t="s">
        <v>257</v>
      </c>
      <c r="B35" s="153" t="s">
        <v>258</v>
      </c>
      <c r="C35" s="153" t="s">
        <v>259</v>
      </c>
      <c r="D35" s="154">
        <v>45677</v>
      </c>
      <c r="E35" s="153" t="s">
        <v>20</v>
      </c>
      <c r="F35" s="155">
        <v>126.72</v>
      </c>
      <c r="G35" s="6"/>
      <c r="H35" s="162">
        <v>45047</v>
      </c>
      <c r="I35" s="48" t="s">
        <v>71</v>
      </c>
      <c r="J35" s="164" t="s">
        <v>71</v>
      </c>
      <c r="K35" s="6"/>
    </row>
    <row r="36" spans="1:11">
      <c r="A36" s="153" t="s">
        <v>260</v>
      </c>
      <c r="B36" s="153" t="s">
        <v>261</v>
      </c>
      <c r="C36" s="153" t="s">
        <v>262</v>
      </c>
      <c r="D36" s="154">
        <v>45762</v>
      </c>
      <c r="E36" s="153" t="s">
        <v>208</v>
      </c>
      <c r="F36" s="155">
        <v>188.4</v>
      </c>
      <c r="G36" s="6"/>
      <c r="H36" s="162">
        <v>45174</v>
      </c>
      <c r="I36" s="48" t="s">
        <v>71</v>
      </c>
      <c r="J36" s="164" t="s">
        <v>71</v>
      </c>
      <c r="K36" s="6"/>
    </row>
    <row r="37" spans="1:11">
      <c r="A37" s="153" t="s">
        <v>263</v>
      </c>
      <c r="B37" s="153" t="s">
        <v>264</v>
      </c>
      <c r="C37" s="153" t="s">
        <v>134</v>
      </c>
      <c r="D37" s="154">
        <v>45510</v>
      </c>
      <c r="E37" s="153" t="s">
        <v>194</v>
      </c>
      <c r="F37" s="155">
        <v>9.99</v>
      </c>
      <c r="G37" s="6"/>
      <c r="H37" s="162">
        <v>45295</v>
      </c>
      <c r="I37" s="48" t="s">
        <v>71</v>
      </c>
      <c r="J37" s="164" t="s">
        <v>71</v>
      </c>
      <c r="K37" s="6"/>
    </row>
    <row r="38" spans="1:11">
      <c r="A38" s="153" t="s">
        <v>265</v>
      </c>
      <c r="B38" s="153" t="s">
        <v>266</v>
      </c>
      <c r="C38" s="153" t="s">
        <v>267</v>
      </c>
      <c r="D38" s="154">
        <v>45520</v>
      </c>
      <c r="E38" s="153" t="s">
        <v>194</v>
      </c>
      <c r="F38" s="155">
        <v>103.1</v>
      </c>
      <c r="G38" s="56"/>
      <c r="H38" s="162">
        <v>45231</v>
      </c>
      <c r="I38" s="48" t="s">
        <v>71</v>
      </c>
      <c r="J38" s="164" t="s">
        <v>71</v>
      </c>
      <c r="K38" s="56"/>
    </row>
    <row r="39" spans="1:11">
      <c r="A39" s="153" t="s">
        <v>268</v>
      </c>
      <c r="B39" s="153" t="s">
        <v>269</v>
      </c>
      <c r="C39" s="153" t="s">
        <v>240</v>
      </c>
      <c r="D39" s="154">
        <v>45268</v>
      </c>
      <c r="E39" s="153" t="s">
        <v>194</v>
      </c>
      <c r="F39" s="155">
        <v>9.99</v>
      </c>
      <c r="G39" s="56"/>
      <c r="H39" s="162">
        <v>44958</v>
      </c>
      <c r="I39" s="48" t="s">
        <v>71</v>
      </c>
      <c r="J39" s="164" t="s">
        <v>71</v>
      </c>
      <c r="K39" s="56"/>
    </row>
    <row r="40" spans="1:11">
      <c r="A40" s="153" t="s">
        <v>270</v>
      </c>
      <c r="B40" s="153" t="s">
        <v>271</v>
      </c>
      <c r="C40" s="153" t="s">
        <v>272</v>
      </c>
      <c r="D40" s="154">
        <v>46022</v>
      </c>
      <c r="E40" s="153" t="s">
        <v>19</v>
      </c>
      <c r="F40" s="155">
        <v>406.25</v>
      </c>
      <c r="G40" s="56"/>
      <c r="H40" s="162">
        <v>45117</v>
      </c>
      <c r="I40" s="48" t="s">
        <v>71</v>
      </c>
      <c r="J40" s="164" t="s">
        <v>71</v>
      </c>
      <c r="K40" s="56"/>
    </row>
    <row r="41" spans="1:11">
      <c r="A41" s="153" t="s">
        <v>273</v>
      </c>
      <c r="B41" s="153" t="s">
        <v>274</v>
      </c>
      <c r="C41" s="153" t="s">
        <v>133</v>
      </c>
      <c r="D41" s="154">
        <v>45889</v>
      </c>
      <c r="E41" s="153" t="s">
        <v>20</v>
      </c>
      <c r="F41" s="155">
        <v>234.5</v>
      </c>
      <c r="G41" s="56"/>
      <c r="H41" s="162">
        <v>45156</v>
      </c>
      <c r="I41" s="48" t="s">
        <v>71</v>
      </c>
      <c r="J41" s="164" t="s">
        <v>71</v>
      </c>
      <c r="K41" s="56"/>
    </row>
    <row r="42" spans="1:11">
      <c r="A42" s="153" t="s">
        <v>275</v>
      </c>
      <c r="B42" s="153" t="s">
        <v>276</v>
      </c>
      <c r="C42" s="153" t="s">
        <v>233</v>
      </c>
      <c r="D42" s="154">
        <v>45329</v>
      </c>
      <c r="E42" s="153" t="s">
        <v>194</v>
      </c>
      <c r="F42" s="155">
        <v>9.9499999999999993</v>
      </c>
      <c r="G42" s="55"/>
      <c r="H42" s="162">
        <v>45231</v>
      </c>
      <c r="I42" s="48" t="s">
        <v>71</v>
      </c>
      <c r="J42" s="164" t="s">
        <v>71</v>
      </c>
      <c r="K42" s="56"/>
    </row>
    <row r="43" spans="1:11">
      <c r="A43" s="153" t="s">
        <v>277</v>
      </c>
      <c r="B43" s="153" t="s">
        <v>278</v>
      </c>
      <c r="C43" s="153" t="s">
        <v>245</v>
      </c>
      <c r="D43" s="154">
        <v>46081</v>
      </c>
      <c r="E43" s="153" t="s">
        <v>19</v>
      </c>
      <c r="F43" s="155">
        <v>151.25</v>
      </c>
      <c r="G43" s="55"/>
      <c r="H43" s="162">
        <v>45135</v>
      </c>
      <c r="I43" s="48" t="s">
        <v>71</v>
      </c>
      <c r="J43" s="164" t="s">
        <v>71</v>
      </c>
      <c r="K43" s="56"/>
    </row>
    <row r="44" spans="1:11">
      <c r="A44" s="153" t="s">
        <v>279</v>
      </c>
      <c r="B44" s="153" t="s">
        <v>280</v>
      </c>
      <c r="C44" s="153" t="s">
        <v>115</v>
      </c>
      <c r="D44" s="154">
        <v>45899</v>
      </c>
      <c r="E44" s="153" t="s">
        <v>194</v>
      </c>
      <c r="F44" s="155">
        <v>52.24</v>
      </c>
      <c r="G44" s="55"/>
      <c r="H44" s="162">
        <v>45243</v>
      </c>
      <c r="I44" s="48" t="s">
        <v>71</v>
      </c>
      <c r="J44" s="164" t="s">
        <v>71</v>
      </c>
      <c r="K44" s="56"/>
    </row>
    <row r="45" spans="1:11">
      <c r="A45" s="153" t="s">
        <v>281</v>
      </c>
      <c r="B45" s="153" t="s">
        <v>282</v>
      </c>
      <c r="C45" s="153" t="s">
        <v>125</v>
      </c>
      <c r="D45" s="154">
        <v>45731</v>
      </c>
      <c r="E45" s="153" t="s">
        <v>194</v>
      </c>
      <c r="F45" s="155">
        <v>102.11</v>
      </c>
      <c r="G45" s="55"/>
      <c r="H45" s="162">
        <v>45163</v>
      </c>
      <c r="I45" s="48" t="s">
        <v>71</v>
      </c>
      <c r="J45" s="164" t="s">
        <v>71</v>
      </c>
      <c r="K45" s="56"/>
    </row>
    <row r="46" spans="1:11">
      <c r="A46" s="153" t="s">
        <v>283</v>
      </c>
      <c r="B46" s="153" t="s">
        <v>284</v>
      </c>
      <c r="C46" s="153" t="s">
        <v>133</v>
      </c>
      <c r="D46" s="154">
        <v>45271</v>
      </c>
      <c r="E46" s="153" t="s">
        <v>194</v>
      </c>
      <c r="F46" s="155">
        <v>9.99</v>
      </c>
      <c r="G46" s="55"/>
      <c r="H46" s="162">
        <v>45163</v>
      </c>
      <c r="I46" s="48" t="s">
        <v>71</v>
      </c>
      <c r="J46" s="164" t="s">
        <v>71</v>
      </c>
      <c r="K46" s="56"/>
    </row>
    <row r="47" spans="1:11">
      <c r="A47" s="153" t="s">
        <v>285</v>
      </c>
      <c r="B47" s="153" t="s">
        <v>286</v>
      </c>
      <c r="C47" s="153" t="s">
        <v>287</v>
      </c>
      <c r="D47" s="154">
        <v>45406</v>
      </c>
      <c r="E47" s="153" t="s">
        <v>194</v>
      </c>
      <c r="F47" s="155">
        <v>9.9</v>
      </c>
      <c r="G47" s="55"/>
      <c r="H47" s="162">
        <v>45203</v>
      </c>
      <c r="I47" s="48" t="s">
        <v>71</v>
      </c>
      <c r="J47" s="164" t="s">
        <v>71</v>
      </c>
      <c r="K47" s="56"/>
    </row>
    <row r="48" spans="1:11">
      <c r="A48" s="153" t="s">
        <v>288</v>
      </c>
      <c r="B48" s="153" t="s">
        <v>289</v>
      </c>
      <c r="C48" s="153" t="s">
        <v>213</v>
      </c>
      <c r="D48" s="154">
        <v>46203</v>
      </c>
      <c r="E48" s="153" t="s">
        <v>19</v>
      </c>
      <c r="F48" s="155">
        <v>228.16</v>
      </c>
      <c r="G48" s="55"/>
      <c r="H48" s="162">
        <v>45243</v>
      </c>
      <c r="I48" s="48" t="s">
        <v>71</v>
      </c>
      <c r="J48" s="164" t="s">
        <v>71</v>
      </c>
      <c r="K48" s="56"/>
    </row>
    <row r="49" spans="1:11">
      <c r="A49" s="153" t="s">
        <v>290</v>
      </c>
      <c r="B49" s="153" t="s">
        <v>291</v>
      </c>
      <c r="C49" s="153" t="s">
        <v>118</v>
      </c>
      <c r="D49" s="154">
        <v>45471</v>
      </c>
      <c r="E49" s="153" t="s">
        <v>194</v>
      </c>
      <c r="F49" s="156">
        <v>5</v>
      </c>
      <c r="G49" s="55"/>
      <c r="H49" s="162">
        <v>45261</v>
      </c>
      <c r="I49" s="48" t="s">
        <v>71</v>
      </c>
      <c r="J49" s="164" t="s">
        <v>71</v>
      </c>
      <c r="K49" s="56"/>
    </row>
    <row r="50" spans="1:11">
      <c r="A50" s="153" t="s">
        <v>292</v>
      </c>
      <c r="B50" s="153" t="s">
        <v>293</v>
      </c>
      <c r="C50" s="153" t="s">
        <v>118</v>
      </c>
      <c r="D50" s="154">
        <v>45609</v>
      </c>
      <c r="E50" s="153" t="s">
        <v>194</v>
      </c>
      <c r="F50" s="155">
        <v>180.8</v>
      </c>
      <c r="G50" s="55"/>
      <c r="H50" s="162">
        <v>45272</v>
      </c>
      <c r="I50" s="48" t="s">
        <v>71</v>
      </c>
      <c r="J50" s="164" t="s">
        <v>71</v>
      </c>
      <c r="K50" s="56"/>
    </row>
    <row r="51" spans="1:11">
      <c r="A51" s="153" t="s">
        <v>294</v>
      </c>
      <c r="B51" s="153" t="s">
        <v>295</v>
      </c>
      <c r="C51" s="153" t="s">
        <v>296</v>
      </c>
      <c r="D51" s="154">
        <v>45853</v>
      </c>
      <c r="E51" s="153" t="s">
        <v>194</v>
      </c>
      <c r="F51" s="155">
        <v>125.36</v>
      </c>
      <c r="G51" s="55"/>
      <c r="H51" s="162">
        <v>45243</v>
      </c>
      <c r="I51" s="48" t="s">
        <v>71</v>
      </c>
      <c r="J51" s="164" t="s">
        <v>71</v>
      </c>
      <c r="K51" s="56"/>
    </row>
    <row r="52" spans="1:11">
      <c r="A52" s="153" t="s">
        <v>297</v>
      </c>
      <c r="B52" s="153" t="s">
        <v>298</v>
      </c>
      <c r="C52" s="153" t="s">
        <v>133</v>
      </c>
      <c r="D52" s="154">
        <v>45260</v>
      </c>
      <c r="E52" s="153" t="s">
        <v>194</v>
      </c>
      <c r="F52" s="155">
        <v>9.99</v>
      </c>
      <c r="G52" s="55"/>
      <c r="H52" s="162">
        <v>45049</v>
      </c>
      <c r="I52" s="48" t="s">
        <v>71</v>
      </c>
      <c r="J52" s="164" t="s">
        <v>71</v>
      </c>
      <c r="K52" s="56"/>
    </row>
    <row r="53" spans="1:11">
      <c r="A53" s="153" t="s">
        <v>299</v>
      </c>
      <c r="B53" s="153" t="s">
        <v>300</v>
      </c>
      <c r="C53" s="153" t="s">
        <v>301</v>
      </c>
      <c r="D53" s="154">
        <v>45465</v>
      </c>
      <c r="E53" s="153" t="s">
        <v>194</v>
      </c>
      <c r="F53" s="155">
        <v>155.47999999999999</v>
      </c>
      <c r="G53" s="55"/>
      <c r="H53" s="162">
        <v>44994</v>
      </c>
      <c r="I53" s="48" t="s">
        <v>71</v>
      </c>
      <c r="J53" s="164" t="s">
        <v>71</v>
      </c>
      <c r="K53" s="56"/>
    </row>
    <row r="54" spans="1:11">
      <c r="A54" s="153" t="s">
        <v>302</v>
      </c>
      <c r="B54" s="153" t="s">
        <v>303</v>
      </c>
      <c r="C54" s="153" t="s">
        <v>304</v>
      </c>
      <c r="D54" s="154">
        <v>45808</v>
      </c>
      <c r="E54" s="153" t="s">
        <v>194</v>
      </c>
      <c r="F54" s="155">
        <v>100.8</v>
      </c>
      <c r="G54" s="55"/>
      <c r="H54" s="162">
        <v>45250</v>
      </c>
      <c r="I54" s="48" t="s">
        <v>71</v>
      </c>
      <c r="J54" s="164" t="s">
        <v>71</v>
      </c>
      <c r="K54" s="56"/>
    </row>
    <row r="55" spans="1:11">
      <c r="A55" s="153" t="s">
        <v>305</v>
      </c>
      <c r="B55" s="153" t="s">
        <v>306</v>
      </c>
      <c r="C55" s="153" t="s">
        <v>307</v>
      </c>
      <c r="D55" s="154">
        <v>45473</v>
      </c>
      <c r="E55" s="153" t="s">
        <v>194</v>
      </c>
      <c r="F55" s="155">
        <v>61.39</v>
      </c>
      <c r="G55" s="55"/>
      <c r="H55" s="162">
        <v>45020</v>
      </c>
      <c r="I55" s="48" t="s">
        <v>71</v>
      </c>
      <c r="J55" s="164" t="s">
        <v>71</v>
      </c>
      <c r="K55" s="56"/>
    </row>
    <row r="56" spans="1:11">
      <c r="A56" s="153" t="s">
        <v>308</v>
      </c>
      <c r="B56" s="153" t="s">
        <v>309</v>
      </c>
      <c r="C56" s="153" t="s">
        <v>310</v>
      </c>
      <c r="D56" s="154">
        <v>45355</v>
      </c>
      <c r="E56" s="153" t="s">
        <v>194</v>
      </c>
      <c r="F56" s="155">
        <v>9.9499999999999993</v>
      </c>
      <c r="G56" s="55"/>
      <c r="H56" s="162">
        <v>45231</v>
      </c>
      <c r="I56" s="48" t="s">
        <v>71</v>
      </c>
      <c r="J56" s="164" t="s">
        <v>71</v>
      </c>
      <c r="K56" s="56"/>
    </row>
    <row r="57" spans="1:11">
      <c r="A57" s="153" t="s">
        <v>311</v>
      </c>
      <c r="B57" s="153" t="s">
        <v>312</v>
      </c>
      <c r="C57" s="153" t="s">
        <v>115</v>
      </c>
      <c r="D57" s="154">
        <v>45899</v>
      </c>
      <c r="E57" s="153" t="s">
        <v>19</v>
      </c>
      <c r="F57" s="155">
        <v>103.8</v>
      </c>
      <c r="G57" s="55"/>
      <c r="H57" s="162">
        <v>45243</v>
      </c>
      <c r="I57" s="48" t="s">
        <v>71</v>
      </c>
      <c r="J57" s="164" t="s">
        <v>71</v>
      </c>
      <c r="K57" s="56"/>
    </row>
    <row r="58" spans="1:11">
      <c r="A58" s="153" t="s">
        <v>313</v>
      </c>
      <c r="B58" s="153" t="s">
        <v>314</v>
      </c>
      <c r="C58" s="153" t="s">
        <v>132</v>
      </c>
      <c r="D58" s="154">
        <v>45597</v>
      </c>
      <c r="E58" s="153" t="s">
        <v>19</v>
      </c>
      <c r="F58" s="155">
        <v>151.6</v>
      </c>
      <c r="G58" s="55"/>
      <c r="H58" s="162">
        <v>44974</v>
      </c>
      <c r="I58" s="48" t="s">
        <v>71</v>
      </c>
      <c r="J58" s="164" t="s">
        <v>71</v>
      </c>
      <c r="K58" s="56"/>
    </row>
    <row r="59" spans="1:11">
      <c r="A59" s="153" t="s">
        <v>315</v>
      </c>
      <c r="B59" s="153" t="s">
        <v>316</v>
      </c>
      <c r="C59" s="153" t="s">
        <v>116</v>
      </c>
      <c r="D59" s="154">
        <v>45471</v>
      </c>
      <c r="E59" s="153" t="s">
        <v>19</v>
      </c>
      <c r="F59" s="156">
        <v>203</v>
      </c>
      <c r="G59" s="6"/>
      <c r="H59" s="162">
        <v>45139</v>
      </c>
      <c r="I59" s="48" t="s">
        <v>71</v>
      </c>
      <c r="J59" s="164" t="s">
        <v>71</v>
      </c>
      <c r="K59" s="6"/>
    </row>
    <row r="60" spans="1:11">
      <c r="A60" s="153" t="s">
        <v>317</v>
      </c>
      <c r="B60" s="153" t="s">
        <v>318</v>
      </c>
      <c r="C60" s="153" t="s">
        <v>126</v>
      </c>
      <c r="D60" s="154">
        <v>45657</v>
      </c>
      <c r="E60" s="153" t="s">
        <v>194</v>
      </c>
      <c r="F60" s="155">
        <v>154.12</v>
      </c>
      <c r="G60" s="55"/>
      <c r="H60" s="162">
        <v>45125</v>
      </c>
      <c r="I60" s="48" t="s">
        <v>71</v>
      </c>
      <c r="J60" s="164" t="s">
        <v>71</v>
      </c>
      <c r="K60" s="56"/>
    </row>
    <row r="61" spans="1:11">
      <c r="A61" s="153" t="s">
        <v>319</v>
      </c>
      <c r="B61" s="153" t="s">
        <v>320</v>
      </c>
      <c r="C61" s="153" t="s">
        <v>118</v>
      </c>
      <c r="D61" s="154">
        <v>45552</v>
      </c>
      <c r="E61" s="153" t="s">
        <v>19</v>
      </c>
      <c r="F61" s="155">
        <v>100.3</v>
      </c>
      <c r="G61" s="55"/>
      <c r="H61" s="162">
        <v>45230</v>
      </c>
      <c r="I61" s="48" t="s">
        <v>71</v>
      </c>
      <c r="J61" s="164" t="s">
        <v>71</v>
      </c>
      <c r="K61" s="56"/>
    </row>
    <row r="62" spans="1:11">
      <c r="A62" s="153" t="s">
        <v>321</v>
      </c>
      <c r="B62" s="153" t="s">
        <v>322</v>
      </c>
      <c r="C62" s="153" t="s">
        <v>323</v>
      </c>
      <c r="D62" s="154">
        <v>45415</v>
      </c>
      <c r="E62" s="153" t="s">
        <v>20</v>
      </c>
      <c r="F62" s="155">
        <v>140.32</v>
      </c>
      <c r="G62" s="55"/>
      <c r="H62" s="162">
        <v>45044</v>
      </c>
      <c r="I62" s="48" t="s">
        <v>71</v>
      </c>
      <c r="J62" s="164" t="s">
        <v>71</v>
      </c>
      <c r="K62" s="56"/>
    </row>
    <row r="63" spans="1:11">
      <c r="A63" s="153" t="s">
        <v>324</v>
      </c>
      <c r="B63" s="153" t="s">
        <v>325</v>
      </c>
      <c r="C63" s="153" t="s">
        <v>118</v>
      </c>
      <c r="D63" s="154">
        <v>45777</v>
      </c>
      <c r="E63" s="153" t="s">
        <v>19</v>
      </c>
      <c r="F63" s="155">
        <v>254.2</v>
      </c>
      <c r="G63" s="55"/>
      <c r="H63" s="162">
        <v>45267</v>
      </c>
      <c r="I63" s="48" t="s">
        <v>71</v>
      </c>
      <c r="J63" s="164" t="s">
        <v>71</v>
      </c>
      <c r="K63" s="56"/>
    </row>
    <row r="64" spans="1:11">
      <c r="A64" s="153" t="s">
        <v>326</v>
      </c>
      <c r="B64" s="153" t="s">
        <v>327</v>
      </c>
      <c r="C64" s="153" t="s">
        <v>200</v>
      </c>
      <c r="D64" s="154">
        <v>45536</v>
      </c>
      <c r="E64" s="153" t="s">
        <v>194</v>
      </c>
      <c r="F64" s="155">
        <v>122.9</v>
      </c>
      <c r="G64" s="55"/>
      <c r="H64" s="162">
        <v>45230</v>
      </c>
      <c r="I64" s="48" t="s">
        <v>71</v>
      </c>
      <c r="J64" s="164" t="s">
        <v>71</v>
      </c>
      <c r="K64" s="56"/>
    </row>
    <row r="65" spans="1:11">
      <c r="A65" s="153" t="s">
        <v>328</v>
      </c>
      <c r="B65" s="153" t="s">
        <v>329</v>
      </c>
      <c r="C65" s="153" t="s">
        <v>218</v>
      </c>
      <c r="D65" s="154">
        <v>45809</v>
      </c>
      <c r="E65" s="153" t="s">
        <v>194</v>
      </c>
      <c r="F65" s="155">
        <v>310.58</v>
      </c>
      <c r="G65" s="55"/>
      <c r="H65" s="162">
        <v>45146</v>
      </c>
      <c r="I65" s="48" t="s">
        <v>71</v>
      </c>
      <c r="J65" s="164" t="s">
        <v>71</v>
      </c>
      <c r="K65" s="56"/>
    </row>
    <row r="66" spans="1:11">
      <c r="A66" s="153" t="s">
        <v>330</v>
      </c>
      <c r="B66" s="153" t="s">
        <v>331</v>
      </c>
      <c r="C66" s="153" t="s">
        <v>240</v>
      </c>
      <c r="D66" s="154">
        <v>45268</v>
      </c>
      <c r="E66" s="153" t="s">
        <v>194</v>
      </c>
      <c r="F66" s="155">
        <v>9.99</v>
      </c>
      <c r="G66" s="55"/>
      <c r="H66" s="162">
        <v>44981</v>
      </c>
      <c r="I66" s="48" t="s">
        <v>71</v>
      </c>
      <c r="J66" s="164" t="s">
        <v>71</v>
      </c>
      <c r="K66" s="56"/>
    </row>
    <row r="67" spans="1:11">
      <c r="A67" s="153" t="s">
        <v>332</v>
      </c>
      <c r="B67" s="153" t="s">
        <v>333</v>
      </c>
      <c r="C67" s="153" t="s">
        <v>334</v>
      </c>
      <c r="D67" s="154">
        <v>45416</v>
      </c>
      <c r="E67" s="153" t="s">
        <v>194</v>
      </c>
      <c r="F67" s="155">
        <v>9.9</v>
      </c>
      <c r="G67" s="55"/>
      <c r="H67" s="162">
        <v>45295</v>
      </c>
      <c r="I67" s="48" t="s">
        <v>71</v>
      </c>
      <c r="J67" s="164" t="s">
        <v>71</v>
      </c>
      <c r="K67" s="56"/>
    </row>
    <row r="68" spans="1:11">
      <c r="A68" s="157" t="s">
        <v>335</v>
      </c>
      <c r="B68" s="157" t="s">
        <v>336</v>
      </c>
      <c r="C68" s="157" t="s">
        <v>117</v>
      </c>
      <c r="D68" s="154">
        <v>45641</v>
      </c>
      <c r="E68" s="157" t="s">
        <v>19</v>
      </c>
      <c r="F68" s="158">
        <v>352.39</v>
      </c>
      <c r="G68" s="55"/>
      <c r="H68" s="162">
        <v>45321</v>
      </c>
      <c r="I68" s="48" t="s">
        <v>71</v>
      </c>
      <c r="J68" s="164" t="s">
        <v>71</v>
      </c>
      <c r="K68" s="56"/>
    </row>
    <row r="69" spans="1:11">
      <c r="A69" s="157" t="s">
        <v>337</v>
      </c>
      <c r="B69" s="157" t="s">
        <v>338</v>
      </c>
      <c r="C69" s="157" t="s">
        <v>129</v>
      </c>
      <c r="D69" s="154">
        <v>46053</v>
      </c>
      <c r="E69" s="157" t="s">
        <v>194</v>
      </c>
      <c r="F69" s="158">
        <v>201.11</v>
      </c>
      <c r="G69" s="55"/>
      <c r="H69" s="162">
        <v>45190</v>
      </c>
      <c r="I69" s="48" t="s">
        <v>71</v>
      </c>
      <c r="J69" s="164" t="s">
        <v>71</v>
      </c>
      <c r="K69" s="56"/>
    </row>
    <row r="70" spans="1:11">
      <c r="A70" s="157" t="s">
        <v>339</v>
      </c>
      <c r="B70" s="157" t="s">
        <v>340</v>
      </c>
      <c r="C70" s="157" t="s">
        <v>115</v>
      </c>
      <c r="D70" s="154">
        <v>45688</v>
      </c>
      <c r="E70" s="157" t="s">
        <v>19</v>
      </c>
      <c r="F70" s="158">
        <v>417.74</v>
      </c>
      <c r="G70" s="55"/>
      <c r="H70" s="162">
        <v>45308</v>
      </c>
      <c r="I70" s="48" t="s">
        <v>71</v>
      </c>
      <c r="J70" s="164" t="s">
        <v>71</v>
      </c>
      <c r="K70" s="56"/>
    </row>
    <row r="71" spans="1:11">
      <c r="A71" s="157" t="s">
        <v>341</v>
      </c>
      <c r="B71" s="157" t="s">
        <v>342</v>
      </c>
      <c r="C71" s="157" t="s">
        <v>114</v>
      </c>
      <c r="D71" s="154">
        <v>45654</v>
      </c>
      <c r="E71" s="157" t="s">
        <v>20</v>
      </c>
      <c r="F71" s="158">
        <v>159.93</v>
      </c>
      <c r="G71" s="55"/>
      <c r="H71" s="162">
        <v>45321</v>
      </c>
      <c r="I71" s="48" t="s">
        <v>71</v>
      </c>
      <c r="J71" s="164" t="s">
        <v>71</v>
      </c>
      <c r="K71" s="56"/>
    </row>
    <row r="72" spans="1:11">
      <c r="A72" s="157" t="s">
        <v>343</v>
      </c>
      <c r="B72" s="157" t="s">
        <v>344</v>
      </c>
      <c r="C72" s="157" t="s">
        <v>345</v>
      </c>
      <c r="D72" s="154">
        <v>45519</v>
      </c>
      <c r="E72" s="157" t="s">
        <v>194</v>
      </c>
      <c r="F72" s="158">
        <v>125.36</v>
      </c>
      <c r="G72" s="55"/>
      <c r="H72" s="162">
        <v>45156</v>
      </c>
      <c r="I72" s="48" t="s">
        <v>71</v>
      </c>
      <c r="J72" s="164" t="s">
        <v>71</v>
      </c>
      <c r="K72" s="56"/>
    </row>
    <row r="73" spans="1:11">
      <c r="A73" s="157" t="s">
        <v>346</v>
      </c>
      <c r="B73" s="157" t="s">
        <v>347</v>
      </c>
      <c r="C73" s="157" t="s">
        <v>112</v>
      </c>
      <c r="D73" s="154">
        <v>45523</v>
      </c>
      <c r="E73" s="157" t="s">
        <v>208</v>
      </c>
      <c r="F73" s="158">
        <v>94</v>
      </c>
      <c r="G73" s="55"/>
      <c r="H73" s="162">
        <v>45322</v>
      </c>
      <c r="I73" s="48" t="s">
        <v>71</v>
      </c>
      <c r="J73" s="164" t="s">
        <v>71</v>
      </c>
      <c r="K73" s="56"/>
    </row>
    <row r="74" spans="1:11">
      <c r="A74" s="157" t="s">
        <v>348</v>
      </c>
      <c r="B74" s="157" t="s">
        <v>349</v>
      </c>
      <c r="C74" s="157" t="s">
        <v>350</v>
      </c>
      <c r="D74" s="154">
        <v>45764</v>
      </c>
      <c r="E74" s="157" t="s">
        <v>20</v>
      </c>
      <c r="F74" s="158">
        <v>165.42</v>
      </c>
      <c r="G74" s="55"/>
      <c r="H74" s="162">
        <v>45322</v>
      </c>
      <c r="I74" s="48" t="s">
        <v>71</v>
      </c>
      <c r="J74" s="164" t="s">
        <v>71</v>
      </c>
      <c r="K74" s="56"/>
    </row>
    <row r="75" spans="1:11">
      <c r="A75" s="153" t="s">
        <v>351</v>
      </c>
      <c r="B75" s="153" t="s">
        <v>352</v>
      </c>
      <c r="C75" s="153" t="s">
        <v>134</v>
      </c>
      <c r="D75" s="154">
        <v>46006</v>
      </c>
      <c r="E75" s="153" t="s">
        <v>194</v>
      </c>
      <c r="F75" s="155">
        <v>206.9</v>
      </c>
      <c r="G75" s="55"/>
      <c r="H75" s="162">
        <v>45300</v>
      </c>
      <c r="I75" s="48" t="s">
        <v>71</v>
      </c>
      <c r="J75" s="164" t="s">
        <v>71</v>
      </c>
      <c r="K75" s="56"/>
    </row>
    <row r="76" spans="1:11">
      <c r="A76" s="153" t="s">
        <v>353</v>
      </c>
      <c r="B76" s="153" t="s">
        <v>354</v>
      </c>
      <c r="C76" s="153" t="s">
        <v>129</v>
      </c>
      <c r="D76" s="154">
        <v>45444</v>
      </c>
      <c r="E76" s="153" t="s">
        <v>19</v>
      </c>
      <c r="F76" s="155">
        <v>60.36</v>
      </c>
      <c r="G76" s="55"/>
      <c r="H76" s="162">
        <v>45141</v>
      </c>
      <c r="I76" s="48" t="s">
        <v>71</v>
      </c>
      <c r="J76" s="164" t="s">
        <v>71</v>
      </c>
      <c r="K76" s="56"/>
    </row>
    <row r="77" spans="1:11">
      <c r="A77" s="153" t="s">
        <v>355</v>
      </c>
      <c r="B77" s="153" t="s">
        <v>356</v>
      </c>
      <c r="C77" s="153" t="s">
        <v>205</v>
      </c>
      <c r="D77" s="154">
        <v>46112</v>
      </c>
      <c r="E77" s="153" t="s">
        <v>19</v>
      </c>
      <c r="F77" s="155">
        <v>51.6</v>
      </c>
      <c r="G77" s="55"/>
      <c r="H77" s="162">
        <v>45230</v>
      </c>
      <c r="I77" s="48" t="s">
        <v>71</v>
      </c>
      <c r="J77" s="164" t="s">
        <v>71</v>
      </c>
      <c r="K77" s="56"/>
    </row>
    <row r="78" spans="1:11">
      <c r="A78" s="153" t="s">
        <v>357</v>
      </c>
      <c r="B78" s="153" t="s">
        <v>358</v>
      </c>
      <c r="C78" s="153" t="s">
        <v>120</v>
      </c>
      <c r="D78" s="154">
        <v>45869</v>
      </c>
      <c r="E78" s="153" t="s">
        <v>19</v>
      </c>
      <c r="F78" s="155">
        <v>152.65</v>
      </c>
      <c r="G78" s="55"/>
      <c r="H78" s="162">
        <v>45245</v>
      </c>
      <c r="I78" s="48" t="s">
        <v>71</v>
      </c>
      <c r="J78" s="164" t="s">
        <v>71</v>
      </c>
      <c r="K78" s="56"/>
    </row>
    <row r="79" spans="1:11">
      <c r="A79" s="153" t="s">
        <v>359</v>
      </c>
      <c r="B79" s="153" t="s">
        <v>360</v>
      </c>
      <c r="C79" s="153" t="s">
        <v>120</v>
      </c>
      <c r="D79" s="154">
        <v>45869</v>
      </c>
      <c r="E79" s="153" t="s">
        <v>194</v>
      </c>
      <c r="F79" s="155">
        <v>76.83</v>
      </c>
      <c r="G79" s="55"/>
      <c r="H79" s="162">
        <v>45245</v>
      </c>
      <c r="I79" s="48" t="s">
        <v>71</v>
      </c>
      <c r="J79" s="164" t="s">
        <v>71</v>
      </c>
      <c r="K79" s="56"/>
    </row>
    <row r="80" spans="1:11">
      <c r="A80" s="157" t="s">
        <v>361</v>
      </c>
      <c r="B80" s="157" t="s">
        <v>362</v>
      </c>
      <c r="C80" s="157" t="s">
        <v>129</v>
      </c>
      <c r="D80" s="154">
        <v>45640</v>
      </c>
      <c r="E80" s="157" t="s">
        <v>194</v>
      </c>
      <c r="F80" s="158">
        <v>62.05</v>
      </c>
      <c r="G80" s="55"/>
      <c r="H80" s="162">
        <v>45323</v>
      </c>
      <c r="I80" s="48" t="s">
        <v>71</v>
      </c>
      <c r="J80" s="164" t="s">
        <v>71</v>
      </c>
      <c r="K80" s="56"/>
    </row>
    <row r="81" spans="1:11">
      <c r="A81" s="153" t="s">
        <v>363</v>
      </c>
      <c r="B81" s="153" t="s">
        <v>364</v>
      </c>
      <c r="C81" s="153" t="s">
        <v>205</v>
      </c>
      <c r="D81" s="154">
        <v>46203</v>
      </c>
      <c r="E81" s="153" t="s">
        <v>19</v>
      </c>
      <c r="F81" s="155">
        <v>200.94</v>
      </c>
      <c r="G81" s="55"/>
      <c r="H81" s="162">
        <v>45278</v>
      </c>
      <c r="I81" s="48" t="s">
        <v>71</v>
      </c>
      <c r="J81" s="164" t="s">
        <v>71</v>
      </c>
      <c r="K81" s="56"/>
    </row>
    <row r="82" spans="1:11">
      <c r="A82" s="153" t="s">
        <v>365</v>
      </c>
      <c r="B82" s="153" t="s">
        <v>366</v>
      </c>
      <c r="C82" s="153" t="s">
        <v>117</v>
      </c>
      <c r="D82" s="154">
        <v>45472</v>
      </c>
      <c r="E82" s="153" t="s">
        <v>19</v>
      </c>
      <c r="F82" s="156">
        <v>254</v>
      </c>
      <c r="G82" s="55"/>
      <c r="H82" s="162">
        <v>45139</v>
      </c>
      <c r="I82" s="48" t="s">
        <v>71</v>
      </c>
      <c r="J82" s="164" t="s">
        <v>71</v>
      </c>
      <c r="K82" s="56"/>
    </row>
    <row r="83" spans="1:11">
      <c r="A83" s="153" t="s">
        <v>367</v>
      </c>
      <c r="B83" s="153" t="s">
        <v>368</v>
      </c>
      <c r="C83" s="153" t="s">
        <v>369</v>
      </c>
      <c r="D83" s="154">
        <v>45838</v>
      </c>
      <c r="E83" s="153" t="s">
        <v>194</v>
      </c>
      <c r="F83" s="156">
        <v>300</v>
      </c>
      <c r="G83" s="55"/>
      <c r="H83" s="162">
        <v>45163</v>
      </c>
      <c r="I83" s="48" t="s">
        <v>71</v>
      </c>
      <c r="J83" s="164" t="s">
        <v>71</v>
      </c>
      <c r="K83" s="56"/>
    </row>
    <row r="84" spans="1:11">
      <c r="A84" s="153" t="s">
        <v>370</v>
      </c>
      <c r="B84" s="153" t="s">
        <v>371</v>
      </c>
      <c r="C84" s="153" t="s">
        <v>119</v>
      </c>
      <c r="D84" s="154">
        <v>45505</v>
      </c>
      <c r="E84" s="153" t="s">
        <v>19</v>
      </c>
      <c r="F84" s="155">
        <v>469.42</v>
      </c>
      <c r="G84" s="55"/>
      <c r="H84" s="162">
        <v>45202</v>
      </c>
      <c r="I84" s="48" t="s">
        <v>71</v>
      </c>
      <c r="J84" s="164" t="s">
        <v>71</v>
      </c>
      <c r="K84" s="56"/>
    </row>
    <row r="85" spans="1:11">
      <c r="A85" s="153" t="s">
        <v>372</v>
      </c>
      <c r="B85" s="153" t="s">
        <v>373</v>
      </c>
      <c r="C85" s="153" t="s">
        <v>117</v>
      </c>
      <c r="D85" s="154">
        <v>45381</v>
      </c>
      <c r="E85" s="153" t="s">
        <v>19</v>
      </c>
      <c r="F85" s="155">
        <v>322.82</v>
      </c>
      <c r="G85" s="55"/>
      <c r="H85" s="162">
        <v>45007</v>
      </c>
      <c r="I85" s="48" t="s">
        <v>71</v>
      </c>
      <c r="J85" s="164" t="s">
        <v>71</v>
      </c>
      <c r="K85" s="56"/>
    </row>
    <row r="86" spans="1:11">
      <c r="A86" s="153" t="s">
        <v>374</v>
      </c>
      <c r="B86" s="153" t="s">
        <v>375</v>
      </c>
      <c r="C86" s="153" t="s">
        <v>369</v>
      </c>
      <c r="D86" s="154">
        <v>45894</v>
      </c>
      <c r="E86" s="153" t="s">
        <v>19</v>
      </c>
      <c r="F86" s="155">
        <v>177.64</v>
      </c>
      <c r="G86" s="55"/>
      <c r="H86" s="162">
        <v>45247</v>
      </c>
      <c r="I86" s="48" t="s">
        <v>71</v>
      </c>
      <c r="J86" s="164" t="s">
        <v>71</v>
      </c>
      <c r="K86" s="56"/>
    </row>
    <row r="87" spans="1:11">
      <c r="A87" s="153" t="s">
        <v>376</v>
      </c>
      <c r="B87" s="153" t="s">
        <v>377</v>
      </c>
      <c r="C87" s="153" t="s">
        <v>118</v>
      </c>
      <c r="D87" s="154">
        <v>46173</v>
      </c>
      <c r="E87" s="153" t="s">
        <v>19</v>
      </c>
      <c r="F87" s="155">
        <v>306.8</v>
      </c>
      <c r="G87" s="55"/>
      <c r="H87" s="162">
        <v>45296</v>
      </c>
      <c r="I87" s="48" t="s">
        <v>71</v>
      </c>
      <c r="J87" s="164" t="s">
        <v>71</v>
      </c>
      <c r="K87" s="56"/>
    </row>
    <row r="88" spans="1:11">
      <c r="A88" s="153" t="s">
        <v>378</v>
      </c>
      <c r="B88" s="153" t="s">
        <v>379</v>
      </c>
      <c r="C88" s="153" t="s">
        <v>126</v>
      </c>
      <c r="D88" s="154">
        <v>45901</v>
      </c>
      <c r="E88" s="153" t="s">
        <v>194</v>
      </c>
      <c r="F88" s="156">
        <v>75</v>
      </c>
      <c r="G88" s="55"/>
      <c r="H88" s="162">
        <v>45028</v>
      </c>
      <c r="I88" s="48" t="s">
        <v>71</v>
      </c>
      <c r="J88" s="164" t="s">
        <v>71</v>
      </c>
      <c r="K88" s="56"/>
    </row>
    <row r="89" spans="1:11">
      <c r="A89" s="153" t="s">
        <v>380</v>
      </c>
      <c r="B89" s="153" t="s">
        <v>381</v>
      </c>
      <c r="C89" s="153" t="s">
        <v>382</v>
      </c>
      <c r="D89" s="154">
        <v>45840</v>
      </c>
      <c r="E89" s="153" t="s">
        <v>194</v>
      </c>
      <c r="F89" s="155">
        <v>60.3</v>
      </c>
      <c r="G89" s="55"/>
      <c r="H89" s="162">
        <v>45163</v>
      </c>
      <c r="I89" s="48" t="s">
        <v>71</v>
      </c>
      <c r="J89" s="164" t="s">
        <v>71</v>
      </c>
      <c r="K89" s="56"/>
    </row>
    <row r="90" spans="1:11">
      <c r="A90" s="153" t="s">
        <v>109</v>
      </c>
      <c r="B90" s="153" t="s">
        <v>383</v>
      </c>
      <c r="C90" s="153" t="s">
        <v>124</v>
      </c>
      <c r="D90" s="154">
        <v>45381</v>
      </c>
      <c r="E90" s="153" t="s">
        <v>194</v>
      </c>
      <c r="F90" s="155">
        <v>206.21</v>
      </c>
      <c r="G90" s="55"/>
      <c r="H90" s="162">
        <v>44967</v>
      </c>
      <c r="I90" s="48" t="s">
        <v>71</v>
      </c>
      <c r="J90" s="164" t="s">
        <v>71</v>
      </c>
      <c r="K90" s="56"/>
    </row>
    <row r="91" spans="1:11">
      <c r="A91" s="153" t="s">
        <v>384</v>
      </c>
      <c r="B91" s="153" t="s">
        <v>385</v>
      </c>
      <c r="C91" s="153" t="s">
        <v>127</v>
      </c>
      <c r="D91" s="154">
        <v>45282</v>
      </c>
      <c r="E91" s="153" t="s">
        <v>194</v>
      </c>
      <c r="F91" s="155">
        <v>9.99</v>
      </c>
      <c r="G91" s="55"/>
      <c r="H91" s="162">
        <v>44981</v>
      </c>
      <c r="I91" s="48" t="s">
        <v>71</v>
      </c>
      <c r="J91" s="164" t="s">
        <v>71</v>
      </c>
      <c r="K91" s="56"/>
    </row>
    <row r="92" spans="1:11">
      <c r="A92" s="153" t="s">
        <v>386</v>
      </c>
      <c r="B92" s="153" t="s">
        <v>387</v>
      </c>
      <c r="C92" s="153" t="s">
        <v>129</v>
      </c>
      <c r="D92" s="154">
        <v>45397</v>
      </c>
      <c r="E92" s="153" t="s">
        <v>208</v>
      </c>
      <c r="F92" s="156">
        <v>50</v>
      </c>
      <c r="G92" s="55"/>
      <c r="H92" s="162">
        <v>45036</v>
      </c>
      <c r="I92" s="48" t="s">
        <v>71</v>
      </c>
      <c r="J92" s="164" t="s">
        <v>71</v>
      </c>
      <c r="K92" s="56"/>
    </row>
    <row r="93" spans="1:11">
      <c r="A93" s="153" t="s">
        <v>388</v>
      </c>
      <c r="B93" s="153" t="s">
        <v>389</v>
      </c>
      <c r="C93" s="153" t="s">
        <v>127</v>
      </c>
      <c r="D93" s="154">
        <v>45271</v>
      </c>
      <c r="E93" s="153" t="s">
        <v>194</v>
      </c>
      <c r="F93" s="155">
        <v>9.99</v>
      </c>
      <c r="G93" s="55"/>
      <c r="H93" s="162">
        <v>45163</v>
      </c>
      <c r="I93" s="48" t="s">
        <v>71</v>
      </c>
      <c r="J93" s="164" t="s">
        <v>71</v>
      </c>
      <c r="K93" s="56"/>
    </row>
    <row r="94" spans="1:11">
      <c r="A94" s="153" t="s">
        <v>390</v>
      </c>
      <c r="B94" s="153" t="s">
        <v>391</v>
      </c>
      <c r="C94" s="153" t="s">
        <v>118</v>
      </c>
      <c r="D94" s="154">
        <v>45658</v>
      </c>
      <c r="E94" s="153" t="s">
        <v>194</v>
      </c>
      <c r="F94" s="155">
        <v>206.32</v>
      </c>
      <c r="G94" s="55"/>
      <c r="H94" s="162">
        <v>45162</v>
      </c>
      <c r="I94" s="48" t="s">
        <v>71</v>
      </c>
      <c r="J94" s="164" t="s">
        <v>71</v>
      </c>
      <c r="K94" s="56"/>
    </row>
    <row r="95" spans="1:11">
      <c r="A95" s="153" t="s">
        <v>392</v>
      </c>
      <c r="B95" s="153" t="s">
        <v>393</v>
      </c>
      <c r="C95" s="153" t="s">
        <v>394</v>
      </c>
      <c r="D95" s="154">
        <v>45443</v>
      </c>
      <c r="E95" s="153" t="s">
        <v>194</v>
      </c>
      <c r="F95" s="155">
        <v>102.97</v>
      </c>
      <c r="G95" s="55"/>
      <c r="H95" s="162">
        <v>45047</v>
      </c>
      <c r="I95" s="48" t="s">
        <v>71</v>
      </c>
      <c r="J95" s="164" t="s">
        <v>71</v>
      </c>
      <c r="K95" s="56"/>
    </row>
    <row r="96" spans="1:11">
      <c r="A96" s="153" t="s">
        <v>395</v>
      </c>
      <c r="B96" s="153" t="s">
        <v>396</v>
      </c>
      <c r="C96" s="153" t="s">
        <v>397</v>
      </c>
      <c r="D96" s="154">
        <v>45818</v>
      </c>
      <c r="E96" s="153" t="s">
        <v>20</v>
      </c>
      <c r="F96" s="155">
        <v>148.4</v>
      </c>
      <c r="G96" s="55"/>
      <c r="H96" s="162">
        <v>45295</v>
      </c>
      <c r="I96" s="48" t="s">
        <v>71</v>
      </c>
      <c r="J96" s="164" t="s">
        <v>71</v>
      </c>
      <c r="K96" s="56"/>
    </row>
    <row r="97" spans="1:11">
      <c r="A97" s="153" t="s">
        <v>398</v>
      </c>
      <c r="B97" s="153" t="s">
        <v>399</v>
      </c>
      <c r="C97" s="153" t="s">
        <v>116</v>
      </c>
      <c r="D97" s="154">
        <v>45625</v>
      </c>
      <c r="E97" s="153" t="s">
        <v>19</v>
      </c>
      <c r="F97" s="156">
        <v>254</v>
      </c>
      <c r="G97" s="55"/>
      <c r="H97" s="162">
        <v>45162</v>
      </c>
      <c r="I97" s="48" t="s">
        <v>71</v>
      </c>
      <c r="J97" s="164" t="s">
        <v>71</v>
      </c>
      <c r="K97" s="56"/>
    </row>
    <row r="98" spans="1:11">
      <c r="A98" s="153" t="s">
        <v>108</v>
      </c>
      <c r="B98" s="153" t="s">
        <v>400</v>
      </c>
      <c r="C98" s="153" t="s">
        <v>112</v>
      </c>
      <c r="D98" s="154">
        <v>45473</v>
      </c>
      <c r="E98" s="153" t="s">
        <v>19</v>
      </c>
      <c r="F98" s="155">
        <v>353.41</v>
      </c>
      <c r="G98" s="55"/>
      <c r="H98" s="162">
        <v>44960</v>
      </c>
      <c r="I98" s="48" t="s">
        <v>71</v>
      </c>
      <c r="J98" s="164" t="s">
        <v>71</v>
      </c>
      <c r="K98" s="56"/>
    </row>
    <row r="99" spans="1:11">
      <c r="A99" s="153" t="s">
        <v>401</v>
      </c>
      <c r="B99" s="153" t="s">
        <v>402</v>
      </c>
      <c r="C99" s="153" t="s">
        <v>403</v>
      </c>
      <c r="D99" s="154">
        <v>45336</v>
      </c>
      <c r="E99" s="153" t="s">
        <v>20</v>
      </c>
      <c r="F99" s="155">
        <v>258.10000000000002</v>
      </c>
      <c r="G99" s="55"/>
      <c r="H99" s="162">
        <v>45047</v>
      </c>
      <c r="I99" s="48" t="s">
        <v>71</v>
      </c>
      <c r="J99" s="164" t="s">
        <v>71</v>
      </c>
      <c r="K99" s="56"/>
    </row>
    <row r="100" spans="1:11">
      <c r="A100" s="153" t="s">
        <v>404</v>
      </c>
      <c r="B100" s="153" t="s">
        <v>405</v>
      </c>
      <c r="C100" s="153" t="s">
        <v>394</v>
      </c>
      <c r="D100" s="154">
        <v>45443</v>
      </c>
      <c r="E100" s="153" t="s">
        <v>19</v>
      </c>
      <c r="F100" s="155">
        <v>195.41</v>
      </c>
      <c r="G100" s="55"/>
      <c r="H100" s="162">
        <v>45047</v>
      </c>
      <c r="I100" s="48" t="s">
        <v>71</v>
      </c>
      <c r="J100" s="164" t="s">
        <v>71</v>
      </c>
      <c r="K100" s="56"/>
    </row>
    <row r="101" spans="1:11">
      <c r="A101" s="153" t="s">
        <v>406</v>
      </c>
      <c r="B101" s="153" t="s">
        <v>407</v>
      </c>
      <c r="C101" s="153" t="s">
        <v>121</v>
      </c>
      <c r="D101" s="154">
        <v>45473</v>
      </c>
      <c r="E101" s="153" t="s">
        <v>19</v>
      </c>
      <c r="F101" s="155">
        <v>238.26</v>
      </c>
      <c r="G101" s="55"/>
      <c r="H101" s="162">
        <v>45083</v>
      </c>
      <c r="I101" s="48" t="s">
        <v>71</v>
      </c>
      <c r="J101" s="164" t="s">
        <v>71</v>
      </c>
      <c r="K101" s="56"/>
    </row>
    <row r="102" spans="1:11">
      <c r="A102" s="153" t="s">
        <v>408</v>
      </c>
      <c r="B102" s="153" t="s">
        <v>409</v>
      </c>
      <c r="C102" s="153" t="s">
        <v>410</v>
      </c>
      <c r="D102" s="154">
        <v>45323</v>
      </c>
      <c r="E102" s="153" t="s">
        <v>20</v>
      </c>
      <c r="F102" s="155">
        <v>268.92</v>
      </c>
      <c r="G102" s="55"/>
      <c r="H102" s="162">
        <v>45212</v>
      </c>
      <c r="I102" s="48" t="s">
        <v>71</v>
      </c>
      <c r="J102" s="164" t="s">
        <v>71</v>
      </c>
      <c r="K102" s="56"/>
    </row>
    <row r="103" spans="1:11">
      <c r="A103" s="153" t="s">
        <v>411</v>
      </c>
      <c r="B103" s="153" t="s">
        <v>412</v>
      </c>
      <c r="C103" s="153" t="s">
        <v>413</v>
      </c>
      <c r="D103" s="154">
        <v>45536</v>
      </c>
      <c r="E103" s="153" t="s">
        <v>20</v>
      </c>
      <c r="F103" s="155">
        <v>200.2</v>
      </c>
      <c r="G103" s="55"/>
      <c r="H103" s="162">
        <v>45138</v>
      </c>
      <c r="I103" s="48" t="s">
        <v>71</v>
      </c>
      <c r="J103" s="164" t="s">
        <v>71</v>
      </c>
      <c r="K103" s="56"/>
    </row>
    <row r="104" spans="1:11">
      <c r="A104" s="153" t="s">
        <v>414</v>
      </c>
      <c r="B104" s="153" t="s">
        <v>415</v>
      </c>
      <c r="C104" s="153" t="s">
        <v>369</v>
      </c>
      <c r="D104" s="154">
        <v>45838</v>
      </c>
      <c r="E104" s="153" t="s">
        <v>19</v>
      </c>
      <c r="F104" s="156">
        <v>300</v>
      </c>
      <c r="G104" s="55"/>
      <c r="H104" s="162">
        <v>45163</v>
      </c>
      <c r="I104" s="48" t="s">
        <v>71</v>
      </c>
      <c r="J104" s="164" t="s">
        <v>71</v>
      </c>
      <c r="K104" s="56"/>
    </row>
    <row r="105" spans="1:11">
      <c r="A105" s="153" t="s">
        <v>416</v>
      </c>
      <c r="B105" s="153" t="s">
        <v>417</v>
      </c>
      <c r="C105" s="153" t="s">
        <v>112</v>
      </c>
      <c r="D105" s="154">
        <v>45468</v>
      </c>
      <c r="E105" s="153" t="s">
        <v>194</v>
      </c>
      <c r="F105" s="155">
        <v>152.74</v>
      </c>
      <c r="G105" s="55"/>
      <c r="H105" s="162">
        <v>45044</v>
      </c>
      <c r="I105" s="48" t="s">
        <v>71</v>
      </c>
      <c r="J105" s="164" t="s">
        <v>71</v>
      </c>
      <c r="K105" s="56"/>
    </row>
    <row r="106" spans="1:11">
      <c r="A106" s="153" t="s">
        <v>418</v>
      </c>
      <c r="B106" s="153" t="s">
        <v>419</v>
      </c>
      <c r="C106" s="153" t="s">
        <v>112</v>
      </c>
      <c r="D106" s="154">
        <v>45357</v>
      </c>
      <c r="E106" s="153" t="s">
        <v>194</v>
      </c>
      <c r="F106" s="155">
        <v>152.43</v>
      </c>
      <c r="G106" s="55"/>
      <c r="H106" s="162">
        <v>45118</v>
      </c>
      <c r="I106" s="48" t="s">
        <v>71</v>
      </c>
      <c r="J106" s="164" t="s">
        <v>71</v>
      </c>
      <c r="K106" s="56"/>
    </row>
    <row r="107" spans="1:11">
      <c r="A107" s="153" t="s">
        <v>420</v>
      </c>
      <c r="B107" s="153" t="s">
        <v>421</v>
      </c>
      <c r="C107" s="153" t="s">
        <v>205</v>
      </c>
      <c r="D107" s="154">
        <v>46203</v>
      </c>
      <c r="E107" s="153" t="s">
        <v>194</v>
      </c>
      <c r="F107" s="155">
        <v>201.31</v>
      </c>
      <c r="G107" s="55"/>
      <c r="H107" s="162">
        <v>45278</v>
      </c>
      <c r="I107" s="48" t="s">
        <v>71</v>
      </c>
      <c r="J107" s="164" t="s">
        <v>71</v>
      </c>
      <c r="K107" s="56"/>
    </row>
    <row r="108" spans="1:11">
      <c r="A108" s="153" t="s">
        <v>422</v>
      </c>
      <c r="B108" s="153" t="s">
        <v>423</v>
      </c>
      <c r="C108" s="153" t="s">
        <v>131</v>
      </c>
      <c r="D108" s="154">
        <v>45594</v>
      </c>
      <c r="E108" s="153" t="s">
        <v>19</v>
      </c>
      <c r="F108" s="155">
        <v>306.89999999999998</v>
      </c>
      <c r="G108" s="55"/>
      <c r="H108" s="162">
        <v>45131</v>
      </c>
      <c r="I108" s="48" t="s">
        <v>71</v>
      </c>
      <c r="J108" s="164" t="s">
        <v>71</v>
      </c>
      <c r="K108" s="56"/>
    </row>
    <row r="109" spans="1:11">
      <c r="A109" s="153" t="s">
        <v>424</v>
      </c>
      <c r="B109" s="153" t="s">
        <v>425</v>
      </c>
      <c r="C109" s="153" t="s">
        <v>122</v>
      </c>
      <c r="D109" s="154">
        <v>45290</v>
      </c>
      <c r="E109" s="153" t="s">
        <v>19</v>
      </c>
      <c r="F109" s="155">
        <v>253.08</v>
      </c>
      <c r="G109" s="55"/>
      <c r="H109" s="162">
        <v>45044</v>
      </c>
      <c r="I109" s="48" t="s">
        <v>71</v>
      </c>
      <c r="J109" s="164" t="s">
        <v>71</v>
      </c>
      <c r="K109" s="56"/>
    </row>
    <row r="110" spans="1:11">
      <c r="A110" s="153" t="s">
        <v>426</v>
      </c>
      <c r="B110" s="153" t="s">
        <v>427</v>
      </c>
      <c r="C110" s="153" t="s">
        <v>125</v>
      </c>
      <c r="D110" s="154">
        <v>45337</v>
      </c>
      <c r="E110" s="153" t="s">
        <v>208</v>
      </c>
      <c r="F110" s="155">
        <v>11.3</v>
      </c>
      <c r="G110" s="55"/>
      <c r="H110" s="162">
        <v>45034</v>
      </c>
      <c r="I110" s="48" t="s">
        <v>71</v>
      </c>
      <c r="J110" s="164" t="s">
        <v>71</v>
      </c>
      <c r="K110" s="56"/>
    </row>
    <row r="111" spans="1:11">
      <c r="A111" s="153" t="s">
        <v>428</v>
      </c>
      <c r="B111" s="153" t="s">
        <v>429</v>
      </c>
      <c r="C111" s="153" t="s">
        <v>272</v>
      </c>
      <c r="D111" s="154">
        <v>45337</v>
      </c>
      <c r="E111" s="153" t="s">
        <v>20</v>
      </c>
      <c r="F111" s="156">
        <v>153</v>
      </c>
      <c r="G111" s="55"/>
      <c r="H111" s="162">
        <v>45047</v>
      </c>
      <c r="I111" s="48" t="s">
        <v>71</v>
      </c>
      <c r="J111" s="164" t="s">
        <v>71</v>
      </c>
      <c r="K111" s="56"/>
    </row>
    <row r="112" spans="1:11">
      <c r="A112" s="153" t="s">
        <v>430</v>
      </c>
      <c r="B112" s="153" t="s">
        <v>431</v>
      </c>
      <c r="C112" s="153" t="s">
        <v>272</v>
      </c>
      <c r="D112" s="154">
        <v>45474</v>
      </c>
      <c r="E112" s="153" t="s">
        <v>194</v>
      </c>
      <c r="F112" s="155">
        <v>142.1</v>
      </c>
      <c r="G112" s="55"/>
      <c r="H112" s="162">
        <v>45231</v>
      </c>
      <c r="I112" s="48" t="s">
        <v>71</v>
      </c>
      <c r="J112" s="164" t="s">
        <v>71</v>
      </c>
      <c r="K112" s="56"/>
    </row>
    <row r="113" spans="1:11">
      <c r="A113" s="153" t="s">
        <v>432</v>
      </c>
      <c r="B113" s="153" t="s">
        <v>433</v>
      </c>
      <c r="C113" s="153" t="s">
        <v>403</v>
      </c>
      <c r="D113" s="154">
        <v>45990</v>
      </c>
      <c r="E113" s="153" t="s">
        <v>20</v>
      </c>
      <c r="F113" s="155">
        <v>258.3</v>
      </c>
      <c r="G113" s="55"/>
      <c r="H113" s="162">
        <v>45047</v>
      </c>
      <c r="I113" s="48" t="s">
        <v>71</v>
      </c>
      <c r="J113" s="164" t="s">
        <v>71</v>
      </c>
      <c r="K113" s="56"/>
    </row>
    <row r="114" spans="1:11">
      <c r="A114" s="159" t="s">
        <v>434</v>
      </c>
      <c r="B114" s="159" t="s">
        <v>435</v>
      </c>
      <c r="C114" s="159" t="s">
        <v>118</v>
      </c>
      <c r="D114" s="160">
        <v>45517</v>
      </c>
      <c r="E114" s="159" t="s">
        <v>19</v>
      </c>
      <c r="F114" s="161">
        <v>351.4</v>
      </c>
      <c r="G114" s="55"/>
      <c r="H114" s="163">
        <v>45043</v>
      </c>
      <c r="I114" s="48" t="s">
        <v>71</v>
      </c>
      <c r="J114" s="165" t="s">
        <v>71</v>
      </c>
      <c r="K114" s="56"/>
    </row>
    <row r="115" spans="1:11">
      <c r="A115" s="153" t="s">
        <v>436</v>
      </c>
      <c r="B115" s="153" t="s">
        <v>437</v>
      </c>
      <c r="C115" s="153" t="s">
        <v>115</v>
      </c>
      <c r="D115" s="154">
        <v>45637</v>
      </c>
      <c r="E115" s="153" t="s">
        <v>19</v>
      </c>
      <c r="F115" s="155">
        <v>406.14</v>
      </c>
      <c r="G115" s="55"/>
      <c r="H115" s="162">
        <v>45323</v>
      </c>
      <c r="I115" s="48" t="s">
        <v>71</v>
      </c>
      <c r="J115" s="164" t="s">
        <v>71</v>
      </c>
      <c r="K115" s="56"/>
    </row>
    <row r="116" spans="1:11">
      <c r="A116" s="153" t="s">
        <v>438</v>
      </c>
      <c r="B116" s="153" t="s">
        <v>439</v>
      </c>
      <c r="C116" s="153" t="s">
        <v>116</v>
      </c>
      <c r="D116" s="154">
        <v>45646</v>
      </c>
      <c r="E116" s="153" t="s">
        <v>19</v>
      </c>
      <c r="F116" s="155">
        <v>152.52000000000001</v>
      </c>
      <c r="G116" s="55"/>
      <c r="H116" s="162">
        <v>45323</v>
      </c>
      <c r="I116" s="48" t="s">
        <v>71</v>
      </c>
      <c r="J116" s="164" t="s">
        <v>71</v>
      </c>
      <c r="K116" s="56"/>
    </row>
    <row r="117" spans="1:11">
      <c r="A117" s="153" t="s">
        <v>440</v>
      </c>
      <c r="B117" s="153" t="s">
        <v>441</v>
      </c>
      <c r="C117" s="153" t="s">
        <v>442</v>
      </c>
      <c r="D117" s="154">
        <v>45657</v>
      </c>
      <c r="E117" s="153" t="s">
        <v>19</v>
      </c>
      <c r="F117" s="155">
        <v>484.56</v>
      </c>
      <c r="G117" s="55"/>
      <c r="H117" s="162">
        <v>45315</v>
      </c>
      <c r="I117" s="48" t="s">
        <v>71</v>
      </c>
      <c r="J117" s="164" t="s">
        <v>71</v>
      </c>
      <c r="K117" s="56"/>
    </row>
    <row r="118" spans="1:11">
      <c r="A118" s="6"/>
      <c r="B118" s="6"/>
      <c r="C118" s="110"/>
      <c r="D118" s="111"/>
      <c r="E118" s="109"/>
      <c r="F118" s="6"/>
      <c r="G118" s="55"/>
      <c r="H118" s="127"/>
      <c r="I118" s="48"/>
      <c r="J118" s="48"/>
      <c r="K118" s="56"/>
    </row>
    <row r="119" spans="1:11">
      <c r="A119" s="6"/>
      <c r="B119" s="6"/>
      <c r="C119" s="6"/>
      <c r="D119" s="111"/>
      <c r="E119" s="6"/>
      <c r="F119" s="6"/>
      <c r="G119" s="6"/>
      <c r="H119" s="127"/>
      <c r="I119" s="48"/>
      <c r="J119" s="48"/>
      <c r="K119" s="6"/>
    </row>
    <row r="120" spans="1:11">
      <c r="A120" s="120"/>
      <c r="B120" s="120"/>
      <c r="C120" s="121"/>
      <c r="D120" s="122"/>
      <c r="E120" s="123"/>
      <c r="F120" s="120"/>
      <c r="G120" s="124"/>
      <c r="H120" s="120"/>
      <c r="I120" s="125"/>
      <c r="J120" s="125"/>
      <c r="K120" s="126"/>
    </row>
    <row r="121" spans="1:11">
      <c r="A121" s="108"/>
      <c r="B121" s="108"/>
      <c r="C121" s="107"/>
    </row>
    <row r="122" spans="1:11">
      <c r="A122" s="14"/>
    </row>
    <row r="123" spans="1:11">
      <c r="A123" s="44" t="s">
        <v>102</v>
      </c>
    </row>
    <row r="124" spans="1:11">
      <c r="A124" s="47" t="s">
        <v>99</v>
      </c>
      <c r="B124" s="47" t="s">
        <v>46</v>
      </c>
      <c r="C124" s="47" t="s">
        <v>49</v>
      </c>
      <c r="D124" s="47" t="s">
        <v>47</v>
      </c>
      <c r="E124" s="47" t="s">
        <v>100</v>
      </c>
      <c r="F124" s="34" t="s">
        <v>101</v>
      </c>
    </row>
    <row r="125" spans="1:11">
      <c r="A125" s="6" t="s">
        <v>150</v>
      </c>
      <c r="B125" s="52" t="s">
        <v>151</v>
      </c>
      <c r="C125" s="52" t="s">
        <v>153</v>
      </c>
      <c r="D125" s="52" t="s">
        <v>154</v>
      </c>
      <c r="E125" s="88">
        <v>44630</v>
      </c>
      <c r="F125" s="146">
        <v>255.3</v>
      </c>
    </row>
    <row r="126" spans="1:11">
      <c r="A126" s="6" t="s">
        <v>149</v>
      </c>
      <c r="B126" s="52" t="s">
        <v>152</v>
      </c>
      <c r="C126" s="52" t="s">
        <v>153</v>
      </c>
      <c r="D126" s="52" t="s">
        <v>154</v>
      </c>
      <c r="E126" s="88">
        <v>44630</v>
      </c>
      <c r="F126" s="146">
        <v>255.3</v>
      </c>
    </row>
    <row r="127" spans="1:11">
      <c r="A127" s="52" t="s">
        <v>444</v>
      </c>
      <c r="B127" s="130" t="s">
        <v>443</v>
      </c>
      <c r="C127" s="52" t="s">
        <v>135</v>
      </c>
      <c r="D127" s="52" t="s">
        <v>129</v>
      </c>
      <c r="E127" s="88">
        <v>45077.478078699998</v>
      </c>
      <c r="F127" s="146">
        <v>11</v>
      </c>
    </row>
    <row r="128" spans="1:11">
      <c r="A128" s="45"/>
      <c r="B128" s="1"/>
      <c r="C128" s="45"/>
      <c r="D128" s="45"/>
      <c r="E128" s="87"/>
      <c r="F128" s="168"/>
    </row>
    <row r="129" spans="1:10">
      <c r="A129" s="85"/>
      <c r="B129" s="85"/>
      <c r="C129" s="85"/>
      <c r="D129" s="85"/>
      <c r="E129" s="85"/>
      <c r="F129" s="85"/>
    </row>
    <row r="130" spans="1:10">
      <c r="A130" s="44" t="s">
        <v>103</v>
      </c>
    </row>
    <row r="131" spans="1:10">
      <c r="A131" s="47" t="s">
        <v>99</v>
      </c>
      <c r="B131" s="47" t="s">
        <v>46</v>
      </c>
      <c r="C131" s="47" t="s">
        <v>49</v>
      </c>
      <c r="D131" s="47" t="s">
        <v>47</v>
      </c>
      <c r="E131" s="47" t="s">
        <v>100</v>
      </c>
      <c r="F131" s="34" t="s">
        <v>101</v>
      </c>
    </row>
    <row r="132" spans="1:10">
      <c r="A132" s="52" t="s">
        <v>184</v>
      </c>
      <c r="B132" s="52" t="s">
        <v>159</v>
      </c>
      <c r="C132" s="52" t="s">
        <v>187</v>
      </c>
      <c r="D132" s="52" t="s">
        <v>119</v>
      </c>
      <c r="E132" s="88">
        <v>45077</v>
      </c>
      <c r="F132" s="147">
        <v>204.1</v>
      </c>
      <c r="G132" s="39"/>
      <c r="H132" s="39"/>
      <c r="I132" s="39"/>
      <c r="J132" s="40"/>
    </row>
    <row r="133" spans="1:10">
      <c r="A133" s="52" t="s">
        <v>185</v>
      </c>
      <c r="B133" s="52" t="s">
        <v>186</v>
      </c>
      <c r="C133" s="52" t="s">
        <v>187</v>
      </c>
      <c r="D133" s="52" t="s">
        <v>119</v>
      </c>
      <c r="E133" s="88">
        <v>45077</v>
      </c>
      <c r="F133" s="147">
        <v>90</v>
      </c>
      <c r="G133" s="39"/>
      <c r="H133" s="39"/>
      <c r="I133" s="39"/>
      <c r="J133" s="40"/>
    </row>
    <row r="134" spans="1:10">
      <c r="A134" s="52" t="s">
        <v>110</v>
      </c>
      <c r="B134" s="153" t="s">
        <v>111</v>
      </c>
      <c r="C134" s="52" t="s">
        <v>187</v>
      </c>
      <c r="D134" s="52" t="s">
        <v>126</v>
      </c>
      <c r="E134" s="88">
        <v>45142</v>
      </c>
      <c r="F134" s="172">
        <v>57.59</v>
      </c>
      <c r="G134" s="39"/>
      <c r="H134" s="39"/>
      <c r="I134" s="39"/>
      <c r="J134" s="40"/>
    </row>
    <row r="135" spans="1:10">
      <c r="A135" s="6" t="s">
        <v>528</v>
      </c>
      <c r="B135" s="6" t="s">
        <v>529</v>
      </c>
      <c r="C135" s="52" t="s">
        <v>187</v>
      </c>
      <c r="D135" s="52" t="s">
        <v>530</v>
      </c>
      <c r="E135" s="88">
        <v>45506</v>
      </c>
      <c r="F135" s="172">
        <v>206.3</v>
      </c>
      <c r="G135" s="39"/>
      <c r="H135" s="39"/>
      <c r="I135" s="39"/>
      <c r="J135" s="40"/>
    </row>
    <row r="136" spans="1:10">
      <c r="A136" s="45"/>
      <c r="B136" s="166"/>
      <c r="C136" s="45"/>
      <c r="D136" s="45"/>
      <c r="E136" s="89"/>
      <c r="F136" s="167"/>
      <c r="G136" s="39"/>
      <c r="H136" s="39"/>
      <c r="I136" s="39"/>
      <c r="J136" s="40"/>
    </row>
    <row r="137" spans="1:10">
      <c r="A137" s="45"/>
      <c r="B137" s="45"/>
      <c r="C137" s="45"/>
      <c r="D137" s="45"/>
      <c r="E137" s="87"/>
      <c r="F137" s="86"/>
      <c r="G137" s="39"/>
      <c r="H137" s="39"/>
      <c r="I137" s="39"/>
      <c r="J137" s="40"/>
    </row>
    <row r="138" spans="1:10">
      <c r="A138" s="44" t="s">
        <v>91</v>
      </c>
    </row>
    <row r="139" spans="1:10">
      <c r="A139" s="47" t="s">
        <v>53</v>
      </c>
      <c r="B139" s="35" t="s">
        <v>54</v>
      </c>
      <c r="C139" s="35">
        <v>2026</v>
      </c>
      <c r="D139" s="35">
        <v>2029</v>
      </c>
      <c r="E139" s="35" t="s">
        <v>35</v>
      </c>
      <c r="F139"/>
      <c r="G139"/>
      <c r="H139"/>
      <c r="I139"/>
    </row>
    <row r="140" spans="1:10">
      <c r="A140" s="130" t="s">
        <v>497</v>
      </c>
      <c r="B140" s="10">
        <v>1</v>
      </c>
      <c r="C140" s="53" t="s">
        <v>71</v>
      </c>
      <c r="D140" s="53" t="s">
        <v>71</v>
      </c>
      <c r="E140" s="48" t="s">
        <v>188</v>
      </c>
    </row>
    <row r="141" spans="1:10">
      <c r="A141" s="130" t="s">
        <v>498</v>
      </c>
      <c r="B141" s="131">
        <v>59.19</v>
      </c>
      <c r="C141" s="53" t="s">
        <v>71</v>
      </c>
      <c r="D141" s="53" t="s">
        <v>71</v>
      </c>
      <c r="E141" s="48" t="s">
        <v>188</v>
      </c>
    </row>
    <row r="142" spans="1:10">
      <c r="A142" s="130" t="s">
        <v>495</v>
      </c>
      <c r="B142" s="53">
        <v>420</v>
      </c>
      <c r="C142" s="53" t="s">
        <v>71</v>
      </c>
      <c r="D142" s="53" t="s">
        <v>71</v>
      </c>
      <c r="E142" s="48" t="s">
        <v>188</v>
      </c>
    </row>
    <row r="143" spans="1:10">
      <c r="A143" s="130" t="s">
        <v>496</v>
      </c>
      <c r="B143" s="53">
        <v>420</v>
      </c>
      <c r="C143" s="53" t="s">
        <v>71</v>
      </c>
      <c r="D143" s="53" t="s">
        <v>71</v>
      </c>
      <c r="E143" s="48" t="s">
        <v>188</v>
      </c>
    </row>
    <row r="144" spans="1:10">
      <c r="A144" s="120"/>
      <c r="B144" s="132"/>
      <c r="C144" s="148"/>
      <c r="D144" s="148"/>
      <c r="E144" s="149"/>
    </row>
    <row r="145" spans="1:9">
      <c r="A145" s="120"/>
      <c r="B145" s="132"/>
      <c r="C145" s="148"/>
      <c r="D145" s="148"/>
      <c r="E145" s="149"/>
    </row>
    <row r="146" spans="1:9">
      <c r="A146" s="171" t="s">
        <v>446</v>
      </c>
      <c r="B146" s="132"/>
      <c r="C146" s="148"/>
      <c r="D146" s="148"/>
      <c r="E146" s="149"/>
    </row>
    <row r="147" spans="1:9">
      <c r="A147" s="47" t="s">
        <v>53</v>
      </c>
      <c r="B147" s="35" t="s">
        <v>54</v>
      </c>
      <c r="C147" s="35">
        <v>2026</v>
      </c>
      <c r="D147" s="35">
        <v>2029</v>
      </c>
      <c r="E147" s="35" t="s">
        <v>35</v>
      </c>
    </row>
    <row r="148" spans="1:9">
      <c r="A148" s="130" t="s">
        <v>482</v>
      </c>
      <c r="B148" s="48">
        <v>655</v>
      </c>
      <c r="C148" s="115"/>
      <c r="D148" s="173" t="s">
        <v>71</v>
      </c>
      <c r="E148" s="205" t="s">
        <v>447</v>
      </c>
    </row>
    <row r="149" spans="1:9">
      <c r="A149" s="130" t="s">
        <v>491</v>
      </c>
      <c r="B149" s="48">
        <v>217</v>
      </c>
      <c r="C149" s="48"/>
      <c r="D149" s="48" t="s">
        <v>71</v>
      </c>
      <c r="E149" s="206"/>
    </row>
    <row r="150" spans="1:9">
      <c r="A150" s="130" t="s">
        <v>492</v>
      </c>
      <c r="B150" s="48">
        <v>230</v>
      </c>
      <c r="C150" s="48"/>
      <c r="D150" s="48" t="s">
        <v>71</v>
      </c>
      <c r="E150" s="206"/>
    </row>
    <row r="151" spans="1:9">
      <c r="A151" s="130" t="s">
        <v>493</v>
      </c>
      <c r="B151" s="48">
        <v>412</v>
      </c>
      <c r="C151" s="48"/>
      <c r="D151" s="48" t="s">
        <v>71</v>
      </c>
      <c r="E151" s="206"/>
    </row>
    <row r="152" spans="1:9">
      <c r="A152" s="130" t="s">
        <v>489</v>
      </c>
      <c r="B152" s="48">
        <v>420</v>
      </c>
      <c r="C152" s="115"/>
      <c r="D152" s="173" t="s">
        <v>71</v>
      </c>
      <c r="E152" s="206"/>
    </row>
    <row r="153" spans="1:9">
      <c r="A153" s="130" t="s">
        <v>490</v>
      </c>
      <c r="B153" s="48">
        <v>410</v>
      </c>
      <c r="C153" s="115"/>
      <c r="D153" s="173" t="s">
        <v>71</v>
      </c>
      <c r="E153" s="206"/>
    </row>
    <row r="154" spans="1:9">
      <c r="A154" s="130" t="s">
        <v>483</v>
      </c>
      <c r="B154" s="48">
        <v>560</v>
      </c>
      <c r="C154" s="53"/>
      <c r="D154" s="173" t="s">
        <v>71</v>
      </c>
      <c r="E154" s="206"/>
    </row>
    <row r="155" spans="1:9">
      <c r="A155" s="14"/>
      <c r="B155" s="41"/>
      <c r="C155" s="41"/>
      <c r="D155" s="41"/>
    </row>
    <row r="156" spans="1:9">
      <c r="A156" s="46" t="s">
        <v>92</v>
      </c>
      <c r="B156" s="16"/>
      <c r="C156" s="10"/>
      <c r="D156" s="10"/>
    </row>
    <row r="157" spans="1:9">
      <c r="A157" s="47" t="s">
        <v>53</v>
      </c>
      <c r="B157" s="35" t="s">
        <v>54</v>
      </c>
      <c r="C157" s="35">
        <v>2026</v>
      </c>
      <c r="D157" s="35">
        <v>2029</v>
      </c>
      <c r="E157" s="35" t="s">
        <v>35</v>
      </c>
      <c r="F157"/>
      <c r="H157"/>
      <c r="I157"/>
    </row>
    <row r="158" spans="1:9">
      <c r="A158" s="130" t="s">
        <v>499</v>
      </c>
      <c r="B158" s="48">
        <v>78</v>
      </c>
      <c r="C158" s="53" t="s">
        <v>71</v>
      </c>
      <c r="D158" s="53" t="s">
        <v>71</v>
      </c>
      <c r="E158" s="48" t="s">
        <v>188</v>
      </c>
    </row>
    <row r="159" spans="1:9">
      <c r="A159" s="130" t="s">
        <v>500</v>
      </c>
      <c r="B159" s="106">
        <v>62</v>
      </c>
      <c r="C159" s="53" t="s">
        <v>71</v>
      </c>
      <c r="D159" s="53" t="s">
        <v>71</v>
      </c>
      <c r="E159" s="106" t="s">
        <v>188</v>
      </c>
    </row>
    <row r="160" spans="1:9">
      <c r="A160" s="130" t="s">
        <v>501</v>
      </c>
      <c r="B160" s="48">
        <v>25</v>
      </c>
      <c r="C160" s="53" t="s">
        <v>71</v>
      </c>
      <c r="D160" s="53" t="s">
        <v>71</v>
      </c>
      <c r="E160" s="48" t="s">
        <v>188</v>
      </c>
    </row>
    <row r="161" spans="1:5">
      <c r="A161" s="130" t="s">
        <v>139</v>
      </c>
      <c r="B161" s="48">
        <v>20</v>
      </c>
      <c r="C161" s="53" t="s">
        <v>71</v>
      </c>
      <c r="D161" s="53" t="s">
        <v>71</v>
      </c>
      <c r="E161" s="48" t="s">
        <v>188</v>
      </c>
    </row>
    <row r="162" spans="1:5">
      <c r="A162" s="130" t="s">
        <v>140</v>
      </c>
      <c r="B162" s="48">
        <v>20</v>
      </c>
      <c r="C162" s="53" t="s">
        <v>71</v>
      </c>
      <c r="D162" s="53" t="s">
        <v>71</v>
      </c>
      <c r="E162" s="48" t="s">
        <v>188</v>
      </c>
    </row>
    <row r="163" spans="1:5">
      <c r="A163" s="130" t="s">
        <v>141</v>
      </c>
      <c r="B163" s="48">
        <v>58.9</v>
      </c>
      <c r="C163" s="53" t="s">
        <v>71</v>
      </c>
      <c r="D163" s="53" t="s">
        <v>71</v>
      </c>
      <c r="E163" s="48" t="s">
        <v>188</v>
      </c>
    </row>
    <row r="164" spans="1:5">
      <c r="A164" s="130" t="s">
        <v>142</v>
      </c>
      <c r="B164" s="48">
        <v>18.7</v>
      </c>
      <c r="C164" s="53" t="s">
        <v>71</v>
      </c>
      <c r="D164" s="53" t="s">
        <v>71</v>
      </c>
      <c r="E164" s="48" t="s">
        <v>188</v>
      </c>
    </row>
    <row r="165" spans="1:5">
      <c r="A165" s="130" t="s">
        <v>143</v>
      </c>
      <c r="B165" s="48">
        <v>26.6</v>
      </c>
      <c r="C165" s="53" t="s">
        <v>71</v>
      </c>
      <c r="D165" s="53" t="s">
        <v>71</v>
      </c>
      <c r="E165" s="48" t="s">
        <v>188</v>
      </c>
    </row>
    <row r="166" spans="1:5">
      <c r="A166" s="130" t="s">
        <v>502</v>
      </c>
      <c r="B166" s="106">
        <v>17</v>
      </c>
      <c r="C166" s="106" t="s">
        <v>71</v>
      </c>
      <c r="D166" s="106" t="s">
        <v>71</v>
      </c>
      <c r="E166" s="48" t="s">
        <v>188</v>
      </c>
    </row>
    <row r="167" spans="1:5">
      <c r="A167" s="130" t="s">
        <v>155</v>
      </c>
      <c r="B167" s="106">
        <v>65</v>
      </c>
      <c r="C167" s="106" t="s">
        <v>71</v>
      </c>
      <c r="D167" s="106" t="s">
        <v>71</v>
      </c>
      <c r="E167" s="48" t="s">
        <v>188</v>
      </c>
    </row>
    <row r="168" spans="1:5">
      <c r="A168" s="130" t="s">
        <v>156</v>
      </c>
      <c r="B168" s="106">
        <v>65</v>
      </c>
      <c r="C168" s="106" t="s">
        <v>71</v>
      </c>
      <c r="D168" s="106" t="s">
        <v>71</v>
      </c>
      <c r="E168" s="48" t="s">
        <v>188</v>
      </c>
    </row>
    <row r="169" spans="1:5">
      <c r="A169" s="130" t="s">
        <v>157</v>
      </c>
      <c r="B169" s="106">
        <v>30</v>
      </c>
      <c r="C169" s="106" t="s">
        <v>71</v>
      </c>
      <c r="D169" s="106" t="s">
        <v>71</v>
      </c>
      <c r="E169" s="48" t="s">
        <v>188</v>
      </c>
    </row>
    <row r="170" spans="1:5">
      <c r="A170" s="130" t="s">
        <v>158</v>
      </c>
      <c r="B170" s="106">
        <v>30</v>
      </c>
      <c r="C170" s="106" t="s">
        <v>71</v>
      </c>
      <c r="D170" s="106" t="s">
        <v>71</v>
      </c>
      <c r="E170" s="48" t="s">
        <v>188</v>
      </c>
    </row>
    <row r="171" spans="1:5">
      <c r="A171" s="130" t="s">
        <v>448</v>
      </c>
      <c r="B171" s="48">
        <v>50</v>
      </c>
      <c r="C171" s="90" t="s">
        <v>71</v>
      </c>
      <c r="D171" s="90" t="s">
        <v>71</v>
      </c>
      <c r="E171" s="48" t="s">
        <v>188</v>
      </c>
    </row>
    <row r="172" spans="1:5">
      <c r="A172" s="130" t="s">
        <v>503</v>
      </c>
      <c r="B172" s="48">
        <v>32</v>
      </c>
      <c r="C172" s="173" t="s">
        <v>71</v>
      </c>
      <c r="D172" s="173" t="s">
        <v>71</v>
      </c>
      <c r="E172" s="174" t="s">
        <v>451</v>
      </c>
    </row>
    <row r="173" spans="1:5">
      <c r="A173" s="130" t="s">
        <v>452</v>
      </c>
      <c r="B173" s="90">
        <v>6.6</v>
      </c>
      <c r="C173" s="173" t="s">
        <v>71</v>
      </c>
      <c r="D173" s="173" t="s">
        <v>71</v>
      </c>
      <c r="E173" s="48" t="s">
        <v>188</v>
      </c>
    </row>
    <row r="174" spans="1:5">
      <c r="A174" s="130" t="s">
        <v>494</v>
      </c>
      <c r="B174" s="90">
        <v>2</v>
      </c>
      <c r="C174" s="173" t="s">
        <v>71</v>
      </c>
      <c r="D174" s="173" t="s">
        <v>71</v>
      </c>
      <c r="E174" s="48" t="s">
        <v>188</v>
      </c>
    </row>
    <row r="177" spans="1:5">
      <c r="A177" s="175" t="s">
        <v>453</v>
      </c>
    </row>
    <row r="178" spans="1:5">
      <c r="A178" s="47" t="s">
        <v>53</v>
      </c>
      <c r="B178" s="35" t="s">
        <v>54</v>
      </c>
      <c r="C178" s="35">
        <v>2026</v>
      </c>
      <c r="D178" s="35">
        <v>2029</v>
      </c>
      <c r="E178" s="35" t="s">
        <v>35</v>
      </c>
    </row>
    <row r="179" spans="1:5">
      <c r="A179" s="130" t="s">
        <v>504</v>
      </c>
      <c r="B179" s="48">
        <v>71</v>
      </c>
      <c r="C179" s="173" t="s">
        <v>71</v>
      </c>
      <c r="D179" s="173" t="s">
        <v>71</v>
      </c>
      <c r="E179" s="6" t="s">
        <v>454</v>
      </c>
    </row>
    <row r="180" spans="1:5">
      <c r="A180" s="130" t="s">
        <v>485</v>
      </c>
      <c r="B180" s="129">
        <v>145</v>
      </c>
      <c r="C180" s="129" t="s">
        <v>71</v>
      </c>
      <c r="D180" s="129" t="s">
        <v>71</v>
      </c>
      <c r="E180" s="130" t="s">
        <v>454</v>
      </c>
    </row>
    <row r="181" spans="1:5">
      <c r="A181" s="130" t="s">
        <v>486</v>
      </c>
      <c r="B181" s="129">
        <v>145</v>
      </c>
      <c r="C181" s="129" t="s">
        <v>71</v>
      </c>
      <c r="D181" s="129" t="s">
        <v>71</v>
      </c>
      <c r="E181" s="130" t="s">
        <v>454</v>
      </c>
    </row>
    <row r="182" spans="1:5">
      <c r="A182" s="130" t="s">
        <v>487</v>
      </c>
      <c r="B182" s="129">
        <v>75</v>
      </c>
      <c r="C182" s="129" t="s">
        <v>71</v>
      </c>
      <c r="D182" s="129" t="s">
        <v>71</v>
      </c>
      <c r="E182" s="130" t="s">
        <v>454</v>
      </c>
    </row>
    <row r="183" spans="1:5" ht="30">
      <c r="A183" s="130" t="s">
        <v>484</v>
      </c>
      <c r="B183" s="129">
        <v>292</v>
      </c>
      <c r="C183" s="129" t="s">
        <v>71</v>
      </c>
      <c r="D183" s="129" t="s">
        <v>71</v>
      </c>
      <c r="E183" s="130" t="s">
        <v>455</v>
      </c>
    </row>
    <row r="184" spans="1:5">
      <c r="A184" s="6" t="s">
        <v>488</v>
      </c>
      <c r="B184" s="176">
        <v>568</v>
      </c>
      <c r="C184" s="129" t="s">
        <v>71</v>
      </c>
      <c r="D184" s="129" t="s">
        <v>71</v>
      </c>
      <c r="E184" s="6" t="s">
        <v>454</v>
      </c>
    </row>
  </sheetData>
  <autoFilter ref="A7:K117" xr:uid="{00000000-0001-0000-0500-000000000000}"/>
  <mergeCells count="1">
    <mergeCell ref="E148:E154"/>
  </mergeCells>
  <hyperlinks>
    <hyperlink ref="C1" location="Index!A1" display="Back" xr:uid="{00000000-0004-0000-0500-000000000000}"/>
    <hyperlink ref="E148" r:id="rId1" xr:uid="{E0C95C5A-A2D2-414D-AAB2-6507C03C3CF2}"/>
  </hyperlinks>
  <pageMargins left="0.7" right="0.7" top="0.75" bottom="0.75" header="0.3" footer="0.3"/>
  <pageSetup orientation="portrait" horizontalDpi="90" verticalDpi="90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8"/>
  <sheetViews>
    <sheetView workbookViewId="0">
      <selection activeCell="B1" sqref="B1"/>
    </sheetView>
  </sheetViews>
  <sheetFormatPr defaultColWidth="9.140625" defaultRowHeight="15"/>
  <cols>
    <col min="1" max="1" width="30.140625" style="14" bestFit="1" customWidth="1"/>
    <col min="2" max="2" width="23.5703125" style="14" bestFit="1" customWidth="1"/>
    <col min="3" max="7" width="9.140625" style="14"/>
    <col min="8" max="8" width="9.5703125" style="14" customWidth="1"/>
    <col min="9" max="16384" width="9.140625" style="14"/>
  </cols>
  <sheetData>
    <row r="1" spans="1:8">
      <c r="A1" s="14" t="s">
        <v>16</v>
      </c>
      <c r="B1" s="67">
        <v>45345</v>
      </c>
      <c r="C1" s="62" t="s">
        <v>17</v>
      </c>
    </row>
    <row r="2" spans="1:8">
      <c r="A2" s="14" t="s">
        <v>18</v>
      </c>
      <c r="B2" s="15" t="s">
        <v>105</v>
      </c>
    </row>
    <row r="3" spans="1:8">
      <c r="B3" s="15"/>
    </row>
    <row r="5" spans="1:8" ht="18.75">
      <c r="A5" s="208" t="s">
        <v>19</v>
      </c>
      <c r="B5" s="208"/>
      <c r="C5" s="208"/>
      <c r="D5" s="208"/>
      <c r="E5" s="208"/>
      <c r="F5" s="208"/>
    </row>
    <row r="6" spans="1:8" ht="15" customHeight="1">
      <c r="A6" s="209" t="s">
        <v>98</v>
      </c>
      <c r="B6" s="209"/>
      <c r="C6" s="209"/>
      <c r="D6" s="209"/>
      <c r="E6" s="209"/>
      <c r="F6" s="209"/>
    </row>
    <row r="7" spans="1:8">
      <c r="A7" s="14" t="s">
        <v>93</v>
      </c>
    </row>
    <row r="8" spans="1:8">
      <c r="A8" s="14" t="s">
        <v>74</v>
      </c>
      <c r="B8" s="14">
        <v>2013</v>
      </c>
    </row>
    <row r="9" spans="1:8">
      <c r="A9" s="51"/>
      <c r="B9" s="51"/>
      <c r="C9" s="51"/>
      <c r="D9" s="51"/>
      <c r="E9" s="51"/>
      <c r="F9" s="51"/>
      <c r="G9" s="4"/>
      <c r="H9" s="4"/>
    </row>
    <row r="10" spans="1:8">
      <c r="A10" s="42"/>
      <c r="B10" s="42"/>
      <c r="C10" s="42"/>
    </row>
    <row r="11" spans="1:8" ht="18.75">
      <c r="A11" s="208" t="s">
        <v>20</v>
      </c>
      <c r="B11" s="208"/>
      <c r="C11" s="208"/>
      <c r="D11" s="208"/>
      <c r="E11" s="208"/>
      <c r="F11" s="208"/>
    </row>
    <row r="12" spans="1:8" ht="15" customHeight="1">
      <c r="A12" s="209" t="s">
        <v>98</v>
      </c>
      <c r="B12" s="209"/>
      <c r="C12" s="209"/>
      <c r="D12" s="209"/>
      <c r="E12" s="209"/>
      <c r="F12" s="209"/>
    </row>
    <row r="13" spans="1:8">
      <c r="A13" s="14" t="s">
        <v>93</v>
      </c>
    </row>
    <row r="14" spans="1:8">
      <c r="A14" s="14" t="s">
        <v>74</v>
      </c>
      <c r="B14" s="14">
        <v>2013</v>
      </c>
    </row>
    <row r="15" spans="1:8">
      <c r="A15" s="5"/>
      <c r="B15" s="2"/>
      <c r="C15" s="2"/>
    </row>
    <row r="16" spans="1:8" ht="18.75">
      <c r="A16" s="208" t="s">
        <v>21</v>
      </c>
      <c r="B16" s="208"/>
      <c r="C16" s="208"/>
      <c r="D16" s="208"/>
      <c r="E16" s="208"/>
      <c r="F16" s="208"/>
    </row>
    <row r="17" spans="1:6" ht="15" customHeight="1">
      <c r="A17" s="207" t="s">
        <v>75</v>
      </c>
      <c r="B17" s="207"/>
      <c r="C17" s="207"/>
      <c r="D17" s="207"/>
      <c r="E17" s="207"/>
      <c r="F17" s="207"/>
    </row>
    <row r="18" spans="1:6">
      <c r="A18" s="207"/>
      <c r="B18" s="207"/>
      <c r="C18" s="207"/>
      <c r="D18" s="207"/>
      <c r="E18" s="207"/>
      <c r="F18" s="207"/>
    </row>
  </sheetData>
  <mergeCells count="6">
    <mergeCell ref="A17:F18"/>
    <mergeCell ref="A16:F16"/>
    <mergeCell ref="A5:F5"/>
    <mergeCell ref="A11:F11"/>
    <mergeCell ref="A6:F6"/>
    <mergeCell ref="A12:F12"/>
  </mergeCells>
  <hyperlinks>
    <hyperlink ref="C1" location="Index!A1" display="Back" xr:uid="{00000000-0004-0000-0600-000000000000}"/>
    <hyperlink ref="A6" r:id="rId1" xr:uid="{00000000-0004-0000-0600-000001000000}"/>
    <hyperlink ref="A12" r:id="rId2" xr:uid="{00000000-0004-0000-0600-000002000000}"/>
  </hyperlinks>
  <pageMargins left="0.7" right="0.7" top="0.75" bottom="0.75" header="0.3" footer="0.3"/>
  <pageSetup orientation="portrait" verticalDpi="0"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6"/>
  <sheetViews>
    <sheetView workbookViewId="0">
      <selection activeCell="I21" sqref="I21"/>
    </sheetView>
  </sheetViews>
  <sheetFormatPr defaultRowHeight="15"/>
  <cols>
    <col min="1" max="1" width="49.140625" bestFit="1" customWidth="1"/>
    <col min="2" max="2" width="17" bestFit="1" customWidth="1"/>
    <col min="3" max="3" width="9.140625" customWidth="1"/>
    <col min="7" max="7" width="9.7109375" customWidth="1"/>
    <col min="8" max="8" width="10.42578125" customWidth="1"/>
  </cols>
  <sheetData>
    <row r="1" spans="1:8">
      <c r="A1" t="s">
        <v>16</v>
      </c>
      <c r="B1" s="67">
        <v>45345</v>
      </c>
      <c r="C1" s="62" t="s">
        <v>17</v>
      </c>
    </row>
    <row r="2" spans="1:8">
      <c r="A2" t="s">
        <v>18</v>
      </c>
      <c r="B2" s="14" t="s">
        <v>105</v>
      </c>
    </row>
    <row r="3" spans="1:8" s="14" customFormat="1"/>
    <row r="4" spans="1:8" s="14" customFormat="1"/>
    <row r="5" spans="1:8">
      <c r="A5" s="26" t="s">
        <v>28</v>
      </c>
    </row>
    <row r="6" spans="1:8" s="14" customFormat="1"/>
    <row r="7" spans="1:8" s="14" customFormat="1">
      <c r="A7" s="26" t="s">
        <v>178</v>
      </c>
    </row>
    <row r="8" spans="1:8" s="14" customFormat="1" ht="15.75" thickBot="1"/>
    <row r="9" spans="1:8" ht="30">
      <c r="A9" s="28" t="s">
        <v>22</v>
      </c>
      <c r="B9" s="27" t="s">
        <v>23</v>
      </c>
      <c r="C9" s="25" t="s">
        <v>24</v>
      </c>
      <c r="D9" s="25" t="s">
        <v>25</v>
      </c>
      <c r="E9" s="25" t="s">
        <v>26</v>
      </c>
      <c r="F9" s="25" t="s">
        <v>27</v>
      </c>
      <c r="G9" s="25">
        <v>2026</v>
      </c>
      <c r="H9" s="59">
        <v>2029</v>
      </c>
    </row>
    <row r="10" spans="1:8">
      <c r="A10" s="133" t="s">
        <v>160</v>
      </c>
      <c r="B10" s="6" t="s">
        <v>161</v>
      </c>
      <c r="C10" s="48" t="s">
        <v>162</v>
      </c>
      <c r="D10" s="48" t="s">
        <v>135</v>
      </c>
      <c r="E10" s="48" t="s">
        <v>163</v>
      </c>
      <c r="F10" s="48">
        <v>2016</v>
      </c>
      <c r="G10" s="48">
        <v>54</v>
      </c>
      <c r="H10" s="83">
        <v>54</v>
      </c>
    </row>
    <row r="11" spans="1:8">
      <c r="A11" s="133" t="s">
        <v>164</v>
      </c>
      <c r="B11" s="6" t="s">
        <v>165</v>
      </c>
      <c r="C11" s="48" t="s">
        <v>162</v>
      </c>
      <c r="D11" s="48" t="s">
        <v>135</v>
      </c>
      <c r="E11" s="48" t="s">
        <v>163</v>
      </c>
      <c r="F11" s="48">
        <v>2016</v>
      </c>
      <c r="G11" s="48">
        <v>54</v>
      </c>
      <c r="H11" s="83">
        <v>54</v>
      </c>
    </row>
    <row r="12" spans="1:8">
      <c r="A12" s="133" t="s">
        <v>166</v>
      </c>
      <c r="B12" s="6" t="s">
        <v>167</v>
      </c>
      <c r="C12" s="48" t="s">
        <v>162</v>
      </c>
      <c r="D12" s="48" t="s">
        <v>135</v>
      </c>
      <c r="E12" s="48" t="s">
        <v>163</v>
      </c>
      <c r="F12" s="48">
        <v>2016</v>
      </c>
      <c r="G12" s="48">
        <v>54</v>
      </c>
      <c r="H12" s="83">
        <v>54</v>
      </c>
    </row>
    <row r="13" spans="1:8">
      <c r="A13" s="133" t="s">
        <v>168</v>
      </c>
      <c r="B13" s="6" t="s">
        <v>169</v>
      </c>
      <c r="C13" s="48" t="s">
        <v>162</v>
      </c>
      <c r="D13" s="48" t="s">
        <v>135</v>
      </c>
      <c r="E13" s="48" t="s">
        <v>163</v>
      </c>
      <c r="F13" s="48">
        <v>2016</v>
      </c>
      <c r="G13" s="48">
        <v>190</v>
      </c>
      <c r="H13" s="83">
        <v>190</v>
      </c>
    </row>
    <row r="14" spans="1:8">
      <c r="A14" s="133" t="s">
        <v>170</v>
      </c>
      <c r="B14" s="6" t="s">
        <v>171</v>
      </c>
      <c r="C14" s="48" t="s">
        <v>162</v>
      </c>
      <c r="D14" s="48" t="s">
        <v>135</v>
      </c>
      <c r="E14" s="48" t="s">
        <v>163</v>
      </c>
      <c r="F14" s="48">
        <v>2016</v>
      </c>
      <c r="G14" s="48">
        <v>190</v>
      </c>
      <c r="H14" s="83">
        <v>190</v>
      </c>
    </row>
    <row r="15" spans="1:8">
      <c r="A15" s="181" t="s">
        <v>172</v>
      </c>
      <c r="B15" s="30" t="s">
        <v>173</v>
      </c>
      <c r="C15" s="48" t="s">
        <v>174</v>
      </c>
      <c r="D15" s="48" t="s">
        <v>175</v>
      </c>
      <c r="E15" s="48" t="s">
        <v>176</v>
      </c>
      <c r="F15" s="48">
        <v>2003</v>
      </c>
      <c r="G15" s="48">
        <v>185</v>
      </c>
      <c r="H15" s="83" t="s">
        <v>177</v>
      </c>
    </row>
    <row r="16" spans="1:8" s="14" customFormat="1">
      <c r="A16" s="182" t="s">
        <v>474</v>
      </c>
      <c r="B16" s="183" t="s">
        <v>476</v>
      </c>
      <c r="C16" s="135" t="s">
        <v>174</v>
      </c>
      <c r="D16" s="135" t="s">
        <v>175</v>
      </c>
      <c r="E16" s="135" t="s">
        <v>176</v>
      </c>
      <c r="F16" s="135">
        <v>2003</v>
      </c>
      <c r="G16" s="135">
        <v>185</v>
      </c>
      <c r="H16" s="136" t="s">
        <v>177</v>
      </c>
    </row>
    <row r="17" spans="1:8" s="14" customFormat="1">
      <c r="A17" s="181" t="s">
        <v>475</v>
      </c>
      <c r="B17" s="137" t="s">
        <v>477</v>
      </c>
      <c r="C17" s="48" t="s">
        <v>174</v>
      </c>
      <c r="D17" s="48" t="s">
        <v>175</v>
      </c>
      <c r="E17" s="48" t="s">
        <v>176</v>
      </c>
      <c r="F17" s="48">
        <v>2003</v>
      </c>
      <c r="G17" s="48">
        <v>330</v>
      </c>
      <c r="H17" s="83" t="s">
        <v>177</v>
      </c>
    </row>
    <row r="18" spans="1:8" s="14" customFormat="1">
      <c r="A18" s="181"/>
      <c r="B18" s="137"/>
      <c r="C18" s="48"/>
      <c r="D18" s="48"/>
      <c r="E18" s="48"/>
      <c r="F18" s="48"/>
      <c r="G18" s="48"/>
      <c r="H18" s="83"/>
    </row>
    <row r="19" spans="1:8" ht="15.75" thickBot="1">
      <c r="A19" s="31" t="s">
        <v>181</v>
      </c>
      <c r="B19" s="138" t="s">
        <v>182</v>
      </c>
      <c r="C19" s="49"/>
      <c r="D19" s="49" t="s">
        <v>135</v>
      </c>
      <c r="E19" s="49"/>
      <c r="F19" s="49"/>
      <c r="G19" s="49">
        <f>SUM(G10:G17)</f>
        <v>1242</v>
      </c>
      <c r="H19" s="184">
        <f>SUM(H10:H17)</f>
        <v>542</v>
      </c>
    </row>
    <row r="21" spans="1:8">
      <c r="A21" s="26" t="s">
        <v>189</v>
      </c>
    </row>
    <row r="22" spans="1:8" ht="15.75" thickBot="1"/>
    <row r="23" spans="1:8" ht="30">
      <c r="A23" s="28" t="s">
        <v>22</v>
      </c>
      <c r="B23" s="27" t="s">
        <v>23</v>
      </c>
      <c r="C23" s="25" t="s">
        <v>24</v>
      </c>
      <c r="D23" s="25" t="s">
        <v>25</v>
      </c>
      <c r="E23" s="25" t="s">
        <v>26</v>
      </c>
      <c r="F23" s="25" t="s">
        <v>27</v>
      </c>
      <c r="G23" s="25" t="s">
        <v>179</v>
      </c>
      <c r="H23" s="59" t="s">
        <v>180</v>
      </c>
    </row>
    <row r="24" spans="1:8">
      <c r="A24" s="137" t="s">
        <v>172</v>
      </c>
      <c r="B24" s="30" t="s">
        <v>173</v>
      </c>
      <c r="C24" s="48" t="s">
        <v>174</v>
      </c>
      <c r="D24" s="48" t="s">
        <v>175</v>
      </c>
      <c r="E24" s="48" t="s">
        <v>176</v>
      </c>
      <c r="F24" s="48">
        <v>2003</v>
      </c>
      <c r="G24" s="48">
        <v>185</v>
      </c>
      <c r="H24" s="83" t="s">
        <v>177</v>
      </c>
    </row>
    <row r="25" spans="1:8" s="14" customFormat="1">
      <c r="A25" s="104"/>
      <c r="B25" s="134"/>
      <c r="C25" s="135"/>
      <c r="D25" s="135"/>
      <c r="E25" s="135"/>
      <c r="F25" s="135"/>
      <c r="G25" s="135"/>
      <c r="H25" s="136"/>
    </row>
    <row r="26" spans="1:8" ht="15.75" thickBot="1">
      <c r="A26" s="31" t="s">
        <v>181</v>
      </c>
      <c r="B26" s="138" t="s">
        <v>182</v>
      </c>
      <c r="C26" s="49"/>
      <c r="D26" s="49" t="s">
        <v>135</v>
      </c>
      <c r="E26" s="49"/>
      <c r="F26" s="49"/>
      <c r="G26" s="49">
        <f>G24</f>
        <v>185</v>
      </c>
      <c r="H26" s="139" t="s">
        <v>177</v>
      </c>
    </row>
  </sheetData>
  <hyperlinks>
    <hyperlink ref="C1" location="Index!A1" display="Back" xr:uid="{00000000-0004-0000-0700-000000000000}"/>
  </hyperlinks>
  <pageMargins left="0.7" right="0.7" top="0.75" bottom="0.75" header="0.3" footer="0.3"/>
  <pageSetup orientation="portrait" r:id="rId1"/>
  <ignoredErrors>
    <ignoredError sqref="G19" formulaRange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0"/>
  <sheetViews>
    <sheetView workbookViewId="0">
      <selection activeCell="B1" sqref="B1"/>
    </sheetView>
  </sheetViews>
  <sheetFormatPr defaultRowHeight="15"/>
  <cols>
    <col min="1" max="1" width="17.85546875" bestFit="1" customWidth="1"/>
    <col min="2" max="2" width="14.7109375" bestFit="1" customWidth="1"/>
    <col min="3" max="5" width="13.7109375" customWidth="1"/>
  </cols>
  <sheetData>
    <row r="1" spans="1:5">
      <c r="A1" s="14" t="s">
        <v>16</v>
      </c>
      <c r="B1" s="67">
        <v>45345</v>
      </c>
      <c r="C1" s="62" t="s">
        <v>17</v>
      </c>
    </row>
    <row r="2" spans="1:5">
      <c r="A2" t="s">
        <v>18</v>
      </c>
      <c r="B2" s="15" t="s">
        <v>105</v>
      </c>
    </row>
    <row r="3" spans="1:5" s="14" customFormat="1">
      <c r="B3" s="15"/>
    </row>
    <row r="4" spans="1:5" s="14" customFormat="1">
      <c r="B4" s="15"/>
    </row>
    <row r="5" spans="1:5" ht="15.75" thickBot="1">
      <c r="A5" s="26" t="s">
        <v>69</v>
      </c>
    </row>
    <row r="6" spans="1:5" ht="45" customHeight="1" thickBot="1">
      <c r="A6" s="212" t="s">
        <v>94</v>
      </c>
      <c r="B6" s="213"/>
      <c r="C6" s="213"/>
      <c r="D6" s="213"/>
      <c r="E6" s="214"/>
    </row>
    <row r="7" spans="1:5" ht="45" customHeight="1">
      <c r="A7" s="58" t="s">
        <v>30</v>
      </c>
      <c r="B7" s="64" t="s">
        <v>95</v>
      </c>
      <c r="C7" s="210" t="s">
        <v>96</v>
      </c>
      <c r="D7" s="210"/>
      <c r="E7" s="211"/>
    </row>
    <row r="8" spans="1:5" ht="45" customHeight="1">
      <c r="A8" s="65" t="s">
        <v>31</v>
      </c>
      <c r="B8" s="24" t="s">
        <v>95</v>
      </c>
      <c r="C8" s="215" t="s">
        <v>96</v>
      </c>
      <c r="D8" s="215"/>
      <c r="E8" s="216"/>
    </row>
    <row r="9" spans="1:5" ht="45" customHeight="1">
      <c r="A9" s="65" t="s">
        <v>88</v>
      </c>
      <c r="B9" s="24" t="s">
        <v>95</v>
      </c>
      <c r="C9" s="215" t="s">
        <v>96</v>
      </c>
      <c r="D9" s="215"/>
      <c r="E9" s="216"/>
    </row>
    <row r="10" spans="1:5" ht="45" customHeight="1" thickBot="1">
      <c r="A10" s="66" t="s">
        <v>89</v>
      </c>
      <c r="B10" s="33" t="s">
        <v>95</v>
      </c>
      <c r="C10" s="217" t="s">
        <v>96</v>
      </c>
      <c r="D10" s="217"/>
      <c r="E10" s="218"/>
    </row>
  </sheetData>
  <mergeCells count="5">
    <mergeCell ref="C7:E7"/>
    <mergeCell ref="A6:E6"/>
    <mergeCell ref="C8:E8"/>
    <mergeCell ref="C9:E9"/>
    <mergeCell ref="C10:E10"/>
  </mergeCells>
  <hyperlinks>
    <hyperlink ref="C1" location="Index!A1" display="Back" xr:uid="{00000000-0004-0000-0800-000000000000}"/>
  </hyperlink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1"/>
  <sheetViews>
    <sheetView workbookViewId="0">
      <selection activeCell="B5" sqref="B5"/>
    </sheetView>
  </sheetViews>
  <sheetFormatPr defaultRowHeight="15"/>
  <cols>
    <col min="1" max="1" width="18.140625" customWidth="1"/>
    <col min="2" max="2" width="9.7109375" bestFit="1" customWidth="1"/>
    <col min="3" max="3" width="9.140625" customWidth="1"/>
  </cols>
  <sheetData>
    <row r="1" spans="1:7">
      <c r="A1" t="s">
        <v>16</v>
      </c>
      <c r="B1" s="67">
        <v>45345</v>
      </c>
      <c r="C1" s="62" t="s">
        <v>17</v>
      </c>
    </row>
    <row r="2" spans="1:7">
      <c r="A2" t="s">
        <v>18</v>
      </c>
      <c r="B2" s="15" t="s">
        <v>105</v>
      </c>
    </row>
    <row r="4" spans="1:7">
      <c r="C4" s="14"/>
      <c r="D4" s="14"/>
      <c r="E4" s="14"/>
      <c r="F4" s="14"/>
      <c r="G4" s="14"/>
    </row>
    <row r="5" spans="1:7">
      <c r="A5" s="57" t="s">
        <v>69</v>
      </c>
      <c r="B5" s="169">
        <v>1599</v>
      </c>
    </row>
    <row r="6" spans="1:7" ht="15" customHeight="1">
      <c r="A6" s="219" t="s">
        <v>445</v>
      </c>
      <c r="B6" s="220"/>
      <c r="C6" s="221"/>
      <c r="D6" s="221"/>
      <c r="E6" s="221"/>
      <c r="F6" s="221"/>
      <c r="G6" s="221"/>
    </row>
    <row r="7" spans="1:7" ht="15" customHeight="1">
      <c r="A7" s="220"/>
      <c r="B7" s="220"/>
      <c r="C7" s="221"/>
      <c r="D7" s="221"/>
      <c r="E7" s="221"/>
      <c r="F7" s="221"/>
      <c r="G7" s="221"/>
    </row>
    <row r="8" spans="1:7" ht="15" customHeight="1">
      <c r="A8" s="220"/>
      <c r="B8" s="220"/>
      <c r="C8" s="221"/>
      <c r="D8" s="221"/>
      <c r="E8" s="221"/>
      <c r="F8" s="221"/>
      <c r="G8" s="221"/>
    </row>
    <row r="9" spans="1:7" ht="15" customHeight="1">
      <c r="A9" s="220"/>
      <c r="B9" s="220"/>
      <c r="C9" s="221"/>
      <c r="D9" s="221"/>
      <c r="E9" s="221"/>
      <c r="F9" s="221"/>
      <c r="G9" s="221"/>
    </row>
    <row r="11" spans="1:7" ht="15" customHeight="1"/>
  </sheetData>
  <mergeCells count="1">
    <mergeCell ref="A6:G9"/>
  </mergeCells>
  <hyperlinks>
    <hyperlink ref="C1" location="Index!A1" display="Back" xr:uid="{00000000-0004-0000-0900-000000000000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12"/>
  <sheetViews>
    <sheetView workbookViewId="0"/>
  </sheetViews>
  <sheetFormatPr defaultRowHeight="15"/>
  <cols>
    <col min="1" max="1" width="18.140625" customWidth="1"/>
    <col min="2" max="2" width="11.5703125" customWidth="1"/>
    <col min="3" max="13" width="8.7109375" customWidth="1"/>
  </cols>
  <sheetData>
    <row r="1" spans="1:14">
      <c r="A1" t="s">
        <v>16</v>
      </c>
      <c r="B1" s="67">
        <v>45321</v>
      </c>
      <c r="C1" s="62" t="s">
        <v>17</v>
      </c>
    </row>
    <row r="2" spans="1:14">
      <c r="A2" t="s">
        <v>18</v>
      </c>
      <c r="B2" s="15" t="s">
        <v>105</v>
      </c>
    </row>
    <row r="3" spans="1:14" ht="15.75" customHeight="1">
      <c r="A3" t="s">
        <v>37</v>
      </c>
      <c r="B3" s="13" t="s">
        <v>183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</row>
    <row r="4" spans="1:14" s="11" customFormat="1"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</row>
    <row r="5" spans="1:14" ht="15.75" thickBot="1"/>
    <row r="6" spans="1:14">
      <c r="A6" s="60" t="s">
        <v>55</v>
      </c>
      <c r="B6" s="60" t="s">
        <v>57</v>
      </c>
      <c r="C6" s="60" t="s">
        <v>58</v>
      </c>
      <c r="D6" s="60" t="s">
        <v>59</v>
      </c>
      <c r="E6" s="60" t="s">
        <v>60</v>
      </c>
      <c r="F6" s="60" t="s">
        <v>61</v>
      </c>
      <c r="G6" s="60" t="s">
        <v>62</v>
      </c>
      <c r="H6" s="60" t="s">
        <v>63</v>
      </c>
      <c r="I6" s="60" t="s">
        <v>64</v>
      </c>
      <c r="J6" s="60" t="s">
        <v>65</v>
      </c>
      <c r="K6" s="60" t="s">
        <v>66</v>
      </c>
      <c r="L6" s="60" t="s">
        <v>67</v>
      </c>
      <c r="M6" s="60" t="s">
        <v>68</v>
      </c>
      <c r="N6" s="60" t="s">
        <v>44</v>
      </c>
    </row>
    <row r="7" spans="1:14">
      <c r="A7" s="96">
        <v>2024</v>
      </c>
      <c r="B7" s="97">
        <f>HLOOKUP($A7,'[2]Source Data'!$C$11:$J$14,2)*'[2]Source Data'!B$6</f>
        <v>4.5573334704447905</v>
      </c>
      <c r="C7" s="97">
        <f>HLOOKUP($A7,'[2]Source Data'!$C$11:$J$14,2)*'[2]Source Data'!C$6</f>
        <v>4.3328086113235917</v>
      </c>
      <c r="D7" s="97">
        <f>HLOOKUP($A7,'[2]Source Data'!$C$11:$J$14,2)*'[2]Source Data'!D$6</f>
        <v>4.0585658315037145</v>
      </c>
      <c r="E7" s="97">
        <f>HLOOKUP($A7,'[2]Source Data'!$C$11:$J$14,2)*'[2]Source Data'!E$6</f>
        <v>4.1635823141751773</v>
      </c>
      <c r="F7" s="97">
        <f>HLOOKUP($A7,'[2]Source Data'!$C$11:$J$14,2)*'[2]Source Data'!F$6</f>
        <v>4.2715216775246931</v>
      </c>
      <c r="G7" s="97">
        <f>HLOOKUP($A7,'[2]Source Data'!$C$11:$J$14,2)*'[2]Source Data'!G$6</f>
        <v>4.3428559595241065</v>
      </c>
      <c r="H7" s="97">
        <f>HLOOKUP($A7,'[2]Source Data'!$C$11:$J$14,2)*'[2]Source Data'!H$6</f>
        <v>4.2426218940541602</v>
      </c>
      <c r="I7" s="97">
        <f>HLOOKUP($A7,'[2]Source Data'!$C$11:$J$14,2)*'[2]Source Data'!I$6</f>
        <v>4.3035180932871508</v>
      </c>
      <c r="J7" s="97">
        <f>HLOOKUP($A7,'[2]Source Data'!$C$11:$J$14,2)*'[2]Source Data'!J$6</f>
        <v>4.3009832434383402</v>
      </c>
      <c r="K7" s="97">
        <f>HLOOKUP($A7,'[2]Source Data'!$C$11:$J$14,2)*'[2]Source Data'!K$6</f>
        <v>4.4672776113408457</v>
      </c>
      <c r="L7" s="97">
        <f>HLOOKUP($A7,'[2]Source Data'!$C$11:$J$14,2)*'[2]Source Data'!L$6</f>
        <v>4.4492059673180755</v>
      </c>
      <c r="M7" s="97">
        <f>HLOOKUP($A7,'[2]Source Data'!$C$11:$J$14,2)*'[2]Source Data'!M$6</f>
        <v>4.64056932606535</v>
      </c>
      <c r="N7" s="97">
        <f>AVERAGE(B7:M7)</f>
        <v>4.3442369999999997</v>
      </c>
    </row>
    <row r="8" spans="1:14">
      <c r="A8" s="96">
        <v>2025</v>
      </c>
      <c r="B8" s="97">
        <f>HLOOKUP($A8,'[2]Source Data'!$C$11:$J$14,2)*'[2]Source Data'!B$6</f>
        <v>3.9899732600892954</v>
      </c>
      <c r="C8" s="97">
        <f>HLOOKUP($A8,'[2]Source Data'!$C$11:$J$14,2)*'[2]Source Data'!C$6</f>
        <v>3.7934003759831283</v>
      </c>
      <c r="D8" s="97">
        <f>HLOOKUP($A8,'[2]Source Data'!$C$11:$J$14,2)*'[2]Source Data'!D$6</f>
        <v>3.5532991489497969</v>
      </c>
      <c r="E8" s="97">
        <f>HLOOKUP($A8,'[2]Source Data'!$C$11:$J$14,2)*'[2]Source Data'!E$6</f>
        <v>3.6452417202900658</v>
      </c>
      <c r="F8" s="97">
        <f>HLOOKUP($A8,'[2]Source Data'!$C$11:$J$14,2)*'[2]Source Data'!F$6</f>
        <v>3.7397432914980198</v>
      </c>
      <c r="G8" s="97">
        <f>HLOOKUP($A8,'[2]Source Data'!$C$11:$J$14,2)*'[2]Source Data'!G$6</f>
        <v>3.802196890636893</v>
      </c>
      <c r="H8" s="97">
        <f>HLOOKUP($A8,'[2]Source Data'!$C$11:$J$14,2)*'[2]Source Data'!H$6</f>
        <v>3.7144413547366213</v>
      </c>
      <c r="I8" s="97">
        <f>HLOOKUP($A8,'[2]Source Data'!$C$11:$J$14,2)*'[2]Source Data'!I$6</f>
        <v>3.7677563487251984</v>
      </c>
      <c r="J8" s="97">
        <f>HLOOKUP($A8,'[2]Source Data'!$C$11:$J$14,2)*'[2]Source Data'!J$6</f>
        <v>3.7655370722160981</v>
      </c>
      <c r="K8" s="97">
        <f>HLOOKUP($A8,'[2]Source Data'!$C$11:$J$14,2)*'[2]Source Data'!K$6</f>
        <v>3.9111288059651077</v>
      </c>
      <c r="L8" s="97">
        <f>HLOOKUP($A8,'[2]Source Data'!$C$11:$J$14,2)*'[2]Source Data'!L$6</f>
        <v>3.8953069713584627</v>
      </c>
      <c r="M8" s="97">
        <f>HLOOKUP($A8,'[2]Source Data'!$C$11:$J$14,2)*'[2]Source Data'!M$6</f>
        <v>4.0628467595513111</v>
      </c>
      <c r="N8" s="97">
        <f t="shared" ref="N8:N12" si="0">AVERAGE(B8:M8)</f>
        <v>3.8034060000000003</v>
      </c>
    </row>
    <row r="9" spans="1:14">
      <c r="A9" s="96">
        <v>2026</v>
      </c>
      <c r="B9" s="97">
        <f>HLOOKUP($A9,'[2]Source Data'!$C$11:$J$14,2)*'[2]Source Data'!B$6</f>
        <v>3.5798922728877014</v>
      </c>
      <c r="C9" s="97">
        <f>HLOOKUP($A9,'[2]Source Data'!$C$11:$J$14,2)*'[2]Source Data'!C$6</f>
        <v>3.4035227327932978</v>
      </c>
      <c r="D9" s="97">
        <f>HLOOKUP($A9,'[2]Source Data'!$C$11:$J$14,2)*'[2]Source Data'!D$6</f>
        <v>3.1880986005152177</v>
      </c>
      <c r="E9" s="97">
        <f>HLOOKUP($A9,'[2]Source Data'!$C$11:$J$14,2)*'[2]Source Data'!E$6</f>
        <v>3.2705915094233564</v>
      </c>
      <c r="F9" s="97">
        <f>HLOOKUP($A9,'[2]Source Data'!$C$11:$J$14,2)*'[2]Source Data'!F$6</f>
        <v>3.3553804096215325</v>
      </c>
      <c r="G9" s="97">
        <f>HLOOKUP($A9,'[2]Source Data'!$C$11:$J$14,2)*'[2]Source Data'!G$6</f>
        <v>3.4114151603321861</v>
      </c>
      <c r="H9" s="97">
        <f>HLOOKUP($A9,'[2]Source Data'!$C$11:$J$14,2)*'[2]Source Data'!H$6</f>
        <v>3.3326789522440468</v>
      </c>
      <c r="I9" s="97">
        <f>HLOOKUP($A9,'[2]Source Data'!$C$11:$J$14,2)*'[2]Source Data'!I$6</f>
        <v>3.3805143442547916</v>
      </c>
      <c r="J9" s="97">
        <f>HLOOKUP($A9,'[2]Source Data'!$C$11:$J$14,2)*'[2]Source Data'!J$6</f>
        <v>3.3785231602772452</v>
      </c>
      <c r="K9" s="97">
        <f>HLOOKUP($A9,'[2]Source Data'!$C$11:$J$14,2)*'[2]Source Data'!K$6</f>
        <v>3.5091512844949846</v>
      </c>
      <c r="L9" s="97">
        <f>HLOOKUP($A9,'[2]Source Data'!$C$11:$J$14,2)*'[2]Source Data'!L$6</f>
        <v>3.4949555844842108</v>
      </c>
      <c r="M9" s="97">
        <f>HLOOKUP($A9,'[2]Source Data'!$C$11:$J$14,2)*'[2]Source Data'!M$6</f>
        <v>3.6452759886714303</v>
      </c>
      <c r="N9" s="97">
        <f t="shared" si="0"/>
        <v>3.4125000000000001</v>
      </c>
    </row>
    <row r="10" spans="1:14">
      <c r="A10" s="96">
        <v>2027</v>
      </c>
      <c r="B10" s="97">
        <f>HLOOKUP($A10,'[2]Source Data'!$C$11:$J$14,2)*'[2]Source Data'!B$6</f>
        <v>3.4036986299007843</v>
      </c>
      <c r="C10" s="97">
        <f>HLOOKUP($A10,'[2]Source Data'!$C$11:$J$14,2)*'[2]Source Data'!C$6</f>
        <v>3.2360095721819282</v>
      </c>
      <c r="D10" s="97">
        <f>HLOOKUP($A10,'[2]Source Data'!$C$11:$J$14,2)*'[2]Source Data'!D$6</f>
        <v>3.0311880948889809</v>
      </c>
      <c r="E10" s="97">
        <f>HLOOKUP($A10,'[2]Source Data'!$C$11:$J$14,2)*'[2]Source Data'!E$6</f>
        <v>3.1096209022540671</v>
      </c>
      <c r="F10" s="97">
        <f>HLOOKUP($A10,'[2]Source Data'!$C$11:$J$14,2)*'[2]Source Data'!F$6</f>
        <v>3.1902366977686429</v>
      </c>
      <c r="G10" s="97">
        <f>HLOOKUP($A10,'[2]Source Data'!$C$11:$J$14,2)*'[2]Source Data'!G$6</f>
        <v>3.2435135535179462</v>
      </c>
      <c r="H10" s="97">
        <f>HLOOKUP($A10,'[2]Source Data'!$C$11:$J$14,2)*'[2]Source Data'!H$6</f>
        <v>3.1686525512406334</v>
      </c>
      <c r="I10" s="97">
        <f>HLOOKUP($A10,'[2]Source Data'!$C$11:$J$14,2)*'[2]Source Data'!I$6</f>
        <v>3.2141336009026116</v>
      </c>
      <c r="J10" s="97">
        <f>HLOOKUP($A10,'[2]Source Data'!$C$11:$J$14,2)*'[2]Source Data'!J$6</f>
        <v>3.2122404181865885</v>
      </c>
      <c r="K10" s="97">
        <f>HLOOKUP($A10,'[2]Source Data'!$C$11:$J$14,2)*'[2]Source Data'!K$6</f>
        <v>3.3364393419345872</v>
      </c>
      <c r="L10" s="97">
        <f>HLOOKUP($A10,'[2]Source Data'!$C$11:$J$14,2)*'[2]Source Data'!L$6</f>
        <v>3.3229423199590693</v>
      </c>
      <c r="M10" s="97">
        <f>HLOOKUP($A10,'[2]Source Data'!$C$11:$J$14,2)*'[2]Source Data'!M$6</f>
        <v>3.4658643172641597</v>
      </c>
      <c r="N10" s="97">
        <f t="shared" si="0"/>
        <v>3.244545</v>
      </c>
    </row>
    <row r="11" spans="1:14">
      <c r="A11" s="96">
        <v>2028</v>
      </c>
      <c r="B11" s="97">
        <f>HLOOKUP($A11,'[2]Source Data'!$C$11:$J$14,2)*'[2]Source Data'!B$6</f>
        <v>3.412521162945469</v>
      </c>
      <c r="C11" s="97">
        <f>HLOOKUP($A11,'[2]Source Data'!$C$11:$J$14,2)*'[2]Source Data'!C$6</f>
        <v>3.2443974479864095</v>
      </c>
      <c r="D11" s="97">
        <f>HLOOKUP($A11,'[2]Source Data'!$C$11:$J$14,2)*'[2]Source Data'!D$6</f>
        <v>3.0390450646268072</v>
      </c>
      <c r="E11" s="97">
        <f>HLOOKUP($A11,'[2]Source Data'!$C$11:$J$14,2)*'[2]Source Data'!E$6</f>
        <v>3.1176811731974374</v>
      </c>
      <c r="F11" s="97">
        <f>HLOOKUP($A11,'[2]Source Data'!$C$11:$J$14,2)*'[2]Source Data'!F$6</f>
        <v>3.198505928316604</v>
      </c>
      <c r="G11" s="97">
        <f>HLOOKUP($A11,'[2]Source Data'!$C$11:$J$14,2)*'[2]Source Data'!G$6</f>
        <v>3.251920879964362</v>
      </c>
      <c r="H11" s="97">
        <f>HLOOKUP($A11,'[2]Source Data'!$C$11:$J$14,2)*'[2]Source Data'!H$6</f>
        <v>3.1768658347537095</v>
      </c>
      <c r="I11" s="97">
        <f>HLOOKUP($A11,'[2]Source Data'!$C$11:$J$14,2)*'[2]Source Data'!I$6</f>
        <v>3.2224647732499179</v>
      </c>
      <c r="J11" s="97">
        <f>HLOOKUP($A11,'[2]Source Data'!$C$11:$J$14,2)*'[2]Source Data'!J$6</f>
        <v>3.2205666833229789</v>
      </c>
      <c r="K11" s="97">
        <f>HLOOKUP($A11,'[2]Source Data'!$C$11:$J$14,2)*'[2]Source Data'!K$6</f>
        <v>3.345087536015936</v>
      </c>
      <c r="L11" s="97">
        <f>HLOOKUP($A11,'[2]Source Data'!$C$11:$J$14,2)*'[2]Source Data'!L$6</f>
        <v>3.3315555291797323</v>
      </c>
      <c r="M11" s="97">
        <f>HLOOKUP($A11,'[2]Source Data'!$C$11:$J$14,2)*'[2]Source Data'!M$6</f>
        <v>3.4748479864406363</v>
      </c>
      <c r="N11" s="97">
        <f t="shared" si="0"/>
        <v>3.252955</v>
      </c>
    </row>
    <row r="12" spans="1:14">
      <c r="A12" s="96">
        <v>2029</v>
      </c>
      <c r="B12" s="97">
        <f>HLOOKUP($A12,'[2]Source Data'!$C$11:$J$14,2)*'[2]Source Data'!B$6</f>
        <v>3.5187408940243547</v>
      </c>
      <c r="C12" s="97">
        <f>HLOOKUP($A12,'[2]Source Data'!$C$11:$J$14,2)*'[2]Source Data'!C$6</f>
        <v>3.3453840816167446</v>
      </c>
      <c r="D12" s="97">
        <f>HLOOKUP($A12,'[2]Source Data'!$C$11:$J$14,2)*'[2]Source Data'!D$6</f>
        <v>3.1336398038496549</v>
      </c>
      <c r="E12" s="97">
        <f>HLOOKUP($A12,'[2]Source Data'!$C$11:$J$14,2)*'[2]Source Data'!E$6</f>
        <v>3.2147235767442921</v>
      </c>
      <c r="F12" s="97">
        <f>HLOOKUP($A12,'[2]Source Data'!$C$11:$J$14,2)*'[2]Source Data'!F$6</f>
        <v>3.2980641210244159</v>
      </c>
      <c r="G12" s="97">
        <f>HLOOKUP($A12,'[2]Source Data'!$C$11:$J$14,2)*'[2]Source Data'!G$6</f>
        <v>3.3531416914600731</v>
      </c>
      <c r="H12" s="97">
        <f>HLOOKUP($A12,'[2]Source Data'!$C$11:$J$14,2)*'[2]Source Data'!H$6</f>
        <v>3.2757504477798092</v>
      </c>
      <c r="I12" s="97">
        <f>HLOOKUP($A12,'[2]Source Data'!$C$11:$J$14,2)*'[2]Source Data'!I$6</f>
        <v>3.3227687201799783</v>
      </c>
      <c r="J12" s="97">
        <f>HLOOKUP($A12,'[2]Source Data'!$C$11:$J$14,2)*'[2]Source Data'!J$6</f>
        <v>3.3208115494174995</v>
      </c>
      <c r="K12" s="97">
        <f>HLOOKUP($A12,'[2]Source Data'!$C$11:$J$14,2)*'[2]Source Data'!K$6</f>
        <v>3.4492082964581252</v>
      </c>
      <c r="L12" s="97">
        <f>HLOOKUP($A12,'[2]Source Data'!$C$11:$J$14,2)*'[2]Source Data'!L$6</f>
        <v>3.4352550860429645</v>
      </c>
      <c r="M12" s="97">
        <f>HLOOKUP($A12,'[2]Source Data'!$C$11:$J$14,2)*'[2]Source Data'!M$6</f>
        <v>3.5830077314020863</v>
      </c>
      <c r="N12" s="97">
        <f t="shared" si="0"/>
        <v>3.3542079999999999</v>
      </c>
    </row>
  </sheetData>
  <hyperlinks>
    <hyperlink ref="C1" location="Index!A1" display="Back" xr:uid="{00000000-0004-0000-0A00-000000000000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9"/>
  <sheetViews>
    <sheetView workbookViewId="0"/>
  </sheetViews>
  <sheetFormatPr defaultRowHeight="15"/>
  <cols>
    <col min="1" max="1" width="17.85546875" bestFit="1" customWidth="1"/>
    <col min="2" max="2" width="15.140625" customWidth="1"/>
  </cols>
  <sheetData>
    <row r="1" spans="1:3">
      <c r="A1" s="8" t="s">
        <v>16</v>
      </c>
      <c r="B1" s="67">
        <v>45352</v>
      </c>
      <c r="C1" s="62" t="s">
        <v>17</v>
      </c>
    </row>
    <row r="2" spans="1:3">
      <c r="A2" t="s">
        <v>18</v>
      </c>
      <c r="B2" s="15" t="s">
        <v>105</v>
      </c>
    </row>
    <row r="3" spans="1:3">
      <c r="A3" s="14" t="s">
        <v>37</v>
      </c>
      <c r="B3" t="s">
        <v>104</v>
      </c>
    </row>
    <row r="4" spans="1:3" s="14" customFormat="1"/>
    <row r="5" spans="1:3" s="14" customFormat="1" ht="15.75" thickBot="1"/>
    <row r="6" spans="1:3">
      <c r="A6" s="19" t="s">
        <v>56</v>
      </c>
      <c r="B6" s="20" t="s">
        <v>40</v>
      </c>
    </row>
    <row r="7" spans="1:3">
      <c r="A7" s="17" t="s">
        <v>145</v>
      </c>
      <c r="B7" s="21">
        <v>166</v>
      </c>
    </row>
    <row r="8" spans="1:3">
      <c r="A8" s="17" t="s">
        <v>39</v>
      </c>
      <c r="B8" s="21">
        <v>0</v>
      </c>
    </row>
    <row r="9" spans="1:3" ht="15.75" thickBot="1">
      <c r="A9" s="18" t="s">
        <v>41</v>
      </c>
      <c r="B9" s="22">
        <v>0</v>
      </c>
    </row>
  </sheetData>
  <hyperlinks>
    <hyperlink ref="C1" location="Index!A1" display="Back" xr:uid="{00000000-0004-0000-0B00-000000000000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4"/>
  <sheetViews>
    <sheetView zoomScaleNormal="100" workbookViewId="0">
      <selection activeCell="B1" sqref="B1"/>
    </sheetView>
  </sheetViews>
  <sheetFormatPr defaultRowHeight="15"/>
  <cols>
    <col min="1" max="1" width="24.140625" bestFit="1" customWidth="1"/>
    <col min="2" max="2" width="11.42578125" customWidth="1"/>
    <col min="3" max="3" width="9.140625" customWidth="1"/>
  </cols>
  <sheetData>
    <row r="1" spans="1:3">
      <c r="A1" t="s">
        <v>16</v>
      </c>
      <c r="B1" s="170">
        <v>45418</v>
      </c>
      <c r="C1" s="62" t="s">
        <v>17</v>
      </c>
    </row>
    <row r="2" spans="1:3">
      <c r="A2" t="s">
        <v>18</v>
      </c>
      <c r="B2" s="15" t="s">
        <v>105</v>
      </c>
    </row>
    <row r="3" spans="1:3" s="14" customFormat="1"/>
    <row r="5" spans="1:3" s="14" customFormat="1">
      <c r="A5" s="3" t="s">
        <v>43</v>
      </c>
    </row>
    <row r="6" spans="1:3" s="14" customFormat="1">
      <c r="A6" s="14" t="s">
        <v>42</v>
      </c>
      <c r="B6" s="15" t="s">
        <v>80</v>
      </c>
    </row>
    <row r="7" spans="1:3">
      <c r="A7" t="s">
        <v>76</v>
      </c>
      <c r="B7" s="15"/>
    </row>
    <row r="8" spans="1:3" s="14" customFormat="1">
      <c r="B8" s="15"/>
    </row>
    <row r="9" spans="1:3">
      <c r="A9" s="14" t="s">
        <v>81</v>
      </c>
    </row>
    <row r="14" spans="1:3">
      <c r="B14" s="50"/>
      <c r="C14" s="50"/>
    </row>
  </sheetData>
  <hyperlinks>
    <hyperlink ref="C1" location="Index!A1" display="Back" xr:uid="{00000000-0004-0000-0C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</vt:i4>
      </vt:variant>
    </vt:vector>
  </HeadingPairs>
  <TitlesOfParts>
    <vt:vector size="14" baseType="lpstr">
      <vt:lpstr>Index</vt:lpstr>
      <vt:lpstr>Start Cases</vt:lpstr>
      <vt:lpstr>Recently Approved RPG Projects</vt:lpstr>
      <vt:lpstr>Model Updates &amp; Corrections</vt:lpstr>
      <vt:lpstr>Transmission &amp; Gen Outages</vt:lpstr>
      <vt:lpstr>Gen Add, Ret. and Mothball</vt:lpstr>
      <vt:lpstr>Renewable Generation Dispatch</vt:lpstr>
      <vt:lpstr>Switchable Generation</vt:lpstr>
      <vt:lpstr>DC Tie Modeling &amp; Dispatch</vt:lpstr>
      <vt:lpstr>Reserve Requirement</vt:lpstr>
      <vt:lpstr>Fuel Price Assumptions</vt:lpstr>
      <vt:lpstr>Emission Cost Assumptions</vt:lpstr>
      <vt:lpstr>Economic Case-Load Forecast</vt:lpstr>
      <vt:lpstr>Load_Forecast__Economic__Weather_Year_Assumption</vt:lpstr>
    </vt:vector>
  </TitlesOfParts>
  <Company>The Electric Reliability Council of Texas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Borkar, Sandeep</dc:creator>
  <cp:lastModifiedBy>Ramasubbu, Priya</cp:lastModifiedBy>
  <dcterms:created xsi:type="dcterms:W3CDTF">2016-10-04T14:07:58Z</dcterms:created>
  <dcterms:modified xsi:type="dcterms:W3CDTF">2024-11-05T16:26:31Z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084cbda-52b8-46fb-a7b7-cb5bd465ed85_Enabled">
    <vt:lpwstr>true</vt:lpwstr>
  </property>
  <property fmtid="{D5CDD505-2E9C-101B-9397-08002B2CF9AE}" pid="3" name="MSIP_Label_7084cbda-52b8-46fb-a7b7-cb5bd465ed85_SetDate">
    <vt:lpwstr>2023-07-26T14:28:31Z</vt:lpwstr>
  </property>
  <property fmtid="{D5CDD505-2E9C-101B-9397-08002B2CF9AE}" pid="4" name="MSIP_Label_7084cbda-52b8-46fb-a7b7-cb5bd465ed85_Method">
    <vt:lpwstr>Standard</vt:lpwstr>
  </property>
  <property fmtid="{D5CDD505-2E9C-101B-9397-08002B2CF9AE}" pid="5" name="MSIP_Label_7084cbda-52b8-46fb-a7b7-cb5bd465ed85_Name">
    <vt:lpwstr>Internal</vt:lpwstr>
  </property>
  <property fmtid="{D5CDD505-2E9C-101B-9397-08002B2CF9AE}" pid="6" name="MSIP_Label_7084cbda-52b8-46fb-a7b7-cb5bd465ed85_SiteId">
    <vt:lpwstr>0afb747d-bff7-4596-a9fc-950ef9e0ec45</vt:lpwstr>
  </property>
  <property fmtid="{D5CDD505-2E9C-101B-9397-08002B2CF9AE}" pid="7" name="MSIP_Label_7084cbda-52b8-46fb-a7b7-cb5bd465ed85_ActionId">
    <vt:lpwstr>47524be8-1879-485f-9cd1-b7e565c6a5d1</vt:lpwstr>
  </property>
  <property fmtid="{D5CDD505-2E9C-101B-9397-08002B2CF9AE}" pid="8" name="MSIP_Label_7084cbda-52b8-46fb-a7b7-cb5bd465ed85_ContentBits">
    <vt:lpwstr>0</vt:lpwstr>
  </property>
</Properties>
</file>